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D4E1C08E-1BCE-48F0-9ADD-BEC25194A00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Datos intermedios 2016" sheetId="1" r:id="rId1"/>
    <sheet name="Datos intermedios 2024" sheetId="2" r:id="rId2"/>
    <sheet name="Datos Procesados" sheetId="3" r:id="rId3"/>
    <sheet name="Indicador_MUN" sheetId="4" r:id="rId4"/>
    <sheet name="Absoluto_MUN" sheetId="5" r:id="rId5"/>
    <sheet name="Indicador_DEP" sheetId="6" r:id="rId6"/>
    <sheet name="Absoluto_DEP" sheetId="7" r:id="rId7"/>
    <sheet name="Umbral" sheetId="8" r:id="rId8"/>
    <sheet name="Mapa" sheetId="9" r:id="rId9"/>
  </sheets>
  <calcPr calcId="191029"/>
  <pivotCaches>
    <pivotCache cacheId="4" r:id="rId10"/>
  </pivotCaches>
</workbook>
</file>

<file path=xl/calcChain.xml><?xml version="1.0" encoding="utf-8"?>
<calcChain xmlns="http://schemas.openxmlformats.org/spreadsheetml/2006/main">
  <c r="H346" i="3" l="1"/>
  <c r="I346" i="3" s="1"/>
  <c r="G346" i="3"/>
  <c r="E346" i="3"/>
  <c r="F346" i="3" s="1"/>
  <c r="D346" i="3"/>
  <c r="H345" i="3"/>
  <c r="I345" i="3" s="1"/>
  <c r="G345" i="3"/>
  <c r="E345" i="3"/>
  <c r="F345" i="3" s="1"/>
  <c r="D345" i="3"/>
  <c r="I344" i="3"/>
  <c r="F344" i="3"/>
  <c r="I343" i="3"/>
  <c r="F343" i="3"/>
  <c r="I342" i="3"/>
  <c r="F342" i="3"/>
  <c r="I341" i="3"/>
  <c r="F341" i="3"/>
  <c r="I340" i="3"/>
  <c r="F340" i="3"/>
  <c r="I339" i="3"/>
  <c r="F339" i="3"/>
  <c r="I338" i="3"/>
  <c r="F338" i="3"/>
  <c r="I337" i="3"/>
  <c r="F337" i="3"/>
  <c r="I336" i="3"/>
  <c r="F336" i="3"/>
  <c r="I335" i="3"/>
  <c r="F335" i="3"/>
  <c r="I334" i="3"/>
  <c r="F334" i="3"/>
  <c r="I333" i="3"/>
  <c r="F333" i="3"/>
  <c r="I332" i="3"/>
  <c r="F332" i="3"/>
  <c r="I331" i="3"/>
  <c r="F331" i="3"/>
  <c r="I330" i="3"/>
  <c r="F330" i="3"/>
  <c r="I329" i="3"/>
  <c r="F329" i="3"/>
  <c r="I328" i="3"/>
  <c r="F328" i="3"/>
  <c r="I327" i="3"/>
  <c r="F327" i="3"/>
  <c r="I326" i="3"/>
  <c r="F326" i="3"/>
  <c r="I325" i="3"/>
  <c r="F325" i="3"/>
  <c r="I324" i="3"/>
  <c r="F324" i="3"/>
  <c r="I323" i="3"/>
  <c r="F323" i="3"/>
  <c r="I322" i="3"/>
  <c r="F322" i="3"/>
  <c r="I321" i="3"/>
  <c r="F321" i="3"/>
  <c r="I320" i="3"/>
  <c r="F320" i="3"/>
  <c r="I319" i="3"/>
  <c r="F319" i="3"/>
  <c r="I318" i="3"/>
  <c r="F318" i="3"/>
  <c r="I317" i="3"/>
  <c r="F317" i="3"/>
  <c r="I316" i="3"/>
  <c r="F316" i="3"/>
  <c r="I315" i="3"/>
  <c r="F315" i="3"/>
  <c r="I314" i="3"/>
  <c r="F314" i="3"/>
  <c r="I313" i="3"/>
  <c r="F313" i="3"/>
  <c r="I312" i="3"/>
  <c r="F312" i="3"/>
  <c r="I311" i="3"/>
  <c r="F311" i="3"/>
  <c r="I310" i="3"/>
  <c r="F310" i="3"/>
  <c r="I309" i="3"/>
  <c r="F309" i="3"/>
  <c r="I308" i="3"/>
  <c r="F308" i="3"/>
  <c r="I307" i="3"/>
  <c r="F307" i="3"/>
  <c r="I306" i="3"/>
  <c r="F306" i="3"/>
  <c r="I305" i="3"/>
  <c r="F305" i="3"/>
  <c r="I304" i="3"/>
  <c r="F304" i="3"/>
  <c r="I303" i="3"/>
  <c r="F303" i="3"/>
  <c r="I302" i="3"/>
  <c r="F302" i="3"/>
  <c r="I301" i="3"/>
  <c r="F301" i="3"/>
  <c r="I300" i="3"/>
  <c r="F300" i="3"/>
  <c r="I299" i="3"/>
  <c r="F299" i="3"/>
  <c r="I298" i="3"/>
  <c r="F298" i="3"/>
  <c r="I297" i="3"/>
  <c r="F297" i="3"/>
  <c r="I296" i="3"/>
  <c r="F296" i="3"/>
  <c r="I295" i="3"/>
  <c r="F295" i="3"/>
  <c r="I294" i="3"/>
  <c r="F294" i="3"/>
  <c r="I293" i="3"/>
  <c r="F293" i="3"/>
  <c r="I292" i="3"/>
  <c r="F292" i="3"/>
  <c r="I291" i="3"/>
  <c r="F291" i="3"/>
  <c r="I290" i="3"/>
  <c r="F290" i="3"/>
  <c r="I289" i="3"/>
  <c r="F289" i="3"/>
  <c r="I288" i="3"/>
  <c r="F288" i="3"/>
  <c r="I287" i="3"/>
  <c r="F287" i="3"/>
  <c r="I286" i="3"/>
  <c r="F286" i="3"/>
  <c r="I285" i="3"/>
  <c r="F285" i="3"/>
  <c r="I284" i="3"/>
  <c r="F284" i="3"/>
  <c r="I283" i="3"/>
  <c r="F283" i="3"/>
  <c r="I282" i="3"/>
  <c r="F282" i="3"/>
  <c r="I281" i="3"/>
  <c r="F281" i="3"/>
  <c r="I280" i="3"/>
  <c r="F280" i="3"/>
  <c r="I279" i="3"/>
  <c r="F279" i="3"/>
  <c r="I278" i="3"/>
  <c r="F278" i="3"/>
  <c r="I277" i="3"/>
  <c r="F277" i="3"/>
  <c r="I276" i="3"/>
  <c r="F276" i="3"/>
  <c r="I275" i="3"/>
  <c r="F275" i="3"/>
  <c r="I274" i="3"/>
  <c r="F274" i="3"/>
  <c r="I273" i="3"/>
  <c r="F273" i="3"/>
  <c r="I272" i="3"/>
  <c r="F272" i="3"/>
  <c r="I271" i="3"/>
  <c r="F271" i="3"/>
  <c r="I270" i="3"/>
  <c r="F270" i="3"/>
  <c r="I269" i="3"/>
  <c r="F269" i="3"/>
  <c r="I268" i="3"/>
  <c r="F268" i="3"/>
  <c r="I267" i="3"/>
  <c r="F267" i="3"/>
  <c r="I266" i="3"/>
  <c r="F266" i="3"/>
  <c r="I265" i="3"/>
  <c r="F265" i="3"/>
  <c r="I264" i="3"/>
  <c r="F264" i="3"/>
  <c r="I263" i="3"/>
  <c r="F263" i="3"/>
  <c r="I262" i="3"/>
  <c r="F262" i="3"/>
  <c r="I261" i="3"/>
  <c r="F261" i="3"/>
  <c r="I260" i="3"/>
  <c r="F260" i="3"/>
  <c r="I259" i="3"/>
  <c r="F259" i="3"/>
  <c r="I258" i="3"/>
  <c r="F258" i="3"/>
  <c r="I257" i="3"/>
  <c r="F257" i="3"/>
  <c r="I256" i="3"/>
  <c r="F256" i="3"/>
  <c r="I255" i="3"/>
  <c r="F255" i="3"/>
  <c r="I254" i="3"/>
  <c r="F254" i="3"/>
  <c r="I253" i="3"/>
  <c r="F253" i="3"/>
  <c r="I252" i="3"/>
  <c r="F252" i="3"/>
  <c r="I251" i="3"/>
  <c r="F251" i="3"/>
  <c r="I250" i="3"/>
  <c r="F250" i="3"/>
  <c r="I249" i="3"/>
  <c r="F249" i="3"/>
  <c r="I248" i="3"/>
  <c r="F248" i="3"/>
  <c r="I247" i="3"/>
  <c r="F247" i="3"/>
  <c r="I246" i="3"/>
  <c r="F246" i="3"/>
  <c r="I245" i="3"/>
  <c r="F245" i="3"/>
  <c r="I244" i="3"/>
  <c r="F244" i="3"/>
  <c r="I243" i="3"/>
  <c r="F243" i="3"/>
  <c r="I242" i="3"/>
  <c r="F242" i="3"/>
  <c r="I241" i="3"/>
  <c r="F241" i="3"/>
  <c r="I240" i="3"/>
  <c r="F240" i="3"/>
  <c r="I239" i="3"/>
  <c r="F239" i="3"/>
  <c r="I238" i="3"/>
  <c r="F238" i="3"/>
  <c r="I237" i="3"/>
  <c r="F237" i="3"/>
  <c r="I236" i="3"/>
  <c r="F236" i="3"/>
  <c r="I235" i="3"/>
  <c r="F235" i="3"/>
  <c r="I234" i="3"/>
  <c r="F234" i="3"/>
  <c r="I233" i="3"/>
  <c r="F233" i="3"/>
  <c r="I232" i="3"/>
  <c r="F232" i="3"/>
  <c r="I231" i="3"/>
  <c r="F231" i="3"/>
  <c r="I230" i="3"/>
  <c r="F230" i="3"/>
  <c r="I229" i="3"/>
  <c r="F229" i="3"/>
  <c r="I228" i="3"/>
  <c r="F228" i="3"/>
  <c r="I227" i="3"/>
  <c r="F227" i="3"/>
  <c r="I226" i="3"/>
  <c r="F226" i="3"/>
  <c r="I225" i="3"/>
  <c r="F225" i="3"/>
  <c r="I224" i="3"/>
  <c r="F224" i="3"/>
  <c r="I223" i="3"/>
  <c r="F223" i="3"/>
  <c r="I222" i="3"/>
  <c r="F222" i="3"/>
  <c r="I221" i="3"/>
  <c r="F221" i="3"/>
  <c r="I220" i="3"/>
  <c r="F220" i="3"/>
  <c r="I219" i="3"/>
  <c r="F219" i="3"/>
  <c r="I218" i="3"/>
  <c r="F218" i="3"/>
  <c r="I217" i="3"/>
  <c r="F217" i="3"/>
  <c r="I216" i="3"/>
  <c r="F216" i="3"/>
  <c r="I215" i="3"/>
  <c r="F215" i="3"/>
  <c r="I214" i="3"/>
  <c r="F214" i="3"/>
  <c r="I213" i="3"/>
  <c r="F213" i="3"/>
  <c r="I212" i="3"/>
  <c r="F212" i="3"/>
  <c r="I211" i="3"/>
  <c r="F211" i="3"/>
  <c r="I210" i="3"/>
  <c r="F210" i="3"/>
  <c r="I209" i="3"/>
  <c r="F209" i="3"/>
  <c r="I208" i="3"/>
  <c r="F208" i="3"/>
  <c r="I207" i="3"/>
  <c r="F207" i="3"/>
  <c r="I206" i="3"/>
  <c r="F206" i="3"/>
  <c r="I205" i="3"/>
  <c r="F205" i="3"/>
  <c r="I204" i="3"/>
  <c r="F204" i="3"/>
  <c r="I203" i="3"/>
  <c r="F203" i="3"/>
  <c r="I202" i="3"/>
  <c r="F202" i="3"/>
  <c r="I201" i="3"/>
  <c r="F201" i="3"/>
  <c r="I200" i="3"/>
  <c r="F200" i="3"/>
  <c r="I199" i="3"/>
  <c r="F199" i="3"/>
  <c r="I198" i="3"/>
  <c r="F198" i="3"/>
  <c r="I197" i="3"/>
  <c r="F197" i="3"/>
  <c r="I196" i="3"/>
  <c r="F196" i="3"/>
  <c r="I195" i="3"/>
  <c r="F195" i="3"/>
  <c r="I194" i="3"/>
  <c r="F194" i="3"/>
  <c r="I193" i="3"/>
  <c r="F193" i="3"/>
  <c r="I192" i="3"/>
  <c r="F192" i="3"/>
  <c r="I191" i="3"/>
  <c r="F191" i="3"/>
  <c r="I190" i="3"/>
  <c r="F190" i="3"/>
  <c r="I189" i="3"/>
  <c r="F189" i="3"/>
  <c r="I188" i="3"/>
  <c r="F188" i="3"/>
  <c r="I187" i="3"/>
  <c r="F187" i="3"/>
  <c r="I186" i="3"/>
  <c r="F186" i="3"/>
  <c r="I185" i="3"/>
  <c r="F185" i="3"/>
  <c r="I184" i="3"/>
  <c r="F184" i="3"/>
  <c r="I183" i="3"/>
  <c r="F183" i="3"/>
  <c r="I182" i="3"/>
  <c r="F182" i="3"/>
  <c r="I181" i="3"/>
  <c r="F181" i="3"/>
  <c r="I180" i="3"/>
  <c r="F180" i="3"/>
  <c r="I179" i="3"/>
  <c r="F179" i="3"/>
  <c r="I178" i="3"/>
  <c r="F178" i="3"/>
  <c r="I177" i="3"/>
  <c r="F177" i="3"/>
  <c r="I176" i="3"/>
  <c r="F176" i="3"/>
  <c r="I175" i="3"/>
  <c r="F175" i="3"/>
  <c r="I174" i="3"/>
  <c r="F174" i="3"/>
  <c r="I173" i="3"/>
  <c r="F173" i="3"/>
  <c r="I172" i="3"/>
  <c r="F172" i="3"/>
  <c r="I171" i="3"/>
  <c r="F171" i="3"/>
  <c r="I170" i="3"/>
  <c r="F170" i="3"/>
  <c r="I169" i="3"/>
  <c r="F169" i="3"/>
  <c r="I168" i="3"/>
  <c r="F168" i="3"/>
  <c r="I167" i="3"/>
  <c r="F167" i="3"/>
  <c r="I166" i="3"/>
  <c r="F166" i="3"/>
  <c r="I165" i="3"/>
  <c r="F165" i="3"/>
  <c r="I164" i="3"/>
  <c r="F164" i="3"/>
  <c r="I163" i="3"/>
  <c r="F163" i="3"/>
  <c r="I162" i="3"/>
  <c r="F162" i="3"/>
  <c r="I161" i="3"/>
  <c r="F161" i="3"/>
  <c r="I160" i="3"/>
  <c r="F160" i="3"/>
  <c r="I159" i="3"/>
  <c r="F159" i="3"/>
  <c r="I158" i="3"/>
  <c r="F158" i="3"/>
  <c r="I157" i="3"/>
  <c r="F157" i="3"/>
  <c r="I156" i="3"/>
  <c r="F156" i="3"/>
  <c r="I155" i="3"/>
  <c r="F155" i="3"/>
  <c r="I154" i="3"/>
  <c r="F154" i="3"/>
  <c r="I153" i="3"/>
  <c r="F153" i="3"/>
  <c r="I152" i="3"/>
  <c r="F152" i="3"/>
  <c r="I151" i="3"/>
  <c r="F151" i="3"/>
  <c r="I150" i="3"/>
  <c r="F150" i="3"/>
  <c r="I149" i="3"/>
  <c r="F149" i="3"/>
  <c r="I148" i="3"/>
  <c r="F148" i="3"/>
  <c r="I147" i="3"/>
  <c r="F147" i="3"/>
  <c r="I146" i="3"/>
  <c r="F146" i="3"/>
  <c r="I145" i="3"/>
  <c r="F145" i="3"/>
  <c r="I144" i="3"/>
  <c r="F144" i="3"/>
  <c r="I143" i="3"/>
  <c r="F143" i="3"/>
  <c r="I142" i="3"/>
  <c r="F142" i="3"/>
  <c r="I141" i="3"/>
  <c r="F141" i="3"/>
  <c r="I140" i="3"/>
  <c r="F140" i="3"/>
  <c r="I139" i="3"/>
  <c r="F139" i="3"/>
  <c r="I138" i="3"/>
  <c r="F138" i="3"/>
  <c r="I137" i="3"/>
  <c r="F137" i="3"/>
  <c r="I136" i="3"/>
  <c r="F136" i="3"/>
  <c r="I135" i="3"/>
  <c r="F135" i="3"/>
  <c r="I134" i="3"/>
  <c r="F134" i="3"/>
  <c r="I133" i="3"/>
  <c r="F133" i="3"/>
  <c r="I132" i="3"/>
  <c r="F132" i="3"/>
  <c r="I131" i="3"/>
  <c r="F131" i="3"/>
  <c r="I130" i="3"/>
  <c r="F130" i="3"/>
  <c r="I129" i="3"/>
  <c r="F129" i="3"/>
  <c r="I128" i="3"/>
  <c r="F128" i="3"/>
  <c r="I127" i="3"/>
  <c r="F127" i="3"/>
  <c r="I126" i="3"/>
  <c r="F126" i="3"/>
  <c r="I125" i="3"/>
  <c r="F125" i="3"/>
  <c r="I124" i="3"/>
  <c r="F124" i="3"/>
  <c r="I123" i="3"/>
  <c r="F123" i="3"/>
  <c r="I122" i="3"/>
  <c r="F122" i="3"/>
  <c r="I121" i="3"/>
  <c r="F121" i="3"/>
  <c r="I120" i="3"/>
  <c r="F120" i="3"/>
  <c r="I119" i="3"/>
  <c r="F119" i="3"/>
  <c r="I118" i="3"/>
  <c r="F118" i="3"/>
  <c r="I117" i="3"/>
  <c r="F117" i="3"/>
  <c r="I116" i="3"/>
  <c r="F116" i="3"/>
  <c r="I115" i="3"/>
  <c r="F115" i="3"/>
  <c r="I114" i="3"/>
  <c r="F114" i="3"/>
  <c r="I113" i="3"/>
  <c r="F113" i="3"/>
  <c r="I112" i="3"/>
  <c r="F112" i="3"/>
  <c r="I111" i="3"/>
  <c r="F111" i="3"/>
  <c r="I110" i="3"/>
  <c r="F110" i="3"/>
  <c r="I109" i="3"/>
  <c r="F109" i="3"/>
  <c r="I108" i="3"/>
  <c r="F108" i="3"/>
  <c r="I107" i="3"/>
  <c r="F107" i="3"/>
  <c r="I106" i="3"/>
  <c r="F106" i="3"/>
  <c r="I105" i="3"/>
  <c r="F105" i="3"/>
  <c r="I104" i="3"/>
  <c r="F104" i="3"/>
  <c r="I103" i="3"/>
  <c r="F103" i="3"/>
  <c r="I102" i="3"/>
  <c r="F102" i="3"/>
  <c r="I101" i="3"/>
  <c r="F101" i="3"/>
  <c r="I100" i="3"/>
  <c r="F100" i="3"/>
  <c r="I99" i="3"/>
  <c r="F99" i="3"/>
  <c r="I98" i="3"/>
  <c r="F98" i="3"/>
  <c r="I97" i="3"/>
  <c r="F97" i="3"/>
  <c r="I96" i="3"/>
  <c r="F96" i="3"/>
  <c r="I95" i="3"/>
  <c r="F95" i="3"/>
  <c r="I94" i="3"/>
  <c r="F94" i="3"/>
  <c r="I93" i="3"/>
  <c r="F93" i="3"/>
  <c r="I92" i="3"/>
  <c r="F92" i="3"/>
  <c r="I91" i="3"/>
  <c r="F91" i="3"/>
  <c r="I90" i="3"/>
  <c r="F90" i="3"/>
  <c r="I89" i="3"/>
  <c r="F89" i="3"/>
  <c r="I88" i="3"/>
  <c r="F88" i="3"/>
  <c r="I87" i="3"/>
  <c r="F87" i="3"/>
  <c r="I86" i="3"/>
  <c r="F86" i="3"/>
  <c r="I85" i="3"/>
  <c r="F85" i="3"/>
  <c r="I84" i="3"/>
  <c r="F84" i="3"/>
  <c r="I83" i="3"/>
  <c r="F83" i="3"/>
  <c r="I82" i="3"/>
  <c r="F82" i="3"/>
  <c r="I81" i="3"/>
  <c r="F81" i="3"/>
  <c r="I80" i="3"/>
  <c r="F80" i="3"/>
  <c r="I79" i="3"/>
  <c r="F79" i="3"/>
  <c r="I78" i="3"/>
  <c r="F78" i="3"/>
  <c r="I77" i="3"/>
  <c r="F77" i="3"/>
  <c r="I76" i="3"/>
  <c r="F76" i="3"/>
  <c r="I75" i="3"/>
  <c r="F75" i="3"/>
  <c r="I74" i="3"/>
  <c r="F74" i="3"/>
  <c r="I73" i="3"/>
  <c r="F73" i="3"/>
  <c r="I72" i="3"/>
  <c r="F72" i="3"/>
  <c r="I71" i="3"/>
  <c r="F71" i="3"/>
  <c r="I70" i="3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I58" i="3"/>
  <c r="F58" i="3"/>
  <c r="I57" i="3"/>
  <c r="F57" i="3"/>
  <c r="I56" i="3"/>
  <c r="F56" i="3"/>
  <c r="I55" i="3"/>
  <c r="F55" i="3"/>
  <c r="I54" i="3"/>
  <c r="F54" i="3"/>
  <c r="I53" i="3"/>
  <c r="F53" i="3"/>
  <c r="I52" i="3"/>
  <c r="F52" i="3"/>
  <c r="I51" i="3"/>
  <c r="F51" i="3"/>
  <c r="I50" i="3"/>
  <c r="F50" i="3"/>
  <c r="I49" i="3"/>
  <c r="F49" i="3"/>
  <c r="I48" i="3"/>
  <c r="F48" i="3"/>
  <c r="I47" i="3"/>
  <c r="F47" i="3"/>
  <c r="I46" i="3"/>
  <c r="F46" i="3"/>
  <c r="I45" i="3"/>
  <c r="F45" i="3"/>
  <c r="I44" i="3"/>
  <c r="F44" i="3"/>
  <c r="I43" i="3"/>
  <c r="F43" i="3"/>
  <c r="I42" i="3"/>
  <c r="F42" i="3"/>
  <c r="I41" i="3"/>
  <c r="F41" i="3"/>
  <c r="O40" i="3"/>
  <c r="I40" i="3"/>
  <c r="F40" i="3"/>
  <c r="I39" i="3"/>
  <c r="F39" i="3"/>
  <c r="I38" i="3"/>
  <c r="F38" i="3"/>
  <c r="I37" i="3"/>
  <c r="F37" i="3"/>
  <c r="I36" i="3"/>
  <c r="F36" i="3"/>
  <c r="I35" i="3"/>
  <c r="F35" i="3"/>
  <c r="I34" i="3"/>
  <c r="F34" i="3"/>
  <c r="I33" i="3"/>
  <c r="F33" i="3"/>
  <c r="I32" i="3"/>
  <c r="F32" i="3"/>
  <c r="I31" i="3"/>
  <c r="F31" i="3"/>
  <c r="I30" i="3"/>
  <c r="F30" i="3"/>
  <c r="I29" i="3"/>
  <c r="F29" i="3"/>
  <c r="I28" i="3"/>
  <c r="F28" i="3"/>
  <c r="S27" i="3"/>
  <c r="R27" i="3"/>
  <c r="P27" i="3"/>
  <c r="O27" i="3"/>
  <c r="I27" i="3"/>
  <c r="F27" i="3"/>
  <c r="S26" i="3"/>
  <c r="R26" i="3"/>
  <c r="P26" i="3"/>
  <c r="O26" i="3"/>
  <c r="I26" i="3"/>
  <c r="F26" i="3"/>
  <c r="S25" i="3"/>
  <c r="R25" i="3"/>
  <c r="P25" i="3"/>
  <c r="O25" i="3"/>
  <c r="I25" i="3"/>
  <c r="F25" i="3"/>
  <c r="S24" i="3"/>
  <c r="R24" i="3"/>
  <c r="P24" i="3"/>
  <c r="O24" i="3"/>
  <c r="I24" i="3"/>
  <c r="F24" i="3"/>
  <c r="S23" i="3"/>
  <c r="R23" i="3"/>
  <c r="P23" i="3"/>
  <c r="O23" i="3"/>
  <c r="I23" i="3"/>
  <c r="F23" i="3"/>
  <c r="T22" i="3"/>
  <c r="S22" i="3"/>
  <c r="R22" i="3"/>
  <c r="Q22" i="3"/>
  <c r="P22" i="3"/>
  <c r="O22" i="3"/>
  <c r="I22" i="3"/>
  <c r="F22" i="3"/>
  <c r="S21" i="3"/>
  <c r="R21" i="3"/>
  <c r="P21" i="3"/>
  <c r="O21" i="3"/>
  <c r="I21" i="3"/>
  <c r="F21" i="3"/>
  <c r="S20" i="3"/>
  <c r="R20" i="3"/>
  <c r="P20" i="3"/>
  <c r="O20" i="3"/>
  <c r="I20" i="3"/>
  <c r="F20" i="3"/>
  <c r="S19" i="3"/>
  <c r="R19" i="3"/>
  <c r="P19" i="3"/>
  <c r="O19" i="3"/>
  <c r="I19" i="3"/>
  <c r="F19" i="3"/>
  <c r="S18" i="3"/>
  <c r="R18" i="3"/>
  <c r="P18" i="3"/>
  <c r="O18" i="3"/>
  <c r="I18" i="3"/>
  <c r="F18" i="3"/>
  <c r="S17" i="3"/>
  <c r="R17" i="3"/>
  <c r="P17" i="3"/>
  <c r="O17" i="3"/>
  <c r="I17" i="3"/>
  <c r="F17" i="3"/>
  <c r="I16" i="3"/>
  <c r="F16" i="3"/>
  <c r="I15" i="3"/>
  <c r="F15" i="3"/>
  <c r="I14" i="3"/>
  <c r="F14" i="3"/>
  <c r="I13" i="3"/>
  <c r="F13" i="3"/>
  <c r="S12" i="3"/>
  <c r="T23" i="3" s="1"/>
  <c r="R12" i="3"/>
  <c r="Q23" i="3" s="1"/>
  <c r="I12" i="3"/>
  <c r="F12" i="3"/>
  <c r="S11" i="3"/>
  <c r="T21" i="3" s="1"/>
  <c r="R11" i="3"/>
  <c r="Q21" i="3" s="1"/>
  <c r="I11" i="3"/>
  <c r="F11" i="3"/>
  <c r="S10" i="3"/>
  <c r="T25" i="3" s="1"/>
  <c r="R10" i="3"/>
  <c r="Q25" i="3" s="1"/>
  <c r="I10" i="3"/>
  <c r="F10" i="3"/>
  <c r="S9" i="3"/>
  <c r="T20" i="3" s="1"/>
  <c r="R9" i="3"/>
  <c r="Q20" i="3" s="1"/>
  <c r="I9" i="3"/>
  <c r="F9" i="3"/>
  <c r="S8" i="3"/>
  <c r="T18" i="3" s="1"/>
  <c r="R8" i="3"/>
  <c r="Q18" i="3" s="1"/>
  <c r="I8" i="3"/>
  <c r="F8" i="3"/>
  <c r="S7" i="3"/>
  <c r="T26" i="3" s="1"/>
  <c r="R7" i="3"/>
  <c r="Q26" i="3" s="1"/>
  <c r="I7" i="3"/>
  <c r="F7" i="3"/>
  <c r="S6" i="3"/>
  <c r="T19" i="3" s="1"/>
  <c r="R6" i="3"/>
  <c r="Q19" i="3" s="1"/>
  <c r="I6" i="3"/>
  <c r="F6" i="3"/>
  <c r="S5" i="3"/>
  <c r="T17" i="3" s="1"/>
  <c r="R5" i="3"/>
  <c r="Q17" i="3" s="1"/>
  <c r="I5" i="3"/>
  <c r="F5" i="3"/>
  <c r="S4" i="3"/>
  <c r="T27" i="3" s="1"/>
  <c r="R4" i="3"/>
  <c r="Q27" i="3" s="1"/>
  <c r="I4" i="3"/>
  <c r="F4" i="3"/>
  <c r="S3" i="3"/>
  <c r="T24" i="3" s="1"/>
  <c r="R3" i="3"/>
  <c r="Q24" i="3" s="1"/>
  <c r="I3" i="3"/>
  <c r="F3" i="3"/>
  <c r="S2" i="3"/>
  <c r="R2" i="3"/>
  <c r="I2" i="3"/>
  <c r="O37" i="3" s="1"/>
  <c r="F2" i="3"/>
  <c r="Q347" i="2"/>
  <c r="J347" i="2"/>
  <c r="I347" i="2"/>
  <c r="D347" i="2"/>
  <c r="C347" i="2"/>
  <c r="P346" i="2"/>
  <c r="Q346" i="2" s="1"/>
  <c r="R346" i="2" s="1"/>
  <c r="Q345" i="2"/>
  <c r="R345" i="2" s="1"/>
  <c r="P345" i="2"/>
  <c r="P344" i="2"/>
  <c r="Q344" i="2" s="1"/>
  <c r="R344" i="2" s="1"/>
  <c r="P343" i="2"/>
  <c r="Q343" i="2" s="1"/>
  <c r="R343" i="2" s="1"/>
  <c r="R342" i="2"/>
  <c r="P342" i="2"/>
  <c r="Q342" i="2" s="1"/>
  <c r="Q341" i="2"/>
  <c r="R341" i="2" s="1"/>
  <c r="P341" i="2"/>
  <c r="P340" i="2"/>
  <c r="Q340" i="2" s="1"/>
  <c r="R340" i="2" s="1"/>
  <c r="P339" i="2"/>
  <c r="Q339" i="2" s="1"/>
  <c r="R339" i="2" s="1"/>
  <c r="P338" i="2"/>
  <c r="Q338" i="2" s="1"/>
  <c r="R338" i="2" s="1"/>
  <c r="Q337" i="2"/>
  <c r="R337" i="2" s="1"/>
  <c r="P337" i="2"/>
  <c r="P336" i="2"/>
  <c r="Q336" i="2" s="1"/>
  <c r="R336" i="2" s="1"/>
  <c r="P335" i="2"/>
  <c r="Q335" i="2" s="1"/>
  <c r="R335" i="2" s="1"/>
  <c r="R334" i="2"/>
  <c r="P334" i="2"/>
  <c r="Q334" i="2" s="1"/>
  <c r="Q333" i="2"/>
  <c r="R333" i="2" s="1"/>
  <c r="P333" i="2"/>
  <c r="Q332" i="2"/>
  <c r="R332" i="2" s="1"/>
  <c r="P332" i="2"/>
  <c r="P331" i="2"/>
  <c r="Q331" i="2" s="1"/>
  <c r="R331" i="2" s="1"/>
  <c r="R330" i="2"/>
  <c r="P330" i="2"/>
  <c r="Q330" i="2" s="1"/>
  <c r="Q329" i="2"/>
  <c r="R329" i="2" s="1"/>
  <c r="P329" i="2"/>
  <c r="P328" i="2"/>
  <c r="Q328" i="2" s="1"/>
  <c r="R328" i="2" s="1"/>
  <c r="P327" i="2"/>
  <c r="Q327" i="2" s="1"/>
  <c r="R327" i="2" s="1"/>
  <c r="P326" i="2"/>
  <c r="Q326" i="2" s="1"/>
  <c r="R326" i="2" s="1"/>
  <c r="Q325" i="2"/>
  <c r="R325" i="2" s="1"/>
  <c r="P325" i="2"/>
  <c r="Q324" i="2"/>
  <c r="R324" i="2" s="1"/>
  <c r="P324" i="2"/>
  <c r="P323" i="2"/>
  <c r="Q323" i="2" s="1"/>
  <c r="R323" i="2" s="1"/>
  <c r="P322" i="2"/>
  <c r="Q322" i="2" s="1"/>
  <c r="R322" i="2" s="1"/>
  <c r="R321" i="2"/>
  <c r="Q321" i="2"/>
  <c r="P321" i="2"/>
  <c r="P320" i="2"/>
  <c r="Q320" i="2" s="1"/>
  <c r="R320" i="2" s="1"/>
  <c r="P319" i="2"/>
  <c r="Q319" i="2" s="1"/>
  <c r="R319" i="2" s="1"/>
  <c r="R318" i="2"/>
  <c r="P318" i="2"/>
  <c r="Q318" i="2" s="1"/>
  <c r="Q317" i="2"/>
  <c r="R317" i="2" s="1"/>
  <c r="P317" i="2"/>
  <c r="Q316" i="2"/>
  <c r="R316" i="2" s="1"/>
  <c r="P316" i="2"/>
  <c r="P315" i="2"/>
  <c r="Q315" i="2" s="1"/>
  <c r="R315" i="2" s="1"/>
  <c r="P314" i="2"/>
  <c r="Q314" i="2" s="1"/>
  <c r="R314" i="2" s="1"/>
  <c r="Q313" i="2"/>
  <c r="R313" i="2" s="1"/>
  <c r="P313" i="2"/>
  <c r="P312" i="2"/>
  <c r="Q312" i="2" s="1"/>
  <c r="R312" i="2" s="1"/>
  <c r="P311" i="2"/>
  <c r="Q311" i="2" s="1"/>
  <c r="R311" i="2" s="1"/>
  <c r="R310" i="2"/>
  <c r="P310" i="2"/>
  <c r="Q310" i="2" s="1"/>
  <c r="Q309" i="2"/>
  <c r="R309" i="2" s="1"/>
  <c r="P309" i="2"/>
  <c r="Q308" i="2"/>
  <c r="R308" i="2" s="1"/>
  <c r="P308" i="2"/>
  <c r="P307" i="2"/>
  <c r="Q307" i="2" s="1"/>
  <c r="R307" i="2" s="1"/>
  <c r="P306" i="2"/>
  <c r="Q306" i="2" s="1"/>
  <c r="R306" i="2" s="1"/>
  <c r="Q305" i="2"/>
  <c r="R305" i="2" s="1"/>
  <c r="P305" i="2"/>
  <c r="P304" i="2"/>
  <c r="Q304" i="2" s="1"/>
  <c r="R304" i="2" s="1"/>
  <c r="P303" i="2"/>
  <c r="Q303" i="2" s="1"/>
  <c r="R303" i="2" s="1"/>
  <c r="R302" i="2"/>
  <c r="P302" i="2"/>
  <c r="Q302" i="2" s="1"/>
  <c r="Q301" i="2"/>
  <c r="R301" i="2" s="1"/>
  <c r="P301" i="2"/>
  <c r="Q300" i="2"/>
  <c r="R300" i="2" s="1"/>
  <c r="P300" i="2"/>
  <c r="P299" i="2"/>
  <c r="Q299" i="2" s="1"/>
  <c r="R299" i="2" s="1"/>
  <c r="R298" i="2"/>
  <c r="P298" i="2"/>
  <c r="Q298" i="2" s="1"/>
  <c r="Q297" i="2"/>
  <c r="R297" i="2" s="1"/>
  <c r="P297" i="2"/>
  <c r="P296" i="2"/>
  <c r="Q296" i="2" s="1"/>
  <c r="R296" i="2" s="1"/>
  <c r="P295" i="2"/>
  <c r="Q295" i="2" s="1"/>
  <c r="R295" i="2" s="1"/>
  <c r="R294" i="2"/>
  <c r="P294" i="2"/>
  <c r="Q294" i="2" s="1"/>
  <c r="Q293" i="2"/>
  <c r="R293" i="2" s="1"/>
  <c r="P293" i="2"/>
  <c r="Q292" i="2"/>
  <c r="R292" i="2" s="1"/>
  <c r="P292" i="2"/>
  <c r="P291" i="2"/>
  <c r="Q291" i="2" s="1"/>
  <c r="R291" i="2" s="1"/>
  <c r="P290" i="2"/>
  <c r="Q290" i="2" s="1"/>
  <c r="R290" i="2" s="1"/>
  <c r="R289" i="2"/>
  <c r="Q289" i="2"/>
  <c r="P289" i="2"/>
  <c r="P288" i="2"/>
  <c r="Q288" i="2" s="1"/>
  <c r="R288" i="2" s="1"/>
  <c r="P287" i="2"/>
  <c r="Q287" i="2" s="1"/>
  <c r="R287" i="2" s="1"/>
  <c r="R286" i="2"/>
  <c r="P286" i="2"/>
  <c r="Q286" i="2" s="1"/>
  <c r="Q285" i="2"/>
  <c r="R285" i="2" s="1"/>
  <c r="P285" i="2"/>
  <c r="Q284" i="2"/>
  <c r="R284" i="2" s="1"/>
  <c r="P284" i="2"/>
  <c r="P283" i="2"/>
  <c r="Q283" i="2" s="1"/>
  <c r="R283" i="2" s="1"/>
  <c r="P282" i="2"/>
  <c r="Q282" i="2" s="1"/>
  <c r="R282" i="2" s="1"/>
  <c r="Q281" i="2"/>
  <c r="R281" i="2" s="1"/>
  <c r="P281" i="2"/>
  <c r="P280" i="2"/>
  <c r="Q280" i="2" s="1"/>
  <c r="R280" i="2" s="1"/>
  <c r="P279" i="2"/>
  <c r="Q279" i="2" s="1"/>
  <c r="R279" i="2" s="1"/>
  <c r="R278" i="2"/>
  <c r="P278" i="2"/>
  <c r="Q278" i="2" s="1"/>
  <c r="Q277" i="2"/>
  <c r="R277" i="2" s="1"/>
  <c r="P277" i="2"/>
  <c r="Q276" i="2"/>
  <c r="R276" i="2" s="1"/>
  <c r="P276" i="2"/>
  <c r="P275" i="2"/>
  <c r="Q275" i="2" s="1"/>
  <c r="R275" i="2" s="1"/>
  <c r="P274" i="2"/>
  <c r="Q274" i="2" s="1"/>
  <c r="R274" i="2" s="1"/>
  <c r="Q273" i="2"/>
  <c r="R273" i="2" s="1"/>
  <c r="P273" i="2"/>
  <c r="P272" i="2"/>
  <c r="Q272" i="2" s="1"/>
  <c r="R272" i="2" s="1"/>
  <c r="P271" i="2"/>
  <c r="Q271" i="2" s="1"/>
  <c r="R271" i="2" s="1"/>
  <c r="R270" i="2"/>
  <c r="P270" i="2"/>
  <c r="Q270" i="2" s="1"/>
  <c r="Q269" i="2"/>
  <c r="R269" i="2" s="1"/>
  <c r="P269" i="2"/>
  <c r="Q268" i="2"/>
  <c r="R268" i="2" s="1"/>
  <c r="P268" i="2"/>
  <c r="P267" i="2"/>
  <c r="Q267" i="2" s="1"/>
  <c r="R267" i="2" s="1"/>
  <c r="R266" i="2"/>
  <c r="P266" i="2"/>
  <c r="Q266" i="2" s="1"/>
  <c r="Q265" i="2"/>
  <c r="R265" i="2" s="1"/>
  <c r="P265" i="2"/>
  <c r="P264" i="2"/>
  <c r="Q264" i="2" s="1"/>
  <c r="R264" i="2" s="1"/>
  <c r="P263" i="2"/>
  <c r="Q263" i="2" s="1"/>
  <c r="R263" i="2" s="1"/>
  <c r="R262" i="2"/>
  <c r="P262" i="2"/>
  <c r="Q262" i="2" s="1"/>
  <c r="Q261" i="2"/>
  <c r="R261" i="2" s="1"/>
  <c r="P261" i="2"/>
  <c r="Q260" i="2"/>
  <c r="R260" i="2" s="1"/>
  <c r="P260" i="2"/>
  <c r="P259" i="2"/>
  <c r="Q259" i="2" s="1"/>
  <c r="R259" i="2" s="1"/>
  <c r="P258" i="2"/>
  <c r="Q258" i="2" s="1"/>
  <c r="R258" i="2" s="1"/>
  <c r="R257" i="2"/>
  <c r="Q257" i="2"/>
  <c r="P257" i="2"/>
  <c r="P256" i="2"/>
  <c r="Q256" i="2" s="1"/>
  <c r="R256" i="2" s="1"/>
  <c r="P255" i="2"/>
  <c r="Q255" i="2" s="1"/>
  <c r="R255" i="2" s="1"/>
  <c r="R254" i="2"/>
  <c r="P254" i="2"/>
  <c r="Q254" i="2" s="1"/>
  <c r="Q253" i="2"/>
  <c r="R253" i="2" s="1"/>
  <c r="P253" i="2"/>
  <c r="Q252" i="2"/>
  <c r="R252" i="2" s="1"/>
  <c r="P252" i="2"/>
  <c r="Q251" i="2"/>
  <c r="R251" i="2" s="1"/>
  <c r="P251" i="2"/>
  <c r="R250" i="2"/>
  <c r="P250" i="2"/>
  <c r="Q250" i="2" s="1"/>
  <c r="R249" i="2"/>
  <c r="Q249" i="2"/>
  <c r="P249" i="2"/>
  <c r="P248" i="2"/>
  <c r="Q248" i="2" s="1"/>
  <c r="R248" i="2" s="1"/>
  <c r="P247" i="2"/>
  <c r="Q247" i="2" s="1"/>
  <c r="R247" i="2" s="1"/>
  <c r="P246" i="2"/>
  <c r="Q246" i="2" s="1"/>
  <c r="R246" i="2" s="1"/>
  <c r="Q245" i="2"/>
  <c r="R245" i="2" s="1"/>
  <c r="P245" i="2"/>
  <c r="Q244" i="2"/>
  <c r="R244" i="2" s="1"/>
  <c r="P244" i="2"/>
  <c r="Q243" i="2"/>
  <c r="R243" i="2" s="1"/>
  <c r="P243" i="2"/>
  <c r="P242" i="2"/>
  <c r="Q242" i="2" s="1"/>
  <c r="R242" i="2" s="1"/>
  <c r="Q241" i="2"/>
  <c r="R241" i="2" s="1"/>
  <c r="P241" i="2"/>
  <c r="P240" i="2"/>
  <c r="Q240" i="2" s="1"/>
  <c r="R240" i="2" s="1"/>
  <c r="P239" i="2"/>
  <c r="Q239" i="2" s="1"/>
  <c r="R239" i="2" s="1"/>
  <c r="R238" i="2"/>
  <c r="P238" i="2"/>
  <c r="Q238" i="2" s="1"/>
  <c r="Q237" i="2"/>
  <c r="R237" i="2" s="1"/>
  <c r="P237" i="2"/>
  <c r="Q236" i="2"/>
  <c r="R236" i="2" s="1"/>
  <c r="P236" i="2"/>
  <c r="Q235" i="2"/>
  <c r="R235" i="2" s="1"/>
  <c r="P235" i="2"/>
  <c r="R234" i="2"/>
  <c r="P234" i="2"/>
  <c r="Q234" i="2" s="1"/>
  <c r="R233" i="2"/>
  <c r="Q233" i="2"/>
  <c r="P233" i="2"/>
  <c r="P232" i="2"/>
  <c r="Q232" i="2" s="1"/>
  <c r="R232" i="2" s="1"/>
  <c r="P231" i="2"/>
  <c r="Q231" i="2" s="1"/>
  <c r="R231" i="2" s="1"/>
  <c r="P230" i="2"/>
  <c r="Q230" i="2" s="1"/>
  <c r="R230" i="2" s="1"/>
  <c r="Q229" i="2"/>
  <c r="R229" i="2" s="1"/>
  <c r="P229" i="2"/>
  <c r="P228" i="2"/>
  <c r="Q228" i="2" s="1"/>
  <c r="R228" i="2" s="1"/>
  <c r="Q227" i="2"/>
  <c r="R227" i="2" s="1"/>
  <c r="P227" i="2"/>
  <c r="P226" i="2"/>
  <c r="Q226" i="2" s="1"/>
  <c r="R226" i="2" s="1"/>
  <c r="Q225" i="2"/>
  <c r="R225" i="2" s="1"/>
  <c r="P225" i="2"/>
  <c r="P224" i="2"/>
  <c r="Q224" i="2" s="1"/>
  <c r="R224" i="2" s="1"/>
  <c r="P223" i="2"/>
  <c r="Q223" i="2" s="1"/>
  <c r="R223" i="2" s="1"/>
  <c r="R222" i="2"/>
  <c r="P222" i="2"/>
  <c r="Q222" i="2" s="1"/>
  <c r="Q221" i="2"/>
  <c r="R221" i="2" s="1"/>
  <c r="P221" i="2"/>
  <c r="Q220" i="2"/>
  <c r="R220" i="2" s="1"/>
  <c r="P220" i="2"/>
  <c r="Q219" i="2"/>
  <c r="R219" i="2" s="1"/>
  <c r="P219" i="2"/>
  <c r="R218" i="2"/>
  <c r="P218" i="2"/>
  <c r="Q218" i="2" s="1"/>
  <c r="R217" i="2"/>
  <c r="Q217" i="2"/>
  <c r="P217" i="2"/>
  <c r="P216" i="2"/>
  <c r="Q216" i="2" s="1"/>
  <c r="R216" i="2" s="1"/>
  <c r="P215" i="2"/>
  <c r="Q215" i="2" s="1"/>
  <c r="R215" i="2" s="1"/>
  <c r="R214" i="2"/>
  <c r="P214" i="2"/>
  <c r="Q214" i="2" s="1"/>
  <c r="Q213" i="2"/>
  <c r="R213" i="2" s="1"/>
  <c r="P213" i="2"/>
  <c r="Q212" i="2"/>
  <c r="R212" i="2" s="1"/>
  <c r="P212" i="2"/>
  <c r="Q211" i="2"/>
  <c r="R211" i="2" s="1"/>
  <c r="P211" i="2"/>
  <c r="R210" i="2"/>
  <c r="P210" i="2"/>
  <c r="Q210" i="2" s="1"/>
  <c r="R209" i="2"/>
  <c r="Q209" i="2"/>
  <c r="P209" i="2"/>
  <c r="P208" i="2"/>
  <c r="Q208" i="2" s="1"/>
  <c r="R208" i="2" s="1"/>
  <c r="P207" i="2"/>
  <c r="Q207" i="2" s="1"/>
  <c r="R207" i="2" s="1"/>
  <c r="R206" i="2"/>
  <c r="P206" i="2"/>
  <c r="Q206" i="2" s="1"/>
  <c r="Q205" i="2"/>
  <c r="R205" i="2" s="1"/>
  <c r="P205" i="2"/>
  <c r="Q204" i="2"/>
  <c r="R204" i="2" s="1"/>
  <c r="P204" i="2"/>
  <c r="Q203" i="2"/>
  <c r="R203" i="2" s="1"/>
  <c r="P203" i="2"/>
  <c r="R202" i="2"/>
  <c r="P202" i="2"/>
  <c r="Q202" i="2" s="1"/>
  <c r="R201" i="2"/>
  <c r="Q201" i="2"/>
  <c r="P201" i="2"/>
  <c r="P200" i="2"/>
  <c r="Q200" i="2" s="1"/>
  <c r="R200" i="2" s="1"/>
  <c r="P199" i="2"/>
  <c r="Q199" i="2" s="1"/>
  <c r="R199" i="2" s="1"/>
  <c r="R198" i="2"/>
  <c r="P198" i="2"/>
  <c r="Q198" i="2" s="1"/>
  <c r="Q197" i="2"/>
  <c r="R197" i="2" s="1"/>
  <c r="P197" i="2"/>
  <c r="Q196" i="2"/>
  <c r="R196" i="2" s="1"/>
  <c r="P196" i="2"/>
  <c r="Q195" i="2"/>
  <c r="R195" i="2" s="1"/>
  <c r="P195" i="2"/>
  <c r="R194" i="2"/>
  <c r="P194" i="2"/>
  <c r="Q194" i="2" s="1"/>
  <c r="R193" i="2"/>
  <c r="Q193" i="2"/>
  <c r="P193" i="2"/>
  <c r="P192" i="2"/>
  <c r="Q192" i="2" s="1"/>
  <c r="R192" i="2" s="1"/>
  <c r="P191" i="2"/>
  <c r="Q191" i="2" s="1"/>
  <c r="R191" i="2" s="1"/>
  <c r="R190" i="2"/>
  <c r="P190" i="2"/>
  <c r="Q190" i="2" s="1"/>
  <c r="Q189" i="2"/>
  <c r="R189" i="2" s="1"/>
  <c r="P189" i="2"/>
  <c r="Q188" i="2"/>
  <c r="R188" i="2" s="1"/>
  <c r="P188" i="2"/>
  <c r="Q187" i="2"/>
  <c r="R187" i="2" s="1"/>
  <c r="P187" i="2"/>
  <c r="R186" i="2"/>
  <c r="P186" i="2"/>
  <c r="Q186" i="2" s="1"/>
  <c r="R185" i="2"/>
  <c r="Q185" i="2"/>
  <c r="P185" i="2"/>
  <c r="P184" i="2"/>
  <c r="Q184" i="2" s="1"/>
  <c r="R184" i="2" s="1"/>
  <c r="P183" i="2"/>
  <c r="Q183" i="2" s="1"/>
  <c r="R183" i="2" s="1"/>
  <c r="R182" i="2"/>
  <c r="P182" i="2"/>
  <c r="Q182" i="2" s="1"/>
  <c r="Q181" i="2"/>
  <c r="R181" i="2" s="1"/>
  <c r="P181" i="2"/>
  <c r="Q180" i="2"/>
  <c r="R180" i="2" s="1"/>
  <c r="P180" i="2"/>
  <c r="Q179" i="2"/>
  <c r="R179" i="2" s="1"/>
  <c r="P179" i="2"/>
  <c r="R178" i="2"/>
  <c r="P178" i="2"/>
  <c r="Q178" i="2" s="1"/>
  <c r="R177" i="2"/>
  <c r="Q177" i="2"/>
  <c r="P177" i="2"/>
  <c r="P176" i="2"/>
  <c r="Q176" i="2" s="1"/>
  <c r="R176" i="2" s="1"/>
  <c r="P175" i="2"/>
  <c r="Q175" i="2" s="1"/>
  <c r="R175" i="2" s="1"/>
  <c r="R174" i="2"/>
  <c r="P174" i="2"/>
  <c r="Q174" i="2" s="1"/>
  <c r="Q173" i="2"/>
  <c r="R173" i="2" s="1"/>
  <c r="P173" i="2"/>
  <c r="Q172" i="2"/>
  <c r="R172" i="2" s="1"/>
  <c r="P172" i="2"/>
  <c r="Q171" i="2"/>
  <c r="R171" i="2" s="1"/>
  <c r="P171" i="2"/>
  <c r="R170" i="2"/>
  <c r="P170" i="2"/>
  <c r="Q170" i="2" s="1"/>
  <c r="R169" i="2"/>
  <c r="Q169" i="2"/>
  <c r="P169" i="2"/>
  <c r="P168" i="2"/>
  <c r="Q168" i="2" s="1"/>
  <c r="R168" i="2" s="1"/>
  <c r="P167" i="2"/>
  <c r="Q167" i="2" s="1"/>
  <c r="R167" i="2" s="1"/>
  <c r="R166" i="2"/>
  <c r="P166" i="2"/>
  <c r="Q166" i="2" s="1"/>
  <c r="Q165" i="2"/>
  <c r="R165" i="2" s="1"/>
  <c r="P165" i="2"/>
  <c r="Q164" i="2"/>
  <c r="R164" i="2" s="1"/>
  <c r="P164" i="2"/>
  <c r="Q163" i="2"/>
  <c r="R163" i="2" s="1"/>
  <c r="P163" i="2"/>
  <c r="R162" i="2"/>
  <c r="P162" i="2"/>
  <c r="Q162" i="2" s="1"/>
  <c r="R161" i="2"/>
  <c r="Q161" i="2"/>
  <c r="P161" i="2"/>
  <c r="P160" i="2"/>
  <c r="Q160" i="2" s="1"/>
  <c r="R160" i="2" s="1"/>
  <c r="P159" i="2"/>
  <c r="Q159" i="2" s="1"/>
  <c r="R159" i="2" s="1"/>
  <c r="R158" i="2"/>
  <c r="P158" i="2"/>
  <c r="Q158" i="2" s="1"/>
  <c r="Q157" i="2"/>
  <c r="R157" i="2" s="1"/>
  <c r="P157" i="2"/>
  <c r="Q156" i="2"/>
  <c r="R156" i="2" s="1"/>
  <c r="P156" i="2"/>
  <c r="Q155" i="2"/>
  <c r="R155" i="2" s="1"/>
  <c r="P155" i="2"/>
  <c r="R154" i="2"/>
  <c r="P154" i="2"/>
  <c r="Q154" i="2" s="1"/>
  <c r="R153" i="2"/>
  <c r="Q153" i="2"/>
  <c r="P153" i="2"/>
  <c r="P152" i="2"/>
  <c r="Q152" i="2" s="1"/>
  <c r="R152" i="2" s="1"/>
  <c r="P151" i="2"/>
  <c r="Q151" i="2" s="1"/>
  <c r="R151" i="2" s="1"/>
  <c r="R150" i="2"/>
  <c r="P150" i="2"/>
  <c r="Q150" i="2" s="1"/>
  <c r="Q149" i="2"/>
  <c r="R149" i="2" s="1"/>
  <c r="P149" i="2"/>
  <c r="Q148" i="2"/>
  <c r="R148" i="2" s="1"/>
  <c r="P148" i="2"/>
  <c r="Q147" i="2"/>
  <c r="R147" i="2" s="1"/>
  <c r="P147" i="2"/>
  <c r="R146" i="2"/>
  <c r="P146" i="2"/>
  <c r="Q146" i="2" s="1"/>
  <c r="R145" i="2"/>
  <c r="Q145" i="2"/>
  <c r="P145" i="2"/>
  <c r="P144" i="2"/>
  <c r="Q144" i="2" s="1"/>
  <c r="R144" i="2" s="1"/>
  <c r="P143" i="2"/>
  <c r="Q143" i="2" s="1"/>
  <c r="R143" i="2" s="1"/>
  <c r="R142" i="2"/>
  <c r="P142" i="2"/>
  <c r="Q142" i="2" s="1"/>
  <c r="Q141" i="2"/>
  <c r="R141" i="2" s="1"/>
  <c r="P141" i="2"/>
  <c r="Q140" i="2"/>
  <c r="R140" i="2" s="1"/>
  <c r="P140" i="2"/>
  <c r="Q139" i="2"/>
  <c r="R139" i="2" s="1"/>
  <c r="P139" i="2"/>
  <c r="R138" i="2"/>
  <c r="P138" i="2"/>
  <c r="Q138" i="2" s="1"/>
  <c r="R137" i="2"/>
  <c r="Q137" i="2"/>
  <c r="P137" i="2"/>
  <c r="P136" i="2"/>
  <c r="Q136" i="2" s="1"/>
  <c r="R136" i="2" s="1"/>
  <c r="P135" i="2"/>
  <c r="Q135" i="2" s="1"/>
  <c r="R135" i="2" s="1"/>
  <c r="R134" i="2"/>
  <c r="P134" i="2"/>
  <c r="Q134" i="2" s="1"/>
  <c r="Q133" i="2"/>
  <c r="R133" i="2" s="1"/>
  <c r="P133" i="2"/>
  <c r="Q132" i="2"/>
  <c r="R132" i="2" s="1"/>
  <c r="P132" i="2"/>
  <c r="Q131" i="2"/>
  <c r="R131" i="2" s="1"/>
  <c r="P131" i="2"/>
  <c r="R130" i="2"/>
  <c r="P130" i="2"/>
  <c r="Q130" i="2" s="1"/>
  <c r="R129" i="2"/>
  <c r="Q129" i="2"/>
  <c r="P129" i="2"/>
  <c r="P128" i="2"/>
  <c r="Q128" i="2" s="1"/>
  <c r="R128" i="2" s="1"/>
  <c r="P127" i="2"/>
  <c r="Q127" i="2" s="1"/>
  <c r="R127" i="2" s="1"/>
  <c r="R126" i="2"/>
  <c r="P126" i="2"/>
  <c r="Q126" i="2" s="1"/>
  <c r="Q125" i="2"/>
  <c r="R125" i="2" s="1"/>
  <c r="P125" i="2"/>
  <c r="Q124" i="2"/>
  <c r="R124" i="2" s="1"/>
  <c r="P124" i="2"/>
  <c r="Q123" i="2"/>
  <c r="R123" i="2" s="1"/>
  <c r="P123" i="2"/>
  <c r="R122" i="2"/>
  <c r="P122" i="2"/>
  <c r="Q122" i="2" s="1"/>
  <c r="R121" i="2"/>
  <c r="Q121" i="2"/>
  <c r="P121" i="2"/>
  <c r="P120" i="2"/>
  <c r="Q120" i="2" s="1"/>
  <c r="R120" i="2" s="1"/>
  <c r="P119" i="2"/>
  <c r="Q119" i="2" s="1"/>
  <c r="R119" i="2" s="1"/>
  <c r="R118" i="2"/>
  <c r="P118" i="2"/>
  <c r="Q118" i="2" s="1"/>
  <c r="Q117" i="2"/>
  <c r="R117" i="2" s="1"/>
  <c r="P117" i="2"/>
  <c r="Q116" i="2"/>
  <c r="R116" i="2" s="1"/>
  <c r="P116" i="2"/>
  <c r="Q115" i="2"/>
  <c r="R115" i="2" s="1"/>
  <c r="P115" i="2"/>
  <c r="R114" i="2"/>
  <c r="P114" i="2"/>
  <c r="Q114" i="2" s="1"/>
  <c r="R113" i="2"/>
  <c r="Q113" i="2"/>
  <c r="P113" i="2"/>
  <c r="P112" i="2"/>
  <c r="Q112" i="2" s="1"/>
  <c r="R112" i="2" s="1"/>
  <c r="P111" i="2"/>
  <c r="Q111" i="2" s="1"/>
  <c r="R111" i="2" s="1"/>
  <c r="R110" i="2"/>
  <c r="P110" i="2"/>
  <c r="Q110" i="2" s="1"/>
  <c r="Q109" i="2"/>
  <c r="R109" i="2" s="1"/>
  <c r="P109" i="2"/>
  <c r="Q108" i="2"/>
  <c r="R108" i="2" s="1"/>
  <c r="P108" i="2"/>
  <c r="Q107" i="2"/>
  <c r="R107" i="2" s="1"/>
  <c r="P107" i="2"/>
  <c r="R106" i="2"/>
  <c r="P106" i="2"/>
  <c r="Q106" i="2" s="1"/>
  <c r="R105" i="2"/>
  <c r="Q105" i="2"/>
  <c r="P105" i="2"/>
  <c r="P104" i="2"/>
  <c r="Q104" i="2" s="1"/>
  <c r="R104" i="2" s="1"/>
  <c r="P103" i="2"/>
  <c r="Q103" i="2" s="1"/>
  <c r="R103" i="2" s="1"/>
  <c r="R102" i="2"/>
  <c r="P102" i="2"/>
  <c r="Q102" i="2" s="1"/>
  <c r="Q101" i="2"/>
  <c r="R101" i="2" s="1"/>
  <c r="P101" i="2"/>
  <c r="Q100" i="2"/>
  <c r="R100" i="2" s="1"/>
  <c r="P100" i="2"/>
  <c r="Q99" i="2"/>
  <c r="R99" i="2" s="1"/>
  <c r="P99" i="2"/>
  <c r="R98" i="2"/>
  <c r="P98" i="2"/>
  <c r="Q98" i="2" s="1"/>
  <c r="R97" i="2"/>
  <c r="Q97" i="2"/>
  <c r="P97" i="2"/>
  <c r="P96" i="2"/>
  <c r="Q96" i="2" s="1"/>
  <c r="R96" i="2" s="1"/>
  <c r="P95" i="2"/>
  <c r="Q95" i="2" s="1"/>
  <c r="R95" i="2" s="1"/>
  <c r="R94" i="2"/>
  <c r="P94" i="2"/>
  <c r="Q94" i="2" s="1"/>
  <c r="Q93" i="2"/>
  <c r="R93" i="2" s="1"/>
  <c r="P93" i="2"/>
  <c r="Q92" i="2"/>
  <c r="R92" i="2" s="1"/>
  <c r="P92" i="2"/>
  <c r="Q91" i="2"/>
  <c r="R91" i="2" s="1"/>
  <c r="P91" i="2"/>
  <c r="R90" i="2"/>
  <c r="P90" i="2"/>
  <c r="Q90" i="2" s="1"/>
  <c r="R89" i="2"/>
  <c r="Q89" i="2"/>
  <c r="P89" i="2"/>
  <c r="P88" i="2"/>
  <c r="Q88" i="2" s="1"/>
  <c r="R88" i="2" s="1"/>
  <c r="P87" i="2"/>
  <c r="Q87" i="2" s="1"/>
  <c r="R87" i="2" s="1"/>
  <c r="R86" i="2"/>
  <c r="P86" i="2"/>
  <c r="Q86" i="2" s="1"/>
  <c r="Q85" i="2"/>
  <c r="R85" i="2" s="1"/>
  <c r="P85" i="2"/>
  <c r="Q84" i="2"/>
  <c r="R84" i="2" s="1"/>
  <c r="P84" i="2"/>
  <c r="Q83" i="2"/>
  <c r="R83" i="2" s="1"/>
  <c r="P83" i="2"/>
  <c r="R82" i="2"/>
  <c r="P82" i="2"/>
  <c r="Q82" i="2" s="1"/>
  <c r="R81" i="2"/>
  <c r="Q81" i="2"/>
  <c r="P81" i="2"/>
  <c r="P80" i="2"/>
  <c r="Q80" i="2" s="1"/>
  <c r="R80" i="2" s="1"/>
  <c r="P79" i="2"/>
  <c r="Q79" i="2" s="1"/>
  <c r="R79" i="2" s="1"/>
  <c r="R78" i="2"/>
  <c r="P78" i="2"/>
  <c r="Q78" i="2" s="1"/>
  <c r="Q77" i="2"/>
  <c r="R77" i="2" s="1"/>
  <c r="P77" i="2"/>
  <c r="Q76" i="2"/>
  <c r="R76" i="2" s="1"/>
  <c r="P76" i="2"/>
  <c r="Q75" i="2"/>
  <c r="R75" i="2" s="1"/>
  <c r="P75" i="2"/>
  <c r="R74" i="2"/>
  <c r="P74" i="2"/>
  <c r="Q74" i="2" s="1"/>
  <c r="R73" i="2"/>
  <c r="Q73" i="2"/>
  <c r="P73" i="2"/>
  <c r="P72" i="2"/>
  <c r="Q72" i="2" s="1"/>
  <c r="R72" i="2" s="1"/>
  <c r="P71" i="2"/>
  <c r="Q71" i="2" s="1"/>
  <c r="R71" i="2" s="1"/>
  <c r="R70" i="2"/>
  <c r="P70" i="2"/>
  <c r="Q70" i="2" s="1"/>
  <c r="Q69" i="2"/>
  <c r="R69" i="2" s="1"/>
  <c r="P69" i="2"/>
  <c r="Q68" i="2"/>
  <c r="R68" i="2" s="1"/>
  <c r="P68" i="2"/>
  <c r="Q67" i="2"/>
  <c r="R67" i="2" s="1"/>
  <c r="P67" i="2"/>
  <c r="R66" i="2"/>
  <c r="P66" i="2"/>
  <c r="Q66" i="2" s="1"/>
  <c r="R65" i="2"/>
  <c r="Q65" i="2"/>
  <c r="P65" i="2"/>
  <c r="P64" i="2"/>
  <c r="Q64" i="2" s="1"/>
  <c r="R64" i="2" s="1"/>
  <c r="P63" i="2"/>
  <c r="Q63" i="2" s="1"/>
  <c r="R63" i="2" s="1"/>
  <c r="R62" i="2"/>
  <c r="P62" i="2"/>
  <c r="Q62" i="2" s="1"/>
  <c r="Q61" i="2"/>
  <c r="R61" i="2" s="1"/>
  <c r="P61" i="2"/>
  <c r="Q60" i="2"/>
  <c r="R60" i="2" s="1"/>
  <c r="P60" i="2"/>
  <c r="Q59" i="2"/>
  <c r="R59" i="2" s="1"/>
  <c r="P59" i="2"/>
  <c r="R58" i="2"/>
  <c r="P58" i="2"/>
  <c r="Q58" i="2" s="1"/>
  <c r="R57" i="2"/>
  <c r="Q57" i="2"/>
  <c r="P57" i="2"/>
  <c r="P56" i="2"/>
  <c r="Q56" i="2" s="1"/>
  <c r="R56" i="2" s="1"/>
  <c r="P55" i="2"/>
  <c r="Q55" i="2" s="1"/>
  <c r="R55" i="2" s="1"/>
  <c r="R54" i="2"/>
  <c r="P54" i="2"/>
  <c r="Q54" i="2" s="1"/>
  <c r="Q53" i="2"/>
  <c r="R53" i="2" s="1"/>
  <c r="P53" i="2"/>
  <c r="Q52" i="2"/>
  <c r="R52" i="2" s="1"/>
  <c r="P52" i="2"/>
  <c r="Q51" i="2"/>
  <c r="R51" i="2" s="1"/>
  <c r="P51" i="2"/>
  <c r="R50" i="2"/>
  <c r="P50" i="2"/>
  <c r="Q50" i="2" s="1"/>
  <c r="R49" i="2"/>
  <c r="Q49" i="2"/>
  <c r="P49" i="2"/>
  <c r="Q48" i="2"/>
  <c r="R48" i="2" s="1"/>
  <c r="P48" i="2"/>
  <c r="P47" i="2"/>
  <c r="Q47" i="2" s="1"/>
  <c r="R47" i="2" s="1"/>
  <c r="P46" i="2"/>
  <c r="Q46" i="2" s="1"/>
  <c r="R46" i="2" s="1"/>
  <c r="Q45" i="2"/>
  <c r="R45" i="2" s="1"/>
  <c r="P45" i="2"/>
  <c r="Q44" i="2"/>
  <c r="R44" i="2" s="1"/>
  <c r="P44" i="2"/>
  <c r="Q43" i="2"/>
  <c r="R43" i="2" s="1"/>
  <c r="P43" i="2"/>
  <c r="R42" i="2"/>
  <c r="P42" i="2"/>
  <c r="Q42" i="2" s="1"/>
  <c r="R41" i="2"/>
  <c r="Q41" i="2"/>
  <c r="P41" i="2"/>
  <c r="R40" i="2"/>
  <c r="Q40" i="2"/>
  <c r="P40" i="2"/>
  <c r="P39" i="2"/>
  <c r="Q39" i="2" s="1"/>
  <c r="R39" i="2" s="1"/>
  <c r="P38" i="2"/>
  <c r="Q38" i="2" s="1"/>
  <c r="R38" i="2" s="1"/>
  <c r="Q37" i="2"/>
  <c r="R37" i="2" s="1"/>
  <c r="P37" i="2"/>
  <c r="P36" i="2"/>
  <c r="Q36" i="2" s="1"/>
  <c r="R36" i="2" s="1"/>
  <c r="P35" i="2"/>
  <c r="Q35" i="2" s="1"/>
  <c r="R35" i="2" s="1"/>
  <c r="P34" i="2"/>
  <c r="Q34" i="2" s="1"/>
  <c r="R34" i="2" s="1"/>
  <c r="R33" i="2"/>
  <c r="Q33" i="2"/>
  <c r="P33" i="2"/>
  <c r="P32" i="2"/>
  <c r="Q32" i="2" s="1"/>
  <c r="R32" i="2" s="1"/>
  <c r="P31" i="2"/>
  <c r="Q31" i="2" s="1"/>
  <c r="R31" i="2" s="1"/>
  <c r="R30" i="2"/>
  <c r="P30" i="2"/>
  <c r="Q30" i="2" s="1"/>
  <c r="Q29" i="2"/>
  <c r="R29" i="2" s="1"/>
  <c r="P29" i="2"/>
  <c r="P28" i="2"/>
  <c r="Q28" i="2" s="1"/>
  <c r="R28" i="2" s="1"/>
  <c r="Q27" i="2"/>
  <c r="R27" i="2" s="1"/>
  <c r="P27" i="2"/>
  <c r="P26" i="2"/>
  <c r="Q26" i="2" s="1"/>
  <c r="R26" i="2" s="1"/>
  <c r="Q25" i="2"/>
  <c r="R25" i="2" s="1"/>
  <c r="P25" i="2"/>
  <c r="R24" i="2"/>
  <c r="Q24" i="2"/>
  <c r="P24" i="2"/>
  <c r="P23" i="2"/>
  <c r="Q23" i="2" s="1"/>
  <c r="R23" i="2" s="1"/>
  <c r="P22" i="2"/>
  <c r="Q22" i="2" s="1"/>
  <c r="R22" i="2" s="1"/>
  <c r="Q21" i="2"/>
  <c r="R21" i="2" s="1"/>
  <c r="P21" i="2"/>
  <c r="P20" i="2"/>
  <c r="Q20" i="2" s="1"/>
  <c r="R20" i="2" s="1"/>
  <c r="P19" i="2"/>
  <c r="Q19" i="2" s="1"/>
  <c r="R19" i="2" s="1"/>
  <c r="P18" i="2"/>
  <c r="Q18" i="2" s="1"/>
  <c r="R18" i="2" s="1"/>
  <c r="R17" i="2"/>
  <c r="Q17" i="2"/>
  <c r="P17" i="2"/>
  <c r="P16" i="2"/>
  <c r="Q16" i="2" s="1"/>
  <c r="R16" i="2" s="1"/>
  <c r="P15" i="2"/>
  <c r="Q15" i="2" s="1"/>
  <c r="R15" i="2" s="1"/>
  <c r="R14" i="2"/>
  <c r="P14" i="2"/>
  <c r="Q14" i="2" s="1"/>
  <c r="Q13" i="2"/>
  <c r="R13" i="2" s="1"/>
  <c r="P13" i="2"/>
  <c r="P12" i="2"/>
  <c r="Q12" i="2" s="1"/>
  <c r="R12" i="2" s="1"/>
  <c r="R11" i="2"/>
  <c r="Q11" i="2"/>
  <c r="P11" i="2"/>
  <c r="R10" i="2"/>
  <c r="P10" i="2"/>
  <c r="Q10" i="2" s="1"/>
  <c r="Q9" i="2"/>
  <c r="R9" i="2" s="1"/>
  <c r="P9" i="2"/>
  <c r="P8" i="2"/>
  <c r="Q8" i="2" s="1"/>
  <c r="R8" i="2" s="1"/>
  <c r="Q7" i="2"/>
  <c r="R7" i="2" s="1"/>
  <c r="P7" i="2"/>
  <c r="R6" i="2"/>
  <c r="Q6" i="2"/>
  <c r="P6" i="2"/>
  <c r="Q5" i="2"/>
  <c r="R5" i="2" s="1"/>
  <c r="P5" i="2"/>
  <c r="P4" i="2"/>
  <c r="Q4" i="2" s="1"/>
  <c r="R4" i="2" s="1"/>
  <c r="R351" i="1"/>
  <c r="J347" i="1"/>
  <c r="I347" i="1"/>
  <c r="D347" i="1"/>
  <c r="C347" i="1"/>
  <c r="AB346" i="1"/>
  <c r="V346" i="1"/>
  <c r="W346" i="1" s="1"/>
  <c r="T346" i="1"/>
  <c r="S346" i="1"/>
  <c r="R346" i="1"/>
  <c r="Q346" i="1"/>
  <c r="P346" i="1"/>
  <c r="O346" i="1"/>
  <c r="AB345" i="1"/>
  <c r="V345" i="1"/>
  <c r="W345" i="1" s="1"/>
  <c r="T345" i="1"/>
  <c r="S345" i="1"/>
  <c r="X345" i="1" s="1"/>
  <c r="R345" i="1"/>
  <c r="Q345" i="1"/>
  <c r="P345" i="1"/>
  <c r="O345" i="1"/>
  <c r="AB344" i="1"/>
  <c r="X344" i="1"/>
  <c r="V344" i="1"/>
  <c r="W344" i="1" s="1"/>
  <c r="T344" i="1"/>
  <c r="S344" i="1"/>
  <c r="R344" i="1"/>
  <c r="Q344" i="1"/>
  <c r="P344" i="1"/>
  <c r="O344" i="1"/>
  <c r="AB343" i="1"/>
  <c r="V343" i="1"/>
  <c r="W343" i="1" s="1"/>
  <c r="T343" i="1"/>
  <c r="S343" i="1"/>
  <c r="R343" i="1"/>
  <c r="Q343" i="1"/>
  <c r="P343" i="1"/>
  <c r="O343" i="1"/>
  <c r="AB342" i="1"/>
  <c r="V342" i="1"/>
  <c r="W342" i="1" s="1"/>
  <c r="T342" i="1"/>
  <c r="S342" i="1"/>
  <c r="R342" i="1"/>
  <c r="Q342" i="1"/>
  <c r="P342" i="1"/>
  <c r="O342" i="1"/>
  <c r="AB341" i="1"/>
  <c r="V341" i="1"/>
  <c r="W341" i="1" s="1"/>
  <c r="T341" i="1"/>
  <c r="S341" i="1"/>
  <c r="X341" i="1" s="1"/>
  <c r="R341" i="1"/>
  <c r="Q341" i="1"/>
  <c r="P341" i="1"/>
  <c r="O341" i="1"/>
  <c r="AB340" i="1"/>
  <c r="V340" i="1"/>
  <c r="W340" i="1" s="1"/>
  <c r="X340" i="1" s="1"/>
  <c r="T340" i="1"/>
  <c r="S340" i="1"/>
  <c r="R340" i="1"/>
  <c r="Q340" i="1"/>
  <c r="P340" i="1"/>
  <c r="O340" i="1"/>
  <c r="AB339" i="1"/>
  <c r="V339" i="1"/>
  <c r="W339" i="1" s="1"/>
  <c r="T339" i="1"/>
  <c r="S339" i="1"/>
  <c r="R339" i="1"/>
  <c r="Q339" i="1"/>
  <c r="P339" i="1"/>
  <c r="O339" i="1"/>
  <c r="AB338" i="1"/>
  <c r="V338" i="1"/>
  <c r="W338" i="1" s="1"/>
  <c r="T338" i="1"/>
  <c r="S338" i="1"/>
  <c r="R338" i="1"/>
  <c r="Q338" i="1"/>
  <c r="P338" i="1"/>
  <c r="O338" i="1"/>
  <c r="AB337" i="1"/>
  <c r="V337" i="1"/>
  <c r="W337" i="1" s="1"/>
  <c r="T337" i="1"/>
  <c r="S337" i="1"/>
  <c r="R337" i="1"/>
  <c r="Q337" i="1"/>
  <c r="P337" i="1"/>
  <c r="O337" i="1"/>
  <c r="AB336" i="1"/>
  <c r="V336" i="1"/>
  <c r="W336" i="1" s="1"/>
  <c r="X336" i="1" s="1"/>
  <c r="T336" i="1"/>
  <c r="S336" i="1"/>
  <c r="R336" i="1"/>
  <c r="Q336" i="1"/>
  <c r="P336" i="1"/>
  <c r="O336" i="1"/>
  <c r="AB335" i="1"/>
  <c r="V335" i="1"/>
  <c r="W335" i="1" s="1"/>
  <c r="T335" i="1"/>
  <c r="S335" i="1"/>
  <c r="R335" i="1"/>
  <c r="Q335" i="1"/>
  <c r="P335" i="1"/>
  <c r="O335" i="1"/>
  <c r="AB334" i="1"/>
  <c r="V334" i="1"/>
  <c r="W334" i="1" s="1"/>
  <c r="T334" i="1"/>
  <c r="S334" i="1"/>
  <c r="R334" i="1"/>
  <c r="Q334" i="1"/>
  <c r="P334" i="1"/>
  <c r="O334" i="1"/>
  <c r="AB333" i="1"/>
  <c r="V333" i="1"/>
  <c r="W333" i="1" s="1"/>
  <c r="T333" i="1"/>
  <c r="S333" i="1"/>
  <c r="R333" i="1"/>
  <c r="Q333" i="1"/>
  <c r="P333" i="1"/>
  <c r="O333" i="1"/>
  <c r="AB332" i="1"/>
  <c r="X332" i="1"/>
  <c r="V332" i="1"/>
  <c r="W332" i="1" s="1"/>
  <c r="T332" i="1"/>
  <c r="S332" i="1"/>
  <c r="R332" i="1"/>
  <c r="Q332" i="1"/>
  <c r="P332" i="1"/>
  <c r="O332" i="1"/>
  <c r="AB331" i="1"/>
  <c r="V331" i="1"/>
  <c r="W331" i="1" s="1"/>
  <c r="T331" i="1"/>
  <c r="S331" i="1"/>
  <c r="R331" i="1"/>
  <c r="Q331" i="1"/>
  <c r="X331" i="1" s="1"/>
  <c r="P331" i="1"/>
  <c r="O331" i="1"/>
  <c r="AB330" i="1"/>
  <c r="V330" i="1"/>
  <c r="W330" i="1" s="1"/>
  <c r="T330" i="1"/>
  <c r="S330" i="1"/>
  <c r="R330" i="1"/>
  <c r="Q330" i="1"/>
  <c r="X330" i="1" s="1"/>
  <c r="P330" i="1"/>
  <c r="O330" i="1"/>
  <c r="AB329" i="1"/>
  <c r="V329" i="1"/>
  <c r="W329" i="1" s="1"/>
  <c r="T329" i="1"/>
  <c r="S329" i="1"/>
  <c r="R329" i="1"/>
  <c r="Q329" i="1"/>
  <c r="P329" i="1"/>
  <c r="O329" i="1"/>
  <c r="AB328" i="1"/>
  <c r="X328" i="1"/>
  <c r="V328" i="1"/>
  <c r="W328" i="1" s="1"/>
  <c r="T328" i="1"/>
  <c r="S328" i="1"/>
  <c r="R328" i="1"/>
  <c r="Q328" i="1"/>
  <c r="P328" i="1"/>
  <c r="O328" i="1"/>
  <c r="AB327" i="1"/>
  <c r="V327" i="1"/>
  <c r="W327" i="1" s="1"/>
  <c r="T327" i="1"/>
  <c r="S327" i="1"/>
  <c r="R327" i="1"/>
  <c r="Q327" i="1"/>
  <c r="X327" i="1" s="1"/>
  <c r="P327" i="1"/>
  <c r="O327" i="1"/>
  <c r="AB326" i="1"/>
  <c r="V326" i="1"/>
  <c r="W326" i="1" s="1"/>
  <c r="T326" i="1"/>
  <c r="S326" i="1"/>
  <c r="R326" i="1"/>
  <c r="Q326" i="1"/>
  <c r="X326" i="1" s="1"/>
  <c r="P326" i="1"/>
  <c r="O326" i="1"/>
  <c r="AB325" i="1"/>
  <c r="V325" i="1"/>
  <c r="W325" i="1" s="1"/>
  <c r="T325" i="1"/>
  <c r="S325" i="1"/>
  <c r="R325" i="1"/>
  <c r="Q325" i="1"/>
  <c r="P325" i="1"/>
  <c r="O325" i="1"/>
  <c r="AB324" i="1"/>
  <c r="V324" i="1"/>
  <c r="W324" i="1" s="1"/>
  <c r="X324" i="1" s="1"/>
  <c r="T324" i="1"/>
  <c r="S324" i="1"/>
  <c r="R324" i="1"/>
  <c r="Q324" i="1"/>
  <c r="P324" i="1"/>
  <c r="O324" i="1"/>
  <c r="AB323" i="1"/>
  <c r="V323" i="1"/>
  <c r="W323" i="1" s="1"/>
  <c r="T323" i="1"/>
  <c r="S323" i="1"/>
  <c r="R323" i="1"/>
  <c r="Q323" i="1"/>
  <c r="X323" i="1" s="1"/>
  <c r="P323" i="1"/>
  <c r="O323" i="1"/>
  <c r="AB322" i="1"/>
  <c r="V322" i="1"/>
  <c r="W322" i="1" s="1"/>
  <c r="T322" i="1"/>
  <c r="S322" i="1"/>
  <c r="R322" i="1"/>
  <c r="Q322" i="1"/>
  <c r="X322" i="1" s="1"/>
  <c r="P322" i="1"/>
  <c r="O322" i="1"/>
  <c r="AB321" i="1"/>
  <c r="V321" i="1"/>
  <c r="W321" i="1" s="1"/>
  <c r="T321" i="1"/>
  <c r="S321" i="1"/>
  <c r="X321" i="1" s="1"/>
  <c r="R321" i="1"/>
  <c r="Q321" i="1"/>
  <c r="P321" i="1"/>
  <c r="O321" i="1"/>
  <c r="AB320" i="1"/>
  <c r="X320" i="1"/>
  <c r="V320" i="1"/>
  <c r="W320" i="1" s="1"/>
  <c r="T320" i="1"/>
  <c r="S320" i="1"/>
  <c r="R320" i="1"/>
  <c r="Q320" i="1"/>
  <c r="P320" i="1"/>
  <c r="O320" i="1"/>
  <c r="AB319" i="1"/>
  <c r="V319" i="1"/>
  <c r="W319" i="1" s="1"/>
  <c r="T319" i="1"/>
  <c r="S319" i="1"/>
  <c r="R319" i="1"/>
  <c r="Q319" i="1"/>
  <c r="X319" i="1" s="1"/>
  <c r="P319" i="1"/>
  <c r="O319" i="1"/>
  <c r="AB318" i="1"/>
  <c r="V318" i="1"/>
  <c r="W318" i="1" s="1"/>
  <c r="T318" i="1"/>
  <c r="S318" i="1"/>
  <c r="R318" i="1"/>
  <c r="Q318" i="1"/>
  <c r="X318" i="1" s="1"/>
  <c r="P318" i="1"/>
  <c r="O318" i="1"/>
  <c r="AB317" i="1"/>
  <c r="V317" i="1"/>
  <c r="W317" i="1" s="1"/>
  <c r="T317" i="1"/>
  <c r="S317" i="1"/>
  <c r="X317" i="1" s="1"/>
  <c r="R317" i="1"/>
  <c r="Q317" i="1"/>
  <c r="P317" i="1"/>
  <c r="O317" i="1"/>
  <c r="AB316" i="1"/>
  <c r="V316" i="1"/>
  <c r="W316" i="1" s="1"/>
  <c r="X316" i="1" s="1"/>
  <c r="T316" i="1"/>
  <c r="S316" i="1"/>
  <c r="R316" i="1"/>
  <c r="Q316" i="1"/>
  <c r="P316" i="1"/>
  <c r="O316" i="1"/>
  <c r="AB315" i="1"/>
  <c r="V315" i="1"/>
  <c r="W315" i="1" s="1"/>
  <c r="T315" i="1"/>
  <c r="S315" i="1"/>
  <c r="R315" i="1"/>
  <c r="Q315" i="1"/>
  <c r="P315" i="1"/>
  <c r="O315" i="1"/>
  <c r="AB314" i="1"/>
  <c r="W314" i="1"/>
  <c r="V314" i="1"/>
  <c r="T314" i="1"/>
  <c r="S314" i="1"/>
  <c r="R314" i="1"/>
  <c r="Q314" i="1"/>
  <c r="P314" i="1"/>
  <c r="O314" i="1"/>
  <c r="AB313" i="1"/>
  <c r="T313" i="1"/>
  <c r="S313" i="1"/>
  <c r="R313" i="1"/>
  <c r="Q313" i="1"/>
  <c r="P313" i="1"/>
  <c r="V313" i="1" s="1"/>
  <c r="W313" i="1" s="1"/>
  <c r="O313" i="1"/>
  <c r="AB312" i="1"/>
  <c r="V312" i="1"/>
  <c r="W312" i="1" s="1"/>
  <c r="X312" i="1" s="1"/>
  <c r="T312" i="1"/>
  <c r="S312" i="1"/>
  <c r="R312" i="1"/>
  <c r="Q312" i="1"/>
  <c r="P312" i="1"/>
  <c r="O312" i="1"/>
  <c r="AB311" i="1"/>
  <c r="V311" i="1"/>
  <c r="W311" i="1" s="1"/>
  <c r="T311" i="1"/>
  <c r="S311" i="1"/>
  <c r="R311" i="1"/>
  <c r="Q311" i="1"/>
  <c r="P311" i="1"/>
  <c r="O311" i="1"/>
  <c r="AB310" i="1"/>
  <c r="W310" i="1"/>
  <c r="V310" i="1"/>
  <c r="T310" i="1"/>
  <c r="S310" i="1"/>
  <c r="R310" i="1"/>
  <c r="Q310" i="1"/>
  <c r="P310" i="1"/>
  <c r="O310" i="1"/>
  <c r="AB309" i="1"/>
  <c r="V309" i="1"/>
  <c r="W309" i="1" s="1"/>
  <c r="T309" i="1"/>
  <c r="S309" i="1"/>
  <c r="R309" i="1"/>
  <c r="Q309" i="1"/>
  <c r="P309" i="1"/>
  <c r="O309" i="1"/>
  <c r="AB308" i="1"/>
  <c r="X308" i="1"/>
  <c r="V308" i="1"/>
  <c r="W308" i="1" s="1"/>
  <c r="T308" i="1"/>
  <c r="S308" i="1"/>
  <c r="R308" i="1"/>
  <c r="Q308" i="1"/>
  <c r="P308" i="1"/>
  <c r="O308" i="1"/>
  <c r="AB307" i="1"/>
  <c r="V307" i="1"/>
  <c r="W307" i="1" s="1"/>
  <c r="T307" i="1"/>
  <c r="S307" i="1"/>
  <c r="R307" i="1"/>
  <c r="Q307" i="1"/>
  <c r="X307" i="1" s="1"/>
  <c r="P307" i="1"/>
  <c r="O307" i="1"/>
  <c r="AB306" i="1"/>
  <c r="W306" i="1"/>
  <c r="V306" i="1"/>
  <c r="T306" i="1"/>
  <c r="S306" i="1"/>
  <c r="R306" i="1"/>
  <c r="Q306" i="1"/>
  <c r="P306" i="1"/>
  <c r="O306" i="1"/>
  <c r="AB305" i="1"/>
  <c r="T305" i="1"/>
  <c r="S305" i="1"/>
  <c r="R305" i="1"/>
  <c r="Q305" i="1"/>
  <c r="P305" i="1"/>
  <c r="V305" i="1" s="1"/>
  <c r="W305" i="1" s="1"/>
  <c r="O305" i="1"/>
  <c r="AB304" i="1"/>
  <c r="V304" i="1"/>
  <c r="W304" i="1" s="1"/>
  <c r="X304" i="1" s="1"/>
  <c r="T304" i="1"/>
  <c r="S304" i="1"/>
  <c r="R304" i="1"/>
  <c r="Q304" i="1"/>
  <c r="P304" i="1"/>
  <c r="O304" i="1"/>
  <c r="AB303" i="1"/>
  <c r="V303" i="1"/>
  <c r="W303" i="1" s="1"/>
  <c r="T303" i="1"/>
  <c r="S303" i="1"/>
  <c r="R303" i="1"/>
  <c r="Q303" i="1"/>
  <c r="X303" i="1" s="1"/>
  <c r="P303" i="1"/>
  <c r="O303" i="1"/>
  <c r="AB302" i="1"/>
  <c r="W302" i="1"/>
  <c r="V302" i="1"/>
  <c r="T302" i="1"/>
  <c r="S302" i="1"/>
  <c r="R302" i="1"/>
  <c r="Q302" i="1"/>
  <c r="X302" i="1" s="1"/>
  <c r="P302" i="1"/>
  <c r="O302" i="1"/>
  <c r="AB301" i="1"/>
  <c r="T301" i="1"/>
  <c r="S301" i="1"/>
  <c r="R301" i="1"/>
  <c r="Q301" i="1"/>
  <c r="P301" i="1"/>
  <c r="V301" i="1" s="1"/>
  <c r="W301" i="1" s="1"/>
  <c r="O301" i="1"/>
  <c r="AB300" i="1"/>
  <c r="V300" i="1"/>
  <c r="W300" i="1" s="1"/>
  <c r="T300" i="1"/>
  <c r="S300" i="1"/>
  <c r="R300" i="1"/>
  <c r="X300" i="1" s="1"/>
  <c r="Q300" i="1"/>
  <c r="P300" i="1"/>
  <c r="O300" i="1"/>
  <c r="AB299" i="1"/>
  <c r="V299" i="1"/>
  <c r="W299" i="1" s="1"/>
  <c r="T299" i="1"/>
  <c r="S299" i="1"/>
  <c r="R299" i="1"/>
  <c r="Q299" i="1"/>
  <c r="P299" i="1"/>
  <c r="O299" i="1"/>
  <c r="AB298" i="1"/>
  <c r="W298" i="1"/>
  <c r="V298" i="1"/>
  <c r="T298" i="1"/>
  <c r="S298" i="1"/>
  <c r="R298" i="1"/>
  <c r="Q298" i="1"/>
  <c r="P298" i="1"/>
  <c r="O298" i="1"/>
  <c r="AB297" i="1"/>
  <c r="T297" i="1"/>
  <c r="S297" i="1"/>
  <c r="R297" i="1"/>
  <c r="Q297" i="1"/>
  <c r="P297" i="1"/>
  <c r="V297" i="1" s="1"/>
  <c r="W297" i="1" s="1"/>
  <c r="O297" i="1"/>
  <c r="AB296" i="1"/>
  <c r="V296" i="1"/>
  <c r="W296" i="1" s="1"/>
  <c r="X296" i="1" s="1"/>
  <c r="T296" i="1"/>
  <c r="S296" i="1"/>
  <c r="R296" i="1"/>
  <c r="Q296" i="1"/>
  <c r="P296" i="1"/>
  <c r="O296" i="1"/>
  <c r="AB295" i="1"/>
  <c r="V295" i="1"/>
  <c r="W295" i="1" s="1"/>
  <c r="T295" i="1"/>
  <c r="S295" i="1"/>
  <c r="R295" i="1"/>
  <c r="Q295" i="1"/>
  <c r="P295" i="1"/>
  <c r="O295" i="1"/>
  <c r="AB294" i="1"/>
  <c r="W294" i="1"/>
  <c r="V294" i="1"/>
  <c r="T294" i="1"/>
  <c r="S294" i="1"/>
  <c r="R294" i="1"/>
  <c r="Q294" i="1"/>
  <c r="P294" i="1"/>
  <c r="O294" i="1"/>
  <c r="AB293" i="1"/>
  <c r="V293" i="1"/>
  <c r="W293" i="1" s="1"/>
  <c r="T293" i="1"/>
  <c r="S293" i="1"/>
  <c r="R293" i="1"/>
  <c r="Q293" i="1"/>
  <c r="P293" i="1"/>
  <c r="O293" i="1"/>
  <c r="AB292" i="1"/>
  <c r="X292" i="1"/>
  <c r="V292" i="1"/>
  <c r="W292" i="1" s="1"/>
  <c r="T292" i="1"/>
  <c r="S292" i="1"/>
  <c r="R292" i="1"/>
  <c r="Q292" i="1"/>
  <c r="P292" i="1"/>
  <c r="O292" i="1"/>
  <c r="AB291" i="1"/>
  <c r="V291" i="1"/>
  <c r="W291" i="1" s="1"/>
  <c r="T291" i="1"/>
  <c r="S291" i="1"/>
  <c r="R291" i="1"/>
  <c r="Q291" i="1"/>
  <c r="X291" i="1" s="1"/>
  <c r="P291" i="1"/>
  <c r="O291" i="1"/>
  <c r="AB290" i="1"/>
  <c r="W290" i="1"/>
  <c r="V290" i="1"/>
  <c r="T290" i="1"/>
  <c r="S290" i="1"/>
  <c r="R290" i="1"/>
  <c r="Q290" i="1"/>
  <c r="P290" i="1"/>
  <c r="O290" i="1"/>
  <c r="AB289" i="1"/>
  <c r="T289" i="1"/>
  <c r="S289" i="1"/>
  <c r="R289" i="1"/>
  <c r="Q289" i="1"/>
  <c r="P289" i="1"/>
  <c r="V289" i="1" s="1"/>
  <c r="W289" i="1" s="1"/>
  <c r="O289" i="1"/>
  <c r="AB288" i="1"/>
  <c r="V288" i="1"/>
  <c r="W288" i="1" s="1"/>
  <c r="X288" i="1" s="1"/>
  <c r="T288" i="1"/>
  <c r="S288" i="1"/>
  <c r="R288" i="1"/>
  <c r="Q288" i="1"/>
  <c r="P288" i="1"/>
  <c r="O288" i="1"/>
  <c r="AB287" i="1"/>
  <c r="W287" i="1"/>
  <c r="V287" i="1"/>
  <c r="T287" i="1"/>
  <c r="S287" i="1"/>
  <c r="R287" i="1"/>
  <c r="Q287" i="1"/>
  <c r="X287" i="1" s="1"/>
  <c r="P287" i="1"/>
  <c r="O287" i="1"/>
  <c r="AB286" i="1"/>
  <c r="W286" i="1"/>
  <c r="V286" i="1"/>
  <c r="T286" i="1"/>
  <c r="S286" i="1"/>
  <c r="R286" i="1"/>
  <c r="Q286" i="1"/>
  <c r="P286" i="1"/>
  <c r="O286" i="1"/>
  <c r="AB285" i="1"/>
  <c r="V285" i="1"/>
  <c r="W285" i="1" s="1"/>
  <c r="T285" i="1"/>
  <c r="S285" i="1"/>
  <c r="R285" i="1"/>
  <c r="Q285" i="1"/>
  <c r="P285" i="1"/>
  <c r="O285" i="1"/>
  <c r="AB284" i="1"/>
  <c r="X284" i="1"/>
  <c r="V284" i="1"/>
  <c r="W284" i="1" s="1"/>
  <c r="T284" i="1"/>
  <c r="S284" i="1"/>
  <c r="R284" i="1"/>
  <c r="Q284" i="1"/>
  <c r="P284" i="1"/>
  <c r="O284" i="1"/>
  <c r="AB283" i="1"/>
  <c r="W283" i="1"/>
  <c r="V283" i="1"/>
  <c r="T283" i="1"/>
  <c r="S283" i="1"/>
  <c r="R283" i="1"/>
  <c r="Q283" i="1"/>
  <c r="P283" i="1"/>
  <c r="O283" i="1"/>
  <c r="AB282" i="1"/>
  <c r="W282" i="1"/>
  <c r="V282" i="1"/>
  <c r="T282" i="1"/>
  <c r="S282" i="1"/>
  <c r="R282" i="1"/>
  <c r="Q282" i="1"/>
  <c r="P282" i="1"/>
  <c r="O282" i="1"/>
  <c r="AB281" i="1"/>
  <c r="V281" i="1"/>
  <c r="W281" i="1" s="1"/>
  <c r="T281" i="1"/>
  <c r="S281" i="1"/>
  <c r="R281" i="1"/>
  <c r="Q281" i="1"/>
  <c r="P281" i="1"/>
  <c r="O281" i="1"/>
  <c r="AB280" i="1"/>
  <c r="X280" i="1"/>
  <c r="V280" i="1"/>
  <c r="W280" i="1" s="1"/>
  <c r="T280" i="1"/>
  <c r="S280" i="1"/>
  <c r="R280" i="1"/>
  <c r="Q280" i="1"/>
  <c r="P280" i="1"/>
  <c r="O280" i="1"/>
  <c r="AB279" i="1"/>
  <c r="W279" i="1"/>
  <c r="V279" i="1"/>
  <c r="T279" i="1"/>
  <c r="S279" i="1"/>
  <c r="R279" i="1"/>
  <c r="Q279" i="1"/>
  <c r="P279" i="1"/>
  <c r="O279" i="1"/>
  <c r="AB278" i="1"/>
  <c r="W278" i="1"/>
  <c r="V278" i="1"/>
  <c r="T278" i="1"/>
  <c r="S278" i="1"/>
  <c r="R278" i="1"/>
  <c r="Q278" i="1"/>
  <c r="P278" i="1"/>
  <c r="O278" i="1"/>
  <c r="AB277" i="1"/>
  <c r="T277" i="1"/>
  <c r="S277" i="1"/>
  <c r="R277" i="1"/>
  <c r="Q277" i="1"/>
  <c r="P277" i="1"/>
  <c r="V277" i="1" s="1"/>
  <c r="W277" i="1" s="1"/>
  <c r="O277" i="1"/>
  <c r="AB276" i="1"/>
  <c r="V276" i="1"/>
  <c r="W276" i="1" s="1"/>
  <c r="T276" i="1"/>
  <c r="S276" i="1"/>
  <c r="R276" i="1"/>
  <c r="X276" i="1" s="1"/>
  <c r="Q276" i="1"/>
  <c r="P276" i="1"/>
  <c r="O276" i="1"/>
  <c r="AB275" i="1"/>
  <c r="W275" i="1"/>
  <c r="V275" i="1"/>
  <c r="T275" i="1"/>
  <c r="S275" i="1"/>
  <c r="R275" i="1"/>
  <c r="Q275" i="1"/>
  <c r="X275" i="1" s="1"/>
  <c r="P275" i="1"/>
  <c r="O275" i="1"/>
  <c r="AB274" i="1"/>
  <c r="W274" i="1"/>
  <c r="V274" i="1"/>
  <c r="T274" i="1"/>
  <c r="S274" i="1"/>
  <c r="R274" i="1"/>
  <c r="Q274" i="1"/>
  <c r="P274" i="1"/>
  <c r="O274" i="1"/>
  <c r="AB273" i="1"/>
  <c r="T273" i="1"/>
  <c r="S273" i="1"/>
  <c r="R273" i="1"/>
  <c r="Q273" i="1"/>
  <c r="P273" i="1"/>
  <c r="V273" i="1" s="1"/>
  <c r="W273" i="1" s="1"/>
  <c r="O273" i="1"/>
  <c r="AB272" i="1"/>
  <c r="V272" i="1"/>
  <c r="W272" i="1" s="1"/>
  <c r="T272" i="1"/>
  <c r="S272" i="1"/>
  <c r="R272" i="1"/>
  <c r="X272" i="1" s="1"/>
  <c r="Q272" i="1"/>
  <c r="P272" i="1"/>
  <c r="O272" i="1"/>
  <c r="AB271" i="1"/>
  <c r="V271" i="1"/>
  <c r="W271" i="1" s="1"/>
  <c r="T271" i="1"/>
  <c r="S271" i="1"/>
  <c r="R271" i="1"/>
  <c r="Q271" i="1"/>
  <c r="P271" i="1"/>
  <c r="O271" i="1"/>
  <c r="AB270" i="1"/>
  <c r="W270" i="1"/>
  <c r="V270" i="1"/>
  <c r="T270" i="1"/>
  <c r="S270" i="1"/>
  <c r="R270" i="1"/>
  <c r="Q270" i="1"/>
  <c r="P270" i="1"/>
  <c r="O270" i="1"/>
  <c r="AB269" i="1"/>
  <c r="V269" i="1"/>
  <c r="W269" i="1" s="1"/>
  <c r="T269" i="1"/>
  <c r="S269" i="1"/>
  <c r="R269" i="1"/>
  <c r="Q269" i="1"/>
  <c r="P269" i="1"/>
  <c r="O269" i="1"/>
  <c r="AB268" i="1"/>
  <c r="X268" i="1"/>
  <c r="V268" i="1"/>
  <c r="W268" i="1" s="1"/>
  <c r="T268" i="1"/>
  <c r="S268" i="1"/>
  <c r="R268" i="1"/>
  <c r="Q268" i="1"/>
  <c r="P268" i="1"/>
  <c r="O268" i="1"/>
  <c r="AB267" i="1"/>
  <c r="T267" i="1"/>
  <c r="S267" i="1"/>
  <c r="R267" i="1"/>
  <c r="Q267" i="1"/>
  <c r="P267" i="1"/>
  <c r="V267" i="1" s="1"/>
  <c r="W267" i="1" s="1"/>
  <c r="O267" i="1"/>
  <c r="AB266" i="1"/>
  <c r="W266" i="1"/>
  <c r="V266" i="1"/>
  <c r="T266" i="1"/>
  <c r="S266" i="1"/>
  <c r="R266" i="1"/>
  <c r="Q266" i="1"/>
  <c r="P266" i="1"/>
  <c r="O266" i="1"/>
  <c r="AB265" i="1"/>
  <c r="V265" i="1"/>
  <c r="W265" i="1" s="1"/>
  <c r="T265" i="1"/>
  <c r="S265" i="1"/>
  <c r="X265" i="1" s="1"/>
  <c r="R265" i="1"/>
  <c r="Q265" i="1"/>
  <c r="P265" i="1"/>
  <c r="O265" i="1"/>
  <c r="AB264" i="1"/>
  <c r="V264" i="1"/>
  <c r="W264" i="1" s="1"/>
  <c r="T264" i="1"/>
  <c r="S264" i="1"/>
  <c r="R264" i="1"/>
  <c r="X264" i="1" s="1"/>
  <c r="Q264" i="1"/>
  <c r="P264" i="1"/>
  <c r="O264" i="1"/>
  <c r="AB263" i="1"/>
  <c r="T263" i="1"/>
  <c r="S263" i="1"/>
  <c r="R263" i="1"/>
  <c r="Q263" i="1"/>
  <c r="X263" i="1" s="1"/>
  <c r="P263" i="1"/>
  <c r="V263" i="1" s="1"/>
  <c r="W263" i="1" s="1"/>
  <c r="O263" i="1"/>
  <c r="AB262" i="1"/>
  <c r="W262" i="1"/>
  <c r="V262" i="1"/>
  <c r="T262" i="1"/>
  <c r="S262" i="1"/>
  <c r="R262" i="1"/>
  <c r="Q262" i="1"/>
  <c r="P262" i="1"/>
  <c r="O262" i="1"/>
  <c r="AB261" i="1"/>
  <c r="T261" i="1"/>
  <c r="S261" i="1"/>
  <c r="R261" i="1"/>
  <c r="Q261" i="1"/>
  <c r="P261" i="1"/>
  <c r="V261" i="1" s="1"/>
  <c r="W261" i="1" s="1"/>
  <c r="O261" i="1"/>
  <c r="AB260" i="1"/>
  <c r="V260" i="1"/>
  <c r="W260" i="1" s="1"/>
  <c r="X260" i="1" s="1"/>
  <c r="T260" i="1"/>
  <c r="S260" i="1"/>
  <c r="R260" i="1"/>
  <c r="Q260" i="1"/>
  <c r="P260" i="1"/>
  <c r="O260" i="1"/>
  <c r="AB259" i="1"/>
  <c r="T259" i="1"/>
  <c r="S259" i="1"/>
  <c r="R259" i="1"/>
  <c r="Q259" i="1"/>
  <c r="P259" i="1"/>
  <c r="V259" i="1" s="1"/>
  <c r="W259" i="1" s="1"/>
  <c r="O259" i="1"/>
  <c r="AB258" i="1"/>
  <c r="W258" i="1"/>
  <c r="V258" i="1"/>
  <c r="T258" i="1"/>
  <c r="S258" i="1"/>
  <c r="R258" i="1"/>
  <c r="Q258" i="1"/>
  <c r="P258" i="1"/>
  <c r="O258" i="1"/>
  <c r="AB257" i="1"/>
  <c r="T257" i="1"/>
  <c r="S257" i="1"/>
  <c r="R257" i="1"/>
  <c r="Q257" i="1"/>
  <c r="P257" i="1"/>
  <c r="V257" i="1" s="1"/>
  <c r="W257" i="1" s="1"/>
  <c r="O257" i="1"/>
  <c r="AB256" i="1"/>
  <c r="V256" i="1"/>
  <c r="W256" i="1" s="1"/>
  <c r="T256" i="1"/>
  <c r="S256" i="1"/>
  <c r="R256" i="1"/>
  <c r="X256" i="1" s="1"/>
  <c r="Q256" i="1"/>
  <c r="P256" i="1"/>
  <c r="O256" i="1"/>
  <c r="AB255" i="1"/>
  <c r="T255" i="1"/>
  <c r="S255" i="1"/>
  <c r="R255" i="1"/>
  <c r="Q255" i="1"/>
  <c r="P255" i="1"/>
  <c r="V255" i="1" s="1"/>
  <c r="W255" i="1" s="1"/>
  <c r="O255" i="1"/>
  <c r="AB254" i="1"/>
  <c r="W254" i="1"/>
  <c r="V254" i="1"/>
  <c r="T254" i="1"/>
  <c r="S254" i="1"/>
  <c r="R254" i="1"/>
  <c r="Q254" i="1"/>
  <c r="X254" i="1" s="1"/>
  <c r="P254" i="1"/>
  <c r="O254" i="1"/>
  <c r="AB253" i="1"/>
  <c r="T253" i="1"/>
  <c r="S253" i="1"/>
  <c r="R253" i="1"/>
  <c r="Q253" i="1"/>
  <c r="P253" i="1"/>
  <c r="V253" i="1" s="1"/>
  <c r="W253" i="1" s="1"/>
  <c r="O253" i="1"/>
  <c r="AB252" i="1"/>
  <c r="V252" i="1"/>
  <c r="W252" i="1" s="1"/>
  <c r="T252" i="1"/>
  <c r="S252" i="1"/>
  <c r="R252" i="1"/>
  <c r="X252" i="1" s="1"/>
  <c r="Q252" i="1"/>
  <c r="P252" i="1"/>
  <c r="O252" i="1"/>
  <c r="AB251" i="1"/>
  <c r="T251" i="1"/>
  <c r="S251" i="1"/>
  <c r="R251" i="1"/>
  <c r="Q251" i="1"/>
  <c r="X251" i="1" s="1"/>
  <c r="P251" i="1"/>
  <c r="V251" i="1" s="1"/>
  <c r="W251" i="1" s="1"/>
  <c r="O251" i="1"/>
  <c r="AB250" i="1"/>
  <c r="W250" i="1"/>
  <c r="V250" i="1"/>
  <c r="T250" i="1"/>
  <c r="S250" i="1"/>
  <c r="R250" i="1"/>
  <c r="Q250" i="1"/>
  <c r="P250" i="1"/>
  <c r="O250" i="1"/>
  <c r="AB249" i="1"/>
  <c r="V249" i="1"/>
  <c r="W249" i="1" s="1"/>
  <c r="T249" i="1"/>
  <c r="S249" i="1"/>
  <c r="R249" i="1"/>
  <c r="Q249" i="1"/>
  <c r="P249" i="1"/>
  <c r="O249" i="1"/>
  <c r="AB248" i="1"/>
  <c r="X248" i="1"/>
  <c r="V248" i="1"/>
  <c r="W248" i="1" s="1"/>
  <c r="T248" i="1"/>
  <c r="S248" i="1"/>
  <c r="R248" i="1"/>
  <c r="Q248" i="1"/>
  <c r="P248" i="1"/>
  <c r="O248" i="1"/>
  <c r="AB247" i="1"/>
  <c r="T247" i="1"/>
  <c r="S247" i="1"/>
  <c r="R247" i="1"/>
  <c r="Q247" i="1"/>
  <c r="X247" i="1" s="1"/>
  <c r="P247" i="1"/>
  <c r="V247" i="1" s="1"/>
  <c r="W247" i="1" s="1"/>
  <c r="O247" i="1"/>
  <c r="AB246" i="1"/>
  <c r="W246" i="1"/>
  <c r="V246" i="1"/>
  <c r="T246" i="1"/>
  <c r="S246" i="1"/>
  <c r="R246" i="1"/>
  <c r="Q246" i="1"/>
  <c r="P246" i="1"/>
  <c r="O246" i="1"/>
  <c r="AB245" i="1"/>
  <c r="T245" i="1"/>
  <c r="S245" i="1"/>
  <c r="R245" i="1"/>
  <c r="Q245" i="1"/>
  <c r="P245" i="1"/>
  <c r="V245" i="1" s="1"/>
  <c r="W245" i="1" s="1"/>
  <c r="O245" i="1"/>
  <c r="AB244" i="1"/>
  <c r="V244" i="1"/>
  <c r="W244" i="1" s="1"/>
  <c r="T244" i="1"/>
  <c r="S244" i="1"/>
  <c r="R244" i="1"/>
  <c r="X244" i="1" s="1"/>
  <c r="Q244" i="1"/>
  <c r="P244" i="1"/>
  <c r="O244" i="1"/>
  <c r="AB243" i="1"/>
  <c r="T243" i="1"/>
  <c r="S243" i="1"/>
  <c r="R243" i="1"/>
  <c r="Q243" i="1"/>
  <c r="P243" i="1"/>
  <c r="V243" i="1" s="1"/>
  <c r="W243" i="1" s="1"/>
  <c r="O243" i="1"/>
  <c r="AB242" i="1"/>
  <c r="W242" i="1"/>
  <c r="V242" i="1"/>
  <c r="T242" i="1"/>
  <c r="S242" i="1"/>
  <c r="R242" i="1"/>
  <c r="Q242" i="1"/>
  <c r="X242" i="1" s="1"/>
  <c r="P242" i="1"/>
  <c r="O242" i="1"/>
  <c r="AB241" i="1"/>
  <c r="V241" i="1"/>
  <c r="W241" i="1" s="1"/>
  <c r="T241" i="1"/>
  <c r="S241" i="1"/>
  <c r="R241" i="1"/>
  <c r="Q241" i="1"/>
  <c r="P241" i="1"/>
  <c r="O241" i="1"/>
  <c r="AB240" i="1"/>
  <c r="V240" i="1"/>
  <c r="W240" i="1" s="1"/>
  <c r="X240" i="1" s="1"/>
  <c r="T240" i="1"/>
  <c r="S240" i="1"/>
  <c r="R240" i="1"/>
  <c r="Q240" i="1"/>
  <c r="P240" i="1"/>
  <c r="O240" i="1"/>
  <c r="AB239" i="1"/>
  <c r="T239" i="1"/>
  <c r="S239" i="1"/>
  <c r="R239" i="1"/>
  <c r="Q239" i="1"/>
  <c r="P239" i="1"/>
  <c r="V239" i="1" s="1"/>
  <c r="W239" i="1" s="1"/>
  <c r="O239" i="1"/>
  <c r="AB238" i="1"/>
  <c r="W238" i="1"/>
  <c r="V238" i="1"/>
  <c r="T238" i="1"/>
  <c r="S238" i="1"/>
  <c r="R238" i="1"/>
  <c r="Q238" i="1"/>
  <c r="P238" i="1"/>
  <c r="O238" i="1"/>
  <c r="AB237" i="1"/>
  <c r="V237" i="1"/>
  <c r="W237" i="1" s="1"/>
  <c r="T237" i="1"/>
  <c r="S237" i="1"/>
  <c r="R237" i="1"/>
  <c r="Q237" i="1"/>
  <c r="P237" i="1"/>
  <c r="O237" i="1"/>
  <c r="AB236" i="1"/>
  <c r="X236" i="1"/>
  <c r="V236" i="1"/>
  <c r="W236" i="1" s="1"/>
  <c r="T236" i="1"/>
  <c r="S236" i="1"/>
  <c r="R236" i="1"/>
  <c r="Q236" i="1"/>
  <c r="P236" i="1"/>
  <c r="O236" i="1"/>
  <c r="AB235" i="1"/>
  <c r="T235" i="1"/>
  <c r="S235" i="1"/>
  <c r="R235" i="1"/>
  <c r="Q235" i="1"/>
  <c r="P235" i="1"/>
  <c r="V235" i="1" s="1"/>
  <c r="W235" i="1" s="1"/>
  <c r="O235" i="1"/>
  <c r="AB234" i="1"/>
  <c r="W234" i="1"/>
  <c r="V234" i="1"/>
  <c r="T234" i="1"/>
  <c r="S234" i="1"/>
  <c r="R234" i="1"/>
  <c r="Q234" i="1"/>
  <c r="P234" i="1"/>
  <c r="O234" i="1"/>
  <c r="AB233" i="1"/>
  <c r="V233" i="1"/>
  <c r="W233" i="1" s="1"/>
  <c r="T233" i="1"/>
  <c r="S233" i="1"/>
  <c r="X233" i="1" s="1"/>
  <c r="R233" i="1"/>
  <c r="Q233" i="1"/>
  <c r="P233" i="1"/>
  <c r="O233" i="1"/>
  <c r="AB232" i="1"/>
  <c r="V232" i="1"/>
  <c r="W232" i="1" s="1"/>
  <c r="T232" i="1"/>
  <c r="S232" i="1"/>
  <c r="R232" i="1"/>
  <c r="X232" i="1" s="1"/>
  <c r="Q232" i="1"/>
  <c r="P232" i="1"/>
  <c r="O232" i="1"/>
  <c r="AB231" i="1"/>
  <c r="T231" i="1"/>
  <c r="X231" i="1" s="1"/>
  <c r="S231" i="1"/>
  <c r="R231" i="1"/>
  <c r="Q231" i="1"/>
  <c r="P231" i="1"/>
  <c r="V231" i="1" s="1"/>
  <c r="W231" i="1" s="1"/>
  <c r="O231" i="1"/>
  <c r="AB230" i="1"/>
  <c r="W230" i="1"/>
  <c r="V230" i="1"/>
  <c r="T230" i="1"/>
  <c r="S230" i="1"/>
  <c r="R230" i="1"/>
  <c r="Q230" i="1"/>
  <c r="P230" i="1"/>
  <c r="O230" i="1"/>
  <c r="AB229" i="1"/>
  <c r="T229" i="1"/>
  <c r="S229" i="1"/>
  <c r="R229" i="1"/>
  <c r="Q229" i="1"/>
  <c r="P229" i="1"/>
  <c r="V229" i="1" s="1"/>
  <c r="W229" i="1" s="1"/>
  <c r="O229" i="1"/>
  <c r="AB228" i="1"/>
  <c r="V228" i="1"/>
  <c r="W228" i="1" s="1"/>
  <c r="T228" i="1"/>
  <c r="S228" i="1"/>
  <c r="R228" i="1"/>
  <c r="X228" i="1" s="1"/>
  <c r="Q228" i="1"/>
  <c r="P228" i="1"/>
  <c r="O228" i="1"/>
  <c r="AB227" i="1"/>
  <c r="T227" i="1"/>
  <c r="S227" i="1"/>
  <c r="R227" i="1"/>
  <c r="Q227" i="1"/>
  <c r="X227" i="1" s="1"/>
  <c r="P227" i="1"/>
  <c r="V227" i="1" s="1"/>
  <c r="W227" i="1" s="1"/>
  <c r="O227" i="1"/>
  <c r="AB226" i="1"/>
  <c r="W226" i="1"/>
  <c r="V226" i="1"/>
  <c r="T226" i="1"/>
  <c r="S226" i="1"/>
  <c r="R226" i="1"/>
  <c r="Q226" i="1"/>
  <c r="P226" i="1"/>
  <c r="O226" i="1"/>
  <c r="AB225" i="1"/>
  <c r="V225" i="1"/>
  <c r="W225" i="1" s="1"/>
  <c r="T225" i="1"/>
  <c r="S225" i="1"/>
  <c r="R225" i="1"/>
  <c r="Q225" i="1"/>
  <c r="P225" i="1"/>
  <c r="O225" i="1"/>
  <c r="AB224" i="1"/>
  <c r="X224" i="1"/>
  <c r="V224" i="1"/>
  <c r="W224" i="1" s="1"/>
  <c r="T224" i="1"/>
  <c r="S224" i="1"/>
  <c r="R224" i="1"/>
  <c r="Q224" i="1"/>
  <c r="P224" i="1"/>
  <c r="O224" i="1"/>
  <c r="AB223" i="1"/>
  <c r="T223" i="1"/>
  <c r="S223" i="1"/>
  <c r="R223" i="1"/>
  <c r="Q223" i="1"/>
  <c r="X223" i="1" s="1"/>
  <c r="P223" i="1"/>
  <c r="V223" i="1" s="1"/>
  <c r="W223" i="1" s="1"/>
  <c r="O223" i="1"/>
  <c r="AB222" i="1"/>
  <c r="W222" i="1"/>
  <c r="V222" i="1"/>
  <c r="T222" i="1"/>
  <c r="S222" i="1"/>
  <c r="R222" i="1"/>
  <c r="Q222" i="1"/>
  <c r="X222" i="1" s="1"/>
  <c r="P222" i="1"/>
  <c r="O222" i="1"/>
  <c r="AB221" i="1"/>
  <c r="V221" i="1"/>
  <c r="W221" i="1" s="1"/>
  <c r="T221" i="1"/>
  <c r="S221" i="1"/>
  <c r="R221" i="1"/>
  <c r="Q221" i="1"/>
  <c r="P221" i="1"/>
  <c r="O221" i="1"/>
  <c r="AB220" i="1"/>
  <c r="V220" i="1"/>
  <c r="W220" i="1" s="1"/>
  <c r="X220" i="1" s="1"/>
  <c r="T220" i="1"/>
  <c r="S220" i="1"/>
  <c r="R220" i="1"/>
  <c r="Q220" i="1"/>
  <c r="P220" i="1"/>
  <c r="O220" i="1"/>
  <c r="AB219" i="1"/>
  <c r="X219" i="1"/>
  <c r="T219" i="1"/>
  <c r="S219" i="1"/>
  <c r="R219" i="1"/>
  <c r="Q219" i="1"/>
  <c r="P219" i="1"/>
  <c r="V219" i="1" s="1"/>
  <c r="W219" i="1" s="1"/>
  <c r="O219" i="1"/>
  <c r="AB218" i="1"/>
  <c r="W218" i="1"/>
  <c r="V218" i="1"/>
  <c r="T218" i="1"/>
  <c r="S218" i="1"/>
  <c r="R218" i="1"/>
  <c r="Q218" i="1"/>
  <c r="P218" i="1"/>
  <c r="O218" i="1"/>
  <c r="AB217" i="1"/>
  <c r="V217" i="1"/>
  <c r="W217" i="1" s="1"/>
  <c r="T217" i="1"/>
  <c r="S217" i="1"/>
  <c r="X217" i="1" s="1"/>
  <c r="R217" i="1"/>
  <c r="Q217" i="1"/>
  <c r="P217" i="1"/>
  <c r="O217" i="1"/>
  <c r="AB216" i="1"/>
  <c r="V216" i="1"/>
  <c r="W216" i="1" s="1"/>
  <c r="T216" i="1"/>
  <c r="S216" i="1"/>
  <c r="R216" i="1"/>
  <c r="X216" i="1" s="1"/>
  <c r="Q216" i="1"/>
  <c r="P216" i="1"/>
  <c r="O216" i="1"/>
  <c r="AB215" i="1"/>
  <c r="T215" i="1"/>
  <c r="X215" i="1" s="1"/>
  <c r="S215" i="1"/>
  <c r="R215" i="1"/>
  <c r="Q215" i="1"/>
  <c r="P215" i="1"/>
  <c r="V215" i="1" s="1"/>
  <c r="W215" i="1" s="1"/>
  <c r="O215" i="1"/>
  <c r="AB214" i="1"/>
  <c r="W214" i="1"/>
  <c r="V214" i="1"/>
  <c r="T214" i="1"/>
  <c r="S214" i="1"/>
  <c r="R214" i="1"/>
  <c r="Q214" i="1"/>
  <c r="P214" i="1"/>
  <c r="O214" i="1"/>
  <c r="AB213" i="1"/>
  <c r="T213" i="1"/>
  <c r="S213" i="1"/>
  <c r="R213" i="1"/>
  <c r="Q213" i="1"/>
  <c r="P213" i="1"/>
  <c r="V213" i="1" s="1"/>
  <c r="W213" i="1" s="1"/>
  <c r="O213" i="1"/>
  <c r="AB212" i="1"/>
  <c r="V212" i="1"/>
  <c r="W212" i="1" s="1"/>
  <c r="T212" i="1"/>
  <c r="S212" i="1"/>
  <c r="R212" i="1"/>
  <c r="X212" i="1" s="1"/>
  <c r="Q212" i="1"/>
  <c r="P212" i="1"/>
  <c r="O212" i="1"/>
  <c r="AB211" i="1"/>
  <c r="T211" i="1"/>
  <c r="S211" i="1"/>
  <c r="R211" i="1"/>
  <c r="Q211" i="1"/>
  <c r="X211" i="1" s="1"/>
  <c r="P211" i="1"/>
  <c r="V211" i="1" s="1"/>
  <c r="W211" i="1" s="1"/>
  <c r="O211" i="1"/>
  <c r="AB210" i="1"/>
  <c r="W210" i="1"/>
  <c r="V210" i="1"/>
  <c r="T210" i="1"/>
  <c r="S210" i="1"/>
  <c r="R210" i="1"/>
  <c r="Q210" i="1"/>
  <c r="P210" i="1"/>
  <c r="O210" i="1"/>
  <c r="AB209" i="1"/>
  <c r="V209" i="1"/>
  <c r="W209" i="1" s="1"/>
  <c r="T209" i="1"/>
  <c r="S209" i="1"/>
  <c r="R209" i="1"/>
  <c r="Q209" i="1"/>
  <c r="P209" i="1"/>
  <c r="O209" i="1"/>
  <c r="AB208" i="1"/>
  <c r="X208" i="1"/>
  <c r="V208" i="1"/>
  <c r="W208" i="1" s="1"/>
  <c r="T208" i="1"/>
  <c r="S208" i="1"/>
  <c r="R208" i="1"/>
  <c r="Q208" i="1"/>
  <c r="P208" i="1"/>
  <c r="O208" i="1"/>
  <c r="AB207" i="1"/>
  <c r="T207" i="1"/>
  <c r="S207" i="1"/>
  <c r="R207" i="1"/>
  <c r="Q207" i="1"/>
  <c r="X207" i="1" s="1"/>
  <c r="P207" i="1"/>
  <c r="V207" i="1" s="1"/>
  <c r="W207" i="1" s="1"/>
  <c r="O207" i="1"/>
  <c r="AB206" i="1"/>
  <c r="W206" i="1"/>
  <c r="V206" i="1"/>
  <c r="T206" i="1"/>
  <c r="S206" i="1"/>
  <c r="R206" i="1"/>
  <c r="Q206" i="1"/>
  <c r="X206" i="1" s="1"/>
  <c r="P206" i="1"/>
  <c r="O206" i="1"/>
  <c r="AB205" i="1"/>
  <c r="V205" i="1"/>
  <c r="W205" i="1" s="1"/>
  <c r="T205" i="1"/>
  <c r="S205" i="1"/>
  <c r="R205" i="1"/>
  <c r="Q205" i="1"/>
  <c r="P205" i="1"/>
  <c r="O205" i="1"/>
  <c r="AB204" i="1"/>
  <c r="V204" i="1"/>
  <c r="W204" i="1" s="1"/>
  <c r="X204" i="1" s="1"/>
  <c r="T204" i="1"/>
  <c r="S204" i="1"/>
  <c r="R204" i="1"/>
  <c r="Q204" i="1"/>
  <c r="P204" i="1"/>
  <c r="O204" i="1"/>
  <c r="AB203" i="1"/>
  <c r="X203" i="1"/>
  <c r="T203" i="1"/>
  <c r="S203" i="1"/>
  <c r="R203" i="1"/>
  <c r="Q203" i="1"/>
  <c r="P203" i="1"/>
  <c r="V203" i="1" s="1"/>
  <c r="W203" i="1" s="1"/>
  <c r="O203" i="1"/>
  <c r="AB202" i="1"/>
  <c r="W202" i="1"/>
  <c r="V202" i="1"/>
  <c r="T202" i="1"/>
  <c r="S202" i="1"/>
  <c r="R202" i="1"/>
  <c r="Q202" i="1"/>
  <c r="P202" i="1"/>
  <c r="O202" i="1"/>
  <c r="AB201" i="1"/>
  <c r="V201" i="1"/>
  <c r="W201" i="1" s="1"/>
  <c r="T201" i="1"/>
  <c r="S201" i="1"/>
  <c r="X201" i="1" s="1"/>
  <c r="R201" i="1"/>
  <c r="Q201" i="1"/>
  <c r="P201" i="1"/>
  <c r="O201" i="1"/>
  <c r="AB200" i="1"/>
  <c r="V200" i="1"/>
  <c r="W200" i="1" s="1"/>
  <c r="T200" i="1"/>
  <c r="S200" i="1"/>
  <c r="R200" i="1"/>
  <c r="X200" i="1" s="1"/>
  <c r="Q200" i="1"/>
  <c r="P200" i="1"/>
  <c r="O200" i="1"/>
  <c r="AB199" i="1"/>
  <c r="T199" i="1"/>
  <c r="X199" i="1" s="1"/>
  <c r="S199" i="1"/>
  <c r="R199" i="1"/>
  <c r="Q199" i="1"/>
  <c r="P199" i="1"/>
  <c r="V199" i="1" s="1"/>
  <c r="W199" i="1" s="1"/>
  <c r="O199" i="1"/>
  <c r="AB198" i="1"/>
  <c r="W198" i="1"/>
  <c r="V198" i="1"/>
  <c r="T198" i="1"/>
  <c r="S198" i="1"/>
  <c r="R198" i="1"/>
  <c r="Q198" i="1"/>
  <c r="P198" i="1"/>
  <c r="O198" i="1"/>
  <c r="AB197" i="1"/>
  <c r="T197" i="1"/>
  <c r="S197" i="1"/>
  <c r="R197" i="1"/>
  <c r="Q197" i="1"/>
  <c r="P197" i="1"/>
  <c r="V197" i="1" s="1"/>
  <c r="W197" i="1" s="1"/>
  <c r="O197" i="1"/>
  <c r="AB196" i="1"/>
  <c r="V196" i="1"/>
  <c r="W196" i="1" s="1"/>
  <c r="T196" i="1"/>
  <c r="S196" i="1"/>
  <c r="R196" i="1"/>
  <c r="X196" i="1" s="1"/>
  <c r="Q196" i="1"/>
  <c r="P196" i="1"/>
  <c r="O196" i="1"/>
  <c r="AB195" i="1"/>
  <c r="T195" i="1"/>
  <c r="S195" i="1"/>
  <c r="R195" i="1"/>
  <c r="Q195" i="1"/>
  <c r="X195" i="1" s="1"/>
  <c r="P195" i="1"/>
  <c r="V195" i="1" s="1"/>
  <c r="W195" i="1" s="1"/>
  <c r="O195" i="1"/>
  <c r="AB194" i="1"/>
  <c r="W194" i="1"/>
  <c r="V194" i="1"/>
  <c r="T194" i="1"/>
  <c r="S194" i="1"/>
  <c r="R194" i="1"/>
  <c r="Q194" i="1"/>
  <c r="P194" i="1"/>
  <c r="O194" i="1"/>
  <c r="AB193" i="1"/>
  <c r="V193" i="1"/>
  <c r="W193" i="1" s="1"/>
  <c r="T193" i="1"/>
  <c r="S193" i="1"/>
  <c r="R193" i="1"/>
  <c r="Q193" i="1"/>
  <c r="P193" i="1"/>
  <c r="O193" i="1"/>
  <c r="AB192" i="1"/>
  <c r="X192" i="1"/>
  <c r="V192" i="1"/>
  <c r="W192" i="1" s="1"/>
  <c r="T192" i="1"/>
  <c r="S192" i="1"/>
  <c r="R192" i="1"/>
  <c r="Q192" i="1"/>
  <c r="P192" i="1"/>
  <c r="O192" i="1"/>
  <c r="AB191" i="1"/>
  <c r="T191" i="1"/>
  <c r="S191" i="1"/>
  <c r="R191" i="1"/>
  <c r="Q191" i="1"/>
  <c r="X191" i="1" s="1"/>
  <c r="P191" i="1"/>
  <c r="V191" i="1" s="1"/>
  <c r="W191" i="1" s="1"/>
  <c r="O191" i="1"/>
  <c r="AB190" i="1"/>
  <c r="V190" i="1"/>
  <c r="W190" i="1" s="1"/>
  <c r="T190" i="1"/>
  <c r="S190" i="1"/>
  <c r="R190" i="1"/>
  <c r="Q190" i="1"/>
  <c r="P190" i="1"/>
  <c r="O190" i="1"/>
  <c r="AB189" i="1"/>
  <c r="V189" i="1"/>
  <c r="W189" i="1" s="1"/>
  <c r="X189" i="1" s="1"/>
  <c r="T189" i="1"/>
  <c r="S189" i="1"/>
  <c r="R189" i="1"/>
  <c r="Q189" i="1"/>
  <c r="P189" i="1"/>
  <c r="O189" i="1"/>
  <c r="AB188" i="1"/>
  <c r="X188" i="1"/>
  <c r="V188" i="1"/>
  <c r="W188" i="1" s="1"/>
  <c r="T188" i="1"/>
  <c r="S188" i="1"/>
  <c r="R188" i="1"/>
  <c r="Q188" i="1"/>
  <c r="P188" i="1"/>
  <c r="O188" i="1"/>
  <c r="AB187" i="1"/>
  <c r="T187" i="1"/>
  <c r="S187" i="1"/>
  <c r="R187" i="1"/>
  <c r="Q187" i="1"/>
  <c r="X187" i="1" s="1"/>
  <c r="P187" i="1"/>
  <c r="V187" i="1" s="1"/>
  <c r="W187" i="1" s="1"/>
  <c r="O187" i="1"/>
  <c r="AB186" i="1"/>
  <c r="V186" i="1"/>
  <c r="W186" i="1" s="1"/>
  <c r="T186" i="1"/>
  <c r="S186" i="1"/>
  <c r="R186" i="1"/>
  <c r="Q186" i="1"/>
  <c r="P186" i="1"/>
  <c r="O186" i="1"/>
  <c r="AB185" i="1"/>
  <c r="T185" i="1"/>
  <c r="S185" i="1"/>
  <c r="R185" i="1"/>
  <c r="Q185" i="1"/>
  <c r="P185" i="1"/>
  <c r="V185" i="1" s="1"/>
  <c r="W185" i="1" s="1"/>
  <c r="O185" i="1"/>
  <c r="AB184" i="1"/>
  <c r="V184" i="1"/>
  <c r="W184" i="1" s="1"/>
  <c r="T184" i="1"/>
  <c r="S184" i="1"/>
  <c r="R184" i="1"/>
  <c r="Q184" i="1"/>
  <c r="X184" i="1" s="1"/>
  <c r="P184" i="1"/>
  <c r="O184" i="1"/>
  <c r="AB183" i="1"/>
  <c r="T183" i="1"/>
  <c r="S183" i="1"/>
  <c r="R183" i="1"/>
  <c r="Q183" i="1"/>
  <c r="X183" i="1" s="1"/>
  <c r="P183" i="1"/>
  <c r="V183" i="1" s="1"/>
  <c r="W183" i="1" s="1"/>
  <c r="O183" i="1"/>
  <c r="AB182" i="1"/>
  <c r="V182" i="1"/>
  <c r="W182" i="1" s="1"/>
  <c r="T182" i="1"/>
  <c r="S182" i="1"/>
  <c r="R182" i="1"/>
  <c r="Q182" i="1"/>
  <c r="P182" i="1"/>
  <c r="O182" i="1"/>
  <c r="AB181" i="1"/>
  <c r="T181" i="1"/>
  <c r="S181" i="1"/>
  <c r="R181" i="1"/>
  <c r="Q181" i="1"/>
  <c r="P181" i="1"/>
  <c r="V181" i="1" s="1"/>
  <c r="W181" i="1" s="1"/>
  <c r="O181" i="1"/>
  <c r="AB180" i="1"/>
  <c r="V180" i="1"/>
  <c r="W180" i="1" s="1"/>
  <c r="T180" i="1"/>
  <c r="S180" i="1"/>
  <c r="R180" i="1"/>
  <c r="Q180" i="1"/>
  <c r="X180" i="1" s="1"/>
  <c r="P180" i="1"/>
  <c r="O180" i="1"/>
  <c r="AB179" i="1"/>
  <c r="T179" i="1"/>
  <c r="X179" i="1" s="1"/>
  <c r="S179" i="1"/>
  <c r="R179" i="1"/>
  <c r="Q179" i="1"/>
  <c r="P179" i="1"/>
  <c r="V179" i="1" s="1"/>
  <c r="W179" i="1" s="1"/>
  <c r="O179" i="1"/>
  <c r="AB178" i="1"/>
  <c r="V178" i="1"/>
  <c r="W178" i="1" s="1"/>
  <c r="T178" i="1"/>
  <c r="S178" i="1"/>
  <c r="R178" i="1"/>
  <c r="Q178" i="1"/>
  <c r="P178" i="1"/>
  <c r="O178" i="1"/>
  <c r="AB177" i="1"/>
  <c r="X177" i="1"/>
  <c r="V177" i="1"/>
  <c r="W177" i="1" s="1"/>
  <c r="T177" i="1"/>
  <c r="S177" i="1"/>
  <c r="R177" i="1"/>
  <c r="Q177" i="1"/>
  <c r="P177" i="1"/>
  <c r="O177" i="1"/>
  <c r="AB176" i="1"/>
  <c r="V176" i="1"/>
  <c r="W176" i="1" s="1"/>
  <c r="T176" i="1"/>
  <c r="S176" i="1"/>
  <c r="R176" i="1"/>
  <c r="X176" i="1" s="1"/>
  <c r="Q176" i="1"/>
  <c r="P176" i="1"/>
  <c r="O176" i="1"/>
  <c r="AB175" i="1"/>
  <c r="T175" i="1"/>
  <c r="S175" i="1"/>
  <c r="X175" i="1" s="1"/>
  <c r="R175" i="1"/>
  <c r="Q175" i="1"/>
  <c r="P175" i="1"/>
  <c r="V175" i="1" s="1"/>
  <c r="W175" i="1" s="1"/>
  <c r="O175" i="1"/>
  <c r="AB174" i="1"/>
  <c r="V174" i="1"/>
  <c r="W174" i="1" s="1"/>
  <c r="T174" i="1"/>
  <c r="S174" i="1"/>
  <c r="R174" i="1"/>
  <c r="Q174" i="1"/>
  <c r="P174" i="1"/>
  <c r="O174" i="1"/>
  <c r="AB173" i="1"/>
  <c r="T173" i="1"/>
  <c r="S173" i="1"/>
  <c r="R173" i="1"/>
  <c r="Q173" i="1"/>
  <c r="P173" i="1"/>
  <c r="V173" i="1" s="1"/>
  <c r="W173" i="1" s="1"/>
  <c r="X173" i="1" s="1"/>
  <c r="O173" i="1"/>
  <c r="AB172" i="1"/>
  <c r="V172" i="1"/>
  <c r="W172" i="1" s="1"/>
  <c r="T172" i="1"/>
  <c r="S172" i="1"/>
  <c r="R172" i="1"/>
  <c r="Q172" i="1"/>
  <c r="X172" i="1" s="1"/>
  <c r="P172" i="1"/>
  <c r="O172" i="1"/>
  <c r="AB171" i="1"/>
  <c r="T171" i="1"/>
  <c r="S171" i="1"/>
  <c r="X171" i="1" s="1"/>
  <c r="R171" i="1"/>
  <c r="Q171" i="1"/>
  <c r="P171" i="1"/>
  <c r="V171" i="1" s="1"/>
  <c r="W171" i="1" s="1"/>
  <c r="O171" i="1"/>
  <c r="AB170" i="1"/>
  <c r="W170" i="1"/>
  <c r="V170" i="1"/>
  <c r="T170" i="1"/>
  <c r="S170" i="1"/>
  <c r="R170" i="1"/>
  <c r="Q170" i="1"/>
  <c r="P170" i="1"/>
  <c r="O170" i="1"/>
  <c r="AB169" i="1"/>
  <c r="V169" i="1"/>
  <c r="W169" i="1" s="1"/>
  <c r="T169" i="1"/>
  <c r="S169" i="1"/>
  <c r="X169" i="1" s="1"/>
  <c r="R169" i="1"/>
  <c r="Q169" i="1"/>
  <c r="P169" i="1"/>
  <c r="O169" i="1"/>
  <c r="AB168" i="1"/>
  <c r="V168" i="1"/>
  <c r="W168" i="1" s="1"/>
  <c r="X168" i="1" s="1"/>
  <c r="T168" i="1"/>
  <c r="S168" i="1"/>
  <c r="R168" i="1"/>
  <c r="Q168" i="1"/>
  <c r="P168" i="1"/>
  <c r="O168" i="1"/>
  <c r="AB167" i="1"/>
  <c r="X167" i="1"/>
  <c r="T167" i="1"/>
  <c r="S167" i="1"/>
  <c r="R167" i="1"/>
  <c r="Q167" i="1"/>
  <c r="P167" i="1"/>
  <c r="V167" i="1" s="1"/>
  <c r="W167" i="1" s="1"/>
  <c r="O167" i="1"/>
  <c r="AB166" i="1"/>
  <c r="W166" i="1"/>
  <c r="V166" i="1"/>
  <c r="T166" i="1"/>
  <c r="S166" i="1"/>
  <c r="R166" i="1"/>
  <c r="Q166" i="1"/>
  <c r="P166" i="1"/>
  <c r="O166" i="1"/>
  <c r="AB165" i="1"/>
  <c r="T165" i="1"/>
  <c r="S165" i="1"/>
  <c r="X165" i="1" s="1"/>
  <c r="R165" i="1"/>
  <c r="Q165" i="1"/>
  <c r="P165" i="1"/>
  <c r="V165" i="1" s="1"/>
  <c r="W165" i="1" s="1"/>
  <c r="O165" i="1"/>
  <c r="AB164" i="1"/>
  <c r="W164" i="1"/>
  <c r="V164" i="1"/>
  <c r="T164" i="1"/>
  <c r="S164" i="1"/>
  <c r="R164" i="1"/>
  <c r="Q164" i="1"/>
  <c r="X164" i="1" s="1"/>
  <c r="P164" i="1"/>
  <c r="O164" i="1"/>
  <c r="AB163" i="1"/>
  <c r="T163" i="1"/>
  <c r="S163" i="1"/>
  <c r="R163" i="1"/>
  <c r="Q163" i="1"/>
  <c r="X163" i="1" s="1"/>
  <c r="P163" i="1"/>
  <c r="V163" i="1" s="1"/>
  <c r="W163" i="1" s="1"/>
  <c r="O163" i="1"/>
  <c r="AB162" i="1"/>
  <c r="W162" i="1"/>
  <c r="V162" i="1"/>
  <c r="T162" i="1"/>
  <c r="S162" i="1"/>
  <c r="R162" i="1"/>
  <c r="Q162" i="1"/>
  <c r="X162" i="1" s="1"/>
  <c r="P162" i="1"/>
  <c r="O162" i="1"/>
  <c r="AB161" i="1"/>
  <c r="V161" i="1"/>
  <c r="W161" i="1" s="1"/>
  <c r="T161" i="1"/>
  <c r="S161" i="1"/>
  <c r="R161" i="1"/>
  <c r="Q161" i="1"/>
  <c r="P161" i="1"/>
  <c r="O161" i="1"/>
  <c r="AB160" i="1"/>
  <c r="T160" i="1"/>
  <c r="S160" i="1"/>
  <c r="R160" i="1"/>
  <c r="Q160" i="1"/>
  <c r="P160" i="1"/>
  <c r="V160" i="1" s="1"/>
  <c r="W160" i="1" s="1"/>
  <c r="X160" i="1" s="1"/>
  <c r="O160" i="1"/>
  <c r="AB159" i="1"/>
  <c r="T159" i="1"/>
  <c r="S159" i="1"/>
  <c r="R159" i="1"/>
  <c r="Q159" i="1"/>
  <c r="X159" i="1" s="1"/>
  <c r="P159" i="1"/>
  <c r="V159" i="1" s="1"/>
  <c r="W159" i="1" s="1"/>
  <c r="O159" i="1"/>
  <c r="AB158" i="1"/>
  <c r="V158" i="1"/>
  <c r="W158" i="1" s="1"/>
  <c r="T158" i="1"/>
  <c r="S158" i="1"/>
  <c r="R158" i="1"/>
  <c r="Q158" i="1"/>
  <c r="X158" i="1" s="1"/>
  <c r="P158" i="1"/>
  <c r="O158" i="1"/>
  <c r="AB157" i="1"/>
  <c r="V157" i="1"/>
  <c r="W157" i="1" s="1"/>
  <c r="T157" i="1"/>
  <c r="X157" i="1" s="1"/>
  <c r="S157" i="1"/>
  <c r="R157" i="1"/>
  <c r="Q157" i="1"/>
  <c r="P157" i="1"/>
  <c r="O157" i="1"/>
  <c r="AB156" i="1"/>
  <c r="W156" i="1"/>
  <c r="V156" i="1"/>
  <c r="T156" i="1"/>
  <c r="S156" i="1"/>
  <c r="R156" i="1"/>
  <c r="Q156" i="1"/>
  <c r="X156" i="1" s="1"/>
  <c r="P156" i="1"/>
  <c r="O156" i="1"/>
  <c r="AB155" i="1"/>
  <c r="T155" i="1"/>
  <c r="S155" i="1"/>
  <c r="R155" i="1"/>
  <c r="Q155" i="1"/>
  <c r="X155" i="1" s="1"/>
  <c r="P155" i="1"/>
  <c r="V155" i="1" s="1"/>
  <c r="W155" i="1" s="1"/>
  <c r="O155" i="1"/>
  <c r="AB154" i="1"/>
  <c r="V154" i="1"/>
  <c r="W154" i="1" s="1"/>
  <c r="T154" i="1"/>
  <c r="S154" i="1"/>
  <c r="R154" i="1"/>
  <c r="Q154" i="1"/>
  <c r="X154" i="1" s="1"/>
  <c r="P154" i="1"/>
  <c r="O154" i="1"/>
  <c r="AB153" i="1"/>
  <c r="V153" i="1"/>
  <c r="W153" i="1" s="1"/>
  <c r="T153" i="1"/>
  <c r="X153" i="1" s="1"/>
  <c r="S153" i="1"/>
  <c r="R153" i="1"/>
  <c r="Q153" i="1"/>
  <c r="P153" i="1"/>
  <c r="O153" i="1"/>
  <c r="AB152" i="1"/>
  <c r="W152" i="1"/>
  <c r="V152" i="1"/>
  <c r="T152" i="1"/>
  <c r="S152" i="1"/>
  <c r="R152" i="1"/>
  <c r="Q152" i="1"/>
  <c r="X152" i="1" s="1"/>
  <c r="P152" i="1"/>
  <c r="O152" i="1"/>
  <c r="AB151" i="1"/>
  <c r="T151" i="1"/>
  <c r="S151" i="1"/>
  <c r="R151" i="1"/>
  <c r="Q151" i="1"/>
  <c r="X151" i="1" s="1"/>
  <c r="P151" i="1"/>
  <c r="V151" i="1" s="1"/>
  <c r="W151" i="1" s="1"/>
  <c r="O151" i="1"/>
  <c r="AB150" i="1"/>
  <c r="V150" i="1"/>
  <c r="W150" i="1" s="1"/>
  <c r="T150" i="1"/>
  <c r="S150" i="1"/>
  <c r="R150" i="1"/>
  <c r="Q150" i="1"/>
  <c r="X150" i="1" s="1"/>
  <c r="P150" i="1"/>
  <c r="O150" i="1"/>
  <c r="AB149" i="1"/>
  <c r="V149" i="1"/>
  <c r="W149" i="1" s="1"/>
  <c r="T149" i="1"/>
  <c r="X149" i="1" s="1"/>
  <c r="S149" i="1"/>
  <c r="R149" i="1"/>
  <c r="Q149" i="1"/>
  <c r="P149" i="1"/>
  <c r="O149" i="1"/>
  <c r="AB148" i="1"/>
  <c r="W148" i="1"/>
  <c r="V148" i="1"/>
  <c r="T148" i="1"/>
  <c r="S148" i="1"/>
  <c r="R148" i="1"/>
  <c r="Q148" i="1"/>
  <c r="X148" i="1" s="1"/>
  <c r="P148" i="1"/>
  <c r="O148" i="1"/>
  <c r="AB147" i="1"/>
  <c r="T147" i="1"/>
  <c r="S147" i="1"/>
  <c r="R147" i="1"/>
  <c r="Q147" i="1"/>
  <c r="X147" i="1" s="1"/>
  <c r="P147" i="1"/>
  <c r="V147" i="1" s="1"/>
  <c r="W147" i="1" s="1"/>
  <c r="O147" i="1"/>
  <c r="AB146" i="1"/>
  <c r="V146" i="1"/>
  <c r="W146" i="1" s="1"/>
  <c r="T146" i="1"/>
  <c r="S146" i="1"/>
  <c r="R146" i="1"/>
  <c r="Q146" i="1"/>
  <c r="X146" i="1" s="1"/>
  <c r="P146" i="1"/>
  <c r="O146" i="1"/>
  <c r="AB145" i="1"/>
  <c r="V145" i="1"/>
  <c r="W145" i="1" s="1"/>
  <c r="T145" i="1"/>
  <c r="X145" i="1" s="1"/>
  <c r="S145" i="1"/>
  <c r="R145" i="1"/>
  <c r="Q145" i="1"/>
  <c r="P145" i="1"/>
  <c r="O145" i="1"/>
  <c r="AB144" i="1"/>
  <c r="W144" i="1"/>
  <c r="V144" i="1"/>
  <c r="T144" i="1"/>
  <c r="S144" i="1"/>
  <c r="R144" i="1"/>
  <c r="Q144" i="1"/>
  <c r="X144" i="1" s="1"/>
  <c r="P144" i="1"/>
  <c r="O144" i="1"/>
  <c r="AB143" i="1"/>
  <c r="T143" i="1"/>
  <c r="S143" i="1"/>
  <c r="R143" i="1"/>
  <c r="Q143" i="1"/>
  <c r="X143" i="1" s="1"/>
  <c r="P143" i="1"/>
  <c r="V143" i="1" s="1"/>
  <c r="W143" i="1" s="1"/>
  <c r="O143" i="1"/>
  <c r="AB142" i="1"/>
  <c r="V142" i="1"/>
  <c r="W142" i="1" s="1"/>
  <c r="T142" i="1"/>
  <c r="S142" i="1"/>
  <c r="R142" i="1"/>
  <c r="Q142" i="1"/>
  <c r="X142" i="1" s="1"/>
  <c r="P142" i="1"/>
  <c r="O142" i="1"/>
  <c r="AB141" i="1"/>
  <c r="V141" i="1"/>
  <c r="W141" i="1" s="1"/>
  <c r="T141" i="1"/>
  <c r="X141" i="1" s="1"/>
  <c r="S141" i="1"/>
  <c r="R141" i="1"/>
  <c r="Q141" i="1"/>
  <c r="P141" i="1"/>
  <c r="O141" i="1"/>
  <c r="AB140" i="1"/>
  <c r="W140" i="1"/>
  <c r="V140" i="1"/>
  <c r="T140" i="1"/>
  <c r="S140" i="1"/>
  <c r="R140" i="1"/>
  <c r="Q140" i="1"/>
  <c r="X140" i="1" s="1"/>
  <c r="P140" i="1"/>
  <c r="O140" i="1"/>
  <c r="AB139" i="1"/>
  <c r="T139" i="1"/>
  <c r="S139" i="1"/>
  <c r="R139" i="1"/>
  <c r="Q139" i="1"/>
  <c r="X139" i="1" s="1"/>
  <c r="P139" i="1"/>
  <c r="V139" i="1" s="1"/>
  <c r="W139" i="1" s="1"/>
  <c r="O139" i="1"/>
  <c r="AB138" i="1"/>
  <c r="V138" i="1"/>
  <c r="W138" i="1" s="1"/>
  <c r="T138" i="1"/>
  <c r="S138" i="1"/>
  <c r="R138" i="1"/>
  <c r="Q138" i="1"/>
  <c r="X138" i="1" s="1"/>
  <c r="P138" i="1"/>
  <c r="O138" i="1"/>
  <c r="AB137" i="1"/>
  <c r="V137" i="1"/>
  <c r="W137" i="1" s="1"/>
  <c r="T137" i="1"/>
  <c r="X137" i="1" s="1"/>
  <c r="S137" i="1"/>
  <c r="R137" i="1"/>
  <c r="Q137" i="1"/>
  <c r="P137" i="1"/>
  <c r="O137" i="1"/>
  <c r="AB136" i="1"/>
  <c r="W136" i="1"/>
  <c r="V136" i="1"/>
  <c r="T136" i="1"/>
  <c r="S136" i="1"/>
  <c r="R136" i="1"/>
  <c r="Q136" i="1"/>
  <c r="X136" i="1" s="1"/>
  <c r="P136" i="1"/>
  <c r="O136" i="1"/>
  <c r="AB135" i="1"/>
  <c r="T135" i="1"/>
  <c r="S135" i="1"/>
  <c r="R135" i="1"/>
  <c r="Q135" i="1"/>
  <c r="X135" i="1" s="1"/>
  <c r="P135" i="1"/>
  <c r="V135" i="1" s="1"/>
  <c r="W135" i="1" s="1"/>
  <c r="O135" i="1"/>
  <c r="AB134" i="1"/>
  <c r="V134" i="1"/>
  <c r="W134" i="1" s="1"/>
  <c r="T134" i="1"/>
  <c r="S134" i="1"/>
  <c r="R134" i="1"/>
  <c r="Q134" i="1"/>
  <c r="X134" i="1" s="1"/>
  <c r="P134" i="1"/>
  <c r="O134" i="1"/>
  <c r="AB133" i="1"/>
  <c r="V133" i="1"/>
  <c r="W133" i="1" s="1"/>
  <c r="T133" i="1"/>
  <c r="X133" i="1" s="1"/>
  <c r="S133" i="1"/>
  <c r="R133" i="1"/>
  <c r="Q133" i="1"/>
  <c r="P133" i="1"/>
  <c r="O133" i="1"/>
  <c r="AB132" i="1"/>
  <c r="W132" i="1"/>
  <c r="V132" i="1"/>
  <c r="T132" i="1"/>
  <c r="S132" i="1"/>
  <c r="R132" i="1"/>
  <c r="Q132" i="1"/>
  <c r="X132" i="1" s="1"/>
  <c r="P132" i="1"/>
  <c r="O132" i="1"/>
  <c r="AB131" i="1"/>
  <c r="T131" i="1"/>
  <c r="S131" i="1"/>
  <c r="R131" i="1"/>
  <c r="Q131" i="1"/>
  <c r="X131" i="1" s="1"/>
  <c r="P131" i="1"/>
  <c r="V131" i="1" s="1"/>
  <c r="W131" i="1" s="1"/>
  <c r="O131" i="1"/>
  <c r="AB130" i="1"/>
  <c r="V130" i="1"/>
  <c r="W130" i="1" s="1"/>
  <c r="T130" i="1"/>
  <c r="S130" i="1"/>
  <c r="R130" i="1"/>
  <c r="Q130" i="1"/>
  <c r="X130" i="1" s="1"/>
  <c r="P130" i="1"/>
  <c r="O130" i="1"/>
  <c r="AB129" i="1"/>
  <c r="V129" i="1"/>
  <c r="W129" i="1" s="1"/>
  <c r="T129" i="1"/>
  <c r="X129" i="1" s="1"/>
  <c r="S129" i="1"/>
  <c r="R129" i="1"/>
  <c r="Q129" i="1"/>
  <c r="P129" i="1"/>
  <c r="O129" i="1"/>
  <c r="AB128" i="1"/>
  <c r="W128" i="1"/>
  <c r="V128" i="1"/>
  <c r="T128" i="1"/>
  <c r="S128" i="1"/>
  <c r="R128" i="1"/>
  <c r="Q128" i="1"/>
  <c r="X128" i="1" s="1"/>
  <c r="P128" i="1"/>
  <c r="O128" i="1"/>
  <c r="AB127" i="1"/>
  <c r="T127" i="1"/>
  <c r="S127" i="1"/>
  <c r="R127" i="1"/>
  <c r="Q127" i="1"/>
  <c r="X127" i="1" s="1"/>
  <c r="P127" i="1"/>
  <c r="V127" i="1" s="1"/>
  <c r="W127" i="1" s="1"/>
  <c r="O127" i="1"/>
  <c r="AB126" i="1"/>
  <c r="V126" i="1"/>
  <c r="W126" i="1" s="1"/>
  <c r="T126" i="1"/>
  <c r="S126" i="1"/>
  <c r="R126" i="1"/>
  <c r="Q126" i="1"/>
  <c r="X126" i="1" s="1"/>
  <c r="P126" i="1"/>
  <c r="O126" i="1"/>
  <c r="AB125" i="1"/>
  <c r="V125" i="1"/>
  <c r="W125" i="1" s="1"/>
  <c r="T125" i="1"/>
  <c r="X125" i="1" s="1"/>
  <c r="S125" i="1"/>
  <c r="R125" i="1"/>
  <c r="Q125" i="1"/>
  <c r="P125" i="1"/>
  <c r="O125" i="1"/>
  <c r="AB124" i="1"/>
  <c r="W124" i="1"/>
  <c r="V124" i="1"/>
  <c r="T124" i="1"/>
  <c r="S124" i="1"/>
  <c r="R124" i="1"/>
  <c r="Q124" i="1"/>
  <c r="X124" i="1" s="1"/>
  <c r="P124" i="1"/>
  <c r="O124" i="1"/>
  <c r="AB123" i="1"/>
  <c r="T123" i="1"/>
  <c r="S123" i="1"/>
  <c r="R123" i="1"/>
  <c r="Q123" i="1"/>
  <c r="X123" i="1" s="1"/>
  <c r="P123" i="1"/>
  <c r="V123" i="1" s="1"/>
  <c r="W123" i="1" s="1"/>
  <c r="O123" i="1"/>
  <c r="AB122" i="1"/>
  <c r="V122" i="1"/>
  <c r="W122" i="1" s="1"/>
  <c r="T122" i="1"/>
  <c r="S122" i="1"/>
  <c r="R122" i="1"/>
  <c r="Q122" i="1"/>
  <c r="X122" i="1" s="1"/>
  <c r="P122" i="1"/>
  <c r="O122" i="1"/>
  <c r="AB121" i="1"/>
  <c r="V121" i="1"/>
  <c r="W121" i="1" s="1"/>
  <c r="T121" i="1"/>
  <c r="X121" i="1" s="1"/>
  <c r="S121" i="1"/>
  <c r="R121" i="1"/>
  <c r="Q121" i="1"/>
  <c r="P121" i="1"/>
  <c r="O121" i="1"/>
  <c r="AB120" i="1"/>
  <c r="T120" i="1"/>
  <c r="S120" i="1"/>
  <c r="R120" i="1"/>
  <c r="Q120" i="1"/>
  <c r="X120" i="1" s="1"/>
  <c r="P120" i="1"/>
  <c r="V120" i="1" s="1"/>
  <c r="W120" i="1" s="1"/>
  <c r="O120" i="1"/>
  <c r="AB119" i="1"/>
  <c r="T119" i="1"/>
  <c r="S119" i="1"/>
  <c r="R119" i="1"/>
  <c r="Q119" i="1"/>
  <c r="P119" i="1"/>
  <c r="V119" i="1" s="1"/>
  <c r="W119" i="1" s="1"/>
  <c r="O119" i="1"/>
  <c r="AB118" i="1"/>
  <c r="V118" i="1"/>
  <c r="W118" i="1" s="1"/>
  <c r="T118" i="1"/>
  <c r="S118" i="1"/>
  <c r="R118" i="1"/>
  <c r="Q118" i="1"/>
  <c r="X118" i="1" s="1"/>
  <c r="P118" i="1"/>
  <c r="O118" i="1"/>
  <c r="AB117" i="1"/>
  <c r="V117" i="1"/>
  <c r="W117" i="1" s="1"/>
  <c r="T117" i="1"/>
  <c r="S117" i="1"/>
  <c r="R117" i="1"/>
  <c r="Q117" i="1"/>
  <c r="P117" i="1"/>
  <c r="O117" i="1"/>
  <c r="AB116" i="1"/>
  <c r="T116" i="1"/>
  <c r="S116" i="1"/>
  <c r="R116" i="1"/>
  <c r="Q116" i="1"/>
  <c r="P116" i="1"/>
  <c r="V116" i="1" s="1"/>
  <c r="W116" i="1" s="1"/>
  <c r="O116" i="1"/>
  <c r="AB115" i="1"/>
  <c r="T115" i="1"/>
  <c r="S115" i="1"/>
  <c r="R115" i="1"/>
  <c r="Q115" i="1"/>
  <c r="P115" i="1"/>
  <c r="V115" i="1" s="1"/>
  <c r="W115" i="1" s="1"/>
  <c r="O115" i="1"/>
  <c r="AB114" i="1"/>
  <c r="V114" i="1"/>
  <c r="W114" i="1" s="1"/>
  <c r="T114" i="1"/>
  <c r="S114" i="1"/>
  <c r="R114" i="1"/>
  <c r="Q114" i="1"/>
  <c r="P114" i="1"/>
  <c r="O114" i="1"/>
  <c r="AB113" i="1"/>
  <c r="V113" i="1"/>
  <c r="W113" i="1" s="1"/>
  <c r="T113" i="1"/>
  <c r="S113" i="1"/>
  <c r="R113" i="1"/>
  <c r="Q113" i="1"/>
  <c r="P113" i="1"/>
  <c r="O113" i="1"/>
  <c r="AB112" i="1"/>
  <c r="T112" i="1"/>
  <c r="S112" i="1"/>
  <c r="R112" i="1"/>
  <c r="Q112" i="1"/>
  <c r="P112" i="1"/>
  <c r="V112" i="1" s="1"/>
  <c r="W112" i="1" s="1"/>
  <c r="O112" i="1"/>
  <c r="AB111" i="1"/>
  <c r="T111" i="1"/>
  <c r="S111" i="1"/>
  <c r="R111" i="1"/>
  <c r="Q111" i="1"/>
  <c r="X111" i="1" s="1"/>
  <c r="P111" i="1"/>
  <c r="V111" i="1" s="1"/>
  <c r="W111" i="1" s="1"/>
  <c r="O111" i="1"/>
  <c r="AB110" i="1"/>
  <c r="V110" i="1"/>
  <c r="W110" i="1" s="1"/>
  <c r="T110" i="1"/>
  <c r="S110" i="1"/>
  <c r="R110" i="1"/>
  <c r="Q110" i="1"/>
  <c r="P110" i="1"/>
  <c r="O110" i="1"/>
  <c r="AB109" i="1"/>
  <c r="V109" i="1"/>
  <c r="W109" i="1" s="1"/>
  <c r="T109" i="1"/>
  <c r="X109" i="1" s="1"/>
  <c r="S109" i="1"/>
  <c r="R109" i="1"/>
  <c r="Q109" i="1"/>
  <c r="P109" i="1"/>
  <c r="O109" i="1"/>
  <c r="AB108" i="1"/>
  <c r="T108" i="1"/>
  <c r="S108" i="1"/>
  <c r="R108" i="1"/>
  <c r="Q108" i="1"/>
  <c r="P108" i="1"/>
  <c r="V108" i="1" s="1"/>
  <c r="W108" i="1" s="1"/>
  <c r="X108" i="1" s="1"/>
  <c r="O108" i="1"/>
  <c r="AB107" i="1"/>
  <c r="T107" i="1"/>
  <c r="S107" i="1"/>
  <c r="R107" i="1"/>
  <c r="Q107" i="1"/>
  <c r="X107" i="1" s="1"/>
  <c r="P107" i="1"/>
  <c r="V107" i="1" s="1"/>
  <c r="W107" i="1" s="1"/>
  <c r="O107" i="1"/>
  <c r="AB106" i="1"/>
  <c r="V106" i="1"/>
  <c r="W106" i="1" s="1"/>
  <c r="T106" i="1"/>
  <c r="S106" i="1"/>
  <c r="R106" i="1"/>
  <c r="Q106" i="1"/>
  <c r="X106" i="1" s="1"/>
  <c r="P106" i="1"/>
  <c r="O106" i="1"/>
  <c r="AB105" i="1"/>
  <c r="V105" i="1"/>
  <c r="W105" i="1" s="1"/>
  <c r="T105" i="1"/>
  <c r="X105" i="1" s="1"/>
  <c r="S105" i="1"/>
  <c r="R105" i="1"/>
  <c r="Q105" i="1"/>
  <c r="P105" i="1"/>
  <c r="O105" i="1"/>
  <c r="AB104" i="1"/>
  <c r="T104" i="1"/>
  <c r="S104" i="1"/>
  <c r="R104" i="1"/>
  <c r="Q104" i="1"/>
  <c r="P104" i="1"/>
  <c r="V104" i="1" s="1"/>
  <c r="W104" i="1" s="1"/>
  <c r="X104" i="1" s="1"/>
  <c r="O104" i="1"/>
  <c r="AB103" i="1"/>
  <c r="T103" i="1"/>
  <c r="S103" i="1"/>
  <c r="R103" i="1"/>
  <c r="Q103" i="1"/>
  <c r="P103" i="1"/>
  <c r="V103" i="1" s="1"/>
  <c r="W103" i="1" s="1"/>
  <c r="O103" i="1"/>
  <c r="AB102" i="1"/>
  <c r="V102" i="1"/>
  <c r="W102" i="1" s="1"/>
  <c r="T102" i="1"/>
  <c r="S102" i="1"/>
  <c r="R102" i="1"/>
  <c r="Q102" i="1"/>
  <c r="X102" i="1" s="1"/>
  <c r="P102" i="1"/>
  <c r="O102" i="1"/>
  <c r="AB101" i="1"/>
  <c r="V101" i="1"/>
  <c r="W101" i="1" s="1"/>
  <c r="T101" i="1"/>
  <c r="S101" i="1"/>
  <c r="R101" i="1"/>
  <c r="Q101" i="1"/>
  <c r="P101" i="1"/>
  <c r="O101" i="1"/>
  <c r="AB100" i="1"/>
  <c r="T100" i="1"/>
  <c r="S100" i="1"/>
  <c r="R100" i="1"/>
  <c r="Q100" i="1"/>
  <c r="P100" i="1"/>
  <c r="V100" i="1" s="1"/>
  <c r="W100" i="1" s="1"/>
  <c r="X100" i="1" s="1"/>
  <c r="O100" i="1"/>
  <c r="AB99" i="1"/>
  <c r="T99" i="1"/>
  <c r="S99" i="1"/>
  <c r="R99" i="1"/>
  <c r="Q99" i="1"/>
  <c r="P99" i="1"/>
  <c r="V99" i="1" s="1"/>
  <c r="W99" i="1" s="1"/>
  <c r="O99" i="1"/>
  <c r="AB98" i="1"/>
  <c r="V98" i="1"/>
  <c r="W98" i="1" s="1"/>
  <c r="T98" i="1"/>
  <c r="S98" i="1"/>
  <c r="R98" i="1"/>
  <c r="Q98" i="1"/>
  <c r="P98" i="1"/>
  <c r="O98" i="1"/>
  <c r="AB97" i="1"/>
  <c r="V97" i="1"/>
  <c r="W97" i="1" s="1"/>
  <c r="T97" i="1"/>
  <c r="S97" i="1"/>
  <c r="R97" i="1"/>
  <c r="Q97" i="1"/>
  <c r="P97" i="1"/>
  <c r="O97" i="1"/>
  <c r="AB96" i="1"/>
  <c r="T96" i="1"/>
  <c r="S96" i="1"/>
  <c r="R96" i="1"/>
  <c r="Q96" i="1"/>
  <c r="P96" i="1"/>
  <c r="V96" i="1" s="1"/>
  <c r="W96" i="1" s="1"/>
  <c r="X96" i="1" s="1"/>
  <c r="O96" i="1"/>
  <c r="AB95" i="1"/>
  <c r="T95" i="1"/>
  <c r="S95" i="1"/>
  <c r="R95" i="1"/>
  <c r="Q95" i="1"/>
  <c r="X95" i="1" s="1"/>
  <c r="P95" i="1"/>
  <c r="V95" i="1" s="1"/>
  <c r="W95" i="1" s="1"/>
  <c r="O95" i="1"/>
  <c r="AB94" i="1"/>
  <c r="V94" i="1"/>
  <c r="W94" i="1" s="1"/>
  <c r="T94" i="1"/>
  <c r="S94" i="1"/>
  <c r="R94" i="1"/>
  <c r="Q94" i="1"/>
  <c r="P94" i="1"/>
  <c r="O94" i="1"/>
  <c r="AB93" i="1"/>
  <c r="V93" i="1"/>
  <c r="W93" i="1" s="1"/>
  <c r="T93" i="1"/>
  <c r="X93" i="1" s="1"/>
  <c r="S93" i="1"/>
  <c r="R93" i="1"/>
  <c r="Q93" i="1"/>
  <c r="P93" i="1"/>
  <c r="O93" i="1"/>
  <c r="AB92" i="1"/>
  <c r="T92" i="1"/>
  <c r="S92" i="1"/>
  <c r="R92" i="1"/>
  <c r="Q92" i="1"/>
  <c r="P92" i="1"/>
  <c r="V92" i="1" s="1"/>
  <c r="W92" i="1" s="1"/>
  <c r="X92" i="1" s="1"/>
  <c r="O92" i="1"/>
  <c r="AB91" i="1"/>
  <c r="T91" i="1"/>
  <c r="S91" i="1"/>
  <c r="R91" i="1"/>
  <c r="Q91" i="1"/>
  <c r="X91" i="1" s="1"/>
  <c r="P91" i="1"/>
  <c r="V91" i="1" s="1"/>
  <c r="W91" i="1" s="1"/>
  <c r="O91" i="1"/>
  <c r="AB90" i="1"/>
  <c r="V90" i="1"/>
  <c r="W90" i="1" s="1"/>
  <c r="T90" i="1"/>
  <c r="S90" i="1"/>
  <c r="R90" i="1"/>
  <c r="Q90" i="1"/>
  <c r="X90" i="1" s="1"/>
  <c r="P90" i="1"/>
  <c r="O90" i="1"/>
  <c r="AB89" i="1"/>
  <c r="V89" i="1"/>
  <c r="W89" i="1" s="1"/>
  <c r="T89" i="1"/>
  <c r="X89" i="1" s="1"/>
  <c r="S89" i="1"/>
  <c r="R89" i="1"/>
  <c r="Q89" i="1"/>
  <c r="P89" i="1"/>
  <c r="O89" i="1"/>
  <c r="AB88" i="1"/>
  <c r="T88" i="1"/>
  <c r="S88" i="1"/>
  <c r="R88" i="1"/>
  <c r="Q88" i="1"/>
  <c r="P88" i="1"/>
  <c r="V88" i="1" s="1"/>
  <c r="W88" i="1" s="1"/>
  <c r="X88" i="1" s="1"/>
  <c r="O88" i="1"/>
  <c r="AB87" i="1"/>
  <c r="T87" i="1"/>
  <c r="S87" i="1"/>
  <c r="R87" i="1"/>
  <c r="Q87" i="1"/>
  <c r="P87" i="1"/>
  <c r="V87" i="1" s="1"/>
  <c r="W87" i="1" s="1"/>
  <c r="O87" i="1"/>
  <c r="AB86" i="1"/>
  <c r="V86" i="1"/>
  <c r="W86" i="1" s="1"/>
  <c r="T86" i="1"/>
  <c r="S86" i="1"/>
  <c r="R86" i="1"/>
  <c r="Q86" i="1"/>
  <c r="X86" i="1" s="1"/>
  <c r="P86" i="1"/>
  <c r="O86" i="1"/>
  <c r="AB85" i="1"/>
  <c r="V85" i="1"/>
  <c r="W85" i="1" s="1"/>
  <c r="T85" i="1"/>
  <c r="S85" i="1"/>
  <c r="R85" i="1"/>
  <c r="Q85" i="1"/>
  <c r="P85" i="1"/>
  <c r="O85" i="1"/>
  <c r="AB84" i="1"/>
  <c r="T84" i="1"/>
  <c r="S84" i="1"/>
  <c r="R84" i="1"/>
  <c r="Q84" i="1"/>
  <c r="P84" i="1"/>
  <c r="V84" i="1" s="1"/>
  <c r="W84" i="1" s="1"/>
  <c r="X84" i="1" s="1"/>
  <c r="O84" i="1"/>
  <c r="AB83" i="1"/>
  <c r="T83" i="1"/>
  <c r="S83" i="1"/>
  <c r="R83" i="1"/>
  <c r="Q83" i="1"/>
  <c r="P83" i="1"/>
  <c r="V83" i="1" s="1"/>
  <c r="W83" i="1" s="1"/>
  <c r="O83" i="1"/>
  <c r="AB82" i="1"/>
  <c r="T82" i="1"/>
  <c r="S82" i="1"/>
  <c r="R82" i="1"/>
  <c r="Q82" i="1"/>
  <c r="P82" i="1"/>
  <c r="V82" i="1" s="1"/>
  <c r="W82" i="1" s="1"/>
  <c r="O82" i="1"/>
  <c r="AB81" i="1"/>
  <c r="V81" i="1"/>
  <c r="W81" i="1" s="1"/>
  <c r="T81" i="1"/>
  <c r="S81" i="1"/>
  <c r="R81" i="1"/>
  <c r="Q81" i="1"/>
  <c r="P81" i="1"/>
  <c r="O81" i="1"/>
  <c r="AB80" i="1"/>
  <c r="T80" i="1"/>
  <c r="X80" i="1" s="1"/>
  <c r="S80" i="1"/>
  <c r="R80" i="1"/>
  <c r="Q80" i="1"/>
  <c r="P80" i="1"/>
  <c r="V80" i="1" s="1"/>
  <c r="W80" i="1" s="1"/>
  <c r="O80" i="1"/>
  <c r="AB79" i="1"/>
  <c r="T79" i="1"/>
  <c r="S79" i="1"/>
  <c r="R79" i="1"/>
  <c r="Q79" i="1"/>
  <c r="P79" i="1"/>
  <c r="V79" i="1" s="1"/>
  <c r="W79" i="1" s="1"/>
  <c r="O79" i="1"/>
  <c r="AB78" i="1"/>
  <c r="T78" i="1"/>
  <c r="S78" i="1"/>
  <c r="R78" i="1"/>
  <c r="Q78" i="1"/>
  <c r="X78" i="1" s="1"/>
  <c r="P78" i="1"/>
  <c r="V78" i="1" s="1"/>
  <c r="W78" i="1" s="1"/>
  <c r="O78" i="1"/>
  <c r="AB77" i="1"/>
  <c r="V77" i="1"/>
  <c r="W77" i="1" s="1"/>
  <c r="T77" i="1"/>
  <c r="S77" i="1"/>
  <c r="R77" i="1"/>
  <c r="X77" i="1" s="1"/>
  <c r="Q77" i="1"/>
  <c r="P77" i="1"/>
  <c r="O77" i="1"/>
  <c r="AB76" i="1"/>
  <c r="T76" i="1"/>
  <c r="S76" i="1"/>
  <c r="R76" i="1"/>
  <c r="Q76" i="1"/>
  <c r="P76" i="1"/>
  <c r="V76" i="1" s="1"/>
  <c r="W76" i="1" s="1"/>
  <c r="O76" i="1"/>
  <c r="AB75" i="1"/>
  <c r="T75" i="1"/>
  <c r="S75" i="1"/>
  <c r="R75" i="1"/>
  <c r="Q75" i="1"/>
  <c r="P75" i="1"/>
  <c r="V75" i="1" s="1"/>
  <c r="W75" i="1" s="1"/>
  <c r="O75" i="1"/>
  <c r="AB74" i="1"/>
  <c r="T74" i="1"/>
  <c r="S74" i="1"/>
  <c r="R74" i="1"/>
  <c r="Q74" i="1"/>
  <c r="P74" i="1"/>
  <c r="V74" i="1" s="1"/>
  <c r="W74" i="1" s="1"/>
  <c r="O74" i="1"/>
  <c r="AB73" i="1"/>
  <c r="V73" i="1"/>
  <c r="W73" i="1" s="1"/>
  <c r="T73" i="1"/>
  <c r="S73" i="1"/>
  <c r="R73" i="1"/>
  <c r="X73" i="1" s="1"/>
  <c r="Q73" i="1"/>
  <c r="P73" i="1"/>
  <c r="O73" i="1"/>
  <c r="AB72" i="1"/>
  <c r="T72" i="1"/>
  <c r="S72" i="1"/>
  <c r="R72" i="1"/>
  <c r="Q72" i="1"/>
  <c r="P72" i="1"/>
  <c r="V72" i="1" s="1"/>
  <c r="W72" i="1" s="1"/>
  <c r="O72" i="1"/>
  <c r="AB71" i="1"/>
  <c r="T71" i="1"/>
  <c r="S71" i="1"/>
  <c r="R71" i="1"/>
  <c r="Q71" i="1"/>
  <c r="P71" i="1"/>
  <c r="V71" i="1" s="1"/>
  <c r="W71" i="1" s="1"/>
  <c r="O71" i="1"/>
  <c r="AB70" i="1"/>
  <c r="T70" i="1"/>
  <c r="S70" i="1"/>
  <c r="R70" i="1"/>
  <c r="Q70" i="1"/>
  <c r="X70" i="1" s="1"/>
  <c r="P70" i="1"/>
  <c r="V70" i="1" s="1"/>
  <c r="W70" i="1" s="1"/>
  <c r="O70" i="1"/>
  <c r="AB69" i="1"/>
  <c r="V69" i="1"/>
  <c r="W69" i="1" s="1"/>
  <c r="T69" i="1"/>
  <c r="S69" i="1"/>
  <c r="R69" i="1"/>
  <c r="Q69" i="1"/>
  <c r="P69" i="1"/>
  <c r="O69" i="1"/>
  <c r="AB68" i="1"/>
  <c r="T68" i="1"/>
  <c r="X68" i="1" s="1"/>
  <c r="S68" i="1"/>
  <c r="R68" i="1"/>
  <c r="Q68" i="1"/>
  <c r="P68" i="1"/>
  <c r="V68" i="1" s="1"/>
  <c r="W68" i="1" s="1"/>
  <c r="O68" i="1"/>
  <c r="AB67" i="1"/>
  <c r="T67" i="1"/>
  <c r="S67" i="1"/>
  <c r="R67" i="1"/>
  <c r="Q67" i="1"/>
  <c r="X67" i="1" s="1"/>
  <c r="P67" i="1"/>
  <c r="V67" i="1" s="1"/>
  <c r="W67" i="1" s="1"/>
  <c r="O67" i="1"/>
  <c r="AB66" i="1"/>
  <c r="T66" i="1"/>
  <c r="S66" i="1"/>
  <c r="R66" i="1"/>
  <c r="Q66" i="1"/>
  <c r="X66" i="1" s="1"/>
  <c r="P66" i="1"/>
  <c r="V66" i="1" s="1"/>
  <c r="W66" i="1" s="1"/>
  <c r="O66" i="1"/>
  <c r="AB65" i="1"/>
  <c r="V65" i="1"/>
  <c r="W65" i="1" s="1"/>
  <c r="T65" i="1"/>
  <c r="S65" i="1"/>
  <c r="R65" i="1"/>
  <c r="X65" i="1" s="1"/>
  <c r="Q65" i="1"/>
  <c r="P65" i="1"/>
  <c r="O65" i="1"/>
  <c r="AB64" i="1"/>
  <c r="T64" i="1"/>
  <c r="S64" i="1"/>
  <c r="R64" i="1"/>
  <c r="Q64" i="1"/>
  <c r="P64" i="1"/>
  <c r="V64" i="1" s="1"/>
  <c r="W64" i="1" s="1"/>
  <c r="O64" i="1"/>
  <c r="AB63" i="1"/>
  <c r="T63" i="1"/>
  <c r="S63" i="1"/>
  <c r="R63" i="1"/>
  <c r="Q63" i="1"/>
  <c r="P63" i="1"/>
  <c r="V63" i="1" s="1"/>
  <c r="W63" i="1" s="1"/>
  <c r="O63" i="1"/>
  <c r="AB62" i="1"/>
  <c r="T62" i="1"/>
  <c r="S62" i="1"/>
  <c r="R62" i="1"/>
  <c r="Q62" i="1"/>
  <c r="P62" i="1"/>
  <c r="V62" i="1" s="1"/>
  <c r="W62" i="1" s="1"/>
  <c r="O62" i="1"/>
  <c r="AB61" i="1"/>
  <c r="V61" i="1"/>
  <c r="W61" i="1" s="1"/>
  <c r="T61" i="1"/>
  <c r="S61" i="1"/>
  <c r="R61" i="1"/>
  <c r="Q61" i="1"/>
  <c r="P61" i="1"/>
  <c r="O61" i="1"/>
  <c r="AB60" i="1"/>
  <c r="T60" i="1"/>
  <c r="X60" i="1" s="1"/>
  <c r="S60" i="1"/>
  <c r="R60" i="1"/>
  <c r="Q60" i="1"/>
  <c r="P60" i="1"/>
  <c r="V60" i="1" s="1"/>
  <c r="W60" i="1" s="1"/>
  <c r="O60" i="1"/>
  <c r="AB59" i="1"/>
  <c r="T59" i="1"/>
  <c r="S59" i="1"/>
  <c r="R59" i="1"/>
  <c r="Q59" i="1"/>
  <c r="X59" i="1" s="1"/>
  <c r="P59" i="1"/>
  <c r="V59" i="1" s="1"/>
  <c r="W59" i="1" s="1"/>
  <c r="O59" i="1"/>
  <c r="AB58" i="1"/>
  <c r="T58" i="1"/>
  <c r="S58" i="1"/>
  <c r="R58" i="1"/>
  <c r="Q58" i="1"/>
  <c r="P58" i="1"/>
  <c r="V58" i="1" s="1"/>
  <c r="W58" i="1" s="1"/>
  <c r="O58" i="1"/>
  <c r="AB57" i="1"/>
  <c r="V57" i="1"/>
  <c r="W57" i="1" s="1"/>
  <c r="T57" i="1"/>
  <c r="S57" i="1"/>
  <c r="R57" i="1"/>
  <c r="Q57" i="1"/>
  <c r="P57" i="1"/>
  <c r="O57" i="1"/>
  <c r="AB56" i="1"/>
  <c r="T56" i="1"/>
  <c r="X56" i="1" s="1"/>
  <c r="S56" i="1"/>
  <c r="R56" i="1"/>
  <c r="Q56" i="1"/>
  <c r="P56" i="1"/>
  <c r="V56" i="1" s="1"/>
  <c r="W56" i="1" s="1"/>
  <c r="O56" i="1"/>
  <c r="AB55" i="1"/>
  <c r="T55" i="1"/>
  <c r="S55" i="1"/>
  <c r="R55" i="1"/>
  <c r="Q55" i="1"/>
  <c r="X55" i="1" s="1"/>
  <c r="P55" i="1"/>
  <c r="V55" i="1" s="1"/>
  <c r="W55" i="1" s="1"/>
  <c r="O55" i="1"/>
  <c r="AB54" i="1"/>
  <c r="T54" i="1"/>
  <c r="S54" i="1"/>
  <c r="R54" i="1"/>
  <c r="Q54" i="1"/>
  <c r="P54" i="1"/>
  <c r="V54" i="1" s="1"/>
  <c r="W54" i="1" s="1"/>
  <c r="O54" i="1"/>
  <c r="AB53" i="1"/>
  <c r="V53" i="1"/>
  <c r="W53" i="1" s="1"/>
  <c r="T53" i="1"/>
  <c r="S53" i="1"/>
  <c r="R53" i="1"/>
  <c r="X53" i="1" s="1"/>
  <c r="Q53" i="1"/>
  <c r="P53" i="1"/>
  <c r="O53" i="1"/>
  <c r="AB52" i="1"/>
  <c r="T52" i="1"/>
  <c r="S52" i="1"/>
  <c r="R52" i="1"/>
  <c r="Q52" i="1"/>
  <c r="P52" i="1"/>
  <c r="V52" i="1" s="1"/>
  <c r="W52" i="1" s="1"/>
  <c r="O52" i="1"/>
  <c r="AB51" i="1"/>
  <c r="T51" i="1"/>
  <c r="S51" i="1"/>
  <c r="R51" i="1"/>
  <c r="Q51" i="1"/>
  <c r="P51" i="1"/>
  <c r="V51" i="1" s="1"/>
  <c r="W51" i="1" s="1"/>
  <c r="O51" i="1"/>
  <c r="AB50" i="1"/>
  <c r="T50" i="1"/>
  <c r="S50" i="1"/>
  <c r="R50" i="1"/>
  <c r="Q50" i="1"/>
  <c r="P50" i="1"/>
  <c r="V50" i="1" s="1"/>
  <c r="W50" i="1" s="1"/>
  <c r="O50" i="1"/>
  <c r="AB49" i="1"/>
  <c r="V49" i="1"/>
  <c r="W49" i="1" s="1"/>
  <c r="T49" i="1"/>
  <c r="S49" i="1"/>
  <c r="R49" i="1"/>
  <c r="Q49" i="1"/>
  <c r="P49" i="1"/>
  <c r="O49" i="1"/>
  <c r="AB48" i="1"/>
  <c r="T48" i="1"/>
  <c r="X48" i="1" s="1"/>
  <c r="S48" i="1"/>
  <c r="R48" i="1"/>
  <c r="Q48" i="1"/>
  <c r="P48" i="1"/>
  <c r="V48" i="1" s="1"/>
  <c r="W48" i="1" s="1"/>
  <c r="O48" i="1"/>
  <c r="AB47" i="1"/>
  <c r="T47" i="1"/>
  <c r="S47" i="1"/>
  <c r="R47" i="1"/>
  <c r="Q47" i="1"/>
  <c r="P47" i="1"/>
  <c r="V47" i="1" s="1"/>
  <c r="W47" i="1" s="1"/>
  <c r="O47" i="1"/>
  <c r="AB46" i="1"/>
  <c r="T46" i="1"/>
  <c r="S46" i="1"/>
  <c r="R46" i="1"/>
  <c r="Q46" i="1"/>
  <c r="X46" i="1" s="1"/>
  <c r="P46" i="1"/>
  <c r="V46" i="1" s="1"/>
  <c r="W46" i="1" s="1"/>
  <c r="O46" i="1"/>
  <c r="AB45" i="1"/>
  <c r="V45" i="1"/>
  <c r="W45" i="1" s="1"/>
  <c r="T45" i="1"/>
  <c r="S45" i="1"/>
  <c r="R45" i="1"/>
  <c r="X45" i="1" s="1"/>
  <c r="Q45" i="1"/>
  <c r="P45" i="1"/>
  <c r="O45" i="1"/>
  <c r="AB44" i="1"/>
  <c r="T44" i="1"/>
  <c r="S44" i="1"/>
  <c r="R44" i="1"/>
  <c r="Q44" i="1"/>
  <c r="P44" i="1"/>
  <c r="V44" i="1" s="1"/>
  <c r="W44" i="1" s="1"/>
  <c r="O44" i="1"/>
  <c r="AB43" i="1"/>
  <c r="T43" i="1"/>
  <c r="S43" i="1"/>
  <c r="R43" i="1"/>
  <c r="Q43" i="1"/>
  <c r="P43" i="1"/>
  <c r="V43" i="1" s="1"/>
  <c r="W43" i="1" s="1"/>
  <c r="O43" i="1"/>
  <c r="AB42" i="1"/>
  <c r="T42" i="1"/>
  <c r="S42" i="1"/>
  <c r="R42" i="1"/>
  <c r="Q42" i="1"/>
  <c r="P42" i="1"/>
  <c r="V42" i="1" s="1"/>
  <c r="W42" i="1" s="1"/>
  <c r="O42" i="1"/>
  <c r="AB41" i="1"/>
  <c r="V41" i="1"/>
  <c r="W41" i="1" s="1"/>
  <c r="T41" i="1"/>
  <c r="S41" i="1"/>
  <c r="R41" i="1"/>
  <c r="X41" i="1" s="1"/>
  <c r="Q41" i="1"/>
  <c r="P41" i="1"/>
  <c r="O41" i="1"/>
  <c r="AB40" i="1"/>
  <c r="T40" i="1"/>
  <c r="S40" i="1"/>
  <c r="R40" i="1"/>
  <c r="Q40" i="1"/>
  <c r="P40" i="1"/>
  <c r="V40" i="1" s="1"/>
  <c r="W40" i="1" s="1"/>
  <c r="O40" i="1"/>
  <c r="AB39" i="1"/>
  <c r="T39" i="1"/>
  <c r="S39" i="1"/>
  <c r="R39" i="1"/>
  <c r="Q39" i="1"/>
  <c r="P39" i="1"/>
  <c r="V39" i="1" s="1"/>
  <c r="W39" i="1" s="1"/>
  <c r="O39" i="1"/>
  <c r="AB38" i="1"/>
  <c r="T38" i="1"/>
  <c r="S38" i="1"/>
  <c r="R38" i="1"/>
  <c r="Q38" i="1"/>
  <c r="X38" i="1" s="1"/>
  <c r="P38" i="1"/>
  <c r="V38" i="1" s="1"/>
  <c r="W38" i="1" s="1"/>
  <c r="O38" i="1"/>
  <c r="AB37" i="1"/>
  <c r="V37" i="1"/>
  <c r="W37" i="1" s="1"/>
  <c r="T37" i="1"/>
  <c r="S37" i="1"/>
  <c r="R37" i="1"/>
  <c r="Q37" i="1"/>
  <c r="P37" i="1"/>
  <c r="O37" i="1"/>
  <c r="AB36" i="1"/>
  <c r="T36" i="1"/>
  <c r="X36" i="1" s="1"/>
  <c r="S36" i="1"/>
  <c r="R36" i="1"/>
  <c r="Q36" i="1"/>
  <c r="P36" i="1"/>
  <c r="V36" i="1" s="1"/>
  <c r="W36" i="1" s="1"/>
  <c r="O36" i="1"/>
  <c r="AB35" i="1"/>
  <c r="T35" i="1"/>
  <c r="S35" i="1"/>
  <c r="R35" i="1"/>
  <c r="Q35" i="1"/>
  <c r="X35" i="1" s="1"/>
  <c r="P35" i="1"/>
  <c r="V35" i="1" s="1"/>
  <c r="W35" i="1" s="1"/>
  <c r="O35" i="1"/>
  <c r="AB34" i="1"/>
  <c r="T34" i="1"/>
  <c r="S34" i="1"/>
  <c r="R34" i="1"/>
  <c r="Q34" i="1"/>
  <c r="X34" i="1" s="1"/>
  <c r="P34" i="1"/>
  <c r="V34" i="1" s="1"/>
  <c r="W34" i="1" s="1"/>
  <c r="O34" i="1"/>
  <c r="AB33" i="1"/>
  <c r="V33" i="1"/>
  <c r="W33" i="1" s="1"/>
  <c r="T33" i="1"/>
  <c r="S33" i="1"/>
  <c r="R33" i="1"/>
  <c r="X33" i="1" s="1"/>
  <c r="Q33" i="1"/>
  <c r="P33" i="1"/>
  <c r="O33" i="1"/>
  <c r="AB32" i="1"/>
  <c r="T32" i="1"/>
  <c r="S32" i="1"/>
  <c r="R32" i="1"/>
  <c r="Q32" i="1"/>
  <c r="P32" i="1"/>
  <c r="V32" i="1" s="1"/>
  <c r="W32" i="1" s="1"/>
  <c r="O32" i="1"/>
  <c r="AB31" i="1"/>
  <c r="T31" i="1"/>
  <c r="S31" i="1"/>
  <c r="R31" i="1"/>
  <c r="Q31" i="1"/>
  <c r="P31" i="1"/>
  <c r="V31" i="1" s="1"/>
  <c r="W31" i="1" s="1"/>
  <c r="O31" i="1"/>
  <c r="AB30" i="1"/>
  <c r="T30" i="1"/>
  <c r="S30" i="1"/>
  <c r="R30" i="1"/>
  <c r="Q30" i="1"/>
  <c r="P30" i="1"/>
  <c r="V30" i="1" s="1"/>
  <c r="W30" i="1" s="1"/>
  <c r="O30" i="1"/>
  <c r="AB29" i="1"/>
  <c r="V29" i="1"/>
  <c r="W29" i="1" s="1"/>
  <c r="T29" i="1"/>
  <c r="S29" i="1"/>
  <c r="R29" i="1"/>
  <c r="Q29" i="1"/>
  <c r="P29" i="1"/>
  <c r="O29" i="1"/>
  <c r="AB28" i="1"/>
  <c r="T28" i="1"/>
  <c r="X28" i="1" s="1"/>
  <c r="S28" i="1"/>
  <c r="R28" i="1"/>
  <c r="Q28" i="1"/>
  <c r="P28" i="1"/>
  <c r="V28" i="1" s="1"/>
  <c r="W28" i="1" s="1"/>
  <c r="O28" i="1"/>
  <c r="AB27" i="1"/>
  <c r="T27" i="1"/>
  <c r="S27" i="1"/>
  <c r="R27" i="1"/>
  <c r="Q27" i="1"/>
  <c r="X27" i="1" s="1"/>
  <c r="P27" i="1"/>
  <c r="V27" i="1" s="1"/>
  <c r="W27" i="1" s="1"/>
  <c r="O27" i="1"/>
  <c r="AB26" i="1"/>
  <c r="T26" i="1"/>
  <c r="S26" i="1"/>
  <c r="R26" i="1"/>
  <c r="Q26" i="1"/>
  <c r="P26" i="1"/>
  <c r="V26" i="1" s="1"/>
  <c r="W26" i="1" s="1"/>
  <c r="O26" i="1"/>
  <c r="AB25" i="1"/>
  <c r="V25" i="1"/>
  <c r="W25" i="1" s="1"/>
  <c r="T25" i="1"/>
  <c r="S25" i="1"/>
  <c r="R25" i="1"/>
  <c r="Q25" i="1"/>
  <c r="P25" i="1"/>
  <c r="O25" i="1"/>
  <c r="AB24" i="1"/>
  <c r="T24" i="1"/>
  <c r="X24" i="1" s="1"/>
  <c r="S24" i="1"/>
  <c r="R24" i="1"/>
  <c r="Q24" i="1"/>
  <c r="P24" i="1"/>
  <c r="V24" i="1" s="1"/>
  <c r="W24" i="1" s="1"/>
  <c r="O24" i="1"/>
  <c r="AB23" i="1"/>
  <c r="T23" i="1"/>
  <c r="S23" i="1"/>
  <c r="R23" i="1"/>
  <c r="Q23" i="1"/>
  <c r="X23" i="1" s="1"/>
  <c r="P23" i="1"/>
  <c r="V23" i="1" s="1"/>
  <c r="W23" i="1" s="1"/>
  <c r="O23" i="1"/>
  <c r="AB22" i="1"/>
  <c r="T22" i="1"/>
  <c r="S22" i="1"/>
  <c r="R22" i="1"/>
  <c r="Q22" i="1"/>
  <c r="P22" i="1"/>
  <c r="V22" i="1" s="1"/>
  <c r="W22" i="1" s="1"/>
  <c r="O22" i="1"/>
  <c r="AB21" i="1"/>
  <c r="V21" i="1"/>
  <c r="W21" i="1" s="1"/>
  <c r="T21" i="1"/>
  <c r="S21" i="1"/>
  <c r="R21" i="1"/>
  <c r="X21" i="1" s="1"/>
  <c r="Q21" i="1"/>
  <c r="P21" i="1"/>
  <c r="O21" i="1"/>
  <c r="AB20" i="1"/>
  <c r="T20" i="1"/>
  <c r="S20" i="1"/>
  <c r="R20" i="1"/>
  <c r="Q20" i="1"/>
  <c r="P20" i="1"/>
  <c r="V20" i="1" s="1"/>
  <c r="W20" i="1" s="1"/>
  <c r="O20" i="1"/>
  <c r="AB19" i="1"/>
  <c r="T19" i="1"/>
  <c r="S19" i="1"/>
  <c r="R19" i="1"/>
  <c r="Q19" i="1"/>
  <c r="P19" i="1"/>
  <c r="V19" i="1" s="1"/>
  <c r="W19" i="1" s="1"/>
  <c r="O19" i="1"/>
  <c r="AB18" i="1"/>
  <c r="T18" i="1"/>
  <c r="S18" i="1"/>
  <c r="R18" i="1"/>
  <c r="Q18" i="1"/>
  <c r="P18" i="1"/>
  <c r="V18" i="1" s="1"/>
  <c r="W18" i="1" s="1"/>
  <c r="O18" i="1"/>
  <c r="AB17" i="1"/>
  <c r="V17" i="1"/>
  <c r="W17" i="1" s="1"/>
  <c r="T17" i="1"/>
  <c r="S17" i="1"/>
  <c r="R17" i="1"/>
  <c r="Q17" i="1"/>
  <c r="P17" i="1"/>
  <c r="O17" i="1"/>
  <c r="AB16" i="1"/>
  <c r="T16" i="1"/>
  <c r="X16" i="1" s="1"/>
  <c r="S16" i="1"/>
  <c r="R16" i="1"/>
  <c r="Q16" i="1"/>
  <c r="P16" i="1"/>
  <c r="V16" i="1" s="1"/>
  <c r="W16" i="1" s="1"/>
  <c r="O16" i="1"/>
  <c r="AB15" i="1"/>
  <c r="T15" i="1"/>
  <c r="S15" i="1"/>
  <c r="R15" i="1"/>
  <c r="Q15" i="1"/>
  <c r="P15" i="1"/>
  <c r="V15" i="1" s="1"/>
  <c r="W15" i="1" s="1"/>
  <c r="O15" i="1"/>
  <c r="AB14" i="1"/>
  <c r="T14" i="1"/>
  <c r="S14" i="1"/>
  <c r="R14" i="1"/>
  <c r="Q14" i="1"/>
  <c r="X14" i="1" s="1"/>
  <c r="P14" i="1"/>
  <c r="V14" i="1" s="1"/>
  <c r="W14" i="1" s="1"/>
  <c r="O14" i="1"/>
  <c r="AB13" i="1"/>
  <c r="V13" i="1"/>
  <c r="W13" i="1" s="1"/>
  <c r="T13" i="1"/>
  <c r="S13" i="1"/>
  <c r="R13" i="1"/>
  <c r="X13" i="1" s="1"/>
  <c r="Q13" i="1"/>
  <c r="P13" i="1"/>
  <c r="O13" i="1"/>
  <c r="AB12" i="1"/>
  <c r="T12" i="1"/>
  <c r="S12" i="1"/>
  <c r="R12" i="1"/>
  <c r="Q12" i="1"/>
  <c r="P12" i="1"/>
  <c r="V12" i="1" s="1"/>
  <c r="W12" i="1" s="1"/>
  <c r="O12" i="1"/>
  <c r="AB11" i="1"/>
  <c r="T11" i="1"/>
  <c r="S11" i="1"/>
  <c r="R11" i="1"/>
  <c r="Q11" i="1"/>
  <c r="P11" i="1"/>
  <c r="V11" i="1" s="1"/>
  <c r="W11" i="1" s="1"/>
  <c r="O11" i="1"/>
  <c r="AB10" i="1"/>
  <c r="T10" i="1"/>
  <c r="S10" i="1"/>
  <c r="R10" i="1"/>
  <c r="Q10" i="1"/>
  <c r="P10" i="1"/>
  <c r="V10" i="1" s="1"/>
  <c r="W10" i="1" s="1"/>
  <c r="O10" i="1"/>
  <c r="AB9" i="1"/>
  <c r="V9" i="1"/>
  <c r="W9" i="1" s="1"/>
  <c r="T9" i="1"/>
  <c r="S9" i="1"/>
  <c r="R9" i="1"/>
  <c r="Q9" i="1"/>
  <c r="P9" i="1"/>
  <c r="O9" i="1"/>
  <c r="AB8" i="1"/>
  <c r="T8" i="1"/>
  <c r="S8" i="1"/>
  <c r="R8" i="1"/>
  <c r="Q8" i="1"/>
  <c r="P8" i="1"/>
  <c r="V8" i="1" s="1"/>
  <c r="W8" i="1" s="1"/>
  <c r="O8" i="1"/>
  <c r="AB7" i="1"/>
  <c r="T7" i="1"/>
  <c r="S7" i="1"/>
  <c r="R7" i="1"/>
  <c r="Q7" i="1"/>
  <c r="P7" i="1"/>
  <c r="V7" i="1" s="1"/>
  <c r="W7" i="1" s="1"/>
  <c r="O7" i="1"/>
  <c r="AB6" i="1"/>
  <c r="T6" i="1"/>
  <c r="S6" i="1"/>
  <c r="R6" i="1"/>
  <c r="Q6" i="1"/>
  <c r="X6" i="1" s="1"/>
  <c r="P6" i="1"/>
  <c r="V6" i="1" s="1"/>
  <c r="W6" i="1" s="1"/>
  <c r="O6" i="1"/>
  <c r="AB5" i="1"/>
  <c r="V5" i="1"/>
  <c r="W5" i="1" s="1"/>
  <c r="T5" i="1"/>
  <c r="S5" i="1"/>
  <c r="R5" i="1"/>
  <c r="Q5" i="1"/>
  <c r="P5" i="1"/>
  <c r="O5" i="1"/>
  <c r="AB4" i="1"/>
  <c r="T4" i="1"/>
  <c r="S4" i="1"/>
  <c r="R4" i="1"/>
  <c r="Q4" i="1"/>
  <c r="P4" i="1"/>
  <c r="O4" i="1"/>
  <c r="X11" i="1" l="1"/>
  <c r="X54" i="1"/>
  <c r="X25" i="1"/>
  <c r="X57" i="1"/>
  <c r="X22" i="1"/>
  <c r="X75" i="1"/>
  <c r="X87" i="1"/>
  <c r="X103" i="1"/>
  <c r="X119" i="1"/>
  <c r="X116" i="1"/>
  <c r="X43" i="1"/>
  <c r="X31" i="1"/>
  <c r="X42" i="1"/>
  <c r="X63" i="1"/>
  <c r="X74" i="1"/>
  <c r="X12" i="1"/>
  <c r="X30" i="1"/>
  <c r="X44" i="1"/>
  <c r="X51" i="1"/>
  <c r="X62" i="1"/>
  <c r="X76" i="1"/>
  <c r="X83" i="1"/>
  <c r="X98" i="1"/>
  <c r="X99" i="1"/>
  <c r="X114" i="1"/>
  <c r="X115" i="1"/>
  <c r="X9" i="1"/>
  <c r="X19" i="1"/>
  <c r="X7" i="1"/>
  <c r="X18" i="1"/>
  <c r="X29" i="1"/>
  <c r="X32" i="1"/>
  <c r="X39" i="1"/>
  <c r="X50" i="1"/>
  <c r="X61" i="1"/>
  <c r="X64" i="1"/>
  <c r="X71" i="1"/>
  <c r="X82" i="1"/>
  <c r="X85" i="1"/>
  <c r="X101" i="1"/>
  <c r="X112" i="1"/>
  <c r="X117" i="1"/>
  <c r="X185" i="1"/>
  <c r="X10" i="1"/>
  <c r="X17" i="1"/>
  <c r="X20" i="1"/>
  <c r="X49" i="1"/>
  <c r="X52" i="1"/>
  <c r="X81" i="1"/>
  <c r="X94" i="1"/>
  <c r="X110" i="1"/>
  <c r="X161" i="1"/>
  <c r="X5" i="1"/>
  <c r="X8" i="1"/>
  <c r="X15" i="1"/>
  <c r="X26" i="1"/>
  <c r="X37" i="1"/>
  <c r="X40" i="1"/>
  <c r="X47" i="1"/>
  <c r="X58" i="1"/>
  <c r="X69" i="1"/>
  <c r="X72" i="1"/>
  <c r="X79" i="1"/>
  <c r="X97" i="1"/>
  <c r="X113" i="1"/>
  <c r="X181" i="1"/>
  <c r="X297" i="1"/>
  <c r="O347" i="1"/>
  <c r="O353" i="1" s="1"/>
  <c r="X174" i="1"/>
  <c r="X193" i="1"/>
  <c r="X198" i="1"/>
  <c r="X209" i="1"/>
  <c r="X214" i="1"/>
  <c r="X225" i="1"/>
  <c r="X230" i="1"/>
  <c r="X249" i="1"/>
  <c r="X255" i="1"/>
  <c r="X258" i="1"/>
  <c r="X278" i="1"/>
  <c r="X285" i="1"/>
  <c r="P347" i="1"/>
  <c r="X186" i="1"/>
  <c r="X253" i="1"/>
  <c r="X259" i="1"/>
  <c r="X262" i="1"/>
  <c r="X279" i="1"/>
  <c r="X290" i="1"/>
  <c r="X301" i="1"/>
  <c r="X306" i="1"/>
  <c r="X313" i="1"/>
  <c r="Q347" i="1"/>
  <c r="X166" i="1"/>
  <c r="X197" i="1"/>
  <c r="X202" i="1"/>
  <c r="X213" i="1"/>
  <c r="X218" i="1"/>
  <c r="X229" i="1"/>
  <c r="X234" i="1"/>
  <c r="X257" i="1"/>
  <c r="X266" i="1"/>
  <c r="X277" i="1"/>
  <c r="R347" i="2"/>
  <c r="X178" i="1"/>
  <c r="X235" i="1"/>
  <c r="X238" i="1"/>
  <c r="X261" i="1"/>
  <c r="X267" i="1"/>
  <c r="X270" i="1"/>
  <c r="X282" i="1"/>
  <c r="X289" i="1"/>
  <c r="X294" i="1"/>
  <c r="X305" i="1"/>
  <c r="X310" i="1"/>
  <c r="X325" i="1"/>
  <c r="X334" i="1"/>
  <c r="X335" i="1"/>
  <c r="N31" i="3"/>
  <c r="X245" i="1"/>
  <c r="X273" i="1"/>
  <c r="R347" i="1"/>
  <c r="S347" i="1"/>
  <c r="X190" i="1"/>
  <c r="X239" i="1"/>
  <c r="X271" i="1"/>
  <c r="X283" i="1"/>
  <c r="X295" i="1"/>
  <c r="X311" i="1"/>
  <c r="X329" i="1"/>
  <c r="X338" i="1"/>
  <c r="X339" i="1"/>
  <c r="N37" i="3"/>
  <c r="T347" i="1"/>
  <c r="X170" i="1"/>
  <c r="X237" i="1"/>
  <c r="X243" i="1"/>
  <c r="X246" i="1"/>
  <c r="X269" i="1"/>
  <c r="X274" i="1"/>
  <c r="X281" i="1"/>
  <c r="X293" i="1"/>
  <c r="X298" i="1"/>
  <c r="X309" i="1"/>
  <c r="X314" i="1"/>
  <c r="X333" i="1"/>
  <c r="X342" i="1"/>
  <c r="X343" i="1"/>
  <c r="V4" i="1"/>
  <c r="X182" i="1"/>
  <c r="X194" i="1"/>
  <c r="X205" i="1"/>
  <c r="X210" i="1"/>
  <c r="X221" i="1"/>
  <c r="X226" i="1"/>
  <c r="X241" i="1"/>
  <c r="X250" i="1"/>
  <c r="X286" i="1"/>
  <c r="X299" i="1"/>
  <c r="X315" i="1"/>
  <c r="X337" i="1"/>
  <c r="X346" i="1"/>
  <c r="O38" i="3"/>
  <c r="N38" i="3"/>
  <c r="N46" i="3"/>
  <c r="N30" i="3"/>
  <c r="N33" i="3" l="1"/>
  <c r="N35" i="3"/>
  <c r="N34" i="3"/>
  <c r="V347" i="1"/>
  <c r="W4" i="1"/>
  <c r="X4" i="1" s="1"/>
  <c r="X347" i="1" s="1"/>
</calcChain>
</file>

<file path=xl/sharedStrings.xml><?xml version="1.0" encoding="utf-8"?>
<sst xmlns="http://schemas.openxmlformats.org/spreadsheetml/2006/main" count="2218" uniqueCount="402">
  <si>
    <t>NÚMERO DE VIVIENDAS</t>
  </si>
  <si>
    <t>NÚMERO DE VIVIENDAS INTERPOLADAS PARTICULARES CON PERSONAS PRESENTES</t>
  </si>
  <si>
    <t>calculos adicionales</t>
  </si>
  <si>
    <t xml:space="preserve">Mediana de medidores </t>
  </si>
  <si>
    <t>Cantidad total de viviendas particulares ocupadas y desocupadas</t>
  </si>
  <si>
    <t>Codigo</t>
  </si>
  <si>
    <t>Municipio</t>
  </si>
  <si>
    <t xml:space="preserve"> interpoladas 2016</t>
  </si>
  <si>
    <t>Total</t>
  </si>
  <si>
    <t>Red de empresa eléctrica (servicio público)</t>
  </si>
  <si>
    <t>Motor propio</t>
  </si>
  <si>
    <t>Panel solar</t>
  </si>
  <si>
    <t>Otra</t>
  </si>
  <si>
    <t>No tiene</t>
  </si>
  <si>
    <t>Servicio público de energía eléctrica</t>
  </si>
  <si>
    <t>Total de medidores 2016 en la base de electricidad</t>
  </si>
  <si>
    <t>Total de medidores faltantes para 2016 en la base de electricidad</t>
  </si>
  <si>
    <t>Total de medidores a reemplazar con 0 en la base de electricidad</t>
  </si>
  <si>
    <t>Cantidad de viviendas/residencias estimadas 2016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</si>
  <si>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</si>
  <si>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</si>
  <si>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</si>
  <si>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</si>
  <si>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</si>
  <si>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</si>
  <si>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</si>
  <si>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</si>
  <si>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</si>
  <si>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</si>
  <si>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</si>
  <si>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</si>
  <si>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</si>
  <si>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</si>
  <si>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</si>
  <si>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</si>
  <si>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</si>
  <si>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</si>
  <si>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</si>
  <si>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</si>
  <si>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</si>
  <si>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</si>
  <si>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</si>
  <si>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</si>
  <si>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</si>
  <si>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</si>
  <si>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</si>
  <si>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</si>
  <si>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</si>
  <si>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</si>
  <si>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</si>
  <si>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</si>
  <si>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</si>
  <si>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</si>
  <si>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</si>
  <si>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</si>
  <si>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</si>
  <si>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</si>
  <si>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</si>
  <si>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</si>
  <si>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</si>
  <si>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</si>
  <si>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</si>
  <si>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</si>
  <si>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</si>
  <si>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</si>
  <si>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</si>
  <si>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</si>
  <si>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</si>
  <si>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</si>
  <si>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</si>
  <si>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</si>
  <si>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</si>
  <si>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</si>
  <si>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</si>
  <si>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</si>
  <si>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</si>
  <si>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</si>
  <si>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</si>
  <si>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</si>
  <si>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</si>
  <si>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</si>
  <si>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</si>
  <si>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</si>
  <si>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</si>
  <si>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</si>
  <si>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</si>
  <si>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</si>
  <si>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</si>
  <si>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</si>
  <si>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</si>
  <si>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</si>
  <si>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</si>
  <si>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</si>
  <si>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</si>
  <si>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</si>
  <si>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</si>
  <si>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</si>
  <si>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</si>
  <si>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</si>
  <si>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</si>
  <si>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</si>
  <si>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</si>
  <si>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</si>
  <si>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</si>
  <si>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</si>
  <si>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</si>
  <si>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</si>
  <si>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</si>
  <si>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</si>
  <si>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</si>
  <si>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</si>
  <si>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</si>
  <si>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</si>
  <si>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</si>
  <si>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</si>
  <si>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</si>
  <si>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</si>
  <si>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</si>
  <si>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</si>
  <si>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</si>
  <si>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</si>
  <si>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</si>
  <si>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</si>
  <si>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</si>
  <si>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</si>
  <si>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</si>
  <si>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</si>
  <si>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</si>
  <si>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</si>
  <si>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</si>
  <si>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</si>
  <si>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</si>
  <si>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</si>
  <si>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</si>
  <si>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</si>
  <si>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</si>
  <si>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</si>
  <si>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</si>
  <si>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</si>
  <si>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</si>
  <si>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</si>
  <si>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</si>
  <si>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</si>
  <si>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</si>
  <si>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</si>
  <si>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</si>
  <si>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</si>
  <si>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</si>
  <si>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</si>
  <si>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</si>
  <si>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</si>
  <si>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</si>
  <si>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</si>
  <si>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</si>
  <si>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</si>
  <si>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</si>
  <si>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</si>
  <si>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</si>
  <si>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</si>
  <si>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</si>
  <si>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</si>
  <si>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</si>
  <si>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</si>
  <si>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</si>
  <si>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</si>
  <si>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</si>
  <si>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</si>
  <si>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</si>
  <si>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</si>
  <si>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</si>
  <si>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</si>
  <si>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</si>
  <si>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</si>
  <si>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</si>
  <si>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</si>
  <si>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</si>
  <si>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</si>
  <si>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</si>
  <si>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</si>
  <si>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</si>
  <si>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</si>
  <si>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</si>
  <si>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</si>
  <si>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</si>
  <si>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</si>
  <si>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</si>
  <si>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</si>
  <si>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</si>
  <si>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</si>
  <si>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</si>
  <si>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</si>
  <si>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</si>
  <si>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</si>
  <si>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</si>
  <si>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</si>
  <si>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</si>
  <si>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</si>
  <si>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</si>
  <si>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</si>
  <si>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</si>
  <si>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</si>
  <si>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</si>
  <si>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</si>
  <si>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</si>
  <si>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</si>
  <si>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</si>
  <si>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</si>
  <si>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</si>
  <si>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</si>
  <si>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</si>
  <si>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</si>
  <si>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</si>
  <si>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</si>
  <si>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</si>
  <si>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</si>
  <si>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</si>
  <si>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</si>
  <si>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</si>
  <si>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</si>
  <si>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</si>
  <si>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</si>
  <si>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</si>
  <si>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</si>
  <si>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</si>
  <si>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</si>
  <si>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</si>
  <si>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</si>
  <si>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</si>
  <si>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</si>
  <si>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</si>
  <si>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</si>
  <si>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</si>
  <si>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</si>
  <si>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</si>
  <si>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</si>
  <si>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</si>
  <si>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</si>
  <si>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</si>
  <si>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</si>
  <si>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</si>
  <si>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</si>
  <si>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</si>
  <si>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</si>
  <si>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</si>
  <si>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</si>
  <si>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</si>
  <si>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</si>
  <si>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</si>
  <si>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</si>
  <si>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</si>
  <si>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</si>
  <si>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</si>
  <si>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</si>
  <si>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</si>
  <si>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</si>
  <si>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</si>
  <si>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</si>
  <si>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</si>
  <si>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</si>
  <si>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</si>
  <si>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</si>
  <si>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</si>
  <si>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</si>
  <si>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</si>
  <si>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</si>
  <si>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</si>
  <si>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</si>
  <si>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</si>
  <si>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</si>
  <si>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</si>
  <si>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</si>
  <si>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</si>
  <si>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</si>
  <si>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</si>
  <si>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</si>
  <si>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</si>
  <si>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</si>
  <si>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</si>
  <si>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</si>
  <si>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</si>
  <si>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</si>
  <si>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</si>
  <si>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</si>
  <si>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</si>
  <si>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</si>
  <si>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</si>
  <si>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</si>
  <si>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</si>
  <si>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</si>
  <si>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</si>
  <si>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</si>
  <si>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</si>
  <si>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</si>
  <si>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</si>
  <si>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</si>
  <si>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</si>
  <si>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</si>
  <si>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</si>
  <si>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</si>
  <si>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</si>
  <si>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</si>
  <si>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</si>
  <si>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</si>
  <si>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</si>
  <si>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</si>
  <si>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</si>
  <si>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</si>
  <si>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</si>
  <si>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</si>
  <si>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</si>
  <si>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</si>
  <si>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</si>
  <si>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</si>
  <si>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</si>
  <si>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</si>
  <si>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</si>
  <si>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</si>
  <si>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</si>
  <si>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</si>
  <si>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</si>
  <si>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</si>
  <si>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</si>
  <si>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</si>
  <si>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</si>
  <si>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</si>
  <si>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</si>
  <si>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</si>
  <si>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</si>
  <si>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</si>
  <si>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</si>
  <si>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</si>
  <si>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</si>
  <si>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</si>
  <si>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</si>
  <si>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</si>
  <si>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</si>
  <si>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</si>
  <si>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</si>
  <si>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</si>
  <si>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</si>
  <si>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</si>
  <si>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</si>
  <si>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</si>
  <si>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</si>
  <si>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</si>
  <si>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</si>
  <si>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</si>
  <si>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</si>
  <si>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</si>
  <si>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</si>
  <si>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</si>
  <si>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</si>
  <si>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</si>
  <si>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</si>
  <si>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</si>
  <si>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</si>
  <si>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</si>
  <si>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 xml:space="preserve">2,516,760 </t>
  </si>
  <si>
    <t>Total de medidores 2024 en la base de electricidad</t>
  </si>
  <si>
    <t>Total de medidores faltantes para 2024 en la base de electricidad</t>
  </si>
  <si>
    <t>Cantidad de viviendas/residencias estimadas 2024</t>
  </si>
  <si>
    <t>id</t>
  </si>
  <si>
    <t>Departamento</t>
  </si>
  <si>
    <t>Población2016</t>
  </si>
  <si>
    <t>consumo_kwh_anual_2016 (sin 4 nuevos municipios)</t>
  </si>
  <si>
    <t>consumo_per_capita_2016</t>
  </si>
  <si>
    <t>Población2024</t>
  </si>
  <si>
    <t>consumo_kwh_anual_2024</t>
  </si>
  <si>
    <t>consumo_per_capita_2024</t>
  </si>
  <si>
    <t>Chuquisaca</t>
  </si>
  <si>
    <t>Beni</t>
  </si>
  <si>
    <t>Bolivia</t>
  </si>
  <si>
    <t>Cochabamba</t>
  </si>
  <si>
    <t>Gran Chaco</t>
  </si>
  <si>
    <t>Pando</t>
  </si>
  <si>
    <t>Santa Cruz</t>
  </si>
  <si>
    <t>id_departamento</t>
  </si>
  <si>
    <t>consumo_kwh_anual_2016</t>
  </si>
  <si>
    <t>promedio</t>
  </si>
  <si>
    <t>0*5desv</t>
  </si>
  <si>
    <t>max</t>
  </si>
  <si>
    <t>min</t>
  </si>
  <si>
    <t>promedio de los top 5</t>
  </si>
  <si>
    <t>2,5 percentil inferior</t>
  </si>
  <si>
    <t xml:space="preserve">consumo_kwh_anual_2016 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</si>
  <si>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</si>
  <si>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</si>
  <si>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</si>
  <si>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</si>
  <si>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</si>
  <si>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</si>
  <si>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</si>
  <si>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</si>
  <si>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</si>
  <si>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</si>
  <si>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Consumo de electricidad residencial per cápita</t>
  </si>
  <si>
    <t/>
  </si>
  <si>
    <t>SUM of consumo_kwh_anual_2016 (sin 4 nuevos municipios)</t>
  </si>
  <si>
    <t>SUM of consumo_kwh_anual_2024</t>
  </si>
  <si>
    <t>SUM of Población2016</t>
  </si>
  <si>
    <t>SUM of Población2024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</si>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</sst>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00"/>
    <numFmt numFmtId="165" formatCode="_-* #,##0_-;\-* #,##0_-;_-* &quot;-&quot;??_-;_-@"/>
    <numFmt numFmtId="166" formatCode="_-* #,##0.00_-;\-* #,##0.00_-;_-* &quot;-&quot;??_-;_-@_-"/>
  </numFmts>
  <fonts count="1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  <scheme val="minor"/>
    </font>
    <font>
      <b/>
      <sz val="9"/>
      <color theme="1"/>
      <name val="Play"/>
    </font>
    <font>
      <sz val="11"/>
      <color theme="1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D8CAF"/>
        <bgColor rgb="FF5D8CAF"/>
      </patternFill>
    </fill>
    <fill>
      <patternFill patternType="solid">
        <fgColor rgb="FF6FA8DC"/>
        <bgColor rgb="FF6FA8DC"/>
      </patternFill>
    </fill>
    <fill>
      <patternFill patternType="solid">
        <fgColor rgb="FF5B95F9"/>
        <bgColor rgb="FF5B95F9"/>
      </patternFill>
    </fill>
    <fill>
      <patternFill patternType="solid">
        <fgColor rgb="FFD8ECEF"/>
        <bgColor rgb="FFD8ECEF"/>
      </patternFill>
    </fill>
    <fill>
      <patternFill patternType="solid">
        <fgColor rgb="FFEAD1DC"/>
        <bgColor rgb="FFEAD1DC"/>
      </patternFill>
    </fill>
    <fill>
      <patternFill patternType="solid">
        <fgColor rgb="FFE8F0FE"/>
        <bgColor rgb="FFE8F0FE"/>
      </patternFill>
    </fill>
    <fill>
      <patternFill patternType="solid">
        <fgColor rgb="FFFF9900"/>
        <bgColor rgb="FFFF9900"/>
      </patternFill>
    </fill>
    <fill>
      <patternFill patternType="solid">
        <fgColor rgb="FFE69138"/>
        <bgColor rgb="FFE69138"/>
      </patternFill>
    </fill>
    <fill>
      <patternFill patternType="solid">
        <fgColor rgb="FFFFD966"/>
        <bgColor rgb="FFFFD966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166" fontId="1" fillId="0" borderId="0" applyFont="0" applyFill="0" applyBorder="0" applyAlignment="0" applyProtection="0"/>
  </cellStyleXfs>
  <cellXfs count="117">
    <xf numFmtId="0" fontId="0" fillId="0" borderId="0" xfId="0"/>
    <xf numFmtId="164" fontId="2" fillId="2" borderId="1" xfId="0" applyNumberFormat="1" applyFont="1" applyFill="1" applyBorder="1"/>
    <xf numFmtId="0" fontId="2" fillId="2" borderId="1" xfId="0" applyFont="1" applyFill="1" applyBorder="1"/>
    <xf numFmtId="0" fontId="2" fillId="2" borderId="0" xfId="0" applyFont="1" applyFill="1"/>
    <xf numFmtId="0" fontId="5" fillId="0" borderId="0" xfId="0" applyFont="1"/>
    <xf numFmtId="0" fontId="2" fillId="0" borderId="1" xfId="0" applyFont="1" applyBorder="1"/>
    <xf numFmtId="164" fontId="2" fillId="2" borderId="0" xfId="0" applyNumberFormat="1" applyFont="1" applyFill="1"/>
    <xf numFmtId="164" fontId="3" fillId="3" borderId="1" xfId="0" applyNumberFormat="1" applyFont="1" applyFill="1" applyBorder="1" applyAlignment="1">
      <alignment horizontal="center" wrapText="1"/>
    </xf>
    <xf numFmtId="3" fontId="3" fillId="3" borderId="1" xfId="0" applyNumberFormat="1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164" fontId="5" fillId="2" borderId="1" xfId="0" applyNumberFormat="1" applyFont="1" applyFill="1" applyBorder="1" applyAlignment="1">
      <alignment horizontal="right"/>
    </xf>
    <xf numFmtId="3" fontId="5" fillId="2" borderId="1" xfId="0" applyNumberFormat="1" applyFont="1" applyFill="1" applyBorder="1"/>
    <xf numFmtId="3" fontId="7" fillId="6" borderId="11" xfId="0" applyNumberFormat="1" applyFont="1" applyFill="1" applyBorder="1" applyAlignment="1">
      <alignment horizontal="right"/>
    </xf>
    <xf numFmtId="3" fontId="2" fillId="7" borderId="0" xfId="0" applyNumberFormat="1" applyFont="1" applyFill="1" applyAlignment="1">
      <alignment horizontal="right"/>
    </xf>
    <xf numFmtId="3" fontId="2" fillId="2" borderId="0" xfId="0" applyNumberFormat="1" applyFont="1" applyFill="1" applyAlignment="1">
      <alignment horizontal="right"/>
    </xf>
    <xf numFmtId="3" fontId="7" fillId="2" borderId="0" xfId="0" applyNumberFormat="1" applyFont="1" applyFill="1" applyAlignment="1">
      <alignment horizontal="right"/>
    </xf>
    <xf numFmtId="3" fontId="7" fillId="7" borderId="0" xfId="0" applyNumberFormat="1" applyFont="1" applyFill="1" applyAlignment="1">
      <alignment horizontal="right"/>
    </xf>
    <xf numFmtId="3" fontId="2" fillId="2" borderId="0" xfId="0" applyNumberFormat="1" applyFont="1" applyFill="1"/>
    <xf numFmtId="164" fontId="5" fillId="8" borderId="1" xfId="0" applyNumberFormat="1" applyFont="1" applyFill="1" applyBorder="1" applyAlignment="1">
      <alignment horizontal="right"/>
    </xf>
    <xf numFmtId="3" fontId="5" fillId="8" borderId="1" xfId="0" applyNumberFormat="1" applyFont="1" applyFill="1" applyBorder="1"/>
    <xf numFmtId="3" fontId="2" fillId="8" borderId="0" xfId="0" applyNumberFormat="1" applyFont="1" applyFill="1" applyAlignment="1">
      <alignment horizontal="right"/>
    </xf>
    <xf numFmtId="0" fontId="2" fillId="8" borderId="0" xfId="0" applyFont="1" applyFill="1" applyAlignment="1">
      <alignment horizontal="right"/>
    </xf>
    <xf numFmtId="0" fontId="2" fillId="2" borderId="0" xfId="0" applyFont="1" applyFill="1" applyAlignment="1">
      <alignment horizontal="right"/>
    </xf>
    <xf numFmtId="164" fontId="2" fillId="8" borderId="0" xfId="0" applyNumberFormat="1" applyFont="1" applyFill="1"/>
    <xf numFmtId="0" fontId="2" fillId="8" borderId="0" xfId="0" applyFont="1" applyFill="1"/>
    <xf numFmtId="3" fontId="5" fillId="9" borderId="0" xfId="0" applyNumberFormat="1" applyFont="1" applyFill="1" applyAlignment="1">
      <alignment horizontal="right"/>
    </xf>
    <xf numFmtId="3" fontId="5" fillId="10" borderId="0" xfId="0" applyNumberFormat="1" applyFont="1" applyFill="1" applyAlignment="1">
      <alignment horizontal="right"/>
    </xf>
    <xf numFmtId="3" fontId="2" fillId="8" borderId="0" xfId="0" applyNumberFormat="1" applyFont="1" applyFill="1"/>
    <xf numFmtId="3" fontId="7" fillId="10" borderId="1" xfId="0" applyNumberFormat="1" applyFont="1" applyFill="1" applyBorder="1" applyAlignment="1">
      <alignment horizontal="right"/>
    </xf>
    <xf numFmtId="3" fontId="5" fillId="2" borderId="0" xfId="0" applyNumberFormat="1" applyFont="1" applyFill="1" applyAlignment="1">
      <alignment horizontal="right"/>
    </xf>
    <xf numFmtId="0" fontId="5" fillId="2" borderId="0" xfId="0" applyFont="1" applyFill="1"/>
    <xf numFmtId="164" fontId="2" fillId="0" borderId="0" xfId="0" applyNumberFormat="1" applyFont="1"/>
    <xf numFmtId="0" fontId="2" fillId="0" borderId="0" xfId="0" applyFont="1"/>
    <xf numFmtId="0" fontId="2" fillId="7" borderId="0" xfId="0" applyFont="1" applyFill="1"/>
    <xf numFmtId="3" fontId="5" fillId="0" borderId="0" xfId="0" applyNumberFormat="1" applyFont="1" applyAlignment="1">
      <alignment horizontal="right"/>
    </xf>
    <xf numFmtId="3" fontId="5" fillId="2" borderId="0" xfId="0" applyNumberFormat="1" applyFont="1" applyFill="1"/>
    <xf numFmtId="3" fontId="5" fillId="11" borderId="0" xfId="0" applyNumberFormat="1" applyFont="1" applyFill="1" applyAlignment="1">
      <alignment horizontal="right"/>
    </xf>
    <xf numFmtId="0" fontId="7" fillId="2" borderId="0" xfId="0" applyFont="1" applyFill="1" applyAlignment="1">
      <alignment horizontal="right"/>
    </xf>
    <xf numFmtId="0" fontId="8" fillId="2" borderId="0" xfId="0" applyFont="1" applyFill="1"/>
    <xf numFmtId="1" fontId="5" fillId="0" borderId="0" xfId="0" applyNumberFormat="1" applyFont="1" applyAlignment="1">
      <alignment horizontal="right"/>
    </xf>
    <xf numFmtId="0" fontId="5" fillId="0" borderId="1" xfId="0" applyFont="1" applyBorder="1"/>
    <xf numFmtId="1" fontId="5" fillId="0" borderId="1" xfId="0" applyNumberFormat="1" applyFont="1" applyBorder="1" applyAlignment="1">
      <alignment wrapText="1"/>
    </xf>
    <xf numFmtId="3" fontId="5" fillId="0" borderId="1" xfId="0" applyNumberFormat="1" applyFont="1" applyBorder="1"/>
    <xf numFmtId="3" fontId="5" fillId="0" borderId="1" xfId="0" applyNumberFormat="1" applyFont="1" applyBorder="1" applyAlignment="1">
      <alignment wrapText="1"/>
    </xf>
    <xf numFmtId="2" fontId="5" fillId="0" borderId="1" xfId="0" applyNumberFormat="1" applyFont="1" applyBorder="1" applyAlignment="1">
      <alignment wrapText="1"/>
    </xf>
    <xf numFmtId="0" fontId="6" fillId="0" borderId="0" xfId="0" applyFont="1"/>
    <xf numFmtId="0" fontId="6" fillId="0" borderId="0" xfId="0" applyFont="1" applyAlignment="1">
      <alignment horizontal="right"/>
    </xf>
    <xf numFmtId="1" fontId="5" fillId="0" borderId="0" xfId="0" applyNumberFormat="1" applyFont="1"/>
    <xf numFmtId="1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/>
    <xf numFmtId="3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 wrapText="1"/>
    </xf>
    <xf numFmtId="0" fontId="5" fillId="0" borderId="0" xfId="0" applyFont="1" applyAlignment="1">
      <alignment horizontal="right"/>
    </xf>
    <xf numFmtId="3" fontId="5" fillId="0" borderId="0" xfId="0" applyNumberFormat="1" applyFont="1"/>
    <xf numFmtId="0" fontId="5" fillId="0" borderId="1" xfId="0" applyFont="1" applyBorder="1" applyAlignment="1">
      <alignment horizontal="right"/>
    </xf>
    <xf numFmtId="165" fontId="5" fillId="0" borderId="0" xfId="0" applyNumberFormat="1" applyFont="1"/>
    <xf numFmtId="2" fontId="5" fillId="0" borderId="0" xfId="0" applyNumberFormat="1" applyFont="1"/>
    <xf numFmtId="164" fontId="5" fillId="0" borderId="1" xfId="0" applyNumberFormat="1" applyFont="1" applyBorder="1"/>
    <xf numFmtId="49" fontId="5" fillId="0" borderId="1" xfId="0" applyNumberFormat="1" applyFont="1" applyBorder="1"/>
    <xf numFmtId="4" fontId="5" fillId="0" borderId="1" xfId="0" applyNumberFormat="1" applyFont="1" applyBorder="1" applyAlignment="1">
      <alignment wrapText="1"/>
    </xf>
    <xf numFmtId="164" fontId="5" fillId="0" borderId="1" xfId="0" applyNumberFormat="1" applyFont="1" applyBorder="1" applyAlignment="1">
      <alignment horizontal="right"/>
    </xf>
    <xf numFmtId="4" fontId="5" fillId="0" borderId="1" xfId="0" applyNumberFormat="1" applyFont="1" applyBorder="1" applyAlignment="1">
      <alignment horizontal="right" wrapText="1"/>
    </xf>
    <xf numFmtId="49" fontId="2" fillId="0" borderId="0" xfId="0" applyNumberFormat="1" applyFont="1"/>
    <xf numFmtId="4" fontId="5" fillId="0" borderId="0" xfId="0" applyNumberFormat="1" applyFont="1" applyAlignment="1">
      <alignment horizontal="right" wrapText="1"/>
    </xf>
    <xf numFmtId="49" fontId="5" fillId="0" borderId="0" xfId="0" applyNumberFormat="1" applyFont="1"/>
    <xf numFmtId="4" fontId="2" fillId="0" borderId="0" xfId="0" applyNumberFormat="1" applyFont="1"/>
    <xf numFmtId="3" fontId="2" fillId="0" borderId="0" xfId="0" applyNumberFormat="1" applyFont="1"/>
    <xf numFmtId="1" fontId="8" fillId="0" borderId="0" xfId="0" applyNumberFormat="1" applyFont="1"/>
    <xf numFmtId="3" fontId="8" fillId="0" borderId="0" xfId="0" applyNumberFormat="1" applyFont="1"/>
    <xf numFmtId="49" fontId="8" fillId="0" borderId="0" xfId="0" applyNumberFormat="1" applyFont="1"/>
    <xf numFmtId="49" fontId="5" fillId="0" borderId="1" xfId="0" applyNumberFormat="1" applyFont="1" applyBorder="1" applyAlignment="1">
      <alignment wrapText="1"/>
    </xf>
    <xf numFmtId="0" fontId="8" fillId="0" borderId="0" xfId="0" applyFont="1" applyAlignment="1">
      <alignment wrapText="1"/>
    </xf>
    <xf numFmtId="0" fontId="6" fillId="12" borderId="1" xfId="0" applyFont="1" applyFill="1" applyBorder="1"/>
    <xf numFmtId="0" fontId="9" fillId="13" borderId="1" xfId="0" applyFont="1" applyFill="1" applyBorder="1" applyAlignment="1">
      <alignment horizontal="center" wrapText="1"/>
    </xf>
    <xf numFmtId="0" fontId="9" fillId="14" borderId="1" xfId="0" applyFont="1" applyFill="1" applyBorder="1" applyAlignment="1">
      <alignment horizontal="center" wrapText="1"/>
    </xf>
    <xf numFmtId="0" fontId="9" fillId="15" borderId="1" xfId="0" applyFont="1" applyFill="1" applyBorder="1" applyAlignment="1">
      <alignment horizontal="center" wrapText="1"/>
    </xf>
    <xf numFmtId="0" fontId="9" fillId="16" borderId="1" xfId="0" applyFont="1" applyFill="1" applyBorder="1" applyAlignment="1">
      <alignment horizontal="center" wrapText="1"/>
    </xf>
    <xf numFmtId="0" fontId="10" fillId="0" borderId="0" xfId="0" applyFont="1"/>
    <xf numFmtId="1" fontId="8" fillId="0" borderId="1" xfId="0" applyNumberFormat="1" applyFont="1" applyBorder="1"/>
    <xf numFmtId="0" fontId="0" fillId="0" borderId="12" xfId="0" applyBorder="1"/>
    <xf numFmtId="0" fontId="0" fillId="0" borderId="12" xfId="0" pivotButton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1" fontId="0" fillId="0" borderId="12" xfId="0" applyNumberFormat="1" applyBorder="1"/>
    <xf numFmtId="1" fontId="0" fillId="0" borderId="17" xfId="0" applyNumberFormat="1" applyBorder="1"/>
    <xf numFmtId="1" fontId="0" fillId="0" borderId="19" xfId="0" applyNumberFormat="1" applyBorder="1"/>
    <xf numFmtId="0" fontId="3" fillId="2" borderId="5" xfId="0" applyFont="1" applyFill="1" applyBorder="1" applyAlignment="1">
      <alignment horizontal="center" wrapText="1"/>
    </xf>
    <xf numFmtId="0" fontId="4" fillId="0" borderId="9" xfId="0" applyFont="1" applyBorder="1"/>
    <xf numFmtId="0" fontId="4" fillId="5" borderId="10" xfId="0" applyFont="1" applyFill="1" applyBorder="1"/>
    <xf numFmtId="0" fontId="3" fillId="3" borderId="6" xfId="0" applyFont="1" applyFill="1" applyBorder="1" applyAlignment="1">
      <alignment horizontal="center" wrapText="1"/>
    </xf>
    <xf numFmtId="0" fontId="4" fillId="0" borderId="7" xfId="0" applyFont="1" applyBorder="1"/>
    <xf numFmtId="0" fontId="4" fillId="0" borderId="8" xfId="0" applyFont="1" applyBorder="1"/>
    <xf numFmtId="3" fontId="6" fillId="0" borderId="5" xfId="0" applyNumberFormat="1" applyFont="1" applyBorder="1"/>
    <xf numFmtId="0" fontId="6" fillId="0" borderId="5" xfId="0" applyFont="1" applyBorder="1"/>
    <xf numFmtId="0" fontId="3" fillId="4" borderId="2" xfId="0" applyFont="1" applyFill="1" applyBorder="1" applyAlignment="1">
      <alignment horizontal="center" wrapText="1"/>
    </xf>
    <xf numFmtId="0" fontId="4" fillId="0" borderId="3" xfId="0" applyFont="1" applyBorder="1"/>
    <xf numFmtId="0" fontId="4" fillId="0" borderId="4" xfId="0" applyFont="1" applyBorder="1"/>
    <xf numFmtId="0" fontId="3" fillId="3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3" fontId="3" fillId="2" borderId="5" xfId="0" applyNumberFormat="1" applyFont="1" applyFill="1" applyBorder="1" applyAlignment="1">
      <alignment horizontal="center" wrapText="1"/>
    </xf>
    <xf numFmtId="0" fontId="5" fillId="0" borderId="0" xfId="0" applyFont="1" applyAlignment="1">
      <alignment vertical="top" wrapText="1"/>
    </xf>
    <xf numFmtId="0" fontId="0" fillId="0" borderId="0" xfId="0"/>
    <xf numFmtId="0" fontId="0" fillId="0" borderId="12" xfId="0" applyNumberFormat="1" applyBorder="1"/>
    <xf numFmtId="0" fontId="0" fillId="0" borderId="15" xfId="0" applyNumberFormat="1" applyBorder="1"/>
    <xf numFmtId="0" fontId="0" fillId="0" borderId="16" xfId="0" applyNumberFormat="1" applyBorder="1"/>
    <xf numFmtId="0" fontId="0" fillId="0" borderId="17" xfId="0" applyNumberFormat="1" applyBorder="1"/>
    <xf numFmtId="0" fontId="0" fillId="0" borderId="0" xfId="0" applyNumberFormat="1"/>
    <xf numFmtId="0" fontId="0" fillId="0" borderId="18" xfId="0" applyNumberFormat="1" applyBorder="1"/>
    <xf numFmtId="0" fontId="0" fillId="0" borderId="19" xfId="0" applyNumberFormat="1" applyBorder="1"/>
    <xf numFmtId="0" fontId="0" fillId="0" borderId="20" xfId="0" applyNumberFormat="1" applyBorder="1"/>
    <xf numFmtId="0" fontId="0" fillId="0" borderId="21" xfId="0" applyNumberFormat="1" applyBorder="1"/>
  </cellXfs>
  <cellStyles count="2">
    <cellStyle name="Millares 2" xfId="1" xr:uid="{F064AE5E-909A-4948-A15E-EDAEB1480ECB}"/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00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Indicador_MUN-style" pivot="0" count="2" xr9:uid="{00000000-0011-0000-FFFF-FFFF00000000}"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rina" refreshedDate="46181.43920439815" refreshedVersion="8" recordCount="345" xr:uid="{00000000-000A-0000-FFFF-FFFF00000000}">
  <cacheSource type="worksheet">
    <worksheetSource ref="A1:I346" sheet="Datos Procesados"/>
  </cacheSource>
  <cacheFields count="9">
    <cacheField name="id" numFmtId="1">
      <sharedItems containsSemiMixedTypes="0" containsString="0" containsNumber="1" containsInteger="1" minValue="10" maxValue="90503"/>
    </cacheField>
    <cacheField name="Municipio" numFmtId="1">
      <sharedItems containsBlank="1"/>
    </cacheField>
    <cacheField name="Departamento" numFmtId="1">
      <sharedItems count="11">
        <s v="Chuquisaca"/>
        <s v="La Paz"/>
        <s v="Cochabamba"/>
        <s v="Oruro"/>
        <s v="Potosí"/>
        <s v="Tarija"/>
        <s v="Santa Cruz"/>
        <s v="Beni"/>
        <s v="Pando"/>
        <s v="Gran Chaco"/>
        <s v="Bolivia"/>
      </sharedItems>
    </cacheField>
    <cacheField name="Población2016" numFmtId="3">
      <sharedItems containsSemiMixedTypes="0" containsString="0" containsNumber="1" minValue="634.33333330000005" maxValue="10495009.000000002"/>
    </cacheField>
    <cacheField name="consumo_kwh_anual_2016 (sin 4 nuevos municipios)" numFmtId="3">
      <sharedItems containsSemiMixedTypes="0" containsString="0" containsNumber="1" minValue="0" maxValue="3233373110.035706"/>
    </cacheField>
    <cacheField name="consumo_per_capita_2016" numFmtId="1">
      <sharedItems containsSemiMixedTypes="0" containsString="0" containsNumber="1" minValue="0" maxValue="944.11428556474232"/>
    </cacheField>
    <cacheField name="Población2024" numFmtId="3">
      <sharedItems containsSemiMixedTypes="0" containsString="0" containsNumber="1" containsInteger="1" minValue="875" maxValue="11365333"/>
    </cacheField>
    <cacheField name="consumo_kwh_anual_2024" numFmtId="3">
      <sharedItems containsSemiMixedTypes="0" containsString="0" containsNumber="1" minValue="0" maxValue="4033077520.5780029"/>
    </cacheField>
    <cacheField name="consumo_per_capita_2024" numFmtId="1">
      <sharedItems containsSemiMixedTypes="0" containsString="0" containsNumber="1" minValue="0" maxValue="1635.45502872660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5">
  <r>
    <n v="10101"/>
    <s v="Sucre"/>
    <x v="0"/>
    <n v="273330"/>
    <n v="87218811.031639099"/>
    <n v="319.09710251944205"/>
    <n v="296746"/>
    <n v="104251594.00765991"/>
    <n v="351.31592003821419"/>
  </r>
  <r>
    <n v="10102"/>
    <s v="Yotala"/>
    <x v="0"/>
    <n v="9393"/>
    <n v="1514645.0007061008"/>
    <n v="161.2525285538274"/>
    <n v="9256"/>
    <n v="1992966.9989318848"/>
    <n v="215.31622719661675"/>
  </r>
  <r>
    <n v="10103"/>
    <s v="Poroma"/>
    <x v="0"/>
    <n v="15571"/>
    <n v="164048.00001277123"/>
    <n v="10.535482628782431"/>
    <n v="13649"/>
    <n v="414412.00005340576"/>
    <n v="30.36207781181081"/>
  </r>
  <r>
    <n v="10201"/>
    <s v="Azurduy"/>
    <x v="0"/>
    <n v="9736"/>
    <n v="332622.99985741545"/>
    <n v="34.164235811156061"/>
    <n v="7903"/>
    <n v="459137.99989318848"/>
    <n v="58.096672136301208"/>
  </r>
  <r>
    <n v="10202"/>
    <s v="Tarvita"/>
    <x v="0"/>
    <n v="15111"/>
    <n v="368937.9999489747"/>
    <n v="24.415194225992636"/>
    <n v="16812"/>
    <n v="516629.00005340576"/>
    <n v="30.729776353402674"/>
  </r>
  <r>
    <n v="10301"/>
    <s v="Zudáñez"/>
    <x v="0"/>
    <n v="12139"/>
    <n v="547490.00115629658"/>
    <n v="45.101738294447365"/>
    <n v="13694"/>
    <n v="78013"/>
    <n v="5.6968745435957358"/>
  </r>
  <r>
    <n v="10302"/>
    <s v="Presto"/>
    <x v="0"/>
    <n v="12436"/>
    <n v="301381.99968357757"/>
    <n v="24.234641338338498"/>
    <n v="12539"/>
    <n v="788514.99994659424"/>
    <n v="62.88499879947318"/>
  </r>
  <r>
    <n v="10303"/>
    <s v="Mojocoya"/>
    <x v="0"/>
    <n v="8397"/>
    <n v="477168.00076066051"/>
    <n v="56.826009379618974"/>
    <n v="9055"/>
    <n v="646082.00021362305"/>
    <n v="71.350855904320596"/>
  </r>
  <r>
    <n v="10304"/>
    <s v="Icla"/>
    <x v="0"/>
    <n v="8234"/>
    <n v="292426.00066685956"/>
    <n v="35.514452352059699"/>
    <n v="9155"/>
    <n v="404900.0002822876"/>
    <n v="44.227198283155388"/>
  </r>
  <r>
    <n v="10401"/>
    <s v="Padilla"/>
    <x v="0"/>
    <n v="9986"/>
    <n v="1085138.9987377161"/>
    <n v="108.66603231901824"/>
    <n v="9192"/>
    <n v="1423640.9997024536"/>
    <n v="154.87826367520165"/>
  </r>
  <r>
    <n v="10402"/>
    <s v="Tomina"/>
    <x v="0"/>
    <n v="8499"/>
    <n v="594318.99941323791"/>
    <n v="69.928109120277441"/>
    <n v="8509"/>
    <n v="791278.00005340576"/>
    <n v="92.993066171513192"/>
  </r>
  <r>
    <n v="10403"/>
    <s v="Sopachuy"/>
    <x v="0"/>
    <n v="7189"/>
    <n v="409769.99941051099"/>
    <n v="56.99958261378648"/>
    <n v="6942"/>
    <n v="569414"/>
    <n v="82.024488619994244"/>
  </r>
  <r>
    <n v="10404"/>
    <s v="Villa Alcalá"/>
    <x v="0"/>
    <n v="4524"/>
    <n v="240179.00059062708"/>
    <n v="53.089964763622255"/>
    <n v="3768"/>
    <n v="345372.00030517578"/>
    <n v="91.65923574978126"/>
  </r>
  <r>
    <n v="10405"/>
    <s v="El Villar"/>
    <x v="0"/>
    <n v="4861"/>
    <n v="220819.99998136982"/>
    <n v="45.426866895982272"/>
    <n v="5654"/>
    <n v="357923.0001449585"/>
    <n v="63.304386300841614"/>
  </r>
  <r>
    <n v="10501"/>
    <s v="Monteagudo"/>
    <x v="0"/>
    <n v="24384"/>
    <n v="3844243.0018868167"/>
    <n v="157.65432258394097"/>
    <n v="24546"/>
    <n v="5186557.9999542236"/>
    <n v="211.29951926807723"/>
  </r>
  <r>
    <n v="10502"/>
    <s v="Huacareta"/>
    <x v="0"/>
    <n v="7966"/>
    <n v="696201.99984346423"/>
    <n v="87.396685895488858"/>
    <n v="7200"/>
    <n v="1111469.0001983643"/>
    <n v="154.37069447199502"/>
  </r>
  <r>
    <n v="10601"/>
    <s v="Tarabuco"/>
    <x v="0"/>
    <n v="15737"/>
    <n v="667795.00024002325"/>
    <n v="42.43470802821524"/>
    <n v="13323"/>
    <n v="841465.0002822876"/>
    <n v="63.158823109081105"/>
  </r>
  <r>
    <n v="10602"/>
    <s v="Yamparáez"/>
    <x v="0"/>
    <n v="9567"/>
    <n v="428958.99925098289"/>
    <n v="44.837357505067722"/>
    <n v="8480"/>
    <n v="572712.00017547607"/>
    <n v="67.536792473523121"/>
  </r>
  <r>
    <n v="10701"/>
    <s v="Camargo"/>
    <x v="0"/>
    <n v="15334"/>
    <n v="1637008.8285805145"/>
    <n v="106.75680374204477"/>
    <n v="14713"/>
    <n v="2073499.0000305176"/>
    <n v="140.92972201661914"/>
  </r>
  <r>
    <n v="10702"/>
    <s v="San Lucas"/>
    <x v="0"/>
    <n v="30585"/>
    <n v="1066175.0014413195"/>
    <n v="34.859408253762282"/>
    <n v="26715"/>
    <n v="1497780.0003509521"/>
    <n v="56.065131961480525"/>
  </r>
  <r>
    <n v="10703"/>
    <s v="Incahuasi"/>
    <x v="0"/>
    <n v="14199"/>
    <n v="315024.60073935892"/>
    <n v="22.186393460057676"/>
    <n v="16484"/>
    <n v="426205"/>
    <n v="25.855678233438486"/>
  </r>
  <r>
    <n v="10704"/>
    <s v="Villa Charcas"/>
    <x v="0"/>
    <n v="15527"/>
    <n v="480408.32970217895"/>
    <n v="30.940189972446639"/>
    <n v="14282"/>
    <n v="665573.00020599365"/>
    <n v="46.602226593333825"/>
  </r>
  <r>
    <n v="10801"/>
    <s v="Villa Serrano"/>
    <x v="0"/>
    <n v="10476"/>
    <n v="952519.00070814323"/>
    <n v="90.923921411621151"/>
    <n v="9107"/>
    <n v="1334275.0001907349"/>
    <n v="146.51092568252278"/>
  </r>
  <r>
    <n v="10901"/>
    <s v="Villa Abecia (Camataqui)"/>
    <x v="0"/>
    <n v="4134"/>
    <n v="226172.50034896377"/>
    <n v="54.710329063610011"/>
    <n v="5375"/>
    <n v="350558.00006866455"/>
    <n v="65.220093036030619"/>
  </r>
  <r>
    <n v="10902"/>
    <s v="Culpina"/>
    <x v="0"/>
    <n v="16770"/>
    <n v="783372.36893754546"/>
    <n v="46.712723252089773"/>
    <n v="14848"/>
    <n v="1010910.0001220703"/>
    <n v="68.083917034083399"/>
  </r>
  <r>
    <n v="10903"/>
    <s v="Las Carreras"/>
    <x v="0"/>
    <n v="4397"/>
    <n v="264995.4998532217"/>
    <n v="60.267341335733839"/>
    <n v="5016"/>
    <n v="363616.00018310547"/>
    <n v="72.491228106679714"/>
  </r>
  <r>
    <n v="11001"/>
    <s v="Muyupampa (Villa Vaca Gúzman)"/>
    <x v="0"/>
    <n v="10907"/>
    <n v="731736.99937649257"/>
    <n v="67.088750286650097"/>
    <n v="13282"/>
    <n v="1845489.0000991821"/>
    <n v="138.94661949248473"/>
  </r>
  <r>
    <n v="11002"/>
    <s v="Huacaya"/>
    <x v="0"/>
    <n v="2543"/>
    <n v="188970.00016951282"/>
    <n v="74.309870298668031"/>
    <n v="2547"/>
    <n v="87905"/>
    <n v="34.513152728700433"/>
  </r>
  <r>
    <n v="11003"/>
    <s v="Macharéti"/>
    <x v="0"/>
    <n v="7357"/>
    <n v="904826.99931750819"/>
    <n v="122.98858220980131"/>
    <n v="7235"/>
    <n v="3243399.9998245239"/>
    <n v="448.29302001721135"/>
  </r>
  <r>
    <n v="20101"/>
    <s v="La Paz"/>
    <x v="1"/>
    <n v="763456"/>
    <n v="440190856.31290305"/>
    <n v="576.57658897553108"/>
    <n v="757431"/>
    <n v="429434468.00863647"/>
    <n v="566.9618328384189"/>
  </r>
  <r>
    <n v="20102"/>
    <s v="Palca"/>
    <x v="1"/>
    <n v="18324"/>
    <n v="1263825.0007162951"/>
    <n v="68.97102165009251"/>
    <n v="21729"/>
    <n v="2007219.9990844727"/>
    <n v="92.375166785607831"/>
  </r>
  <r>
    <n v="20103"/>
    <s v="Mecapaca"/>
    <x v="1"/>
    <n v="17371"/>
    <n v="3261487.0010111388"/>
    <n v="187.75470617760283"/>
    <n v="20446"/>
    <n v="7136473.9996337891"/>
    <n v="349.04010562622466"/>
  </r>
  <r>
    <n v="20104"/>
    <s v="Achocalla"/>
    <x v="1"/>
    <n v="30350"/>
    <n v="3315720.0051131174"/>
    <n v="109.24942356221145"/>
    <n v="46188"/>
    <n v="6604605.0002593994"/>
    <n v="142.99395947560836"/>
  </r>
  <r>
    <n v="20105"/>
    <s v="El Alto"/>
    <x v="1"/>
    <n v="860910"/>
    <n v="244246675.99197575"/>
    <n v="283.707560595156"/>
    <n v="885825"/>
    <n v="298946404.00306702"/>
    <n v="337.47794880824881"/>
  </r>
  <r>
    <n v="20201"/>
    <s v="Achacachi"/>
    <x v="1"/>
    <n v="46458"/>
    <n v="3804495.9990419671"/>
    <n v="81.891084399715169"/>
    <n v="47257"/>
    <n v="3802112.0003814697"/>
    <n v="80.456059427840742"/>
  </r>
  <r>
    <n v="20202"/>
    <s v="Ancoraimes"/>
    <x v="1"/>
    <n v="14408"/>
    <n v="606002.99906323198"/>
    <n v="42.060174837814543"/>
    <n v="16953"/>
    <n v="471038.99991607666"/>
    <n v="27.784993801455592"/>
  </r>
  <r>
    <n v="20203"/>
    <s v="Chua Cocani"/>
    <x v="1"/>
    <n v="5744"/>
    <n v="361336.99995006341"/>
    <n v="62.90685932278263"/>
    <n v="8679"/>
    <n v="342661.99996185303"/>
    <n v="39.481737522969588"/>
  </r>
  <r>
    <n v="20204"/>
    <s v="Huarina"/>
    <x v="1"/>
    <n v="8192"/>
    <n v="507928.00041944161"/>
    <n v="62.002929738701368"/>
    <n v="9287"/>
    <n v="515176.00009155273"/>
    <n v="55.472811466733361"/>
  </r>
  <r>
    <n v="20205"/>
    <s v="Santiago de Huata"/>
    <x v="1"/>
    <n v="8804"/>
    <n v="396459.99974527024"/>
    <n v="45.031803696645866"/>
    <n v="5118"/>
    <n v="438681.00012969971"/>
    <n v="85.713364620887006"/>
  </r>
  <r>
    <n v="20206"/>
    <s v="Huatajata"/>
    <x v="1"/>
    <n v="4324"/>
    <n v="189293.9998116903"/>
    <n v="43.777520770511167"/>
    <n v="7226"/>
    <n v="262075.99987030029"/>
    <n v="36.268474933614762"/>
  </r>
  <r>
    <n v="20301"/>
    <s v="Corocoro"/>
    <x v="1"/>
    <n v="11615"/>
    <n v="587096.99933954421"/>
    <n v="50.546448501036956"/>
    <n v="13551"/>
    <n v="572989.99983215332"/>
    <n v="42.283964270692444"/>
  </r>
  <r>
    <n v="20302"/>
    <s v="Caquiaviri"/>
    <x v="1"/>
    <n v="14981"/>
    <n v="338323.00042964052"/>
    <n v="22.5834724270503"/>
    <n v="15570"/>
    <n v="341835.00004577637"/>
    <n v="21.954720619510365"/>
  </r>
  <r>
    <n v="20303"/>
    <s v="Calacoto"/>
    <x v="1"/>
    <n v="10659"/>
    <n v="133297.00011182483"/>
    <n v="12.505582147652204"/>
    <n v="12219"/>
    <n v="157014"/>
    <n v="12.849987724036337"/>
  </r>
  <r>
    <n v="20304"/>
    <s v="Comanche"/>
    <x v="1"/>
    <n v="4333"/>
    <n v="130819.99970084522"/>
    <n v="30.191553127358695"/>
    <n v="5238"/>
    <n v="156003.99995422363"/>
    <n v="29.783123320775797"/>
  </r>
  <r>
    <n v="20305"/>
    <s v="Charaña"/>
    <x v="1"/>
    <n v="3571"/>
    <n v="116293.99996375386"/>
    <n v="32.566227937203543"/>
    <n v="4221"/>
    <n v="440725"/>
    <n v="104.41246150201374"/>
  </r>
  <r>
    <n v="20306"/>
    <s v="Waldo Ballivián"/>
    <x v="1"/>
    <n v="5527"/>
    <n v="55771.000225943513"/>
    <n v="10.090645960908905"/>
    <n v="6442"/>
    <n v="0"/>
    <n v="0"/>
  </r>
  <r>
    <n v="20307"/>
    <s v="Nazacara de Pacajes"/>
    <x v="1"/>
    <n v="1753.333333"/>
    <n v="10263.9999772273"/>
    <n v="5.8539923835619572"/>
    <n v="4022"/>
    <n v="33409"/>
    <n v="8.3065638985579309"/>
  </r>
  <r>
    <n v="20308"/>
    <s v="Callapa"/>
    <x v="1"/>
    <n v="7538"/>
    <n v="94520.000093742274"/>
    <n v="12.539135061520598"/>
    <n v="8037"/>
    <n v="106318.00005340576"/>
    <n v="13.228567880229658"/>
  </r>
  <r>
    <n v="20401"/>
    <s v="Puerto Acosta"/>
    <x v="1"/>
    <n v="12197"/>
    <n v="438529.00023279153"/>
    <n v="35.953841127555265"/>
    <n v="14012"/>
    <n v="496802.00009155273"/>
    <n v="35.455466749325772"/>
  </r>
  <r>
    <n v="20402"/>
    <s v="Mocomoco"/>
    <x v="1"/>
    <n v="16380"/>
    <n v="439120.00033887848"/>
    <n v="26.808302828991362"/>
    <n v="17811"/>
    <n v="387883.00008392334"/>
    <n v="21.777721637410778"/>
  </r>
  <r>
    <n v="20403"/>
    <s v="Pto. Carabuco"/>
    <x v="1"/>
    <n v="15505"/>
    <n v="628261.00088638719"/>
    <n v="40.51989686464929"/>
    <n v="17336"/>
    <n v="673681.00023651123"/>
    <n v="38.860233054713383"/>
  </r>
  <r>
    <n v="20404"/>
    <s v="Humanata"/>
    <x v="1"/>
    <n v="5447"/>
    <n v="149952.00008942094"/>
    <n v="27.529282190090129"/>
    <n v="5658"/>
    <n v="138693.00000762939"/>
    <n v="24.512725345993175"/>
  </r>
  <r>
    <n v="20405"/>
    <s v="Escoma"/>
    <x v="1"/>
    <n v="7736"/>
    <n v="295706.00018877909"/>
    <n v="38.224663933399569"/>
    <n v="8837"/>
    <n v="411464.99990081787"/>
    <n v="46.561615921785432"/>
  </r>
  <r>
    <n v="20501"/>
    <s v="Chuma"/>
    <x v="1"/>
    <n v="13592"/>
    <n v="434830.00013817567"/>
    <n v="31.991612723526757"/>
    <n v="17830"/>
    <n v="541776.99999237061"/>
    <n v="30.385698260929367"/>
  </r>
  <r>
    <n v="20502"/>
    <s v="Ayata"/>
    <x v="1"/>
    <n v="8616"/>
    <n v="280883.9999154266"/>
    <n v="32.600278541716179"/>
    <n v="9029"/>
    <n v="267015"/>
    <n v="29.573042418872522"/>
  </r>
  <r>
    <n v="20503"/>
    <s v="Aucapata"/>
    <x v="1"/>
    <n v="5904"/>
    <n v="235743.00011892244"/>
    <n v="39.92936993884188"/>
    <n v="6721"/>
    <n v="657724.99632263184"/>
    <n v="97.861180824673681"/>
  </r>
  <r>
    <n v="20601"/>
    <s v="Sorata"/>
    <x v="1"/>
    <n v="25702"/>
    <n v="1826242.0011776965"/>
    <n v="71.054470515045381"/>
    <n v="30083"/>
    <n v="2985638.9999694824"/>
    <n v="99.246717414136967"/>
  </r>
  <r>
    <n v="20602"/>
    <s v="Guanay"/>
    <x v="1"/>
    <n v="15321"/>
    <n v="2661360.9978773417"/>
    <n v="173.70674224119455"/>
    <n v="16386"/>
    <n v="5694304.9990997314"/>
    <n v="347.51037465517709"/>
  </r>
  <r>
    <n v="20603"/>
    <s v="Tacacoma"/>
    <x v="1"/>
    <n v="8708"/>
    <n v="692744.00159579422"/>
    <n v="79.552595497909309"/>
    <n v="9761"/>
    <n v="1116845.0003814697"/>
    <n v="114.41911693284189"/>
  </r>
  <r>
    <n v="20604"/>
    <s v="Quiabaya"/>
    <x v="1"/>
    <n v="3197"/>
    <n v="168873.99971847702"/>
    <n v="52.822646142782929"/>
    <n v="4224"/>
    <n v="226132.99994659424"/>
    <n v="53.535274608568713"/>
  </r>
  <r>
    <n v="20605"/>
    <s v="Combaya"/>
    <x v="1"/>
    <n v="3664"/>
    <n v="104777.99965818971"/>
    <n v="28.596615627235185"/>
    <n v="3529"/>
    <n v="90994.000007629395"/>
    <n v="25.78464154367509"/>
  </r>
  <r>
    <n v="20606"/>
    <s v="Tipuani"/>
    <x v="1"/>
    <n v="9229"/>
    <n v="1456717.0011001406"/>
    <n v="157.84126136094275"/>
    <n v="7716"/>
    <n v="2618249.0001525879"/>
    <n v="339.32724211412494"/>
  </r>
  <r>
    <n v="20607"/>
    <s v="Mapiri"/>
    <x v="1"/>
    <n v="16542"/>
    <n v="1516831.001722943"/>
    <n v="91.695744270520066"/>
    <n v="21843"/>
    <n v="9565757.9987792969"/>
    <n v="437.93242680855639"/>
  </r>
  <r>
    <n v="20608"/>
    <s v="Teoponte"/>
    <x v="1"/>
    <n v="10692"/>
    <n v="1220453.9986649882"/>
    <n v="114.14646452160383"/>
    <n v="13379"/>
    <n v="5031421.998626709"/>
    <n v="376.06861489100152"/>
  </r>
  <r>
    <n v="20701"/>
    <s v="Apolo"/>
    <x v="1"/>
    <n v="19924"/>
    <n v="1071545.0009628003"/>
    <n v="53.78162020491871"/>
    <n v="19156"/>
    <n v="2757229.0000686646"/>
    <n v="143.93552934165089"/>
  </r>
  <r>
    <n v="20702"/>
    <s v="Pelechuco"/>
    <x v="1"/>
    <n v="7540"/>
    <n v="422709.99938289635"/>
    <n v="56.062334135662645"/>
    <n v="9060"/>
    <n v="615826.00019836426"/>
    <n v="67.971964701806215"/>
  </r>
  <r>
    <n v="20801"/>
    <s v="Viacha"/>
    <x v="1"/>
    <n v="91667"/>
    <n v="15409294.005469613"/>
    <n v="168.10077787502169"/>
    <n v="113554"/>
    <n v="22984970.002464294"/>
    <n v="202.41444601215539"/>
  </r>
  <r>
    <n v="20802"/>
    <s v="Guaqui"/>
    <x v="1"/>
    <n v="7716"/>
    <n v="578625.00139135402"/>
    <n v="74.990280118112238"/>
    <n v="8592"/>
    <n v="661035.99988555908"/>
    <n v="76.93621972597289"/>
  </r>
  <r>
    <n v="20803"/>
    <s v="Tiawanacu"/>
    <x v="1"/>
    <n v="12675"/>
    <n v="646290.00039241184"/>
    <n v="50.989349143385546"/>
    <n v="13648"/>
    <n v="833757.99977874756"/>
    <n v="61.090123078747624"/>
  </r>
  <r>
    <n v="20804"/>
    <s v="Desaguadero"/>
    <x v="1"/>
    <n v="7290"/>
    <n v="834517.00087144785"/>
    <n v="114.47421136782549"/>
    <n v="7897"/>
    <n v="1075695.0004119873"/>
    <n v="136.21565156540296"/>
  </r>
  <r>
    <n v="20805"/>
    <s v="San Andres de Machaca"/>
    <x v="1"/>
    <n v="6742"/>
    <n v="167805.99942589179"/>
    <n v="24.889646903870037"/>
    <n v="7936"/>
    <n v="0"/>
    <n v="0"/>
  </r>
  <r>
    <n v="20806"/>
    <s v="Jesús de Machaca"/>
    <x v="1"/>
    <n v="15698"/>
    <n v="401394.00030966848"/>
    <n v="25.569754128530288"/>
    <n v="17016"/>
    <n v="0"/>
    <n v="0"/>
  </r>
  <r>
    <n v="20807"/>
    <s v="Taraco"/>
    <x v="1"/>
    <n v="6915"/>
    <n v="252396.00021193922"/>
    <n v="36.499783110909505"/>
    <n v="7540"/>
    <n v="280576.00000762939"/>
    <n v="37.21167108854501"/>
  </r>
  <r>
    <n v="20901"/>
    <s v="Luribay"/>
    <x v="1"/>
    <n v="10994"/>
    <n v="648981.00037599262"/>
    <n v="59.0304712002904"/>
    <n v="10703"/>
    <n v="903516.9998550415"/>
    <n v="84.41717274175852"/>
  </r>
  <r>
    <n v="20902"/>
    <s v="Sapahaqui"/>
    <x v="1"/>
    <n v="13822"/>
    <n v="804514.00001760852"/>
    <n v="58.205324845724824"/>
    <n v="16497"/>
    <n v="1008846.000038147"/>
    <n v="61.153300602421467"/>
  </r>
  <r>
    <n v="20903"/>
    <s v="Yaco"/>
    <x v="1"/>
    <n v="8975"/>
    <n v="241683.00101705827"/>
    <n v="26.928468079895072"/>
    <n v="12296"/>
    <n v="234704.99992370605"/>
    <n v="19.0879147628258"/>
  </r>
  <r>
    <n v="20904"/>
    <s v="Malla"/>
    <x v="1"/>
    <n v="5219"/>
    <n v="58290.999958529137"/>
    <n v="11.168997884370404"/>
    <n v="5297"/>
    <n v="76229.000038146973"/>
    <n v="14.39097603136624"/>
  </r>
  <r>
    <n v="20905"/>
    <s v="Cairoma"/>
    <x v="1"/>
    <n v="12103"/>
    <n v="579867.99959340133"/>
    <n v="47.911096388779754"/>
    <n v="13598"/>
    <n v="839524.00022888184"/>
    <n v="61.738785132290175"/>
  </r>
  <r>
    <n v="21001"/>
    <s v="Inquisivi"/>
    <x v="1"/>
    <n v="16038"/>
    <n v="458955.00023799017"/>
    <n v="28.616722798228594"/>
    <n v="18679"/>
    <n v="685609.99987792969"/>
    <n v="36.704855713792476"/>
  </r>
  <r>
    <n v="21002"/>
    <s v="Quime"/>
    <x v="1"/>
    <n v="9140"/>
    <n v="702049.00114243664"/>
    <n v="76.810612816459155"/>
    <n v="10887"/>
    <n v="1277700.5000534058"/>
    <n v="117.3602002437224"/>
  </r>
  <r>
    <n v="21003"/>
    <s v="Cajuata"/>
    <x v="1"/>
    <n v="12160"/>
    <n v="1815846.9982537581"/>
    <n v="149.32952288271036"/>
    <n v="15565"/>
    <n v="2356197"/>
    <n v="151.37789913266946"/>
  </r>
  <r>
    <n v="21004"/>
    <s v="Colquiri"/>
    <x v="1"/>
    <n v="20915"/>
    <n v="309460.00009526126"/>
    <n v="14.7960793734287"/>
    <n v="23505"/>
    <n v="294485.00011444092"/>
    <n v="12.528610938712653"/>
  </r>
  <r>
    <n v="21005"/>
    <s v="Ichoca"/>
    <x v="1"/>
    <n v="8459"/>
    <n v="147730.00028283335"/>
    <n v="17.464239305217326"/>
    <n v="9552"/>
    <n v="165399.00004577637"/>
    <n v="17.315640708309921"/>
  </r>
  <r>
    <n v="21006"/>
    <s v="Villa Libertad Licoma"/>
    <x v="1"/>
    <n v="6284"/>
    <n v="215762.9998341864"/>
    <n v="34.33529596342877"/>
    <n v="7877"/>
    <n v="426309.00010681152"/>
    <n v="54.120731256418878"/>
  </r>
  <r>
    <n v="21101"/>
    <s v="Chulumani"/>
    <x v="1"/>
    <n v="17983"/>
    <n v="2795163.9999010786"/>
    <n v="155.43368736590551"/>
    <n v="18303"/>
    <n v="4344043.0002593994"/>
    <n v="237.34049064412389"/>
  </r>
  <r>
    <n v="21102"/>
    <s v="Irupana"/>
    <x v="1"/>
    <n v="19277"/>
    <n v="1962885.0002256362"/>
    <n v="101.82523215363574"/>
    <n v="23279"/>
    <n v="3436808.0001907349"/>
    <n v="147.6355513634922"/>
  </r>
  <r>
    <n v="21103"/>
    <s v="Yanacachi"/>
    <x v="1"/>
    <n v="6818"/>
    <n v="769276.99945401866"/>
    <n v="112.83030206131104"/>
    <n v="7615"/>
    <n v="1087012.0001068115"/>
    <n v="142.74615891094044"/>
  </r>
  <r>
    <n v="21104"/>
    <s v="Palos Blancos"/>
    <x v="1"/>
    <n v="25533"/>
    <n v="2627562.0000553485"/>
    <n v="102.90847139213365"/>
    <n v="27137"/>
    <n v="4941014.9998703003"/>
    <n v="182.07668496408226"/>
  </r>
  <r>
    <n v="21105"/>
    <s v="La Asunta"/>
    <x v="1"/>
    <n v="41981"/>
    <n v="3913222.0006976882"/>
    <n v="93.214120690257218"/>
    <n v="45587"/>
    <n v="9305408.0009994507"/>
    <n v="204.12415822492051"/>
  </r>
  <r>
    <n v="21201"/>
    <s v="Pucarani"/>
    <x v="1"/>
    <n v="36699"/>
    <n v="1806873.0000927849"/>
    <n v="49.234938284225315"/>
    <n v="49850"/>
    <n v="11708230.00012207"/>
    <n v="234.86920762531736"/>
  </r>
  <r>
    <n v="21202"/>
    <s v="Laja"/>
    <x v="1"/>
    <n v="29238"/>
    <n v="1685275.9989302466"/>
    <n v="57.639920614619555"/>
    <n v="38652"/>
    <n v="2771224.0005111694"/>
    <n v="71.696781551049611"/>
  </r>
  <r>
    <n v="21203"/>
    <s v="Batallas"/>
    <x v="1"/>
    <n v="18486"/>
    <n v="1501055.0010192171"/>
    <n v="81.199556476209949"/>
    <n v="20607"/>
    <n v="1643978.9997711182"/>
    <n v="79.777696888004954"/>
  </r>
  <r>
    <n v="21204"/>
    <s v="Puerto Pérez"/>
    <x v="1"/>
    <n v="6965"/>
    <n v="370191.99920715764"/>
    <n v="53.150322929958023"/>
    <n v="7900"/>
    <n v="0"/>
    <n v="0"/>
  </r>
  <r>
    <n v="21301"/>
    <s v="Sica Sica"/>
    <x v="1"/>
    <n v="32170"/>
    <n v="1336496.0024705194"/>
    <n v="41.544793362465633"/>
    <n v="33885"/>
    <n v="1552734.9997406006"/>
    <n v="45.823668282148461"/>
  </r>
  <r>
    <n v="21302"/>
    <s v="Umala"/>
    <x v="1"/>
    <n v="8969"/>
    <n v="339288.00040807296"/>
    <n v="37.828966485458018"/>
    <n v="9102"/>
    <n v="340995.99991607666"/>
    <n v="37.463854088780124"/>
  </r>
  <r>
    <n v="21303"/>
    <s v="Ayo Ayo"/>
    <x v="1"/>
    <n v="8951"/>
    <n v="344290.99988170806"/>
    <n v="38.463970492873209"/>
    <n v="11258"/>
    <n v="412383.99991607666"/>
    <n v="36.630307329550249"/>
  </r>
  <r>
    <n v="21304"/>
    <s v="Calamarca"/>
    <x v="1"/>
    <n v="13384"/>
    <n v="638846.9997758558"/>
    <n v="47.732142840395682"/>
    <n v="15327"/>
    <n v="789331.00008392334"/>
    <n v="51.499380184245013"/>
  </r>
  <r>
    <n v="21305"/>
    <s v="Patacamaya"/>
    <x v="1"/>
    <n v="23621"/>
    <n v="2477796.0002241656"/>
    <n v="104.89801448813199"/>
    <n v="25148"/>
    <n v="3253823.9994125366"/>
    <n v="129.38698900161191"/>
  </r>
  <r>
    <n v="21306"/>
    <s v="Colquencha"/>
    <x v="1"/>
    <n v="10749"/>
    <n v="513844.99931334145"/>
    <n v="47.803981701864494"/>
    <n v="12490"/>
    <n v="564564.99980926514"/>
    <n v="45.20136107360009"/>
  </r>
  <r>
    <n v="21307"/>
    <s v="Collana"/>
    <x v="1"/>
    <n v="5203"/>
    <n v="134630.00010117423"/>
    <n v="25.875456486868003"/>
    <n v="5526"/>
    <n v="173404.99999237061"/>
    <n v="31.379840751424286"/>
  </r>
  <r>
    <n v="21401"/>
    <s v="Coroico"/>
    <x v="1"/>
    <n v="22168"/>
    <n v="2586713.0004410893"/>
    <n v="116.68680081383478"/>
    <n v="27711"/>
    <n v="5043189.0000610352"/>
    <n v="181.99231352390873"/>
  </r>
  <r>
    <n v="21402"/>
    <s v="Coripata"/>
    <x v="1"/>
    <n v="19130"/>
    <n v="3164111.000326247"/>
    <n v="165.40047048229206"/>
    <n v="23530"/>
    <n v="3620872.0004730225"/>
    <n v="153.88321293977995"/>
  </r>
  <r>
    <n v="21501"/>
    <s v="Ixiamas "/>
    <x v="1"/>
    <n v="10440"/>
    <n v="1028598.9999556551"/>
    <n v="98.524808424871182"/>
    <n v="12595"/>
    <n v="1987538.9997558594"/>
    <n v="157.80381101674152"/>
  </r>
  <r>
    <n v="21502"/>
    <s v="San Buenaventura"/>
    <x v="1"/>
    <n v="9176"/>
    <n v="1035885.0001133084"/>
    <n v="112.89069312481566"/>
    <n v="10105"/>
    <n v="1913410.0006408691"/>
    <n v="189.35279570914093"/>
  </r>
  <r>
    <n v="21601"/>
    <s v="Charazani"/>
    <x v="1"/>
    <n v="13936"/>
    <n v="301051.00005773269"/>
    <n v="21.602396674636388"/>
    <n v="15763"/>
    <n v="586770.99982452393"/>
    <n v="37.224576528866585"/>
  </r>
  <r>
    <n v="21602"/>
    <s v="Curva"/>
    <x v="1"/>
    <n v="4394"/>
    <n v="48999.999834581278"/>
    <n v="11.151570285521457"/>
    <n v="6611"/>
    <n v="149167.00003051758"/>
    <n v="22.56345485259682"/>
  </r>
  <r>
    <n v="21701"/>
    <s v="Copacabana"/>
    <x v="1"/>
    <n v="15775"/>
    <n v="2115474.9984045075"/>
    <n v="134.10301099236182"/>
    <n v="17463"/>
    <n v="2051569.0001373291"/>
    <n v="117.48090248739214"/>
  </r>
  <r>
    <n v="21702"/>
    <s v="San Pedro de Tiquina"/>
    <x v="1"/>
    <n v="7089"/>
    <n v="474047.00117108319"/>
    <n v="66.870785889558917"/>
    <n v="9164"/>
    <n v="376368.99996948242"/>
    <n v="41.070384108411439"/>
  </r>
  <r>
    <n v="21703"/>
    <s v="Tito Yupanqui"/>
    <x v="1"/>
    <n v="6682"/>
    <n v="80069.000014765188"/>
    <n v="11.982789586166595"/>
    <n v="7525"/>
    <n v="111727.00010681152"/>
    <n v="14.847441874659339"/>
  </r>
  <r>
    <n v="21801"/>
    <s v="San Pedro de Curahuara"/>
    <x v="1"/>
    <n v="8978"/>
    <n v="33261.000085156411"/>
    <n v="3.7047226648648262"/>
    <n v="9217"/>
    <n v="249310"/>
    <n v="27.048931322556147"/>
  </r>
  <r>
    <n v="21802"/>
    <s v="Papel Pampa"/>
    <x v="1"/>
    <n v="6885"/>
    <n v="14979.000057975762"/>
    <n v="2.1755991369608951"/>
    <n v="6649"/>
    <n v="188381.99991607666"/>
    <n v="28.332380796522283"/>
  </r>
  <r>
    <n v="21803"/>
    <s v="Chacarilla"/>
    <x v="1"/>
    <n v="2020"/>
    <n v="38561.000159303658"/>
    <n v="19.089604039259235"/>
    <n v="2052"/>
    <n v="53932.000030517578"/>
    <n v="26.282651086996871"/>
  </r>
  <r>
    <n v="21901"/>
    <s v="Santiago de Machaca"/>
    <x v="1"/>
    <n v="5330"/>
    <n v="141640.0003090566"/>
    <n v="26.574108875995609"/>
    <n v="6805"/>
    <n v="221964.00012207031"/>
    <n v="32.617781061288802"/>
  </r>
  <r>
    <n v="21902"/>
    <s v="Catacora"/>
    <x v="1"/>
    <n v="3704"/>
    <n v="31080.999877316877"/>
    <n v="8.3911986709818791"/>
    <n v="5351"/>
    <n v="51887"/>
    <n v="9.6966922070640997"/>
  </r>
  <r>
    <n v="22001"/>
    <s v="Caranavi"/>
    <x v="1"/>
    <n v="53445"/>
    <n v="4812211.9983158763"/>
    <n v="90.040452770434584"/>
    <n v="59676"/>
    <n v="10714523.99912262"/>
    <n v="179.54494267582646"/>
  </r>
  <r>
    <n v="22002"/>
    <s v="Alto Beni"/>
    <x v="1"/>
    <n v="10991"/>
    <n v="706957.99983537383"/>
    <n v="64.321535787041569"/>
    <n v="10585"/>
    <n v="1997274.0004730225"/>
    <n v="188.68908837723404"/>
  </r>
  <r>
    <n v="30101"/>
    <s v="Cochabamba "/>
    <x v="2"/>
    <n v="643177"/>
    <n v="278891186.00436312"/>
    <n v="433.61498623918942"/>
    <n v="665505"/>
    <n v="636147068.53361511"/>
    <n v="955.88623456415075"/>
  </r>
  <r>
    <n v="30201"/>
    <s v="Aiquile"/>
    <x v="2"/>
    <n v="23219"/>
    <n v="2559556.0005089147"/>
    <n v="110.235410676985"/>
    <n v="23123"/>
    <n v="419802.00006103516"/>
    <n v="18.15517017951975"/>
  </r>
  <r>
    <n v="30202"/>
    <s v="Pasorapa"/>
    <x v="2"/>
    <n v="6727"/>
    <n v="254207.00010619871"/>
    <n v="37.789059031692986"/>
    <n v="6475"/>
    <n v="1880595"/>
    <n v="290.43938223938221"/>
  </r>
  <r>
    <n v="30203"/>
    <s v="Omereque"/>
    <x v="2"/>
    <n v="5995"/>
    <n v="614123.00001027528"/>
    <n v="102.43919933449129"/>
    <n v="6700"/>
    <n v="45036"/>
    <n v="6.7217910447761193"/>
  </r>
  <r>
    <n v="30301"/>
    <s v="Independencia"/>
    <x v="2"/>
    <n v="23044"/>
    <n v="598887.0002952544"/>
    <n v="25.988847435135149"/>
    <n v="21815"/>
    <n v="135504.99996948242"/>
    <n v="6.2115516832217477"/>
  </r>
  <r>
    <n v="30302"/>
    <s v="Morochata"/>
    <x v="2"/>
    <n v="13438"/>
    <n v="304985.0004417235"/>
    <n v="22.695713680735491"/>
    <n v="14720"/>
    <n v="35283"/>
    <n v="2.3969429347826088"/>
  </r>
  <r>
    <n v="30303"/>
    <s v="Cocapata"/>
    <x v="2"/>
    <n v="18587"/>
    <n v="396558.99975835811"/>
    <n v="21.335288091588644"/>
    <n v="19608"/>
    <n v="247495.00001525879"/>
    <n v="12.62214402362601"/>
  </r>
  <r>
    <n v="30401"/>
    <s v="Tarata "/>
    <x v="2"/>
    <n v="9252"/>
    <n v="1520142.0003358908"/>
    <n v="164.30415049026058"/>
    <n v="11273"/>
    <n v="15498"/>
    <n v="1.3747893196132353"/>
  </r>
  <r>
    <n v="30402"/>
    <s v="Anzaldo"/>
    <x v="2"/>
    <n v="7240"/>
    <n v="271436.00045514293"/>
    <n v="37.491160283859521"/>
    <n v="7335"/>
    <n v="21756"/>
    <n v="2.9660531697341512"/>
  </r>
  <r>
    <n v="30403"/>
    <s v="Arbieto"/>
    <x v="2"/>
    <n v="21422"/>
    <n v="2516753.4982146639"/>
    <n v="117.48452517107012"/>
    <n v="29375"/>
    <n v="72633"/>
    <n v="2.4726127659574466"/>
  </r>
  <r>
    <n v="30404"/>
    <s v="Sacabamba"/>
    <x v="2"/>
    <n v="4573"/>
    <n v="224107.00050216634"/>
    <n v="49.00656035472695"/>
    <n v="4987"/>
    <n v="3480"/>
    <n v="0.69781431722478449"/>
  </r>
  <r>
    <n v="30501"/>
    <s v="Arani"/>
    <x v="2"/>
    <n v="10064"/>
    <n v="1907851.4979518848"/>
    <n v="189.57188970110141"/>
    <n v="11183"/>
    <n v="12420"/>
    <n v="1.1106143253152105"/>
  </r>
  <r>
    <n v="30502"/>
    <s v="Vacas"/>
    <x v="2"/>
    <n v="8763"/>
    <n v="302223.00025526714"/>
    <n v="34.488531354018846"/>
    <n v="8409"/>
    <n v="9152"/>
    <n v="1.0883577119752645"/>
  </r>
  <r>
    <n v="30601"/>
    <s v="Arque "/>
    <x v="2"/>
    <n v="10609"/>
    <n v="206101.00002764445"/>
    <n v="19.426995949443345"/>
    <n v="10632"/>
    <n v="24070"/>
    <n v="2.2639202407825434"/>
  </r>
  <r>
    <n v="30602"/>
    <s v="Tacopaya"/>
    <x v="2"/>
    <n v="10419"/>
    <n v="148420.00007542409"/>
    <n v="14.245129098322689"/>
    <n v="10750"/>
    <n v="8241"/>
    <n v="0.76660465116279075"/>
  </r>
  <r>
    <n v="30701"/>
    <s v="Capinota"/>
    <x v="2"/>
    <n v="19460"/>
    <n v="3478721.0017391667"/>
    <n v="178.76264140489036"/>
    <n v="19427"/>
    <n v="77970"/>
    <n v="4.0134863849281928"/>
  </r>
  <r>
    <n v="30702"/>
    <s v="Santivañez"/>
    <x v="2"/>
    <n v="6998"/>
    <n v="1135769.0000126967"/>
    <n v="162.29908545480092"/>
    <n v="7940"/>
    <n v="34932"/>
    <n v="4.3994962216624689"/>
  </r>
  <r>
    <n v="30703"/>
    <s v="Sicaya"/>
    <x v="2"/>
    <n v="3820"/>
    <n v="208101.00007884763"/>
    <n v="54.476701591321373"/>
    <n v="3980"/>
    <n v="25200"/>
    <n v="6.3316582914572868"/>
  </r>
  <r>
    <n v="30801"/>
    <s v="Cliza"/>
    <x v="2"/>
    <n v="21651"/>
    <n v="4846450.9983634409"/>
    <n v="223.84421035349132"/>
    <n v="21155"/>
    <n v="12581"/>
    <n v="0.59470574332309145"/>
  </r>
  <r>
    <n v="30802"/>
    <s v="Toko"/>
    <x v="2"/>
    <n v="7165"/>
    <n v="733240.50001643598"/>
    <n v="102.33642707835813"/>
    <n v="7382"/>
    <n v="9222"/>
    <n v="1.249254944459496"/>
  </r>
  <r>
    <n v="30803"/>
    <s v="Tolata"/>
    <x v="2"/>
    <n v="6590"/>
    <n v="1593179.9992441107"/>
    <n v="241.75720777604107"/>
    <n v="8687"/>
    <n v="29512"/>
    <n v="3.3972602739726026"/>
  </r>
  <r>
    <n v="30901"/>
    <s v="Quillacollo"/>
    <x v="2"/>
    <n v="147035"/>
    <n v="48729985.997995175"/>
    <n v="331.41759443666592"/>
    <n v="166741"/>
    <n v="536670"/>
    <n v="3.2185845113079568"/>
  </r>
  <r>
    <n v="30902"/>
    <s v="Sipesipe"/>
    <x v="2"/>
    <n v="46350"/>
    <n v="9111536.5041589402"/>
    <n v="196.58115435078619"/>
    <n v="55908"/>
    <n v="184036"/>
    <n v="3.2917650425699363"/>
  </r>
  <r>
    <n v="30903"/>
    <s v="Tiquipaya"/>
    <x v="2"/>
    <n v="56549"/>
    <n v="21068057.00849795"/>
    <n v="372.56285714155774"/>
    <n v="61840"/>
    <n v="422646"/>
    <n v="6.8345084087968955"/>
  </r>
  <r>
    <n v="30904"/>
    <s v="Vinto "/>
    <x v="2"/>
    <n v="53333"/>
    <n v="12661829.999839395"/>
    <n v="237.41079631446561"/>
    <n v="56064"/>
    <n v="97148"/>
    <n v="1.7328053652968036"/>
  </r>
  <r>
    <n v="30905"/>
    <s v="Colcapirhua"/>
    <x v="2"/>
    <n v="56828"/>
    <n v="21099607.995722361"/>
    <n v="371.28894199553673"/>
    <n v="66505"/>
    <n v="104652"/>
    <n v="1.5735959702278024"/>
  </r>
  <r>
    <n v="31001"/>
    <s v="Sacaba"/>
    <x v="2"/>
    <n v="188008"/>
    <n v="50168160.485634565"/>
    <n v="266.84056255922388"/>
    <n v="219092"/>
    <n v="703424"/>
    <n v="3.2106329761013637"/>
  </r>
  <r>
    <n v="31002"/>
    <s v="Colomi"/>
    <x v="2"/>
    <n v="20139"/>
    <n v="2433604.998180435"/>
    <n v="120.84040906601297"/>
    <n v="21846"/>
    <n v="122972"/>
    <n v="5.6290396411242334"/>
  </r>
  <r>
    <n v="31003"/>
    <s v="Villa Tunari"/>
    <x v="2"/>
    <n v="78840"/>
    <n v="10361196.500695225"/>
    <n v="131.42055429598204"/>
    <n v="93747"/>
    <n v="749056"/>
    <n v="7.9901863526299506"/>
  </r>
  <r>
    <n v="31101"/>
    <s v="Tapacarí"/>
    <x v="2"/>
    <n v="24639"/>
    <n v="553993.0000124732"/>
    <n v="22.484394659380381"/>
    <n v="24666"/>
    <n v="58714"/>
    <n v="2.3803616313954432"/>
  </r>
  <r>
    <n v="31201"/>
    <s v="Totora "/>
    <x v="2"/>
    <n v="14717"/>
    <n v="817274.00021295995"/>
    <n v="55.532649331586597"/>
    <n v="14821"/>
    <n v="174064"/>
    <n v="11.744416706025234"/>
  </r>
  <r>
    <n v="31202"/>
    <s v="Pojo"/>
    <x v="2"/>
    <n v="10726"/>
    <n v="709660.00027702469"/>
    <n v="66.162595588012749"/>
    <n v="11865"/>
    <n v="97569"/>
    <n v="8.223261694058154"/>
  </r>
  <r>
    <n v="31203"/>
    <s v="Pocona"/>
    <x v="2"/>
    <n v="11253"/>
    <n v="917127.99910863675"/>
    <n v="81.500755274916628"/>
    <n v="12258"/>
    <n v="54417"/>
    <n v="4.4393049437102299"/>
  </r>
  <r>
    <n v="31204"/>
    <s v="Chimoré"/>
    <x v="2"/>
    <n v="23664"/>
    <n v="3801190.9987878799"/>
    <n v="160.63180353228026"/>
    <n v="27521"/>
    <n v="206976"/>
    <n v="7.5206569528723524"/>
  </r>
  <r>
    <n v="31205"/>
    <s v="Puerto Villarroel"/>
    <x v="2"/>
    <n v="52616"/>
    <n v="8649165.0039961934"/>
    <n v="164.3827923824729"/>
    <n v="64595"/>
    <n v="256672"/>
    <n v="3.9735583249477515"/>
  </r>
  <r>
    <n v="31206"/>
    <s v="Entre Ríos"/>
    <x v="2"/>
    <n v="36293"/>
    <n v="6999093.0015368816"/>
    <n v="192.84966802239774"/>
    <n v="45780"/>
    <n v="198800"/>
    <n v="4.3425076452599392"/>
  </r>
  <r>
    <n v="31301"/>
    <s v="Mizque"/>
    <x v="2"/>
    <n v="19875"/>
    <n v="2523402.5001531187"/>
    <n v="126.96364780644623"/>
    <n v="19896"/>
    <n v="246976"/>
    <n v="12.413349416968234"/>
  </r>
  <r>
    <n v="31302"/>
    <s v="Vila Vila"/>
    <x v="2"/>
    <n v="5387"/>
    <n v="109365.00006354973"/>
    <n v="20.301652137284151"/>
    <n v="5244"/>
    <n v="36334"/>
    <n v="6.9286803966437835"/>
  </r>
  <r>
    <n v="31303"/>
    <s v="Alalay"/>
    <x v="2"/>
    <n v="3469"/>
    <n v="57372.500066552311"/>
    <n v="16.538627865826552"/>
    <n v="3512"/>
    <n v="13446"/>
    <n v="3.8285876993166288"/>
  </r>
  <r>
    <n v="31304"/>
    <s v="TIOC-Raqaypampa"/>
    <x v="2"/>
    <n v="7376"/>
    <n v="0"/>
    <n v="0"/>
    <n v="8056"/>
    <n v="0"/>
    <n v="0"/>
  </r>
  <r>
    <n v="31401"/>
    <s v="Punata"/>
    <x v="2"/>
    <n v="31007"/>
    <n v="7175862.502895114"/>
    <n v="231.42717782742974"/>
    <n v="35248"/>
    <n v="24480"/>
    <n v="0.69450748978665455"/>
  </r>
  <r>
    <n v="31402"/>
    <s v="Villa Rivero"/>
    <x v="2"/>
    <n v="8290"/>
    <n v="1034120.000390321"/>
    <n v="124.7430639795321"/>
    <n v="8599"/>
    <n v="5888"/>
    <n v="0.68473078264914522"/>
  </r>
  <r>
    <n v="31403"/>
    <s v="San Benito"/>
    <x v="2"/>
    <n v="13393"/>
    <n v="3110593.5015466763"/>
    <n v="232.25517072699742"/>
    <n v="13054"/>
    <n v="16005"/>
    <n v="1.2260609774781677"/>
  </r>
  <r>
    <n v="31404"/>
    <s v="Tacachi"/>
    <x v="2"/>
    <n v="1298"/>
    <n v="88303.999925232492"/>
    <n v="68.030816583384052"/>
    <n v="1287"/>
    <n v="18520"/>
    <n v="14.39005439005439"/>
  </r>
  <r>
    <n v="31405"/>
    <s v="Cuchumuela"/>
    <x v="2"/>
    <n v="3119"/>
    <n v="0"/>
    <n v="0"/>
    <n v="3822"/>
    <n v="0"/>
    <n v="0"/>
  </r>
  <r>
    <n v="31501"/>
    <s v="Bolivar"/>
    <x v="2"/>
    <n v="7613"/>
    <n v="170061.00025380962"/>
    <n v="22.338237259136953"/>
    <n v="8282"/>
    <n v="11988"/>
    <n v="1.4474764549625694"/>
  </r>
  <r>
    <n v="31601"/>
    <s v="Tiraque"/>
    <x v="2"/>
    <n v="20312"/>
    <n v="1775845.9994051699"/>
    <n v="87.428416670203319"/>
    <n v="18475"/>
    <n v="22655"/>
    <n v="1.2262516914749662"/>
  </r>
  <r>
    <n v="31602"/>
    <s v="Shinahota"/>
    <x v="2"/>
    <n v="22951"/>
    <n v="3585151.0028390633"/>
    <n v="156.2089234821604"/>
    <n v="27172"/>
    <n v="166005"/>
    <n v="6.1094141027528339"/>
  </r>
  <r>
    <n v="40101"/>
    <s v="Oruro"/>
    <x v="3"/>
    <n v="276079"/>
    <n v="85408163.002524048"/>
    <n v="309.36131687858926"/>
    <n v="298350"/>
    <n v="95711561.999534607"/>
    <n v="320.80295625786698"/>
  </r>
  <r>
    <n v="40102"/>
    <s v="Caracollo"/>
    <x v="3"/>
    <n v="23027"/>
    <n v="1257855.0008685244"/>
    <n v="54.625222602532872"/>
    <n v="22850"/>
    <n v="1764913.0001678467"/>
    <n v="77.23908097014646"/>
  </r>
  <r>
    <n v="40103"/>
    <s v="El Choro"/>
    <x v="3"/>
    <n v="9149"/>
    <n v="81553.999362304807"/>
    <n v="8.913979600208199"/>
    <n v="9997"/>
    <n v="147931.00008392334"/>
    <n v="14.797539270173386"/>
  </r>
  <r>
    <n v="40104"/>
    <s v="Pari - Paría - Soracachi"/>
    <x v="3"/>
    <n v="13819"/>
    <n v="519538.99997155182"/>
    <n v="37.595991024788468"/>
    <n v="15764"/>
    <n v="691314.99993133545"/>
    <n v="43.854034504652084"/>
  </r>
  <r>
    <n v="40201"/>
    <s v="Challapata"/>
    <x v="3"/>
    <n v="31088"/>
    <n v="2504958.0007918514"/>
    <n v="80.576363895774946"/>
    <n v="35427"/>
    <n v="3477756.0000991821"/>
    <n v="98.166821918287809"/>
  </r>
  <r>
    <n v="40202"/>
    <s v="Quillacas"/>
    <x v="3"/>
    <n v="4421"/>
    <n v="62790.000042031519"/>
    <n v="14.202669088901045"/>
    <n v="5161"/>
    <n v="230249.00002288818"/>
    <n v="44.613253249929897"/>
  </r>
  <r>
    <n v="40301"/>
    <s v="Corque"/>
    <x v="3"/>
    <n v="11514"/>
    <n v="264297.99965532776"/>
    <n v="22.954490155925633"/>
    <n v="16101"/>
    <n v="362450.99998474121"/>
    <n v="22.511086266985977"/>
  </r>
  <r>
    <n v="40302"/>
    <s v="Choque Cota"/>
    <x v="3"/>
    <n v="2068"/>
    <n v="47246.999916911125"/>
    <n v="22.846711758661087"/>
    <n v="2504"/>
    <n v="91991.999923706055"/>
    <n v="36.738019138860246"/>
  </r>
  <r>
    <n v="40401"/>
    <s v="Curahuara de Carangas"/>
    <x v="3"/>
    <n v="5017"/>
    <n v="143756.00008965842"/>
    <n v="28.653777175534866"/>
    <n v="6683"/>
    <n v="181751.99990081787"/>
    <n v="27.196169370165773"/>
  </r>
  <r>
    <n v="40402"/>
    <s v="Turco"/>
    <x v="3"/>
    <n v="5406"/>
    <n v="117855.00018742308"/>
    <n v="21.800776949208856"/>
    <n v="5803"/>
    <n v="122664.00001525879"/>
    <n v="21.138032055016161"/>
  </r>
  <r>
    <n v="40501"/>
    <s v="Huachacalla"/>
    <x v="3"/>
    <n v="2006"/>
    <n v="183777.00013738032"/>
    <n v="91.613659091415911"/>
    <n v="4011"/>
    <n v="173824.99980926514"/>
    <n v="43.33707300156199"/>
  </r>
  <r>
    <n v="40502"/>
    <s v="Escara"/>
    <x v="3"/>
    <n v="4226"/>
    <n v="8289.999977324158"/>
    <n v="1.961665872532929"/>
    <n v="4231"/>
    <n v="105901.99996948242"/>
    <n v="25.030016537339264"/>
  </r>
  <r>
    <n v="40503"/>
    <s v="Cruz de Machacamarca"/>
    <x v="3"/>
    <n v="1817"/>
    <n v="14427.00036949385"/>
    <n v="7.9400112105084482"/>
    <n v="1517"/>
    <n v="4261"/>
    <n v="2.8088332234673699"/>
  </r>
  <r>
    <n v="40504"/>
    <s v="Yunguyo de Litoral"/>
    <x v="3"/>
    <n v="634.33333330000005"/>
    <n v="10825.999946177006"/>
    <n v="17.066736647523747"/>
    <n v="875"/>
    <n v="10000"/>
    <n v="11.428571428571429"/>
  </r>
  <r>
    <n v="40505"/>
    <s v="Esmeralda"/>
    <x v="3"/>
    <n v="3095"/>
    <n v="12500.00010740757"/>
    <n v="4.0387722479507495"/>
    <n v="3882"/>
    <n v="35925"/>
    <n v="9.2542503863987644"/>
  </r>
  <r>
    <n v="40601"/>
    <s v="Poopó"/>
    <x v="3"/>
    <n v="8121"/>
    <n v="13669.00004781317"/>
    <n v="1.6831671035356692"/>
    <n v="9189"/>
    <n v="105137.00006866455"/>
    <n v="11.441614981898416"/>
  </r>
  <r>
    <n v="40602"/>
    <s v="Pazña"/>
    <x v="3"/>
    <n v="5387"/>
    <n v="195530.00022124499"/>
    <n v="36.29664010047243"/>
    <n v="4251"/>
    <n v="147914.00004577637"/>
    <n v="34.795107044407523"/>
  </r>
  <r>
    <n v="40603"/>
    <s v="Antequera"/>
    <x v="3"/>
    <n v="3398"/>
    <n v="2514.0000056922436"/>
    <n v="0.73984697048035419"/>
    <n v="3666"/>
    <n v="31543"/>
    <n v="8.604200763775232"/>
  </r>
  <r>
    <n v="40701"/>
    <s v="Huanuni"/>
    <x v="3"/>
    <n v="23157"/>
    <n v="5055554.9992636917"/>
    <n v="218.31649174174945"/>
    <n v="20118"/>
    <n v="4648743.0012207031"/>
    <n v="231.07381455515971"/>
  </r>
  <r>
    <n v="40702"/>
    <s v="Machacamarca"/>
    <x v="3"/>
    <n v="5253"/>
    <n v="530641.00029431004"/>
    <n v="101.0167523880278"/>
    <n v="6120"/>
    <n v="641742.99995422363"/>
    <n v="104.85996731278163"/>
  </r>
  <r>
    <n v="40801"/>
    <s v="Salinas de García Mendoza"/>
    <x v="3"/>
    <n v="13230"/>
    <n v="677831.00080566574"/>
    <n v="51.234391595288415"/>
    <n v="15934"/>
    <n v="558529.00012207031"/>
    <n v="35.052654708301134"/>
  </r>
  <r>
    <n v="40802"/>
    <s v="Pampa Aullagas"/>
    <x v="3"/>
    <n v="3048"/>
    <n v="47059.999953903258"/>
    <n v="15.439632530808156"/>
    <n v="3197"/>
    <n v="54897.000022888184"/>
    <n v="17.171410704688203"/>
  </r>
  <r>
    <n v="40901"/>
    <s v="Sabaya"/>
    <x v="3"/>
    <n v="10513"/>
    <n v="327032.99952238798"/>
    <n v="31.107485924321125"/>
    <n v="15504"/>
    <n v="632862.00011444092"/>
    <n v="40.819272453201812"/>
  </r>
  <r>
    <n v="40902"/>
    <s v="Coipasa"/>
    <x v="3"/>
    <n v="1070.666667"/>
    <n v="82661.000243097544"/>
    <n v="77.205168322567701"/>
    <n v="1406"/>
    <n v="52390"/>
    <n v="37.261735419630156"/>
  </r>
  <r>
    <n v="40903"/>
    <s v="Chipaya"/>
    <x v="3"/>
    <n v="2120"/>
    <n v="84576.000030775554"/>
    <n v="39.894339637158282"/>
    <n v="2355"/>
    <n v="84476.000038146973"/>
    <n v="35.870912967366017"/>
  </r>
  <r>
    <n v="41001"/>
    <s v="Toledo"/>
    <x v="3"/>
    <n v="10833"/>
    <n v="203753.00030716695"/>
    <n v="18.808547983676448"/>
    <n v="12202"/>
    <n v="257120.99993133545"/>
    <n v="21.072037365295479"/>
  </r>
  <r>
    <n v="41101"/>
    <s v="Eucaliptus"/>
    <x v="3"/>
    <n v="5290"/>
    <n v="45323.000228848308"/>
    <n v="8.5676749014836115"/>
    <n v="5335"/>
    <n v="298861.99994659424"/>
    <n v="56.019119015294137"/>
  </r>
  <r>
    <n v="41201"/>
    <s v="Santiago de Andamarca"/>
    <x v="3"/>
    <n v="5581"/>
    <n v="191195.99976795819"/>
    <n v="34.258376593434541"/>
    <n v="6311"/>
    <n v="183901.99999237061"/>
    <n v="29.139914433904391"/>
  </r>
  <r>
    <n v="41202"/>
    <s v="Belén de Andamarca"/>
    <x v="3"/>
    <n v="2364"/>
    <n v="49112.000131868757"/>
    <n v="20.774957754597612"/>
    <n v="3061"/>
    <n v="2862"/>
    <n v="0.9349885658281607"/>
  </r>
  <r>
    <n v="41301"/>
    <s v="San Pedro de Totora"/>
    <x v="3"/>
    <n v="5900"/>
    <n v="15607.000008354895"/>
    <n v="2.6452542387042195"/>
    <n v="6637"/>
    <n v="132936.99999237061"/>
    <n v="20.02968208412997"/>
  </r>
  <r>
    <n v="41401"/>
    <s v="Huari"/>
    <x v="3"/>
    <n v="13356"/>
    <n v="542637.99907276873"/>
    <n v="40.628781002752973"/>
    <n v="13502"/>
    <n v="581877.00003051758"/>
    <n v="43.095615466635877"/>
  </r>
  <r>
    <n v="41501"/>
    <s v="La Rivera"/>
    <x v="3"/>
    <n v="760"/>
    <n v="8289.0000127125531"/>
    <n v="10.906578964095464"/>
    <n v="1262"/>
    <n v="46626.999954223633"/>
    <n v="36.946909630922057"/>
  </r>
  <r>
    <n v="41502"/>
    <s v="Todos Santos"/>
    <x v="3"/>
    <n v="864.66666669999995"/>
    <n v="5425.9999998407438"/>
    <n v="6.2752505778314216"/>
    <n v="1140"/>
    <n v="36699.000053405762"/>
    <n v="32.192105310005054"/>
  </r>
  <r>
    <n v="41503"/>
    <s v="Carangas"/>
    <x v="3"/>
    <n v="936.33333330000005"/>
    <n v="4779.0000588875264"/>
    <n v="5.1039516472669897"/>
    <n v="1129"/>
    <n v="231241.00029754639"/>
    <n v="204.81930938666642"/>
  </r>
  <r>
    <n v="41601"/>
    <s v="Huayllamarca"/>
    <x v="3"/>
    <n v="5667"/>
    <n v="30102.999903494492"/>
    <n v="5.3119816311089627"/>
    <n v="5996"/>
    <n v="172797.00015258789"/>
    <n v="28.818712500431602"/>
  </r>
  <r>
    <n v="50101"/>
    <s v="Potosí"/>
    <x v="4"/>
    <n v="200435"/>
    <n v="43377517.001405783"/>
    <n v="216.41687829673353"/>
    <n v="218702"/>
    <n v="56084410.002746582"/>
    <n v="256.44214503180848"/>
  </r>
  <r>
    <n v="50102"/>
    <s v="Tinguipaya"/>
    <x v="4"/>
    <n v="27781"/>
    <n v="397256.00032300316"/>
    <n v="14.299557262985607"/>
    <n v="28942"/>
    <n v="481511.9998626709"/>
    <n v="16.63713633690384"/>
  </r>
  <r>
    <n v="50103"/>
    <s v="Yocalla"/>
    <x v="4"/>
    <n v="10070"/>
    <n v="307584.999970451"/>
    <n v="30.544687186737935"/>
    <n v="12253"/>
    <n v="295977.99995422363"/>
    <n v="24.155553738204819"/>
  </r>
  <r>
    <n v="50104"/>
    <s v="Urmiri"/>
    <x v="4"/>
    <n v="2880"/>
    <n v="36874.999912686646"/>
    <n v="12.803819414127307"/>
    <n v="3121"/>
    <n v="35223.999992370605"/>
    <n v="11.286126239144698"/>
  </r>
  <r>
    <n v="50201"/>
    <s v="Uncía "/>
    <x v="4"/>
    <n v="22269"/>
    <n v="1426072.0009021321"/>
    <n v="64.038439126235218"/>
    <n v="22768"/>
    <n v="2220178.0000228882"/>
    <n v="97.513088546332057"/>
  </r>
  <r>
    <n v="50202"/>
    <s v="Chayanta"/>
    <x v="4"/>
    <n v="16093"/>
    <n v="191135.00024271663"/>
    <n v="11.87690301638704"/>
    <n v="16021"/>
    <n v="210661.00006103516"/>
    <n v="13.149054369954133"/>
  </r>
  <r>
    <n v="50203"/>
    <s v="Llallagua"/>
    <x v="4"/>
    <n v="41298"/>
    <n v="5060579.0013202317"/>
    <n v="122.53811325779049"/>
    <n v="41686"/>
    <n v="6760114.4989395142"/>
    <n v="162.1675022535027"/>
  </r>
  <r>
    <n v="50204"/>
    <s v="Chuquiuta"/>
    <x v="4"/>
    <n v="8086"/>
    <n v="0"/>
    <n v="0"/>
    <n v="8220"/>
    <n v="34120.999992370605"/>
    <n v="4.1509732350815822"/>
  </r>
  <r>
    <n v="50301"/>
    <s v="Betanzos"/>
    <x v="4"/>
    <n v="33249"/>
    <n v="2070967.9996444788"/>
    <n v="62.286625150966309"/>
    <n v="31904"/>
    <n v="2458583.00050354"/>
    <n v="77.061904479173151"/>
  </r>
  <r>
    <n v="50302"/>
    <s v="Chaquí"/>
    <x v="4"/>
    <n v="9702"/>
    <n v="578104.00001150556"/>
    <n v="59.586064730107765"/>
    <n v="9285"/>
    <n v="522848.99994659424"/>
    <n v="56.311147005556727"/>
  </r>
  <r>
    <n v="50303"/>
    <s v="Tacobamba"/>
    <x v="4"/>
    <n v="12679"/>
    <n v="261834.00023239665"/>
    <n v="20.650997731082629"/>
    <n v="14366"/>
    <n v="380404.00025177002"/>
    <n v="26.479465421952529"/>
  </r>
  <r>
    <n v="50401"/>
    <s v="Colquechaca"/>
    <x v="4"/>
    <n v="15628"/>
    <n v="1256872.5027173702"/>
    <n v="80.424398689363329"/>
    <n v="16363"/>
    <n v="923351.00004577637"/>
    <n v="56.429200027242949"/>
  </r>
  <r>
    <n v="50402"/>
    <s v="Ravelo"/>
    <x v="4"/>
    <n v="19778"/>
    <n v="435560.00046448316"/>
    <n v="22.022449209449043"/>
    <n v="16909"/>
    <n v="427380.99987030029"/>
    <n v="25.275356311449542"/>
  </r>
  <r>
    <n v="50403"/>
    <s v="Pocoata"/>
    <x v="4"/>
    <n v="28434"/>
    <n v="850680.49943088833"/>
    <n v="29.917721721561804"/>
    <n v="32641"/>
    <n v="796979.99993896484"/>
    <n v="24.416531354399829"/>
  </r>
  <r>
    <n v="50404"/>
    <s v="Ocurí"/>
    <x v="4"/>
    <n v="15589"/>
    <n v="292788.00035427418"/>
    <n v="18.781705071157493"/>
    <n v="14532"/>
    <n v="331317.00007629395"/>
    <n v="22.799132953226945"/>
  </r>
  <r>
    <n v="50405"/>
    <s v="San Pedro de Macha"/>
    <x v="4"/>
    <n v="20296"/>
    <n v="0"/>
    <n v="0"/>
    <n v="21011"/>
    <n v="609190.00006103516"/>
    <n v="28.993860361764558"/>
  </r>
  <r>
    <n v="50501"/>
    <s v="S. P. de Buena Vista"/>
    <x v="4"/>
    <n v="29480"/>
    <n v="411384.00039204676"/>
    <n v="13.954681153054503"/>
    <n v="28416"/>
    <n v="678357.00019073486"/>
    <n v="23.872360648604126"/>
  </r>
  <r>
    <n v="50502"/>
    <s v="Toro Toro"/>
    <x v="4"/>
    <n v="10818"/>
    <n v="360519.0002337331"/>
    <n v="33.325845834140608"/>
    <n v="10714"/>
    <n v="704108.99996948242"/>
    <n v="65.718592492951501"/>
  </r>
  <r>
    <n v="50601"/>
    <s v="Cotagaita"/>
    <x v="4"/>
    <n v="30941"/>
    <n v="1886947.2697542673"/>
    <n v="60.985335630854443"/>
    <n v="29221"/>
    <n v="2246474.9997253418"/>
    <n v="76.878785795330131"/>
  </r>
  <r>
    <n v="50602"/>
    <s v="Vitichi"/>
    <x v="4"/>
    <n v="10492"/>
    <n v="503846.99957620818"/>
    <n v="48.022016734293572"/>
    <n v="10184"/>
    <n v="585248.99984741211"/>
    <n v="57.467498021152011"/>
  </r>
  <r>
    <n v="50701"/>
    <s v="Villa de Sacaca"/>
    <x v="4"/>
    <n v="18809"/>
    <n v="574275.00016133487"/>
    <n v="30.531926214117437"/>
    <n v="17205"/>
    <n v="574276.99995422363"/>
    <n v="33.378494620995269"/>
  </r>
  <r>
    <n v="50702"/>
    <s v="Caripuyo"/>
    <x v="4"/>
    <n v="8622"/>
    <n v="206720.00022223126"/>
    <n v="23.97587569267354"/>
    <n v="8458"/>
    <n v="169965.99999237061"/>
    <n v="20.095294394936225"/>
  </r>
  <r>
    <n v="50801"/>
    <s v="Tupiza"/>
    <x v="4"/>
    <n v="45073"/>
    <n v="7749116.9992357763"/>
    <n v="171.92370153386233"/>
    <n v="45590"/>
    <n v="9660578.0009307861"/>
    <n v="211.90125029459938"/>
  </r>
  <r>
    <n v="50802"/>
    <s v="Atocha"/>
    <x v="4"/>
    <n v="10693"/>
    <n v="1554925.9997890517"/>
    <n v="145.41531841289176"/>
    <n v="9610"/>
    <n v="1551002.0003128052"/>
    <n v="161.39458900237307"/>
  </r>
  <r>
    <n v="50901"/>
    <s v="Colcha &quot;K&quot;"/>
    <x v="4"/>
    <n v="12911"/>
    <n v="941276.00215344969"/>
    <n v="72.904964925524723"/>
    <n v="12740"/>
    <n v="2740239.9999542236"/>
    <n v="215.08948194303167"/>
  </r>
  <r>
    <n v="50902"/>
    <s v="San Pedro de Quemes"/>
    <x v="4"/>
    <n v="1247"/>
    <n v="167378.99982671533"/>
    <n v="134.22534067900187"/>
    <n v="1621"/>
    <n v="218578.00009155273"/>
    <n v="134.84145594790422"/>
  </r>
  <r>
    <n v="51001"/>
    <s v="San Pablo de Lipez"/>
    <x v="4"/>
    <n v="3297"/>
    <n v="224970.99975832459"/>
    <n v="68.235062104435727"/>
    <n v="3150"/>
    <n v="134546.99993896484"/>
    <n v="42.713333313957094"/>
  </r>
  <r>
    <n v="51002"/>
    <s v="Mojinete"/>
    <x v="4"/>
    <n v="1128"/>
    <n v="0"/>
    <n v="0"/>
    <n v="1025"/>
    <n v="34942.000061035156"/>
    <n v="34.089756157107466"/>
  </r>
  <r>
    <n v="51003"/>
    <s v="San Antonio de Esmoruco"/>
    <x v="4"/>
    <n v="2168"/>
    <n v="85395.999733299017"/>
    <n v="39.389298769971873"/>
    <n v="1936"/>
    <n v="79425.000007629395"/>
    <n v="41.025309921296177"/>
  </r>
  <r>
    <n v="51101"/>
    <s v="Puna"/>
    <x v="4"/>
    <n v="20074"/>
    <n v="1215403.9990719175"/>
    <n v="60.546179090959328"/>
    <n v="16389"/>
    <n v="1214809.0001296997"/>
    <n v="74.123436459192121"/>
  </r>
  <r>
    <n v="51102"/>
    <s v="Caiza &quot;D&quot;"/>
    <x v="4"/>
    <n v="12378"/>
    <n v="782980.00024758931"/>
    <n v="63.255776397446219"/>
    <n v="12999"/>
    <n v="1059734.999710083"/>
    <n v="81.524348004468266"/>
  </r>
  <r>
    <n v="51103"/>
    <s v="Ckochas"/>
    <x v="4"/>
    <n v="15321"/>
    <n v="218936.00005751196"/>
    <n v="14.28992885957261"/>
    <n v="14338"/>
    <n v="205271.99998474121"/>
    <n v="14.316641092533214"/>
  </r>
  <r>
    <n v="51201"/>
    <s v="Uyuni"/>
    <x v="4"/>
    <n v="31554"/>
    <n v="5743515.7908568121"/>
    <n v="182.02179726363732"/>
    <n v="35318"/>
    <n v="6184928.0001907349"/>
    <n v="175.12112804209568"/>
  </r>
  <r>
    <n v="51202"/>
    <s v="Tomave"/>
    <x v="4"/>
    <n v="8518"/>
    <n v="390067.00049120001"/>
    <n v="45.793261386616578"/>
    <n v="7845"/>
    <n v="400953.00022125244"/>
    <n v="51.109369053059588"/>
  </r>
  <r>
    <n v="51203"/>
    <s v="Porco"/>
    <x v="4"/>
    <n v="12129"/>
    <n v="1388611.0015958818"/>
    <n v="114.48684983064406"/>
    <n v="14654"/>
    <n v="1799144.0006713867"/>
    <n v="122.77494204117556"/>
  </r>
  <r>
    <n v="51204"/>
    <s v="TIOC-Jatun Ayllu Yura"/>
    <x v="4"/>
    <n v="5896"/>
    <n v="0"/>
    <n v="0"/>
    <n v="5819"/>
    <n v="0"/>
    <n v="0"/>
  </r>
  <r>
    <n v="51301"/>
    <s v="Arampampa"/>
    <x v="4"/>
    <n v="4002"/>
    <n v="103547.00015135575"/>
    <n v="25.873813131273302"/>
    <n v="3666"/>
    <n v="94049.999908447266"/>
    <n v="25.654664459478251"/>
  </r>
  <r>
    <n v="51302"/>
    <s v="Acasio"/>
    <x v="4"/>
    <n v="5598"/>
    <n v="160743.99969359487"/>
    <n v="28.714540852732203"/>
    <n v="4471"/>
    <n v="188712.00003051758"/>
    <n v="42.208007164061186"/>
  </r>
  <r>
    <n v="51401"/>
    <s v="Llica"/>
    <x v="4"/>
    <n v="4162"/>
    <n v="421723.00037407782"/>
    <n v="101.32700633687598"/>
    <n v="4187"/>
    <n v="541037.00034332275"/>
    <n v="129.21829480375513"/>
  </r>
  <r>
    <n v="51402"/>
    <s v="Tahua"/>
    <x v="4"/>
    <n v="1649"/>
    <n v="85354.000227549113"/>
    <n v="51.76106745151553"/>
    <n v="1546"/>
    <n v="111310.00000762939"/>
    <n v="71.998706343874119"/>
  </r>
  <r>
    <n v="51501"/>
    <s v="Villazón"/>
    <x v="4"/>
    <n v="46384"/>
    <n v="6258757.0028273156"/>
    <n v="134.93353317582174"/>
    <n v="49340"/>
    <n v="8111311.0003738403"/>
    <n v="164.39625051426512"/>
  </r>
  <r>
    <n v="51601"/>
    <s v="San Agustín"/>
    <x v="4"/>
    <n v="1831"/>
    <n v="141920.99966413341"/>
    <n v="77.510103584999129"/>
    <n v="2126"/>
    <n v="265895.00020599365"/>
    <n v="125.06820329538742"/>
  </r>
  <r>
    <n v="60101"/>
    <s v="Tarija"/>
    <x v="5"/>
    <n v="216500"/>
    <n v="72758235.979072541"/>
    <n v="336.06575509964222"/>
    <n v="238749"/>
    <n v="84565513.003036499"/>
    <n v="354.20258515443624"/>
  </r>
  <r>
    <n v="60201"/>
    <s v="Padcaya"/>
    <x v="5"/>
    <n v="18393"/>
    <n v="2216052.0012944005"/>
    <n v="120.48344485915297"/>
    <n v="17817"/>
    <n v="3614576.9999694824"/>
    <n v="202.87236908399183"/>
  </r>
  <r>
    <n v="60202"/>
    <s v="Bermejo"/>
    <x v="5"/>
    <n v="35327"/>
    <n v="10859125.997742966"/>
    <n v="307.3888526549938"/>
    <n v="36970"/>
    <n v="14963420.000335693"/>
    <n v="404.74492832933981"/>
  </r>
  <r>
    <n v="60301"/>
    <s v="Yacuiba"/>
    <x v="5"/>
    <n v="94041"/>
    <n v="27599333.002010867"/>
    <n v="293.48191748291561"/>
    <n v="97634"/>
    <n v="35545626.001472473"/>
    <n v="364.07016000033258"/>
  </r>
  <r>
    <n v="60302"/>
    <s v="Caraparí"/>
    <x v="5"/>
    <n v="15430"/>
    <n v="3270193.0006595375"/>
    <n v="211.93732991960709"/>
    <n v="15559"/>
    <n v="3603740.0003814697"/>
    <n v="231.61771324516164"/>
  </r>
  <r>
    <n v="60303"/>
    <s v="Villamontes"/>
    <x v="5"/>
    <n v="41935"/>
    <n v="15086505.991442185"/>
    <n v="359.75929394162836"/>
    <n v="46071"/>
    <n v="17612089.99912262"/>
    <n v="382.28147856835363"/>
  </r>
  <r>
    <n v="60401"/>
    <s v="Uriondo"/>
    <x v="5"/>
    <n v="15162"/>
    <n v="2445990.9998423895"/>
    <n v="161.32376994079868"/>
    <n v="15923"/>
    <n v="3130266.9995040894"/>
    <n v="196.58776609332975"/>
  </r>
  <r>
    <n v="60402"/>
    <s v="Yunchará"/>
    <x v="5"/>
    <n v="5245"/>
    <n v="153720.00002265163"/>
    <n v="29.307912301744828"/>
    <n v="4754"/>
    <n v="299665.99999237061"/>
    <n v="63.034497263855826"/>
  </r>
  <r>
    <n v="60501"/>
    <s v="Villa San Lorenzo"/>
    <x v="5"/>
    <n v="26024"/>
    <n v="4947866.0012905616"/>
    <n v="190.12703663120817"/>
    <n v="30346"/>
    <n v="7137820.999382019"/>
    <n v="235.21455873531994"/>
  </r>
  <r>
    <n v="60502"/>
    <s v="El Puente"/>
    <x v="5"/>
    <n v="10744"/>
    <n v="806355.0003722664"/>
    <n v="75.051656773293601"/>
    <n v="9523"/>
    <n v="1188905.9999847412"/>
    <n v="124.84574188645817"/>
  </r>
  <r>
    <n v="60601"/>
    <s v="Entre Ríos"/>
    <x v="5"/>
    <n v="21615"/>
    <n v="2954527.0018946528"/>
    <n v="136.68873476264875"/>
    <n v="20864"/>
    <n v="3927052.9999923706"/>
    <n v="188.22148197816193"/>
  </r>
  <r>
    <n v="70101"/>
    <s v="Santa Cruz de la Sierra"/>
    <x v="6"/>
    <n v="1499944"/>
    <n v="974738204.92075646"/>
    <n v="649.84973100379511"/>
    <n v="1610982"/>
    <n v="1233243908.0282822"/>
    <n v="765.52308345362155"/>
  </r>
  <r>
    <n v="70102"/>
    <s v="Cotoca"/>
    <x v="6"/>
    <n v="72623"/>
    <n v="21231941.016358484"/>
    <n v="292.35835777038244"/>
    <n v="106603"/>
    <n v="38228348.001419067"/>
    <n v="358.60480475614258"/>
  </r>
  <r>
    <n v="70103"/>
    <s v="Porongo"/>
    <x v="6"/>
    <n v="17920"/>
    <n v="16918527.997320183"/>
    <n v="944.11428556474232"/>
    <n v="23126"/>
    <n v="37821532.99433136"/>
    <n v="1635.4550287266004"/>
  </r>
  <r>
    <n v="70104"/>
    <s v="La Guardia"/>
    <x v="6"/>
    <n v="108765"/>
    <n v="42724208.02108264"/>
    <n v="392.81209967436803"/>
    <n v="147726"/>
    <n v="70964249.002105713"/>
    <n v="480.3775164974731"/>
  </r>
  <r>
    <n v="70105"/>
    <s v="El Torno"/>
    <x v="6"/>
    <n v="51667"/>
    <n v="14483068.992929038"/>
    <n v="280.31565589116917"/>
    <n v="55697"/>
    <n v="19845954.000358582"/>
    <n v="356.31998133397815"/>
  </r>
  <r>
    <n v="70201"/>
    <s v="Warnes"/>
    <x v="6"/>
    <n v="114687"/>
    <n v="45514298.992391974"/>
    <n v="396.85665325967176"/>
    <n v="151248"/>
    <n v="79132086.994087219"/>
    <n v="523.19427029836572"/>
  </r>
  <r>
    <n v="70202"/>
    <s v="Okinawa Uno"/>
    <x v="6"/>
    <n v="11876"/>
    <n v="4183504.0023819916"/>
    <n v="352.2654094292684"/>
    <n v="10665"/>
    <n v="4850435.004989624"/>
    <n v="454.79934411529524"/>
  </r>
  <r>
    <n v="70301"/>
    <s v="San Ignacio de Velazco"/>
    <x v="6"/>
    <n v="57276"/>
    <n v="10134821.996028926"/>
    <n v="176.9470981917195"/>
    <n v="67103"/>
    <n v="2040708.0000610352"/>
    <n v="30.411576234460981"/>
  </r>
  <r>
    <n v="70302"/>
    <s v="San Miguel de Velazco"/>
    <x v="6"/>
    <n v="12631"/>
    <n v="1819209.9997632513"/>
    <n v="144.02739290343214"/>
    <n v="15239"/>
    <n v="666201"/>
    <n v="43.716844937331842"/>
  </r>
  <r>
    <n v="70303"/>
    <s v="San Rafael"/>
    <x v="6"/>
    <n v="7040"/>
    <n v="968591.99958066456"/>
    <n v="137.58409084952621"/>
    <n v="8842"/>
    <n v="5579636.9999389648"/>
    <n v="631.03788734889895"/>
  </r>
  <r>
    <n v="70401"/>
    <s v="Buena Vista"/>
    <x v="6"/>
    <n v="13136"/>
    <n v="3722826.0020811111"/>
    <n v="283.40636434844026"/>
    <n v="13651"/>
    <n v="5786640.0016326904"/>
    <n v="423.89861560564725"/>
  </r>
  <r>
    <n v="70402"/>
    <s v="San Carlos"/>
    <x v="6"/>
    <n v="19709"/>
    <n v="5067303.0039599361"/>
    <n v="257.10604312547241"/>
    <n v="18942"/>
    <n v="7450905.9998703003"/>
    <n v="393.35371132247388"/>
  </r>
  <r>
    <n v="70403"/>
    <s v="Yapacaní"/>
    <x v="6"/>
    <n v="52970"/>
    <n v="13475819.989712108"/>
    <n v="254.40475721563354"/>
    <n v="57794"/>
    <n v="28979426.000076294"/>
    <n v="501.426203413439"/>
  </r>
  <r>
    <n v="70404"/>
    <s v="San Juan de Yapacaní"/>
    <x v="6"/>
    <n v="9527"/>
    <n v="2698972.9982697032"/>
    <n v="283.29726023613972"/>
    <n v="10200"/>
    <n v="4897167.9993286133"/>
    <n v="480.11450973809934"/>
  </r>
  <r>
    <n v="70501"/>
    <s v="San José de Chiquitos"/>
    <x v="6"/>
    <n v="32939"/>
    <n v="6105850.0008943584"/>
    <n v="185.36840829698409"/>
    <n v="40974"/>
    <n v="3772785.0001220703"/>
    <n v="92.077536977646076"/>
  </r>
  <r>
    <n v="70502"/>
    <s v="Pailón"/>
    <x v="6"/>
    <n v="43409"/>
    <n v="12391794.004371278"/>
    <n v="285.46600945359899"/>
    <n v="54495"/>
    <n v="21642811.99671936"/>
    <n v="397.15225244002863"/>
  </r>
  <r>
    <n v="70503"/>
    <s v="Roboré"/>
    <x v="6"/>
    <n v="16682"/>
    <n v="4441643.0006414866"/>
    <n v="266.25362670192345"/>
    <n v="18763"/>
    <n v="882945.99995422363"/>
    <n v="47.057826571135941"/>
  </r>
  <r>
    <n v="70601"/>
    <s v="Portachuelo"/>
    <x v="6"/>
    <n v="18838"/>
    <n v="7805129.9918099297"/>
    <n v="414.32901538432583"/>
    <n v="20743"/>
    <n v="9846306.0004425049"/>
    <n v="474.68090442281755"/>
  </r>
  <r>
    <n v="70602"/>
    <s v="Santa Rosa del Sara"/>
    <x v="6"/>
    <n v="18811"/>
    <n v="3670194.0028523728"/>
    <n v="195.10892578025479"/>
    <n v="17999"/>
    <n v="11690099.00087738"/>
    <n v="649.48602705024609"/>
  </r>
  <r>
    <n v="70603"/>
    <s v="Colpa Belgica"/>
    <x v="6"/>
    <n v="6048"/>
    <n v="1918077.9997633677"/>
    <n v="317.14252641590076"/>
    <n v="6007"/>
    <n v="2290655.9998016357"/>
    <n v="381.33111366766036"/>
  </r>
  <r>
    <n v="70701"/>
    <s v="Lagunillas"/>
    <x v="6"/>
    <n v="5559"/>
    <n v="759410.99961752258"/>
    <n v="136.60928217620483"/>
    <n v="5946"/>
    <n v="118933.00006103516"/>
    <n v="20.002186354025422"/>
  </r>
  <r>
    <n v="70702"/>
    <s v="Charagua"/>
    <x v="6"/>
    <n v="34264"/>
    <n v="2921668.0016149255"/>
    <n v="85.269320616825979"/>
    <n v="38420"/>
    <n v="2404882.9999465942"/>
    <n v="62.594560123544881"/>
  </r>
  <r>
    <n v="70703"/>
    <s v="Cabezas"/>
    <x v="6"/>
    <n v="28610"/>
    <n v="5383326.9903624011"/>
    <n v="188.16242538840967"/>
    <n v="32961"/>
    <n v="8277245.0005569458"/>
    <n v="251.12238708039641"/>
  </r>
  <r>
    <n v="70704"/>
    <s v="Cuevo "/>
    <x v="6"/>
    <n v="5146"/>
    <n v="526307.00026095379"/>
    <n v="102.27497090185655"/>
    <n v="5335"/>
    <n v="121588.00007629395"/>
    <n v="22.790627943072906"/>
  </r>
  <r>
    <n v="70705"/>
    <s v="Gutiérrez"/>
    <x v="6"/>
    <n v="12978"/>
    <n v="1001456.9994421564"/>
    <n v="77.16574198198154"/>
    <n v="14389"/>
    <n v="215228.00007629395"/>
    <n v="14.957815002869827"/>
  </r>
  <r>
    <n v="70706"/>
    <s v="Camiri"/>
    <x v="6"/>
    <n v="33320"/>
    <n v="12673717.005906273"/>
    <n v="380.36365563944395"/>
    <n v="32285"/>
    <n v="2358126.9995422363"/>
    <n v="73.040947794401006"/>
  </r>
  <r>
    <n v="70707"/>
    <s v="Boyuibe"/>
    <x v="6"/>
    <n v="5262"/>
    <n v="965606.00212106016"/>
    <n v="183.50551161555686"/>
    <n v="5612"/>
    <n v="235137.00004577637"/>
    <n v="41.898966508513254"/>
  </r>
  <r>
    <n v="70801"/>
    <s v="Vallegrande"/>
    <x v="6"/>
    <n v="17222"/>
    <n v="3483949.0032874169"/>
    <n v="202.29642337053866"/>
    <n v="17249"/>
    <n v="696383.99984741211"/>
    <n v="40.372427378248716"/>
  </r>
  <r>
    <n v="70802"/>
    <s v="Trigal "/>
    <x v="6"/>
    <n v="2210"/>
    <n v="323829.00094444957"/>
    <n v="146.52895970337084"/>
    <n v="2359"/>
    <n v="32278.000015258789"/>
    <n v="13.682916496506481"/>
  </r>
  <r>
    <n v="70803"/>
    <s v="Moro Moro"/>
    <x v="6"/>
    <n v="2776"/>
    <n v="255241.99945543148"/>
    <n v="91.945965221697222"/>
    <n v="2793"/>
    <n v="66601.999969482422"/>
    <n v="23.846043669703697"/>
  </r>
  <r>
    <n v="70804"/>
    <s v="Postrer Valle"/>
    <x v="6"/>
    <n v="2195"/>
    <n v="196323.00001523923"/>
    <n v="89.441002284847031"/>
    <n v="1806"/>
    <n v="92153"/>
    <n v="51.026024363233667"/>
  </r>
  <r>
    <n v="70805"/>
    <s v="Pucará"/>
    <x v="6"/>
    <n v="2056"/>
    <n v="0"/>
    <n v="0"/>
    <n v="2015"/>
    <n v="0"/>
    <n v="0"/>
  </r>
  <r>
    <n v="70901"/>
    <s v="Samaipata"/>
    <x v="6"/>
    <n v="10929"/>
    <n v="2712498.0048952419"/>
    <n v="248.19269877346892"/>
    <n v="11843"/>
    <n v="707841.9998550415"/>
    <n v="59.76880856666736"/>
  </r>
  <r>
    <n v="70902"/>
    <s v="Pampa Grande"/>
    <x v="6"/>
    <n v="9363"/>
    <n v="1470213.0014048005"/>
    <n v="157.02371049928448"/>
    <n v="9692"/>
    <n v="198142"/>
    <n v="20.443871234007428"/>
  </r>
  <r>
    <n v="70903"/>
    <s v="Mairana"/>
    <x v="6"/>
    <n v="11030"/>
    <n v="2274516.9983784342"/>
    <n v="206.21187655289521"/>
    <n v="12735"/>
    <n v="255577.99978637695"/>
    <n v="20.068943838741809"/>
  </r>
  <r>
    <n v="70904"/>
    <s v="Quirusillas"/>
    <x v="6"/>
    <n v="3025"/>
    <n v="207381.99992794357"/>
    <n v="68.556033034030932"/>
    <n v="3086"/>
    <n v="38744.999969482422"/>
    <n v="12.555087482009858"/>
  </r>
  <r>
    <n v="71001"/>
    <s v="Montero"/>
    <x v="6"/>
    <n v="115307"/>
    <n v="49840775.988257334"/>
    <n v="432.24414812853803"/>
    <n v="126886"/>
    <n v="64020009.996635437"/>
    <n v="504.54746777923049"/>
  </r>
  <r>
    <n v="71002"/>
    <s v="Gral. Saavedra"/>
    <x v="6"/>
    <n v="15005"/>
    <n v="3373195.9956203867"/>
    <n v="224.80479810865623"/>
    <n v="16598"/>
    <n v="4305286.0002365112"/>
    <n v="259.38582963227566"/>
  </r>
  <r>
    <n v="71003"/>
    <s v="Mineros"/>
    <x v="6"/>
    <n v="23204"/>
    <n v="7093516.0000626659"/>
    <n v="305.70229271085441"/>
    <n v="23110"/>
    <n v="8456277.9985427856"/>
    <n v="365.91423619830312"/>
  </r>
  <r>
    <n v="71004"/>
    <s v="Fernández Alonzo"/>
    <x v="6"/>
    <n v="14948"/>
    <n v="3326805.003268132"/>
    <n v="222.55853647766472"/>
    <n v="14610"/>
    <n v="4181084.9981536865"/>
    <n v="286.17967133153229"/>
  </r>
  <r>
    <n v="71005"/>
    <s v="San Pedro"/>
    <x v="6"/>
    <n v="17817"/>
    <n v="3902191.0072709331"/>
    <n v="219.01504222208752"/>
    <n v="15246"/>
    <n v="5385238.9987945557"/>
    <n v="353.22307482582681"/>
  </r>
  <r>
    <n v="71101"/>
    <s v="Concepción"/>
    <x v="6"/>
    <n v="22573"/>
    <n v="3781056.0010360172"/>
    <n v="167.50347765188576"/>
    <n v="30118"/>
    <n v="1507510.0000152588"/>
    <n v="50.053456405314392"/>
  </r>
  <r>
    <n v="71102"/>
    <s v="San Javier"/>
    <x v="6"/>
    <n v="14043"/>
    <n v="2651415.000608718"/>
    <n v="188.80687891538261"/>
    <n v="14888"/>
    <n v="470792.00012207031"/>
    <n v="31.622246112444273"/>
  </r>
  <r>
    <n v="71103"/>
    <s v="San Ramón"/>
    <x v="6"/>
    <n v="7840"/>
    <n v="2063611.9991964512"/>
    <n v="263.21581622403716"/>
    <n v="44909"/>
    <n v="2540811.9998855591"/>
    <n v="56.576899950690489"/>
  </r>
  <r>
    <n v="71104"/>
    <s v="San Julián"/>
    <x v="6"/>
    <n v="46580"/>
    <n v="10184307.002994064"/>
    <n v="218.64119800330752"/>
    <n v="6364"/>
    <n v="2312765.999206543"/>
    <n v="363.41389051014187"/>
  </r>
  <r>
    <n v="71105"/>
    <s v="San Antonio de Lomerío"/>
    <x v="6"/>
    <n v="6442"/>
    <n v="708414.99997231457"/>
    <n v="109.9681775803034"/>
    <n v="8541"/>
    <n v="299220"/>
    <n v="35.03336845802599"/>
  </r>
  <r>
    <n v="71106"/>
    <s v="Cuatro Cañadas"/>
    <x v="6"/>
    <n v="23649"/>
    <n v="9607958.0062114168"/>
    <n v="406.27333105887845"/>
    <n v="25258"/>
    <n v="0"/>
    <n v="0"/>
  </r>
  <r>
    <n v="71201"/>
    <s v="San Matías"/>
    <x v="6"/>
    <n v="14773"/>
    <n v="3259157.9980929596"/>
    <n v="220.61585311669666"/>
    <n v="15378"/>
    <n v="274252"/>
    <n v="17.834048640915594"/>
  </r>
  <r>
    <n v="71301"/>
    <s v="Comarapa"/>
    <x v="6"/>
    <n v="16344"/>
    <n v="2467396.0003083833"/>
    <n v="150.9664708950308"/>
    <n v="17195"/>
    <n v="290093.9998550415"/>
    <n v="16.870834536495579"/>
  </r>
  <r>
    <n v="71302"/>
    <s v="Saipina"/>
    <x v="6"/>
    <n v="6943"/>
    <n v="803668.00077993236"/>
    <n v="115.75226858417577"/>
    <n v="6048"/>
    <n v="100802"/>
    <n v="16.666997354497354"/>
  </r>
  <r>
    <n v="71401"/>
    <s v="Puerto Suárez"/>
    <x v="6"/>
    <n v="19025"/>
    <n v="7722680.0048336871"/>
    <n v="405.92273349979956"/>
    <n v="17417"/>
    <n v="520378.00045776367"/>
    <n v="29.877590885787662"/>
  </r>
  <r>
    <n v="71402"/>
    <s v="Puerto Quijarro"/>
    <x v="6"/>
    <n v="17097"/>
    <n v="8600121.0063466132"/>
    <n v="503.01930200307731"/>
    <n v="17974"/>
    <n v="964467.99960327148"/>
    <n v="53.659063069059279"/>
  </r>
  <r>
    <n v="71403"/>
    <s v="Carmen Rivero Tórrez"/>
    <x v="6"/>
    <n v="7167"/>
    <n v="1379133.9999175249"/>
    <n v="192.4283521581589"/>
    <n v="8816"/>
    <n v="1993679"/>
    <n v="226.14326225045372"/>
  </r>
  <r>
    <n v="71501"/>
    <s v="Ascensión de Guarayos"/>
    <x v="6"/>
    <n v="29406"/>
    <n v="6305981.9973924216"/>
    <n v="214.44541921350819"/>
    <n v="34079"/>
    <n v="1806654.0003814697"/>
    <n v="53.013703464933528"/>
  </r>
  <r>
    <n v="71502"/>
    <s v="Urubichá"/>
    <x v="6"/>
    <n v="6869"/>
    <n v="855568.99981592316"/>
    <n v="124.55510260822874"/>
    <n v="6555"/>
    <n v="605416"/>
    <n v="92.359420289855066"/>
  </r>
  <r>
    <n v="71503"/>
    <s v="El Puente"/>
    <x v="6"/>
    <n v="15233"/>
    <n v="2121404.9994864576"/>
    <n v="139.26376941419664"/>
    <n v="17290"/>
    <n v="1305841.0001220703"/>
    <n v="75.525795264434379"/>
  </r>
  <r>
    <n v="80101"/>
    <s v="Trinidad"/>
    <x v="7"/>
    <n v="113927"/>
    <n v="51759909.005797595"/>
    <n v="454.32521707582572"/>
    <n v="128589"/>
    <n v="80983868.998649597"/>
    <n v="629.7884655658695"/>
  </r>
  <r>
    <n v="80102"/>
    <s v="San Javier"/>
    <x v="7"/>
    <n v="6156"/>
    <n v="312333.00025981199"/>
    <n v="50.736354818033135"/>
    <n v="7913"/>
    <n v="4351053.0002822876"/>
    <n v="549.86136740582424"/>
  </r>
  <r>
    <n v="80201"/>
    <s v="Riberalta"/>
    <x v="7"/>
    <n v="96115"/>
    <n v="20338121.007570855"/>
    <n v="211.60194566478546"/>
    <n v="110302"/>
    <n v="31463846.000610352"/>
    <n v="285.25181774229253"/>
  </r>
  <r>
    <n v="80202"/>
    <s v="Guayaramerín"/>
    <x v="7"/>
    <n v="41886"/>
    <n v="11460253.993401419"/>
    <n v="273.60583472762784"/>
    <n v="42031"/>
    <n v="18750285.00138092"/>
    <n v="446.10608839620568"/>
  </r>
  <r>
    <n v="80301"/>
    <s v="Reyes"/>
    <x v="7"/>
    <n v="12657"/>
    <n v="1927539.0007418906"/>
    <n v="152.29035322287197"/>
    <n v="11478"/>
    <n v="3129698.9989242554"/>
    <n v="272.66936739190237"/>
  </r>
  <r>
    <n v="80302"/>
    <s v="San Borja"/>
    <x v="7"/>
    <n v="42509"/>
    <n v="6582143.0011426201"/>
    <n v="154.84116307470467"/>
    <n v="45798"/>
    <n v="14745362.000343323"/>
    <n v="321.96519499417712"/>
  </r>
  <r>
    <n v="80303"/>
    <s v="Santa Rosa"/>
    <x v="7"/>
    <n v="10026"/>
    <n v="1458203.0004765633"/>
    <n v="145.44215045646951"/>
    <n v="11122"/>
    <n v="3183756.0006103516"/>
    <n v="286.25750769738818"/>
  </r>
  <r>
    <n v="80304"/>
    <s v="Rurrenabaque"/>
    <x v="7"/>
    <n v="19877"/>
    <n v="4302058.00379261"/>
    <n v="216.43396909959299"/>
    <n v="21240"/>
    <n v="6618789.001335144"/>
    <n v="311.61906785947008"/>
  </r>
  <r>
    <n v="80401"/>
    <s v="Santa Ana de Yacuma"/>
    <x v="7"/>
    <n v="17409"/>
    <n v="3464398.0005378947"/>
    <n v="199.00040212177004"/>
    <n v="18088"/>
    <n v="6607459.9982147217"/>
    <n v="365.29522325379929"/>
  </r>
  <r>
    <n v="80402"/>
    <s v="Exaltación"/>
    <x v="7"/>
    <n v="6912"/>
    <n v="0"/>
    <n v="0"/>
    <n v="8012"/>
    <n v="1089460.9999160767"/>
    <n v="135.97865700400357"/>
  </r>
  <r>
    <n v="80501"/>
    <s v="San Ignacio"/>
    <x v="7"/>
    <n v="20029"/>
    <n v="2555922.9992597364"/>
    <n v="127.61111384790735"/>
    <n v="21584"/>
    <n v="4747115.9993438721"/>
    <n v="219.93680501037213"/>
  </r>
  <r>
    <n v="80601"/>
    <s v="Loreto"/>
    <x v="7"/>
    <n v="3975"/>
    <n v="239932.99997560121"/>
    <n v="60.36050313851603"/>
    <n v="4269"/>
    <n v="3535019"/>
    <n v="828.06722885921761"/>
  </r>
  <r>
    <n v="80602"/>
    <s v="San Andrés"/>
    <x v="7"/>
    <n v="13525"/>
    <n v="1194177.0009360788"/>
    <n v="88.294048128360728"/>
    <n v="15570"/>
    <n v="7884026.9994354248"/>
    <n v="506.36011557067599"/>
  </r>
  <r>
    <n v="80701"/>
    <s v="San Joaquín"/>
    <x v="7"/>
    <n v="6881"/>
    <n v="1560814.9998645047"/>
    <n v="226.82967589950655"/>
    <n v="6808"/>
    <n v="2645097.999671936"/>
    <n v="388.52790829493773"/>
  </r>
  <r>
    <n v="80702"/>
    <s v="San Ramón"/>
    <x v="7"/>
    <n v="5133"/>
    <n v="1283759.0014658775"/>
    <n v="250.09916256884424"/>
    <n v="5489"/>
    <n v="4523530.9993972778"/>
    <n v="824.10839850560717"/>
  </r>
  <r>
    <n v="80703"/>
    <s v="Puerto Siles"/>
    <x v="7"/>
    <n v="993.66666669999995"/>
    <n v="0"/>
    <n v="0"/>
    <n v="1091"/>
    <n v="0"/>
    <n v="0"/>
  </r>
  <r>
    <n v="80801"/>
    <s v="Magdalena"/>
    <x v="7"/>
    <n v="11846"/>
    <n v="1665268.9990930036"/>
    <n v="140.5764814361813"/>
    <n v="12785"/>
    <n v="6959532.9999313354"/>
    <n v="544.35142744867699"/>
  </r>
  <r>
    <n v="80802"/>
    <s v="Baures"/>
    <x v="7"/>
    <n v="6473"/>
    <n v="231877.99961601384"/>
    <n v="35.822338887071503"/>
    <n v="7488"/>
    <n v="1817620.9998016357"/>
    <n v="242.73784719573126"/>
  </r>
  <r>
    <n v="80803"/>
    <s v="Huacaraje"/>
    <x v="7"/>
    <n v="4284"/>
    <n v="127167.00012107939"/>
    <n v="29.684173697730948"/>
    <n v="4630"/>
    <n v="1731269.0001983643"/>
    <n v="373.92419010763808"/>
  </r>
  <r>
    <n v="80901"/>
    <s v="TIOC-Territorio Indígena Multiétnico"/>
    <x v="7"/>
    <n v="3479"/>
    <n v="0"/>
    <n v="0"/>
    <n v="3973"/>
    <n v="0"/>
    <n v="0"/>
  </r>
  <r>
    <n v="90101"/>
    <s v="Cobija "/>
    <x v="8"/>
    <n v="49216"/>
    <n v="23776788.244639225"/>
    <n v="483.11094450258503"/>
    <n v="55114"/>
    <n v="33061341.500198364"/>
    <n v="599.87192909602572"/>
  </r>
  <r>
    <n v="90102"/>
    <s v="Porvenir"/>
    <x v="8"/>
    <n v="8416"/>
    <n v="1289749.1708425088"/>
    <n v="153.24966383584942"/>
    <n v="9353"/>
    <n v="3592961.5010681152"/>
    <n v="384.15070042426123"/>
  </r>
  <r>
    <n v="90103"/>
    <s v="Bolpebra"/>
    <x v="8"/>
    <n v="2261"/>
    <n v="0"/>
    <n v="0"/>
    <n v="2437"/>
    <n v="0"/>
    <n v="0"/>
  </r>
  <r>
    <n v="90104"/>
    <s v="Bella Flor"/>
    <x v="8"/>
    <n v="3816"/>
    <n v="185920.99957227241"/>
    <n v="48.721435946612267"/>
    <n v="3630"/>
    <n v="932741.00019073486"/>
    <n v="256.95344357871483"/>
  </r>
  <r>
    <n v="90201"/>
    <s v="Puerto Rico "/>
    <x v="8"/>
    <n v="6615"/>
    <n v="914805.1112410333"/>
    <n v="138.29253382328545"/>
    <n v="7367"/>
    <n v="1585179.5001449585"/>
    <n v="215.1730012413409"/>
  </r>
  <r>
    <n v="90202"/>
    <s v="San Pedro"/>
    <x v="8"/>
    <n v="3167"/>
    <n v="81834.999875850976"/>
    <n v="25.839911549053038"/>
    <n v="3518"/>
    <n v="353813.50031280518"/>
    <n v="100.57234232882466"/>
  </r>
  <r>
    <n v="90203"/>
    <s v="Filadelfia"/>
    <x v="8"/>
    <n v="6519"/>
    <n v="944520.99988270923"/>
    <n v="144.88740602587961"/>
    <n v="8045"/>
    <n v="5176547.4994812012"/>
    <n v="643.44903660425121"/>
  </r>
  <r>
    <n v="90301"/>
    <s v="Puerto Gonzalez Moreno"/>
    <x v="8"/>
    <n v="9584"/>
    <n v="186030.00017465465"/>
    <n v="19.410475811211878"/>
    <n v="12431"/>
    <n v="0"/>
    <n v="0"/>
  </r>
  <r>
    <n v="90302"/>
    <s v="San Lorenzo"/>
    <x v="8"/>
    <n v="8379"/>
    <n v="303570.50026059896"/>
    <n v="36.229920069292156"/>
    <n v="9832"/>
    <n v="741663.50087738037"/>
    <n v="75.433635158399142"/>
  </r>
  <r>
    <n v="90303"/>
    <s v="Sena"/>
    <x v="8"/>
    <n v="9013"/>
    <n v="723820.49953421298"/>
    <n v="80.308498783336617"/>
    <n v="10522"/>
    <n v="1892991.0003128052"/>
    <n v="179.90790727169789"/>
  </r>
  <r>
    <n v="90401"/>
    <s v="Santa Rosa "/>
    <x v="8"/>
    <n v="2560"/>
    <n v="0"/>
    <n v="0"/>
    <n v="2889"/>
    <n v="1226835.0000686646"/>
    <n v="424.65732089604171"/>
  </r>
  <r>
    <n v="90402"/>
    <s v="Ingavi"/>
    <x v="8"/>
    <n v="1969"/>
    <n v="0"/>
    <n v="0"/>
    <n v="2600"/>
    <n v="0"/>
    <n v="0"/>
  </r>
  <r>
    <n v="90501"/>
    <s v="Nueva Esperanza"/>
    <x v="8"/>
    <n v="1911"/>
    <n v="96837.000049633905"/>
    <n v="50.673469413727844"/>
    <n v="1598"/>
    <n v="0"/>
    <n v="0"/>
  </r>
  <r>
    <n v="90502"/>
    <s v="Villa Nueva (Loma Alta)"/>
    <x v="8"/>
    <n v="2704"/>
    <n v="77098.000149220228"/>
    <n v="28.512574019682038"/>
    <n v="2511"/>
    <n v="0"/>
    <n v="0"/>
  </r>
  <r>
    <n v="90503"/>
    <s v="Santos Mercado"/>
    <x v="8"/>
    <n v="2226"/>
    <n v="0"/>
    <n v="0"/>
    <n v="2347"/>
    <n v="0"/>
    <n v="0"/>
  </r>
  <r>
    <n v="10"/>
    <m/>
    <x v="9"/>
    <n v="50468.666666666664"/>
    <n v="15318677.331370862"/>
    <n v="303.52847307314499"/>
    <n v="53088"/>
    <n v="18920485.333658855"/>
    <n v="356.39853325909536"/>
  </r>
  <r>
    <n v="11"/>
    <m/>
    <x v="10"/>
    <n v="10495009.000000002"/>
    <n v="3233373110.035706"/>
    <n v="308.08674009099997"/>
    <n v="11365333"/>
    <n v="4033077520.5780029"/>
    <n v="354.8578401159035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Datos Procesados" cacheId="4" applyNumberFormats="0" applyBorderFormats="0" applyFontFormats="0" applyPatternFormats="0" applyAlignmentFormats="0" applyWidthHeightFormats="0" dataCaption="" updatedVersion="8" compact="0" compactData="0">
  <location ref="M1:Q14" firstHeaderRow="1" firstDataRow="2" firstDataCol="1"/>
  <pivotFields count="9">
    <pivotField name="id" compact="0" numFmtId="1" outline="0" multipleItemSelectionAllowed="1" showAll="0"/>
    <pivotField name="Municipio" compact="0" numFmtId="1" outline="0" multipleItemSelectionAllowed="1" showAll="0"/>
    <pivotField name="Departamento" axis="axisRow" compact="0" numFmtId="1" outline="0" multipleItemSelectionAllowed="1" showAll="0" sortType="ascending">
      <items count="12">
        <item x="7"/>
        <item x="10"/>
        <item x="0"/>
        <item x="2"/>
        <item x="9"/>
        <item x="1"/>
        <item x="3"/>
        <item x="8"/>
        <item x="4"/>
        <item x="6"/>
        <item x="5"/>
        <item t="default"/>
      </items>
    </pivotField>
    <pivotField name="Población2016" dataField="1" compact="0" numFmtId="3" outline="0" multipleItemSelectionAllowed="1" showAll="0"/>
    <pivotField name="consumo_kwh_anual_2016 (sin 4 nuevos municipios)" dataField="1" compact="0" numFmtId="3" outline="0" multipleItemSelectionAllowed="1" showAll="0"/>
    <pivotField name="consumo_per_capita_2016" compact="0" numFmtId="1" outline="0" multipleItemSelectionAllowed="1" showAll="0"/>
    <pivotField name="Población2024" dataField="1" compact="0" numFmtId="3" outline="0" multipleItemSelectionAllowed="1" showAll="0"/>
    <pivotField name="consumo_kwh_anual_2024" dataField="1" compact="0" numFmtId="3" outline="0" multipleItemSelectionAllowed="1" showAll="0"/>
    <pivotField name="consumo_per_capita_2024" compact="0" numFmtId="1" outline="0" multipleItemSelectionAllowed="1"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consumo_kwh_anual_2016 (sin 4 nuevos municipios)" fld="4" baseField="0"/>
    <dataField name="SUM of consumo_kwh_anual_2024" fld="7" baseField="0"/>
    <dataField name="SUM of Población2016" fld="3" baseField="0"/>
    <dataField name="SUM of Población2024" fld="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FF033D-4C26-46E8-8F19-D4D405C3EC48}" name="Tabla1" displayName="Tabla1" ref="A1:D344" totalsRowShown="0">
  <autoFilter ref="A1:D344" xr:uid="{74FF033D-4C26-46E8-8F19-D4D405C3EC48}"/>
  <tableColumns count="4">
    <tableColumn id="5" xr3:uid="{7720F845-CEAF-4156-A95B-9F967C5B7AAE}" name="id" dataDxfId="3"/>
    <tableColumn id="6" xr3:uid="{AAA73733-5CDF-41CC-B823-10ACD67991A4}" name="Municipio" dataDxfId="2"/>
    <tableColumn id="7" xr3:uid="{69AB7536-CA5C-450B-9E9C-21E0AE972425}" name="consumo_per_capita_2016" dataDxfId="1"/>
    <tableColumn id="8" xr3:uid="{0F917A8A-D9F6-46B7-B4FE-6F0C213B2624}" name="consumo_per_capita_2024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L1006"/>
  <sheetViews>
    <sheetView workbookViewId="0">
      <pane ySplit="3" topLeftCell="A4" activePane="bottomLeft" state="frozen"/>
      <selection pane="bottomLeft" activeCell="B5" sqref="B5"/>
    </sheetView>
  </sheetViews>
  <sheetFormatPr baseColWidth="10" defaultColWidth="12.6640625" defaultRowHeight="15.75" customHeight="1"/>
  <cols>
    <col min="1" max="1" width="6.21875" customWidth="1"/>
    <col min="3" max="4" width="8.21875" customWidth="1"/>
    <col min="5" max="5" width="9" customWidth="1"/>
    <col min="6" max="6" width="7.44140625" customWidth="1"/>
    <col min="7" max="7" width="6.6640625" customWidth="1"/>
    <col min="8" max="8" width="6" customWidth="1"/>
    <col min="9" max="9" width="5.109375" customWidth="1"/>
    <col min="10" max="10" width="9" customWidth="1"/>
    <col min="11" max="11" width="8.33203125" customWidth="1"/>
    <col min="12" max="12" width="8.88671875" customWidth="1"/>
    <col min="13" max="13" width="6.21875" customWidth="1"/>
    <col min="14" max="14" width="5.6640625" customWidth="1"/>
    <col min="15" max="15" width="7.109375" customWidth="1"/>
    <col min="16" max="16" width="8.33203125" customWidth="1"/>
    <col min="17" max="17" width="7" customWidth="1"/>
    <col min="18" max="18" width="7.44140625" customWidth="1"/>
    <col min="19" max="19" width="6" customWidth="1"/>
    <col min="20" max="20" width="5.44140625" customWidth="1"/>
    <col min="21" max="21" width="11.109375" customWidth="1"/>
    <col min="22" max="22" width="12.44140625" customWidth="1"/>
    <col min="23" max="23" width="11.109375" customWidth="1"/>
    <col min="24" max="24" width="9.77734375" customWidth="1"/>
    <col min="25" max="25" width="10.77734375" customWidth="1"/>
    <col min="26" max="26" width="8.77734375" customWidth="1"/>
    <col min="27" max="27" width="9.21875" customWidth="1"/>
    <col min="29" max="29" width="8.77734375" customWidth="1"/>
  </cols>
  <sheetData>
    <row r="1" spans="1:38" ht="14.4">
      <c r="A1" s="1"/>
      <c r="B1" s="2"/>
      <c r="C1" s="102" t="s">
        <v>0</v>
      </c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1"/>
      <c r="O1" s="99" t="s">
        <v>1</v>
      </c>
      <c r="P1" s="100"/>
      <c r="Q1" s="100"/>
      <c r="R1" s="100"/>
      <c r="S1" s="100"/>
      <c r="T1" s="101"/>
      <c r="U1" s="103" t="s">
        <v>2</v>
      </c>
      <c r="V1" s="100"/>
      <c r="W1" s="100"/>
      <c r="X1" s="101"/>
      <c r="Y1" s="91" t="s">
        <v>3</v>
      </c>
      <c r="Z1" s="3"/>
      <c r="AA1" s="94" t="s">
        <v>4</v>
      </c>
      <c r="AB1" s="95"/>
      <c r="AC1" s="96"/>
      <c r="AD1" s="4"/>
      <c r="AE1" s="4"/>
      <c r="AF1" s="4"/>
      <c r="AG1" s="4"/>
      <c r="AH1" s="4"/>
      <c r="AI1" s="4"/>
      <c r="AJ1" s="4"/>
      <c r="AK1" s="4"/>
      <c r="AL1" s="4"/>
    </row>
    <row r="2" spans="1:38" ht="27">
      <c r="A2" s="97" t="s">
        <v>5</v>
      </c>
      <c r="B2" s="98" t="s">
        <v>6</v>
      </c>
      <c r="C2" s="102">
        <v>2012</v>
      </c>
      <c r="D2" s="100"/>
      <c r="E2" s="100"/>
      <c r="F2" s="100"/>
      <c r="G2" s="100"/>
      <c r="H2" s="101"/>
      <c r="I2" s="102">
        <v>2024</v>
      </c>
      <c r="J2" s="100"/>
      <c r="K2" s="100"/>
      <c r="L2" s="100"/>
      <c r="M2" s="100"/>
      <c r="N2" s="101"/>
      <c r="O2" s="99">
        <v>2016</v>
      </c>
      <c r="P2" s="100"/>
      <c r="Q2" s="100"/>
      <c r="R2" s="100"/>
      <c r="S2" s="100"/>
      <c r="T2" s="101"/>
      <c r="U2" s="5"/>
      <c r="V2" s="1"/>
      <c r="W2" s="1"/>
      <c r="X2" s="1"/>
      <c r="Y2" s="92"/>
      <c r="Z2" s="6"/>
      <c r="AA2" s="7">
        <v>2012</v>
      </c>
      <c r="AB2" s="8" t="s">
        <v>7</v>
      </c>
      <c r="AC2" s="7">
        <v>2024</v>
      </c>
      <c r="AD2" s="4"/>
      <c r="AE2" s="4"/>
      <c r="AF2" s="4"/>
      <c r="AG2" s="4"/>
      <c r="AH2" s="4"/>
      <c r="AI2" s="4"/>
      <c r="AJ2" s="4"/>
      <c r="AK2" s="4"/>
      <c r="AL2" s="4"/>
    </row>
    <row r="3" spans="1:38" ht="82.5" customHeight="1">
      <c r="A3" s="93"/>
      <c r="B3" s="93"/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8</v>
      </c>
      <c r="J3" s="9" t="s">
        <v>14</v>
      </c>
      <c r="K3" s="9" t="s">
        <v>10</v>
      </c>
      <c r="L3" s="9" t="s">
        <v>11</v>
      </c>
      <c r="M3" s="9" t="s">
        <v>12</v>
      </c>
      <c r="N3" s="9" t="s">
        <v>13</v>
      </c>
      <c r="O3" s="10" t="s">
        <v>8</v>
      </c>
      <c r="P3" s="10" t="s">
        <v>9</v>
      </c>
      <c r="Q3" s="10" t="s">
        <v>10</v>
      </c>
      <c r="R3" s="10" t="s">
        <v>11</v>
      </c>
      <c r="S3" s="10" t="s">
        <v>12</v>
      </c>
      <c r="T3" s="10" t="s">
        <v>13</v>
      </c>
      <c r="U3" s="11" t="s">
        <v>15</v>
      </c>
      <c r="V3" s="12" t="s">
        <v>16</v>
      </c>
      <c r="W3" s="12" t="s">
        <v>17</v>
      </c>
      <c r="X3" s="12" t="s">
        <v>18</v>
      </c>
      <c r="Y3" s="93"/>
      <c r="Z3" s="3"/>
      <c r="AA3" s="9" t="s">
        <v>8</v>
      </c>
      <c r="AB3" s="9" t="s">
        <v>8</v>
      </c>
      <c r="AC3" s="9" t="s">
        <v>8</v>
      </c>
      <c r="AD3" s="4"/>
      <c r="AE3" s="4"/>
      <c r="AF3" s="4"/>
      <c r="AG3" s="4"/>
      <c r="AH3" s="4"/>
      <c r="AI3" s="4"/>
      <c r="AJ3" s="4"/>
      <c r="AK3" s="4"/>
      <c r="AL3" s="4"/>
    </row>
    <row r="4" spans="1:38" ht="14.4">
      <c r="A4" s="13">
        <v>10101</v>
      </c>
      <c r="B4" s="14" t="s">
        <v>19</v>
      </c>
      <c r="C4" s="15">
        <v>69949</v>
      </c>
      <c r="D4" s="15">
        <v>64063</v>
      </c>
      <c r="E4" s="15">
        <v>160</v>
      </c>
      <c r="F4" s="15">
        <v>40</v>
      </c>
      <c r="G4" s="15">
        <v>335</v>
      </c>
      <c r="H4" s="15">
        <v>5351</v>
      </c>
      <c r="I4" s="15">
        <v>92531</v>
      </c>
      <c r="J4" s="15">
        <v>88605</v>
      </c>
      <c r="K4" s="15">
        <v>409</v>
      </c>
      <c r="L4" s="15">
        <v>164</v>
      </c>
      <c r="M4" s="15">
        <v>192</v>
      </c>
      <c r="N4" s="15">
        <v>3161</v>
      </c>
      <c r="O4" s="16">
        <f t="shared" ref="O4:T4" si="0">ROUND(C4 + ((2016-2012)*(I4-C4))/(2024-2012),0)</f>
        <v>77476</v>
      </c>
      <c r="P4" s="17">
        <f t="shared" si="0"/>
        <v>72244</v>
      </c>
      <c r="Q4" s="17">
        <f t="shared" si="0"/>
        <v>243</v>
      </c>
      <c r="R4" s="17">
        <f t="shared" si="0"/>
        <v>81</v>
      </c>
      <c r="S4" s="17">
        <f t="shared" si="0"/>
        <v>287</v>
      </c>
      <c r="T4" s="17">
        <f t="shared" si="0"/>
        <v>4621</v>
      </c>
      <c r="U4" s="17">
        <v>67610</v>
      </c>
      <c r="V4" s="18">
        <f t="shared" ref="V4:V258" si="1">P4-U4</f>
        <v>4634</v>
      </c>
      <c r="W4" s="18">
        <f t="shared" ref="W4:W258" si="2">IF(V4&gt;0,V4,0)</f>
        <v>4634</v>
      </c>
      <c r="X4" s="19">
        <f t="shared" ref="X4:X258" si="3">SUM(Q4:T4,U4,W4)</f>
        <v>77476</v>
      </c>
      <c r="Y4" s="18">
        <v>1029.9999713897705</v>
      </c>
      <c r="Z4" s="20"/>
      <c r="AA4" s="15">
        <v>76578</v>
      </c>
      <c r="AB4" s="17">
        <f>ROUND(AA4+((2016-2012)*(AC4-AA4))/(2024-2012),0)</f>
        <v>88613</v>
      </c>
      <c r="AC4" s="15">
        <v>112684</v>
      </c>
      <c r="AD4" s="4"/>
      <c r="AE4" s="4"/>
      <c r="AF4" s="4"/>
      <c r="AG4" s="4"/>
      <c r="AH4" s="4"/>
      <c r="AI4" s="4"/>
      <c r="AJ4" s="4"/>
      <c r="AK4" s="4"/>
      <c r="AL4" s="4"/>
    </row>
    <row r="5" spans="1:38" ht="14.4">
      <c r="A5" s="21">
        <v>10102</v>
      </c>
      <c r="B5" s="22" t="s">
        <v>20</v>
      </c>
      <c r="C5" s="15">
        <v>2646</v>
      </c>
      <c r="D5" s="15">
        <v>1994</v>
      </c>
      <c r="E5" s="15">
        <v>3</v>
      </c>
      <c r="F5" s="15">
        <v>10</v>
      </c>
      <c r="G5" s="15">
        <v>17</v>
      </c>
      <c r="H5" s="15">
        <v>622</v>
      </c>
      <c r="I5" s="15">
        <v>3056</v>
      </c>
      <c r="J5" s="15">
        <v>2645</v>
      </c>
      <c r="K5" s="15">
        <v>16</v>
      </c>
      <c r="L5" s="15">
        <v>33</v>
      </c>
      <c r="M5" s="15">
        <v>11</v>
      </c>
      <c r="N5" s="15">
        <v>351</v>
      </c>
      <c r="O5" s="16">
        <f t="shared" ref="O5:T5" si="4">ROUND(C5 + ((2016-2012)*(I5-C5))/(2024-2012),0)</f>
        <v>2783</v>
      </c>
      <c r="P5" s="23">
        <f t="shared" si="4"/>
        <v>2211</v>
      </c>
      <c r="Q5" s="23">
        <f t="shared" si="4"/>
        <v>7</v>
      </c>
      <c r="R5" s="23">
        <f t="shared" si="4"/>
        <v>18</v>
      </c>
      <c r="S5" s="23">
        <f t="shared" si="4"/>
        <v>15</v>
      </c>
      <c r="T5" s="23">
        <f t="shared" si="4"/>
        <v>532</v>
      </c>
      <c r="U5" s="23">
        <v>2464</v>
      </c>
      <c r="V5" s="18">
        <f t="shared" si="1"/>
        <v>-253</v>
      </c>
      <c r="W5" s="18">
        <f t="shared" si="2"/>
        <v>0</v>
      </c>
      <c r="X5" s="19">
        <f t="shared" si="3"/>
        <v>3036</v>
      </c>
      <c r="Y5" s="18">
        <v>339.49999511241913</v>
      </c>
      <c r="Z5" s="20"/>
      <c r="AA5" s="15">
        <v>3449</v>
      </c>
      <c r="AB5" s="23">
        <f t="shared" ref="AB5:AB259" si="5">ROUND(AA5 + ((2016-2012)*(AC5-AA5))/(2024-2012),0)</f>
        <v>3935</v>
      </c>
      <c r="AC5" s="15">
        <v>4906</v>
      </c>
      <c r="AD5" s="4"/>
      <c r="AE5" s="4"/>
      <c r="AF5" s="4"/>
      <c r="AG5" s="4"/>
      <c r="AH5" s="4"/>
      <c r="AI5" s="4"/>
      <c r="AJ5" s="4"/>
      <c r="AK5" s="4"/>
      <c r="AL5" s="4"/>
    </row>
    <row r="6" spans="1:38" ht="14.4">
      <c r="A6" s="13">
        <v>10103</v>
      </c>
      <c r="B6" s="14" t="s">
        <v>21</v>
      </c>
      <c r="C6" s="15">
        <v>4660</v>
      </c>
      <c r="D6" s="15">
        <v>594</v>
      </c>
      <c r="E6" s="15">
        <v>19</v>
      </c>
      <c r="F6" s="15">
        <v>76</v>
      </c>
      <c r="G6" s="15">
        <v>56</v>
      </c>
      <c r="H6" s="15">
        <v>3915</v>
      </c>
      <c r="I6" s="15">
        <v>4654</v>
      </c>
      <c r="J6" s="15">
        <v>2054</v>
      </c>
      <c r="K6" s="15">
        <v>5</v>
      </c>
      <c r="L6" s="15">
        <v>70</v>
      </c>
      <c r="M6" s="15">
        <v>44</v>
      </c>
      <c r="N6" s="15">
        <v>2481</v>
      </c>
      <c r="O6" s="16">
        <f t="shared" ref="O6:T6" si="6">ROUND(C6 + ((2016-2012)*(I6-C6))/(2024-2012),0)</f>
        <v>4658</v>
      </c>
      <c r="P6" s="17">
        <f t="shared" si="6"/>
        <v>1081</v>
      </c>
      <c r="Q6" s="17">
        <f t="shared" si="6"/>
        <v>14</v>
      </c>
      <c r="R6" s="17">
        <f t="shared" si="6"/>
        <v>74</v>
      </c>
      <c r="S6" s="17">
        <f t="shared" si="6"/>
        <v>52</v>
      </c>
      <c r="T6" s="17">
        <f t="shared" si="6"/>
        <v>3437</v>
      </c>
      <c r="U6" s="17">
        <v>933</v>
      </c>
      <c r="V6" s="18">
        <f t="shared" si="1"/>
        <v>148</v>
      </c>
      <c r="W6" s="18">
        <f t="shared" si="2"/>
        <v>148</v>
      </c>
      <c r="X6" s="19">
        <f t="shared" si="3"/>
        <v>4658</v>
      </c>
      <c r="Y6" s="18">
        <v>74.000000953674316</v>
      </c>
      <c r="Z6" s="20"/>
      <c r="AA6" s="15">
        <v>5594</v>
      </c>
      <c r="AB6" s="17">
        <f t="shared" si="5"/>
        <v>5964</v>
      </c>
      <c r="AC6" s="15">
        <v>6703</v>
      </c>
      <c r="AD6" s="4"/>
      <c r="AE6" s="4"/>
      <c r="AF6" s="4"/>
      <c r="AG6" s="4"/>
      <c r="AH6" s="4"/>
      <c r="AI6" s="4"/>
      <c r="AJ6" s="4"/>
      <c r="AK6" s="4"/>
      <c r="AL6" s="4"/>
    </row>
    <row r="7" spans="1:38" ht="14.4">
      <c r="A7" s="21">
        <v>10201</v>
      </c>
      <c r="B7" s="22" t="s">
        <v>22</v>
      </c>
      <c r="C7" s="15">
        <v>2538</v>
      </c>
      <c r="D7" s="15">
        <v>368</v>
      </c>
      <c r="E7" s="15">
        <v>15</v>
      </c>
      <c r="F7" s="15">
        <v>105</v>
      </c>
      <c r="G7" s="15">
        <v>11</v>
      </c>
      <c r="H7" s="15">
        <v>2039</v>
      </c>
      <c r="I7" s="15">
        <v>2450</v>
      </c>
      <c r="J7" s="15">
        <v>1171</v>
      </c>
      <c r="K7" s="15">
        <v>8</v>
      </c>
      <c r="L7" s="15">
        <v>173</v>
      </c>
      <c r="M7" s="15">
        <v>3</v>
      </c>
      <c r="N7" s="15">
        <v>1095</v>
      </c>
      <c r="O7" s="16">
        <f t="shared" ref="O7:T7" si="7">ROUND(C7 + ((2016-2012)*(I7-C7))/(2024-2012),0)</f>
        <v>2509</v>
      </c>
      <c r="P7" s="23">
        <f t="shared" si="7"/>
        <v>636</v>
      </c>
      <c r="Q7" s="23">
        <f t="shared" si="7"/>
        <v>13</v>
      </c>
      <c r="R7" s="23">
        <f t="shared" si="7"/>
        <v>128</v>
      </c>
      <c r="S7" s="23">
        <f t="shared" si="7"/>
        <v>8</v>
      </c>
      <c r="T7" s="23">
        <f t="shared" si="7"/>
        <v>1724</v>
      </c>
      <c r="U7" s="23">
        <v>752</v>
      </c>
      <c r="V7" s="18">
        <f t="shared" si="1"/>
        <v>-116</v>
      </c>
      <c r="W7" s="18">
        <f t="shared" si="2"/>
        <v>0</v>
      </c>
      <c r="X7" s="19">
        <f t="shared" si="3"/>
        <v>2625</v>
      </c>
      <c r="Y7" s="18">
        <v>177.50000208616257</v>
      </c>
      <c r="Z7" s="20"/>
      <c r="AA7" s="15">
        <v>3120</v>
      </c>
      <c r="AB7" s="23">
        <f t="shared" si="5"/>
        <v>3516</v>
      </c>
      <c r="AC7" s="15">
        <v>4308</v>
      </c>
      <c r="AD7" s="4"/>
      <c r="AE7" s="4"/>
      <c r="AF7" s="4"/>
      <c r="AG7" s="4"/>
      <c r="AH7" s="4"/>
      <c r="AI7" s="4"/>
      <c r="AJ7" s="4"/>
      <c r="AK7" s="4"/>
      <c r="AL7" s="4"/>
    </row>
    <row r="8" spans="1:38" ht="14.4">
      <c r="A8" s="13">
        <v>10202</v>
      </c>
      <c r="B8" s="14" t="s">
        <v>23</v>
      </c>
      <c r="C8" s="15">
        <v>3418</v>
      </c>
      <c r="D8" s="15">
        <v>808</v>
      </c>
      <c r="E8" s="15">
        <v>32</v>
      </c>
      <c r="F8" s="15">
        <v>41</v>
      </c>
      <c r="G8" s="15">
        <v>258</v>
      </c>
      <c r="H8" s="15">
        <v>2279</v>
      </c>
      <c r="I8" s="15">
        <v>4598</v>
      </c>
      <c r="J8" s="15">
        <v>2971</v>
      </c>
      <c r="K8" s="15">
        <v>9</v>
      </c>
      <c r="L8" s="15">
        <v>88</v>
      </c>
      <c r="M8" s="15">
        <v>74</v>
      </c>
      <c r="N8" s="15">
        <v>1456</v>
      </c>
      <c r="O8" s="16">
        <f t="shared" ref="O8:T8" si="8">ROUND(C8 + ((2016-2012)*(I8-C8))/(2024-2012),0)</f>
        <v>3811</v>
      </c>
      <c r="P8" s="17">
        <f t="shared" si="8"/>
        <v>1529</v>
      </c>
      <c r="Q8" s="17">
        <f t="shared" si="8"/>
        <v>24</v>
      </c>
      <c r="R8" s="17">
        <f t="shared" si="8"/>
        <v>57</v>
      </c>
      <c r="S8" s="17">
        <f t="shared" si="8"/>
        <v>197</v>
      </c>
      <c r="T8" s="17">
        <f t="shared" si="8"/>
        <v>2005</v>
      </c>
      <c r="U8" s="17">
        <v>1610</v>
      </c>
      <c r="V8" s="18">
        <f t="shared" si="1"/>
        <v>-81</v>
      </c>
      <c r="W8" s="18">
        <f t="shared" si="2"/>
        <v>0</v>
      </c>
      <c r="X8" s="19">
        <f t="shared" si="3"/>
        <v>3893</v>
      </c>
      <c r="Y8" s="18">
        <v>92.000000178813934</v>
      </c>
      <c r="Z8" s="20"/>
      <c r="AA8" s="15">
        <v>4428</v>
      </c>
      <c r="AB8" s="17">
        <f t="shared" si="5"/>
        <v>5149</v>
      </c>
      <c r="AC8" s="15">
        <v>6591</v>
      </c>
      <c r="AD8" s="4"/>
      <c r="AE8" s="4"/>
      <c r="AF8" s="4"/>
      <c r="AG8" s="4"/>
      <c r="AH8" s="4"/>
      <c r="AI8" s="4"/>
      <c r="AJ8" s="4"/>
      <c r="AK8" s="4"/>
      <c r="AL8" s="4"/>
    </row>
    <row r="9" spans="1:38" ht="14.4">
      <c r="A9" s="21">
        <v>10301</v>
      </c>
      <c r="B9" s="22" t="s">
        <v>24</v>
      </c>
      <c r="C9" s="15">
        <v>2586</v>
      </c>
      <c r="D9" s="15">
        <v>1186</v>
      </c>
      <c r="E9" s="15">
        <v>7</v>
      </c>
      <c r="F9" s="15">
        <v>28</v>
      </c>
      <c r="G9" s="15">
        <v>47</v>
      </c>
      <c r="H9" s="15">
        <v>1318</v>
      </c>
      <c r="I9" s="15">
        <v>3187</v>
      </c>
      <c r="J9" s="15">
        <v>2361</v>
      </c>
      <c r="K9" s="15">
        <v>7</v>
      </c>
      <c r="L9" s="15">
        <v>343</v>
      </c>
      <c r="M9" s="15">
        <v>3</v>
      </c>
      <c r="N9" s="15">
        <v>473</v>
      </c>
      <c r="O9" s="16">
        <f t="shared" ref="O9:T9" si="9">ROUND(C9 + ((2016-2012)*(I9-C9))/(2024-2012),0)</f>
        <v>2786</v>
      </c>
      <c r="P9" s="23">
        <f t="shared" si="9"/>
        <v>1578</v>
      </c>
      <c r="Q9" s="23">
        <f t="shared" si="9"/>
        <v>7</v>
      </c>
      <c r="R9" s="23">
        <f t="shared" si="9"/>
        <v>133</v>
      </c>
      <c r="S9" s="23">
        <f t="shared" si="9"/>
        <v>32</v>
      </c>
      <c r="T9" s="23">
        <f t="shared" si="9"/>
        <v>1036</v>
      </c>
      <c r="U9" s="24">
        <v>1090</v>
      </c>
      <c r="V9" s="18">
        <f t="shared" si="1"/>
        <v>488</v>
      </c>
      <c r="W9" s="18">
        <f t="shared" si="2"/>
        <v>488</v>
      </c>
      <c r="X9" s="19">
        <f t="shared" si="3"/>
        <v>2786</v>
      </c>
      <c r="Y9" s="18">
        <v>258.00000131130219</v>
      </c>
      <c r="Z9" s="20"/>
      <c r="AA9" s="15">
        <v>2968</v>
      </c>
      <c r="AB9" s="23">
        <f t="shared" si="5"/>
        <v>3193</v>
      </c>
      <c r="AC9" s="15">
        <v>3644</v>
      </c>
      <c r="AD9" s="4"/>
      <c r="AE9" s="4"/>
      <c r="AF9" s="4"/>
      <c r="AG9" s="4"/>
      <c r="AH9" s="4"/>
      <c r="AI9" s="4"/>
      <c r="AJ9" s="4"/>
      <c r="AK9" s="4"/>
      <c r="AL9" s="4"/>
    </row>
    <row r="10" spans="1:38" ht="14.4">
      <c r="A10" s="13">
        <v>10302</v>
      </c>
      <c r="B10" s="14" t="s">
        <v>25</v>
      </c>
      <c r="C10" s="15">
        <v>2717</v>
      </c>
      <c r="D10" s="15">
        <v>896</v>
      </c>
      <c r="E10" s="15">
        <v>25</v>
      </c>
      <c r="F10" s="15">
        <v>31</v>
      </c>
      <c r="G10" s="15">
        <v>85</v>
      </c>
      <c r="H10" s="15">
        <v>1680</v>
      </c>
      <c r="I10" s="15">
        <v>3271</v>
      </c>
      <c r="J10" s="15">
        <v>2076</v>
      </c>
      <c r="K10" s="15">
        <v>7</v>
      </c>
      <c r="L10" s="15">
        <v>256</v>
      </c>
      <c r="M10" s="15">
        <v>23</v>
      </c>
      <c r="N10" s="15">
        <v>909</v>
      </c>
      <c r="O10" s="16">
        <f t="shared" ref="O10:T10" si="10">ROUND(C10 + ((2016-2012)*(I10-C10))/(2024-2012),0)</f>
        <v>2902</v>
      </c>
      <c r="P10" s="17">
        <f t="shared" si="10"/>
        <v>1289</v>
      </c>
      <c r="Q10" s="17">
        <f t="shared" si="10"/>
        <v>19</v>
      </c>
      <c r="R10" s="17">
        <f t="shared" si="10"/>
        <v>106</v>
      </c>
      <c r="S10" s="17">
        <f t="shared" si="10"/>
        <v>64</v>
      </c>
      <c r="T10" s="17">
        <f t="shared" si="10"/>
        <v>1423</v>
      </c>
      <c r="U10" s="17">
        <v>1060</v>
      </c>
      <c r="V10" s="18">
        <f t="shared" si="1"/>
        <v>229</v>
      </c>
      <c r="W10" s="18">
        <f t="shared" si="2"/>
        <v>229</v>
      </c>
      <c r="X10" s="19">
        <f t="shared" si="3"/>
        <v>2901</v>
      </c>
      <c r="Y10" s="18">
        <v>141.50000363588333</v>
      </c>
      <c r="Z10" s="20"/>
      <c r="AA10" s="15">
        <v>3237</v>
      </c>
      <c r="AB10" s="17">
        <f t="shared" si="5"/>
        <v>3589</v>
      </c>
      <c r="AC10" s="15">
        <v>4293</v>
      </c>
      <c r="AD10" s="4"/>
      <c r="AE10" s="4"/>
      <c r="AF10" s="4"/>
      <c r="AG10" s="4"/>
      <c r="AH10" s="4"/>
      <c r="AI10" s="4"/>
      <c r="AJ10" s="4"/>
      <c r="AK10" s="4"/>
      <c r="AL10" s="4"/>
    </row>
    <row r="11" spans="1:38" ht="14.4">
      <c r="A11" s="21">
        <v>10303</v>
      </c>
      <c r="B11" s="22" t="s">
        <v>26</v>
      </c>
      <c r="C11" s="15">
        <v>1982</v>
      </c>
      <c r="D11" s="15">
        <v>884</v>
      </c>
      <c r="E11" s="15">
        <v>6</v>
      </c>
      <c r="F11" s="15">
        <v>238</v>
      </c>
      <c r="G11" s="15">
        <v>16</v>
      </c>
      <c r="H11" s="15">
        <v>838</v>
      </c>
      <c r="I11" s="15">
        <v>2543</v>
      </c>
      <c r="J11" s="15">
        <v>1871</v>
      </c>
      <c r="K11" s="15">
        <v>5</v>
      </c>
      <c r="L11" s="15">
        <v>94</v>
      </c>
      <c r="M11" s="15">
        <v>21</v>
      </c>
      <c r="N11" s="15">
        <v>552</v>
      </c>
      <c r="O11" s="16">
        <f t="shared" ref="O11:T11" si="11">ROUND(C11 + ((2016-2012)*(I11-C11))/(2024-2012),0)</f>
        <v>2169</v>
      </c>
      <c r="P11" s="23">
        <f t="shared" si="11"/>
        <v>1213</v>
      </c>
      <c r="Q11" s="23">
        <f t="shared" si="11"/>
        <v>6</v>
      </c>
      <c r="R11" s="23">
        <f t="shared" si="11"/>
        <v>190</v>
      </c>
      <c r="S11" s="23">
        <f t="shared" si="11"/>
        <v>18</v>
      </c>
      <c r="T11" s="23">
        <f t="shared" si="11"/>
        <v>743</v>
      </c>
      <c r="U11" s="23">
        <v>1282</v>
      </c>
      <c r="V11" s="18">
        <f t="shared" si="1"/>
        <v>-69</v>
      </c>
      <c r="W11" s="18">
        <f t="shared" si="2"/>
        <v>0</v>
      </c>
      <c r="X11" s="19">
        <f t="shared" si="3"/>
        <v>2239</v>
      </c>
      <c r="Y11" s="18">
        <v>209.49999988079071</v>
      </c>
      <c r="Z11" s="20"/>
      <c r="AA11" s="15">
        <v>2984</v>
      </c>
      <c r="AB11" s="23">
        <f t="shared" si="5"/>
        <v>3316</v>
      </c>
      <c r="AC11" s="15">
        <v>3980</v>
      </c>
      <c r="AD11" s="4"/>
      <c r="AE11" s="4"/>
      <c r="AF11" s="4"/>
      <c r="AG11" s="4"/>
      <c r="AH11" s="4"/>
      <c r="AI11" s="4"/>
      <c r="AJ11" s="4"/>
      <c r="AK11" s="4"/>
      <c r="AL11" s="4"/>
    </row>
    <row r="12" spans="1:38" ht="14.4">
      <c r="A12" s="13">
        <v>10304</v>
      </c>
      <c r="B12" s="14" t="s">
        <v>27</v>
      </c>
      <c r="C12" s="15">
        <v>1831</v>
      </c>
      <c r="D12" s="15">
        <v>912</v>
      </c>
      <c r="E12" s="15">
        <v>4</v>
      </c>
      <c r="F12" s="15">
        <v>5</v>
      </c>
      <c r="G12" s="15">
        <v>93</v>
      </c>
      <c r="H12" s="15">
        <v>817</v>
      </c>
      <c r="I12" s="15">
        <v>2635</v>
      </c>
      <c r="J12" s="15">
        <v>1749</v>
      </c>
      <c r="K12" s="15">
        <v>0</v>
      </c>
      <c r="L12" s="15">
        <v>97</v>
      </c>
      <c r="M12" s="15">
        <v>16</v>
      </c>
      <c r="N12" s="15">
        <v>773</v>
      </c>
      <c r="O12" s="16">
        <f t="shared" ref="O12:T12" si="12">ROUND(C12 + ((2016-2012)*(I12-C12))/(2024-2012),0)</f>
        <v>2099</v>
      </c>
      <c r="P12" s="17">
        <f t="shared" si="12"/>
        <v>1191</v>
      </c>
      <c r="Q12" s="17">
        <f t="shared" si="12"/>
        <v>3</v>
      </c>
      <c r="R12" s="17">
        <f t="shared" si="12"/>
        <v>36</v>
      </c>
      <c r="S12" s="17">
        <f t="shared" si="12"/>
        <v>67</v>
      </c>
      <c r="T12" s="17">
        <f t="shared" si="12"/>
        <v>802</v>
      </c>
      <c r="U12" s="17">
        <v>1294</v>
      </c>
      <c r="V12" s="18">
        <f t="shared" si="1"/>
        <v>-103</v>
      </c>
      <c r="W12" s="18">
        <f t="shared" si="2"/>
        <v>0</v>
      </c>
      <c r="X12" s="19">
        <f t="shared" si="3"/>
        <v>2202</v>
      </c>
      <c r="Y12" s="18">
        <v>111.00000143051147</v>
      </c>
      <c r="Z12" s="20"/>
      <c r="AA12" s="15">
        <v>2285</v>
      </c>
      <c r="AB12" s="17">
        <f t="shared" si="5"/>
        <v>2900</v>
      </c>
      <c r="AC12" s="15">
        <v>4129</v>
      </c>
      <c r="AD12" s="4"/>
      <c r="AE12" s="4"/>
      <c r="AF12" s="4"/>
      <c r="AG12" s="4"/>
      <c r="AH12" s="4"/>
      <c r="AI12" s="4"/>
      <c r="AJ12" s="4"/>
      <c r="AK12" s="4"/>
      <c r="AL12" s="4"/>
    </row>
    <row r="13" spans="1:38" ht="14.4">
      <c r="A13" s="21">
        <v>10401</v>
      </c>
      <c r="B13" s="22" t="s">
        <v>28</v>
      </c>
      <c r="C13" s="15">
        <v>2810</v>
      </c>
      <c r="D13" s="15">
        <v>1136</v>
      </c>
      <c r="E13" s="15">
        <v>21</v>
      </c>
      <c r="F13" s="15">
        <v>227</v>
      </c>
      <c r="G13" s="15">
        <v>32</v>
      </c>
      <c r="H13" s="15">
        <v>1394</v>
      </c>
      <c r="I13" s="15">
        <v>3186</v>
      </c>
      <c r="J13" s="15">
        <v>2348</v>
      </c>
      <c r="K13" s="15">
        <v>9</v>
      </c>
      <c r="L13" s="15">
        <v>198</v>
      </c>
      <c r="M13" s="15">
        <v>9</v>
      </c>
      <c r="N13" s="15">
        <v>622</v>
      </c>
      <c r="O13" s="16">
        <f t="shared" ref="O13:T13" si="13">ROUND(C13 + ((2016-2012)*(I13-C13))/(2024-2012),0)</f>
        <v>2935</v>
      </c>
      <c r="P13" s="23">
        <f t="shared" si="13"/>
        <v>1540</v>
      </c>
      <c r="Q13" s="23">
        <f t="shared" si="13"/>
        <v>17</v>
      </c>
      <c r="R13" s="23">
        <f t="shared" si="13"/>
        <v>217</v>
      </c>
      <c r="S13" s="23">
        <f t="shared" si="13"/>
        <v>24</v>
      </c>
      <c r="T13" s="23">
        <f t="shared" si="13"/>
        <v>1137</v>
      </c>
      <c r="U13" s="23">
        <v>1777</v>
      </c>
      <c r="V13" s="18">
        <f t="shared" si="1"/>
        <v>-237</v>
      </c>
      <c r="W13" s="18">
        <f t="shared" si="2"/>
        <v>0</v>
      </c>
      <c r="X13" s="19">
        <f t="shared" si="3"/>
        <v>3172</v>
      </c>
      <c r="Y13" s="18">
        <v>331.99998736381531</v>
      </c>
      <c r="Z13" s="20"/>
      <c r="AA13" s="15">
        <v>3628</v>
      </c>
      <c r="AB13" s="23">
        <f t="shared" si="5"/>
        <v>4049</v>
      </c>
      <c r="AC13" s="15">
        <v>4891</v>
      </c>
      <c r="AD13" s="4"/>
      <c r="AE13" s="4"/>
      <c r="AF13" s="4"/>
      <c r="AG13" s="4"/>
      <c r="AH13" s="4"/>
      <c r="AI13" s="4"/>
      <c r="AJ13" s="4"/>
      <c r="AK13" s="4"/>
      <c r="AL13" s="4"/>
    </row>
    <row r="14" spans="1:38" ht="14.4">
      <c r="A14" s="13">
        <v>10402</v>
      </c>
      <c r="B14" s="14" t="s">
        <v>29</v>
      </c>
      <c r="C14" s="15">
        <v>2113</v>
      </c>
      <c r="D14" s="15">
        <v>993</v>
      </c>
      <c r="E14" s="15">
        <v>17</v>
      </c>
      <c r="F14" s="15">
        <v>5</v>
      </c>
      <c r="G14" s="15">
        <v>63</v>
      </c>
      <c r="H14" s="15">
        <v>1035</v>
      </c>
      <c r="I14" s="15">
        <v>2243</v>
      </c>
      <c r="J14" s="15">
        <v>1882</v>
      </c>
      <c r="K14" s="15">
        <v>2</v>
      </c>
      <c r="L14" s="15">
        <v>112</v>
      </c>
      <c r="M14" s="15">
        <v>1</v>
      </c>
      <c r="N14" s="15">
        <v>246</v>
      </c>
      <c r="O14" s="16">
        <f t="shared" ref="O14:T14" si="14">ROUND(C14 + ((2016-2012)*(I14-C14))/(2024-2012),0)</f>
        <v>2156</v>
      </c>
      <c r="P14" s="17">
        <f t="shared" si="14"/>
        <v>1289</v>
      </c>
      <c r="Q14" s="17">
        <f t="shared" si="14"/>
        <v>12</v>
      </c>
      <c r="R14" s="17">
        <f t="shared" si="14"/>
        <v>41</v>
      </c>
      <c r="S14" s="17">
        <f t="shared" si="14"/>
        <v>42</v>
      </c>
      <c r="T14" s="17">
        <f t="shared" si="14"/>
        <v>772</v>
      </c>
      <c r="U14" s="17">
        <v>1456</v>
      </c>
      <c r="V14" s="18">
        <f t="shared" si="1"/>
        <v>-167</v>
      </c>
      <c r="W14" s="18">
        <f t="shared" si="2"/>
        <v>0</v>
      </c>
      <c r="X14" s="19">
        <f t="shared" si="3"/>
        <v>2323</v>
      </c>
      <c r="Y14" s="18">
        <v>215.00000357627869</v>
      </c>
      <c r="Z14" s="20"/>
      <c r="AA14" s="15">
        <v>2584</v>
      </c>
      <c r="AB14" s="17">
        <f t="shared" si="5"/>
        <v>2926</v>
      </c>
      <c r="AC14" s="15">
        <v>3610</v>
      </c>
      <c r="AD14" s="4"/>
      <c r="AE14" s="4"/>
      <c r="AF14" s="4"/>
      <c r="AG14" s="4"/>
      <c r="AH14" s="4"/>
      <c r="AI14" s="4"/>
      <c r="AJ14" s="4"/>
      <c r="AK14" s="4"/>
      <c r="AL14" s="4"/>
    </row>
    <row r="15" spans="1:38" ht="14.4">
      <c r="A15" s="21">
        <v>10403</v>
      </c>
      <c r="B15" s="22" t="s">
        <v>30</v>
      </c>
      <c r="C15" s="15">
        <v>2010</v>
      </c>
      <c r="D15" s="15">
        <v>741</v>
      </c>
      <c r="E15" s="15">
        <v>24</v>
      </c>
      <c r="F15" s="15">
        <v>16</v>
      </c>
      <c r="G15" s="15">
        <v>19</v>
      </c>
      <c r="H15" s="15">
        <v>1210</v>
      </c>
      <c r="I15" s="15">
        <v>2087</v>
      </c>
      <c r="J15" s="15">
        <v>1379</v>
      </c>
      <c r="K15" s="15">
        <v>8</v>
      </c>
      <c r="L15" s="15">
        <v>13</v>
      </c>
      <c r="M15" s="15">
        <v>1</v>
      </c>
      <c r="N15" s="15">
        <v>686</v>
      </c>
      <c r="O15" s="16">
        <f t="shared" ref="O15:T15" si="15">ROUND(C15 + ((2016-2012)*(I15-C15))/(2024-2012),0)</f>
        <v>2036</v>
      </c>
      <c r="P15" s="23">
        <f t="shared" si="15"/>
        <v>954</v>
      </c>
      <c r="Q15" s="23">
        <f t="shared" si="15"/>
        <v>19</v>
      </c>
      <c r="R15" s="23">
        <f t="shared" si="15"/>
        <v>15</v>
      </c>
      <c r="S15" s="23">
        <f t="shared" si="15"/>
        <v>13</v>
      </c>
      <c r="T15" s="23">
        <f t="shared" si="15"/>
        <v>1035</v>
      </c>
      <c r="U15" s="23">
        <v>798</v>
      </c>
      <c r="V15" s="18">
        <f t="shared" si="1"/>
        <v>156</v>
      </c>
      <c r="W15" s="18">
        <f t="shared" si="2"/>
        <v>156</v>
      </c>
      <c r="X15" s="19">
        <f t="shared" si="3"/>
        <v>2036</v>
      </c>
      <c r="Y15" s="18">
        <v>356.49999976158142</v>
      </c>
      <c r="Z15" s="20"/>
      <c r="AA15" s="15">
        <v>2612</v>
      </c>
      <c r="AB15" s="23">
        <f t="shared" si="5"/>
        <v>2769</v>
      </c>
      <c r="AC15" s="15">
        <v>3084</v>
      </c>
      <c r="AD15" s="4"/>
      <c r="AE15" s="4"/>
      <c r="AF15" s="4"/>
      <c r="AG15" s="4"/>
      <c r="AH15" s="4"/>
      <c r="AI15" s="4"/>
      <c r="AJ15" s="4"/>
      <c r="AK15" s="4"/>
      <c r="AL15" s="4"/>
    </row>
    <row r="16" spans="1:38" ht="14.4">
      <c r="A16" s="13">
        <v>10404</v>
      </c>
      <c r="B16" s="14" t="s">
        <v>31</v>
      </c>
      <c r="C16" s="15">
        <v>1072</v>
      </c>
      <c r="D16" s="15">
        <v>524</v>
      </c>
      <c r="E16" s="15">
        <v>4</v>
      </c>
      <c r="F16" s="15">
        <v>17</v>
      </c>
      <c r="G16" s="15">
        <v>0</v>
      </c>
      <c r="H16" s="15">
        <v>527</v>
      </c>
      <c r="I16" s="15">
        <v>1189</v>
      </c>
      <c r="J16" s="15">
        <v>1083</v>
      </c>
      <c r="K16" s="15">
        <v>0</v>
      </c>
      <c r="L16" s="15">
        <v>5</v>
      </c>
      <c r="M16" s="15">
        <v>1</v>
      </c>
      <c r="N16" s="15">
        <v>100</v>
      </c>
      <c r="O16" s="16">
        <f t="shared" ref="O16:T16" si="16">ROUND(C16 + ((2016-2012)*(I16-C16))/(2024-2012),0)</f>
        <v>1111</v>
      </c>
      <c r="P16" s="17">
        <f t="shared" si="16"/>
        <v>710</v>
      </c>
      <c r="Q16" s="17">
        <f t="shared" si="16"/>
        <v>3</v>
      </c>
      <c r="R16" s="17">
        <f t="shared" si="16"/>
        <v>13</v>
      </c>
      <c r="S16" s="17">
        <f t="shared" si="16"/>
        <v>0</v>
      </c>
      <c r="T16" s="17">
        <f t="shared" si="16"/>
        <v>385</v>
      </c>
      <c r="U16" s="17">
        <v>852</v>
      </c>
      <c r="V16" s="18">
        <f t="shared" si="1"/>
        <v>-142</v>
      </c>
      <c r="W16" s="18">
        <f t="shared" si="2"/>
        <v>0</v>
      </c>
      <c r="X16" s="19">
        <f t="shared" si="3"/>
        <v>1253</v>
      </c>
      <c r="Y16" s="18">
        <v>128.00000607967377</v>
      </c>
      <c r="Z16" s="20"/>
      <c r="AA16" s="15">
        <v>1272</v>
      </c>
      <c r="AB16" s="17">
        <f t="shared" si="5"/>
        <v>1404</v>
      </c>
      <c r="AC16" s="15">
        <v>1667</v>
      </c>
      <c r="AD16" s="4"/>
      <c r="AE16" s="4"/>
      <c r="AF16" s="4"/>
      <c r="AG16" s="4"/>
      <c r="AH16" s="4"/>
      <c r="AI16" s="4"/>
      <c r="AJ16" s="4"/>
      <c r="AK16" s="4"/>
      <c r="AL16" s="4"/>
    </row>
    <row r="17" spans="1:38" ht="14.4">
      <c r="A17" s="21">
        <v>10405</v>
      </c>
      <c r="B17" s="22" t="s">
        <v>32</v>
      </c>
      <c r="C17" s="15">
        <v>1212</v>
      </c>
      <c r="D17" s="15">
        <v>332</v>
      </c>
      <c r="E17" s="15">
        <v>38</v>
      </c>
      <c r="F17" s="15">
        <v>44</v>
      </c>
      <c r="G17" s="15">
        <v>8</v>
      </c>
      <c r="H17" s="15">
        <v>790</v>
      </c>
      <c r="I17" s="15">
        <v>1439</v>
      </c>
      <c r="J17" s="15">
        <v>1041</v>
      </c>
      <c r="K17" s="15">
        <v>1</v>
      </c>
      <c r="L17" s="15">
        <v>30</v>
      </c>
      <c r="M17" s="15">
        <v>5</v>
      </c>
      <c r="N17" s="15">
        <v>362</v>
      </c>
      <c r="O17" s="16">
        <f t="shared" ref="O17:T17" si="17">ROUND(C17 + ((2016-2012)*(I17-C17))/(2024-2012),0)</f>
        <v>1288</v>
      </c>
      <c r="P17" s="23">
        <f t="shared" si="17"/>
        <v>568</v>
      </c>
      <c r="Q17" s="23">
        <f t="shared" si="17"/>
        <v>26</v>
      </c>
      <c r="R17" s="23">
        <f t="shared" si="17"/>
        <v>39</v>
      </c>
      <c r="S17" s="23">
        <f t="shared" si="17"/>
        <v>7</v>
      </c>
      <c r="T17" s="23">
        <f t="shared" si="17"/>
        <v>647</v>
      </c>
      <c r="U17" s="23">
        <v>867</v>
      </c>
      <c r="V17" s="18">
        <f t="shared" si="1"/>
        <v>-299</v>
      </c>
      <c r="W17" s="18">
        <f t="shared" si="2"/>
        <v>0</v>
      </c>
      <c r="X17" s="19">
        <f t="shared" si="3"/>
        <v>1586</v>
      </c>
      <c r="Y17" s="18">
        <v>92.000000178813934</v>
      </c>
      <c r="Z17" s="20"/>
      <c r="AA17" s="15">
        <v>1433</v>
      </c>
      <c r="AB17" s="23">
        <f t="shared" si="5"/>
        <v>1605</v>
      </c>
      <c r="AC17" s="15">
        <v>1950</v>
      </c>
      <c r="AD17" s="4"/>
      <c r="AE17" s="4"/>
      <c r="AF17" s="4"/>
      <c r="AG17" s="4"/>
      <c r="AH17" s="4"/>
      <c r="AI17" s="4"/>
      <c r="AJ17" s="4"/>
      <c r="AK17" s="4"/>
      <c r="AL17" s="4"/>
    </row>
    <row r="18" spans="1:38" ht="14.4">
      <c r="A18" s="13">
        <v>10501</v>
      </c>
      <c r="B18" s="14" t="s">
        <v>33</v>
      </c>
      <c r="C18" s="15">
        <v>6079</v>
      </c>
      <c r="D18" s="15">
        <v>3703</v>
      </c>
      <c r="E18" s="15">
        <v>38</v>
      </c>
      <c r="F18" s="15">
        <v>374</v>
      </c>
      <c r="G18" s="15">
        <v>26</v>
      </c>
      <c r="H18" s="15">
        <v>1938</v>
      </c>
      <c r="I18" s="15">
        <v>7742</v>
      </c>
      <c r="J18" s="15">
        <v>6320</v>
      </c>
      <c r="K18" s="15">
        <v>33</v>
      </c>
      <c r="L18" s="15">
        <v>347</v>
      </c>
      <c r="M18" s="15">
        <v>38</v>
      </c>
      <c r="N18" s="15">
        <v>1004</v>
      </c>
      <c r="O18" s="16">
        <f t="shared" ref="O18:T18" si="18">ROUND(C18 + ((2016-2012)*(I18-C18))/(2024-2012),0)</f>
        <v>6633</v>
      </c>
      <c r="P18" s="17">
        <f t="shared" si="18"/>
        <v>4575</v>
      </c>
      <c r="Q18" s="17">
        <f t="shared" si="18"/>
        <v>36</v>
      </c>
      <c r="R18" s="17">
        <f t="shared" si="18"/>
        <v>365</v>
      </c>
      <c r="S18" s="17">
        <f t="shared" si="18"/>
        <v>30</v>
      </c>
      <c r="T18" s="17">
        <f t="shared" si="18"/>
        <v>1627</v>
      </c>
      <c r="U18" s="17">
        <v>4522</v>
      </c>
      <c r="V18" s="18">
        <f t="shared" si="1"/>
        <v>53</v>
      </c>
      <c r="W18" s="18">
        <f t="shared" si="2"/>
        <v>53</v>
      </c>
      <c r="X18" s="19">
        <f t="shared" si="3"/>
        <v>6633</v>
      </c>
      <c r="Y18" s="18">
        <v>569.0000057220459</v>
      </c>
      <c r="Z18" s="20"/>
      <c r="AA18" s="15">
        <v>6968</v>
      </c>
      <c r="AB18" s="17">
        <f t="shared" si="5"/>
        <v>7945</v>
      </c>
      <c r="AC18" s="15">
        <v>9899</v>
      </c>
      <c r="AD18" s="4"/>
      <c r="AE18" s="4"/>
      <c r="AF18" s="4"/>
      <c r="AG18" s="4"/>
      <c r="AH18" s="4"/>
      <c r="AI18" s="4"/>
      <c r="AJ18" s="4"/>
      <c r="AK18" s="4"/>
      <c r="AL18" s="4"/>
    </row>
    <row r="19" spans="1:38" ht="14.4">
      <c r="A19" s="21">
        <v>10502</v>
      </c>
      <c r="B19" s="22" t="s">
        <v>34</v>
      </c>
      <c r="C19" s="15">
        <v>2079</v>
      </c>
      <c r="D19" s="15">
        <v>731</v>
      </c>
      <c r="E19" s="15">
        <v>69</v>
      </c>
      <c r="F19" s="15">
        <v>172</v>
      </c>
      <c r="G19" s="15">
        <v>81</v>
      </c>
      <c r="H19" s="15">
        <v>1026</v>
      </c>
      <c r="I19" s="15">
        <v>2301</v>
      </c>
      <c r="J19" s="15">
        <v>1773</v>
      </c>
      <c r="K19" s="15">
        <v>13</v>
      </c>
      <c r="L19" s="15">
        <v>117</v>
      </c>
      <c r="M19" s="15">
        <v>11</v>
      </c>
      <c r="N19" s="15">
        <v>387</v>
      </c>
      <c r="O19" s="16">
        <f t="shared" ref="O19:T19" si="19">ROUND(C19 + ((2016-2012)*(I19-C19))/(2024-2012),0)</f>
        <v>2153</v>
      </c>
      <c r="P19" s="23">
        <f t="shared" si="19"/>
        <v>1078</v>
      </c>
      <c r="Q19" s="23">
        <f t="shared" si="19"/>
        <v>50</v>
      </c>
      <c r="R19" s="23">
        <f t="shared" si="19"/>
        <v>154</v>
      </c>
      <c r="S19" s="23">
        <f t="shared" si="19"/>
        <v>58</v>
      </c>
      <c r="T19" s="23">
        <f t="shared" si="19"/>
        <v>813</v>
      </c>
      <c r="U19" s="23">
        <v>1030</v>
      </c>
      <c r="V19" s="18">
        <f t="shared" si="1"/>
        <v>48</v>
      </c>
      <c r="W19" s="18">
        <f t="shared" si="2"/>
        <v>48</v>
      </c>
      <c r="X19" s="19">
        <f t="shared" si="3"/>
        <v>2153</v>
      </c>
      <c r="Y19" s="18">
        <v>412.99998760223389</v>
      </c>
      <c r="Z19" s="20"/>
      <c r="AA19" s="15">
        <v>2485</v>
      </c>
      <c r="AB19" s="23">
        <f t="shared" si="5"/>
        <v>2715</v>
      </c>
      <c r="AC19" s="15">
        <v>3175</v>
      </c>
      <c r="AD19" s="4"/>
      <c r="AE19" s="4"/>
      <c r="AF19" s="4"/>
      <c r="AG19" s="4"/>
      <c r="AH19" s="4"/>
      <c r="AI19" s="4"/>
      <c r="AJ19" s="4"/>
      <c r="AK19" s="4"/>
      <c r="AL19" s="4"/>
    </row>
    <row r="20" spans="1:38" ht="14.4">
      <c r="A20" s="13">
        <v>10601</v>
      </c>
      <c r="B20" s="14" t="s">
        <v>35</v>
      </c>
      <c r="C20" s="15">
        <v>4386</v>
      </c>
      <c r="D20" s="15">
        <v>2090</v>
      </c>
      <c r="E20" s="15">
        <v>12</v>
      </c>
      <c r="F20" s="15">
        <v>131</v>
      </c>
      <c r="G20" s="15">
        <v>35</v>
      </c>
      <c r="H20" s="15">
        <v>2118</v>
      </c>
      <c r="I20" s="15">
        <v>4279</v>
      </c>
      <c r="J20" s="15">
        <v>3402</v>
      </c>
      <c r="K20" s="15">
        <v>32</v>
      </c>
      <c r="L20" s="15">
        <v>72</v>
      </c>
      <c r="M20" s="15">
        <v>39</v>
      </c>
      <c r="N20" s="15">
        <v>734</v>
      </c>
      <c r="O20" s="16">
        <f t="shared" ref="O20:T20" si="20">ROUND(C20 + ((2016-2012)*(I20-C20))/(2024-2012),0)</f>
        <v>4350</v>
      </c>
      <c r="P20" s="17">
        <f t="shared" si="20"/>
        <v>2527</v>
      </c>
      <c r="Q20" s="17">
        <f t="shared" si="20"/>
        <v>19</v>
      </c>
      <c r="R20" s="17">
        <f t="shared" si="20"/>
        <v>111</v>
      </c>
      <c r="S20" s="17">
        <f t="shared" si="20"/>
        <v>36</v>
      </c>
      <c r="T20" s="17">
        <f t="shared" si="20"/>
        <v>1657</v>
      </c>
      <c r="U20" s="17">
        <v>2438</v>
      </c>
      <c r="V20" s="18">
        <f t="shared" si="1"/>
        <v>89</v>
      </c>
      <c r="W20" s="18">
        <f t="shared" si="2"/>
        <v>89</v>
      </c>
      <c r="X20" s="19">
        <f t="shared" si="3"/>
        <v>4350</v>
      </c>
      <c r="Y20" s="18">
        <v>166.99999570846558</v>
      </c>
      <c r="Z20" s="20"/>
      <c r="AA20" s="15">
        <v>5528</v>
      </c>
      <c r="AB20" s="17">
        <f t="shared" si="5"/>
        <v>5766</v>
      </c>
      <c r="AC20" s="15">
        <v>6243</v>
      </c>
      <c r="AD20" s="4"/>
      <c r="AE20" s="4"/>
      <c r="AF20" s="4"/>
      <c r="AG20" s="4"/>
      <c r="AH20" s="4"/>
      <c r="AI20" s="4"/>
      <c r="AJ20" s="4"/>
      <c r="AK20" s="4"/>
      <c r="AL20" s="4"/>
    </row>
    <row r="21" spans="1:38" ht="14.4">
      <c r="A21" s="21">
        <v>10602</v>
      </c>
      <c r="B21" s="22" t="s">
        <v>36</v>
      </c>
      <c r="C21" s="15">
        <v>2950</v>
      </c>
      <c r="D21" s="15">
        <v>1417</v>
      </c>
      <c r="E21" s="15">
        <v>27</v>
      </c>
      <c r="F21" s="15">
        <v>15</v>
      </c>
      <c r="G21" s="15">
        <v>38</v>
      </c>
      <c r="H21" s="15">
        <v>1453</v>
      </c>
      <c r="I21" s="15">
        <v>3069</v>
      </c>
      <c r="J21" s="15">
        <v>2437</v>
      </c>
      <c r="K21" s="15">
        <v>8</v>
      </c>
      <c r="L21" s="15">
        <v>77</v>
      </c>
      <c r="M21" s="15">
        <v>27</v>
      </c>
      <c r="N21" s="15">
        <v>520</v>
      </c>
      <c r="O21" s="16">
        <f t="shared" ref="O21:T21" si="21">ROUND(C21 + ((2016-2012)*(I21-C21))/(2024-2012),0)</f>
        <v>2990</v>
      </c>
      <c r="P21" s="23">
        <f t="shared" si="21"/>
        <v>1757</v>
      </c>
      <c r="Q21" s="23">
        <f t="shared" si="21"/>
        <v>21</v>
      </c>
      <c r="R21" s="23">
        <f t="shared" si="21"/>
        <v>36</v>
      </c>
      <c r="S21" s="23">
        <f t="shared" si="21"/>
        <v>34</v>
      </c>
      <c r="T21" s="23">
        <f t="shared" si="21"/>
        <v>1142</v>
      </c>
      <c r="U21" s="23">
        <v>1749</v>
      </c>
      <c r="V21" s="18">
        <f t="shared" si="1"/>
        <v>8</v>
      </c>
      <c r="W21" s="18">
        <f t="shared" si="2"/>
        <v>8</v>
      </c>
      <c r="X21" s="19">
        <f t="shared" si="3"/>
        <v>2990</v>
      </c>
      <c r="Y21" s="18">
        <v>135.00000536441803</v>
      </c>
      <c r="Z21" s="20"/>
      <c r="AA21" s="15">
        <v>3614</v>
      </c>
      <c r="AB21" s="23">
        <f t="shared" si="5"/>
        <v>3752</v>
      </c>
      <c r="AC21" s="15">
        <v>4029</v>
      </c>
      <c r="AD21" s="4"/>
      <c r="AE21" s="4"/>
      <c r="AF21" s="4"/>
      <c r="AG21" s="4"/>
      <c r="AH21" s="4"/>
      <c r="AI21" s="4"/>
      <c r="AJ21" s="4"/>
      <c r="AK21" s="4"/>
      <c r="AL21" s="4"/>
    </row>
    <row r="22" spans="1:38" ht="14.4">
      <c r="A22" s="13">
        <v>10701</v>
      </c>
      <c r="B22" s="14" t="s">
        <v>37</v>
      </c>
      <c r="C22" s="15">
        <v>4325</v>
      </c>
      <c r="D22" s="15">
        <v>2941</v>
      </c>
      <c r="E22" s="15">
        <v>20</v>
      </c>
      <c r="F22" s="15">
        <v>35</v>
      </c>
      <c r="G22" s="15">
        <v>33</v>
      </c>
      <c r="H22" s="15">
        <v>1296</v>
      </c>
      <c r="I22" s="15">
        <v>5047</v>
      </c>
      <c r="J22" s="15">
        <v>4300</v>
      </c>
      <c r="K22" s="15">
        <v>14</v>
      </c>
      <c r="L22" s="15">
        <v>59</v>
      </c>
      <c r="M22" s="15">
        <v>15</v>
      </c>
      <c r="N22" s="15">
        <v>659</v>
      </c>
      <c r="O22" s="16">
        <f t="shared" ref="O22:T22" si="22">ROUND(C22 + ((2016-2012)*(I22-C22))/(2024-2012),0)</f>
        <v>4566</v>
      </c>
      <c r="P22" s="17">
        <f t="shared" si="22"/>
        <v>3394</v>
      </c>
      <c r="Q22" s="17">
        <f t="shared" si="22"/>
        <v>18</v>
      </c>
      <c r="R22" s="17">
        <f t="shared" si="22"/>
        <v>43</v>
      </c>
      <c r="S22" s="17">
        <f t="shared" si="22"/>
        <v>27</v>
      </c>
      <c r="T22" s="17">
        <f t="shared" si="22"/>
        <v>1084</v>
      </c>
      <c r="U22" s="17">
        <v>3815</v>
      </c>
      <c r="V22" s="18">
        <f t="shared" si="1"/>
        <v>-421</v>
      </c>
      <c r="W22" s="18">
        <f t="shared" si="2"/>
        <v>0</v>
      </c>
      <c r="X22" s="19">
        <f t="shared" si="3"/>
        <v>4987</v>
      </c>
      <c r="Y22" s="18">
        <v>209.99999344348907</v>
      </c>
      <c r="Z22" s="20"/>
      <c r="AA22" s="15">
        <v>5494</v>
      </c>
      <c r="AB22" s="17">
        <f t="shared" si="5"/>
        <v>6015</v>
      </c>
      <c r="AC22" s="15">
        <v>7056</v>
      </c>
      <c r="AD22" s="4"/>
      <c r="AE22" s="4"/>
      <c r="AF22" s="4"/>
      <c r="AG22" s="4"/>
      <c r="AH22" s="4"/>
      <c r="AI22" s="4"/>
      <c r="AJ22" s="4"/>
      <c r="AK22" s="4"/>
      <c r="AL22" s="4"/>
    </row>
    <row r="23" spans="1:38" ht="14.4">
      <c r="A23" s="21">
        <v>10702</v>
      </c>
      <c r="B23" s="22" t="s">
        <v>38</v>
      </c>
      <c r="C23" s="15">
        <v>8008</v>
      </c>
      <c r="D23" s="15">
        <v>2606</v>
      </c>
      <c r="E23" s="15">
        <v>55</v>
      </c>
      <c r="F23" s="15">
        <v>628</v>
      </c>
      <c r="G23" s="15">
        <v>185</v>
      </c>
      <c r="H23" s="15">
        <v>4534</v>
      </c>
      <c r="I23" s="15">
        <v>8651</v>
      </c>
      <c r="J23" s="15">
        <v>6050</v>
      </c>
      <c r="K23" s="15">
        <v>18</v>
      </c>
      <c r="L23" s="15">
        <v>435</v>
      </c>
      <c r="M23" s="15">
        <v>44</v>
      </c>
      <c r="N23" s="15">
        <v>2104</v>
      </c>
      <c r="O23" s="16">
        <f t="shared" ref="O23:T23" si="23">ROUND(C23 + ((2016-2012)*(I23-C23))/(2024-2012),0)</f>
        <v>8222</v>
      </c>
      <c r="P23" s="23">
        <f t="shared" si="23"/>
        <v>3754</v>
      </c>
      <c r="Q23" s="23">
        <f t="shared" si="23"/>
        <v>43</v>
      </c>
      <c r="R23" s="23">
        <f t="shared" si="23"/>
        <v>564</v>
      </c>
      <c r="S23" s="23">
        <f t="shared" si="23"/>
        <v>138</v>
      </c>
      <c r="T23" s="23">
        <f t="shared" si="23"/>
        <v>3724</v>
      </c>
      <c r="U23" s="23">
        <v>3871</v>
      </c>
      <c r="V23" s="18">
        <f t="shared" si="1"/>
        <v>-117</v>
      </c>
      <c r="W23" s="18">
        <f t="shared" si="2"/>
        <v>0</v>
      </c>
      <c r="X23" s="19">
        <f t="shared" si="3"/>
        <v>8340</v>
      </c>
      <c r="Y23" s="18">
        <v>136.00000739097595</v>
      </c>
      <c r="Z23" s="20"/>
      <c r="AA23" s="15">
        <v>10932</v>
      </c>
      <c r="AB23" s="23">
        <f t="shared" si="5"/>
        <v>12280</v>
      </c>
      <c r="AC23" s="15">
        <v>14977</v>
      </c>
      <c r="AD23" s="4"/>
      <c r="AE23" s="4"/>
      <c r="AF23" s="4"/>
      <c r="AG23" s="4"/>
      <c r="AH23" s="4"/>
      <c r="AI23" s="4"/>
      <c r="AJ23" s="4"/>
      <c r="AK23" s="4"/>
      <c r="AL23" s="4"/>
    </row>
    <row r="24" spans="1:38" ht="14.4">
      <c r="A24" s="13">
        <v>10703</v>
      </c>
      <c r="B24" s="14" t="s">
        <v>39</v>
      </c>
      <c r="C24" s="15">
        <v>2779</v>
      </c>
      <c r="D24" s="15">
        <v>746</v>
      </c>
      <c r="E24" s="15">
        <v>41</v>
      </c>
      <c r="F24" s="15">
        <v>84</v>
      </c>
      <c r="G24" s="15">
        <v>17</v>
      </c>
      <c r="H24" s="15">
        <v>1891</v>
      </c>
      <c r="I24" s="15">
        <v>4071</v>
      </c>
      <c r="J24" s="15">
        <v>2006</v>
      </c>
      <c r="K24" s="15">
        <v>12</v>
      </c>
      <c r="L24" s="15">
        <v>381</v>
      </c>
      <c r="M24" s="15">
        <v>33</v>
      </c>
      <c r="N24" s="15">
        <v>1639</v>
      </c>
      <c r="O24" s="16">
        <f t="shared" ref="O24:T24" si="24">ROUND(C24 + ((2016-2012)*(I24-C24))/(2024-2012),0)</f>
        <v>3210</v>
      </c>
      <c r="P24" s="17">
        <f t="shared" si="24"/>
        <v>1166</v>
      </c>
      <c r="Q24" s="17">
        <f t="shared" si="24"/>
        <v>31</v>
      </c>
      <c r="R24" s="17">
        <f t="shared" si="24"/>
        <v>183</v>
      </c>
      <c r="S24" s="17">
        <f t="shared" si="24"/>
        <v>22</v>
      </c>
      <c r="T24" s="17">
        <f t="shared" si="24"/>
        <v>1807</v>
      </c>
      <c r="U24" s="17">
        <v>1015</v>
      </c>
      <c r="V24" s="18">
        <f t="shared" si="1"/>
        <v>151</v>
      </c>
      <c r="W24" s="18">
        <f t="shared" si="2"/>
        <v>151</v>
      </c>
      <c r="X24" s="19">
        <f t="shared" si="3"/>
        <v>3209</v>
      </c>
      <c r="Y24" s="18">
        <v>184.00000035762787</v>
      </c>
      <c r="Z24" s="20"/>
      <c r="AA24" s="15">
        <v>3166</v>
      </c>
      <c r="AB24" s="17">
        <f t="shared" si="5"/>
        <v>3641</v>
      </c>
      <c r="AC24" s="15">
        <v>4590</v>
      </c>
      <c r="AD24" s="4"/>
      <c r="AE24" s="4"/>
      <c r="AF24" s="4"/>
      <c r="AG24" s="4"/>
      <c r="AH24" s="4"/>
      <c r="AI24" s="4"/>
      <c r="AJ24" s="4"/>
      <c r="AK24" s="4"/>
      <c r="AL24" s="4"/>
    </row>
    <row r="25" spans="1:38" ht="14.4">
      <c r="A25" s="21">
        <v>10704</v>
      </c>
      <c r="B25" s="22" t="s">
        <v>40</v>
      </c>
      <c r="C25" s="15">
        <v>3475</v>
      </c>
      <c r="D25" s="15">
        <v>1204</v>
      </c>
      <c r="E25" s="15">
        <v>24</v>
      </c>
      <c r="F25" s="15">
        <v>68</v>
      </c>
      <c r="G25" s="15">
        <v>29</v>
      </c>
      <c r="H25" s="15">
        <v>2150</v>
      </c>
      <c r="I25" s="15">
        <v>4000</v>
      </c>
      <c r="J25" s="15">
        <v>2814</v>
      </c>
      <c r="K25" s="15">
        <v>6</v>
      </c>
      <c r="L25" s="15">
        <v>100</v>
      </c>
      <c r="M25" s="15">
        <v>5</v>
      </c>
      <c r="N25" s="15">
        <v>1075</v>
      </c>
      <c r="O25" s="16">
        <f t="shared" ref="O25:T25" si="25">ROUND(C25 + ((2016-2012)*(I25-C25))/(2024-2012),0)</f>
        <v>3650</v>
      </c>
      <c r="P25" s="23">
        <f t="shared" si="25"/>
        <v>1741</v>
      </c>
      <c r="Q25" s="23">
        <f t="shared" si="25"/>
        <v>18</v>
      </c>
      <c r="R25" s="23">
        <f t="shared" si="25"/>
        <v>79</v>
      </c>
      <c r="S25" s="23">
        <f t="shared" si="25"/>
        <v>21</v>
      </c>
      <c r="T25" s="23">
        <f t="shared" si="25"/>
        <v>1792</v>
      </c>
      <c r="U25" s="23">
        <v>1924</v>
      </c>
      <c r="V25" s="18">
        <f t="shared" si="1"/>
        <v>-183</v>
      </c>
      <c r="W25" s="18">
        <f t="shared" si="2"/>
        <v>0</v>
      </c>
      <c r="X25" s="19">
        <f t="shared" si="3"/>
        <v>3834</v>
      </c>
      <c r="Y25" s="18">
        <v>148.00000190734863</v>
      </c>
      <c r="Z25" s="20"/>
      <c r="AA25" s="15">
        <v>3912</v>
      </c>
      <c r="AB25" s="23">
        <f t="shared" si="5"/>
        <v>4424</v>
      </c>
      <c r="AC25" s="15">
        <v>5447</v>
      </c>
      <c r="AD25" s="4"/>
      <c r="AE25" s="4"/>
      <c r="AF25" s="4"/>
      <c r="AG25" s="4"/>
      <c r="AH25" s="4"/>
      <c r="AI25" s="4"/>
      <c r="AJ25" s="4"/>
      <c r="AK25" s="4"/>
      <c r="AL25" s="4"/>
    </row>
    <row r="26" spans="1:38" ht="14.4">
      <c r="A26" s="13">
        <v>10801</v>
      </c>
      <c r="B26" s="14" t="s">
        <v>41</v>
      </c>
      <c r="C26" s="15">
        <v>3196</v>
      </c>
      <c r="D26" s="15">
        <v>1730</v>
      </c>
      <c r="E26" s="15">
        <v>5</v>
      </c>
      <c r="F26" s="15">
        <v>203</v>
      </c>
      <c r="G26" s="15">
        <v>35</v>
      </c>
      <c r="H26" s="15">
        <v>1223</v>
      </c>
      <c r="I26" s="15">
        <v>3187</v>
      </c>
      <c r="J26" s="15">
        <v>2673</v>
      </c>
      <c r="K26" s="15">
        <v>2</v>
      </c>
      <c r="L26" s="15">
        <v>75</v>
      </c>
      <c r="M26" s="15">
        <v>4</v>
      </c>
      <c r="N26" s="15">
        <v>433</v>
      </c>
      <c r="O26" s="16">
        <f t="shared" ref="O26:T26" si="26">ROUND(C26 + ((2016-2012)*(I26-C26))/(2024-2012),0)</f>
        <v>3193</v>
      </c>
      <c r="P26" s="17">
        <f t="shared" si="26"/>
        <v>2044</v>
      </c>
      <c r="Q26" s="17">
        <f t="shared" si="26"/>
        <v>4</v>
      </c>
      <c r="R26" s="17">
        <f t="shared" si="26"/>
        <v>160</v>
      </c>
      <c r="S26" s="17">
        <f t="shared" si="26"/>
        <v>25</v>
      </c>
      <c r="T26" s="17">
        <f t="shared" si="26"/>
        <v>960</v>
      </c>
      <c r="U26" s="17">
        <v>2237</v>
      </c>
      <c r="V26" s="18">
        <f t="shared" si="1"/>
        <v>-193</v>
      </c>
      <c r="W26" s="18">
        <f t="shared" si="2"/>
        <v>0</v>
      </c>
      <c r="X26" s="19">
        <f t="shared" si="3"/>
        <v>3386</v>
      </c>
      <c r="Y26" s="18">
        <v>203.99999618530273</v>
      </c>
      <c r="Z26" s="20"/>
      <c r="AA26" s="15">
        <v>4489</v>
      </c>
      <c r="AB26" s="17">
        <f t="shared" si="5"/>
        <v>4928</v>
      </c>
      <c r="AC26" s="15">
        <v>5806</v>
      </c>
      <c r="AD26" s="4"/>
      <c r="AE26" s="4"/>
      <c r="AF26" s="4"/>
      <c r="AG26" s="4"/>
      <c r="AH26" s="4"/>
      <c r="AI26" s="4"/>
      <c r="AJ26" s="4"/>
      <c r="AK26" s="4"/>
      <c r="AL26" s="4"/>
    </row>
    <row r="27" spans="1:38" ht="14.4">
      <c r="A27" s="21">
        <v>10901</v>
      </c>
      <c r="B27" s="22" t="s">
        <v>42</v>
      </c>
      <c r="C27" s="15">
        <v>965</v>
      </c>
      <c r="D27" s="15">
        <v>431</v>
      </c>
      <c r="E27" s="15">
        <v>2</v>
      </c>
      <c r="F27" s="15">
        <v>7</v>
      </c>
      <c r="G27" s="15">
        <v>2</v>
      </c>
      <c r="H27" s="15">
        <v>523</v>
      </c>
      <c r="I27" s="15">
        <v>1371</v>
      </c>
      <c r="J27" s="15">
        <v>1145</v>
      </c>
      <c r="K27" s="15">
        <v>3</v>
      </c>
      <c r="L27" s="15">
        <v>22</v>
      </c>
      <c r="M27" s="15">
        <v>2</v>
      </c>
      <c r="N27" s="15">
        <v>199</v>
      </c>
      <c r="O27" s="16">
        <f t="shared" ref="O27:T27" si="27">ROUND(C27 + ((2016-2012)*(I27-C27))/(2024-2012),0)</f>
        <v>1100</v>
      </c>
      <c r="P27" s="23">
        <f t="shared" si="27"/>
        <v>669</v>
      </c>
      <c r="Q27" s="23">
        <f t="shared" si="27"/>
        <v>2</v>
      </c>
      <c r="R27" s="23">
        <f t="shared" si="27"/>
        <v>12</v>
      </c>
      <c r="S27" s="23">
        <f t="shared" si="27"/>
        <v>2</v>
      </c>
      <c r="T27" s="23">
        <f t="shared" si="27"/>
        <v>415</v>
      </c>
      <c r="U27" s="23">
        <v>882</v>
      </c>
      <c r="V27" s="18">
        <f t="shared" si="1"/>
        <v>-213</v>
      </c>
      <c r="W27" s="18">
        <f t="shared" si="2"/>
        <v>0</v>
      </c>
      <c r="X27" s="19">
        <f t="shared" si="3"/>
        <v>1313</v>
      </c>
      <c r="Y27" s="18">
        <v>117.49999970197678</v>
      </c>
      <c r="Z27" s="20"/>
      <c r="AA27" s="15">
        <v>1489</v>
      </c>
      <c r="AB27" s="23">
        <f t="shared" si="5"/>
        <v>1600</v>
      </c>
      <c r="AC27" s="15">
        <v>1821</v>
      </c>
      <c r="AD27" s="4"/>
      <c r="AE27" s="4"/>
      <c r="AF27" s="4"/>
      <c r="AG27" s="4"/>
      <c r="AH27" s="4"/>
      <c r="AI27" s="4"/>
      <c r="AJ27" s="4"/>
      <c r="AK27" s="4"/>
      <c r="AL27" s="4"/>
    </row>
    <row r="28" spans="1:38" ht="14.4">
      <c r="A28" s="13">
        <v>10902</v>
      </c>
      <c r="B28" s="14" t="s">
        <v>43</v>
      </c>
      <c r="C28" s="15">
        <v>4347</v>
      </c>
      <c r="D28" s="15">
        <v>1639</v>
      </c>
      <c r="E28" s="15">
        <v>24</v>
      </c>
      <c r="F28" s="15">
        <v>758</v>
      </c>
      <c r="G28" s="15">
        <v>24</v>
      </c>
      <c r="H28" s="15">
        <v>1902</v>
      </c>
      <c r="I28" s="15">
        <v>4660</v>
      </c>
      <c r="J28" s="15">
        <v>2747</v>
      </c>
      <c r="K28" s="15">
        <v>8</v>
      </c>
      <c r="L28" s="15">
        <v>485</v>
      </c>
      <c r="M28" s="15">
        <v>29</v>
      </c>
      <c r="N28" s="15">
        <v>1391</v>
      </c>
      <c r="O28" s="16">
        <f t="shared" ref="O28:T28" si="28">ROUND(C28 + ((2016-2012)*(I28-C28))/(2024-2012),0)</f>
        <v>4451</v>
      </c>
      <c r="P28" s="17">
        <f t="shared" si="28"/>
        <v>2008</v>
      </c>
      <c r="Q28" s="17">
        <f t="shared" si="28"/>
        <v>19</v>
      </c>
      <c r="R28" s="17">
        <f t="shared" si="28"/>
        <v>667</v>
      </c>
      <c r="S28" s="17">
        <f t="shared" si="28"/>
        <v>26</v>
      </c>
      <c r="T28" s="17">
        <f t="shared" si="28"/>
        <v>1732</v>
      </c>
      <c r="U28" s="17">
        <v>2575</v>
      </c>
      <c r="V28" s="18">
        <f t="shared" si="1"/>
        <v>-567</v>
      </c>
      <c r="W28" s="18">
        <f t="shared" si="2"/>
        <v>0</v>
      </c>
      <c r="X28" s="19">
        <f t="shared" si="3"/>
        <v>5019</v>
      </c>
      <c r="Y28" s="18">
        <v>151.99999511241913</v>
      </c>
      <c r="Z28" s="20"/>
      <c r="AA28" s="15">
        <v>5186</v>
      </c>
      <c r="AB28" s="17">
        <f t="shared" si="5"/>
        <v>5859</v>
      </c>
      <c r="AC28" s="15">
        <v>7205</v>
      </c>
      <c r="AD28" s="4"/>
      <c r="AE28" s="4"/>
      <c r="AF28" s="4"/>
      <c r="AG28" s="4"/>
      <c r="AH28" s="4"/>
      <c r="AI28" s="4"/>
      <c r="AJ28" s="4"/>
      <c r="AK28" s="4"/>
      <c r="AL28" s="4"/>
    </row>
    <row r="29" spans="1:38" ht="14.4">
      <c r="A29" s="21">
        <v>10903</v>
      </c>
      <c r="B29" s="22" t="s">
        <v>44</v>
      </c>
      <c r="C29" s="15">
        <v>1062</v>
      </c>
      <c r="D29" s="15">
        <v>583</v>
      </c>
      <c r="E29" s="15">
        <v>22</v>
      </c>
      <c r="F29" s="15">
        <v>31</v>
      </c>
      <c r="G29" s="15">
        <v>4</v>
      </c>
      <c r="H29" s="15">
        <v>422</v>
      </c>
      <c r="I29" s="15">
        <v>1280</v>
      </c>
      <c r="J29" s="15">
        <v>1110</v>
      </c>
      <c r="K29" s="15">
        <v>23</v>
      </c>
      <c r="L29" s="15">
        <v>17</v>
      </c>
      <c r="M29" s="15">
        <v>4</v>
      </c>
      <c r="N29" s="15">
        <v>126</v>
      </c>
      <c r="O29" s="16">
        <f t="shared" ref="O29:T29" si="29">ROUND(C29 + ((2016-2012)*(I29-C29))/(2024-2012),0)</f>
        <v>1135</v>
      </c>
      <c r="P29" s="23">
        <f t="shared" si="29"/>
        <v>759</v>
      </c>
      <c r="Q29" s="23">
        <f t="shared" si="29"/>
        <v>22</v>
      </c>
      <c r="R29" s="23">
        <f t="shared" si="29"/>
        <v>26</v>
      </c>
      <c r="S29" s="23">
        <f t="shared" si="29"/>
        <v>4</v>
      </c>
      <c r="T29" s="23">
        <f t="shared" si="29"/>
        <v>323</v>
      </c>
      <c r="U29" s="24">
        <v>822</v>
      </c>
      <c r="V29" s="18">
        <f t="shared" si="1"/>
        <v>-63</v>
      </c>
      <c r="W29" s="18">
        <f t="shared" si="2"/>
        <v>0</v>
      </c>
      <c r="X29" s="19">
        <f t="shared" si="3"/>
        <v>1197</v>
      </c>
      <c r="Y29" s="18">
        <v>155.0000011920929</v>
      </c>
      <c r="Z29" s="20"/>
      <c r="AA29" s="15">
        <v>1301</v>
      </c>
      <c r="AB29" s="23">
        <f t="shared" si="5"/>
        <v>1350</v>
      </c>
      <c r="AC29" s="15">
        <v>1449</v>
      </c>
      <c r="AD29" s="4"/>
      <c r="AE29" s="4"/>
      <c r="AF29" s="4"/>
      <c r="AG29" s="4"/>
      <c r="AH29" s="4"/>
      <c r="AI29" s="4"/>
      <c r="AJ29" s="4"/>
      <c r="AK29" s="4"/>
      <c r="AL29" s="4"/>
    </row>
    <row r="30" spans="1:38" ht="14.4">
      <c r="A30" s="13">
        <v>11001</v>
      </c>
      <c r="B30" s="14" t="s">
        <v>45</v>
      </c>
      <c r="C30" s="15">
        <v>2532</v>
      </c>
      <c r="D30" s="15">
        <v>1272</v>
      </c>
      <c r="E30" s="15">
        <v>48</v>
      </c>
      <c r="F30" s="15">
        <v>229</v>
      </c>
      <c r="G30" s="15">
        <v>35</v>
      </c>
      <c r="H30" s="15">
        <v>948</v>
      </c>
      <c r="I30" s="15">
        <v>3136</v>
      </c>
      <c r="J30" s="15">
        <v>2398</v>
      </c>
      <c r="K30" s="15">
        <v>9</v>
      </c>
      <c r="L30" s="15">
        <v>119</v>
      </c>
      <c r="M30" s="15">
        <v>6</v>
      </c>
      <c r="N30" s="15">
        <v>604</v>
      </c>
      <c r="O30" s="16">
        <f t="shared" ref="O30:T30" si="30">ROUND(C30 + ((2016-2012)*(I30-C30))/(2024-2012),0)</f>
        <v>2733</v>
      </c>
      <c r="P30" s="17">
        <f t="shared" si="30"/>
        <v>1647</v>
      </c>
      <c r="Q30" s="17">
        <f t="shared" si="30"/>
        <v>35</v>
      </c>
      <c r="R30" s="17">
        <f t="shared" si="30"/>
        <v>192</v>
      </c>
      <c r="S30" s="17">
        <f t="shared" si="30"/>
        <v>25</v>
      </c>
      <c r="T30" s="17">
        <f t="shared" si="30"/>
        <v>833</v>
      </c>
      <c r="U30" s="17">
        <v>1206</v>
      </c>
      <c r="V30" s="18">
        <f t="shared" si="1"/>
        <v>441</v>
      </c>
      <c r="W30" s="18">
        <f t="shared" si="2"/>
        <v>441</v>
      </c>
      <c r="X30" s="19">
        <f t="shared" si="3"/>
        <v>2732</v>
      </c>
      <c r="Y30" s="18">
        <v>398.499995470047</v>
      </c>
      <c r="Z30" s="20"/>
      <c r="AA30" s="15">
        <v>2887</v>
      </c>
      <c r="AB30" s="17">
        <f t="shared" si="5"/>
        <v>3176</v>
      </c>
      <c r="AC30" s="15">
        <v>3753</v>
      </c>
      <c r="AD30" s="4"/>
      <c r="AE30" s="4"/>
      <c r="AF30" s="4"/>
      <c r="AG30" s="4"/>
      <c r="AH30" s="4"/>
      <c r="AI30" s="4"/>
      <c r="AJ30" s="4"/>
      <c r="AK30" s="4"/>
      <c r="AL30" s="4"/>
    </row>
    <row r="31" spans="1:38" ht="14.4">
      <c r="A31" s="21">
        <v>11002</v>
      </c>
      <c r="B31" s="22" t="s">
        <v>46</v>
      </c>
      <c r="C31" s="15">
        <v>603</v>
      </c>
      <c r="D31" s="15">
        <v>131</v>
      </c>
      <c r="E31" s="15">
        <v>14</v>
      </c>
      <c r="F31" s="15">
        <v>69</v>
      </c>
      <c r="G31" s="15">
        <v>32</v>
      </c>
      <c r="H31" s="15">
        <v>357</v>
      </c>
      <c r="I31" s="15">
        <v>818</v>
      </c>
      <c r="J31" s="15">
        <v>623</v>
      </c>
      <c r="K31" s="15">
        <v>0</v>
      </c>
      <c r="L31" s="15">
        <v>93</v>
      </c>
      <c r="M31" s="15">
        <v>6</v>
      </c>
      <c r="N31" s="15">
        <v>96</v>
      </c>
      <c r="O31" s="16">
        <f t="shared" ref="O31:T31" si="31">ROUND(C31 + ((2016-2012)*(I31-C31))/(2024-2012),0)</f>
        <v>675</v>
      </c>
      <c r="P31" s="23">
        <f t="shared" si="31"/>
        <v>295</v>
      </c>
      <c r="Q31" s="23">
        <f t="shared" si="31"/>
        <v>9</v>
      </c>
      <c r="R31" s="23">
        <f t="shared" si="31"/>
        <v>77</v>
      </c>
      <c r="S31" s="23">
        <f t="shared" si="31"/>
        <v>23</v>
      </c>
      <c r="T31" s="23">
        <f t="shared" si="31"/>
        <v>270</v>
      </c>
      <c r="U31" s="24">
        <v>263</v>
      </c>
      <c r="V31" s="18">
        <f t="shared" si="1"/>
        <v>32</v>
      </c>
      <c r="W31" s="18">
        <f t="shared" si="2"/>
        <v>32</v>
      </c>
      <c r="X31" s="19">
        <f t="shared" si="3"/>
        <v>674</v>
      </c>
      <c r="Y31" s="18">
        <v>423.00000786781311</v>
      </c>
      <c r="Z31" s="20"/>
      <c r="AA31" s="15">
        <v>680</v>
      </c>
      <c r="AB31" s="23">
        <f t="shared" si="5"/>
        <v>788</v>
      </c>
      <c r="AC31" s="15">
        <v>1004</v>
      </c>
      <c r="AD31" s="4"/>
      <c r="AE31" s="4"/>
      <c r="AF31" s="4"/>
      <c r="AG31" s="4"/>
      <c r="AH31" s="4"/>
      <c r="AI31" s="4"/>
      <c r="AJ31" s="4"/>
      <c r="AK31" s="4"/>
      <c r="AL31" s="4"/>
    </row>
    <row r="32" spans="1:38" ht="14.4">
      <c r="A32" s="13">
        <v>11003</v>
      </c>
      <c r="B32" s="14" t="s">
        <v>47</v>
      </c>
      <c r="C32" s="15">
        <v>1751</v>
      </c>
      <c r="D32" s="15">
        <v>824</v>
      </c>
      <c r="E32" s="15">
        <v>31</v>
      </c>
      <c r="F32" s="15">
        <v>180</v>
      </c>
      <c r="G32" s="15">
        <v>27</v>
      </c>
      <c r="H32" s="15">
        <v>689</v>
      </c>
      <c r="I32" s="15">
        <v>2288</v>
      </c>
      <c r="J32" s="15">
        <v>1413</v>
      </c>
      <c r="K32" s="15">
        <v>54</v>
      </c>
      <c r="L32" s="15">
        <v>295</v>
      </c>
      <c r="M32" s="15">
        <v>24</v>
      </c>
      <c r="N32" s="15">
        <v>502</v>
      </c>
      <c r="O32" s="16">
        <f t="shared" ref="O32:T32" si="32">ROUND(C32 + ((2016-2012)*(I32-C32))/(2024-2012),0)</f>
        <v>1930</v>
      </c>
      <c r="P32" s="17">
        <f t="shared" si="32"/>
        <v>1020</v>
      </c>
      <c r="Q32" s="17">
        <f t="shared" si="32"/>
        <v>39</v>
      </c>
      <c r="R32" s="17">
        <f t="shared" si="32"/>
        <v>218</v>
      </c>
      <c r="S32" s="17">
        <f t="shared" si="32"/>
        <v>26</v>
      </c>
      <c r="T32" s="17">
        <f t="shared" si="32"/>
        <v>627</v>
      </c>
      <c r="U32" s="25">
        <v>925</v>
      </c>
      <c r="V32" s="18">
        <f t="shared" si="1"/>
        <v>95</v>
      </c>
      <c r="W32" s="18">
        <f t="shared" si="2"/>
        <v>95</v>
      </c>
      <c r="X32" s="19">
        <f t="shared" si="3"/>
        <v>1930</v>
      </c>
      <c r="Y32" s="18">
        <v>583.99999141693115</v>
      </c>
      <c r="Z32" s="20"/>
      <c r="AA32" s="15">
        <v>2016</v>
      </c>
      <c r="AB32" s="17">
        <f t="shared" si="5"/>
        <v>2251</v>
      </c>
      <c r="AC32" s="15">
        <v>2722</v>
      </c>
      <c r="AD32" s="4"/>
      <c r="AE32" s="4"/>
      <c r="AF32" s="4"/>
      <c r="AG32" s="4"/>
      <c r="AH32" s="4"/>
      <c r="AI32" s="4"/>
      <c r="AJ32" s="4"/>
      <c r="AK32" s="4"/>
      <c r="AL32" s="4"/>
    </row>
    <row r="33" spans="1:38" ht="14.4">
      <c r="A33" s="21">
        <v>20101</v>
      </c>
      <c r="B33" s="22" t="s">
        <v>48</v>
      </c>
      <c r="C33" s="15">
        <v>226458</v>
      </c>
      <c r="D33" s="15">
        <v>222302</v>
      </c>
      <c r="E33" s="15">
        <v>313</v>
      </c>
      <c r="F33" s="15">
        <v>30</v>
      </c>
      <c r="G33" s="15">
        <v>230</v>
      </c>
      <c r="H33" s="15">
        <v>3583</v>
      </c>
      <c r="I33" s="15">
        <v>250931</v>
      </c>
      <c r="J33" s="15">
        <v>246265</v>
      </c>
      <c r="K33" s="15">
        <v>712</v>
      </c>
      <c r="L33" s="15">
        <v>344</v>
      </c>
      <c r="M33" s="15">
        <v>598</v>
      </c>
      <c r="N33" s="15">
        <v>3012</v>
      </c>
      <c r="O33" s="16">
        <f t="shared" ref="O33:T33" si="33">ROUND(C33 + ((2016-2012)*(I33-C33))/(2024-2012),0)</f>
        <v>234616</v>
      </c>
      <c r="P33" s="23">
        <f t="shared" si="33"/>
        <v>230290</v>
      </c>
      <c r="Q33" s="23">
        <f t="shared" si="33"/>
        <v>446</v>
      </c>
      <c r="R33" s="23">
        <f t="shared" si="33"/>
        <v>135</v>
      </c>
      <c r="S33" s="23">
        <f t="shared" si="33"/>
        <v>353</v>
      </c>
      <c r="T33" s="23">
        <f t="shared" si="33"/>
        <v>3393</v>
      </c>
      <c r="U33" s="23">
        <v>255553</v>
      </c>
      <c r="V33" s="18">
        <f t="shared" si="1"/>
        <v>-25263</v>
      </c>
      <c r="W33" s="18">
        <f t="shared" si="2"/>
        <v>0</v>
      </c>
      <c r="X33" s="19">
        <f t="shared" si="3"/>
        <v>259880</v>
      </c>
      <c r="Y33" s="18">
        <v>1243.9999580383301</v>
      </c>
      <c r="Z33" s="20"/>
      <c r="AA33" s="15">
        <v>246477</v>
      </c>
      <c r="AB33" s="23">
        <f t="shared" si="5"/>
        <v>268134</v>
      </c>
      <c r="AC33" s="15">
        <v>311448</v>
      </c>
      <c r="AD33" s="4"/>
      <c r="AE33" s="4"/>
      <c r="AF33" s="4"/>
      <c r="AG33" s="4"/>
      <c r="AH33" s="4"/>
      <c r="AI33" s="4"/>
      <c r="AJ33" s="4"/>
      <c r="AK33" s="4"/>
      <c r="AL33" s="4"/>
    </row>
    <row r="34" spans="1:38" ht="14.4">
      <c r="A34" s="13">
        <v>20102</v>
      </c>
      <c r="B34" s="14" t="s">
        <v>49</v>
      </c>
      <c r="C34" s="15">
        <v>4853</v>
      </c>
      <c r="D34" s="15">
        <v>3820</v>
      </c>
      <c r="E34" s="15">
        <v>5</v>
      </c>
      <c r="F34" s="15">
        <v>4</v>
      </c>
      <c r="G34" s="15">
        <v>15</v>
      </c>
      <c r="H34" s="15">
        <v>1009</v>
      </c>
      <c r="I34" s="15">
        <v>7585</v>
      </c>
      <c r="J34" s="15">
        <v>6462</v>
      </c>
      <c r="K34" s="15">
        <v>27</v>
      </c>
      <c r="L34" s="15">
        <v>80</v>
      </c>
      <c r="M34" s="15">
        <v>24</v>
      </c>
      <c r="N34" s="15">
        <v>992</v>
      </c>
      <c r="O34" s="16">
        <f t="shared" ref="O34:T34" si="34">ROUND(C34 + ((2016-2012)*(I34-C34))/(2024-2012),0)</f>
        <v>5764</v>
      </c>
      <c r="P34" s="17">
        <f t="shared" si="34"/>
        <v>4701</v>
      </c>
      <c r="Q34" s="17">
        <f t="shared" si="34"/>
        <v>12</v>
      </c>
      <c r="R34" s="17">
        <f t="shared" si="34"/>
        <v>29</v>
      </c>
      <c r="S34" s="17">
        <f t="shared" si="34"/>
        <v>18</v>
      </c>
      <c r="T34" s="17">
        <f t="shared" si="34"/>
        <v>1003</v>
      </c>
      <c r="U34" s="17">
        <v>3806</v>
      </c>
      <c r="V34" s="18">
        <f t="shared" si="1"/>
        <v>895</v>
      </c>
      <c r="W34" s="18">
        <f t="shared" si="2"/>
        <v>895</v>
      </c>
      <c r="X34" s="19">
        <f t="shared" si="3"/>
        <v>5763</v>
      </c>
      <c r="Y34" s="18">
        <v>175.99999904632568</v>
      </c>
      <c r="Z34" s="20"/>
      <c r="AA34" s="15">
        <v>5246</v>
      </c>
      <c r="AB34" s="17">
        <f t="shared" si="5"/>
        <v>6476</v>
      </c>
      <c r="AC34" s="15">
        <v>8935</v>
      </c>
      <c r="AD34" s="4"/>
      <c r="AE34" s="4"/>
      <c r="AF34" s="4"/>
      <c r="AG34" s="4"/>
      <c r="AH34" s="4"/>
      <c r="AI34" s="4"/>
      <c r="AJ34" s="4"/>
      <c r="AK34" s="4"/>
      <c r="AL34" s="4"/>
    </row>
    <row r="35" spans="1:38" ht="14.4">
      <c r="A35" s="21">
        <v>20103</v>
      </c>
      <c r="B35" s="22" t="s">
        <v>50</v>
      </c>
      <c r="C35" s="15">
        <v>4772</v>
      </c>
      <c r="D35" s="15">
        <v>4003</v>
      </c>
      <c r="E35" s="15">
        <v>13</v>
      </c>
      <c r="F35" s="15">
        <v>5</v>
      </c>
      <c r="G35" s="15">
        <v>13</v>
      </c>
      <c r="H35" s="15">
        <v>738</v>
      </c>
      <c r="I35" s="15">
        <v>6849</v>
      </c>
      <c r="J35" s="15">
        <v>6167</v>
      </c>
      <c r="K35" s="15">
        <v>15</v>
      </c>
      <c r="L35" s="15">
        <v>49</v>
      </c>
      <c r="M35" s="15">
        <v>33</v>
      </c>
      <c r="N35" s="15">
        <v>585</v>
      </c>
      <c r="O35" s="16">
        <f t="shared" ref="O35:T35" si="35">ROUND(C35 + ((2016-2012)*(I35-C35))/(2024-2012),0)</f>
        <v>5464</v>
      </c>
      <c r="P35" s="23">
        <f t="shared" si="35"/>
        <v>4724</v>
      </c>
      <c r="Q35" s="23">
        <f t="shared" si="35"/>
        <v>14</v>
      </c>
      <c r="R35" s="23">
        <f t="shared" si="35"/>
        <v>20</v>
      </c>
      <c r="S35" s="23">
        <f t="shared" si="35"/>
        <v>20</v>
      </c>
      <c r="T35" s="23">
        <f t="shared" si="35"/>
        <v>687</v>
      </c>
      <c r="U35" s="23">
        <v>4466</v>
      </c>
      <c r="V35" s="18">
        <f t="shared" si="1"/>
        <v>258</v>
      </c>
      <c r="W35" s="18">
        <f t="shared" si="2"/>
        <v>258</v>
      </c>
      <c r="X35" s="19">
        <f t="shared" si="3"/>
        <v>5465</v>
      </c>
      <c r="Y35" s="18">
        <v>314.99999761581421</v>
      </c>
      <c r="Z35" s="20"/>
      <c r="AA35" s="15">
        <v>5617</v>
      </c>
      <c r="AB35" s="23">
        <f t="shared" si="5"/>
        <v>6766</v>
      </c>
      <c r="AC35" s="15">
        <v>9064</v>
      </c>
      <c r="AD35" s="4"/>
      <c r="AE35" s="4"/>
      <c r="AF35" s="4"/>
      <c r="AG35" s="4"/>
      <c r="AH35" s="4"/>
      <c r="AI35" s="4"/>
      <c r="AJ35" s="4"/>
      <c r="AK35" s="4"/>
      <c r="AL35" s="4"/>
    </row>
    <row r="36" spans="1:38" ht="14.4">
      <c r="A36" s="13">
        <v>20104</v>
      </c>
      <c r="B36" s="14" t="s">
        <v>51</v>
      </c>
      <c r="C36" s="15">
        <v>7151</v>
      </c>
      <c r="D36" s="15">
        <v>5474</v>
      </c>
      <c r="E36" s="15">
        <v>22</v>
      </c>
      <c r="F36" s="15">
        <v>7</v>
      </c>
      <c r="G36" s="15">
        <v>113</v>
      </c>
      <c r="H36" s="15">
        <v>1535</v>
      </c>
      <c r="I36" s="15">
        <v>16297</v>
      </c>
      <c r="J36" s="15">
        <v>13397</v>
      </c>
      <c r="K36" s="15">
        <v>149</v>
      </c>
      <c r="L36" s="15">
        <v>103</v>
      </c>
      <c r="M36" s="15">
        <v>212</v>
      </c>
      <c r="N36" s="15">
        <v>2436</v>
      </c>
      <c r="O36" s="16">
        <f t="shared" ref="O36:T36" si="36">ROUND(C36 + ((2016-2012)*(I36-C36))/(2024-2012),0)</f>
        <v>10200</v>
      </c>
      <c r="P36" s="17">
        <f t="shared" si="36"/>
        <v>8115</v>
      </c>
      <c r="Q36" s="17">
        <f t="shared" si="36"/>
        <v>64</v>
      </c>
      <c r="R36" s="17">
        <f t="shared" si="36"/>
        <v>39</v>
      </c>
      <c r="S36" s="17">
        <f t="shared" si="36"/>
        <v>146</v>
      </c>
      <c r="T36" s="17">
        <f t="shared" si="36"/>
        <v>1835</v>
      </c>
      <c r="U36" s="17">
        <v>5811</v>
      </c>
      <c r="V36" s="18">
        <f t="shared" si="1"/>
        <v>2304</v>
      </c>
      <c r="W36" s="18">
        <f t="shared" si="2"/>
        <v>2304</v>
      </c>
      <c r="X36" s="19">
        <f t="shared" si="3"/>
        <v>10199</v>
      </c>
      <c r="Y36" s="18">
        <v>297.49999940395355</v>
      </c>
      <c r="Z36" s="20"/>
      <c r="AA36" s="15">
        <v>8093</v>
      </c>
      <c r="AB36" s="17">
        <f t="shared" si="5"/>
        <v>12351</v>
      </c>
      <c r="AC36" s="15">
        <v>20868</v>
      </c>
      <c r="AD36" s="4"/>
      <c r="AE36" s="4"/>
      <c r="AF36" s="4"/>
      <c r="AG36" s="4"/>
      <c r="AH36" s="4"/>
      <c r="AI36" s="4"/>
      <c r="AJ36" s="4"/>
      <c r="AK36" s="4"/>
      <c r="AL36" s="4"/>
    </row>
    <row r="37" spans="1:38" ht="14.4">
      <c r="A37" s="21">
        <v>20105</v>
      </c>
      <c r="B37" s="22" t="s">
        <v>52</v>
      </c>
      <c r="C37" s="15">
        <v>256852</v>
      </c>
      <c r="D37" s="15">
        <v>234389</v>
      </c>
      <c r="E37" s="15">
        <v>247</v>
      </c>
      <c r="F37" s="15">
        <v>57</v>
      </c>
      <c r="G37" s="15">
        <v>854</v>
      </c>
      <c r="H37" s="15">
        <v>21305</v>
      </c>
      <c r="I37" s="15">
        <v>297898</v>
      </c>
      <c r="J37" s="15">
        <v>287136</v>
      </c>
      <c r="K37" s="15">
        <v>885</v>
      </c>
      <c r="L37" s="15">
        <v>419</v>
      </c>
      <c r="M37" s="15">
        <v>1017</v>
      </c>
      <c r="N37" s="15">
        <v>8441</v>
      </c>
      <c r="O37" s="16">
        <f t="shared" ref="O37:T37" si="37">ROUND(C37 + ((2016-2012)*(I37-C37))/(2024-2012),0)</f>
        <v>270534</v>
      </c>
      <c r="P37" s="23">
        <f t="shared" si="37"/>
        <v>251971</v>
      </c>
      <c r="Q37" s="23">
        <f t="shared" si="37"/>
        <v>460</v>
      </c>
      <c r="R37" s="23">
        <f t="shared" si="37"/>
        <v>178</v>
      </c>
      <c r="S37" s="23">
        <f t="shared" si="37"/>
        <v>908</v>
      </c>
      <c r="T37" s="23">
        <f t="shared" si="37"/>
        <v>17017</v>
      </c>
      <c r="U37" s="23">
        <v>267033</v>
      </c>
      <c r="V37" s="18">
        <f t="shared" si="1"/>
        <v>-15062</v>
      </c>
      <c r="W37" s="18">
        <f t="shared" si="2"/>
        <v>0</v>
      </c>
      <c r="X37" s="19">
        <f t="shared" si="3"/>
        <v>285596</v>
      </c>
      <c r="Y37" s="18">
        <v>643.00000667572021</v>
      </c>
      <c r="Z37" s="20"/>
      <c r="AA37" s="15">
        <v>277673</v>
      </c>
      <c r="AB37" s="23">
        <f t="shared" si="5"/>
        <v>312261</v>
      </c>
      <c r="AC37" s="15">
        <v>381438</v>
      </c>
      <c r="AD37" s="4"/>
      <c r="AE37" s="4"/>
      <c r="AF37" s="4"/>
      <c r="AG37" s="4"/>
      <c r="AH37" s="4"/>
      <c r="AI37" s="4"/>
      <c r="AJ37" s="4"/>
      <c r="AK37" s="4"/>
      <c r="AL37" s="4"/>
    </row>
    <row r="38" spans="1:38" ht="14.4">
      <c r="A38" s="13">
        <v>20201</v>
      </c>
      <c r="B38" s="14" t="s">
        <v>53</v>
      </c>
      <c r="C38" s="15">
        <v>16228</v>
      </c>
      <c r="D38" s="15">
        <v>12147</v>
      </c>
      <c r="E38" s="15">
        <v>31</v>
      </c>
      <c r="F38" s="15">
        <v>23</v>
      </c>
      <c r="G38" s="15">
        <v>55</v>
      </c>
      <c r="H38" s="15">
        <v>3972</v>
      </c>
      <c r="I38" s="15">
        <v>18316</v>
      </c>
      <c r="J38" s="15">
        <v>15257</v>
      </c>
      <c r="K38" s="15">
        <v>43</v>
      </c>
      <c r="L38" s="15">
        <v>64</v>
      </c>
      <c r="M38" s="15">
        <v>113</v>
      </c>
      <c r="N38" s="15">
        <v>2839</v>
      </c>
      <c r="O38" s="16">
        <f t="shared" ref="O38:T38" si="38">ROUND(C38 + ((2016-2012)*(I38-C38))/(2024-2012),0)</f>
        <v>16924</v>
      </c>
      <c r="P38" s="17">
        <f t="shared" si="38"/>
        <v>13184</v>
      </c>
      <c r="Q38" s="17">
        <f t="shared" si="38"/>
        <v>35</v>
      </c>
      <c r="R38" s="17">
        <f t="shared" si="38"/>
        <v>37</v>
      </c>
      <c r="S38" s="17">
        <f t="shared" si="38"/>
        <v>74</v>
      </c>
      <c r="T38" s="17">
        <f t="shared" si="38"/>
        <v>3594</v>
      </c>
      <c r="U38" s="17">
        <v>18546</v>
      </c>
      <c r="V38" s="18">
        <f t="shared" si="1"/>
        <v>-5362</v>
      </c>
      <c r="W38" s="18">
        <f t="shared" si="2"/>
        <v>0</v>
      </c>
      <c r="X38" s="19">
        <f t="shared" si="3"/>
        <v>22286</v>
      </c>
      <c r="Y38" s="18">
        <v>56.000001728534698</v>
      </c>
      <c r="Z38" s="20"/>
      <c r="AA38" s="15">
        <v>17452</v>
      </c>
      <c r="AB38" s="17">
        <f t="shared" si="5"/>
        <v>19456</v>
      </c>
      <c r="AC38" s="15">
        <v>23465</v>
      </c>
      <c r="AD38" s="4"/>
      <c r="AE38" s="4"/>
      <c r="AF38" s="4"/>
      <c r="AG38" s="4"/>
      <c r="AH38" s="4"/>
      <c r="AI38" s="4"/>
      <c r="AJ38" s="4"/>
      <c r="AK38" s="4"/>
      <c r="AL38" s="4"/>
    </row>
    <row r="39" spans="1:38" ht="14.4">
      <c r="A39" s="21">
        <v>20202</v>
      </c>
      <c r="B39" s="22" t="s">
        <v>54</v>
      </c>
      <c r="C39" s="15">
        <v>5027</v>
      </c>
      <c r="D39" s="15">
        <v>3231</v>
      </c>
      <c r="E39" s="15">
        <v>11</v>
      </c>
      <c r="F39" s="15">
        <v>9</v>
      </c>
      <c r="G39" s="15">
        <v>106</v>
      </c>
      <c r="H39" s="15">
        <v>1670</v>
      </c>
      <c r="I39" s="15">
        <v>6737</v>
      </c>
      <c r="J39" s="15">
        <v>4907</v>
      </c>
      <c r="K39" s="15">
        <v>11</v>
      </c>
      <c r="L39" s="15">
        <v>52</v>
      </c>
      <c r="M39" s="15">
        <v>60</v>
      </c>
      <c r="N39" s="15">
        <v>1707</v>
      </c>
      <c r="O39" s="16">
        <f t="shared" ref="O39:T39" si="39">ROUND(C39 + ((2016-2012)*(I39-C39))/(2024-2012),0)</f>
        <v>5597</v>
      </c>
      <c r="P39" s="23">
        <f t="shared" si="39"/>
        <v>3790</v>
      </c>
      <c r="Q39" s="23">
        <f t="shared" si="39"/>
        <v>11</v>
      </c>
      <c r="R39" s="23">
        <f t="shared" si="39"/>
        <v>23</v>
      </c>
      <c r="S39" s="23">
        <f t="shared" si="39"/>
        <v>91</v>
      </c>
      <c r="T39" s="23">
        <f t="shared" si="39"/>
        <v>1682</v>
      </c>
      <c r="U39" s="23">
        <v>3243</v>
      </c>
      <c r="V39" s="18">
        <f t="shared" si="1"/>
        <v>547</v>
      </c>
      <c r="W39" s="18">
        <f t="shared" si="2"/>
        <v>547</v>
      </c>
      <c r="X39" s="19">
        <f t="shared" si="3"/>
        <v>5597</v>
      </c>
      <c r="Y39" s="18">
        <v>103.00000011920929</v>
      </c>
      <c r="Z39" s="20"/>
      <c r="AA39" s="15">
        <v>5427</v>
      </c>
      <c r="AB39" s="23">
        <f t="shared" si="5"/>
        <v>6206</v>
      </c>
      <c r="AC39" s="15">
        <v>7765</v>
      </c>
      <c r="AD39" s="4"/>
      <c r="AE39" s="4"/>
      <c r="AF39" s="4"/>
      <c r="AG39" s="4"/>
      <c r="AH39" s="4"/>
      <c r="AI39" s="4"/>
      <c r="AJ39" s="4"/>
      <c r="AK39" s="4"/>
      <c r="AL39" s="4"/>
    </row>
    <row r="40" spans="1:38" ht="14.4">
      <c r="A40" s="13">
        <v>20203</v>
      </c>
      <c r="B40" s="14" t="s">
        <v>55</v>
      </c>
      <c r="C40" s="15">
        <v>2032</v>
      </c>
      <c r="D40" s="15">
        <v>1406</v>
      </c>
      <c r="E40" s="15">
        <v>0</v>
      </c>
      <c r="F40" s="15">
        <v>2</v>
      </c>
      <c r="G40" s="15">
        <v>20</v>
      </c>
      <c r="H40" s="15">
        <v>604</v>
      </c>
      <c r="I40" s="15">
        <v>2631</v>
      </c>
      <c r="J40" s="15">
        <v>1962</v>
      </c>
      <c r="K40" s="15">
        <v>5</v>
      </c>
      <c r="L40" s="15">
        <v>11</v>
      </c>
      <c r="M40" s="15">
        <v>49</v>
      </c>
      <c r="N40" s="15">
        <v>604</v>
      </c>
      <c r="O40" s="16">
        <f t="shared" ref="O40:T40" si="40">ROUND(C40 + ((2016-2012)*(I40-C40))/(2024-2012),0)</f>
        <v>2232</v>
      </c>
      <c r="P40" s="17">
        <f t="shared" si="40"/>
        <v>1591</v>
      </c>
      <c r="Q40" s="17">
        <f t="shared" si="40"/>
        <v>2</v>
      </c>
      <c r="R40" s="17">
        <f t="shared" si="40"/>
        <v>5</v>
      </c>
      <c r="S40" s="17">
        <f t="shared" si="40"/>
        <v>30</v>
      </c>
      <c r="T40" s="17">
        <f t="shared" si="40"/>
        <v>604</v>
      </c>
      <c r="U40" s="17">
        <v>1790</v>
      </c>
      <c r="V40" s="18">
        <f t="shared" si="1"/>
        <v>-199</v>
      </c>
      <c r="W40" s="18">
        <f t="shared" si="2"/>
        <v>0</v>
      </c>
      <c r="X40" s="19">
        <f t="shared" si="3"/>
        <v>2431</v>
      </c>
      <c r="Y40" s="18">
        <v>87.999999523162842</v>
      </c>
      <c r="Z40" s="20"/>
      <c r="AA40" s="15">
        <v>2215</v>
      </c>
      <c r="AB40" s="17">
        <f t="shared" si="5"/>
        <v>2466</v>
      </c>
      <c r="AC40" s="15">
        <v>2967</v>
      </c>
      <c r="AD40" s="4"/>
      <c r="AE40" s="4"/>
      <c r="AF40" s="4"/>
      <c r="AG40" s="4"/>
      <c r="AH40" s="4"/>
      <c r="AI40" s="4"/>
      <c r="AJ40" s="4"/>
      <c r="AK40" s="4"/>
      <c r="AL40" s="4"/>
    </row>
    <row r="41" spans="1:38" ht="14.4">
      <c r="A41" s="21">
        <v>20204</v>
      </c>
      <c r="B41" s="22" t="s">
        <v>56</v>
      </c>
      <c r="C41" s="15">
        <v>3297</v>
      </c>
      <c r="D41" s="15">
        <v>2315</v>
      </c>
      <c r="E41" s="15">
        <v>8</v>
      </c>
      <c r="F41" s="15">
        <v>6</v>
      </c>
      <c r="G41" s="15">
        <v>30</v>
      </c>
      <c r="H41" s="15">
        <v>938</v>
      </c>
      <c r="I41" s="15">
        <v>3956</v>
      </c>
      <c r="J41" s="15">
        <v>3045</v>
      </c>
      <c r="K41" s="15">
        <v>6</v>
      </c>
      <c r="L41" s="15">
        <v>12</v>
      </c>
      <c r="M41" s="15">
        <v>21</v>
      </c>
      <c r="N41" s="15">
        <v>872</v>
      </c>
      <c r="O41" s="16">
        <f t="shared" ref="O41:T41" si="41">ROUND(C41 + ((2016-2012)*(I41-C41))/(2024-2012),0)</f>
        <v>3517</v>
      </c>
      <c r="P41" s="23">
        <f t="shared" si="41"/>
        <v>2558</v>
      </c>
      <c r="Q41" s="23">
        <f t="shared" si="41"/>
        <v>7</v>
      </c>
      <c r="R41" s="23">
        <f t="shared" si="41"/>
        <v>8</v>
      </c>
      <c r="S41" s="23">
        <f t="shared" si="41"/>
        <v>27</v>
      </c>
      <c r="T41" s="23">
        <f t="shared" si="41"/>
        <v>916</v>
      </c>
      <c r="U41" s="23">
        <v>2613</v>
      </c>
      <c r="V41" s="18">
        <f t="shared" si="1"/>
        <v>-55</v>
      </c>
      <c r="W41" s="18">
        <f t="shared" si="2"/>
        <v>0</v>
      </c>
      <c r="X41" s="19">
        <f t="shared" si="3"/>
        <v>3571</v>
      </c>
      <c r="Y41" s="18">
        <v>93.000002205371857</v>
      </c>
      <c r="Z41" s="20"/>
      <c r="AA41" s="15">
        <v>3702</v>
      </c>
      <c r="AB41" s="23">
        <f t="shared" si="5"/>
        <v>4150</v>
      </c>
      <c r="AC41" s="15">
        <v>5045</v>
      </c>
      <c r="AD41" s="4"/>
      <c r="AE41" s="4"/>
      <c r="AF41" s="4"/>
      <c r="AG41" s="4"/>
      <c r="AH41" s="4"/>
      <c r="AI41" s="4"/>
      <c r="AJ41" s="4"/>
      <c r="AK41" s="4"/>
      <c r="AL41" s="4"/>
    </row>
    <row r="42" spans="1:38" ht="14.4">
      <c r="A42" s="13">
        <v>20205</v>
      </c>
      <c r="B42" s="14" t="s">
        <v>57</v>
      </c>
      <c r="C42" s="15">
        <v>3797</v>
      </c>
      <c r="D42" s="15">
        <v>2553</v>
      </c>
      <c r="E42" s="15">
        <v>10</v>
      </c>
      <c r="F42" s="15">
        <v>3</v>
      </c>
      <c r="G42" s="15">
        <v>33</v>
      </c>
      <c r="H42" s="15">
        <v>1198</v>
      </c>
      <c r="I42" s="15">
        <v>4479</v>
      </c>
      <c r="J42" s="15">
        <v>3568</v>
      </c>
      <c r="K42" s="15">
        <v>8</v>
      </c>
      <c r="L42" s="15">
        <v>27</v>
      </c>
      <c r="M42" s="15">
        <v>42</v>
      </c>
      <c r="N42" s="15">
        <v>834</v>
      </c>
      <c r="O42" s="16">
        <f t="shared" ref="O42:T42" si="42">ROUND(C42 + ((2016-2012)*(I42-C42))/(2024-2012),0)</f>
        <v>4024</v>
      </c>
      <c r="P42" s="17">
        <f t="shared" si="42"/>
        <v>2891</v>
      </c>
      <c r="Q42" s="17">
        <f t="shared" si="42"/>
        <v>9</v>
      </c>
      <c r="R42" s="17">
        <f t="shared" si="42"/>
        <v>11</v>
      </c>
      <c r="S42" s="17">
        <f t="shared" si="42"/>
        <v>36</v>
      </c>
      <c r="T42" s="17">
        <f t="shared" si="42"/>
        <v>1077</v>
      </c>
      <c r="U42" s="17">
        <v>2794</v>
      </c>
      <c r="V42" s="18">
        <f t="shared" si="1"/>
        <v>97</v>
      </c>
      <c r="W42" s="18">
        <f t="shared" si="2"/>
        <v>97</v>
      </c>
      <c r="X42" s="19">
        <f t="shared" si="3"/>
        <v>4024</v>
      </c>
      <c r="Y42" s="18">
        <v>54.000001400709152</v>
      </c>
      <c r="Z42" s="20"/>
      <c r="AA42" s="15">
        <v>4125</v>
      </c>
      <c r="AB42" s="17">
        <f t="shared" si="5"/>
        <v>4618</v>
      </c>
      <c r="AC42" s="15">
        <v>5604</v>
      </c>
      <c r="AD42" s="4"/>
      <c r="AE42" s="4"/>
      <c r="AF42" s="4"/>
      <c r="AG42" s="4"/>
      <c r="AH42" s="4"/>
      <c r="AI42" s="4"/>
      <c r="AJ42" s="4"/>
      <c r="AK42" s="4"/>
      <c r="AL42" s="4"/>
    </row>
    <row r="43" spans="1:38" ht="14.4">
      <c r="A43" s="21">
        <v>20206</v>
      </c>
      <c r="B43" s="22" t="s">
        <v>58</v>
      </c>
      <c r="C43" s="15">
        <v>1662</v>
      </c>
      <c r="D43" s="15">
        <v>1357</v>
      </c>
      <c r="E43" s="15">
        <v>4</v>
      </c>
      <c r="F43" s="15">
        <v>2</v>
      </c>
      <c r="G43" s="15">
        <v>6</v>
      </c>
      <c r="H43" s="15">
        <v>293</v>
      </c>
      <c r="I43" s="15">
        <v>2509</v>
      </c>
      <c r="J43" s="15">
        <v>2120</v>
      </c>
      <c r="K43" s="15">
        <v>3</v>
      </c>
      <c r="L43" s="15">
        <v>3</v>
      </c>
      <c r="M43" s="15">
        <v>30</v>
      </c>
      <c r="N43" s="15">
        <v>353</v>
      </c>
      <c r="O43" s="16">
        <f t="shared" ref="O43:T43" si="43">ROUND(C43 + ((2016-2012)*(I43-C43))/(2024-2012),0)</f>
        <v>1944</v>
      </c>
      <c r="P43" s="23">
        <f t="shared" si="43"/>
        <v>1611</v>
      </c>
      <c r="Q43" s="23">
        <f t="shared" si="43"/>
        <v>4</v>
      </c>
      <c r="R43" s="23">
        <f t="shared" si="43"/>
        <v>2</v>
      </c>
      <c r="S43" s="23">
        <f t="shared" si="43"/>
        <v>14</v>
      </c>
      <c r="T43" s="23">
        <f t="shared" si="43"/>
        <v>313</v>
      </c>
      <c r="U43" s="23">
        <v>1293</v>
      </c>
      <c r="V43" s="18">
        <f t="shared" si="1"/>
        <v>318</v>
      </c>
      <c r="W43" s="18">
        <f t="shared" si="2"/>
        <v>318</v>
      </c>
      <c r="X43" s="19">
        <f t="shared" si="3"/>
        <v>1944</v>
      </c>
      <c r="Y43" s="18">
        <v>46.999998390674591</v>
      </c>
      <c r="Z43" s="20"/>
      <c r="AA43" s="15">
        <v>1803</v>
      </c>
      <c r="AB43" s="23">
        <f t="shared" si="5"/>
        <v>2189</v>
      </c>
      <c r="AC43" s="15">
        <v>2960</v>
      </c>
      <c r="AD43" s="4"/>
      <c r="AE43" s="4"/>
      <c r="AF43" s="4"/>
      <c r="AG43" s="4"/>
      <c r="AH43" s="4"/>
      <c r="AI43" s="4"/>
      <c r="AJ43" s="4"/>
      <c r="AK43" s="4"/>
      <c r="AL43" s="4"/>
    </row>
    <row r="44" spans="1:38" ht="14.4">
      <c r="A44" s="13">
        <v>20301</v>
      </c>
      <c r="B44" s="14" t="s">
        <v>59</v>
      </c>
      <c r="C44" s="15">
        <v>3740</v>
      </c>
      <c r="D44" s="15">
        <v>1917</v>
      </c>
      <c r="E44" s="15">
        <v>8</v>
      </c>
      <c r="F44" s="15">
        <v>71</v>
      </c>
      <c r="G44" s="15">
        <v>36</v>
      </c>
      <c r="H44" s="15">
        <v>1708</v>
      </c>
      <c r="I44" s="15">
        <v>5244</v>
      </c>
      <c r="J44" s="15">
        <v>3709</v>
      </c>
      <c r="K44" s="15">
        <v>17</v>
      </c>
      <c r="L44" s="15">
        <v>63</v>
      </c>
      <c r="M44" s="15">
        <v>62</v>
      </c>
      <c r="N44" s="15">
        <v>1393</v>
      </c>
      <c r="O44" s="16">
        <f t="shared" ref="O44:T44" si="44">ROUND(C44 + ((2016-2012)*(I44-C44))/(2024-2012),0)</f>
        <v>4241</v>
      </c>
      <c r="P44" s="17">
        <f t="shared" si="44"/>
        <v>2514</v>
      </c>
      <c r="Q44" s="17">
        <f t="shared" si="44"/>
        <v>11</v>
      </c>
      <c r="R44" s="17">
        <f t="shared" si="44"/>
        <v>68</v>
      </c>
      <c r="S44" s="17">
        <f t="shared" si="44"/>
        <v>45</v>
      </c>
      <c r="T44" s="17">
        <f t="shared" si="44"/>
        <v>1603</v>
      </c>
      <c r="U44" s="17">
        <v>2959</v>
      </c>
      <c r="V44" s="18">
        <f t="shared" si="1"/>
        <v>-445</v>
      </c>
      <c r="W44" s="18">
        <f t="shared" si="2"/>
        <v>0</v>
      </c>
      <c r="X44" s="19">
        <f t="shared" si="3"/>
        <v>4686</v>
      </c>
      <c r="Y44" s="18">
        <v>68.999998271465302</v>
      </c>
      <c r="Z44" s="20"/>
      <c r="AA44" s="15">
        <v>4355</v>
      </c>
      <c r="AB44" s="17">
        <f t="shared" si="5"/>
        <v>5260</v>
      </c>
      <c r="AC44" s="15">
        <v>7070</v>
      </c>
      <c r="AD44" s="4"/>
      <c r="AE44" s="4"/>
      <c r="AF44" s="4"/>
      <c r="AG44" s="4"/>
      <c r="AH44" s="4"/>
      <c r="AI44" s="4"/>
      <c r="AJ44" s="4"/>
      <c r="AK44" s="4"/>
      <c r="AL44" s="4"/>
    </row>
    <row r="45" spans="1:38" ht="14.4">
      <c r="A45" s="21">
        <v>20302</v>
      </c>
      <c r="B45" s="22" t="s">
        <v>60</v>
      </c>
      <c r="C45" s="15">
        <v>4269</v>
      </c>
      <c r="D45" s="15">
        <v>1512</v>
      </c>
      <c r="E45" s="15">
        <v>13</v>
      </c>
      <c r="F45" s="15">
        <v>91</v>
      </c>
      <c r="G45" s="15">
        <v>35</v>
      </c>
      <c r="H45" s="15">
        <v>2618</v>
      </c>
      <c r="I45" s="15">
        <v>5233</v>
      </c>
      <c r="J45" s="15">
        <v>3745</v>
      </c>
      <c r="K45" s="15">
        <v>17</v>
      </c>
      <c r="L45" s="15">
        <v>186</v>
      </c>
      <c r="M45" s="15">
        <v>52</v>
      </c>
      <c r="N45" s="15">
        <v>1233</v>
      </c>
      <c r="O45" s="16">
        <f t="shared" ref="O45:T45" si="45">ROUND(C45 + ((2016-2012)*(I45-C45))/(2024-2012),0)</f>
        <v>4590</v>
      </c>
      <c r="P45" s="23">
        <f t="shared" si="45"/>
        <v>2256</v>
      </c>
      <c r="Q45" s="23">
        <f t="shared" si="45"/>
        <v>14</v>
      </c>
      <c r="R45" s="23">
        <f t="shared" si="45"/>
        <v>123</v>
      </c>
      <c r="S45" s="23">
        <f t="shared" si="45"/>
        <v>41</v>
      </c>
      <c r="T45" s="23">
        <f t="shared" si="45"/>
        <v>2156</v>
      </c>
      <c r="U45" s="23">
        <v>3381</v>
      </c>
      <c r="V45" s="18">
        <f t="shared" si="1"/>
        <v>-1125</v>
      </c>
      <c r="W45" s="18">
        <f t="shared" si="2"/>
        <v>0</v>
      </c>
      <c r="X45" s="19">
        <f t="shared" si="3"/>
        <v>5715</v>
      </c>
      <c r="Y45" s="18">
        <v>50.00000074505806</v>
      </c>
      <c r="Z45" s="20"/>
      <c r="AA45" s="15">
        <v>4483</v>
      </c>
      <c r="AB45" s="23">
        <f t="shared" si="5"/>
        <v>5301</v>
      </c>
      <c r="AC45" s="15">
        <v>6936</v>
      </c>
      <c r="AD45" s="4"/>
      <c r="AE45" s="4"/>
      <c r="AF45" s="4"/>
      <c r="AG45" s="4"/>
      <c r="AH45" s="4"/>
      <c r="AI45" s="4"/>
      <c r="AJ45" s="4"/>
      <c r="AK45" s="4"/>
      <c r="AL45" s="4"/>
    </row>
    <row r="46" spans="1:38" ht="14.4">
      <c r="A46" s="13">
        <v>20303</v>
      </c>
      <c r="B46" s="14" t="s">
        <v>61</v>
      </c>
      <c r="C46" s="15">
        <v>3533</v>
      </c>
      <c r="D46" s="15">
        <v>635</v>
      </c>
      <c r="E46" s="15">
        <v>11</v>
      </c>
      <c r="F46" s="15">
        <v>195</v>
      </c>
      <c r="G46" s="15">
        <v>165</v>
      </c>
      <c r="H46" s="15">
        <v>2527</v>
      </c>
      <c r="I46" s="15">
        <v>5108</v>
      </c>
      <c r="J46" s="15">
        <v>2331</v>
      </c>
      <c r="K46" s="15">
        <v>5</v>
      </c>
      <c r="L46" s="15">
        <v>422</v>
      </c>
      <c r="M46" s="15">
        <v>99</v>
      </c>
      <c r="N46" s="15">
        <v>2251</v>
      </c>
      <c r="O46" s="16">
        <f t="shared" ref="O46:T46" si="46">ROUND(C46 + ((2016-2012)*(I46-C46))/(2024-2012),0)</f>
        <v>4058</v>
      </c>
      <c r="P46" s="17">
        <f t="shared" si="46"/>
        <v>1200</v>
      </c>
      <c r="Q46" s="17">
        <f t="shared" si="46"/>
        <v>9</v>
      </c>
      <c r="R46" s="17">
        <f t="shared" si="46"/>
        <v>271</v>
      </c>
      <c r="S46" s="17">
        <f t="shared" si="46"/>
        <v>143</v>
      </c>
      <c r="T46" s="17">
        <f t="shared" si="46"/>
        <v>2435</v>
      </c>
      <c r="U46" s="17">
        <v>1139</v>
      </c>
      <c r="V46" s="18">
        <f t="shared" si="1"/>
        <v>61</v>
      </c>
      <c r="W46" s="18">
        <f t="shared" si="2"/>
        <v>61</v>
      </c>
      <c r="X46" s="19">
        <f t="shared" si="3"/>
        <v>4058</v>
      </c>
      <c r="Y46" s="18">
        <v>37.000000476837158</v>
      </c>
      <c r="Z46" s="20"/>
      <c r="AA46" s="15">
        <v>4089</v>
      </c>
      <c r="AB46" s="17">
        <f t="shared" si="5"/>
        <v>5243</v>
      </c>
      <c r="AC46" s="15">
        <v>7552</v>
      </c>
      <c r="AD46" s="4"/>
      <c r="AE46" s="4"/>
      <c r="AF46" s="4"/>
      <c r="AG46" s="4"/>
      <c r="AH46" s="4"/>
      <c r="AI46" s="4"/>
      <c r="AJ46" s="4"/>
      <c r="AK46" s="4"/>
      <c r="AL46" s="4"/>
    </row>
    <row r="47" spans="1:38" ht="14.4">
      <c r="A47" s="21">
        <v>20304</v>
      </c>
      <c r="B47" s="22" t="s">
        <v>62</v>
      </c>
      <c r="C47" s="15">
        <v>1311</v>
      </c>
      <c r="D47" s="15">
        <v>481</v>
      </c>
      <c r="E47" s="15">
        <v>4</v>
      </c>
      <c r="F47" s="15">
        <v>36</v>
      </c>
      <c r="G47" s="15">
        <v>26</v>
      </c>
      <c r="H47" s="15">
        <v>764</v>
      </c>
      <c r="I47" s="15">
        <v>1930</v>
      </c>
      <c r="J47" s="15">
        <v>1514</v>
      </c>
      <c r="K47" s="15">
        <v>7</v>
      </c>
      <c r="L47" s="15">
        <v>29</v>
      </c>
      <c r="M47" s="15">
        <v>11</v>
      </c>
      <c r="N47" s="15">
        <v>369</v>
      </c>
      <c r="O47" s="16">
        <f t="shared" ref="O47:T47" si="47">ROUND(C47 + ((2016-2012)*(I47-C47))/(2024-2012),0)</f>
        <v>1517</v>
      </c>
      <c r="P47" s="23">
        <f t="shared" si="47"/>
        <v>825</v>
      </c>
      <c r="Q47" s="23">
        <f t="shared" si="47"/>
        <v>5</v>
      </c>
      <c r="R47" s="23">
        <f t="shared" si="47"/>
        <v>34</v>
      </c>
      <c r="S47" s="23">
        <f t="shared" si="47"/>
        <v>21</v>
      </c>
      <c r="T47" s="23">
        <f t="shared" si="47"/>
        <v>632</v>
      </c>
      <c r="U47" s="23">
        <v>962</v>
      </c>
      <c r="V47" s="18">
        <f t="shared" si="1"/>
        <v>-137</v>
      </c>
      <c r="W47" s="18">
        <f t="shared" si="2"/>
        <v>0</v>
      </c>
      <c r="X47" s="19">
        <f t="shared" si="3"/>
        <v>1654</v>
      </c>
      <c r="Y47" s="18">
        <v>35.999998450279236</v>
      </c>
      <c r="Z47" s="20"/>
      <c r="AA47" s="15">
        <v>1606</v>
      </c>
      <c r="AB47" s="23">
        <f t="shared" si="5"/>
        <v>1796</v>
      </c>
      <c r="AC47" s="15">
        <v>2177</v>
      </c>
      <c r="AD47" s="4"/>
      <c r="AE47" s="4"/>
      <c r="AF47" s="4"/>
      <c r="AG47" s="4"/>
      <c r="AH47" s="4"/>
      <c r="AI47" s="4"/>
      <c r="AJ47" s="4"/>
      <c r="AK47" s="4"/>
      <c r="AL47" s="4"/>
    </row>
    <row r="48" spans="1:38" ht="14.4">
      <c r="A48" s="13">
        <v>20305</v>
      </c>
      <c r="B48" s="14" t="s">
        <v>63</v>
      </c>
      <c r="C48" s="15">
        <v>1159</v>
      </c>
      <c r="D48" s="15">
        <v>348</v>
      </c>
      <c r="E48" s="15">
        <v>1</v>
      </c>
      <c r="F48" s="15">
        <v>70</v>
      </c>
      <c r="G48" s="15">
        <v>69</v>
      </c>
      <c r="H48" s="15">
        <v>671</v>
      </c>
      <c r="I48" s="15">
        <v>1742</v>
      </c>
      <c r="J48" s="15">
        <v>459</v>
      </c>
      <c r="K48" s="15">
        <v>2</v>
      </c>
      <c r="L48" s="15">
        <v>236</v>
      </c>
      <c r="M48" s="15">
        <v>67</v>
      </c>
      <c r="N48" s="15">
        <v>978</v>
      </c>
      <c r="O48" s="16">
        <f t="shared" ref="O48:T48" si="48">ROUND(C48 + ((2016-2012)*(I48-C48))/(2024-2012),0)</f>
        <v>1353</v>
      </c>
      <c r="P48" s="17">
        <f t="shared" si="48"/>
        <v>385</v>
      </c>
      <c r="Q48" s="17">
        <f t="shared" si="48"/>
        <v>1</v>
      </c>
      <c r="R48" s="17">
        <f t="shared" si="48"/>
        <v>125</v>
      </c>
      <c r="S48" s="17">
        <f t="shared" si="48"/>
        <v>68</v>
      </c>
      <c r="T48" s="17">
        <f t="shared" si="48"/>
        <v>773</v>
      </c>
      <c r="U48" s="25">
        <v>349</v>
      </c>
      <c r="V48" s="18">
        <f t="shared" si="1"/>
        <v>36</v>
      </c>
      <c r="W48" s="18">
        <f t="shared" si="2"/>
        <v>36</v>
      </c>
      <c r="X48" s="19">
        <f t="shared" si="3"/>
        <v>1352</v>
      </c>
      <c r="Y48" s="18">
        <v>127.00000405311584</v>
      </c>
      <c r="Z48" s="20"/>
      <c r="AA48" s="15">
        <v>1361</v>
      </c>
      <c r="AB48" s="17">
        <f t="shared" si="5"/>
        <v>1709</v>
      </c>
      <c r="AC48" s="15">
        <v>2405</v>
      </c>
      <c r="AD48" s="4"/>
      <c r="AE48" s="4"/>
      <c r="AF48" s="4"/>
      <c r="AG48" s="4"/>
      <c r="AH48" s="4"/>
      <c r="AI48" s="4"/>
      <c r="AJ48" s="4"/>
      <c r="AK48" s="4"/>
      <c r="AL48" s="4"/>
    </row>
    <row r="49" spans="1:38" ht="14.4">
      <c r="A49" s="21">
        <v>20306</v>
      </c>
      <c r="B49" s="22" t="s">
        <v>64</v>
      </c>
      <c r="C49" s="15">
        <v>1070</v>
      </c>
      <c r="D49" s="15">
        <v>663</v>
      </c>
      <c r="E49" s="15">
        <v>2</v>
      </c>
      <c r="F49" s="15">
        <v>7</v>
      </c>
      <c r="G49" s="15">
        <v>19</v>
      </c>
      <c r="H49" s="15">
        <v>379</v>
      </c>
      <c r="I49" s="15">
        <v>1463</v>
      </c>
      <c r="J49" s="15">
        <v>1000</v>
      </c>
      <c r="K49" s="15">
        <v>1</v>
      </c>
      <c r="L49" s="15">
        <v>66</v>
      </c>
      <c r="M49" s="15">
        <v>20</v>
      </c>
      <c r="N49" s="15">
        <v>376</v>
      </c>
      <c r="O49" s="16">
        <f t="shared" ref="O49:T49" si="49">ROUND(C49 + ((2016-2012)*(I49-C49))/(2024-2012),0)</f>
        <v>1201</v>
      </c>
      <c r="P49" s="23">
        <f t="shared" si="49"/>
        <v>775</v>
      </c>
      <c r="Q49" s="23">
        <f t="shared" si="49"/>
        <v>2</v>
      </c>
      <c r="R49" s="23">
        <f t="shared" si="49"/>
        <v>27</v>
      </c>
      <c r="S49" s="23">
        <f t="shared" si="49"/>
        <v>19</v>
      </c>
      <c r="T49" s="23">
        <f t="shared" si="49"/>
        <v>378</v>
      </c>
      <c r="U49" s="24">
        <v>375</v>
      </c>
      <c r="V49" s="18">
        <f t="shared" si="1"/>
        <v>400</v>
      </c>
      <c r="W49" s="18">
        <f t="shared" si="2"/>
        <v>400</v>
      </c>
      <c r="X49" s="19">
        <f t="shared" si="3"/>
        <v>1201</v>
      </c>
      <c r="Y49" s="18">
        <v>92.000000178813934</v>
      </c>
      <c r="Z49" s="20"/>
      <c r="AA49" s="15">
        <v>1157</v>
      </c>
      <c r="AB49" s="23">
        <f t="shared" si="5"/>
        <v>1282</v>
      </c>
      <c r="AC49" s="15">
        <v>1531</v>
      </c>
      <c r="AD49" s="4"/>
      <c r="AE49" s="4"/>
      <c r="AF49" s="4"/>
      <c r="AG49" s="4"/>
      <c r="AH49" s="4"/>
      <c r="AI49" s="4"/>
      <c r="AJ49" s="4"/>
      <c r="AK49" s="4"/>
      <c r="AL49" s="4"/>
    </row>
    <row r="50" spans="1:38" ht="14.4">
      <c r="A50" s="13">
        <v>20307</v>
      </c>
      <c r="B50" s="14" t="s">
        <v>65</v>
      </c>
      <c r="C50" s="15">
        <v>289</v>
      </c>
      <c r="D50" s="15">
        <v>108</v>
      </c>
      <c r="E50" s="15">
        <v>0</v>
      </c>
      <c r="F50" s="15">
        <v>13</v>
      </c>
      <c r="G50" s="15">
        <v>1</v>
      </c>
      <c r="H50" s="15">
        <v>167</v>
      </c>
      <c r="I50" s="15">
        <v>1213</v>
      </c>
      <c r="J50" s="15">
        <v>826</v>
      </c>
      <c r="K50" s="15">
        <v>5</v>
      </c>
      <c r="L50" s="15">
        <v>16</v>
      </c>
      <c r="M50" s="15">
        <v>6</v>
      </c>
      <c r="N50" s="15">
        <v>360</v>
      </c>
      <c r="O50" s="16">
        <f t="shared" ref="O50:T50" si="50">ROUND(C50 + ((2016-2012)*(I50-C50))/(2024-2012),0)</f>
        <v>597</v>
      </c>
      <c r="P50" s="17">
        <f t="shared" si="50"/>
        <v>347</v>
      </c>
      <c r="Q50" s="17">
        <f t="shared" si="50"/>
        <v>2</v>
      </c>
      <c r="R50" s="17">
        <f t="shared" si="50"/>
        <v>14</v>
      </c>
      <c r="S50" s="17">
        <f t="shared" si="50"/>
        <v>3</v>
      </c>
      <c r="T50" s="17">
        <f t="shared" si="50"/>
        <v>231</v>
      </c>
      <c r="U50" s="25">
        <v>101</v>
      </c>
      <c r="V50" s="18">
        <f t="shared" si="1"/>
        <v>246</v>
      </c>
      <c r="W50" s="18">
        <f t="shared" si="2"/>
        <v>246</v>
      </c>
      <c r="X50" s="19">
        <f t="shared" si="3"/>
        <v>597</v>
      </c>
      <c r="Y50" s="18">
        <v>39.000000804662704</v>
      </c>
      <c r="Z50" s="20"/>
      <c r="AA50" s="15">
        <v>290</v>
      </c>
      <c r="AB50" s="17">
        <f t="shared" si="5"/>
        <v>685</v>
      </c>
      <c r="AC50" s="15">
        <v>1476</v>
      </c>
      <c r="AD50" s="4"/>
      <c r="AE50" s="4"/>
      <c r="AF50" s="4"/>
      <c r="AG50" s="4"/>
      <c r="AH50" s="4"/>
      <c r="AI50" s="4"/>
      <c r="AJ50" s="4"/>
      <c r="AK50" s="4"/>
      <c r="AL50" s="4"/>
    </row>
    <row r="51" spans="1:38" ht="14.4">
      <c r="A51" s="21">
        <v>20308</v>
      </c>
      <c r="B51" s="22" t="s">
        <v>66</v>
      </c>
      <c r="C51" s="15">
        <v>2790</v>
      </c>
      <c r="D51" s="15">
        <v>364</v>
      </c>
      <c r="E51" s="15">
        <v>2</v>
      </c>
      <c r="F51" s="15">
        <v>37</v>
      </c>
      <c r="G51" s="15">
        <v>8</v>
      </c>
      <c r="H51" s="15">
        <v>2379</v>
      </c>
      <c r="I51" s="15">
        <v>3569</v>
      </c>
      <c r="J51" s="15">
        <v>1944</v>
      </c>
      <c r="K51" s="15">
        <v>5</v>
      </c>
      <c r="L51" s="15">
        <v>125</v>
      </c>
      <c r="M51" s="15">
        <v>33</v>
      </c>
      <c r="N51" s="15">
        <v>1462</v>
      </c>
      <c r="O51" s="16">
        <f t="shared" ref="O51:T51" si="51">ROUND(C51 + ((2016-2012)*(I51-C51))/(2024-2012),0)</f>
        <v>3050</v>
      </c>
      <c r="P51" s="23">
        <f t="shared" si="51"/>
        <v>891</v>
      </c>
      <c r="Q51" s="23">
        <f t="shared" si="51"/>
        <v>3</v>
      </c>
      <c r="R51" s="23">
        <f t="shared" si="51"/>
        <v>66</v>
      </c>
      <c r="S51" s="23">
        <f t="shared" si="51"/>
        <v>16</v>
      </c>
      <c r="T51" s="23">
        <f t="shared" si="51"/>
        <v>2073</v>
      </c>
      <c r="U51" s="23">
        <v>418</v>
      </c>
      <c r="V51" s="18">
        <f t="shared" si="1"/>
        <v>473</v>
      </c>
      <c r="W51" s="18">
        <f t="shared" si="2"/>
        <v>473</v>
      </c>
      <c r="X51" s="19">
        <f t="shared" si="3"/>
        <v>3049</v>
      </c>
      <c r="Y51" s="18">
        <v>68.999998271465302</v>
      </c>
      <c r="Z51" s="20"/>
      <c r="AA51" s="15">
        <v>3263</v>
      </c>
      <c r="AB51" s="23">
        <f t="shared" si="5"/>
        <v>3776</v>
      </c>
      <c r="AC51" s="15">
        <v>4803</v>
      </c>
      <c r="AD51" s="4"/>
      <c r="AE51" s="4"/>
      <c r="AF51" s="4"/>
      <c r="AG51" s="4"/>
      <c r="AH51" s="4"/>
      <c r="AI51" s="4"/>
      <c r="AJ51" s="4"/>
      <c r="AK51" s="4"/>
      <c r="AL51" s="4"/>
    </row>
    <row r="52" spans="1:38" ht="14.4">
      <c r="A52" s="13">
        <v>20401</v>
      </c>
      <c r="B52" s="14" t="s">
        <v>67</v>
      </c>
      <c r="C52" s="15">
        <v>5011</v>
      </c>
      <c r="D52" s="15">
        <v>2707</v>
      </c>
      <c r="E52" s="15">
        <v>3</v>
      </c>
      <c r="F52" s="15">
        <v>13</v>
      </c>
      <c r="G52" s="15">
        <v>72</v>
      </c>
      <c r="H52" s="15">
        <v>2216</v>
      </c>
      <c r="I52" s="15">
        <v>6604</v>
      </c>
      <c r="J52" s="15">
        <v>4592</v>
      </c>
      <c r="K52" s="15">
        <v>8</v>
      </c>
      <c r="L52" s="15">
        <v>27</v>
      </c>
      <c r="M52" s="15">
        <v>38</v>
      </c>
      <c r="N52" s="15">
        <v>1939</v>
      </c>
      <c r="O52" s="16">
        <f t="shared" ref="O52:T52" si="52">ROUND(C52 + ((2016-2012)*(I52-C52))/(2024-2012),0)</f>
        <v>5542</v>
      </c>
      <c r="P52" s="17">
        <f t="shared" si="52"/>
        <v>3335</v>
      </c>
      <c r="Q52" s="17">
        <f t="shared" si="52"/>
        <v>5</v>
      </c>
      <c r="R52" s="17">
        <f t="shared" si="52"/>
        <v>18</v>
      </c>
      <c r="S52" s="17">
        <f t="shared" si="52"/>
        <v>61</v>
      </c>
      <c r="T52" s="17">
        <f t="shared" si="52"/>
        <v>2124</v>
      </c>
      <c r="U52" s="17">
        <v>5268</v>
      </c>
      <c r="V52" s="18">
        <f t="shared" si="1"/>
        <v>-1933</v>
      </c>
      <c r="W52" s="18">
        <f t="shared" si="2"/>
        <v>0</v>
      </c>
      <c r="X52" s="19">
        <f t="shared" si="3"/>
        <v>7476</v>
      </c>
      <c r="Y52" s="18">
        <v>18.999999389052391</v>
      </c>
      <c r="Z52" s="20"/>
      <c r="AA52" s="15">
        <v>5402</v>
      </c>
      <c r="AB52" s="17">
        <f t="shared" si="5"/>
        <v>6292</v>
      </c>
      <c r="AC52" s="15">
        <v>8072</v>
      </c>
      <c r="AD52" s="4"/>
      <c r="AE52" s="4"/>
      <c r="AF52" s="4"/>
      <c r="AG52" s="4"/>
      <c r="AH52" s="4"/>
      <c r="AI52" s="4"/>
      <c r="AJ52" s="4"/>
      <c r="AK52" s="4"/>
      <c r="AL52" s="4"/>
    </row>
    <row r="53" spans="1:38" ht="14.4">
      <c r="A53" s="21">
        <v>20402</v>
      </c>
      <c r="B53" s="22" t="s">
        <v>68</v>
      </c>
      <c r="C53" s="15">
        <v>6606</v>
      </c>
      <c r="D53" s="15">
        <v>3081</v>
      </c>
      <c r="E53" s="15">
        <v>27</v>
      </c>
      <c r="F53" s="15">
        <v>12</v>
      </c>
      <c r="G53" s="15">
        <v>63</v>
      </c>
      <c r="H53" s="15">
        <v>3423</v>
      </c>
      <c r="I53" s="15">
        <v>8013</v>
      </c>
      <c r="J53" s="15">
        <v>5543</v>
      </c>
      <c r="K53" s="15">
        <v>18</v>
      </c>
      <c r="L53" s="15">
        <v>42</v>
      </c>
      <c r="M53" s="15">
        <v>45</v>
      </c>
      <c r="N53" s="15">
        <v>2365</v>
      </c>
      <c r="O53" s="16">
        <f t="shared" ref="O53:T53" si="53">ROUND(C53 + ((2016-2012)*(I53-C53))/(2024-2012),0)</f>
        <v>7075</v>
      </c>
      <c r="P53" s="23">
        <f t="shared" si="53"/>
        <v>3902</v>
      </c>
      <c r="Q53" s="23">
        <f t="shared" si="53"/>
        <v>24</v>
      </c>
      <c r="R53" s="23">
        <f t="shared" si="53"/>
        <v>22</v>
      </c>
      <c r="S53" s="23">
        <f t="shared" si="53"/>
        <v>57</v>
      </c>
      <c r="T53" s="23">
        <f t="shared" si="53"/>
        <v>3070</v>
      </c>
      <c r="U53" s="23">
        <v>3351</v>
      </c>
      <c r="V53" s="18">
        <f t="shared" si="1"/>
        <v>551</v>
      </c>
      <c r="W53" s="18">
        <f t="shared" si="2"/>
        <v>551</v>
      </c>
      <c r="X53" s="19">
        <f t="shared" si="3"/>
        <v>7075</v>
      </c>
      <c r="Y53" s="18">
        <v>83.999998867511749</v>
      </c>
      <c r="Z53" s="20"/>
      <c r="AA53" s="15">
        <v>7467</v>
      </c>
      <c r="AB53" s="23">
        <f t="shared" si="5"/>
        <v>8096</v>
      </c>
      <c r="AC53" s="15">
        <v>9353</v>
      </c>
      <c r="AD53" s="4"/>
      <c r="AE53" s="4"/>
      <c r="AF53" s="4"/>
      <c r="AG53" s="4"/>
      <c r="AH53" s="4"/>
      <c r="AI53" s="4"/>
      <c r="AJ53" s="4"/>
      <c r="AK53" s="4"/>
      <c r="AL53" s="4"/>
    </row>
    <row r="54" spans="1:38" ht="14.4">
      <c r="A54" s="13">
        <v>20403</v>
      </c>
      <c r="B54" s="14" t="s">
        <v>69</v>
      </c>
      <c r="C54" s="15">
        <v>5347</v>
      </c>
      <c r="D54" s="15">
        <v>2774</v>
      </c>
      <c r="E54" s="15">
        <v>10</v>
      </c>
      <c r="F54" s="15">
        <v>27</v>
      </c>
      <c r="G54" s="15">
        <v>74</v>
      </c>
      <c r="H54" s="15">
        <v>2462</v>
      </c>
      <c r="I54" s="15">
        <v>7065</v>
      </c>
      <c r="J54" s="15">
        <v>5324</v>
      </c>
      <c r="K54" s="15">
        <v>19</v>
      </c>
      <c r="L54" s="15">
        <v>48</v>
      </c>
      <c r="M54" s="15">
        <v>42</v>
      </c>
      <c r="N54" s="15">
        <v>1632</v>
      </c>
      <c r="O54" s="16">
        <f t="shared" ref="O54:T54" si="54">ROUND(C54 + ((2016-2012)*(I54-C54))/(2024-2012),0)</f>
        <v>5920</v>
      </c>
      <c r="P54" s="17">
        <f t="shared" si="54"/>
        <v>3624</v>
      </c>
      <c r="Q54" s="17">
        <f t="shared" si="54"/>
        <v>13</v>
      </c>
      <c r="R54" s="17">
        <f t="shared" si="54"/>
        <v>34</v>
      </c>
      <c r="S54" s="17">
        <f t="shared" si="54"/>
        <v>63</v>
      </c>
      <c r="T54" s="17">
        <f t="shared" si="54"/>
        <v>2185</v>
      </c>
      <c r="U54" s="17">
        <v>3526</v>
      </c>
      <c r="V54" s="18">
        <f t="shared" si="1"/>
        <v>98</v>
      </c>
      <c r="W54" s="18">
        <f t="shared" si="2"/>
        <v>98</v>
      </c>
      <c r="X54" s="19">
        <f t="shared" si="3"/>
        <v>5919</v>
      </c>
      <c r="Y54" s="18">
        <v>96.000000834465027</v>
      </c>
      <c r="Z54" s="20"/>
      <c r="AA54" s="15">
        <v>5667</v>
      </c>
      <c r="AB54" s="17">
        <f t="shared" si="5"/>
        <v>6510</v>
      </c>
      <c r="AC54" s="15">
        <v>8196</v>
      </c>
      <c r="AD54" s="4"/>
      <c r="AE54" s="4"/>
      <c r="AF54" s="4"/>
      <c r="AG54" s="4"/>
      <c r="AH54" s="4"/>
      <c r="AI54" s="4"/>
      <c r="AJ54" s="4"/>
      <c r="AK54" s="4"/>
      <c r="AL54" s="4"/>
    </row>
    <row r="55" spans="1:38" ht="14.4">
      <c r="A55" s="21">
        <v>20404</v>
      </c>
      <c r="B55" s="22" t="s">
        <v>70</v>
      </c>
      <c r="C55" s="15">
        <v>2108</v>
      </c>
      <c r="D55" s="15">
        <v>1204</v>
      </c>
      <c r="E55" s="15">
        <v>1</v>
      </c>
      <c r="F55" s="15">
        <v>20</v>
      </c>
      <c r="G55" s="15">
        <v>56</v>
      </c>
      <c r="H55" s="15">
        <v>827</v>
      </c>
      <c r="I55" s="15">
        <v>2527</v>
      </c>
      <c r="J55" s="15">
        <v>1783</v>
      </c>
      <c r="K55" s="15">
        <v>7</v>
      </c>
      <c r="L55" s="15">
        <v>14</v>
      </c>
      <c r="M55" s="15">
        <v>16</v>
      </c>
      <c r="N55" s="15">
        <v>707</v>
      </c>
      <c r="O55" s="16">
        <f t="shared" ref="O55:T55" si="55">ROUND(C55 + ((2016-2012)*(I55-C55))/(2024-2012),0)</f>
        <v>2248</v>
      </c>
      <c r="P55" s="23">
        <f t="shared" si="55"/>
        <v>1397</v>
      </c>
      <c r="Q55" s="23">
        <f t="shared" si="55"/>
        <v>3</v>
      </c>
      <c r="R55" s="23">
        <f t="shared" si="55"/>
        <v>18</v>
      </c>
      <c r="S55" s="23">
        <f t="shared" si="55"/>
        <v>43</v>
      </c>
      <c r="T55" s="23">
        <f t="shared" si="55"/>
        <v>787</v>
      </c>
      <c r="U55" s="23">
        <v>1142</v>
      </c>
      <c r="V55" s="18">
        <f t="shared" si="1"/>
        <v>255</v>
      </c>
      <c r="W55" s="18">
        <f t="shared" si="2"/>
        <v>255</v>
      </c>
      <c r="X55" s="19">
        <f t="shared" si="3"/>
        <v>2248</v>
      </c>
      <c r="Y55" s="18">
        <v>82.999996840953827</v>
      </c>
      <c r="Z55" s="20"/>
      <c r="AA55" s="15">
        <v>2293</v>
      </c>
      <c r="AB55" s="23">
        <f t="shared" si="5"/>
        <v>2498</v>
      </c>
      <c r="AC55" s="15">
        <v>2907</v>
      </c>
      <c r="AD55" s="4"/>
      <c r="AE55" s="4"/>
      <c r="AF55" s="4"/>
      <c r="AG55" s="4"/>
      <c r="AH55" s="4"/>
      <c r="AI55" s="4"/>
      <c r="AJ55" s="4"/>
      <c r="AK55" s="4"/>
      <c r="AL55" s="4"/>
    </row>
    <row r="56" spans="1:38" ht="14.4">
      <c r="A56" s="13">
        <v>20405</v>
      </c>
      <c r="B56" s="14" t="s">
        <v>71</v>
      </c>
      <c r="C56" s="15">
        <v>3027</v>
      </c>
      <c r="D56" s="15">
        <v>1856</v>
      </c>
      <c r="E56" s="15">
        <v>12</v>
      </c>
      <c r="F56" s="15">
        <v>7</v>
      </c>
      <c r="G56" s="15">
        <v>72</v>
      </c>
      <c r="H56" s="15">
        <v>1080</v>
      </c>
      <c r="I56" s="15">
        <v>4116</v>
      </c>
      <c r="J56" s="15">
        <v>2870</v>
      </c>
      <c r="K56" s="15">
        <v>6</v>
      </c>
      <c r="L56" s="15">
        <v>27</v>
      </c>
      <c r="M56" s="15">
        <v>17</v>
      </c>
      <c r="N56" s="15">
        <v>1196</v>
      </c>
      <c r="O56" s="16">
        <f t="shared" ref="O56:T56" si="56">ROUND(C56 + ((2016-2012)*(I56-C56))/(2024-2012),0)</f>
        <v>3390</v>
      </c>
      <c r="P56" s="17">
        <f t="shared" si="56"/>
        <v>2194</v>
      </c>
      <c r="Q56" s="17">
        <f t="shared" si="56"/>
        <v>10</v>
      </c>
      <c r="R56" s="17">
        <f t="shared" si="56"/>
        <v>14</v>
      </c>
      <c r="S56" s="17">
        <f t="shared" si="56"/>
        <v>54</v>
      </c>
      <c r="T56" s="17">
        <f t="shared" si="56"/>
        <v>1119</v>
      </c>
      <c r="U56" s="17">
        <v>1905</v>
      </c>
      <c r="V56" s="18">
        <f t="shared" si="1"/>
        <v>289</v>
      </c>
      <c r="W56" s="18">
        <f t="shared" si="2"/>
        <v>289</v>
      </c>
      <c r="X56" s="19">
        <f t="shared" si="3"/>
        <v>3391</v>
      </c>
      <c r="Y56" s="18">
        <v>76.999999582767487</v>
      </c>
      <c r="Z56" s="20"/>
      <c r="AA56" s="15">
        <v>3279</v>
      </c>
      <c r="AB56" s="17">
        <f t="shared" si="5"/>
        <v>3747</v>
      </c>
      <c r="AC56" s="15">
        <v>4682</v>
      </c>
      <c r="AD56" s="4"/>
      <c r="AE56" s="4"/>
      <c r="AF56" s="4"/>
      <c r="AG56" s="4"/>
      <c r="AH56" s="4"/>
      <c r="AI56" s="4"/>
      <c r="AJ56" s="4"/>
      <c r="AK56" s="4"/>
      <c r="AL56" s="4"/>
    </row>
    <row r="57" spans="1:38" ht="14.4">
      <c r="A57" s="21">
        <v>20501</v>
      </c>
      <c r="B57" s="22" t="s">
        <v>72</v>
      </c>
      <c r="C57" s="15">
        <v>3938</v>
      </c>
      <c r="D57" s="15">
        <v>2437</v>
      </c>
      <c r="E57" s="15">
        <v>6</v>
      </c>
      <c r="F57" s="15">
        <v>3</v>
      </c>
      <c r="G57" s="15">
        <v>14</v>
      </c>
      <c r="H57" s="15">
        <v>1478</v>
      </c>
      <c r="I57" s="15">
        <v>6388</v>
      </c>
      <c r="J57" s="15">
        <v>4840</v>
      </c>
      <c r="K57" s="15">
        <v>19</v>
      </c>
      <c r="L57" s="15">
        <v>48</v>
      </c>
      <c r="M57" s="15">
        <v>19</v>
      </c>
      <c r="N57" s="15">
        <v>1462</v>
      </c>
      <c r="O57" s="16">
        <f t="shared" ref="O57:T57" si="57">ROUND(C57 + ((2016-2012)*(I57-C57))/(2024-2012),0)</f>
        <v>4755</v>
      </c>
      <c r="P57" s="23">
        <f t="shared" si="57"/>
        <v>3238</v>
      </c>
      <c r="Q57" s="23">
        <f t="shared" si="57"/>
        <v>10</v>
      </c>
      <c r="R57" s="23">
        <f t="shared" si="57"/>
        <v>18</v>
      </c>
      <c r="S57" s="23">
        <f t="shared" si="57"/>
        <v>16</v>
      </c>
      <c r="T57" s="23">
        <f t="shared" si="57"/>
        <v>1473</v>
      </c>
      <c r="U57" s="23">
        <v>2309</v>
      </c>
      <c r="V57" s="18">
        <f t="shared" si="1"/>
        <v>929</v>
      </c>
      <c r="W57" s="18">
        <f t="shared" si="2"/>
        <v>929</v>
      </c>
      <c r="X57" s="19">
        <f t="shared" si="3"/>
        <v>4755</v>
      </c>
      <c r="Y57" s="18">
        <v>109.99999940395355</v>
      </c>
      <c r="Z57" s="20"/>
      <c r="AA57" s="15">
        <v>4283</v>
      </c>
      <c r="AB57" s="23">
        <f t="shared" si="5"/>
        <v>5308</v>
      </c>
      <c r="AC57" s="15">
        <v>7359</v>
      </c>
      <c r="AD57" s="4"/>
      <c r="AE57" s="4"/>
      <c r="AF57" s="4"/>
      <c r="AG57" s="4"/>
      <c r="AH57" s="4"/>
      <c r="AI57" s="4"/>
      <c r="AJ57" s="4"/>
      <c r="AK57" s="4"/>
      <c r="AL57" s="4"/>
    </row>
    <row r="58" spans="1:38" ht="14.4">
      <c r="A58" s="13">
        <v>20502</v>
      </c>
      <c r="B58" s="14" t="s">
        <v>73</v>
      </c>
      <c r="C58" s="15">
        <v>2747</v>
      </c>
      <c r="D58" s="15">
        <v>1397</v>
      </c>
      <c r="E58" s="15">
        <v>113</v>
      </c>
      <c r="F58" s="15">
        <v>24</v>
      </c>
      <c r="G58" s="15">
        <v>28</v>
      </c>
      <c r="H58" s="15">
        <v>1185</v>
      </c>
      <c r="I58" s="15">
        <v>3494</v>
      </c>
      <c r="J58" s="15">
        <v>2635</v>
      </c>
      <c r="K58" s="15">
        <v>45</v>
      </c>
      <c r="L58" s="15">
        <v>41</v>
      </c>
      <c r="M58" s="15">
        <v>51</v>
      </c>
      <c r="N58" s="15">
        <v>722</v>
      </c>
      <c r="O58" s="16">
        <f t="shared" ref="O58:T58" si="58">ROUND(C58 + ((2016-2012)*(I58-C58))/(2024-2012),0)</f>
        <v>2996</v>
      </c>
      <c r="P58" s="17">
        <f t="shared" si="58"/>
        <v>1810</v>
      </c>
      <c r="Q58" s="17">
        <f t="shared" si="58"/>
        <v>90</v>
      </c>
      <c r="R58" s="17">
        <f t="shared" si="58"/>
        <v>30</v>
      </c>
      <c r="S58" s="17">
        <f t="shared" si="58"/>
        <v>36</v>
      </c>
      <c r="T58" s="17">
        <f t="shared" si="58"/>
        <v>1031</v>
      </c>
      <c r="U58" s="17">
        <v>1503</v>
      </c>
      <c r="V58" s="18">
        <f t="shared" si="1"/>
        <v>307</v>
      </c>
      <c r="W58" s="18">
        <f t="shared" si="2"/>
        <v>307</v>
      </c>
      <c r="X58" s="19">
        <f t="shared" si="3"/>
        <v>2997</v>
      </c>
      <c r="Y58" s="18">
        <v>98.999999463558197</v>
      </c>
      <c r="Z58" s="20"/>
      <c r="AA58" s="15">
        <v>2824</v>
      </c>
      <c r="AB58" s="17">
        <f t="shared" si="5"/>
        <v>3408</v>
      </c>
      <c r="AC58" s="15">
        <v>4577</v>
      </c>
      <c r="AD58" s="4"/>
      <c r="AE58" s="4"/>
      <c r="AF58" s="4"/>
      <c r="AG58" s="4"/>
      <c r="AH58" s="4"/>
      <c r="AI58" s="4"/>
      <c r="AJ58" s="4"/>
      <c r="AK58" s="4"/>
      <c r="AL58" s="4"/>
    </row>
    <row r="59" spans="1:38" ht="14.4">
      <c r="A59" s="21">
        <v>20503</v>
      </c>
      <c r="B59" s="22" t="s">
        <v>74</v>
      </c>
      <c r="C59" s="15">
        <v>1938</v>
      </c>
      <c r="D59" s="15">
        <v>1236</v>
      </c>
      <c r="E59" s="15">
        <v>27</v>
      </c>
      <c r="F59" s="15">
        <v>9</v>
      </c>
      <c r="G59" s="15">
        <v>71</v>
      </c>
      <c r="H59" s="15">
        <v>595</v>
      </c>
      <c r="I59" s="15">
        <v>2500</v>
      </c>
      <c r="J59" s="15">
        <v>1844</v>
      </c>
      <c r="K59" s="15">
        <v>61</v>
      </c>
      <c r="L59" s="15">
        <v>88</v>
      </c>
      <c r="M59" s="15">
        <v>20</v>
      </c>
      <c r="N59" s="15">
        <v>487</v>
      </c>
      <c r="O59" s="16">
        <f t="shared" ref="O59:T59" si="59">ROUND(C59 + ((2016-2012)*(I59-C59))/(2024-2012),0)</f>
        <v>2125</v>
      </c>
      <c r="P59" s="23">
        <f t="shared" si="59"/>
        <v>1439</v>
      </c>
      <c r="Q59" s="23">
        <f t="shared" si="59"/>
        <v>38</v>
      </c>
      <c r="R59" s="23">
        <f t="shared" si="59"/>
        <v>35</v>
      </c>
      <c r="S59" s="23">
        <f t="shared" si="59"/>
        <v>54</v>
      </c>
      <c r="T59" s="23">
        <f t="shared" si="59"/>
        <v>559</v>
      </c>
      <c r="U59" s="23">
        <v>840</v>
      </c>
      <c r="V59" s="18">
        <f t="shared" si="1"/>
        <v>599</v>
      </c>
      <c r="W59" s="18">
        <f t="shared" si="2"/>
        <v>599</v>
      </c>
      <c r="X59" s="19">
        <f t="shared" si="3"/>
        <v>2125</v>
      </c>
      <c r="Y59" s="18">
        <v>137.9999965429306</v>
      </c>
      <c r="Z59" s="20"/>
      <c r="AA59" s="15">
        <v>2285</v>
      </c>
      <c r="AB59" s="23">
        <f t="shared" si="5"/>
        <v>2565</v>
      </c>
      <c r="AC59" s="15">
        <v>3126</v>
      </c>
      <c r="AD59" s="4"/>
      <c r="AE59" s="4"/>
      <c r="AF59" s="4"/>
      <c r="AG59" s="4"/>
      <c r="AH59" s="4"/>
      <c r="AI59" s="4"/>
      <c r="AJ59" s="4"/>
      <c r="AK59" s="4"/>
      <c r="AL59" s="4"/>
    </row>
    <row r="60" spans="1:38" ht="14.4">
      <c r="A60" s="13">
        <v>20601</v>
      </c>
      <c r="B60" s="14" t="s">
        <v>75</v>
      </c>
      <c r="C60" s="15">
        <v>8775</v>
      </c>
      <c r="D60" s="15">
        <v>5375</v>
      </c>
      <c r="E60" s="15">
        <v>86</v>
      </c>
      <c r="F60" s="15">
        <v>25</v>
      </c>
      <c r="G60" s="15">
        <v>302</v>
      </c>
      <c r="H60" s="15">
        <v>2987</v>
      </c>
      <c r="I60" s="15">
        <v>11459</v>
      </c>
      <c r="J60" s="15">
        <v>9113</v>
      </c>
      <c r="K60" s="15">
        <v>205</v>
      </c>
      <c r="L60" s="15">
        <v>106</v>
      </c>
      <c r="M60" s="15">
        <v>31</v>
      </c>
      <c r="N60" s="15">
        <v>2004</v>
      </c>
      <c r="O60" s="16">
        <f t="shared" ref="O60:T60" si="60">ROUND(C60 + ((2016-2012)*(I60-C60))/(2024-2012),0)</f>
        <v>9670</v>
      </c>
      <c r="P60" s="17">
        <f t="shared" si="60"/>
        <v>6621</v>
      </c>
      <c r="Q60" s="17">
        <f t="shared" si="60"/>
        <v>126</v>
      </c>
      <c r="R60" s="17">
        <f t="shared" si="60"/>
        <v>52</v>
      </c>
      <c r="S60" s="17">
        <f t="shared" si="60"/>
        <v>212</v>
      </c>
      <c r="T60" s="17">
        <f t="shared" si="60"/>
        <v>2659</v>
      </c>
      <c r="U60" s="17">
        <v>5433</v>
      </c>
      <c r="V60" s="18">
        <f t="shared" si="1"/>
        <v>1188</v>
      </c>
      <c r="W60" s="18">
        <f t="shared" si="2"/>
        <v>1188</v>
      </c>
      <c r="X60" s="19">
        <f t="shared" si="3"/>
        <v>9670</v>
      </c>
      <c r="Y60" s="18">
        <v>144.99999582767487</v>
      </c>
      <c r="Z60" s="20"/>
      <c r="AA60" s="15">
        <v>9605</v>
      </c>
      <c r="AB60" s="17">
        <f t="shared" si="5"/>
        <v>10801</v>
      </c>
      <c r="AC60" s="15">
        <v>13193</v>
      </c>
      <c r="AD60" s="4"/>
      <c r="AE60" s="4"/>
      <c r="AF60" s="4"/>
      <c r="AG60" s="4"/>
      <c r="AH60" s="4"/>
      <c r="AI60" s="4"/>
      <c r="AJ60" s="4"/>
      <c r="AK60" s="4"/>
      <c r="AL60" s="4"/>
    </row>
    <row r="61" spans="1:38" ht="14.4">
      <c r="A61" s="21">
        <v>20602</v>
      </c>
      <c r="B61" s="22" t="s">
        <v>76</v>
      </c>
      <c r="C61" s="15">
        <v>4681</v>
      </c>
      <c r="D61" s="15">
        <v>2699</v>
      </c>
      <c r="E61" s="15">
        <v>276</v>
      </c>
      <c r="F61" s="15">
        <v>35</v>
      </c>
      <c r="G61" s="15">
        <v>110</v>
      </c>
      <c r="H61" s="15">
        <v>1561</v>
      </c>
      <c r="I61" s="15">
        <v>6269</v>
      </c>
      <c r="J61" s="15">
        <v>4260</v>
      </c>
      <c r="K61" s="15">
        <v>387</v>
      </c>
      <c r="L61" s="15">
        <v>263</v>
      </c>
      <c r="M61" s="15">
        <v>94</v>
      </c>
      <c r="N61" s="15">
        <v>1265</v>
      </c>
      <c r="O61" s="16">
        <f t="shared" ref="O61:T61" si="61">ROUND(C61 + ((2016-2012)*(I61-C61))/(2024-2012),0)</f>
        <v>5210</v>
      </c>
      <c r="P61" s="23">
        <f t="shared" si="61"/>
        <v>3219</v>
      </c>
      <c r="Q61" s="23">
        <f t="shared" si="61"/>
        <v>313</v>
      </c>
      <c r="R61" s="23">
        <f t="shared" si="61"/>
        <v>111</v>
      </c>
      <c r="S61" s="23">
        <f t="shared" si="61"/>
        <v>105</v>
      </c>
      <c r="T61" s="23">
        <f t="shared" si="61"/>
        <v>1462</v>
      </c>
      <c r="U61" s="23">
        <v>2504</v>
      </c>
      <c r="V61" s="18">
        <f t="shared" si="1"/>
        <v>715</v>
      </c>
      <c r="W61" s="18">
        <f t="shared" si="2"/>
        <v>715</v>
      </c>
      <c r="X61" s="19">
        <f t="shared" si="3"/>
        <v>5210</v>
      </c>
      <c r="Y61" s="18">
        <v>661.49997711181641</v>
      </c>
      <c r="Z61" s="20"/>
      <c r="AA61" s="15">
        <v>4987</v>
      </c>
      <c r="AB61" s="23">
        <f t="shared" si="5"/>
        <v>5712</v>
      </c>
      <c r="AC61" s="15">
        <v>7161</v>
      </c>
      <c r="AD61" s="4"/>
      <c r="AE61" s="4"/>
      <c r="AF61" s="4"/>
      <c r="AG61" s="4"/>
      <c r="AH61" s="4"/>
      <c r="AI61" s="4"/>
      <c r="AJ61" s="4"/>
      <c r="AK61" s="4"/>
      <c r="AL61" s="4"/>
    </row>
    <row r="62" spans="1:38" ht="14.4">
      <c r="A62" s="13">
        <v>20603</v>
      </c>
      <c r="B62" s="14" t="s">
        <v>77</v>
      </c>
      <c r="C62" s="15">
        <v>2980</v>
      </c>
      <c r="D62" s="15">
        <v>1611</v>
      </c>
      <c r="E62" s="15">
        <v>181</v>
      </c>
      <c r="F62" s="15">
        <v>14</v>
      </c>
      <c r="G62" s="15">
        <v>63</v>
      </c>
      <c r="H62" s="15">
        <v>1111</v>
      </c>
      <c r="I62" s="15">
        <v>4152</v>
      </c>
      <c r="J62" s="15">
        <v>2892</v>
      </c>
      <c r="K62" s="15">
        <v>193</v>
      </c>
      <c r="L62" s="15">
        <v>89</v>
      </c>
      <c r="M62" s="15">
        <v>49</v>
      </c>
      <c r="N62" s="15">
        <v>929</v>
      </c>
      <c r="O62" s="16">
        <f t="shared" ref="O62:T62" si="62">ROUND(C62 + ((2016-2012)*(I62-C62))/(2024-2012),0)</f>
        <v>3371</v>
      </c>
      <c r="P62" s="17">
        <f t="shared" si="62"/>
        <v>2038</v>
      </c>
      <c r="Q62" s="17">
        <f t="shared" si="62"/>
        <v>185</v>
      </c>
      <c r="R62" s="17">
        <f t="shared" si="62"/>
        <v>39</v>
      </c>
      <c r="S62" s="17">
        <f t="shared" si="62"/>
        <v>58</v>
      </c>
      <c r="T62" s="17">
        <f t="shared" si="62"/>
        <v>1050</v>
      </c>
      <c r="U62" s="17">
        <v>1445</v>
      </c>
      <c r="V62" s="18">
        <f t="shared" si="1"/>
        <v>593</v>
      </c>
      <c r="W62" s="18">
        <f t="shared" si="2"/>
        <v>593</v>
      </c>
      <c r="X62" s="19">
        <f t="shared" si="3"/>
        <v>3370</v>
      </c>
      <c r="Y62" s="18">
        <v>263.99999856948853</v>
      </c>
      <c r="Z62" s="20"/>
      <c r="AA62" s="15">
        <v>3091</v>
      </c>
      <c r="AB62" s="17">
        <f t="shared" si="5"/>
        <v>3575</v>
      </c>
      <c r="AC62" s="15">
        <v>4544</v>
      </c>
      <c r="AD62" s="4"/>
      <c r="AE62" s="4"/>
      <c r="AF62" s="4"/>
      <c r="AG62" s="4"/>
      <c r="AH62" s="4"/>
      <c r="AI62" s="4"/>
      <c r="AJ62" s="4"/>
      <c r="AK62" s="4"/>
      <c r="AL62" s="4"/>
    </row>
    <row r="63" spans="1:38" ht="14.4">
      <c r="A63" s="21">
        <v>20604</v>
      </c>
      <c r="B63" s="22" t="s">
        <v>78</v>
      </c>
      <c r="C63" s="15">
        <v>1027</v>
      </c>
      <c r="D63" s="15">
        <v>677</v>
      </c>
      <c r="E63" s="15">
        <v>1</v>
      </c>
      <c r="F63" s="15">
        <v>3</v>
      </c>
      <c r="G63" s="15">
        <v>5</v>
      </c>
      <c r="H63" s="15">
        <v>341</v>
      </c>
      <c r="I63" s="15">
        <v>1391</v>
      </c>
      <c r="J63" s="15">
        <v>1066</v>
      </c>
      <c r="K63" s="15">
        <v>1</v>
      </c>
      <c r="L63" s="15">
        <v>10</v>
      </c>
      <c r="M63" s="15">
        <v>8</v>
      </c>
      <c r="N63" s="15">
        <v>306</v>
      </c>
      <c r="O63" s="16">
        <f t="shared" ref="O63:T63" si="63">ROUND(C63 + ((2016-2012)*(I63-C63))/(2024-2012),0)</f>
        <v>1148</v>
      </c>
      <c r="P63" s="23">
        <f t="shared" si="63"/>
        <v>807</v>
      </c>
      <c r="Q63" s="23">
        <f t="shared" si="63"/>
        <v>1</v>
      </c>
      <c r="R63" s="23">
        <f t="shared" si="63"/>
        <v>5</v>
      </c>
      <c r="S63" s="23">
        <f t="shared" si="63"/>
        <v>6</v>
      </c>
      <c r="T63" s="23">
        <f t="shared" si="63"/>
        <v>329</v>
      </c>
      <c r="U63" s="24">
        <v>790</v>
      </c>
      <c r="V63" s="18">
        <f t="shared" si="1"/>
        <v>17</v>
      </c>
      <c r="W63" s="18">
        <f t="shared" si="2"/>
        <v>17</v>
      </c>
      <c r="X63" s="19">
        <f t="shared" si="3"/>
        <v>1148</v>
      </c>
      <c r="Y63" s="18">
        <v>135.50000637769699</v>
      </c>
      <c r="Z63" s="20"/>
      <c r="AA63" s="15">
        <v>1154</v>
      </c>
      <c r="AB63" s="23">
        <f t="shared" si="5"/>
        <v>1268</v>
      </c>
      <c r="AC63" s="15">
        <v>1495</v>
      </c>
      <c r="AD63" s="4"/>
      <c r="AE63" s="4"/>
      <c r="AF63" s="4"/>
      <c r="AG63" s="4"/>
      <c r="AH63" s="4"/>
      <c r="AI63" s="4"/>
      <c r="AJ63" s="4"/>
      <c r="AK63" s="4"/>
      <c r="AL63" s="4"/>
    </row>
    <row r="64" spans="1:38" ht="14.4">
      <c r="A64" s="13">
        <v>20605</v>
      </c>
      <c r="B64" s="14" t="s">
        <v>79</v>
      </c>
      <c r="C64" s="15">
        <v>994</v>
      </c>
      <c r="D64" s="15">
        <v>681</v>
      </c>
      <c r="E64" s="15">
        <v>1</v>
      </c>
      <c r="F64" s="15">
        <v>1</v>
      </c>
      <c r="G64" s="15">
        <v>10</v>
      </c>
      <c r="H64" s="15">
        <v>301</v>
      </c>
      <c r="I64" s="15">
        <v>1425</v>
      </c>
      <c r="J64" s="15">
        <v>1082</v>
      </c>
      <c r="K64" s="15">
        <v>2</v>
      </c>
      <c r="L64" s="15">
        <v>11</v>
      </c>
      <c r="M64" s="15">
        <v>6</v>
      </c>
      <c r="N64" s="15">
        <v>324</v>
      </c>
      <c r="O64" s="16">
        <f t="shared" ref="O64:T64" si="64">ROUND(C64 + ((2016-2012)*(I64-C64))/(2024-2012),0)</f>
        <v>1138</v>
      </c>
      <c r="P64" s="17">
        <f t="shared" si="64"/>
        <v>815</v>
      </c>
      <c r="Q64" s="17">
        <f t="shared" si="64"/>
        <v>1</v>
      </c>
      <c r="R64" s="17">
        <f t="shared" si="64"/>
        <v>4</v>
      </c>
      <c r="S64" s="17">
        <f t="shared" si="64"/>
        <v>9</v>
      </c>
      <c r="T64" s="17">
        <f t="shared" si="64"/>
        <v>309</v>
      </c>
      <c r="U64" s="25">
        <v>640</v>
      </c>
      <c r="V64" s="18">
        <f t="shared" si="1"/>
        <v>175</v>
      </c>
      <c r="W64" s="18">
        <f t="shared" si="2"/>
        <v>175</v>
      </c>
      <c r="X64" s="19">
        <f t="shared" si="3"/>
        <v>1138</v>
      </c>
      <c r="Y64" s="18">
        <v>71.000002324581146</v>
      </c>
      <c r="Z64" s="20"/>
      <c r="AA64" s="15">
        <v>1103</v>
      </c>
      <c r="AB64" s="17">
        <f t="shared" si="5"/>
        <v>1253</v>
      </c>
      <c r="AC64" s="15">
        <v>1552</v>
      </c>
      <c r="AD64" s="4"/>
      <c r="AE64" s="4"/>
      <c r="AF64" s="4"/>
      <c r="AG64" s="4"/>
      <c r="AH64" s="4"/>
      <c r="AI64" s="4"/>
      <c r="AJ64" s="4"/>
      <c r="AK64" s="4"/>
      <c r="AL64" s="4"/>
    </row>
    <row r="65" spans="1:38" ht="14.4">
      <c r="A65" s="21">
        <v>20606</v>
      </c>
      <c r="B65" s="22" t="s">
        <v>80</v>
      </c>
      <c r="C65" s="15">
        <v>3457</v>
      </c>
      <c r="D65" s="15">
        <v>2983</v>
      </c>
      <c r="E65" s="15">
        <v>27</v>
      </c>
      <c r="F65" s="15">
        <v>6</v>
      </c>
      <c r="G65" s="15">
        <v>55</v>
      </c>
      <c r="H65" s="15">
        <v>386</v>
      </c>
      <c r="I65" s="15">
        <v>3243</v>
      </c>
      <c r="J65" s="15">
        <v>2810</v>
      </c>
      <c r="K65" s="15">
        <v>76</v>
      </c>
      <c r="L65" s="15">
        <v>11</v>
      </c>
      <c r="M65" s="15">
        <v>98</v>
      </c>
      <c r="N65" s="15">
        <v>248</v>
      </c>
      <c r="O65" s="16">
        <f t="shared" ref="O65:T65" si="65">ROUND(C65 + ((2016-2012)*(I65-C65))/(2024-2012),0)</f>
        <v>3386</v>
      </c>
      <c r="P65" s="23">
        <f t="shared" si="65"/>
        <v>2925</v>
      </c>
      <c r="Q65" s="23">
        <f t="shared" si="65"/>
        <v>43</v>
      </c>
      <c r="R65" s="23">
        <f t="shared" si="65"/>
        <v>8</v>
      </c>
      <c r="S65" s="23">
        <f t="shared" si="65"/>
        <v>69</v>
      </c>
      <c r="T65" s="23">
        <f t="shared" si="65"/>
        <v>340</v>
      </c>
      <c r="U65" s="23">
        <v>1863</v>
      </c>
      <c r="V65" s="18">
        <f t="shared" si="1"/>
        <v>1062</v>
      </c>
      <c r="W65" s="18">
        <f t="shared" si="2"/>
        <v>1062</v>
      </c>
      <c r="X65" s="19">
        <f t="shared" si="3"/>
        <v>3385</v>
      </c>
      <c r="Y65" s="18">
        <v>540.00002145767212</v>
      </c>
      <c r="Z65" s="20"/>
      <c r="AA65" s="15">
        <v>4104</v>
      </c>
      <c r="AB65" s="23">
        <f t="shared" si="5"/>
        <v>4162</v>
      </c>
      <c r="AC65" s="15">
        <v>4277</v>
      </c>
      <c r="AD65" s="4"/>
      <c r="AE65" s="4"/>
      <c r="AF65" s="4"/>
      <c r="AG65" s="4"/>
      <c r="AH65" s="4"/>
      <c r="AI65" s="4"/>
      <c r="AJ65" s="4"/>
      <c r="AK65" s="4"/>
      <c r="AL65" s="4"/>
    </row>
    <row r="66" spans="1:38" ht="14.4">
      <c r="A66" s="13">
        <v>20607</v>
      </c>
      <c r="B66" s="14" t="s">
        <v>81</v>
      </c>
      <c r="C66" s="15">
        <v>4050</v>
      </c>
      <c r="D66" s="15">
        <v>3526</v>
      </c>
      <c r="E66" s="15">
        <v>62</v>
      </c>
      <c r="F66" s="15">
        <v>4</v>
      </c>
      <c r="G66" s="15">
        <v>51</v>
      </c>
      <c r="H66" s="15">
        <v>407</v>
      </c>
      <c r="I66" s="15">
        <v>6898</v>
      </c>
      <c r="J66" s="15">
        <v>6280</v>
      </c>
      <c r="K66" s="15">
        <v>139</v>
      </c>
      <c r="L66" s="15">
        <v>63</v>
      </c>
      <c r="M66" s="15">
        <v>70</v>
      </c>
      <c r="N66" s="15">
        <v>346</v>
      </c>
      <c r="O66" s="16">
        <f t="shared" ref="O66:T66" si="66">ROUND(C66 + ((2016-2012)*(I66-C66))/(2024-2012),0)</f>
        <v>4999</v>
      </c>
      <c r="P66" s="17">
        <f t="shared" si="66"/>
        <v>4444</v>
      </c>
      <c r="Q66" s="17">
        <f t="shared" si="66"/>
        <v>88</v>
      </c>
      <c r="R66" s="17">
        <f t="shared" si="66"/>
        <v>24</v>
      </c>
      <c r="S66" s="17">
        <f t="shared" si="66"/>
        <v>57</v>
      </c>
      <c r="T66" s="17">
        <f t="shared" si="66"/>
        <v>387</v>
      </c>
      <c r="U66" s="17">
        <v>1962</v>
      </c>
      <c r="V66" s="18">
        <f t="shared" si="1"/>
        <v>2482</v>
      </c>
      <c r="W66" s="18">
        <f t="shared" si="2"/>
        <v>2482</v>
      </c>
      <c r="X66" s="19">
        <f t="shared" si="3"/>
        <v>5000</v>
      </c>
      <c r="Y66" s="18">
        <v>539.49999809265137</v>
      </c>
      <c r="Z66" s="20"/>
      <c r="AA66" s="15">
        <v>4203</v>
      </c>
      <c r="AB66" s="17">
        <f t="shared" si="5"/>
        <v>5340</v>
      </c>
      <c r="AC66" s="15">
        <v>7615</v>
      </c>
      <c r="AD66" s="4"/>
      <c r="AE66" s="4"/>
      <c r="AF66" s="4"/>
      <c r="AG66" s="4"/>
      <c r="AH66" s="4"/>
      <c r="AI66" s="4"/>
      <c r="AJ66" s="4"/>
      <c r="AK66" s="4"/>
      <c r="AL66" s="4"/>
    </row>
    <row r="67" spans="1:38" ht="14.4">
      <c r="A67" s="21">
        <v>20608</v>
      </c>
      <c r="B67" s="22" t="s">
        <v>82</v>
      </c>
      <c r="C67" s="15">
        <v>3487</v>
      </c>
      <c r="D67" s="15">
        <v>1413</v>
      </c>
      <c r="E67" s="15">
        <v>64</v>
      </c>
      <c r="F67" s="15">
        <v>29</v>
      </c>
      <c r="G67" s="15">
        <v>41</v>
      </c>
      <c r="H67" s="15">
        <v>1940</v>
      </c>
      <c r="I67" s="15">
        <v>4602</v>
      </c>
      <c r="J67" s="15">
        <v>2777</v>
      </c>
      <c r="K67" s="15">
        <v>120</v>
      </c>
      <c r="L67" s="15">
        <v>118</v>
      </c>
      <c r="M67" s="15">
        <v>34</v>
      </c>
      <c r="N67" s="15">
        <v>1553</v>
      </c>
      <c r="O67" s="16">
        <f t="shared" ref="O67:T67" si="67">ROUND(C67 + ((2016-2012)*(I67-C67))/(2024-2012),0)</f>
        <v>3859</v>
      </c>
      <c r="P67" s="23">
        <f t="shared" si="67"/>
        <v>1868</v>
      </c>
      <c r="Q67" s="23">
        <f t="shared" si="67"/>
        <v>83</v>
      </c>
      <c r="R67" s="23">
        <f t="shared" si="67"/>
        <v>59</v>
      </c>
      <c r="S67" s="23">
        <f t="shared" si="67"/>
        <v>39</v>
      </c>
      <c r="T67" s="23">
        <f t="shared" si="67"/>
        <v>1811</v>
      </c>
      <c r="U67" s="23">
        <v>1610</v>
      </c>
      <c r="V67" s="18">
        <f t="shared" si="1"/>
        <v>258</v>
      </c>
      <c r="W67" s="18">
        <f t="shared" si="2"/>
        <v>258</v>
      </c>
      <c r="X67" s="19">
        <f t="shared" si="3"/>
        <v>3860</v>
      </c>
      <c r="Y67" s="18">
        <v>401.50000154972076</v>
      </c>
      <c r="Z67" s="20"/>
      <c r="AA67" s="15">
        <v>3782</v>
      </c>
      <c r="AB67" s="23">
        <f t="shared" si="5"/>
        <v>4212</v>
      </c>
      <c r="AC67" s="15">
        <v>5073</v>
      </c>
      <c r="AD67" s="4"/>
      <c r="AE67" s="4"/>
      <c r="AF67" s="4"/>
      <c r="AG67" s="4"/>
      <c r="AH67" s="4"/>
      <c r="AI67" s="4"/>
      <c r="AJ67" s="4"/>
      <c r="AK67" s="4"/>
      <c r="AL67" s="4"/>
    </row>
    <row r="68" spans="1:38" ht="14.4">
      <c r="A68" s="13">
        <v>20701</v>
      </c>
      <c r="B68" s="14" t="s">
        <v>83</v>
      </c>
      <c r="C68" s="15">
        <v>4625</v>
      </c>
      <c r="D68" s="15">
        <v>2828</v>
      </c>
      <c r="E68" s="15">
        <v>65</v>
      </c>
      <c r="F68" s="15">
        <v>111</v>
      </c>
      <c r="G68" s="15">
        <v>39</v>
      </c>
      <c r="H68" s="15">
        <v>1582</v>
      </c>
      <c r="I68" s="15">
        <v>6164</v>
      </c>
      <c r="J68" s="15">
        <v>4238</v>
      </c>
      <c r="K68" s="15">
        <v>143</v>
      </c>
      <c r="L68" s="15">
        <v>267</v>
      </c>
      <c r="M68" s="15">
        <v>81</v>
      </c>
      <c r="N68" s="15">
        <v>1435</v>
      </c>
      <c r="O68" s="16">
        <f t="shared" ref="O68:T68" si="68">ROUND(C68 + ((2016-2012)*(I68-C68))/(2024-2012),0)</f>
        <v>5138</v>
      </c>
      <c r="P68" s="17">
        <f t="shared" si="68"/>
        <v>3298</v>
      </c>
      <c r="Q68" s="17">
        <f t="shared" si="68"/>
        <v>91</v>
      </c>
      <c r="R68" s="17">
        <f t="shared" si="68"/>
        <v>163</v>
      </c>
      <c r="S68" s="17">
        <f t="shared" si="68"/>
        <v>53</v>
      </c>
      <c r="T68" s="17">
        <f t="shared" si="68"/>
        <v>1533</v>
      </c>
      <c r="U68" s="17">
        <v>2934</v>
      </c>
      <c r="V68" s="18">
        <f t="shared" si="1"/>
        <v>364</v>
      </c>
      <c r="W68" s="18">
        <f t="shared" si="2"/>
        <v>364</v>
      </c>
      <c r="X68" s="19">
        <f t="shared" si="3"/>
        <v>5138</v>
      </c>
      <c r="Y68" s="18">
        <v>202.99999415874481</v>
      </c>
      <c r="Z68" s="20"/>
      <c r="AA68" s="15">
        <v>5116</v>
      </c>
      <c r="AB68" s="17">
        <f t="shared" si="5"/>
        <v>6134</v>
      </c>
      <c r="AC68" s="15">
        <v>8169</v>
      </c>
      <c r="AD68" s="4"/>
      <c r="AE68" s="4"/>
      <c r="AF68" s="4"/>
      <c r="AG68" s="4"/>
      <c r="AH68" s="4"/>
      <c r="AI68" s="4"/>
      <c r="AJ68" s="4"/>
      <c r="AK68" s="4"/>
      <c r="AL68" s="4"/>
    </row>
    <row r="69" spans="1:38" ht="14.4">
      <c r="A69" s="21">
        <v>20702</v>
      </c>
      <c r="B69" s="22" t="s">
        <v>84</v>
      </c>
      <c r="C69" s="15">
        <v>2230</v>
      </c>
      <c r="D69" s="15">
        <v>801</v>
      </c>
      <c r="E69" s="15">
        <v>94</v>
      </c>
      <c r="F69" s="15">
        <v>166</v>
      </c>
      <c r="G69" s="15">
        <v>152</v>
      </c>
      <c r="H69" s="15">
        <v>1017</v>
      </c>
      <c r="I69" s="15">
        <v>3068</v>
      </c>
      <c r="J69" s="15">
        <v>2193</v>
      </c>
      <c r="K69" s="15">
        <v>79</v>
      </c>
      <c r="L69" s="15">
        <v>150</v>
      </c>
      <c r="M69" s="15">
        <v>57</v>
      </c>
      <c r="N69" s="15">
        <v>589</v>
      </c>
      <c r="O69" s="16">
        <f t="shared" ref="O69:T69" si="69">ROUND(C69 + ((2016-2012)*(I69-C69))/(2024-2012),0)</f>
        <v>2509</v>
      </c>
      <c r="P69" s="23">
        <f t="shared" si="69"/>
        <v>1265</v>
      </c>
      <c r="Q69" s="23">
        <f t="shared" si="69"/>
        <v>89</v>
      </c>
      <c r="R69" s="23">
        <f t="shared" si="69"/>
        <v>161</v>
      </c>
      <c r="S69" s="23">
        <f t="shared" si="69"/>
        <v>120</v>
      </c>
      <c r="T69" s="23">
        <f t="shared" si="69"/>
        <v>874</v>
      </c>
      <c r="U69" s="23">
        <v>966</v>
      </c>
      <c r="V69" s="18">
        <f t="shared" si="1"/>
        <v>299</v>
      </c>
      <c r="W69" s="18">
        <f t="shared" si="2"/>
        <v>299</v>
      </c>
      <c r="X69" s="19">
        <f t="shared" si="3"/>
        <v>2509</v>
      </c>
      <c r="Y69" s="18">
        <v>185.50000339746475</v>
      </c>
      <c r="Z69" s="20"/>
      <c r="AA69" s="15">
        <v>2872</v>
      </c>
      <c r="AB69" s="23">
        <f t="shared" si="5"/>
        <v>3313</v>
      </c>
      <c r="AC69" s="15">
        <v>4196</v>
      </c>
      <c r="AD69" s="4"/>
      <c r="AE69" s="4"/>
      <c r="AF69" s="4"/>
      <c r="AG69" s="4"/>
      <c r="AH69" s="4"/>
      <c r="AI69" s="4"/>
      <c r="AJ69" s="4"/>
      <c r="AK69" s="4"/>
      <c r="AL69" s="4"/>
    </row>
    <row r="70" spans="1:38" ht="14.4">
      <c r="A70" s="13">
        <v>20801</v>
      </c>
      <c r="B70" s="14" t="s">
        <v>85</v>
      </c>
      <c r="C70" s="15">
        <v>26248</v>
      </c>
      <c r="D70" s="15">
        <v>20077</v>
      </c>
      <c r="E70" s="15">
        <v>53</v>
      </c>
      <c r="F70" s="15">
        <v>26</v>
      </c>
      <c r="G70" s="15">
        <v>184</v>
      </c>
      <c r="H70" s="15">
        <v>5908</v>
      </c>
      <c r="I70" s="15">
        <v>41941</v>
      </c>
      <c r="J70" s="15">
        <v>36532</v>
      </c>
      <c r="K70" s="15">
        <v>138</v>
      </c>
      <c r="L70" s="15">
        <v>209</v>
      </c>
      <c r="M70" s="15">
        <v>305</v>
      </c>
      <c r="N70" s="15">
        <v>4757</v>
      </c>
      <c r="O70" s="16">
        <f t="shared" ref="O70:T70" si="70">ROUND(C70 + ((2016-2012)*(I70-C70))/(2024-2012),0)</f>
        <v>31479</v>
      </c>
      <c r="P70" s="17">
        <f t="shared" si="70"/>
        <v>25562</v>
      </c>
      <c r="Q70" s="17">
        <f t="shared" si="70"/>
        <v>81</v>
      </c>
      <c r="R70" s="17">
        <f t="shared" si="70"/>
        <v>87</v>
      </c>
      <c r="S70" s="17">
        <f t="shared" si="70"/>
        <v>224</v>
      </c>
      <c r="T70" s="17">
        <f t="shared" si="70"/>
        <v>5524</v>
      </c>
      <c r="U70" s="17">
        <v>28571</v>
      </c>
      <c r="V70" s="18">
        <f t="shared" si="1"/>
        <v>-3009</v>
      </c>
      <c r="W70" s="18">
        <f t="shared" si="2"/>
        <v>0</v>
      </c>
      <c r="X70" s="19">
        <f t="shared" si="3"/>
        <v>34487</v>
      </c>
      <c r="Y70" s="18">
        <v>307.00001120567322</v>
      </c>
      <c r="Z70" s="20"/>
      <c r="AA70" s="15">
        <v>29225</v>
      </c>
      <c r="AB70" s="17">
        <f t="shared" si="5"/>
        <v>37293</v>
      </c>
      <c r="AC70" s="15">
        <v>53430</v>
      </c>
      <c r="AD70" s="4"/>
      <c r="AE70" s="4"/>
      <c r="AF70" s="4"/>
      <c r="AG70" s="4"/>
      <c r="AH70" s="4"/>
      <c r="AI70" s="4"/>
      <c r="AJ70" s="4"/>
      <c r="AK70" s="4"/>
      <c r="AL70" s="4"/>
    </row>
    <row r="71" spans="1:38" ht="14.4">
      <c r="A71" s="21">
        <v>20802</v>
      </c>
      <c r="B71" s="22" t="s">
        <v>86</v>
      </c>
      <c r="C71" s="15">
        <v>2731</v>
      </c>
      <c r="D71" s="15">
        <v>2101</v>
      </c>
      <c r="E71" s="15">
        <v>4</v>
      </c>
      <c r="F71" s="15">
        <v>10</v>
      </c>
      <c r="G71" s="15">
        <v>9</v>
      </c>
      <c r="H71" s="15">
        <v>607</v>
      </c>
      <c r="I71" s="15">
        <v>3220</v>
      </c>
      <c r="J71" s="15">
        <v>2645</v>
      </c>
      <c r="K71" s="15">
        <v>8</v>
      </c>
      <c r="L71" s="15">
        <v>22</v>
      </c>
      <c r="M71" s="15">
        <v>24</v>
      </c>
      <c r="N71" s="15">
        <v>521</v>
      </c>
      <c r="O71" s="16">
        <f t="shared" ref="O71:T71" si="71">ROUND(C71 + ((2016-2012)*(I71-C71))/(2024-2012),0)</f>
        <v>2894</v>
      </c>
      <c r="P71" s="23">
        <f t="shared" si="71"/>
        <v>2282</v>
      </c>
      <c r="Q71" s="23">
        <f t="shared" si="71"/>
        <v>5</v>
      </c>
      <c r="R71" s="23">
        <f t="shared" si="71"/>
        <v>14</v>
      </c>
      <c r="S71" s="23">
        <f t="shared" si="71"/>
        <v>14</v>
      </c>
      <c r="T71" s="23">
        <f t="shared" si="71"/>
        <v>578</v>
      </c>
      <c r="U71" s="23">
        <v>2377</v>
      </c>
      <c r="V71" s="18">
        <f t="shared" si="1"/>
        <v>-95</v>
      </c>
      <c r="W71" s="18">
        <f t="shared" si="2"/>
        <v>0</v>
      </c>
      <c r="X71" s="19">
        <f t="shared" si="3"/>
        <v>2988</v>
      </c>
      <c r="Y71" s="18">
        <v>115.00000208616257</v>
      </c>
      <c r="Z71" s="20"/>
      <c r="AA71" s="15">
        <v>3216</v>
      </c>
      <c r="AB71" s="23">
        <f t="shared" si="5"/>
        <v>3601</v>
      </c>
      <c r="AC71" s="15">
        <v>4371</v>
      </c>
      <c r="AD71" s="4"/>
      <c r="AE71" s="4"/>
      <c r="AF71" s="4"/>
      <c r="AG71" s="4"/>
      <c r="AH71" s="4"/>
      <c r="AI71" s="4"/>
      <c r="AJ71" s="4"/>
      <c r="AK71" s="4"/>
      <c r="AL71" s="4"/>
    </row>
    <row r="72" spans="1:38" ht="14.4">
      <c r="A72" s="13">
        <v>20803</v>
      </c>
      <c r="B72" s="14" t="s">
        <v>87</v>
      </c>
      <c r="C72" s="15">
        <v>3594</v>
      </c>
      <c r="D72" s="15">
        <v>2652</v>
      </c>
      <c r="E72" s="15">
        <v>5</v>
      </c>
      <c r="F72" s="15">
        <v>7</v>
      </c>
      <c r="G72" s="15">
        <v>17</v>
      </c>
      <c r="H72" s="15">
        <v>913</v>
      </c>
      <c r="I72" s="15">
        <v>4653</v>
      </c>
      <c r="J72" s="15">
        <v>3576</v>
      </c>
      <c r="K72" s="15">
        <v>13</v>
      </c>
      <c r="L72" s="15">
        <v>41</v>
      </c>
      <c r="M72" s="15">
        <v>30</v>
      </c>
      <c r="N72" s="15">
        <v>993</v>
      </c>
      <c r="O72" s="16">
        <f t="shared" ref="O72:T72" si="72">ROUND(C72 + ((2016-2012)*(I72-C72))/(2024-2012),0)</f>
        <v>3947</v>
      </c>
      <c r="P72" s="17">
        <f t="shared" si="72"/>
        <v>2960</v>
      </c>
      <c r="Q72" s="17">
        <f t="shared" si="72"/>
        <v>8</v>
      </c>
      <c r="R72" s="17">
        <f t="shared" si="72"/>
        <v>18</v>
      </c>
      <c r="S72" s="17">
        <f t="shared" si="72"/>
        <v>21</v>
      </c>
      <c r="T72" s="17">
        <f t="shared" si="72"/>
        <v>940</v>
      </c>
      <c r="U72" s="17">
        <v>2756</v>
      </c>
      <c r="V72" s="18">
        <f t="shared" si="1"/>
        <v>204</v>
      </c>
      <c r="W72" s="18">
        <f t="shared" si="2"/>
        <v>204</v>
      </c>
      <c r="X72" s="19">
        <f t="shared" si="3"/>
        <v>3947</v>
      </c>
      <c r="Y72" s="18">
        <v>128.00000607967377</v>
      </c>
      <c r="Z72" s="20"/>
      <c r="AA72" s="15">
        <v>3998</v>
      </c>
      <c r="AB72" s="17">
        <f t="shared" si="5"/>
        <v>4539</v>
      </c>
      <c r="AC72" s="15">
        <v>5620</v>
      </c>
      <c r="AD72" s="4"/>
      <c r="AE72" s="4"/>
      <c r="AF72" s="4"/>
      <c r="AG72" s="4"/>
      <c r="AH72" s="4"/>
      <c r="AI72" s="4"/>
      <c r="AJ72" s="4"/>
      <c r="AK72" s="4"/>
      <c r="AL72" s="4"/>
    </row>
    <row r="73" spans="1:38" ht="14.4">
      <c r="A73" s="21">
        <v>20804</v>
      </c>
      <c r="B73" s="22" t="s">
        <v>88</v>
      </c>
      <c r="C73" s="15">
        <v>2250</v>
      </c>
      <c r="D73" s="15">
        <v>1930</v>
      </c>
      <c r="E73" s="15">
        <v>0</v>
      </c>
      <c r="F73" s="15">
        <v>3</v>
      </c>
      <c r="G73" s="15">
        <v>3</v>
      </c>
      <c r="H73" s="15">
        <v>314</v>
      </c>
      <c r="I73" s="15">
        <v>2675</v>
      </c>
      <c r="J73" s="15">
        <v>2469</v>
      </c>
      <c r="K73" s="15">
        <v>19</v>
      </c>
      <c r="L73" s="15">
        <v>8</v>
      </c>
      <c r="M73" s="15">
        <v>13</v>
      </c>
      <c r="N73" s="15">
        <v>166</v>
      </c>
      <c r="O73" s="16">
        <f t="shared" ref="O73:T73" si="73">ROUND(C73 + ((2016-2012)*(I73-C73))/(2024-2012),0)</f>
        <v>2392</v>
      </c>
      <c r="P73" s="23">
        <f t="shared" si="73"/>
        <v>2110</v>
      </c>
      <c r="Q73" s="23">
        <f t="shared" si="73"/>
        <v>6</v>
      </c>
      <c r="R73" s="23">
        <f t="shared" si="73"/>
        <v>5</v>
      </c>
      <c r="S73" s="23">
        <f t="shared" si="73"/>
        <v>6</v>
      </c>
      <c r="T73" s="23">
        <f t="shared" si="73"/>
        <v>265</v>
      </c>
      <c r="U73" s="23">
        <v>1800</v>
      </c>
      <c r="V73" s="18">
        <f t="shared" si="1"/>
        <v>310</v>
      </c>
      <c r="W73" s="18">
        <f t="shared" si="2"/>
        <v>310</v>
      </c>
      <c r="X73" s="19">
        <f t="shared" si="3"/>
        <v>2392</v>
      </c>
      <c r="Y73" s="18">
        <v>245.99999934434891</v>
      </c>
      <c r="Z73" s="20"/>
      <c r="AA73" s="15">
        <v>2555</v>
      </c>
      <c r="AB73" s="23">
        <f t="shared" si="5"/>
        <v>2839</v>
      </c>
      <c r="AC73" s="15">
        <v>3408</v>
      </c>
      <c r="AD73" s="4"/>
      <c r="AE73" s="4"/>
      <c r="AF73" s="4"/>
      <c r="AG73" s="4"/>
      <c r="AH73" s="4"/>
      <c r="AI73" s="4"/>
      <c r="AJ73" s="4"/>
      <c r="AK73" s="4"/>
      <c r="AL73" s="4"/>
    </row>
    <row r="74" spans="1:38" ht="14.4">
      <c r="A74" s="13">
        <v>20805</v>
      </c>
      <c r="B74" s="14" t="s">
        <v>89</v>
      </c>
      <c r="C74" s="15">
        <v>2391</v>
      </c>
      <c r="D74" s="15">
        <v>568</v>
      </c>
      <c r="E74" s="15">
        <v>7</v>
      </c>
      <c r="F74" s="15">
        <v>101</v>
      </c>
      <c r="G74" s="15">
        <v>62</v>
      </c>
      <c r="H74" s="15">
        <v>1653</v>
      </c>
      <c r="I74" s="15">
        <v>3114</v>
      </c>
      <c r="J74" s="15">
        <v>2175</v>
      </c>
      <c r="K74" s="15">
        <v>3</v>
      </c>
      <c r="L74" s="15">
        <v>41</v>
      </c>
      <c r="M74" s="15">
        <v>21</v>
      </c>
      <c r="N74" s="15">
        <v>874</v>
      </c>
      <c r="O74" s="16">
        <f t="shared" ref="O74:T74" si="74">ROUND(C74 + ((2016-2012)*(I74-C74))/(2024-2012),0)</f>
        <v>2632</v>
      </c>
      <c r="P74" s="17">
        <f t="shared" si="74"/>
        <v>1104</v>
      </c>
      <c r="Q74" s="17">
        <f t="shared" si="74"/>
        <v>6</v>
      </c>
      <c r="R74" s="17">
        <f t="shared" si="74"/>
        <v>81</v>
      </c>
      <c r="S74" s="17">
        <f t="shared" si="74"/>
        <v>48</v>
      </c>
      <c r="T74" s="17">
        <f t="shared" si="74"/>
        <v>1393</v>
      </c>
      <c r="U74" s="25">
        <v>1449</v>
      </c>
      <c r="V74" s="18">
        <f t="shared" si="1"/>
        <v>-345</v>
      </c>
      <c r="W74" s="18">
        <f t="shared" si="2"/>
        <v>0</v>
      </c>
      <c r="X74" s="19">
        <f t="shared" si="3"/>
        <v>2977</v>
      </c>
      <c r="Y74" s="18">
        <v>54.999999701976776</v>
      </c>
      <c r="Z74" s="20"/>
      <c r="AA74" s="15">
        <v>2849</v>
      </c>
      <c r="AB74" s="17">
        <f t="shared" si="5"/>
        <v>3225</v>
      </c>
      <c r="AC74" s="15">
        <v>3977</v>
      </c>
      <c r="AD74" s="4"/>
      <c r="AE74" s="4"/>
      <c r="AF74" s="4"/>
      <c r="AG74" s="4"/>
      <c r="AH74" s="4"/>
      <c r="AI74" s="4"/>
      <c r="AJ74" s="4"/>
      <c r="AK74" s="4"/>
      <c r="AL74" s="4"/>
    </row>
    <row r="75" spans="1:38" ht="14.4">
      <c r="A75" s="21">
        <v>20806</v>
      </c>
      <c r="B75" s="22" t="s">
        <v>90</v>
      </c>
      <c r="C75" s="15">
        <v>4967</v>
      </c>
      <c r="D75" s="15">
        <v>2775</v>
      </c>
      <c r="E75" s="15">
        <v>14</v>
      </c>
      <c r="F75" s="15">
        <v>11</v>
      </c>
      <c r="G75" s="15">
        <v>4</v>
      </c>
      <c r="H75" s="15">
        <v>2163</v>
      </c>
      <c r="I75" s="15">
        <v>5887</v>
      </c>
      <c r="J75" s="15">
        <v>4111</v>
      </c>
      <c r="K75" s="15">
        <v>10</v>
      </c>
      <c r="L75" s="15">
        <v>148</v>
      </c>
      <c r="M75" s="15">
        <v>49</v>
      </c>
      <c r="N75" s="15">
        <v>1569</v>
      </c>
      <c r="O75" s="16">
        <f t="shared" ref="O75:T75" si="75">ROUND(C75 + ((2016-2012)*(I75-C75))/(2024-2012),0)</f>
        <v>5274</v>
      </c>
      <c r="P75" s="23">
        <f t="shared" si="75"/>
        <v>3220</v>
      </c>
      <c r="Q75" s="23">
        <f t="shared" si="75"/>
        <v>13</v>
      </c>
      <c r="R75" s="23">
        <f t="shared" si="75"/>
        <v>57</v>
      </c>
      <c r="S75" s="23">
        <f t="shared" si="75"/>
        <v>19</v>
      </c>
      <c r="T75" s="23">
        <f t="shared" si="75"/>
        <v>1965</v>
      </c>
      <c r="U75" s="24">
        <v>3333</v>
      </c>
      <c r="V75" s="18">
        <f t="shared" si="1"/>
        <v>-113</v>
      </c>
      <c r="W75" s="18">
        <f t="shared" si="2"/>
        <v>0</v>
      </c>
      <c r="X75" s="19">
        <f t="shared" si="3"/>
        <v>5387</v>
      </c>
      <c r="Y75" s="18">
        <v>59.999998658895493</v>
      </c>
      <c r="Z75" s="20"/>
      <c r="AA75" s="15">
        <v>5849</v>
      </c>
      <c r="AB75" s="23">
        <f t="shared" si="5"/>
        <v>6412</v>
      </c>
      <c r="AC75" s="15">
        <v>7537</v>
      </c>
      <c r="AD75" s="4"/>
      <c r="AE75" s="4"/>
      <c r="AF75" s="4"/>
      <c r="AG75" s="4"/>
      <c r="AH75" s="4"/>
      <c r="AI75" s="4"/>
      <c r="AJ75" s="4"/>
      <c r="AK75" s="4"/>
      <c r="AL75" s="4"/>
    </row>
    <row r="76" spans="1:38" ht="14.4">
      <c r="A76" s="13">
        <v>20807</v>
      </c>
      <c r="B76" s="14" t="s">
        <v>91</v>
      </c>
      <c r="C76" s="15">
        <v>1819</v>
      </c>
      <c r="D76" s="15">
        <v>1411</v>
      </c>
      <c r="E76" s="15">
        <v>1</v>
      </c>
      <c r="F76" s="15">
        <v>1</v>
      </c>
      <c r="G76" s="15">
        <v>13</v>
      </c>
      <c r="H76" s="15">
        <v>393</v>
      </c>
      <c r="I76" s="15">
        <v>2562</v>
      </c>
      <c r="J76" s="15">
        <v>2124</v>
      </c>
      <c r="K76" s="15">
        <v>6</v>
      </c>
      <c r="L76" s="15">
        <v>12</v>
      </c>
      <c r="M76" s="15">
        <v>18</v>
      </c>
      <c r="N76" s="15">
        <v>402</v>
      </c>
      <c r="O76" s="16">
        <f t="shared" ref="O76:T76" si="76">ROUND(C76 + ((2016-2012)*(I76-C76))/(2024-2012),0)</f>
        <v>2067</v>
      </c>
      <c r="P76" s="17">
        <f t="shared" si="76"/>
        <v>1649</v>
      </c>
      <c r="Q76" s="17">
        <f t="shared" si="76"/>
        <v>3</v>
      </c>
      <c r="R76" s="17">
        <f t="shared" si="76"/>
        <v>5</v>
      </c>
      <c r="S76" s="17">
        <f t="shared" si="76"/>
        <v>15</v>
      </c>
      <c r="T76" s="17">
        <f t="shared" si="76"/>
        <v>396</v>
      </c>
      <c r="U76" s="17">
        <v>1477</v>
      </c>
      <c r="V76" s="18">
        <f t="shared" si="1"/>
        <v>172</v>
      </c>
      <c r="W76" s="18">
        <f t="shared" si="2"/>
        <v>172</v>
      </c>
      <c r="X76" s="19">
        <f t="shared" si="3"/>
        <v>2068</v>
      </c>
      <c r="Y76" s="18">
        <v>86.000002920627594</v>
      </c>
      <c r="Z76" s="20"/>
      <c r="AA76" s="15">
        <v>1883</v>
      </c>
      <c r="AB76" s="17">
        <f t="shared" si="5"/>
        <v>2289</v>
      </c>
      <c r="AC76" s="15">
        <v>3101</v>
      </c>
      <c r="AD76" s="4"/>
      <c r="AE76" s="4"/>
      <c r="AF76" s="4"/>
      <c r="AG76" s="4"/>
      <c r="AH76" s="4"/>
      <c r="AI76" s="4"/>
      <c r="AJ76" s="4"/>
      <c r="AK76" s="4"/>
      <c r="AL76" s="4"/>
    </row>
    <row r="77" spans="1:38" ht="14.4">
      <c r="A77" s="21">
        <v>20901</v>
      </c>
      <c r="B77" s="22" t="s">
        <v>92</v>
      </c>
      <c r="C77" s="15">
        <v>3913</v>
      </c>
      <c r="D77" s="15">
        <v>2786</v>
      </c>
      <c r="E77" s="15">
        <v>5</v>
      </c>
      <c r="F77" s="15">
        <v>3</v>
      </c>
      <c r="G77" s="15">
        <v>3</v>
      </c>
      <c r="H77" s="15">
        <v>1116</v>
      </c>
      <c r="I77" s="15">
        <v>4434</v>
      </c>
      <c r="J77" s="15">
        <v>3541</v>
      </c>
      <c r="K77" s="15">
        <v>7</v>
      </c>
      <c r="L77" s="15">
        <v>39</v>
      </c>
      <c r="M77" s="15">
        <v>41</v>
      </c>
      <c r="N77" s="15">
        <v>806</v>
      </c>
      <c r="O77" s="16">
        <f t="shared" ref="O77:T77" si="77">ROUND(C77 + ((2016-2012)*(I77-C77))/(2024-2012),0)</f>
        <v>4087</v>
      </c>
      <c r="P77" s="23">
        <f t="shared" si="77"/>
        <v>3038</v>
      </c>
      <c r="Q77" s="23">
        <f t="shared" si="77"/>
        <v>6</v>
      </c>
      <c r="R77" s="23">
        <f t="shared" si="77"/>
        <v>15</v>
      </c>
      <c r="S77" s="23">
        <f t="shared" si="77"/>
        <v>16</v>
      </c>
      <c r="T77" s="23">
        <f t="shared" si="77"/>
        <v>1013</v>
      </c>
      <c r="U77" s="23">
        <v>2633</v>
      </c>
      <c r="V77" s="18">
        <f t="shared" si="1"/>
        <v>405</v>
      </c>
      <c r="W77" s="18">
        <f t="shared" si="2"/>
        <v>405</v>
      </c>
      <c r="X77" s="19">
        <f t="shared" si="3"/>
        <v>4088</v>
      </c>
      <c r="Y77" s="18">
        <v>150.99999308586121</v>
      </c>
      <c r="Z77" s="20"/>
      <c r="AA77" s="15">
        <v>4230</v>
      </c>
      <c r="AB77" s="23">
        <f t="shared" si="5"/>
        <v>4627</v>
      </c>
      <c r="AC77" s="15">
        <v>5422</v>
      </c>
      <c r="AD77" s="4"/>
      <c r="AE77" s="4"/>
      <c r="AF77" s="4"/>
      <c r="AG77" s="4"/>
      <c r="AH77" s="4"/>
      <c r="AI77" s="4"/>
      <c r="AJ77" s="4"/>
      <c r="AK77" s="4"/>
      <c r="AL77" s="4"/>
    </row>
    <row r="78" spans="1:38" ht="14.4">
      <c r="A78" s="13">
        <v>20902</v>
      </c>
      <c r="B78" s="14" t="s">
        <v>93</v>
      </c>
      <c r="C78" s="15">
        <v>4624</v>
      </c>
      <c r="D78" s="15">
        <v>2790</v>
      </c>
      <c r="E78" s="15">
        <v>9</v>
      </c>
      <c r="F78" s="15">
        <v>12</v>
      </c>
      <c r="G78" s="15">
        <v>21</v>
      </c>
      <c r="H78" s="15">
        <v>1792</v>
      </c>
      <c r="I78" s="15">
        <v>6638</v>
      </c>
      <c r="J78" s="15">
        <v>5080</v>
      </c>
      <c r="K78" s="15">
        <v>8</v>
      </c>
      <c r="L78" s="15">
        <v>78</v>
      </c>
      <c r="M78" s="15">
        <v>52</v>
      </c>
      <c r="N78" s="15">
        <v>1420</v>
      </c>
      <c r="O78" s="16">
        <f t="shared" ref="O78:T78" si="78">ROUND(C78 + ((2016-2012)*(I78-C78))/(2024-2012),0)</f>
        <v>5295</v>
      </c>
      <c r="P78" s="17">
        <f t="shared" si="78"/>
        <v>3553</v>
      </c>
      <c r="Q78" s="17">
        <f t="shared" si="78"/>
        <v>9</v>
      </c>
      <c r="R78" s="17">
        <f t="shared" si="78"/>
        <v>34</v>
      </c>
      <c r="S78" s="17">
        <f t="shared" si="78"/>
        <v>31</v>
      </c>
      <c r="T78" s="17">
        <f t="shared" si="78"/>
        <v>1668</v>
      </c>
      <c r="U78" s="17">
        <v>3207</v>
      </c>
      <c r="V78" s="18">
        <f t="shared" si="1"/>
        <v>346</v>
      </c>
      <c r="W78" s="18">
        <f t="shared" si="2"/>
        <v>346</v>
      </c>
      <c r="X78" s="19">
        <f t="shared" si="3"/>
        <v>5295</v>
      </c>
      <c r="Y78" s="18">
        <v>143.00000667572021</v>
      </c>
      <c r="Z78" s="20"/>
      <c r="AA78" s="15">
        <v>5003</v>
      </c>
      <c r="AB78" s="17">
        <f t="shared" si="5"/>
        <v>5906</v>
      </c>
      <c r="AC78" s="15">
        <v>7713</v>
      </c>
      <c r="AD78" s="4"/>
      <c r="AE78" s="4"/>
      <c r="AF78" s="4"/>
      <c r="AG78" s="4"/>
      <c r="AH78" s="4"/>
      <c r="AI78" s="4"/>
      <c r="AJ78" s="4"/>
      <c r="AK78" s="4"/>
      <c r="AL78" s="4"/>
    </row>
    <row r="79" spans="1:38" ht="14.4">
      <c r="A79" s="21">
        <v>20903</v>
      </c>
      <c r="B79" s="22" t="s">
        <v>94</v>
      </c>
      <c r="C79" s="15">
        <v>2306</v>
      </c>
      <c r="D79" s="15">
        <v>1520</v>
      </c>
      <c r="E79" s="15">
        <v>11</v>
      </c>
      <c r="F79" s="15">
        <v>3</v>
      </c>
      <c r="G79" s="15">
        <v>8</v>
      </c>
      <c r="H79" s="15">
        <v>764</v>
      </c>
      <c r="I79" s="15">
        <v>4142</v>
      </c>
      <c r="J79" s="15">
        <v>2864</v>
      </c>
      <c r="K79" s="15">
        <v>25</v>
      </c>
      <c r="L79" s="15">
        <v>63</v>
      </c>
      <c r="M79" s="15">
        <v>39</v>
      </c>
      <c r="N79" s="15">
        <v>1151</v>
      </c>
      <c r="O79" s="16">
        <f t="shared" ref="O79:T79" si="79">ROUND(C79 + ((2016-2012)*(I79-C79))/(2024-2012),0)</f>
        <v>2918</v>
      </c>
      <c r="P79" s="23">
        <f t="shared" si="79"/>
        <v>1968</v>
      </c>
      <c r="Q79" s="23">
        <f t="shared" si="79"/>
        <v>16</v>
      </c>
      <c r="R79" s="23">
        <f t="shared" si="79"/>
        <v>23</v>
      </c>
      <c r="S79" s="23">
        <f t="shared" si="79"/>
        <v>18</v>
      </c>
      <c r="T79" s="23">
        <f t="shared" si="79"/>
        <v>893</v>
      </c>
      <c r="U79" s="23">
        <v>1556</v>
      </c>
      <c r="V79" s="18">
        <f t="shared" si="1"/>
        <v>412</v>
      </c>
      <c r="W79" s="18">
        <f t="shared" si="2"/>
        <v>412</v>
      </c>
      <c r="X79" s="19">
        <f t="shared" si="3"/>
        <v>2918</v>
      </c>
      <c r="Y79" s="18">
        <v>75.000002980232239</v>
      </c>
      <c r="Z79" s="20"/>
      <c r="AA79" s="15">
        <v>2811</v>
      </c>
      <c r="AB79" s="23">
        <f t="shared" si="5"/>
        <v>3438</v>
      </c>
      <c r="AC79" s="15">
        <v>4691</v>
      </c>
      <c r="AD79" s="4"/>
      <c r="AE79" s="4"/>
      <c r="AF79" s="4"/>
      <c r="AG79" s="4"/>
      <c r="AH79" s="4"/>
      <c r="AI79" s="4"/>
      <c r="AJ79" s="4"/>
      <c r="AK79" s="4"/>
      <c r="AL79" s="4"/>
    </row>
    <row r="80" spans="1:38" ht="14.4">
      <c r="A80" s="13">
        <v>20904</v>
      </c>
      <c r="B80" s="14" t="s">
        <v>95</v>
      </c>
      <c r="C80" s="15">
        <v>1234</v>
      </c>
      <c r="D80" s="15">
        <v>729</v>
      </c>
      <c r="E80" s="15">
        <v>99</v>
      </c>
      <c r="F80" s="15">
        <v>18</v>
      </c>
      <c r="G80" s="15">
        <v>52</v>
      </c>
      <c r="H80" s="15">
        <v>336</v>
      </c>
      <c r="I80" s="15">
        <v>1777</v>
      </c>
      <c r="J80" s="15">
        <v>1040</v>
      </c>
      <c r="K80" s="15">
        <v>49</v>
      </c>
      <c r="L80" s="15">
        <v>56</v>
      </c>
      <c r="M80" s="15">
        <v>22</v>
      </c>
      <c r="N80" s="15">
        <v>610</v>
      </c>
      <c r="O80" s="16">
        <f t="shared" ref="O80:T80" si="80">ROUND(C80 + ((2016-2012)*(I80-C80))/(2024-2012),0)</f>
        <v>1415</v>
      </c>
      <c r="P80" s="17">
        <f t="shared" si="80"/>
        <v>833</v>
      </c>
      <c r="Q80" s="17">
        <f t="shared" si="80"/>
        <v>82</v>
      </c>
      <c r="R80" s="17">
        <f t="shared" si="80"/>
        <v>31</v>
      </c>
      <c r="S80" s="17">
        <f t="shared" si="80"/>
        <v>42</v>
      </c>
      <c r="T80" s="17">
        <f t="shared" si="80"/>
        <v>427</v>
      </c>
      <c r="U80" s="25">
        <v>277</v>
      </c>
      <c r="V80" s="18">
        <f t="shared" si="1"/>
        <v>556</v>
      </c>
      <c r="W80" s="18">
        <f t="shared" si="2"/>
        <v>556</v>
      </c>
      <c r="X80" s="19">
        <f t="shared" si="3"/>
        <v>1415</v>
      </c>
      <c r="Y80" s="18">
        <v>79.000003635883331</v>
      </c>
      <c r="Z80" s="20"/>
      <c r="AA80" s="15">
        <v>1369</v>
      </c>
      <c r="AB80" s="17">
        <f t="shared" si="5"/>
        <v>1608</v>
      </c>
      <c r="AC80" s="15">
        <v>2086</v>
      </c>
      <c r="AD80" s="4"/>
      <c r="AE80" s="4"/>
      <c r="AF80" s="4"/>
      <c r="AG80" s="4"/>
      <c r="AH80" s="4"/>
      <c r="AI80" s="4"/>
      <c r="AJ80" s="4"/>
      <c r="AK80" s="4"/>
      <c r="AL80" s="4"/>
    </row>
    <row r="81" spans="1:38" ht="14.4">
      <c r="A81" s="21">
        <v>20905</v>
      </c>
      <c r="B81" s="22" t="s">
        <v>96</v>
      </c>
      <c r="C81" s="15">
        <v>3070</v>
      </c>
      <c r="D81" s="15">
        <v>2409</v>
      </c>
      <c r="E81" s="15">
        <v>4</v>
      </c>
      <c r="F81" s="15">
        <v>6</v>
      </c>
      <c r="G81" s="15">
        <v>1</v>
      </c>
      <c r="H81" s="15">
        <v>650</v>
      </c>
      <c r="I81" s="15">
        <v>4892</v>
      </c>
      <c r="J81" s="15">
        <v>4132</v>
      </c>
      <c r="K81" s="15">
        <v>9</v>
      </c>
      <c r="L81" s="15">
        <v>47</v>
      </c>
      <c r="M81" s="15">
        <v>13</v>
      </c>
      <c r="N81" s="15">
        <v>691</v>
      </c>
      <c r="O81" s="16">
        <f t="shared" ref="O81:T81" si="81">ROUND(C81 + ((2016-2012)*(I81-C81))/(2024-2012),0)</f>
        <v>3677</v>
      </c>
      <c r="P81" s="23">
        <f t="shared" si="81"/>
        <v>2983</v>
      </c>
      <c r="Q81" s="23">
        <f t="shared" si="81"/>
        <v>6</v>
      </c>
      <c r="R81" s="23">
        <f t="shared" si="81"/>
        <v>20</v>
      </c>
      <c r="S81" s="23">
        <f t="shared" si="81"/>
        <v>5</v>
      </c>
      <c r="T81" s="23">
        <f t="shared" si="81"/>
        <v>664</v>
      </c>
      <c r="U81" s="23">
        <v>2171</v>
      </c>
      <c r="V81" s="18">
        <f t="shared" si="1"/>
        <v>812</v>
      </c>
      <c r="W81" s="18">
        <f t="shared" si="2"/>
        <v>812</v>
      </c>
      <c r="X81" s="19">
        <f t="shared" si="3"/>
        <v>3678</v>
      </c>
      <c r="Y81" s="18">
        <v>100.00000149011612</v>
      </c>
      <c r="Z81" s="20"/>
      <c r="AA81" s="15">
        <v>3146</v>
      </c>
      <c r="AB81" s="23">
        <f t="shared" si="5"/>
        <v>3966</v>
      </c>
      <c r="AC81" s="15">
        <v>5606</v>
      </c>
      <c r="AD81" s="4"/>
      <c r="AE81" s="4"/>
      <c r="AF81" s="4"/>
      <c r="AG81" s="4"/>
      <c r="AH81" s="4"/>
      <c r="AI81" s="4"/>
      <c r="AJ81" s="4"/>
      <c r="AK81" s="4"/>
      <c r="AL81" s="4"/>
    </row>
    <row r="82" spans="1:38" ht="14.4">
      <c r="A82" s="13">
        <v>21001</v>
      </c>
      <c r="B82" s="14" t="s">
        <v>97</v>
      </c>
      <c r="C82" s="15">
        <v>4894</v>
      </c>
      <c r="D82" s="15">
        <v>1107</v>
      </c>
      <c r="E82" s="15">
        <v>86</v>
      </c>
      <c r="F82" s="15">
        <v>505</v>
      </c>
      <c r="G82" s="15">
        <v>140</v>
      </c>
      <c r="H82" s="15">
        <v>3056</v>
      </c>
      <c r="I82" s="15">
        <v>7144</v>
      </c>
      <c r="J82" s="15">
        <v>3536</v>
      </c>
      <c r="K82" s="15">
        <v>109</v>
      </c>
      <c r="L82" s="15">
        <v>1186</v>
      </c>
      <c r="M82" s="15">
        <v>109</v>
      </c>
      <c r="N82" s="15">
        <v>2204</v>
      </c>
      <c r="O82" s="16">
        <f t="shared" ref="O82:T82" si="82">ROUND(C82 + ((2016-2012)*(I82-C82))/(2024-2012),0)</f>
        <v>5644</v>
      </c>
      <c r="P82" s="17">
        <f t="shared" si="82"/>
        <v>1917</v>
      </c>
      <c r="Q82" s="17">
        <f t="shared" si="82"/>
        <v>94</v>
      </c>
      <c r="R82" s="17">
        <f t="shared" si="82"/>
        <v>732</v>
      </c>
      <c r="S82" s="17">
        <f t="shared" si="82"/>
        <v>130</v>
      </c>
      <c r="T82" s="17">
        <f t="shared" si="82"/>
        <v>2772</v>
      </c>
      <c r="U82" s="17">
        <v>2224</v>
      </c>
      <c r="V82" s="18">
        <f t="shared" si="1"/>
        <v>-307</v>
      </c>
      <c r="W82" s="18">
        <f t="shared" si="2"/>
        <v>0</v>
      </c>
      <c r="X82" s="19">
        <f t="shared" si="3"/>
        <v>5952</v>
      </c>
      <c r="Y82" s="18">
        <v>90.000003576278687</v>
      </c>
      <c r="Z82" s="20"/>
      <c r="AA82" s="15">
        <v>5428</v>
      </c>
      <c r="AB82" s="17">
        <f t="shared" si="5"/>
        <v>6426</v>
      </c>
      <c r="AC82" s="15">
        <v>8423</v>
      </c>
      <c r="AD82" s="4"/>
      <c r="AE82" s="4"/>
      <c r="AF82" s="4"/>
      <c r="AG82" s="4"/>
      <c r="AH82" s="4"/>
      <c r="AI82" s="4"/>
      <c r="AJ82" s="4"/>
      <c r="AK82" s="4"/>
      <c r="AL82" s="4"/>
    </row>
    <row r="83" spans="1:38" ht="14.4">
      <c r="A83" s="21">
        <v>21002</v>
      </c>
      <c r="B83" s="22" t="s">
        <v>98</v>
      </c>
      <c r="C83" s="15">
        <v>3387</v>
      </c>
      <c r="D83" s="15">
        <v>2395</v>
      </c>
      <c r="E83" s="15">
        <v>34</v>
      </c>
      <c r="F83" s="15">
        <v>34</v>
      </c>
      <c r="G83" s="15">
        <v>52</v>
      </c>
      <c r="H83" s="15">
        <v>872</v>
      </c>
      <c r="I83" s="15">
        <v>4434</v>
      </c>
      <c r="J83" s="15">
        <v>3434</v>
      </c>
      <c r="K83" s="15">
        <v>72</v>
      </c>
      <c r="L83" s="15">
        <v>103</v>
      </c>
      <c r="M83" s="15">
        <v>70</v>
      </c>
      <c r="N83" s="15">
        <v>755</v>
      </c>
      <c r="O83" s="16">
        <f t="shared" ref="O83:T83" si="83">ROUND(C83 + ((2016-2012)*(I83-C83))/(2024-2012),0)</f>
        <v>3736</v>
      </c>
      <c r="P83" s="23">
        <f t="shared" si="83"/>
        <v>2741</v>
      </c>
      <c r="Q83" s="23">
        <f t="shared" si="83"/>
        <v>47</v>
      </c>
      <c r="R83" s="23">
        <f t="shared" si="83"/>
        <v>57</v>
      </c>
      <c r="S83" s="23">
        <f t="shared" si="83"/>
        <v>58</v>
      </c>
      <c r="T83" s="23">
        <f t="shared" si="83"/>
        <v>833</v>
      </c>
      <c r="U83" s="23">
        <v>1410</v>
      </c>
      <c r="V83" s="18">
        <f t="shared" si="1"/>
        <v>1331</v>
      </c>
      <c r="W83" s="18">
        <f t="shared" si="2"/>
        <v>1331</v>
      </c>
      <c r="X83" s="19">
        <f t="shared" si="3"/>
        <v>3736</v>
      </c>
      <c r="Y83" s="18">
        <v>266.00000262260437</v>
      </c>
      <c r="Z83" s="20"/>
      <c r="AA83" s="15">
        <v>3858</v>
      </c>
      <c r="AB83" s="23">
        <f t="shared" si="5"/>
        <v>4416</v>
      </c>
      <c r="AC83" s="15">
        <v>5532</v>
      </c>
      <c r="AD83" s="4"/>
      <c r="AE83" s="4"/>
      <c r="AF83" s="4"/>
      <c r="AG83" s="4"/>
      <c r="AH83" s="4"/>
      <c r="AI83" s="4"/>
      <c r="AJ83" s="4"/>
      <c r="AK83" s="4"/>
      <c r="AL83" s="4"/>
    </row>
    <row r="84" spans="1:38" ht="14.4">
      <c r="A84" s="13">
        <v>21003</v>
      </c>
      <c r="B84" s="14" t="s">
        <v>99</v>
      </c>
      <c r="C84" s="15">
        <v>3019</v>
      </c>
      <c r="D84" s="15">
        <v>2490</v>
      </c>
      <c r="E84" s="15">
        <v>11</v>
      </c>
      <c r="F84" s="15">
        <v>10</v>
      </c>
      <c r="G84" s="15">
        <v>24</v>
      </c>
      <c r="H84" s="15">
        <v>484</v>
      </c>
      <c r="I84" s="15">
        <v>5809</v>
      </c>
      <c r="J84" s="15">
        <v>4995</v>
      </c>
      <c r="K84" s="15">
        <v>22</v>
      </c>
      <c r="L84" s="15">
        <v>60</v>
      </c>
      <c r="M84" s="15">
        <v>6</v>
      </c>
      <c r="N84" s="15">
        <v>726</v>
      </c>
      <c r="O84" s="16">
        <f t="shared" ref="O84:T84" si="84">ROUND(C84 + ((2016-2012)*(I84-C84))/(2024-2012),0)</f>
        <v>3949</v>
      </c>
      <c r="P84" s="17">
        <f t="shared" si="84"/>
        <v>3325</v>
      </c>
      <c r="Q84" s="17">
        <f t="shared" si="84"/>
        <v>15</v>
      </c>
      <c r="R84" s="17">
        <f t="shared" si="84"/>
        <v>27</v>
      </c>
      <c r="S84" s="17">
        <f t="shared" si="84"/>
        <v>18</v>
      </c>
      <c r="T84" s="17">
        <f t="shared" si="84"/>
        <v>565</v>
      </c>
      <c r="U84" s="17">
        <v>3407</v>
      </c>
      <c r="V84" s="18">
        <f t="shared" si="1"/>
        <v>-82</v>
      </c>
      <c r="W84" s="18">
        <f t="shared" si="2"/>
        <v>0</v>
      </c>
      <c r="X84" s="19">
        <f t="shared" si="3"/>
        <v>4032</v>
      </c>
      <c r="Y84" s="18">
        <v>365.99999666213989</v>
      </c>
      <c r="Z84" s="20"/>
      <c r="AA84" s="15">
        <v>3121</v>
      </c>
      <c r="AB84" s="17">
        <f t="shared" si="5"/>
        <v>4222</v>
      </c>
      <c r="AC84" s="15">
        <v>6424</v>
      </c>
      <c r="AD84" s="4"/>
      <c r="AE84" s="4"/>
      <c r="AF84" s="4"/>
      <c r="AG84" s="4"/>
      <c r="AH84" s="4"/>
      <c r="AI84" s="4"/>
      <c r="AJ84" s="4"/>
      <c r="AK84" s="4"/>
      <c r="AL84" s="4"/>
    </row>
    <row r="85" spans="1:38" ht="14.4">
      <c r="A85" s="21">
        <v>21004</v>
      </c>
      <c r="B85" s="22" t="s">
        <v>100</v>
      </c>
      <c r="C85" s="15">
        <v>5830</v>
      </c>
      <c r="D85" s="15">
        <v>4497</v>
      </c>
      <c r="E85" s="15">
        <v>7</v>
      </c>
      <c r="F85" s="15">
        <v>14</v>
      </c>
      <c r="G85" s="15">
        <v>10</v>
      </c>
      <c r="H85" s="15">
        <v>1302</v>
      </c>
      <c r="I85" s="15">
        <v>7870</v>
      </c>
      <c r="J85" s="15">
        <v>6428</v>
      </c>
      <c r="K85" s="15">
        <v>20</v>
      </c>
      <c r="L85" s="15">
        <v>88</v>
      </c>
      <c r="M85" s="15">
        <v>27</v>
      </c>
      <c r="N85" s="15">
        <v>1307</v>
      </c>
      <c r="O85" s="16">
        <f t="shared" ref="O85:T85" si="85">ROUND(C85 + ((2016-2012)*(I85-C85))/(2024-2012),0)</f>
        <v>6510</v>
      </c>
      <c r="P85" s="23">
        <f t="shared" si="85"/>
        <v>5141</v>
      </c>
      <c r="Q85" s="23">
        <f t="shared" si="85"/>
        <v>11</v>
      </c>
      <c r="R85" s="23">
        <f t="shared" si="85"/>
        <v>39</v>
      </c>
      <c r="S85" s="23">
        <f t="shared" si="85"/>
        <v>16</v>
      </c>
      <c r="T85" s="23">
        <f t="shared" si="85"/>
        <v>1304</v>
      </c>
      <c r="U85" s="23">
        <v>1968</v>
      </c>
      <c r="V85" s="18">
        <f t="shared" si="1"/>
        <v>3173</v>
      </c>
      <c r="W85" s="18">
        <f t="shared" si="2"/>
        <v>3173</v>
      </c>
      <c r="X85" s="19">
        <f t="shared" si="3"/>
        <v>6511</v>
      </c>
      <c r="Y85" s="18">
        <v>64.000003039836884</v>
      </c>
      <c r="Z85" s="20"/>
      <c r="AA85" s="15">
        <v>6196</v>
      </c>
      <c r="AB85" s="23">
        <f t="shared" si="5"/>
        <v>7387</v>
      </c>
      <c r="AC85" s="15">
        <v>9768</v>
      </c>
      <c r="AD85" s="4"/>
      <c r="AE85" s="4"/>
      <c r="AF85" s="4"/>
      <c r="AG85" s="4"/>
      <c r="AH85" s="4"/>
      <c r="AI85" s="4"/>
      <c r="AJ85" s="4"/>
      <c r="AK85" s="4"/>
      <c r="AL85" s="4"/>
    </row>
    <row r="86" spans="1:38" ht="14.4">
      <c r="A86" s="13">
        <v>21005</v>
      </c>
      <c r="B86" s="14" t="s">
        <v>101</v>
      </c>
      <c r="C86" s="15">
        <v>1695</v>
      </c>
      <c r="D86" s="15">
        <v>781</v>
      </c>
      <c r="E86" s="15">
        <v>6</v>
      </c>
      <c r="F86" s="15">
        <v>1</v>
      </c>
      <c r="G86" s="15">
        <v>8</v>
      </c>
      <c r="H86" s="15">
        <v>899</v>
      </c>
      <c r="I86" s="15">
        <v>3455</v>
      </c>
      <c r="J86" s="15">
        <v>2057</v>
      </c>
      <c r="K86" s="15">
        <v>31</v>
      </c>
      <c r="L86" s="15">
        <v>52</v>
      </c>
      <c r="M86" s="15">
        <v>11</v>
      </c>
      <c r="N86" s="15">
        <v>1304</v>
      </c>
      <c r="O86" s="16">
        <f t="shared" ref="O86:T86" si="86">ROUND(C86 + ((2016-2012)*(I86-C86))/(2024-2012),0)</f>
        <v>2282</v>
      </c>
      <c r="P86" s="17">
        <f t="shared" si="86"/>
        <v>1206</v>
      </c>
      <c r="Q86" s="17">
        <f t="shared" si="86"/>
        <v>14</v>
      </c>
      <c r="R86" s="17">
        <f t="shared" si="86"/>
        <v>18</v>
      </c>
      <c r="S86" s="17">
        <f t="shared" si="86"/>
        <v>9</v>
      </c>
      <c r="T86" s="17">
        <f t="shared" si="86"/>
        <v>1034</v>
      </c>
      <c r="U86" s="17">
        <v>1039</v>
      </c>
      <c r="V86" s="18">
        <f t="shared" si="1"/>
        <v>167</v>
      </c>
      <c r="W86" s="18">
        <f t="shared" si="2"/>
        <v>167</v>
      </c>
      <c r="X86" s="19">
        <f t="shared" si="3"/>
        <v>2281</v>
      </c>
      <c r="Y86" s="18">
        <v>64.999997615814209</v>
      </c>
      <c r="Z86" s="20"/>
      <c r="AA86" s="15">
        <v>1815</v>
      </c>
      <c r="AB86" s="17">
        <f t="shared" si="5"/>
        <v>2510</v>
      </c>
      <c r="AC86" s="15">
        <v>3900</v>
      </c>
      <c r="AD86" s="4"/>
      <c r="AE86" s="4"/>
      <c r="AF86" s="4"/>
      <c r="AG86" s="4"/>
      <c r="AH86" s="4"/>
      <c r="AI86" s="4"/>
      <c r="AJ86" s="4"/>
      <c r="AK86" s="4"/>
      <c r="AL86" s="4"/>
    </row>
    <row r="87" spans="1:38" ht="14.4">
      <c r="A87" s="21">
        <v>21006</v>
      </c>
      <c r="B87" s="22" t="s">
        <v>102</v>
      </c>
      <c r="C87" s="15">
        <v>1021</v>
      </c>
      <c r="D87" s="15">
        <v>561</v>
      </c>
      <c r="E87" s="15">
        <v>3</v>
      </c>
      <c r="F87" s="15">
        <v>5</v>
      </c>
      <c r="G87" s="15">
        <v>1</v>
      </c>
      <c r="H87" s="15">
        <v>451</v>
      </c>
      <c r="I87" s="15">
        <v>1871</v>
      </c>
      <c r="J87" s="15">
        <v>1585</v>
      </c>
      <c r="K87" s="15">
        <v>12</v>
      </c>
      <c r="L87" s="15">
        <v>6</v>
      </c>
      <c r="M87" s="15">
        <v>5</v>
      </c>
      <c r="N87" s="15">
        <v>263</v>
      </c>
      <c r="O87" s="16">
        <f t="shared" ref="O87:T87" si="87">ROUND(C87 + ((2016-2012)*(I87-C87))/(2024-2012),0)</f>
        <v>1304</v>
      </c>
      <c r="P87" s="23">
        <f t="shared" si="87"/>
        <v>902</v>
      </c>
      <c r="Q87" s="23">
        <f t="shared" si="87"/>
        <v>6</v>
      </c>
      <c r="R87" s="23">
        <f t="shared" si="87"/>
        <v>5</v>
      </c>
      <c r="S87" s="23">
        <f t="shared" si="87"/>
        <v>2</v>
      </c>
      <c r="T87" s="23">
        <f t="shared" si="87"/>
        <v>388</v>
      </c>
      <c r="U87" s="24">
        <v>649</v>
      </c>
      <c r="V87" s="18">
        <f t="shared" si="1"/>
        <v>253</v>
      </c>
      <c r="W87" s="18">
        <f t="shared" si="2"/>
        <v>253</v>
      </c>
      <c r="X87" s="19">
        <f t="shared" si="3"/>
        <v>1303</v>
      </c>
      <c r="Y87" s="18">
        <v>182.99999833106995</v>
      </c>
      <c r="Z87" s="20"/>
      <c r="AA87" s="15">
        <v>1022</v>
      </c>
      <c r="AB87" s="23">
        <f t="shared" si="5"/>
        <v>1326</v>
      </c>
      <c r="AC87" s="15">
        <v>1934</v>
      </c>
      <c r="AD87" s="4"/>
      <c r="AE87" s="4"/>
      <c r="AF87" s="4"/>
      <c r="AG87" s="4"/>
      <c r="AH87" s="4"/>
      <c r="AI87" s="4"/>
      <c r="AJ87" s="4"/>
      <c r="AK87" s="4"/>
      <c r="AL87" s="4"/>
    </row>
    <row r="88" spans="1:38" ht="14.4">
      <c r="A88" s="13">
        <v>21101</v>
      </c>
      <c r="B88" s="14" t="s">
        <v>103</v>
      </c>
      <c r="C88" s="15">
        <v>6079</v>
      </c>
      <c r="D88" s="15">
        <v>4871</v>
      </c>
      <c r="E88" s="15">
        <v>12</v>
      </c>
      <c r="F88" s="15">
        <v>16</v>
      </c>
      <c r="G88" s="15">
        <v>27</v>
      </c>
      <c r="H88" s="15">
        <v>1153</v>
      </c>
      <c r="I88" s="15">
        <v>7214</v>
      </c>
      <c r="J88" s="15">
        <v>6533</v>
      </c>
      <c r="K88" s="15">
        <v>53</v>
      </c>
      <c r="L88" s="15">
        <v>25</v>
      </c>
      <c r="M88" s="15">
        <v>17</v>
      </c>
      <c r="N88" s="15">
        <v>586</v>
      </c>
      <c r="O88" s="16">
        <f t="shared" ref="O88:T88" si="88">ROUND(C88 + ((2016-2012)*(I88-C88))/(2024-2012),0)</f>
        <v>6457</v>
      </c>
      <c r="P88" s="17">
        <f t="shared" si="88"/>
        <v>5425</v>
      </c>
      <c r="Q88" s="17">
        <f t="shared" si="88"/>
        <v>26</v>
      </c>
      <c r="R88" s="17">
        <f t="shared" si="88"/>
        <v>19</v>
      </c>
      <c r="S88" s="17">
        <f t="shared" si="88"/>
        <v>24</v>
      </c>
      <c r="T88" s="17">
        <f t="shared" si="88"/>
        <v>964</v>
      </c>
      <c r="U88" s="17">
        <v>4610</v>
      </c>
      <c r="V88" s="18">
        <f t="shared" si="1"/>
        <v>815</v>
      </c>
      <c r="W88" s="18">
        <f t="shared" si="2"/>
        <v>815</v>
      </c>
      <c r="X88" s="19">
        <f t="shared" si="3"/>
        <v>6458</v>
      </c>
      <c r="Y88" s="18">
        <v>444.99999284744263</v>
      </c>
      <c r="Z88" s="20"/>
      <c r="AA88" s="15">
        <v>6759</v>
      </c>
      <c r="AB88" s="17">
        <f t="shared" si="5"/>
        <v>7512</v>
      </c>
      <c r="AC88" s="15">
        <v>9017</v>
      </c>
      <c r="AD88" s="4"/>
      <c r="AE88" s="4"/>
      <c r="AF88" s="4"/>
      <c r="AG88" s="4"/>
      <c r="AH88" s="4"/>
      <c r="AI88" s="4"/>
      <c r="AJ88" s="4"/>
      <c r="AK88" s="4"/>
      <c r="AL88" s="4"/>
    </row>
    <row r="89" spans="1:38" ht="14.4">
      <c r="A89" s="21">
        <v>21102</v>
      </c>
      <c r="B89" s="22" t="s">
        <v>104</v>
      </c>
      <c r="C89" s="15">
        <v>6499</v>
      </c>
      <c r="D89" s="15">
        <v>4033</v>
      </c>
      <c r="E89" s="15">
        <v>75</v>
      </c>
      <c r="F89" s="15">
        <v>151</v>
      </c>
      <c r="G89" s="15">
        <v>69</v>
      </c>
      <c r="H89" s="15">
        <v>2171</v>
      </c>
      <c r="I89" s="15">
        <v>9458</v>
      </c>
      <c r="J89" s="15">
        <v>7801</v>
      </c>
      <c r="K89" s="15">
        <v>55</v>
      </c>
      <c r="L89" s="15">
        <v>102</v>
      </c>
      <c r="M89" s="15">
        <v>37</v>
      </c>
      <c r="N89" s="15">
        <v>1463</v>
      </c>
      <c r="O89" s="16">
        <f t="shared" ref="O89:T89" si="89">ROUND(C89 + ((2016-2012)*(I89-C89))/(2024-2012),0)</f>
        <v>7485</v>
      </c>
      <c r="P89" s="23">
        <f t="shared" si="89"/>
        <v>5289</v>
      </c>
      <c r="Q89" s="23">
        <f t="shared" si="89"/>
        <v>68</v>
      </c>
      <c r="R89" s="23">
        <f t="shared" si="89"/>
        <v>135</v>
      </c>
      <c r="S89" s="23">
        <f t="shared" si="89"/>
        <v>58</v>
      </c>
      <c r="T89" s="23">
        <f t="shared" si="89"/>
        <v>1935</v>
      </c>
      <c r="U89" s="23">
        <v>4369</v>
      </c>
      <c r="V89" s="18">
        <f t="shared" si="1"/>
        <v>920</v>
      </c>
      <c r="W89" s="18">
        <f t="shared" si="2"/>
        <v>920</v>
      </c>
      <c r="X89" s="19">
        <f t="shared" si="3"/>
        <v>7485</v>
      </c>
      <c r="Y89" s="18">
        <v>259.99999046325684</v>
      </c>
      <c r="Z89" s="20"/>
      <c r="AA89" s="15">
        <v>7224</v>
      </c>
      <c r="AB89" s="23">
        <f t="shared" si="5"/>
        <v>8583</v>
      </c>
      <c r="AC89" s="15">
        <v>11302</v>
      </c>
      <c r="AD89" s="4"/>
      <c r="AE89" s="4"/>
      <c r="AF89" s="4"/>
      <c r="AG89" s="4"/>
      <c r="AH89" s="4"/>
      <c r="AI89" s="4"/>
      <c r="AJ89" s="4"/>
      <c r="AK89" s="4"/>
      <c r="AL89" s="4"/>
    </row>
    <row r="90" spans="1:38" ht="14.4">
      <c r="A90" s="13">
        <v>21103</v>
      </c>
      <c r="B90" s="14" t="s">
        <v>105</v>
      </c>
      <c r="C90" s="15">
        <v>2308</v>
      </c>
      <c r="D90" s="15">
        <v>1938</v>
      </c>
      <c r="E90" s="15">
        <v>8</v>
      </c>
      <c r="F90" s="15">
        <v>14</v>
      </c>
      <c r="G90" s="15">
        <v>3</v>
      </c>
      <c r="H90" s="15">
        <v>345</v>
      </c>
      <c r="I90" s="15">
        <v>2998</v>
      </c>
      <c r="J90" s="15">
        <v>2470</v>
      </c>
      <c r="K90" s="15">
        <v>71</v>
      </c>
      <c r="L90" s="15">
        <v>41</v>
      </c>
      <c r="M90" s="15">
        <v>115</v>
      </c>
      <c r="N90" s="15">
        <v>301</v>
      </c>
      <c r="O90" s="16">
        <f t="shared" ref="O90:T90" si="90">ROUND(C90 + ((2016-2012)*(I90-C90))/(2024-2012),0)</f>
        <v>2538</v>
      </c>
      <c r="P90" s="17">
        <f t="shared" si="90"/>
        <v>2115</v>
      </c>
      <c r="Q90" s="17">
        <f t="shared" si="90"/>
        <v>29</v>
      </c>
      <c r="R90" s="17">
        <f t="shared" si="90"/>
        <v>23</v>
      </c>
      <c r="S90" s="17">
        <f t="shared" si="90"/>
        <v>40</v>
      </c>
      <c r="T90" s="17">
        <f t="shared" si="90"/>
        <v>330</v>
      </c>
      <c r="U90" s="17">
        <v>1395</v>
      </c>
      <c r="V90" s="18">
        <f t="shared" si="1"/>
        <v>720</v>
      </c>
      <c r="W90" s="18">
        <f t="shared" si="2"/>
        <v>720</v>
      </c>
      <c r="X90" s="19">
        <f t="shared" si="3"/>
        <v>2537</v>
      </c>
      <c r="Y90" s="18">
        <v>360.00001430511475</v>
      </c>
      <c r="Z90" s="20"/>
      <c r="AA90" s="15">
        <v>2403</v>
      </c>
      <c r="AB90" s="17">
        <f t="shared" si="5"/>
        <v>2735</v>
      </c>
      <c r="AC90" s="15">
        <v>3400</v>
      </c>
      <c r="AD90" s="4"/>
      <c r="AE90" s="4"/>
      <c r="AF90" s="4"/>
      <c r="AG90" s="4"/>
      <c r="AH90" s="4"/>
      <c r="AI90" s="4"/>
      <c r="AJ90" s="4"/>
      <c r="AK90" s="4"/>
      <c r="AL90" s="4"/>
    </row>
    <row r="91" spans="1:38" ht="14.4">
      <c r="A91" s="21">
        <v>21104</v>
      </c>
      <c r="B91" s="22" t="s">
        <v>106</v>
      </c>
      <c r="C91" s="15">
        <v>9246</v>
      </c>
      <c r="D91" s="15">
        <v>4908</v>
      </c>
      <c r="E91" s="15">
        <v>69</v>
      </c>
      <c r="F91" s="15">
        <v>39</v>
      </c>
      <c r="G91" s="15">
        <v>80</v>
      </c>
      <c r="H91" s="15">
        <v>4150</v>
      </c>
      <c r="I91" s="15">
        <v>11630</v>
      </c>
      <c r="J91" s="15">
        <v>7134</v>
      </c>
      <c r="K91" s="15">
        <v>64</v>
      </c>
      <c r="L91" s="15">
        <v>188</v>
      </c>
      <c r="M91" s="15">
        <v>127</v>
      </c>
      <c r="N91" s="15">
        <v>4117</v>
      </c>
      <c r="O91" s="16">
        <f t="shared" ref="O91:T91" si="91">ROUND(C91 + ((2016-2012)*(I91-C91))/(2024-2012),0)</f>
        <v>10041</v>
      </c>
      <c r="P91" s="23">
        <f t="shared" si="91"/>
        <v>5650</v>
      </c>
      <c r="Q91" s="23">
        <f t="shared" si="91"/>
        <v>67</v>
      </c>
      <c r="R91" s="23">
        <f t="shared" si="91"/>
        <v>89</v>
      </c>
      <c r="S91" s="23">
        <f t="shared" si="91"/>
        <v>96</v>
      </c>
      <c r="T91" s="23">
        <f t="shared" si="91"/>
        <v>4139</v>
      </c>
      <c r="U91" s="23">
        <v>5345</v>
      </c>
      <c r="V91" s="18">
        <f t="shared" si="1"/>
        <v>305</v>
      </c>
      <c r="W91" s="18">
        <f t="shared" si="2"/>
        <v>305</v>
      </c>
      <c r="X91" s="19">
        <f t="shared" si="3"/>
        <v>10041</v>
      </c>
      <c r="Y91" s="18">
        <v>316.00001454353333</v>
      </c>
      <c r="Z91" s="20"/>
      <c r="AA91" s="15">
        <v>9660</v>
      </c>
      <c r="AB91" s="23">
        <f t="shared" si="5"/>
        <v>10765</v>
      </c>
      <c r="AC91" s="15">
        <v>12975</v>
      </c>
      <c r="AD91" s="4"/>
      <c r="AE91" s="4"/>
      <c r="AF91" s="4"/>
      <c r="AG91" s="4"/>
      <c r="AH91" s="4"/>
      <c r="AI91" s="4"/>
      <c r="AJ91" s="4"/>
      <c r="AK91" s="4"/>
      <c r="AL91" s="4"/>
    </row>
    <row r="92" spans="1:38" ht="14.4">
      <c r="A92" s="13">
        <v>21105</v>
      </c>
      <c r="B92" s="14" t="s">
        <v>107</v>
      </c>
      <c r="C92" s="15">
        <v>13638</v>
      </c>
      <c r="D92" s="15">
        <v>1307</v>
      </c>
      <c r="E92" s="15">
        <v>1624</v>
      </c>
      <c r="F92" s="15">
        <v>300</v>
      </c>
      <c r="G92" s="15">
        <v>1986</v>
      </c>
      <c r="H92" s="15">
        <v>8421</v>
      </c>
      <c r="I92" s="15">
        <v>18380</v>
      </c>
      <c r="J92" s="15">
        <v>13089</v>
      </c>
      <c r="K92" s="15">
        <v>131</v>
      </c>
      <c r="L92" s="15">
        <v>572</v>
      </c>
      <c r="M92" s="15">
        <v>72</v>
      </c>
      <c r="N92" s="15">
        <v>4516</v>
      </c>
      <c r="O92" s="16">
        <f t="shared" ref="O92:T92" si="92">ROUND(C92 + ((2016-2012)*(I92-C92))/(2024-2012),0)</f>
        <v>15219</v>
      </c>
      <c r="P92" s="17">
        <f t="shared" si="92"/>
        <v>5234</v>
      </c>
      <c r="Q92" s="17">
        <f t="shared" si="92"/>
        <v>1126</v>
      </c>
      <c r="R92" s="17">
        <f t="shared" si="92"/>
        <v>391</v>
      </c>
      <c r="S92" s="17">
        <f t="shared" si="92"/>
        <v>1348</v>
      </c>
      <c r="T92" s="17">
        <f t="shared" si="92"/>
        <v>7119</v>
      </c>
      <c r="U92" s="17">
        <v>7001</v>
      </c>
      <c r="V92" s="18">
        <f t="shared" si="1"/>
        <v>-1767</v>
      </c>
      <c r="W92" s="18">
        <f t="shared" si="2"/>
        <v>0</v>
      </c>
      <c r="X92" s="19">
        <f t="shared" si="3"/>
        <v>16985</v>
      </c>
      <c r="Y92" s="18">
        <v>268.99999380111694</v>
      </c>
      <c r="Z92" s="20"/>
      <c r="AA92" s="15">
        <v>14539</v>
      </c>
      <c r="AB92" s="17">
        <f t="shared" si="5"/>
        <v>16753</v>
      </c>
      <c r="AC92" s="15">
        <v>21182</v>
      </c>
      <c r="AD92" s="4"/>
      <c r="AE92" s="4"/>
      <c r="AF92" s="4"/>
      <c r="AG92" s="4"/>
      <c r="AH92" s="4"/>
      <c r="AI92" s="4"/>
      <c r="AJ92" s="4"/>
      <c r="AK92" s="4"/>
      <c r="AL92" s="4"/>
    </row>
    <row r="93" spans="1:38" ht="14.4">
      <c r="A93" s="21">
        <v>21201</v>
      </c>
      <c r="B93" s="22" t="s">
        <v>108</v>
      </c>
      <c r="C93" s="15">
        <v>11121</v>
      </c>
      <c r="D93" s="15">
        <v>7055</v>
      </c>
      <c r="E93" s="15">
        <v>25</v>
      </c>
      <c r="F93" s="15">
        <v>102</v>
      </c>
      <c r="G93" s="15">
        <v>166</v>
      </c>
      <c r="H93" s="15">
        <v>3773</v>
      </c>
      <c r="I93" s="15">
        <v>21459</v>
      </c>
      <c r="J93" s="15">
        <v>15390</v>
      </c>
      <c r="K93" s="15">
        <v>62</v>
      </c>
      <c r="L93" s="15">
        <v>312</v>
      </c>
      <c r="M93" s="15">
        <v>307</v>
      </c>
      <c r="N93" s="15">
        <v>5388</v>
      </c>
      <c r="O93" s="16">
        <f t="shared" ref="O93:T93" si="93">ROUND(C93 + ((2016-2012)*(I93-C93))/(2024-2012),0)</f>
        <v>14567</v>
      </c>
      <c r="P93" s="23">
        <f t="shared" si="93"/>
        <v>9833</v>
      </c>
      <c r="Q93" s="23">
        <f t="shared" si="93"/>
        <v>37</v>
      </c>
      <c r="R93" s="23">
        <f t="shared" si="93"/>
        <v>172</v>
      </c>
      <c r="S93" s="23">
        <f t="shared" si="93"/>
        <v>213</v>
      </c>
      <c r="T93" s="23">
        <f t="shared" si="93"/>
        <v>4311</v>
      </c>
      <c r="U93" s="23">
        <v>6996</v>
      </c>
      <c r="V93" s="18">
        <f t="shared" si="1"/>
        <v>2837</v>
      </c>
      <c r="W93" s="18">
        <f t="shared" si="2"/>
        <v>2837</v>
      </c>
      <c r="X93" s="19">
        <f t="shared" si="3"/>
        <v>14566</v>
      </c>
      <c r="Y93" s="18">
        <v>142.50000566244125</v>
      </c>
      <c r="Z93" s="20"/>
      <c r="AA93" s="15">
        <v>12318</v>
      </c>
      <c r="AB93" s="23">
        <f t="shared" si="5"/>
        <v>16919</v>
      </c>
      <c r="AC93" s="15">
        <v>26122</v>
      </c>
      <c r="AD93" s="4"/>
      <c r="AE93" s="4"/>
      <c r="AF93" s="4"/>
      <c r="AG93" s="4"/>
      <c r="AH93" s="4"/>
      <c r="AI93" s="4"/>
      <c r="AJ93" s="4"/>
      <c r="AK93" s="4"/>
      <c r="AL93" s="4"/>
    </row>
    <row r="94" spans="1:38" ht="14.4">
      <c r="A94" s="13">
        <v>21202</v>
      </c>
      <c r="B94" s="14" t="s">
        <v>109</v>
      </c>
      <c r="C94" s="15">
        <v>7761</v>
      </c>
      <c r="D94" s="15">
        <v>5379</v>
      </c>
      <c r="E94" s="15">
        <v>9</v>
      </c>
      <c r="F94" s="15">
        <v>21</v>
      </c>
      <c r="G94" s="15">
        <v>51</v>
      </c>
      <c r="H94" s="15">
        <v>2301</v>
      </c>
      <c r="I94" s="15">
        <v>13613</v>
      </c>
      <c r="J94" s="15">
        <v>10527</v>
      </c>
      <c r="K94" s="15">
        <v>47</v>
      </c>
      <c r="L94" s="15">
        <v>153</v>
      </c>
      <c r="M94" s="15">
        <v>148</v>
      </c>
      <c r="N94" s="15">
        <v>2738</v>
      </c>
      <c r="O94" s="16">
        <f t="shared" ref="O94:T94" si="94">ROUND(C94 + ((2016-2012)*(I94-C94))/(2024-2012),0)</f>
        <v>9712</v>
      </c>
      <c r="P94" s="17">
        <f t="shared" si="94"/>
        <v>7095</v>
      </c>
      <c r="Q94" s="17">
        <f t="shared" si="94"/>
        <v>22</v>
      </c>
      <c r="R94" s="17">
        <f t="shared" si="94"/>
        <v>65</v>
      </c>
      <c r="S94" s="17">
        <f t="shared" si="94"/>
        <v>83</v>
      </c>
      <c r="T94" s="17">
        <f t="shared" si="94"/>
        <v>2447</v>
      </c>
      <c r="U94" s="17">
        <v>7194</v>
      </c>
      <c r="V94" s="18">
        <f t="shared" si="1"/>
        <v>-99</v>
      </c>
      <c r="W94" s="18">
        <f t="shared" si="2"/>
        <v>0</v>
      </c>
      <c r="X94" s="19">
        <f t="shared" si="3"/>
        <v>9811</v>
      </c>
      <c r="Y94" s="18">
        <v>127.00000405311584</v>
      </c>
      <c r="Z94" s="20"/>
      <c r="AA94" s="15">
        <v>8012</v>
      </c>
      <c r="AB94" s="17">
        <f t="shared" si="5"/>
        <v>10848</v>
      </c>
      <c r="AC94" s="15">
        <v>16521</v>
      </c>
      <c r="AD94" s="4"/>
      <c r="AE94" s="4"/>
      <c r="AF94" s="4"/>
      <c r="AG94" s="4"/>
      <c r="AH94" s="4"/>
      <c r="AI94" s="4"/>
      <c r="AJ94" s="4"/>
      <c r="AK94" s="4"/>
      <c r="AL94" s="4"/>
    </row>
    <row r="95" spans="1:38" ht="14.4">
      <c r="A95" s="21">
        <v>21203</v>
      </c>
      <c r="B95" s="22" t="s">
        <v>110</v>
      </c>
      <c r="C95" s="15">
        <v>6062</v>
      </c>
      <c r="D95" s="15">
        <v>4344</v>
      </c>
      <c r="E95" s="15">
        <v>4</v>
      </c>
      <c r="F95" s="15">
        <v>12</v>
      </c>
      <c r="G95" s="15">
        <v>57</v>
      </c>
      <c r="H95" s="15">
        <v>1645</v>
      </c>
      <c r="I95" s="15">
        <v>8503</v>
      </c>
      <c r="J95" s="15">
        <v>6509</v>
      </c>
      <c r="K95" s="15">
        <v>22</v>
      </c>
      <c r="L95" s="15">
        <v>93</v>
      </c>
      <c r="M95" s="15">
        <v>63</v>
      </c>
      <c r="N95" s="15">
        <v>1816</v>
      </c>
      <c r="O95" s="16">
        <f t="shared" ref="O95:T95" si="95">ROUND(C95 + ((2016-2012)*(I95-C95))/(2024-2012),0)</f>
        <v>6876</v>
      </c>
      <c r="P95" s="23">
        <f t="shared" si="95"/>
        <v>5066</v>
      </c>
      <c r="Q95" s="23">
        <f t="shared" si="95"/>
        <v>10</v>
      </c>
      <c r="R95" s="23">
        <f t="shared" si="95"/>
        <v>39</v>
      </c>
      <c r="S95" s="23">
        <f t="shared" si="95"/>
        <v>59</v>
      </c>
      <c r="T95" s="23">
        <f t="shared" si="95"/>
        <v>1702</v>
      </c>
      <c r="U95" s="23">
        <v>5088</v>
      </c>
      <c r="V95" s="18">
        <f t="shared" si="1"/>
        <v>-22</v>
      </c>
      <c r="W95" s="18">
        <f t="shared" si="2"/>
        <v>0</v>
      </c>
      <c r="X95" s="19">
        <f t="shared" si="3"/>
        <v>6898</v>
      </c>
      <c r="Y95" s="18">
        <v>163.00000250339508</v>
      </c>
      <c r="Z95" s="20"/>
      <c r="AA95" s="15">
        <v>7004</v>
      </c>
      <c r="AB95" s="23">
        <f t="shared" si="5"/>
        <v>8163</v>
      </c>
      <c r="AC95" s="15">
        <v>10482</v>
      </c>
      <c r="AD95" s="4"/>
      <c r="AE95" s="4"/>
      <c r="AF95" s="4"/>
      <c r="AG95" s="4"/>
      <c r="AH95" s="4"/>
      <c r="AI95" s="4"/>
      <c r="AJ95" s="4"/>
      <c r="AK95" s="4"/>
      <c r="AL95" s="4"/>
    </row>
    <row r="96" spans="1:38" ht="14.4">
      <c r="A96" s="13">
        <v>21204</v>
      </c>
      <c r="B96" s="14" t="s">
        <v>111</v>
      </c>
      <c r="C96" s="15">
        <v>2348</v>
      </c>
      <c r="D96" s="15">
        <v>1762</v>
      </c>
      <c r="E96" s="15">
        <v>4</v>
      </c>
      <c r="F96" s="15">
        <v>3</v>
      </c>
      <c r="G96" s="15">
        <v>30</v>
      </c>
      <c r="H96" s="15">
        <v>549</v>
      </c>
      <c r="I96" s="15">
        <v>3188</v>
      </c>
      <c r="J96" s="15">
        <v>2497</v>
      </c>
      <c r="K96" s="15">
        <v>6</v>
      </c>
      <c r="L96" s="15">
        <v>31</v>
      </c>
      <c r="M96" s="15">
        <v>26</v>
      </c>
      <c r="N96" s="15">
        <v>628</v>
      </c>
      <c r="O96" s="16">
        <f t="shared" ref="O96:T96" si="96">ROUND(C96 + ((2016-2012)*(I96-C96))/(2024-2012),0)</f>
        <v>2628</v>
      </c>
      <c r="P96" s="17">
        <f t="shared" si="96"/>
        <v>2007</v>
      </c>
      <c r="Q96" s="17">
        <f t="shared" si="96"/>
        <v>5</v>
      </c>
      <c r="R96" s="17">
        <f t="shared" si="96"/>
        <v>12</v>
      </c>
      <c r="S96" s="17">
        <f t="shared" si="96"/>
        <v>29</v>
      </c>
      <c r="T96" s="17">
        <f t="shared" si="96"/>
        <v>575</v>
      </c>
      <c r="U96" s="25">
        <v>1873</v>
      </c>
      <c r="V96" s="18">
        <f t="shared" si="1"/>
        <v>134</v>
      </c>
      <c r="W96" s="18">
        <f t="shared" si="2"/>
        <v>134</v>
      </c>
      <c r="X96" s="19">
        <f t="shared" si="3"/>
        <v>2628</v>
      </c>
      <c r="Y96" s="18">
        <v>100.00000149011612</v>
      </c>
      <c r="Z96" s="20"/>
      <c r="AA96" s="15">
        <v>2564</v>
      </c>
      <c r="AB96" s="17">
        <f t="shared" si="5"/>
        <v>2893</v>
      </c>
      <c r="AC96" s="15">
        <v>3552</v>
      </c>
      <c r="AD96" s="4"/>
      <c r="AE96" s="4"/>
      <c r="AF96" s="4"/>
      <c r="AG96" s="4"/>
      <c r="AH96" s="4"/>
      <c r="AI96" s="4"/>
      <c r="AJ96" s="4"/>
      <c r="AK96" s="4"/>
      <c r="AL96" s="4"/>
    </row>
    <row r="97" spans="1:38" ht="14.4">
      <c r="A97" s="21">
        <v>21301</v>
      </c>
      <c r="B97" s="22" t="s">
        <v>112</v>
      </c>
      <c r="C97" s="15">
        <v>9420</v>
      </c>
      <c r="D97" s="15">
        <v>6169</v>
      </c>
      <c r="E97" s="15">
        <v>20</v>
      </c>
      <c r="F97" s="15">
        <v>13</v>
      </c>
      <c r="G97" s="15">
        <v>61</v>
      </c>
      <c r="H97" s="15">
        <v>3157</v>
      </c>
      <c r="I97" s="15">
        <v>12627</v>
      </c>
      <c r="J97" s="15">
        <v>9370</v>
      </c>
      <c r="K97" s="15">
        <v>32</v>
      </c>
      <c r="L97" s="15">
        <v>94</v>
      </c>
      <c r="M97" s="15">
        <v>118</v>
      </c>
      <c r="N97" s="15">
        <v>3013</v>
      </c>
      <c r="O97" s="16">
        <f t="shared" ref="O97:T97" si="97">ROUND(C97 + ((2016-2012)*(I97-C97))/(2024-2012),0)</f>
        <v>10489</v>
      </c>
      <c r="P97" s="23">
        <f t="shared" si="97"/>
        <v>7236</v>
      </c>
      <c r="Q97" s="23">
        <f t="shared" si="97"/>
        <v>24</v>
      </c>
      <c r="R97" s="23">
        <f t="shared" si="97"/>
        <v>40</v>
      </c>
      <c r="S97" s="23">
        <f t="shared" si="97"/>
        <v>80</v>
      </c>
      <c r="T97" s="23">
        <f t="shared" si="97"/>
        <v>3109</v>
      </c>
      <c r="U97" s="23">
        <v>5055</v>
      </c>
      <c r="V97" s="18">
        <f t="shared" si="1"/>
        <v>2181</v>
      </c>
      <c r="W97" s="18">
        <f t="shared" si="2"/>
        <v>2181</v>
      </c>
      <c r="X97" s="19">
        <f t="shared" si="3"/>
        <v>10489</v>
      </c>
      <c r="Y97" s="18">
        <v>134.00000333786011</v>
      </c>
      <c r="Z97" s="20"/>
      <c r="AA97" s="15">
        <v>10511</v>
      </c>
      <c r="AB97" s="23">
        <f t="shared" si="5"/>
        <v>12049</v>
      </c>
      <c r="AC97" s="15">
        <v>15126</v>
      </c>
      <c r="AD97" s="4"/>
      <c r="AE97" s="4"/>
      <c r="AF97" s="4"/>
      <c r="AG97" s="4"/>
      <c r="AH97" s="4"/>
      <c r="AI97" s="4"/>
      <c r="AJ97" s="4"/>
      <c r="AK97" s="4"/>
      <c r="AL97" s="4"/>
    </row>
    <row r="98" spans="1:38" ht="14.4">
      <c r="A98" s="13">
        <v>21302</v>
      </c>
      <c r="B98" s="14" t="s">
        <v>113</v>
      </c>
      <c r="C98" s="15">
        <v>3249</v>
      </c>
      <c r="D98" s="15">
        <v>1814</v>
      </c>
      <c r="E98" s="15">
        <v>3</v>
      </c>
      <c r="F98" s="15">
        <v>9</v>
      </c>
      <c r="G98" s="15">
        <v>34</v>
      </c>
      <c r="H98" s="15">
        <v>1389</v>
      </c>
      <c r="I98" s="15">
        <v>3921</v>
      </c>
      <c r="J98" s="15">
        <v>2939</v>
      </c>
      <c r="K98" s="15">
        <v>6</v>
      </c>
      <c r="L98" s="15">
        <v>39</v>
      </c>
      <c r="M98" s="15">
        <v>21</v>
      </c>
      <c r="N98" s="15">
        <v>916</v>
      </c>
      <c r="O98" s="16">
        <f t="shared" ref="O98:T98" si="98">ROUND(C98 + ((2016-2012)*(I98-C98))/(2024-2012),0)</f>
        <v>3473</v>
      </c>
      <c r="P98" s="17">
        <f t="shared" si="98"/>
        <v>2189</v>
      </c>
      <c r="Q98" s="17">
        <f t="shared" si="98"/>
        <v>4</v>
      </c>
      <c r="R98" s="17">
        <f t="shared" si="98"/>
        <v>19</v>
      </c>
      <c r="S98" s="17">
        <f t="shared" si="98"/>
        <v>30</v>
      </c>
      <c r="T98" s="17">
        <f t="shared" si="98"/>
        <v>1231</v>
      </c>
      <c r="U98" s="17">
        <v>2177</v>
      </c>
      <c r="V98" s="18">
        <f t="shared" si="1"/>
        <v>12</v>
      </c>
      <c r="W98" s="18">
        <f t="shared" si="2"/>
        <v>12</v>
      </c>
      <c r="X98" s="19">
        <f t="shared" si="3"/>
        <v>3473</v>
      </c>
      <c r="Y98" s="18">
        <v>65.999999642372131</v>
      </c>
      <c r="Z98" s="20"/>
      <c r="AA98" s="15">
        <v>3741</v>
      </c>
      <c r="AB98" s="17">
        <f t="shared" si="5"/>
        <v>4584</v>
      </c>
      <c r="AC98" s="15">
        <v>6271</v>
      </c>
      <c r="AD98" s="4"/>
      <c r="AE98" s="4"/>
      <c r="AF98" s="4"/>
      <c r="AG98" s="4"/>
      <c r="AH98" s="4"/>
      <c r="AI98" s="4"/>
      <c r="AJ98" s="4"/>
      <c r="AK98" s="4"/>
      <c r="AL98" s="4"/>
    </row>
    <row r="99" spans="1:38" ht="14.4">
      <c r="A99" s="21">
        <v>21303</v>
      </c>
      <c r="B99" s="22" t="s">
        <v>114</v>
      </c>
      <c r="C99" s="15">
        <v>2823</v>
      </c>
      <c r="D99" s="15">
        <v>1618</v>
      </c>
      <c r="E99" s="15">
        <v>8</v>
      </c>
      <c r="F99" s="15">
        <v>14</v>
      </c>
      <c r="G99" s="15">
        <v>58</v>
      </c>
      <c r="H99" s="15">
        <v>1125</v>
      </c>
      <c r="I99" s="15">
        <v>4794</v>
      </c>
      <c r="J99" s="15">
        <v>3104</v>
      </c>
      <c r="K99" s="15">
        <v>11</v>
      </c>
      <c r="L99" s="15">
        <v>52</v>
      </c>
      <c r="M99" s="15">
        <v>53</v>
      </c>
      <c r="N99" s="15">
        <v>1574</v>
      </c>
      <c r="O99" s="16">
        <f t="shared" ref="O99:T99" si="99">ROUND(C99 + ((2016-2012)*(I99-C99))/(2024-2012),0)</f>
        <v>3480</v>
      </c>
      <c r="P99" s="23">
        <f t="shared" si="99"/>
        <v>2113</v>
      </c>
      <c r="Q99" s="23">
        <f t="shared" si="99"/>
        <v>9</v>
      </c>
      <c r="R99" s="23">
        <f t="shared" si="99"/>
        <v>27</v>
      </c>
      <c r="S99" s="23">
        <f t="shared" si="99"/>
        <v>56</v>
      </c>
      <c r="T99" s="23">
        <f t="shared" si="99"/>
        <v>1275</v>
      </c>
      <c r="U99" s="23">
        <v>1906</v>
      </c>
      <c r="V99" s="18">
        <f t="shared" si="1"/>
        <v>207</v>
      </c>
      <c r="W99" s="18">
        <f t="shared" si="2"/>
        <v>207</v>
      </c>
      <c r="X99" s="19">
        <f t="shared" si="3"/>
        <v>3480</v>
      </c>
      <c r="Y99" s="18">
        <v>92.500001192092896</v>
      </c>
      <c r="Z99" s="20"/>
      <c r="AA99" s="15">
        <v>3225</v>
      </c>
      <c r="AB99" s="23">
        <f t="shared" si="5"/>
        <v>4032</v>
      </c>
      <c r="AC99" s="15">
        <v>5646</v>
      </c>
      <c r="AD99" s="4"/>
      <c r="AE99" s="4"/>
      <c r="AF99" s="4"/>
      <c r="AG99" s="4"/>
      <c r="AH99" s="4"/>
      <c r="AI99" s="4"/>
      <c r="AJ99" s="4"/>
      <c r="AK99" s="4"/>
      <c r="AL99" s="4"/>
    </row>
    <row r="100" spans="1:38" ht="14.4">
      <c r="A100" s="13">
        <v>21304</v>
      </c>
      <c r="B100" s="14" t="s">
        <v>115</v>
      </c>
      <c r="C100" s="15">
        <v>3827</v>
      </c>
      <c r="D100" s="15">
        <v>2471</v>
      </c>
      <c r="E100" s="15">
        <v>16</v>
      </c>
      <c r="F100" s="15">
        <v>12</v>
      </c>
      <c r="G100" s="15">
        <v>56</v>
      </c>
      <c r="H100" s="15">
        <v>1272</v>
      </c>
      <c r="I100" s="15">
        <v>5467</v>
      </c>
      <c r="J100" s="15">
        <v>4308</v>
      </c>
      <c r="K100" s="15">
        <v>11</v>
      </c>
      <c r="L100" s="15">
        <v>33</v>
      </c>
      <c r="M100" s="15">
        <v>70</v>
      </c>
      <c r="N100" s="15">
        <v>1045</v>
      </c>
      <c r="O100" s="16">
        <f t="shared" ref="O100:T100" si="100">ROUND(C100 + ((2016-2012)*(I100-C100))/(2024-2012),0)</f>
        <v>4374</v>
      </c>
      <c r="P100" s="17">
        <f t="shared" si="100"/>
        <v>3083</v>
      </c>
      <c r="Q100" s="17">
        <f t="shared" si="100"/>
        <v>14</v>
      </c>
      <c r="R100" s="17">
        <f t="shared" si="100"/>
        <v>19</v>
      </c>
      <c r="S100" s="17">
        <f t="shared" si="100"/>
        <v>61</v>
      </c>
      <c r="T100" s="17">
        <f t="shared" si="100"/>
        <v>1196</v>
      </c>
      <c r="U100" s="17">
        <v>2851</v>
      </c>
      <c r="V100" s="18">
        <f t="shared" si="1"/>
        <v>232</v>
      </c>
      <c r="W100" s="18">
        <f t="shared" si="2"/>
        <v>232</v>
      </c>
      <c r="X100" s="19">
        <f t="shared" si="3"/>
        <v>4373</v>
      </c>
      <c r="Y100" s="18">
        <v>104.99999672174454</v>
      </c>
      <c r="Z100" s="20"/>
      <c r="AA100" s="15">
        <v>4132</v>
      </c>
      <c r="AB100" s="17">
        <f t="shared" si="5"/>
        <v>4910</v>
      </c>
      <c r="AC100" s="15">
        <v>6467</v>
      </c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1:38" ht="14.4">
      <c r="A101" s="21">
        <v>21305</v>
      </c>
      <c r="B101" s="22" t="s">
        <v>116</v>
      </c>
      <c r="C101" s="15">
        <v>7497</v>
      </c>
      <c r="D101" s="15">
        <v>5507</v>
      </c>
      <c r="E101" s="15">
        <v>24</v>
      </c>
      <c r="F101" s="15">
        <v>10</v>
      </c>
      <c r="G101" s="15">
        <v>57</v>
      </c>
      <c r="H101" s="15">
        <v>1899</v>
      </c>
      <c r="I101" s="15">
        <v>9347</v>
      </c>
      <c r="J101" s="15">
        <v>7763</v>
      </c>
      <c r="K101" s="15">
        <v>23</v>
      </c>
      <c r="L101" s="15">
        <v>45</v>
      </c>
      <c r="M101" s="15">
        <v>77</v>
      </c>
      <c r="N101" s="15">
        <v>1439</v>
      </c>
      <c r="O101" s="16">
        <f t="shared" ref="O101:T101" si="101">ROUND(C101 + ((2016-2012)*(I101-C101))/(2024-2012),0)</f>
        <v>8114</v>
      </c>
      <c r="P101" s="23">
        <f t="shared" si="101"/>
        <v>6259</v>
      </c>
      <c r="Q101" s="23">
        <f t="shared" si="101"/>
        <v>24</v>
      </c>
      <c r="R101" s="23">
        <f t="shared" si="101"/>
        <v>22</v>
      </c>
      <c r="S101" s="23">
        <f t="shared" si="101"/>
        <v>64</v>
      </c>
      <c r="T101" s="23">
        <f t="shared" si="101"/>
        <v>1746</v>
      </c>
      <c r="U101" s="23">
        <v>5767</v>
      </c>
      <c r="V101" s="18">
        <f t="shared" si="1"/>
        <v>492</v>
      </c>
      <c r="W101" s="18">
        <f t="shared" si="2"/>
        <v>492</v>
      </c>
      <c r="X101" s="19">
        <f t="shared" si="3"/>
        <v>8115</v>
      </c>
      <c r="Y101" s="18">
        <v>239.99999463558197</v>
      </c>
      <c r="Z101" s="20"/>
      <c r="AA101" s="15">
        <v>8087</v>
      </c>
      <c r="AB101" s="23">
        <f t="shared" si="5"/>
        <v>9446</v>
      </c>
      <c r="AC101" s="15">
        <v>12164</v>
      </c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1:38" ht="14.4">
      <c r="A102" s="13">
        <v>21306</v>
      </c>
      <c r="B102" s="14" t="s">
        <v>117</v>
      </c>
      <c r="C102" s="15">
        <v>3200</v>
      </c>
      <c r="D102" s="15">
        <v>1843</v>
      </c>
      <c r="E102" s="15">
        <v>4</v>
      </c>
      <c r="F102" s="15">
        <v>5</v>
      </c>
      <c r="G102" s="15">
        <v>55</v>
      </c>
      <c r="H102" s="15">
        <v>1293</v>
      </c>
      <c r="I102" s="15">
        <v>4480</v>
      </c>
      <c r="J102" s="15">
        <v>3240</v>
      </c>
      <c r="K102" s="15">
        <v>16</v>
      </c>
      <c r="L102" s="15">
        <v>106</v>
      </c>
      <c r="M102" s="15">
        <v>56</v>
      </c>
      <c r="N102" s="15">
        <v>1062</v>
      </c>
      <c r="O102" s="16">
        <f t="shared" ref="O102:T102" si="102">ROUND(C102 + ((2016-2012)*(I102-C102))/(2024-2012),0)</f>
        <v>3627</v>
      </c>
      <c r="P102" s="17">
        <f t="shared" si="102"/>
        <v>2309</v>
      </c>
      <c r="Q102" s="17">
        <f t="shared" si="102"/>
        <v>8</v>
      </c>
      <c r="R102" s="17">
        <f t="shared" si="102"/>
        <v>39</v>
      </c>
      <c r="S102" s="17">
        <f t="shared" si="102"/>
        <v>55</v>
      </c>
      <c r="T102" s="17">
        <f t="shared" si="102"/>
        <v>1216</v>
      </c>
      <c r="U102" s="17">
        <v>1792</v>
      </c>
      <c r="V102" s="18">
        <f t="shared" si="1"/>
        <v>517</v>
      </c>
      <c r="W102" s="18">
        <f t="shared" si="2"/>
        <v>517</v>
      </c>
      <c r="X102" s="19">
        <f t="shared" si="3"/>
        <v>3627</v>
      </c>
      <c r="Y102" s="18">
        <v>181.99999630451202</v>
      </c>
      <c r="Z102" s="20"/>
      <c r="AA102" s="15">
        <v>3771</v>
      </c>
      <c r="AB102" s="17">
        <f t="shared" si="5"/>
        <v>4366</v>
      </c>
      <c r="AC102" s="15">
        <v>5555</v>
      </c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1:38" ht="14.4">
      <c r="A103" s="21">
        <v>21307</v>
      </c>
      <c r="B103" s="22" t="s">
        <v>118</v>
      </c>
      <c r="C103" s="15">
        <v>1272</v>
      </c>
      <c r="D103" s="15">
        <v>842</v>
      </c>
      <c r="E103" s="15">
        <v>3</v>
      </c>
      <c r="F103" s="15">
        <v>10</v>
      </c>
      <c r="G103" s="15">
        <v>11</v>
      </c>
      <c r="H103" s="15">
        <v>406</v>
      </c>
      <c r="I103" s="15">
        <v>1653</v>
      </c>
      <c r="J103" s="15">
        <v>1352</v>
      </c>
      <c r="K103" s="15">
        <v>4</v>
      </c>
      <c r="L103" s="15">
        <v>34</v>
      </c>
      <c r="M103" s="15">
        <v>20</v>
      </c>
      <c r="N103" s="15">
        <v>243</v>
      </c>
      <c r="O103" s="16">
        <f t="shared" ref="O103:T103" si="103">ROUND(C103 + ((2016-2012)*(I103-C103))/(2024-2012),0)</f>
        <v>1399</v>
      </c>
      <c r="P103" s="23">
        <f t="shared" si="103"/>
        <v>1012</v>
      </c>
      <c r="Q103" s="23">
        <f t="shared" si="103"/>
        <v>3</v>
      </c>
      <c r="R103" s="23">
        <f t="shared" si="103"/>
        <v>18</v>
      </c>
      <c r="S103" s="23">
        <f t="shared" si="103"/>
        <v>14</v>
      </c>
      <c r="T103" s="23">
        <f t="shared" si="103"/>
        <v>352</v>
      </c>
      <c r="U103" s="24">
        <v>623</v>
      </c>
      <c r="V103" s="18">
        <f t="shared" si="1"/>
        <v>389</v>
      </c>
      <c r="W103" s="18">
        <f t="shared" si="2"/>
        <v>389</v>
      </c>
      <c r="X103" s="19">
        <f t="shared" si="3"/>
        <v>1399</v>
      </c>
      <c r="Y103" s="18">
        <v>107.00000077486038</v>
      </c>
      <c r="Z103" s="20"/>
      <c r="AA103" s="15">
        <v>1347</v>
      </c>
      <c r="AB103" s="23">
        <f t="shared" si="5"/>
        <v>1546</v>
      </c>
      <c r="AC103" s="15">
        <v>1943</v>
      </c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1:38" ht="14.4">
      <c r="A104" s="13">
        <v>21401</v>
      </c>
      <c r="B104" s="14" t="s">
        <v>119</v>
      </c>
      <c r="C104" s="15">
        <v>6996</v>
      </c>
      <c r="D104" s="15">
        <v>4861</v>
      </c>
      <c r="E104" s="15">
        <v>60</v>
      </c>
      <c r="F104" s="15">
        <v>12</v>
      </c>
      <c r="G104" s="15">
        <v>130</v>
      </c>
      <c r="H104" s="15">
        <v>1933</v>
      </c>
      <c r="I104" s="15">
        <v>10376</v>
      </c>
      <c r="J104" s="15">
        <v>7872</v>
      </c>
      <c r="K104" s="15">
        <v>104</v>
      </c>
      <c r="L104" s="15">
        <v>192</v>
      </c>
      <c r="M104" s="15">
        <v>69</v>
      </c>
      <c r="N104" s="15">
        <v>2139</v>
      </c>
      <c r="O104" s="16">
        <f t="shared" ref="O104:T104" si="104">ROUND(C104 + ((2016-2012)*(I104-C104))/(2024-2012),0)</f>
        <v>8123</v>
      </c>
      <c r="P104" s="17">
        <f t="shared" si="104"/>
        <v>5865</v>
      </c>
      <c r="Q104" s="17">
        <f t="shared" si="104"/>
        <v>75</v>
      </c>
      <c r="R104" s="17">
        <f t="shared" si="104"/>
        <v>72</v>
      </c>
      <c r="S104" s="17">
        <f t="shared" si="104"/>
        <v>110</v>
      </c>
      <c r="T104" s="17">
        <f t="shared" si="104"/>
        <v>2002</v>
      </c>
      <c r="U104" s="17">
        <v>4959</v>
      </c>
      <c r="V104" s="18">
        <f t="shared" si="1"/>
        <v>906</v>
      </c>
      <c r="W104" s="18">
        <f t="shared" si="2"/>
        <v>906</v>
      </c>
      <c r="X104" s="19">
        <f t="shared" si="3"/>
        <v>8124</v>
      </c>
      <c r="Y104" s="18">
        <v>395.99999785423279</v>
      </c>
      <c r="Z104" s="20"/>
      <c r="AA104" s="15">
        <v>7164</v>
      </c>
      <c r="AB104" s="17">
        <f t="shared" si="5"/>
        <v>8573</v>
      </c>
      <c r="AC104" s="15">
        <v>11392</v>
      </c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1:38" ht="14.4">
      <c r="A105" s="21">
        <v>21402</v>
      </c>
      <c r="B105" s="22" t="s">
        <v>120</v>
      </c>
      <c r="C105" s="15">
        <v>5380</v>
      </c>
      <c r="D105" s="15">
        <v>4629</v>
      </c>
      <c r="E105" s="15">
        <v>24</v>
      </c>
      <c r="F105" s="15">
        <v>16</v>
      </c>
      <c r="G105" s="15">
        <v>5</v>
      </c>
      <c r="H105" s="15">
        <v>706</v>
      </c>
      <c r="I105" s="15">
        <v>8913</v>
      </c>
      <c r="J105" s="15">
        <v>7919</v>
      </c>
      <c r="K105" s="15">
        <v>253</v>
      </c>
      <c r="L105" s="15">
        <v>51</v>
      </c>
      <c r="M105" s="15">
        <v>118</v>
      </c>
      <c r="N105" s="15">
        <v>572</v>
      </c>
      <c r="O105" s="16">
        <f t="shared" ref="O105:T105" si="105">ROUND(C105 + ((2016-2012)*(I105-C105))/(2024-2012),0)</f>
        <v>6558</v>
      </c>
      <c r="P105" s="23">
        <f t="shared" si="105"/>
        <v>5726</v>
      </c>
      <c r="Q105" s="23">
        <f t="shared" si="105"/>
        <v>100</v>
      </c>
      <c r="R105" s="23">
        <f t="shared" si="105"/>
        <v>28</v>
      </c>
      <c r="S105" s="23">
        <f t="shared" si="105"/>
        <v>43</v>
      </c>
      <c r="T105" s="23">
        <f t="shared" si="105"/>
        <v>661</v>
      </c>
      <c r="U105" s="23">
        <v>5476</v>
      </c>
      <c r="V105" s="18">
        <f t="shared" si="1"/>
        <v>250</v>
      </c>
      <c r="W105" s="18">
        <f t="shared" si="2"/>
        <v>250</v>
      </c>
      <c r="X105" s="19">
        <f t="shared" si="3"/>
        <v>6558</v>
      </c>
      <c r="Y105" s="18">
        <v>310.99998950958252</v>
      </c>
      <c r="Z105" s="20"/>
      <c r="AA105" s="15">
        <v>5648</v>
      </c>
      <c r="AB105" s="23">
        <f t="shared" si="5"/>
        <v>7213</v>
      </c>
      <c r="AC105" s="15">
        <v>10342</v>
      </c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1:38" ht="14.4">
      <c r="A106" s="13">
        <v>21501</v>
      </c>
      <c r="B106" s="14" t="s">
        <v>121</v>
      </c>
      <c r="C106" s="15">
        <v>2270</v>
      </c>
      <c r="D106" s="15">
        <v>834</v>
      </c>
      <c r="E106" s="15">
        <v>315</v>
      </c>
      <c r="F106" s="15">
        <v>49</v>
      </c>
      <c r="G106" s="15">
        <v>86</v>
      </c>
      <c r="H106" s="15">
        <v>986</v>
      </c>
      <c r="I106" s="15">
        <v>3306</v>
      </c>
      <c r="J106" s="15">
        <v>1470</v>
      </c>
      <c r="K106" s="15">
        <v>337</v>
      </c>
      <c r="L106" s="15">
        <v>353</v>
      </c>
      <c r="M106" s="15">
        <v>103</v>
      </c>
      <c r="N106" s="15">
        <v>1043</v>
      </c>
      <c r="O106" s="16">
        <f t="shared" ref="O106:T106" si="106">ROUND(C106 + ((2016-2012)*(I106-C106))/(2024-2012),0)</f>
        <v>2615</v>
      </c>
      <c r="P106" s="17">
        <f t="shared" si="106"/>
        <v>1046</v>
      </c>
      <c r="Q106" s="17">
        <f t="shared" si="106"/>
        <v>322</v>
      </c>
      <c r="R106" s="17">
        <f t="shared" si="106"/>
        <v>150</v>
      </c>
      <c r="S106" s="17">
        <f t="shared" si="106"/>
        <v>92</v>
      </c>
      <c r="T106" s="17">
        <f t="shared" si="106"/>
        <v>1005</v>
      </c>
      <c r="U106" s="17">
        <v>844</v>
      </c>
      <c r="V106" s="18">
        <f t="shared" si="1"/>
        <v>202</v>
      </c>
      <c r="W106" s="18">
        <f t="shared" si="2"/>
        <v>202</v>
      </c>
      <c r="X106" s="19">
        <f t="shared" si="3"/>
        <v>2615</v>
      </c>
      <c r="Y106" s="18">
        <v>601.00001096725464</v>
      </c>
      <c r="Z106" s="20"/>
      <c r="AA106" s="15">
        <v>2462</v>
      </c>
      <c r="AB106" s="17">
        <f t="shared" si="5"/>
        <v>2982</v>
      </c>
      <c r="AC106" s="15">
        <v>4023</v>
      </c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1:38" ht="14.4">
      <c r="A107" s="21">
        <v>21502</v>
      </c>
      <c r="B107" s="22" t="s">
        <v>122</v>
      </c>
      <c r="C107" s="15">
        <v>2005</v>
      </c>
      <c r="D107" s="15">
        <v>1186</v>
      </c>
      <c r="E107" s="15">
        <v>85</v>
      </c>
      <c r="F107" s="15">
        <v>37</v>
      </c>
      <c r="G107" s="15">
        <v>35</v>
      </c>
      <c r="H107" s="15">
        <v>662</v>
      </c>
      <c r="I107" s="15">
        <v>2849</v>
      </c>
      <c r="J107" s="15">
        <v>2480</v>
      </c>
      <c r="K107" s="15">
        <v>13</v>
      </c>
      <c r="L107" s="15">
        <v>20</v>
      </c>
      <c r="M107" s="15">
        <v>6</v>
      </c>
      <c r="N107" s="15">
        <v>330</v>
      </c>
      <c r="O107" s="16">
        <f t="shared" ref="O107:T107" si="107">ROUND(C107 + ((2016-2012)*(I107-C107))/(2024-2012),0)</f>
        <v>2286</v>
      </c>
      <c r="P107" s="23">
        <f t="shared" si="107"/>
        <v>1617</v>
      </c>
      <c r="Q107" s="23">
        <f t="shared" si="107"/>
        <v>61</v>
      </c>
      <c r="R107" s="23">
        <f t="shared" si="107"/>
        <v>31</v>
      </c>
      <c r="S107" s="23">
        <f t="shared" si="107"/>
        <v>25</v>
      </c>
      <c r="T107" s="23">
        <f t="shared" si="107"/>
        <v>551</v>
      </c>
      <c r="U107" s="23">
        <v>1461</v>
      </c>
      <c r="V107" s="18">
        <f t="shared" si="1"/>
        <v>156</v>
      </c>
      <c r="W107" s="18">
        <f t="shared" si="2"/>
        <v>156</v>
      </c>
      <c r="X107" s="19">
        <f t="shared" si="3"/>
        <v>2285</v>
      </c>
      <c r="Y107" s="18">
        <v>462.49999105930328</v>
      </c>
      <c r="Z107" s="20"/>
      <c r="AA107" s="15">
        <v>2108</v>
      </c>
      <c r="AB107" s="23">
        <f t="shared" si="5"/>
        <v>2595</v>
      </c>
      <c r="AC107" s="15">
        <v>3569</v>
      </c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1:38" ht="14.4">
      <c r="A108" s="13">
        <v>21601</v>
      </c>
      <c r="B108" s="14" t="s">
        <v>123</v>
      </c>
      <c r="C108" s="15">
        <v>3550</v>
      </c>
      <c r="D108" s="15">
        <v>1834</v>
      </c>
      <c r="E108" s="15">
        <v>27</v>
      </c>
      <c r="F108" s="15">
        <v>47</v>
      </c>
      <c r="G108" s="15">
        <v>44</v>
      </c>
      <c r="H108" s="15">
        <v>1598</v>
      </c>
      <c r="I108" s="15">
        <v>5022</v>
      </c>
      <c r="J108" s="15">
        <v>3863</v>
      </c>
      <c r="K108" s="15">
        <v>10</v>
      </c>
      <c r="L108" s="15">
        <v>49</v>
      </c>
      <c r="M108" s="15">
        <v>30</v>
      </c>
      <c r="N108" s="15">
        <v>1070</v>
      </c>
      <c r="O108" s="16">
        <f t="shared" ref="O108:T108" si="108">ROUND(C108 + ((2016-2012)*(I108-C108))/(2024-2012),0)</f>
        <v>4041</v>
      </c>
      <c r="P108" s="17">
        <f t="shared" si="108"/>
        <v>2510</v>
      </c>
      <c r="Q108" s="17">
        <f t="shared" si="108"/>
        <v>21</v>
      </c>
      <c r="R108" s="17">
        <f t="shared" si="108"/>
        <v>48</v>
      </c>
      <c r="S108" s="17">
        <f t="shared" si="108"/>
        <v>39</v>
      </c>
      <c r="T108" s="17">
        <f t="shared" si="108"/>
        <v>1422</v>
      </c>
      <c r="U108" s="17">
        <v>1906</v>
      </c>
      <c r="V108" s="18">
        <f t="shared" si="1"/>
        <v>604</v>
      </c>
      <c r="W108" s="18">
        <f t="shared" si="2"/>
        <v>604</v>
      </c>
      <c r="X108" s="19">
        <f t="shared" si="3"/>
        <v>4040</v>
      </c>
      <c r="Y108" s="18">
        <v>92.000000178813934</v>
      </c>
      <c r="Z108" s="20"/>
      <c r="AA108" s="15">
        <v>3851</v>
      </c>
      <c r="AB108" s="17">
        <f t="shared" si="5"/>
        <v>4508</v>
      </c>
      <c r="AC108" s="15">
        <v>5823</v>
      </c>
      <c r="AD108" s="4"/>
      <c r="AE108" s="4"/>
      <c r="AF108" s="4"/>
      <c r="AG108" s="4"/>
      <c r="AH108" s="4"/>
      <c r="AI108" s="4"/>
      <c r="AJ108" s="4"/>
      <c r="AK108" s="4"/>
      <c r="AL108" s="4"/>
    </row>
    <row r="109" spans="1:38" ht="14.4">
      <c r="A109" s="21">
        <v>21602</v>
      </c>
      <c r="B109" s="22" t="s">
        <v>124</v>
      </c>
      <c r="C109" s="15">
        <v>982</v>
      </c>
      <c r="D109" s="15">
        <v>426</v>
      </c>
      <c r="E109" s="15">
        <v>4</v>
      </c>
      <c r="F109" s="15">
        <v>37</v>
      </c>
      <c r="G109" s="15">
        <v>35</v>
      </c>
      <c r="H109" s="15">
        <v>480</v>
      </c>
      <c r="I109" s="15">
        <v>1656</v>
      </c>
      <c r="J109" s="15">
        <v>1017</v>
      </c>
      <c r="K109" s="15">
        <v>5</v>
      </c>
      <c r="L109" s="15">
        <v>77</v>
      </c>
      <c r="M109" s="15">
        <v>12</v>
      </c>
      <c r="N109" s="15">
        <v>545</v>
      </c>
      <c r="O109" s="16">
        <f t="shared" ref="O109:T109" si="109">ROUND(C109 + ((2016-2012)*(I109-C109))/(2024-2012),0)</f>
        <v>1207</v>
      </c>
      <c r="P109" s="23">
        <f t="shared" si="109"/>
        <v>623</v>
      </c>
      <c r="Q109" s="23">
        <f t="shared" si="109"/>
        <v>4</v>
      </c>
      <c r="R109" s="23">
        <f t="shared" si="109"/>
        <v>50</v>
      </c>
      <c r="S109" s="23">
        <f t="shared" si="109"/>
        <v>27</v>
      </c>
      <c r="T109" s="23">
        <f t="shared" si="109"/>
        <v>502</v>
      </c>
      <c r="U109" s="24">
        <v>316</v>
      </c>
      <c r="V109" s="18">
        <f t="shared" si="1"/>
        <v>307</v>
      </c>
      <c r="W109" s="18">
        <f t="shared" si="2"/>
        <v>307</v>
      </c>
      <c r="X109" s="19">
        <f t="shared" si="3"/>
        <v>1206</v>
      </c>
      <c r="Y109" s="18">
        <v>81.50000125169754</v>
      </c>
      <c r="Z109" s="20"/>
      <c r="AA109" s="15">
        <v>1077</v>
      </c>
      <c r="AB109" s="23">
        <f t="shared" si="5"/>
        <v>1366</v>
      </c>
      <c r="AC109" s="15">
        <v>1944</v>
      </c>
      <c r="AD109" s="4"/>
      <c r="AE109" s="4"/>
      <c r="AF109" s="4"/>
      <c r="AG109" s="4"/>
      <c r="AH109" s="4"/>
      <c r="AI109" s="4"/>
      <c r="AJ109" s="4"/>
      <c r="AK109" s="4"/>
      <c r="AL109" s="4"/>
    </row>
    <row r="110" spans="1:38" ht="14.4">
      <c r="A110" s="13">
        <v>21701</v>
      </c>
      <c r="B110" s="14" t="s">
        <v>125</v>
      </c>
      <c r="C110" s="15">
        <v>5144</v>
      </c>
      <c r="D110" s="15">
        <v>4068</v>
      </c>
      <c r="E110" s="15">
        <v>8</v>
      </c>
      <c r="F110" s="15">
        <v>32</v>
      </c>
      <c r="G110" s="15">
        <v>16</v>
      </c>
      <c r="H110" s="15">
        <v>1020</v>
      </c>
      <c r="I110" s="15">
        <v>6817</v>
      </c>
      <c r="J110" s="15">
        <v>5348</v>
      </c>
      <c r="K110" s="15">
        <v>11</v>
      </c>
      <c r="L110" s="15">
        <v>52</v>
      </c>
      <c r="M110" s="15">
        <v>45</v>
      </c>
      <c r="N110" s="15">
        <v>1361</v>
      </c>
      <c r="O110" s="16">
        <f t="shared" ref="O110:T110" si="110">ROUND(C110 + ((2016-2012)*(I110-C110))/(2024-2012),0)</f>
        <v>5702</v>
      </c>
      <c r="P110" s="17">
        <f t="shared" si="110"/>
        <v>4495</v>
      </c>
      <c r="Q110" s="17">
        <f t="shared" si="110"/>
        <v>9</v>
      </c>
      <c r="R110" s="17">
        <f t="shared" si="110"/>
        <v>39</v>
      </c>
      <c r="S110" s="17">
        <f t="shared" si="110"/>
        <v>26</v>
      </c>
      <c r="T110" s="17">
        <f t="shared" si="110"/>
        <v>1134</v>
      </c>
      <c r="U110" s="17">
        <v>4809</v>
      </c>
      <c r="V110" s="18">
        <f t="shared" si="1"/>
        <v>-314</v>
      </c>
      <c r="W110" s="18">
        <f t="shared" si="2"/>
        <v>0</v>
      </c>
      <c r="X110" s="19">
        <f t="shared" si="3"/>
        <v>6017</v>
      </c>
      <c r="Y110" s="18">
        <v>202.99999415874481</v>
      </c>
      <c r="Z110" s="20"/>
      <c r="AA110" s="15">
        <v>6205</v>
      </c>
      <c r="AB110" s="17">
        <f t="shared" si="5"/>
        <v>7161</v>
      </c>
      <c r="AC110" s="15">
        <v>9072</v>
      </c>
      <c r="AD110" s="4"/>
      <c r="AE110" s="4"/>
      <c r="AF110" s="4"/>
      <c r="AG110" s="4"/>
      <c r="AH110" s="4"/>
      <c r="AI110" s="4"/>
      <c r="AJ110" s="4"/>
      <c r="AK110" s="4"/>
      <c r="AL110" s="4"/>
    </row>
    <row r="111" spans="1:38" ht="14.4">
      <c r="A111" s="21">
        <v>21702</v>
      </c>
      <c r="B111" s="22" t="s">
        <v>126</v>
      </c>
      <c r="C111" s="15">
        <v>2467</v>
      </c>
      <c r="D111" s="15">
        <v>1641</v>
      </c>
      <c r="E111" s="15">
        <v>3</v>
      </c>
      <c r="F111" s="15">
        <v>1</v>
      </c>
      <c r="G111" s="15">
        <v>16</v>
      </c>
      <c r="H111" s="15">
        <v>806</v>
      </c>
      <c r="I111" s="15">
        <v>3631</v>
      </c>
      <c r="J111" s="15">
        <v>2882</v>
      </c>
      <c r="K111" s="15">
        <v>4</v>
      </c>
      <c r="L111" s="15">
        <v>18</v>
      </c>
      <c r="M111" s="15">
        <v>18</v>
      </c>
      <c r="N111" s="15">
        <v>709</v>
      </c>
      <c r="O111" s="16">
        <f t="shared" ref="O111:T111" si="111">ROUND(C111 + ((2016-2012)*(I111-C111))/(2024-2012),0)</f>
        <v>2855</v>
      </c>
      <c r="P111" s="23">
        <f t="shared" si="111"/>
        <v>2055</v>
      </c>
      <c r="Q111" s="23">
        <f t="shared" si="111"/>
        <v>3</v>
      </c>
      <c r="R111" s="23">
        <f t="shared" si="111"/>
        <v>7</v>
      </c>
      <c r="S111" s="23">
        <f t="shared" si="111"/>
        <v>17</v>
      </c>
      <c r="T111" s="23">
        <f t="shared" si="111"/>
        <v>774</v>
      </c>
      <c r="U111" s="23">
        <v>1758</v>
      </c>
      <c r="V111" s="18">
        <f t="shared" si="1"/>
        <v>297</v>
      </c>
      <c r="W111" s="18">
        <f t="shared" si="2"/>
        <v>297</v>
      </c>
      <c r="X111" s="19">
        <f t="shared" si="3"/>
        <v>2856</v>
      </c>
      <c r="Y111" s="18">
        <v>103.00000011920929</v>
      </c>
      <c r="Z111" s="20"/>
      <c r="AA111" s="15">
        <v>2895</v>
      </c>
      <c r="AB111" s="23">
        <f t="shared" si="5"/>
        <v>3398</v>
      </c>
      <c r="AC111" s="15">
        <v>4405</v>
      </c>
      <c r="AD111" s="4"/>
      <c r="AE111" s="4"/>
      <c r="AF111" s="4"/>
      <c r="AG111" s="4"/>
      <c r="AH111" s="4"/>
      <c r="AI111" s="4"/>
      <c r="AJ111" s="4"/>
      <c r="AK111" s="4"/>
      <c r="AL111" s="4"/>
    </row>
    <row r="112" spans="1:38" ht="14.4">
      <c r="A112" s="13">
        <v>21703</v>
      </c>
      <c r="B112" s="14" t="s">
        <v>127</v>
      </c>
      <c r="C112" s="15">
        <v>1295</v>
      </c>
      <c r="D112" s="15">
        <v>775</v>
      </c>
      <c r="E112" s="15">
        <v>1</v>
      </c>
      <c r="F112" s="15">
        <v>2</v>
      </c>
      <c r="G112" s="15">
        <v>21</v>
      </c>
      <c r="H112" s="15">
        <v>496</v>
      </c>
      <c r="I112" s="15">
        <v>1474</v>
      </c>
      <c r="J112" s="15">
        <v>1011</v>
      </c>
      <c r="K112" s="15">
        <v>2</v>
      </c>
      <c r="L112" s="15">
        <v>4</v>
      </c>
      <c r="M112" s="15">
        <v>11</v>
      </c>
      <c r="N112" s="15">
        <v>446</v>
      </c>
      <c r="O112" s="16">
        <f t="shared" ref="O112:T112" si="112">ROUND(C112 + ((2016-2012)*(I112-C112))/(2024-2012),0)</f>
        <v>1355</v>
      </c>
      <c r="P112" s="17">
        <f t="shared" si="112"/>
        <v>854</v>
      </c>
      <c r="Q112" s="17">
        <f t="shared" si="112"/>
        <v>1</v>
      </c>
      <c r="R112" s="17">
        <f t="shared" si="112"/>
        <v>3</v>
      </c>
      <c r="S112" s="17">
        <f t="shared" si="112"/>
        <v>18</v>
      </c>
      <c r="T112" s="17">
        <f t="shared" si="112"/>
        <v>479</v>
      </c>
      <c r="U112" s="25">
        <v>467</v>
      </c>
      <c r="V112" s="18">
        <f t="shared" si="1"/>
        <v>387</v>
      </c>
      <c r="W112" s="18">
        <f t="shared" si="2"/>
        <v>387</v>
      </c>
      <c r="X112" s="19">
        <f t="shared" si="3"/>
        <v>1355</v>
      </c>
      <c r="Y112" s="18">
        <v>70.000000298023224</v>
      </c>
      <c r="Z112" s="20"/>
      <c r="AA112" s="15">
        <v>1304</v>
      </c>
      <c r="AB112" s="17">
        <f t="shared" si="5"/>
        <v>1378</v>
      </c>
      <c r="AC112" s="15">
        <v>1526</v>
      </c>
      <c r="AD112" s="4"/>
      <c r="AE112" s="4"/>
      <c r="AF112" s="4"/>
      <c r="AG112" s="4"/>
      <c r="AH112" s="4"/>
      <c r="AI112" s="4"/>
      <c r="AJ112" s="4"/>
      <c r="AK112" s="4"/>
      <c r="AL112" s="4"/>
    </row>
    <row r="113" spans="1:38" ht="14.4">
      <c r="A113" s="21">
        <v>21801</v>
      </c>
      <c r="B113" s="22" t="s">
        <v>128</v>
      </c>
      <c r="C113" s="15">
        <v>2828</v>
      </c>
      <c r="D113" s="15">
        <v>1107</v>
      </c>
      <c r="E113" s="15">
        <v>3</v>
      </c>
      <c r="F113" s="15">
        <v>1</v>
      </c>
      <c r="G113" s="15">
        <v>137</v>
      </c>
      <c r="H113" s="15">
        <v>1580</v>
      </c>
      <c r="I113" s="15">
        <v>3484</v>
      </c>
      <c r="J113" s="15">
        <v>2542</v>
      </c>
      <c r="K113" s="15">
        <v>9</v>
      </c>
      <c r="L113" s="15">
        <v>23</v>
      </c>
      <c r="M113" s="15">
        <v>32</v>
      </c>
      <c r="N113" s="15">
        <v>878</v>
      </c>
      <c r="O113" s="16">
        <f t="shared" ref="O113:T113" si="113">ROUND(C113 + ((2016-2012)*(I113-C113))/(2024-2012),0)</f>
        <v>3047</v>
      </c>
      <c r="P113" s="23">
        <f t="shared" si="113"/>
        <v>1585</v>
      </c>
      <c r="Q113" s="23">
        <f t="shared" si="113"/>
        <v>5</v>
      </c>
      <c r="R113" s="23">
        <f t="shared" si="113"/>
        <v>8</v>
      </c>
      <c r="S113" s="23">
        <f t="shared" si="113"/>
        <v>102</v>
      </c>
      <c r="T113" s="23">
        <f t="shared" si="113"/>
        <v>1346</v>
      </c>
      <c r="U113" s="23">
        <v>157</v>
      </c>
      <c r="V113" s="18">
        <f t="shared" si="1"/>
        <v>1428</v>
      </c>
      <c r="W113" s="18">
        <f t="shared" si="2"/>
        <v>1428</v>
      </c>
      <c r="X113" s="19">
        <f t="shared" si="3"/>
        <v>3046</v>
      </c>
      <c r="Y113" s="18">
        <v>75.000002980232239</v>
      </c>
      <c r="Z113" s="20"/>
      <c r="AA113" s="15">
        <v>3568</v>
      </c>
      <c r="AB113" s="23">
        <f t="shared" si="5"/>
        <v>4141</v>
      </c>
      <c r="AC113" s="15">
        <v>5287</v>
      </c>
      <c r="AD113" s="4"/>
      <c r="AE113" s="4"/>
      <c r="AF113" s="4"/>
      <c r="AG113" s="4"/>
      <c r="AH113" s="4"/>
      <c r="AI113" s="4"/>
      <c r="AJ113" s="4"/>
      <c r="AK113" s="4"/>
      <c r="AL113" s="4"/>
    </row>
    <row r="114" spans="1:38" ht="14.4">
      <c r="A114" s="13">
        <v>21802</v>
      </c>
      <c r="B114" s="14" t="s">
        <v>129</v>
      </c>
      <c r="C114" s="15">
        <v>2429</v>
      </c>
      <c r="D114" s="15">
        <v>1142</v>
      </c>
      <c r="E114" s="15">
        <v>5</v>
      </c>
      <c r="F114" s="15">
        <v>2</v>
      </c>
      <c r="G114" s="15">
        <v>63</v>
      </c>
      <c r="H114" s="15">
        <v>1217</v>
      </c>
      <c r="I114" s="15">
        <v>2888</v>
      </c>
      <c r="J114" s="15">
        <v>1970</v>
      </c>
      <c r="K114" s="15">
        <v>7</v>
      </c>
      <c r="L114" s="15">
        <v>34</v>
      </c>
      <c r="M114" s="15">
        <v>15</v>
      </c>
      <c r="N114" s="15">
        <v>862</v>
      </c>
      <c r="O114" s="16">
        <f t="shared" ref="O114:T114" si="114">ROUND(C114 + ((2016-2012)*(I114-C114))/(2024-2012),0)</f>
        <v>2582</v>
      </c>
      <c r="P114" s="17">
        <f t="shared" si="114"/>
        <v>1418</v>
      </c>
      <c r="Q114" s="17">
        <f t="shared" si="114"/>
        <v>6</v>
      </c>
      <c r="R114" s="17">
        <f t="shared" si="114"/>
        <v>13</v>
      </c>
      <c r="S114" s="17">
        <f t="shared" si="114"/>
        <v>47</v>
      </c>
      <c r="T114" s="17">
        <f t="shared" si="114"/>
        <v>1099</v>
      </c>
      <c r="U114" s="17">
        <v>1085</v>
      </c>
      <c r="V114" s="18">
        <f t="shared" si="1"/>
        <v>333</v>
      </c>
      <c r="W114" s="18">
        <f t="shared" si="2"/>
        <v>333</v>
      </c>
      <c r="X114" s="19">
        <f t="shared" si="3"/>
        <v>2583</v>
      </c>
      <c r="Y114" s="18">
        <v>8.0000003799796104</v>
      </c>
      <c r="Z114" s="20"/>
      <c r="AA114" s="15">
        <v>3203</v>
      </c>
      <c r="AB114" s="17">
        <f t="shared" si="5"/>
        <v>3685</v>
      </c>
      <c r="AC114" s="15">
        <v>4649</v>
      </c>
      <c r="AD114" s="4"/>
      <c r="AE114" s="4"/>
      <c r="AF114" s="4"/>
      <c r="AG114" s="4"/>
      <c r="AH114" s="4"/>
      <c r="AI114" s="4"/>
      <c r="AJ114" s="4"/>
      <c r="AK114" s="4"/>
      <c r="AL114" s="4"/>
    </row>
    <row r="115" spans="1:38" ht="14.4">
      <c r="A115" s="21">
        <v>21803</v>
      </c>
      <c r="B115" s="22" t="s">
        <v>130</v>
      </c>
      <c r="C115" s="15">
        <v>769</v>
      </c>
      <c r="D115" s="15">
        <v>449</v>
      </c>
      <c r="E115" s="15">
        <v>1</v>
      </c>
      <c r="F115" s="15">
        <v>2</v>
      </c>
      <c r="G115" s="15">
        <v>0</v>
      </c>
      <c r="H115" s="15">
        <v>317</v>
      </c>
      <c r="I115" s="15">
        <v>881</v>
      </c>
      <c r="J115" s="15">
        <v>549</v>
      </c>
      <c r="K115" s="15">
        <v>14</v>
      </c>
      <c r="L115" s="15">
        <v>5</v>
      </c>
      <c r="M115" s="15">
        <v>0</v>
      </c>
      <c r="N115" s="15">
        <v>313</v>
      </c>
      <c r="O115" s="16">
        <f t="shared" ref="O115:T115" si="115">ROUND(C115 + ((2016-2012)*(I115-C115))/(2024-2012),0)</f>
        <v>806</v>
      </c>
      <c r="P115" s="23">
        <f t="shared" si="115"/>
        <v>482</v>
      </c>
      <c r="Q115" s="23">
        <f t="shared" si="115"/>
        <v>5</v>
      </c>
      <c r="R115" s="23">
        <f t="shared" si="115"/>
        <v>3</v>
      </c>
      <c r="S115" s="23">
        <f t="shared" si="115"/>
        <v>0</v>
      </c>
      <c r="T115" s="23">
        <f t="shared" si="115"/>
        <v>316</v>
      </c>
      <c r="U115" s="24">
        <v>300</v>
      </c>
      <c r="V115" s="18">
        <f t="shared" si="1"/>
        <v>182</v>
      </c>
      <c r="W115" s="18">
        <f t="shared" si="2"/>
        <v>182</v>
      </c>
      <c r="X115" s="19">
        <f t="shared" si="3"/>
        <v>806</v>
      </c>
      <c r="Y115" s="18">
        <v>69.499999284744263</v>
      </c>
      <c r="Z115" s="20"/>
      <c r="AA115" s="15">
        <v>866</v>
      </c>
      <c r="AB115" s="23">
        <f t="shared" si="5"/>
        <v>990</v>
      </c>
      <c r="AC115" s="15">
        <v>1237</v>
      </c>
      <c r="AD115" s="4"/>
      <c r="AE115" s="4"/>
      <c r="AF115" s="4"/>
      <c r="AG115" s="4"/>
      <c r="AH115" s="4"/>
      <c r="AI115" s="4"/>
      <c r="AJ115" s="4"/>
      <c r="AK115" s="4"/>
      <c r="AL115" s="4"/>
    </row>
    <row r="116" spans="1:38" ht="14.4">
      <c r="A116" s="13">
        <v>21901</v>
      </c>
      <c r="B116" s="14" t="s">
        <v>131</v>
      </c>
      <c r="C116" s="15">
        <v>1830</v>
      </c>
      <c r="D116" s="15">
        <v>517</v>
      </c>
      <c r="E116" s="15">
        <v>1</v>
      </c>
      <c r="F116" s="15">
        <v>63</v>
      </c>
      <c r="G116" s="15">
        <v>185</v>
      </c>
      <c r="H116" s="15">
        <v>1064</v>
      </c>
      <c r="I116" s="15">
        <v>2956</v>
      </c>
      <c r="J116" s="15">
        <v>2180</v>
      </c>
      <c r="K116" s="15">
        <v>9</v>
      </c>
      <c r="L116" s="15">
        <v>47</v>
      </c>
      <c r="M116" s="15">
        <v>9</v>
      </c>
      <c r="N116" s="15">
        <v>711</v>
      </c>
      <c r="O116" s="16">
        <f t="shared" ref="O116:T116" si="116">ROUND(C116 + ((2016-2012)*(I116-C116))/(2024-2012),0)</f>
        <v>2205</v>
      </c>
      <c r="P116" s="17">
        <f t="shared" si="116"/>
        <v>1071</v>
      </c>
      <c r="Q116" s="17">
        <f t="shared" si="116"/>
        <v>4</v>
      </c>
      <c r="R116" s="17">
        <f t="shared" si="116"/>
        <v>58</v>
      </c>
      <c r="S116" s="17">
        <f t="shared" si="116"/>
        <v>126</v>
      </c>
      <c r="T116" s="17">
        <f t="shared" si="116"/>
        <v>946</v>
      </c>
      <c r="U116" s="17">
        <v>1272</v>
      </c>
      <c r="V116" s="18">
        <f t="shared" si="1"/>
        <v>-201</v>
      </c>
      <c r="W116" s="18">
        <f t="shared" si="2"/>
        <v>0</v>
      </c>
      <c r="X116" s="19">
        <f t="shared" si="3"/>
        <v>2406</v>
      </c>
      <c r="Y116" s="18">
        <v>35.999998450279236</v>
      </c>
      <c r="Z116" s="20"/>
      <c r="AA116" s="15">
        <v>2734</v>
      </c>
      <c r="AB116" s="17">
        <f t="shared" si="5"/>
        <v>3165</v>
      </c>
      <c r="AC116" s="15">
        <v>4027</v>
      </c>
      <c r="AD116" s="4"/>
      <c r="AE116" s="4"/>
      <c r="AF116" s="4"/>
      <c r="AG116" s="4"/>
      <c r="AH116" s="4"/>
      <c r="AI116" s="4"/>
      <c r="AJ116" s="4"/>
      <c r="AK116" s="4"/>
      <c r="AL116" s="4"/>
    </row>
    <row r="117" spans="1:38" ht="14.4">
      <c r="A117" s="21">
        <v>21902</v>
      </c>
      <c r="B117" s="22" t="s">
        <v>132</v>
      </c>
      <c r="C117" s="15">
        <v>736</v>
      </c>
      <c r="D117" s="15">
        <v>374</v>
      </c>
      <c r="E117" s="15">
        <v>0</v>
      </c>
      <c r="F117" s="15">
        <v>8</v>
      </c>
      <c r="G117" s="15">
        <v>16</v>
      </c>
      <c r="H117" s="15">
        <v>338</v>
      </c>
      <c r="I117" s="15">
        <v>1695</v>
      </c>
      <c r="J117" s="15">
        <v>1235</v>
      </c>
      <c r="K117" s="15">
        <v>7</v>
      </c>
      <c r="L117" s="15">
        <v>61</v>
      </c>
      <c r="M117" s="15">
        <v>12</v>
      </c>
      <c r="N117" s="15">
        <v>380</v>
      </c>
      <c r="O117" s="16">
        <f t="shared" ref="O117:T117" si="117">ROUND(C117 + ((2016-2012)*(I117-C117))/(2024-2012),0)</f>
        <v>1056</v>
      </c>
      <c r="P117" s="23">
        <f t="shared" si="117"/>
        <v>661</v>
      </c>
      <c r="Q117" s="23">
        <f t="shared" si="117"/>
        <v>2</v>
      </c>
      <c r="R117" s="23">
        <f t="shared" si="117"/>
        <v>26</v>
      </c>
      <c r="S117" s="23">
        <f t="shared" si="117"/>
        <v>15</v>
      </c>
      <c r="T117" s="23">
        <f t="shared" si="117"/>
        <v>352</v>
      </c>
      <c r="U117" s="24">
        <v>197</v>
      </c>
      <c r="V117" s="18">
        <f t="shared" si="1"/>
        <v>464</v>
      </c>
      <c r="W117" s="18">
        <f t="shared" si="2"/>
        <v>464</v>
      </c>
      <c r="X117" s="19">
        <f t="shared" si="3"/>
        <v>1056</v>
      </c>
      <c r="Y117" s="18">
        <v>76.999999582767487</v>
      </c>
      <c r="Z117" s="20"/>
      <c r="AA117" s="15">
        <v>776</v>
      </c>
      <c r="AB117" s="23">
        <f t="shared" si="5"/>
        <v>1157</v>
      </c>
      <c r="AC117" s="15">
        <v>1920</v>
      </c>
      <c r="AD117" s="4"/>
      <c r="AE117" s="4"/>
      <c r="AF117" s="4"/>
      <c r="AG117" s="4"/>
      <c r="AH117" s="4"/>
      <c r="AI117" s="4"/>
      <c r="AJ117" s="4"/>
      <c r="AK117" s="4"/>
      <c r="AL117" s="4"/>
    </row>
    <row r="118" spans="1:38" ht="14.4">
      <c r="A118" s="13">
        <v>22001</v>
      </c>
      <c r="B118" s="14" t="s">
        <v>133</v>
      </c>
      <c r="C118" s="15">
        <v>17021</v>
      </c>
      <c r="D118" s="15">
        <v>9633</v>
      </c>
      <c r="E118" s="15">
        <v>106</v>
      </c>
      <c r="F118" s="15">
        <v>308</v>
      </c>
      <c r="G118" s="15">
        <v>171</v>
      </c>
      <c r="H118" s="15">
        <v>6803</v>
      </c>
      <c r="I118" s="15">
        <v>21081</v>
      </c>
      <c r="J118" s="15">
        <v>17101</v>
      </c>
      <c r="K118" s="15">
        <v>33</v>
      </c>
      <c r="L118" s="15">
        <v>184</v>
      </c>
      <c r="M118" s="15">
        <v>203</v>
      </c>
      <c r="N118" s="15">
        <v>3560</v>
      </c>
      <c r="O118" s="16">
        <f t="shared" ref="O118:T118" si="118">ROUND(C118 + ((2016-2012)*(I118-C118))/(2024-2012),0)</f>
        <v>18374</v>
      </c>
      <c r="P118" s="17">
        <f t="shared" si="118"/>
        <v>12122</v>
      </c>
      <c r="Q118" s="17">
        <f t="shared" si="118"/>
        <v>82</v>
      </c>
      <c r="R118" s="17">
        <f t="shared" si="118"/>
        <v>267</v>
      </c>
      <c r="S118" s="17">
        <f t="shared" si="118"/>
        <v>182</v>
      </c>
      <c r="T118" s="17">
        <f t="shared" si="118"/>
        <v>5722</v>
      </c>
      <c r="U118" s="17">
        <v>11285</v>
      </c>
      <c r="V118" s="18">
        <f t="shared" si="1"/>
        <v>837</v>
      </c>
      <c r="W118" s="18">
        <f t="shared" si="2"/>
        <v>837</v>
      </c>
      <c r="X118" s="19">
        <f t="shared" si="3"/>
        <v>18375</v>
      </c>
      <c r="Y118" s="18">
        <v>195.99999487400055</v>
      </c>
      <c r="Z118" s="20"/>
      <c r="AA118" s="15">
        <v>17456</v>
      </c>
      <c r="AB118" s="17">
        <f t="shared" si="5"/>
        <v>19556</v>
      </c>
      <c r="AC118" s="15">
        <v>23756</v>
      </c>
      <c r="AD118" s="4"/>
      <c r="AE118" s="4"/>
      <c r="AF118" s="4"/>
      <c r="AG118" s="4"/>
      <c r="AH118" s="4"/>
      <c r="AI118" s="4"/>
      <c r="AJ118" s="4"/>
      <c r="AK118" s="4"/>
      <c r="AL118" s="4"/>
    </row>
    <row r="119" spans="1:38" ht="14.4">
      <c r="A119" s="21">
        <v>22002</v>
      </c>
      <c r="B119" s="22" t="s">
        <v>134</v>
      </c>
      <c r="C119" s="15">
        <v>4210</v>
      </c>
      <c r="D119" s="15">
        <v>1807</v>
      </c>
      <c r="E119" s="15">
        <v>27</v>
      </c>
      <c r="F119" s="15">
        <v>32</v>
      </c>
      <c r="G119" s="15">
        <v>90</v>
      </c>
      <c r="H119" s="15">
        <v>2254</v>
      </c>
      <c r="I119" s="15">
        <v>4491</v>
      </c>
      <c r="J119" s="15">
        <v>2622</v>
      </c>
      <c r="K119" s="15">
        <v>20</v>
      </c>
      <c r="L119" s="15">
        <v>96</v>
      </c>
      <c r="M119" s="15">
        <v>26</v>
      </c>
      <c r="N119" s="15">
        <v>1727</v>
      </c>
      <c r="O119" s="16">
        <f t="shared" ref="O119:T119" si="119">ROUND(C119 + ((2016-2012)*(I119-C119))/(2024-2012),0)</f>
        <v>4304</v>
      </c>
      <c r="P119" s="23">
        <f t="shared" si="119"/>
        <v>2079</v>
      </c>
      <c r="Q119" s="23">
        <f t="shared" si="119"/>
        <v>25</v>
      </c>
      <c r="R119" s="23">
        <f t="shared" si="119"/>
        <v>53</v>
      </c>
      <c r="S119" s="23">
        <f t="shared" si="119"/>
        <v>69</v>
      </c>
      <c r="T119" s="23">
        <f t="shared" si="119"/>
        <v>2078</v>
      </c>
      <c r="U119" s="23">
        <v>1933</v>
      </c>
      <c r="V119" s="18">
        <f t="shared" si="1"/>
        <v>146</v>
      </c>
      <c r="W119" s="18">
        <f t="shared" si="2"/>
        <v>146</v>
      </c>
      <c r="X119" s="19">
        <f t="shared" si="3"/>
        <v>4304</v>
      </c>
      <c r="Y119" s="18">
        <v>166.99999570846558</v>
      </c>
      <c r="Z119" s="20"/>
      <c r="AA119" s="15">
        <v>4318</v>
      </c>
      <c r="AB119" s="23">
        <f t="shared" si="5"/>
        <v>4566</v>
      </c>
      <c r="AC119" s="15">
        <v>5063</v>
      </c>
      <c r="AD119" s="4"/>
      <c r="AE119" s="4"/>
      <c r="AF119" s="4"/>
      <c r="AG119" s="4"/>
      <c r="AH119" s="4"/>
      <c r="AI119" s="4"/>
      <c r="AJ119" s="4"/>
      <c r="AK119" s="4"/>
      <c r="AL119" s="4"/>
    </row>
    <row r="120" spans="1:38" ht="14.4">
      <c r="A120" s="13">
        <v>30101</v>
      </c>
      <c r="B120" s="14" t="s">
        <v>135</v>
      </c>
      <c r="C120" s="15">
        <v>177376</v>
      </c>
      <c r="D120" s="15">
        <v>169837</v>
      </c>
      <c r="E120" s="15">
        <v>299</v>
      </c>
      <c r="F120" s="15">
        <v>32</v>
      </c>
      <c r="G120" s="15">
        <v>204</v>
      </c>
      <c r="H120" s="15">
        <v>7004</v>
      </c>
      <c r="I120" s="15">
        <v>212273</v>
      </c>
      <c r="J120" s="15">
        <v>205803</v>
      </c>
      <c r="K120" s="15">
        <v>605</v>
      </c>
      <c r="L120" s="15">
        <v>807</v>
      </c>
      <c r="M120" s="15">
        <v>427</v>
      </c>
      <c r="N120" s="15">
        <v>4631</v>
      </c>
      <c r="O120" s="16">
        <f t="shared" ref="O120:T120" si="120">ROUND(C120 + ((2016-2012)*(I120-C120))/(2024-2012),0)</f>
        <v>189008</v>
      </c>
      <c r="P120" s="17">
        <f t="shared" si="120"/>
        <v>181826</v>
      </c>
      <c r="Q120" s="17">
        <f t="shared" si="120"/>
        <v>401</v>
      </c>
      <c r="R120" s="17">
        <f t="shared" si="120"/>
        <v>290</v>
      </c>
      <c r="S120" s="17">
        <f t="shared" si="120"/>
        <v>278</v>
      </c>
      <c r="T120" s="17">
        <f t="shared" si="120"/>
        <v>6213</v>
      </c>
      <c r="U120" s="17">
        <v>207056</v>
      </c>
      <c r="V120" s="18">
        <f t="shared" si="1"/>
        <v>-25230</v>
      </c>
      <c r="W120" s="18">
        <f t="shared" si="2"/>
        <v>0</v>
      </c>
      <c r="X120" s="19">
        <f t="shared" si="3"/>
        <v>214238</v>
      </c>
      <c r="Y120" s="18">
        <v>1041.0000085830688</v>
      </c>
      <c r="Z120" s="20"/>
      <c r="AA120" s="15">
        <v>193738</v>
      </c>
      <c r="AB120" s="17">
        <f t="shared" si="5"/>
        <v>214783</v>
      </c>
      <c r="AC120" s="15">
        <v>256874</v>
      </c>
      <c r="AD120" s="4"/>
      <c r="AE120" s="4"/>
      <c r="AF120" s="4"/>
      <c r="AG120" s="4"/>
      <c r="AH120" s="4"/>
      <c r="AI120" s="4"/>
      <c r="AJ120" s="4"/>
      <c r="AK120" s="4"/>
      <c r="AL120" s="4"/>
    </row>
    <row r="121" spans="1:38" ht="14.4">
      <c r="A121" s="21">
        <v>30201</v>
      </c>
      <c r="B121" s="22" t="s">
        <v>136</v>
      </c>
      <c r="C121" s="15">
        <v>6499</v>
      </c>
      <c r="D121" s="15">
        <v>3620</v>
      </c>
      <c r="E121" s="15">
        <v>35</v>
      </c>
      <c r="F121" s="15">
        <v>255</v>
      </c>
      <c r="G121" s="15">
        <v>83</v>
      </c>
      <c r="H121" s="15">
        <v>2506</v>
      </c>
      <c r="I121" s="15">
        <v>7123</v>
      </c>
      <c r="J121" s="15">
        <v>4854</v>
      </c>
      <c r="K121" s="15">
        <v>19</v>
      </c>
      <c r="L121" s="15">
        <v>727</v>
      </c>
      <c r="M121" s="15">
        <v>47</v>
      </c>
      <c r="N121" s="15">
        <v>1476</v>
      </c>
      <c r="O121" s="16">
        <f t="shared" ref="O121:T121" si="121">ROUND(C121 + ((2016-2012)*(I121-C121))/(2024-2012),0)</f>
        <v>6707</v>
      </c>
      <c r="P121" s="23">
        <f t="shared" si="121"/>
        <v>4031</v>
      </c>
      <c r="Q121" s="23">
        <f t="shared" si="121"/>
        <v>30</v>
      </c>
      <c r="R121" s="23">
        <f t="shared" si="121"/>
        <v>412</v>
      </c>
      <c r="S121" s="23">
        <f t="shared" si="121"/>
        <v>71</v>
      </c>
      <c r="T121" s="23">
        <f t="shared" si="121"/>
        <v>2163</v>
      </c>
      <c r="U121" s="24">
        <v>4324</v>
      </c>
      <c r="V121" s="18">
        <f t="shared" si="1"/>
        <v>-293</v>
      </c>
      <c r="W121" s="18">
        <f t="shared" si="2"/>
        <v>0</v>
      </c>
      <c r="X121" s="19">
        <f t="shared" si="3"/>
        <v>7000</v>
      </c>
      <c r="Y121" s="18">
        <v>375.49999356269836</v>
      </c>
      <c r="Z121" s="20"/>
      <c r="AA121" s="15">
        <v>8375</v>
      </c>
      <c r="AB121" s="23">
        <f t="shared" si="5"/>
        <v>9145</v>
      </c>
      <c r="AC121" s="15">
        <v>10686</v>
      </c>
      <c r="AD121" s="4"/>
      <c r="AE121" s="4"/>
      <c r="AF121" s="4"/>
      <c r="AG121" s="4"/>
      <c r="AH121" s="4"/>
      <c r="AI121" s="4"/>
      <c r="AJ121" s="4"/>
      <c r="AK121" s="4"/>
      <c r="AL121" s="4"/>
    </row>
    <row r="122" spans="1:38" ht="14.4">
      <c r="A122" s="13">
        <v>30202</v>
      </c>
      <c r="B122" s="14" t="s">
        <v>137</v>
      </c>
      <c r="C122" s="15">
        <v>1537</v>
      </c>
      <c r="D122" s="15">
        <v>646</v>
      </c>
      <c r="E122" s="15">
        <v>9</v>
      </c>
      <c r="F122" s="15">
        <v>170</v>
      </c>
      <c r="G122" s="15">
        <v>12</v>
      </c>
      <c r="H122" s="15">
        <v>700</v>
      </c>
      <c r="I122" s="15">
        <v>1753</v>
      </c>
      <c r="J122" s="15">
        <v>742</v>
      </c>
      <c r="K122" s="15">
        <v>8</v>
      </c>
      <c r="L122" s="15">
        <v>470</v>
      </c>
      <c r="M122" s="15">
        <v>51</v>
      </c>
      <c r="N122" s="15">
        <v>482</v>
      </c>
      <c r="O122" s="16">
        <f t="shared" ref="O122:T122" si="122">ROUND(C122 + ((2016-2012)*(I122-C122))/(2024-2012),0)</f>
        <v>1609</v>
      </c>
      <c r="P122" s="17">
        <f t="shared" si="122"/>
        <v>678</v>
      </c>
      <c r="Q122" s="17">
        <f t="shared" si="122"/>
        <v>9</v>
      </c>
      <c r="R122" s="17">
        <f t="shared" si="122"/>
        <v>270</v>
      </c>
      <c r="S122" s="17">
        <f t="shared" si="122"/>
        <v>25</v>
      </c>
      <c r="T122" s="17">
        <f t="shared" si="122"/>
        <v>627</v>
      </c>
      <c r="U122" s="25">
        <v>726</v>
      </c>
      <c r="V122" s="18">
        <f t="shared" si="1"/>
        <v>-48</v>
      </c>
      <c r="W122" s="18">
        <f t="shared" si="2"/>
        <v>0</v>
      </c>
      <c r="X122" s="19">
        <f t="shared" si="3"/>
        <v>1657</v>
      </c>
      <c r="Y122" s="18">
        <v>163.00000250339508</v>
      </c>
      <c r="Z122" s="20"/>
      <c r="AA122" s="15">
        <v>1760</v>
      </c>
      <c r="AB122" s="17">
        <f t="shared" si="5"/>
        <v>1848</v>
      </c>
      <c r="AC122" s="15">
        <v>2024</v>
      </c>
      <c r="AD122" s="4"/>
      <c r="AE122" s="4"/>
      <c r="AF122" s="4"/>
      <c r="AG122" s="4"/>
      <c r="AH122" s="4"/>
      <c r="AI122" s="4"/>
      <c r="AJ122" s="4"/>
      <c r="AK122" s="4"/>
      <c r="AL122" s="4"/>
    </row>
    <row r="123" spans="1:38" ht="14.4">
      <c r="A123" s="21">
        <v>30203</v>
      </c>
      <c r="B123" s="22" t="s">
        <v>138</v>
      </c>
      <c r="C123" s="15">
        <v>1434</v>
      </c>
      <c r="D123" s="15">
        <v>1036</v>
      </c>
      <c r="E123" s="15">
        <v>7</v>
      </c>
      <c r="F123" s="15">
        <v>38</v>
      </c>
      <c r="G123" s="15">
        <v>7</v>
      </c>
      <c r="H123" s="15">
        <v>346</v>
      </c>
      <c r="I123" s="15">
        <v>1920</v>
      </c>
      <c r="J123" s="15">
        <v>1616</v>
      </c>
      <c r="K123" s="15">
        <v>5</v>
      </c>
      <c r="L123" s="15">
        <v>95</v>
      </c>
      <c r="M123" s="15">
        <v>8</v>
      </c>
      <c r="N123" s="15">
        <v>196</v>
      </c>
      <c r="O123" s="16">
        <f t="shared" ref="O123:T123" si="123">ROUND(C123 + ((2016-2012)*(I123-C123))/(2024-2012),0)</f>
        <v>1596</v>
      </c>
      <c r="P123" s="23">
        <f t="shared" si="123"/>
        <v>1229</v>
      </c>
      <c r="Q123" s="23">
        <f t="shared" si="123"/>
        <v>6</v>
      </c>
      <c r="R123" s="23">
        <f t="shared" si="123"/>
        <v>57</v>
      </c>
      <c r="S123" s="23">
        <f t="shared" si="123"/>
        <v>7</v>
      </c>
      <c r="T123" s="23">
        <f t="shared" si="123"/>
        <v>296</v>
      </c>
      <c r="U123" s="24">
        <v>2313</v>
      </c>
      <c r="V123" s="18">
        <f t="shared" si="1"/>
        <v>-1084</v>
      </c>
      <c r="W123" s="18">
        <f t="shared" si="2"/>
        <v>0</v>
      </c>
      <c r="X123" s="19">
        <f t="shared" si="3"/>
        <v>2679</v>
      </c>
      <c r="Y123" s="18">
        <v>181.99999630451202</v>
      </c>
      <c r="Z123" s="20"/>
      <c r="AA123" s="15">
        <v>1860</v>
      </c>
      <c r="AB123" s="23">
        <f t="shared" si="5"/>
        <v>2090</v>
      </c>
      <c r="AC123" s="15">
        <v>2550</v>
      </c>
      <c r="AD123" s="4"/>
      <c r="AE123" s="4"/>
      <c r="AF123" s="4"/>
      <c r="AG123" s="4"/>
      <c r="AH123" s="4"/>
      <c r="AI123" s="4"/>
      <c r="AJ123" s="4"/>
      <c r="AK123" s="4"/>
      <c r="AL123" s="4"/>
    </row>
    <row r="124" spans="1:38" ht="14.4">
      <c r="A124" s="13">
        <v>30301</v>
      </c>
      <c r="B124" s="14" t="s">
        <v>139</v>
      </c>
      <c r="C124" s="15">
        <v>7347</v>
      </c>
      <c r="D124" s="15">
        <v>3299</v>
      </c>
      <c r="E124" s="15">
        <v>35</v>
      </c>
      <c r="F124" s="15">
        <v>64</v>
      </c>
      <c r="G124" s="15">
        <v>124</v>
      </c>
      <c r="H124" s="15">
        <v>3825</v>
      </c>
      <c r="I124" s="15">
        <v>8442</v>
      </c>
      <c r="J124" s="15">
        <v>5195</v>
      </c>
      <c r="K124" s="15">
        <v>32</v>
      </c>
      <c r="L124" s="15">
        <v>718</v>
      </c>
      <c r="M124" s="15">
        <v>82</v>
      </c>
      <c r="N124" s="15">
        <v>2415</v>
      </c>
      <c r="O124" s="16">
        <f t="shared" ref="O124:T124" si="124">ROUND(C124 + ((2016-2012)*(I124-C124))/(2024-2012),0)</f>
        <v>7712</v>
      </c>
      <c r="P124" s="17">
        <f t="shared" si="124"/>
        <v>3931</v>
      </c>
      <c r="Q124" s="17">
        <f t="shared" si="124"/>
        <v>34</v>
      </c>
      <c r="R124" s="17">
        <f t="shared" si="124"/>
        <v>282</v>
      </c>
      <c r="S124" s="17">
        <f t="shared" si="124"/>
        <v>110</v>
      </c>
      <c r="T124" s="17">
        <f t="shared" si="124"/>
        <v>3355</v>
      </c>
      <c r="U124" s="25">
        <v>3155</v>
      </c>
      <c r="V124" s="18">
        <f t="shared" si="1"/>
        <v>776</v>
      </c>
      <c r="W124" s="18">
        <f t="shared" si="2"/>
        <v>776</v>
      </c>
      <c r="X124" s="19">
        <f t="shared" si="3"/>
        <v>7712</v>
      </c>
      <c r="Y124" s="18">
        <v>85.000000894069672</v>
      </c>
      <c r="Z124" s="20"/>
      <c r="AA124" s="15">
        <v>9694</v>
      </c>
      <c r="AB124" s="17">
        <f t="shared" si="5"/>
        <v>10364</v>
      </c>
      <c r="AC124" s="15">
        <v>11704</v>
      </c>
      <c r="AD124" s="4"/>
      <c r="AE124" s="4"/>
      <c r="AF124" s="4"/>
      <c r="AG124" s="4"/>
      <c r="AH124" s="4"/>
      <c r="AI124" s="4"/>
      <c r="AJ124" s="4"/>
      <c r="AK124" s="4"/>
      <c r="AL124" s="4"/>
    </row>
    <row r="125" spans="1:38" ht="14.4">
      <c r="A125" s="21">
        <v>30302</v>
      </c>
      <c r="B125" s="22" t="s">
        <v>140</v>
      </c>
      <c r="C125" s="15">
        <v>3936</v>
      </c>
      <c r="D125" s="15">
        <v>1572</v>
      </c>
      <c r="E125" s="15">
        <v>25</v>
      </c>
      <c r="F125" s="15">
        <v>87</v>
      </c>
      <c r="G125" s="15">
        <v>113</v>
      </c>
      <c r="H125" s="15">
        <v>2139</v>
      </c>
      <c r="I125" s="15">
        <v>5081</v>
      </c>
      <c r="J125" s="15">
        <v>2538</v>
      </c>
      <c r="K125" s="15">
        <v>9</v>
      </c>
      <c r="L125" s="15">
        <v>539</v>
      </c>
      <c r="M125" s="15">
        <v>71</v>
      </c>
      <c r="N125" s="15">
        <v>1924</v>
      </c>
      <c r="O125" s="16">
        <f t="shared" ref="O125:T125" si="125">ROUND(C125 + ((2016-2012)*(I125-C125))/(2024-2012),0)</f>
        <v>4318</v>
      </c>
      <c r="P125" s="23">
        <f t="shared" si="125"/>
        <v>1894</v>
      </c>
      <c r="Q125" s="23">
        <f t="shared" si="125"/>
        <v>20</v>
      </c>
      <c r="R125" s="23">
        <f t="shared" si="125"/>
        <v>238</v>
      </c>
      <c r="S125" s="23">
        <f t="shared" si="125"/>
        <v>99</v>
      </c>
      <c r="T125" s="23">
        <f t="shared" si="125"/>
        <v>2067</v>
      </c>
      <c r="U125" s="24">
        <v>1569</v>
      </c>
      <c r="V125" s="18">
        <f t="shared" si="1"/>
        <v>325</v>
      </c>
      <c r="W125" s="18">
        <f t="shared" si="2"/>
        <v>325</v>
      </c>
      <c r="X125" s="19">
        <f t="shared" si="3"/>
        <v>4318</v>
      </c>
      <c r="Y125" s="18">
        <v>108.99999737739563</v>
      </c>
      <c r="Z125" s="20"/>
      <c r="AA125" s="15">
        <v>4715</v>
      </c>
      <c r="AB125" s="23">
        <f t="shared" si="5"/>
        <v>5258</v>
      </c>
      <c r="AC125" s="15">
        <v>6344</v>
      </c>
      <c r="AD125" s="4"/>
      <c r="AE125" s="4"/>
      <c r="AF125" s="4"/>
      <c r="AG125" s="4"/>
      <c r="AH125" s="4"/>
      <c r="AI125" s="4"/>
      <c r="AJ125" s="4"/>
      <c r="AK125" s="4"/>
      <c r="AL125" s="4"/>
    </row>
    <row r="126" spans="1:38" ht="14.4">
      <c r="A126" s="13">
        <v>30303</v>
      </c>
      <c r="B126" s="14" t="s">
        <v>141</v>
      </c>
      <c r="C126" s="15">
        <v>4920</v>
      </c>
      <c r="D126" s="15">
        <v>1060</v>
      </c>
      <c r="E126" s="15">
        <v>30</v>
      </c>
      <c r="F126" s="15">
        <v>1272</v>
      </c>
      <c r="G126" s="15">
        <v>110</v>
      </c>
      <c r="H126" s="15">
        <v>2448</v>
      </c>
      <c r="I126" s="15">
        <v>7511</v>
      </c>
      <c r="J126" s="15">
        <v>2875</v>
      </c>
      <c r="K126" s="15">
        <v>44</v>
      </c>
      <c r="L126" s="15">
        <v>1542</v>
      </c>
      <c r="M126" s="15">
        <v>134</v>
      </c>
      <c r="N126" s="15">
        <v>2916</v>
      </c>
      <c r="O126" s="16">
        <f t="shared" ref="O126:T126" si="126">ROUND(C126 + ((2016-2012)*(I126-C126))/(2024-2012),0)</f>
        <v>5784</v>
      </c>
      <c r="P126" s="17">
        <f t="shared" si="126"/>
        <v>1665</v>
      </c>
      <c r="Q126" s="17">
        <f t="shared" si="126"/>
        <v>35</v>
      </c>
      <c r="R126" s="17">
        <f t="shared" si="126"/>
        <v>1362</v>
      </c>
      <c r="S126" s="17">
        <f t="shared" si="126"/>
        <v>118</v>
      </c>
      <c r="T126" s="17">
        <f t="shared" si="126"/>
        <v>2604</v>
      </c>
      <c r="U126" s="25">
        <v>1175</v>
      </c>
      <c r="V126" s="18">
        <f t="shared" si="1"/>
        <v>490</v>
      </c>
      <c r="W126" s="18">
        <f t="shared" si="2"/>
        <v>490</v>
      </c>
      <c r="X126" s="19">
        <f t="shared" si="3"/>
        <v>5784</v>
      </c>
      <c r="Y126" s="18">
        <v>123.00000339746475</v>
      </c>
      <c r="Z126" s="20"/>
      <c r="AA126" s="15">
        <v>5552</v>
      </c>
      <c r="AB126" s="17">
        <f t="shared" si="5"/>
        <v>6766</v>
      </c>
      <c r="AC126" s="15">
        <v>9193</v>
      </c>
      <c r="AD126" s="4"/>
      <c r="AE126" s="4"/>
      <c r="AF126" s="4"/>
      <c r="AG126" s="4"/>
      <c r="AH126" s="4"/>
      <c r="AI126" s="4"/>
      <c r="AJ126" s="4"/>
      <c r="AK126" s="4"/>
      <c r="AL126" s="4"/>
    </row>
    <row r="127" spans="1:38" ht="14.4">
      <c r="A127" s="21">
        <v>30401</v>
      </c>
      <c r="B127" s="22" t="s">
        <v>142</v>
      </c>
      <c r="C127" s="15">
        <v>2593</v>
      </c>
      <c r="D127" s="15">
        <v>1827</v>
      </c>
      <c r="E127" s="15">
        <v>4</v>
      </c>
      <c r="F127" s="15">
        <v>4</v>
      </c>
      <c r="G127" s="15">
        <v>7</v>
      </c>
      <c r="H127" s="15">
        <v>751</v>
      </c>
      <c r="I127" s="15">
        <v>4030</v>
      </c>
      <c r="J127" s="15">
        <v>3031</v>
      </c>
      <c r="K127" s="15">
        <v>5</v>
      </c>
      <c r="L127" s="15">
        <v>28</v>
      </c>
      <c r="M127" s="15">
        <v>9</v>
      </c>
      <c r="N127" s="15">
        <v>957</v>
      </c>
      <c r="O127" s="16">
        <f t="shared" ref="O127:T127" si="127">ROUND(C127 + ((2016-2012)*(I127-C127))/(2024-2012),0)</f>
        <v>3072</v>
      </c>
      <c r="P127" s="23">
        <f t="shared" si="127"/>
        <v>2228</v>
      </c>
      <c r="Q127" s="23">
        <f t="shared" si="127"/>
        <v>4</v>
      </c>
      <c r="R127" s="23">
        <f t="shared" si="127"/>
        <v>12</v>
      </c>
      <c r="S127" s="23">
        <f t="shared" si="127"/>
        <v>8</v>
      </c>
      <c r="T127" s="23">
        <f t="shared" si="127"/>
        <v>820</v>
      </c>
      <c r="U127" s="24">
        <v>2561</v>
      </c>
      <c r="V127" s="18">
        <f t="shared" si="1"/>
        <v>-333</v>
      </c>
      <c r="W127" s="18">
        <f t="shared" si="2"/>
        <v>0</v>
      </c>
      <c r="X127" s="19">
        <f t="shared" si="3"/>
        <v>3405</v>
      </c>
      <c r="Y127" s="18">
        <v>342.99999475479126</v>
      </c>
      <c r="Z127" s="20"/>
      <c r="AA127" s="15">
        <v>3168</v>
      </c>
      <c r="AB127" s="23">
        <f t="shared" si="5"/>
        <v>3864</v>
      </c>
      <c r="AC127" s="15">
        <v>5257</v>
      </c>
      <c r="AD127" s="4"/>
      <c r="AE127" s="4"/>
      <c r="AF127" s="4"/>
      <c r="AG127" s="4"/>
      <c r="AH127" s="4"/>
      <c r="AI127" s="4"/>
      <c r="AJ127" s="4"/>
      <c r="AK127" s="4"/>
      <c r="AL127" s="4"/>
    </row>
    <row r="128" spans="1:38" ht="14.4">
      <c r="A128" s="13">
        <v>30402</v>
      </c>
      <c r="B128" s="14" t="s">
        <v>143</v>
      </c>
      <c r="C128" s="15">
        <v>2636</v>
      </c>
      <c r="D128" s="15">
        <v>1092</v>
      </c>
      <c r="E128" s="15">
        <v>24</v>
      </c>
      <c r="F128" s="15">
        <v>228</v>
      </c>
      <c r="G128" s="15">
        <v>25</v>
      </c>
      <c r="H128" s="15">
        <v>1267</v>
      </c>
      <c r="I128" s="15">
        <v>3362</v>
      </c>
      <c r="J128" s="15">
        <v>1805</v>
      </c>
      <c r="K128" s="15">
        <v>4</v>
      </c>
      <c r="L128" s="15">
        <v>211</v>
      </c>
      <c r="M128" s="15">
        <v>44</v>
      </c>
      <c r="N128" s="15">
        <v>1298</v>
      </c>
      <c r="O128" s="16">
        <f t="shared" ref="O128:T128" si="128">ROUND(C128 + ((2016-2012)*(I128-C128))/(2024-2012),0)</f>
        <v>2878</v>
      </c>
      <c r="P128" s="17">
        <f t="shared" si="128"/>
        <v>1330</v>
      </c>
      <c r="Q128" s="17">
        <f t="shared" si="128"/>
        <v>17</v>
      </c>
      <c r="R128" s="17">
        <f t="shared" si="128"/>
        <v>222</v>
      </c>
      <c r="S128" s="17">
        <f t="shared" si="128"/>
        <v>31</v>
      </c>
      <c r="T128" s="17">
        <f t="shared" si="128"/>
        <v>1277</v>
      </c>
      <c r="U128" s="25">
        <v>925</v>
      </c>
      <c r="V128" s="18">
        <f t="shared" si="1"/>
        <v>405</v>
      </c>
      <c r="W128" s="18">
        <f t="shared" si="2"/>
        <v>405</v>
      </c>
      <c r="X128" s="19">
        <f t="shared" si="3"/>
        <v>2877</v>
      </c>
      <c r="Y128" s="18">
        <v>114.00000005960464</v>
      </c>
      <c r="Z128" s="20"/>
      <c r="AA128" s="15">
        <v>3600</v>
      </c>
      <c r="AB128" s="17">
        <f t="shared" si="5"/>
        <v>3864</v>
      </c>
      <c r="AC128" s="15">
        <v>4393</v>
      </c>
      <c r="AD128" s="4"/>
      <c r="AE128" s="4"/>
      <c r="AF128" s="4"/>
      <c r="AG128" s="4"/>
      <c r="AH128" s="4"/>
      <c r="AI128" s="4"/>
      <c r="AJ128" s="4"/>
      <c r="AK128" s="4"/>
      <c r="AL128" s="4"/>
    </row>
    <row r="129" spans="1:38" ht="14.4">
      <c r="A129" s="21">
        <v>30403</v>
      </c>
      <c r="B129" s="22" t="s">
        <v>144</v>
      </c>
      <c r="C129" s="15">
        <v>5532</v>
      </c>
      <c r="D129" s="15">
        <v>4137</v>
      </c>
      <c r="E129" s="15">
        <v>18</v>
      </c>
      <c r="F129" s="15">
        <v>11</v>
      </c>
      <c r="G129" s="15">
        <v>34</v>
      </c>
      <c r="H129" s="15">
        <v>1332</v>
      </c>
      <c r="I129" s="15">
        <v>10848</v>
      </c>
      <c r="J129" s="15">
        <v>7558</v>
      </c>
      <c r="K129" s="15">
        <v>37</v>
      </c>
      <c r="L129" s="15">
        <v>118</v>
      </c>
      <c r="M129" s="15">
        <v>58</v>
      </c>
      <c r="N129" s="15">
        <v>3077</v>
      </c>
      <c r="O129" s="16">
        <f t="shared" ref="O129:T129" si="129">ROUND(C129 + ((2016-2012)*(I129-C129))/(2024-2012),0)</f>
        <v>7304</v>
      </c>
      <c r="P129" s="23">
        <f t="shared" si="129"/>
        <v>5277</v>
      </c>
      <c r="Q129" s="23">
        <f t="shared" si="129"/>
        <v>24</v>
      </c>
      <c r="R129" s="23">
        <f t="shared" si="129"/>
        <v>47</v>
      </c>
      <c r="S129" s="23">
        <f t="shared" si="129"/>
        <v>42</v>
      </c>
      <c r="T129" s="23">
        <f t="shared" si="129"/>
        <v>1914</v>
      </c>
      <c r="U129" s="24">
        <v>4972</v>
      </c>
      <c r="V129" s="18">
        <f t="shared" si="1"/>
        <v>305</v>
      </c>
      <c r="W129" s="18">
        <f t="shared" si="2"/>
        <v>305</v>
      </c>
      <c r="X129" s="19">
        <f t="shared" si="3"/>
        <v>7304</v>
      </c>
      <c r="Y129" s="18">
        <v>287.00000047683716</v>
      </c>
      <c r="Z129" s="20"/>
      <c r="AA129" s="15">
        <v>6651</v>
      </c>
      <c r="AB129" s="23">
        <f t="shared" si="5"/>
        <v>9305</v>
      </c>
      <c r="AC129" s="15">
        <v>14612</v>
      </c>
      <c r="AD129" s="4"/>
      <c r="AE129" s="4"/>
      <c r="AF129" s="4"/>
      <c r="AG129" s="4"/>
      <c r="AH129" s="4"/>
      <c r="AI129" s="4"/>
      <c r="AJ129" s="4"/>
      <c r="AK129" s="4"/>
      <c r="AL129" s="4"/>
    </row>
    <row r="130" spans="1:38" ht="14.4">
      <c r="A130" s="13">
        <v>30404</v>
      </c>
      <c r="B130" s="14" t="s">
        <v>145</v>
      </c>
      <c r="C130" s="15">
        <v>1473</v>
      </c>
      <c r="D130" s="15">
        <v>697</v>
      </c>
      <c r="E130" s="15">
        <v>0</v>
      </c>
      <c r="F130" s="15">
        <v>2</v>
      </c>
      <c r="G130" s="15">
        <v>3</v>
      </c>
      <c r="H130" s="15">
        <v>771</v>
      </c>
      <c r="I130" s="15">
        <v>1856</v>
      </c>
      <c r="J130" s="15">
        <v>987</v>
      </c>
      <c r="K130" s="15">
        <v>1</v>
      </c>
      <c r="L130" s="15">
        <v>14</v>
      </c>
      <c r="M130" s="15">
        <v>25</v>
      </c>
      <c r="N130" s="15">
        <v>829</v>
      </c>
      <c r="O130" s="16">
        <f t="shared" ref="O130:T130" si="130">ROUND(C130 + ((2016-2012)*(I130-C130))/(2024-2012),0)</f>
        <v>1601</v>
      </c>
      <c r="P130" s="17">
        <f t="shared" si="130"/>
        <v>794</v>
      </c>
      <c r="Q130" s="17">
        <f t="shared" si="130"/>
        <v>0</v>
      </c>
      <c r="R130" s="17">
        <f t="shared" si="130"/>
        <v>6</v>
      </c>
      <c r="S130" s="17">
        <f t="shared" si="130"/>
        <v>10</v>
      </c>
      <c r="T130" s="17">
        <f t="shared" si="130"/>
        <v>790</v>
      </c>
      <c r="U130" s="25">
        <v>1170</v>
      </c>
      <c r="V130" s="18">
        <f t="shared" si="1"/>
        <v>-376</v>
      </c>
      <c r="W130" s="18">
        <f t="shared" si="2"/>
        <v>0</v>
      </c>
      <c r="X130" s="19">
        <f t="shared" si="3"/>
        <v>1976</v>
      </c>
      <c r="Y130" s="18">
        <v>109.99999940395355</v>
      </c>
      <c r="Z130" s="20"/>
      <c r="AA130" s="15">
        <v>1963</v>
      </c>
      <c r="AB130" s="17">
        <f t="shared" si="5"/>
        <v>2108</v>
      </c>
      <c r="AC130" s="15">
        <v>2398</v>
      </c>
      <c r="AD130" s="4"/>
      <c r="AE130" s="4"/>
      <c r="AF130" s="4"/>
      <c r="AG130" s="4"/>
      <c r="AH130" s="4"/>
      <c r="AI130" s="4"/>
      <c r="AJ130" s="4"/>
      <c r="AK130" s="4"/>
      <c r="AL130" s="4"/>
    </row>
    <row r="131" spans="1:38" ht="14.4">
      <c r="A131" s="21">
        <v>30501</v>
      </c>
      <c r="B131" s="22" t="s">
        <v>146</v>
      </c>
      <c r="C131" s="15">
        <v>3144</v>
      </c>
      <c r="D131" s="15">
        <v>2606</v>
      </c>
      <c r="E131" s="15">
        <v>5</v>
      </c>
      <c r="F131" s="15">
        <v>0</v>
      </c>
      <c r="G131" s="15">
        <v>4</v>
      </c>
      <c r="H131" s="15">
        <v>529</v>
      </c>
      <c r="I131" s="15">
        <v>4241</v>
      </c>
      <c r="J131" s="15">
        <v>3744</v>
      </c>
      <c r="K131" s="15">
        <v>7</v>
      </c>
      <c r="L131" s="15">
        <v>15</v>
      </c>
      <c r="M131" s="15">
        <v>14</v>
      </c>
      <c r="N131" s="15">
        <v>461</v>
      </c>
      <c r="O131" s="16">
        <f t="shared" ref="O131:T131" si="131">ROUND(C131 + ((2016-2012)*(I131-C131))/(2024-2012),0)</f>
        <v>3510</v>
      </c>
      <c r="P131" s="23">
        <f t="shared" si="131"/>
        <v>2985</v>
      </c>
      <c r="Q131" s="23">
        <f t="shared" si="131"/>
        <v>6</v>
      </c>
      <c r="R131" s="23">
        <f t="shared" si="131"/>
        <v>5</v>
      </c>
      <c r="S131" s="23">
        <f t="shared" si="131"/>
        <v>7</v>
      </c>
      <c r="T131" s="23">
        <f t="shared" si="131"/>
        <v>506</v>
      </c>
      <c r="U131" s="24">
        <v>4767</v>
      </c>
      <c r="V131" s="18">
        <f t="shared" si="1"/>
        <v>-1782</v>
      </c>
      <c r="W131" s="18">
        <f t="shared" si="2"/>
        <v>0</v>
      </c>
      <c r="X131" s="19">
        <f t="shared" si="3"/>
        <v>5291</v>
      </c>
      <c r="Y131" s="18">
        <v>226.99999809265137</v>
      </c>
      <c r="Z131" s="20"/>
      <c r="AA131" s="15">
        <v>4415</v>
      </c>
      <c r="AB131" s="23">
        <f t="shared" si="5"/>
        <v>4937</v>
      </c>
      <c r="AC131" s="15">
        <v>5982</v>
      </c>
      <c r="AD131" s="4"/>
      <c r="AE131" s="4"/>
      <c r="AF131" s="4"/>
      <c r="AG131" s="4"/>
      <c r="AH131" s="4"/>
      <c r="AI131" s="4"/>
      <c r="AJ131" s="4"/>
      <c r="AK131" s="4"/>
      <c r="AL131" s="4"/>
    </row>
    <row r="132" spans="1:38" ht="14.4">
      <c r="A132" s="13">
        <v>30502</v>
      </c>
      <c r="B132" s="14" t="s">
        <v>147</v>
      </c>
      <c r="C132" s="15">
        <v>3202</v>
      </c>
      <c r="D132" s="15">
        <v>2033</v>
      </c>
      <c r="E132" s="15">
        <v>6</v>
      </c>
      <c r="F132" s="15">
        <v>6</v>
      </c>
      <c r="G132" s="15">
        <v>52</v>
      </c>
      <c r="H132" s="15">
        <v>1105</v>
      </c>
      <c r="I132" s="15">
        <v>3606</v>
      </c>
      <c r="J132" s="15">
        <v>2570</v>
      </c>
      <c r="K132" s="15">
        <v>7</v>
      </c>
      <c r="L132" s="15">
        <v>71</v>
      </c>
      <c r="M132" s="15">
        <v>26</v>
      </c>
      <c r="N132" s="15">
        <v>932</v>
      </c>
      <c r="O132" s="16">
        <f t="shared" ref="O132:T132" si="132">ROUND(C132 + ((2016-2012)*(I132-C132))/(2024-2012),0)</f>
        <v>3337</v>
      </c>
      <c r="P132" s="17">
        <f t="shared" si="132"/>
        <v>2212</v>
      </c>
      <c r="Q132" s="17">
        <f t="shared" si="132"/>
        <v>6</v>
      </c>
      <c r="R132" s="17">
        <f t="shared" si="132"/>
        <v>28</v>
      </c>
      <c r="S132" s="17">
        <f t="shared" si="132"/>
        <v>43</v>
      </c>
      <c r="T132" s="17">
        <f t="shared" si="132"/>
        <v>1047</v>
      </c>
      <c r="U132" s="25">
        <v>1349</v>
      </c>
      <c r="V132" s="18">
        <f t="shared" si="1"/>
        <v>863</v>
      </c>
      <c r="W132" s="18">
        <f t="shared" si="2"/>
        <v>863</v>
      </c>
      <c r="X132" s="19">
        <f t="shared" si="3"/>
        <v>3336</v>
      </c>
      <c r="Y132" s="18">
        <v>115.99999666213989</v>
      </c>
      <c r="Z132" s="20"/>
      <c r="AA132" s="15">
        <v>4842</v>
      </c>
      <c r="AB132" s="17">
        <f t="shared" si="5"/>
        <v>5079</v>
      </c>
      <c r="AC132" s="15">
        <v>5553</v>
      </c>
      <c r="AD132" s="4"/>
      <c r="AE132" s="4"/>
      <c r="AF132" s="4"/>
      <c r="AG132" s="4"/>
      <c r="AH132" s="4"/>
      <c r="AI132" s="4"/>
      <c r="AJ132" s="4"/>
      <c r="AK132" s="4"/>
      <c r="AL132" s="4"/>
    </row>
    <row r="133" spans="1:38" ht="14.4">
      <c r="A133" s="21">
        <v>30601</v>
      </c>
      <c r="B133" s="22" t="s">
        <v>148</v>
      </c>
      <c r="C133" s="15">
        <v>3303</v>
      </c>
      <c r="D133" s="15">
        <v>1100</v>
      </c>
      <c r="E133" s="15">
        <v>13</v>
      </c>
      <c r="F133" s="15">
        <v>101</v>
      </c>
      <c r="G133" s="15">
        <v>142</v>
      </c>
      <c r="H133" s="15">
        <v>1947</v>
      </c>
      <c r="I133" s="15">
        <v>3900</v>
      </c>
      <c r="J133" s="15">
        <v>2201</v>
      </c>
      <c r="K133" s="15">
        <v>15</v>
      </c>
      <c r="L133" s="15">
        <v>233</v>
      </c>
      <c r="M133" s="15">
        <v>42</v>
      </c>
      <c r="N133" s="15">
        <v>1409</v>
      </c>
      <c r="O133" s="16">
        <f t="shared" ref="O133:T133" si="133">ROUND(C133 + ((2016-2012)*(I133-C133))/(2024-2012),0)</f>
        <v>3502</v>
      </c>
      <c r="P133" s="23">
        <f t="shared" si="133"/>
        <v>1467</v>
      </c>
      <c r="Q133" s="23">
        <f t="shared" si="133"/>
        <v>14</v>
      </c>
      <c r="R133" s="23">
        <f t="shared" si="133"/>
        <v>145</v>
      </c>
      <c r="S133" s="23">
        <f t="shared" si="133"/>
        <v>109</v>
      </c>
      <c r="T133" s="23">
        <f t="shared" si="133"/>
        <v>1768</v>
      </c>
      <c r="U133" s="24">
        <v>981</v>
      </c>
      <c r="V133" s="18">
        <f t="shared" si="1"/>
        <v>486</v>
      </c>
      <c r="W133" s="18">
        <f t="shared" si="2"/>
        <v>486</v>
      </c>
      <c r="X133" s="19">
        <f t="shared" si="3"/>
        <v>3503</v>
      </c>
      <c r="Y133" s="18">
        <v>101.00000351667404</v>
      </c>
      <c r="Z133" s="20"/>
      <c r="AA133" s="15">
        <v>4287</v>
      </c>
      <c r="AB133" s="23">
        <f t="shared" si="5"/>
        <v>4877</v>
      </c>
      <c r="AC133" s="15">
        <v>6056</v>
      </c>
      <c r="AD133" s="4"/>
      <c r="AE133" s="4"/>
      <c r="AF133" s="4"/>
      <c r="AG133" s="4"/>
      <c r="AH133" s="4"/>
      <c r="AI133" s="4"/>
      <c r="AJ133" s="4"/>
      <c r="AK133" s="4"/>
      <c r="AL133" s="4"/>
    </row>
    <row r="134" spans="1:38" ht="14.4">
      <c r="A134" s="13">
        <v>30602</v>
      </c>
      <c r="B134" s="14" t="s">
        <v>149</v>
      </c>
      <c r="C134" s="15">
        <v>3337</v>
      </c>
      <c r="D134" s="15">
        <v>1094</v>
      </c>
      <c r="E134" s="15">
        <v>5</v>
      </c>
      <c r="F134" s="15">
        <v>360</v>
      </c>
      <c r="G134" s="15">
        <v>55</v>
      </c>
      <c r="H134" s="15">
        <v>1823</v>
      </c>
      <c r="I134" s="15">
        <v>4226</v>
      </c>
      <c r="J134" s="15">
        <v>2615</v>
      </c>
      <c r="K134" s="15">
        <v>8</v>
      </c>
      <c r="L134" s="15">
        <v>155</v>
      </c>
      <c r="M134" s="15">
        <v>38</v>
      </c>
      <c r="N134" s="15">
        <v>1410</v>
      </c>
      <c r="O134" s="16">
        <f t="shared" ref="O134:T134" si="134">ROUND(C134 + ((2016-2012)*(I134-C134))/(2024-2012),0)</f>
        <v>3633</v>
      </c>
      <c r="P134" s="17">
        <f t="shared" si="134"/>
        <v>1601</v>
      </c>
      <c r="Q134" s="17">
        <f t="shared" si="134"/>
        <v>6</v>
      </c>
      <c r="R134" s="17">
        <f t="shared" si="134"/>
        <v>292</v>
      </c>
      <c r="S134" s="17">
        <f t="shared" si="134"/>
        <v>49</v>
      </c>
      <c r="T134" s="17">
        <f t="shared" si="134"/>
        <v>1685</v>
      </c>
      <c r="U134" s="25">
        <v>1114</v>
      </c>
      <c r="V134" s="18">
        <f t="shared" si="1"/>
        <v>487</v>
      </c>
      <c r="W134" s="18">
        <f t="shared" si="2"/>
        <v>487</v>
      </c>
      <c r="X134" s="19">
        <f t="shared" si="3"/>
        <v>3633</v>
      </c>
      <c r="Y134" s="18">
        <v>71.999996900558472</v>
      </c>
      <c r="Z134" s="20"/>
      <c r="AA134" s="15">
        <v>3792</v>
      </c>
      <c r="AB134" s="17">
        <f t="shared" si="5"/>
        <v>4427</v>
      </c>
      <c r="AC134" s="15">
        <v>5698</v>
      </c>
      <c r="AD134" s="4"/>
      <c r="AE134" s="4"/>
      <c r="AF134" s="4"/>
      <c r="AG134" s="4"/>
      <c r="AH134" s="4"/>
      <c r="AI134" s="4"/>
      <c r="AJ134" s="4"/>
      <c r="AK134" s="4"/>
      <c r="AL134" s="4"/>
    </row>
    <row r="135" spans="1:38" ht="14.4">
      <c r="A135" s="21">
        <v>30701</v>
      </c>
      <c r="B135" s="22" t="s">
        <v>150</v>
      </c>
      <c r="C135" s="15">
        <v>5928</v>
      </c>
      <c r="D135" s="15">
        <v>4279</v>
      </c>
      <c r="E135" s="15">
        <v>14</v>
      </c>
      <c r="F135" s="15">
        <v>9</v>
      </c>
      <c r="G135" s="15">
        <v>67</v>
      </c>
      <c r="H135" s="15">
        <v>1559</v>
      </c>
      <c r="I135" s="15">
        <v>6991</v>
      </c>
      <c r="J135" s="15">
        <v>5398</v>
      </c>
      <c r="K135" s="15">
        <v>39</v>
      </c>
      <c r="L135" s="15">
        <v>70</v>
      </c>
      <c r="M135" s="15">
        <v>59</v>
      </c>
      <c r="N135" s="15">
        <v>1425</v>
      </c>
      <c r="O135" s="16">
        <f t="shared" ref="O135:T135" si="135">ROUND(C135 + ((2016-2012)*(I135-C135))/(2024-2012),0)</f>
        <v>6282</v>
      </c>
      <c r="P135" s="23">
        <f t="shared" si="135"/>
        <v>4652</v>
      </c>
      <c r="Q135" s="23">
        <f t="shared" si="135"/>
        <v>22</v>
      </c>
      <c r="R135" s="23">
        <f t="shared" si="135"/>
        <v>29</v>
      </c>
      <c r="S135" s="23">
        <f t="shared" si="135"/>
        <v>64</v>
      </c>
      <c r="T135" s="23">
        <f t="shared" si="135"/>
        <v>1514</v>
      </c>
      <c r="U135" s="24">
        <v>5840</v>
      </c>
      <c r="V135" s="18">
        <f t="shared" si="1"/>
        <v>-1188</v>
      </c>
      <c r="W135" s="18">
        <f t="shared" si="2"/>
        <v>0</v>
      </c>
      <c r="X135" s="19">
        <f t="shared" si="3"/>
        <v>7469</v>
      </c>
      <c r="Y135" s="18">
        <v>377.00000405311584</v>
      </c>
      <c r="Z135" s="20"/>
      <c r="AA135" s="15">
        <v>6779</v>
      </c>
      <c r="AB135" s="23">
        <f t="shared" si="5"/>
        <v>7639</v>
      </c>
      <c r="AC135" s="15">
        <v>9358</v>
      </c>
      <c r="AD135" s="4"/>
      <c r="AE135" s="4"/>
      <c r="AF135" s="4"/>
      <c r="AG135" s="4"/>
      <c r="AH135" s="4"/>
      <c r="AI135" s="4"/>
      <c r="AJ135" s="4"/>
      <c r="AK135" s="4"/>
      <c r="AL135" s="4"/>
    </row>
    <row r="136" spans="1:38" ht="14.4">
      <c r="A136" s="13">
        <v>30702</v>
      </c>
      <c r="B136" s="14" t="s">
        <v>151</v>
      </c>
      <c r="C136" s="15">
        <v>2403</v>
      </c>
      <c r="D136" s="15">
        <v>1664</v>
      </c>
      <c r="E136" s="15">
        <v>14</v>
      </c>
      <c r="F136" s="15">
        <v>8</v>
      </c>
      <c r="G136" s="15">
        <v>9</v>
      </c>
      <c r="H136" s="15">
        <v>708</v>
      </c>
      <c r="I136" s="15">
        <v>3008</v>
      </c>
      <c r="J136" s="15">
        <v>2495</v>
      </c>
      <c r="K136" s="15">
        <v>13</v>
      </c>
      <c r="L136" s="15">
        <v>40</v>
      </c>
      <c r="M136" s="15">
        <v>29</v>
      </c>
      <c r="N136" s="15">
        <v>431</v>
      </c>
      <c r="O136" s="16">
        <f t="shared" ref="O136:T136" si="136">ROUND(C136 + ((2016-2012)*(I136-C136))/(2024-2012),0)</f>
        <v>2605</v>
      </c>
      <c r="P136" s="17">
        <f t="shared" si="136"/>
        <v>1941</v>
      </c>
      <c r="Q136" s="17">
        <f t="shared" si="136"/>
        <v>14</v>
      </c>
      <c r="R136" s="17">
        <f t="shared" si="136"/>
        <v>19</v>
      </c>
      <c r="S136" s="17">
        <f t="shared" si="136"/>
        <v>16</v>
      </c>
      <c r="T136" s="17">
        <f t="shared" si="136"/>
        <v>616</v>
      </c>
      <c r="U136" s="25">
        <v>2273</v>
      </c>
      <c r="V136" s="18">
        <f t="shared" si="1"/>
        <v>-332</v>
      </c>
      <c r="W136" s="18">
        <f t="shared" si="2"/>
        <v>0</v>
      </c>
      <c r="X136" s="19">
        <f t="shared" si="3"/>
        <v>2938</v>
      </c>
      <c r="Y136" s="18">
        <v>289.000004529953</v>
      </c>
      <c r="Z136" s="20"/>
      <c r="AA136" s="15">
        <v>2782</v>
      </c>
      <c r="AB136" s="17">
        <f t="shared" si="5"/>
        <v>3290</v>
      </c>
      <c r="AC136" s="15">
        <v>4307</v>
      </c>
      <c r="AD136" s="4"/>
      <c r="AE136" s="4"/>
      <c r="AF136" s="4"/>
      <c r="AG136" s="4"/>
      <c r="AH136" s="4"/>
      <c r="AI136" s="4"/>
      <c r="AJ136" s="4"/>
      <c r="AK136" s="4"/>
      <c r="AL136" s="4"/>
    </row>
    <row r="137" spans="1:38" ht="14.4">
      <c r="A137" s="21">
        <v>30703</v>
      </c>
      <c r="B137" s="22" t="s">
        <v>152</v>
      </c>
      <c r="C137" s="15">
        <v>1083</v>
      </c>
      <c r="D137" s="15">
        <v>565</v>
      </c>
      <c r="E137" s="15">
        <v>1</v>
      </c>
      <c r="F137" s="15">
        <v>4</v>
      </c>
      <c r="G137" s="15">
        <v>3</v>
      </c>
      <c r="H137" s="15">
        <v>510</v>
      </c>
      <c r="I137" s="15">
        <v>1319</v>
      </c>
      <c r="J137" s="15">
        <v>940</v>
      </c>
      <c r="K137" s="15">
        <v>3</v>
      </c>
      <c r="L137" s="15">
        <v>43</v>
      </c>
      <c r="M137" s="15">
        <v>38</v>
      </c>
      <c r="N137" s="15">
        <v>295</v>
      </c>
      <c r="O137" s="16">
        <f t="shared" ref="O137:T137" si="137">ROUND(C137 + ((2016-2012)*(I137-C137))/(2024-2012),0)</f>
        <v>1162</v>
      </c>
      <c r="P137" s="23">
        <f t="shared" si="137"/>
        <v>690</v>
      </c>
      <c r="Q137" s="23">
        <f t="shared" si="137"/>
        <v>2</v>
      </c>
      <c r="R137" s="23">
        <f t="shared" si="137"/>
        <v>17</v>
      </c>
      <c r="S137" s="23">
        <f t="shared" si="137"/>
        <v>15</v>
      </c>
      <c r="T137" s="23">
        <f t="shared" si="137"/>
        <v>438</v>
      </c>
      <c r="U137" s="24">
        <v>1138</v>
      </c>
      <c r="V137" s="18">
        <f t="shared" si="1"/>
        <v>-448</v>
      </c>
      <c r="W137" s="18">
        <f t="shared" si="2"/>
        <v>0</v>
      </c>
      <c r="X137" s="19">
        <f t="shared" si="3"/>
        <v>1610</v>
      </c>
      <c r="Y137" s="18">
        <v>70.500001311302185</v>
      </c>
      <c r="Z137" s="20"/>
      <c r="AA137" s="15">
        <v>1225</v>
      </c>
      <c r="AB137" s="23">
        <f t="shared" si="5"/>
        <v>1341</v>
      </c>
      <c r="AC137" s="15">
        <v>1573</v>
      </c>
      <c r="AD137" s="4"/>
      <c r="AE137" s="4"/>
      <c r="AF137" s="4"/>
      <c r="AG137" s="4"/>
      <c r="AH137" s="4"/>
      <c r="AI137" s="4"/>
      <c r="AJ137" s="4"/>
      <c r="AK137" s="4"/>
      <c r="AL137" s="4"/>
    </row>
    <row r="138" spans="1:38" ht="14.4">
      <c r="A138" s="13">
        <v>30801</v>
      </c>
      <c r="B138" s="14" t="s">
        <v>153</v>
      </c>
      <c r="C138" s="15">
        <v>5960</v>
      </c>
      <c r="D138" s="15">
        <v>5575</v>
      </c>
      <c r="E138" s="15">
        <v>14</v>
      </c>
      <c r="F138" s="15">
        <v>2</v>
      </c>
      <c r="G138" s="15">
        <v>4</v>
      </c>
      <c r="H138" s="15">
        <v>365</v>
      </c>
      <c r="I138" s="15">
        <v>6338</v>
      </c>
      <c r="J138" s="15">
        <v>6152</v>
      </c>
      <c r="K138" s="15">
        <v>11</v>
      </c>
      <c r="L138" s="15">
        <v>10</v>
      </c>
      <c r="M138" s="15">
        <v>2</v>
      </c>
      <c r="N138" s="15">
        <v>163</v>
      </c>
      <c r="O138" s="16">
        <f t="shared" ref="O138:T138" si="138">ROUND(C138 + ((2016-2012)*(I138-C138))/(2024-2012),0)</f>
        <v>6086</v>
      </c>
      <c r="P138" s="17">
        <f t="shared" si="138"/>
        <v>5767</v>
      </c>
      <c r="Q138" s="17">
        <f t="shared" si="138"/>
        <v>13</v>
      </c>
      <c r="R138" s="17">
        <f t="shared" si="138"/>
        <v>5</v>
      </c>
      <c r="S138" s="17">
        <f t="shared" si="138"/>
        <v>3</v>
      </c>
      <c r="T138" s="17">
        <f t="shared" si="138"/>
        <v>298</v>
      </c>
      <c r="U138" s="25">
        <v>6665</v>
      </c>
      <c r="V138" s="18">
        <f t="shared" si="1"/>
        <v>-898</v>
      </c>
      <c r="W138" s="18">
        <f t="shared" si="2"/>
        <v>0</v>
      </c>
      <c r="X138" s="19">
        <f t="shared" si="3"/>
        <v>6984</v>
      </c>
      <c r="Y138" s="18">
        <v>558.00002813339233</v>
      </c>
      <c r="Z138" s="20"/>
      <c r="AA138" s="15">
        <v>6970</v>
      </c>
      <c r="AB138" s="17">
        <f t="shared" si="5"/>
        <v>7452</v>
      </c>
      <c r="AC138" s="15">
        <v>8417</v>
      </c>
      <c r="AD138" s="4"/>
      <c r="AE138" s="4"/>
      <c r="AF138" s="4"/>
      <c r="AG138" s="4"/>
      <c r="AH138" s="4"/>
      <c r="AI138" s="4"/>
      <c r="AJ138" s="4"/>
      <c r="AK138" s="4"/>
      <c r="AL138" s="4"/>
    </row>
    <row r="139" spans="1:38" ht="14.4">
      <c r="A139" s="21">
        <v>30802</v>
      </c>
      <c r="B139" s="22" t="s">
        <v>154</v>
      </c>
      <c r="C139" s="15">
        <v>2061</v>
      </c>
      <c r="D139" s="15">
        <v>1785</v>
      </c>
      <c r="E139" s="15">
        <v>1</v>
      </c>
      <c r="F139" s="15">
        <v>3</v>
      </c>
      <c r="G139" s="15">
        <v>7</v>
      </c>
      <c r="H139" s="15">
        <v>265</v>
      </c>
      <c r="I139" s="15">
        <v>2572</v>
      </c>
      <c r="J139" s="15">
        <v>2204</v>
      </c>
      <c r="K139" s="15">
        <v>6</v>
      </c>
      <c r="L139" s="15">
        <v>15</v>
      </c>
      <c r="M139" s="15">
        <v>8</v>
      </c>
      <c r="N139" s="15">
        <v>339</v>
      </c>
      <c r="O139" s="16">
        <f t="shared" ref="O139:T139" si="139">ROUND(C139 + ((2016-2012)*(I139-C139))/(2024-2012),0)</f>
        <v>2231</v>
      </c>
      <c r="P139" s="23">
        <f t="shared" si="139"/>
        <v>1925</v>
      </c>
      <c r="Q139" s="23">
        <f t="shared" si="139"/>
        <v>3</v>
      </c>
      <c r="R139" s="23">
        <f t="shared" si="139"/>
        <v>7</v>
      </c>
      <c r="S139" s="23">
        <f t="shared" si="139"/>
        <v>7</v>
      </c>
      <c r="T139" s="23">
        <f t="shared" si="139"/>
        <v>290</v>
      </c>
      <c r="U139" s="24">
        <v>1728</v>
      </c>
      <c r="V139" s="18">
        <f t="shared" si="1"/>
        <v>197</v>
      </c>
      <c r="W139" s="18">
        <f t="shared" si="2"/>
        <v>197</v>
      </c>
      <c r="X139" s="19">
        <f t="shared" si="3"/>
        <v>2232</v>
      </c>
      <c r="Y139" s="18">
        <v>289.99999165534973</v>
      </c>
      <c r="Z139" s="20"/>
      <c r="AA139" s="15">
        <v>2244</v>
      </c>
      <c r="AB139" s="23">
        <f t="shared" si="5"/>
        <v>2551</v>
      </c>
      <c r="AC139" s="15">
        <v>3166</v>
      </c>
      <c r="AD139" s="4"/>
      <c r="AE139" s="4"/>
      <c r="AF139" s="4"/>
      <c r="AG139" s="4"/>
      <c r="AH139" s="4"/>
      <c r="AI139" s="4"/>
      <c r="AJ139" s="4"/>
      <c r="AK139" s="4"/>
      <c r="AL139" s="4"/>
    </row>
    <row r="140" spans="1:38" ht="14.4">
      <c r="A140" s="13">
        <v>30803</v>
      </c>
      <c r="B140" s="14" t="s">
        <v>155</v>
      </c>
      <c r="C140" s="15">
        <v>1470</v>
      </c>
      <c r="D140" s="15">
        <v>1385</v>
      </c>
      <c r="E140" s="15">
        <v>0</v>
      </c>
      <c r="F140" s="15">
        <v>3</v>
      </c>
      <c r="G140" s="15">
        <v>2</v>
      </c>
      <c r="H140" s="15">
        <v>80</v>
      </c>
      <c r="I140" s="15">
        <v>2516</v>
      </c>
      <c r="J140" s="15">
        <v>1909</v>
      </c>
      <c r="K140" s="15">
        <v>13</v>
      </c>
      <c r="L140" s="15">
        <v>38</v>
      </c>
      <c r="M140" s="15">
        <v>11</v>
      </c>
      <c r="N140" s="15">
        <v>545</v>
      </c>
      <c r="O140" s="16">
        <f t="shared" ref="O140:T140" si="140">ROUND(C140 + ((2016-2012)*(I140-C140))/(2024-2012),0)</f>
        <v>1819</v>
      </c>
      <c r="P140" s="17">
        <f t="shared" si="140"/>
        <v>1560</v>
      </c>
      <c r="Q140" s="17">
        <f t="shared" si="140"/>
        <v>4</v>
      </c>
      <c r="R140" s="17">
        <f t="shared" si="140"/>
        <v>15</v>
      </c>
      <c r="S140" s="17">
        <f t="shared" si="140"/>
        <v>5</v>
      </c>
      <c r="T140" s="17">
        <f t="shared" si="140"/>
        <v>235</v>
      </c>
      <c r="U140" s="25">
        <v>1936</v>
      </c>
      <c r="V140" s="18">
        <f t="shared" si="1"/>
        <v>-376</v>
      </c>
      <c r="W140" s="18">
        <f t="shared" si="2"/>
        <v>0</v>
      </c>
      <c r="X140" s="19">
        <f t="shared" si="3"/>
        <v>2195</v>
      </c>
      <c r="Y140" s="18">
        <v>564.50000405311584</v>
      </c>
      <c r="Z140" s="20"/>
      <c r="AA140" s="15">
        <v>1821</v>
      </c>
      <c r="AB140" s="17">
        <f t="shared" si="5"/>
        <v>2403</v>
      </c>
      <c r="AC140" s="15">
        <v>3566</v>
      </c>
      <c r="AD140" s="4"/>
      <c r="AE140" s="4"/>
      <c r="AF140" s="4"/>
      <c r="AG140" s="4"/>
      <c r="AH140" s="4"/>
      <c r="AI140" s="4"/>
      <c r="AJ140" s="4"/>
      <c r="AK140" s="4"/>
      <c r="AL140" s="4"/>
    </row>
    <row r="141" spans="1:38" ht="14.4">
      <c r="A141" s="21">
        <v>30901</v>
      </c>
      <c r="B141" s="22" t="s">
        <v>156</v>
      </c>
      <c r="C141" s="15">
        <v>35931</v>
      </c>
      <c r="D141" s="15">
        <v>34446</v>
      </c>
      <c r="E141" s="15">
        <v>51</v>
      </c>
      <c r="F141" s="15">
        <v>57</v>
      </c>
      <c r="G141" s="15">
        <v>68</v>
      </c>
      <c r="H141" s="15">
        <v>1309</v>
      </c>
      <c r="I141" s="15">
        <v>49171</v>
      </c>
      <c r="J141" s="15">
        <v>47490</v>
      </c>
      <c r="K141" s="15">
        <v>137</v>
      </c>
      <c r="L141" s="15">
        <v>363</v>
      </c>
      <c r="M141" s="15">
        <v>103</v>
      </c>
      <c r="N141" s="15">
        <v>1078</v>
      </c>
      <c r="O141" s="16">
        <f t="shared" ref="O141:T141" si="141">ROUND(C141 + ((2016-2012)*(I141-C141))/(2024-2012),0)</f>
        <v>40344</v>
      </c>
      <c r="P141" s="23">
        <f t="shared" si="141"/>
        <v>38794</v>
      </c>
      <c r="Q141" s="23">
        <f t="shared" si="141"/>
        <v>80</v>
      </c>
      <c r="R141" s="23">
        <f t="shared" si="141"/>
        <v>159</v>
      </c>
      <c r="S141" s="23">
        <f t="shared" si="141"/>
        <v>80</v>
      </c>
      <c r="T141" s="23">
        <f t="shared" si="141"/>
        <v>1232</v>
      </c>
      <c r="U141" s="24">
        <v>39097</v>
      </c>
      <c r="V141" s="18">
        <f t="shared" si="1"/>
        <v>-303</v>
      </c>
      <c r="W141" s="18">
        <f t="shared" si="2"/>
        <v>0</v>
      </c>
      <c r="X141" s="19">
        <f t="shared" si="3"/>
        <v>40648</v>
      </c>
      <c r="Y141" s="18">
        <v>992.99997091293335</v>
      </c>
      <c r="Z141" s="20"/>
      <c r="AA141" s="15">
        <v>38787</v>
      </c>
      <c r="AB141" s="23">
        <f t="shared" si="5"/>
        <v>45375</v>
      </c>
      <c r="AC141" s="15">
        <v>58550</v>
      </c>
      <c r="AD141" s="4"/>
      <c r="AE141" s="4"/>
      <c r="AF141" s="4"/>
      <c r="AG141" s="4"/>
      <c r="AH141" s="4"/>
      <c r="AI141" s="4"/>
      <c r="AJ141" s="4"/>
      <c r="AK141" s="4"/>
      <c r="AL141" s="4"/>
    </row>
    <row r="142" spans="1:38" ht="14.4">
      <c r="A142" s="13">
        <v>30902</v>
      </c>
      <c r="B142" s="14" t="s">
        <v>157</v>
      </c>
      <c r="C142" s="15">
        <v>11603</v>
      </c>
      <c r="D142" s="15">
        <v>9847</v>
      </c>
      <c r="E142" s="15">
        <v>33</v>
      </c>
      <c r="F142" s="15">
        <v>20</v>
      </c>
      <c r="G142" s="15">
        <v>34</v>
      </c>
      <c r="H142" s="15">
        <v>1669</v>
      </c>
      <c r="I142" s="15">
        <v>17824</v>
      </c>
      <c r="J142" s="15">
        <v>16413</v>
      </c>
      <c r="K142" s="15">
        <v>38</v>
      </c>
      <c r="L142" s="15">
        <v>250</v>
      </c>
      <c r="M142" s="15">
        <v>43</v>
      </c>
      <c r="N142" s="15">
        <v>1080</v>
      </c>
      <c r="O142" s="16">
        <f t="shared" ref="O142:T142" si="142">ROUND(C142 + ((2016-2012)*(I142-C142))/(2024-2012),0)</f>
        <v>13677</v>
      </c>
      <c r="P142" s="17">
        <f t="shared" si="142"/>
        <v>12036</v>
      </c>
      <c r="Q142" s="17">
        <f t="shared" si="142"/>
        <v>35</v>
      </c>
      <c r="R142" s="17">
        <f t="shared" si="142"/>
        <v>97</v>
      </c>
      <c r="S142" s="17">
        <f t="shared" si="142"/>
        <v>37</v>
      </c>
      <c r="T142" s="17">
        <f t="shared" si="142"/>
        <v>1473</v>
      </c>
      <c r="U142" s="25">
        <v>14326</v>
      </c>
      <c r="V142" s="18">
        <f t="shared" si="1"/>
        <v>-2290</v>
      </c>
      <c r="W142" s="18">
        <f t="shared" si="2"/>
        <v>0</v>
      </c>
      <c r="X142" s="19">
        <f t="shared" si="3"/>
        <v>15968</v>
      </c>
      <c r="Y142" s="18">
        <v>409.00000929832458</v>
      </c>
      <c r="Z142" s="20"/>
      <c r="AA142" s="15">
        <v>13479</v>
      </c>
      <c r="AB142" s="17">
        <f t="shared" si="5"/>
        <v>16338</v>
      </c>
      <c r="AC142" s="15">
        <v>22057</v>
      </c>
      <c r="AD142" s="4"/>
      <c r="AE142" s="4"/>
      <c r="AF142" s="4"/>
      <c r="AG142" s="4"/>
      <c r="AH142" s="4"/>
      <c r="AI142" s="4"/>
      <c r="AJ142" s="4"/>
      <c r="AK142" s="4"/>
      <c r="AL142" s="4"/>
    </row>
    <row r="143" spans="1:38" ht="14.4">
      <c r="A143" s="21">
        <v>30903</v>
      </c>
      <c r="B143" s="22" t="s">
        <v>158</v>
      </c>
      <c r="C143" s="15">
        <v>13857</v>
      </c>
      <c r="D143" s="15">
        <v>12412</v>
      </c>
      <c r="E143" s="15">
        <v>51</v>
      </c>
      <c r="F143" s="15">
        <v>313</v>
      </c>
      <c r="G143" s="15">
        <v>50</v>
      </c>
      <c r="H143" s="15">
        <v>1031</v>
      </c>
      <c r="I143" s="15">
        <v>17932</v>
      </c>
      <c r="J143" s="15">
        <v>17051</v>
      </c>
      <c r="K143" s="15">
        <v>39</v>
      </c>
      <c r="L143" s="15">
        <v>322</v>
      </c>
      <c r="M143" s="15">
        <v>45</v>
      </c>
      <c r="N143" s="15">
        <v>475</v>
      </c>
      <c r="O143" s="16">
        <f t="shared" ref="O143:T143" si="143">ROUND(C143 + ((2016-2012)*(I143-C143))/(2024-2012),0)</f>
        <v>15215</v>
      </c>
      <c r="P143" s="23">
        <f t="shared" si="143"/>
        <v>13958</v>
      </c>
      <c r="Q143" s="23">
        <f t="shared" si="143"/>
        <v>47</v>
      </c>
      <c r="R143" s="23">
        <f t="shared" si="143"/>
        <v>316</v>
      </c>
      <c r="S143" s="23">
        <f t="shared" si="143"/>
        <v>48</v>
      </c>
      <c r="T143" s="23">
        <f t="shared" si="143"/>
        <v>846</v>
      </c>
      <c r="U143" s="24">
        <v>15449</v>
      </c>
      <c r="V143" s="18">
        <f t="shared" si="1"/>
        <v>-1491</v>
      </c>
      <c r="W143" s="18">
        <f t="shared" si="2"/>
        <v>0</v>
      </c>
      <c r="X143" s="19">
        <f t="shared" si="3"/>
        <v>16706</v>
      </c>
      <c r="Y143" s="18">
        <v>985.00001430511475</v>
      </c>
      <c r="Z143" s="20"/>
      <c r="AA143" s="15">
        <v>15296</v>
      </c>
      <c r="AB143" s="23">
        <f t="shared" si="5"/>
        <v>17328</v>
      </c>
      <c r="AC143" s="15">
        <v>21393</v>
      </c>
      <c r="AD143" s="4"/>
      <c r="AE143" s="4"/>
      <c r="AF143" s="4"/>
      <c r="AG143" s="4"/>
      <c r="AH143" s="4"/>
      <c r="AI143" s="4"/>
      <c r="AJ143" s="4"/>
      <c r="AK143" s="4"/>
      <c r="AL143" s="4"/>
    </row>
    <row r="144" spans="1:38" ht="14.4">
      <c r="A144" s="13">
        <v>30904</v>
      </c>
      <c r="B144" s="14" t="s">
        <v>159</v>
      </c>
      <c r="C144" s="15">
        <v>14312</v>
      </c>
      <c r="D144" s="15">
        <v>12974</v>
      </c>
      <c r="E144" s="15">
        <v>14</v>
      </c>
      <c r="F144" s="15">
        <v>21</v>
      </c>
      <c r="G144" s="15">
        <v>22</v>
      </c>
      <c r="H144" s="15">
        <v>1281</v>
      </c>
      <c r="I144" s="15">
        <v>17058</v>
      </c>
      <c r="J144" s="15">
        <v>16448</v>
      </c>
      <c r="K144" s="15">
        <v>27</v>
      </c>
      <c r="L144" s="15">
        <v>100</v>
      </c>
      <c r="M144" s="15">
        <v>22</v>
      </c>
      <c r="N144" s="15">
        <v>461</v>
      </c>
      <c r="O144" s="16">
        <f t="shared" ref="O144:T144" si="144">ROUND(C144 + ((2016-2012)*(I144-C144))/(2024-2012),0)</f>
        <v>15227</v>
      </c>
      <c r="P144" s="17">
        <f t="shared" si="144"/>
        <v>14132</v>
      </c>
      <c r="Q144" s="17">
        <f t="shared" si="144"/>
        <v>18</v>
      </c>
      <c r="R144" s="17">
        <f t="shared" si="144"/>
        <v>47</v>
      </c>
      <c r="S144" s="17">
        <f t="shared" si="144"/>
        <v>22</v>
      </c>
      <c r="T144" s="17">
        <f t="shared" si="144"/>
        <v>1008</v>
      </c>
      <c r="U144" s="25">
        <v>14540</v>
      </c>
      <c r="V144" s="18">
        <f t="shared" si="1"/>
        <v>-408</v>
      </c>
      <c r="W144" s="18">
        <f t="shared" si="2"/>
        <v>0</v>
      </c>
      <c r="X144" s="19">
        <f t="shared" si="3"/>
        <v>15635</v>
      </c>
      <c r="Y144" s="18">
        <v>648.00000190734863</v>
      </c>
      <c r="Z144" s="20"/>
      <c r="AA144" s="15">
        <v>16088</v>
      </c>
      <c r="AB144" s="17">
        <f t="shared" si="5"/>
        <v>17626</v>
      </c>
      <c r="AC144" s="15">
        <v>20702</v>
      </c>
      <c r="AD144" s="4"/>
      <c r="AE144" s="4"/>
      <c r="AF144" s="4"/>
      <c r="AG144" s="4"/>
      <c r="AH144" s="4"/>
      <c r="AI144" s="4"/>
      <c r="AJ144" s="4"/>
      <c r="AK144" s="4"/>
      <c r="AL144" s="4"/>
    </row>
    <row r="145" spans="1:38" ht="14.4">
      <c r="A145" s="21">
        <v>30905</v>
      </c>
      <c r="B145" s="22" t="s">
        <v>160</v>
      </c>
      <c r="C145" s="15">
        <v>13514</v>
      </c>
      <c r="D145" s="15">
        <v>13401</v>
      </c>
      <c r="E145" s="15">
        <v>20</v>
      </c>
      <c r="F145" s="15">
        <v>3</v>
      </c>
      <c r="G145" s="15">
        <v>2</v>
      </c>
      <c r="H145" s="15">
        <v>88</v>
      </c>
      <c r="I145" s="15">
        <v>19190</v>
      </c>
      <c r="J145" s="15">
        <v>19000</v>
      </c>
      <c r="K145" s="15">
        <v>39</v>
      </c>
      <c r="L145" s="15">
        <v>48</v>
      </c>
      <c r="M145" s="15">
        <v>15</v>
      </c>
      <c r="N145" s="15">
        <v>88</v>
      </c>
      <c r="O145" s="16">
        <f t="shared" ref="O145:T145" si="145">ROUND(C145 + ((2016-2012)*(I145-C145))/(2024-2012),0)</f>
        <v>15406</v>
      </c>
      <c r="P145" s="23">
        <f t="shared" si="145"/>
        <v>15267</v>
      </c>
      <c r="Q145" s="23">
        <f t="shared" si="145"/>
        <v>26</v>
      </c>
      <c r="R145" s="23">
        <f t="shared" si="145"/>
        <v>18</v>
      </c>
      <c r="S145" s="23">
        <f t="shared" si="145"/>
        <v>6</v>
      </c>
      <c r="T145" s="23">
        <f t="shared" si="145"/>
        <v>88</v>
      </c>
      <c r="U145" s="24">
        <v>15360</v>
      </c>
      <c r="V145" s="18">
        <f t="shared" si="1"/>
        <v>-93</v>
      </c>
      <c r="W145" s="18">
        <f t="shared" si="2"/>
        <v>0</v>
      </c>
      <c r="X145" s="19">
        <f t="shared" si="3"/>
        <v>15498</v>
      </c>
      <c r="Y145" s="18">
        <v>1156.999945640564</v>
      </c>
      <c r="Z145" s="20"/>
      <c r="AA145" s="15">
        <v>14753</v>
      </c>
      <c r="AB145" s="23">
        <f t="shared" si="5"/>
        <v>17308</v>
      </c>
      <c r="AC145" s="15">
        <v>22418</v>
      </c>
      <c r="AD145" s="4"/>
      <c r="AE145" s="4"/>
      <c r="AF145" s="4"/>
      <c r="AG145" s="4"/>
      <c r="AH145" s="4"/>
      <c r="AI145" s="4"/>
      <c r="AJ145" s="4"/>
      <c r="AK145" s="4"/>
      <c r="AL145" s="4"/>
    </row>
    <row r="146" spans="1:38" ht="14.4">
      <c r="A146" s="13">
        <v>31001</v>
      </c>
      <c r="B146" s="14" t="s">
        <v>161</v>
      </c>
      <c r="C146" s="15">
        <v>47536</v>
      </c>
      <c r="D146" s="15">
        <v>42843</v>
      </c>
      <c r="E146" s="15">
        <v>128</v>
      </c>
      <c r="F146" s="15">
        <v>44</v>
      </c>
      <c r="G146" s="15">
        <v>171</v>
      </c>
      <c r="H146" s="15">
        <v>4350</v>
      </c>
      <c r="I146" s="15">
        <v>69313</v>
      </c>
      <c r="J146" s="15">
        <v>63868</v>
      </c>
      <c r="K146" s="15">
        <v>179</v>
      </c>
      <c r="L146" s="15">
        <v>378</v>
      </c>
      <c r="M146" s="15">
        <v>371</v>
      </c>
      <c r="N146" s="15">
        <v>4517</v>
      </c>
      <c r="O146" s="16">
        <f t="shared" ref="O146:T146" si="146">ROUND(C146 + ((2016-2012)*(I146-C146))/(2024-2012),0)</f>
        <v>54795</v>
      </c>
      <c r="P146" s="17">
        <f t="shared" si="146"/>
        <v>49851</v>
      </c>
      <c r="Q146" s="17">
        <f t="shared" si="146"/>
        <v>145</v>
      </c>
      <c r="R146" s="17">
        <f t="shared" si="146"/>
        <v>155</v>
      </c>
      <c r="S146" s="17">
        <f t="shared" si="146"/>
        <v>238</v>
      </c>
      <c r="T146" s="17">
        <f t="shared" si="146"/>
        <v>4406</v>
      </c>
      <c r="U146" s="25">
        <v>50068</v>
      </c>
      <c r="V146" s="18">
        <f t="shared" si="1"/>
        <v>-217</v>
      </c>
      <c r="W146" s="18">
        <f t="shared" si="2"/>
        <v>0</v>
      </c>
      <c r="X146" s="19">
        <f t="shared" si="3"/>
        <v>55012</v>
      </c>
      <c r="Y146" s="18">
        <v>725.00002384185791</v>
      </c>
      <c r="Z146" s="20"/>
      <c r="AA146" s="15">
        <v>53648</v>
      </c>
      <c r="AB146" s="17">
        <f t="shared" si="5"/>
        <v>63702</v>
      </c>
      <c r="AC146" s="15">
        <v>83811</v>
      </c>
      <c r="AD146" s="4"/>
      <c r="AE146" s="4"/>
      <c r="AF146" s="4"/>
      <c r="AG146" s="4"/>
      <c r="AH146" s="4"/>
      <c r="AI146" s="4"/>
      <c r="AJ146" s="4"/>
      <c r="AK146" s="4"/>
      <c r="AL146" s="4"/>
    </row>
    <row r="147" spans="1:38" ht="14.4">
      <c r="A147" s="21">
        <v>31002</v>
      </c>
      <c r="B147" s="22" t="s">
        <v>162</v>
      </c>
      <c r="C147" s="15">
        <v>6022</v>
      </c>
      <c r="D147" s="15">
        <v>3995</v>
      </c>
      <c r="E147" s="15">
        <v>32</v>
      </c>
      <c r="F147" s="15">
        <v>10</v>
      </c>
      <c r="G147" s="15">
        <v>59</v>
      </c>
      <c r="H147" s="15">
        <v>1926</v>
      </c>
      <c r="I147" s="15">
        <v>8493</v>
      </c>
      <c r="J147" s="15">
        <v>5661</v>
      </c>
      <c r="K147" s="15">
        <v>35</v>
      </c>
      <c r="L147" s="15">
        <v>244</v>
      </c>
      <c r="M147" s="15">
        <v>154</v>
      </c>
      <c r="N147" s="15">
        <v>2399</v>
      </c>
      <c r="O147" s="16">
        <f t="shared" ref="O147:T147" si="147">ROUND(C147 + ((2016-2012)*(I147-C147))/(2024-2012),0)</f>
        <v>6846</v>
      </c>
      <c r="P147" s="23">
        <f t="shared" si="147"/>
        <v>4550</v>
      </c>
      <c r="Q147" s="23">
        <f t="shared" si="147"/>
        <v>33</v>
      </c>
      <c r="R147" s="23">
        <f t="shared" si="147"/>
        <v>88</v>
      </c>
      <c r="S147" s="23">
        <f t="shared" si="147"/>
        <v>91</v>
      </c>
      <c r="T147" s="23">
        <f t="shared" si="147"/>
        <v>2084</v>
      </c>
      <c r="U147" s="24">
        <v>5192</v>
      </c>
      <c r="V147" s="18">
        <f t="shared" si="1"/>
        <v>-642</v>
      </c>
      <c r="W147" s="18">
        <f t="shared" si="2"/>
        <v>0</v>
      </c>
      <c r="X147" s="19">
        <f t="shared" si="3"/>
        <v>7488</v>
      </c>
      <c r="Y147" s="18">
        <v>303.99999022483826</v>
      </c>
      <c r="Z147" s="20"/>
      <c r="AA147" s="15">
        <v>7691</v>
      </c>
      <c r="AB147" s="23">
        <f t="shared" si="5"/>
        <v>8868</v>
      </c>
      <c r="AC147" s="15">
        <v>11221</v>
      </c>
      <c r="AD147" s="4"/>
      <c r="AE147" s="4"/>
      <c r="AF147" s="4"/>
      <c r="AG147" s="4"/>
      <c r="AH147" s="4"/>
      <c r="AI147" s="4"/>
      <c r="AJ147" s="4"/>
      <c r="AK147" s="4"/>
      <c r="AL147" s="4"/>
    </row>
    <row r="148" spans="1:38" ht="14.4">
      <c r="A148" s="13">
        <v>31003</v>
      </c>
      <c r="B148" s="14" t="s">
        <v>163</v>
      </c>
      <c r="C148" s="15">
        <v>26725</v>
      </c>
      <c r="D148" s="15">
        <v>10645</v>
      </c>
      <c r="E148" s="15">
        <v>442</v>
      </c>
      <c r="F148" s="15">
        <v>300</v>
      </c>
      <c r="G148" s="15">
        <v>411</v>
      </c>
      <c r="H148" s="15">
        <v>14927</v>
      </c>
      <c r="I148" s="15">
        <v>41951</v>
      </c>
      <c r="J148" s="15">
        <v>25384</v>
      </c>
      <c r="K148" s="15">
        <v>145</v>
      </c>
      <c r="L148" s="15">
        <v>1053</v>
      </c>
      <c r="M148" s="15">
        <v>474</v>
      </c>
      <c r="N148" s="15">
        <v>14895</v>
      </c>
      <c r="O148" s="16">
        <f t="shared" ref="O148:T148" si="148">ROUND(C148 + ((2016-2012)*(I148-C148))/(2024-2012),0)</f>
        <v>31800</v>
      </c>
      <c r="P148" s="17">
        <f t="shared" si="148"/>
        <v>15558</v>
      </c>
      <c r="Q148" s="17">
        <f t="shared" si="148"/>
        <v>343</v>
      </c>
      <c r="R148" s="17">
        <f t="shared" si="148"/>
        <v>551</v>
      </c>
      <c r="S148" s="17">
        <f t="shared" si="148"/>
        <v>432</v>
      </c>
      <c r="T148" s="17">
        <f t="shared" si="148"/>
        <v>14916</v>
      </c>
      <c r="U148" s="25">
        <v>17301</v>
      </c>
      <c r="V148" s="18">
        <f t="shared" si="1"/>
        <v>-1743</v>
      </c>
      <c r="W148" s="18">
        <f t="shared" si="2"/>
        <v>0</v>
      </c>
      <c r="X148" s="19">
        <f t="shared" si="3"/>
        <v>33543</v>
      </c>
      <c r="Y148" s="18">
        <v>354.99998927116394</v>
      </c>
      <c r="Z148" s="20"/>
      <c r="AA148" s="15">
        <v>31560</v>
      </c>
      <c r="AB148" s="17">
        <f t="shared" si="5"/>
        <v>37742</v>
      </c>
      <c r="AC148" s="15">
        <v>50107</v>
      </c>
      <c r="AD148" s="4"/>
      <c r="AE148" s="4"/>
      <c r="AF148" s="4"/>
      <c r="AG148" s="4"/>
      <c r="AH148" s="4"/>
      <c r="AI148" s="4"/>
      <c r="AJ148" s="4"/>
      <c r="AK148" s="4"/>
      <c r="AL148" s="4"/>
    </row>
    <row r="149" spans="1:38" ht="14.4">
      <c r="A149" s="21">
        <v>31101</v>
      </c>
      <c r="B149" s="22" t="s">
        <v>164</v>
      </c>
      <c r="C149" s="15">
        <v>8113</v>
      </c>
      <c r="D149" s="15">
        <v>2093</v>
      </c>
      <c r="E149" s="15">
        <v>29</v>
      </c>
      <c r="F149" s="15">
        <v>422</v>
      </c>
      <c r="G149" s="15">
        <v>209</v>
      </c>
      <c r="H149" s="15">
        <v>5360</v>
      </c>
      <c r="I149" s="15">
        <v>9638</v>
      </c>
      <c r="J149" s="15">
        <v>4471</v>
      </c>
      <c r="K149" s="15">
        <v>17</v>
      </c>
      <c r="L149" s="15">
        <v>745</v>
      </c>
      <c r="M149" s="15">
        <v>185</v>
      </c>
      <c r="N149" s="15">
        <v>4220</v>
      </c>
      <c r="O149" s="16">
        <f t="shared" ref="O149:T149" si="149">ROUND(C149 + ((2016-2012)*(I149-C149))/(2024-2012),0)</f>
        <v>8621</v>
      </c>
      <c r="P149" s="23">
        <f t="shared" si="149"/>
        <v>2886</v>
      </c>
      <c r="Q149" s="23">
        <f t="shared" si="149"/>
        <v>25</v>
      </c>
      <c r="R149" s="23">
        <f t="shared" si="149"/>
        <v>530</v>
      </c>
      <c r="S149" s="23">
        <f t="shared" si="149"/>
        <v>201</v>
      </c>
      <c r="T149" s="23">
        <f t="shared" si="149"/>
        <v>4980</v>
      </c>
      <c r="U149" s="24">
        <v>2043</v>
      </c>
      <c r="V149" s="18">
        <f t="shared" si="1"/>
        <v>843</v>
      </c>
      <c r="W149" s="18">
        <f t="shared" si="2"/>
        <v>843</v>
      </c>
      <c r="X149" s="19">
        <f t="shared" si="3"/>
        <v>8622</v>
      </c>
      <c r="Y149" s="18">
        <v>125</v>
      </c>
      <c r="Z149" s="20"/>
      <c r="AA149" s="15">
        <v>9522</v>
      </c>
      <c r="AB149" s="23">
        <f t="shared" si="5"/>
        <v>10628</v>
      </c>
      <c r="AC149" s="15">
        <v>12840</v>
      </c>
      <c r="AD149" s="4"/>
      <c r="AE149" s="4"/>
      <c r="AF149" s="4"/>
      <c r="AG149" s="4"/>
      <c r="AH149" s="4"/>
      <c r="AI149" s="4"/>
      <c r="AJ149" s="4"/>
      <c r="AK149" s="4"/>
      <c r="AL149" s="4"/>
    </row>
    <row r="150" spans="1:38" ht="14.4">
      <c r="A150" s="13">
        <v>31201</v>
      </c>
      <c r="B150" s="14" t="s">
        <v>165</v>
      </c>
      <c r="C150" s="15">
        <v>4729</v>
      </c>
      <c r="D150" s="15">
        <v>1520</v>
      </c>
      <c r="E150" s="15">
        <v>32</v>
      </c>
      <c r="F150" s="15">
        <v>448</v>
      </c>
      <c r="G150" s="15">
        <v>206</v>
      </c>
      <c r="H150" s="15">
        <v>2523</v>
      </c>
      <c r="I150" s="15">
        <v>5351</v>
      </c>
      <c r="J150" s="15">
        <v>2757</v>
      </c>
      <c r="K150" s="15">
        <v>8</v>
      </c>
      <c r="L150" s="15">
        <v>946</v>
      </c>
      <c r="M150" s="15">
        <v>58</v>
      </c>
      <c r="N150" s="15">
        <v>1582</v>
      </c>
      <c r="O150" s="16">
        <f t="shared" ref="O150:T150" si="150">ROUND(C150 + ((2016-2012)*(I150-C150))/(2024-2012),0)</f>
        <v>4936</v>
      </c>
      <c r="P150" s="17">
        <f t="shared" si="150"/>
        <v>1932</v>
      </c>
      <c r="Q150" s="17">
        <f t="shared" si="150"/>
        <v>24</v>
      </c>
      <c r="R150" s="17">
        <f t="shared" si="150"/>
        <v>614</v>
      </c>
      <c r="S150" s="17">
        <f t="shared" si="150"/>
        <v>157</v>
      </c>
      <c r="T150" s="17">
        <f t="shared" si="150"/>
        <v>2209</v>
      </c>
      <c r="U150" s="25">
        <v>3378</v>
      </c>
      <c r="V150" s="18">
        <f t="shared" si="1"/>
        <v>-1446</v>
      </c>
      <c r="W150" s="18">
        <f t="shared" si="2"/>
        <v>0</v>
      </c>
      <c r="X150" s="19">
        <f t="shared" si="3"/>
        <v>6382</v>
      </c>
      <c r="Y150" s="18">
        <v>68.000003695487976</v>
      </c>
      <c r="Z150" s="20"/>
      <c r="AA150" s="15">
        <v>6071</v>
      </c>
      <c r="AB150" s="17">
        <f t="shared" si="5"/>
        <v>6745</v>
      </c>
      <c r="AC150" s="15">
        <v>8092</v>
      </c>
      <c r="AD150" s="4"/>
      <c r="AE150" s="4"/>
      <c r="AF150" s="4"/>
      <c r="AG150" s="4"/>
      <c r="AH150" s="4"/>
      <c r="AI150" s="4"/>
      <c r="AJ150" s="4"/>
      <c r="AK150" s="4"/>
      <c r="AL150" s="4"/>
    </row>
    <row r="151" spans="1:38" ht="14.4">
      <c r="A151" s="21">
        <v>31202</v>
      </c>
      <c r="B151" s="22" t="s">
        <v>166</v>
      </c>
      <c r="C151" s="15">
        <v>3003</v>
      </c>
      <c r="D151" s="15">
        <v>977</v>
      </c>
      <c r="E151" s="15">
        <v>18</v>
      </c>
      <c r="F151" s="15">
        <v>381</v>
      </c>
      <c r="G151" s="15">
        <v>150</v>
      </c>
      <c r="H151" s="15">
        <v>1477</v>
      </c>
      <c r="I151" s="15">
        <v>3705</v>
      </c>
      <c r="J151" s="15">
        <v>2047</v>
      </c>
      <c r="K151" s="15">
        <v>9</v>
      </c>
      <c r="L151" s="15">
        <v>296</v>
      </c>
      <c r="M151" s="15">
        <v>28</v>
      </c>
      <c r="N151" s="15">
        <v>1325</v>
      </c>
      <c r="O151" s="16">
        <f t="shared" ref="O151:T151" si="151">ROUND(C151 + ((2016-2012)*(I151-C151))/(2024-2012),0)</f>
        <v>3237</v>
      </c>
      <c r="P151" s="23">
        <f t="shared" si="151"/>
        <v>1334</v>
      </c>
      <c r="Q151" s="23">
        <f t="shared" si="151"/>
        <v>15</v>
      </c>
      <c r="R151" s="23">
        <f t="shared" si="151"/>
        <v>353</v>
      </c>
      <c r="S151" s="23">
        <f t="shared" si="151"/>
        <v>109</v>
      </c>
      <c r="T151" s="23">
        <f t="shared" si="151"/>
        <v>1426</v>
      </c>
      <c r="U151" s="24">
        <v>1781</v>
      </c>
      <c r="V151" s="18">
        <f t="shared" si="1"/>
        <v>-447</v>
      </c>
      <c r="W151" s="18">
        <f t="shared" si="2"/>
        <v>0</v>
      </c>
      <c r="X151" s="19">
        <f t="shared" si="3"/>
        <v>3684</v>
      </c>
      <c r="Y151" s="18">
        <v>190.99999964237213</v>
      </c>
      <c r="Z151" s="20"/>
      <c r="AA151" s="15">
        <v>3790</v>
      </c>
      <c r="AB151" s="23">
        <f t="shared" si="5"/>
        <v>4343</v>
      </c>
      <c r="AC151" s="15">
        <v>5449</v>
      </c>
      <c r="AD151" s="4"/>
      <c r="AE151" s="4"/>
      <c r="AF151" s="4"/>
      <c r="AG151" s="4"/>
      <c r="AH151" s="4"/>
      <c r="AI151" s="4"/>
      <c r="AJ151" s="4"/>
      <c r="AK151" s="4"/>
      <c r="AL151" s="4"/>
    </row>
    <row r="152" spans="1:38" ht="14.4">
      <c r="A152" s="13">
        <v>31203</v>
      </c>
      <c r="B152" s="14" t="s">
        <v>167</v>
      </c>
      <c r="C152" s="15">
        <v>3544</v>
      </c>
      <c r="D152" s="15">
        <v>2301</v>
      </c>
      <c r="E152" s="15">
        <v>10</v>
      </c>
      <c r="F152" s="15">
        <v>113</v>
      </c>
      <c r="G152" s="15">
        <v>20</v>
      </c>
      <c r="H152" s="15">
        <v>1100</v>
      </c>
      <c r="I152" s="15">
        <v>4853</v>
      </c>
      <c r="J152" s="15">
        <v>3471</v>
      </c>
      <c r="K152" s="15">
        <v>14</v>
      </c>
      <c r="L152" s="15">
        <v>232</v>
      </c>
      <c r="M152" s="15">
        <v>45</v>
      </c>
      <c r="N152" s="15">
        <v>1091</v>
      </c>
      <c r="O152" s="16">
        <f t="shared" ref="O152:T152" si="152">ROUND(C152 + ((2016-2012)*(I152-C152))/(2024-2012),0)</f>
        <v>3980</v>
      </c>
      <c r="P152" s="17">
        <f t="shared" si="152"/>
        <v>2691</v>
      </c>
      <c r="Q152" s="17">
        <f t="shared" si="152"/>
        <v>11</v>
      </c>
      <c r="R152" s="17">
        <f t="shared" si="152"/>
        <v>153</v>
      </c>
      <c r="S152" s="17">
        <f t="shared" si="152"/>
        <v>28</v>
      </c>
      <c r="T152" s="17">
        <f t="shared" si="152"/>
        <v>1097</v>
      </c>
      <c r="U152" s="25">
        <v>2518</v>
      </c>
      <c r="V152" s="18">
        <f t="shared" si="1"/>
        <v>173</v>
      </c>
      <c r="W152" s="18">
        <f t="shared" si="2"/>
        <v>173</v>
      </c>
      <c r="X152" s="19">
        <f t="shared" si="3"/>
        <v>3980</v>
      </c>
      <c r="Y152" s="18">
        <v>240.99999666213989</v>
      </c>
      <c r="Z152" s="20"/>
      <c r="AA152" s="15">
        <v>4624</v>
      </c>
      <c r="AB152" s="17">
        <f t="shared" si="5"/>
        <v>5368</v>
      </c>
      <c r="AC152" s="15">
        <v>6855</v>
      </c>
      <c r="AD152" s="4"/>
      <c r="AE152" s="4"/>
      <c r="AF152" s="4"/>
      <c r="AG152" s="4"/>
      <c r="AH152" s="4"/>
      <c r="AI152" s="4"/>
      <c r="AJ152" s="4"/>
      <c r="AK152" s="4"/>
      <c r="AL152" s="4"/>
    </row>
    <row r="153" spans="1:38" ht="14.4">
      <c r="A153" s="21">
        <v>31204</v>
      </c>
      <c r="B153" s="22" t="s">
        <v>168</v>
      </c>
      <c r="C153" s="15">
        <v>7263</v>
      </c>
      <c r="D153" s="15">
        <v>3606</v>
      </c>
      <c r="E153" s="15">
        <v>205</v>
      </c>
      <c r="F153" s="15">
        <v>99</v>
      </c>
      <c r="G153" s="15">
        <v>78</v>
      </c>
      <c r="H153" s="15">
        <v>3275</v>
      </c>
      <c r="I153" s="15">
        <v>10557</v>
      </c>
      <c r="J153" s="15">
        <v>7001</v>
      </c>
      <c r="K153" s="15">
        <v>158</v>
      </c>
      <c r="L153" s="15">
        <v>166</v>
      </c>
      <c r="M153" s="15">
        <v>68</v>
      </c>
      <c r="N153" s="15">
        <v>3164</v>
      </c>
      <c r="O153" s="16">
        <f t="shared" ref="O153:T153" si="153">ROUND(C153 + ((2016-2012)*(I153-C153))/(2024-2012),0)</f>
        <v>8361</v>
      </c>
      <c r="P153" s="23">
        <f t="shared" si="153"/>
        <v>4738</v>
      </c>
      <c r="Q153" s="23">
        <f t="shared" si="153"/>
        <v>189</v>
      </c>
      <c r="R153" s="23">
        <f t="shared" si="153"/>
        <v>121</v>
      </c>
      <c r="S153" s="23">
        <f t="shared" si="153"/>
        <v>75</v>
      </c>
      <c r="T153" s="23">
        <f t="shared" si="153"/>
        <v>3238</v>
      </c>
      <c r="U153" s="24">
        <v>4837</v>
      </c>
      <c r="V153" s="18">
        <f t="shared" si="1"/>
        <v>-99</v>
      </c>
      <c r="W153" s="18">
        <f t="shared" si="2"/>
        <v>0</v>
      </c>
      <c r="X153" s="19">
        <f t="shared" si="3"/>
        <v>8460</v>
      </c>
      <c r="Y153" s="18">
        <v>536.50000691413879</v>
      </c>
      <c r="Z153" s="20"/>
      <c r="AA153" s="15">
        <v>7848</v>
      </c>
      <c r="AB153" s="23">
        <f t="shared" si="5"/>
        <v>9455</v>
      </c>
      <c r="AC153" s="15">
        <v>12669</v>
      </c>
      <c r="AD153" s="4"/>
      <c r="AE153" s="4"/>
      <c r="AF153" s="4"/>
      <c r="AG153" s="4"/>
      <c r="AH153" s="4"/>
      <c r="AI153" s="4"/>
      <c r="AJ153" s="4"/>
      <c r="AK153" s="4"/>
      <c r="AL153" s="4"/>
    </row>
    <row r="154" spans="1:38" ht="14.4">
      <c r="A154" s="13">
        <v>31205</v>
      </c>
      <c r="B154" s="14" t="s">
        <v>169</v>
      </c>
      <c r="C154" s="15">
        <v>16951</v>
      </c>
      <c r="D154" s="15">
        <v>9234</v>
      </c>
      <c r="E154" s="15">
        <v>179</v>
      </c>
      <c r="F154" s="15">
        <v>72</v>
      </c>
      <c r="G154" s="15">
        <v>174</v>
      </c>
      <c r="H154" s="15">
        <v>7292</v>
      </c>
      <c r="I154" s="15">
        <v>25497</v>
      </c>
      <c r="J154" s="15">
        <v>18442</v>
      </c>
      <c r="K154" s="15">
        <v>78</v>
      </c>
      <c r="L154" s="15">
        <v>183</v>
      </c>
      <c r="M154" s="15">
        <v>155</v>
      </c>
      <c r="N154" s="15">
        <v>6639</v>
      </c>
      <c r="O154" s="16">
        <f t="shared" ref="O154:T154" si="154">ROUND(C154 + ((2016-2012)*(I154-C154))/(2024-2012),0)</f>
        <v>19800</v>
      </c>
      <c r="P154" s="17">
        <f t="shared" si="154"/>
        <v>12303</v>
      </c>
      <c r="Q154" s="17">
        <f t="shared" si="154"/>
        <v>145</v>
      </c>
      <c r="R154" s="17">
        <f t="shared" si="154"/>
        <v>109</v>
      </c>
      <c r="S154" s="17">
        <f t="shared" si="154"/>
        <v>168</v>
      </c>
      <c r="T154" s="17">
        <f t="shared" si="154"/>
        <v>7074</v>
      </c>
      <c r="U154" s="25">
        <v>11142</v>
      </c>
      <c r="V154" s="18">
        <f t="shared" si="1"/>
        <v>1161</v>
      </c>
      <c r="W154" s="18">
        <f t="shared" si="2"/>
        <v>1161</v>
      </c>
      <c r="X154" s="19">
        <f t="shared" si="3"/>
        <v>19799</v>
      </c>
      <c r="Y154" s="18">
        <v>495.99999189376831</v>
      </c>
      <c r="Z154" s="20"/>
      <c r="AA154" s="15">
        <v>18797</v>
      </c>
      <c r="AB154" s="17">
        <f t="shared" si="5"/>
        <v>22520</v>
      </c>
      <c r="AC154" s="15">
        <v>29966</v>
      </c>
      <c r="AD154" s="4"/>
      <c r="AE154" s="4"/>
      <c r="AF154" s="4"/>
      <c r="AG154" s="4"/>
      <c r="AH154" s="4"/>
      <c r="AI154" s="4"/>
      <c r="AJ154" s="4"/>
      <c r="AK154" s="4"/>
      <c r="AL154" s="4"/>
    </row>
    <row r="155" spans="1:38" ht="14.4">
      <c r="A155" s="21">
        <v>31206</v>
      </c>
      <c r="B155" s="22" t="s">
        <v>170</v>
      </c>
      <c r="C155" s="15">
        <v>12475</v>
      </c>
      <c r="D155" s="15">
        <v>6067</v>
      </c>
      <c r="E155" s="15">
        <v>104</v>
      </c>
      <c r="F155" s="15">
        <v>66</v>
      </c>
      <c r="G155" s="15">
        <v>259</v>
      </c>
      <c r="H155" s="15">
        <v>5979</v>
      </c>
      <c r="I155" s="15">
        <v>18178</v>
      </c>
      <c r="J155" s="15">
        <v>12643</v>
      </c>
      <c r="K155" s="15">
        <v>56</v>
      </c>
      <c r="L155" s="15">
        <v>121</v>
      </c>
      <c r="M155" s="15">
        <v>103</v>
      </c>
      <c r="N155" s="15">
        <v>5255</v>
      </c>
      <c r="O155" s="16">
        <f t="shared" ref="O155:T155" si="155">ROUND(C155 + ((2016-2012)*(I155-C155))/(2024-2012),0)</f>
        <v>14376</v>
      </c>
      <c r="P155" s="23">
        <f t="shared" si="155"/>
        <v>8259</v>
      </c>
      <c r="Q155" s="23">
        <f t="shared" si="155"/>
        <v>88</v>
      </c>
      <c r="R155" s="23">
        <f t="shared" si="155"/>
        <v>84</v>
      </c>
      <c r="S155" s="23">
        <f t="shared" si="155"/>
        <v>207</v>
      </c>
      <c r="T155" s="23">
        <f t="shared" si="155"/>
        <v>5738</v>
      </c>
      <c r="U155" s="24">
        <v>6932</v>
      </c>
      <c r="V155" s="18">
        <f t="shared" si="1"/>
        <v>1327</v>
      </c>
      <c r="W155" s="18">
        <f t="shared" si="2"/>
        <v>1327</v>
      </c>
      <c r="X155" s="19">
        <f t="shared" si="3"/>
        <v>14376</v>
      </c>
      <c r="Y155" s="18">
        <v>675.50000548362732</v>
      </c>
      <c r="Z155" s="20"/>
      <c r="AA155" s="15">
        <v>13412</v>
      </c>
      <c r="AB155" s="23">
        <f t="shared" si="5"/>
        <v>15588</v>
      </c>
      <c r="AC155" s="15">
        <v>19941</v>
      </c>
      <c r="AD155" s="4"/>
      <c r="AE155" s="4"/>
      <c r="AF155" s="4"/>
      <c r="AG155" s="4"/>
      <c r="AH155" s="4"/>
      <c r="AI155" s="4"/>
      <c r="AJ155" s="4"/>
      <c r="AK155" s="4"/>
      <c r="AL155" s="4"/>
    </row>
    <row r="156" spans="1:38" ht="14.4">
      <c r="A156" s="13">
        <v>31301</v>
      </c>
      <c r="B156" s="14" t="s">
        <v>171</v>
      </c>
      <c r="C156" s="15">
        <v>5920</v>
      </c>
      <c r="D156" s="15">
        <v>3525</v>
      </c>
      <c r="E156" s="15">
        <v>26</v>
      </c>
      <c r="F156" s="15">
        <v>61</v>
      </c>
      <c r="G156" s="15">
        <v>129</v>
      </c>
      <c r="H156" s="15">
        <v>2179</v>
      </c>
      <c r="I156" s="15">
        <v>6879</v>
      </c>
      <c r="J156" s="15">
        <v>4929</v>
      </c>
      <c r="K156" s="15">
        <v>16</v>
      </c>
      <c r="L156" s="15">
        <v>483</v>
      </c>
      <c r="M156" s="15">
        <v>45</v>
      </c>
      <c r="N156" s="15">
        <v>1406</v>
      </c>
      <c r="O156" s="16">
        <f t="shared" ref="O156:T156" si="156">ROUND(C156 + ((2016-2012)*(I156-C156))/(2024-2012),0)</f>
        <v>6240</v>
      </c>
      <c r="P156" s="17">
        <f t="shared" si="156"/>
        <v>3993</v>
      </c>
      <c r="Q156" s="17">
        <f t="shared" si="156"/>
        <v>23</v>
      </c>
      <c r="R156" s="17">
        <f t="shared" si="156"/>
        <v>202</v>
      </c>
      <c r="S156" s="17">
        <f t="shared" si="156"/>
        <v>101</v>
      </c>
      <c r="T156" s="17">
        <f t="shared" si="156"/>
        <v>1921</v>
      </c>
      <c r="U156" s="25">
        <v>5163</v>
      </c>
      <c r="V156" s="18">
        <f t="shared" si="1"/>
        <v>-1170</v>
      </c>
      <c r="W156" s="18">
        <f t="shared" si="2"/>
        <v>0</v>
      </c>
      <c r="X156" s="19">
        <f t="shared" si="3"/>
        <v>7410</v>
      </c>
      <c r="Y156" s="18">
        <v>305.00000715255737</v>
      </c>
      <c r="Z156" s="20"/>
      <c r="AA156" s="15">
        <v>7594</v>
      </c>
      <c r="AB156" s="17">
        <f t="shared" si="5"/>
        <v>8194</v>
      </c>
      <c r="AC156" s="15">
        <v>9393</v>
      </c>
      <c r="AD156" s="4"/>
      <c r="AE156" s="4"/>
      <c r="AF156" s="4"/>
      <c r="AG156" s="4"/>
      <c r="AH156" s="4"/>
      <c r="AI156" s="4"/>
      <c r="AJ156" s="4"/>
      <c r="AK156" s="4"/>
      <c r="AL156" s="4"/>
    </row>
    <row r="157" spans="1:38" ht="14.4">
      <c r="A157" s="21">
        <v>31302</v>
      </c>
      <c r="B157" s="22" t="s">
        <v>172</v>
      </c>
      <c r="C157" s="15">
        <v>1540</v>
      </c>
      <c r="D157" s="15">
        <v>342</v>
      </c>
      <c r="E157" s="15">
        <v>23</v>
      </c>
      <c r="F157" s="15">
        <v>10</v>
      </c>
      <c r="G157" s="15">
        <v>16</v>
      </c>
      <c r="H157" s="15">
        <v>1149</v>
      </c>
      <c r="I157" s="15">
        <v>1867</v>
      </c>
      <c r="J157" s="15">
        <v>685</v>
      </c>
      <c r="K157" s="15">
        <v>1</v>
      </c>
      <c r="L157" s="15">
        <v>264</v>
      </c>
      <c r="M157" s="15">
        <v>5</v>
      </c>
      <c r="N157" s="15">
        <v>912</v>
      </c>
      <c r="O157" s="16">
        <f t="shared" ref="O157:T157" si="157">ROUND(C157 + ((2016-2012)*(I157-C157))/(2024-2012),0)</f>
        <v>1649</v>
      </c>
      <c r="P157" s="23">
        <f t="shared" si="157"/>
        <v>456</v>
      </c>
      <c r="Q157" s="23">
        <f t="shared" si="157"/>
        <v>16</v>
      </c>
      <c r="R157" s="23">
        <f t="shared" si="157"/>
        <v>95</v>
      </c>
      <c r="S157" s="23">
        <f t="shared" si="157"/>
        <v>12</v>
      </c>
      <c r="T157" s="23">
        <f t="shared" si="157"/>
        <v>1070</v>
      </c>
      <c r="U157" s="24">
        <v>484</v>
      </c>
      <c r="V157" s="18">
        <f t="shared" si="1"/>
        <v>-28</v>
      </c>
      <c r="W157" s="18">
        <f t="shared" si="2"/>
        <v>0</v>
      </c>
      <c r="X157" s="19">
        <f t="shared" si="3"/>
        <v>1677</v>
      </c>
      <c r="Y157" s="18">
        <v>97.500000149011612</v>
      </c>
      <c r="Z157" s="20"/>
      <c r="AA157" s="15">
        <v>1786</v>
      </c>
      <c r="AB157" s="23">
        <f t="shared" si="5"/>
        <v>1945</v>
      </c>
      <c r="AC157" s="15">
        <v>2262</v>
      </c>
      <c r="AD157" s="4"/>
      <c r="AE157" s="4"/>
      <c r="AF157" s="4"/>
      <c r="AG157" s="4"/>
      <c r="AH157" s="4"/>
      <c r="AI157" s="4"/>
      <c r="AJ157" s="4"/>
      <c r="AK157" s="4"/>
      <c r="AL157" s="4"/>
    </row>
    <row r="158" spans="1:38" ht="14.4">
      <c r="A158" s="13">
        <v>31303</v>
      </c>
      <c r="B158" s="14" t="s">
        <v>173</v>
      </c>
      <c r="C158" s="15">
        <v>1122</v>
      </c>
      <c r="D158" s="15">
        <v>133</v>
      </c>
      <c r="E158" s="15">
        <v>6</v>
      </c>
      <c r="F158" s="15">
        <v>5</v>
      </c>
      <c r="G158" s="15">
        <v>7</v>
      </c>
      <c r="H158" s="15">
        <v>971</v>
      </c>
      <c r="I158" s="15">
        <v>1278</v>
      </c>
      <c r="J158" s="15">
        <v>368</v>
      </c>
      <c r="K158" s="15">
        <v>6</v>
      </c>
      <c r="L158" s="15">
        <v>200</v>
      </c>
      <c r="M158" s="15">
        <v>43</v>
      </c>
      <c r="N158" s="15">
        <v>661</v>
      </c>
      <c r="O158" s="16">
        <f t="shared" ref="O158:T158" si="158">ROUND(C158 + ((2016-2012)*(I158-C158))/(2024-2012),0)</f>
        <v>1174</v>
      </c>
      <c r="P158" s="17">
        <f t="shared" si="158"/>
        <v>211</v>
      </c>
      <c r="Q158" s="17">
        <f t="shared" si="158"/>
        <v>6</v>
      </c>
      <c r="R158" s="17">
        <f t="shared" si="158"/>
        <v>70</v>
      </c>
      <c r="S158" s="17">
        <f t="shared" si="158"/>
        <v>19</v>
      </c>
      <c r="T158" s="17">
        <f t="shared" si="158"/>
        <v>868</v>
      </c>
      <c r="U158" s="25">
        <v>297</v>
      </c>
      <c r="V158" s="18">
        <f t="shared" si="1"/>
        <v>-86</v>
      </c>
      <c r="W158" s="18">
        <f t="shared" si="2"/>
        <v>0</v>
      </c>
      <c r="X158" s="19">
        <f t="shared" si="3"/>
        <v>1260</v>
      </c>
      <c r="Y158" s="18">
        <v>104.99999672174454</v>
      </c>
      <c r="Z158" s="20"/>
      <c r="AA158" s="15">
        <v>1438</v>
      </c>
      <c r="AB158" s="17">
        <f t="shared" si="5"/>
        <v>1507</v>
      </c>
      <c r="AC158" s="15">
        <v>1644</v>
      </c>
      <c r="AD158" s="4"/>
      <c r="AE158" s="4"/>
      <c r="AF158" s="4"/>
      <c r="AG158" s="4"/>
      <c r="AH158" s="4"/>
      <c r="AI158" s="4"/>
      <c r="AJ158" s="4"/>
      <c r="AK158" s="4"/>
      <c r="AL158" s="4"/>
    </row>
    <row r="159" spans="1:38" ht="14.4">
      <c r="A159" s="21">
        <v>31304</v>
      </c>
      <c r="B159" s="22" t="s">
        <v>174</v>
      </c>
      <c r="C159" s="15">
        <v>1991</v>
      </c>
      <c r="D159" s="15">
        <v>376</v>
      </c>
      <c r="E159" s="15">
        <v>46</v>
      </c>
      <c r="F159" s="15">
        <v>16</v>
      </c>
      <c r="G159" s="15">
        <v>50</v>
      </c>
      <c r="H159" s="15">
        <v>1503</v>
      </c>
      <c r="I159" s="15">
        <v>2644</v>
      </c>
      <c r="J159" s="15">
        <v>811</v>
      </c>
      <c r="K159" s="15">
        <v>4</v>
      </c>
      <c r="L159" s="15">
        <v>195</v>
      </c>
      <c r="M159" s="15">
        <v>76</v>
      </c>
      <c r="N159" s="15">
        <v>1558</v>
      </c>
      <c r="O159" s="16">
        <f t="shared" ref="O159:T159" si="159">ROUND(C159 + ((2016-2012)*(I159-C159))/(2024-2012),0)</f>
        <v>2209</v>
      </c>
      <c r="P159" s="23">
        <f t="shared" si="159"/>
        <v>521</v>
      </c>
      <c r="Q159" s="23">
        <f t="shared" si="159"/>
        <v>32</v>
      </c>
      <c r="R159" s="23">
        <f t="shared" si="159"/>
        <v>76</v>
      </c>
      <c r="S159" s="23">
        <f t="shared" si="159"/>
        <v>59</v>
      </c>
      <c r="T159" s="23">
        <f t="shared" si="159"/>
        <v>1521</v>
      </c>
      <c r="U159" s="24">
        <v>0</v>
      </c>
      <c r="V159" s="18">
        <f t="shared" si="1"/>
        <v>521</v>
      </c>
      <c r="W159" s="18">
        <f t="shared" si="2"/>
        <v>521</v>
      </c>
      <c r="X159" s="19">
        <f t="shared" si="3"/>
        <v>2209</v>
      </c>
      <c r="Y159" s="18">
        <v>0</v>
      </c>
      <c r="Z159" s="20"/>
      <c r="AA159" s="15">
        <v>3046</v>
      </c>
      <c r="AB159" s="23">
        <f t="shared" si="5"/>
        <v>3574</v>
      </c>
      <c r="AC159" s="15">
        <v>4629</v>
      </c>
      <c r="AD159" s="4"/>
      <c r="AE159" s="4"/>
      <c r="AF159" s="4"/>
      <c r="AG159" s="4"/>
      <c r="AH159" s="4"/>
      <c r="AI159" s="4"/>
      <c r="AJ159" s="4"/>
      <c r="AK159" s="4"/>
      <c r="AL159" s="4"/>
    </row>
    <row r="160" spans="1:38" ht="14.4">
      <c r="A160" s="13">
        <v>31401</v>
      </c>
      <c r="B160" s="14" t="s">
        <v>175</v>
      </c>
      <c r="C160" s="15">
        <v>8784</v>
      </c>
      <c r="D160" s="15">
        <v>8346</v>
      </c>
      <c r="E160" s="15">
        <v>15</v>
      </c>
      <c r="F160" s="15">
        <v>5</v>
      </c>
      <c r="G160" s="15">
        <v>10</v>
      </c>
      <c r="H160" s="15">
        <v>408</v>
      </c>
      <c r="I160" s="15">
        <v>11318</v>
      </c>
      <c r="J160" s="15">
        <v>10961</v>
      </c>
      <c r="K160" s="15">
        <v>15</v>
      </c>
      <c r="L160" s="15">
        <v>21</v>
      </c>
      <c r="M160" s="15">
        <v>9</v>
      </c>
      <c r="N160" s="15">
        <v>312</v>
      </c>
      <c r="O160" s="16">
        <f t="shared" ref="O160:T160" si="160">ROUND(C160 + ((2016-2012)*(I160-C160))/(2024-2012),0)</f>
        <v>9629</v>
      </c>
      <c r="P160" s="17">
        <f t="shared" si="160"/>
        <v>9218</v>
      </c>
      <c r="Q160" s="17">
        <f t="shared" si="160"/>
        <v>15</v>
      </c>
      <c r="R160" s="17">
        <f t="shared" si="160"/>
        <v>10</v>
      </c>
      <c r="S160" s="17">
        <f t="shared" si="160"/>
        <v>10</v>
      </c>
      <c r="T160" s="17">
        <f t="shared" si="160"/>
        <v>376</v>
      </c>
      <c r="U160" s="25">
        <v>9916</v>
      </c>
      <c r="V160" s="18">
        <f t="shared" si="1"/>
        <v>-698</v>
      </c>
      <c r="W160" s="18">
        <f t="shared" si="2"/>
        <v>0</v>
      </c>
      <c r="X160" s="19">
        <f t="shared" si="3"/>
        <v>10327</v>
      </c>
      <c r="Y160" s="18">
        <v>527.00001001358032</v>
      </c>
      <c r="Z160" s="20"/>
      <c r="AA160" s="15">
        <v>10718</v>
      </c>
      <c r="AB160" s="17">
        <f t="shared" si="5"/>
        <v>12141</v>
      </c>
      <c r="AC160" s="15">
        <v>14987</v>
      </c>
      <c r="AD160" s="4"/>
      <c r="AE160" s="4"/>
      <c r="AF160" s="4"/>
      <c r="AG160" s="4"/>
      <c r="AH160" s="4"/>
      <c r="AI160" s="4"/>
      <c r="AJ160" s="4"/>
      <c r="AK160" s="4"/>
      <c r="AL160" s="4"/>
    </row>
    <row r="161" spans="1:38" ht="14.4">
      <c r="A161" s="21">
        <v>31402</v>
      </c>
      <c r="B161" s="22" t="s">
        <v>176</v>
      </c>
      <c r="C161" s="15">
        <v>3042</v>
      </c>
      <c r="D161" s="15">
        <v>2618</v>
      </c>
      <c r="E161" s="15">
        <v>5</v>
      </c>
      <c r="F161" s="15">
        <v>3</v>
      </c>
      <c r="G161" s="15">
        <v>9</v>
      </c>
      <c r="H161" s="15">
        <v>407</v>
      </c>
      <c r="I161" s="15">
        <v>3262</v>
      </c>
      <c r="J161" s="15">
        <v>2883</v>
      </c>
      <c r="K161" s="15">
        <v>5</v>
      </c>
      <c r="L161" s="15">
        <v>13</v>
      </c>
      <c r="M161" s="15">
        <v>5</v>
      </c>
      <c r="N161" s="15">
        <v>356</v>
      </c>
      <c r="O161" s="16">
        <f t="shared" ref="O161:T161" si="161">ROUND(C161 + ((2016-2012)*(I161-C161))/(2024-2012),0)</f>
        <v>3115</v>
      </c>
      <c r="P161" s="23">
        <f t="shared" si="161"/>
        <v>2706</v>
      </c>
      <c r="Q161" s="23">
        <f t="shared" si="161"/>
        <v>5</v>
      </c>
      <c r="R161" s="23">
        <f t="shared" si="161"/>
        <v>6</v>
      </c>
      <c r="S161" s="23">
        <f t="shared" si="161"/>
        <v>8</v>
      </c>
      <c r="T161" s="23">
        <f t="shared" si="161"/>
        <v>390</v>
      </c>
      <c r="U161" s="24">
        <v>3091</v>
      </c>
      <c r="V161" s="18">
        <f t="shared" si="1"/>
        <v>-385</v>
      </c>
      <c r="W161" s="18">
        <f t="shared" si="2"/>
        <v>0</v>
      </c>
      <c r="X161" s="19">
        <f t="shared" si="3"/>
        <v>3500</v>
      </c>
      <c r="Y161" s="18">
        <v>188.99999558925629</v>
      </c>
      <c r="Z161" s="20"/>
      <c r="AA161" s="15">
        <v>3663</v>
      </c>
      <c r="AB161" s="23">
        <f t="shared" si="5"/>
        <v>4098</v>
      </c>
      <c r="AC161" s="15">
        <v>4969</v>
      </c>
      <c r="AD161" s="4"/>
      <c r="AE161" s="4"/>
      <c r="AF161" s="4"/>
      <c r="AG161" s="4"/>
      <c r="AH161" s="4"/>
      <c r="AI161" s="4"/>
      <c r="AJ161" s="4"/>
      <c r="AK161" s="4"/>
      <c r="AL161" s="4"/>
    </row>
    <row r="162" spans="1:38" ht="14.4">
      <c r="A162" s="13">
        <v>31403</v>
      </c>
      <c r="B162" s="14" t="s">
        <v>177</v>
      </c>
      <c r="C162" s="15">
        <v>3924</v>
      </c>
      <c r="D162" s="15">
        <v>3523</v>
      </c>
      <c r="E162" s="15">
        <v>2</v>
      </c>
      <c r="F162" s="15">
        <v>2</v>
      </c>
      <c r="G162" s="15">
        <v>17</v>
      </c>
      <c r="H162" s="15">
        <v>380</v>
      </c>
      <c r="I162" s="15">
        <v>4327</v>
      </c>
      <c r="J162" s="15">
        <v>4100</v>
      </c>
      <c r="K162" s="15">
        <v>14</v>
      </c>
      <c r="L162" s="15">
        <v>9</v>
      </c>
      <c r="M162" s="15">
        <v>10</v>
      </c>
      <c r="N162" s="15">
        <v>194</v>
      </c>
      <c r="O162" s="16">
        <f t="shared" ref="O162:T162" si="162">ROUND(C162 + ((2016-2012)*(I162-C162))/(2024-2012),0)</f>
        <v>4058</v>
      </c>
      <c r="P162" s="17">
        <f t="shared" si="162"/>
        <v>3715</v>
      </c>
      <c r="Q162" s="17">
        <f t="shared" si="162"/>
        <v>6</v>
      </c>
      <c r="R162" s="17">
        <f t="shared" si="162"/>
        <v>4</v>
      </c>
      <c r="S162" s="17">
        <f t="shared" si="162"/>
        <v>15</v>
      </c>
      <c r="T162" s="17">
        <f t="shared" si="162"/>
        <v>318</v>
      </c>
      <c r="U162" s="25">
        <v>4575</v>
      </c>
      <c r="V162" s="18">
        <f t="shared" si="1"/>
        <v>-860</v>
      </c>
      <c r="W162" s="18">
        <f t="shared" si="2"/>
        <v>0</v>
      </c>
      <c r="X162" s="19">
        <f t="shared" si="3"/>
        <v>4918</v>
      </c>
      <c r="Y162" s="18">
        <v>488.99999260902405</v>
      </c>
      <c r="Z162" s="20"/>
      <c r="AA162" s="15">
        <v>5175</v>
      </c>
      <c r="AB162" s="17">
        <f t="shared" si="5"/>
        <v>5606</v>
      </c>
      <c r="AC162" s="15">
        <v>6468</v>
      </c>
      <c r="AD162" s="4"/>
      <c r="AE162" s="4"/>
      <c r="AF162" s="4"/>
      <c r="AG162" s="4"/>
      <c r="AH162" s="4"/>
      <c r="AI162" s="4"/>
      <c r="AJ162" s="4"/>
      <c r="AK162" s="4"/>
      <c r="AL162" s="4"/>
    </row>
    <row r="163" spans="1:38" ht="14.4">
      <c r="A163" s="21">
        <v>31404</v>
      </c>
      <c r="B163" s="22" t="s">
        <v>178</v>
      </c>
      <c r="C163" s="15">
        <v>359</v>
      </c>
      <c r="D163" s="15">
        <v>311</v>
      </c>
      <c r="E163" s="15">
        <v>0</v>
      </c>
      <c r="F163" s="15">
        <v>2</v>
      </c>
      <c r="G163" s="15">
        <v>2</v>
      </c>
      <c r="H163" s="15">
        <v>44</v>
      </c>
      <c r="I163" s="15">
        <v>485</v>
      </c>
      <c r="J163" s="15">
        <v>444</v>
      </c>
      <c r="K163" s="15">
        <v>4</v>
      </c>
      <c r="L163" s="15">
        <v>4</v>
      </c>
      <c r="M163" s="15">
        <v>0</v>
      </c>
      <c r="N163" s="15">
        <v>33</v>
      </c>
      <c r="O163" s="16">
        <f t="shared" ref="O163:T163" si="163">ROUND(C163 + ((2016-2012)*(I163-C163))/(2024-2012),0)</f>
        <v>401</v>
      </c>
      <c r="P163" s="23">
        <f t="shared" si="163"/>
        <v>355</v>
      </c>
      <c r="Q163" s="23">
        <f t="shared" si="163"/>
        <v>1</v>
      </c>
      <c r="R163" s="23">
        <f t="shared" si="163"/>
        <v>3</v>
      </c>
      <c r="S163" s="23">
        <f t="shared" si="163"/>
        <v>1</v>
      </c>
      <c r="T163" s="23">
        <f t="shared" si="163"/>
        <v>40</v>
      </c>
      <c r="U163" s="24">
        <v>293</v>
      </c>
      <c r="V163" s="18">
        <f t="shared" si="1"/>
        <v>62</v>
      </c>
      <c r="W163" s="18">
        <f t="shared" si="2"/>
        <v>62</v>
      </c>
      <c r="X163" s="19">
        <f t="shared" si="3"/>
        <v>400</v>
      </c>
      <c r="Y163" s="18">
        <v>157.00000524520874</v>
      </c>
      <c r="Z163" s="20"/>
      <c r="AA163" s="15">
        <v>438</v>
      </c>
      <c r="AB163" s="23">
        <f t="shared" si="5"/>
        <v>528</v>
      </c>
      <c r="AC163" s="15">
        <v>707</v>
      </c>
      <c r="AD163" s="4"/>
      <c r="AE163" s="4"/>
      <c r="AF163" s="4"/>
      <c r="AG163" s="4"/>
      <c r="AH163" s="4"/>
      <c r="AI163" s="4"/>
      <c r="AJ163" s="4"/>
      <c r="AK163" s="4"/>
      <c r="AL163" s="4"/>
    </row>
    <row r="164" spans="1:38" ht="14.4">
      <c r="A164" s="13">
        <v>31405</v>
      </c>
      <c r="B164" s="14" t="s">
        <v>179</v>
      </c>
      <c r="C164" s="15">
        <v>701</v>
      </c>
      <c r="D164" s="15">
        <v>398</v>
      </c>
      <c r="E164" s="15">
        <v>4</v>
      </c>
      <c r="F164" s="15">
        <v>1</v>
      </c>
      <c r="G164" s="15">
        <v>2</v>
      </c>
      <c r="H164" s="15">
        <v>296</v>
      </c>
      <c r="I164" s="15">
        <v>1057</v>
      </c>
      <c r="J164" s="15">
        <v>756</v>
      </c>
      <c r="K164" s="15">
        <v>6</v>
      </c>
      <c r="L164" s="15">
        <v>12</v>
      </c>
      <c r="M164" s="15">
        <v>2</v>
      </c>
      <c r="N164" s="15">
        <v>281</v>
      </c>
      <c r="O164" s="16">
        <f t="shared" ref="O164:T164" si="164">ROUND(C164 + ((2016-2012)*(I164-C164))/(2024-2012),0)</f>
        <v>820</v>
      </c>
      <c r="P164" s="17">
        <f t="shared" si="164"/>
        <v>517</v>
      </c>
      <c r="Q164" s="17">
        <f t="shared" si="164"/>
        <v>5</v>
      </c>
      <c r="R164" s="17">
        <f t="shared" si="164"/>
        <v>5</v>
      </c>
      <c r="S164" s="17">
        <f t="shared" si="164"/>
        <v>2</v>
      </c>
      <c r="T164" s="17">
        <f t="shared" si="164"/>
        <v>291</v>
      </c>
      <c r="U164" s="25">
        <v>0</v>
      </c>
      <c r="V164" s="18">
        <f t="shared" si="1"/>
        <v>517</v>
      </c>
      <c r="W164" s="18">
        <f t="shared" si="2"/>
        <v>517</v>
      </c>
      <c r="X164" s="19">
        <f t="shared" si="3"/>
        <v>820</v>
      </c>
      <c r="Y164" s="18">
        <v>0</v>
      </c>
      <c r="Z164" s="20"/>
      <c r="AA164" s="15">
        <v>730</v>
      </c>
      <c r="AB164" s="17">
        <f t="shared" si="5"/>
        <v>894</v>
      </c>
      <c r="AC164" s="15">
        <v>1223</v>
      </c>
      <c r="AD164" s="4"/>
      <c r="AE164" s="4"/>
      <c r="AF164" s="4"/>
      <c r="AG164" s="4"/>
      <c r="AH164" s="4"/>
      <c r="AI164" s="4"/>
      <c r="AJ164" s="4"/>
      <c r="AK164" s="4"/>
      <c r="AL164" s="4"/>
    </row>
    <row r="165" spans="1:38" ht="14.4">
      <c r="A165" s="21">
        <v>31501</v>
      </c>
      <c r="B165" s="22" t="s">
        <v>180</v>
      </c>
      <c r="C165" s="15">
        <v>2366</v>
      </c>
      <c r="D165" s="15">
        <v>1115</v>
      </c>
      <c r="E165" s="15">
        <v>3</v>
      </c>
      <c r="F165" s="15">
        <v>5</v>
      </c>
      <c r="G165" s="15">
        <v>33</v>
      </c>
      <c r="H165" s="15">
        <v>1210</v>
      </c>
      <c r="I165" s="15">
        <v>3211</v>
      </c>
      <c r="J165" s="15">
        <v>1948</v>
      </c>
      <c r="K165" s="15">
        <v>2</v>
      </c>
      <c r="L165" s="15">
        <v>146</v>
      </c>
      <c r="M165" s="15">
        <v>74</v>
      </c>
      <c r="N165" s="15">
        <v>1041</v>
      </c>
      <c r="O165" s="16">
        <f t="shared" ref="O165:T165" si="165">ROUND(C165 + ((2016-2012)*(I165-C165))/(2024-2012),0)</f>
        <v>2648</v>
      </c>
      <c r="P165" s="23">
        <f t="shared" si="165"/>
        <v>1393</v>
      </c>
      <c r="Q165" s="23">
        <f t="shared" si="165"/>
        <v>3</v>
      </c>
      <c r="R165" s="23">
        <f t="shared" si="165"/>
        <v>52</v>
      </c>
      <c r="S165" s="23">
        <f t="shared" si="165"/>
        <v>47</v>
      </c>
      <c r="T165" s="23">
        <f t="shared" si="165"/>
        <v>1154</v>
      </c>
      <c r="U165" s="24">
        <v>908</v>
      </c>
      <c r="V165" s="18">
        <f t="shared" si="1"/>
        <v>485</v>
      </c>
      <c r="W165" s="18">
        <f t="shared" si="2"/>
        <v>485</v>
      </c>
      <c r="X165" s="19">
        <f t="shared" si="3"/>
        <v>2649</v>
      </c>
      <c r="Y165" s="18">
        <v>105.00000044703484</v>
      </c>
      <c r="Z165" s="20"/>
      <c r="AA165" s="15">
        <v>2804</v>
      </c>
      <c r="AB165" s="23">
        <f t="shared" si="5"/>
        <v>3317</v>
      </c>
      <c r="AC165" s="15">
        <v>4343</v>
      </c>
      <c r="AD165" s="4"/>
      <c r="AE165" s="4"/>
      <c r="AF165" s="4"/>
      <c r="AG165" s="4"/>
      <c r="AH165" s="4"/>
      <c r="AI165" s="4"/>
      <c r="AJ165" s="4"/>
      <c r="AK165" s="4"/>
      <c r="AL165" s="4"/>
    </row>
    <row r="166" spans="1:38" ht="14.4">
      <c r="A166" s="13">
        <v>31601</v>
      </c>
      <c r="B166" s="14" t="s">
        <v>181</v>
      </c>
      <c r="C166" s="15">
        <v>6496</v>
      </c>
      <c r="D166" s="15">
        <v>4684</v>
      </c>
      <c r="E166" s="15">
        <v>20</v>
      </c>
      <c r="F166" s="15">
        <v>12</v>
      </c>
      <c r="G166" s="15">
        <v>46</v>
      </c>
      <c r="H166" s="15">
        <v>1734</v>
      </c>
      <c r="I166" s="15">
        <v>6678</v>
      </c>
      <c r="J166" s="15">
        <v>5258</v>
      </c>
      <c r="K166" s="15">
        <v>14</v>
      </c>
      <c r="L166" s="15">
        <v>80</v>
      </c>
      <c r="M166" s="15">
        <v>21</v>
      </c>
      <c r="N166" s="15">
        <v>1305</v>
      </c>
      <c r="O166" s="16">
        <f t="shared" ref="O166:T166" si="166">ROUND(C166 + ((2016-2012)*(I166-C166))/(2024-2012),0)</f>
        <v>6557</v>
      </c>
      <c r="P166" s="17">
        <f t="shared" si="166"/>
        <v>4875</v>
      </c>
      <c r="Q166" s="17">
        <f t="shared" si="166"/>
        <v>18</v>
      </c>
      <c r="R166" s="17">
        <f t="shared" si="166"/>
        <v>35</v>
      </c>
      <c r="S166" s="17">
        <f t="shared" si="166"/>
        <v>38</v>
      </c>
      <c r="T166" s="17">
        <f t="shared" si="166"/>
        <v>1591</v>
      </c>
      <c r="U166" s="25">
        <v>5476</v>
      </c>
      <c r="V166" s="18">
        <f t="shared" si="1"/>
        <v>-601</v>
      </c>
      <c r="W166" s="18">
        <f t="shared" si="2"/>
        <v>0</v>
      </c>
      <c r="X166" s="19">
        <f t="shared" si="3"/>
        <v>7158</v>
      </c>
      <c r="Y166" s="18">
        <v>239.49999362230301</v>
      </c>
      <c r="Z166" s="20"/>
      <c r="AA166" s="15">
        <v>8827</v>
      </c>
      <c r="AB166" s="17">
        <f t="shared" si="5"/>
        <v>9473</v>
      </c>
      <c r="AC166" s="15">
        <v>10764</v>
      </c>
      <c r="AD166" s="4"/>
      <c r="AE166" s="4"/>
      <c r="AF166" s="4"/>
      <c r="AG166" s="4"/>
      <c r="AH166" s="4"/>
      <c r="AI166" s="4"/>
      <c r="AJ166" s="4"/>
      <c r="AK166" s="4"/>
      <c r="AL166" s="4"/>
    </row>
    <row r="167" spans="1:38" ht="14.4">
      <c r="A167" s="21">
        <v>31602</v>
      </c>
      <c r="B167" s="22" t="s">
        <v>182</v>
      </c>
      <c r="C167" s="15">
        <v>7611</v>
      </c>
      <c r="D167" s="15">
        <v>3898</v>
      </c>
      <c r="E167" s="15">
        <v>59</v>
      </c>
      <c r="F167" s="15">
        <v>15</v>
      </c>
      <c r="G167" s="15">
        <v>120</v>
      </c>
      <c r="H167" s="15">
        <v>3519</v>
      </c>
      <c r="I167" s="15">
        <v>10431</v>
      </c>
      <c r="J167" s="15">
        <v>7156</v>
      </c>
      <c r="K167" s="15">
        <v>29</v>
      </c>
      <c r="L167" s="15">
        <v>135</v>
      </c>
      <c r="M167" s="15">
        <v>53</v>
      </c>
      <c r="N167" s="15">
        <v>3058</v>
      </c>
      <c r="O167" s="16">
        <f t="shared" ref="O167:T167" si="167">ROUND(C167 + ((2016-2012)*(I167-C167))/(2024-2012),0)</f>
        <v>8551</v>
      </c>
      <c r="P167" s="23">
        <f t="shared" si="167"/>
        <v>4984</v>
      </c>
      <c r="Q167" s="23">
        <f t="shared" si="167"/>
        <v>49</v>
      </c>
      <c r="R167" s="23">
        <f t="shared" si="167"/>
        <v>55</v>
      </c>
      <c r="S167" s="23">
        <f t="shared" si="167"/>
        <v>98</v>
      </c>
      <c r="T167" s="23">
        <f t="shared" si="167"/>
        <v>3365</v>
      </c>
      <c r="U167" s="24">
        <v>4850</v>
      </c>
      <c r="V167" s="18">
        <f t="shared" si="1"/>
        <v>134</v>
      </c>
      <c r="W167" s="18">
        <f t="shared" si="2"/>
        <v>134</v>
      </c>
      <c r="X167" s="19">
        <f t="shared" si="3"/>
        <v>8551</v>
      </c>
      <c r="Y167" s="18">
        <v>514.99998569488525</v>
      </c>
      <c r="Z167" s="20"/>
      <c r="AA167" s="15">
        <v>8285</v>
      </c>
      <c r="AB167" s="23">
        <f t="shared" si="5"/>
        <v>9677</v>
      </c>
      <c r="AC167" s="15">
        <v>12461</v>
      </c>
      <c r="AD167" s="4"/>
      <c r="AE167" s="4"/>
      <c r="AF167" s="4"/>
      <c r="AG167" s="4"/>
      <c r="AH167" s="4"/>
      <c r="AI167" s="4"/>
      <c r="AJ167" s="4"/>
      <c r="AK167" s="4"/>
      <c r="AL167" s="4"/>
    </row>
    <row r="168" spans="1:38" ht="14.4">
      <c r="A168" s="13">
        <v>40101</v>
      </c>
      <c r="B168" s="14" t="s">
        <v>183</v>
      </c>
      <c r="C168" s="15">
        <v>76724</v>
      </c>
      <c r="D168" s="15">
        <v>71178</v>
      </c>
      <c r="E168" s="15">
        <v>142</v>
      </c>
      <c r="F168" s="15">
        <v>17</v>
      </c>
      <c r="G168" s="15">
        <v>194</v>
      </c>
      <c r="H168" s="15">
        <v>5193</v>
      </c>
      <c r="I168" s="15">
        <v>96123</v>
      </c>
      <c r="J168" s="15">
        <v>92957</v>
      </c>
      <c r="K168" s="15">
        <v>344</v>
      </c>
      <c r="L168" s="15">
        <v>153</v>
      </c>
      <c r="M168" s="15">
        <v>287</v>
      </c>
      <c r="N168" s="15">
        <v>2382</v>
      </c>
      <c r="O168" s="16">
        <f t="shared" ref="O168:T168" si="168">ROUND(C168 + ((2016-2012)*(I168-C168))/(2024-2012),0)</f>
        <v>83190</v>
      </c>
      <c r="P168" s="17">
        <f t="shared" si="168"/>
        <v>78438</v>
      </c>
      <c r="Q168" s="17">
        <f t="shared" si="168"/>
        <v>209</v>
      </c>
      <c r="R168" s="17">
        <f t="shared" si="168"/>
        <v>62</v>
      </c>
      <c r="S168" s="17">
        <f t="shared" si="168"/>
        <v>225</v>
      </c>
      <c r="T168" s="17">
        <f t="shared" si="168"/>
        <v>4256</v>
      </c>
      <c r="U168" s="17">
        <v>90611</v>
      </c>
      <c r="V168" s="18">
        <f t="shared" si="1"/>
        <v>-12173</v>
      </c>
      <c r="W168" s="18">
        <f t="shared" si="2"/>
        <v>0</v>
      </c>
      <c r="X168" s="19">
        <f t="shared" si="3"/>
        <v>95363</v>
      </c>
      <c r="Y168" s="18">
        <v>624.00001287460327</v>
      </c>
      <c r="Z168" s="20"/>
      <c r="AA168" s="15">
        <v>87587</v>
      </c>
      <c r="AB168" s="17">
        <f t="shared" si="5"/>
        <v>102642</v>
      </c>
      <c r="AC168" s="15">
        <v>132752</v>
      </c>
      <c r="AD168" s="4"/>
      <c r="AE168" s="4"/>
      <c r="AF168" s="4"/>
      <c r="AG168" s="4"/>
      <c r="AH168" s="4"/>
      <c r="AI168" s="4"/>
      <c r="AJ168" s="4"/>
      <c r="AK168" s="4"/>
      <c r="AL168" s="4"/>
    </row>
    <row r="169" spans="1:38" ht="14.4">
      <c r="A169" s="21">
        <v>40102</v>
      </c>
      <c r="B169" s="22" t="s">
        <v>184</v>
      </c>
      <c r="C169" s="15">
        <v>6690</v>
      </c>
      <c r="D169" s="15">
        <v>4658</v>
      </c>
      <c r="E169" s="15">
        <v>9</v>
      </c>
      <c r="F169" s="15">
        <v>49</v>
      </c>
      <c r="G169" s="15">
        <v>18</v>
      </c>
      <c r="H169" s="15">
        <v>1956</v>
      </c>
      <c r="I169" s="15">
        <v>7972</v>
      </c>
      <c r="J169" s="15">
        <v>6673</v>
      </c>
      <c r="K169" s="15">
        <v>34</v>
      </c>
      <c r="L169" s="15">
        <v>57</v>
      </c>
      <c r="M169" s="15">
        <v>54</v>
      </c>
      <c r="N169" s="15">
        <v>1154</v>
      </c>
      <c r="O169" s="16">
        <f t="shared" ref="O169:T169" si="169">ROUND(C169 + ((2016-2012)*(I169-C169))/(2024-2012),0)</f>
        <v>7117</v>
      </c>
      <c r="P169" s="23">
        <f t="shared" si="169"/>
        <v>5330</v>
      </c>
      <c r="Q169" s="23">
        <f t="shared" si="169"/>
        <v>17</v>
      </c>
      <c r="R169" s="23">
        <f t="shared" si="169"/>
        <v>52</v>
      </c>
      <c r="S169" s="23">
        <f t="shared" si="169"/>
        <v>30</v>
      </c>
      <c r="T169" s="23">
        <f t="shared" si="169"/>
        <v>1689</v>
      </c>
      <c r="U169" s="23">
        <v>4642</v>
      </c>
      <c r="V169" s="18">
        <f t="shared" si="1"/>
        <v>688</v>
      </c>
      <c r="W169" s="18">
        <f t="shared" si="2"/>
        <v>688</v>
      </c>
      <c r="X169" s="19">
        <f t="shared" si="3"/>
        <v>7118</v>
      </c>
      <c r="Y169" s="18">
        <v>141.00000262260437</v>
      </c>
      <c r="Z169" s="20"/>
      <c r="AA169" s="15">
        <v>7730</v>
      </c>
      <c r="AB169" s="23">
        <f t="shared" si="5"/>
        <v>8779</v>
      </c>
      <c r="AC169" s="15">
        <v>10876</v>
      </c>
      <c r="AD169" s="4"/>
      <c r="AE169" s="4"/>
      <c r="AF169" s="4"/>
      <c r="AG169" s="4"/>
      <c r="AH169" s="4"/>
      <c r="AI169" s="4"/>
      <c r="AJ169" s="4"/>
      <c r="AK169" s="4"/>
      <c r="AL169" s="4"/>
    </row>
    <row r="170" spans="1:38" ht="14.4">
      <c r="A170" s="13">
        <v>40103</v>
      </c>
      <c r="B170" s="14" t="s">
        <v>185</v>
      </c>
      <c r="C170" s="15">
        <v>3261</v>
      </c>
      <c r="D170" s="15">
        <v>336</v>
      </c>
      <c r="E170" s="15">
        <v>12</v>
      </c>
      <c r="F170" s="15">
        <v>180</v>
      </c>
      <c r="G170" s="15">
        <v>106</v>
      </c>
      <c r="H170" s="15">
        <v>2627</v>
      </c>
      <c r="I170" s="15">
        <v>3844</v>
      </c>
      <c r="J170" s="15">
        <v>740</v>
      </c>
      <c r="K170" s="15">
        <v>12</v>
      </c>
      <c r="L170" s="15">
        <v>373</v>
      </c>
      <c r="M170" s="15">
        <v>121</v>
      </c>
      <c r="N170" s="15">
        <v>2598</v>
      </c>
      <c r="O170" s="16">
        <f t="shared" ref="O170:T170" si="170">ROUND(C170 + ((2016-2012)*(I170-C170))/(2024-2012),0)</f>
        <v>3455</v>
      </c>
      <c r="P170" s="17">
        <f t="shared" si="170"/>
        <v>471</v>
      </c>
      <c r="Q170" s="17">
        <f t="shared" si="170"/>
        <v>12</v>
      </c>
      <c r="R170" s="17">
        <f t="shared" si="170"/>
        <v>244</v>
      </c>
      <c r="S170" s="17">
        <f t="shared" si="170"/>
        <v>111</v>
      </c>
      <c r="T170" s="17">
        <f t="shared" si="170"/>
        <v>2617</v>
      </c>
      <c r="U170" s="25">
        <v>87</v>
      </c>
      <c r="V170" s="18">
        <f t="shared" si="1"/>
        <v>384</v>
      </c>
      <c r="W170" s="18">
        <f t="shared" si="2"/>
        <v>384</v>
      </c>
      <c r="X170" s="19">
        <f t="shared" si="3"/>
        <v>3455</v>
      </c>
      <c r="Y170" s="18">
        <v>122.00000137090683</v>
      </c>
      <c r="Z170" s="20"/>
      <c r="AA170" s="15">
        <v>4332</v>
      </c>
      <c r="AB170" s="17">
        <f t="shared" si="5"/>
        <v>4454</v>
      </c>
      <c r="AC170" s="15">
        <v>4697</v>
      </c>
      <c r="AD170" s="4"/>
      <c r="AE170" s="4"/>
      <c r="AF170" s="4"/>
      <c r="AG170" s="4"/>
      <c r="AH170" s="4"/>
      <c r="AI170" s="4"/>
      <c r="AJ170" s="4"/>
      <c r="AK170" s="4"/>
      <c r="AL170" s="4"/>
    </row>
    <row r="171" spans="1:38" ht="14.4">
      <c r="A171" s="21">
        <v>40104</v>
      </c>
      <c r="B171" s="22" t="s">
        <v>186</v>
      </c>
      <c r="C171" s="15">
        <v>3460</v>
      </c>
      <c r="D171" s="15">
        <v>2427</v>
      </c>
      <c r="E171" s="15">
        <v>20</v>
      </c>
      <c r="F171" s="15">
        <v>133</v>
      </c>
      <c r="G171" s="15">
        <v>61</v>
      </c>
      <c r="H171" s="15">
        <v>819</v>
      </c>
      <c r="I171" s="15">
        <v>5464</v>
      </c>
      <c r="J171" s="15">
        <v>4467</v>
      </c>
      <c r="K171" s="15">
        <v>22</v>
      </c>
      <c r="L171" s="15">
        <v>93</v>
      </c>
      <c r="M171" s="15">
        <v>39</v>
      </c>
      <c r="N171" s="15">
        <v>843</v>
      </c>
      <c r="O171" s="16">
        <f t="shared" ref="O171:T171" si="171">ROUND(C171 + ((2016-2012)*(I171-C171))/(2024-2012),0)</f>
        <v>4128</v>
      </c>
      <c r="P171" s="23">
        <f t="shared" si="171"/>
        <v>3107</v>
      </c>
      <c r="Q171" s="23">
        <f t="shared" si="171"/>
        <v>21</v>
      </c>
      <c r="R171" s="23">
        <f t="shared" si="171"/>
        <v>120</v>
      </c>
      <c r="S171" s="23">
        <f t="shared" si="171"/>
        <v>54</v>
      </c>
      <c r="T171" s="23">
        <f t="shared" si="171"/>
        <v>827</v>
      </c>
      <c r="U171" s="23">
        <v>12282</v>
      </c>
      <c r="V171" s="18">
        <f t="shared" si="1"/>
        <v>-9175</v>
      </c>
      <c r="W171" s="18">
        <f t="shared" si="2"/>
        <v>0</v>
      </c>
      <c r="X171" s="19">
        <f t="shared" si="3"/>
        <v>13304</v>
      </c>
      <c r="Y171" s="18">
        <v>13.000000268220901</v>
      </c>
      <c r="Z171" s="20"/>
      <c r="AA171" s="15">
        <v>3841</v>
      </c>
      <c r="AB171" s="23">
        <f t="shared" si="5"/>
        <v>4863</v>
      </c>
      <c r="AC171" s="15">
        <v>6907</v>
      </c>
      <c r="AD171" s="4"/>
      <c r="AE171" s="4"/>
      <c r="AF171" s="4"/>
      <c r="AG171" s="4"/>
      <c r="AH171" s="4"/>
      <c r="AI171" s="4"/>
      <c r="AJ171" s="4"/>
      <c r="AK171" s="4"/>
      <c r="AL171" s="4"/>
    </row>
    <row r="172" spans="1:38" ht="14.4">
      <c r="A172" s="13">
        <v>40201</v>
      </c>
      <c r="B172" s="14" t="s">
        <v>187</v>
      </c>
      <c r="C172" s="15">
        <v>9873</v>
      </c>
      <c r="D172" s="15">
        <v>6361</v>
      </c>
      <c r="E172" s="15">
        <v>15</v>
      </c>
      <c r="F172" s="15">
        <v>94</v>
      </c>
      <c r="G172" s="15">
        <v>115</v>
      </c>
      <c r="H172" s="15">
        <v>3288</v>
      </c>
      <c r="I172" s="15">
        <v>13543</v>
      </c>
      <c r="J172" s="15">
        <v>10703</v>
      </c>
      <c r="K172" s="15">
        <v>31</v>
      </c>
      <c r="L172" s="15">
        <v>106</v>
      </c>
      <c r="M172" s="15">
        <v>125</v>
      </c>
      <c r="N172" s="15">
        <v>2578</v>
      </c>
      <c r="O172" s="16">
        <f t="shared" ref="O172:T172" si="172">ROUND(C172 + ((2016-2012)*(I172-C172))/(2024-2012),0)</f>
        <v>11096</v>
      </c>
      <c r="P172" s="17">
        <f t="shared" si="172"/>
        <v>7808</v>
      </c>
      <c r="Q172" s="17">
        <f t="shared" si="172"/>
        <v>20</v>
      </c>
      <c r="R172" s="17">
        <f t="shared" si="172"/>
        <v>98</v>
      </c>
      <c r="S172" s="17">
        <f t="shared" si="172"/>
        <v>118</v>
      </c>
      <c r="T172" s="17">
        <f t="shared" si="172"/>
        <v>3051</v>
      </c>
      <c r="U172" s="17">
        <v>8429</v>
      </c>
      <c r="V172" s="18">
        <f t="shared" si="1"/>
        <v>-621</v>
      </c>
      <c r="W172" s="18">
        <f t="shared" si="2"/>
        <v>0</v>
      </c>
      <c r="X172" s="19">
        <f t="shared" si="3"/>
        <v>11716</v>
      </c>
      <c r="Y172" s="18">
        <v>149.00000393390656</v>
      </c>
      <c r="Z172" s="20"/>
      <c r="AA172" s="15">
        <v>11328</v>
      </c>
      <c r="AB172" s="17">
        <f t="shared" si="5"/>
        <v>14201</v>
      </c>
      <c r="AC172" s="15">
        <v>19946</v>
      </c>
      <c r="AD172" s="4"/>
      <c r="AE172" s="4"/>
      <c r="AF172" s="4"/>
      <c r="AG172" s="4"/>
      <c r="AH172" s="4"/>
      <c r="AI172" s="4"/>
      <c r="AJ172" s="4"/>
      <c r="AK172" s="4"/>
      <c r="AL172" s="4"/>
    </row>
    <row r="173" spans="1:38" ht="14.4">
      <c r="A173" s="21">
        <v>40202</v>
      </c>
      <c r="B173" s="22" t="s">
        <v>188</v>
      </c>
      <c r="C173" s="15">
        <v>1555</v>
      </c>
      <c r="D173" s="15">
        <v>846</v>
      </c>
      <c r="E173" s="15">
        <v>2</v>
      </c>
      <c r="F173" s="15">
        <v>110</v>
      </c>
      <c r="G173" s="15">
        <v>19</v>
      </c>
      <c r="H173" s="15">
        <v>578</v>
      </c>
      <c r="I173" s="15">
        <v>2326</v>
      </c>
      <c r="J173" s="15">
        <v>1360</v>
      </c>
      <c r="K173" s="15">
        <v>16</v>
      </c>
      <c r="L173" s="15">
        <v>156</v>
      </c>
      <c r="M173" s="15">
        <v>35</v>
      </c>
      <c r="N173" s="15">
        <v>759</v>
      </c>
      <c r="O173" s="16">
        <f t="shared" ref="O173:T173" si="173">ROUND(C173 + ((2016-2012)*(I173-C173))/(2024-2012),0)</f>
        <v>1812</v>
      </c>
      <c r="P173" s="23">
        <f t="shared" si="173"/>
        <v>1017</v>
      </c>
      <c r="Q173" s="23">
        <f t="shared" si="173"/>
        <v>7</v>
      </c>
      <c r="R173" s="23">
        <f t="shared" si="173"/>
        <v>125</v>
      </c>
      <c r="S173" s="23">
        <f t="shared" si="173"/>
        <v>24</v>
      </c>
      <c r="T173" s="23">
        <f t="shared" si="173"/>
        <v>638</v>
      </c>
      <c r="U173" s="24">
        <v>881</v>
      </c>
      <c r="V173" s="18">
        <f t="shared" si="1"/>
        <v>136</v>
      </c>
      <c r="W173" s="18">
        <f t="shared" si="2"/>
        <v>136</v>
      </c>
      <c r="X173" s="19">
        <f t="shared" si="3"/>
        <v>1811</v>
      </c>
      <c r="Y173" s="18">
        <v>39.000000804662704</v>
      </c>
      <c r="Z173" s="20"/>
      <c r="AA173" s="15">
        <v>2049</v>
      </c>
      <c r="AB173" s="23">
        <f t="shared" si="5"/>
        <v>2499</v>
      </c>
      <c r="AC173" s="15">
        <v>3399</v>
      </c>
      <c r="AD173" s="4"/>
      <c r="AE173" s="4"/>
      <c r="AF173" s="4"/>
      <c r="AG173" s="4"/>
      <c r="AH173" s="4"/>
      <c r="AI173" s="4"/>
      <c r="AJ173" s="4"/>
      <c r="AK173" s="4"/>
      <c r="AL173" s="4"/>
    </row>
    <row r="174" spans="1:38" ht="14.4">
      <c r="A174" s="13">
        <v>40301</v>
      </c>
      <c r="B174" s="14" t="s">
        <v>189</v>
      </c>
      <c r="C174" s="15">
        <v>3172</v>
      </c>
      <c r="D174" s="15">
        <v>877</v>
      </c>
      <c r="E174" s="15">
        <v>3</v>
      </c>
      <c r="F174" s="15">
        <v>466</v>
      </c>
      <c r="G174" s="15">
        <v>183</v>
      </c>
      <c r="H174" s="15">
        <v>1643</v>
      </c>
      <c r="I174" s="15">
        <v>4667</v>
      </c>
      <c r="J174" s="15">
        <v>2769</v>
      </c>
      <c r="K174" s="15">
        <v>12</v>
      </c>
      <c r="L174" s="15">
        <v>374</v>
      </c>
      <c r="M174" s="15">
        <v>61</v>
      </c>
      <c r="N174" s="15">
        <v>1451</v>
      </c>
      <c r="O174" s="16">
        <f t="shared" ref="O174:T174" si="174">ROUND(C174 + ((2016-2012)*(I174-C174))/(2024-2012),0)</f>
        <v>3670</v>
      </c>
      <c r="P174" s="17">
        <f t="shared" si="174"/>
        <v>1508</v>
      </c>
      <c r="Q174" s="17">
        <f t="shared" si="174"/>
        <v>6</v>
      </c>
      <c r="R174" s="17">
        <f t="shared" si="174"/>
        <v>435</v>
      </c>
      <c r="S174" s="17">
        <f t="shared" si="174"/>
        <v>142</v>
      </c>
      <c r="T174" s="17">
        <f t="shared" si="174"/>
        <v>1579</v>
      </c>
      <c r="U174" s="17">
        <v>1397</v>
      </c>
      <c r="V174" s="18">
        <f t="shared" si="1"/>
        <v>111</v>
      </c>
      <c r="W174" s="18">
        <f t="shared" si="2"/>
        <v>111</v>
      </c>
      <c r="X174" s="19">
        <f t="shared" si="3"/>
        <v>3670</v>
      </c>
      <c r="Y174" s="18">
        <v>64.000003039836884</v>
      </c>
      <c r="Z174" s="20"/>
      <c r="AA174" s="15">
        <v>4287</v>
      </c>
      <c r="AB174" s="17">
        <f t="shared" si="5"/>
        <v>5493</v>
      </c>
      <c r="AC174" s="15">
        <v>7906</v>
      </c>
      <c r="AD174" s="4"/>
      <c r="AE174" s="4"/>
      <c r="AF174" s="4"/>
      <c r="AG174" s="4"/>
      <c r="AH174" s="4"/>
      <c r="AI174" s="4"/>
      <c r="AJ174" s="4"/>
      <c r="AK174" s="4"/>
      <c r="AL174" s="4"/>
    </row>
    <row r="175" spans="1:38" ht="14.4">
      <c r="A175" s="21">
        <v>40302</v>
      </c>
      <c r="B175" s="22" t="s">
        <v>190</v>
      </c>
      <c r="C175" s="15">
        <v>516</v>
      </c>
      <c r="D175" s="15">
        <v>91</v>
      </c>
      <c r="E175" s="15">
        <v>4</v>
      </c>
      <c r="F175" s="15">
        <v>124</v>
      </c>
      <c r="G175" s="15">
        <v>34</v>
      </c>
      <c r="H175" s="15">
        <v>263</v>
      </c>
      <c r="I175" s="15">
        <v>671</v>
      </c>
      <c r="J175" s="15">
        <v>305</v>
      </c>
      <c r="K175" s="15">
        <v>4</v>
      </c>
      <c r="L175" s="15">
        <v>177</v>
      </c>
      <c r="M175" s="15">
        <v>17</v>
      </c>
      <c r="N175" s="15">
        <v>168</v>
      </c>
      <c r="O175" s="16">
        <f t="shared" ref="O175:T175" si="175">ROUND(C175 + ((2016-2012)*(I175-C175))/(2024-2012),0)</f>
        <v>568</v>
      </c>
      <c r="P175" s="23">
        <f t="shared" si="175"/>
        <v>162</v>
      </c>
      <c r="Q175" s="23">
        <f t="shared" si="175"/>
        <v>4</v>
      </c>
      <c r="R175" s="23">
        <f t="shared" si="175"/>
        <v>142</v>
      </c>
      <c r="S175" s="23">
        <f t="shared" si="175"/>
        <v>28</v>
      </c>
      <c r="T175" s="23">
        <f t="shared" si="175"/>
        <v>231</v>
      </c>
      <c r="U175" s="24">
        <v>239</v>
      </c>
      <c r="V175" s="18">
        <f t="shared" si="1"/>
        <v>-77</v>
      </c>
      <c r="W175" s="18">
        <f t="shared" si="2"/>
        <v>0</v>
      </c>
      <c r="X175" s="19">
        <f t="shared" si="3"/>
        <v>644</v>
      </c>
      <c r="Y175" s="18">
        <v>61.999998986721039</v>
      </c>
      <c r="Z175" s="20"/>
      <c r="AA175" s="15">
        <v>1006</v>
      </c>
      <c r="AB175" s="23">
        <f t="shared" si="5"/>
        <v>1070</v>
      </c>
      <c r="AC175" s="15">
        <v>1197</v>
      </c>
      <c r="AD175" s="4"/>
      <c r="AE175" s="4"/>
      <c r="AF175" s="4"/>
      <c r="AG175" s="4"/>
      <c r="AH175" s="4"/>
      <c r="AI175" s="4"/>
      <c r="AJ175" s="4"/>
      <c r="AK175" s="4"/>
      <c r="AL175" s="4"/>
    </row>
    <row r="176" spans="1:38" ht="14.4">
      <c r="A176" s="13">
        <v>40401</v>
      </c>
      <c r="B176" s="14" t="s">
        <v>191</v>
      </c>
      <c r="C176" s="15">
        <v>1355</v>
      </c>
      <c r="D176" s="15">
        <v>550</v>
      </c>
      <c r="E176" s="15">
        <v>1</v>
      </c>
      <c r="F176" s="15">
        <v>295</v>
      </c>
      <c r="G176" s="15">
        <v>59</v>
      </c>
      <c r="H176" s="15">
        <v>450</v>
      </c>
      <c r="I176" s="15">
        <v>1987</v>
      </c>
      <c r="J176" s="15">
        <v>1552</v>
      </c>
      <c r="K176" s="15">
        <v>8</v>
      </c>
      <c r="L176" s="15">
        <v>60</v>
      </c>
      <c r="M176" s="15">
        <v>27</v>
      </c>
      <c r="N176" s="15">
        <v>340</v>
      </c>
      <c r="O176" s="16">
        <f t="shared" ref="O176:T176" si="176">ROUND(C176 + ((2016-2012)*(I176-C176))/(2024-2012),0)</f>
        <v>1566</v>
      </c>
      <c r="P176" s="17">
        <f t="shared" si="176"/>
        <v>884</v>
      </c>
      <c r="Q176" s="17">
        <f t="shared" si="176"/>
        <v>3</v>
      </c>
      <c r="R176" s="17">
        <f t="shared" si="176"/>
        <v>217</v>
      </c>
      <c r="S176" s="17">
        <f t="shared" si="176"/>
        <v>48</v>
      </c>
      <c r="T176" s="17">
        <f t="shared" si="176"/>
        <v>413</v>
      </c>
      <c r="U176" s="25">
        <v>882</v>
      </c>
      <c r="V176" s="18">
        <f t="shared" si="1"/>
        <v>2</v>
      </c>
      <c r="W176" s="18">
        <f t="shared" si="2"/>
        <v>2</v>
      </c>
      <c r="X176" s="19">
        <f t="shared" si="3"/>
        <v>1565</v>
      </c>
      <c r="Y176" s="18">
        <v>27.000000700354576</v>
      </c>
      <c r="Z176" s="20"/>
      <c r="AA176" s="15">
        <v>1983</v>
      </c>
      <c r="AB176" s="17">
        <f t="shared" si="5"/>
        <v>2493</v>
      </c>
      <c r="AC176" s="15">
        <v>3512</v>
      </c>
      <c r="AD176" s="4"/>
      <c r="AE176" s="4"/>
      <c r="AF176" s="4"/>
      <c r="AG176" s="4"/>
      <c r="AH176" s="4"/>
      <c r="AI176" s="4"/>
      <c r="AJ176" s="4"/>
      <c r="AK176" s="4"/>
      <c r="AL176" s="4"/>
    </row>
    <row r="177" spans="1:38" ht="14.4">
      <c r="A177" s="21">
        <v>40402</v>
      </c>
      <c r="B177" s="22" t="s">
        <v>192</v>
      </c>
      <c r="C177" s="15">
        <v>1556</v>
      </c>
      <c r="D177" s="15">
        <v>526</v>
      </c>
      <c r="E177" s="15">
        <v>14</v>
      </c>
      <c r="F177" s="15">
        <v>363</v>
      </c>
      <c r="G177" s="15">
        <v>37</v>
      </c>
      <c r="H177" s="15">
        <v>616</v>
      </c>
      <c r="I177" s="15">
        <v>1760</v>
      </c>
      <c r="J177" s="15">
        <v>739</v>
      </c>
      <c r="K177" s="15">
        <v>4</v>
      </c>
      <c r="L177" s="15">
        <v>267</v>
      </c>
      <c r="M177" s="15">
        <v>22</v>
      </c>
      <c r="N177" s="15">
        <v>728</v>
      </c>
      <c r="O177" s="16">
        <f t="shared" ref="O177:T177" si="177">ROUND(C177 + ((2016-2012)*(I177-C177))/(2024-2012),0)</f>
        <v>1624</v>
      </c>
      <c r="P177" s="23">
        <f t="shared" si="177"/>
        <v>597</v>
      </c>
      <c r="Q177" s="23">
        <f t="shared" si="177"/>
        <v>11</v>
      </c>
      <c r="R177" s="23">
        <f t="shared" si="177"/>
        <v>331</v>
      </c>
      <c r="S177" s="23">
        <f t="shared" si="177"/>
        <v>32</v>
      </c>
      <c r="T177" s="23">
        <f t="shared" si="177"/>
        <v>653</v>
      </c>
      <c r="U177" s="24">
        <v>451</v>
      </c>
      <c r="V177" s="18">
        <f t="shared" si="1"/>
        <v>146</v>
      </c>
      <c r="W177" s="18">
        <f t="shared" si="2"/>
        <v>146</v>
      </c>
      <c r="X177" s="19">
        <f t="shared" si="3"/>
        <v>1624</v>
      </c>
      <c r="Y177" s="18">
        <v>64.000003039836884</v>
      </c>
      <c r="Z177" s="20"/>
      <c r="AA177" s="15">
        <v>2518</v>
      </c>
      <c r="AB177" s="23">
        <f t="shared" si="5"/>
        <v>2682</v>
      </c>
      <c r="AC177" s="15">
        <v>3011</v>
      </c>
      <c r="AD177" s="4"/>
      <c r="AE177" s="4"/>
      <c r="AF177" s="4"/>
      <c r="AG177" s="4"/>
      <c r="AH177" s="4"/>
      <c r="AI177" s="4"/>
      <c r="AJ177" s="4"/>
      <c r="AK177" s="4"/>
      <c r="AL177" s="4"/>
    </row>
    <row r="178" spans="1:38" ht="14.4">
      <c r="A178" s="13">
        <v>40501</v>
      </c>
      <c r="B178" s="14" t="s">
        <v>193</v>
      </c>
      <c r="C178" s="15">
        <v>349</v>
      </c>
      <c r="D178" s="15">
        <v>322</v>
      </c>
      <c r="E178" s="15">
        <v>0</v>
      </c>
      <c r="F178" s="15">
        <v>0</v>
      </c>
      <c r="G178" s="15">
        <v>1</v>
      </c>
      <c r="H178" s="15">
        <v>26</v>
      </c>
      <c r="I178" s="15">
        <v>1192</v>
      </c>
      <c r="J178" s="15">
        <v>1134</v>
      </c>
      <c r="K178" s="15">
        <v>4</v>
      </c>
      <c r="L178" s="15">
        <v>8</v>
      </c>
      <c r="M178" s="15">
        <v>3</v>
      </c>
      <c r="N178" s="15">
        <v>43</v>
      </c>
      <c r="O178" s="16">
        <f t="shared" ref="O178:T178" si="178">ROUND(C178 + ((2016-2012)*(I178-C178))/(2024-2012),0)</f>
        <v>630</v>
      </c>
      <c r="P178" s="17">
        <f t="shared" si="178"/>
        <v>593</v>
      </c>
      <c r="Q178" s="17">
        <f t="shared" si="178"/>
        <v>1</v>
      </c>
      <c r="R178" s="17">
        <f t="shared" si="178"/>
        <v>3</v>
      </c>
      <c r="S178" s="17">
        <f t="shared" si="178"/>
        <v>2</v>
      </c>
      <c r="T178" s="17">
        <f t="shared" si="178"/>
        <v>32</v>
      </c>
      <c r="U178" s="25">
        <v>569</v>
      </c>
      <c r="V178" s="18">
        <f t="shared" si="1"/>
        <v>24</v>
      </c>
      <c r="W178" s="18">
        <f t="shared" si="2"/>
        <v>24</v>
      </c>
      <c r="X178" s="19">
        <f t="shared" si="3"/>
        <v>631</v>
      </c>
      <c r="Y178" s="18">
        <v>136.00000739097595</v>
      </c>
      <c r="Z178" s="20"/>
      <c r="AA178" s="15">
        <v>786</v>
      </c>
      <c r="AB178" s="17">
        <f t="shared" si="5"/>
        <v>1084</v>
      </c>
      <c r="AC178" s="15">
        <v>1681</v>
      </c>
      <c r="AD178" s="4"/>
      <c r="AE178" s="4"/>
      <c r="AF178" s="4"/>
      <c r="AG178" s="4"/>
      <c r="AH178" s="4"/>
      <c r="AI178" s="4"/>
      <c r="AJ178" s="4"/>
      <c r="AK178" s="4"/>
      <c r="AL178" s="4"/>
    </row>
    <row r="179" spans="1:38" ht="14.4">
      <c r="A179" s="21">
        <v>40502</v>
      </c>
      <c r="B179" s="22" t="s">
        <v>194</v>
      </c>
      <c r="C179" s="15">
        <v>1082</v>
      </c>
      <c r="D179" s="15">
        <v>475</v>
      </c>
      <c r="E179" s="15">
        <v>5</v>
      </c>
      <c r="F179" s="15">
        <v>72</v>
      </c>
      <c r="G179" s="15">
        <v>3</v>
      </c>
      <c r="H179" s="15">
        <v>527</v>
      </c>
      <c r="I179" s="15">
        <v>1055</v>
      </c>
      <c r="J179" s="15">
        <v>726</v>
      </c>
      <c r="K179" s="15">
        <v>7</v>
      </c>
      <c r="L179" s="15">
        <v>78</v>
      </c>
      <c r="M179" s="15">
        <v>18</v>
      </c>
      <c r="N179" s="15">
        <v>226</v>
      </c>
      <c r="O179" s="16">
        <f t="shared" ref="O179:T179" si="179">ROUND(C179 + ((2016-2012)*(I179-C179))/(2024-2012),0)</f>
        <v>1073</v>
      </c>
      <c r="P179" s="23">
        <f t="shared" si="179"/>
        <v>559</v>
      </c>
      <c r="Q179" s="23">
        <f t="shared" si="179"/>
        <v>6</v>
      </c>
      <c r="R179" s="23">
        <f t="shared" si="179"/>
        <v>74</v>
      </c>
      <c r="S179" s="23">
        <f t="shared" si="179"/>
        <v>8</v>
      </c>
      <c r="T179" s="23">
        <f t="shared" si="179"/>
        <v>427</v>
      </c>
      <c r="U179" s="24">
        <v>28</v>
      </c>
      <c r="V179" s="18">
        <f t="shared" si="1"/>
        <v>531</v>
      </c>
      <c r="W179" s="18">
        <f t="shared" si="2"/>
        <v>531</v>
      </c>
      <c r="X179" s="19">
        <f t="shared" si="3"/>
        <v>1074</v>
      </c>
      <c r="Y179" s="18">
        <v>50.999999046325684</v>
      </c>
      <c r="Z179" s="20"/>
      <c r="AA179" s="15">
        <v>1110</v>
      </c>
      <c r="AB179" s="23">
        <f t="shared" si="5"/>
        <v>1153</v>
      </c>
      <c r="AC179" s="15">
        <v>1239</v>
      </c>
      <c r="AD179" s="4"/>
      <c r="AE179" s="4"/>
      <c r="AF179" s="4"/>
      <c r="AG179" s="4"/>
      <c r="AH179" s="4"/>
      <c r="AI179" s="4"/>
      <c r="AJ179" s="4"/>
      <c r="AK179" s="4"/>
      <c r="AL179" s="4"/>
    </row>
    <row r="180" spans="1:38" ht="14.4">
      <c r="A180" s="13">
        <v>40503</v>
      </c>
      <c r="B180" s="14" t="s">
        <v>195</v>
      </c>
      <c r="C180" s="15">
        <v>584</v>
      </c>
      <c r="D180" s="15">
        <v>254</v>
      </c>
      <c r="E180" s="15">
        <v>1</v>
      </c>
      <c r="F180" s="15">
        <v>6</v>
      </c>
      <c r="G180" s="15">
        <v>2</v>
      </c>
      <c r="H180" s="15">
        <v>321</v>
      </c>
      <c r="I180" s="15">
        <v>352</v>
      </c>
      <c r="J180" s="15">
        <v>298</v>
      </c>
      <c r="K180" s="15">
        <v>2</v>
      </c>
      <c r="L180" s="15">
        <v>15</v>
      </c>
      <c r="M180" s="15">
        <v>5</v>
      </c>
      <c r="N180" s="15">
        <v>32</v>
      </c>
      <c r="O180" s="16">
        <f t="shared" ref="O180:T180" si="180">ROUND(C180 + ((2016-2012)*(I180-C180))/(2024-2012),0)</f>
        <v>507</v>
      </c>
      <c r="P180" s="17">
        <f t="shared" si="180"/>
        <v>269</v>
      </c>
      <c r="Q180" s="17">
        <f t="shared" si="180"/>
        <v>1</v>
      </c>
      <c r="R180" s="17">
        <f t="shared" si="180"/>
        <v>9</v>
      </c>
      <c r="S180" s="17">
        <f t="shared" si="180"/>
        <v>3</v>
      </c>
      <c r="T180" s="17">
        <f t="shared" si="180"/>
        <v>225</v>
      </c>
      <c r="U180" s="25">
        <v>63</v>
      </c>
      <c r="V180" s="18">
        <f t="shared" si="1"/>
        <v>206</v>
      </c>
      <c r="W180" s="18">
        <f t="shared" si="2"/>
        <v>206</v>
      </c>
      <c r="X180" s="19">
        <f t="shared" si="3"/>
        <v>507</v>
      </c>
      <c r="Y180" s="18">
        <v>46.999998390674591</v>
      </c>
      <c r="Z180" s="20"/>
      <c r="AA180" s="15">
        <v>627</v>
      </c>
      <c r="AB180" s="17">
        <f t="shared" si="5"/>
        <v>651</v>
      </c>
      <c r="AC180" s="15">
        <v>700</v>
      </c>
      <c r="AD180" s="4"/>
      <c r="AE180" s="4"/>
      <c r="AF180" s="4"/>
      <c r="AG180" s="4"/>
      <c r="AH180" s="4"/>
      <c r="AI180" s="4"/>
      <c r="AJ180" s="4"/>
      <c r="AK180" s="4"/>
      <c r="AL180" s="4"/>
    </row>
    <row r="181" spans="1:38" ht="14.4">
      <c r="A181" s="21">
        <v>40504</v>
      </c>
      <c r="B181" s="22" t="s">
        <v>196</v>
      </c>
      <c r="C181" s="15">
        <v>169</v>
      </c>
      <c r="D181" s="15">
        <v>78</v>
      </c>
      <c r="E181" s="15">
        <v>0</v>
      </c>
      <c r="F181" s="15">
        <v>3</v>
      </c>
      <c r="G181" s="15">
        <v>0</v>
      </c>
      <c r="H181" s="15">
        <v>88</v>
      </c>
      <c r="I181" s="15">
        <v>173</v>
      </c>
      <c r="J181" s="15">
        <v>155</v>
      </c>
      <c r="K181" s="15">
        <v>1</v>
      </c>
      <c r="L181" s="15">
        <v>0</v>
      </c>
      <c r="M181" s="15">
        <v>3</v>
      </c>
      <c r="N181" s="15">
        <v>14</v>
      </c>
      <c r="O181" s="16">
        <f t="shared" ref="O181:T181" si="181">ROUND(C181 + ((2016-2012)*(I181-C181))/(2024-2012),0)</f>
        <v>170</v>
      </c>
      <c r="P181" s="23">
        <f t="shared" si="181"/>
        <v>104</v>
      </c>
      <c r="Q181" s="23">
        <f t="shared" si="181"/>
        <v>0</v>
      </c>
      <c r="R181" s="23">
        <f t="shared" si="181"/>
        <v>2</v>
      </c>
      <c r="S181" s="23">
        <f t="shared" si="181"/>
        <v>1</v>
      </c>
      <c r="T181" s="23">
        <f t="shared" si="181"/>
        <v>63</v>
      </c>
      <c r="U181" s="24">
        <v>58</v>
      </c>
      <c r="V181" s="18">
        <f t="shared" si="1"/>
        <v>46</v>
      </c>
      <c r="W181" s="18">
        <f t="shared" si="2"/>
        <v>46</v>
      </c>
      <c r="X181" s="19">
        <f t="shared" si="3"/>
        <v>170</v>
      </c>
      <c r="Y181" s="18">
        <v>5.4999999701976776</v>
      </c>
      <c r="Z181" s="20"/>
      <c r="AA181" s="15">
        <v>203</v>
      </c>
      <c r="AB181" s="23">
        <f t="shared" si="5"/>
        <v>218</v>
      </c>
      <c r="AC181" s="15">
        <v>249</v>
      </c>
      <c r="AD181" s="4"/>
      <c r="AE181" s="4"/>
      <c r="AF181" s="4"/>
      <c r="AG181" s="4"/>
      <c r="AH181" s="4"/>
      <c r="AI181" s="4"/>
      <c r="AJ181" s="4"/>
      <c r="AK181" s="4"/>
      <c r="AL181" s="4"/>
    </row>
    <row r="182" spans="1:38" ht="14.4">
      <c r="A182" s="13">
        <v>40505</v>
      </c>
      <c r="B182" s="14" t="s">
        <v>197</v>
      </c>
      <c r="C182" s="15">
        <v>719</v>
      </c>
      <c r="D182" s="15">
        <v>497</v>
      </c>
      <c r="E182" s="15">
        <v>0</v>
      </c>
      <c r="F182" s="15">
        <v>68</v>
      </c>
      <c r="G182" s="15">
        <v>4</v>
      </c>
      <c r="H182" s="15">
        <v>150</v>
      </c>
      <c r="I182" s="15">
        <v>873</v>
      </c>
      <c r="J182" s="15">
        <v>739</v>
      </c>
      <c r="K182" s="15">
        <v>0</v>
      </c>
      <c r="L182" s="15">
        <v>40</v>
      </c>
      <c r="M182" s="15">
        <v>8</v>
      </c>
      <c r="N182" s="15">
        <v>86</v>
      </c>
      <c r="O182" s="16">
        <f t="shared" ref="O182:T182" si="182">ROUND(C182 + ((2016-2012)*(I182-C182))/(2024-2012),0)</f>
        <v>770</v>
      </c>
      <c r="P182" s="17">
        <f t="shared" si="182"/>
        <v>578</v>
      </c>
      <c r="Q182" s="17">
        <f t="shared" si="182"/>
        <v>0</v>
      </c>
      <c r="R182" s="17">
        <f t="shared" si="182"/>
        <v>59</v>
      </c>
      <c r="S182" s="17">
        <f t="shared" si="182"/>
        <v>5</v>
      </c>
      <c r="T182" s="17">
        <f t="shared" si="182"/>
        <v>129</v>
      </c>
      <c r="U182" s="25">
        <v>63</v>
      </c>
      <c r="V182" s="18">
        <f t="shared" si="1"/>
        <v>515</v>
      </c>
      <c r="W182" s="18">
        <f t="shared" si="2"/>
        <v>515</v>
      </c>
      <c r="X182" s="19">
        <f t="shared" si="3"/>
        <v>771</v>
      </c>
      <c r="Y182" s="18">
        <v>48.000000417232513</v>
      </c>
      <c r="Z182" s="20"/>
      <c r="AA182" s="15">
        <v>779</v>
      </c>
      <c r="AB182" s="17">
        <f t="shared" si="5"/>
        <v>826</v>
      </c>
      <c r="AC182" s="15">
        <v>919</v>
      </c>
      <c r="AD182" s="4"/>
      <c r="AE182" s="4"/>
      <c r="AF182" s="4"/>
      <c r="AG182" s="4"/>
      <c r="AH182" s="4"/>
      <c r="AI182" s="4"/>
      <c r="AJ182" s="4"/>
      <c r="AK182" s="4"/>
      <c r="AL182" s="4"/>
    </row>
    <row r="183" spans="1:38" ht="14.4">
      <c r="A183" s="21">
        <v>40601</v>
      </c>
      <c r="B183" s="22" t="s">
        <v>198</v>
      </c>
      <c r="C183" s="15">
        <v>2839</v>
      </c>
      <c r="D183" s="15">
        <v>1790</v>
      </c>
      <c r="E183" s="15">
        <v>12</v>
      </c>
      <c r="F183" s="15">
        <v>120</v>
      </c>
      <c r="G183" s="15">
        <v>17</v>
      </c>
      <c r="H183" s="15">
        <v>900</v>
      </c>
      <c r="I183" s="15">
        <v>3662</v>
      </c>
      <c r="J183" s="15">
        <v>2812</v>
      </c>
      <c r="K183" s="15">
        <v>11</v>
      </c>
      <c r="L183" s="15">
        <v>37</v>
      </c>
      <c r="M183" s="15">
        <v>43</v>
      </c>
      <c r="N183" s="15">
        <v>759</v>
      </c>
      <c r="O183" s="16">
        <f t="shared" ref="O183:T183" si="183">ROUND(C183 + ((2016-2012)*(I183-C183))/(2024-2012),0)</f>
        <v>3113</v>
      </c>
      <c r="P183" s="23">
        <f t="shared" si="183"/>
        <v>2131</v>
      </c>
      <c r="Q183" s="23">
        <f t="shared" si="183"/>
        <v>12</v>
      </c>
      <c r="R183" s="23">
        <f t="shared" si="183"/>
        <v>92</v>
      </c>
      <c r="S183" s="23">
        <f t="shared" si="183"/>
        <v>26</v>
      </c>
      <c r="T183" s="23">
        <f t="shared" si="183"/>
        <v>853</v>
      </c>
      <c r="U183" s="24">
        <v>172</v>
      </c>
      <c r="V183" s="18">
        <f t="shared" si="1"/>
        <v>1959</v>
      </c>
      <c r="W183" s="18">
        <f t="shared" si="2"/>
        <v>1959</v>
      </c>
      <c r="X183" s="19">
        <f t="shared" si="3"/>
        <v>3114</v>
      </c>
      <c r="Y183" s="18">
        <v>5.4999999701976776</v>
      </c>
      <c r="Z183" s="20"/>
      <c r="AA183" s="15">
        <v>3815</v>
      </c>
      <c r="AB183" s="23">
        <f t="shared" si="5"/>
        <v>4079</v>
      </c>
      <c r="AC183" s="15">
        <v>4608</v>
      </c>
      <c r="AD183" s="4"/>
      <c r="AE183" s="4"/>
      <c r="AF183" s="4"/>
      <c r="AG183" s="4"/>
      <c r="AH183" s="4"/>
      <c r="AI183" s="4"/>
      <c r="AJ183" s="4"/>
      <c r="AK183" s="4"/>
      <c r="AL183" s="4"/>
    </row>
    <row r="184" spans="1:38" ht="14.4">
      <c r="A184" s="13">
        <v>40602</v>
      </c>
      <c r="B184" s="14" t="s">
        <v>199</v>
      </c>
      <c r="C184" s="15">
        <v>2185</v>
      </c>
      <c r="D184" s="15">
        <v>1631</v>
      </c>
      <c r="E184" s="15">
        <v>11</v>
      </c>
      <c r="F184" s="15">
        <v>47</v>
      </c>
      <c r="G184" s="15">
        <v>21</v>
      </c>
      <c r="H184" s="15">
        <v>475</v>
      </c>
      <c r="I184" s="15">
        <v>1769</v>
      </c>
      <c r="J184" s="15">
        <v>1503</v>
      </c>
      <c r="K184" s="15">
        <v>1</v>
      </c>
      <c r="L184" s="15">
        <v>18</v>
      </c>
      <c r="M184" s="15">
        <v>5</v>
      </c>
      <c r="N184" s="15">
        <v>242</v>
      </c>
      <c r="O184" s="16">
        <f t="shared" ref="O184:T184" si="184">ROUND(C184 + ((2016-2012)*(I184-C184))/(2024-2012),0)</f>
        <v>2046</v>
      </c>
      <c r="P184" s="17">
        <f t="shared" si="184"/>
        <v>1588</v>
      </c>
      <c r="Q184" s="17">
        <f t="shared" si="184"/>
        <v>8</v>
      </c>
      <c r="R184" s="17">
        <f t="shared" si="184"/>
        <v>37</v>
      </c>
      <c r="S184" s="17">
        <f t="shared" si="184"/>
        <v>16</v>
      </c>
      <c r="T184" s="17">
        <f t="shared" si="184"/>
        <v>397</v>
      </c>
      <c r="U184" s="17">
        <v>2763</v>
      </c>
      <c r="V184" s="18">
        <f t="shared" si="1"/>
        <v>-1175</v>
      </c>
      <c r="W184" s="18">
        <f t="shared" si="2"/>
        <v>0</v>
      </c>
      <c r="X184" s="19">
        <f t="shared" si="3"/>
        <v>3221</v>
      </c>
      <c r="Y184" s="18">
        <v>19.999999552965164</v>
      </c>
      <c r="Z184" s="20"/>
      <c r="AA184" s="15">
        <v>2643</v>
      </c>
      <c r="AB184" s="17">
        <f t="shared" si="5"/>
        <v>2633</v>
      </c>
      <c r="AC184" s="15">
        <v>2613</v>
      </c>
      <c r="AD184" s="4"/>
      <c r="AE184" s="4"/>
      <c r="AF184" s="4"/>
      <c r="AG184" s="4"/>
      <c r="AH184" s="4"/>
      <c r="AI184" s="4"/>
      <c r="AJ184" s="4"/>
      <c r="AK184" s="4"/>
      <c r="AL184" s="4"/>
    </row>
    <row r="185" spans="1:38" ht="14.4">
      <c r="A185" s="21">
        <v>40603</v>
      </c>
      <c r="B185" s="22" t="s">
        <v>200</v>
      </c>
      <c r="C185" s="15">
        <v>1158</v>
      </c>
      <c r="D185" s="15">
        <v>924</v>
      </c>
      <c r="E185" s="15">
        <v>4</v>
      </c>
      <c r="F185" s="15">
        <v>14</v>
      </c>
      <c r="G185" s="15">
        <v>3</v>
      </c>
      <c r="H185" s="15">
        <v>213</v>
      </c>
      <c r="I185" s="15">
        <v>1450</v>
      </c>
      <c r="J185" s="15">
        <v>1268</v>
      </c>
      <c r="K185" s="15">
        <v>3</v>
      </c>
      <c r="L185" s="15">
        <v>12</v>
      </c>
      <c r="M185" s="15">
        <v>9</v>
      </c>
      <c r="N185" s="15">
        <v>158</v>
      </c>
      <c r="O185" s="16">
        <f t="shared" ref="O185:T185" si="185">ROUND(C185 + ((2016-2012)*(I185-C185))/(2024-2012),0)</f>
        <v>1255</v>
      </c>
      <c r="P185" s="23">
        <f t="shared" si="185"/>
        <v>1039</v>
      </c>
      <c r="Q185" s="23">
        <f t="shared" si="185"/>
        <v>4</v>
      </c>
      <c r="R185" s="23">
        <f t="shared" si="185"/>
        <v>13</v>
      </c>
      <c r="S185" s="23">
        <f t="shared" si="185"/>
        <v>5</v>
      </c>
      <c r="T185" s="23">
        <f t="shared" si="185"/>
        <v>195</v>
      </c>
      <c r="U185" s="24">
        <v>6</v>
      </c>
      <c r="V185" s="18">
        <f t="shared" si="1"/>
        <v>1033</v>
      </c>
      <c r="W185" s="18">
        <f t="shared" si="2"/>
        <v>1033</v>
      </c>
      <c r="X185" s="19">
        <f t="shared" si="3"/>
        <v>1256</v>
      </c>
      <c r="Y185" s="18">
        <v>91.00000187754631</v>
      </c>
      <c r="Z185" s="20"/>
      <c r="AA185" s="15">
        <v>1521</v>
      </c>
      <c r="AB185" s="23">
        <f t="shared" si="5"/>
        <v>1826</v>
      </c>
      <c r="AC185" s="15">
        <v>2436</v>
      </c>
      <c r="AD185" s="4"/>
      <c r="AE185" s="4"/>
      <c r="AF185" s="4"/>
      <c r="AG185" s="4"/>
      <c r="AH185" s="4"/>
      <c r="AI185" s="4"/>
      <c r="AJ185" s="4"/>
      <c r="AK185" s="4"/>
      <c r="AL185" s="4"/>
    </row>
    <row r="186" spans="1:38" ht="14.4">
      <c r="A186" s="13">
        <v>40701</v>
      </c>
      <c r="B186" s="14" t="s">
        <v>201</v>
      </c>
      <c r="C186" s="15">
        <v>7189</v>
      </c>
      <c r="D186" s="15">
        <v>6757</v>
      </c>
      <c r="E186" s="15">
        <v>20</v>
      </c>
      <c r="F186" s="15">
        <v>11</v>
      </c>
      <c r="G186" s="15">
        <v>18</v>
      </c>
      <c r="H186" s="15">
        <v>383</v>
      </c>
      <c r="I186" s="15">
        <v>6423</v>
      </c>
      <c r="J186" s="15">
        <v>6165</v>
      </c>
      <c r="K186" s="15">
        <v>11</v>
      </c>
      <c r="L186" s="15">
        <v>24</v>
      </c>
      <c r="M186" s="15">
        <v>14</v>
      </c>
      <c r="N186" s="15">
        <v>209</v>
      </c>
      <c r="O186" s="16">
        <f t="shared" ref="O186:T186" si="186">ROUND(C186 + ((2016-2012)*(I186-C186))/(2024-2012),0)</f>
        <v>6934</v>
      </c>
      <c r="P186" s="17">
        <f t="shared" si="186"/>
        <v>6560</v>
      </c>
      <c r="Q186" s="17">
        <f t="shared" si="186"/>
        <v>17</v>
      </c>
      <c r="R186" s="17">
        <f t="shared" si="186"/>
        <v>15</v>
      </c>
      <c r="S186" s="17">
        <f t="shared" si="186"/>
        <v>17</v>
      </c>
      <c r="T186" s="17">
        <f t="shared" si="186"/>
        <v>325</v>
      </c>
      <c r="U186" s="17">
        <v>5668</v>
      </c>
      <c r="V186" s="18">
        <f t="shared" si="1"/>
        <v>892</v>
      </c>
      <c r="W186" s="18">
        <f t="shared" si="2"/>
        <v>892</v>
      </c>
      <c r="X186" s="19">
        <f t="shared" si="3"/>
        <v>6934</v>
      </c>
      <c r="Y186" s="18">
        <v>714.9999737739563</v>
      </c>
      <c r="Z186" s="20"/>
      <c r="AA186" s="15">
        <v>8115</v>
      </c>
      <c r="AB186" s="17">
        <f t="shared" si="5"/>
        <v>8231</v>
      </c>
      <c r="AC186" s="15">
        <v>8464</v>
      </c>
      <c r="AD186" s="4"/>
      <c r="AE186" s="4"/>
      <c r="AF186" s="4"/>
      <c r="AG186" s="4"/>
      <c r="AH186" s="4"/>
      <c r="AI186" s="4"/>
      <c r="AJ186" s="4"/>
      <c r="AK186" s="4"/>
      <c r="AL186" s="4"/>
    </row>
    <row r="187" spans="1:38" ht="14.4">
      <c r="A187" s="21">
        <v>40702</v>
      </c>
      <c r="B187" s="22" t="s">
        <v>202</v>
      </c>
      <c r="C187" s="15">
        <v>1558</v>
      </c>
      <c r="D187" s="15">
        <v>1327</v>
      </c>
      <c r="E187" s="15">
        <v>2</v>
      </c>
      <c r="F187" s="15">
        <v>23</v>
      </c>
      <c r="G187" s="15">
        <v>21</v>
      </c>
      <c r="H187" s="15">
        <v>185</v>
      </c>
      <c r="I187" s="15">
        <v>2176</v>
      </c>
      <c r="J187" s="15">
        <v>1989</v>
      </c>
      <c r="K187" s="15">
        <v>7</v>
      </c>
      <c r="L187" s="15">
        <v>33</v>
      </c>
      <c r="M187" s="15">
        <v>13</v>
      </c>
      <c r="N187" s="15">
        <v>134</v>
      </c>
      <c r="O187" s="16">
        <f t="shared" ref="O187:T187" si="187">ROUND(C187 + ((2016-2012)*(I187-C187))/(2024-2012),0)</f>
        <v>1764</v>
      </c>
      <c r="P187" s="23">
        <f t="shared" si="187"/>
        <v>1548</v>
      </c>
      <c r="Q187" s="23">
        <f t="shared" si="187"/>
        <v>4</v>
      </c>
      <c r="R187" s="23">
        <f t="shared" si="187"/>
        <v>26</v>
      </c>
      <c r="S187" s="23">
        <f t="shared" si="187"/>
        <v>18</v>
      </c>
      <c r="T187" s="23">
        <f t="shared" si="187"/>
        <v>168</v>
      </c>
      <c r="U187" s="23">
        <v>992</v>
      </c>
      <c r="V187" s="18">
        <f t="shared" si="1"/>
        <v>556</v>
      </c>
      <c r="W187" s="18">
        <f t="shared" si="2"/>
        <v>556</v>
      </c>
      <c r="X187" s="19">
        <f t="shared" si="3"/>
        <v>1764</v>
      </c>
      <c r="Y187" s="18">
        <v>385.99999248981476</v>
      </c>
      <c r="Z187" s="20"/>
      <c r="AA187" s="15">
        <v>1994</v>
      </c>
      <c r="AB187" s="23">
        <f t="shared" si="5"/>
        <v>2274</v>
      </c>
      <c r="AC187" s="15">
        <v>2834</v>
      </c>
      <c r="AD187" s="4"/>
      <c r="AE187" s="4"/>
      <c r="AF187" s="4"/>
      <c r="AG187" s="4"/>
      <c r="AH187" s="4"/>
      <c r="AI187" s="4"/>
      <c r="AJ187" s="4"/>
      <c r="AK187" s="4"/>
      <c r="AL187" s="4"/>
    </row>
    <row r="188" spans="1:38" ht="14.4">
      <c r="A188" s="13">
        <v>40801</v>
      </c>
      <c r="B188" s="14" t="s">
        <v>203</v>
      </c>
      <c r="C188" s="15">
        <v>3927</v>
      </c>
      <c r="D188" s="15">
        <v>2396</v>
      </c>
      <c r="E188" s="15">
        <v>11</v>
      </c>
      <c r="F188" s="15">
        <v>109</v>
      </c>
      <c r="G188" s="15">
        <v>27</v>
      </c>
      <c r="H188" s="15">
        <v>1384</v>
      </c>
      <c r="I188" s="15">
        <v>5969</v>
      </c>
      <c r="J188" s="15">
        <v>4585</v>
      </c>
      <c r="K188" s="15">
        <v>35</v>
      </c>
      <c r="L188" s="15">
        <v>139</v>
      </c>
      <c r="M188" s="15">
        <v>54</v>
      </c>
      <c r="N188" s="15">
        <v>1156</v>
      </c>
      <c r="O188" s="16">
        <f t="shared" ref="O188:T188" si="188">ROUND(C188 + ((2016-2012)*(I188-C188))/(2024-2012),0)</f>
        <v>4608</v>
      </c>
      <c r="P188" s="17">
        <f t="shared" si="188"/>
        <v>3126</v>
      </c>
      <c r="Q188" s="17">
        <f t="shared" si="188"/>
        <v>19</v>
      </c>
      <c r="R188" s="17">
        <f t="shared" si="188"/>
        <v>119</v>
      </c>
      <c r="S188" s="17">
        <f t="shared" si="188"/>
        <v>36</v>
      </c>
      <c r="T188" s="17">
        <f t="shared" si="188"/>
        <v>1308</v>
      </c>
      <c r="U188" s="17">
        <v>3521</v>
      </c>
      <c r="V188" s="18">
        <f t="shared" si="1"/>
        <v>-395</v>
      </c>
      <c r="W188" s="18">
        <f t="shared" si="2"/>
        <v>0</v>
      </c>
      <c r="X188" s="19">
        <f t="shared" si="3"/>
        <v>5003</v>
      </c>
      <c r="Y188" s="18">
        <v>71.000002324581146</v>
      </c>
      <c r="Z188" s="20"/>
      <c r="AA188" s="15">
        <v>5038</v>
      </c>
      <c r="AB188" s="17">
        <f t="shared" si="5"/>
        <v>5986</v>
      </c>
      <c r="AC188" s="15">
        <v>7883</v>
      </c>
      <c r="AD188" s="4"/>
      <c r="AE188" s="4"/>
      <c r="AF188" s="4"/>
      <c r="AG188" s="4"/>
      <c r="AH188" s="4"/>
      <c r="AI188" s="4"/>
      <c r="AJ188" s="4"/>
      <c r="AK188" s="4"/>
      <c r="AL188" s="4"/>
    </row>
    <row r="189" spans="1:38" ht="14.4">
      <c r="A189" s="21">
        <v>40802</v>
      </c>
      <c r="B189" s="22" t="s">
        <v>204</v>
      </c>
      <c r="C189" s="15">
        <v>1040</v>
      </c>
      <c r="D189" s="15">
        <v>573</v>
      </c>
      <c r="E189" s="15">
        <v>4</v>
      </c>
      <c r="F189" s="15">
        <v>45</v>
      </c>
      <c r="G189" s="15">
        <v>8</v>
      </c>
      <c r="H189" s="15">
        <v>410</v>
      </c>
      <c r="I189" s="15">
        <v>1275</v>
      </c>
      <c r="J189" s="15">
        <v>898</v>
      </c>
      <c r="K189" s="15">
        <v>4</v>
      </c>
      <c r="L189" s="15">
        <v>58</v>
      </c>
      <c r="M189" s="15">
        <v>8</v>
      </c>
      <c r="N189" s="15">
        <v>307</v>
      </c>
      <c r="O189" s="16">
        <f t="shared" ref="O189:T189" si="189">ROUND(C189 + ((2016-2012)*(I189-C189))/(2024-2012),0)</f>
        <v>1118</v>
      </c>
      <c r="P189" s="23">
        <f t="shared" si="189"/>
        <v>681</v>
      </c>
      <c r="Q189" s="23">
        <f t="shared" si="189"/>
        <v>4</v>
      </c>
      <c r="R189" s="23">
        <f t="shared" si="189"/>
        <v>49</v>
      </c>
      <c r="S189" s="23">
        <f t="shared" si="189"/>
        <v>8</v>
      </c>
      <c r="T189" s="23">
        <f t="shared" si="189"/>
        <v>376</v>
      </c>
      <c r="U189" s="24">
        <v>180</v>
      </c>
      <c r="V189" s="18">
        <f t="shared" si="1"/>
        <v>501</v>
      </c>
      <c r="W189" s="18">
        <f t="shared" si="2"/>
        <v>501</v>
      </c>
      <c r="X189" s="19">
        <f t="shared" si="3"/>
        <v>1118</v>
      </c>
      <c r="Y189" s="18">
        <v>120.49999833106995</v>
      </c>
      <c r="Z189" s="20"/>
      <c r="AA189" s="15">
        <v>1570</v>
      </c>
      <c r="AB189" s="23">
        <f t="shared" si="5"/>
        <v>1744</v>
      </c>
      <c r="AC189" s="15">
        <v>2093</v>
      </c>
      <c r="AD189" s="4"/>
      <c r="AE189" s="4"/>
      <c r="AF189" s="4"/>
      <c r="AG189" s="4"/>
      <c r="AH189" s="4"/>
      <c r="AI189" s="4"/>
      <c r="AJ189" s="4"/>
      <c r="AK189" s="4"/>
      <c r="AL189" s="4"/>
    </row>
    <row r="190" spans="1:38" ht="14.4">
      <c r="A190" s="13">
        <v>40901</v>
      </c>
      <c r="B190" s="14" t="s">
        <v>205</v>
      </c>
      <c r="C190" s="15">
        <v>2247</v>
      </c>
      <c r="D190" s="15">
        <v>1547</v>
      </c>
      <c r="E190" s="15">
        <v>6</v>
      </c>
      <c r="F190" s="15">
        <v>94</v>
      </c>
      <c r="G190" s="15">
        <v>7</v>
      </c>
      <c r="H190" s="15">
        <v>593</v>
      </c>
      <c r="I190" s="15">
        <v>3855</v>
      </c>
      <c r="J190" s="15">
        <v>3210</v>
      </c>
      <c r="K190" s="15">
        <v>21</v>
      </c>
      <c r="L190" s="15">
        <v>179</v>
      </c>
      <c r="M190" s="15">
        <v>66</v>
      </c>
      <c r="N190" s="15">
        <v>379</v>
      </c>
      <c r="O190" s="16">
        <f t="shared" ref="O190:T190" si="190">ROUND(C190 + ((2016-2012)*(I190-C190))/(2024-2012),0)</f>
        <v>2783</v>
      </c>
      <c r="P190" s="17">
        <f t="shared" si="190"/>
        <v>2101</v>
      </c>
      <c r="Q190" s="17">
        <f t="shared" si="190"/>
        <v>11</v>
      </c>
      <c r="R190" s="17">
        <f t="shared" si="190"/>
        <v>122</v>
      </c>
      <c r="S190" s="17">
        <f t="shared" si="190"/>
        <v>27</v>
      </c>
      <c r="T190" s="17">
        <f t="shared" si="190"/>
        <v>522</v>
      </c>
      <c r="U190" s="17">
        <v>767</v>
      </c>
      <c r="V190" s="18">
        <f t="shared" si="1"/>
        <v>1334</v>
      </c>
      <c r="W190" s="18">
        <f t="shared" si="2"/>
        <v>1334</v>
      </c>
      <c r="X190" s="19">
        <f t="shared" si="3"/>
        <v>2783</v>
      </c>
      <c r="Y190" s="18">
        <v>128.9999932050705</v>
      </c>
      <c r="Z190" s="20"/>
      <c r="AA190" s="15">
        <v>2959</v>
      </c>
      <c r="AB190" s="17">
        <f t="shared" si="5"/>
        <v>3713</v>
      </c>
      <c r="AC190" s="15">
        <v>5221</v>
      </c>
      <c r="AD190" s="4"/>
      <c r="AE190" s="4"/>
      <c r="AF190" s="4"/>
      <c r="AG190" s="4"/>
      <c r="AH190" s="4"/>
      <c r="AI190" s="4"/>
      <c r="AJ190" s="4"/>
      <c r="AK190" s="4"/>
      <c r="AL190" s="4"/>
    </row>
    <row r="191" spans="1:38" ht="14.4">
      <c r="A191" s="21">
        <v>40902</v>
      </c>
      <c r="B191" s="22" t="s">
        <v>206</v>
      </c>
      <c r="C191" s="15">
        <v>253</v>
      </c>
      <c r="D191" s="15">
        <v>196</v>
      </c>
      <c r="E191" s="15">
        <v>3</v>
      </c>
      <c r="F191" s="15">
        <v>0</v>
      </c>
      <c r="G191" s="15">
        <v>0</v>
      </c>
      <c r="H191" s="15">
        <v>54</v>
      </c>
      <c r="I191" s="15">
        <v>357</v>
      </c>
      <c r="J191" s="15">
        <v>301</v>
      </c>
      <c r="K191" s="15">
        <v>0</v>
      </c>
      <c r="L191" s="15">
        <v>19</v>
      </c>
      <c r="M191" s="15">
        <v>2</v>
      </c>
      <c r="N191" s="15">
        <v>35</v>
      </c>
      <c r="O191" s="16">
        <f t="shared" ref="O191:T191" si="191">ROUND(C191 + ((2016-2012)*(I191-C191))/(2024-2012),0)</f>
        <v>288</v>
      </c>
      <c r="P191" s="23">
        <f t="shared" si="191"/>
        <v>231</v>
      </c>
      <c r="Q191" s="23">
        <f t="shared" si="191"/>
        <v>2</v>
      </c>
      <c r="R191" s="23">
        <f t="shared" si="191"/>
        <v>6</v>
      </c>
      <c r="S191" s="23">
        <f t="shared" si="191"/>
        <v>1</v>
      </c>
      <c r="T191" s="23">
        <f t="shared" si="191"/>
        <v>48</v>
      </c>
      <c r="U191" s="24">
        <v>132</v>
      </c>
      <c r="V191" s="18">
        <f t="shared" si="1"/>
        <v>99</v>
      </c>
      <c r="W191" s="18">
        <f t="shared" si="2"/>
        <v>99</v>
      </c>
      <c r="X191" s="19">
        <f t="shared" si="3"/>
        <v>288</v>
      </c>
      <c r="Y191" s="18">
        <v>467.99999475479126</v>
      </c>
      <c r="Z191" s="20"/>
      <c r="AA191" s="15">
        <v>337</v>
      </c>
      <c r="AB191" s="23">
        <f t="shared" si="5"/>
        <v>356</v>
      </c>
      <c r="AC191" s="15">
        <v>395</v>
      </c>
      <c r="AD191" s="4"/>
      <c r="AE191" s="4"/>
      <c r="AF191" s="4"/>
      <c r="AG191" s="4"/>
      <c r="AH191" s="4"/>
      <c r="AI191" s="4"/>
      <c r="AJ191" s="4"/>
      <c r="AK191" s="4"/>
      <c r="AL191" s="4"/>
    </row>
    <row r="192" spans="1:38" ht="14.4">
      <c r="A192" s="13">
        <v>40903</v>
      </c>
      <c r="B192" s="14" t="s">
        <v>207</v>
      </c>
      <c r="C192" s="15">
        <v>590</v>
      </c>
      <c r="D192" s="15">
        <v>232</v>
      </c>
      <c r="E192" s="15">
        <v>0</v>
      </c>
      <c r="F192" s="15">
        <v>208</v>
      </c>
      <c r="G192" s="15">
        <v>12</v>
      </c>
      <c r="H192" s="15">
        <v>138</v>
      </c>
      <c r="I192" s="15">
        <v>1105</v>
      </c>
      <c r="J192" s="15">
        <v>463</v>
      </c>
      <c r="K192" s="15">
        <v>1</v>
      </c>
      <c r="L192" s="15">
        <v>71</v>
      </c>
      <c r="M192" s="15">
        <v>18</v>
      </c>
      <c r="N192" s="15">
        <v>552</v>
      </c>
      <c r="O192" s="16">
        <f t="shared" ref="O192:T192" si="192">ROUND(C192 + ((2016-2012)*(I192-C192))/(2024-2012),0)</f>
        <v>762</v>
      </c>
      <c r="P192" s="17">
        <f t="shared" si="192"/>
        <v>309</v>
      </c>
      <c r="Q192" s="17">
        <f t="shared" si="192"/>
        <v>0</v>
      </c>
      <c r="R192" s="17">
        <f t="shared" si="192"/>
        <v>162</v>
      </c>
      <c r="S192" s="17">
        <f t="shared" si="192"/>
        <v>14</v>
      </c>
      <c r="T192" s="17">
        <f t="shared" si="192"/>
        <v>276</v>
      </c>
      <c r="U192" s="25">
        <v>342</v>
      </c>
      <c r="V192" s="18">
        <f t="shared" si="1"/>
        <v>-33</v>
      </c>
      <c r="W192" s="18">
        <f t="shared" si="2"/>
        <v>0</v>
      </c>
      <c r="X192" s="19">
        <f t="shared" si="3"/>
        <v>794</v>
      </c>
      <c r="Y192" s="18">
        <v>105.99999874830246</v>
      </c>
      <c r="Z192" s="20"/>
      <c r="AA192" s="15">
        <v>1226</v>
      </c>
      <c r="AB192" s="17">
        <f t="shared" si="5"/>
        <v>1434</v>
      </c>
      <c r="AC192" s="15">
        <v>1851</v>
      </c>
      <c r="AD192" s="4"/>
      <c r="AE192" s="4"/>
      <c r="AF192" s="4"/>
      <c r="AG192" s="4"/>
      <c r="AH192" s="4"/>
      <c r="AI192" s="4"/>
      <c r="AJ192" s="4"/>
      <c r="AK192" s="4"/>
      <c r="AL192" s="4"/>
    </row>
    <row r="193" spans="1:38" ht="14.4">
      <c r="A193" s="21">
        <v>41001</v>
      </c>
      <c r="B193" s="22" t="s">
        <v>208</v>
      </c>
      <c r="C193" s="15">
        <v>4331</v>
      </c>
      <c r="D193" s="15">
        <v>873</v>
      </c>
      <c r="E193" s="15">
        <v>9</v>
      </c>
      <c r="F193" s="15">
        <v>666</v>
      </c>
      <c r="G193" s="15">
        <v>173</v>
      </c>
      <c r="H193" s="15">
        <v>2610</v>
      </c>
      <c r="I193" s="15">
        <v>4732</v>
      </c>
      <c r="J193" s="15">
        <v>2091</v>
      </c>
      <c r="K193" s="15">
        <v>10</v>
      </c>
      <c r="L193" s="15">
        <v>329</v>
      </c>
      <c r="M193" s="15">
        <v>137</v>
      </c>
      <c r="N193" s="15">
        <v>2165</v>
      </c>
      <c r="O193" s="16">
        <f t="shared" ref="O193:T193" si="193">ROUND(C193 + ((2016-2012)*(I193-C193))/(2024-2012),0)</f>
        <v>4465</v>
      </c>
      <c r="P193" s="23">
        <f t="shared" si="193"/>
        <v>1279</v>
      </c>
      <c r="Q193" s="23">
        <f t="shared" si="193"/>
        <v>9</v>
      </c>
      <c r="R193" s="23">
        <f t="shared" si="193"/>
        <v>554</v>
      </c>
      <c r="S193" s="23">
        <f t="shared" si="193"/>
        <v>161</v>
      </c>
      <c r="T193" s="23">
        <f t="shared" si="193"/>
        <v>2462</v>
      </c>
      <c r="U193" s="23">
        <v>817</v>
      </c>
      <c r="V193" s="18">
        <f t="shared" si="1"/>
        <v>462</v>
      </c>
      <c r="W193" s="18">
        <f t="shared" si="2"/>
        <v>462</v>
      </c>
      <c r="X193" s="19">
        <f t="shared" si="3"/>
        <v>4465</v>
      </c>
      <c r="Y193" s="18">
        <v>39.999999105930328</v>
      </c>
      <c r="Z193" s="20"/>
      <c r="AA193" s="15">
        <v>5839</v>
      </c>
      <c r="AB193" s="23">
        <f t="shared" si="5"/>
        <v>5971</v>
      </c>
      <c r="AC193" s="15">
        <v>6234</v>
      </c>
      <c r="AD193" s="4"/>
      <c r="AE193" s="4"/>
      <c r="AF193" s="4"/>
      <c r="AG193" s="4"/>
      <c r="AH193" s="4"/>
      <c r="AI193" s="4"/>
      <c r="AJ193" s="4"/>
      <c r="AK193" s="4"/>
      <c r="AL193" s="4"/>
    </row>
    <row r="194" spans="1:38" ht="14.4">
      <c r="A194" s="13">
        <v>41101</v>
      </c>
      <c r="B194" s="14" t="s">
        <v>209</v>
      </c>
      <c r="C194" s="15">
        <v>1898</v>
      </c>
      <c r="D194" s="15">
        <v>1530</v>
      </c>
      <c r="E194" s="15">
        <v>3</v>
      </c>
      <c r="F194" s="15">
        <v>5</v>
      </c>
      <c r="G194" s="15">
        <v>11</v>
      </c>
      <c r="H194" s="15">
        <v>349</v>
      </c>
      <c r="I194" s="15">
        <v>1936</v>
      </c>
      <c r="J194" s="15">
        <v>1692</v>
      </c>
      <c r="K194" s="15">
        <v>7</v>
      </c>
      <c r="L194" s="15">
        <v>8</v>
      </c>
      <c r="M194" s="15">
        <v>16</v>
      </c>
      <c r="N194" s="15">
        <v>213</v>
      </c>
      <c r="O194" s="16">
        <f t="shared" ref="O194:T194" si="194">ROUND(C194 + ((2016-2012)*(I194-C194))/(2024-2012),0)</f>
        <v>1911</v>
      </c>
      <c r="P194" s="17">
        <f t="shared" si="194"/>
        <v>1584</v>
      </c>
      <c r="Q194" s="17">
        <f t="shared" si="194"/>
        <v>4</v>
      </c>
      <c r="R194" s="17">
        <f t="shared" si="194"/>
        <v>6</v>
      </c>
      <c r="S194" s="17">
        <f t="shared" si="194"/>
        <v>13</v>
      </c>
      <c r="T194" s="17">
        <f t="shared" si="194"/>
        <v>304</v>
      </c>
      <c r="U194" s="17">
        <v>2272</v>
      </c>
      <c r="V194" s="18">
        <f t="shared" si="1"/>
        <v>-688</v>
      </c>
      <c r="W194" s="18">
        <f t="shared" si="2"/>
        <v>0</v>
      </c>
      <c r="X194" s="19">
        <f t="shared" si="3"/>
        <v>2599</v>
      </c>
      <c r="Y194" s="18">
        <v>13.000000268220901</v>
      </c>
      <c r="Z194" s="20"/>
      <c r="AA194" s="15">
        <v>2531</v>
      </c>
      <c r="AB194" s="17">
        <f t="shared" si="5"/>
        <v>2617</v>
      </c>
      <c r="AC194" s="15">
        <v>2789</v>
      </c>
      <c r="AD194" s="4"/>
      <c r="AE194" s="4"/>
      <c r="AF194" s="4"/>
      <c r="AG194" s="4"/>
      <c r="AH194" s="4"/>
      <c r="AI194" s="4"/>
      <c r="AJ194" s="4"/>
      <c r="AK194" s="4"/>
      <c r="AL194" s="4"/>
    </row>
    <row r="195" spans="1:38" ht="14.4">
      <c r="A195" s="21">
        <v>41201</v>
      </c>
      <c r="B195" s="22" t="s">
        <v>210</v>
      </c>
      <c r="C195" s="15">
        <v>1992</v>
      </c>
      <c r="D195" s="15">
        <v>741</v>
      </c>
      <c r="E195" s="15">
        <v>3</v>
      </c>
      <c r="F195" s="15">
        <v>134</v>
      </c>
      <c r="G195" s="15">
        <v>33</v>
      </c>
      <c r="H195" s="15">
        <v>1081</v>
      </c>
      <c r="I195" s="15">
        <v>2285</v>
      </c>
      <c r="J195" s="15">
        <v>1291</v>
      </c>
      <c r="K195" s="15">
        <v>1</v>
      </c>
      <c r="L195" s="15">
        <v>125</v>
      </c>
      <c r="M195" s="15">
        <v>24</v>
      </c>
      <c r="N195" s="15">
        <v>844</v>
      </c>
      <c r="O195" s="16">
        <f t="shared" ref="O195:T195" si="195">ROUND(C195 + ((2016-2012)*(I195-C195))/(2024-2012),0)</f>
        <v>2090</v>
      </c>
      <c r="P195" s="23">
        <f t="shared" si="195"/>
        <v>924</v>
      </c>
      <c r="Q195" s="23">
        <f t="shared" si="195"/>
        <v>2</v>
      </c>
      <c r="R195" s="23">
        <f t="shared" si="195"/>
        <v>131</v>
      </c>
      <c r="S195" s="23">
        <f t="shared" si="195"/>
        <v>30</v>
      </c>
      <c r="T195" s="23">
        <f t="shared" si="195"/>
        <v>1002</v>
      </c>
      <c r="U195" s="23">
        <v>1189</v>
      </c>
      <c r="V195" s="18">
        <f t="shared" si="1"/>
        <v>-265</v>
      </c>
      <c r="W195" s="18">
        <f t="shared" si="2"/>
        <v>0</v>
      </c>
      <c r="X195" s="19">
        <f t="shared" si="3"/>
        <v>2354</v>
      </c>
      <c r="Y195" s="18">
        <v>48.000000417232513</v>
      </c>
      <c r="Z195" s="20"/>
      <c r="AA195" s="15">
        <v>3195</v>
      </c>
      <c r="AB195" s="23">
        <f t="shared" si="5"/>
        <v>3700</v>
      </c>
      <c r="AC195" s="15">
        <v>4710</v>
      </c>
      <c r="AD195" s="4"/>
      <c r="AE195" s="4"/>
      <c r="AF195" s="4"/>
      <c r="AG195" s="4"/>
      <c r="AH195" s="4"/>
      <c r="AI195" s="4"/>
      <c r="AJ195" s="4"/>
      <c r="AK195" s="4"/>
      <c r="AL195" s="4"/>
    </row>
    <row r="196" spans="1:38" ht="14.4">
      <c r="A196" s="13">
        <v>41202</v>
      </c>
      <c r="B196" s="14" t="s">
        <v>211</v>
      </c>
      <c r="C196" s="15">
        <v>728</v>
      </c>
      <c r="D196" s="15">
        <v>422</v>
      </c>
      <c r="E196" s="15">
        <v>1</v>
      </c>
      <c r="F196" s="15">
        <v>26</v>
      </c>
      <c r="G196" s="15">
        <v>11</v>
      </c>
      <c r="H196" s="15">
        <v>268</v>
      </c>
      <c r="I196" s="15">
        <v>1099</v>
      </c>
      <c r="J196" s="15">
        <v>647</v>
      </c>
      <c r="K196" s="15">
        <v>1</v>
      </c>
      <c r="L196" s="15">
        <v>37</v>
      </c>
      <c r="M196" s="15">
        <v>14</v>
      </c>
      <c r="N196" s="15">
        <v>400</v>
      </c>
      <c r="O196" s="16">
        <f t="shared" ref="O196:T196" si="196">ROUND(C196 + ((2016-2012)*(I196-C196))/(2024-2012),0)</f>
        <v>852</v>
      </c>
      <c r="P196" s="17">
        <f t="shared" si="196"/>
        <v>497</v>
      </c>
      <c r="Q196" s="17">
        <f t="shared" si="196"/>
        <v>1</v>
      </c>
      <c r="R196" s="17">
        <f t="shared" si="196"/>
        <v>30</v>
      </c>
      <c r="S196" s="17">
        <f t="shared" si="196"/>
        <v>12</v>
      </c>
      <c r="T196" s="17">
        <f t="shared" si="196"/>
        <v>312</v>
      </c>
      <c r="U196" s="25">
        <v>381</v>
      </c>
      <c r="V196" s="18">
        <f t="shared" si="1"/>
        <v>116</v>
      </c>
      <c r="W196" s="18">
        <f t="shared" si="2"/>
        <v>116</v>
      </c>
      <c r="X196" s="19">
        <f t="shared" si="3"/>
        <v>852</v>
      </c>
      <c r="Y196" s="18">
        <v>32.999999821186066</v>
      </c>
      <c r="Z196" s="20"/>
      <c r="AA196" s="15">
        <v>1217</v>
      </c>
      <c r="AB196" s="17">
        <f t="shared" si="5"/>
        <v>1369</v>
      </c>
      <c r="AC196" s="15">
        <v>1674</v>
      </c>
      <c r="AD196" s="4"/>
      <c r="AE196" s="4"/>
      <c r="AF196" s="4"/>
      <c r="AG196" s="4"/>
      <c r="AH196" s="4"/>
      <c r="AI196" s="4"/>
      <c r="AJ196" s="4"/>
      <c r="AK196" s="4"/>
      <c r="AL196" s="4"/>
    </row>
    <row r="197" spans="1:38" ht="14.4">
      <c r="A197" s="21">
        <v>41301</v>
      </c>
      <c r="B197" s="22" t="s">
        <v>212</v>
      </c>
      <c r="C197" s="15">
        <v>1886</v>
      </c>
      <c r="D197" s="15">
        <v>448</v>
      </c>
      <c r="E197" s="15">
        <v>5</v>
      </c>
      <c r="F197" s="15">
        <v>237</v>
      </c>
      <c r="G197" s="15">
        <v>121</v>
      </c>
      <c r="H197" s="15">
        <v>1075</v>
      </c>
      <c r="I197" s="15">
        <v>2648</v>
      </c>
      <c r="J197" s="15">
        <v>1007</v>
      </c>
      <c r="K197" s="15">
        <v>4</v>
      </c>
      <c r="L197" s="15">
        <v>155</v>
      </c>
      <c r="M197" s="15">
        <v>80</v>
      </c>
      <c r="N197" s="15">
        <v>1402</v>
      </c>
      <c r="O197" s="16">
        <f t="shared" ref="O197:T197" si="197">ROUND(C197 + ((2016-2012)*(I197-C197))/(2024-2012),0)</f>
        <v>2140</v>
      </c>
      <c r="P197" s="23">
        <f t="shared" si="197"/>
        <v>634</v>
      </c>
      <c r="Q197" s="23">
        <f t="shared" si="197"/>
        <v>5</v>
      </c>
      <c r="R197" s="23">
        <f t="shared" si="197"/>
        <v>210</v>
      </c>
      <c r="S197" s="23">
        <f t="shared" si="197"/>
        <v>107</v>
      </c>
      <c r="T197" s="23">
        <f t="shared" si="197"/>
        <v>1184</v>
      </c>
      <c r="U197" s="24">
        <v>520</v>
      </c>
      <c r="V197" s="18">
        <f t="shared" si="1"/>
        <v>114</v>
      </c>
      <c r="W197" s="18">
        <f t="shared" si="2"/>
        <v>114</v>
      </c>
      <c r="X197" s="19">
        <f t="shared" si="3"/>
        <v>2140</v>
      </c>
      <c r="Y197" s="18">
        <v>13.000000268220901</v>
      </c>
      <c r="Z197" s="20"/>
      <c r="AA197" s="15">
        <v>2832</v>
      </c>
      <c r="AB197" s="23">
        <f t="shared" si="5"/>
        <v>3406</v>
      </c>
      <c r="AC197" s="15">
        <v>4555</v>
      </c>
      <c r="AD197" s="4"/>
      <c r="AE197" s="4"/>
      <c r="AF197" s="4"/>
      <c r="AG197" s="4"/>
      <c r="AH197" s="4"/>
      <c r="AI197" s="4"/>
      <c r="AJ197" s="4"/>
      <c r="AK197" s="4"/>
      <c r="AL197" s="4"/>
    </row>
    <row r="198" spans="1:38" ht="14.4">
      <c r="A198" s="13">
        <v>41401</v>
      </c>
      <c r="B198" s="14" t="s">
        <v>213</v>
      </c>
      <c r="C198" s="15">
        <v>4302</v>
      </c>
      <c r="D198" s="15">
        <v>2395</v>
      </c>
      <c r="E198" s="15">
        <v>12</v>
      </c>
      <c r="F198" s="15">
        <v>172</v>
      </c>
      <c r="G198" s="15">
        <v>42</v>
      </c>
      <c r="H198" s="15">
        <v>1681</v>
      </c>
      <c r="I198" s="15">
        <v>4639</v>
      </c>
      <c r="J198" s="15">
        <v>3446</v>
      </c>
      <c r="K198" s="15">
        <v>11</v>
      </c>
      <c r="L198" s="15">
        <v>80</v>
      </c>
      <c r="M198" s="15">
        <v>31</v>
      </c>
      <c r="N198" s="15">
        <v>1071</v>
      </c>
      <c r="O198" s="16">
        <f t="shared" ref="O198:T198" si="198">ROUND(C198 + ((2016-2012)*(I198-C198))/(2024-2012),0)</f>
        <v>4414</v>
      </c>
      <c r="P198" s="17">
        <f t="shared" si="198"/>
        <v>2745</v>
      </c>
      <c r="Q198" s="17">
        <f t="shared" si="198"/>
        <v>12</v>
      </c>
      <c r="R198" s="17">
        <f t="shared" si="198"/>
        <v>141</v>
      </c>
      <c r="S198" s="17">
        <f t="shared" si="198"/>
        <v>38</v>
      </c>
      <c r="T198" s="17">
        <f t="shared" si="198"/>
        <v>1478</v>
      </c>
      <c r="U198" s="17">
        <v>1339</v>
      </c>
      <c r="V198" s="18">
        <f t="shared" si="1"/>
        <v>1406</v>
      </c>
      <c r="W198" s="18">
        <f t="shared" si="2"/>
        <v>1406</v>
      </c>
      <c r="X198" s="19">
        <f t="shared" si="3"/>
        <v>4414</v>
      </c>
      <c r="Y198" s="18">
        <v>219.9999988079071</v>
      </c>
      <c r="Z198" s="20"/>
      <c r="AA198" s="15">
        <v>5257</v>
      </c>
      <c r="AB198" s="17">
        <f t="shared" si="5"/>
        <v>5765</v>
      </c>
      <c r="AC198" s="15">
        <v>6780</v>
      </c>
      <c r="AD198" s="4"/>
      <c r="AE198" s="4"/>
      <c r="AF198" s="4"/>
      <c r="AG198" s="4"/>
      <c r="AH198" s="4"/>
      <c r="AI198" s="4"/>
      <c r="AJ198" s="4"/>
      <c r="AK198" s="4"/>
      <c r="AL198" s="4"/>
    </row>
    <row r="199" spans="1:38" ht="14.4">
      <c r="A199" s="21">
        <v>41501</v>
      </c>
      <c r="B199" s="22" t="s">
        <v>214</v>
      </c>
      <c r="C199" s="15">
        <v>181</v>
      </c>
      <c r="D199" s="15">
        <v>52</v>
      </c>
      <c r="E199" s="15">
        <v>0</v>
      </c>
      <c r="F199" s="15">
        <v>42</v>
      </c>
      <c r="G199" s="15">
        <v>0</v>
      </c>
      <c r="H199" s="15">
        <v>87</v>
      </c>
      <c r="I199" s="15">
        <v>283</v>
      </c>
      <c r="J199" s="15">
        <v>183</v>
      </c>
      <c r="K199" s="15">
        <v>3</v>
      </c>
      <c r="L199" s="15">
        <v>32</v>
      </c>
      <c r="M199" s="15">
        <v>5</v>
      </c>
      <c r="N199" s="15">
        <v>60</v>
      </c>
      <c r="O199" s="16">
        <f t="shared" ref="O199:T199" si="199">ROUND(C199 + ((2016-2012)*(I199-C199))/(2024-2012),0)</f>
        <v>215</v>
      </c>
      <c r="P199" s="23">
        <f t="shared" si="199"/>
        <v>96</v>
      </c>
      <c r="Q199" s="23">
        <f t="shared" si="199"/>
        <v>1</v>
      </c>
      <c r="R199" s="23">
        <f t="shared" si="199"/>
        <v>39</v>
      </c>
      <c r="S199" s="23">
        <f t="shared" si="199"/>
        <v>2</v>
      </c>
      <c r="T199" s="23">
        <f t="shared" si="199"/>
        <v>78</v>
      </c>
      <c r="U199" s="24">
        <v>65</v>
      </c>
      <c r="V199" s="18">
        <f t="shared" si="1"/>
        <v>31</v>
      </c>
      <c r="W199" s="18">
        <f t="shared" si="2"/>
        <v>31</v>
      </c>
      <c r="X199" s="19">
        <f t="shared" si="3"/>
        <v>216</v>
      </c>
      <c r="Y199" s="18">
        <v>41.999999433755875</v>
      </c>
      <c r="Z199" s="20"/>
      <c r="AA199" s="15">
        <v>189</v>
      </c>
      <c r="AB199" s="23">
        <f t="shared" si="5"/>
        <v>264</v>
      </c>
      <c r="AC199" s="15">
        <v>414</v>
      </c>
      <c r="AD199" s="4"/>
      <c r="AE199" s="4"/>
      <c r="AF199" s="4"/>
      <c r="AG199" s="4"/>
      <c r="AH199" s="4"/>
      <c r="AI199" s="4"/>
      <c r="AJ199" s="4"/>
      <c r="AK199" s="4"/>
      <c r="AL199" s="4"/>
    </row>
    <row r="200" spans="1:38" ht="14.4">
      <c r="A200" s="13">
        <v>41502</v>
      </c>
      <c r="B200" s="14" t="s">
        <v>215</v>
      </c>
      <c r="C200" s="15">
        <v>193</v>
      </c>
      <c r="D200" s="15">
        <v>68</v>
      </c>
      <c r="E200" s="15">
        <v>1</v>
      </c>
      <c r="F200" s="15">
        <v>21</v>
      </c>
      <c r="G200" s="15">
        <v>6</v>
      </c>
      <c r="H200" s="15">
        <v>97</v>
      </c>
      <c r="I200" s="15">
        <v>329</v>
      </c>
      <c r="J200" s="15">
        <v>246</v>
      </c>
      <c r="K200" s="15">
        <v>1</v>
      </c>
      <c r="L200" s="15">
        <v>17</v>
      </c>
      <c r="M200" s="15">
        <v>8</v>
      </c>
      <c r="N200" s="15">
        <v>57</v>
      </c>
      <c r="O200" s="16">
        <f t="shared" ref="O200:T200" si="200">ROUND(C200 + ((2016-2012)*(I200-C200))/(2024-2012),0)</f>
        <v>238</v>
      </c>
      <c r="P200" s="17">
        <f t="shared" si="200"/>
        <v>127</v>
      </c>
      <c r="Q200" s="17">
        <f t="shared" si="200"/>
        <v>1</v>
      </c>
      <c r="R200" s="17">
        <f t="shared" si="200"/>
        <v>20</v>
      </c>
      <c r="S200" s="17">
        <f t="shared" si="200"/>
        <v>7</v>
      </c>
      <c r="T200" s="17">
        <f t="shared" si="200"/>
        <v>84</v>
      </c>
      <c r="U200" s="25">
        <v>93</v>
      </c>
      <c r="V200" s="18">
        <f t="shared" si="1"/>
        <v>34</v>
      </c>
      <c r="W200" s="18">
        <f t="shared" si="2"/>
        <v>34</v>
      </c>
      <c r="X200" s="19">
        <f t="shared" si="3"/>
        <v>239</v>
      </c>
      <c r="Y200" s="18">
        <v>24.000000208616257</v>
      </c>
      <c r="Z200" s="20"/>
      <c r="AA200" s="15">
        <v>278</v>
      </c>
      <c r="AB200" s="17">
        <f t="shared" si="5"/>
        <v>339</v>
      </c>
      <c r="AC200" s="15">
        <v>460</v>
      </c>
      <c r="AD200" s="4"/>
      <c r="AE200" s="4"/>
      <c r="AF200" s="4"/>
      <c r="AG200" s="4"/>
      <c r="AH200" s="4"/>
      <c r="AI200" s="4"/>
      <c r="AJ200" s="4"/>
      <c r="AK200" s="4"/>
      <c r="AL200" s="4"/>
    </row>
    <row r="201" spans="1:38" ht="14.4">
      <c r="A201" s="21">
        <v>41503</v>
      </c>
      <c r="B201" s="22" t="s">
        <v>216</v>
      </c>
      <c r="C201" s="15">
        <v>245</v>
      </c>
      <c r="D201" s="15">
        <v>73</v>
      </c>
      <c r="E201" s="15">
        <v>9</v>
      </c>
      <c r="F201" s="15">
        <v>38</v>
      </c>
      <c r="G201" s="15">
        <v>12</v>
      </c>
      <c r="H201" s="15">
        <v>113</v>
      </c>
      <c r="I201" s="15">
        <v>257</v>
      </c>
      <c r="J201" s="15">
        <v>181</v>
      </c>
      <c r="K201" s="15">
        <v>5</v>
      </c>
      <c r="L201" s="15">
        <v>31</v>
      </c>
      <c r="M201" s="15">
        <v>2</v>
      </c>
      <c r="N201" s="15">
        <v>38</v>
      </c>
      <c r="O201" s="16">
        <f t="shared" ref="O201:T201" si="201">ROUND(C201 + ((2016-2012)*(I201-C201))/(2024-2012),0)</f>
        <v>249</v>
      </c>
      <c r="P201" s="23">
        <f t="shared" si="201"/>
        <v>109</v>
      </c>
      <c r="Q201" s="23">
        <f t="shared" si="201"/>
        <v>8</v>
      </c>
      <c r="R201" s="23">
        <f t="shared" si="201"/>
        <v>36</v>
      </c>
      <c r="S201" s="23">
        <f t="shared" si="201"/>
        <v>9</v>
      </c>
      <c r="T201" s="23">
        <f t="shared" si="201"/>
        <v>88</v>
      </c>
      <c r="U201" s="24">
        <v>66</v>
      </c>
      <c r="V201" s="18">
        <f t="shared" si="1"/>
        <v>43</v>
      </c>
      <c r="W201" s="18">
        <f t="shared" si="2"/>
        <v>43</v>
      </c>
      <c r="X201" s="19">
        <f t="shared" si="3"/>
        <v>250</v>
      </c>
      <c r="Y201" s="18">
        <v>7.5000002980232239</v>
      </c>
      <c r="Z201" s="20"/>
      <c r="AA201" s="15">
        <v>302</v>
      </c>
      <c r="AB201" s="23">
        <f t="shared" si="5"/>
        <v>324</v>
      </c>
      <c r="AC201" s="15">
        <v>367</v>
      </c>
      <c r="AD201" s="4"/>
      <c r="AE201" s="4"/>
      <c r="AF201" s="4"/>
      <c r="AG201" s="4"/>
      <c r="AH201" s="4"/>
      <c r="AI201" s="4"/>
      <c r="AJ201" s="4"/>
      <c r="AK201" s="4"/>
      <c r="AL201" s="4"/>
    </row>
    <row r="202" spans="1:38" ht="14.4">
      <c r="A202" s="13">
        <v>41601</v>
      </c>
      <c r="B202" s="14" t="s">
        <v>217</v>
      </c>
      <c r="C202" s="15">
        <v>2254</v>
      </c>
      <c r="D202" s="15">
        <v>667</v>
      </c>
      <c r="E202" s="15">
        <v>7</v>
      </c>
      <c r="F202" s="15">
        <v>100</v>
      </c>
      <c r="G202" s="15">
        <v>41</v>
      </c>
      <c r="H202" s="15">
        <v>1439</v>
      </c>
      <c r="I202" s="15">
        <v>2722</v>
      </c>
      <c r="J202" s="15">
        <v>1466</v>
      </c>
      <c r="K202" s="15">
        <v>2</v>
      </c>
      <c r="L202" s="15">
        <v>63</v>
      </c>
      <c r="M202" s="15">
        <v>13</v>
      </c>
      <c r="N202" s="15">
        <v>1178</v>
      </c>
      <c r="O202" s="16">
        <f t="shared" ref="O202:T202" si="202">ROUND(C202 + ((2016-2012)*(I202-C202))/(2024-2012),0)</f>
        <v>2410</v>
      </c>
      <c r="P202" s="17">
        <f t="shared" si="202"/>
        <v>933</v>
      </c>
      <c r="Q202" s="17">
        <f t="shared" si="202"/>
        <v>5</v>
      </c>
      <c r="R202" s="17">
        <f t="shared" si="202"/>
        <v>88</v>
      </c>
      <c r="S202" s="17">
        <f t="shared" si="202"/>
        <v>32</v>
      </c>
      <c r="T202" s="17">
        <f t="shared" si="202"/>
        <v>1352</v>
      </c>
      <c r="U202" s="17">
        <v>1035</v>
      </c>
      <c r="V202" s="18">
        <f t="shared" si="1"/>
        <v>-102</v>
      </c>
      <c r="W202" s="18">
        <f t="shared" si="2"/>
        <v>0</v>
      </c>
      <c r="X202" s="19">
        <f t="shared" si="3"/>
        <v>2512</v>
      </c>
      <c r="Y202" s="18">
        <v>8.0000003799796104</v>
      </c>
      <c r="Z202" s="20"/>
      <c r="AA202" s="15">
        <v>3476</v>
      </c>
      <c r="AB202" s="17">
        <f t="shared" si="5"/>
        <v>3878</v>
      </c>
      <c r="AC202" s="15">
        <v>4681</v>
      </c>
      <c r="AD202" s="4"/>
      <c r="AE202" s="4"/>
      <c r="AF202" s="4"/>
      <c r="AG202" s="4"/>
      <c r="AH202" s="4"/>
      <c r="AI202" s="4"/>
      <c r="AJ202" s="4"/>
      <c r="AK202" s="4"/>
      <c r="AL202" s="4"/>
    </row>
    <row r="203" spans="1:38" ht="14.4">
      <c r="A203" s="21">
        <v>50101</v>
      </c>
      <c r="B203" s="22" t="s">
        <v>218</v>
      </c>
      <c r="C203" s="15">
        <v>51606</v>
      </c>
      <c r="D203" s="15">
        <v>48667</v>
      </c>
      <c r="E203" s="15">
        <v>85</v>
      </c>
      <c r="F203" s="15">
        <v>40</v>
      </c>
      <c r="G203" s="15">
        <v>103</v>
      </c>
      <c r="H203" s="15">
        <v>2711</v>
      </c>
      <c r="I203" s="15">
        <v>67379</v>
      </c>
      <c r="J203" s="15">
        <v>63321</v>
      </c>
      <c r="K203" s="15">
        <v>380</v>
      </c>
      <c r="L203" s="15">
        <v>125</v>
      </c>
      <c r="M203" s="15">
        <v>385</v>
      </c>
      <c r="N203" s="15">
        <v>3168</v>
      </c>
      <c r="O203" s="16">
        <f t="shared" ref="O203:T203" si="203">ROUND(C203 + ((2016-2012)*(I203-C203))/(2024-2012),0)</f>
        <v>56864</v>
      </c>
      <c r="P203" s="23">
        <f t="shared" si="203"/>
        <v>53552</v>
      </c>
      <c r="Q203" s="23">
        <f t="shared" si="203"/>
        <v>183</v>
      </c>
      <c r="R203" s="23">
        <f t="shared" si="203"/>
        <v>68</v>
      </c>
      <c r="S203" s="23">
        <f t="shared" si="203"/>
        <v>197</v>
      </c>
      <c r="T203" s="23">
        <f t="shared" si="203"/>
        <v>2863</v>
      </c>
      <c r="U203" s="23">
        <v>42222</v>
      </c>
      <c r="V203" s="18">
        <f t="shared" si="1"/>
        <v>11330</v>
      </c>
      <c r="W203" s="18">
        <f t="shared" si="2"/>
        <v>11330</v>
      </c>
      <c r="X203" s="19">
        <f t="shared" si="3"/>
        <v>56863</v>
      </c>
      <c r="Y203" s="18">
        <v>794.00002956390381</v>
      </c>
      <c r="Z203" s="20"/>
      <c r="AA203" s="15">
        <v>54852</v>
      </c>
      <c r="AB203" s="23">
        <f t="shared" si="5"/>
        <v>62719</v>
      </c>
      <c r="AC203" s="15">
        <v>78452</v>
      </c>
      <c r="AD203" s="4"/>
      <c r="AE203" s="4"/>
      <c r="AF203" s="4"/>
      <c r="AG203" s="4"/>
      <c r="AH203" s="4"/>
      <c r="AI203" s="4"/>
      <c r="AJ203" s="4"/>
      <c r="AK203" s="4"/>
      <c r="AL203" s="4"/>
    </row>
    <row r="204" spans="1:38" ht="14.4">
      <c r="A204" s="13">
        <v>50102</v>
      </c>
      <c r="B204" s="14" t="s">
        <v>219</v>
      </c>
      <c r="C204" s="15">
        <v>7545</v>
      </c>
      <c r="D204" s="15">
        <v>2849</v>
      </c>
      <c r="E204" s="15">
        <v>19</v>
      </c>
      <c r="F204" s="15">
        <v>25</v>
      </c>
      <c r="G204" s="15">
        <v>77</v>
      </c>
      <c r="H204" s="15">
        <v>4575</v>
      </c>
      <c r="I204" s="15">
        <v>9796</v>
      </c>
      <c r="J204" s="15">
        <v>7270</v>
      </c>
      <c r="K204" s="15">
        <v>9</v>
      </c>
      <c r="L204" s="15">
        <v>58</v>
      </c>
      <c r="M204" s="15">
        <v>52</v>
      </c>
      <c r="N204" s="15">
        <v>2407</v>
      </c>
      <c r="O204" s="16">
        <f t="shared" ref="O204:T204" si="204">ROUND(C204 + ((2016-2012)*(I204-C204))/(2024-2012),0)</f>
        <v>8295</v>
      </c>
      <c r="P204" s="17">
        <f t="shared" si="204"/>
        <v>4323</v>
      </c>
      <c r="Q204" s="17">
        <f t="shared" si="204"/>
        <v>16</v>
      </c>
      <c r="R204" s="17">
        <f t="shared" si="204"/>
        <v>36</v>
      </c>
      <c r="S204" s="17">
        <f t="shared" si="204"/>
        <v>69</v>
      </c>
      <c r="T204" s="17">
        <f t="shared" si="204"/>
        <v>3852</v>
      </c>
      <c r="U204" s="17">
        <v>3401</v>
      </c>
      <c r="V204" s="18">
        <f t="shared" si="1"/>
        <v>922</v>
      </c>
      <c r="W204" s="18">
        <f t="shared" si="2"/>
        <v>922</v>
      </c>
      <c r="X204" s="19">
        <f t="shared" si="3"/>
        <v>8296</v>
      </c>
      <c r="Y204" s="18">
        <v>54.000001400709152</v>
      </c>
      <c r="Z204" s="20"/>
      <c r="AA204" s="15">
        <v>8959</v>
      </c>
      <c r="AB204" s="17">
        <f t="shared" si="5"/>
        <v>9774</v>
      </c>
      <c r="AC204" s="15">
        <v>11404</v>
      </c>
      <c r="AD204" s="4"/>
      <c r="AE204" s="4"/>
      <c r="AF204" s="4"/>
      <c r="AG204" s="4"/>
      <c r="AH204" s="4"/>
      <c r="AI204" s="4"/>
      <c r="AJ204" s="4"/>
      <c r="AK204" s="4"/>
      <c r="AL204" s="4"/>
    </row>
    <row r="205" spans="1:38" ht="14.4">
      <c r="A205" s="21">
        <v>50103</v>
      </c>
      <c r="B205" s="22" t="s">
        <v>220</v>
      </c>
      <c r="C205" s="15">
        <v>2916</v>
      </c>
      <c r="D205" s="15">
        <v>2223</v>
      </c>
      <c r="E205" s="15">
        <v>3</v>
      </c>
      <c r="F205" s="15">
        <v>4</v>
      </c>
      <c r="G205" s="15">
        <v>32</v>
      </c>
      <c r="H205" s="15">
        <v>654</v>
      </c>
      <c r="I205" s="15">
        <v>4191</v>
      </c>
      <c r="J205" s="15">
        <v>3562</v>
      </c>
      <c r="K205" s="15">
        <v>17</v>
      </c>
      <c r="L205" s="15">
        <v>40</v>
      </c>
      <c r="M205" s="15">
        <v>21</v>
      </c>
      <c r="N205" s="15">
        <v>551</v>
      </c>
      <c r="O205" s="16">
        <f t="shared" ref="O205:T205" si="205">ROUND(C205 + ((2016-2012)*(I205-C205))/(2024-2012),0)</f>
        <v>3341</v>
      </c>
      <c r="P205" s="23">
        <f t="shared" si="205"/>
        <v>2669</v>
      </c>
      <c r="Q205" s="23">
        <f t="shared" si="205"/>
        <v>8</v>
      </c>
      <c r="R205" s="23">
        <f t="shared" si="205"/>
        <v>16</v>
      </c>
      <c r="S205" s="23">
        <f t="shared" si="205"/>
        <v>28</v>
      </c>
      <c r="T205" s="23">
        <f t="shared" si="205"/>
        <v>620</v>
      </c>
      <c r="U205" s="23">
        <v>1486</v>
      </c>
      <c r="V205" s="18">
        <f t="shared" si="1"/>
        <v>1183</v>
      </c>
      <c r="W205" s="18">
        <f t="shared" si="2"/>
        <v>1183</v>
      </c>
      <c r="X205" s="19">
        <f t="shared" si="3"/>
        <v>3341</v>
      </c>
      <c r="Y205" s="18">
        <v>168.99999976158142</v>
      </c>
      <c r="Z205" s="20"/>
      <c r="AA205" s="15">
        <v>3330</v>
      </c>
      <c r="AB205" s="23">
        <f t="shared" si="5"/>
        <v>3874</v>
      </c>
      <c r="AC205" s="15">
        <v>4963</v>
      </c>
      <c r="AD205" s="4"/>
      <c r="AE205" s="4"/>
      <c r="AF205" s="4"/>
      <c r="AG205" s="4"/>
      <c r="AH205" s="4"/>
      <c r="AI205" s="4"/>
      <c r="AJ205" s="4"/>
      <c r="AK205" s="4"/>
      <c r="AL205" s="4"/>
    </row>
    <row r="206" spans="1:38" ht="14.4">
      <c r="A206" s="13">
        <v>50104</v>
      </c>
      <c r="B206" s="14" t="s">
        <v>221</v>
      </c>
      <c r="C206" s="15">
        <v>1102</v>
      </c>
      <c r="D206" s="15">
        <v>495</v>
      </c>
      <c r="E206" s="15">
        <v>0</v>
      </c>
      <c r="F206" s="15">
        <v>21</v>
      </c>
      <c r="G206" s="15">
        <v>10</v>
      </c>
      <c r="H206" s="15">
        <v>576</v>
      </c>
      <c r="I206" s="15">
        <v>1221</v>
      </c>
      <c r="J206" s="15">
        <v>548</v>
      </c>
      <c r="K206" s="15">
        <v>1</v>
      </c>
      <c r="L206" s="15">
        <v>31</v>
      </c>
      <c r="M206" s="15">
        <v>7</v>
      </c>
      <c r="N206" s="15">
        <v>634</v>
      </c>
      <c r="O206" s="16">
        <f t="shared" ref="O206:T206" si="206">ROUND(C206 + ((2016-2012)*(I206-C206))/(2024-2012),0)</f>
        <v>1142</v>
      </c>
      <c r="P206" s="17">
        <f t="shared" si="206"/>
        <v>513</v>
      </c>
      <c r="Q206" s="17">
        <f t="shared" si="206"/>
        <v>0</v>
      </c>
      <c r="R206" s="17">
        <f t="shared" si="206"/>
        <v>24</v>
      </c>
      <c r="S206" s="17">
        <f t="shared" si="206"/>
        <v>9</v>
      </c>
      <c r="T206" s="17">
        <f t="shared" si="206"/>
        <v>595</v>
      </c>
      <c r="U206" s="25">
        <v>286</v>
      </c>
      <c r="V206" s="18">
        <f t="shared" si="1"/>
        <v>227</v>
      </c>
      <c r="W206" s="18">
        <f t="shared" si="2"/>
        <v>227</v>
      </c>
      <c r="X206" s="19">
        <f t="shared" si="3"/>
        <v>1141</v>
      </c>
      <c r="Y206" s="18">
        <v>68.500000983476639</v>
      </c>
      <c r="Z206" s="20"/>
      <c r="AA206" s="15">
        <v>1611</v>
      </c>
      <c r="AB206" s="17">
        <f t="shared" si="5"/>
        <v>1689</v>
      </c>
      <c r="AC206" s="15">
        <v>1845</v>
      </c>
      <c r="AD206" s="4"/>
      <c r="AE206" s="4"/>
      <c r="AF206" s="4"/>
      <c r="AG206" s="4"/>
      <c r="AH206" s="4"/>
      <c r="AI206" s="4"/>
      <c r="AJ206" s="4"/>
      <c r="AK206" s="4"/>
      <c r="AL206" s="4"/>
    </row>
    <row r="207" spans="1:38" ht="14.4">
      <c r="A207" s="21">
        <v>50201</v>
      </c>
      <c r="B207" s="22" t="s">
        <v>222</v>
      </c>
      <c r="C207" s="15">
        <v>6620</v>
      </c>
      <c r="D207" s="15">
        <v>4691</v>
      </c>
      <c r="E207" s="15">
        <v>14</v>
      </c>
      <c r="F207" s="15">
        <v>4</v>
      </c>
      <c r="G207" s="15">
        <v>18</v>
      </c>
      <c r="H207" s="15">
        <v>1893</v>
      </c>
      <c r="I207" s="15">
        <v>8437</v>
      </c>
      <c r="J207" s="15">
        <v>6677</v>
      </c>
      <c r="K207" s="15">
        <v>19</v>
      </c>
      <c r="L207" s="15">
        <v>54</v>
      </c>
      <c r="M207" s="15">
        <v>38</v>
      </c>
      <c r="N207" s="15">
        <v>1649</v>
      </c>
      <c r="O207" s="16">
        <f t="shared" ref="O207:T207" si="207">ROUND(C207 + ((2016-2012)*(I207-C207))/(2024-2012),0)</f>
        <v>7226</v>
      </c>
      <c r="P207" s="23">
        <f t="shared" si="207"/>
        <v>5353</v>
      </c>
      <c r="Q207" s="23">
        <f t="shared" si="207"/>
        <v>16</v>
      </c>
      <c r="R207" s="23">
        <f t="shared" si="207"/>
        <v>21</v>
      </c>
      <c r="S207" s="23">
        <f t="shared" si="207"/>
        <v>25</v>
      </c>
      <c r="T207" s="23">
        <f t="shared" si="207"/>
        <v>1812</v>
      </c>
      <c r="U207" s="23">
        <v>4236</v>
      </c>
      <c r="V207" s="18">
        <f t="shared" si="1"/>
        <v>1117</v>
      </c>
      <c r="W207" s="18">
        <f t="shared" si="2"/>
        <v>1117</v>
      </c>
      <c r="X207" s="19">
        <f t="shared" si="3"/>
        <v>7227</v>
      </c>
      <c r="Y207" s="18">
        <v>219.9999988079071</v>
      </c>
      <c r="Z207" s="20"/>
      <c r="AA207" s="15">
        <v>7127</v>
      </c>
      <c r="AB207" s="23">
        <f t="shared" si="5"/>
        <v>8289</v>
      </c>
      <c r="AC207" s="15">
        <v>10613</v>
      </c>
      <c r="AD207" s="4"/>
      <c r="AE207" s="4"/>
      <c r="AF207" s="4"/>
      <c r="AG207" s="4"/>
      <c r="AH207" s="4"/>
      <c r="AI207" s="4"/>
      <c r="AJ207" s="4"/>
      <c r="AK207" s="4"/>
      <c r="AL207" s="4"/>
    </row>
    <row r="208" spans="1:38" ht="14.4">
      <c r="A208" s="13">
        <v>50202</v>
      </c>
      <c r="B208" s="14" t="s">
        <v>223</v>
      </c>
      <c r="C208" s="15">
        <v>4667</v>
      </c>
      <c r="D208" s="15">
        <v>3425</v>
      </c>
      <c r="E208" s="15">
        <v>8</v>
      </c>
      <c r="F208" s="15">
        <v>8</v>
      </c>
      <c r="G208" s="15">
        <v>8</v>
      </c>
      <c r="H208" s="15">
        <v>1218</v>
      </c>
      <c r="I208" s="15">
        <v>5658</v>
      </c>
      <c r="J208" s="15">
        <v>4788</v>
      </c>
      <c r="K208" s="15">
        <v>16</v>
      </c>
      <c r="L208" s="15">
        <v>47</v>
      </c>
      <c r="M208" s="15">
        <v>16</v>
      </c>
      <c r="N208" s="15">
        <v>791</v>
      </c>
      <c r="O208" s="16">
        <f t="shared" ref="O208:T208" si="208">ROUND(C208 + ((2016-2012)*(I208-C208))/(2024-2012),0)</f>
        <v>4997</v>
      </c>
      <c r="P208" s="17">
        <f t="shared" si="208"/>
        <v>3879</v>
      </c>
      <c r="Q208" s="17">
        <f t="shared" si="208"/>
        <v>11</v>
      </c>
      <c r="R208" s="17">
        <f t="shared" si="208"/>
        <v>21</v>
      </c>
      <c r="S208" s="17">
        <f t="shared" si="208"/>
        <v>11</v>
      </c>
      <c r="T208" s="17">
        <f t="shared" si="208"/>
        <v>1076</v>
      </c>
      <c r="U208" s="17">
        <v>1252</v>
      </c>
      <c r="V208" s="18">
        <f t="shared" si="1"/>
        <v>2627</v>
      </c>
      <c r="W208" s="18">
        <f t="shared" si="2"/>
        <v>2627</v>
      </c>
      <c r="X208" s="19">
        <f t="shared" si="3"/>
        <v>4998</v>
      </c>
      <c r="Y208" s="18">
        <v>140.00000059604645</v>
      </c>
      <c r="Z208" s="20"/>
      <c r="AA208" s="15">
        <v>5106</v>
      </c>
      <c r="AB208" s="17">
        <f t="shared" si="5"/>
        <v>5720</v>
      </c>
      <c r="AC208" s="15">
        <v>6948</v>
      </c>
      <c r="AD208" s="4"/>
      <c r="AE208" s="4"/>
      <c r="AF208" s="4"/>
      <c r="AG208" s="4"/>
      <c r="AH208" s="4"/>
      <c r="AI208" s="4"/>
      <c r="AJ208" s="4"/>
      <c r="AK208" s="4"/>
      <c r="AL208" s="4"/>
    </row>
    <row r="209" spans="1:38" ht="14.4">
      <c r="A209" s="21">
        <v>50203</v>
      </c>
      <c r="B209" s="22" t="s">
        <v>224</v>
      </c>
      <c r="C209" s="15">
        <v>12409</v>
      </c>
      <c r="D209" s="15">
        <v>10422</v>
      </c>
      <c r="E209" s="15">
        <v>67</v>
      </c>
      <c r="F209" s="15">
        <v>1</v>
      </c>
      <c r="G209" s="15">
        <v>24</v>
      </c>
      <c r="H209" s="15">
        <v>1895</v>
      </c>
      <c r="I209" s="15">
        <v>16017</v>
      </c>
      <c r="J209" s="15">
        <v>14270</v>
      </c>
      <c r="K209" s="15">
        <v>78</v>
      </c>
      <c r="L209" s="15">
        <v>58</v>
      </c>
      <c r="M209" s="15">
        <v>41</v>
      </c>
      <c r="N209" s="15">
        <v>1570</v>
      </c>
      <c r="O209" s="16">
        <f t="shared" ref="O209:T209" si="209">ROUND(C209 + ((2016-2012)*(I209-C209))/(2024-2012),0)</f>
        <v>13612</v>
      </c>
      <c r="P209" s="23">
        <f t="shared" si="209"/>
        <v>11705</v>
      </c>
      <c r="Q209" s="23">
        <f t="shared" si="209"/>
        <v>71</v>
      </c>
      <c r="R209" s="23">
        <f t="shared" si="209"/>
        <v>20</v>
      </c>
      <c r="S209" s="23">
        <f t="shared" si="209"/>
        <v>30</v>
      </c>
      <c r="T209" s="23">
        <f t="shared" si="209"/>
        <v>1787</v>
      </c>
      <c r="U209" s="23">
        <v>7946</v>
      </c>
      <c r="V209" s="18">
        <f t="shared" si="1"/>
        <v>3759</v>
      </c>
      <c r="W209" s="18">
        <f t="shared" si="2"/>
        <v>3759</v>
      </c>
      <c r="X209" s="19">
        <f t="shared" si="3"/>
        <v>13613</v>
      </c>
      <c r="Y209" s="18">
        <v>495.49999833106995</v>
      </c>
      <c r="Z209" s="20"/>
      <c r="AA209" s="15">
        <v>14135</v>
      </c>
      <c r="AB209" s="23">
        <f t="shared" si="5"/>
        <v>15996</v>
      </c>
      <c r="AC209" s="15">
        <v>19717</v>
      </c>
      <c r="AD209" s="4"/>
      <c r="AE209" s="4"/>
      <c r="AF209" s="4"/>
      <c r="AG209" s="4"/>
      <c r="AH209" s="4"/>
      <c r="AI209" s="4"/>
      <c r="AJ209" s="4"/>
      <c r="AK209" s="4"/>
      <c r="AL209" s="4"/>
    </row>
    <row r="210" spans="1:38" ht="14.4">
      <c r="A210" s="13">
        <v>50204</v>
      </c>
      <c r="B210" s="14" t="s">
        <v>225</v>
      </c>
      <c r="C210" s="15">
        <v>2269</v>
      </c>
      <c r="D210" s="15">
        <v>1525</v>
      </c>
      <c r="E210" s="15">
        <v>2</v>
      </c>
      <c r="F210" s="15">
        <v>10</v>
      </c>
      <c r="G210" s="15">
        <v>2</v>
      </c>
      <c r="H210" s="15">
        <v>730</v>
      </c>
      <c r="I210" s="15">
        <v>3032</v>
      </c>
      <c r="J210" s="15">
        <v>2446</v>
      </c>
      <c r="K210" s="15">
        <v>7</v>
      </c>
      <c r="L210" s="15">
        <v>18</v>
      </c>
      <c r="M210" s="15">
        <v>14</v>
      </c>
      <c r="N210" s="15">
        <v>547</v>
      </c>
      <c r="O210" s="16">
        <f t="shared" ref="O210:T210" si="210">ROUND(C210 + ((2016-2012)*(I210-C210))/(2024-2012),0)</f>
        <v>2523</v>
      </c>
      <c r="P210" s="17">
        <f t="shared" si="210"/>
        <v>1832</v>
      </c>
      <c r="Q210" s="17">
        <f t="shared" si="210"/>
        <v>4</v>
      </c>
      <c r="R210" s="17">
        <f t="shared" si="210"/>
        <v>13</v>
      </c>
      <c r="S210" s="17">
        <f t="shared" si="210"/>
        <v>6</v>
      </c>
      <c r="T210" s="17">
        <f t="shared" si="210"/>
        <v>669</v>
      </c>
      <c r="U210" s="25">
        <v>0</v>
      </c>
      <c r="V210" s="18">
        <f t="shared" si="1"/>
        <v>1832</v>
      </c>
      <c r="W210" s="18">
        <f t="shared" si="2"/>
        <v>1832</v>
      </c>
      <c r="X210" s="19">
        <f t="shared" si="3"/>
        <v>2524</v>
      </c>
      <c r="Y210" s="18">
        <v>0</v>
      </c>
      <c r="Z210" s="20"/>
      <c r="AA210" s="15">
        <v>2456</v>
      </c>
      <c r="AB210" s="17">
        <f t="shared" si="5"/>
        <v>2877</v>
      </c>
      <c r="AC210" s="15">
        <v>3718</v>
      </c>
      <c r="AD210" s="4"/>
      <c r="AE210" s="4"/>
      <c r="AF210" s="4"/>
      <c r="AG210" s="4"/>
      <c r="AH210" s="4"/>
      <c r="AI210" s="4"/>
      <c r="AJ210" s="4"/>
      <c r="AK210" s="4"/>
      <c r="AL210" s="4"/>
    </row>
    <row r="211" spans="1:38" ht="14.4">
      <c r="A211" s="21">
        <v>50301</v>
      </c>
      <c r="B211" s="22" t="s">
        <v>226</v>
      </c>
      <c r="C211" s="15">
        <v>9721</v>
      </c>
      <c r="D211" s="15">
        <v>6149</v>
      </c>
      <c r="E211" s="15">
        <v>33</v>
      </c>
      <c r="F211" s="15">
        <v>130</v>
      </c>
      <c r="G211" s="15">
        <v>431</v>
      </c>
      <c r="H211" s="15">
        <v>2978</v>
      </c>
      <c r="I211" s="15">
        <v>10921</v>
      </c>
      <c r="J211" s="15">
        <v>8439</v>
      </c>
      <c r="K211" s="15">
        <v>21</v>
      </c>
      <c r="L211" s="15">
        <v>92</v>
      </c>
      <c r="M211" s="15">
        <v>61</v>
      </c>
      <c r="N211" s="15">
        <v>2308</v>
      </c>
      <c r="O211" s="16">
        <f t="shared" ref="O211:T211" si="211">ROUND(C211 + ((2016-2012)*(I211-C211))/(2024-2012),0)</f>
        <v>10121</v>
      </c>
      <c r="P211" s="23">
        <f t="shared" si="211"/>
        <v>6912</v>
      </c>
      <c r="Q211" s="23">
        <f t="shared" si="211"/>
        <v>29</v>
      </c>
      <c r="R211" s="23">
        <f t="shared" si="211"/>
        <v>117</v>
      </c>
      <c r="S211" s="23">
        <f t="shared" si="211"/>
        <v>308</v>
      </c>
      <c r="T211" s="23">
        <f t="shared" si="211"/>
        <v>2755</v>
      </c>
      <c r="U211" s="23">
        <v>6280</v>
      </c>
      <c r="V211" s="18">
        <f t="shared" si="1"/>
        <v>632</v>
      </c>
      <c r="W211" s="18">
        <f t="shared" si="2"/>
        <v>632</v>
      </c>
      <c r="X211" s="19">
        <f t="shared" si="3"/>
        <v>10121</v>
      </c>
      <c r="Y211" s="18">
        <v>188.99999558925629</v>
      </c>
      <c r="Z211" s="20"/>
      <c r="AA211" s="15">
        <v>11467</v>
      </c>
      <c r="AB211" s="23">
        <f t="shared" si="5"/>
        <v>12164</v>
      </c>
      <c r="AC211" s="15">
        <v>13559</v>
      </c>
      <c r="AD211" s="4"/>
      <c r="AE211" s="4"/>
      <c r="AF211" s="4"/>
      <c r="AG211" s="4"/>
      <c r="AH211" s="4"/>
      <c r="AI211" s="4"/>
      <c r="AJ211" s="4"/>
      <c r="AK211" s="4"/>
      <c r="AL211" s="4"/>
    </row>
    <row r="212" spans="1:38" ht="14.4">
      <c r="A212" s="13">
        <v>50302</v>
      </c>
      <c r="B212" s="14" t="s">
        <v>227</v>
      </c>
      <c r="C212" s="15">
        <v>3222</v>
      </c>
      <c r="D212" s="15">
        <v>2048</v>
      </c>
      <c r="E212" s="15">
        <v>2</v>
      </c>
      <c r="F212" s="15">
        <v>52</v>
      </c>
      <c r="G212" s="15">
        <v>76</v>
      </c>
      <c r="H212" s="15">
        <v>1044</v>
      </c>
      <c r="I212" s="15">
        <v>3482</v>
      </c>
      <c r="J212" s="15">
        <v>2705</v>
      </c>
      <c r="K212" s="15">
        <v>9</v>
      </c>
      <c r="L212" s="15">
        <v>20</v>
      </c>
      <c r="M212" s="15">
        <v>16</v>
      </c>
      <c r="N212" s="15">
        <v>732</v>
      </c>
      <c r="O212" s="16">
        <f t="shared" ref="O212:T212" si="212">ROUND(C212 + ((2016-2012)*(I212-C212))/(2024-2012),0)</f>
        <v>3309</v>
      </c>
      <c r="P212" s="17">
        <f t="shared" si="212"/>
        <v>2267</v>
      </c>
      <c r="Q212" s="17">
        <f t="shared" si="212"/>
        <v>4</v>
      </c>
      <c r="R212" s="17">
        <f t="shared" si="212"/>
        <v>41</v>
      </c>
      <c r="S212" s="17">
        <f t="shared" si="212"/>
        <v>56</v>
      </c>
      <c r="T212" s="17">
        <f t="shared" si="212"/>
        <v>940</v>
      </c>
      <c r="U212" s="17">
        <v>2300</v>
      </c>
      <c r="V212" s="18">
        <f t="shared" si="1"/>
        <v>-33</v>
      </c>
      <c r="W212" s="18">
        <f t="shared" si="2"/>
        <v>0</v>
      </c>
      <c r="X212" s="19">
        <f t="shared" si="3"/>
        <v>3341</v>
      </c>
      <c r="Y212" s="18">
        <v>200.00000298023224</v>
      </c>
      <c r="Z212" s="20"/>
      <c r="AA212" s="15">
        <v>3631</v>
      </c>
      <c r="AB212" s="17">
        <f t="shared" si="5"/>
        <v>3963</v>
      </c>
      <c r="AC212" s="15">
        <v>4628</v>
      </c>
      <c r="AD212" s="4"/>
      <c r="AE212" s="4"/>
      <c r="AF212" s="4"/>
      <c r="AG212" s="4"/>
      <c r="AH212" s="4"/>
      <c r="AI212" s="4"/>
      <c r="AJ212" s="4"/>
      <c r="AK212" s="4"/>
      <c r="AL212" s="4"/>
    </row>
    <row r="213" spans="1:38" ht="14.4">
      <c r="A213" s="21">
        <v>50303</v>
      </c>
      <c r="B213" s="22" t="s">
        <v>228</v>
      </c>
      <c r="C213" s="15">
        <v>3897</v>
      </c>
      <c r="D213" s="15">
        <v>905</v>
      </c>
      <c r="E213" s="15">
        <v>13</v>
      </c>
      <c r="F213" s="15">
        <v>174</v>
      </c>
      <c r="G213" s="15">
        <v>79</v>
      </c>
      <c r="H213" s="15">
        <v>2726</v>
      </c>
      <c r="I213" s="15">
        <v>5181</v>
      </c>
      <c r="J213" s="15">
        <v>2376</v>
      </c>
      <c r="K213" s="15">
        <v>14</v>
      </c>
      <c r="L213" s="15">
        <v>603</v>
      </c>
      <c r="M213" s="15">
        <v>52</v>
      </c>
      <c r="N213" s="15">
        <v>2136</v>
      </c>
      <c r="O213" s="16">
        <f t="shared" ref="O213:T213" si="213">ROUND(C213 + ((2016-2012)*(I213-C213))/(2024-2012),0)</f>
        <v>4325</v>
      </c>
      <c r="P213" s="23">
        <f t="shared" si="213"/>
        <v>1395</v>
      </c>
      <c r="Q213" s="23">
        <f t="shared" si="213"/>
        <v>13</v>
      </c>
      <c r="R213" s="23">
        <f t="shared" si="213"/>
        <v>317</v>
      </c>
      <c r="S213" s="23">
        <f t="shared" si="213"/>
        <v>70</v>
      </c>
      <c r="T213" s="23">
        <f t="shared" si="213"/>
        <v>2529</v>
      </c>
      <c r="U213" s="23">
        <v>743</v>
      </c>
      <c r="V213" s="18">
        <f t="shared" si="1"/>
        <v>652</v>
      </c>
      <c r="W213" s="18">
        <f t="shared" si="2"/>
        <v>652</v>
      </c>
      <c r="X213" s="19">
        <f t="shared" si="3"/>
        <v>4324</v>
      </c>
      <c r="Y213" s="18">
        <v>200.00000298023224</v>
      </c>
      <c r="Z213" s="20"/>
      <c r="AA213" s="15">
        <v>4379</v>
      </c>
      <c r="AB213" s="23">
        <f t="shared" si="5"/>
        <v>4968</v>
      </c>
      <c r="AC213" s="15">
        <v>6147</v>
      </c>
      <c r="AD213" s="4"/>
      <c r="AE213" s="4"/>
      <c r="AF213" s="4"/>
      <c r="AG213" s="4"/>
      <c r="AH213" s="4"/>
      <c r="AI213" s="4"/>
      <c r="AJ213" s="4"/>
      <c r="AK213" s="4"/>
      <c r="AL213" s="4"/>
    </row>
    <row r="214" spans="1:38" ht="14.4">
      <c r="A214" s="13">
        <v>50401</v>
      </c>
      <c r="B214" s="14" t="s">
        <v>229</v>
      </c>
      <c r="C214" s="15">
        <v>4286</v>
      </c>
      <c r="D214" s="15">
        <v>2012</v>
      </c>
      <c r="E214" s="15">
        <v>22</v>
      </c>
      <c r="F214" s="15">
        <v>108</v>
      </c>
      <c r="G214" s="15">
        <v>8</v>
      </c>
      <c r="H214" s="15">
        <v>2136</v>
      </c>
      <c r="I214" s="15">
        <v>6497</v>
      </c>
      <c r="J214" s="15">
        <v>4321</v>
      </c>
      <c r="K214" s="15">
        <v>17</v>
      </c>
      <c r="L214" s="15">
        <v>85</v>
      </c>
      <c r="M214" s="15">
        <v>16</v>
      </c>
      <c r="N214" s="15">
        <v>2058</v>
      </c>
      <c r="O214" s="16">
        <f t="shared" ref="O214:T214" si="214">ROUND(C214 + ((2016-2012)*(I214-C214))/(2024-2012),0)</f>
        <v>5023</v>
      </c>
      <c r="P214" s="17">
        <f t="shared" si="214"/>
        <v>2782</v>
      </c>
      <c r="Q214" s="17">
        <f t="shared" si="214"/>
        <v>20</v>
      </c>
      <c r="R214" s="17">
        <f t="shared" si="214"/>
        <v>100</v>
      </c>
      <c r="S214" s="17">
        <f t="shared" si="214"/>
        <v>11</v>
      </c>
      <c r="T214" s="17">
        <f t="shared" si="214"/>
        <v>2110</v>
      </c>
      <c r="U214" s="17">
        <v>5079</v>
      </c>
      <c r="V214" s="18">
        <f t="shared" si="1"/>
        <v>-2297</v>
      </c>
      <c r="W214" s="18">
        <f t="shared" si="2"/>
        <v>0</v>
      </c>
      <c r="X214" s="19">
        <f t="shared" si="3"/>
        <v>7320</v>
      </c>
      <c r="Y214" s="18">
        <v>126.00000202655792</v>
      </c>
      <c r="Z214" s="20"/>
      <c r="AA214" s="15">
        <v>4465</v>
      </c>
      <c r="AB214" s="17">
        <f t="shared" si="5"/>
        <v>5435</v>
      </c>
      <c r="AC214" s="15">
        <v>7375</v>
      </c>
      <c r="AD214" s="4"/>
      <c r="AE214" s="4"/>
      <c r="AF214" s="4"/>
      <c r="AG214" s="4"/>
      <c r="AH214" s="4"/>
      <c r="AI214" s="4"/>
      <c r="AJ214" s="4"/>
      <c r="AK214" s="4"/>
      <c r="AL214" s="4"/>
    </row>
    <row r="215" spans="1:38" ht="14.4">
      <c r="A215" s="21">
        <v>50402</v>
      </c>
      <c r="B215" s="22" t="s">
        <v>230</v>
      </c>
      <c r="C215" s="15">
        <v>6685</v>
      </c>
      <c r="D215" s="15">
        <v>1918</v>
      </c>
      <c r="E215" s="15">
        <v>57</v>
      </c>
      <c r="F215" s="15">
        <v>127</v>
      </c>
      <c r="G215" s="15">
        <v>36</v>
      </c>
      <c r="H215" s="15">
        <v>4547</v>
      </c>
      <c r="I215" s="15">
        <v>6880</v>
      </c>
      <c r="J215" s="15">
        <v>3663</v>
      </c>
      <c r="K215" s="15">
        <v>8</v>
      </c>
      <c r="L215" s="15">
        <v>532</v>
      </c>
      <c r="M215" s="15">
        <v>42</v>
      </c>
      <c r="N215" s="15">
        <v>2635</v>
      </c>
      <c r="O215" s="16">
        <f t="shared" ref="O215:T215" si="215">ROUND(C215 + ((2016-2012)*(I215-C215))/(2024-2012),0)</f>
        <v>6750</v>
      </c>
      <c r="P215" s="23">
        <f t="shared" si="215"/>
        <v>2500</v>
      </c>
      <c r="Q215" s="23">
        <f t="shared" si="215"/>
        <v>41</v>
      </c>
      <c r="R215" s="23">
        <f t="shared" si="215"/>
        <v>262</v>
      </c>
      <c r="S215" s="23">
        <f t="shared" si="215"/>
        <v>38</v>
      </c>
      <c r="T215" s="23">
        <f t="shared" si="215"/>
        <v>3910</v>
      </c>
      <c r="U215" s="23">
        <v>3006</v>
      </c>
      <c r="V215" s="18">
        <f t="shared" si="1"/>
        <v>-506</v>
      </c>
      <c r="W215" s="18">
        <f t="shared" si="2"/>
        <v>0</v>
      </c>
      <c r="X215" s="19">
        <f t="shared" si="3"/>
        <v>7257</v>
      </c>
      <c r="Y215" s="18">
        <v>75.000002980232239</v>
      </c>
      <c r="Z215" s="20"/>
      <c r="AA215" s="15">
        <v>8124</v>
      </c>
      <c r="AB215" s="23">
        <f t="shared" si="5"/>
        <v>8725</v>
      </c>
      <c r="AC215" s="15">
        <v>9928</v>
      </c>
      <c r="AD215" s="4"/>
      <c r="AE215" s="4"/>
      <c r="AF215" s="4"/>
      <c r="AG215" s="4"/>
      <c r="AH215" s="4"/>
      <c r="AI215" s="4"/>
      <c r="AJ215" s="4"/>
      <c r="AK215" s="4"/>
      <c r="AL215" s="4"/>
    </row>
    <row r="216" spans="1:38" ht="14.4">
      <c r="A216" s="13">
        <v>50403</v>
      </c>
      <c r="B216" s="14" t="s">
        <v>231</v>
      </c>
      <c r="C216" s="15">
        <v>8436</v>
      </c>
      <c r="D216" s="15">
        <v>3907</v>
      </c>
      <c r="E216" s="15">
        <v>21</v>
      </c>
      <c r="F216" s="15">
        <v>23</v>
      </c>
      <c r="G216" s="15">
        <v>54</v>
      </c>
      <c r="H216" s="15">
        <v>4431</v>
      </c>
      <c r="I216" s="15">
        <v>12538</v>
      </c>
      <c r="J216" s="15">
        <v>8358</v>
      </c>
      <c r="K216" s="15">
        <v>26</v>
      </c>
      <c r="L216" s="15">
        <v>126</v>
      </c>
      <c r="M216" s="15">
        <v>107</v>
      </c>
      <c r="N216" s="15">
        <v>3921</v>
      </c>
      <c r="O216" s="16">
        <f t="shared" ref="O216:T216" si="216">ROUND(C216 + ((2016-2012)*(I216-C216))/(2024-2012),0)</f>
        <v>9803</v>
      </c>
      <c r="P216" s="17">
        <f t="shared" si="216"/>
        <v>5391</v>
      </c>
      <c r="Q216" s="17">
        <f t="shared" si="216"/>
        <v>23</v>
      </c>
      <c r="R216" s="17">
        <f t="shared" si="216"/>
        <v>57</v>
      </c>
      <c r="S216" s="17">
        <f t="shared" si="216"/>
        <v>72</v>
      </c>
      <c r="T216" s="17">
        <f t="shared" si="216"/>
        <v>4261</v>
      </c>
      <c r="U216" s="17">
        <v>4351</v>
      </c>
      <c r="V216" s="18">
        <f t="shared" si="1"/>
        <v>1040</v>
      </c>
      <c r="W216" s="18">
        <f t="shared" si="2"/>
        <v>1040</v>
      </c>
      <c r="X216" s="19">
        <f t="shared" si="3"/>
        <v>9804</v>
      </c>
      <c r="Y216" s="18">
        <v>111.00000143051147</v>
      </c>
      <c r="Z216" s="20"/>
      <c r="AA216" s="15">
        <v>9374</v>
      </c>
      <c r="AB216" s="17">
        <f t="shared" si="5"/>
        <v>11137</v>
      </c>
      <c r="AC216" s="15">
        <v>14662</v>
      </c>
      <c r="AD216" s="4"/>
      <c r="AE216" s="4"/>
      <c r="AF216" s="4"/>
      <c r="AG216" s="4"/>
      <c r="AH216" s="4"/>
      <c r="AI216" s="4"/>
      <c r="AJ216" s="4"/>
      <c r="AK216" s="4"/>
      <c r="AL216" s="4"/>
    </row>
    <row r="217" spans="1:38" ht="14.4">
      <c r="A217" s="21">
        <v>50404</v>
      </c>
      <c r="B217" s="22" t="s">
        <v>232</v>
      </c>
      <c r="C217" s="15">
        <v>5093</v>
      </c>
      <c r="D217" s="15">
        <v>1897</v>
      </c>
      <c r="E217" s="15">
        <v>58</v>
      </c>
      <c r="F217" s="15">
        <v>34</v>
      </c>
      <c r="G217" s="15">
        <v>51</v>
      </c>
      <c r="H217" s="15">
        <v>3053</v>
      </c>
      <c r="I217" s="15">
        <v>6181</v>
      </c>
      <c r="J217" s="15">
        <v>3529</v>
      </c>
      <c r="K217" s="15">
        <v>10</v>
      </c>
      <c r="L217" s="15">
        <v>147</v>
      </c>
      <c r="M217" s="15">
        <v>41</v>
      </c>
      <c r="N217" s="15">
        <v>2454</v>
      </c>
      <c r="O217" s="16">
        <f t="shared" ref="O217:T217" si="217">ROUND(C217 + ((2016-2012)*(I217-C217))/(2024-2012),0)</f>
        <v>5456</v>
      </c>
      <c r="P217" s="23">
        <f t="shared" si="217"/>
        <v>2441</v>
      </c>
      <c r="Q217" s="23">
        <f t="shared" si="217"/>
        <v>42</v>
      </c>
      <c r="R217" s="23">
        <f t="shared" si="217"/>
        <v>72</v>
      </c>
      <c r="S217" s="23">
        <f t="shared" si="217"/>
        <v>48</v>
      </c>
      <c r="T217" s="23">
        <f t="shared" si="217"/>
        <v>2853</v>
      </c>
      <c r="U217" s="23">
        <v>1614</v>
      </c>
      <c r="V217" s="18">
        <f t="shared" si="1"/>
        <v>827</v>
      </c>
      <c r="W217" s="18">
        <f t="shared" si="2"/>
        <v>827</v>
      </c>
      <c r="X217" s="19">
        <f t="shared" si="3"/>
        <v>5456</v>
      </c>
      <c r="Y217" s="18">
        <v>97.000002861022949</v>
      </c>
      <c r="Z217" s="20"/>
      <c r="AA217" s="15">
        <v>5801</v>
      </c>
      <c r="AB217" s="23">
        <f t="shared" si="5"/>
        <v>6266</v>
      </c>
      <c r="AC217" s="15">
        <v>7197</v>
      </c>
      <c r="AD217" s="4"/>
      <c r="AE217" s="4"/>
      <c r="AF217" s="4"/>
      <c r="AG217" s="4"/>
      <c r="AH217" s="4"/>
      <c r="AI217" s="4"/>
      <c r="AJ217" s="4"/>
      <c r="AK217" s="4"/>
      <c r="AL217" s="4"/>
    </row>
    <row r="218" spans="1:38" ht="14.4">
      <c r="A218" s="13">
        <v>50405</v>
      </c>
      <c r="B218" s="14" t="s">
        <v>233</v>
      </c>
      <c r="C218" s="15">
        <v>6364</v>
      </c>
      <c r="D218" s="15">
        <v>3707</v>
      </c>
      <c r="E218" s="15">
        <v>13</v>
      </c>
      <c r="F218" s="15">
        <v>91</v>
      </c>
      <c r="G218" s="15">
        <v>39</v>
      </c>
      <c r="H218" s="15">
        <v>2514</v>
      </c>
      <c r="I218" s="15">
        <v>8438</v>
      </c>
      <c r="J218" s="15">
        <v>5664</v>
      </c>
      <c r="K218" s="15">
        <v>12</v>
      </c>
      <c r="L218" s="15">
        <v>99</v>
      </c>
      <c r="M218" s="15">
        <v>51</v>
      </c>
      <c r="N218" s="15">
        <v>2612</v>
      </c>
      <c r="O218" s="16">
        <f t="shared" ref="O218:T218" si="218">ROUND(C218 + ((2016-2012)*(I218-C218))/(2024-2012),0)</f>
        <v>7055</v>
      </c>
      <c r="P218" s="17">
        <f t="shared" si="218"/>
        <v>4359</v>
      </c>
      <c r="Q218" s="17">
        <f t="shared" si="218"/>
        <v>13</v>
      </c>
      <c r="R218" s="17">
        <f t="shared" si="218"/>
        <v>94</v>
      </c>
      <c r="S218" s="17">
        <f t="shared" si="218"/>
        <v>43</v>
      </c>
      <c r="T218" s="17">
        <f t="shared" si="218"/>
        <v>2547</v>
      </c>
      <c r="U218" s="17">
        <v>0</v>
      </c>
      <c r="V218" s="18">
        <f t="shared" si="1"/>
        <v>4359</v>
      </c>
      <c r="W218" s="18">
        <f t="shared" si="2"/>
        <v>4359</v>
      </c>
      <c r="X218" s="19">
        <f t="shared" si="3"/>
        <v>7056</v>
      </c>
      <c r="Y218" s="18">
        <v>0</v>
      </c>
      <c r="Z218" s="20"/>
      <c r="AA218" s="15">
        <v>7313</v>
      </c>
      <c r="AB218" s="17">
        <f t="shared" si="5"/>
        <v>8469</v>
      </c>
      <c r="AC218" s="15">
        <v>10782</v>
      </c>
      <c r="AD218" s="4"/>
      <c r="AE218" s="4"/>
      <c r="AF218" s="4"/>
      <c r="AG218" s="4"/>
      <c r="AH218" s="4"/>
      <c r="AI218" s="4"/>
      <c r="AJ218" s="4"/>
      <c r="AK218" s="4"/>
      <c r="AL218" s="4"/>
    </row>
    <row r="219" spans="1:38" ht="14.4">
      <c r="A219" s="21">
        <v>50501</v>
      </c>
      <c r="B219" s="22" t="s">
        <v>234</v>
      </c>
      <c r="C219" s="15">
        <v>8277</v>
      </c>
      <c r="D219" s="15">
        <v>1513</v>
      </c>
      <c r="E219" s="15">
        <v>39</v>
      </c>
      <c r="F219" s="15">
        <v>235</v>
      </c>
      <c r="G219" s="15">
        <v>63</v>
      </c>
      <c r="H219" s="15">
        <v>6427</v>
      </c>
      <c r="I219" s="15">
        <v>11303</v>
      </c>
      <c r="J219" s="15">
        <v>4565</v>
      </c>
      <c r="K219" s="15">
        <v>22</v>
      </c>
      <c r="L219" s="15">
        <v>341</v>
      </c>
      <c r="M219" s="15">
        <v>63</v>
      </c>
      <c r="N219" s="15">
        <v>6312</v>
      </c>
      <c r="O219" s="16">
        <f t="shared" ref="O219:T219" si="219">ROUND(C219 + ((2016-2012)*(I219-C219))/(2024-2012),0)</f>
        <v>9286</v>
      </c>
      <c r="P219" s="23">
        <f t="shared" si="219"/>
        <v>2530</v>
      </c>
      <c r="Q219" s="23">
        <f t="shared" si="219"/>
        <v>33</v>
      </c>
      <c r="R219" s="23">
        <f t="shared" si="219"/>
        <v>270</v>
      </c>
      <c r="S219" s="23">
        <f t="shared" si="219"/>
        <v>63</v>
      </c>
      <c r="T219" s="23">
        <f t="shared" si="219"/>
        <v>6389</v>
      </c>
      <c r="U219" s="23">
        <v>1602</v>
      </c>
      <c r="V219" s="18">
        <f t="shared" si="1"/>
        <v>928</v>
      </c>
      <c r="W219" s="18">
        <f t="shared" si="2"/>
        <v>928</v>
      </c>
      <c r="X219" s="19">
        <f t="shared" si="3"/>
        <v>9285</v>
      </c>
      <c r="Y219" s="18">
        <v>121.50000035762787</v>
      </c>
      <c r="Z219" s="20"/>
      <c r="AA219" s="15">
        <v>9323</v>
      </c>
      <c r="AB219" s="23">
        <f t="shared" si="5"/>
        <v>11221</v>
      </c>
      <c r="AC219" s="15">
        <v>15016</v>
      </c>
      <c r="AD219" s="4"/>
      <c r="AE219" s="4"/>
      <c r="AF219" s="4"/>
      <c r="AG219" s="4"/>
      <c r="AH219" s="4"/>
      <c r="AI219" s="4"/>
      <c r="AJ219" s="4"/>
      <c r="AK219" s="4"/>
      <c r="AL219" s="4"/>
    </row>
    <row r="220" spans="1:38" ht="14.4">
      <c r="A220" s="13">
        <v>50502</v>
      </c>
      <c r="B220" s="14" t="s">
        <v>235</v>
      </c>
      <c r="C220" s="15">
        <v>3511</v>
      </c>
      <c r="D220" s="15">
        <v>1019</v>
      </c>
      <c r="E220" s="15">
        <v>16</v>
      </c>
      <c r="F220" s="15">
        <v>182</v>
      </c>
      <c r="G220" s="15">
        <v>34</v>
      </c>
      <c r="H220" s="15">
        <v>2260</v>
      </c>
      <c r="I220" s="15">
        <v>4192</v>
      </c>
      <c r="J220" s="15">
        <v>1960</v>
      </c>
      <c r="K220" s="15">
        <v>5</v>
      </c>
      <c r="L220" s="15">
        <v>207</v>
      </c>
      <c r="M220" s="15">
        <v>12</v>
      </c>
      <c r="N220" s="15">
        <v>2008</v>
      </c>
      <c r="O220" s="16">
        <f t="shared" ref="O220:T220" si="220">ROUND(C220 + ((2016-2012)*(I220-C220))/(2024-2012),0)</f>
        <v>3738</v>
      </c>
      <c r="P220" s="17">
        <f t="shared" si="220"/>
        <v>1333</v>
      </c>
      <c r="Q220" s="17">
        <f t="shared" si="220"/>
        <v>12</v>
      </c>
      <c r="R220" s="17">
        <f t="shared" si="220"/>
        <v>190</v>
      </c>
      <c r="S220" s="17">
        <f t="shared" si="220"/>
        <v>27</v>
      </c>
      <c r="T220" s="17">
        <f t="shared" si="220"/>
        <v>2176</v>
      </c>
      <c r="U220" s="17">
        <v>1401</v>
      </c>
      <c r="V220" s="18">
        <f t="shared" si="1"/>
        <v>-68</v>
      </c>
      <c r="W220" s="18">
        <f t="shared" si="2"/>
        <v>0</v>
      </c>
      <c r="X220" s="19">
        <f t="shared" si="3"/>
        <v>3806</v>
      </c>
      <c r="Y220" s="18">
        <v>125</v>
      </c>
      <c r="Z220" s="20"/>
      <c r="AA220" s="15">
        <v>4188</v>
      </c>
      <c r="AB220" s="17">
        <f t="shared" si="5"/>
        <v>4677</v>
      </c>
      <c r="AC220" s="15">
        <v>5655</v>
      </c>
      <c r="AD220" s="4"/>
      <c r="AE220" s="4"/>
      <c r="AF220" s="4"/>
      <c r="AG220" s="4"/>
      <c r="AH220" s="4"/>
      <c r="AI220" s="4"/>
      <c r="AJ220" s="4"/>
      <c r="AK220" s="4"/>
      <c r="AL220" s="4"/>
    </row>
    <row r="221" spans="1:38" ht="14.4">
      <c r="A221" s="21">
        <v>50601</v>
      </c>
      <c r="B221" s="22" t="s">
        <v>236</v>
      </c>
      <c r="C221" s="15">
        <v>9471</v>
      </c>
      <c r="D221" s="15">
        <v>5965</v>
      </c>
      <c r="E221" s="15">
        <v>132</v>
      </c>
      <c r="F221" s="15">
        <v>296</v>
      </c>
      <c r="G221" s="15">
        <v>9</v>
      </c>
      <c r="H221" s="15">
        <v>3069</v>
      </c>
      <c r="I221" s="15">
        <v>11224</v>
      </c>
      <c r="J221" s="15">
        <v>8436</v>
      </c>
      <c r="K221" s="15">
        <v>27</v>
      </c>
      <c r="L221" s="15">
        <v>87</v>
      </c>
      <c r="M221" s="15">
        <v>17</v>
      </c>
      <c r="N221" s="15">
        <v>2657</v>
      </c>
      <c r="O221" s="16">
        <f t="shared" ref="O221:T221" si="221">ROUND(C221 + ((2016-2012)*(I221-C221))/(2024-2012),0)</f>
        <v>10055</v>
      </c>
      <c r="P221" s="23">
        <f t="shared" si="221"/>
        <v>6789</v>
      </c>
      <c r="Q221" s="23">
        <f t="shared" si="221"/>
        <v>97</v>
      </c>
      <c r="R221" s="23">
        <f t="shared" si="221"/>
        <v>226</v>
      </c>
      <c r="S221" s="23">
        <f t="shared" si="221"/>
        <v>12</v>
      </c>
      <c r="T221" s="23">
        <f t="shared" si="221"/>
        <v>2932</v>
      </c>
      <c r="U221" s="23">
        <v>5524</v>
      </c>
      <c r="V221" s="18">
        <f t="shared" si="1"/>
        <v>1265</v>
      </c>
      <c r="W221" s="18">
        <f t="shared" si="2"/>
        <v>1265</v>
      </c>
      <c r="X221" s="19">
        <f t="shared" si="3"/>
        <v>10056</v>
      </c>
      <c r="Y221" s="18">
        <v>167.9999977350235</v>
      </c>
      <c r="Z221" s="20"/>
      <c r="AA221" s="15">
        <v>10362</v>
      </c>
      <c r="AB221" s="23">
        <f t="shared" si="5"/>
        <v>11309</v>
      </c>
      <c r="AC221" s="15">
        <v>13204</v>
      </c>
      <c r="AD221" s="4"/>
      <c r="AE221" s="4"/>
      <c r="AF221" s="4"/>
      <c r="AG221" s="4"/>
      <c r="AH221" s="4"/>
      <c r="AI221" s="4"/>
      <c r="AJ221" s="4"/>
      <c r="AK221" s="4"/>
      <c r="AL221" s="4"/>
    </row>
    <row r="222" spans="1:38" ht="14.4">
      <c r="A222" s="13">
        <v>50602</v>
      </c>
      <c r="B222" s="14" t="s">
        <v>237</v>
      </c>
      <c r="C222" s="15">
        <v>3124</v>
      </c>
      <c r="D222" s="15">
        <v>2265</v>
      </c>
      <c r="E222" s="15">
        <v>45</v>
      </c>
      <c r="F222" s="15">
        <v>13</v>
      </c>
      <c r="G222" s="15">
        <v>9</v>
      </c>
      <c r="H222" s="15">
        <v>792</v>
      </c>
      <c r="I222" s="15">
        <v>3880</v>
      </c>
      <c r="J222" s="15">
        <v>2976</v>
      </c>
      <c r="K222" s="15">
        <v>2</v>
      </c>
      <c r="L222" s="15">
        <v>22</v>
      </c>
      <c r="M222" s="15">
        <v>9</v>
      </c>
      <c r="N222" s="15">
        <v>871</v>
      </c>
      <c r="O222" s="16">
        <f t="shared" ref="O222:T222" si="222">ROUND(C222 + ((2016-2012)*(I222-C222))/(2024-2012),0)</f>
        <v>3376</v>
      </c>
      <c r="P222" s="17">
        <f t="shared" si="222"/>
        <v>2502</v>
      </c>
      <c r="Q222" s="17">
        <f t="shared" si="222"/>
        <v>31</v>
      </c>
      <c r="R222" s="17">
        <f t="shared" si="222"/>
        <v>16</v>
      </c>
      <c r="S222" s="17">
        <f t="shared" si="222"/>
        <v>9</v>
      </c>
      <c r="T222" s="17">
        <f t="shared" si="222"/>
        <v>818</v>
      </c>
      <c r="U222" s="17">
        <v>2296</v>
      </c>
      <c r="V222" s="18">
        <f t="shared" si="1"/>
        <v>206</v>
      </c>
      <c r="W222" s="18">
        <f t="shared" si="2"/>
        <v>206</v>
      </c>
      <c r="X222" s="19">
        <f t="shared" si="3"/>
        <v>3376</v>
      </c>
      <c r="Y222" s="18">
        <v>164.50000554323196</v>
      </c>
      <c r="Z222" s="20"/>
      <c r="AA222" s="15">
        <v>4106</v>
      </c>
      <c r="AB222" s="17">
        <f t="shared" si="5"/>
        <v>4783</v>
      </c>
      <c r="AC222" s="15">
        <v>6137</v>
      </c>
      <c r="AD222" s="4"/>
      <c r="AE222" s="4"/>
      <c r="AF222" s="4"/>
      <c r="AG222" s="4"/>
      <c r="AH222" s="4"/>
      <c r="AI222" s="4"/>
      <c r="AJ222" s="4"/>
      <c r="AK222" s="4"/>
      <c r="AL222" s="4"/>
    </row>
    <row r="223" spans="1:38" ht="14.4">
      <c r="A223" s="21">
        <v>50701</v>
      </c>
      <c r="B223" s="22" t="s">
        <v>238</v>
      </c>
      <c r="C223" s="15">
        <v>5618</v>
      </c>
      <c r="D223" s="15">
        <v>3155</v>
      </c>
      <c r="E223" s="15">
        <v>24</v>
      </c>
      <c r="F223" s="15">
        <v>11</v>
      </c>
      <c r="G223" s="15">
        <v>51</v>
      </c>
      <c r="H223" s="15">
        <v>2377</v>
      </c>
      <c r="I223" s="15">
        <v>6779</v>
      </c>
      <c r="J223" s="15">
        <v>4933</v>
      </c>
      <c r="K223" s="15">
        <v>24</v>
      </c>
      <c r="L223" s="15">
        <v>96</v>
      </c>
      <c r="M223" s="15">
        <v>33</v>
      </c>
      <c r="N223" s="15">
        <v>1693</v>
      </c>
      <c r="O223" s="16">
        <f t="shared" ref="O223:T223" si="223">ROUND(C223 + ((2016-2012)*(I223-C223))/(2024-2012),0)</f>
        <v>6005</v>
      </c>
      <c r="P223" s="23">
        <f t="shared" si="223"/>
        <v>3748</v>
      </c>
      <c r="Q223" s="23">
        <f t="shared" si="223"/>
        <v>24</v>
      </c>
      <c r="R223" s="23">
        <f t="shared" si="223"/>
        <v>39</v>
      </c>
      <c r="S223" s="23">
        <f t="shared" si="223"/>
        <v>45</v>
      </c>
      <c r="T223" s="23">
        <f t="shared" si="223"/>
        <v>2149</v>
      </c>
      <c r="U223" s="23">
        <v>2858</v>
      </c>
      <c r="V223" s="18">
        <f t="shared" si="1"/>
        <v>890</v>
      </c>
      <c r="W223" s="18">
        <f t="shared" si="2"/>
        <v>890</v>
      </c>
      <c r="X223" s="19">
        <f t="shared" si="3"/>
        <v>6005</v>
      </c>
      <c r="Y223" s="18">
        <v>145.99999785423279</v>
      </c>
      <c r="Z223" s="20"/>
      <c r="AA223" s="15">
        <v>6252</v>
      </c>
      <c r="AB223" s="23">
        <f t="shared" si="5"/>
        <v>7235</v>
      </c>
      <c r="AC223" s="15">
        <v>9202</v>
      </c>
      <c r="AD223" s="4"/>
      <c r="AE223" s="4"/>
      <c r="AF223" s="4"/>
      <c r="AG223" s="4"/>
      <c r="AH223" s="4"/>
      <c r="AI223" s="4"/>
      <c r="AJ223" s="4"/>
      <c r="AK223" s="4"/>
      <c r="AL223" s="4"/>
    </row>
    <row r="224" spans="1:38" ht="14.4">
      <c r="A224" s="13">
        <v>50702</v>
      </c>
      <c r="B224" s="14" t="s">
        <v>239</v>
      </c>
      <c r="C224" s="15">
        <v>2741</v>
      </c>
      <c r="D224" s="15">
        <v>1246</v>
      </c>
      <c r="E224" s="15">
        <v>5</v>
      </c>
      <c r="F224" s="15">
        <v>5</v>
      </c>
      <c r="G224" s="15">
        <v>16</v>
      </c>
      <c r="H224" s="15">
        <v>1469</v>
      </c>
      <c r="I224" s="15">
        <v>3517</v>
      </c>
      <c r="J224" s="15">
        <v>2410</v>
      </c>
      <c r="K224" s="15">
        <v>7</v>
      </c>
      <c r="L224" s="15">
        <v>54</v>
      </c>
      <c r="M224" s="15">
        <v>20</v>
      </c>
      <c r="N224" s="15">
        <v>1026</v>
      </c>
      <c r="O224" s="16">
        <f t="shared" ref="O224:T224" si="224">ROUND(C224 + ((2016-2012)*(I224-C224))/(2024-2012),0)</f>
        <v>3000</v>
      </c>
      <c r="P224" s="17">
        <f t="shared" si="224"/>
        <v>1634</v>
      </c>
      <c r="Q224" s="17">
        <f t="shared" si="224"/>
        <v>6</v>
      </c>
      <c r="R224" s="17">
        <f t="shared" si="224"/>
        <v>21</v>
      </c>
      <c r="S224" s="17">
        <f t="shared" si="224"/>
        <v>17</v>
      </c>
      <c r="T224" s="17">
        <f t="shared" si="224"/>
        <v>1321</v>
      </c>
      <c r="U224" s="17">
        <v>1273</v>
      </c>
      <c r="V224" s="18">
        <f t="shared" si="1"/>
        <v>361</v>
      </c>
      <c r="W224" s="18">
        <f t="shared" si="2"/>
        <v>361</v>
      </c>
      <c r="X224" s="19">
        <f t="shared" si="3"/>
        <v>2999</v>
      </c>
      <c r="Y224" s="18">
        <v>128.9999932050705</v>
      </c>
      <c r="Z224" s="20"/>
      <c r="AA224" s="15">
        <v>3214</v>
      </c>
      <c r="AB224" s="17">
        <f t="shared" si="5"/>
        <v>3775</v>
      </c>
      <c r="AC224" s="15">
        <v>4896</v>
      </c>
      <c r="AD224" s="4"/>
      <c r="AE224" s="4"/>
      <c r="AF224" s="4"/>
      <c r="AG224" s="4"/>
      <c r="AH224" s="4"/>
      <c r="AI224" s="4"/>
      <c r="AJ224" s="4"/>
      <c r="AK224" s="4"/>
      <c r="AL224" s="4"/>
    </row>
    <row r="225" spans="1:38" ht="14.4">
      <c r="A225" s="21">
        <v>50801</v>
      </c>
      <c r="B225" s="22" t="s">
        <v>240</v>
      </c>
      <c r="C225" s="15">
        <v>13319</v>
      </c>
      <c r="D225" s="15">
        <v>10966</v>
      </c>
      <c r="E225" s="15">
        <v>111</v>
      </c>
      <c r="F225" s="15">
        <v>104</v>
      </c>
      <c r="G225" s="15">
        <v>54</v>
      </c>
      <c r="H225" s="15">
        <v>2084</v>
      </c>
      <c r="I225" s="15">
        <v>15876</v>
      </c>
      <c r="J225" s="15">
        <v>14084</v>
      </c>
      <c r="K225" s="15">
        <v>86</v>
      </c>
      <c r="L225" s="15">
        <v>162</v>
      </c>
      <c r="M225" s="15">
        <v>111</v>
      </c>
      <c r="N225" s="15">
        <v>1433</v>
      </c>
      <c r="O225" s="16">
        <f t="shared" ref="O225:T225" si="225">ROUND(C225 + ((2016-2012)*(I225-C225))/(2024-2012),0)</f>
        <v>14171</v>
      </c>
      <c r="P225" s="23">
        <f t="shared" si="225"/>
        <v>12005</v>
      </c>
      <c r="Q225" s="23">
        <f t="shared" si="225"/>
        <v>103</v>
      </c>
      <c r="R225" s="23">
        <f t="shared" si="225"/>
        <v>123</v>
      </c>
      <c r="S225" s="23">
        <f t="shared" si="225"/>
        <v>73</v>
      </c>
      <c r="T225" s="23">
        <f t="shared" si="225"/>
        <v>1867</v>
      </c>
      <c r="U225" s="23">
        <v>12608</v>
      </c>
      <c r="V225" s="18">
        <f t="shared" si="1"/>
        <v>-603</v>
      </c>
      <c r="W225" s="18">
        <f t="shared" si="2"/>
        <v>0</v>
      </c>
      <c r="X225" s="19">
        <f t="shared" si="3"/>
        <v>14774</v>
      </c>
      <c r="Y225" s="18">
        <v>453.99999618530273</v>
      </c>
      <c r="Z225" s="20"/>
      <c r="AA225" s="15">
        <v>15537</v>
      </c>
      <c r="AB225" s="23">
        <f t="shared" si="5"/>
        <v>16955</v>
      </c>
      <c r="AC225" s="15">
        <v>19790</v>
      </c>
      <c r="AD225" s="4"/>
      <c r="AE225" s="4"/>
      <c r="AF225" s="4"/>
      <c r="AG225" s="4"/>
      <c r="AH225" s="4"/>
      <c r="AI225" s="4"/>
      <c r="AJ225" s="4"/>
      <c r="AK225" s="4"/>
      <c r="AL225" s="4"/>
    </row>
    <row r="226" spans="1:38" ht="14.4">
      <c r="A226" s="13">
        <v>50802</v>
      </c>
      <c r="B226" s="14" t="s">
        <v>241</v>
      </c>
      <c r="C226" s="15">
        <v>3576</v>
      </c>
      <c r="D226" s="15">
        <v>3182</v>
      </c>
      <c r="E226" s="15">
        <v>44</v>
      </c>
      <c r="F226" s="15">
        <v>86</v>
      </c>
      <c r="G226" s="15">
        <v>10</v>
      </c>
      <c r="H226" s="15">
        <v>254</v>
      </c>
      <c r="I226" s="15">
        <v>3751</v>
      </c>
      <c r="J226" s="15">
        <v>3374</v>
      </c>
      <c r="K226" s="15">
        <v>62</v>
      </c>
      <c r="L226" s="15">
        <v>79</v>
      </c>
      <c r="M226" s="15">
        <v>15</v>
      </c>
      <c r="N226" s="15">
        <v>221</v>
      </c>
      <c r="O226" s="16">
        <f t="shared" ref="O226:T226" si="226">ROUND(C226 + ((2016-2012)*(I226-C226))/(2024-2012),0)</f>
        <v>3634</v>
      </c>
      <c r="P226" s="17">
        <f t="shared" si="226"/>
        <v>3246</v>
      </c>
      <c r="Q226" s="17">
        <f t="shared" si="226"/>
        <v>50</v>
      </c>
      <c r="R226" s="17">
        <f t="shared" si="226"/>
        <v>84</v>
      </c>
      <c r="S226" s="17">
        <f t="shared" si="226"/>
        <v>12</v>
      </c>
      <c r="T226" s="17">
        <f t="shared" si="226"/>
        <v>243</v>
      </c>
      <c r="U226" s="17">
        <v>3137</v>
      </c>
      <c r="V226" s="18">
        <f t="shared" si="1"/>
        <v>109</v>
      </c>
      <c r="W226" s="18">
        <f t="shared" si="2"/>
        <v>109</v>
      </c>
      <c r="X226" s="19">
        <f t="shared" si="3"/>
        <v>3635</v>
      </c>
      <c r="Y226" s="18">
        <v>379.99999523162842</v>
      </c>
      <c r="Z226" s="20"/>
      <c r="AA226" s="15">
        <v>4290</v>
      </c>
      <c r="AB226" s="17">
        <f t="shared" si="5"/>
        <v>4446</v>
      </c>
      <c r="AC226" s="15">
        <v>4757</v>
      </c>
      <c r="AD226" s="4"/>
      <c r="AE226" s="4"/>
      <c r="AF226" s="4"/>
      <c r="AG226" s="4"/>
      <c r="AH226" s="4"/>
      <c r="AI226" s="4"/>
      <c r="AJ226" s="4"/>
      <c r="AK226" s="4"/>
      <c r="AL226" s="4"/>
    </row>
    <row r="227" spans="1:38" ht="14.4">
      <c r="A227" s="21">
        <v>50901</v>
      </c>
      <c r="B227" s="22" t="s">
        <v>242</v>
      </c>
      <c r="C227" s="15">
        <v>3307</v>
      </c>
      <c r="D227" s="15">
        <v>1906</v>
      </c>
      <c r="E227" s="15">
        <v>46</v>
      </c>
      <c r="F227" s="15">
        <v>263</v>
      </c>
      <c r="G227" s="15">
        <v>215</v>
      </c>
      <c r="H227" s="15">
        <v>877</v>
      </c>
      <c r="I227" s="15">
        <v>4165</v>
      </c>
      <c r="J227" s="15">
        <v>3362</v>
      </c>
      <c r="K227" s="15">
        <v>20</v>
      </c>
      <c r="L227" s="15">
        <v>290</v>
      </c>
      <c r="M227" s="15">
        <v>47</v>
      </c>
      <c r="N227" s="15">
        <v>446</v>
      </c>
      <c r="O227" s="16">
        <f t="shared" ref="O227:T227" si="227">ROUND(C227 + ((2016-2012)*(I227-C227))/(2024-2012),0)</f>
        <v>3593</v>
      </c>
      <c r="P227" s="23">
        <f t="shared" si="227"/>
        <v>2391</v>
      </c>
      <c r="Q227" s="23">
        <f t="shared" si="227"/>
        <v>37</v>
      </c>
      <c r="R227" s="23">
        <f t="shared" si="227"/>
        <v>272</v>
      </c>
      <c r="S227" s="23">
        <f t="shared" si="227"/>
        <v>159</v>
      </c>
      <c r="T227" s="23">
        <f t="shared" si="227"/>
        <v>733</v>
      </c>
      <c r="U227" s="23">
        <v>1212</v>
      </c>
      <c r="V227" s="18">
        <f t="shared" si="1"/>
        <v>1179</v>
      </c>
      <c r="W227" s="18">
        <f t="shared" si="2"/>
        <v>1179</v>
      </c>
      <c r="X227" s="19">
        <f t="shared" si="3"/>
        <v>3592</v>
      </c>
      <c r="Y227" s="18">
        <v>364.00000751018524</v>
      </c>
      <c r="Z227" s="20"/>
      <c r="AA227" s="15">
        <v>4094</v>
      </c>
      <c r="AB227" s="23">
        <f t="shared" si="5"/>
        <v>4918</v>
      </c>
      <c r="AC227" s="15">
        <v>6567</v>
      </c>
      <c r="AD227" s="4"/>
      <c r="AE227" s="4"/>
      <c r="AF227" s="4"/>
      <c r="AG227" s="4"/>
      <c r="AH227" s="4"/>
      <c r="AI227" s="4"/>
      <c r="AJ227" s="4"/>
      <c r="AK227" s="4"/>
      <c r="AL227" s="4"/>
    </row>
    <row r="228" spans="1:38" ht="14.4">
      <c r="A228" s="13">
        <v>50902</v>
      </c>
      <c r="B228" s="14" t="s">
        <v>243</v>
      </c>
      <c r="C228" s="15">
        <v>372</v>
      </c>
      <c r="D228" s="15">
        <v>187</v>
      </c>
      <c r="E228" s="15">
        <v>14</v>
      </c>
      <c r="F228" s="15">
        <v>9</v>
      </c>
      <c r="G228" s="15">
        <v>22</v>
      </c>
      <c r="H228" s="15">
        <v>140</v>
      </c>
      <c r="I228" s="15">
        <v>657</v>
      </c>
      <c r="J228" s="15">
        <v>427</v>
      </c>
      <c r="K228" s="15">
        <v>64</v>
      </c>
      <c r="L228" s="15">
        <v>35</v>
      </c>
      <c r="M228" s="15">
        <v>11</v>
      </c>
      <c r="N228" s="15">
        <v>120</v>
      </c>
      <c r="O228" s="16">
        <f t="shared" ref="O228:T228" si="228">ROUND(C228 + ((2016-2012)*(I228-C228))/(2024-2012),0)</f>
        <v>467</v>
      </c>
      <c r="P228" s="17">
        <f t="shared" si="228"/>
        <v>267</v>
      </c>
      <c r="Q228" s="17">
        <f t="shared" si="228"/>
        <v>31</v>
      </c>
      <c r="R228" s="17">
        <f t="shared" si="228"/>
        <v>18</v>
      </c>
      <c r="S228" s="17">
        <f t="shared" si="228"/>
        <v>18</v>
      </c>
      <c r="T228" s="17">
        <f t="shared" si="228"/>
        <v>133</v>
      </c>
      <c r="U228" s="25">
        <v>534</v>
      </c>
      <c r="V228" s="18">
        <f t="shared" si="1"/>
        <v>-267</v>
      </c>
      <c r="W228" s="18">
        <f t="shared" si="2"/>
        <v>0</v>
      </c>
      <c r="X228" s="19">
        <f t="shared" si="3"/>
        <v>734</v>
      </c>
      <c r="Y228" s="18">
        <v>175.49999803304672</v>
      </c>
      <c r="Z228" s="20"/>
      <c r="AA228" s="15">
        <v>493</v>
      </c>
      <c r="AB228" s="17">
        <f t="shared" si="5"/>
        <v>622</v>
      </c>
      <c r="AC228" s="15">
        <v>879</v>
      </c>
      <c r="AD228" s="4"/>
      <c r="AE228" s="4"/>
      <c r="AF228" s="4"/>
      <c r="AG228" s="4"/>
      <c r="AH228" s="4"/>
      <c r="AI228" s="4"/>
      <c r="AJ228" s="4"/>
      <c r="AK228" s="4"/>
      <c r="AL228" s="4"/>
    </row>
    <row r="229" spans="1:38" ht="14.4">
      <c r="A229" s="21">
        <v>51001</v>
      </c>
      <c r="B229" s="22" t="s">
        <v>244</v>
      </c>
      <c r="C229" s="15">
        <v>871</v>
      </c>
      <c r="D229" s="15">
        <v>358</v>
      </c>
      <c r="E229" s="15">
        <v>7</v>
      </c>
      <c r="F229" s="15">
        <v>305</v>
      </c>
      <c r="G229" s="15">
        <v>9</v>
      </c>
      <c r="H229" s="15">
        <v>192</v>
      </c>
      <c r="I229" s="15">
        <v>1111</v>
      </c>
      <c r="J229" s="15">
        <v>347</v>
      </c>
      <c r="K229" s="15">
        <v>51</v>
      </c>
      <c r="L229" s="15">
        <v>246</v>
      </c>
      <c r="M229" s="15">
        <v>85</v>
      </c>
      <c r="N229" s="15">
        <v>382</v>
      </c>
      <c r="O229" s="16">
        <f t="shared" ref="O229:T229" si="229">ROUND(C229 + ((2016-2012)*(I229-C229))/(2024-2012),0)</f>
        <v>951</v>
      </c>
      <c r="P229" s="23">
        <f t="shared" si="229"/>
        <v>354</v>
      </c>
      <c r="Q229" s="23">
        <f t="shared" si="229"/>
        <v>22</v>
      </c>
      <c r="R229" s="23">
        <f t="shared" si="229"/>
        <v>285</v>
      </c>
      <c r="S229" s="23">
        <f t="shared" si="229"/>
        <v>34</v>
      </c>
      <c r="T229" s="23">
        <f t="shared" si="229"/>
        <v>255</v>
      </c>
      <c r="U229" s="24">
        <v>552</v>
      </c>
      <c r="V229" s="18">
        <f t="shared" si="1"/>
        <v>-198</v>
      </c>
      <c r="W229" s="18">
        <f t="shared" si="2"/>
        <v>0</v>
      </c>
      <c r="X229" s="19">
        <f t="shared" si="3"/>
        <v>1148</v>
      </c>
      <c r="Y229" s="18">
        <v>172.99999296665192</v>
      </c>
      <c r="Z229" s="20"/>
      <c r="AA229" s="15">
        <v>1208</v>
      </c>
      <c r="AB229" s="23">
        <f t="shared" si="5"/>
        <v>1377</v>
      </c>
      <c r="AC229" s="15">
        <v>1715</v>
      </c>
      <c r="AD229" s="4"/>
      <c r="AE229" s="4"/>
      <c r="AF229" s="4"/>
      <c r="AG229" s="4"/>
      <c r="AH229" s="4"/>
      <c r="AI229" s="4"/>
      <c r="AJ229" s="4"/>
      <c r="AK229" s="4"/>
      <c r="AL229" s="4"/>
    </row>
    <row r="230" spans="1:38" ht="14.4">
      <c r="A230" s="13">
        <v>51002</v>
      </c>
      <c r="B230" s="14" t="s">
        <v>245</v>
      </c>
      <c r="C230" s="15">
        <v>358</v>
      </c>
      <c r="D230" s="15">
        <v>74</v>
      </c>
      <c r="E230" s="15">
        <v>3</v>
      </c>
      <c r="F230" s="15">
        <v>38</v>
      </c>
      <c r="G230" s="15">
        <v>1</v>
      </c>
      <c r="H230" s="15">
        <v>242</v>
      </c>
      <c r="I230" s="15">
        <v>324</v>
      </c>
      <c r="J230" s="15">
        <v>74</v>
      </c>
      <c r="K230" s="15">
        <v>8</v>
      </c>
      <c r="L230" s="15">
        <v>29</v>
      </c>
      <c r="M230" s="15">
        <v>1</v>
      </c>
      <c r="N230" s="15">
        <v>212</v>
      </c>
      <c r="O230" s="16">
        <f t="shared" ref="O230:T230" si="230">ROUND(C230 + ((2016-2012)*(I230-C230))/(2024-2012),0)</f>
        <v>347</v>
      </c>
      <c r="P230" s="17">
        <f t="shared" si="230"/>
        <v>74</v>
      </c>
      <c r="Q230" s="17">
        <f t="shared" si="230"/>
        <v>5</v>
      </c>
      <c r="R230" s="17">
        <f t="shared" si="230"/>
        <v>35</v>
      </c>
      <c r="S230" s="17">
        <f t="shared" si="230"/>
        <v>1</v>
      </c>
      <c r="T230" s="17">
        <f t="shared" si="230"/>
        <v>232</v>
      </c>
      <c r="U230" s="25">
        <v>0</v>
      </c>
      <c r="V230" s="18">
        <f t="shared" si="1"/>
        <v>74</v>
      </c>
      <c r="W230" s="18">
        <f t="shared" si="2"/>
        <v>74</v>
      </c>
      <c r="X230" s="19">
        <f t="shared" si="3"/>
        <v>347</v>
      </c>
      <c r="Y230" s="18">
        <v>0</v>
      </c>
      <c r="Z230" s="20"/>
      <c r="AA230" s="15">
        <v>428</v>
      </c>
      <c r="AB230" s="17">
        <f t="shared" si="5"/>
        <v>429</v>
      </c>
      <c r="AC230" s="15">
        <v>431</v>
      </c>
      <c r="AD230" s="4"/>
      <c r="AE230" s="4"/>
      <c r="AF230" s="4"/>
      <c r="AG230" s="4"/>
      <c r="AH230" s="4"/>
      <c r="AI230" s="4"/>
      <c r="AJ230" s="4"/>
      <c r="AK230" s="4"/>
      <c r="AL230" s="4"/>
    </row>
    <row r="231" spans="1:38" ht="14.4">
      <c r="A231" s="21">
        <v>51003</v>
      </c>
      <c r="B231" s="22" t="s">
        <v>246</v>
      </c>
      <c r="C231" s="15">
        <v>715</v>
      </c>
      <c r="D231" s="15">
        <v>224</v>
      </c>
      <c r="E231" s="15">
        <v>2</v>
      </c>
      <c r="F231" s="15">
        <v>226</v>
      </c>
      <c r="G231" s="15">
        <v>2</v>
      </c>
      <c r="H231" s="15">
        <v>261</v>
      </c>
      <c r="I231" s="15">
        <v>690</v>
      </c>
      <c r="J231" s="15">
        <v>240</v>
      </c>
      <c r="K231" s="15">
        <v>4</v>
      </c>
      <c r="L231" s="15">
        <v>38</v>
      </c>
      <c r="M231" s="15">
        <v>0</v>
      </c>
      <c r="N231" s="15">
        <v>408</v>
      </c>
      <c r="O231" s="16">
        <f t="shared" ref="O231:T231" si="231">ROUND(C231 + ((2016-2012)*(I231-C231))/(2024-2012),0)</f>
        <v>707</v>
      </c>
      <c r="P231" s="23">
        <f t="shared" si="231"/>
        <v>229</v>
      </c>
      <c r="Q231" s="23">
        <f t="shared" si="231"/>
        <v>3</v>
      </c>
      <c r="R231" s="23">
        <f t="shared" si="231"/>
        <v>163</v>
      </c>
      <c r="S231" s="23">
        <f t="shared" si="231"/>
        <v>1</v>
      </c>
      <c r="T231" s="23">
        <f t="shared" si="231"/>
        <v>310</v>
      </c>
      <c r="U231" s="24">
        <v>147</v>
      </c>
      <c r="V231" s="18">
        <f t="shared" si="1"/>
        <v>82</v>
      </c>
      <c r="W231" s="18">
        <f t="shared" si="2"/>
        <v>82</v>
      </c>
      <c r="X231" s="19">
        <f t="shared" si="3"/>
        <v>706</v>
      </c>
      <c r="Y231" s="18">
        <v>216.99999272823334</v>
      </c>
      <c r="Z231" s="20"/>
      <c r="AA231" s="15">
        <v>939</v>
      </c>
      <c r="AB231" s="23">
        <f t="shared" si="5"/>
        <v>993</v>
      </c>
      <c r="AC231" s="15">
        <v>1100</v>
      </c>
      <c r="AD231" s="4"/>
      <c r="AE231" s="4"/>
      <c r="AF231" s="4"/>
      <c r="AG231" s="4"/>
      <c r="AH231" s="4"/>
      <c r="AI231" s="4"/>
      <c r="AJ231" s="4"/>
      <c r="AK231" s="4"/>
      <c r="AL231" s="4"/>
    </row>
    <row r="232" spans="1:38" ht="14.4">
      <c r="A232" s="13">
        <v>51101</v>
      </c>
      <c r="B232" s="14" t="s">
        <v>247</v>
      </c>
      <c r="C232" s="15">
        <v>7103</v>
      </c>
      <c r="D232" s="15">
        <v>4779</v>
      </c>
      <c r="E232" s="15">
        <v>13</v>
      </c>
      <c r="F232" s="15">
        <v>23</v>
      </c>
      <c r="G232" s="15">
        <v>48</v>
      </c>
      <c r="H232" s="15">
        <v>2240</v>
      </c>
      <c r="I232" s="15">
        <v>6251</v>
      </c>
      <c r="J232" s="15">
        <v>4963</v>
      </c>
      <c r="K232" s="15">
        <v>14</v>
      </c>
      <c r="L232" s="15">
        <v>41</v>
      </c>
      <c r="M232" s="15">
        <v>32</v>
      </c>
      <c r="N232" s="15">
        <v>1201</v>
      </c>
      <c r="O232" s="16">
        <f t="shared" ref="O232:T232" si="232">ROUND(C232 + ((2016-2012)*(I232-C232))/(2024-2012),0)</f>
        <v>6819</v>
      </c>
      <c r="P232" s="17">
        <f t="shared" si="232"/>
        <v>4840</v>
      </c>
      <c r="Q232" s="17">
        <f t="shared" si="232"/>
        <v>13</v>
      </c>
      <c r="R232" s="17">
        <f t="shared" si="232"/>
        <v>29</v>
      </c>
      <c r="S232" s="17">
        <f t="shared" si="232"/>
        <v>43</v>
      </c>
      <c r="T232" s="17">
        <f t="shared" si="232"/>
        <v>1894</v>
      </c>
      <c r="U232" s="17">
        <v>5346</v>
      </c>
      <c r="V232" s="18">
        <f t="shared" si="1"/>
        <v>-506</v>
      </c>
      <c r="W232" s="18">
        <f t="shared" si="2"/>
        <v>0</v>
      </c>
      <c r="X232" s="19">
        <f t="shared" si="3"/>
        <v>7325</v>
      </c>
      <c r="Y232" s="18">
        <v>150.00000596046448</v>
      </c>
      <c r="Z232" s="20"/>
      <c r="AA232" s="15">
        <v>8970</v>
      </c>
      <c r="AB232" s="17">
        <f t="shared" si="5"/>
        <v>9394</v>
      </c>
      <c r="AC232" s="15">
        <v>10242</v>
      </c>
      <c r="AD232" s="4"/>
      <c r="AE232" s="4"/>
      <c r="AF232" s="4"/>
      <c r="AG232" s="4"/>
      <c r="AH232" s="4"/>
      <c r="AI232" s="4"/>
      <c r="AJ232" s="4"/>
      <c r="AK232" s="4"/>
      <c r="AL232" s="4"/>
    </row>
    <row r="233" spans="1:38" ht="14.4">
      <c r="A233" s="21">
        <v>51102</v>
      </c>
      <c r="B233" s="22" t="s">
        <v>248</v>
      </c>
      <c r="C233" s="15">
        <v>3543</v>
      </c>
      <c r="D233" s="15">
        <v>2345</v>
      </c>
      <c r="E233" s="15">
        <v>11</v>
      </c>
      <c r="F233" s="15">
        <v>32</v>
      </c>
      <c r="G233" s="15">
        <v>13</v>
      </c>
      <c r="H233" s="15">
        <v>1142</v>
      </c>
      <c r="I233" s="15">
        <v>4643</v>
      </c>
      <c r="J233" s="15">
        <v>3521</v>
      </c>
      <c r="K233" s="15">
        <v>20</v>
      </c>
      <c r="L233" s="15">
        <v>67</v>
      </c>
      <c r="M233" s="15">
        <v>43</v>
      </c>
      <c r="N233" s="15">
        <v>992</v>
      </c>
      <c r="O233" s="16">
        <f t="shared" ref="O233:T233" si="233">ROUND(C233 + ((2016-2012)*(I233-C233))/(2024-2012),0)</f>
        <v>3910</v>
      </c>
      <c r="P233" s="23">
        <f t="shared" si="233"/>
        <v>2737</v>
      </c>
      <c r="Q233" s="23">
        <f t="shared" si="233"/>
        <v>14</v>
      </c>
      <c r="R233" s="23">
        <f t="shared" si="233"/>
        <v>44</v>
      </c>
      <c r="S233" s="23">
        <f t="shared" si="233"/>
        <v>23</v>
      </c>
      <c r="T233" s="23">
        <f t="shared" si="233"/>
        <v>1092</v>
      </c>
      <c r="U233" s="23">
        <v>2831</v>
      </c>
      <c r="V233" s="18">
        <f t="shared" si="1"/>
        <v>-94</v>
      </c>
      <c r="W233" s="18">
        <f t="shared" si="2"/>
        <v>0</v>
      </c>
      <c r="X233" s="19">
        <f t="shared" si="3"/>
        <v>4004</v>
      </c>
      <c r="Y233" s="18">
        <v>167.9999977350235</v>
      </c>
      <c r="Z233" s="20"/>
      <c r="AA233" s="15">
        <v>3984</v>
      </c>
      <c r="AB233" s="23">
        <f t="shared" si="5"/>
        <v>4667</v>
      </c>
      <c r="AC233" s="15">
        <v>6032</v>
      </c>
      <c r="AD233" s="4"/>
      <c r="AE233" s="4"/>
      <c r="AF233" s="4"/>
      <c r="AG233" s="4"/>
      <c r="AH233" s="4"/>
      <c r="AI233" s="4"/>
      <c r="AJ233" s="4"/>
      <c r="AK233" s="4"/>
      <c r="AL233" s="4"/>
    </row>
    <row r="234" spans="1:38" ht="14.4">
      <c r="A234" s="13">
        <v>51103</v>
      </c>
      <c r="B234" s="14" t="s">
        <v>249</v>
      </c>
      <c r="C234" s="15">
        <v>3826</v>
      </c>
      <c r="D234" s="15">
        <v>1491</v>
      </c>
      <c r="E234" s="15">
        <v>8</v>
      </c>
      <c r="F234" s="15">
        <v>355</v>
      </c>
      <c r="G234" s="15">
        <v>123</v>
      </c>
      <c r="H234" s="15">
        <v>1849</v>
      </c>
      <c r="I234" s="15">
        <v>4203</v>
      </c>
      <c r="J234" s="15">
        <v>2750</v>
      </c>
      <c r="K234" s="15">
        <v>8</v>
      </c>
      <c r="L234" s="15">
        <v>98</v>
      </c>
      <c r="M234" s="15">
        <v>30</v>
      </c>
      <c r="N234" s="15">
        <v>1317</v>
      </c>
      <c r="O234" s="16">
        <f t="shared" ref="O234:T234" si="234">ROUND(C234 + ((2016-2012)*(I234-C234))/(2024-2012),0)</f>
        <v>3952</v>
      </c>
      <c r="P234" s="17">
        <f t="shared" si="234"/>
        <v>1911</v>
      </c>
      <c r="Q234" s="17">
        <f t="shared" si="234"/>
        <v>8</v>
      </c>
      <c r="R234" s="17">
        <f t="shared" si="234"/>
        <v>269</v>
      </c>
      <c r="S234" s="17">
        <f t="shared" si="234"/>
        <v>92</v>
      </c>
      <c r="T234" s="17">
        <f t="shared" si="234"/>
        <v>1672</v>
      </c>
      <c r="U234" s="17">
        <v>998</v>
      </c>
      <c r="V234" s="18">
        <f t="shared" si="1"/>
        <v>913</v>
      </c>
      <c r="W234" s="18">
        <f t="shared" si="2"/>
        <v>913</v>
      </c>
      <c r="X234" s="19">
        <f t="shared" si="3"/>
        <v>3952</v>
      </c>
      <c r="Y234" s="18">
        <v>131.99999928474426</v>
      </c>
      <c r="Z234" s="20"/>
      <c r="AA234" s="15">
        <v>4315</v>
      </c>
      <c r="AB234" s="17">
        <f t="shared" si="5"/>
        <v>4803</v>
      </c>
      <c r="AC234" s="15">
        <v>5780</v>
      </c>
      <c r="AD234" s="4"/>
      <c r="AE234" s="4"/>
      <c r="AF234" s="4"/>
      <c r="AG234" s="4"/>
      <c r="AH234" s="4"/>
      <c r="AI234" s="4"/>
      <c r="AJ234" s="4"/>
      <c r="AK234" s="4"/>
      <c r="AL234" s="4"/>
    </row>
    <row r="235" spans="1:38" ht="14.4">
      <c r="A235" s="21">
        <v>51201</v>
      </c>
      <c r="B235" s="22" t="s">
        <v>250</v>
      </c>
      <c r="C235" s="15">
        <v>9597</v>
      </c>
      <c r="D235" s="15">
        <v>7458</v>
      </c>
      <c r="E235" s="15">
        <v>41</v>
      </c>
      <c r="F235" s="15">
        <v>181</v>
      </c>
      <c r="G235" s="15">
        <v>52</v>
      </c>
      <c r="H235" s="15">
        <v>1865</v>
      </c>
      <c r="I235" s="15">
        <v>13134</v>
      </c>
      <c r="J235" s="15">
        <v>11718</v>
      </c>
      <c r="K235" s="15">
        <v>37</v>
      </c>
      <c r="L235" s="15">
        <v>159</v>
      </c>
      <c r="M235" s="15">
        <v>70</v>
      </c>
      <c r="N235" s="15">
        <v>1150</v>
      </c>
      <c r="O235" s="16">
        <f t="shared" ref="O235:T235" si="235">ROUND(C235 + ((2016-2012)*(I235-C235))/(2024-2012),0)</f>
        <v>10776</v>
      </c>
      <c r="P235" s="23">
        <f t="shared" si="235"/>
        <v>8878</v>
      </c>
      <c r="Q235" s="23">
        <f t="shared" si="235"/>
        <v>40</v>
      </c>
      <c r="R235" s="23">
        <f t="shared" si="235"/>
        <v>174</v>
      </c>
      <c r="S235" s="23">
        <f t="shared" si="235"/>
        <v>58</v>
      </c>
      <c r="T235" s="23">
        <f t="shared" si="235"/>
        <v>1627</v>
      </c>
      <c r="U235" s="23">
        <v>8657</v>
      </c>
      <c r="V235" s="18">
        <f t="shared" si="1"/>
        <v>221</v>
      </c>
      <c r="W235" s="18">
        <f t="shared" si="2"/>
        <v>221</v>
      </c>
      <c r="X235" s="19">
        <f t="shared" si="3"/>
        <v>10777</v>
      </c>
      <c r="Y235" s="18">
        <v>381.99999928474426</v>
      </c>
      <c r="Z235" s="20"/>
      <c r="AA235" s="15">
        <v>11486</v>
      </c>
      <c r="AB235" s="23">
        <f t="shared" si="5"/>
        <v>13250</v>
      </c>
      <c r="AC235" s="15">
        <v>16778</v>
      </c>
      <c r="AD235" s="4"/>
      <c r="AE235" s="4"/>
      <c r="AF235" s="4"/>
      <c r="AG235" s="4"/>
      <c r="AH235" s="4"/>
      <c r="AI235" s="4"/>
      <c r="AJ235" s="4"/>
      <c r="AK235" s="4"/>
      <c r="AL235" s="4"/>
    </row>
    <row r="236" spans="1:38" ht="14.4">
      <c r="A236" s="13">
        <v>51202</v>
      </c>
      <c r="B236" s="14" t="s">
        <v>251</v>
      </c>
      <c r="C236" s="15">
        <v>3077</v>
      </c>
      <c r="D236" s="15">
        <v>1612</v>
      </c>
      <c r="E236" s="15">
        <v>29</v>
      </c>
      <c r="F236" s="15">
        <v>113</v>
      </c>
      <c r="G236" s="15">
        <v>17</v>
      </c>
      <c r="H236" s="15">
        <v>1306</v>
      </c>
      <c r="I236" s="15">
        <v>3317</v>
      </c>
      <c r="J236" s="15">
        <v>2456</v>
      </c>
      <c r="K236" s="15">
        <v>4</v>
      </c>
      <c r="L236" s="15">
        <v>112</v>
      </c>
      <c r="M236" s="15">
        <v>12</v>
      </c>
      <c r="N236" s="15">
        <v>733</v>
      </c>
      <c r="O236" s="16">
        <f t="shared" ref="O236:T236" si="236">ROUND(C236 + ((2016-2012)*(I236-C236))/(2024-2012),0)</f>
        <v>3157</v>
      </c>
      <c r="P236" s="17">
        <f t="shared" si="236"/>
        <v>1893</v>
      </c>
      <c r="Q236" s="17">
        <f t="shared" si="236"/>
        <v>21</v>
      </c>
      <c r="R236" s="17">
        <f t="shared" si="236"/>
        <v>113</v>
      </c>
      <c r="S236" s="17">
        <f t="shared" si="236"/>
        <v>15</v>
      </c>
      <c r="T236" s="17">
        <f t="shared" si="236"/>
        <v>1115</v>
      </c>
      <c r="U236" s="17">
        <v>2138</v>
      </c>
      <c r="V236" s="18">
        <f t="shared" si="1"/>
        <v>-245</v>
      </c>
      <c r="W236" s="18">
        <f t="shared" si="2"/>
        <v>0</v>
      </c>
      <c r="X236" s="19">
        <f t="shared" si="3"/>
        <v>3402</v>
      </c>
      <c r="Y236" s="18">
        <v>129.99999523162842</v>
      </c>
      <c r="Z236" s="20"/>
      <c r="AA236" s="15">
        <v>3882</v>
      </c>
      <c r="AB236" s="17">
        <f t="shared" si="5"/>
        <v>4216</v>
      </c>
      <c r="AC236" s="15">
        <v>4884</v>
      </c>
      <c r="AD236" s="4"/>
      <c r="AE236" s="4"/>
      <c r="AF236" s="4"/>
      <c r="AG236" s="4"/>
      <c r="AH236" s="4"/>
      <c r="AI236" s="4"/>
      <c r="AJ236" s="4"/>
      <c r="AK236" s="4"/>
      <c r="AL236" s="4"/>
    </row>
    <row r="237" spans="1:38" ht="14.4">
      <c r="A237" s="21">
        <v>51203</v>
      </c>
      <c r="B237" s="22" t="s">
        <v>252</v>
      </c>
      <c r="C237" s="15">
        <v>3156</v>
      </c>
      <c r="D237" s="15">
        <v>2465</v>
      </c>
      <c r="E237" s="15">
        <v>13</v>
      </c>
      <c r="F237" s="15">
        <v>21</v>
      </c>
      <c r="G237" s="15">
        <v>38</v>
      </c>
      <c r="H237" s="15">
        <v>619</v>
      </c>
      <c r="I237" s="15">
        <v>5286</v>
      </c>
      <c r="J237" s="15">
        <v>4880</v>
      </c>
      <c r="K237" s="15">
        <v>18</v>
      </c>
      <c r="L237" s="15">
        <v>75</v>
      </c>
      <c r="M237" s="15">
        <v>8</v>
      </c>
      <c r="N237" s="15">
        <v>305</v>
      </c>
      <c r="O237" s="16">
        <f t="shared" ref="O237:T237" si="237">ROUND(C237 + ((2016-2012)*(I237-C237))/(2024-2012),0)</f>
        <v>3866</v>
      </c>
      <c r="P237" s="23">
        <f t="shared" si="237"/>
        <v>3270</v>
      </c>
      <c r="Q237" s="23">
        <f t="shared" si="237"/>
        <v>15</v>
      </c>
      <c r="R237" s="23">
        <f t="shared" si="237"/>
        <v>39</v>
      </c>
      <c r="S237" s="23">
        <f t="shared" si="237"/>
        <v>28</v>
      </c>
      <c r="T237" s="23">
        <f t="shared" si="237"/>
        <v>514</v>
      </c>
      <c r="U237" s="23">
        <v>1905</v>
      </c>
      <c r="V237" s="18">
        <f t="shared" si="1"/>
        <v>1365</v>
      </c>
      <c r="W237" s="18">
        <f t="shared" si="2"/>
        <v>1365</v>
      </c>
      <c r="X237" s="19">
        <f t="shared" si="3"/>
        <v>3866</v>
      </c>
      <c r="Y237" s="18">
        <v>527.99999713897705</v>
      </c>
      <c r="Z237" s="20"/>
      <c r="AA237" s="15">
        <v>3433</v>
      </c>
      <c r="AB237" s="23">
        <f t="shared" si="5"/>
        <v>4256</v>
      </c>
      <c r="AC237" s="15">
        <v>5902</v>
      </c>
      <c r="AD237" s="4"/>
      <c r="AE237" s="4"/>
      <c r="AF237" s="4"/>
      <c r="AG237" s="4"/>
      <c r="AH237" s="4"/>
      <c r="AI237" s="4"/>
      <c r="AJ237" s="4"/>
      <c r="AK237" s="4"/>
      <c r="AL237" s="4"/>
    </row>
    <row r="238" spans="1:38" ht="14.4">
      <c r="A238" s="13">
        <v>51204</v>
      </c>
      <c r="B238" s="14" t="s">
        <v>253</v>
      </c>
      <c r="C238" s="15">
        <v>2139</v>
      </c>
      <c r="D238" s="15">
        <v>1369</v>
      </c>
      <c r="E238" s="15">
        <v>2</v>
      </c>
      <c r="F238" s="15">
        <v>14</v>
      </c>
      <c r="G238" s="15">
        <v>0</v>
      </c>
      <c r="H238" s="15">
        <v>754</v>
      </c>
      <c r="I238" s="15">
        <v>2607</v>
      </c>
      <c r="J238" s="15">
        <v>1942</v>
      </c>
      <c r="K238" s="15">
        <v>2</v>
      </c>
      <c r="L238" s="15">
        <v>34</v>
      </c>
      <c r="M238" s="15">
        <v>16</v>
      </c>
      <c r="N238" s="15">
        <v>613</v>
      </c>
      <c r="O238" s="16">
        <f t="shared" ref="O238:T238" si="238">ROUND(C238 + ((2016-2012)*(I238-C238))/(2024-2012),0)</f>
        <v>2295</v>
      </c>
      <c r="P238" s="17">
        <f t="shared" si="238"/>
        <v>1560</v>
      </c>
      <c r="Q238" s="17">
        <f t="shared" si="238"/>
        <v>2</v>
      </c>
      <c r="R238" s="17">
        <f t="shared" si="238"/>
        <v>21</v>
      </c>
      <c r="S238" s="17">
        <f t="shared" si="238"/>
        <v>5</v>
      </c>
      <c r="T238" s="17">
        <f t="shared" si="238"/>
        <v>707</v>
      </c>
      <c r="U238" s="25">
        <v>0</v>
      </c>
      <c r="V238" s="18">
        <f t="shared" si="1"/>
        <v>1560</v>
      </c>
      <c r="W238" s="18">
        <f t="shared" si="2"/>
        <v>1560</v>
      </c>
      <c r="X238" s="19">
        <f t="shared" si="3"/>
        <v>2295</v>
      </c>
      <c r="Y238" s="18">
        <v>0</v>
      </c>
      <c r="Z238" s="20"/>
      <c r="AA238" s="15">
        <v>2864</v>
      </c>
      <c r="AB238" s="17">
        <f t="shared" si="5"/>
        <v>3147</v>
      </c>
      <c r="AC238" s="15">
        <v>3712</v>
      </c>
      <c r="AD238" s="4"/>
      <c r="AE238" s="4"/>
      <c r="AF238" s="4"/>
      <c r="AG238" s="4"/>
      <c r="AH238" s="4"/>
      <c r="AI238" s="4"/>
      <c r="AJ238" s="4"/>
      <c r="AK238" s="4"/>
      <c r="AL238" s="4"/>
    </row>
    <row r="239" spans="1:38" ht="14.4">
      <c r="A239" s="21">
        <v>51301</v>
      </c>
      <c r="B239" s="22" t="s">
        <v>254</v>
      </c>
      <c r="C239" s="15">
        <v>1298</v>
      </c>
      <c r="D239" s="15">
        <v>557</v>
      </c>
      <c r="E239" s="15">
        <v>19</v>
      </c>
      <c r="F239" s="15">
        <v>15</v>
      </c>
      <c r="G239" s="15">
        <v>0</v>
      </c>
      <c r="H239" s="15">
        <v>707</v>
      </c>
      <c r="I239" s="15">
        <v>1457</v>
      </c>
      <c r="J239" s="15">
        <v>1001</v>
      </c>
      <c r="K239" s="15">
        <v>1</v>
      </c>
      <c r="L239" s="15">
        <v>10</v>
      </c>
      <c r="M239" s="15">
        <v>6</v>
      </c>
      <c r="N239" s="15">
        <v>439</v>
      </c>
      <c r="O239" s="16">
        <f t="shared" ref="O239:T239" si="239">ROUND(C239 + ((2016-2012)*(I239-C239))/(2024-2012),0)</f>
        <v>1351</v>
      </c>
      <c r="P239" s="23">
        <f t="shared" si="239"/>
        <v>705</v>
      </c>
      <c r="Q239" s="23">
        <f t="shared" si="239"/>
        <v>13</v>
      </c>
      <c r="R239" s="23">
        <f t="shared" si="239"/>
        <v>13</v>
      </c>
      <c r="S239" s="23">
        <f t="shared" si="239"/>
        <v>2</v>
      </c>
      <c r="T239" s="23">
        <f t="shared" si="239"/>
        <v>618</v>
      </c>
      <c r="U239" s="24">
        <v>633</v>
      </c>
      <c r="V239" s="18">
        <f t="shared" si="1"/>
        <v>72</v>
      </c>
      <c r="W239" s="18">
        <f t="shared" si="2"/>
        <v>72</v>
      </c>
      <c r="X239" s="19">
        <f t="shared" si="3"/>
        <v>1351</v>
      </c>
      <c r="Y239" s="18">
        <v>85.000000894069672</v>
      </c>
      <c r="Z239" s="20"/>
      <c r="AA239" s="15">
        <v>1572</v>
      </c>
      <c r="AB239" s="23">
        <f t="shared" si="5"/>
        <v>1752</v>
      </c>
      <c r="AC239" s="15">
        <v>2112</v>
      </c>
      <c r="AD239" s="4"/>
      <c r="AE239" s="4"/>
      <c r="AF239" s="4"/>
      <c r="AG239" s="4"/>
      <c r="AH239" s="4"/>
      <c r="AI239" s="4"/>
      <c r="AJ239" s="4"/>
      <c r="AK239" s="4"/>
      <c r="AL239" s="4"/>
    </row>
    <row r="240" spans="1:38" ht="14.4">
      <c r="A240" s="13">
        <v>51302</v>
      </c>
      <c r="B240" s="14" t="s">
        <v>255</v>
      </c>
      <c r="C240" s="15">
        <v>1719</v>
      </c>
      <c r="D240" s="15">
        <v>1080</v>
      </c>
      <c r="E240" s="15">
        <v>3</v>
      </c>
      <c r="F240" s="15">
        <v>4</v>
      </c>
      <c r="G240" s="15">
        <v>2</v>
      </c>
      <c r="H240" s="15">
        <v>630</v>
      </c>
      <c r="I240" s="15">
        <v>1831</v>
      </c>
      <c r="J240" s="15">
        <v>1301</v>
      </c>
      <c r="K240" s="15">
        <v>2</v>
      </c>
      <c r="L240" s="15">
        <v>27</v>
      </c>
      <c r="M240" s="15">
        <v>4</v>
      </c>
      <c r="N240" s="15">
        <v>497</v>
      </c>
      <c r="O240" s="16">
        <f t="shared" ref="O240:T240" si="240">ROUND(C240 + ((2016-2012)*(I240-C240))/(2024-2012),0)</f>
        <v>1756</v>
      </c>
      <c r="P240" s="17">
        <f t="shared" si="240"/>
        <v>1154</v>
      </c>
      <c r="Q240" s="17">
        <f t="shared" si="240"/>
        <v>3</v>
      </c>
      <c r="R240" s="17">
        <f t="shared" si="240"/>
        <v>12</v>
      </c>
      <c r="S240" s="17">
        <f t="shared" si="240"/>
        <v>3</v>
      </c>
      <c r="T240" s="17">
        <f t="shared" si="240"/>
        <v>586</v>
      </c>
      <c r="U240" s="17">
        <v>1106</v>
      </c>
      <c r="V240" s="18">
        <f t="shared" si="1"/>
        <v>48</v>
      </c>
      <c r="W240" s="18">
        <f t="shared" si="2"/>
        <v>48</v>
      </c>
      <c r="X240" s="19">
        <f t="shared" si="3"/>
        <v>1758</v>
      </c>
      <c r="Y240" s="18">
        <v>82.999996840953827</v>
      </c>
      <c r="Z240" s="20"/>
      <c r="AA240" s="15">
        <v>2069</v>
      </c>
      <c r="AB240" s="17">
        <f t="shared" si="5"/>
        <v>2288</v>
      </c>
      <c r="AC240" s="15">
        <v>2727</v>
      </c>
      <c r="AD240" s="4"/>
      <c r="AE240" s="4"/>
      <c r="AF240" s="4"/>
      <c r="AG240" s="4"/>
      <c r="AH240" s="4"/>
      <c r="AI240" s="4"/>
      <c r="AJ240" s="4"/>
      <c r="AK240" s="4"/>
      <c r="AL240" s="4"/>
    </row>
    <row r="241" spans="1:38" ht="14.4">
      <c r="A241" s="21">
        <v>51401</v>
      </c>
      <c r="B241" s="22" t="s">
        <v>256</v>
      </c>
      <c r="C241" s="15">
        <v>1504</v>
      </c>
      <c r="D241" s="15">
        <v>608</v>
      </c>
      <c r="E241" s="15">
        <v>25</v>
      </c>
      <c r="F241" s="15">
        <v>173</v>
      </c>
      <c r="G241" s="15">
        <v>18</v>
      </c>
      <c r="H241" s="15">
        <v>680</v>
      </c>
      <c r="I241" s="15">
        <v>1856</v>
      </c>
      <c r="J241" s="15">
        <v>1675</v>
      </c>
      <c r="K241" s="15">
        <v>5</v>
      </c>
      <c r="L241" s="15">
        <v>21</v>
      </c>
      <c r="M241" s="15">
        <v>11</v>
      </c>
      <c r="N241" s="15">
        <v>144</v>
      </c>
      <c r="O241" s="16">
        <f t="shared" ref="O241:T241" si="241">ROUND(C241 + ((2016-2012)*(I241-C241))/(2024-2012),0)</f>
        <v>1621</v>
      </c>
      <c r="P241" s="23">
        <f t="shared" si="241"/>
        <v>964</v>
      </c>
      <c r="Q241" s="23">
        <f t="shared" si="241"/>
        <v>18</v>
      </c>
      <c r="R241" s="23">
        <f t="shared" si="241"/>
        <v>122</v>
      </c>
      <c r="S241" s="23">
        <f t="shared" si="241"/>
        <v>16</v>
      </c>
      <c r="T241" s="23">
        <f t="shared" si="241"/>
        <v>501</v>
      </c>
      <c r="U241" s="23">
        <v>1208</v>
      </c>
      <c r="V241" s="18">
        <f t="shared" si="1"/>
        <v>-244</v>
      </c>
      <c r="W241" s="18">
        <f t="shared" si="2"/>
        <v>0</v>
      </c>
      <c r="X241" s="19">
        <f t="shared" si="3"/>
        <v>1865</v>
      </c>
      <c r="Y241" s="18">
        <v>159.99999642372131</v>
      </c>
      <c r="Z241" s="20"/>
      <c r="AA241" s="15">
        <v>2244</v>
      </c>
      <c r="AB241" s="23">
        <f t="shared" si="5"/>
        <v>2419</v>
      </c>
      <c r="AC241" s="15">
        <v>2769</v>
      </c>
      <c r="AD241" s="4"/>
      <c r="AE241" s="4"/>
      <c r="AF241" s="4"/>
      <c r="AG241" s="4"/>
      <c r="AH241" s="4"/>
      <c r="AI241" s="4"/>
      <c r="AJ241" s="4"/>
      <c r="AK241" s="4"/>
      <c r="AL241" s="4"/>
    </row>
    <row r="242" spans="1:38" ht="14.4">
      <c r="A242" s="13">
        <v>51402</v>
      </c>
      <c r="B242" s="14" t="s">
        <v>257</v>
      </c>
      <c r="C242" s="15">
        <v>679</v>
      </c>
      <c r="D242" s="15">
        <v>471</v>
      </c>
      <c r="E242" s="15">
        <v>5</v>
      </c>
      <c r="F242" s="15">
        <v>7</v>
      </c>
      <c r="G242" s="15">
        <v>2</v>
      </c>
      <c r="H242" s="15">
        <v>194</v>
      </c>
      <c r="I242" s="15">
        <v>742</v>
      </c>
      <c r="J242" s="15">
        <v>545</v>
      </c>
      <c r="K242" s="15">
        <v>1</v>
      </c>
      <c r="L242" s="15">
        <v>9</v>
      </c>
      <c r="M242" s="15">
        <v>5</v>
      </c>
      <c r="N242" s="15">
        <v>182</v>
      </c>
      <c r="O242" s="16">
        <f t="shared" ref="O242:T242" si="242">ROUND(C242 + ((2016-2012)*(I242-C242))/(2024-2012),0)</f>
        <v>700</v>
      </c>
      <c r="P242" s="17">
        <f t="shared" si="242"/>
        <v>496</v>
      </c>
      <c r="Q242" s="17">
        <f t="shared" si="242"/>
        <v>4</v>
      </c>
      <c r="R242" s="17">
        <f t="shared" si="242"/>
        <v>8</v>
      </c>
      <c r="S242" s="17">
        <f t="shared" si="242"/>
        <v>3</v>
      </c>
      <c r="T242" s="17">
        <f t="shared" si="242"/>
        <v>190</v>
      </c>
      <c r="U242" s="25">
        <v>429</v>
      </c>
      <c r="V242" s="18">
        <f t="shared" si="1"/>
        <v>67</v>
      </c>
      <c r="W242" s="18">
        <f t="shared" si="2"/>
        <v>67</v>
      </c>
      <c r="X242" s="19">
        <f t="shared" si="3"/>
        <v>701</v>
      </c>
      <c r="Y242" s="18">
        <v>64.999997615814209</v>
      </c>
      <c r="Z242" s="20"/>
      <c r="AA242" s="15">
        <v>824</v>
      </c>
      <c r="AB242" s="17">
        <f t="shared" si="5"/>
        <v>862</v>
      </c>
      <c r="AC242" s="15">
        <v>939</v>
      </c>
      <c r="AD242" s="4"/>
      <c r="AE242" s="4"/>
      <c r="AF242" s="4"/>
      <c r="AG242" s="4"/>
      <c r="AH242" s="4"/>
      <c r="AI242" s="4"/>
      <c r="AJ242" s="4"/>
      <c r="AK242" s="4"/>
      <c r="AL242" s="4"/>
    </row>
    <row r="243" spans="1:38" ht="14.4">
      <c r="A243" s="21">
        <v>51501</v>
      </c>
      <c r="B243" s="22" t="s">
        <v>258</v>
      </c>
      <c r="C243" s="15">
        <v>12074</v>
      </c>
      <c r="D243" s="15">
        <v>10354</v>
      </c>
      <c r="E243" s="15">
        <v>60</v>
      </c>
      <c r="F243" s="15">
        <v>101</v>
      </c>
      <c r="G243" s="15">
        <v>20</v>
      </c>
      <c r="H243" s="15">
        <v>1539</v>
      </c>
      <c r="I243" s="15">
        <v>14433</v>
      </c>
      <c r="J243" s="15">
        <v>13302</v>
      </c>
      <c r="K243" s="15">
        <v>34</v>
      </c>
      <c r="L243" s="15">
        <v>63</v>
      </c>
      <c r="M243" s="15">
        <v>69</v>
      </c>
      <c r="N243" s="15">
        <v>965</v>
      </c>
      <c r="O243" s="16">
        <f t="shared" ref="O243:T243" si="243">ROUND(C243 + ((2016-2012)*(I243-C243))/(2024-2012),0)</f>
        <v>12860</v>
      </c>
      <c r="P243" s="23">
        <f t="shared" si="243"/>
        <v>11337</v>
      </c>
      <c r="Q243" s="23">
        <f t="shared" si="243"/>
        <v>51</v>
      </c>
      <c r="R243" s="23">
        <f t="shared" si="243"/>
        <v>88</v>
      </c>
      <c r="S243" s="23">
        <f t="shared" si="243"/>
        <v>36</v>
      </c>
      <c r="T243" s="23">
        <f t="shared" si="243"/>
        <v>1348</v>
      </c>
      <c r="U243" s="23">
        <v>8987</v>
      </c>
      <c r="V243" s="18">
        <f t="shared" si="1"/>
        <v>2350</v>
      </c>
      <c r="W243" s="18">
        <f t="shared" si="2"/>
        <v>2350</v>
      </c>
      <c r="X243" s="19">
        <f t="shared" si="3"/>
        <v>12860</v>
      </c>
      <c r="Y243" s="18">
        <v>555.9999942779541</v>
      </c>
      <c r="Z243" s="20"/>
      <c r="AA243" s="15">
        <v>13611</v>
      </c>
      <c r="AB243" s="23">
        <f t="shared" si="5"/>
        <v>14719</v>
      </c>
      <c r="AC243" s="15">
        <v>16936</v>
      </c>
      <c r="AD243" s="4"/>
      <c r="AE243" s="4"/>
      <c r="AF243" s="4"/>
      <c r="AG243" s="4"/>
      <c r="AH243" s="4"/>
      <c r="AI243" s="4"/>
      <c r="AJ243" s="4"/>
      <c r="AK243" s="4"/>
      <c r="AL243" s="4"/>
    </row>
    <row r="244" spans="1:38" ht="14.4">
      <c r="A244" s="13">
        <v>51601</v>
      </c>
      <c r="B244" s="14" t="s">
        <v>259</v>
      </c>
      <c r="C244" s="15">
        <v>489</v>
      </c>
      <c r="D244" s="15">
        <v>206</v>
      </c>
      <c r="E244" s="15">
        <v>22</v>
      </c>
      <c r="F244" s="15">
        <v>54</v>
      </c>
      <c r="G244" s="15">
        <v>30</v>
      </c>
      <c r="H244" s="15">
        <v>177</v>
      </c>
      <c r="I244" s="15">
        <v>667</v>
      </c>
      <c r="J244" s="15">
        <v>550</v>
      </c>
      <c r="K244" s="15">
        <v>3</v>
      </c>
      <c r="L244" s="15">
        <v>40</v>
      </c>
      <c r="M244" s="15">
        <v>15</v>
      </c>
      <c r="N244" s="15">
        <v>59</v>
      </c>
      <c r="O244" s="16">
        <f t="shared" ref="O244:T244" si="244">ROUND(C244 + ((2016-2012)*(I244-C244))/(2024-2012),0)</f>
        <v>548</v>
      </c>
      <c r="P244" s="17">
        <f t="shared" si="244"/>
        <v>321</v>
      </c>
      <c r="Q244" s="17">
        <f t="shared" si="244"/>
        <v>16</v>
      </c>
      <c r="R244" s="17">
        <f t="shared" si="244"/>
        <v>49</v>
      </c>
      <c r="S244" s="17">
        <f t="shared" si="244"/>
        <v>25</v>
      </c>
      <c r="T244" s="17">
        <f t="shared" si="244"/>
        <v>138</v>
      </c>
      <c r="U244" s="25">
        <v>226</v>
      </c>
      <c r="V244" s="18">
        <f t="shared" si="1"/>
        <v>95</v>
      </c>
      <c r="W244" s="18">
        <f t="shared" si="2"/>
        <v>95</v>
      </c>
      <c r="X244" s="19">
        <f t="shared" si="3"/>
        <v>549</v>
      </c>
      <c r="Y244" s="18">
        <v>371.99999392032623</v>
      </c>
      <c r="Z244" s="20"/>
      <c r="AA244" s="15">
        <v>724</v>
      </c>
      <c r="AB244" s="17">
        <f t="shared" si="5"/>
        <v>884</v>
      </c>
      <c r="AC244" s="15">
        <v>1204</v>
      </c>
      <c r="AD244" s="4"/>
      <c r="AE244" s="4"/>
      <c r="AF244" s="4"/>
      <c r="AG244" s="4"/>
      <c r="AH244" s="4"/>
      <c r="AI244" s="4"/>
      <c r="AJ244" s="4"/>
      <c r="AK244" s="4"/>
      <c r="AL244" s="4"/>
    </row>
    <row r="245" spans="1:38" ht="14.4">
      <c r="A245" s="21">
        <v>60101</v>
      </c>
      <c r="B245" s="22" t="s">
        <v>260</v>
      </c>
      <c r="C245" s="15">
        <v>54926</v>
      </c>
      <c r="D245" s="15">
        <v>51411</v>
      </c>
      <c r="E245" s="15">
        <v>92</v>
      </c>
      <c r="F245" s="15">
        <v>115</v>
      </c>
      <c r="G245" s="15">
        <v>109</v>
      </c>
      <c r="H245" s="15">
        <v>3199</v>
      </c>
      <c r="I245" s="15">
        <v>72709</v>
      </c>
      <c r="J245" s="15">
        <v>70904</v>
      </c>
      <c r="K245" s="15">
        <v>185</v>
      </c>
      <c r="L245" s="15">
        <v>69</v>
      </c>
      <c r="M245" s="15">
        <v>222</v>
      </c>
      <c r="N245" s="15">
        <v>1329</v>
      </c>
      <c r="O245" s="16">
        <f t="shared" ref="O245:T245" si="245">ROUND(C245 + ((2016-2012)*(I245-C245))/(2024-2012),0)</f>
        <v>60854</v>
      </c>
      <c r="P245" s="23">
        <f t="shared" si="245"/>
        <v>57909</v>
      </c>
      <c r="Q245" s="23">
        <f t="shared" si="245"/>
        <v>123</v>
      </c>
      <c r="R245" s="23">
        <f t="shared" si="245"/>
        <v>100</v>
      </c>
      <c r="S245" s="23">
        <f t="shared" si="245"/>
        <v>147</v>
      </c>
      <c r="T245" s="23">
        <f t="shared" si="245"/>
        <v>2576</v>
      </c>
      <c r="U245" s="23">
        <v>52494</v>
      </c>
      <c r="V245" s="18">
        <f t="shared" si="1"/>
        <v>5415</v>
      </c>
      <c r="W245" s="18">
        <f t="shared" si="2"/>
        <v>5415</v>
      </c>
      <c r="X245" s="19">
        <f t="shared" si="3"/>
        <v>60855</v>
      </c>
      <c r="Y245" s="18">
        <v>1128.9999485015869</v>
      </c>
      <c r="Z245" s="20"/>
      <c r="AA245" s="15">
        <v>61716</v>
      </c>
      <c r="AB245" s="23">
        <f t="shared" si="5"/>
        <v>71064</v>
      </c>
      <c r="AC245" s="15">
        <v>89760</v>
      </c>
      <c r="AD245" s="4"/>
      <c r="AE245" s="4"/>
      <c r="AF245" s="4"/>
      <c r="AG245" s="4"/>
      <c r="AH245" s="4"/>
      <c r="AI245" s="4"/>
      <c r="AJ245" s="4"/>
      <c r="AK245" s="4"/>
      <c r="AL245" s="4"/>
    </row>
    <row r="246" spans="1:38" ht="14.4">
      <c r="A246" s="13">
        <v>60201</v>
      </c>
      <c r="B246" s="14" t="s">
        <v>261</v>
      </c>
      <c r="C246" s="15">
        <v>5090</v>
      </c>
      <c r="D246" s="15">
        <v>3652</v>
      </c>
      <c r="E246" s="15">
        <v>29</v>
      </c>
      <c r="F246" s="15">
        <v>564</v>
      </c>
      <c r="G246" s="15">
        <v>14</v>
      </c>
      <c r="H246" s="15">
        <v>831</v>
      </c>
      <c r="I246" s="15">
        <v>5649</v>
      </c>
      <c r="J246" s="15">
        <v>4732</v>
      </c>
      <c r="K246" s="15">
        <v>21</v>
      </c>
      <c r="L246" s="15">
        <v>173</v>
      </c>
      <c r="M246" s="15">
        <v>18</v>
      </c>
      <c r="N246" s="15">
        <v>705</v>
      </c>
      <c r="O246" s="16">
        <f t="shared" ref="O246:T246" si="246">ROUND(C246 + ((2016-2012)*(I246-C246))/(2024-2012),0)</f>
        <v>5276</v>
      </c>
      <c r="P246" s="17">
        <f t="shared" si="246"/>
        <v>4012</v>
      </c>
      <c r="Q246" s="17">
        <f t="shared" si="246"/>
        <v>26</v>
      </c>
      <c r="R246" s="17">
        <f t="shared" si="246"/>
        <v>434</v>
      </c>
      <c r="S246" s="17">
        <f t="shared" si="246"/>
        <v>15</v>
      </c>
      <c r="T246" s="17">
        <f t="shared" si="246"/>
        <v>789</v>
      </c>
      <c r="U246" s="17">
        <v>4322</v>
      </c>
      <c r="V246" s="18">
        <f t="shared" si="1"/>
        <v>-310</v>
      </c>
      <c r="W246" s="18">
        <f t="shared" si="2"/>
        <v>0</v>
      </c>
      <c r="X246" s="19">
        <f t="shared" si="3"/>
        <v>5586</v>
      </c>
      <c r="Y246" s="18">
        <v>298.00000786781311</v>
      </c>
      <c r="Z246" s="20"/>
      <c r="AA246" s="15">
        <v>6316</v>
      </c>
      <c r="AB246" s="17">
        <f t="shared" si="5"/>
        <v>6891</v>
      </c>
      <c r="AC246" s="15">
        <v>8042</v>
      </c>
      <c r="AD246" s="4"/>
      <c r="AE246" s="4"/>
      <c r="AF246" s="4"/>
      <c r="AG246" s="4"/>
      <c r="AH246" s="4"/>
      <c r="AI246" s="4"/>
      <c r="AJ246" s="4"/>
      <c r="AK246" s="4"/>
      <c r="AL246" s="4"/>
    </row>
    <row r="247" spans="1:38" ht="14.4">
      <c r="A247" s="21">
        <v>60202</v>
      </c>
      <c r="B247" s="22" t="s">
        <v>262</v>
      </c>
      <c r="C247" s="15">
        <v>9012</v>
      </c>
      <c r="D247" s="15">
        <v>8417</v>
      </c>
      <c r="E247" s="15">
        <v>13</v>
      </c>
      <c r="F247" s="15">
        <v>10</v>
      </c>
      <c r="G247" s="15">
        <v>7</v>
      </c>
      <c r="H247" s="15">
        <v>565</v>
      </c>
      <c r="I247" s="15">
        <v>10626</v>
      </c>
      <c r="J247" s="15">
        <v>10347</v>
      </c>
      <c r="K247" s="15">
        <v>24</v>
      </c>
      <c r="L247" s="15">
        <v>54</v>
      </c>
      <c r="M247" s="15">
        <v>8</v>
      </c>
      <c r="N247" s="15">
        <v>193</v>
      </c>
      <c r="O247" s="16">
        <f t="shared" ref="O247:T247" si="247">ROUND(C247 + ((2016-2012)*(I247-C247))/(2024-2012),0)</f>
        <v>9550</v>
      </c>
      <c r="P247" s="23">
        <f t="shared" si="247"/>
        <v>9060</v>
      </c>
      <c r="Q247" s="23">
        <f t="shared" si="247"/>
        <v>17</v>
      </c>
      <c r="R247" s="23">
        <f t="shared" si="247"/>
        <v>25</v>
      </c>
      <c r="S247" s="23">
        <f t="shared" si="247"/>
        <v>7</v>
      </c>
      <c r="T247" s="23">
        <f t="shared" si="247"/>
        <v>441</v>
      </c>
      <c r="U247" s="23">
        <v>10061</v>
      </c>
      <c r="V247" s="18">
        <f t="shared" si="1"/>
        <v>-1001</v>
      </c>
      <c r="W247" s="18">
        <f t="shared" si="2"/>
        <v>0</v>
      </c>
      <c r="X247" s="19">
        <f t="shared" si="3"/>
        <v>10551</v>
      </c>
      <c r="Y247" s="18">
        <v>845.00002861022949</v>
      </c>
      <c r="Z247" s="20"/>
      <c r="AA247" s="15">
        <v>10093</v>
      </c>
      <c r="AB247" s="23">
        <f t="shared" si="5"/>
        <v>10795</v>
      </c>
      <c r="AC247" s="15">
        <v>12200</v>
      </c>
      <c r="AD247" s="4"/>
      <c r="AE247" s="4"/>
      <c r="AF247" s="4"/>
      <c r="AG247" s="4"/>
      <c r="AH247" s="4"/>
      <c r="AI247" s="4"/>
      <c r="AJ247" s="4"/>
      <c r="AK247" s="4"/>
      <c r="AL247" s="4"/>
    </row>
    <row r="248" spans="1:38" ht="14.4">
      <c r="A248" s="13">
        <v>60301</v>
      </c>
      <c r="B248" s="14" t="s">
        <v>263</v>
      </c>
      <c r="C248" s="15">
        <v>22138</v>
      </c>
      <c r="D248" s="15">
        <v>20275</v>
      </c>
      <c r="E248" s="15">
        <v>381</v>
      </c>
      <c r="F248" s="15">
        <v>34</v>
      </c>
      <c r="G248" s="15">
        <v>59</v>
      </c>
      <c r="H248" s="15">
        <v>1389</v>
      </c>
      <c r="I248" s="15">
        <v>27308</v>
      </c>
      <c r="J248" s="15">
        <v>26042</v>
      </c>
      <c r="K248" s="15">
        <v>467</v>
      </c>
      <c r="L248" s="15">
        <v>137</v>
      </c>
      <c r="M248" s="15">
        <v>89</v>
      </c>
      <c r="N248" s="15">
        <v>573</v>
      </c>
      <c r="O248" s="16">
        <f t="shared" ref="O248:T248" si="248">ROUND(C248 + ((2016-2012)*(I248-C248))/(2024-2012),0)</f>
        <v>23861</v>
      </c>
      <c r="P248" s="17">
        <f t="shared" si="248"/>
        <v>22197</v>
      </c>
      <c r="Q248" s="17">
        <f t="shared" si="248"/>
        <v>410</v>
      </c>
      <c r="R248" s="17">
        <f t="shared" si="248"/>
        <v>68</v>
      </c>
      <c r="S248" s="17">
        <f t="shared" si="248"/>
        <v>69</v>
      </c>
      <c r="T248" s="17">
        <f t="shared" si="248"/>
        <v>1117</v>
      </c>
      <c r="U248" s="17">
        <v>24365</v>
      </c>
      <c r="V248" s="18">
        <f t="shared" si="1"/>
        <v>-2168</v>
      </c>
      <c r="W248" s="18">
        <f t="shared" si="2"/>
        <v>0</v>
      </c>
      <c r="X248" s="19">
        <f t="shared" si="3"/>
        <v>26029</v>
      </c>
      <c r="Y248" s="18">
        <v>824.99998807907104</v>
      </c>
      <c r="Z248" s="20"/>
      <c r="AA248" s="15">
        <v>24047</v>
      </c>
      <c r="AB248" s="17">
        <f t="shared" si="5"/>
        <v>26494</v>
      </c>
      <c r="AC248" s="15">
        <v>31389</v>
      </c>
      <c r="AD248" s="4"/>
      <c r="AE248" s="4"/>
      <c r="AF248" s="4"/>
      <c r="AG248" s="4"/>
      <c r="AH248" s="4"/>
      <c r="AI248" s="4"/>
      <c r="AJ248" s="4"/>
      <c r="AK248" s="4"/>
      <c r="AL248" s="4"/>
    </row>
    <row r="249" spans="1:38" ht="14.4">
      <c r="A249" s="21">
        <v>60302</v>
      </c>
      <c r="B249" s="22" t="s">
        <v>264</v>
      </c>
      <c r="C249" s="15">
        <v>3995</v>
      </c>
      <c r="D249" s="15">
        <v>3457</v>
      </c>
      <c r="E249" s="15">
        <v>6</v>
      </c>
      <c r="F249" s="15">
        <v>14</v>
      </c>
      <c r="G249" s="15">
        <v>6</v>
      </c>
      <c r="H249" s="15">
        <v>512</v>
      </c>
      <c r="I249" s="15">
        <v>4684</v>
      </c>
      <c r="J249" s="15">
        <v>4313</v>
      </c>
      <c r="K249" s="15">
        <v>11</v>
      </c>
      <c r="L249" s="15">
        <v>20</v>
      </c>
      <c r="M249" s="15">
        <v>18</v>
      </c>
      <c r="N249" s="15">
        <v>322</v>
      </c>
      <c r="O249" s="16">
        <f t="shared" ref="O249:T249" si="249">ROUND(C249 + ((2016-2012)*(I249-C249))/(2024-2012),0)</f>
        <v>4225</v>
      </c>
      <c r="P249" s="23">
        <f t="shared" si="249"/>
        <v>3742</v>
      </c>
      <c r="Q249" s="23">
        <f t="shared" si="249"/>
        <v>8</v>
      </c>
      <c r="R249" s="23">
        <f t="shared" si="249"/>
        <v>16</v>
      </c>
      <c r="S249" s="23">
        <f t="shared" si="249"/>
        <v>10</v>
      </c>
      <c r="T249" s="23">
        <f t="shared" si="249"/>
        <v>449</v>
      </c>
      <c r="U249" s="23">
        <v>4355</v>
      </c>
      <c r="V249" s="18">
        <f t="shared" si="1"/>
        <v>-613</v>
      </c>
      <c r="W249" s="18">
        <f t="shared" si="2"/>
        <v>0</v>
      </c>
      <c r="X249" s="19">
        <f t="shared" si="3"/>
        <v>4838</v>
      </c>
      <c r="Y249" s="18">
        <v>504.99999523162842</v>
      </c>
      <c r="Z249" s="20"/>
      <c r="AA249" s="15">
        <v>4308</v>
      </c>
      <c r="AB249" s="23">
        <f t="shared" si="5"/>
        <v>4770</v>
      </c>
      <c r="AC249" s="15">
        <v>5693</v>
      </c>
      <c r="AD249" s="4"/>
      <c r="AE249" s="4"/>
      <c r="AF249" s="4"/>
      <c r="AG249" s="4"/>
      <c r="AH249" s="4"/>
      <c r="AI249" s="4"/>
      <c r="AJ249" s="4"/>
      <c r="AK249" s="4"/>
      <c r="AL249" s="4"/>
    </row>
    <row r="250" spans="1:38" ht="14.4">
      <c r="A250" s="13">
        <v>60303</v>
      </c>
      <c r="B250" s="14" t="s">
        <v>265</v>
      </c>
      <c r="C250" s="15">
        <v>10289</v>
      </c>
      <c r="D250" s="15">
        <v>8549</v>
      </c>
      <c r="E250" s="15">
        <v>163</v>
      </c>
      <c r="F250" s="15">
        <v>250</v>
      </c>
      <c r="G250" s="15">
        <v>76</v>
      </c>
      <c r="H250" s="15">
        <v>1251</v>
      </c>
      <c r="I250" s="15">
        <v>14040</v>
      </c>
      <c r="J250" s="15">
        <v>12593</v>
      </c>
      <c r="K250" s="15">
        <v>193</v>
      </c>
      <c r="L250" s="15">
        <v>333</v>
      </c>
      <c r="M250" s="15">
        <v>89</v>
      </c>
      <c r="N250" s="15">
        <v>832</v>
      </c>
      <c r="O250" s="16">
        <f t="shared" ref="O250:T250" si="250">ROUND(C250 + ((2016-2012)*(I250-C250))/(2024-2012),0)</f>
        <v>11539</v>
      </c>
      <c r="P250" s="17">
        <f t="shared" si="250"/>
        <v>9897</v>
      </c>
      <c r="Q250" s="17">
        <f t="shared" si="250"/>
        <v>173</v>
      </c>
      <c r="R250" s="17">
        <f t="shared" si="250"/>
        <v>278</v>
      </c>
      <c r="S250" s="17">
        <f t="shared" si="250"/>
        <v>80</v>
      </c>
      <c r="T250" s="17">
        <f t="shared" si="250"/>
        <v>1111</v>
      </c>
      <c r="U250" s="17">
        <v>13582</v>
      </c>
      <c r="V250" s="18">
        <f t="shared" si="1"/>
        <v>-3685</v>
      </c>
      <c r="W250" s="18">
        <f t="shared" si="2"/>
        <v>0</v>
      </c>
      <c r="X250" s="19">
        <f t="shared" si="3"/>
        <v>15224</v>
      </c>
      <c r="Y250" s="18">
        <v>757.00002908706665</v>
      </c>
      <c r="Z250" s="20"/>
      <c r="AA250" s="15">
        <v>11503</v>
      </c>
      <c r="AB250" s="17">
        <f t="shared" si="5"/>
        <v>13458</v>
      </c>
      <c r="AC250" s="15">
        <v>17369</v>
      </c>
      <c r="AD250" s="4"/>
      <c r="AE250" s="4"/>
      <c r="AF250" s="4"/>
      <c r="AG250" s="4"/>
      <c r="AH250" s="4"/>
      <c r="AI250" s="4"/>
      <c r="AJ250" s="4"/>
      <c r="AK250" s="4"/>
      <c r="AL250" s="4"/>
    </row>
    <row r="251" spans="1:38" ht="14.4">
      <c r="A251" s="21">
        <v>60401</v>
      </c>
      <c r="B251" s="22" t="s">
        <v>266</v>
      </c>
      <c r="C251" s="15">
        <v>4162</v>
      </c>
      <c r="D251" s="15">
        <v>3096</v>
      </c>
      <c r="E251" s="15">
        <v>24</v>
      </c>
      <c r="F251" s="15">
        <v>34</v>
      </c>
      <c r="G251" s="15">
        <v>21</v>
      </c>
      <c r="H251" s="15">
        <v>987</v>
      </c>
      <c r="I251" s="15">
        <v>4916</v>
      </c>
      <c r="J251" s="15">
        <v>4474</v>
      </c>
      <c r="K251" s="15">
        <v>10</v>
      </c>
      <c r="L251" s="15">
        <v>18</v>
      </c>
      <c r="M251" s="15">
        <v>12</v>
      </c>
      <c r="N251" s="15">
        <v>402</v>
      </c>
      <c r="O251" s="16">
        <f t="shared" ref="O251:T251" si="251">ROUND(C251 + ((2016-2012)*(I251-C251))/(2024-2012),0)</f>
        <v>4413</v>
      </c>
      <c r="P251" s="23">
        <f t="shared" si="251"/>
        <v>3555</v>
      </c>
      <c r="Q251" s="23">
        <f t="shared" si="251"/>
        <v>19</v>
      </c>
      <c r="R251" s="23">
        <f t="shared" si="251"/>
        <v>29</v>
      </c>
      <c r="S251" s="23">
        <f t="shared" si="251"/>
        <v>18</v>
      </c>
      <c r="T251" s="23">
        <f t="shared" si="251"/>
        <v>792</v>
      </c>
      <c r="U251" s="23">
        <v>3450</v>
      </c>
      <c r="V251" s="18">
        <f t="shared" si="1"/>
        <v>105</v>
      </c>
      <c r="W251" s="18">
        <f t="shared" si="2"/>
        <v>105</v>
      </c>
      <c r="X251" s="19">
        <f t="shared" si="3"/>
        <v>4413</v>
      </c>
      <c r="Y251" s="18">
        <v>538.99997472763062</v>
      </c>
      <c r="Z251" s="20"/>
      <c r="AA251" s="15">
        <v>4885</v>
      </c>
      <c r="AB251" s="23">
        <f t="shared" si="5"/>
        <v>5534</v>
      </c>
      <c r="AC251" s="15">
        <v>6833</v>
      </c>
      <c r="AD251" s="4"/>
      <c r="AE251" s="4"/>
      <c r="AF251" s="4"/>
      <c r="AG251" s="4"/>
      <c r="AH251" s="4"/>
      <c r="AI251" s="4"/>
      <c r="AJ251" s="4"/>
      <c r="AK251" s="4"/>
      <c r="AL251" s="4"/>
    </row>
    <row r="252" spans="1:38" ht="14.4">
      <c r="A252" s="13">
        <v>60402</v>
      </c>
      <c r="B252" s="14" t="s">
        <v>267</v>
      </c>
      <c r="C252" s="15">
        <v>1484</v>
      </c>
      <c r="D252" s="15">
        <v>1032</v>
      </c>
      <c r="E252" s="15">
        <v>2</v>
      </c>
      <c r="F252" s="15">
        <v>117</v>
      </c>
      <c r="G252" s="15">
        <v>0</v>
      </c>
      <c r="H252" s="15">
        <v>333</v>
      </c>
      <c r="I252" s="15">
        <v>1530</v>
      </c>
      <c r="J252" s="15">
        <v>1364</v>
      </c>
      <c r="K252" s="15">
        <v>0</v>
      </c>
      <c r="L252" s="15">
        <v>22</v>
      </c>
      <c r="M252" s="15">
        <v>3</v>
      </c>
      <c r="N252" s="15">
        <v>141</v>
      </c>
      <c r="O252" s="16">
        <f t="shared" ref="O252:T252" si="252">ROUND(C252 + ((2016-2012)*(I252-C252))/(2024-2012),0)</f>
        <v>1499</v>
      </c>
      <c r="P252" s="17">
        <f t="shared" si="252"/>
        <v>1143</v>
      </c>
      <c r="Q252" s="17">
        <f t="shared" si="252"/>
        <v>1</v>
      </c>
      <c r="R252" s="17">
        <f t="shared" si="252"/>
        <v>85</v>
      </c>
      <c r="S252" s="17">
        <f t="shared" si="252"/>
        <v>1</v>
      </c>
      <c r="T252" s="17">
        <f t="shared" si="252"/>
        <v>269</v>
      </c>
      <c r="U252" s="17">
        <v>1084</v>
      </c>
      <c r="V252" s="18">
        <f t="shared" si="1"/>
        <v>59</v>
      </c>
      <c r="W252" s="18">
        <f t="shared" si="2"/>
        <v>59</v>
      </c>
      <c r="X252" s="19">
        <f t="shared" si="3"/>
        <v>1499</v>
      </c>
      <c r="Y252" s="18">
        <v>79.000003635883331</v>
      </c>
      <c r="Z252" s="20"/>
      <c r="AA252" s="15">
        <v>1879</v>
      </c>
      <c r="AB252" s="17">
        <f t="shared" si="5"/>
        <v>1953</v>
      </c>
      <c r="AC252" s="15">
        <v>2102</v>
      </c>
      <c r="AD252" s="4"/>
      <c r="AE252" s="4"/>
      <c r="AF252" s="4"/>
      <c r="AG252" s="4"/>
      <c r="AH252" s="4"/>
      <c r="AI252" s="4"/>
      <c r="AJ252" s="4"/>
      <c r="AK252" s="4"/>
      <c r="AL252" s="4"/>
    </row>
    <row r="253" spans="1:38" ht="14.4">
      <c r="A253" s="21">
        <v>60501</v>
      </c>
      <c r="B253" s="22" t="s">
        <v>268</v>
      </c>
      <c r="C253" s="15">
        <v>6484</v>
      </c>
      <c r="D253" s="15">
        <v>4808</v>
      </c>
      <c r="E253" s="15">
        <v>24</v>
      </c>
      <c r="F253" s="15">
        <v>261</v>
      </c>
      <c r="G253" s="15">
        <v>27</v>
      </c>
      <c r="H253" s="15">
        <v>1364</v>
      </c>
      <c r="I253" s="15">
        <v>9336</v>
      </c>
      <c r="J253" s="15">
        <v>7895</v>
      </c>
      <c r="K253" s="15">
        <v>34</v>
      </c>
      <c r="L253" s="15">
        <v>279</v>
      </c>
      <c r="M253" s="15">
        <v>45</v>
      </c>
      <c r="N253" s="15">
        <v>1083</v>
      </c>
      <c r="O253" s="16">
        <f t="shared" ref="O253:T253" si="253">ROUND(C253 + ((2016-2012)*(I253-C253))/(2024-2012),0)</f>
        <v>7435</v>
      </c>
      <c r="P253" s="23">
        <f t="shared" si="253"/>
        <v>5837</v>
      </c>
      <c r="Q253" s="23">
        <f t="shared" si="253"/>
        <v>27</v>
      </c>
      <c r="R253" s="23">
        <f t="shared" si="253"/>
        <v>267</v>
      </c>
      <c r="S253" s="23">
        <f t="shared" si="253"/>
        <v>33</v>
      </c>
      <c r="T253" s="23">
        <f t="shared" si="253"/>
        <v>1270</v>
      </c>
      <c r="U253" s="23">
        <v>6294</v>
      </c>
      <c r="V253" s="18">
        <f t="shared" si="1"/>
        <v>-457</v>
      </c>
      <c r="W253" s="18">
        <f t="shared" si="2"/>
        <v>0</v>
      </c>
      <c r="X253" s="19">
        <f t="shared" si="3"/>
        <v>7891</v>
      </c>
      <c r="Y253" s="18">
        <v>518.00000667572021</v>
      </c>
      <c r="Z253" s="20"/>
      <c r="AA253" s="15">
        <v>7874</v>
      </c>
      <c r="AB253" s="23">
        <f t="shared" si="5"/>
        <v>9546</v>
      </c>
      <c r="AC253" s="15">
        <v>12889</v>
      </c>
      <c r="AD253" s="4"/>
      <c r="AE253" s="4"/>
      <c r="AF253" s="4"/>
      <c r="AG253" s="4"/>
      <c r="AH253" s="4"/>
      <c r="AI253" s="4"/>
      <c r="AJ253" s="4"/>
      <c r="AK253" s="4"/>
      <c r="AL253" s="4"/>
    </row>
    <row r="254" spans="1:38" ht="14.4">
      <c r="A254" s="13">
        <v>60502</v>
      </c>
      <c r="B254" s="14" t="s">
        <v>269</v>
      </c>
      <c r="C254" s="15">
        <v>3253</v>
      </c>
      <c r="D254" s="15">
        <v>2523</v>
      </c>
      <c r="E254" s="15">
        <v>3</v>
      </c>
      <c r="F254" s="15">
        <v>173</v>
      </c>
      <c r="G254" s="15">
        <v>27</v>
      </c>
      <c r="H254" s="15">
        <v>527</v>
      </c>
      <c r="I254" s="15">
        <v>3240</v>
      </c>
      <c r="J254" s="15">
        <v>2935</v>
      </c>
      <c r="K254" s="15">
        <v>4</v>
      </c>
      <c r="L254" s="15">
        <v>84</v>
      </c>
      <c r="M254" s="15">
        <v>26</v>
      </c>
      <c r="N254" s="15">
        <v>191</v>
      </c>
      <c r="O254" s="16">
        <f t="shared" ref="O254:T254" si="254">ROUND(C254 + ((2016-2012)*(I254-C254))/(2024-2012),0)</f>
        <v>3249</v>
      </c>
      <c r="P254" s="17">
        <f t="shared" si="254"/>
        <v>2660</v>
      </c>
      <c r="Q254" s="17">
        <f t="shared" si="254"/>
        <v>3</v>
      </c>
      <c r="R254" s="17">
        <f t="shared" si="254"/>
        <v>143</v>
      </c>
      <c r="S254" s="17">
        <f t="shared" si="254"/>
        <v>27</v>
      </c>
      <c r="T254" s="17">
        <f t="shared" si="254"/>
        <v>415</v>
      </c>
      <c r="U254" s="17">
        <v>2701</v>
      </c>
      <c r="V254" s="18">
        <f t="shared" si="1"/>
        <v>-41</v>
      </c>
      <c r="W254" s="18">
        <f t="shared" si="2"/>
        <v>0</v>
      </c>
      <c r="X254" s="19">
        <f t="shared" si="3"/>
        <v>3289</v>
      </c>
      <c r="Y254" s="18">
        <v>143.99999380111694</v>
      </c>
      <c r="Z254" s="20"/>
      <c r="AA254" s="15">
        <v>4281</v>
      </c>
      <c r="AB254" s="17">
        <f t="shared" si="5"/>
        <v>4354</v>
      </c>
      <c r="AC254" s="15">
        <v>4500</v>
      </c>
      <c r="AD254" s="4"/>
      <c r="AE254" s="4"/>
      <c r="AF254" s="4"/>
      <c r="AG254" s="4"/>
      <c r="AH254" s="4"/>
      <c r="AI254" s="4"/>
      <c r="AJ254" s="4"/>
      <c r="AK254" s="4"/>
      <c r="AL254" s="4"/>
    </row>
    <row r="255" spans="1:38" ht="14.4">
      <c r="A255" s="21">
        <v>60601</v>
      </c>
      <c r="B255" s="22" t="s">
        <v>170</v>
      </c>
      <c r="C255" s="15">
        <v>5415</v>
      </c>
      <c r="D255" s="15">
        <v>3135</v>
      </c>
      <c r="E255" s="15">
        <v>154</v>
      </c>
      <c r="F255" s="15">
        <v>328</v>
      </c>
      <c r="G255" s="15">
        <v>62</v>
      </c>
      <c r="H255" s="15">
        <v>1736</v>
      </c>
      <c r="I255" s="15">
        <v>6216</v>
      </c>
      <c r="J255" s="15">
        <v>5498</v>
      </c>
      <c r="K255" s="15">
        <v>15</v>
      </c>
      <c r="L255" s="15">
        <v>74</v>
      </c>
      <c r="M255" s="15">
        <v>6</v>
      </c>
      <c r="N255" s="15">
        <v>623</v>
      </c>
      <c r="O255" s="16">
        <f t="shared" ref="O255:T255" si="255">ROUND(C255 + ((2016-2012)*(I255-C255))/(2024-2012),0)</f>
        <v>5682</v>
      </c>
      <c r="P255" s="23">
        <f t="shared" si="255"/>
        <v>3923</v>
      </c>
      <c r="Q255" s="23">
        <f t="shared" si="255"/>
        <v>108</v>
      </c>
      <c r="R255" s="23">
        <f t="shared" si="255"/>
        <v>243</v>
      </c>
      <c r="S255" s="23">
        <f t="shared" si="255"/>
        <v>43</v>
      </c>
      <c r="T255" s="23">
        <f t="shared" si="255"/>
        <v>1365</v>
      </c>
      <c r="U255" s="23">
        <v>5625</v>
      </c>
      <c r="V255" s="18">
        <f t="shared" si="1"/>
        <v>-1702</v>
      </c>
      <c r="W255" s="18">
        <f t="shared" si="2"/>
        <v>0</v>
      </c>
      <c r="X255" s="19">
        <f t="shared" si="3"/>
        <v>7384</v>
      </c>
      <c r="Y255" s="18">
        <v>286.00001335144043</v>
      </c>
      <c r="Z255" s="20"/>
      <c r="AA255" s="15">
        <v>6222</v>
      </c>
      <c r="AB255" s="23">
        <f t="shared" si="5"/>
        <v>6854</v>
      </c>
      <c r="AC255" s="15">
        <v>8118</v>
      </c>
      <c r="AD255" s="4"/>
      <c r="AE255" s="4"/>
      <c r="AF255" s="4"/>
      <c r="AG255" s="4"/>
      <c r="AH255" s="4"/>
      <c r="AI255" s="4"/>
      <c r="AJ255" s="4"/>
      <c r="AK255" s="4"/>
      <c r="AL255" s="4"/>
    </row>
    <row r="256" spans="1:38" ht="14.4">
      <c r="A256" s="13">
        <v>70101</v>
      </c>
      <c r="B256" s="14" t="s">
        <v>270</v>
      </c>
      <c r="C256" s="15">
        <v>360441</v>
      </c>
      <c r="D256" s="15">
        <v>354684</v>
      </c>
      <c r="E256" s="15">
        <v>839</v>
      </c>
      <c r="F256" s="15">
        <v>82</v>
      </c>
      <c r="G256" s="15">
        <v>757</v>
      </c>
      <c r="H256" s="15">
        <v>4079</v>
      </c>
      <c r="I256" s="15">
        <v>453158</v>
      </c>
      <c r="J256" s="15">
        <v>448041</v>
      </c>
      <c r="K256" s="15">
        <v>1756</v>
      </c>
      <c r="L256" s="15">
        <v>216</v>
      </c>
      <c r="M256" s="15">
        <v>1535</v>
      </c>
      <c r="N256" s="15">
        <v>1610</v>
      </c>
      <c r="O256" s="16">
        <f t="shared" ref="O256:T256" si="256">ROUND(C256 + ((2016-2012)*(I256-C256))/(2024-2012),0)</f>
        <v>391347</v>
      </c>
      <c r="P256" s="17">
        <f t="shared" si="256"/>
        <v>385803</v>
      </c>
      <c r="Q256" s="17">
        <f t="shared" si="256"/>
        <v>1145</v>
      </c>
      <c r="R256" s="17">
        <f t="shared" si="256"/>
        <v>127</v>
      </c>
      <c r="S256" s="17">
        <f t="shared" si="256"/>
        <v>1016</v>
      </c>
      <c r="T256" s="17">
        <f t="shared" si="256"/>
        <v>3256</v>
      </c>
      <c r="U256" s="17">
        <v>331478</v>
      </c>
      <c r="V256" s="18">
        <f t="shared" si="1"/>
        <v>54325</v>
      </c>
      <c r="W256" s="18">
        <f t="shared" si="2"/>
        <v>54325</v>
      </c>
      <c r="X256" s="19">
        <f t="shared" si="3"/>
        <v>391347</v>
      </c>
      <c r="Y256" s="18">
        <v>2062.000036239624</v>
      </c>
      <c r="Z256" s="20"/>
      <c r="AA256" s="15">
        <v>386109</v>
      </c>
      <c r="AB256" s="17">
        <f t="shared" si="5"/>
        <v>428725</v>
      </c>
      <c r="AC256" s="15">
        <v>513956</v>
      </c>
      <c r="AD256" s="4"/>
      <c r="AE256" s="4"/>
      <c r="AF256" s="4"/>
      <c r="AG256" s="4"/>
      <c r="AH256" s="4"/>
      <c r="AI256" s="4"/>
      <c r="AJ256" s="4"/>
      <c r="AK256" s="4"/>
      <c r="AL256" s="4"/>
    </row>
    <row r="257" spans="1:38" ht="14.4">
      <c r="A257" s="21">
        <v>70102</v>
      </c>
      <c r="B257" s="22" t="s">
        <v>271</v>
      </c>
      <c r="C257" s="15">
        <v>12677</v>
      </c>
      <c r="D257" s="15">
        <v>11590</v>
      </c>
      <c r="E257" s="15">
        <v>69</v>
      </c>
      <c r="F257" s="15">
        <v>19</v>
      </c>
      <c r="G257" s="15">
        <v>106</v>
      </c>
      <c r="H257" s="15">
        <v>893</v>
      </c>
      <c r="I257" s="15">
        <v>27833</v>
      </c>
      <c r="J257" s="15">
        <v>26622</v>
      </c>
      <c r="K257" s="15">
        <v>96</v>
      </c>
      <c r="L257" s="15">
        <v>291</v>
      </c>
      <c r="M257" s="15">
        <v>131</v>
      </c>
      <c r="N257" s="15">
        <v>693</v>
      </c>
      <c r="O257" s="16">
        <f t="shared" ref="O257:T257" si="257">ROUND(C257 + ((2016-2012)*(I257-C257))/(2024-2012),0)</f>
        <v>17729</v>
      </c>
      <c r="P257" s="23">
        <f t="shared" si="257"/>
        <v>16601</v>
      </c>
      <c r="Q257" s="23">
        <f t="shared" si="257"/>
        <v>78</v>
      </c>
      <c r="R257" s="23">
        <f t="shared" si="257"/>
        <v>110</v>
      </c>
      <c r="S257" s="23">
        <f t="shared" si="257"/>
        <v>114</v>
      </c>
      <c r="T257" s="23">
        <f t="shared" si="257"/>
        <v>826</v>
      </c>
      <c r="U257" s="23">
        <v>12067</v>
      </c>
      <c r="V257" s="18">
        <f t="shared" si="1"/>
        <v>4534</v>
      </c>
      <c r="W257" s="18">
        <f t="shared" si="2"/>
        <v>4534</v>
      </c>
      <c r="X257" s="19">
        <f t="shared" si="3"/>
        <v>17729</v>
      </c>
      <c r="Y257" s="18">
        <v>1207.0000171661377</v>
      </c>
      <c r="Z257" s="20"/>
      <c r="AA257" s="15">
        <v>13916</v>
      </c>
      <c r="AB257" s="23">
        <f t="shared" si="5"/>
        <v>20520</v>
      </c>
      <c r="AC257" s="15">
        <v>33728</v>
      </c>
      <c r="AD257" s="4"/>
      <c r="AE257" s="4"/>
      <c r="AF257" s="4"/>
      <c r="AG257" s="4"/>
      <c r="AH257" s="4"/>
      <c r="AI257" s="4"/>
      <c r="AJ257" s="4"/>
      <c r="AK257" s="4"/>
      <c r="AL257" s="4"/>
    </row>
    <row r="258" spans="1:38" ht="14.4">
      <c r="A258" s="13">
        <v>70103</v>
      </c>
      <c r="B258" s="14" t="s">
        <v>272</v>
      </c>
      <c r="C258" s="15">
        <v>3622</v>
      </c>
      <c r="D258" s="15">
        <v>2643</v>
      </c>
      <c r="E258" s="15">
        <v>122</v>
      </c>
      <c r="F258" s="15">
        <v>149</v>
      </c>
      <c r="G258" s="15">
        <v>43</v>
      </c>
      <c r="H258" s="15">
        <v>665</v>
      </c>
      <c r="I258" s="15">
        <v>6642</v>
      </c>
      <c r="J258" s="15">
        <v>6044</v>
      </c>
      <c r="K258" s="15">
        <v>59</v>
      </c>
      <c r="L258" s="15">
        <v>158</v>
      </c>
      <c r="M258" s="15">
        <v>18</v>
      </c>
      <c r="N258" s="15">
        <v>363</v>
      </c>
      <c r="O258" s="16">
        <f t="shared" ref="O258:T258" si="258">ROUND(C258 + ((2016-2012)*(I258-C258))/(2024-2012),0)</f>
        <v>4629</v>
      </c>
      <c r="P258" s="17">
        <f t="shared" si="258"/>
        <v>3777</v>
      </c>
      <c r="Q258" s="17">
        <f t="shared" si="258"/>
        <v>101</v>
      </c>
      <c r="R258" s="17">
        <f t="shared" si="258"/>
        <v>152</v>
      </c>
      <c r="S258" s="17">
        <f t="shared" si="258"/>
        <v>35</v>
      </c>
      <c r="T258" s="17">
        <f t="shared" si="258"/>
        <v>564</v>
      </c>
      <c r="U258" s="17">
        <v>4034</v>
      </c>
      <c r="V258" s="18">
        <f t="shared" si="1"/>
        <v>-257</v>
      </c>
      <c r="W258" s="18">
        <f t="shared" si="2"/>
        <v>0</v>
      </c>
      <c r="X258" s="19">
        <f t="shared" si="3"/>
        <v>4886</v>
      </c>
      <c r="Y258" s="18">
        <v>1733.9999675750732</v>
      </c>
      <c r="Z258" s="20"/>
      <c r="AA258" s="15">
        <v>4379</v>
      </c>
      <c r="AB258" s="17">
        <f t="shared" si="5"/>
        <v>5626</v>
      </c>
      <c r="AC258" s="15">
        <v>8119</v>
      </c>
      <c r="AD258" s="4"/>
      <c r="AE258" s="4"/>
      <c r="AF258" s="4"/>
      <c r="AG258" s="4"/>
      <c r="AH258" s="4"/>
      <c r="AI258" s="4"/>
      <c r="AJ258" s="4"/>
      <c r="AK258" s="4"/>
      <c r="AL258" s="4"/>
    </row>
    <row r="259" spans="1:38" ht="14.4">
      <c r="A259" s="21">
        <v>70104</v>
      </c>
      <c r="B259" s="22" t="s">
        <v>273</v>
      </c>
      <c r="C259" s="15">
        <v>21314</v>
      </c>
      <c r="D259" s="15">
        <v>19800</v>
      </c>
      <c r="E259" s="15">
        <v>471</v>
      </c>
      <c r="F259" s="15">
        <v>20</v>
      </c>
      <c r="G259" s="15">
        <v>143</v>
      </c>
      <c r="H259" s="15">
        <v>880</v>
      </c>
      <c r="I259" s="15">
        <v>40267</v>
      </c>
      <c r="J259" s="15">
        <v>39509</v>
      </c>
      <c r="K259" s="15">
        <v>171</v>
      </c>
      <c r="L259" s="15">
        <v>64</v>
      </c>
      <c r="M259" s="15">
        <v>160</v>
      </c>
      <c r="N259" s="15">
        <v>363</v>
      </c>
      <c r="O259" s="16">
        <f t="shared" ref="O259:T259" si="259">ROUND(C259 + ((2016-2012)*(I259-C259))/(2024-2012),0)</f>
        <v>27632</v>
      </c>
      <c r="P259" s="23">
        <f t="shared" si="259"/>
        <v>26370</v>
      </c>
      <c r="Q259" s="23">
        <f t="shared" si="259"/>
        <v>371</v>
      </c>
      <c r="R259" s="23">
        <f t="shared" si="259"/>
        <v>35</v>
      </c>
      <c r="S259" s="23">
        <f t="shared" si="259"/>
        <v>149</v>
      </c>
      <c r="T259" s="23">
        <f t="shared" si="259"/>
        <v>708</v>
      </c>
      <c r="U259" s="23">
        <v>25023</v>
      </c>
      <c r="V259" s="18">
        <f t="shared" ref="V259:V346" si="260">P259-U259</f>
        <v>1347</v>
      </c>
      <c r="W259" s="18">
        <f t="shared" ref="W259:W346" si="261">IF(V259&gt;0,V259,0)</f>
        <v>1347</v>
      </c>
      <c r="X259" s="19">
        <f t="shared" ref="X259:X346" si="262">SUM(Q259:T259,U259,W259)</f>
        <v>27633</v>
      </c>
      <c r="Y259" s="18">
        <v>1269.9999809265137</v>
      </c>
      <c r="Z259" s="20"/>
      <c r="AA259" s="15">
        <v>22965</v>
      </c>
      <c r="AB259" s="23">
        <f t="shared" si="5"/>
        <v>30620</v>
      </c>
      <c r="AC259" s="15">
        <v>45930</v>
      </c>
      <c r="AD259" s="4"/>
      <c r="AE259" s="4"/>
      <c r="AF259" s="4"/>
      <c r="AG259" s="4"/>
      <c r="AH259" s="4"/>
      <c r="AI259" s="4"/>
      <c r="AJ259" s="4"/>
      <c r="AK259" s="4"/>
      <c r="AL259" s="4"/>
    </row>
    <row r="260" spans="1:38" ht="14.4">
      <c r="A260" s="13">
        <v>70105</v>
      </c>
      <c r="B260" s="14" t="s">
        <v>274</v>
      </c>
      <c r="C260" s="15">
        <v>12235</v>
      </c>
      <c r="D260" s="15">
        <v>10310</v>
      </c>
      <c r="E260" s="15">
        <v>48</v>
      </c>
      <c r="F260" s="15">
        <v>222</v>
      </c>
      <c r="G260" s="15">
        <v>111</v>
      </c>
      <c r="H260" s="15">
        <v>1544</v>
      </c>
      <c r="I260" s="15">
        <v>16612</v>
      </c>
      <c r="J260" s="15">
        <v>15466</v>
      </c>
      <c r="K260" s="15">
        <v>45</v>
      </c>
      <c r="L260" s="15">
        <v>337</v>
      </c>
      <c r="M260" s="15">
        <v>76</v>
      </c>
      <c r="N260" s="15">
        <v>688</v>
      </c>
      <c r="O260" s="16">
        <f t="shared" ref="O260:T260" si="263">ROUND(C260 + ((2016-2012)*(I260-C260))/(2024-2012),0)</f>
        <v>13694</v>
      </c>
      <c r="P260" s="17">
        <f t="shared" si="263"/>
        <v>12029</v>
      </c>
      <c r="Q260" s="17">
        <f t="shared" si="263"/>
        <v>47</v>
      </c>
      <c r="R260" s="17">
        <f t="shared" si="263"/>
        <v>260</v>
      </c>
      <c r="S260" s="17">
        <f t="shared" si="263"/>
        <v>99</v>
      </c>
      <c r="T260" s="17">
        <f t="shared" si="263"/>
        <v>1259</v>
      </c>
      <c r="U260" s="17">
        <v>10976</v>
      </c>
      <c r="V260" s="18">
        <f t="shared" si="260"/>
        <v>1053</v>
      </c>
      <c r="W260" s="18">
        <f t="shared" si="261"/>
        <v>1053</v>
      </c>
      <c r="X260" s="19">
        <f t="shared" si="262"/>
        <v>13694</v>
      </c>
      <c r="Y260" s="18">
        <v>911.00001335144043</v>
      </c>
      <c r="Z260" s="20"/>
      <c r="AA260" s="15">
        <v>13424</v>
      </c>
      <c r="AB260" s="17">
        <f t="shared" ref="AB260:AB346" si="264">ROUND(AA260 + ((2016-2012)*(AC260-AA260))/(2024-2012),0)</f>
        <v>15454</v>
      </c>
      <c r="AC260" s="15">
        <v>19514</v>
      </c>
      <c r="AD260" s="4"/>
      <c r="AE260" s="4"/>
      <c r="AF260" s="4"/>
      <c r="AG260" s="4"/>
      <c r="AH260" s="4"/>
      <c r="AI260" s="4"/>
      <c r="AJ260" s="4"/>
      <c r="AK260" s="4"/>
      <c r="AL260" s="4"/>
    </row>
    <row r="261" spans="1:38" ht="14.4">
      <c r="A261" s="21">
        <v>70201</v>
      </c>
      <c r="B261" s="22" t="s">
        <v>275</v>
      </c>
      <c r="C261" s="15">
        <v>23218</v>
      </c>
      <c r="D261" s="15">
        <v>21627</v>
      </c>
      <c r="E261" s="15">
        <v>75</v>
      </c>
      <c r="F261" s="15">
        <v>34</v>
      </c>
      <c r="G261" s="15">
        <v>112</v>
      </c>
      <c r="H261" s="15">
        <v>1370</v>
      </c>
      <c r="I261" s="15">
        <v>40597</v>
      </c>
      <c r="J261" s="15">
        <v>39425</v>
      </c>
      <c r="K261" s="15">
        <v>107</v>
      </c>
      <c r="L261" s="15">
        <v>144</v>
      </c>
      <c r="M261" s="15">
        <v>207</v>
      </c>
      <c r="N261" s="15">
        <v>714</v>
      </c>
      <c r="O261" s="16">
        <f t="shared" ref="O261:T261" si="265">ROUND(C261 + ((2016-2012)*(I261-C261))/(2024-2012),0)</f>
        <v>29011</v>
      </c>
      <c r="P261" s="23">
        <f t="shared" si="265"/>
        <v>27560</v>
      </c>
      <c r="Q261" s="23">
        <f t="shared" si="265"/>
        <v>86</v>
      </c>
      <c r="R261" s="23">
        <f t="shared" si="265"/>
        <v>71</v>
      </c>
      <c r="S261" s="23">
        <f t="shared" si="265"/>
        <v>144</v>
      </c>
      <c r="T261" s="23">
        <f t="shared" si="265"/>
        <v>1151</v>
      </c>
      <c r="U261" s="23">
        <v>28556</v>
      </c>
      <c r="V261" s="18">
        <f t="shared" si="260"/>
        <v>-996</v>
      </c>
      <c r="W261" s="18">
        <f t="shared" si="261"/>
        <v>0</v>
      </c>
      <c r="X261" s="19">
        <f t="shared" si="262"/>
        <v>30008</v>
      </c>
      <c r="Y261" s="18">
        <v>1146.9999551773071</v>
      </c>
      <c r="Z261" s="20"/>
      <c r="AA261" s="15">
        <v>25279</v>
      </c>
      <c r="AB261" s="23">
        <f t="shared" si="264"/>
        <v>32725</v>
      </c>
      <c r="AC261" s="15">
        <v>47617</v>
      </c>
      <c r="AD261" s="4"/>
      <c r="AE261" s="4"/>
      <c r="AF261" s="4"/>
      <c r="AG261" s="4"/>
      <c r="AH261" s="4"/>
      <c r="AI261" s="4"/>
      <c r="AJ261" s="4"/>
      <c r="AK261" s="4"/>
      <c r="AL261" s="4"/>
    </row>
    <row r="262" spans="1:38" ht="14.4">
      <c r="A262" s="13">
        <v>70202</v>
      </c>
      <c r="B262" s="14" t="s">
        <v>276</v>
      </c>
      <c r="C262" s="15">
        <v>2560</v>
      </c>
      <c r="D262" s="15">
        <v>2295</v>
      </c>
      <c r="E262" s="15">
        <v>14</v>
      </c>
      <c r="F262" s="15">
        <v>22</v>
      </c>
      <c r="G262" s="15">
        <v>25</v>
      </c>
      <c r="H262" s="15">
        <v>204</v>
      </c>
      <c r="I262" s="15">
        <v>2896</v>
      </c>
      <c r="J262" s="15">
        <v>2761</v>
      </c>
      <c r="K262" s="15">
        <v>25</v>
      </c>
      <c r="L262" s="15">
        <v>27</v>
      </c>
      <c r="M262" s="15">
        <v>8</v>
      </c>
      <c r="N262" s="15">
        <v>75</v>
      </c>
      <c r="O262" s="16">
        <f t="shared" ref="O262:T262" si="266">ROUND(C262 + ((2016-2012)*(I262-C262))/(2024-2012),0)</f>
        <v>2672</v>
      </c>
      <c r="P262" s="17">
        <f t="shared" si="266"/>
        <v>2450</v>
      </c>
      <c r="Q262" s="17">
        <f t="shared" si="266"/>
        <v>18</v>
      </c>
      <c r="R262" s="17">
        <f t="shared" si="266"/>
        <v>24</v>
      </c>
      <c r="S262" s="17">
        <f t="shared" si="266"/>
        <v>19</v>
      </c>
      <c r="T262" s="17">
        <f t="shared" si="266"/>
        <v>161</v>
      </c>
      <c r="U262" s="17">
        <v>1912</v>
      </c>
      <c r="V262" s="18">
        <f t="shared" si="260"/>
        <v>538</v>
      </c>
      <c r="W262" s="18">
        <f t="shared" si="261"/>
        <v>538</v>
      </c>
      <c r="X262" s="19">
        <f t="shared" si="262"/>
        <v>2672</v>
      </c>
      <c r="Y262" s="18">
        <v>1334.5000147819519</v>
      </c>
      <c r="Z262" s="20"/>
      <c r="AA262" s="15">
        <v>2756</v>
      </c>
      <c r="AB262" s="17">
        <f t="shared" si="264"/>
        <v>2991</v>
      </c>
      <c r="AC262" s="15">
        <v>3462</v>
      </c>
      <c r="AD262" s="4"/>
      <c r="AE262" s="4"/>
      <c r="AF262" s="4"/>
      <c r="AG262" s="4"/>
      <c r="AH262" s="4"/>
      <c r="AI262" s="4"/>
      <c r="AJ262" s="4"/>
      <c r="AK262" s="4"/>
      <c r="AL262" s="4"/>
    </row>
    <row r="263" spans="1:38" ht="14.4">
      <c r="A263" s="21">
        <v>70301</v>
      </c>
      <c r="B263" s="22" t="s">
        <v>277</v>
      </c>
      <c r="C263" s="15">
        <v>10825</v>
      </c>
      <c r="D263" s="15">
        <v>6666</v>
      </c>
      <c r="E263" s="15">
        <v>666</v>
      </c>
      <c r="F263" s="15">
        <v>313</v>
      </c>
      <c r="G263" s="15">
        <v>325</v>
      </c>
      <c r="H263" s="15">
        <v>2855</v>
      </c>
      <c r="I263" s="15">
        <v>17760</v>
      </c>
      <c r="J263" s="15">
        <v>12961</v>
      </c>
      <c r="K263" s="15">
        <v>533</v>
      </c>
      <c r="L263" s="15">
        <v>1082</v>
      </c>
      <c r="M263" s="15">
        <v>422</v>
      </c>
      <c r="N263" s="15">
        <v>2762</v>
      </c>
      <c r="O263" s="16">
        <f t="shared" ref="O263:T263" si="267">ROUND(C263 + ((2016-2012)*(I263-C263))/(2024-2012),0)</f>
        <v>13137</v>
      </c>
      <c r="P263" s="23">
        <f t="shared" si="267"/>
        <v>8764</v>
      </c>
      <c r="Q263" s="23">
        <f t="shared" si="267"/>
        <v>622</v>
      </c>
      <c r="R263" s="23">
        <f t="shared" si="267"/>
        <v>569</v>
      </c>
      <c r="S263" s="23">
        <f t="shared" si="267"/>
        <v>357</v>
      </c>
      <c r="T263" s="23">
        <f t="shared" si="267"/>
        <v>2824</v>
      </c>
      <c r="U263" s="24">
        <v>7165</v>
      </c>
      <c r="V263" s="18">
        <f t="shared" si="260"/>
        <v>1599</v>
      </c>
      <c r="W263" s="18">
        <f t="shared" si="261"/>
        <v>1599</v>
      </c>
      <c r="X263" s="19">
        <f t="shared" si="262"/>
        <v>13136</v>
      </c>
      <c r="Y263" s="18">
        <v>834.49998497962952</v>
      </c>
      <c r="Z263" s="20"/>
      <c r="AA263" s="15">
        <v>11610</v>
      </c>
      <c r="AB263" s="23">
        <f t="shared" si="264"/>
        <v>14237</v>
      </c>
      <c r="AC263" s="15">
        <v>19491</v>
      </c>
      <c r="AD263" s="4"/>
      <c r="AE263" s="4"/>
      <c r="AF263" s="4"/>
      <c r="AG263" s="4"/>
      <c r="AH263" s="4"/>
      <c r="AI263" s="4"/>
      <c r="AJ263" s="4"/>
      <c r="AK263" s="4"/>
      <c r="AL263" s="4"/>
    </row>
    <row r="264" spans="1:38" ht="14.4">
      <c r="A264" s="13">
        <v>70302</v>
      </c>
      <c r="B264" s="14" t="s">
        <v>278</v>
      </c>
      <c r="C264" s="15">
        <v>2582</v>
      </c>
      <c r="D264" s="15">
        <v>1287</v>
      </c>
      <c r="E264" s="15">
        <v>104</v>
      </c>
      <c r="F264" s="15">
        <v>34</v>
      </c>
      <c r="G264" s="15">
        <v>22</v>
      </c>
      <c r="H264" s="15">
        <v>1135</v>
      </c>
      <c r="I264" s="15">
        <v>4447</v>
      </c>
      <c r="J264" s="15">
        <v>2296</v>
      </c>
      <c r="K264" s="15">
        <v>261</v>
      </c>
      <c r="L264" s="15">
        <v>444</v>
      </c>
      <c r="M264" s="15">
        <v>95</v>
      </c>
      <c r="N264" s="15">
        <v>1351</v>
      </c>
      <c r="O264" s="16">
        <f t="shared" ref="O264:T264" si="268">ROUND(C264 + ((2016-2012)*(I264-C264))/(2024-2012),0)</f>
        <v>3204</v>
      </c>
      <c r="P264" s="17">
        <f t="shared" si="268"/>
        <v>1623</v>
      </c>
      <c r="Q264" s="17">
        <f t="shared" si="268"/>
        <v>156</v>
      </c>
      <c r="R264" s="17">
        <f t="shared" si="268"/>
        <v>171</v>
      </c>
      <c r="S264" s="17">
        <f t="shared" si="268"/>
        <v>46</v>
      </c>
      <c r="T264" s="17">
        <f t="shared" si="268"/>
        <v>1207</v>
      </c>
      <c r="U264" s="25">
        <v>1758</v>
      </c>
      <c r="V264" s="18">
        <f t="shared" si="260"/>
        <v>-135</v>
      </c>
      <c r="W264" s="18">
        <f t="shared" si="261"/>
        <v>0</v>
      </c>
      <c r="X264" s="19">
        <f t="shared" si="262"/>
        <v>3338</v>
      </c>
      <c r="Y264" s="18">
        <v>653.49999070167542</v>
      </c>
      <c r="Z264" s="20"/>
      <c r="AA264" s="15">
        <v>3048</v>
      </c>
      <c r="AB264" s="17">
        <f t="shared" si="264"/>
        <v>3764</v>
      </c>
      <c r="AC264" s="15">
        <v>5195</v>
      </c>
      <c r="AD264" s="4"/>
      <c r="AE264" s="4"/>
      <c r="AF264" s="4"/>
      <c r="AG264" s="4"/>
      <c r="AH264" s="4"/>
      <c r="AI264" s="4"/>
      <c r="AJ264" s="4"/>
      <c r="AK264" s="4"/>
      <c r="AL264" s="4"/>
    </row>
    <row r="265" spans="1:38" ht="14.4">
      <c r="A265" s="21">
        <v>70303</v>
      </c>
      <c r="B265" s="22" t="s">
        <v>279</v>
      </c>
      <c r="C265" s="15">
        <v>1139</v>
      </c>
      <c r="D265" s="15">
        <v>624</v>
      </c>
      <c r="E265" s="15">
        <v>79</v>
      </c>
      <c r="F265" s="15">
        <v>33</v>
      </c>
      <c r="G265" s="15">
        <v>23</v>
      </c>
      <c r="H265" s="15">
        <v>380</v>
      </c>
      <c r="I265" s="15">
        <v>2897</v>
      </c>
      <c r="J265" s="15">
        <v>1128</v>
      </c>
      <c r="K265" s="15">
        <v>169</v>
      </c>
      <c r="L265" s="15">
        <v>405</v>
      </c>
      <c r="M265" s="15">
        <v>93</v>
      </c>
      <c r="N265" s="15">
        <v>1102</v>
      </c>
      <c r="O265" s="16">
        <f t="shared" ref="O265:T265" si="269">ROUND(C265 + ((2016-2012)*(I265-C265))/(2024-2012),0)</f>
        <v>1725</v>
      </c>
      <c r="P265" s="23">
        <f t="shared" si="269"/>
        <v>792</v>
      </c>
      <c r="Q265" s="23">
        <f t="shared" si="269"/>
        <v>109</v>
      </c>
      <c r="R265" s="23">
        <f t="shared" si="269"/>
        <v>157</v>
      </c>
      <c r="S265" s="23">
        <f t="shared" si="269"/>
        <v>46</v>
      </c>
      <c r="T265" s="23">
        <f t="shared" si="269"/>
        <v>621</v>
      </c>
      <c r="U265" s="24">
        <v>594</v>
      </c>
      <c r="V265" s="18">
        <f t="shared" si="260"/>
        <v>198</v>
      </c>
      <c r="W265" s="18">
        <f t="shared" si="261"/>
        <v>198</v>
      </c>
      <c r="X265" s="19">
        <f t="shared" si="262"/>
        <v>1725</v>
      </c>
      <c r="Y265" s="18">
        <v>849.99999403953552</v>
      </c>
      <c r="Z265" s="20"/>
      <c r="AA265" s="15">
        <v>1280</v>
      </c>
      <c r="AB265" s="23">
        <f t="shared" si="264"/>
        <v>1921</v>
      </c>
      <c r="AC265" s="15">
        <v>3204</v>
      </c>
      <c r="AD265" s="4"/>
      <c r="AE265" s="4"/>
      <c r="AF265" s="4"/>
      <c r="AG265" s="4"/>
      <c r="AH265" s="4"/>
      <c r="AI265" s="4"/>
      <c r="AJ265" s="4"/>
      <c r="AK265" s="4"/>
      <c r="AL265" s="4"/>
    </row>
    <row r="266" spans="1:38" ht="14.4">
      <c r="A266" s="13">
        <v>70401</v>
      </c>
      <c r="B266" s="14" t="s">
        <v>280</v>
      </c>
      <c r="C266" s="15">
        <v>3171</v>
      </c>
      <c r="D266" s="15">
        <v>2359</v>
      </c>
      <c r="E266" s="15">
        <v>29</v>
      </c>
      <c r="F266" s="15">
        <v>120</v>
      </c>
      <c r="G266" s="15">
        <v>43</v>
      </c>
      <c r="H266" s="15">
        <v>620</v>
      </c>
      <c r="I266" s="15">
        <v>3776</v>
      </c>
      <c r="J266" s="15">
        <v>3416</v>
      </c>
      <c r="K266" s="15">
        <v>22</v>
      </c>
      <c r="L266" s="15">
        <v>55</v>
      </c>
      <c r="M266" s="15">
        <v>18</v>
      </c>
      <c r="N266" s="15">
        <v>265</v>
      </c>
      <c r="O266" s="16">
        <f t="shared" ref="O266:T266" si="270">ROUND(C266 + ((2016-2012)*(I266-C266))/(2024-2012),0)</f>
        <v>3373</v>
      </c>
      <c r="P266" s="17">
        <f t="shared" si="270"/>
        <v>2711</v>
      </c>
      <c r="Q266" s="17">
        <f t="shared" si="270"/>
        <v>27</v>
      </c>
      <c r="R266" s="17">
        <f t="shared" si="270"/>
        <v>98</v>
      </c>
      <c r="S266" s="17">
        <f t="shared" si="270"/>
        <v>35</v>
      </c>
      <c r="T266" s="17">
        <f t="shared" si="270"/>
        <v>502</v>
      </c>
      <c r="U266" s="17">
        <v>2932</v>
      </c>
      <c r="V266" s="18">
        <f t="shared" si="260"/>
        <v>-221</v>
      </c>
      <c r="W266" s="18">
        <f t="shared" si="261"/>
        <v>0</v>
      </c>
      <c r="X266" s="19">
        <f t="shared" si="262"/>
        <v>3594</v>
      </c>
      <c r="Y266" s="18">
        <v>829.99998331069946</v>
      </c>
      <c r="Z266" s="20"/>
      <c r="AA266" s="15">
        <v>3721</v>
      </c>
      <c r="AB266" s="17">
        <f t="shared" si="264"/>
        <v>4070</v>
      </c>
      <c r="AC266" s="15">
        <v>4767</v>
      </c>
      <c r="AD266" s="4"/>
      <c r="AE266" s="4"/>
      <c r="AF266" s="4"/>
      <c r="AG266" s="4"/>
      <c r="AH266" s="4"/>
      <c r="AI266" s="4"/>
      <c r="AJ266" s="4"/>
      <c r="AK266" s="4"/>
      <c r="AL266" s="4"/>
    </row>
    <row r="267" spans="1:38" ht="14.4">
      <c r="A267" s="21">
        <v>70402</v>
      </c>
      <c r="B267" s="22" t="s">
        <v>281</v>
      </c>
      <c r="C267" s="15">
        <v>4573</v>
      </c>
      <c r="D267" s="15">
        <v>3455</v>
      </c>
      <c r="E267" s="15">
        <v>56</v>
      </c>
      <c r="F267" s="15">
        <v>53</v>
      </c>
      <c r="G267" s="15">
        <v>63</v>
      </c>
      <c r="H267" s="15">
        <v>946</v>
      </c>
      <c r="I267" s="15">
        <v>5523</v>
      </c>
      <c r="J267" s="15">
        <v>4790</v>
      </c>
      <c r="K267" s="15">
        <v>25</v>
      </c>
      <c r="L267" s="15">
        <v>122</v>
      </c>
      <c r="M267" s="15">
        <v>35</v>
      </c>
      <c r="N267" s="15">
        <v>551</v>
      </c>
      <c r="O267" s="16">
        <f t="shared" ref="O267:T267" si="271">ROUND(C267 + ((2016-2012)*(I267-C267))/(2024-2012),0)</f>
        <v>4890</v>
      </c>
      <c r="P267" s="23">
        <f t="shared" si="271"/>
        <v>3900</v>
      </c>
      <c r="Q267" s="23">
        <f t="shared" si="271"/>
        <v>46</v>
      </c>
      <c r="R267" s="23">
        <f t="shared" si="271"/>
        <v>76</v>
      </c>
      <c r="S267" s="23">
        <f t="shared" si="271"/>
        <v>54</v>
      </c>
      <c r="T267" s="23">
        <f t="shared" si="271"/>
        <v>814</v>
      </c>
      <c r="U267" s="23">
        <v>3700</v>
      </c>
      <c r="V267" s="18">
        <f t="shared" si="260"/>
        <v>200</v>
      </c>
      <c r="W267" s="18">
        <f t="shared" si="261"/>
        <v>200</v>
      </c>
      <c r="X267" s="19">
        <f t="shared" si="262"/>
        <v>4890</v>
      </c>
      <c r="Y267" s="18">
        <v>978.49997878074646</v>
      </c>
      <c r="Z267" s="20"/>
      <c r="AA267" s="15">
        <v>4901</v>
      </c>
      <c r="AB267" s="23">
        <f t="shared" si="264"/>
        <v>5432</v>
      </c>
      <c r="AC267" s="15">
        <v>6494</v>
      </c>
      <c r="AD267" s="4"/>
      <c r="AE267" s="4"/>
      <c r="AF267" s="4"/>
      <c r="AG267" s="4"/>
      <c r="AH267" s="4"/>
      <c r="AI267" s="4"/>
      <c r="AJ267" s="4"/>
      <c r="AK267" s="4"/>
      <c r="AL267" s="4"/>
    </row>
    <row r="268" spans="1:38" ht="14.4">
      <c r="A268" s="13">
        <v>70403</v>
      </c>
      <c r="B268" s="14" t="s">
        <v>282</v>
      </c>
      <c r="C268" s="15">
        <v>14775</v>
      </c>
      <c r="D268" s="15">
        <v>8215</v>
      </c>
      <c r="E268" s="15">
        <v>241</v>
      </c>
      <c r="F268" s="15">
        <v>181</v>
      </c>
      <c r="G268" s="15">
        <v>235</v>
      </c>
      <c r="H268" s="15">
        <v>5903</v>
      </c>
      <c r="I268" s="15">
        <v>20075</v>
      </c>
      <c r="J268" s="15">
        <v>13724</v>
      </c>
      <c r="K268" s="15">
        <v>84</v>
      </c>
      <c r="L268" s="15">
        <v>800</v>
      </c>
      <c r="M268" s="15">
        <v>286</v>
      </c>
      <c r="N268" s="15">
        <v>5181</v>
      </c>
      <c r="O268" s="16">
        <f t="shared" ref="O268:T268" si="272">ROUND(C268 + ((2016-2012)*(I268-C268))/(2024-2012),0)</f>
        <v>16542</v>
      </c>
      <c r="P268" s="17">
        <f t="shared" si="272"/>
        <v>10051</v>
      </c>
      <c r="Q268" s="17">
        <f t="shared" si="272"/>
        <v>189</v>
      </c>
      <c r="R268" s="17">
        <f t="shared" si="272"/>
        <v>387</v>
      </c>
      <c r="S268" s="17">
        <f t="shared" si="272"/>
        <v>252</v>
      </c>
      <c r="T268" s="17">
        <f t="shared" si="272"/>
        <v>5662</v>
      </c>
      <c r="U268" s="17">
        <v>9414</v>
      </c>
      <c r="V268" s="18">
        <f t="shared" si="260"/>
        <v>637</v>
      </c>
      <c r="W268" s="18">
        <f t="shared" si="261"/>
        <v>637</v>
      </c>
      <c r="X268" s="19">
        <f t="shared" si="262"/>
        <v>16541</v>
      </c>
      <c r="Y268" s="18">
        <v>989.00002241134644</v>
      </c>
      <c r="Z268" s="20"/>
      <c r="AA268" s="15">
        <v>16020</v>
      </c>
      <c r="AB268" s="17">
        <f t="shared" si="264"/>
        <v>18525</v>
      </c>
      <c r="AC268" s="15">
        <v>23535</v>
      </c>
      <c r="AD268" s="4"/>
      <c r="AE268" s="4"/>
      <c r="AF268" s="4"/>
      <c r="AG268" s="4"/>
      <c r="AH268" s="4"/>
      <c r="AI268" s="4"/>
      <c r="AJ268" s="4"/>
      <c r="AK268" s="4"/>
      <c r="AL268" s="4"/>
    </row>
    <row r="269" spans="1:38" ht="14.4">
      <c r="A269" s="21">
        <v>70404</v>
      </c>
      <c r="B269" s="22" t="s">
        <v>283</v>
      </c>
      <c r="C269" s="15">
        <v>2055</v>
      </c>
      <c r="D269" s="15">
        <v>1381</v>
      </c>
      <c r="E269" s="15">
        <v>58</v>
      </c>
      <c r="F269" s="15">
        <v>39</v>
      </c>
      <c r="G269" s="15">
        <v>24</v>
      </c>
      <c r="H269" s="15">
        <v>553</v>
      </c>
      <c r="I269" s="15">
        <v>2957</v>
      </c>
      <c r="J269" s="15">
        <v>2335</v>
      </c>
      <c r="K269" s="15">
        <v>20</v>
      </c>
      <c r="L269" s="15">
        <v>104</v>
      </c>
      <c r="M269" s="15">
        <v>51</v>
      </c>
      <c r="N269" s="15">
        <v>447</v>
      </c>
      <c r="O269" s="16">
        <f t="shared" ref="O269:T269" si="273">ROUND(C269 + ((2016-2012)*(I269-C269))/(2024-2012),0)</f>
        <v>2356</v>
      </c>
      <c r="P269" s="23">
        <f t="shared" si="273"/>
        <v>1699</v>
      </c>
      <c r="Q269" s="23">
        <f t="shared" si="273"/>
        <v>45</v>
      </c>
      <c r="R269" s="23">
        <f t="shared" si="273"/>
        <v>61</v>
      </c>
      <c r="S269" s="23">
        <f t="shared" si="273"/>
        <v>33</v>
      </c>
      <c r="T269" s="23">
        <f t="shared" si="273"/>
        <v>518</v>
      </c>
      <c r="U269" s="23">
        <v>1289</v>
      </c>
      <c r="V269" s="18">
        <f t="shared" si="260"/>
        <v>410</v>
      </c>
      <c r="W269" s="18">
        <f t="shared" si="261"/>
        <v>410</v>
      </c>
      <c r="X269" s="19">
        <f t="shared" si="262"/>
        <v>2356</v>
      </c>
      <c r="Y269" s="18">
        <v>1134.9999904632568</v>
      </c>
      <c r="Z269" s="20"/>
      <c r="AA269" s="15">
        <v>2175</v>
      </c>
      <c r="AB269" s="23">
        <f t="shared" si="264"/>
        <v>2575</v>
      </c>
      <c r="AC269" s="15">
        <v>3376</v>
      </c>
      <c r="AD269" s="4"/>
      <c r="AE269" s="4"/>
      <c r="AF269" s="4"/>
      <c r="AG269" s="4"/>
      <c r="AH269" s="4"/>
      <c r="AI269" s="4"/>
      <c r="AJ269" s="4"/>
      <c r="AK269" s="4"/>
      <c r="AL269" s="4"/>
    </row>
    <row r="270" spans="1:38" ht="14.4">
      <c r="A270" s="13">
        <v>70501</v>
      </c>
      <c r="B270" s="14" t="s">
        <v>284</v>
      </c>
      <c r="C270" s="15">
        <v>4566</v>
      </c>
      <c r="D270" s="15">
        <v>3536</v>
      </c>
      <c r="E270" s="15">
        <v>560</v>
      </c>
      <c r="F270" s="15">
        <v>31</v>
      </c>
      <c r="G270" s="15">
        <v>30</v>
      </c>
      <c r="H270" s="15">
        <v>409</v>
      </c>
      <c r="I270" s="15">
        <v>11607</v>
      </c>
      <c r="J270" s="15">
        <v>4597</v>
      </c>
      <c r="K270" s="15">
        <v>1521</v>
      </c>
      <c r="L270" s="15">
        <v>1467</v>
      </c>
      <c r="M270" s="15">
        <v>826</v>
      </c>
      <c r="N270" s="15">
        <v>3196</v>
      </c>
      <c r="O270" s="16">
        <f t="shared" ref="O270:T270" si="274">ROUND(C270 + ((2016-2012)*(I270-C270))/(2024-2012),0)</f>
        <v>6913</v>
      </c>
      <c r="P270" s="17">
        <f t="shared" si="274"/>
        <v>3890</v>
      </c>
      <c r="Q270" s="17">
        <f t="shared" si="274"/>
        <v>880</v>
      </c>
      <c r="R270" s="17">
        <f t="shared" si="274"/>
        <v>510</v>
      </c>
      <c r="S270" s="17">
        <f t="shared" si="274"/>
        <v>295</v>
      </c>
      <c r="T270" s="17">
        <f t="shared" si="274"/>
        <v>1338</v>
      </c>
      <c r="U270" s="25">
        <v>3194</v>
      </c>
      <c r="V270" s="18">
        <f t="shared" si="260"/>
        <v>696</v>
      </c>
      <c r="W270" s="18">
        <f t="shared" si="261"/>
        <v>696</v>
      </c>
      <c r="X270" s="19">
        <f t="shared" si="262"/>
        <v>6913</v>
      </c>
      <c r="Y270" s="18">
        <v>1034.000039100647</v>
      </c>
      <c r="Z270" s="20"/>
      <c r="AA270" s="15">
        <v>4804</v>
      </c>
      <c r="AB270" s="17">
        <f t="shared" si="264"/>
        <v>7511</v>
      </c>
      <c r="AC270" s="15">
        <v>12926</v>
      </c>
      <c r="AD270" s="4"/>
      <c r="AE270" s="4"/>
      <c r="AF270" s="4"/>
      <c r="AG270" s="4"/>
      <c r="AH270" s="4"/>
      <c r="AI270" s="4"/>
      <c r="AJ270" s="4"/>
      <c r="AK270" s="4"/>
      <c r="AL270" s="4"/>
    </row>
    <row r="271" spans="1:38" ht="14.4">
      <c r="A271" s="21">
        <v>70502</v>
      </c>
      <c r="B271" s="22" t="s">
        <v>285</v>
      </c>
      <c r="C271" s="15">
        <v>7182</v>
      </c>
      <c r="D271" s="15">
        <v>3802</v>
      </c>
      <c r="E271" s="15">
        <v>1763</v>
      </c>
      <c r="F271" s="15">
        <v>180</v>
      </c>
      <c r="G271" s="15">
        <v>196</v>
      </c>
      <c r="H271" s="15">
        <v>1241</v>
      </c>
      <c r="I271" s="15">
        <v>12970</v>
      </c>
      <c r="J271" s="15">
        <v>7513</v>
      </c>
      <c r="K271" s="15">
        <v>2323</v>
      </c>
      <c r="L271" s="15">
        <v>1355</v>
      </c>
      <c r="M271" s="15">
        <v>312</v>
      </c>
      <c r="N271" s="15">
        <v>1467</v>
      </c>
      <c r="O271" s="16">
        <f t="shared" ref="O271:T271" si="275">ROUND(C271 + ((2016-2012)*(I271-C271))/(2024-2012),0)</f>
        <v>9111</v>
      </c>
      <c r="P271" s="23">
        <f t="shared" si="275"/>
        <v>5039</v>
      </c>
      <c r="Q271" s="23">
        <f t="shared" si="275"/>
        <v>1950</v>
      </c>
      <c r="R271" s="23">
        <f t="shared" si="275"/>
        <v>572</v>
      </c>
      <c r="S271" s="23">
        <f t="shared" si="275"/>
        <v>235</v>
      </c>
      <c r="T271" s="23">
        <f t="shared" si="275"/>
        <v>1316</v>
      </c>
      <c r="U271" s="23">
        <v>4217</v>
      </c>
      <c r="V271" s="18">
        <f t="shared" si="260"/>
        <v>822</v>
      </c>
      <c r="W271" s="18">
        <f t="shared" si="261"/>
        <v>822</v>
      </c>
      <c r="X271" s="19">
        <f t="shared" si="262"/>
        <v>9112</v>
      </c>
      <c r="Y271" s="18">
        <v>1271.0000276565552</v>
      </c>
      <c r="Z271" s="20"/>
      <c r="AA271" s="15">
        <v>7414</v>
      </c>
      <c r="AB271" s="23">
        <f t="shared" si="264"/>
        <v>9758</v>
      </c>
      <c r="AC271" s="15">
        <v>14445</v>
      </c>
      <c r="AD271" s="4"/>
      <c r="AE271" s="4"/>
      <c r="AF271" s="4"/>
      <c r="AG271" s="4"/>
      <c r="AH271" s="4"/>
      <c r="AI271" s="4"/>
      <c r="AJ271" s="4"/>
      <c r="AK271" s="4"/>
      <c r="AL271" s="4"/>
    </row>
    <row r="272" spans="1:38" ht="14.4">
      <c r="A272" s="13">
        <v>70503</v>
      </c>
      <c r="B272" s="14" t="s">
        <v>286</v>
      </c>
      <c r="C272" s="15">
        <v>3747</v>
      </c>
      <c r="D272" s="15">
        <v>3132</v>
      </c>
      <c r="E272" s="15">
        <v>30</v>
      </c>
      <c r="F272" s="15">
        <v>70</v>
      </c>
      <c r="G272" s="15">
        <v>4</v>
      </c>
      <c r="H272" s="15">
        <v>511</v>
      </c>
      <c r="I272" s="15">
        <v>5348</v>
      </c>
      <c r="J272" s="15">
        <v>4535</v>
      </c>
      <c r="K272" s="15">
        <v>127</v>
      </c>
      <c r="L272" s="15">
        <v>246</v>
      </c>
      <c r="M272" s="15">
        <v>25</v>
      </c>
      <c r="N272" s="15">
        <v>415</v>
      </c>
      <c r="O272" s="16">
        <f t="shared" ref="O272:T272" si="276">ROUND(C272 + ((2016-2012)*(I272-C272))/(2024-2012),0)</f>
        <v>4281</v>
      </c>
      <c r="P272" s="17">
        <f t="shared" si="276"/>
        <v>3600</v>
      </c>
      <c r="Q272" s="17">
        <f t="shared" si="276"/>
        <v>62</v>
      </c>
      <c r="R272" s="17">
        <f t="shared" si="276"/>
        <v>129</v>
      </c>
      <c r="S272" s="17">
        <f t="shared" si="276"/>
        <v>11</v>
      </c>
      <c r="T272" s="17">
        <f t="shared" si="276"/>
        <v>479</v>
      </c>
      <c r="U272" s="25">
        <v>3384</v>
      </c>
      <c r="V272" s="18">
        <f t="shared" si="260"/>
        <v>216</v>
      </c>
      <c r="W272" s="18">
        <f t="shared" si="261"/>
        <v>216</v>
      </c>
      <c r="X272" s="19">
        <f t="shared" si="262"/>
        <v>4281</v>
      </c>
      <c r="Y272" s="18">
        <v>976.00001096725464</v>
      </c>
      <c r="Z272" s="20"/>
      <c r="AA272" s="15">
        <v>4252</v>
      </c>
      <c r="AB272" s="17">
        <f t="shared" si="264"/>
        <v>5284</v>
      </c>
      <c r="AC272" s="15">
        <v>7347</v>
      </c>
      <c r="AD272" s="4"/>
      <c r="AE272" s="4"/>
      <c r="AF272" s="4"/>
      <c r="AG272" s="4"/>
      <c r="AH272" s="4"/>
      <c r="AI272" s="4"/>
      <c r="AJ272" s="4"/>
      <c r="AK272" s="4"/>
      <c r="AL272" s="4"/>
    </row>
    <row r="273" spans="1:38" ht="14.4">
      <c r="A273" s="21">
        <v>70601</v>
      </c>
      <c r="B273" s="22" t="s">
        <v>287</v>
      </c>
      <c r="C273" s="15">
        <v>4119</v>
      </c>
      <c r="D273" s="15">
        <v>3653</v>
      </c>
      <c r="E273" s="15">
        <v>46</v>
      </c>
      <c r="F273" s="15">
        <v>74</v>
      </c>
      <c r="G273" s="15">
        <v>37</v>
      </c>
      <c r="H273" s="15">
        <v>309</v>
      </c>
      <c r="I273" s="15">
        <v>5445</v>
      </c>
      <c r="J273" s="15">
        <v>5200</v>
      </c>
      <c r="K273" s="15">
        <v>25</v>
      </c>
      <c r="L273" s="15">
        <v>89</v>
      </c>
      <c r="M273" s="15">
        <v>35</v>
      </c>
      <c r="N273" s="15">
        <v>96</v>
      </c>
      <c r="O273" s="16">
        <f t="shared" ref="O273:T273" si="277">ROUND(C273 + ((2016-2012)*(I273-C273))/(2024-2012),0)</f>
        <v>4561</v>
      </c>
      <c r="P273" s="23">
        <f t="shared" si="277"/>
        <v>4169</v>
      </c>
      <c r="Q273" s="23">
        <f t="shared" si="277"/>
        <v>39</v>
      </c>
      <c r="R273" s="23">
        <f t="shared" si="277"/>
        <v>79</v>
      </c>
      <c r="S273" s="23">
        <f t="shared" si="277"/>
        <v>36</v>
      </c>
      <c r="T273" s="23">
        <f t="shared" si="277"/>
        <v>238</v>
      </c>
      <c r="U273" s="23">
        <v>3847</v>
      </c>
      <c r="V273" s="18">
        <f t="shared" si="260"/>
        <v>322</v>
      </c>
      <c r="W273" s="18">
        <f t="shared" si="261"/>
        <v>322</v>
      </c>
      <c r="X273" s="19">
        <f t="shared" si="262"/>
        <v>4561</v>
      </c>
      <c r="Y273" s="18">
        <v>1468.999981880188</v>
      </c>
      <c r="Z273" s="20"/>
      <c r="AA273" s="15">
        <v>4519</v>
      </c>
      <c r="AB273" s="23">
        <f t="shared" si="264"/>
        <v>5132</v>
      </c>
      <c r="AC273" s="15">
        <v>6358</v>
      </c>
      <c r="AD273" s="4"/>
      <c r="AE273" s="4"/>
      <c r="AF273" s="4"/>
      <c r="AG273" s="4"/>
      <c r="AH273" s="4"/>
      <c r="AI273" s="4"/>
      <c r="AJ273" s="4"/>
      <c r="AK273" s="4"/>
      <c r="AL273" s="4"/>
    </row>
    <row r="274" spans="1:38" ht="14.4">
      <c r="A274" s="13">
        <v>70602</v>
      </c>
      <c r="B274" s="14" t="s">
        <v>288</v>
      </c>
      <c r="C274" s="15">
        <v>4978</v>
      </c>
      <c r="D274" s="15">
        <v>2288</v>
      </c>
      <c r="E274" s="15">
        <v>260</v>
      </c>
      <c r="F274" s="15">
        <v>179</v>
      </c>
      <c r="G274" s="15">
        <v>274</v>
      </c>
      <c r="H274" s="15">
        <v>1977</v>
      </c>
      <c r="I274" s="15">
        <v>5957</v>
      </c>
      <c r="J274" s="15">
        <v>3909</v>
      </c>
      <c r="K274" s="15">
        <v>163</v>
      </c>
      <c r="L274" s="15">
        <v>658</v>
      </c>
      <c r="M274" s="15">
        <v>89</v>
      </c>
      <c r="N274" s="15">
        <v>1138</v>
      </c>
      <c r="O274" s="16">
        <f t="shared" ref="O274:T274" si="278">ROUND(C274 + ((2016-2012)*(I274-C274))/(2024-2012),0)</f>
        <v>5304</v>
      </c>
      <c r="P274" s="17">
        <f t="shared" si="278"/>
        <v>2828</v>
      </c>
      <c r="Q274" s="17">
        <f t="shared" si="278"/>
        <v>228</v>
      </c>
      <c r="R274" s="17">
        <f t="shared" si="278"/>
        <v>339</v>
      </c>
      <c r="S274" s="17">
        <f t="shared" si="278"/>
        <v>212</v>
      </c>
      <c r="T274" s="17">
        <f t="shared" si="278"/>
        <v>1697</v>
      </c>
      <c r="U274" s="17">
        <v>2851</v>
      </c>
      <c r="V274" s="18">
        <f t="shared" si="260"/>
        <v>-23</v>
      </c>
      <c r="W274" s="18">
        <f t="shared" si="261"/>
        <v>0</v>
      </c>
      <c r="X274" s="19">
        <f t="shared" si="262"/>
        <v>5327</v>
      </c>
      <c r="Y274" s="18">
        <v>782.99999237060547</v>
      </c>
      <c r="Z274" s="20"/>
      <c r="AA274" s="15">
        <v>5361</v>
      </c>
      <c r="AB274" s="17">
        <f t="shared" si="264"/>
        <v>6037</v>
      </c>
      <c r="AC274" s="15">
        <v>7388</v>
      </c>
      <c r="AD274" s="4"/>
      <c r="AE274" s="4"/>
      <c r="AF274" s="4"/>
      <c r="AG274" s="4"/>
      <c r="AH274" s="4"/>
      <c r="AI274" s="4"/>
      <c r="AJ274" s="4"/>
      <c r="AK274" s="4"/>
      <c r="AL274" s="4"/>
    </row>
    <row r="275" spans="1:38" ht="14.4">
      <c r="A275" s="21">
        <v>70603</v>
      </c>
      <c r="B275" s="22" t="s">
        <v>289</v>
      </c>
      <c r="C275" s="15">
        <v>1354</v>
      </c>
      <c r="D275" s="15">
        <v>1204</v>
      </c>
      <c r="E275" s="15">
        <v>27</v>
      </c>
      <c r="F275" s="15">
        <v>16</v>
      </c>
      <c r="G275" s="15">
        <v>13</v>
      </c>
      <c r="H275" s="15">
        <v>94</v>
      </c>
      <c r="I275" s="15">
        <v>1533</v>
      </c>
      <c r="J275" s="15">
        <v>1433</v>
      </c>
      <c r="K275" s="15">
        <v>13</v>
      </c>
      <c r="L275" s="15">
        <v>29</v>
      </c>
      <c r="M275" s="15">
        <v>12</v>
      </c>
      <c r="N275" s="15">
        <v>46</v>
      </c>
      <c r="O275" s="16">
        <f t="shared" ref="O275:T275" si="279">ROUND(C275 + ((2016-2012)*(I275-C275))/(2024-2012),0)</f>
        <v>1414</v>
      </c>
      <c r="P275" s="23">
        <f t="shared" si="279"/>
        <v>1280</v>
      </c>
      <c r="Q275" s="23">
        <f t="shared" si="279"/>
        <v>22</v>
      </c>
      <c r="R275" s="23">
        <f t="shared" si="279"/>
        <v>20</v>
      </c>
      <c r="S275" s="23">
        <f t="shared" si="279"/>
        <v>13</v>
      </c>
      <c r="T275" s="23">
        <f t="shared" si="279"/>
        <v>78</v>
      </c>
      <c r="U275" s="23">
        <v>980</v>
      </c>
      <c r="V275" s="18">
        <f t="shared" si="260"/>
        <v>300</v>
      </c>
      <c r="W275" s="18">
        <f t="shared" si="261"/>
        <v>300</v>
      </c>
      <c r="X275" s="19">
        <f t="shared" si="262"/>
        <v>1413</v>
      </c>
      <c r="Y275" s="18">
        <v>1491.9999837875366</v>
      </c>
      <c r="Z275" s="20"/>
      <c r="AA275" s="15">
        <v>1393</v>
      </c>
      <c r="AB275" s="23">
        <f t="shared" si="264"/>
        <v>1571</v>
      </c>
      <c r="AC275" s="15">
        <v>1927</v>
      </c>
      <c r="AD275" s="4"/>
      <c r="AE275" s="4"/>
      <c r="AF275" s="4"/>
      <c r="AG275" s="4"/>
      <c r="AH275" s="4"/>
      <c r="AI275" s="4"/>
      <c r="AJ275" s="4"/>
      <c r="AK275" s="4"/>
      <c r="AL275" s="4"/>
    </row>
    <row r="276" spans="1:38" ht="14.4">
      <c r="A276" s="13">
        <v>70701</v>
      </c>
      <c r="B276" s="14" t="s">
        <v>290</v>
      </c>
      <c r="C276" s="15">
        <v>1071</v>
      </c>
      <c r="D276" s="15">
        <v>579</v>
      </c>
      <c r="E276" s="15">
        <v>16</v>
      </c>
      <c r="F276" s="15">
        <v>27</v>
      </c>
      <c r="G276" s="15">
        <v>20</v>
      </c>
      <c r="H276" s="15">
        <v>429</v>
      </c>
      <c r="I276" s="15">
        <v>1569</v>
      </c>
      <c r="J276" s="15">
        <v>1453</v>
      </c>
      <c r="K276" s="15">
        <v>2</v>
      </c>
      <c r="L276" s="15">
        <v>31</v>
      </c>
      <c r="M276" s="15">
        <v>3</v>
      </c>
      <c r="N276" s="15">
        <v>80</v>
      </c>
      <c r="O276" s="16">
        <f t="shared" ref="O276:T276" si="280">ROUND(C276 + ((2016-2012)*(I276-C276))/(2024-2012),0)</f>
        <v>1237</v>
      </c>
      <c r="P276" s="17">
        <f t="shared" si="280"/>
        <v>870</v>
      </c>
      <c r="Q276" s="17">
        <f t="shared" si="280"/>
        <v>11</v>
      </c>
      <c r="R276" s="17">
        <f t="shared" si="280"/>
        <v>28</v>
      </c>
      <c r="S276" s="17">
        <f t="shared" si="280"/>
        <v>14</v>
      </c>
      <c r="T276" s="17">
        <f t="shared" si="280"/>
        <v>313</v>
      </c>
      <c r="U276" s="25">
        <v>769</v>
      </c>
      <c r="V276" s="18">
        <f t="shared" si="260"/>
        <v>101</v>
      </c>
      <c r="W276" s="18">
        <f t="shared" si="261"/>
        <v>101</v>
      </c>
      <c r="X276" s="19">
        <f t="shared" si="262"/>
        <v>1236</v>
      </c>
      <c r="Y276" s="18">
        <v>606.00000619888306</v>
      </c>
      <c r="Z276" s="20"/>
      <c r="AA276" s="15">
        <v>1146</v>
      </c>
      <c r="AB276" s="17">
        <f t="shared" si="264"/>
        <v>1418</v>
      </c>
      <c r="AC276" s="15">
        <v>1962</v>
      </c>
      <c r="AD276" s="4"/>
      <c r="AE276" s="4"/>
      <c r="AF276" s="4"/>
      <c r="AG276" s="4"/>
      <c r="AH276" s="4"/>
      <c r="AI276" s="4"/>
      <c r="AJ276" s="4"/>
      <c r="AK276" s="4"/>
      <c r="AL276" s="4"/>
    </row>
    <row r="277" spans="1:38" ht="14.4">
      <c r="A277" s="21">
        <v>70702</v>
      </c>
      <c r="B277" s="22" t="s">
        <v>291</v>
      </c>
      <c r="C277" s="15">
        <v>6289</v>
      </c>
      <c r="D277" s="15">
        <v>1876</v>
      </c>
      <c r="E277" s="15">
        <v>853</v>
      </c>
      <c r="F277" s="15">
        <v>299</v>
      </c>
      <c r="G277" s="15">
        <v>349</v>
      </c>
      <c r="H277" s="15">
        <v>2912</v>
      </c>
      <c r="I277" s="15">
        <v>9548</v>
      </c>
      <c r="J277" s="15">
        <v>5639</v>
      </c>
      <c r="K277" s="15">
        <v>1145</v>
      </c>
      <c r="L277" s="15">
        <v>1142</v>
      </c>
      <c r="M277" s="15">
        <v>196</v>
      </c>
      <c r="N277" s="15">
        <v>1426</v>
      </c>
      <c r="O277" s="16">
        <f t="shared" ref="O277:T277" si="281">ROUND(C277 + ((2016-2012)*(I277-C277))/(2024-2012),0)</f>
        <v>7375</v>
      </c>
      <c r="P277" s="23">
        <f t="shared" si="281"/>
        <v>3130</v>
      </c>
      <c r="Q277" s="23">
        <f t="shared" si="281"/>
        <v>950</v>
      </c>
      <c r="R277" s="23">
        <f t="shared" si="281"/>
        <v>580</v>
      </c>
      <c r="S277" s="23">
        <f t="shared" si="281"/>
        <v>298</v>
      </c>
      <c r="T277" s="23">
        <f t="shared" si="281"/>
        <v>2417</v>
      </c>
      <c r="U277" s="23">
        <v>2273</v>
      </c>
      <c r="V277" s="18">
        <f t="shared" si="260"/>
        <v>857</v>
      </c>
      <c r="W277" s="18">
        <f t="shared" si="261"/>
        <v>857</v>
      </c>
      <c r="X277" s="19">
        <f t="shared" si="262"/>
        <v>7375</v>
      </c>
      <c r="Y277" s="18">
        <v>559.50000882148743</v>
      </c>
      <c r="Z277" s="20"/>
      <c r="AA277" s="15">
        <v>6760</v>
      </c>
      <c r="AB277" s="23">
        <f t="shared" si="264"/>
        <v>8214</v>
      </c>
      <c r="AC277" s="15">
        <v>11121</v>
      </c>
      <c r="AD277" s="4"/>
      <c r="AE277" s="4"/>
      <c r="AF277" s="4"/>
      <c r="AG277" s="4"/>
      <c r="AH277" s="4"/>
      <c r="AI277" s="4"/>
      <c r="AJ277" s="4"/>
      <c r="AK277" s="4"/>
      <c r="AL277" s="4"/>
    </row>
    <row r="278" spans="1:38" ht="14.4">
      <c r="A278" s="13">
        <v>70703</v>
      </c>
      <c r="B278" s="14" t="s">
        <v>292</v>
      </c>
      <c r="C278" s="15">
        <v>5628</v>
      </c>
      <c r="D278" s="15">
        <v>2718</v>
      </c>
      <c r="E278" s="15">
        <v>1142</v>
      </c>
      <c r="F278" s="15">
        <v>281</v>
      </c>
      <c r="G278" s="15">
        <v>255</v>
      </c>
      <c r="H278" s="15">
        <v>1232</v>
      </c>
      <c r="I278" s="15">
        <v>8291</v>
      </c>
      <c r="J278" s="15">
        <v>5024</v>
      </c>
      <c r="K278" s="15">
        <v>1253</v>
      </c>
      <c r="L278" s="15">
        <v>578</v>
      </c>
      <c r="M278" s="15">
        <v>379</v>
      </c>
      <c r="N278" s="15">
        <v>1057</v>
      </c>
      <c r="O278" s="16">
        <f t="shared" ref="O278:T278" si="282">ROUND(C278 + ((2016-2012)*(I278-C278))/(2024-2012),0)</f>
        <v>6516</v>
      </c>
      <c r="P278" s="17">
        <f t="shared" si="282"/>
        <v>3487</v>
      </c>
      <c r="Q278" s="17">
        <f t="shared" si="282"/>
        <v>1179</v>
      </c>
      <c r="R278" s="17">
        <f t="shared" si="282"/>
        <v>380</v>
      </c>
      <c r="S278" s="17">
        <f t="shared" si="282"/>
        <v>296</v>
      </c>
      <c r="T278" s="17">
        <f t="shared" si="282"/>
        <v>1174</v>
      </c>
      <c r="U278" s="17">
        <v>3147</v>
      </c>
      <c r="V278" s="18">
        <f t="shared" si="260"/>
        <v>340</v>
      </c>
      <c r="W278" s="18">
        <f t="shared" si="261"/>
        <v>340</v>
      </c>
      <c r="X278" s="19">
        <f t="shared" si="262"/>
        <v>6516</v>
      </c>
      <c r="Y278" s="18">
        <v>788.99997472763062</v>
      </c>
      <c r="Z278" s="20"/>
      <c r="AA278" s="15">
        <v>6022</v>
      </c>
      <c r="AB278" s="17">
        <f t="shared" si="264"/>
        <v>7255</v>
      </c>
      <c r="AC278" s="15">
        <v>9722</v>
      </c>
      <c r="AD278" s="4"/>
      <c r="AE278" s="4"/>
      <c r="AF278" s="4"/>
      <c r="AG278" s="4"/>
      <c r="AH278" s="4"/>
      <c r="AI278" s="4"/>
      <c r="AJ278" s="4"/>
      <c r="AK278" s="4"/>
      <c r="AL278" s="4"/>
    </row>
    <row r="279" spans="1:38" ht="14.4">
      <c r="A279" s="21">
        <v>70704</v>
      </c>
      <c r="B279" s="22" t="s">
        <v>293</v>
      </c>
      <c r="C279" s="15">
        <v>1117</v>
      </c>
      <c r="D279" s="15">
        <v>692</v>
      </c>
      <c r="E279" s="15">
        <v>11</v>
      </c>
      <c r="F279" s="15">
        <v>24</v>
      </c>
      <c r="G279" s="15">
        <v>3</v>
      </c>
      <c r="H279" s="15">
        <v>387</v>
      </c>
      <c r="I279" s="15">
        <v>1261</v>
      </c>
      <c r="J279" s="15">
        <v>1124</v>
      </c>
      <c r="K279" s="15">
        <v>2</v>
      </c>
      <c r="L279" s="15">
        <v>29</v>
      </c>
      <c r="M279" s="15">
        <v>22</v>
      </c>
      <c r="N279" s="15">
        <v>84</v>
      </c>
      <c r="O279" s="16">
        <f t="shared" ref="O279:T279" si="283">ROUND(C279 + ((2016-2012)*(I279-C279))/(2024-2012),0)</f>
        <v>1165</v>
      </c>
      <c r="P279" s="23">
        <f t="shared" si="283"/>
        <v>836</v>
      </c>
      <c r="Q279" s="23">
        <f t="shared" si="283"/>
        <v>8</v>
      </c>
      <c r="R279" s="23">
        <f t="shared" si="283"/>
        <v>26</v>
      </c>
      <c r="S279" s="23">
        <f t="shared" si="283"/>
        <v>9</v>
      </c>
      <c r="T279" s="23">
        <f t="shared" si="283"/>
        <v>286</v>
      </c>
      <c r="U279" s="24">
        <v>656</v>
      </c>
      <c r="V279" s="18">
        <f t="shared" si="260"/>
        <v>180</v>
      </c>
      <c r="W279" s="18">
        <f t="shared" si="261"/>
        <v>180</v>
      </c>
      <c r="X279" s="19">
        <f t="shared" si="262"/>
        <v>1165</v>
      </c>
      <c r="Y279" s="18">
        <v>594.9999988079071</v>
      </c>
      <c r="Z279" s="20"/>
      <c r="AA279" s="15">
        <v>1125</v>
      </c>
      <c r="AB279" s="23">
        <f t="shared" si="264"/>
        <v>1223</v>
      </c>
      <c r="AC279" s="15">
        <v>1418</v>
      </c>
      <c r="AD279" s="4"/>
      <c r="AE279" s="4"/>
      <c r="AF279" s="4"/>
      <c r="AG279" s="4"/>
      <c r="AH279" s="4"/>
      <c r="AI279" s="4"/>
      <c r="AJ279" s="4"/>
      <c r="AK279" s="4"/>
      <c r="AL279" s="4"/>
    </row>
    <row r="280" spans="1:38" ht="14.4">
      <c r="A280" s="13">
        <v>70705</v>
      </c>
      <c r="B280" s="14" t="s">
        <v>294</v>
      </c>
      <c r="C280" s="15">
        <v>2390</v>
      </c>
      <c r="D280" s="15">
        <v>507</v>
      </c>
      <c r="E280" s="15">
        <v>101</v>
      </c>
      <c r="F280" s="15">
        <v>155</v>
      </c>
      <c r="G280" s="15">
        <v>157</v>
      </c>
      <c r="H280" s="15">
        <v>1470</v>
      </c>
      <c r="I280" s="15">
        <v>3626</v>
      </c>
      <c r="J280" s="15">
        <v>3123</v>
      </c>
      <c r="K280" s="15">
        <v>11</v>
      </c>
      <c r="L280" s="15">
        <v>100</v>
      </c>
      <c r="M280" s="15">
        <v>17</v>
      </c>
      <c r="N280" s="15">
        <v>375</v>
      </c>
      <c r="O280" s="16">
        <f t="shared" ref="O280:T280" si="284">ROUND(C280 + ((2016-2012)*(I280-C280))/(2024-2012),0)</f>
        <v>2802</v>
      </c>
      <c r="P280" s="17">
        <f t="shared" si="284"/>
        <v>1379</v>
      </c>
      <c r="Q280" s="17">
        <f t="shared" si="284"/>
        <v>71</v>
      </c>
      <c r="R280" s="17">
        <f t="shared" si="284"/>
        <v>137</v>
      </c>
      <c r="S280" s="17">
        <f t="shared" si="284"/>
        <v>110</v>
      </c>
      <c r="T280" s="17">
        <f t="shared" si="284"/>
        <v>1105</v>
      </c>
      <c r="U280" s="25">
        <v>1414</v>
      </c>
      <c r="V280" s="18">
        <f t="shared" si="260"/>
        <v>-35</v>
      </c>
      <c r="W280" s="18">
        <f t="shared" si="261"/>
        <v>0</v>
      </c>
      <c r="X280" s="19">
        <f t="shared" si="262"/>
        <v>2837</v>
      </c>
      <c r="Y280" s="18">
        <v>409.00000929832458</v>
      </c>
      <c r="Z280" s="20"/>
      <c r="AA280" s="15">
        <v>2494</v>
      </c>
      <c r="AB280" s="17">
        <f t="shared" si="264"/>
        <v>3028</v>
      </c>
      <c r="AC280" s="15">
        <v>4096</v>
      </c>
      <c r="AD280" s="4"/>
      <c r="AE280" s="4"/>
      <c r="AF280" s="4"/>
      <c r="AG280" s="4"/>
      <c r="AH280" s="4"/>
      <c r="AI280" s="4"/>
      <c r="AJ280" s="4"/>
      <c r="AK280" s="4"/>
      <c r="AL280" s="4"/>
    </row>
    <row r="281" spans="1:38" ht="14.4">
      <c r="A281" s="21">
        <v>70706</v>
      </c>
      <c r="B281" s="22" t="s">
        <v>295</v>
      </c>
      <c r="C281" s="15">
        <v>8374</v>
      </c>
      <c r="D281" s="15">
        <v>7774</v>
      </c>
      <c r="E281" s="15">
        <v>16</v>
      </c>
      <c r="F281" s="15">
        <v>4</v>
      </c>
      <c r="G281" s="15">
        <v>40</v>
      </c>
      <c r="H281" s="15">
        <v>540</v>
      </c>
      <c r="I281" s="15">
        <v>9305</v>
      </c>
      <c r="J281" s="15">
        <v>8985</v>
      </c>
      <c r="K281" s="15">
        <v>32</v>
      </c>
      <c r="L281" s="15">
        <v>15</v>
      </c>
      <c r="M281" s="15">
        <v>53</v>
      </c>
      <c r="N281" s="15">
        <v>220</v>
      </c>
      <c r="O281" s="16">
        <f t="shared" ref="O281:T281" si="285">ROUND(C281 + ((2016-2012)*(I281-C281))/(2024-2012),0)</f>
        <v>8684</v>
      </c>
      <c r="P281" s="23">
        <f t="shared" si="285"/>
        <v>8178</v>
      </c>
      <c r="Q281" s="23">
        <f t="shared" si="285"/>
        <v>21</v>
      </c>
      <c r="R281" s="23">
        <f t="shared" si="285"/>
        <v>8</v>
      </c>
      <c r="S281" s="23">
        <f t="shared" si="285"/>
        <v>44</v>
      </c>
      <c r="T281" s="23">
        <f t="shared" si="285"/>
        <v>433</v>
      </c>
      <c r="U281" s="23">
        <v>7493</v>
      </c>
      <c r="V281" s="18">
        <f t="shared" si="260"/>
        <v>685</v>
      </c>
      <c r="W281" s="18">
        <f t="shared" si="261"/>
        <v>685</v>
      </c>
      <c r="X281" s="19">
        <f t="shared" si="262"/>
        <v>8684</v>
      </c>
      <c r="Y281" s="18">
        <v>1347.0000028610229</v>
      </c>
      <c r="Z281" s="20"/>
      <c r="AA281" s="15">
        <v>9032</v>
      </c>
      <c r="AB281" s="23">
        <f t="shared" si="264"/>
        <v>9686</v>
      </c>
      <c r="AC281" s="15">
        <v>10995</v>
      </c>
      <c r="AD281" s="4"/>
      <c r="AE281" s="4"/>
      <c r="AF281" s="4"/>
      <c r="AG281" s="4"/>
      <c r="AH281" s="4"/>
      <c r="AI281" s="4"/>
      <c r="AJ281" s="4"/>
      <c r="AK281" s="4"/>
      <c r="AL281" s="4"/>
    </row>
    <row r="282" spans="1:38" ht="14.4">
      <c r="A282" s="13">
        <v>70707</v>
      </c>
      <c r="B282" s="14" t="s">
        <v>296</v>
      </c>
      <c r="C282" s="15">
        <v>1013</v>
      </c>
      <c r="D282" s="15">
        <v>598</v>
      </c>
      <c r="E282" s="15">
        <v>6</v>
      </c>
      <c r="F282" s="15">
        <v>32</v>
      </c>
      <c r="G282" s="15">
        <v>22</v>
      </c>
      <c r="H282" s="15">
        <v>355</v>
      </c>
      <c r="I282" s="15">
        <v>1385</v>
      </c>
      <c r="J282" s="15">
        <v>1109</v>
      </c>
      <c r="K282" s="15">
        <v>60</v>
      </c>
      <c r="L282" s="15">
        <v>37</v>
      </c>
      <c r="M282" s="15">
        <v>26</v>
      </c>
      <c r="N282" s="15">
        <v>153</v>
      </c>
      <c r="O282" s="16">
        <f t="shared" ref="O282:T282" si="286">ROUND(C282 + ((2016-2012)*(I282-C282))/(2024-2012),0)</f>
        <v>1137</v>
      </c>
      <c r="P282" s="17">
        <f t="shared" si="286"/>
        <v>768</v>
      </c>
      <c r="Q282" s="17">
        <f t="shared" si="286"/>
        <v>24</v>
      </c>
      <c r="R282" s="17">
        <f t="shared" si="286"/>
        <v>34</v>
      </c>
      <c r="S282" s="17">
        <f t="shared" si="286"/>
        <v>23</v>
      </c>
      <c r="T282" s="17">
        <f t="shared" si="286"/>
        <v>288</v>
      </c>
      <c r="U282" s="25">
        <v>806</v>
      </c>
      <c r="V282" s="18">
        <f t="shared" si="260"/>
        <v>-38</v>
      </c>
      <c r="W282" s="18">
        <f t="shared" si="261"/>
        <v>0</v>
      </c>
      <c r="X282" s="19">
        <f t="shared" si="262"/>
        <v>1175</v>
      </c>
      <c r="Y282" s="18">
        <v>759.99999046325684</v>
      </c>
      <c r="Z282" s="20"/>
      <c r="AA282" s="15">
        <v>1077</v>
      </c>
      <c r="AB282" s="17">
        <f t="shared" si="264"/>
        <v>1247</v>
      </c>
      <c r="AC282" s="15">
        <v>1587</v>
      </c>
      <c r="AD282" s="4"/>
      <c r="AE282" s="4"/>
      <c r="AF282" s="4"/>
      <c r="AG282" s="4"/>
      <c r="AH282" s="4"/>
      <c r="AI282" s="4"/>
      <c r="AJ282" s="4"/>
      <c r="AK282" s="4"/>
      <c r="AL282" s="4"/>
    </row>
    <row r="283" spans="1:38" ht="14.4">
      <c r="A283" s="21">
        <v>70801</v>
      </c>
      <c r="B283" s="22" t="s">
        <v>297</v>
      </c>
      <c r="C283" s="15">
        <v>5275</v>
      </c>
      <c r="D283" s="15">
        <v>3545</v>
      </c>
      <c r="E283" s="15">
        <v>31</v>
      </c>
      <c r="F283" s="15">
        <v>336</v>
      </c>
      <c r="G283" s="15">
        <v>43</v>
      </c>
      <c r="H283" s="15">
        <v>1320</v>
      </c>
      <c r="I283" s="15">
        <v>6197</v>
      </c>
      <c r="J283" s="15">
        <v>5219</v>
      </c>
      <c r="K283" s="15">
        <v>9</v>
      </c>
      <c r="L283" s="15">
        <v>640</v>
      </c>
      <c r="M283" s="15">
        <v>8</v>
      </c>
      <c r="N283" s="15">
        <v>321</v>
      </c>
      <c r="O283" s="16">
        <f t="shared" ref="O283:T283" si="287">ROUND(C283 + ((2016-2012)*(I283-C283))/(2024-2012),0)</f>
        <v>5582</v>
      </c>
      <c r="P283" s="23">
        <f t="shared" si="287"/>
        <v>4103</v>
      </c>
      <c r="Q283" s="23">
        <f t="shared" si="287"/>
        <v>24</v>
      </c>
      <c r="R283" s="23">
        <f t="shared" si="287"/>
        <v>437</v>
      </c>
      <c r="S283" s="23">
        <f t="shared" si="287"/>
        <v>31</v>
      </c>
      <c r="T283" s="23">
        <f t="shared" si="287"/>
        <v>987</v>
      </c>
      <c r="U283" s="24">
        <v>4451</v>
      </c>
      <c r="V283" s="18">
        <f t="shared" si="260"/>
        <v>-348</v>
      </c>
      <c r="W283" s="18">
        <f t="shared" si="261"/>
        <v>0</v>
      </c>
      <c r="X283" s="19">
        <f t="shared" si="262"/>
        <v>5930</v>
      </c>
      <c r="Y283" s="18">
        <v>536.00001335144043</v>
      </c>
      <c r="Z283" s="20"/>
      <c r="AA283" s="15">
        <v>6902</v>
      </c>
      <c r="AB283" s="23">
        <f t="shared" si="264"/>
        <v>7741</v>
      </c>
      <c r="AC283" s="15">
        <v>9420</v>
      </c>
      <c r="AD283" s="4"/>
      <c r="AE283" s="4"/>
      <c r="AF283" s="4"/>
      <c r="AG283" s="4"/>
      <c r="AH283" s="4"/>
      <c r="AI283" s="4"/>
      <c r="AJ283" s="4"/>
      <c r="AK283" s="4"/>
      <c r="AL283" s="4"/>
    </row>
    <row r="284" spans="1:38" ht="14.4">
      <c r="A284" s="13">
        <v>70802</v>
      </c>
      <c r="B284" s="14" t="s">
        <v>298</v>
      </c>
      <c r="C284" s="15">
        <v>576</v>
      </c>
      <c r="D284" s="15">
        <v>428</v>
      </c>
      <c r="E284" s="15">
        <v>1</v>
      </c>
      <c r="F284" s="15">
        <v>55</v>
      </c>
      <c r="G284" s="15">
        <v>7</v>
      </c>
      <c r="H284" s="15">
        <v>85</v>
      </c>
      <c r="I284" s="15">
        <v>795</v>
      </c>
      <c r="J284" s="15">
        <v>721</v>
      </c>
      <c r="K284" s="15">
        <v>2</v>
      </c>
      <c r="L284" s="15">
        <v>44</v>
      </c>
      <c r="M284" s="15">
        <v>1</v>
      </c>
      <c r="N284" s="15">
        <v>27</v>
      </c>
      <c r="O284" s="16">
        <f t="shared" ref="O284:T284" si="288">ROUND(C284 + ((2016-2012)*(I284-C284))/(2024-2012),0)</f>
        <v>649</v>
      </c>
      <c r="P284" s="17">
        <f t="shared" si="288"/>
        <v>526</v>
      </c>
      <c r="Q284" s="17">
        <f t="shared" si="288"/>
        <v>1</v>
      </c>
      <c r="R284" s="17">
        <f t="shared" si="288"/>
        <v>51</v>
      </c>
      <c r="S284" s="17">
        <f t="shared" si="288"/>
        <v>5</v>
      </c>
      <c r="T284" s="17">
        <f t="shared" si="288"/>
        <v>66</v>
      </c>
      <c r="U284" s="25">
        <v>520</v>
      </c>
      <c r="V284" s="18">
        <f t="shared" si="260"/>
        <v>6</v>
      </c>
      <c r="W284" s="18">
        <f t="shared" si="261"/>
        <v>6</v>
      </c>
      <c r="X284" s="19">
        <f t="shared" si="262"/>
        <v>649</v>
      </c>
      <c r="Y284" s="18">
        <v>411.50000691413879</v>
      </c>
      <c r="Z284" s="20"/>
      <c r="AA284" s="15">
        <v>711</v>
      </c>
      <c r="AB284" s="17">
        <f t="shared" si="264"/>
        <v>789</v>
      </c>
      <c r="AC284" s="15">
        <v>946</v>
      </c>
      <c r="AD284" s="4"/>
      <c r="AE284" s="4"/>
      <c r="AF284" s="4"/>
      <c r="AG284" s="4"/>
      <c r="AH284" s="4"/>
      <c r="AI284" s="4"/>
      <c r="AJ284" s="4"/>
      <c r="AK284" s="4"/>
      <c r="AL284" s="4"/>
    </row>
    <row r="285" spans="1:38" ht="14.4">
      <c r="A285" s="21">
        <v>70803</v>
      </c>
      <c r="B285" s="22" t="s">
        <v>299</v>
      </c>
      <c r="C285" s="15">
        <v>870</v>
      </c>
      <c r="D285" s="15">
        <v>394</v>
      </c>
      <c r="E285" s="15">
        <v>2</v>
      </c>
      <c r="F285" s="15">
        <v>154</v>
      </c>
      <c r="G285" s="15">
        <v>11</v>
      </c>
      <c r="H285" s="15">
        <v>309</v>
      </c>
      <c r="I285" s="15">
        <v>991</v>
      </c>
      <c r="J285" s="15">
        <v>753</v>
      </c>
      <c r="K285" s="15">
        <v>1</v>
      </c>
      <c r="L285" s="15">
        <v>145</v>
      </c>
      <c r="M285" s="15">
        <v>4</v>
      </c>
      <c r="N285" s="15">
        <v>88</v>
      </c>
      <c r="O285" s="16">
        <f t="shared" ref="O285:T285" si="289">ROUND(C285 + ((2016-2012)*(I285-C285))/(2024-2012),0)</f>
        <v>910</v>
      </c>
      <c r="P285" s="23">
        <f t="shared" si="289"/>
        <v>514</v>
      </c>
      <c r="Q285" s="23">
        <f t="shared" si="289"/>
        <v>2</v>
      </c>
      <c r="R285" s="23">
        <f t="shared" si="289"/>
        <v>151</v>
      </c>
      <c r="S285" s="23">
        <f t="shared" si="289"/>
        <v>9</v>
      </c>
      <c r="T285" s="23">
        <f t="shared" si="289"/>
        <v>235</v>
      </c>
      <c r="U285" s="24">
        <v>646</v>
      </c>
      <c r="V285" s="18">
        <f t="shared" si="260"/>
        <v>-132</v>
      </c>
      <c r="W285" s="18">
        <f t="shared" si="261"/>
        <v>0</v>
      </c>
      <c r="X285" s="19">
        <f t="shared" si="262"/>
        <v>1043</v>
      </c>
      <c r="Y285" s="18">
        <v>214.00000154972076</v>
      </c>
      <c r="Z285" s="20"/>
      <c r="AA285" s="15">
        <v>1271</v>
      </c>
      <c r="AB285" s="23">
        <f t="shared" si="264"/>
        <v>1406</v>
      </c>
      <c r="AC285" s="15">
        <v>1677</v>
      </c>
      <c r="AD285" s="4"/>
      <c r="AE285" s="4"/>
      <c r="AF285" s="4"/>
      <c r="AG285" s="4"/>
      <c r="AH285" s="4"/>
      <c r="AI285" s="4"/>
      <c r="AJ285" s="4"/>
      <c r="AK285" s="4"/>
      <c r="AL285" s="4"/>
    </row>
    <row r="286" spans="1:38" ht="14.4">
      <c r="A286" s="13">
        <v>70804</v>
      </c>
      <c r="B286" s="14" t="s">
        <v>300</v>
      </c>
      <c r="C286" s="15">
        <v>600</v>
      </c>
      <c r="D286" s="15">
        <v>306</v>
      </c>
      <c r="E286" s="15">
        <v>1</v>
      </c>
      <c r="F286" s="15">
        <v>70</v>
      </c>
      <c r="G286" s="15">
        <v>1</v>
      </c>
      <c r="H286" s="15">
        <v>222</v>
      </c>
      <c r="I286" s="15">
        <v>606</v>
      </c>
      <c r="J286" s="15">
        <v>365</v>
      </c>
      <c r="K286" s="15">
        <v>5</v>
      </c>
      <c r="L286" s="15">
        <v>166</v>
      </c>
      <c r="M286" s="15">
        <v>2</v>
      </c>
      <c r="N286" s="15">
        <v>68</v>
      </c>
      <c r="O286" s="16">
        <f t="shared" ref="O286:T286" si="290">ROUND(C286 + ((2016-2012)*(I286-C286))/(2024-2012),0)</f>
        <v>602</v>
      </c>
      <c r="P286" s="17">
        <f t="shared" si="290"/>
        <v>326</v>
      </c>
      <c r="Q286" s="17">
        <f t="shared" si="290"/>
        <v>2</v>
      </c>
      <c r="R286" s="17">
        <f t="shared" si="290"/>
        <v>102</v>
      </c>
      <c r="S286" s="17">
        <f t="shared" si="290"/>
        <v>1</v>
      </c>
      <c r="T286" s="17">
        <f t="shared" si="290"/>
        <v>171</v>
      </c>
      <c r="U286" s="25">
        <v>356</v>
      </c>
      <c r="V286" s="18">
        <f t="shared" si="260"/>
        <v>-30</v>
      </c>
      <c r="W286" s="18">
        <f t="shared" si="261"/>
        <v>0</v>
      </c>
      <c r="X286" s="19">
        <f t="shared" si="262"/>
        <v>632</v>
      </c>
      <c r="Y286" s="18">
        <v>307.00001120567322</v>
      </c>
      <c r="Z286" s="20"/>
      <c r="AA286" s="15">
        <v>720</v>
      </c>
      <c r="AB286" s="17">
        <f t="shared" si="264"/>
        <v>777</v>
      </c>
      <c r="AC286" s="15">
        <v>891</v>
      </c>
      <c r="AD286" s="4"/>
      <c r="AE286" s="4"/>
      <c r="AF286" s="4"/>
      <c r="AG286" s="4"/>
      <c r="AH286" s="4"/>
      <c r="AI286" s="4"/>
      <c r="AJ286" s="4"/>
      <c r="AK286" s="4"/>
      <c r="AL286" s="4"/>
    </row>
    <row r="287" spans="1:38" ht="14.4">
      <c r="A287" s="21">
        <v>70805</v>
      </c>
      <c r="B287" s="22" t="s">
        <v>301</v>
      </c>
      <c r="C287" s="15">
        <v>635</v>
      </c>
      <c r="D287" s="15">
        <v>283</v>
      </c>
      <c r="E287" s="15">
        <v>4</v>
      </c>
      <c r="F287" s="15">
        <v>63</v>
      </c>
      <c r="G287" s="15">
        <v>5</v>
      </c>
      <c r="H287" s="15">
        <v>280</v>
      </c>
      <c r="I287" s="15">
        <v>749</v>
      </c>
      <c r="J287" s="15">
        <v>490</v>
      </c>
      <c r="K287" s="15">
        <v>2</v>
      </c>
      <c r="L287" s="15">
        <v>172</v>
      </c>
      <c r="M287" s="15">
        <v>0</v>
      </c>
      <c r="N287" s="15">
        <v>85</v>
      </c>
      <c r="O287" s="16">
        <f t="shared" ref="O287:T287" si="291">ROUND(C287 + ((2016-2012)*(I287-C287))/(2024-2012),0)</f>
        <v>673</v>
      </c>
      <c r="P287" s="23">
        <f t="shared" si="291"/>
        <v>352</v>
      </c>
      <c r="Q287" s="23">
        <f t="shared" si="291"/>
        <v>3</v>
      </c>
      <c r="R287" s="23">
        <f t="shared" si="291"/>
        <v>99</v>
      </c>
      <c r="S287" s="23">
        <f t="shared" si="291"/>
        <v>3</v>
      </c>
      <c r="T287" s="23">
        <f t="shared" si="291"/>
        <v>215</v>
      </c>
      <c r="U287" s="24">
        <v>0</v>
      </c>
      <c r="V287" s="18">
        <f t="shared" si="260"/>
        <v>352</v>
      </c>
      <c r="W287" s="18">
        <f t="shared" si="261"/>
        <v>352</v>
      </c>
      <c r="X287" s="19">
        <f t="shared" si="262"/>
        <v>672</v>
      </c>
      <c r="Y287" s="18">
        <v>0</v>
      </c>
      <c r="Z287" s="20"/>
      <c r="AA287" s="15">
        <v>646</v>
      </c>
      <c r="AB287" s="23">
        <f t="shared" si="264"/>
        <v>755</v>
      </c>
      <c r="AC287" s="15">
        <v>972</v>
      </c>
      <c r="AD287" s="4"/>
      <c r="AE287" s="4"/>
      <c r="AF287" s="4"/>
      <c r="AG287" s="4"/>
      <c r="AH287" s="4"/>
      <c r="AI287" s="4"/>
      <c r="AJ287" s="4"/>
      <c r="AK287" s="4"/>
      <c r="AL287" s="4"/>
    </row>
    <row r="288" spans="1:38" ht="14.4">
      <c r="A288" s="13">
        <v>70901</v>
      </c>
      <c r="B288" s="14" t="s">
        <v>302</v>
      </c>
      <c r="C288" s="15">
        <v>3099</v>
      </c>
      <c r="D288" s="15">
        <v>2317</v>
      </c>
      <c r="E288" s="15">
        <v>30</v>
      </c>
      <c r="F288" s="15">
        <v>61</v>
      </c>
      <c r="G288" s="15">
        <v>20</v>
      </c>
      <c r="H288" s="15">
        <v>671</v>
      </c>
      <c r="I288" s="15">
        <v>4052</v>
      </c>
      <c r="J288" s="15">
        <v>3456</v>
      </c>
      <c r="K288" s="15">
        <v>19</v>
      </c>
      <c r="L288" s="15">
        <v>311</v>
      </c>
      <c r="M288" s="15">
        <v>10</v>
      </c>
      <c r="N288" s="15">
        <v>256</v>
      </c>
      <c r="O288" s="16">
        <f t="shared" ref="O288:T288" si="292">ROUND(C288 + ((2016-2012)*(I288-C288))/(2024-2012),0)</f>
        <v>3417</v>
      </c>
      <c r="P288" s="17">
        <f t="shared" si="292"/>
        <v>2697</v>
      </c>
      <c r="Q288" s="17">
        <f t="shared" si="292"/>
        <v>26</v>
      </c>
      <c r="R288" s="17">
        <f t="shared" si="292"/>
        <v>144</v>
      </c>
      <c r="S288" s="17">
        <f t="shared" si="292"/>
        <v>17</v>
      </c>
      <c r="T288" s="17">
        <f t="shared" si="292"/>
        <v>533</v>
      </c>
      <c r="U288" s="25">
        <v>2787</v>
      </c>
      <c r="V288" s="18">
        <f t="shared" si="260"/>
        <v>-90</v>
      </c>
      <c r="W288" s="18">
        <f t="shared" si="261"/>
        <v>0</v>
      </c>
      <c r="X288" s="19">
        <f t="shared" si="262"/>
        <v>3507</v>
      </c>
      <c r="Y288" s="18">
        <v>606.00000619888306</v>
      </c>
      <c r="Z288" s="20"/>
      <c r="AA288" s="15">
        <v>4068</v>
      </c>
      <c r="AB288" s="17">
        <f t="shared" si="264"/>
        <v>4640</v>
      </c>
      <c r="AC288" s="15">
        <v>5785</v>
      </c>
      <c r="AD288" s="4"/>
      <c r="AE288" s="4"/>
      <c r="AF288" s="4"/>
      <c r="AG288" s="4"/>
      <c r="AH288" s="4"/>
      <c r="AI288" s="4"/>
      <c r="AJ288" s="4"/>
      <c r="AK288" s="4"/>
      <c r="AL288" s="4"/>
    </row>
    <row r="289" spans="1:38" ht="14.4">
      <c r="A289" s="21">
        <v>70902</v>
      </c>
      <c r="B289" s="22" t="s">
        <v>303</v>
      </c>
      <c r="C289" s="15">
        <v>2714</v>
      </c>
      <c r="D289" s="15">
        <v>2123</v>
      </c>
      <c r="E289" s="15">
        <v>22</v>
      </c>
      <c r="F289" s="15">
        <v>68</v>
      </c>
      <c r="G289" s="15">
        <v>4</v>
      </c>
      <c r="H289" s="15">
        <v>497</v>
      </c>
      <c r="I289" s="15">
        <v>3050</v>
      </c>
      <c r="J289" s="15">
        <v>2689</v>
      </c>
      <c r="K289" s="15">
        <v>2</v>
      </c>
      <c r="L289" s="15">
        <v>38</v>
      </c>
      <c r="M289" s="15">
        <v>25</v>
      </c>
      <c r="N289" s="15">
        <v>296</v>
      </c>
      <c r="O289" s="16">
        <f t="shared" ref="O289:T289" si="293">ROUND(C289 + ((2016-2012)*(I289-C289))/(2024-2012),0)</f>
        <v>2826</v>
      </c>
      <c r="P289" s="23">
        <f t="shared" si="293"/>
        <v>2312</v>
      </c>
      <c r="Q289" s="23">
        <f t="shared" si="293"/>
        <v>15</v>
      </c>
      <c r="R289" s="23">
        <f t="shared" si="293"/>
        <v>58</v>
      </c>
      <c r="S289" s="23">
        <f t="shared" si="293"/>
        <v>11</v>
      </c>
      <c r="T289" s="23">
        <f t="shared" si="293"/>
        <v>430</v>
      </c>
      <c r="U289" s="24">
        <v>2302</v>
      </c>
      <c r="V289" s="18">
        <f t="shared" si="260"/>
        <v>10</v>
      </c>
      <c r="W289" s="18">
        <f t="shared" si="261"/>
        <v>10</v>
      </c>
      <c r="X289" s="19">
        <f t="shared" si="262"/>
        <v>2826</v>
      </c>
      <c r="Y289" s="18">
        <v>454.50000464916229</v>
      </c>
      <c r="Z289" s="20"/>
      <c r="AA289" s="15">
        <v>3324</v>
      </c>
      <c r="AB289" s="23">
        <f t="shared" si="264"/>
        <v>3542</v>
      </c>
      <c r="AC289" s="15">
        <v>3979</v>
      </c>
      <c r="AD289" s="4"/>
      <c r="AE289" s="4"/>
      <c r="AF289" s="4"/>
      <c r="AG289" s="4"/>
      <c r="AH289" s="4"/>
      <c r="AI289" s="4"/>
      <c r="AJ289" s="4"/>
      <c r="AK289" s="4"/>
      <c r="AL289" s="4"/>
    </row>
    <row r="290" spans="1:38" ht="14.4">
      <c r="A290" s="13">
        <v>70903</v>
      </c>
      <c r="B290" s="14" t="s">
        <v>304</v>
      </c>
      <c r="C290" s="15">
        <v>2964</v>
      </c>
      <c r="D290" s="15">
        <v>2541</v>
      </c>
      <c r="E290" s="15">
        <v>11</v>
      </c>
      <c r="F290" s="15">
        <v>9</v>
      </c>
      <c r="G290" s="15">
        <v>8</v>
      </c>
      <c r="H290" s="15">
        <v>395</v>
      </c>
      <c r="I290" s="15">
        <v>4310</v>
      </c>
      <c r="J290" s="15">
        <v>3646</v>
      </c>
      <c r="K290" s="15">
        <v>13</v>
      </c>
      <c r="L290" s="15">
        <v>40</v>
      </c>
      <c r="M290" s="15">
        <v>25</v>
      </c>
      <c r="N290" s="15">
        <v>586</v>
      </c>
      <c r="O290" s="16">
        <f t="shared" ref="O290:T290" si="294">ROUND(C290 + ((2016-2012)*(I290-C290))/(2024-2012),0)</f>
        <v>3413</v>
      </c>
      <c r="P290" s="17">
        <f t="shared" si="294"/>
        <v>2909</v>
      </c>
      <c r="Q290" s="17">
        <f t="shared" si="294"/>
        <v>12</v>
      </c>
      <c r="R290" s="17">
        <f t="shared" si="294"/>
        <v>19</v>
      </c>
      <c r="S290" s="17">
        <f t="shared" si="294"/>
        <v>14</v>
      </c>
      <c r="T290" s="17">
        <f t="shared" si="294"/>
        <v>459</v>
      </c>
      <c r="U290" s="25">
        <v>2579</v>
      </c>
      <c r="V290" s="18">
        <f t="shared" si="260"/>
        <v>330</v>
      </c>
      <c r="W290" s="18">
        <f t="shared" si="261"/>
        <v>330</v>
      </c>
      <c r="X290" s="19">
        <f t="shared" si="262"/>
        <v>3413</v>
      </c>
      <c r="Y290" s="18">
        <v>628.00002098083496</v>
      </c>
      <c r="Z290" s="20"/>
      <c r="AA290" s="15">
        <v>3453</v>
      </c>
      <c r="AB290" s="17">
        <f t="shared" si="264"/>
        <v>4146</v>
      </c>
      <c r="AC290" s="15">
        <v>5532</v>
      </c>
      <c r="AD290" s="4"/>
      <c r="AE290" s="4"/>
      <c r="AF290" s="4"/>
      <c r="AG290" s="4"/>
      <c r="AH290" s="4"/>
      <c r="AI290" s="4"/>
      <c r="AJ290" s="4"/>
      <c r="AK290" s="4"/>
      <c r="AL290" s="4"/>
    </row>
    <row r="291" spans="1:38" ht="14.4">
      <c r="A291" s="21">
        <v>70904</v>
      </c>
      <c r="B291" s="22" t="s">
        <v>305</v>
      </c>
      <c r="C291" s="15">
        <v>730</v>
      </c>
      <c r="D291" s="15">
        <v>517</v>
      </c>
      <c r="E291" s="15">
        <v>5</v>
      </c>
      <c r="F291" s="15">
        <v>35</v>
      </c>
      <c r="G291" s="15">
        <v>12</v>
      </c>
      <c r="H291" s="15">
        <v>161</v>
      </c>
      <c r="I291" s="15">
        <v>787</v>
      </c>
      <c r="J291" s="15">
        <v>647</v>
      </c>
      <c r="K291" s="15">
        <v>1</v>
      </c>
      <c r="L291" s="15">
        <v>55</v>
      </c>
      <c r="M291" s="15">
        <v>1</v>
      </c>
      <c r="N291" s="15">
        <v>83</v>
      </c>
      <c r="O291" s="16">
        <f t="shared" ref="O291:T291" si="295">ROUND(C291 + ((2016-2012)*(I291-C291))/(2024-2012),0)</f>
        <v>749</v>
      </c>
      <c r="P291" s="23">
        <f t="shared" si="295"/>
        <v>560</v>
      </c>
      <c r="Q291" s="23">
        <f t="shared" si="295"/>
        <v>4</v>
      </c>
      <c r="R291" s="23">
        <f t="shared" si="295"/>
        <v>42</v>
      </c>
      <c r="S291" s="23">
        <f t="shared" si="295"/>
        <v>8</v>
      </c>
      <c r="T291" s="23">
        <f t="shared" si="295"/>
        <v>135</v>
      </c>
      <c r="U291" s="24">
        <v>406</v>
      </c>
      <c r="V291" s="18">
        <f t="shared" si="260"/>
        <v>154</v>
      </c>
      <c r="W291" s="18">
        <f t="shared" si="261"/>
        <v>154</v>
      </c>
      <c r="X291" s="19">
        <f t="shared" si="262"/>
        <v>749</v>
      </c>
      <c r="Y291" s="18">
        <v>337.49999105930328</v>
      </c>
      <c r="Z291" s="20"/>
      <c r="AA291" s="15">
        <v>824</v>
      </c>
      <c r="AB291" s="23">
        <f t="shared" si="264"/>
        <v>829</v>
      </c>
      <c r="AC291" s="15">
        <v>840</v>
      </c>
      <c r="AD291" s="4"/>
      <c r="AE291" s="4"/>
      <c r="AF291" s="4"/>
      <c r="AG291" s="4"/>
      <c r="AH291" s="4"/>
      <c r="AI291" s="4"/>
      <c r="AJ291" s="4"/>
      <c r="AK291" s="4"/>
      <c r="AL291" s="4"/>
    </row>
    <row r="292" spans="1:38" ht="14.4">
      <c r="A292" s="13">
        <v>71001</v>
      </c>
      <c r="B292" s="14" t="s">
        <v>306</v>
      </c>
      <c r="C292" s="15">
        <v>26343</v>
      </c>
      <c r="D292" s="15">
        <v>24524</v>
      </c>
      <c r="E292" s="15">
        <v>72</v>
      </c>
      <c r="F292" s="15">
        <v>10</v>
      </c>
      <c r="G292" s="15">
        <v>191</v>
      </c>
      <c r="H292" s="15">
        <v>1546</v>
      </c>
      <c r="I292" s="15">
        <v>33384</v>
      </c>
      <c r="J292" s="15">
        <v>32778</v>
      </c>
      <c r="K292" s="15">
        <v>90</v>
      </c>
      <c r="L292" s="15">
        <v>177</v>
      </c>
      <c r="M292" s="15">
        <v>76</v>
      </c>
      <c r="N292" s="15">
        <v>263</v>
      </c>
      <c r="O292" s="16">
        <f t="shared" ref="O292:T292" si="296">ROUND(C292 + ((2016-2012)*(I292-C292))/(2024-2012),0)</f>
        <v>28690</v>
      </c>
      <c r="P292" s="17">
        <f t="shared" si="296"/>
        <v>27275</v>
      </c>
      <c r="Q292" s="17">
        <f t="shared" si="296"/>
        <v>78</v>
      </c>
      <c r="R292" s="17">
        <f t="shared" si="296"/>
        <v>66</v>
      </c>
      <c r="S292" s="17">
        <f t="shared" si="296"/>
        <v>153</v>
      </c>
      <c r="T292" s="17">
        <f t="shared" si="296"/>
        <v>1118</v>
      </c>
      <c r="U292" s="17">
        <v>24628</v>
      </c>
      <c r="V292" s="18">
        <f t="shared" si="260"/>
        <v>2647</v>
      </c>
      <c r="W292" s="18">
        <f t="shared" si="261"/>
        <v>2647</v>
      </c>
      <c r="X292" s="19">
        <f t="shared" si="262"/>
        <v>28690</v>
      </c>
      <c r="Y292" s="18">
        <v>1455.9999704360962</v>
      </c>
      <c r="Z292" s="20"/>
      <c r="AA292" s="15">
        <v>27989</v>
      </c>
      <c r="AB292" s="17">
        <f t="shared" si="264"/>
        <v>31284</v>
      </c>
      <c r="AC292" s="15">
        <v>37875</v>
      </c>
      <c r="AD292" s="4"/>
      <c r="AE292" s="4"/>
      <c r="AF292" s="4"/>
      <c r="AG292" s="4"/>
      <c r="AH292" s="4"/>
      <c r="AI292" s="4"/>
      <c r="AJ292" s="4"/>
      <c r="AK292" s="4"/>
      <c r="AL292" s="4"/>
    </row>
    <row r="293" spans="1:38" ht="14.4">
      <c r="A293" s="21">
        <v>71002</v>
      </c>
      <c r="B293" s="22" t="s">
        <v>307</v>
      </c>
      <c r="C293" s="15">
        <v>3236</v>
      </c>
      <c r="D293" s="15">
        <v>2651</v>
      </c>
      <c r="E293" s="15">
        <v>32</v>
      </c>
      <c r="F293" s="15">
        <v>4</v>
      </c>
      <c r="G293" s="15">
        <v>33</v>
      </c>
      <c r="H293" s="15">
        <v>516</v>
      </c>
      <c r="I293" s="15">
        <v>4358</v>
      </c>
      <c r="J293" s="15">
        <v>4041</v>
      </c>
      <c r="K293" s="15">
        <v>29</v>
      </c>
      <c r="L293" s="15">
        <v>41</v>
      </c>
      <c r="M293" s="15">
        <v>21</v>
      </c>
      <c r="N293" s="15">
        <v>226</v>
      </c>
      <c r="O293" s="16">
        <f t="shared" ref="O293:T293" si="297">ROUND(C293 + ((2016-2012)*(I293-C293))/(2024-2012),0)</f>
        <v>3610</v>
      </c>
      <c r="P293" s="23">
        <f t="shared" si="297"/>
        <v>3114</v>
      </c>
      <c r="Q293" s="23">
        <f t="shared" si="297"/>
        <v>31</v>
      </c>
      <c r="R293" s="23">
        <f t="shared" si="297"/>
        <v>16</v>
      </c>
      <c r="S293" s="23">
        <f t="shared" si="297"/>
        <v>29</v>
      </c>
      <c r="T293" s="23">
        <f t="shared" si="297"/>
        <v>419</v>
      </c>
      <c r="U293" s="23">
        <v>2665</v>
      </c>
      <c r="V293" s="18">
        <f t="shared" si="260"/>
        <v>449</v>
      </c>
      <c r="W293" s="18">
        <f t="shared" si="261"/>
        <v>449</v>
      </c>
      <c r="X293" s="19">
        <f t="shared" si="262"/>
        <v>3609</v>
      </c>
      <c r="Y293" s="18">
        <v>944.99999284744263</v>
      </c>
      <c r="Z293" s="20"/>
      <c r="AA293" s="15">
        <v>3523</v>
      </c>
      <c r="AB293" s="23">
        <f t="shared" si="264"/>
        <v>3980</v>
      </c>
      <c r="AC293" s="15">
        <v>4894</v>
      </c>
      <c r="AD293" s="4"/>
      <c r="AE293" s="4"/>
      <c r="AF293" s="4"/>
      <c r="AG293" s="4"/>
      <c r="AH293" s="4"/>
      <c r="AI293" s="4"/>
      <c r="AJ293" s="4"/>
      <c r="AK293" s="4"/>
      <c r="AL293" s="4"/>
    </row>
    <row r="294" spans="1:38" ht="14.4">
      <c r="A294" s="13">
        <v>71003</v>
      </c>
      <c r="B294" s="14" t="s">
        <v>308</v>
      </c>
      <c r="C294" s="15">
        <v>5327</v>
      </c>
      <c r="D294" s="15">
        <v>4651</v>
      </c>
      <c r="E294" s="15">
        <v>25</v>
      </c>
      <c r="F294" s="15">
        <v>10</v>
      </c>
      <c r="G294" s="15">
        <v>51</v>
      </c>
      <c r="H294" s="15">
        <v>590</v>
      </c>
      <c r="I294" s="15">
        <v>6194</v>
      </c>
      <c r="J294" s="15">
        <v>5859</v>
      </c>
      <c r="K294" s="15">
        <v>30</v>
      </c>
      <c r="L294" s="15">
        <v>56</v>
      </c>
      <c r="M294" s="15">
        <v>48</v>
      </c>
      <c r="N294" s="15">
        <v>201</v>
      </c>
      <c r="O294" s="16">
        <f t="shared" ref="O294:T294" si="298">ROUND(C294 + ((2016-2012)*(I294-C294))/(2024-2012),0)</f>
        <v>5616</v>
      </c>
      <c r="P294" s="17">
        <f t="shared" si="298"/>
        <v>5054</v>
      </c>
      <c r="Q294" s="17">
        <f t="shared" si="298"/>
        <v>27</v>
      </c>
      <c r="R294" s="17">
        <f t="shared" si="298"/>
        <v>25</v>
      </c>
      <c r="S294" s="17">
        <f t="shared" si="298"/>
        <v>50</v>
      </c>
      <c r="T294" s="17">
        <f t="shared" si="298"/>
        <v>460</v>
      </c>
      <c r="U294" s="17">
        <v>4272</v>
      </c>
      <c r="V294" s="18">
        <f t="shared" si="260"/>
        <v>782</v>
      </c>
      <c r="W294" s="18">
        <f t="shared" si="261"/>
        <v>782</v>
      </c>
      <c r="X294" s="19">
        <f t="shared" si="262"/>
        <v>5616</v>
      </c>
      <c r="Y294" s="18">
        <v>1251.9999742507935</v>
      </c>
      <c r="Z294" s="20"/>
      <c r="AA294" s="15">
        <v>5713</v>
      </c>
      <c r="AB294" s="17">
        <f t="shared" si="264"/>
        <v>6183</v>
      </c>
      <c r="AC294" s="15">
        <v>7123</v>
      </c>
      <c r="AD294" s="4"/>
      <c r="AE294" s="4"/>
      <c r="AF294" s="4"/>
      <c r="AG294" s="4"/>
      <c r="AH294" s="4"/>
      <c r="AI294" s="4"/>
      <c r="AJ294" s="4"/>
      <c r="AK294" s="4"/>
      <c r="AL294" s="4"/>
    </row>
    <row r="295" spans="1:38" ht="14.4">
      <c r="A295" s="21">
        <v>71004</v>
      </c>
      <c r="B295" s="22" t="s">
        <v>309</v>
      </c>
      <c r="C295" s="15">
        <v>3163</v>
      </c>
      <c r="D295" s="15">
        <v>2525</v>
      </c>
      <c r="E295" s="15">
        <v>122</v>
      </c>
      <c r="F295" s="15">
        <v>66</v>
      </c>
      <c r="G295" s="15">
        <v>48</v>
      </c>
      <c r="H295" s="15">
        <v>402</v>
      </c>
      <c r="I295" s="15">
        <v>3438</v>
      </c>
      <c r="J295" s="15">
        <v>3100</v>
      </c>
      <c r="K295" s="15">
        <v>42</v>
      </c>
      <c r="L295" s="15">
        <v>54</v>
      </c>
      <c r="M295" s="15">
        <v>32</v>
      </c>
      <c r="N295" s="15">
        <v>210</v>
      </c>
      <c r="O295" s="16">
        <f t="shared" ref="O295:T295" si="299">ROUND(C295 + ((2016-2012)*(I295-C295))/(2024-2012),0)</f>
        <v>3255</v>
      </c>
      <c r="P295" s="23">
        <f t="shared" si="299"/>
        <v>2717</v>
      </c>
      <c r="Q295" s="23">
        <f t="shared" si="299"/>
        <v>95</v>
      </c>
      <c r="R295" s="23">
        <f t="shared" si="299"/>
        <v>62</v>
      </c>
      <c r="S295" s="23">
        <f t="shared" si="299"/>
        <v>43</v>
      </c>
      <c r="T295" s="23">
        <f t="shared" si="299"/>
        <v>338</v>
      </c>
      <c r="U295" s="23">
        <v>2459</v>
      </c>
      <c r="V295" s="18">
        <f t="shared" si="260"/>
        <v>258</v>
      </c>
      <c r="W295" s="18">
        <f t="shared" si="261"/>
        <v>258</v>
      </c>
      <c r="X295" s="19">
        <f t="shared" si="262"/>
        <v>3255</v>
      </c>
      <c r="Y295" s="18">
        <v>934.00001525878906</v>
      </c>
      <c r="Z295" s="20"/>
      <c r="AA295" s="15">
        <v>3372</v>
      </c>
      <c r="AB295" s="23">
        <f t="shared" si="264"/>
        <v>3593</v>
      </c>
      <c r="AC295" s="15">
        <v>4034</v>
      </c>
      <c r="AD295" s="4"/>
      <c r="AE295" s="4"/>
      <c r="AF295" s="4"/>
      <c r="AG295" s="4"/>
      <c r="AH295" s="4"/>
      <c r="AI295" s="4"/>
      <c r="AJ295" s="4"/>
      <c r="AK295" s="4"/>
      <c r="AL295" s="4"/>
    </row>
    <row r="296" spans="1:38" ht="14.4">
      <c r="A296" s="13">
        <v>71005</v>
      </c>
      <c r="B296" s="14" t="s">
        <v>310</v>
      </c>
      <c r="C296" s="15">
        <v>3477</v>
      </c>
      <c r="D296" s="15">
        <v>3010</v>
      </c>
      <c r="E296" s="15">
        <v>44</v>
      </c>
      <c r="F296" s="15">
        <v>6</v>
      </c>
      <c r="G296" s="15">
        <v>28</v>
      </c>
      <c r="H296" s="15">
        <v>389</v>
      </c>
      <c r="I296" s="15">
        <v>3775</v>
      </c>
      <c r="J296" s="15">
        <v>3324</v>
      </c>
      <c r="K296" s="15">
        <v>26</v>
      </c>
      <c r="L296" s="15">
        <v>90</v>
      </c>
      <c r="M296" s="15">
        <v>26</v>
      </c>
      <c r="N296" s="15">
        <v>309</v>
      </c>
      <c r="O296" s="16">
        <f t="shared" ref="O296:T296" si="300">ROUND(C296 + ((2016-2012)*(I296-C296))/(2024-2012),0)</f>
        <v>3576</v>
      </c>
      <c r="P296" s="17">
        <f t="shared" si="300"/>
        <v>3115</v>
      </c>
      <c r="Q296" s="17">
        <f t="shared" si="300"/>
        <v>38</v>
      </c>
      <c r="R296" s="17">
        <f t="shared" si="300"/>
        <v>34</v>
      </c>
      <c r="S296" s="17">
        <f t="shared" si="300"/>
        <v>27</v>
      </c>
      <c r="T296" s="17">
        <f t="shared" si="300"/>
        <v>362</v>
      </c>
      <c r="U296" s="17">
        <v>2865</v>
      </c>
      <c r="V296" s="18">
        <f t="shared" si="260"/>
        <v>250</v>
      </c>
      <c r="W296" s="18">
        <f t="shared" si="261"/>
        <v>250</v>
      </c>
      <c r="X296" s="19">
        <f t="shared" si="262"/>
        <v>3576</v>
      </c>
      <c r="Y296" s="18">
        <v>939.00001049041748</v>
      </c>
      <c r="Z296" s="20"/>
      <c r="AA296" s="15">
        <v>3682</v>
      </c>
      <c r="AB296" s="17">
        <f t="shared" si="264"/>
        <v>3895</v>
      </c>
      <c r="AC296" s="15">
        <v>4320</v>
      </c>
      <c r="AD296" s="4"/>
      <c r="AE296" s="4"/>
      <c r="AF296" s="4"/>
      <c r="AG296" s="4"/>
      <c r="AH296" s="4"/>
      <c r="AI296" s="4"/>
      <c r="AJ296" s="4"/>
      <c r="AK296" s="4"/>
      <c r="AL296" s="4"/>
    </row>
    <row r="297" spans="1:38" ht="14.4">
      <c r="A297" s="21">
        <v>71101</v>
      </c>
      <c r="B297" s="22" t="s">
        <v>311</v>
      </c>
      <c r="C297" s="15">
        <v>4261</v>
      </c>
      <c r="D297" s="15">
        <v>2107</v>
      </c>
      <c r="E297" s="15">
        <v>256</v>
      </c>
      <c r="F297" s="15">
        <v>83</v>
      </c>
      <c r="G297" s="15">
        <v>186</v>
      </c>
      <c r="H297" s="15">
        <v>1629</v>
      </c>
      <c r="I297" s="15">
        <v>9407</v>
      </c>
      <c r="J297" s="15">
        <v>5727</v>
      </c>
      <c r="K297" s="15">
        <v>164</v>
      </c>
      <c r="L297" s="15">
        <v>869</v>
      </c>
      <c r="M297" s="15">
        <v>246</v>
      </c>
      <c r="N297" s="15">
        <v>2401</v>
      </c>
      <c r="O297" s="16">
        <f t="shared" ref="O297:T297" si="301">ROUND(C297 + ((2016-2012)*(I297-C297))/(2024-2012),0)</f>
        <v>5976</v>
      </c>
      <c r="P297" s="23">
        <f t="shared" si="301"/>
        <v>3314</v>
      </c>
      <c r="Q297" s="23">
        <f t="shared" si="301"/>
        <v>225</v>
      </c>
      <c r="R297" s="23">
        <f t="shared" si="301"/>
        <v>345</v>
      </c>
      <c r="S297" s="23">
        <f t="shared" si="301"/>
        <v>206</v>
      </c>
      <c r="T297" s="23">
        <f t="shared" si="301"/>
        <v>1886</v>
      </c>
      <c r="U297" s="24">
        <v>3084</v>
      </c>
      <c r="V297" s="18">
        <f t="shared" si="260"/>
        <v>230</v>
      </c>
      <c r="W297" s="18">
        <f t="shared" si="261"/>
        <v>230</v>
      </c>
      <c r="X297" s="19">
        <f t="shared" si="262"/>
        <v>5976</v>
      </c>
      <c r="Y297" s="18">
        <v>740.50000309944153</v>
      </c>
      <c r="Z297" s="20"/>
      <c r="AA297" s="15">
        <v>4639</v>
      </c>
      <c r="AB297" s="23">
        <f t="shared" si="264"/>
        <v>6829</v>
      </c>
      <c r="AC297" s="15">
        <v>11208</v>
      </c>
      <c r="AD297" s="4"/>
      <c r="AE297" s="4"/>
      <c r="AF297" s="4"/>
      <c r="AG297" s="4"/>
      <c r="AH297" s="4"/>
      <c r="AI297" s="4"/>
      <c r="AJ297" s="4"/>
      <c r="AK297" s="4"/>
      <c r="AL297" s="4"/>
    </row>
    <row r="298" spans="1:38" ht="14.4">
      <c r="A298" s="13">
        <v>71102</v>
      </c>
      <c r="B298" s="14" t="s">
        <v>312</v>
      </c>
      <c r="C298" s="15">
        <v>3185</v>
      </c>
      <c r="D298" s="15">
        <v>1905</v>
      </c>
      <c r="E298" s="15">
        <v>115</v>
      </c>
      <c r="F298" s="15">
        <v>168</v>
      </c>
      <c r="G298" s="15">
        <v>94</v>
      </c>
      <c r="H298" s="15">
        <v>903</v>
      </c>
      <c r="I298" s="15">
        <v>3941</v>
      </c>
      <c r="J298" s="15">
        <v>3297</v>
      </c>
      <c r="K298" s="15">
        <v>47</v>
      </c>
      <c r="L298" s="15">
        <v>290</v>
      </c>
      <c r="M298" s="15">
        <v>39</v>
      </c>
      <c r="N298" s="15">
        <v>268</v>
      </c>
      <c r="O298" s="16">
        <f t="shared" ref="O298:T298" si="302">ROUND(C298 + ((2016-2012)*(I298-C298))/(2024-2012),0)</f>
        <v>3437</v>
      </c>
      <c r="P298" s="17">
        <f t="shared" si="302"/>
        <v>2369</v>
      </c>
      <c r="Q298" s="17">
        <f t="shared" si="302"/>
        <v>92</v>
      </c>
      <c r="R298" s="17">
        <f t="shared" si="302"/>
        <v>209</v>
      </c>
      <c r="S298" s="17">
        <f t="shared" si="302"/>
        <v>76</v>
      </c>
      <c r="T298" s="17">
        <f t="shared" si="302"/>
        <v>691</v>
      </c>
      <c r="U298" s="25">
        <v>1510</v>
      </c>
      <c r="V298" s="18">
        <f t="shared" si="260"/>
        <v>859</v>
      </c>
      <c r="W298" s="18">
        <f t="shared" si="261"/>
        <v>859</v>
      </c>
      <c r="X298" s="19">
        <f t="shared" si="262"/>
        <v>3437</v>
      </c>
      <c r="Y298" s="18">
        <v>1116.5000200271606</v>
      </c>
      <c r="Z298" s="20"/>
      <c r="AA298" s="15">
        <v>3283</v>
      </c>
      <c r="AB298" s="17">
        <f t="shared" si="264"/>
        <v>3695</v>
      </c>
      <c r="AC298" s="15">
        <v>4518</v>
      </c>
      <c r="AD298" s="4"/>
      <c r="AE298" s="4"/>
      <c r="AF298" s="4"/>
      <c r="AG298" s="4"/>
      <c r="AH298" s="4"/>
      <c r="AI298" s="4"/>
      <c r="AJ298" s="4"/>
      <c r="AK298" s="4"/>
      <c r="AL298" s="4"/>
    </row>
    <row r="299" spans="1:38" ht="14.4">
      <c r="A299" s="21">
        <v>71103</v>
      </c>
      <c r="B299" s="22" t="s">
        <v>313</v>
      </c>
      <c r="C299" s="15">
        <v>1685</v>
      </c>
      <c r="D299" s="15">
        <v>1253</v>
      </c>
      <c r="E299" s="15">
        <v>19</v>
      </c>
      <c r="F299" s="15">
        <v>16</v>
      </c>
      <c r="G299" s="15">
        <v>49</v>
      </c>
      <c r="H299" s="15">
        <v>348</v>
      </c>
      <c r="I299" s="15">
        <v>2433</v>
      </c>
      <c r="J299" s="15">
        <v>1968</v>
      </c>
      <c r="K299" s="15">
        <v>16</v>
      </c>
      <c r="L299" s="15">
        <v>152</v>
      </c>
      <c r="M299" s="15">
        <v>47</v>
      </c>
      <c r="N299" s="15">
        <v>250</v>
      </c>
      <c r="O299" s="16">
        <f t="shared" ref="O299:T299" si="303">ROUND(C299 + ((2016-2012)*(I299-C299))/(2024-2012),0)</f>
        <v>1934</v>
      </c>
      <c r="P299" s="23">
        <f t="shared" si="303"/>
        <v>1491</v>
      </c>
      <c r="Q299" s="23">
        <f t="shared" si="303"/>
        <v>18</v>
      </c>
      <c r="R299" s="23">
        <f t="shared" si="303"/>
        <v>61</v>
      </c>
      <c r="S299" s="23">
        <f t="shared" si="303"/>
        <v>48</v>
      </c>
      <c r="T299" s="23">
        <f t="shared" si="303"/>
        <v>315</v>
      </c>
      <c r="U299" s="24">
        <v>1217</v>
      </c>
      <c r="V299" s="18">
        <f t="shared" si="260"/>
        <v>274</v>
      </c>
      <c r="W299" s="18">
        <f t="shared" si="261"/>
        <v>274</v>
      </c>
      <c r="X299" s="19">
        <f t="shared" si="262"/>
        <v>1933</v>
      </c>
      <c r="Y299" s="18">
        <v>1107.9999804496765</v>
      </c>
      <c r="Z299" s="20"/>
      <c r="AA299" s="15">
        <v>1789</v>
      </c>
      <c r="AB299" s="23">
        <f t="shared" si="264"/>
        <v>2091</v>
      </c>
      <c r="AC299" s="15">
        <v>2694</v>
      </c>
      <c r="AD299" s="4"/>
      <c r="AE299" s="4"/>
      <c r="AF299" s="4"/>
      <c r="AG299" s="4"/>
      <c r="AH299" s="4"/>
      <c r="AI299" s="4"/>
      <c r="AJ299" s="4"/>
      <c r="AK299" s="4"/>
      <c r="AL299" s="4"/>
    </row>
    <row r="300" spans="1:38" ht="14.4">
      <c r="A300" s="13">
        <v>71104</v>
      </c>
      <c r="B300" s="14" t="s">
        <v>314</v>
      </c>
      <c r="C300" s="15">
        <v>12767</v>
      </c>
      <c r="D300" s="15">
        <v>6183</v>
      </c>
      <c r="E300" s="15">
        <v>605</v>
      </c>
      <c r="F300" s="15">
        <v>1207</v>
      </c>
      <c r="G300" s="15">
        <v>475</v>
      </c>
      <c r="H300" s="15">
        <v>4297</v>
      </c>
      <c r="I300" s="15">
        <v>14448</v>
      </c>
      <c r="J300" s="15">
        <v>12116</v>
      </c>
      <c r="K300" s="15">
        <v>276</v>
      </c>
      <c r="L300" s="15">
        <v>524</v>
      </c>
      <c r="M300" s="15">
        <v>147</v>
      </c>
      <c r="N300" s="15">
        <v>1385</v>
      </c>
      <c r="O300" s="16">
        <f t="shared" ref="O300:T300" si="304">ROUND(C300 + ((2016-2012)*(I300-C300))/(2024-2012),0)</f>
        <v>13327</v>
      </c>
      <c r="P300" s="17">
        <f t="shared" si="304"/>
        <v>8161</v>
      </c>
      <c r="Q300" s="17">
        <f t="shared" si="304"/>
        <v>495</v>
      </c>
      <c r="R300" s="17">
        <f t="shared" si="304"/>
        <v>979</v>
      </c>
      <c r="S300" s="17">
        <f t="shared" si="304"/>
        <v>366</v>
      </c>
      <c r="T300" s="17">
        <f t="shared" si="304"/>
        <v>3326</v>
      </c>
      <c r="U300" s="17">
        <v>7597</v>
      </c>
      <c r="V300" s="18">
        <f t="shared" si="260"/>
        <v>564</v>
      </c>
      <c r="W300" s="18">
        <f t="shared" si="261"/>
        <v>564</v>
      </c>
      <c r="X300" s="19">
        <f t="shared" si="262"/>
        <v>13327</v>
      </c>
      <c r="Y300" s="18">
        <v>809.00001525878906</v>
      </c>
      <c r="Z300" s="20"/>
      <c r="AA300" s="15">
        <v>13636</v>
      </c>
      <c r="AB300" s="17">
        <f t="shared" si="264"/>
        <v>14642</v>
      </c>
      <c r="AC300" s="15">
        <v>16654</v>
      </c>
      <c r="AD300" s="4"/>
      <c r="AE300" s="4"/>
      <c r="AF300" s="4"/>
      <c r="AG300" s="4"/>
      <c r="AH300" s="4"/>
      <c r="AI300" s="4"/>
      <c r="AJ300" s="4"/>
      <c r="AK300" s="4"/>
      <c r="AL300" s="4"/>
    </row>
    <row r="301" spans="1:38" ht="14.4">
      <c r="A301" s="21">
        <v>71105</v>
      </c>
      <c r="B301" s="22" t="s">
        <v>315</v>
      </c>
      <c r="C301" s="15">
        <v>1146</v>
      </c>
      <c r="D301" s="15">
        <v>882</v>
      </c>
      <c r="E301" s="15">
        <v>22</v>
      </c>
      <c r="F301" s="15">
        <v>16</v>
      </c>
      <c r="G301" s="15">
        <v>4</v>
      </c>
      <c r="H301" s="15">
        <v>222</v>
      </c>
      <c r="I301" s="15">
        <v>1475</v>
      </c>
      <c r="J301" s="15">
        <v>1348</v>
      </c>
      <c r="K301" s="15">
        <v>5</v>
      </c>
      <c r="L301" s="15">
        <v>35</v>
      </c>
      <c r="M301" s="15">
        <v>1</v>
      </c>
      <c r="N301" s="15">
        <v>86</v>
      </c>
      <c r="O301" s="16">
        <f t="shared" ref="O301:T301" si="305">ROUND(C301 + ((2016-2012)*(I301-C301))/(2024-2012),0)</f>
        <v>1256</v>
      </c>
      <c r="P301" s="23">
        <f t="shared" si="305"/>
        <v>1037</v>
      </c>
      <c r="Q301" s="23">
        <f t="shared" si="305"/>
        <v>16</v>
      </c>
      <c r="R301" s="23">
        <f t="shared" si="305"/>
        <v>22</v>
      </c>
      <c r="S301" s="23">
        <f t="shared" si="305"/>
        <v>3</v>
      </c>
      <c r="T301" s="23">
        <f t="shared" si="305"/>
        <v>177</v>
      </c>
      <c r="U301" s="24">
        <v>934</v>
      </c>
      <c r="V301" s="18">
        <f t="shared" si="260"/>
        <v>103</v>
      </c>
      <c r="W301" s="18">
        <f t="shared" si="261"/>
        <v>103</v>
      </c>
      <c r="X301" s="19">
        <f t="shared" si="262"/>
        <v>1255</v>
      </c>
      <c r="Y301" s="18">
        <v>561.49998307228088</v>
      </c>
      <c r="Z301" s="20"/>
      <c r="AA301" s="15">
        <v>1223</v>
      </c>
      <c r="AB301" s="23">
        <f t="shared" si="264"/>
        <v>1335</v>
      </c>
      <c r="AC301" s="15">
        <v>1559</v>
      </c>
      <c r="AD301" s="4"/>
      <c r="AE301" s="4"/>
      <c r="AF301" s="4"/>
      <c r="AG301" s="4"/>
      <c r="AH301" s="4"/>
      <c r="AI301" s="4"/>
      <c r="AJ301" s="4"/>
      <c r="AK301" s="4"/>
      <c r="AL301" s="4"/>
    </row>
    <row r="302" spans="1:38" ht="14.4">
      <c r="A302" s="13">
        <v>71106</v>
      </c>
      <c r="B302" s="14" t="s">
        <v>316</v>
      </c>
      <c r="C302" s="15">
        <v>5058</v>
      </c>
      <c r="D302" s="15">
        <v>3270</v>
      </c>
      <c r="E302" s="15">
        <v>734</v>
      </c>
      <c r="F302" s="15">
        <v>131</v>
      </c>
      <c r="G302" s="15">
        <v>133</v>
      </c>
      <c r="H302" s="15">
        <v>790</v>
      </c>
      <c r="I302" s="15">
        <v>6551</v>
      </c>
      <c r="J302" s="15">
        <v>5207</v>
      </c>
      <c r="K302" s="15">
        <v>729</v>
      </c>
      <c r="L302" s="15">
        <v>151</v>
      </c>
      <c r="M302" s="15">
        <v>94</v>
      </c>
      <c r="N302" s="15">
        <v>370</v>
      </c>
      <c r="O302" s="16">
        <f t="shared" ref="O302:T302" si="306">ROUND(C302 + ((2016-2012)*(I302-C302))/(2024-2012),0)</f>
        <v>5556</v>
      </c>
      <c r="P302" s="17">
        <f t="shared" si="306"/>
        <v>3916</v>
      </c>
      <c r="Q302" s="17">
        <f t="shared" si="306"/>
        <v>732</v>
      </c>
      <c r="R302" s="17">
        <f t="shared" si="306"/>
        <v>138</v>
      </c>
      <c r="S302" s="17">
        <f t="shared" si="306"/>
        <v>120</v>
      </c>
      <c r="T302" s="17">
        <f t="shared" si="306"/>
        <v>650</v>
      </c>
      <c r="U302" s="25">
        <v>3922</v>
      </c>
      <c r="V302" s="18">
        <f t="shared" si="260"/>
        <v>-6</v>
      </c>
      <c r="W302" s="18">
        <f t="shared" si="261"/>
        <v>0</v>
      </c>
      <c r="X302" s="19">
        <f t="shared" si="262"/>
        <v>5562</v>
      </c>
      <c r="Y302" s="18">
        <v>1034.9999666213989</v>
      </c>
      <c r="Z302" s="20"/>
      <c r="AA302" s="15">
        <v>5563</v>
      </c>
      <c r="AB302" s="17">
        <f t="shared" si="264"/>
        <v>6289</v>
      </c>
      <c r="AC302" s="15">
        <v>7740</v>
      </c>
      <c r="AD302" s="4"/>
      <c r="AE302" s="4"/>
      <c r="AF302" s="4"/>
      <c r="AG302" s="4"/>
      <c r="AH302" s="4"/>
      <c r="AI302" s="4"/>
      <c r="AJ302" s="4"/>
      <c r="AK302" s="4"/>
      <c r="AL302" s="4"/>
    </row>
    <row r="303" spans="1:38" ht="14.4">
      <c r="A303" s="21">
        <v>71201</v>
      </c>
      <c r="B303" s="22" t="s">
        <v>317</v>
      </c>
      <c r="C303" s="15">
        <v>3215</v>
      </c>
      <c r="D303" s="15">
        <v>2197</v>
      </c>
      <c r="E303" s="15">
        <v>150</v>
      </c>
      <c r="F303" s="15">
        <v>88</v>
      </c>
      <c r="G303" s="15">
        <v>27</v>
      </c>
      <c r="H303" s="15">
        <v>753</v>
      </c>
      <c r="I303" s="15">
        <v>4145</v>
      </c>
      <c r="J303" s="15">
        <v>3501</v>
      </c>
      <c r="K303" s="15">
        <v>111</v>
      </c>
      <c r="L303" s="15">
        <v>169</v>
      </c>
      <c r="M303" s="15">
        <v>17</v>
      </c>
      <c r="N303" s="15">
        <v>347</v>
      </c>
      <c r="O303" s="16">
        <f t="shared" ref="O303:T303" si="307">ROUND(C303 + ((2016-2012)*(I303-C303))/(2024-2012),0)</f>
        <v>3525</v>
      </c>
      <c r="P303" s="23">
        <f t="shared" si="307"/>
        <v>2632</v>
      </c>
      <c r="Q303" s="23">
        <f t="shared" si="307"/>
        <v>137</v>
      </c>
      <c r="R303" s="23">
        <f t="shared" si="307"/>
        <v>115</v>
      </c>
      <c r="S303" s="23">
        <f t="shared" si="307"/>
        <v>24</v>
      </c>
      <c r="T303" s="23">
        <f t="shared" si="307"/>
        <v>618</v>
      </c>
      <c r="U303" s="24">
        <v>1835</v>
      </c>
      <c r="V303" s="18">
        <f t="shared" si="260"/>
        <v>797</v>
      </c>
      <c r="W303" s="18">
        <f t="shared" si="261"/>
        <v>797</v>
      </c>
      <c r="X303" s="19">
        <f t="shared" si="262"/>
        <v>3526</v>
      </c>
      <c r="Y303" s="18">
        <v>1202.0000219345093</v>
      </c>
      <c r="Z303" s="20"/>
      <c r="AA303" s="15">
        <v>3382</v>
      </c>
      <c r="AB303" s="23">
        <f t="shared" si="264"/>
        <v>3861</v>
      </c>
      <c r="AC303" s="15">
        <v>4820</v>
      </c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38" ht="14.4">
      <c r="A304" s="13">
        <v>71301</v>
      </c>
      <c r="B304" s="14" t="s">
        <v>318</v>
      </c>
      <c r="C304" s="15">
        <v>4639</v>
      </c>
      <c r="D304" s="15">
        <v>3336</v>
      </c>
      <c r="E304" s="15">
        <v>19</v>
      </c>
      <c r="F304" s="15">
        <v>275</v>
      </c>
      <c r="G304" s="15">
        <v>28</v>
      </c>
      <c r="H304" s="15">
        <v>981</v>
      </c>
      <c r="I304" s="15">
        <v>5754</v>
      </c>
      <c r="J304" s="15">
        <v>4957</v>
      </c>
      <c r="K304" s="15">
        <v>10</v>
      </c>
      <c r="L304" s="15">
        <v>192</v>
      </c>
      <c r="M304" s="15">
        <v>60</v>
      </c>
      <c r="N304" s="15">
        <v>535</v>
      </c>
      <c r="O304" s="16">
        <f t="shared" ref="O304:T304" si="308">ROUND(C304 + ((2016-2012)*(I304-C304))/(2024-2012),0)</f>
        <v>5011</v>
      </c>
      <c r="P304" s="17">
        <f t="shared" si="308"/>
        <v>3876</v>
      </c>
      <c r="Q304" s="17">
        <f t="shared" si="308"/>
        <v>16</v>
      </c>
      <c r="R304" s="17">
        <f t="shared" si="308"/>
        <v>247</v>
      </c>
      <c r="S304" s="17">
        <f t="shared" si="308"/>
        <v>39</v>
      </c>
      <c r="T304" s="17">
        <f t="shared" si="308"/>
        <v>832</v>
      </c>
      <c r="U304" s="25">
        <v>3562</v>
      </c>
      <c r="V304" s="18">
        <f t="shared" si="260"/>
        <v>314</v>
      </c>
      <c r="W304" s="18">
        <f t="shared" si="261"/>
        <v>314</v>
      </c>
      <c r="X304" s="19">
        <f t="shared" si="262"/>
        <v>5010</v>
      </c>
      <c r="Y304" s="18">
        <v>460.999995470047</v>
      </c>
      <c r="Z304" s="20"/>
      <c r="AA304" s="15">
        <v>5461</v>
      </c>
      <c r="AB304" s="17">
        <f t="shared" si="264"/>
        <v>6168</v>
      </c>
      <c r="AC304" s="15">
        <v>7582</v>
      </c>
      <c r="AD304" s="4"/>
      <c r="AE304" s="4"/>
      <c r="AF304" s="4"/>
      <c r="AG304" s="4"/>
      <c r="AH304" s="4"/>
      <c r="AI304" s="4"/>
      <c r="AJ304" s="4"/>
      <c r="AK304" s="4"/>
      <c r="AL304" s="4"/>
    </row>
    <row r="305" spans="1:38" ht="14.4">
      <c r="A305" s="21">
        <v>71302</v>
      </c>
      <c r="B305" s="22" t="s">
        <v>319</v>
      </c>
      <c r="C305" s="15">
        <v>1783</v>
      </c>
      <c r="D305" s="15">
        <v>1438</v>
      </c>
      <c r="E305" s="15">
        <v>0</v>
      </c>
      <c r="F305" s="15">
        <v>39</v>
      </c>
      <c r="G305" s="15">
        <v>7</v>
      </c>
      <c r="H305" s="15">
        <v>299</v>
      </c>
      <c r="I305" s="15">
        <v>1989</v>
      </c>
      <c r="J305" s="15">
        <v>1809</v>
      </c>
      <c r="K305" s="15">
        <v>7</v>
      </c>
      <c r="L305" s="15">
        <v>53</v>
      </c>
      <c r="M305" s="15">
        <v>10</v>
      </c>
      <c r="N305" s="15">
        <v>110</v>
      </c>
      <c r="O305" s="16">
        <f t="shared" ref="O305:T305" si="309">ROUND(C305 + ((2016-2012)*(I305-C305))/(2024-2012),0)</f>
        <v>1852</v>
      </c>
      <c r="P305" s="23">
        <f t="shared" si="309"/>
        <v>1562</v>
      </c>
      <c r="Q305" s="23">
        <f t="shared" si="309"/>
        <v>2</v>
      </c>
      <c r="R305" s="23">
        <f t="shared" si="309"/>
        <v>44</v>
      </c>
      <c r="S305" s="23">
        <f t="shared" si="309"/>
        <v>8</v>
      </c>
      <c r="T305" s="23">
        <f t="shared" si="309"/>
        <v>236</v>
      </c>
      <c r="U305" s="24">
        <v>1296</v>
      </c>
      <c r="V305" s="18">
        <f t="shared" si="260"/>
        <v>266</v>
      </c>
      <c r="W305" s="18">
        <f t="shared" si="261"/>
        <v>266</v>
      </c>
      <c r="X305" s="19">
        <f t="shared" si="262"/>
        <v>1852</v>
      </c>
      <c r="Y305" s="18">
        <v>467.5000011920929</v>
      </c>
      <c r="Z305" s="20"/>
      <c r="AA305" s="15">
        <v>1998</v>
      </c>
      <c r="AB305" s="23">
        <f t="shared" si="264"/>
        <v>2151</v>
      </c>
      <c r="AC305" s="15">
        <v>2457</v>
      </c>
      <c r="AD305" s="4"/>
      <c r="AE305" s="4"/>
      <c r="AF305" s="4"/>
      <c r="AG305" s="4"/>
      <c r="AH305" s="4"/>
      <c r="AI305" s="4"/>
      <c r="AJ305" s="4"/>
      <c r="AK305" s="4"/>
      <c r="AL305" s="4"/>
    </row>
    <row r="306" spans="1:38" ht="14.4">
      <c r="A306" s="13">
        <v>71401</v>
      </c>
      <c r="B306" s="14" t="s">
        <v>320</v>
      </c>
      <c r="C306" s="15">
        <v>4554</v>
      </c>
      <c r="D306" s="15">
        <v>3929</v>
      </c>
      <c r="E306" s="15">
        <v>40</v>
      </c>
      <c r="F306" s="15">
        <v>15</v>
      </c>
      <c r="G306" s="15">
        <v>36</v>
      </c>
      <c r="H306" s="15">
        <v>534</v>
      </c>
      <c r="I306" s="15">
        <v>4859</v>
      </c>
      <c r="J306" s="15">
        <v>4365</v>
      </c>
      <c r="K306" s="15">
        <v>93</v>
      </c>
      <c r="L306" s="15">
        <v>72</v>
      </c>
      <c r="M306" s="15">
        <v>21</v>
      </c>
      <c r="N306" s="15">
        <v>308</v>
      </c>
      <c r="O306" s="16">
        <f t="shared" ref="O306:T306" si="310">ROUND(C306 + ((2016-2012)*(I306-C306))/(2024-2012),0)</f>
        <v>4656</v>
      </c>
      <c r="P306" s="17">
        <f t="shared" si="310"/>
        <v>4074</v>
      </c>
      <c r="Q306" s="17">
        <f t="shared" si="310"/>
        <v>58</v>
      </c>
      <c r="R306" s="17">
        <f t="shared" si="310"/>
        <v>34</v>
      </c>
      <c r="S306" s="17">
        <f t="shared" si="310"/>
        <v>31</v>
      </c>
      <c r="T306" s="17">
        <f t="shared" si="310"/>
        <v>459</v>
      </c>
      <c r="U306" s="25">
        <v>4065</v>
      </c>
      <c r="V306" s="18">
        <f t="shared" si="260"/>
        <v>9</v>
      </c>
      <c r="W306" s="18">
        <f t="shared" si="261"/>
        <v>9</v>
      </c>
      <c r="X306" s="19">
        <f t="shared" si="262"/>
        <v>4656</v>
      </c>
      <c r="Y306" s="18">
        <v>1300.9999990463257</v>
      </c>
      <c r="Z306" s="20"/>
      <c r="AA306" s="15">
        <v>4973</v>
      </c>
      <c r="AB306" s="17">
        <f t="shared" si="264"/>
        <v>5273</v>
      </c>
      <c r="AC306" s="15">
        <v>5872</v>
      </c>
      <c r="AD306" s="4"/>
      <c r="AE306" s="4"/>
      <c r="AF306" s="4"/>
      <c r="AG306" s="4"/>
      <c r="AH306" s="4"/>
      <c r="AI306" s="4"/>
      <c r="AJ306" s="4"/>
      <c r="AK306" s="4"/>
      <c r="AL306" s="4"/>
    </row>
    <row r="307" spans="1:38" ht="14.4">
      <c r="A307" s="21">
        <v>71402</v>
      </c>
      <c r="B307" s="22" t="s">
        <v>321</v>
      </c>
      <c r="C307" s="15">
        <v>3881</v>
      </c>
      <c r="D307" s="15">
        <v>3575</v>
      </c>
      <c r="E307" s="15">
        <v>15</v>
      </c>
      <c r="F307" s="15">
        <v>3</v>
      </c>
      <c r="G307" s="15">
        <v>30</v>
      </c>
      <c r="H307" s="15">
        <v>258</v>
      </c>
      <c r="I307" s="15">
        <v>4954</v>
      </c>
      <c r="J307" s="15">
        <v>4788</v>
      </c>
      <c r="K307" s="15">
        <v>23</v>
      </c>
      <c r="L307" s="15">
        <v>15</v>
      </c>
      <c r="M307" s="15">
        <v>33</v>
      </c>
      <c r="N307" s="15">
        <v>95</v>
      </c>
      <c r="O307" s="16">
        <f t="shared" ref="O307:T307" si="311">ROUND(C307 + ((2016-2012)*(I307-C307))/(2024-2012),0)</f>
        <v>4239</v>
      </c>
      <c r="P307" s="23">
        <f t="shared" si="311"/>
        <v>3979</v>
      </c>
      <c r="Q307" s="23">
        <f t="shared" si="311"/>
        <v>18</v>
      </c>
      <c r="R307" s="23">
        <f t="shared" si="311"/>
        <v>7</v>
      </c>
      <c r="S307" s="23">
        <f t="shared" si="311"/>
        <v>31</v>
      </c>
      <c r="T307" s="23">
        <f t="shared" si="311"/>
        <v>204</v>
      </c>
      <c r="U307" s="24">
        <v>3706</v>
      </c>
      <c r="V307" s="18">
        <f t="shared" si="260"/>
        <v>273</v>
      </c>
      <c r="W307" s="18">
        <f t="shared" si="261"/>
        <v>273</v>
      </c>
      <c r="X307" s="19">
        <f t="shared" si="262"/>
        <v>4239</v>
      </c>
      <c r="Y307" s="18">
        <v>1629.0000081062317</v>
      </c>
      <c r="Z307" s="20"/>
      <c r="AA307" s="15">
        <v>4312</v>
      </c>
      <c r="AB307" s="23">
        <f t="shared" si="264"/>
        <v>4812</v>
      </c>
      <c r="AC307" s="15">
        <v>5813</v>
      </c>
      <c r="AD307" s="4"/>
      <c r="AE307" s="4"/>
      <c r="AF307" s="4"/>
      <c r="AG307" s="4"/>
      <c r="AH307" s="4"/>
      <c r="AI307" s="4"/>
      <c r="AJ307" s="4"/>
      <c r="AK307" s="4"/>
      <c r="AL307" s="4"/>
    </row>
    <row r="308" spans="1:38" ht="14.4">
      <c r="A308" s="13">
        <v>71403</v>
      </c>
      <c r="B308" s="14" t="s">
        <v>322</v>
      </c>
      <c r="C308" s="15">
        <v>1492</v>
      </c>
      <c r="D308" s="15">
        <v>646</v>
      </c>
      <c r="E308" s="15">
        <v>179</v>
      </c>
      <c r="F308" s="15">
        <v>79</v>
      </c>
      <c r="G308" s="15">
        <v>97</v>
      </c>
      <c r="H308" s="15">
        <v>491</v>
      </c>
      <c r="I308" s="15">
        <v>2433</v>
      </c>
      <c r="J308" s="15">
        <v>1145</v>
      </c>
      <c r="K308" s="15">
        <v>308</v>
      </c>
      <c r="L308" s="15">
        <v>391</v>
      </c>
      <c r="M308" s="15">
        <v>29</v>
      </c>
      <c r="N308" s="15">
        <v>560</v>
      </c>
      <c r="O308" s="16">
        <f t="shared" ref="O308:T308" si="312">ROUND(C308 + ((2016-2012)*(I308-C308))/(2024-2012),0)</f>
        <v>1806</v>
      </c>
      <c r="P308" s="17">
        <f t="shared" si="312"/>
        <v>812</v>
      </c>
      <c r="Q308" s="17">
        <f t="shared" si="312"/>
        <v>222</v>
      </c>
      <c r="R308" s="17">
        <f t="shared" si="312"/>
        <v>183</v>
      </c>
      <c r="S308" s="17">
        <f t="shared" si="312"/>
        <v>74</v>
      </c>
      <c r="T308" s="17">
        <f t="shared" si="312"/>
        <v>514</v>
      </c>
      <c r="U308" s="25">
        <v>826</v>
      </c>
      <c r="V308" s="18">
        <f t="shared" si="260"/>
        <v>-14</v>
      </c>
      <c r="W308" s="18">
        <f t="shared" si="261"/>
        <v>0</v>
      </c>
      <c r="X308" s="19">
        <f t="shared" si="262"/>
        <v>1819</v>
      </c>
      <c r="Y308" s="18">
        <v>828.50000262260437</v>
      </c>
      <c r="Z308" s="20"/>
      <c r="AA308" s="15">
        <v>1622</v>
      </c>
      <c r="AB308" s="17">
        <f t="shared" si="264"/>
        <v>2014</v>
      </c>
      <c r="AC308" s="15">
        <v>2798</v>
      </c>
      <c r="AD308" s="4"/>
      <c r="AE308" s="4"/>
      <c r="AF308" s="4"/>
      <c r="AG308" s="4"/>
      <c r="AH308" s="4"/>
      <c r="AI308" s="4"/>
      <c r="AJ308" s="4"/>
      <c r="AK308" s="4"/>
      <c r="AL308" s="4"/>
    </row>
    <row r="309" spans="1:38" ht="14.4">
      <c r="A309" s="21">
        <v>71501</v>
      </c>
      <c r="B309" s="22" t="s">
        <v>323</v>
      </c>
      <c r="C309" s="15">
        <v>5521</v>
      </c>
      <c r="D309" s="15">
        <v>3927</v>
      </c>
      <c r="E309" s="15">
        <v>209</v>
      </c>
      <c r="F309" s="15">
        <v>81</v>
      </c>
      <c r="G309" s="15">
        <v>320</v>
      </c>
      <c r="H309" s="15">
        <v>984</v>
      </c>
      <c r="I309" s="15">
        <v>10803</v>
      </c>
      <c r="J309" s="15">
        <v>6852</v>
      </c>
      <c r="K309" s="15">
        <v>135</v>
      </c>
      <c r="L309" s="15">
        <v>879</v>
      </c>
      <c r="M309" s="15">
        <v>313</v>
      </c>
      <c r="N309" s="15">
        <v>2624</v>
      </c>
      <c r="O309" s="16">
        <f t="shared" ref="O309:T309" si="313">ROUND(C309 + ((2016-2012)*(I309-C309))/(2024-2012),0)</f>
        <v>7282</v>
      </c>
      <c r="P309" s="23">
        <f t="shared" si="313"/>
        <v>4902</v>
      </c>
      <c r="Q309" s="23">
        <f t="shared" si="313"/>
        <v>184</v>
      </c>
      <c r="R309" s="23">
        <f t="shared" si="313"/>
        <v>347</v>
      </c>
      <c r="S309" s="23">
        <f t="shared" si="313"/>
        <v>318</v>
      </c>
      <c r="T309" s="23">
        <f t="shared" si="313"/>
        <v>1531</v>
      </c>
      <c r="U309" s="24">
        <v>4350</v>
      </c>
      <c r="V309" s="18">
        <f t="shared" si="260"/>
        <v>552</v>
      </c>
      <c r="W309" s="18">
        <f t="shared" si="261"/>
        <v>552</v>
      </c>
      <c r="X309" s="19">
        <f t="shared" si="262"/>
        <v>7282</v>
      </c>
      <c r="Y309" s="18">
        <v>902.00001001358032</v>
      </c>
      <c r="Z309" s="20"/>
      <c r="AA309" s="15">
        <v>5831</v>
      </c>
      <c r="AB309" s="23">
        <f t="shared" si="264"/>
        <v>8152</v>
      </c>
      <c r="AC309" s="15">
        <v>12793</v>
      </c>
      <c r="AD309" s="4"/>
      <c r="AE309" s="4"/>
      <c r="AF309" s="4"/>
      <c r="AG309" s="4"/>
      <c r="AH309" s="4"/>
      <c r="AI309" s="4"/>
      <c r="AJ309" s="4"/>
      <c r="AK309" s="4"/>
      <c r="AL309" s="4"/>
    </row>
    <row r="310" spans="1:38" ht="14.4">
      <c r="A310" s="13">
        <v>71502</v>
      </c>
      <c r="B310" s="14" t="s">
        <v>324</v>
      </c>
      <c r="C310" s="15">
        <v>1182</v>
      </c>
      <c r="D310" s="15">
        <v>887</v>
      </c>
      <c r="E310" s="15">
        <v>21</v>
      </c>
      <c r="F310" s="15">
        <v>6</v>
      </c>
      <c r="G310" s="15">
        <v>22</v>
      </c>
      <c r="H310" s="15">
        <v>246</v>
      </c>
      <c r="I310" s="15">
        <v>1640</v>
      </c>
      <c r="J310" s="15">
        <v>1266</v>
      </c>
      <c r="K310" s="15">
        <v>19</v>
      </c>
      <c r="L310" s="15">
        <v>55</v>
      </c>
      <c r="M310" s="15">
        <v>24</v>
      </c>
      <c r="N310" s="15">
        <v>276</v>
      </c>
      <c r="O310" s="16">
        <f t="shared" ref="O310:T310" si="314">ROUND(C310 + ((2016-2012)*(I310-C310))/(2024-2012),0)</f>
        <v>1335</v>
      </c>
      <c r="P310" s="17">
        <f t="shared" si="314"/>
        <v>1013</v>
      </c>
      <c r="Q310" s="17">
        <f t="shared" si="314"/>
        <v>20</v>
      </c>
      <c r="R310" s="17">
        <f t="shared" si="314"/>
        <v>22</v>
      </c>
      <c r="S310" s="17">
        <f t="shared" si="314"/>
        <v>23</v>
      </c>
      <c r="T310" s="17">
        <f t="shared" si="314"/>
        <v>256</v>
      </c>
      <c r="U310" s="25">
        <v>894</v>
      </c>
      <c r="V310" s="18">
        <f t="shared" si="260"/>
        <v>119</v>
      </c>
      <c r="W310" s="18">
        <f t="shared" si="261"/>
        <v>119</v>
      </c>
      <c r="X310" s="19">
        <f t="shared" si="262"/>
        <v>1334</v>
      </c>
      <c r="Y310" s="18">
        <v>692.99998879432678</v>
      </c>
      <c r="Z310" s="20"/>
      <c r="AA310" s="15">
        <v>1275</v>
      </c>
      <c r="AB310" s="17">
        <f t="shared" si="264"/>
        <v>1475</v>
      </c>
      <c r="AC310" s="15">
        <v>1874</v>
      </c>
      <c r="AD310" s="4"/>
      <c r="AE310" s="4"/>
      <c r="AF310" s="4"/>
      <c r="AG310" s="4"/>
      <c r="AH310" s="4"/>
      <c r="AI310" s="4"/>
      <c r="AJ310" s="4"/>
      <c r="AK310" s="4"/>
      <c r="AL310" s="4"/>
    </row>
    <row r="311" spans="1:38" ht="14.4">
      <c r="A311" s="21">
        <v>71503</v>
      </c>
      <c r="B311" s="22" t="s">
        <v>269</v>
      </c>
      <c r="C311" s="15">
        <v>4461</v>
      </c>
      <c r="D311" s="15">
        <v>870</v>
      </c>
      <c r="E311" s="15">
        <v>320</v>
      </c>
      <c r="F311" s="15">
        <v>328</v>
      </c>
      <c r="G311" s="15">
        <v>223</v>
      </c>
      <c r="H311" s="15">
        <v>2720</v>
      </c>
      <c r="I311" s="15">
        <v>6454</v>
      </c>
      <c r="J311" s="15">
        <v>2779</v>
      </c>
      <c r="K311" s="15">
        <v>246</v>
      </c>
      <c r="L311" s="15">
        <v>989</v>
      </c>
      <c r="M311" s="15">
        <v>237</v>
      </c>
      <c r="N311" s="15">
        <v>2203</v>
      </c>
      <c r="O311" s="16">
        <f t="shared" ref="O311:T311" si="315">ROUND(C311 + ((2016-2012)*(I311-C311))/(2024-2012),0)</f>
        <v>5125</v>
      </c>
      <c r="P311" s="23">
        <f t="shared" si="315"/>
        <v>1506</v>
      </c>
      <c r="Q311" s="23">
        <f t="shared" si="315"/>
        <v>295</v>
      </c>
      <c r="R311" s="23">
        <f t="shared" si="315"/>
        <v>548</v>
      </c>
      <c r="S311" s="23">
        <f t="shared" si="315"/>
        <v>228</v>
      </c>
      <c r="T311" s="23">
        <f t="shared" si="315"/>
        <v>2548</v>
      </c>
      <c r="U311" s="24">
        <v>845</v>
      </c>
      <c r="V311" s="18">
        <f t="shared" si="260"/>
        <v>661</v>
      </c>
      <c r="W311" s="18">
        <f t="shared" si="261"/>
        <v>661</v>
      </c>
      <c r="X311" s="19">
        <f t="shared" si="262"/>
        <v>5125</v>
      </c>
      <c r="Y311" s="18">
        <v>952.00002193450928</v>
      </c>
      <c r="Z311" s="20"/>
      <c r="AA311" s="15">
        <v>4855</v>
      </c>
      <c r="AB311" s="23">
        <f t="shared" si="264"/>
        <v>5766</v>
      </c>
      <c r="AC311" s="15">
        <v>7587</v>
      </c>
      <c r="AD311" s="4"/>
      <c r="AE311" s="4"/>
      <c r="AF311" s="4"/>
      <c r="AG311" s="4"/>
      <c r="AH311" s="4"/>
      <c r="AI311" s="4"/>
      <c r="AJ311" s="4"/>
      <c r="AK311" s="4"/>
      <c r="AL311" s="4"/>
    </row>
    <row r="312" spans="1:38" ht="14.4">
      <c r="A312" s="13">
        <v>80101</v>
      </c>
      <c r="B312" s="14" t="s">
        <v>325</v>
      </c>
      <c r="C312" s="15">
        <v>24724</v>
      </c>
      <c r="D312" s="15">
        <v>22589</v>
      </c>
      <c r="E312" s="15">
        <v>226</v>
      </c>
      <c r="F312" s="15">
        <v>40</v>
      </c>
      <c r="G312" s="15">
        <v>333</v>
      </c>
      <c r="H312" s="15">
        <v>1536</v>
      </c>
      <c r="I312" s="15">
        <v>32445</v>
      </c>
      <c r="J312" s="15">
        <v>31294</v>
      </c>
      <c r="K312" s="15">
        <v>139</v>
      </c>
      <c r="L312" s="15">
        <v>122</v>
      </c>
      <c r="M312" s="15">
        <v>248</v>
      </c>
      <c r="N312" s="15">
        <v>642</v>
      </c>
      <c r="O312" s="16">
        <f t="shared" ref="O312:T312" si="316">ROUND(C312 + ((2016-2012)*(I312-C312))/(2024-2012),0)</f>
        <v>27298</v>
      </c>
      <c r="P312" s="17">
        <f t="shared" si="316"/>
        <v>25491</v>
      </c>
      <c r="Q312" s="17">
        <f t="shared" si="316"/>
        <v>197</v>
      </c>
      <c r="R312" s="17">
        <f t="shared" si="316"/>
        <v>67</v>
      </c>
      <c r="S312" s="17">
        <f t="shared" si="316"/>
        <v>305</v>
      </c>
      <c r="T312" s="17">
        <f t="shared" si="316"/>
        <v>1238</v>
      </c>
      <c r="U312" s="17">
        <v>60177</v>
      </c>
      <c r="V312" s="18">
        <f t="shared" si="260"/>
        <v>-34686</v>
      </c>
      <c r="W312" s="18">
        <f t="shared" si="261"/>
        <v>0</v>
      </c>
      <c r="X312" s="19">
        <f t="shared" si="262"/>
        <v>61984</v>
      </c>
      <c r="Y312" s="18">
        <v>418.99999976158142</v>
      </c>
      <c r="Z312" s="20"/>
      <c r="AA312" s="15">
        <v>26222</v>
      </c>
      <c r="AB312" s="17">
        <f t="shared" si="264"/>
        <v>29530</v>
      </c>
      <c r="AC312" s="15">
        <v>36145</v>
      </c>
      <c r="AD312" s="4"/>
      <c r="AE312" s="4"/>
      <c r="AF312" s="4"/>
      <c r="AG312" s="4"/>
      <c r="AH312" s="4"/>
      <c r="AI312" s="4"/>
      <c r="AJ312" s="4"/>
      <c r="AK312" s="4"/>
      <c r="AL312" s="4"/>
    </row>
    <row r="313" spans="1:38" ht="14.4">
      <c r="A313" s="21">
        <v>80102</v>
      </c>
      <c r="B313" s="22" t="s">
        <v>312</v>
      </c>
      <c r="C313" s="15">
        <v>1230</v>
      </c>
      <c r="D313" s="15">
        <v>178</v>
      </c>
      <c r="E313" s="15">
        <v>297</v>
      </c>
      <c r="F313" s="15">
        <v>144</v>
      </c>
      <c r="G313" s="15">
        <v>93</v>
      </c>
      <c r="H313" s="15">
        <v>518</v>
      </c>
      <c r="I313" s="15">
        <v>2071</v>
      </c>
      <c r="J313" s="15">
        <v>695</v>
      </c>
      <c r="K313" s="15">
        <v>299</v>
      </c>
      <c r="L313" s="15">
        <v>295</v>
      </c>
      <c r="M313" s="15">
        <v>56</v>
      </c>
      <c r="N313" s="15">
        <v>726</v>
      </c>
      <c r="O313" s="16">
        <f t="shared" ref="O313:T313" si="317">ROUND(C313 + ((2016-2012)*(I313-C313))/(2024-2012),0)</f>
        <v>1510</v>
      </c>
      <c r="P313" s="23">
        <f t="shared" si="317"/>
        <v>350</v>
      </c>
      <c r="Q313" s="23">
        <f t="shared" si="317"/>
        <v>298</v>
      </c>
      <c r="R313" s="23">
        <f t="shared" si="317"/>
        <v>194</v>
      </c>
      <c r="S313" s="23">
        <f t="shared" si="317"/>
        <v>81</v>
      </c>
      <c r="T313" s="23">
        <f t="shared" si="317"/>
        <v>587</v>
      </c>
      <c r="U313" s="24">
        <v>267</v>
      </c>
      <c r="V313" s="18">
        <f t="shared" si="260"/>
        <v>83</v>
      </c>
      <c r="W313" s="18">
        <f t="shared" si="261"/>
        <v>83</v>
      </c>
      <c r="X313" s="19">
        <f t="shared" si="262"/>
        <v>1510</v>
      </c>
      <c r="Y313" s="18">
        <v>319.0000057220459</v>
      </c>
      <c r="Z313" s="20"/>
      <c r="AA313" s="15">
        <v>1232</v>
      </c>
      <c r="AB313" s="23">
        <f t="shared" si="264"/>
        <v>1554</v>
      </c>
      <c r="AC313" s="15">
        <v>2197</v>
      </c>
      <c r="AD313" s="4"/>
      <c r="AE313" s="4"/>
      <c r="AF313" s="4"/>
      <c r="AG313" s="4"/>
      <c r="AH313" s="4"/>
      <c r="AI313" s="4"/>
      <c r="AJ313" s="4"/>
      <c r="AK313" s="4"/>
      <c r="AL313" s="4"/>
    </row>
    <row r="314" spans="1:38" ht="14.4">
      <c r="A314" s="13">
        <v>80201</v>
      </c>
      <c r="B314" s="14" t="s">
        <v>326</v>
      </c>
      <c r="C314" s="15">
        <v>19588</v>
      </c>
      <c r="D314" s="15">
        <v>16439</v>
      </c>
      <c r="E314" s="15">
        <v>386</v>
      </c>
      <c r="F314" s="15">
        <v>146</v>
      </c>
      <c r="G314" s="15">
        <v>55</v>
      </c>
      <c r="H314" s="15">
        <v>2562</v>
      </c>
      <c r="I314" s="15">
        <v>27442</v>
      </c>
      <c r="J314" s="15">
        <v>23121</v>
      </c>
      <c r="K314" s="15">
        <v>422</v>
      </c>
      <c r="L314" s="15">
        <v>692</v>
      </c>
      <c r="M314" s="15">
        <v>282</v>
      </c>
      <c r="N314" s="15">
        <v>2925</v>
      </c>
      <c r="O314" s="16">
        <f t="shared" ref="O314:T314" si="318">ROUND(C314 + ((2016-2012)*(I314-C314))/(2024-2012),0)</f>
        <v>22206</v>
      </c>
      <c r="P314" s="17">
        <f t="shared" si="318"/>
        <v>18666</v>
      </c>
      <c r="Q314" s="17">
        <f t="shared" si="318"/>
        <v>398</v>
      </c>
      <c r="R314" s="17">
        <f t="shared" si="318"/>
        <v>328</v>
      </c>
      <c r="S314" s="17">
        <f t="shared" si="318"/>
        <v>131</v>
      </c>
      <c r="T314" s="17">
        <f t="shared" si="318"/>
        <v>2683</v>
      </c>
      <c r="U314" s="17">
        <v>18824</v>
      </c>
      <c r="V314" s="18">
        <f t="shared" si="260"/>
        <v>-158</v>
      </c>
      <c r="W314" s="18">
        <f t="shared" si="261"/>
        <v>0</v>
      </c>
      <c r="X314" s="19">
        <f t="shared" si="262"/>
        <v>22364</v>
      </c>
      <c r="Y314" s="18">
        <v>708.00000429153442</v>
      </c>
      <c r="Z314" s="20"/>
      <c r="AA314" s="15">
        <v>20742</v>
      </c>
      <c r="AB314" s="17">
        <f t="shared" si="264"/>
        <v>24334</v>
      </c>
      <c r="AC314" s="15">
        <v>31518</v>
      </c>
      <c r="AD314" s="4"/>
      <c r="AE314" s="4"/>
      <c r="AF314" s="4"/>
      <c r="AG314" s="4"/>
      <c r="AH314" s="4"/>
      <c r="AI314" s="4"/>
      <c r="AJ314" s="4"/>
      <c r="AK314" s="4"/>
      <c r="AL314" s="4"/>
    </row>
    <row r="315" spans="1:38" ht="14.4">
      <c r="A315" s="21">
        <v>80202</v>
      </c>
      <c r="B315" s="22" t="s">
        <v>327</v>
      </c>
      <c r="C315" s="15">
        <v>9261</v>
      </c>
      <c r="D315" s="15">
        <v>7996</v>
      </c>
      <c r="E315" s="15">
        <v>164</v>
      </c>
      <c r="F315" s="15">
        <v>70</v>
      </c>
      <c r="G315" s="15">
        <v>70</v>
      </c>
      <c r="H315" s="15">
        <v>961</v>
      </c>
      <c r="I315" s="15">
        <v>10891</v>
      </c>
      <c r="J315" s="15">
        <v>9420</v>
      </c>
      <c r="K315" s="15">
        <v>166</v>
      </c>
      <c r="L315" s="15">
        <v>383</v>
      </c>
      <c r="M315" s="15">
        <v>97</v>
      </c>
      <c r="N315" s="15">
        <v>825</v>
      </c>
      <c r="O315" s="16">
        <f t="shared" ref="O315:T315" si="319">ROUND(C315 + ((2016-2012)*(I315-C315))/(2024-2012),0)</f>
        <v>9804</v>
      </c>
      <c r="P315" s="23">
        <f t="shared" si="319"/>
        <v>8471</v>
      </c>
      <c r="Q315" s="23">
        <f t="shared" si="319"/>
        <v>165</v>
      </c>
      <c r="R315" s="23">
        <f t="shared" si="319"/>
        <v>174</v>
      </c>
      <c r="S315" s="23">
        <f t="shared" si="319"/>
        <v>79</v>
      </c>
      <c r="T315" s="23">
        <f t="shared" si="319"/>
        <v>916</v>
      </c>
      <c r="U315" s="23">
        <v>7430</v>
      </c>
      <c r="V315" s="18">
        <f t="shared" si="260"/>
        <v>1041</v>
      </c>
      <c r="W315" s="18">
        <f t="shared" si="261"/>
        <v>1041</v>
      </c>
      <c r="X315" s="19">
        <f t="shared" si="262"/>
        <v>9805</v>
      </c>
      <c r="Y315" s="18">
        <v>1011.0000371932983</v>
      </c>
      <c r="Z315" s="20"/>
      <c r="AA315" s="15">
        <v>9835</v>
      </c>
      <c r="AB315" s="23">
        <f t="shared" si="264"/>
        <v>10789</v>
      </c>
      <c r="AC315" s="15">
        <v>12697</v>
      </c>
      <c r="AD315" s="4"/>
      <c r="AE315" s="4"/>
      <c r="AF315" s="4"/>
      <c r="AG315" s="4"/>
      <c r="AH315" s="4"/>
      <c r="AI315" s="4"/>
      <c r="AJ315" s="4"/>
      <c r="AK315" s="4"/>
      <c r="AL315" s="4"/>
    </row>
    <row r="316" spans="1:38" ht="14.4">
      <c r="A316" s="13">
        <v>80301</v>
      </c>
      <c r="B316" s="14" t="s">
        <v>328</v>
      </c>
      <c r="C316" s="15">
        <v>2962</v>
      </c>
      <c r="D316" s="15">
        <v>1645</v>
      </c>
      <c r="E316" s="15">
        <v>152</v>
      </c>
      <c r="F316" s="15">
        <v>105</v>
      </c>
      <c r="G316" s="15">
        <v>106</v>
      </c>
      <c r="H316" s="15">
        <v>954</v>
      </c>
      <c r="I316" s="15">
        <v>3417</v>
      </c>
      <c r="J316" s="15">
        <v>2353</v>
      </c>
      <c r="K316" s="15">
        <v>96</v>
      </c>
      <c r="L316" s="15">
        <v>213</v>
      </c>
      <c r="M316" s="15">
        <v>44</v>
      </c>
      <c r="N316" s="15">
        <v>711</v>
      </c>
      <c r="O316" s="16">
        <f t="shared" ref="O316:T316" si="320">ROUND(C316 + ((2016-2012)*(I316-C316))/(2024-2012),0)</f>
        <v>3114</v>
      </c>
      <c r="P316" s="17">
        <f t="shared" si="320"/>
        <v>1881</v>
      </c>
      <c r="Q316" s="17">
        <f t="shared" si="320"/>
        <v>133</v>
      </c>
      <c r="R316" s="17">
        <f t="shared" si="320"/>
        <v>141</v>
      </c>
      <c r="S316" s="17">
        <f t="shared" si="320"/>
        <v>85</v>
      </c>
      <c r="T316" s="17">
        <f t="shared" si="320"/>
        <v>873</v>
      </c>
      <c r="U316" s="17">
        <v>5235</v>
      </c>
      <c r="V316" s="18">
        <f t="shared" si="260"/>
        <v>-3354</v>
      </c>
      <c r="W316" s="18">
        <f t="shared" si="261"/>
        <v>0</v>
      </c>
      <c r="X316" s="19">
        <f t="shared" si="262"/>
        <v>6467</v>
      </c>
      <c r="Y316" s="18">
        <v>209.99999344348907</v>
      </c>
      <c r="Z316" s="20"/>
      <c r="AA316" s="15">
        <v>3153</v>
      </c>
      <c r="AB316" s="17">
        <f t="shared" si="264"/>
        <v>3458</v>
      </c>
      <c r="AC316" s="15">
        <v>4067</v>
      </c>
      <c r="AD316" s="4"/>
      <c r="AE316" s="4"/>
      <c r="AF316" s="4"/>
      <c r="AG316" s="4"/>
      <c r="AH316" s="4"/>
      <c r="AI316" s="4"/>
      <c r="AJ316" s="4"/>
      <c r="AK316" s="4"/>
      <c r="AL316" s="4"/>
    </row>
    <row r="317" spans="1:38" ht="14.4">
      <c r="A317" s="21">
        <v>80302</v>
      </c>
      <c r="B317" s="22" t="s">
        <v>329</v>
      </c>
      <c r="C317" s="15">
        <v>9412</v>
      </c>
      <c r="D317" s="15">
        <v>5341</v>
      </c>
      <c r="E317" s="15">
        <v>296</v>
      </c>
      <c r="F317" s="15">
        <v>130</v>
      </c>
      <c r="G317" s="15">
        <v>179</v>
      </c>
      <c r="H317" s="15">
        <v>3466</v>
      </c>
      <c r="I317" s="15">
        <v>13051</v>
      </c>
      <c r="J317" s="15">
        <v>8088</v>
      </c>
      <c r="K317" s="15">
        <v>91</v>
      </c>
      <c r="L317" s="15">
        <v>465</v>
      </c>
      <c r="M317" s="15">
        <v>90</v>
      </c>
      <c r="N317" s="15">
        <v>4317</v>
      </c>
      <c r="O317" s="16">
        <f t="shared" ref="O317:T317" si="321">ROUND(C317 + ((2016-2012)*(I317-C317))/(2024-2012),0)</f>
        <v>10625</v>
      </c>
      <c r="P317" s="23">
        <f t="shared" si="321"/>
        <v>6257</v>
      </c>
      <c r="Q317" s="23">
        <f t="shared" si="321"/>
        <v>228</v>
      </c>
      <c r="R317" s="23">
        <f t="shared" si="321"/>
        <v>242</v>
      </c>
      <c r="S317" s="23">
        <f t="shared" si="321"/>
        <v>149</v>
      </c>
      <c r="T317" s="23">
        <f t="shared" si="321"/>
        <v>3750</v>
      </c>
      <c r="U317" s="23">
        <v>20061</v>
      </c>
      <c r="V317" s="18">
        <f t="shared" si="260"/>
        <v>-13804</v>
      </c>
      <c r="W317" s="18">
        <f t="shared" si="261"/>
        <v>0</v>
      </c>
      <c r="X317" s="19">
        <f t="shared" si="262"/>
        <v>24430</v>
      </c>
      <c r="Y317" s="18">
        <v>130.99999725818634</v>
      </c>
      <c r="Z317" s="20"/>
      <c r="AA317" s="15">
        <v>10000</v>
      </c>
      <c r="AB317" s="23">
        <f t="shared" si="264"/>
        <v>11716</v>
      </c>
      <c r="AC317" s="15">
        <v>15149</v>
      </c>
      <c r="AD317" s="4"/>
      <c r="AE317" s="4"/>
      <c r="AF317" s="4"/>
      <c r="AG317" s="4"/>
      <c r="AH317" s="4"/>
      <c r="AI317" s="4"/>
      <c r="AJ317" s="4"/>
      <c r="AK317" s="4"/>
      <c r="AL317" s="4"/>
    </row>
    <row r="318" spans="1:38" ht="14.4">
      <c r="A318" s="13">
        <v>80303</v>
      </c>
      <c r="B318" s="14" t="s">
        <v>330</v>
      </c>
      <c r="C318" s="15">
        <v>1976</v>
      </c>
      <c r="D318" s="15">
        <v>1231</v>
      </c>
      <c r="E318" s="15">
        <v>115</v>
      </c>
      <c r="F318" s="15">
        <v>306</v>
      </c>
      <c r="G318" s="15">
        <v>13</v>
      </c>
      <c r="H318" s="15">
        <v>311</v>
      </c>
      <c r="I318" s="15">
        <v>2755</v>
      </c>
      <c r="J318" s="15">
        <v>1728</v>
      </c>
      <c r="K318" s="15">
        <v>198</v>
      </c>
      <c r="L318" s="15">
        <v>405</v>
      </c>
      <c r="M318" s="15">
        <v>17</v>
      </c>
      <c r="N318" s="15">
        <v>407</v>
      </c>
      <c r="O318" s="16">
        <f t="shared" ref="O318:T318" si="322">ROUND(C318 + ((2016-2012)*(I318-C318))/(2024-2012),0)</f>
        <v>2236</v>
      </c>
      <c r="P318" s="17">
        <f t="shared" si="322"/>
        <v>1397</v>
      </c>
      <c r="Q318" s="17">
        <f t="shared" si="322"/>
        <v>143</v>
      </c>
      <c r="R318" s="17">
        <f t="shared" si="322"/>
        <v>339</v>
      </c>
      <c r="S318" s="17">
        <f t="shared" si="322"/>
        <v>14</v>
      </c>
      <c r="T318" s="17">
        <f t="shared" si="322"/>
        <v>343</v>
      </c>
      <c r="U318" s="17">
        <v>3447</v>
      </c>
      <c r="V318" s="18">
        <f t="shared" si="260"/>
        <v>-2050</v>
      </c>
      <c r="W318" s="18">
        <f t="shared" si="261"/>
        <v>0</v>
      </c>
      <c r="X318" s="19">
        <f t="shared" si="262"/>
        <v>4286</v>
      </c>
      <c r="Y318" s="18">
        <v>207.0000022649765</v>
      </c>
      <c r="Z318" s="20"/>
      <c r="AA318" s="15">
        <v>2002</v>
      </c>
      <c r="AB318" s="17">
        <f t="shared" si="264"/>
        <v>2395</v>
      </c>
      <c r="AC318" s="15">
        <v>3182</v>
      </c>
      <c r="AD318" s="4"/>
      <c r="AE318" s="4"/>
      <c r="AF318" s="4"/>
      <c r="AG318" s="4"/>
      <c r="AH318" s="4"/>
      <c r="AI318" s="4"/>
      <c r="AJ318" s="4"/>
      <c r="AK318" s="4"/>
      <c r="AL318" s="4"/>
    </row>
    <row r="319" spans="1:38" ht="14.4">
      <c r="A319" s="21">
        <v>80304</v>
      </c>
      <c r="B319" s="22" t="s">
        <v>331</v>
      </c>
      <c r="C319" s="15">
        <v>4857</v>
      </c>
      <c r="D319" s="15">
        <v>3250</v>
      </c>
      <c r="E319" s="15">
        <v>184</v>
      </c>
      <c r="F319" s="15">
        <v>75</v>
      </c>
      <c r="G319" s="15">
        <v>27</v>
      </c>
      <c r="H319" s="15">
        <v>1321</v>
      </c>
      <c r="I319" s="15">
        <v>6875</v>
      </c>
      <c r="J319" s="15">
        <v>5298</v>
      </c>
      <c r="K319" s="15">
        <v>28</v>
      </c>
      <c r="L319" s="15">
        <v>110</v>
      </c>
      <c r="M319" s="15">
        <v>43</v>
      </c>
      <c r="N319" s="15">
        <v>1396</v>
      </c>
      <c r="O319" s="16">
        <f t="shared" ref="O319:T319" si="323">ROUND(C319 + ((2016-2012)*(I319-C319))/(2024-2012),0)</f>
        <v>5530</v>
      </c>
      <c r="P319" s="23">
        <f t="shared" si="323"/>
        <v>3933</v>
      </c>
      <c r="Q319" s="23">
        <f t="shared" si="323"/>
        <v>132</v>
      </c>
      <c r="R319" s="23">
        <f t="shared" si="323"/>
        <v>87</v>
      </c>
      <c r="S319" s="23">
        <f t="shared" si="323"/>
        <v>32</v>
      </c>
      <c r="T319" s="23">
        <f t="shared" si="323"/>
        <v>1346</v>
      </c>
      <c r="U319" s="23">
        <v>10676</v>
      </c>
      <c r="V319" s="18">
        <f t="shared" si="260"/>
        <v>-6743</v>
      </c>
      <c r="W319" s="18">
        <f t="shared" si="261"/>
        <v>0</v>
      </c>
      <c r="X319" s="19">
        <f t="shared" si="262"/>
        <v>12273</v>
      </c>
      <c r="Y319" s="18">
        <v>224.00000691413879</v>
      </c>
      <c r="Z319" s="20"/>
      <c r="AA319" s="15">
        <v>5151</v>
      </c>
      <c r="AB319" s="23">
        <f t="shared" si="264"/>
        <v>6108</v>
      </c>
      <c r="AC319" s="15">
        <v>8021</v>
      </c>
      <c r="AD319" s="4"/>
      <c r="AE319" s="4"/>
      <c r="AF319" s="4"/>
      <c r="AG319" s="4"/>
      <c r="AH319" s="4"/>
      <c r="AI319" s="4"/>
      <c r="AJ319" s="4"/>
      <c r="AK319" s="4"/>
      <c r="AL319" s="4"/>
    </row>
    <row r="320" spans="1:38" ht="14.4">
      <c r="A320" s="13">
        <v>80401</v>
      </c>
      <c r="B320" s="14" t="s">
        <v>332</v>
      </c>
      <c r="C320" s="15">
        <v>3430</v>
      </c>
      <c r="D320" s="15">
        <v>2468</v>
      </c>
      <c r="E320" s="15">
        <v>143</v>
      </c>
      <c r="F320" s="15">
        <v>214</v>
      </c>
      <c r="G320" s="15">
        <v>91</v>
      </c>
      <c r="H320" s="15">
        <v>514</v>
      </c>
      <c r="I320" s="15">
        <v>4295</v>
      </c>
      <c r="J320" s="15">
        <v>3173</v>
      </c>
      <c r="K320" s="15">
        <v>122</v>
      </c>
      <c r="L320" s="15">
        <v>393</v>
      </c>
      <c r="M320" s="15">
        <v>40</v>
      </c>
      <c r="N320" s="15">
        <v>567</v>
      </c>
      <c r="O320" s="16">
        <f t="shared" ref="O320:T320" si="324">ROUND(C320 + ((2016-2012)*(I320-C320))/(2024-2012),0)</f>
        <v>3718</v>
      </c>
      <c r="P320" s="17">
        <f t="shared" si="324"/>
        <v>2703</v>
      </c>
      <c r="Q320" s="17">
        <f t="shared" si="324"/>
        <v>136</v>
      </c>
      <c r="R320" s="17">
        <f t="shared" si="324"/>
        <v>274</v>
      </c>
      <c r="S320" s="17">
        <f t="shared" si="324"/>
        <v>74</v>
      </c>
      <c r="T320" s="17">
        <f t="shared" si="324"/>
        <v>532</v>
      </c>
      <c r="U320" s="17">
        <v>7901</v>
      </c>
      <c r="V320" s="18">
        <f t="shared" si="260"/>
        <v>-5198</v>
      </c>
      <c r="W320" s="18">
        <f t="shared" si="261"/>
        <v>0</v>
      </c>
      <c r="X320" s="19">
        <f t="shared" si="262"/>
        <v>8917</v>
      </c>
      <c r="Y320" s="18">
        <v>181.99999630451202</v>
      </c>
      <c r="Z320" s="20"/>
      <c r="AA320" s="15">
        <v>3667</v>
      </c>
      <c r="AB320" s="17">
        <f t="shared" si="264"/>
        <v>4062</v>
      </c>
      <c r="AC320" s="15">
        <v>4852</v>
      </c>
      <c r="AD320" s="4"/>
      <c r="AE320" s="4"/>
      <c r="AF320" s="4"/>
      <c r="AG320" s="4"/>
      <c r="AH320" s="4"/>
      <c r="AI320" s="4"/>
      <c r="AJ320" s="4"/>
      <c r="AK320" s="4"/>
      <c r="AL320" s="4"/>
    </row>
    <row r="321" spans="1:38" ht="14.4">
      <c r="A321" s="21">
        <v>80402</v>
      </c>
      <c r="B321" s="22" t="s">
        <v>333</v>
      </c>
      <c r="C321" s="15">
        <v>938</v>
      </c>
      <c r="D321" s="15">
        <v>192</v>
      </c>
      <c r="E321" s="15">
        <v>161</v>
      </c>
      <c r="F321" s="15">
        <v>244</v>
      </c>
      <c r="G321" s="15">
        <v>70</v>
      </c>
      <c r="H321" s="15">
        <v>271</v>
      </c>
      <c r="I321" s="15">
        <v>1455</v>
      </c>
      <c r="J321" s="15">
        <v>292</v>
      </c>
      <c r="K321" s="15">
        <v>203</v>
      </c>
      <c r="L321" s="15">
        <v>664</v>
      </c>
      <c r="M321" s="15">
        <v>23</v>
      </c>
      <c r="N321" s="15">
        <v>273</v>
      </c>
      <c r="O321" s="16">
        <f t="shared" ref="O321:T321" si="325">ROUND(C321 + ((2016-2012)*(I321-C321))/(2024-2012),0)</f>
        <v>1110</v>
      </c>
      <c r="P321" s="23">
        <f t="shared" si="325"/>
        <v>225</v>
      </c>
      <c r="Q321" s="23">
        <f t="shared" si="325"/>
        <v>175</v>
      </c>
      <c r="R321" s="23">
        <f t="shared" si="325"/>
        <v>384</v>
      </c>
      <c r="S321" s="23">
        <f t="shared" si="325"/>
        <v>54</v>
      </c>
      <c r="T321" s="23">
        <f t="shared" si="325"/>
        <v>272</v>
      </c>
      <c r="U321" s="24">
        <v>0</v>
      </c>
      <c r="V321" s="18">
        <f t="shared" si="260"/>
        <v>225</v>
      </c>
      <c r="W321" s="18">
        <f t="shared" si="261"/>
        <v>225</v>
      </c>
      <c r="X321" s="19">
        <f t="shared" si="262"/>
        <v>1110</v>
      </c>
      <c r="Y321" s="18">
        <v>0</v>
      </c>
      <c r="Z321" s="20"/>
      <c r="AA321" s="15">
        <v>955</v>
      </c>
      <c r="AB321" s="23">
        <f t="shared" si="264"/>
        <v>1170</v>
      </c>
      <c r="AC321" s="15">
        <v>1599</v>
      </c>
      <c r="AD321" s="4"/>
      <c r="AE321" s="4"/>
      <c r="AF321" s="4"/>
      <c r="AG321" s="4"/>
      <c r="AH321" s="4"/>
      <c r="AI321" s="4"/>
      <c r="AJ321" s="4"/>
      <c r="AK321" s="4"/>
      <c r="AL321" s="4"/>
    </row>
    <row r="322" spans="1:38" ht="14.4">
      <c r="A322" s="13">
        <v>80501</v>
      </c>
      <c r="B322" s="14" t="s">
        <v>334</v>
      </c>
      <c r="C322" s="15">
        <v>4005</v>
      </c>
      <c r="D322" s="15">
        <v>2348</v>
      </c>
      <c r="E322" s="15">
        <v>231</v>
      </c>
      <c r="F322" s="15">
        <v>221</v>
      </c>
      <c r="G322" s="15">
        <v>92</v>
      </c>
      <c r="H322" s="15">
        <v>1113</v>
      </c>
      <c r="I322" s="15">
        <v>5391</v>
      </c>
      <c r="J322" s="15">
        <v>3664</v>
      </c>
      <c r="K322" s="15">
        <v>224</v>
      </c>
      <c r="L322" s="15">
        <v>606</v>
      </c>
      <c r="M322" s="15">
        <v>33</v>
      </c>
      <c r="N322" s="15">
        <v>864</v>
      </c>
      <c r="O322" s="16">
        <f t="shared" ref="O322:T322" si="326">ROUND(C322 + ((2016-2012)*(I322-C322))/(2024-2012),0)</f>
        <v>4467</v>
      </c>
      <c r="P322" s="17">
        <f t="shared" si="326"/>
        <v>2787</v>
      </c>
      <c r="Q322" s="17">
        <f t="shared" si="326"/>
        <v>229</v>
      </c>
      <c r="R322" s="17">
        <f t="shared" si="326"/>
        <v>349</v>
      </c>
      <c r="S322" s="17">
        <f t="shared" si="326"/>
        <v>72</v>
      </c>
      <c r="T322" s="17">
        <f t="shared" si="326"/>
        <v>1030</v>
      </c>
      <c r="U322" s="17">
        <v>7548</v>
      </c>
      <c r="V322" s="18">
        <f t="shared" si="260"/>
        <v>-4761</v>
      </c>
      <c r="W322" s="18">
        <f t="shared" si="261"/>
        <v>0</v>
      </c>
      <c r="X322" s="19">
        <f t="shared" si="262"/>
        <v>9228</v>
      </c>
      <c r="Y322" s="18">
        <v>136.99999451637268</v>
      </c>
      <c r="Z322" s="20"/>
      <c r="AA322" s="15">
        <v>4423</v>
      </c>
      <c r="AB322" s="17">
        <f t="shared" si="264"/>
        <v>5151</v>
      </c>
      <c r="AC322" s="15">
        <v>6606</v>
      </c>
      <c r="AD322" s="4"/>
      <c r="AE322" s="4"/>
      <c r="AF322" s="4"/>
      <c r="AG322" s="4"/>
      <c r="AH322" s="4"/>
      <c r="AI322" s="4"/>
      <c r="AJ322" s="4"/>
      <c r="AK322" s="4"/>
      <c r="AL322" s="4"/>
    </row>
    <row r="323" spans="1:38" ht="14.4">
      <c r="A323" s="21">
        <v>80601</v>
      </c>
      <c r="B323" s="22" t="s">
        <v>335</v>
      </c>
      <c r="C323" s="15">
        <v>864</v>
      </c>
      <c r="D323" s="15">
        <v>237</v>
      </c>
      <c r="E323" s="15">
        <v>122</v>
      </c>
      <c r="F323" s="15">
        <v>83</v>
      </c>
      <c r="G323" s="15">
        <v>74</v>
      </c>
      <c r="H323" s="15">
        <v>348</v>
      </c>
      <c r="I323" s="15">
        <v>1053</v>
      </c>
      <c r="J323" s="15">
        <v>438</v>
      </c>
      <c r="K323" s="15">
        <v>106</v>
      </c>
      <c r="L323" s="15">
        <v>239</v>
      </c>
      <c r="M323" s="15">
        <v>37</v>
      </c>
      <c r="N323" s="15">
        <v>233</v>
      </c>
      <c r="O323" s="16">
        <f t="shared" ref="O323:T323" si="327">ROUND(C323 + ((2016-2012)*(I323-C323))/(2024-2012),0)</f>
        <v>927</v>
      </c>
      <c r="P323" s="23">
        <f t="shared" si="327"/>
        <v>304</v>
      </c>
      <c r="Q323" s="23">
        <f t="shared" si="327"/>
        <v>117</v>
      </c>
      <c r="R323" s="23">
        <f t="shared" si="327"/>
        <v>135</v>
      </c>
      <c r="S323" s="23">
        <f t="shared" si="327"/>
        <v>62</v>
      </c>
      <c r="T323" s="23">
        <f t="shared" si="327"/>
        <v>310</v>
      </c>
      <c r="U323" s="24">
        <v>325</v>
      </c>
      <c r="V323" s="18">
        <f t="shared" si="260"/>
        <v>-21</v>
      </c>
      <c r="W323" s="18">
        <f t="shared" si="261"/>
        <v>0</v>
      </c>
      <c r="X323" s="19">
        <f t="shared" si="262"/>
        <v>949</v>
      </c>
      <c r="Y323" s="18">
        <v>279.00001406669617</v>
      </c>
      <c r="Z323" s="20"/>
      <c r="AA323" s="15">
        <v>966</v>
      </c>
      <c r="AB323" s="23">
        <f t="shared" si="264"/>
        <v>1055</v>
      </c>
      <c r="AC323" s="15">
        <v>1234</v>
      </c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38" ht="14.4">
      <c r="A324" s="13">
        <v>80602</v>
      </c>
      <c r="B324" s="14" t="s">
        <v>336</v>
      </c>
      <c r="C324" s="15">
        <v>2996</v>
      </c>
      <c r="D324" s="15">
        <v>1304</v>
      </c>
      <c r="E324" s="15">
        <v>267</v>
      </c>
      <c r="F324" s="15">
        <v>129</v>
      </c>
      <c r="G324" s="15">
        <v>73</v>
      </c>
      <c r="H324" s="15">
        <v>1223</v>
      </c>
      <c r="I324" s="15">
        <v>5270</v>
      </c>
      <c r="J324" s="15">
        <v>2486</v>
      </c>
      <c r="K324" s="15">
        <v>139</v>
      </c>
      <c r="L324" s="15">
        <v>560</v>
      </c>
      <c r="M324" s="15">
        <v>197</v>
      </c>
      <c r="N324" s="15">
        <v>1888</v>
      </c>
      <c r="O324" s="16">
        <f t="shared" ref="O324:T324" si="328">ROUND(C324 + ((2016-2012)*(I324-C324))/(2024-2012),0)</f>
        <v>3754</v>
      </c>
      <c r="P324" s="17">
        <f t="shared" si="328"/>
        <v>1698</v>
      </c>
      <c r="Q324" s="17">
        <f t="shared" si="328"/>
        <v>224</v>
      </c>
      <c r="R324" s="17">
        <f t="shared" si="328"/>
        <v>273</v>
      </c>
      <c r="S324" s="17">
        <f t="shared" si="328"/>
        <v>114</v>
      </c>
      <c r="T324" s="17">
        <f t="shared" si="328"/>
        <v>1445</v>
      </c>
      <c r="U324" s="17">
        <v>2912</v>
      </c>
      <c r="V324" s="18">
        <f t="shared" si="260"/>
        <v>-1214</v>
      </c>
      <c r="W324" s="18">
        <f t="shared" si="261"/>
        <v>0</v>
      </c>
      <c r="X324" s="19">
        <f t="shared" si="262"/>
        <v>4968</v>
      </c>
      <c r="Y324" s="18">
        <v>219.9999988079071</v>
      </c>
      <c r="Z324" s="20"/>
      <c r="AA324" s="15">
        <v>3082</v>
      </c>
      <c r="AB324" s="17">
        <f t="shared" si="264"/>
        <v>3973</v>
      </c>
      <c r="AC324" s="15">
        <v>5754</v>
      </c>
      <c r="AD324" s="4"/>
      <c r="AE324" s="4"/>
      <c r="AF324" s="4"/>
      <c r="AG324" s="4"/>
      <c r="AH324" s="4"/>
      <c r="AI324" s="4"/>
      <c r="AJ324" s="4"/>
      <c r="AK324" s="4"/>
      <c r="AL324" s="4"/>
    </row>
    <row r="325" spans="1:38" ht="14.4">
      <c r="A325" s="21">
        <v>80701</v>
      </c>
      <c r="B325" s="22" t="s">
        <v>337</v>
      </c>
      <c r="C325" s="15">
        <v>1254</v>
      </c>
      <c r="D325" s="15">
        <v>814</v>
      </c>
      <c r="E325" s="15">
        <v>68</v>
      </c>
      <c r="F325" s="15">
        <v>153</v>
      </c>
      <c r="G325" s="15">
        <v>10</v>
      </c>
      <c r="H325" s="15">
        <v>209</v>
      </c>
      <c r="I325" s="15">
        <v>1485</v>
      </c>
      <c r="J325" s="15">
        <v>1080</v>
      </c>
      <c r="K325" s="15">
        <v>80</v>
      </c>
      <c r="L325" s="15">
        <v>130</v>
      </c>
      <c r="M325" s="15">
        <v>44</v>
      </c>
      <c r="N325" s="15">
        <v>151</v>
      </c>
      <c r="O325" s="16">
        <f t="shared" ref="O325:T325" si="329">ROUND(C325 + ((2016-2012)*(I325-C325))/(2024-2012),0)</f>
        <v>1331</v>
      </c>
      <c r="P325" s="23">
        <f t="shared" si="329"/>
        <v>903</v>
      </c>
      <c r="Q325" s="23">
        <f t="shared" si="329"/>
        <v>72</v>
      </c>
      <c r="R325" s="23">
        <f t="shared" si="329"/>
        <v>145</v>
      </c>
      <c r="S325" s="23">
        <f t="shared" si="329"/>
        <v>21</v>
      </c>
      <c r="T325" s="23">
        <f t="shared" si="329"/>
        <v>190</v>
      </c>
      <c r="U325" s="23">
        <v>2712</v>
      </c>
      <c r="V325" s="18">
        <f t="shared" si="260"/>
        <v>-1809</v>
      </c>
      <c r="W325" s="18">
        <f t="shared" si="261"/>
        <v>0</v>
      </c>
      <c r="X325" s="19">
        <f t="shared" si="262"/>
        <v>3140</v>
      </c>
      <c r="Y325" s="18">
        <v>254.00000810623169</v>
      </c>
      <c r="Z325" s="20"/>
      <c r="AA325" s="15">
        <v>1338</v>
      </c>
      <c r="AB325" s="23">
        <f t="shared" si="264"/>
        <v>1439</v>
      </c>
      <c r="AC325" s="15">
        <v>1640</v>
      </c>
      <c r="AD325" s="4"/>
      <c r="AE325" s="4"/>
      <c r="AF325" s="4"/>
      <c r="AG325" s="4"/>
      <c r="AH325" s="4"/>
      <c r="AI325" s="4"/>
      <c r="AJ325" s="4"/>
      <c r="AK325" s="4"/>
      <c r="AL325" s="4"/>
    </row>
    <row r="326" spans="1:38" ht="14.4">
      <c r="A326" s="13">
        <v>80702</v>
      </c>
      <c r="B326" s="14" t="s">
        <v>313</v>
      </c>
      <c r="C326" s="15">
        <v>1160</v>
      </c>
      <c r="D326" s="15">
        <v>751</v>
      </c>
      <c r="E326" s="15">
        <v>119</v>
      </c>
      <c r="F326" s="15">
        <v>78</v>
      </c>
      <c r="G326" s="15">
        <v>4</v>
      </c>
      <c r="H326" s="15">
        <v>208</v>
      </c>
      <c r="I326" s="15">
        <v>1504</v>
      </c>
      <c r="J326" s="15">
        <v>1000</v>
      </c>
      <c r="K326" s="15">
        <v>32</v>
      </c>
      <c r="L326" s="15">
        <v>129</v>
      </c>
      <c r="M326" s="15">
        <v>64</v>
      </c>
      <c r="N326" s="15">
        <v>279</v>
      </c>
      <c r="O326" s="16">
        <f t="shared" ref="O326:T326" si="330">ROUND(C326 + ((2016-2012)*(I326-C326))/(2024-2012),0)</f>
        <v>1275</v>
      </c>
      <c r="P326" s="17">
        <f t="shared" si="330"/>
        <v>834</v>
      </c>
      <c r="Q326" s="17">
        <f t="shared" si="330"/>
        <v>90</v>
      </c>
      <c r="R326" s="17">
        <f t="shared" si="330"/>
        <v>95</v>
      </c>
      <c r="S326" s="17">
        <f t="shared" si="330"/>
        <v>24</v>
      </c>
      <c r="T326" s="17">
        <f t="shared" si="330"/>
        <v>232</v>
      </c>
      <c r="U326" s="17">
        <v>2153</v>
      </c>
      <c r="V326" s="18">
        <f t="shared" si="260"/>
        <v>-1319</v>
      </c>
      <c r="W326" s="18">
        <f t="shared" si="261"/>
        <v>0</v>
      </c>
      <c r="X326" s="19">
        <f t="shared" si="262"/>
        <v>2594</v>
      </c>
      <c r="Y326" s="18">
        <v>289.99999165534973</v>
      </c>
      <c r="Z326" s="20"/>
      <c r="AA326" s="15">
        <v>1270</v>
      </c>
      <c r="AB326" s="17">
        <f t="shared" si="264"/>
        <v>1420</v>
      </c>
      <c r="AC326" s="15">
        <v>1720</v>
      </c>
      <c r="AD326" s="4"/>
      <c r="AE326" s="4"/>
      <c r="AF326" s="4"/>
      <c r="AG326" s="4"/>
      <c r="AH326" s="4"/>
      <c r="AI326" s="4"/>
      <c r="AJ326" s="4"/>
      <c r="AK326" s="4"/>
      <c r="AL326" s="4"/>
    </row>
    <row r="327" spans="1:38" ht="14.4">
      <c r="A327" s="21">
        <v>80703</v>
      </c>
      <c r="B327" s="22" t="s">
        <v>338</v>
      </c>
      <c r="C327" s="15">
        <v>195</v>
      </c>
      <c r="D327" s="15">
        <v>73</v>
      </c>
      <c r="E327" s="15">
        <v>24</v>
      </c>
      <c r="F327" s="15">
        <v>33</v>
      </c>
      <c r="G327" s="15">
        <v>10</v>
      </c>
      <c r="H327" s="15">
        <v>55</v>
      </c>
      <c r="I327" s="15">
        <v>305</v>
      </c>
      <c r="J327" s="15">
        <v>187</v>
      </c>
      <c r="K327" s="15">
        <v>22</v>
      </c>
      <c r="L327" s="15">
        <v>67</v>
      </c>
      <c r="M327" s="15">
        <v>6</v>
      </c>
      <c r="N327" s="15">
        <v>23</v>
      </c>
      <c r="O327" s="16">
        <f t="shared" ref="O327:T327" si="331">ROUND(C327 + ((2016-2012)*(I327-C327))/(2024-2012),0)</f>
        <v>232</v>
      </c>
      <c r="P327" s="23">
        <f t="shared" si="331"/>
        <v>111</v>
      </c>
      <c r="Q327" s="23">
        <f t="shared" si="331"/>
        <v>23</v>
      </c>
      <c r="R327" s="23">
        <f t="shared" si="331"/>
        <v>44</v>
      </c>
      <c r="S327" s="23">
        <f t="shared" si="331"/>
        <v>9</v>
      </c>
      <c r="T327" s="23">
        <f t="shared" si="331"/>
        <v>44</v>
      </c>
      <c r="U327" s="24">
        <v>0</v>
      </c>
      <c r="V327" s="18">
        <f t="shared" si="260"/>
        <v>111</v>
      </c>
      <c r="W327" s="18">
        <f t="shared" si="261"/>
        <v>111</v>
      </c>
      <c r="X327" s="19">
        <f t="shared" si="262"/>
        <v>231</v>
      </c>
      <c r="Y327" s="18">
        <v>0</v>
      </c>
      <c r="Z327" s="20"/>
      <c r="AA327" s="15">
        <v>249</v>
      </c>
      <c r="AB327" s="23">
        <f t="shared" si="264"/>
        <v>274</v>
      </c>
      <c r="AC327" s="15">
        <v>324</v>
      </c>
      <c r="AD327" s="4"/>
      <c r="AE327" s="4"/>
      <c r="AF327" s="4"/>
      <c r="AG327" s="4"/>
      <c r="AH327" s="4"/>
      <c r="AI327" s="4"/>
      <c r="AJ327" s="4"/>
      <c r="AK327" s="4"/>
      <c r="AL327" s="4"/>
    </row>
    <row r="328" spans="1:38" ht="14.4">
      <c r="A328" s="13">
        <v>80801</v>
      </c>
      <c r="B328" s="14" t="s">
        <v>339</v>
      </c>
      <c r="C328" s="15">
        <v>2232</v>
      </c>
      <c r="D328" s="15">
        <v>1694</v>
      </c>
      <c r="E328" s="15">
        <v>117</v>
      </c>
      <c r="F328" s="15">
        <v>117</v>
      </c>
      <c r="G328" s="15">
        <v>33</v>
      </c>
      <c r="H328" s="15">
        <v>271</v>
      </c>
      <c r="I328" s="15">
        <v>2959</v>
      </c>
      <c r="J328" s="15">
        <v>2348</v>
      </c>
      <c r="K328" s="15">
        <v>115</v>
      </c>
      <c r="L328" s="15">
        <v>242</v>
      </c>
      <c r="M328" s="15">
        <v>61</v>
      </c>
      <c r="N328" s="15">
        <v>193</v>
      </c>
      <c r="O328" s="16">
        <f t="shared" ref="O328:T328" si="332">ROUND(C328 + ((2016-2012)*(I328-C328))/(2024-2012),0)</f>
        <v>2474</v>
      </c>
      <c r="P328" s="17">
        <f t="shared" si="332"/>
        <v>1912</v>
      </c>
      <c r="Q328" s="17">
        <f t="shared" si="332"/>
        <v>116</v>
      </c>
      <c r="R328" s="17">
        <f t="shared" si="332"/>
        <v>159</v>
      </c>
      <c r="S328" s="17">
        <f t="shared" si="332"/>
        <v>42</v>
      </c>
      <c r="T328" s="17">
        <f t="shared" si="332"/>
        <v>245</v>
      </c>
      <c r="U328" s="17">
        <v>4600</v>
      </c>
      <c r="V328" s="18">
        <f t="shared" si="260"/>
        <v>-2688</v>
      </c>
      <c r="W328" s="18">
        <f t="shared" si="261"/>
        <v>0</v>
      </c>
      <c r="X328" s="19">
        <f t="shared" si="262"/>
        <v>5162</v>
      </c>
      <c r="Y328" s="18">
        <v>172.00000584125519</v>
      </c>
      <c r="Z328" s="20"/>
      <c r="AA328" s="15">
        <v>2408</v>
      </c>
      <c r="AB328" s="17">
        <f t="shared" si="264"/>
        <v>2710</v>
      </c>
      <c r="AC328" s="15">
        <v>3315</v>
      </c>
      <c r="AD328" s="4"/>
      <c r="AE328" s="4"/>
      <c r="AF328" s="4"/>
      <c r="AG328" s="4"/>
      <c r="AH328" s="4"/>
      <c r="AI328" s="4"/>
      <c r="AJ328" s="4"/>
      <c r="AK328" s="4"/>
      <c r="AL328" s="4"/>
    </row>
    <row r="329" spans="1:38" ht="14.4">
      <c r="A329" s="21">
        <v>80802</v>
      </c>
      <c r="B329" s="22" t="s">
        <v>340</v>
      </c>
      <c r="C329" s="15">
        <v>1356</v>
      </c>
      <c r="D329" s="15">
        <v>638</v>
      </c>
      <c r="E329" s="15">
        <v>161</v>
      </c>
      <c r="F329" s="15">
        <v>86</v>
      </c>
      <c r="G329" s="15">
        <v>155</v>
      </c>
      <c r="H329" s="15">
        <v>316</v>
      </c>
      <c r="I329" s="15">
        <v>2064</v>
      </c>
      <c r="J329" s="15">
        <v>1184</v>
      </c>
      <c r="K329" s="15">
        <v>78</v>
      </c>
      <c r="L329" s="15">
        <v>362</v>
      </c>
      <c r="M329" s="15">
        <v>121</v>
      </c>
      <c r="N329" s="15">
        <v>319</v>
      </c>
      <c r="O329" s="16">
        <f t="shared" ref="O329:T329" si="333">ROUND(C329 + ((2016-2012)*(I329-C329))/(2024-2012),0)</f>
        <v>1592</v>
      </c>
      <c r="P329" s="23">
        <f t="shared" si="333"/>
        <v>820</v>
      </c>
      <c r="Q329" s="23">
        <f t="shared" si="333"/>
        <v>133</v>
      </c>
      <c r="R329" s="23">
        <f t="shared" si="333"/>
        <v>178</v>
      </c>
      <c r="S329" s="23">
        <f t="shared" si="333"/>
        <v>144</v>
      </c>
      <c r="T329" s="23">
        <f t="shared" si="333"/>
        <v>317</v>
      </c>
      <c r="U329" s="23">
        <v>553</v>
      </c>
      <c r="V329" s="18">
        <f t="shared" si="260"/>
        <v>267</v>
      </c>
      <c r="W329" s="18">
        <f t="shared" si="261"/>
        <v>267</v>
      </c>
      <c r="X329" s="19">
        <f t="shared" si="262"/>
        <v>1592</v>
      </c>
      <c r="Y329" s="18">
        <v>201.00000500679016</v>
      </c>
      <c r="Z329" s="20"/>
      <c r="AA329" s="15">
        <v>1437</v>
      </c>
      <c r="AB329" s="23">
        <f t="shared" si="264"/>
        <v>1724</v>
      </c>
      <c r="AC329" s="15">
        <v>2297</v>
      </c>
      <c r="AD329" s="4"/>
      <c r="AE329" s="4"/>
      <c r="AF329" s="4"/>
      <c r="AG329" s="4"/>
      <c r="AH329" s="4"/>
      <c r="AI329" s="4"/>
      <c r="AJ329" s="4"/>
      <c r="AK329" s="4"/>
      <c r="AL329" s="4"/>
    </row>
    <row r="330" spans="1:38" ht="14.4">
      <c r="A330" s="13">
        <v>80803</v>
      </c>
      <c r="B330" s="14" t="s">
        <v>341</v>
      </c>
      <c r="C330" s="15">
        <v>819</v>
      </c>
      <c r="D330" s="15">
        <v>602</v>
      </c>
      <c r="E330" s="15">
        <v>49</v>
      </c>
      <c r="F330" s="15">
        <v>49</v>
      </c>
      <c r="G330" s="15">
        <v>3</v>
      </c>
      <c r="H330" s="15">
        <v>116</v>
      </c>
      <c r="I330" s="15">
        <v>1018</v>
      </c>
      <c r="J330" s="15">
        <v>834</v>
      </c>
      <c r="K330" s="15">
        <v>35</v>
      </c>
      <c r="L330" s="15">
        <v>88</v>
      </c>
      <c r="M330" s="15">
        <v>3</v>
      </c>
      <c r="N330" s="15">
        <v>58</v>
      </c>
      <c r="O330" s="16">
        <f t="shared" ref="O330:T330" si="334">ROUND(C330 + ((2016-2012)*(I330-C330))/(2024-2012),0)</f>
        <v>885</v>
      </c>
      <c r="P330" s="17">
        <f t="shared" si="334"/>
        <v>679</v>
      </c>
      <c r="Q330" s="17">
        <f t="shared" si="334"/>
        <v>44</v>
      </c>
      <c r="R330" s="17">
        <f t="shared" si="334"/>
        <v>62</v>
      </c>
      <c r="S330" s="17">
        <f t="shared" si="334"/>
        <v>3</v>
      </c>
      <c r="T330" s="17">
        <f t="shared" si="334"/>
        <v>97</v>
      </c>
      <c r="U330" s="25">
        <v>426</v>
      </c>
      <c r="V330" s="18">
        <f t="shared" si="260"/>
        <v>253</v>
      </c>
      <c r="W330" s="18">
        <f t="shared" si="261"/>
        <v>253</v>
      </c>
      <c r="X330" s="19">
        <f t="shared" si="262"/>
        <v>885</v>
      </c>
      <c r="Y330" s="18">
        <v>175.49999803304672</v>
      </c>
      <c r="Z330" s="20"/>
      <c r="AA330" s="15">
        <v>875</v>
      </c>
      <c r="AB330" s="17">
        <f t="shared" si="264"/>
        <v>962</v>
      </c>
      <c r="AC330" s="15">
        <v>1135</v>
      </c>
      <c r="AD330" s="4"/>
      <c r="AE330" s="4"/>
      <c r="AF330" s="4"/>
      <c r="AG330" s="4"/>
      <c r="AH330" s="4"/>
      <c r="AI330" s="4"/>
      <c r="AJ330" s="4"/>
      <c r="AK330" s="4"/>
      <c r="AL330" s="4"/>
    </row>
    <row r="331" spans="1:38" ht="14.4">
      <c r="A331" s="21">
        <v>80901</v>
      </c>
      <c r="B331" s="22" t="s">
        <v>342</v>
      </c>
      <c r="C331" s="15">
        <v>631</v>
      </c>
      <c r="D331" s="15">
        <v>178</v>
      </c>
      <c r="E331" s="15">
        <v>39</v>
      </c>
      <c r="F331" s="15">
        <v>29</v>
      </c>
      <c r="G331" s="15">
        <v>26</v>
      </c>
      <c r="H331" s="15">
        <v>359</v>
      </c>
      <c r="I331" s="15">
        <v>922</v>
      </c>
      <c r="J331" s="15">
        <v>481</v>
      </c>
      <c r="K331" s="15">
        <v>10</v>
      </c>
      <c r="L331" s="15">
        <v>119</v>
      </c>
      <c r="M331" s="15">
        <v>2</v>
      </c>
      <c r="N331" s="15">
        <v>310</v>
      </c>
      <c r="O331" s="16">
        <f t="shared" ref="O331:T331" si="335">ROUND(C331 + ((2016-2012)*(I331-C331))/(2024-2012),0)</f>
        <v>728</v>
      </c>
      <c r="P331" s="23">
        <f t="shared" si="335"/>
        <v>279</v>
      </c>
      <c r="Q331" s="23">
        <f t="shared" si="335"/>
        <v>29</v>
      </c>
      <c r="R331" s="23">
        <f t="shared" si="335"/>
        <v>59</v>
      </c>
      <c r="S331" s="23">
        <f t="shared" si="335"/>
        <v>18</v>
      </c>
      <c r="T331" s="23">
        <f t="shared" si="335"/>
        <v>343</v>
      </c>
      <c r="U331" s="24">
        <v>0</v>
      </c>
      <c r="V331" s="18">
        <f t="shared" si="260"/>
        <v>279</v>
      </c>
      <c r="W331" s="18">
        <f t="shared" si="261"/>
        <v>279</v>
      </c>
      <c r="X331" s="19">
        <f t="shared" si="262"/>
        <v>728</v>
      </c>
      <c r="Y331" s="18">
        <v>0</v>
      </c>
      <c r="Z331" s="20"/>
      <c r="AA331" s="15">
        <v>679</v>
      </c>
      <c r="AB331" s="23">
        <f t="shared" si="264"/>
        <v>782</v>
      </c>
      <c r="AC331" s="15">
        <v>988</v>
      </c>
      <c r="AD331" s="4"/>
      <c r="AE331" s="4"/>
      <c r="AF331" s="4"/>
      <c r="AG331" s="4"/>
      <c r="AH331" s="4"/>
      <c r="AI331" s="4"/>
      <c r="AJ331" s="4"/>
      <c r="AK331" s="4"/>
      <c r="AL331" s="4"/>
    </row>
    <row r="332" spans="1:38" ht="14.4">
      <c r="A332" s="13">
        <v>90101</v>
      </c>
      <c r="B332" s="14" t="s">
        <v>343</v>
      </c>
      <c r="C332" s="15">
        <v>12304</v>
      </c>
      <c r="D332" s="15">
        <v>10982</v>
      </c>
      <c r="E332" s="15">
        <v>164</v>
      </c>
      <c r="F332" s="15">
        <v>77</v>
      </c>
      <c r="G332" s="15">
        <v>63</v>
      </c>
      <c r="H332" s="15">
        <v>1018</v>
      </c>
      <c r="I332" s="15">
        <v>15564</v>
      </c>
      <c r="J332" s="15">
        <v>14921</v>
      </c>
      <c r="K332" s="15">
        <v>50</v>
      </c>
      <c r="L332" s="15">
        <v>153</v>
      </c>
      <c r="M332" s="15">
        <v>45</v>
      </c>
      <c r="N332" s="15">
        <v>395</v>
      </c>
      <c r="O332" s="16">
        <f t="shared" ref="O332:T332" si="336">ROUND(C332 + ((2016-2012)*(I332-C332))/(2024-2012),0)</f>
        <v>13391</v>
      </c>
      <c r="P332" s="17">
        <f t="shared" si="336"/>
        <v>12295</v>
      </c>
      <c r="Q332" s="17">
        <f t="shared" si="336"/>
        <v>126</v>
      </c>
      <c r="R332" s="17">
        <f t="shared" si="336"/>
        <v>102</v>
      </c>
      <c r="S332" s="17">
        <f t="shared" si="336"/>
        <v>57</v>
      </c>
      <c r="T332" s="17">
        <f t="shared" si="336"/>
        <v>810</v>
      </c>
      <c r="U332" s="17">
        <v>12449</v>
      </c>
      <c r="V332" s="18">
        <f t="shared" si="260"/>
        <v>-154</v>
      </c>
      <c r="W332" s="18">
        <f t="shared" si="261"/>
        <v>0</v>
      </c>
      <c r="X332" s="19">
        <f t="shared" si="262"/>
        <v>13544</v>
      </c>
      <c r="Y332" s="18">
        <v>1240.0000095367432</v>
      </c>
      <c r="Z332" s="20"/>
      <c r="AA332" s="15">
        <v>13655</v>
      </c>
      <c r="AB332" s="17">
        <f t="shared" si="264"/>
        <v>15629</v>
      </c>
      <c r="AC332" s="15">
        <v>19576</v>
      </c>
      <c r="AD332" s="4"/>
      <c r="AE332" s="4"/>
      <c r="AF332" s="4"/>
      <c r="AG332" s="4"/>
      <c r="AH332" s="4"/>
      <c r="AI332" s="4"/>
      <c r="AJ332" s="4"/>
      <c r="AK332" s="4"/>
      <c r="AL332" s="4"/>
    </row>
    <row r="333" spans="1:38" ht="14.4">
      <c r="A333" s="21">
        <v>90102</v>
      </c>
      <c r="B333" s="22" t="s">
        <v>344</v>
      </c>
      <c r="C333" s="15">
        <v>1655</v>
      </c>
      <c r="D333" s="15">
        <v>1027</v>
      </c>
      <c r="E333" s="15">
        <v>76</v>
      </c>
      <c r="F333" s="15">
        <v>110</v>
      </c>
      <c r="G333" s="15">
        <v>52</v>
      </c>
      <c r="H333" s="15">
        <v>390</v>
      </c>
      <c r="I333" s="15">
        <v>2230</v>
      </c>
      <c r="J333" s="15">
        <v>1800</v>
      </c>
      <c r="K333" s="15">
        <v>61</v>
      </c>
      <c r="L333" s="15">
        <v>121</v>
      </c>
      <c r="M333" s="15">
        <v>35</v>
      </c>
      <c r="N333" s="15">
        <v>213</v>
      </c>
      <c r="O333" s="16">
        <f t="shared" ref="O333:T333" si="337">ROUND(C333 + ((2016-2012)*(I333-C333))/(2024-2012),0)</f>
        <v>1847</v>
      </c>
      <c r="P333" s="23">
        <f t="shared" si="337"/>
        <v>1285</v>
      </c>
      <c r="Q333" s="23">
        <f t="shared" si="337"/>
        <v>71</v>
      </c>
      <c r="R333" s="23">
        <f t="shared" si="337"/>
        <v>114</v>
      </c>
      <c r="S333" s="23">
        <f t="shared" si="337"/>
        <v>46</v>
      </c>
      <c r="T333" s="23">
        <f t="shared" si="337"/>
        <v>331</v>
      </c>
      <c r="U333" s="23">
        <v>958</v>
      </c>
      <c r="V333" s="18">
        <f t="shared" si="260"/>
        <v>327</v>
      </c>
      <c r="W333" s="18">
        <f t="shared" si="261"/>
        <v>327</v>
      </c>
      <c r="X333" s="19">
        <f t="shared" si="262"/>
        <v>1847</v>
      </c>
      <c r="Y333" s="18">
        <v>817.00000166893005</v>
      </c>
      <c r="Z333" s="20"/>
      <c r="AA333" s="15">
        <v>1786</v>
      </c>
      <c r="AB333" s="23">
        <f t="shared" si="264"/>
        <v>2032</v>
      </c>
      <c r="AC333" s="15">
        <v>2523</v>
      </c>
      <c r="AD333" s="4"/>
      <c r="AE333" s="4"/>
      <c r="AF333" s="4"/>
      <c r="AG333" s="4"/>
      <c r="AH333" s="4"/>
      <c r="AI333" s="4"/>
      <c r="AJ333" s="4"/>
      <c r="AK333" s="4"/>
      <c r="AL333" s="4"/>
    </row>
    <row r="334" spans="1:38" ht="14.4">
      <c r="A334" s="13">
        <v>90103</v>
      </c>
      <c r="B334" s="14" t="s">
        <v>345</v>
      </c>
      <c r="C334" s="15">
        <v>545</v>
      </c>
      <c r="D334" s="15">
        <v>29</v>
      </c>
      <c r="E334" s="15">
        <v>71</v>
      </c>
      <c r="F334" s="15">
        <v>105</v>
      </c>
      <c r="G334" s="15">
        <v>36</v>
      </c>
      <c r="H334" s="15">
        <v>304</v>
      </c>
      <c r="I334" s="15">
        <v>802</v>
      </c>
      <c r="J334" s="15">
        <v>156</v>
      </c>
      <c r="K334" s="15">
        <v>160</v>
      </c>
      <c r="L334" s="15">
        <v>216</v>
      </c>
      <c r="M334" s="15">
        <v>17</v>
      </c>
      <c r="N334" s="15">
        <v>253</v>
      </c>
      <c r="O334" s="16">
        <f t="shared" ref="O334:T334" si="338">ROUND(C334 + ((2016-2012)*(I334-C334))/(2024-2012),0)</f>
        <v>631</v>
      </c>
      <c r="P334" s="17">
        <f t="shared" si="338"/>
        <v>71</v>
      </c>
      <c r="Q334" s="17">
        <f t="shared" si="338"/>
        <v>101</v>
      </c>
      <c r="R334" s="17">
        <f t="shared" si="338"/>
        <v>142</v>
      </c>
      <c r="S334" s="17">
        <f t="shared" si="338"/>
        <v>30</v>
      </c>
      <c r="T334" s="17">
        <f t="shared" si="338"/>
        <v>287</v>
      </c>
      <c r="U334" s="25">
        <v>0</v>
      </c>
      <c r="V334" s="18">
        <f t="shared" si="260"/>
        <v>71</v>
      </c>
      <c r="W334" s="18">
        <f t="shared" si="261"/>
        <v>71</v>
      </c>
      <c r="X334" s="19">
        <f t="shared" si="262"/>
        <v>631</v>
      </c>
      <c r="Y334" s="18">
        <v>0</v>
      </c>
      <c r="Z334" s="20"/>
      <c r="AA334" s="15">
        <v>601</v>
      </c>
      <c r="AB334" s="17">
        <f t="shared" si="264"/>
        <v>741</v>
      </c>
      <c r="AC334" s="15">
        <v>1022</v>
      </c>
      <c r="AD334" s="4"/>
      <c r="AE334" s="4"/>
      <c r="AF334" s="4"/>
      <c r="AG334" s="4"/>
      <c r="AH334" s="4"/>
      <c r="AI334" s="4"/>
      <c r="AJ334" s="4"/>
      <c r="AK334" s="4"/>
      <c r="AL334" s="4"/>
    </row>
    <row r="335" spans="1:38" ht="14.4">
      <c r="A335" s="21">
        <v>90104</v>
      </c>
      <c r="B335" s="22" t="s">
        <v>346</v>
      </c>
      <c r="C335" s="15">
        <v>944</v>
      </c>
      <c r="D335" s="15">
        <v>50</v>
      </c>
      <c r="E335" s="15">
        <v>162</v>
      </c>
      <c r="F335" s="15">
        <v>134</v>
      </c>
      <c r="G335" s="15">
        <v>179</v>
      </c>
      <c r="H335" s="15">
        <v>419</v>
      </c>
      <c r="I335" s="15">
        <v>1235</v>
      </c>
      <c r="J335" s="15">
        <v>569</v>
      </c>
      <c r="K335" s="15">
        <v>67</v>
      </c>
      <c r="L335" s="15">
        <v>160</v>
      </c>
      <c r="M335" s="15">
        <v>88</v>
      </c>
      <c r="N335" s="15">
        <v>351</v>
      </c>
      <c r="O335" s="16">
        <f t="shared" ref="O335:T335" si="339">ROUND(C335 + ((2016-2012)*(I335-C335))/(2024-2012),0)</f>
        <v>1041</v>
      </c>
      <c r="P335" s="23">
        <f t="shared" si="339"/>
        <v>223</v>
      </c>
      <c r="Q335" s="23">
        <f t="shared" si="339"/>
        <v>130</v>
      </c>
      <c r="R335" s="23">
        <f t="shared" si="339"/>
        <v>143</v>
      </c>
      <c r="S335" s="23">
        <f t="shared" si="339"/>
        <v>149</v>
      </c>
      <c r="T335" s="23">
        <f t="shared" si="339"/>
        <v>396</v>
      </c>
      <c r="U335" s="24">
        <v>203</v>
      </c>
      <c r="V335" s="18">
        <f t="shared" si="260"/>
        <v>20</v>
      </c>
      <c r="W335" s="18">
        <f t="shared" si="261"/>
        <v>20</v>
      </c>
      <c r="X335" s="19">
        <f t="shared" si="262"/>
        <v>1041</v>
      </c>
      <c r="Y335" s="18">
        <v>45.000001788139343</v>
      </c>
      <c r="Z335" s="20"/>
      <c r="AA335" s="15">
        <v>1154</v>
      </c>
      <c r="AB335" s="23">
        <f t="shared" si="264"/>
        <v>1284</v>
      </c>
      <c r="AC335" s="15">
        <v>1544</v>
      </c>
      <c r="AD335" s="4"/>
      <c r="AE335" s="4"/>
      <c r="AF335" s="4"/>
      <c r="AG335" s="4"/>
      <c r="AH335" s="4"/>
      <c r="AI335" s="4"/>
      <c r="AJ335" s="4"/>
      <c r="AK335" s="4"/>
      <c r="AL335" s="4"/>
    </row>
    <row r="336" spans="1:38" ht="14.4">
      <c r="A336" s="13">
        <v>90201</v>
      </c>
      <c r="B336" s="14" t="s">
        <v>347</v>
      </c>
      <c r="C336" s="15">
        <v>1382</v>
      </c>
      <c r="D336" s="15">
        <v>493</v>
      </c>
      <c r="E336" s="15">
        <v>321</v>
      </c>
      <c r="F336" s="15">
        <v>59</v>
      </c>
      <c r="G336" s="15">
        <v>52</v>
      </c>
      <c r="H336" s="15">
        <v>457</v>
      </c>
      <c r="I336" s="15">
        <v>1989</v>
      </c>
      <c r="J336" s="15">
        <v>1344</v>
      </c>
      <c r="K336" s="15">
        <v>233</v>
      </c>
      <c r="L336" s="15">
        <v>67</v>
      </c>
      <c r="M336" s="15">
        <v>20</v>
      </c>
      <c r="N336" s="15">
        <v>325</v>
      </c>
      <c r="O336" s="16">
        <f t="shared" ref="O336:T336" si="340">ROUND(C336 + ((2016-2012)*(I336-C336))/(2024-2012),0)</f>
        <v>1584</v>
      </c>
      <c r="P336" s="17">
        <f t="shared" si="340"/>
        <v>777</v>
      </c>
      <c r="Q336" s="17">
        <f t="shared" si="340"/>
        <v>292</v>
      </c>
      <c r="R336" s="17">
        <f t="shared" si="340"/>
        <v>62</v>
      </c>
      <c r="S336" s="17">
        <f t="shared" si="340"/>
        <v>41</v>
      </c>
      <c r="T336" s="17">
        <f t="shared" si="340"/>
        <v>413</v>
      </c>
      <c r="U336" s="17">
        <v>802</v>
      </c>
      <c r="V336" s="18">
        <f t="shared" si="260"/>
        <v>-25</v>
      </c>
      <c r="W336" s="18">
        <f t="shared" si="261"/>
        <v>0</v>
      </c>
      <c r="X336" s="19">
        <f t="shared" si="262"/>
        <v>1610</v>
      </c>
      <c r="Y336" s="18">
        <v>539.000004529953</v>
      </c>
      <c r="Z336" s="20"/>
      <c r="AA336" s="15">
        <v>1549</v>
      </c>
      <c r="AB336" s="17">
        <f t="shared" si="264"/>
        <v>1872</v>
      </c>
      <c r="AC336" s="15">
        <v>2517</v>
      </c>
      <c r="AD336" s="4"/>
      <c r="AE336" s="4"/>
      <c r="AF336" s="4"/>
      <c r="AG336" s="4"/>
      <c r="AH336" s="4"/>
      <c r="AI336" s="4"/>
      <c r="AJ336" s="4"/>
      <c r="AK336" s="4"/>
      <c r="AL336" s="4"/>
    </row>
    <row r="337" spans="1:38" ht="14.4">
      <c r="A337" s="21">
        <v>90202</v>
      </c>
      <c r="B337" s="22" t="s">
        <v>310</v>
      </c>
      <c r="C337" s="15">
        <v>611</v>
      </c>
      <c r="D337" s="15">
        <v>2</v>
      </c>
      <c r="E337" s="15">
        <v>45</v>
      </c>
      <c r="F337" s="15">
        <v>53</v>
      </c>
      <c r="G337" s="15">
        <v>74</v>
      </c>
      <c r="H337" s="15">
        <v>437</v>
      </c>
      <c r="I337" s="15">
        <v>612</v>
      </c>
      <c r="J337" s="15">
        <v>2</v>
      </c>
      <c r="K337" s="15">
        <v>136</v>
      </c>
      <c r="L337" s="15">
        <v>84</v>
      </c>
      <c r="M337" s="15">
        <v>21</v>
      </c>
      <c r="N337" s="15">
        <v>369</v>
      </c>
      <c r="O337" s="16">
        <f t="shared" ref="O337:T337" si="341">ROUND(C337 + ((2016-2012)*(I337-C337))/(2024-2012),0)</f>
        <v>611</v>
      </c>
      <c r="P337" s="23">
        <f t="shared" si="341"/>
        <v>2</v>
      </c>
      <c r="Q337" s="23">
        <f t="shared" si="341"/>
        <v>75</v>
      </c>
      <c r="R337" s="23">
        <f t="shared" si="341"/>
        <v>63</v>
      </c>
      <c r="S337" s="23">
        <f t="shared" si="341"/>
        <v>56</v>
      </c>
      <c r="T337" s="23">
        <f t="shared" si="341"/>
        <v>414</v>
      </c>
      <c r="U337" s="24">
        <v>104</v>
      </c>
      <c r="V337" s="18">
        <f t="shared" si="260"/>
        <v>-102</v>
      </c>
      <c r="W337" s="18">
        <f t="shared" si="261"/>
        <v>0</v>
      </c>
      <c r="X337" s="19">
        <f t="shared" si="262"/>
        <v>712</v>
      </c>
      <c r="Y337" s="18">
        <v>230.4999977350235</v>
      </c>
      <c r="Z337" s="20"/>
      <c r="AA337" s="15">
        <v>613</v>
      </c>
      <c r="AB337" s="23">
        <f t="shared" si="264"/>
        <v>619</v>
      </c>
      <c r="AC337" s="15">
        <v>632</v>
      </c>
      <c r="AD337" s="4"/>
      <c r="AE337" s="4"/>
      <c r="AF337" s="4"/>
      <c r="AG337" s="4"/>
      <c r="AH337" s="4"/>
      <c r="AI337" s="4"/>
      <c r="AJ337" s="4"/>
      <c r="AK337" s="4"/>
      <c r="AL337" s="4"/>
    </row>
    <row r="338" spans="1:38" ht="14.4">
      <c r="A338" s="13">
        <v>90203</v>
      </c>
      <c r="B338" s="14" t="s">
        <v>348</v>
      </c>
      <c r="C338" s="15">
        <v>1427</v>
      </c>
      <c r="D338" s="15">
        <v>362</v>
      </c>
      <c r="E338" s="15">
        <v>297</v>
      </c>
      <c r="F338" s="15">
        <v>52</v>
      </c>
      <c r="G338" s="15">
        <v>71</v>
      </c>
      <c r="H338" s="15">
        <v>645</v>
      </c>
      <c r="I338" s="15">
        <v>2514</v>
      </c>
      <c r="J338" s="15">
        <v>1312</v>
      </c>
      <c r="K338" s="15">
        <v>334</v>
      </c>
      <c r="L338" s="15">
        <v>240</v>
      </c>
      <c r="M338" s="15">
        <v>34</v>
      </c>
      <c r="N338" s="15">
        <v>594</v>
      </c>
      <c r="O338" s="16">
        <f t="shared" ref="O338:T338" si="342">ROUND(C338 + ((2016-2012)*(I338-C338))/(2024-2012),0)</f>
        <v>1789</v>
      </c>
      <c r="P338" s="17">
        <f t="shared" si="342"/>
        <v>679</v>
      </c>
      <c r="Q338" s="17">
        <f t="shared" si="342"/>
        <v>309</v>
      </c>
      <c r="R338" s="17">
        <f t="shared" si="342"/>
        <v>115</v>
      </c>
      <c r="S338" s="17">
        <f t="shared" si="342"/>
        <v>59</v>
      </c>
      <c r="T338" s="17">
        <f t="shared" si="342"/>
        <v>628</v>
      </c>
      <c r="U338" s="17">
        <v>425</v>
      </c>
      <c r="V338" s="18">
        <f t="shared" si="260"/>
        <v>254</v>
      </c>
      <c r="W338" s="18">
        <f t="shared" si="261"/>
        <v>254</v>
      </c>
      <c r="X338" s="19">
        <f t="shared" si="262"/>
        <v>1790</v>
      </c>
      <c r="Y338" s="18">
        <v>892.00001955032349</v>
      </c>
      <c r="Z338" s="20"/>
      <c r="AA338" s="15">
        <v>1459</v>
      </c>
      <c r="AB338" s="17">
        <f t="shared" si="264"/>
        <v>2013</v>
      </c>
      <c r="AC338" s="15">
        <v>3121</v>
      </c>
      <c r="AD338" s="4"/>
      <c r="AE338" s="4"/>
      <c r="AF338" s="4"/>
      <c r="AG338" s="4"/>
      <c r="AH338" s="4"/>
      <c r="AI338" s="4"/>
      <c r="AJ338" s="4"/>
      <c r="AK338" s="4"/>
      <c r="AL338" s="4"/>
    </row>
    <row r="339" spans="1:38" ht="14.4">
      <c r="A339" s="21">
        <v>90301</v>
      </c>
      <c r="B339" s="22" t="s">
        <v>349</v>
      </c>
      <c r="C339" s="15">
        <v>1026</v>
      </c>
      <c r="D339" s="15">
        <v>506</v>
      </c>
      <c r="E339" s="15">
        <v>27</v>
      </c>
      <c r="F339" s="15">
        <v>94</v>
      </c>
      <c r="G339" s="15">
        <v>29</v>
      </c>
      <c r="H339" s="15">
        <v>370</v>
      </c>
      <c r="I339" s="15">
        <v>1965</v>
      </c>
      <c r="J339" s="15">
        <v>1385</v>
      </c>
      <c r="K339" s="15">
        <v>48</v>
      </c>
      <c r="L339" s="15">
        <v>58</v>
      </c>
      <c r="M339" s="15">
        <v>126</v>
      </c>
      <c r="N339" s="15">
        <v>348</v>
      </c>
      <c r="O339" s="16">
        <f t="shared" ref="O339:T339" si="343">ROUND(C339 + ((2016-2012)*(I339-C339))/(2024-2012),0)</f>
        <v>1339</v>
      </c>
      <c r="P339" s="23">
        <f t="shared" si="343"/>
        <v>799</v>
      </c>
      <c r="Q339" s="23">
        <f t="shared" si="343"/>
        <v>34</v>
      </c>
      <c r="R339" s="23">
        <f t="shared" si="343"/>
        <v>82</v>
      </c>
      <c r="S339" s="23">
        <f t="shared" si="343"/>
        <v>61</v>
      </c>
      <c r="T339" s="23">
        <f t="shared" si="343"/>
        <v>363</v>
      </c>
      <c r="U339" s="24">
        <v>184</v>
      </c>
      <c r="V339" s="18">
        <f t="shared" si="260"/>
        <v>615</v>
      </c>
      <c r="W339" s="18">
        <f t="shared" si="261"/>
        <v>615</v>
      </c>
      <c r="X339" s="19">
        <f t="shared" si="262"/>
        <v>1339</v>
      </c>
      <c r="Y339" s="18">
        <v>397.50000834465027</v>
      </c>
      <c r="Z339" s="20"/>
      <c r="AA339" s="15">
        <v>1037</v>
      </c>
      <c r="AB339" s="23">
        <f t="shared" si="264"/>
        <v>1363</v>
      </c>
      <c r="AC339" s="15">
        <v>2015</v>
      </c>
      <c r="AD339" s="4"/>
      <c r="AE339" s="4"/>
      <c r="AF339" s="4"/>
      <c r="AG339" s="4"/>
      <c r="AH339" s="4"/>
      <c r="AI339" s="4"/>
      <c r="AJ339" s="4"/>
      <c r="AK339" s="4"/>
      <c r="AL339" s="4"/>
    </row>
    <row r="340" spans="1:38" ht="14.4">
      <c r="A340" s="13">
        <v>90302</v>
      </c>
      <c r="B340" s="14" t="s">
        <v>350</v>
      </c>
      <c r="C340" s="15">
        <v>1342</v>
      </c>
      <c r="D340" s="15">
        <v>574</v>
      </c>
      <c r="E340" s="15">
        <v>155</v>
      </c>
      <c r="F340" s="15">
        <v>20</v>
      </c>
      <c r="G340" s="15">
        <v>17</v>
      </c>
      <c r="H340" s="15">
        <v>576</v>
      </c>
      <c r="I340" s="15">
        <v>1850</v>
      </c>
      <c r="J340" s="15">
        <v>1288</v>
      </c>
      <c r="K340" s="15">
        <v>177</v>
      </c>
      <c r="L340" s="15">
        <v>29</v>
      </c>
      <c r="M340" s="15">
        <v>54</v>
      </c>
      <c r="N340" s="15">
        <v>302</v>
      </c>
      <c r="O340" s="16">
        <f t="shared" ref="O340:T340" si="344">ROUND(C340 + ((2016-2012)*(I340-C340))/(2024-2012),0)</f>
        <v>1511</v>
      </c>
      <c r="P340" s="17">
        <f t="shared" si="344"/>
        <v>812</v>
      </c>
      <c r="Q340" s="17">
        <f t="shared" si="344"/>
        <v>162</v>
      </c>
      <c r="R340" s="17">
        <f t="shared" si="344"/>
        <v>23</v>
      </c>
      <c r="S340" s="17">
        <f t="shared" si="344"/>
        <v>29</v>
      </c>
      <c r="T340" s="17">
        <f t="shared" si="344"/>
        <v>485</v>
      </c>
      <c r="U340" s="25">
        <v>190</v>
      </c>
      <c r="V340" s="18">
        <f t="shared" si="260"/>
        <v>622</v>
      </c>
      <c r="W340" s="18">
        <f t="shared" si="261"/>
        <v>622</v>
      </c>
      <c r="X340" s="19">
        <f t="shared" si="262"/>
        <v>1511</v>
      </c>
      <c r="Y340" s="18">
        <v>652.50000357627869</v>
      </c>
      <c r="Z340" s="20"/>
      <c r="AA340" s="15">
        <v>1347</v>
      </c>
      <c r="AB340" s="17">
        <f t="shared" si="264"/>
        <v>1537</v>
      </c>
      <c r="AC340" s="15">
        <v>1917</v>
      </c>
      <c r="AD340" s="4"/>
      <c r="AE340" s="4"/>
      <c r="AF340" s="4"/>
      <c r="AG340" s="4"/>
      <c r="AH340" s="4"/>
      <c r="AI340" s="4"/>
      <c r="AJ340" s="4"/>
      <c r="AK340" s="4"/>
      <c r="AL340" s="4"/>
    </row>
    <row r="341" spans="1:38" ht="14.4">
      <c r="A341" s="21">
        <v>90303</v>
      </c>
      <c r="B341" s="22" t="s">
        <v>351</v>
      </c>
      <c r="C341" s="15">
        <v>1653</v>
      </c>
      <c r="D341" s="15">
        <v>61</v>
      </c>
      <c r="E341" s="15">
        <v>135</v>
      </c>
      <c r="F341" s="15">
        <v>25</v>
      </c>
      <c r="G341" s="15">
        <v>11</v>
      </c>
      <c r="H341" s="15">
        <v>1421</v>
      </c>
      <c r="I341" s="15">
        <v>2875</v>
      </c>
      <c r="J341" s="15">
        <v>1120</v>
      </c>
      <c r="K341" s="15">
        <v>425</v>
      </c>
      <c r="L341" s="15">
        <v>170</v>
      </c>
      <c r="M341" s="15">
        <v>87</v>
      </c>
      <c r="N341" s="15">
        <v>1073</v>
      </c>
      <c r="O341" s="16">
        <f t="shared" ref="O341:T341" si="345">ROUND(C341 + ((2016-2012)*(I341-C341))/(2024-2012),0)</f>
        <v>2060</v>
      </c>
      <c r="P341" s="23">
        <f t="shared" si="345"/>
        <v>414</v>
      </c>
      <c r="Q341" s="23">
        <f t="shared" si="345"/>
        <v>232</v>
      </c>
      <c r="R341" s="23">
        <f t="shared" si="345"/>
        <v>73</v>
      </c>
      <c r="S341" s="23">
        <f t="shared" si="345"/>
        <v>36</v>
      </c>
      <c r="T341" s="23">
        <f t="shared" si="345"/>
        <v>1305</v>
      </c>
      <c r="U341" s="23">
        <v>533</v>
      </c>
      <c r="V341" s="18">
        <f t="shared" si="260"/>
        <v>-119</v>
      </c>
      <c r="W341" s="18">
        <f t="shared" si="261"/>
        <v>0</v>
      </c>
      <c r="X341" s="19">
        <f t="shared" si="262"/>
        <v>2179</v>
      </c>
      <c r="Y341" s="18">
        <v>573.00001382827759</v>
      </c>
      <c r="Z341" s="20"/>
      <c r="AA341" s="15">
        <v>1668</v>
      </c>
      <c r="AB341" s="23">
        <f t="shared" si="264"/>
        <v>2203</v>
      </c>
      <c r="AC341" s="15">
        <v>3272</v>
      </c>
      <c r="AD341" s="4"/>
      <c r="AE341" s="4"/>
      <c r="AF341" s="4"/>
      <c r="AG341" s="4"/>
      <c r="AH341" s="4"/>
      <c r="AI341" s="4"/>
      <c r="AJ341" s="4"/>
      <c r="AK341" s="4"/>
      <c r="AL341" s="4"/>
    </row>
    <row r="342" spans="1:38" ht="14.4">
      <c r="A342" s="13">
        <v>90401</v>
      </c>
      <c r="B342" s="14" t="s">
        <v>352</v>
      </c>
      <c r="C342" s="15">
        <v>611</v>
      </c>
      <c r="D342" s="15">
        <v>340</v>
      </c>
      <c r="E342" s="15">
        <v>47</v>
      </c>
      <c r="F342" s="15">
        <v>11</v>
      </c>
      <c r="G342" s="15">
        <v>7</v>
      </c>
      <c r="H342" s="15">
        <v>206</v>
      </c>
      <c r="I342" s="15">
        <v>860</v>
      </c>
      <c r="J342" s="15">
        <v>568</v>
      </c>
      <c r="K342" s="15">
        <v>85</v>
      </c>
      <c r="L342" s="15">
        <v>19</v>
      </c>
      <c r="M342" s="15">
        <v>39</v>
      </c>
      <c r="N342" s="15">
        <v>149</v>
      </c>
      <c r="O342" s="16">
        <f t="shared" ref="O342:T342" si="346">ROUND(C342 + ((2016-2012)*(I342-C342))/(2024-2012),0)</f>
        <v>694</v>
      </c>
      <c r="P342" s="17">
        <f t="shared" si="346"/>
        <v>416</v>
      </c>
      <c r="Q342" s="17">
        <f t="shared" si="346"/>
        <v>60</v>
      </c>
      <c r="R342" s="17">
        <f t="shared" si="346"/>
        <v>14</v>
      </c>
      <c r="S342" s="17">
        <f t="shared" si="346"/>
        <v>18</v>
      </c>
      <c r="T342" s="17">
        <f t="shared" si="346"/>
        <v>187</v>
      </c>
      <c r="U342" s="25">
        <v>0</v>
      </c>
      <c r="V342" s="18">
        <f t="shared" si="260"/>
        <v>416</v>
      </c>
      <c r="W342" s="18">
        <f t="shared" si="261"/>
        <v>416</v>
      </c>
      <c r="X342" s="19">
        <f t="shared" si="262"/>
        <v>695</v>
      </c>
      <c r="Y342" s="18">
        <v>0</v>
      </c>
      <c r="Z342" s="20"/>
      <c r="AA342" s="15">
        <v>634</v>
      </c>
      <c r="AB342" s="17">
        <f t="shared" si="264"/>
        <v>807</v>
      </c>
      <c r="AC342" s="15">
        <v>1152</v>
      </c>
      <c r="AD342" s="4"/>
      <c r="AE342" s="4"/>
      <c r="AF342" s="4"/>
      <c r="AG342" s="4"/>
      <c r="AH342" s="4"/>
      <c r="AI342" s="4"/>
      <c r="AJ342" s="4"/>
      <c r="AK342" s="4"/>
      <c r="AL342" s="4"/>
    </row>
    <row r="343" spans="1:38" ht="14.4">
      <c r="A343" s="21">
        <v>90402</v>
      </c>
      <c r="B343" s="22" t="s">
        <v>353</v>
      </c>
      <c r="C343" s="15">
        <v>344</v>
      </c>
      <c r="D343" s="15">
        <v>137</v>
      </c>
      <c r="E343" s="15">
        <v>20</v>
      </c>
      <c r="F343" s="15">
        <v>11</v>
      </c>
      <c r="G343" s="15">
        <v>42</v>
      </c>
      <c r="H343" s="15">
        <v>134</v>
      </c>
      <c r="I343" s="15">
        <v>649</v>
      </c>
      <c r="J343" s="15">
        <v>113</v>
      </c>
      <c r="K343" s="15">
        <v>161</v>
      </c>
      <c r="L343" s="15">
        <v>89</v>
      </c>
      <c r="M343" s="15">
        <v>25</v>
      </c>
      <c r="N343" s="15">
        <v>261</v>
      </c>
      <c r="O343" s="16">
        <f t="shared" ref="O343:T343" si="347">ROUND(C343 + ((2016-2012)*(I343-C343))/(2024-2012),0)</f>
        <v>446</v>
      </c>
      <c r="P343" s="23">
        <f t="shared" si="347"/>
        <v>129</v>
      </c>
      <c r="Q343" s="23">
        <f t="shared" si="347"/>
        <v>67</v>
      </c>
      <c r="R343" s="23">
        <f t="shared" si="347"/>
        <v>37</v>
      </c>
      <c r="S343" s="23">
        <f t="shared" si="347"/>
        <v>36</v>
      </c>
      <c r="T343" s="23">
        <f t="shared" si="347"/>
        <v>176</v>
      </c>
      <c r="U343" s="24">
        <v>0</v>
      </c>
      <c r="V343" s="18">
        <f t="shared" si="260"/>
        <v>129</v>
      </c>
      <c r="W343" s="18">
        <f t="shared" si="261"/>
        <v>129</v>
      </c>
      <c r="X343" s="19">
        <f t="shared" si="262"/>
        <v>445</v>
      </c>
      <c r="Y343" s="18">
        <v>0</v>
      </c>
      <c r="Z343" s="20"/>
      <c r="AA343" s="15">
        <v>347</v>
      </c>
      <c r="AB343" s="23">
        <f t="shared" si="264"/>
        <v>473</v>
      </c>
      <c r="AC343" s="15">
        <v>725</v>
      </c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38" ht="14.4">
      <c r="A344" s="13">
        <v>90501</v>
      </c>
      <c r="B344" s="14" t="s">
        <v>354</v>
      </c>
      <c r="C344" s="15">
        <v>466</v>
      </c>
      <c r="D344" s="15">
        <v>90</v>
      </c>
      <c r="E344" s="15">
        <v>92</v>
      </c>
      <c r="F344" s="15">
        <v>29</v>
      </c>
      <c r="G344" s="15">
        <v>14</v>
      </c>
      <c r="H344" s="15">
        <v>241</v>
      </c>
      <c r="I344" s="15">
        <v>489</v>
      </c>
      <c r="J344" s="15">
        <v>71</v>
      </c>
      <c r="K344" s="15">
        <v>190</v>
      </c>
      <c r="L344" s="15">
        <v>59</v>
      </c>
      <c r="M344" s="15">
        <v>18</v>
      </c>
      <c r="N344" s="15">
        <v>151</v>
      </c>
      <c r="O344" s="16">
        <f t="shared" ref="O344:T344" si="348">ROUND(C344 + ((2016-2012)*(I344-C344))/(2024-2012),0)</f>
        <v>474</v>
      </c>
      <c r="P344" s="17">
        <f t="shared" si="348"/>
        <v>84</v>
      </c>
      <c r="Q344" s="17">
        <f t="shared" si="348"/>
        <v>125</v>
      </c>
      <c r="R344" s="17">
        <f t="shared" si="348"/>
        <v>39</v>
      </c>
      <c r="S344" s="17">
        <f t="shared" si="348"/>
        <v>15</v>
      </c>
      <c r="T344" s="17">
        <f t="shared" si="348"/>
        <v>211</v>
      </c>
      <c r="U344" s="25">
        <v>80</v>
      </c>
      <c r="V344" s="18">
        <f t="shared" si="260"/>
        <v>4</v>
      </c>
      <c r="W344" s="18">
        <f t="shared" si="261"/>
        <v>4</v>
      </c>
      <c r="X344" s="19">
        <f t="shared" si="262"/>
        <v>474</v>
      </c>
      <c r="Y344" s="18">
        <v>317.00000166893005</v>
      </c>
      <c r="Z344" s="20"/>
      <c r="AA344" s="15">
        <v>481</v>
      </c>
      <c r="AB344" s="17">
        <f t="shared" si="264"/>
        <v>538</v>
      </c>
      <c r="AC344" s="15">
        <v>652</v>
      </c>
      <c r="AD344" s="4"/>
      <c r="AE344" s="4"/>
      <c r="AF344" s="4"/>
      <c r="AG344" s="4"/>
      <c r="AH344" s="4"/>
      <c r="AI344" s="4"/>
      <c r="AJ344" s="4"/>
      <c r="AK344" s="4"/>
      <c r="AL344" s="4"/>
    </row>
    <row r="345" spans="1:38" ht="14.4">
      <c r="A345" s="21">
        <v>90502</v>
      </c>
      <c r="B345" s="22" t="s">
        <v>355</v>
      </c>
      <c r="C345" s="15">
        <v>589</v>
      </c>
      <c r="D345" s="15">
        <v>186</v>
      </c>
      <c r="E345" s="15">
        <v>105</v>
      </c>
      <c r="F345" s="15">
        <v>25</v>
      </c>
      <c r="G345" s="15">
        <v>16</v>
      </c>
      <c r="H345" s="15">
        <v>257</v>
      </c>
      <c r="I345" s="15">
        <v>708</v>
      </c>
      <c r="J345" s="15">
        <v>274</v>
      </c>
      <c r="K345" s="15">
        <v>110</v>
      </c>
      <c r="L345" s="15">
        <v>84</v>
      </c>
      <c r="M345" s="15">
        <v>27</v>
      </c>
      <c r="N345" s="15">
        <v>213</v>
      </c>
      <c r="O345" s="16">
        <f t="shared" ref="O345:T345" si="349">ROUND(C345 + ((2016-2012)*(I345-C345))/(2024-2012),0)</f>
        <v>629</v>
      </c>
      <c r="P345" s="23">
        <f t="shared" si="349"/>
        <v>215</v>
      </c>
      <c r="Q345" s="23">
        <f t="shared" si="349"/>
        <v>107</v>
      </c>
      <c r="R345" s="23">
        <f t="shared" si="349"/>
        <v>45</v>
      </c>
      <c r="S345" s="23">
        <f t="shared" si="349"/>
        <v>20</v>
      </c>
      <c r="T345" s="23">
        <f t="shared" si="349"/>
        <v>242</v>
      </c>
      <c r="U345" s="24">
        <v>116</v>
      </c>
      <c r="V345" s="18">
        <f t="shared" si="260"/>
        <v>99</v>
      </c>
      <c r="W345" s="18">
        <f t="shared" si="261"/>
        <v>99</v>
      </c>
      <c r="X345" s="19">
        <f t="shared" si="262"/>
        <v>629</v>
      </c>
      <c r="Y345" s="18">
        <v>217.00000017881393</v>
      </c>
      <c r="Z345" s="20"/>
      <c r="AA345" s="15">
        <v>616</v>
      </c>
      <c r="AB345" s="23">
        <f t="shared" si="264"/>
        <v>682</v>
      </c>
      <c r="AC345" s="15">
        <v>814</v>
      </c>
      <c r="AD345" s="4"/>
      <c r="AE345" s="4"/>
      <c r="AF345" s="4"/>
      <c r="AG345" s="4"/>
      <c r="AH345" s="4"/>
      <c r="AI345" s="4"/>
      <c r="AJ345" s="4"/>
      <c r="AK345" s="4"/>
      <c r="AL345" s="4"/>
    </row>
    <row r="346" spans="1:38" ht="14.4">
      <c r="A346" s="13">
        <v>90503</v>
      </c>
      <c r="B346" s="14" t="s">
        <v>356</v>
      </c>
      <c r="C346" s="15">
        <v>466</v>
      </c>
      <c r="D346" s="15">
        <v>66</v>
      </c>
      <c r="E346" s="15">
        <v>106</v>
      </c>
      <c r="F346" s="15">
        <v>43</v>
      </c>
      <c r="G346" s="15">
        <v>18</v>
      </c>
      <c r="H346" s="15">
        <v>233</v>
      </c>
      <c r="I346" s="15">
        <v>601</v>
      </c>
      <c r="J346" s="15">
        <v>188</v>
      </c>
      <c r="K346" s="15">
        <v>107</v>
      </c>
      <c r="L346" s="15">
        <v>48</v>
      </c>
      <c r="M346" s="15">
        <v>50</v>
      </c>
      <c r="N346" s="15">
        <v>208</v>
      </c>
      <c r="O346" s="16">
        <f t="shared" ref="O346:T346" si="350">ROUND(C346 + ((2016-2012)*(I346-C346))/(2024-2012),0)</f>
        <v>511</v>
      </c>
      <c r="P346" s="17">
        <f t="shared" si="350"/>
        <v>107</v>
      </c>
      <c r="Q346" s="17">
        <f t="shared" si="350"/>
        <v>106</v>
      </c>
      <c r="R346" s="17">
        <f t="shared" si="350"/>
        <v>45</v>
      </c>
      <c r="S346" s="17">
        <f t="shared" si="350"/>
        <v>29</v>
      </c>
      <c r="T346" s="17">
        <f t="shared" si="350"/>
        <v>225</v>
      </c>
      <c r="U346" s="25">
        <v>0</v>
      </c>
      <c r="V346" s="18">
        <f t="shared" si="260"/>
        <v>107</v>
      </c>
      <c r="W346" s="18">
        <f t="shared" si="261"/>
        <v>107</v>
      </c>
      <c r="X346" s="19">
        <f t="shared" si="262"/>
        <v>512</v>
      </c>
      <c r="Y346" s="18">
        <v>0</v>
      </c>
      <c r="Z346" s="20"/>
      <c r="AA346" s="15">
        <v>468</v>
      </c>
      <c r="AB346" s="17">
        <f t="shared" si="264"/>
        <v>530</v>
      </c>
      <c r="AC346" s="15">
        <v>655</v>
      </c>
      <c r="AD346" s="4"/>
      <c r="AE346" s="4"/>
      <c r="AF346" s="4"/>
      <c r="AG346" s="4"/>
      <c r="AH346" s="4"/>
      <c r="AI346" s="4"/>
      <c r="AJ346" s="4"/>
      <c r="AK346" s="4"/>
      <c r="AL346" s="4"/>
    </row>
    <row r="347" spans="1:38" ht="14.4">
      <c r="A347" s="26"/>
      <c r="B347" s="27"/>
      <c r="C347" s="28">
        <f t="shared" ref="C347:D347" si="351">SUM(C4:C346)</f>
        <v>2803982</v>
      </c>
      <c r="D347" s="29">
        <f t="shared" si="351"/>
        <v>2225608</v>
      </c>
      <c r="E347" s="27"/>
      <c r="F347" s="27"/>
      <c r="G347" s="27"/>
      <c r="H347" s="27"/>
      <c r="I347" s="28">
        <f t="shared" ref="I347:J347" si="352">SUM(I4:I346)</f>
        <v>3623711</v>
      </c>
      <c r="J347" s="29">
        <f t="shared" si="352"/>
        <v>3130729</v>
      </c>
      <c r="K347" s="30"/>
      <c r="L347" s="30"/>
      <c r="M347" s="27"/>
      <c r="N347" s="27"/>
      <c r="O347" s="31">
        <f t="shared" ref="O347:T347" si="353">SUM(O4:O346)</f>
        <v>3077234</v>
      </c>
      <c r="P347" s="32">
        <f t="shared" si="353"/>
        <v>2527313</v>
      </c>
      <c r="Q347" s="32">
        <f t="shared" si="353"/>
        <v>26785</v>
      </c>
      <c r="R347" s="32">
        <f t="shared" si="353"/>
        <v>41220</v>
      </c>
      <c r="S347" s="32">
        <f t="shared" si="353"/>
        <v>23761</v>
      </c>
      <c r="T347" s="32">
        <f t="shared" si="353"/>
        <v>458157</v>
      </c>
      <c r="U347" s="27"/>
      <c r="V347" s="18">
        <f>SUM(V4:V346)</f>
        <v>-24698</v>
      </c>
      <c r="W347" s="20"/>
      <c r="X347" s="19">
        <f>SUM(X4:X346)</f>
        <v>3302062</v>
      </c>
      <c r="Y347" s="3"/>
      <c r="Z347" s="3"/>
      <c r="AA347" s="27"/>
      <c r="AB347" s="27"/>
      <c r="AC347" s="30"/>
      <c r="AD347" s="33"/>
      <c r="AE347" s="4"/>
      <c r="AF347" s="4"/>
      <c r="AG347" s="4"/>
      <c r="AH347" s="4"/>
      <c r="AI347" s="4"/>
      <c r="AJ347" s="4"/>
      <c r="AK347" s="4"/>
      <c r="AL347" s="4"/>
    </row>
    <row r="348" spans="1:38" ht="14.4">
      <c r="A348" s="34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20"/>
      <c r="P348" s="20"/>
      <c r="Q348" s="20"/>
      <c r="R348" s="20"/>
      <c r="S348" s="20"/>
      <c r="T348" s="35"/>
      <c r="U348" s="35"/>
      <c r="V348" s="3"/>
      <c r="W348" s="3"/>
      <c r="X348" s="36"/>
      <c r="Y348" s="3"/>
      <c r="Z348" s="3"/>
      <c r="AA348" s="35"/>
      <c r="AB348" s="35"/>
      <c r="AC348" s="35"/>
      <c r="AD348" s="4"/>
      <c r="AE348" s="4"/>
      <c r="AF348" s="4"/>
      <c r="AG348" s="4"/>
      <c r="AH348" s="4"/>
      <c r="AI348" s="4"/>
      <c r="AJ348" s="4"/>
      <c r="AK348" s="4"/>
      <c r="AL348" s="4"/>
    </row>
    <row r="349" spans="1:38" ht="14.4">
      <c r="A349" s="34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7"/>
      <c r="P349" s="20"/>
      <c r="Q349" s="38"/>
      <c r="R349" s="32"/>
      <c r="S349" s="20"/>
      <c r="T349" s="35"/>
      <c r="U349" s="35"/>
      <c r="V349" s="3"/>
      <c r="W349" s="3"/>
      <c r="X349" s="36"/>
      <c r="Y349" s="3"/>
      <c r="Z349" s="3"/>
      <c r="AA349" s="35"/>
      <c r="AB349" s="35"/>
      <c r="AC349" s="35"/>
      <c r="AD349" s="4"/>
      <c r="AE349" s="4"/>
      <c r="AF349" s="4"/>
      <c r="AG349" s="4"/>
      <c r="AH349" s="4"/>
      <c r="AI349" s="4"/>
      <c r="AJ349" s="4"/>
      <c r="AK349" s="4"/>
      <c r="AL349" s="4"/>
    </row>
    <row r="350" spans="1:38" ht="14.4">
      <c r="A350" s="34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20"/>
      <c r="P350" s="20"/>
      <c r="Q350" s="20"/>
      <c r="R350" s="20"/>
      <c r="S350" s="20"/>
      <c r="T350" s="35"/>
      <c r="U350" s="35"/>
      <c r="V350" s="3"/>
      <c r="W350" s="3"/>
      <c r="X350" s="36"/>
      <c r="Y350" s="3"/>
      <c r="Z350" s="3"/>
      <c r="AA350" s="35"/>
      <c r="AB350" s="35"/>
      <c r="AC350" s="35"/>
      <c r="AD350" s="4"/>
      <c r="AE350" s="4"/>
      <c r="AF350" s="4"/>
      <c r="AG350" s="4"/>
      <c r="AH350" s="4"/>
      <c r="AI350" s="4"/>
      <c r="AJ350" s="4"/>
      <c r="AK350" s="4"/>
      <c r="AL350" s="4"/>
    </row>
    <row r="351" spans="1:38" ht="14.4">
      <c r="A351" s="34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2">
        <v>2552011</v>
      </c>
      <c r="P351" s="20"/>
      <c r="Q351" s="20"/>
      <c r="R351" s="31" t="e">
        <f>#REF!-R349</f>
        <v>#REF!</v>
      </c>
      <c r="S351" s="20"/>
      <c r="T351" s="35"/>
      <c r="U351" s="35"/>
      <c r="V351" s="3"/>
      <c r="W351" s="3"/>
      <c r="X351" s="36"/>
      <c r="Y351" s="3"/>
      <c r="Z351" s="3"/>
      <c r="AA351" s="35"/>
      <c r="AB351" s="35"/>
      <c r="AC351" s="35"/>
      <c r="AD351" s="4"/>
      <c r="AE351" s="4"/>
      <c r="AF351" s="4"/>
      <c r="AG351" s="4"/>
      <c r="AH351" s="4"/>
      <c r="AI351" s="4"/>
      <c r="AJ351" s="4"/>
      <c r="AK351" s="4"/>
      <c r="AL351" s="4"/>
    </row>
    <row r="352" spans="1:38" ht="14.4">
      <c r="A352" s="34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20"/>
      <c r="P352" s="20"/>
      <c r="Q352" s="20"/>
      <c r="R352" s="20"/>
      <c r="S352" s="20"/>
      <c r="T352" s="35"/>
      <c r="U352" s="35"/>
      <c r="V352" s="3"/>
      <c r="W352" s="3"/>
      <c r="X352" s="36"/>
      <c r="Y352" s="3"/>
      <c r="Z352" s="3"/>
      <c r="AA352" s="35"/>
      <c r="AB352" s="35"/>
      <c r="AC352" s="35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38" ht="14.4">
      <c r="A353" s="34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9">
        <f>O351-O347</f>
        <v>-525223</v>
      </c>
      <c r="P353" s="20"/>
      <c r="Q353" s="20"/>
      <c r="R353" s="20"/>
      <c r="S353" s="20"/>
      <c r="T353" s="35"/>
      <c r="U353" s="35"/>
      <c r="V353" s="3"/>
      <c r="W353" s="3"/>
      <c r="X353" s="36"/>
      <c r="Y353" s="3"/>
      <c r="Z353" s="3"/>
      <c r="AA353" s="35"/>
      <c r="AB353" s="35"/>
      <c r="AC353" s="35"/>
      <c r="AD353" s="4"/>
      <c r="AE353" s="4"/>
      <c r="AF353" s="4"/>
      <c r="AG353" s="4"/>
      <c r="AH353" s="4"/>
      <c r="AI353" s="4"/>
      <c r="AJ353" s="4"/>
      <c r="AK353" s="4"/>
      <c r="AL353" s="4"/>
    </row>
    <row r="354" spans="1:38" ht="14.4">
      <c r="A354" s="34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20"/>
      <c r="P354" s="20"/>
      <c r="Q354" s="20"/>
      <c r="R354" s="20"/>
      <c r="S354" s="20"/>
      <c r="T354" s="35"/>
      <c r="U354" s="35"/>
      <c r="V354" s="3"/>
      <c r="W354" s="3"/>
      <c r="X354" s="36"/>
      <c r="Y354" s="3"/>
      <c r="Z354" s="3"/>
      <c r="AA354" s="35"/>
      <c r="AB354" s="35"/>
      <c r="AC354" s="35"/>
      <c r="AD354" s="4"/>
      <c r="AE354" s="4"/>
      <c r="AF354" s="4"/>
      <c r="AG354" s="4"/>
      <c r="AH354" s="4"/>
      <c r="AI354" s="4"/>
      <c r="AJ354" s="4"/>
      <c r="AK354" s="4"/>
      <c r="AL354" s="4"/>
    </row>
    <row r="355" spans="1:38" ht="14.4">
      <c r="A355" s="34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20"/>
      <c r="P355" s="20"/>
      <c r="Q355" s="20"/>
      <c r="R355" s="20"/>
      <c r="S355" s="20"/>
      <c r="T355" s="35"/>
      <c r="U355" s="35"/>
      <c r="V355" s="3"/>
      <c r="W355" s="3"/>
      <c r="X355" s="36"/>
      <c r="Y355" s="3"/>
      <c r="Z355" s="3"/>
      <c r="AA355" s="35"/>
      <c r="AB355" s="35"/>
      <c r="AC355" s="35"/>
      <c r="AD355" s="4"/>
      <c r="AE355" s="4"/>
      <c r="AF355" s="4"/>
      <c r="AG355" s="4"/>
      <c r="AH355" s="4"/>
      <c r="AI355" s="4"/>
      <c r="AJ355" s="4"/>
      <c r="AK355" s="4"/>
      <c r="AL355" s="4"/>
    </row>
    <row r="356" spans="1:38" ht="14.4">
      <c r="A356" s="34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8" t="s">
        <v>357</v>
      </c>
      <c r="P356" s="20"/>
      <c r="Q356" s="20"/>
      <c r="R356" s="20"/>
      <c r="S356" s="20"/>
      <c r="T356" s="35"/>
      <c r="U356" s="35"/>
      <c r="V356" s="3"/>
      <c r="W356" s="3"/>
      <c r="X356" s="36"/>
      <c r="Y356" s="3"/>
      <c r="Z356" s="3"/>
      <c r="AA356" s="35"/>
      <c r="AB356" s="35"/>
      <c r="AC356" s="35"/>
      <c r="AD356" s="4"/>
      <c r="AE356" s="4"/>
      <c r="AF356" s="4"/>
      <c r="AG356" s="4"/>
      <c r="AH356" s="4"/>
      <c r="AI356" s="4"/>
      <c r="AJ356" s="4"/>
      <c r="AK356" s="4"/>
      <c r="AL356" s="4"/>
    </row>
    <row r="357" spans="1:38" ht="14.4">
      <c r="A357" s="3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20"/>
      <c r="P357" s="20"/>
      <c r="Q357" s="20"/>
      <c r="R357" s="20"/>
      <c r="S357" s="20"/>
      <c r="T357" s="35"/>
      <c r="U357" s="35"/>
      <c r="V357" s="3"/>
      <c r="W357" s="3"/>
      <c r="X357" s="36"/>
      <c r="Y357" s="3"/>
      <c r="Z357" s="3"/>
      <c r="AA357" s="35"/>
      <c r="AB357" s="35"/>
      <c r="AC357" s="35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1:38" ht="14.4">
      <c r="A358" s="34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20"/>
      <c r="P358" s="20"/>
      <c r="Q358" s="20"/>
      <c r="R358" s="20"/>
      <c r="S358" s="20"/>
      <c r="T358" s="35"/>
      <c r="U358" s="35"/>
      <c r="V358" s="3"/>
      <c r="W358" s="3"/>
      <c r="X358" s="36"/>
      <c r="Y358" s="3"/>
      <c r="Z358" s="3"/>
      <c r="AA358" s="35"/>
      <c r="AB358" s="35"/>
      <c r="AC358" s="35"/>
      <c r="AD358" s="4"/>
      <c r="AE358" s="4"/>
      <c r="AF358" s="4"/>
      <c r="AG358" s="4"/>
      <c r="AH358" s="4"/>
      <c r="AI358" s="4"/>
      <c r="AJ358" s="4"/>
      <c r="AK358" s="4"/>
      <c r="AL358" s="4"/>
    </row>
    <row r="359" spans="1:38" ht="14.4">
      <c r="A359" s="34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20"/>
      <c r="P359" s="20"/>
      <c r="Q359" s="20"/>
      <c r="R359" s="20"/>
      <c r="S359" s="20"/>
      <c r="T359" s="35"/>
      <c r="U359" s="35"/>
      <c r="V359" s="3"/>
      <c r="W359" s="3"/>
      <c r="X359" s="36"/>
      <c r="Y359" s="3"/>
      <c r="Z359" s="3"/>
      <c r="AA359" s="35"/>
      <c r="AB359" s="35"/>
      <c r="AC359" s="35"/>
      <c r="AD359" s="4"/>
      <c r="AE359" s="4"/>
      <c r="AF359" s="4"/>
      <c r="AG359" s="4"/>
      <c r="AH359" s="4"/>
      <c r="AI359" s="4"/>
      <c r="AJ359" s="4"/>
      <c r="AK359" s="4"/>
      <c r="AL359" s="4"/>
    </row>
    <row r="360" spans="1:38" ht="14.4">
      <c r="A360" s="34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20"/>
      <c r="P360" s="20"/>
      <c r="Q360" s="20"/>
      <c r="R360" s="20"/>
      <c r="S360" s="20"/>
      <c r="T360" s="35"/>
      <c r="U360" s="35"/>
      <c r="V360" s="3"/>
      <c r="W360" s="3"/>
      <c r="X360" s="36"/>
      <c r="Y360" s="3"/>
      <c r="Z360" s="3"/>
      <c r="AA360" s="35"/>
      <c r="AB360" s="35"/>
      <c r="AC360" s="35"/>
      <c r="AD360" s="4"/>
      <c r="AE360" s="4"/>
      <c r="AF360" s="4"/>
      <c r="AG360" s="4"/>
      <c r="AH360" s="4"/>
      <c r="AI360" s="4"/>
      <c r="AJ360" s="4"/>
      <c r="AK360" s="4"/>
      <c r="AL360" s="4"/>
    </row>
    <row r="361" spans="1:38" ht="14.4">
      <c r="A361" s="34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20"/>
      <c r="P361" s="20"/>
      <c r="Q361" s="20"/>
      <c r="R361" s="20"/>
      <c r="S361" s="20"/>
      <c r="T361" s="35"/>
      <c r="U361" s="35"/>
      <c r="V361" s="3"/>
      <c r="W361" s="3"/>
      <c r="X361" s="36"/>
      <c r="Y361" s="3"/>
      <c r="Z361" s="3"/>
      <c r="AA361" s="35"/>
      <c r="AB361" s="35"/>
      <c r="AC361" s="35"/>
      <c r="AD361" s="4"/>
      <c r="AE361" s="4"/>
      <c r="AF361" s="4"/>
      <c r="AG361" s="4"/>
      <c r="AH361" s="4"/>
      <c r="AI361" s="4"/>
      <c r="AJ361" s="4"/>
      <c r="AK361" s="4"/>
      <c r="AL361" s="4"/>
    </row>
    <row r="362" spans="1:38" ht="14.4">
      <c r="A362" s="34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20"/>
      <c r="P362" s="20"/>
      <c r="Q362" s="20"/>
      <c r="R362" s="20"/>
      <c r="S362" s="20"/>
      <c r="T362" s="35"/>
      <c r="U362" s="35"/>
      <c r="V362" s="3"/>
      <c r="W362" s="3"/>
      <c r="X362" s="36"/>
      <c r="Y362" s="3"/>
      <c r="Z362" s="3"/>
      <c r="AA362" s="35"/>
      <c r="AB362" s="35"/>
      <c r="AC362" s="35"/>
      <c r="AD362" s="4"/>
      <c r="AE362" s="4"/>
      <c r="AF362" s="4"/>
      <c r="AG362" s="4"/>
      <c r="AH362" s="4"/>
      <c r="AI362" s="4"/>
      <c r="AJ362" s="4"/>
      <c r="AK362" s="4"/>
      <c r="AL362" s="4"/>
    </row>
    <row r="363" spans="1:38" ht="14.4">
      <c r="A363" s="34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20"/>
      <c r="P363" s="20"/>
      <c r="Q363" s="20"/>
      <c r="R363" s="20"/>
      <c r="S363" s="20"/>
      <c r="T363" s="35"/>
      <c r="U363" s="35"/>
      <c r="V363" s="3"/>
      <c r="W363" s="3"/>
      <c r="X363" s="36"/>
      <c r="Y363" s="3"/>
      <c r="Z363" s="3"/>
      <c r="AA363" s="35"/>
      <c r="AB363" s="35"/>
      <c r="AC363" s="35"/>
      <c r="AD363" s="4"/>
      <c r="AE363" s="4"/>
      <c r="AF363" s="4"/>
      <c r="AG363" s="4"/>
      <c r="AH363" s="4"/>
      <c r="AI363" s="4"/>
      <c r="AJ363" s="4"/>
      <c r="AK363" s="4"/>
      <c r="AL363" s="4"/>
    </row>
    <row r="364" spans="1:38" ht="14.4">
      <c r="A364" s="34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20"/>
      <c r="P364" s="20"/>
      <c r="Q364" s="20"/>
      <c r="R364" s="20"/>
      <c r="S364" s="20"/>
      <c r="T364" s="35"/>
      <c r="U364" s="35"/>
      <c r="V364" s="3"/>
      <c r="W364" s="3"/>
      <c r="X364" s="36"/>
      <c r="Y364" s="3"/>
      <c r="Z364" s="3"/>
      <c r="AA364" s="35"/>
      <c r="AB364" s="35"/>
      <c r="AC364" s="35"/>
      <c r="AD364" s="4"/>
      <c r="AE364" s="4"/>
      <c r="AF364" s="4"/>
      <c r="AG364" s="4"/>
      <c r="AH364" s="4"/>
      <c r="AI364" s="4"/>
      <c r="AJ364" s="4"/>
      <c r="AK364" s="4"/>
      <c r="AL364" s="4"/>
    </row>
    <row r="365" spans="1:38" ht="14.4">
      <c r="A365" s="34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20"/>
      <c r="P365" s="20"/>
      <c r="Q365" s="20"/>
      <c r="R365" s="20"/>
      <c r="S365" s="20"/>
      <c r="T365" s="35"/>
      <c r="U365" s="35"/>
      <c r="V365" s="3"/>
      <c r="W365" s="3"/>
      <c r="X365" s="36"/>
      <c r="Y365" s="3"/>
      <c r="Z365" s="3"/>
      <c r="AA365" s="35"/>
      <c r="AB365" s="35"/>
      <c r="AC365" s="35"/>
      <c r="AD365" s="4"/>
      <c r="AE365" s="4"/>
      <c r="AF365" s="4"/>
      <c r="AG365" s="4"/>
      <c r="AH365" s="4"/>
      <c r="AI365" s="4"/>
      <c r="AJ365" s="4"/>
      <c r="AK365" s="4"/>
      <c r="AL365" s="4"/>
    </row>
    <row r="366" spans="1:38" ht="14.4">
      <c r="A366" s="34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20"/>
      <c r="P366" s="20"/>
      <c r="Q366" s="20"/>
      <c r="R366" s="20"/>
      <c r="S366" s="20"/>
      <c r="T366" s="35"/>
      <c r="U366" s="35"/>
      <c r="V366" s="3"/>
      <c r="W366" s="3"/>
      <c r="X366" s="36"/>
      <c r="Y366" s="3"/>
      <c r="Z366" s="3"/>
      <c r="AA366" s="35"/>
      <c r="AB366" s="35"/>
      <c r="AC366" s="35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38" ht="14.4">
      <c r="A367" s="34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20"/>
      <c r="P367" s="20"/>
      <c r="Q367" s="20"/>
      <c r="R367" s="20"/>
      <c r="S367" s="20"/>
      <c r="T367" s="35"/>
      <c r="U367" s="35"/>
      <c r="V367" s="3"/>
      <c r="W367" s="3"/>
      <c r="X367" s="36"/>
      <c r="Y367" s="3"/>
      <c r="Z367" s="3"/>
      <c r="AA367" s="35"/>
      <c r="AB367" s="35"/>
      <c r="AC367" s="35"/>
      <c r="AD367" s="4"/>
      <c r="AE367" s="4"/>
      <c r="AF367" s="4"/>
      <c r="AG367" s="4"/>
      <c r="AH367" s="4"/>
      <c r="AI367" s="4"/>
      <c r="AJ367" s="4"/>
      <c r="AK367" s="4"/>
      <c r="AL367" s="4"/>
    </row>
    <row r="368" spans="1:38" ht="14.4">
      <c r="A368" s="34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20"/>
      <c r="P368" s="20"/>
      <c r="Q368" s="20"/>
      <c r="R368" s="20"/>
      <c r="S368" s="20"/>
      <c r="T368" s="35"/>
      <c r="U368" s="35"/>
      <c r="V368" s="3"/>
      <c r="W368" s="3"/>
      <c r="X368" s="36"/>
      <c r="Y368" s="3"/>
      <c r="Z368" s="3"/>
      <c r="AA368" s="35"/>
      <c r="AB368" s="35"/>
      <c r="AC368" s="35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 ht="14.4">
      <c r="A369" s="34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20"/>
      <c r="P369" s="20"/>
      <c r="Q369" s="20"/>
      <c r="R369" s="20"/>
      <c r="S369" s="20"/>
      <c r="T369" s="35"/>
      <c r="U369" s="35"/>
      <c r="V369" s="3"/>
      <c r="W369" s="3"/>
      <c r="X369" s="36"/>
      <c r="Y369" s="3"/>
      <c r="Z369" s="3"/>
      <c r="AA369" s="35"/>
      <c r="AB369" s="35"/>
      <c r="AC369" s="35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38" ht="14.4">
      <c r="A370" s="34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20"/>
      <c r="P370" s="20"/>
      <c r="Q370" s="20"/>
      <c r="R370" s="20"/>
      <c r="S370" s="20"/>
      <c r="T370" s="35"/>
      <c r="U370" s="35"/>
      <c r="V370" s="3"/>
      <c r="W370" s="3"/>
      <c r="X370" s="36"/>
      <c r="Y370" s="3"/>
      <c r="Z370" s="3"/>
      <c r="AA370" s="35"/>
      <c r="AB370" s="35"/>
      <c r="AC370" s="35"/>
      <c r="AD370" s="4"/>
      <c r="AE370" s="4"/>
      <c r="AF370" s="4"/>
      <c r="AG370" s="4"/>
      <c r="AH370" s="4"/>
      <c r="AI370" s="4"/>
      <c r="AJ370" s="4"/>
      <c r="AK370" s="4"/>
      <c r="AL370" s="4"/>
    </row>
    <row r="371" spans="1:38" ht="14.4">
      <c r="A371" s="34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20"/>
      <c r="P371" s="20"/>
      <c r="Q371" s="20"/>
      <c r="R371" s="20"/>
      <c r="S371" s="20"/>
      <c r="T371" s="35"/>
      <c r="U371" s="35"/>
      <c r="V371" s="3"/>
      <c r="W371" s="3"/>
      <c r="X371" s="36"/>
      <c r="Y371" s="3"/>
      <c r="Z371" s="3"/>
      <c r="AA371" s="35"/>
      <c r="AB371" s="35"/>
      <c r="AC371" s="35"/>
      <c r="AD371" s="4"/>
      <c r="AE371" s="4"/>
      <c r="AF371" s="4"/>
      <c r="AG371" s="4"/>
      <c r="AH371" s="4"/>
      <c r="AI371" s="4"/>
      <c r="AJ371" s="4"/>
      <c r="AK371" s="4"/>
      <c r="AL371" s="4"/>
    </row>
    <row r="372" spans="1:38" ht="14.4">
      <c r="A372" s="34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20"/>
      <c r="P372" s="20"/>
      <c r="Q372" s="20"/>
      <c r="R372" s="20"/>
      <c r="S372" s="20"/>
      <c r="T372" s="35"/>
      <c r="U372" s="35"/>
      <c r="V372" s="3"/>
      <c r="W372" s="3"/>
      <c r="X372" s="36"/>
      <c r="Y372" s="3"/>
      <c r="Z372" s="3"/>
      <c r="AA372" s="35"/>
      <c r="AB372" s="35"/>
      <c r="AC372" s="35"/>
      <c r="AD372" s="4"/>
      <c r="AE372" s="4"/>
      <c r="AF372" s="4"/>
      <c r="AG372" s="4"/>
      <c r="AH372" s="4"/>
      <c r="AI372" s="4"/>
      <c r="AJ372" s="4"/>
      <c r="AK372" s="4"/>
      <c r="AL372" s="4"/>
    </row>
    <row r="373" spans="1:38" ht="14.4">
      <c r="A373" s="34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20"/>
      <c r="P373" s="20"/>
      <c r="Q373" s="20"/>
      <c r="R373" s="20"/>
      <c r="S373" s="20"/>
      <c r="T373" s="35"/>
      <c r="U373" s="35"/>
      <c r="V373" s="3"/>
      <c r="W373" s="3"/>
      <c r="X373" s="36"/>
      <c r="Y373" s="3"/>
      <c r="Z373" s="3"/>
      <c r="AA373" s="35"/>
      <c r="AB373" s="35"/>
      <c r="AC373" s="35"/>
      <c r="AD373" s="4"/>
      <c r="AE373" s="4"/>
      <c r="AF373" s="4"/>
      <c r="AG373" s="4"/>
      <c r="AH373" s="4"/>
      <c r="AI373" s="4"/>
      <c r="AJ373" s="4"/>
      <c r="AK373" s="4"/>
      <c r="AL373" s="4"/>
    </row>
    <row r="374" spans="1:38" ht="14.4">
      <c r="A374" s="34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20"/>
      <c r="P374" s="20"/>
      <c r="Q374" s="20"/>
      <c r="R374" s="20"/>
      <c r="S374" s="20"/>
      <c r="T374" s="35"/>
      <c r="U374" s="35"/>
      <c r="V374" s="3"/>
      <c r="W374" s="3"/>
      <c r="X374" s="36"/>
      <c r="Y374" s="3"/>
      <c r="Z374" s="3"/>
      <c r="AA374" s="35"/>
      <c r="AB374" s="35"/>
      <c r="AC374" s="35"/>
      <c r="AD374" s="4"/>
      <c r="AE374" s="4"/>
      <c r="AF374" s="4"/>
      <c r="AG374" s="4"/>
      <c r="AH374" s="4"/>
      <c r="AI374" s="4"/>
      <c r="AJ374" s="4"/>
      <c r="AK374" s="4"/>
      <c r="AL374" s="4"/>
    </row>
    <row r="375" spans="1:38" ht="14.4">
      <c r="A375" s="34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20"/>
      <c r="P375" s="20"/>
      <c r="Q375" s="20"/>
      <c r="R375" s="20"/>
      <c r="S375" s="20"/>
      <c r="T375" s="35"/>
      <c r="U375" s="35"/>
      <c r="V375" s="3"/>
      <c r="W375" s="3"/>
      <c r="X375" s="36"/>
      <c r="Y375" s="3"/>
      <c r="Z375" s="3"/>
      <c r="AA375" s="35"/>
      <c r="AB375" s="35"/>
      <c r="AC375" s="35"/>
      <c r="AD375" s="4"/>
      <c r="AE375" s="4"/>
      <c r="AF375" s="4"/>
      <c r="AG375" s="4"/>
      <c r="AH375" s="4"/>
      <c r="AI375" s="4"/>
      <c r="AJ375" s="4"/>
      <c r="AK375" s="4"/>
      <c r="AL375" s="4"/>
    </row>
    <row r="376" spans="1:38" ht="14.4">
      <c r="A376" s="34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20"/>
      <c r="P376" s="20"/>
      <c r="Q376" s="20"/>
      <c r="R376" s="20"/>
      <c r="S376" s="20"/>
      <c r="T376" s="35"/>
      <c r="U376" s="35"/>
      <c r="V376" s="3"/>
      <c r="W376" s="3"/>
      <c r="X376" s="36"/>
      <c r="Y376" s="3"/>
      <c r="Z376" s="3"/>
      <c r="AA376" s="35"/>
      <c r="AB376" s="35"/>
      <c r="AC376" s="35"/>
      <c r="AD376" s="4"/>
      <c r="AE376" s="4"/>
      <c r="AF376" s="4"/>
      <c r="AG376" s="4"/>
      <c r="AH376" s="4"/>
      <c r="AI376" s="4"/>
      <c r="AJ376" s="4"/>
      <c r="AK376" s="4"/>
      <c r="AL376" s="4"/>
    </row>
    <row r="377" spans="1:38" ht="14.4">
      <c r="A377" s="34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20"/>
      <c r="P377" s="20"/>
      <c r="Q377" s="20"/>
      <c r="R377" s="20"/>
      <c r="S377" s="20"/>
      <c r="T377" s="35"/>
      <c r="U377" s="35"/>
      <c r="V377" s="3"/>
      <c r="W377" s="3"/>
      <c r="X377" s="36"/>
      <c r="Y377" s="3"/>
      <c r="Z377" s="3"/>
      <c r="AA377" s="35"/>
      <c r="AB377" s="35"/>
      <c r="AC377" s="35"/>
      <c r="AD377" s="4"/>
      <c r="AE377" s="4"/>
      <c r="AF377" s="4"/>
      <c r="AG377" s="4"/>
      <c r="AH377" s="4"/>
      <c r="AI377" s="4"/>
      <c r="AJ377" s="4"/>
      <c r="AK377" s="4"/>
      <c r="AL377" s="4"/>
    </row>
    <row r="378" spans="1:38" ht="14.4">
      <c r="A378" s="34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20"/>
      <c r="P378" s="20"/>
      <c r="Q378" s="20"/>
      <c r="R378" s="20"/>
      <c r="S378" s="20"/>
      <c r="T378" s="35"/>
      <c r="U378" s="35"/>
      <c r="V378" s="3"/>
      <c r="W378" s="3"/>
      <c r="X378" s="36"/>
      <c r="Y378" s="3"/>
      <c r="Z378" s="3"/>
      <c r="AA378" s="35"/>
      <c r="AB378" s="35"/>
      <c r="AC378" s="35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38" ht="14.4">
      <c r="A379" s="34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20"/>
      <c r="P379" s="20"/>
      <c r="Q379" s="20"/>
      <c r="R379" s="20"/>
      <c r="S379" s="20"/>
      <c r="T379" s="35"/>
      <c r="U379" s="35"/>
      <c r="V379" s="3"/>
      <c r="W379" s="3"/>
      <c r="X379" s="36"/>
      <c r="Y379" s="3"/>
      <c r="Z379" s="3"/>
      <c r="AA379" s="35"/>
      <c r="AB379" s="35"/>
      <c r="AC379" s="35"/>
      <c r="AD379" s="4"/>
      <c r="AE379" s="4"/>
      <c r="AF379" s="4"/>
      <c r="AG379" s="4"/>
      <c r="AH379" s="4"/>
      <c r="AI379" s="4"/>
      <c r="AJ379" s="4"/>
      <c r="AK379" s="4"/>
      <c r="AL379" s="4"/>
    </row>
    <row r="380" spans="1:38" ht="14.4">
      <c r="A380" s="34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20"/>
      <c r="P380" s="20"/>
      <c r="Q380" s="20"/>
      <c r="R380" s="20"/>
      <c r="S380" s="20"/>
      <c r="T380" s="35"/>
      <c r="U380" s="35"/>
      <c r="V380" s="3"/>
      <c r="W380" s="3"/>
      <c r="X380" s="36"/>
      <c r="Y380" s="3"/>
      <c r="Z380" s="3"/>
      <c r="AA380" s="35"/>
      <c r="AB380" s="35"/>
      <c r="AC380" s="35"/>
      <c r="AD380" s="4"/>
      <c r="AE380" s="4"/>
      <c r="AF380" s="4"/>
      <c r="AG380" s="4"/>
      <c r="AH380" s="4"/>
      <c r="AI380" s="4"/>
      <c r="AJ380" s="4"/>
      <c r="AK380" s="4"/>
      <c r="AL380" s="4"/>
    </row>
    <row r="381" spans="1:38" ht="14.4">
      <c r="A381" s="34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20"/>
      <c r="P381" s="20"/>
      <c r="Q381" s="20"/>
      <c r="R381" s="20"/>
      <c r="S381" s="20"/>
      <c r="T381" s="35"/>
      <c r="U381" s="35"/>
      <c r="V381" s="3"/>
      <c r="W381" s="3"/>
      <c r="X381" s="36"/>
      <c r="Y381" s="3"/>
      <c r="Z381" s="3"/>
      <c r="AA381" s="35"/>
      <c r="AB381" s="35"/>
      <c r="AC381" s="35"/>
      <c r="AD381" s="4"/>
      <c r="AE381" s="4"/>
      <c r="AF381" s="4"/>
      <c r="AG381" s="4"/>
      <c r="AH381" s="4"/>
      <c r="AI381" s="4"/>
      <c r="AJ381" s="4"/>
      <c r="AK381" s="4"/>
      <c r="AL381" s="4"/>
    </row>
    <row r="382" spans="1:38" ht="14.4">
      <c r="A382" s="34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20"/>
      <c r="P382" s="20"/>
      <c r="Q382" s="20"/>
      <c r="R382" s="20"/>
      <c r="S382" s="20"/>
      <c r="T382" s="35"/>
      <c r="U382" s="35"/>
      <c r="V382" s="3"/>
      <c r="W382" s="3"/>
      <c r="X382" s="36"/>
      <c r="Y382" s="3"/>
      <c r="Z382" s="3"/>
      <c r="AA382" s="35"/>
      <c r="AB382" s="35"/>
      <c r="AC382" s="35"/>
      <c r="AD382" s="4"/>
      <c r="AE382" s="4"/>
      <c r="AF382" s="4"/>
      <c r="AG382" s="4"/>
      <c r="AH382" s="4"/>
      <c r="AI382" s="4"/>
      <c r="AJ382" s="4"/>
      <c r="AK382" s="4"/>
      <c r="AL382" s="4"/>
    </row>
    <row r="383" spans="1:38" ht="14.4">
      <c r="A383" s="34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20"/>
      <c r="P383" s="20"/>
      <c r="Q383" s="20"/>
      <c r="R383" s="20"/>
      <c r="S383" s="20"/>
      <c r="T383" s="35"/>
      <c r="U383" s="35"/>
      <c r="V383" s="3"/>
      <c r="W383" s="3"/>
      <c r="X383" s="36"/>
      <c r="Y383" s="3"/>
      <c r="Z383" s="3"/>
      <c r="AA383" s="35"/>
      <c r="AB383" s="35"/>
      <c r="AC383" s="35"/>
      <c r="AD383" s="4"/>
      <c r="AE383" s="4"/>
      <c r="AF383" s="4"/>
      <c r="AG383" s="4"/>
      <c r="AH383" s="4"/>
      <c r="AI383" s="4"/>
      <c r="AJ383" s="4"/>
      <c r="AK383" s="4"/>
      <c r="AL383" s="4"/>
    </row>
    <row r="384" spans="1:38" ht="14.4">
      <c r="A384" s="34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20"/>
      <c r="P384" s="20"/>
      <c r="Q384" s="20"/>
      <c r="R384" s="20"/>
      <c r="S384" s="20"/>
      <c r="T384" s="35"/>
      <c r="U384" s="35"/>
      <c r="V384" s="3"/>
      <c r="W384" s="3"/>
      <c r="X384" s="36"/>
      <c r="Y384" s="3"/>
      <c r="Z384" s="3"/>
      <c r="AA384" s="35"/>
      <c r="AB384" s="35"/>
      <c r="AC384" s="35"/>
      <c r="AD384" s="4"/>
      <c r="AE384" s="4"/>
      <c r="AF384" s="4"/>
      <c r="AG384" s="4"/>
      <c r="AH384" s="4"/>
      <c r="AI384" s="4"/>
      <c r="AJ384" s="4"/>
      <c r="AK384" s="4"/>
      <c r="AL384" s="4"/>
    </row>
    <row r="385" spans="1:38" ht="14.4">
      <c r="A385" s="34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20"/>
      <c r="P385" s="20"/>
      <c r="Q385" s="20"/>
      <c r="R385" s="20"/>
      <c r="S385" s="20"/>
      <c r="T385" s="35"/>
      <c r="U385" s="35"/>
      <c r="V385" s="3"/>
      <c r="W385" s="3"/>
      <c r="X385" s="36"/>
      <c r="Y385" s="3"/>
      <c r="Z385" s="3"/>
      <c r="AA385" s="35"/>
      <c r="AB385" s="35"/>
      <c r="AC385" s="35"/>
      <c r="AD385" s="4"/>
      <c r="AE385" s="4"/>
      <c r="AF385" s="4"/>
      <c r="AG385" s="4"/>
      <c r="AH385" s="4"/>
      <c r="AI385" s="4"/>
      <c r="AJ385" s="4"/>
      <c r="AK385" s="4"/>
      <c r="AL385" s="4"/>
    </row>
    <row r="386" spans="1:38" ht="14.4">
      <c r="A386" s="34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20"/>
      <c r="P386" s="20"/>
      <c r="Q386" s="20"/>
      <c r="R386" s="20"/>
      <c r="S386" s="20"/>
      <c r="T386" s="35"/>
      <c r="U386" s="35"/>
      <c r="V386" s="3"/>
      <c r="W386" s="3"/>
      <c r="X386" s="36"/>
      <c r="Y386" s="3"/>
      <c r="Z386" s="3"/>
      <c r="AA386" s="35"/>
      <c r="AB386" s="35"/>
      <c r="AC386" s="35"/>
      <c r="AD386" s="4"/>
      <c r="AE386" s="4"/>
      <c r="AF386" s="4"/>
      <c r="AG386" s="4"/>
      <c r="AH386" s="4"/>
      <c r="AI386" s="4"/>
      <c r="AJ386" s="4"/>
      <c r="AK386" s="4"/>
      <c r="AL386" s="4"/>
    </row>
    <row r="387" spans="1:38" ht="14.4">
      <c r="A387" s="34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20"/>
      <c r="P387" s="20"/>
      <c r="Q387" s="20"/>
      <c r="R387" s="20"/>
      <c r="S387" s="20"/>
      <c r="T387" s="35"/>
      <c r="U387" s="35"/>
      <c r="V387" s="3"/>
      <c r="W387" s="3"/>
      <c r="X387" s="36"/>
      <c r="Y387" s="3"/>
      <c r="Z387" s="3"/>
      <c r="AA387" s="35"/>
      <c r="AB387" s="35"/>
      <c r="AC387" s="35"/>
      <c r="AD387" s="4"/>
      <c r="AE387" s="4"/>
      <c r="AF387" s="4"/>
      <c r="AG387" s="4"/>
      <c r="AH387" s="4"/>
      <c r="AI387" s="4"/>
      <c r="AJ387" s="4"/>
      <c r="AK387" s="4"/>
      <c r="AL387" s="4"/>
    </row>
    <row r="388" spans="1:38" ht="14.4">
      <c r="A388" s="34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20"/>
      <c r="P388" s="20"/>
      <c r="Q388" s="20"/>
      <c r="R388" s="20"/>
      <c r="S388" s="20"/>
      <c r="T388" s="35"/>
      <c r="U388" s="35"/>
      <c r="V388" s="3"/>
      <c r="W388" s="3"/>
      <c r="X388" s="36"/>
      <c r="Y388" s="3"/>
      <c r="Z388" s="3"/>
      <c r="AA388" s="35"/>
      <c r="AB388" s="35"/>
      <c r="AC388" s="35"/>
      <c r="AD388" s="4"/>
      <c r="AE388" s="4"/>
      <c r="AF388" s="4"/>
      <c r="AG388" s="4"/>
      <c r="AH388" s="4"/>
      <c r="AI388" s="4"/>
      <c r="AJ388" s="4"/>
      <c r="AK388" s="4"/>
      <c r="AL388" s="4"/>
    </row>
    <row r="389" spans="1:38" ht="14.4">
      <c r="A389" s="34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20"/>
      <c r="P389" s="20"/>
      <c r="Q389" s="20"/>
      <c r="R389" s="20"/>
      <c r="S389" s="20"/>
      <c r="T389" s="35"/>
      <c r="U389" s="35"/>
      <c r="V389" s="3"/>
      <c r="W389" s="3"/>
      <c r="X389" s="36"/>
      <c r="Y389" s="3"/>
      <c r="Z389" s="3"/>
      <c r="AA389" s="35"/>
      <c r="AB389" s="35"/>
      <c r="AC389" s="35"/>
      <c r="AD389" s="4"/>
      <c r="AE389" s="4"/>
      <c r="AF389" s="4"/>
      <c r="AG389" s="4"/>
      <c r="AH389" s="4"/>
      <c r="AI389" s="4"/>
      <c r="AJ389" s="4"/>
      <c r="AK389" s="4"/>
      <c r="AL389" s="4"/>
    </row>
    <row r="390" spans="1:38" ht="14.4">
      <c r="A390" s="34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20"/>
      <c r="P390" s="20"/>
      <c r="Q390" s="20"/>
      <c r="R390" s="20"/>
      <c r="S390" s="20"/>
      <c r="T390" s="35"/>
      <c r="U390" s="35"/>
      <c r="V390" s="3"/>
      <c r="W390" s="3"/>
      <c r="X390" s="36"/>
      <c r="Y390" s="3"/>
      <c r="Z390" s="3"/>
      <c r="AA390" s="35"/>
      <c r="AB390" s="35"/>
      <c r="AC390" s="35"/>
      <c r="AD390" s="4"/>
      <c r="AE390" s="4"/>
      <c r="AF390" s="4"/>
      <c r="AG390" s="4"/>
      <c r="AH390" s="4"/>
      <c r="AI390" s="4"/>
      <c r="AJ390" s="4"/>
      <c r="AK390" s="4"/>
      <c r="AL390" s="4"/>
    </row>
    <row r="391" spans="1:38" ht="14.4">
      <c r="A391" s="34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20"/>
      <c r="P391" s="20"/>
      <c r="Q391" s="20"/>
      <c r="R391" s="20"/>
      <c r="S391" s="20"/>
      <c r="T391" s="35"/>
      <c r="U391" s="35"/>
      <c r="V391" s="3"/>
      <c r="W391" s="3"/>
      <c r="X391" s="36"/>
      <c r="Y391" s="3"/>
      <c r="Z391" s="3"/>
      <c r="AA391" s="35"/>
      <c r="AB391" s="35"/>
      <c r="AC391" s="35"/>
      <c r="AD391" s="4"/>
      <c r="AE391" s="4"/>
      <c r="AF391" s="4"/>
      <c r="AG391" s="4"/>
      <c r="AH391" s="4"/>
      <c r="AI391" s="4"/>
      <c r="AJ391" s="4"/>
      <c r="AK391" s="4"/>
      <c r="AL391" s="4"/>
    </row>
    <row r="392" spans="1:38" ht="14.4">
      <c r="A392" s="34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20"/>
      <c r="P392" s="20"/>
      <c r="Q392" s="20"/>
      <c r="R392" s="20"/>
      <c r="S392" s="20"/>
      <c r="T392" s="35"/>
      <c r="U392" s="35"/>
      <c r="V392" s="3"/>
      <c r="W392" s="3"/>
      <c r="X392" s="36"/>
      <c r="Y392" s="3"/>
      <c r="Z392" s="3"/>
      <c r="AA392" s="35"/>
      <c r="AB392" s="35"/>
      <c r="AC392" s="35"/>
      <c r="AD392" s="4"/>
      <c r="AE392" s="4"/>
      <c r="AF392" s="4"/>
      <c r="AG392" s="4"/>
      <c r="AH392" s="4"/>
      <c r="AI392" s="4"/>
      <c r="AJ392" s="4"/>
      <c r="AK392" s="4"/>
      <c r="AL392" s="4"/>
    </row>
    <row r="393" spans="1:38" ht="14.4">
      <c r="A393" s="34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20"/>
      <c r="P393" s="20"/>
      <c r="Q393" s="20"/>
      <c r="R393" s="20"/>
      <c r="S393" s="20"/>
      <c r="T393" s="35"/>
      <c r="U393" s="35"/>
      <c r="V393" s="3"/>
      <c r="W393" s="3"/>
      <c r="X393" s="36"/>
      <c r="Y393" s="3"/>
      <c r="Z393" s="3"/>
      <c r="AA393" s="35"/>
      <c r="AB393" s="35"/>
      <c r="AC393" s="35"/>
      <c r="AD393" s="4"/>
      <c r="AE393" s="4"/>
      <c r="AF393" s="4"/>
      <c r="AG393" s="4"/>
      <c r="AH393" s="4"/>
      <c r="AI393" s="4"/>
      <c r="AJ393" s="4"/>
      <c r="AK393" s="4"/>
      <c r="AL393" s="4"/>
    </row>
    <row r="394" spans="1:38" ht="14.4">
      <c r="A394" s="34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20"/>
      <c r="P394" s="20"/>
      <c r="Q394" s="20"/>
      <c r="R394" s="20"/>
      <c r="S394" s="20"/>
      <c r="T394" s="35"/>
      <c r="U394" s="35"/>
      <c r="V394" s="3"/>
      <c r="W394" s="3"/>
      <c r="X394" s="36"/>
      <c r="Y394" s="3"/>
      <c r="Z394" s="3"/>
      <c r="AA394" s="35"/>
      <c r="AB394" s="35"/>
      <c r="AC394" s="35"/>
      <c r="AD394" s="4"/>
      <c r="AE394" s="4"/>
      <c r="AF394" s="4"/>
      <c r="AG394" s="4"/>
      <c r="AH394" s="4"/>
      <c r="AI394" s="4"/>
      <c r="AJ394" s="4"/>
      <c r="AK394" s="4"/>
      <c r="AL394" s="4"/>
    </row>
    <row r="395" spans="1:38" ht="14.4">
      <c r="A395" s="34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20"/>
      <c r="P395" s="20"/>
      <c r="Q395" s="20"/>
      <c r="R395" s="20"/>
      <c r="S395" s="20"/>
      <c r="T395" s="35"/>
      <c r="U395" s="35"/>
      <c r="V395" s="3"/>
      <c r="W395" s="3"/>
      <c r="X395" s="36"/>
      <c r="Y395" s="3"/>
      <c r="Z395" s="3"/>
      <c r="AA395" s="35"/>
      <c r="AB395" s="35"/>
      <c r="AC395" s="35"/>
      <c r="AD395" s="4"/>
      <c r="AE395" s="4"/>
      <c r="AF395" s="4"/>
      <c r="AG395" s="4"/>
      <c r="AH395" s="4"/>
      <c r="AI395" s="4"/>
      <c r="AJ395" s="4"/>
      <c r="AK395" s="4"/>
      <c r="AL395" s="4"/>
    </row>
    <row r="396" spans="1:38" ht="14.4">
      <c r="A396" s="34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20"/>
      <c r="P396" s="20"/>
      <c r="Q396" s="20"/>
      <c r="R396" s="20"/>
      <c r="S396" s="20"/>
      <c r="T396" s="35"/>
      <c r="U396" s="35"/>
      <c r="V396" s="3"/>
      <c r="W396" s="3"/>
      <c r="X396" s="36"/>
      <c r="Y396" s="3"/>
      <c r="Z396" s="3"/>
      <c r="AA396" s="35"/>
      <c r="AB396" s="35"/>
      <c r="AC396" s="35"/>
      <c r="AD396" s="4"/>
      <c r="AE396" s="4"/>
      <c r="AF396" s="4"/>
      <c r="AG396" s="4"/>
      <c r="AH396" s="4"/>
      <c r="AI396" s="4"/>
      <c r="AJ396" s="4"/>
      <c r="AK396" s="4"/>
      <c r="AL396" s="4"/>
    </row>
    <row r="397" spans="1:38" ht="14.4">
      <c r="A397" s="34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20"/>
      <c r="P397" s="20"/>
      <c r="Q397" s="20"/>
      <c r="R397" s="20"/>
      <c r="S397" s="20"/>
      <c r="T397" s="35"/>
      <c r="U397" s="35"/>
      <c r="V397" s="3"/>
      <c r="W397" s="3"/>
      <c r="X397" s="36"/>
      <c r="Y397" s="3"/>
      <c r="Z397" s="3"/>
      <c r="AA397" s="35"/>
      <c r="AB397" s="35"/>
      <c r="AC397" s="35"/>
      <c r="AD397" s="4"/>
      <c r="AE397" s="4"/>
      <c r="AF397" s="4"/>
      <c r="AG397" s="4"/>
      <c r="AH397" s="4"/>
      <c r="AI397" s="4"/>
      <c r="AJ397" s="4"/>
      <c r="AK397" s="4"/>
      <c r="AL397" s="4"/>
    </row>
    <row r="398" spans="1:38" ht="14.4">
      <c r="A398" s="34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20"/>
      <c r="P398" s="20"/>
      <c r="Q398" s="20"/>
      <c r="R398" s="20"/>
      <c r="S398" s="20"/>
      <c r="T398" s="35"/>
      <c r="U398" s="35"/>
      <c r="V398" s="3"/>
      <c r="W398" s="3"/>
      <c r="X398" s="36"/>
      <c r="Y398" s="3"/>
      <c r="Z398" s="3"/>
      <c r="AA398" s="35"/>
      <c r="AB398" s="35"/>
      <c r="AC398" s="35"/>
      <c r="AD398" s="4"/>
      <c r="AE398" s="4"/>
      <c r="AF398" s="4"/>
      <c r="AG398" s="4"/>
      <c r="AH398" s="4"/>
      <c r="AI398" s="4"/>
      <c r="AJ398" s="4"/>
      <c r="AK398" s="4"/>
      <c r="AL398" s="4"/>
    </row>
    <row r="399" spans="1:38" ht="14.4">
      <c r="A399" s="34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20"/>
      <c r="P399" s="20"/>
      <c r="Q399" s="20"/>
      <c r="R399" s="20"/>
      <c r="S399" s="20"/>
      <c r="T399" s="35"/>
      <c r="U399" s="35"/>
      <c r="V399" s="3"/>
      <c r="W399" s="3"/>
      <c r="X399" s="36"/>
      <c r="Y399" s="3"/>
      <c r="Z399" s="3"/>
      <c r="AA399" s="35"/>
      <c r="AB399" s="35"/>
      <c r="AC399" s="35"/>
      <c r="AD399" s="4"/>
      <c r="AE399" s="4"/>
      <c r="AF399" s="4"/>
      <c r="AG399" s="4"/>
      <c r="AH399" s="4"/>
      <c r="AI399" s="4"/>
      <c r="AJ399" s="4"/>
      <c r="AK399" s="4"/>
      <c r="AL399" s="4"/>
    </row>
    <row r="400" spans="1:38" ht="14.4">
      <c r="A400" s="34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20"/>
      <c r="P400" s="20"/>
      <c r="Q400" s="20"/>
      <c r="R400" s="20"/>
      <c r="S400" s="20"/>
      <c r="T400" s="35"/>
      <c r="U400" s="35"/>
      <c r="V400" s="3"/>
      <c r="W400" s="3"/>
      <c r="X400" s="36"/>
      <c r="Y400" s="3"/>
      <c r="Z400" s="3"/>
      <c r="AA400" s="35"/>
      <c r="AB400" s="35"/>
      <c r="AC400" s="35"/>
      <c r="AD400" s="4"/>
      <c r="AE400" s="4"/>
      <c r="AF400" s="4"/>
      <c r="AG400" s="4"/>
      <c r="AH400" s="4"/>
      <c r="AI400" s="4"/>
      <c r="AJ400" s="4"/>
      <c r="AK400" s="4"/>
      <c r="AL400" s="4"/>
    </row>
    <row r="401" spans="1:38" ht="14.4">
      <c r="A401" s="34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20"/>
      <c r="P401" s="20"/>
      <c r="Q401" s="20"/>
      <c r="R401" s="20"/>
      <c r="S401" s="20"/>
      <c r="T401" s="35"/>
      <c r="U401" s="35"/>
      <c r="V401" s="3"/>
      <c r="W401" s="3"/>
      <c r="X401" s="36"/>
      <c r="Y401" s="3"/>
      <c r="Z401" s="3"/>
      <c r="AA401" s="35"/>
      <c r="AB401" s="35"/>
      <c r="AC401" s="35"/>
      <c r="AD401" s="4"/>
      <c r="AE401" s="4"/>
      <c r="AF401" s="4"/>
      <c r="AG401" s="4"/>
      <c r="AH401" s="4"/>
      <c r="AI401" s="4"/>
      <c r="AJ401" s="4"/>
      <c r="AK401" s="4"/>
      <c r="AL401" s="4"/>
    </row>
    <row r="402" spans="1:38" ht="14.4">
      <c r="A402" s="3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20"/>
      <c r="P402" s="20"/>
      <c r="Q402" s="20"/>
      <c r="R402" s="20"/>
      <c r="S402" s="20"/>
      <c r="T402" s="35"/>
      <c r="U402" s="35"/>
      <c r="V402" s="3"/>
      <c r="W402" s="3"/>
      <c r="X402" s="36"/>
      <c r="Y402" s="3"/>
      <c r="Z402" s="3"/>
      <c r="AA402" s="35"/>
      <c r="AB402" s="35"/>
      <c r="AC402" s="35"/>
      <c r="AD402" s="4"/>
      <c r="AE402" s="4"/>
      <c r="AF402" s="4"/>
      <c r="AG402" s="4"/>
      <c r="AH402" s="4"/>
      <c r="AI402" s="4"/>
      <c r="AJ402" s="4"/>
      <c r="AK402" s="4"/>
      <c r="AL402" s="4"/>
    </row>
    <row r="403" spans="1:38" ht="14.4">
      <c r="A403" s="3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20"/>
      <c r="P403" s="20"/>
      <c r="Q403" s="20"/>
      <c r="R403" s="20"/>
      <c r="S403" s="20"/>
      <c r="T403" s="35"/>
      <c r="U403" s="35"/>
      <c r="V403" s="3"/>
      <c r="W403" s="3"/>
      <c r="X403" s="36"/>
      <c r="Y403" s="3"/>
      <c r="Z403" s="3"/>
      <c r="AA403" s="35"/>
      <c r="AB403" s="35"/>
      <c r="AC403" s="35"/>
      <c r="AD403" s="4"/>
      <c r="AE403" s="4"/>
      <c r="AF403" s="4"/>
      <c r="AG403" s="4"/>
      <c r="AH403" s="4"/>
      <c r="AI403" s="4"/>
      <c r="AJ403" s="4"/>
      <c r="AK403" s="4"/>
      <c r="AL403" s="4"/>
    </row>
    <row r="404" spans="1:38" ht="14.4">
      <c r="A404" s="3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20"/>
      <c r="P404" s="20"/>
      <c r="Q404" s="20"/>
      <c r="R404" s="20"/>
      <c r="S404" s="20"/>
      <c r="T404" s="35"/>
      <c r="U404" s="35"/>
      <c r="V404" s="3"/>
      <c r="W404" s="3"/>
      <c r="X404" s="36"/>
      <c r="Y404" s="3"/>
      <c r="Z404" s="3"/>
      <c r="AA404" s="35"/>
      <c r="AB404" s="35"/>
      <c r="AC404" s="35"/>
      <c r="AD404" s="4"/>
      <c r="AE404" s="4"/>
      <c r="AF404" s="4"/>
      <c r="AG404" s="4"/>
      <c r="AH404" s="4"/>
      <c r="AI404" s="4"/>
      <c r="AJ404" s="4"/>
      <c r="AK404" s="4"/>
      <c r="AL404" s="4"/>
    </row>
    <row r="405" spans="1:38" ht="14.4">
      <c r="A405" s="3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20"/>
      <c r="P405" s="20"/>
      <c r="Q405" s="20"/>
      <c r="R405" s="20"/>
      <c r="S405" s="20"/>
      <c r="T405" s="35"/>
      <c r="U405" s="35"/>
      <c r="V405" s="3"/>
      <c r="W405" s="3"/>
      <c r="X405" s="36"/>
      <c r="Y405" s="3"/>
      <c r="Z405" s="3"/>
      <c r="AA405" s="35"/>
      <c r="AB405" s="35"/>
      <c r="AC405" s="35"/>
      <c r="AD405" s="4"/>
      <c r="AE405" s="4"/>
      <c r="AF405" s="4"/>
      <c r="AG405" s="4"/>
      <c r="AH405" s="4"/>
      <c r="AI405" s="4"/>
      <c r="AJ405" s="4"/>
      <c r="AK405" s="4"/>
      <c r="AL405" s="4"/>
    </row>
    <row r="406" spans="1:38" ht="14.4">
      <c r="A406" s="3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20"/>
      <c r="P406" s="20"/>
      <c r="Q406" s="20"/>
      <c r="R406" s="20"/>
      <c r="S406" s="20"/>
      <c r="T406" s="35"/>
      <c r="U406" s="35"/>
      <c r="V406" s="3"/>
      <c r="W406" s="3"/>
      <c r="X406" s="36"/>
      <c r="Y406" s="3"/>
      <c r="Z406" s="3"/>
      <c r="AA406" s="35"/>
      <c r="AB406" s="35"/>
      <c r="AC406" s="35"/>
      <c r="AD406" s="4"/>
      <c r="AE406" s="4"/>
      <c r="AF406" s="4"/>
      <c r="AG406" s="4"/>
      <c r="AH406" s="4"/>
      <c r="AI406" s="4"/>
      <c r="AJ406" s="4"/>
      <c r="AK406" s="4"/>
      <c r="AL406" s="4"/>
    </row>
    <row r="407" spans="1:38" ht="14.4">
      <c r="A407" s="3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20"/>
      <c r="P407" s="20"/>
      <c r="Q407" s="20"/>
      <c r="R407" s="20"/>
      <c r="S407" s="20"/>
      <c r="T407" s="35"/>
      <c r="U407" s="35"/>
      <c r="V407" s="3"/>
      <c r="W407" s="3"/>
      <c r="X407" s="36"/>
      <c r="Y407" s="3"/>
      <c r="Z407" s="3"/>
      <c r="AA407" s="35"/>
      <c r="AB407" s="35"/>
      <c r="AC407" s="35"/>
      <c r="AD407" s="4"/>
      <c r="AE407" s="4"/>
      <c r="AF407" s="4"/>
      <c r="AG407" s="4"/>
      <c r="AH407" s="4"/>
      <c r="AI407" s="4"/>
      <c r="AJ407" s="4"/>
      <c r="AK407" s="4"/>
      <c r="AL407" s="4"/>
    </row>
    <row r="408" spans="1:38" ht="14.4">
      <c r="A408" s="3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20"/>
      <c r="P408" s="20"/>
      <c r="Q408" s="20"/>
      <c r="R408" s="20"/>
      <c r="S408" s="20"/>
      <c r="T408" s="35"/>
      <c r="U408" s="35"/>
      <c r="V408" s="3"/>
      <c r="W408" s="3"/>
      <c r="X408" s="36"/>
      <c r="Y408" s="3"/>
      <c r="Z408" s="3"/>
      <c r="AA408" s="35"/>
      <c r="AB408" s="35"/>
      <c r="AC408" s="35"/>
      <c r="AD408" s="4"/>
      <c r="AE408" s="4"/>
      <c r="AF408" s="4"/>
      <c r="AG408" s="4"/>
      <c r="AH408" s="4"/>
      <c r="AI408" s="4"/>
      <c r="AJ408" s="4"/>
      <c r="AK408" s="4"/>
      <c r="AL408" s="4"/>
    </row>
    <row r="409" spans="1:38" ht="14.4">
      <c r="A409" s="3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20"/>
      <c r="P409" s="20"/>
      <c r="Q409" s="20"/>
      <c r="R409" s="20"/>
      <c r="S409" s="20"/>
      <c r="T409" s="35"/>
      <c r="U409" s="35"/>
      <c r="V409" s="3"/>
      <c r="W409" s="3"/>
      <c r="X409" s="36"/>
      <c r="Y409" s="3"/>
      <c r="Z409" s="3"/>
      <c r="AA409" s="35"/>
      <c r="AB409" s="35"/>
      <c r="AC409" s="35"/>
      <c r="AD409" s="4"/>
      <c r="AE409" s="4"/>
      <c r="AF409" s="4"/>
      <c r="AG409" s="4"/>
      <c r="AH409" s="4"/>
      <c r="AI409" s="4"/>
      <c r="AJ409" s="4"/>
      <c r="AK409" s="4"/>
      <c r="AL409" s="4"/>
    </row>
    <row r="410" spans="1:38" ht="14.4">
      <c r="A410" s="3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20"/>
      <c r="P410" s="20"/>
      <c r="Q410" s="20"/>
      <c r="R410" s="20"/>
      <c r="S410" s="20"/>
      <c r="T410" s="35"/>
      <c r="U410" s="35"/>
      <c r="V410" s="3"/>
      <c r="W410" s="3"/>
      <c r="X410" s="36"/>
      <c r="Y410" s="3"/>
      <c r="Z410" s="3"/>
      <c r="AA410" s="35"/>
      <c r="AB410" s="35"/>
      <c r="AC410" s="35"/>
      <c r="AD410" s="4"/>
      <c r="AE410" s="4"/>
      <c r="AF410" s="4"/>
      <c r="AG410" s="4"/>
      <c r="AH410" s="4"/>
      <c r="AI410" s="4"/>
      <c r="AJ410" s="4"/>
      <c r="AK410" s="4"/>
      <c r="AL410" s="4"/>
    </row>
    <row r="411" spans="1:38" ht="14.4">
      <c r="A411" s="3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20"/>
      <c r="P411" s="20"/>
      <c r="Q411" s="20"/>
      <c r="R411" s="20"/>
      <c r="S411" s="20"/>
      <c r="T411" s="35"/>
      <c r="U411" s="35"/>
      <c r="V411" s="3"/>
      <c r="W411" s="3"/>
      <c r="X411" s="36"/>
      <c r="Y411" s="3"/>
      <c r="Z411" s="3"/>
      <c r="AA411" s="35"/>
      <c r="AB411" s="35"/>
      <c r="AC411" s="35"/>
      <c r="AD411" s="4"/>
      <c r="AE411" s="4"/>
      <c r="AF411" s="4"/>
      <c r="AG411" s="4"/>
      <c r="AH411" s="4"/>
      <c r="AI411" s="4"/>
      <c r="AJ411" s="4"/>
      <c r="AK411" s="4"/>
      <c r="AL411" s="4"/>
    </row>
    <row r="412" spans="1:38" ht="14.4">
      <c r="A412" s="3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20"/>
      <c r="P412" s="20"/>
      <c r="Q412" s="20"/>
      <c r="R412" s="20"/>
      <c r="S412" s="20"/>
      <c r="T412" s="35"/>
      <c r="U412" s="35"/>
      <c r="V412" s="3"/>
      <c r="W412" s="3"/>
      <c r="X412" s="36"/>
      <c r="Y412" s="3"/>
      <c r="Z412" s="3"/>
      <c r="AA412" s="35"/>
      <c r="AB412" s="35"/>
      <c r="AC412" s="35"/>
      <c r="AD412" s="4"/>
      <c r="AE412" s="4"/>
      <c r="AF412" s="4"/>
      <c r="AG412" s="4"/>
      <c r="AH412" s="4"/>
      <c r="AI412" s="4"/>
      <c r="AJ412" s="4"/>
      <c r="AK412" s="4"/>
      <c r="AL412" s="4"/>
    </row>
    <row r="413" spans="1:38" ht="14.4">
      <c r="A413" s="3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20"/>
      <c r="P413" s="20"/>
      <c r="Q413" s="20"/>
      <c r="R413" s="20"/>
      <c r="S413" s="20"/>
      <c r="T413" s="35"/>
      <c r="U413" s="35"/>
      <c r="V413" s="3"/>
      <c r="W413" s="3"/>
      <c r="X413" s="36"/>
      <c r="Y413" s="3"/>
      <c r="Z413" s="3"/>
      <c r="AA413" s="35"/>
      <c r="AB413" s="35"/>
      <c r="AC413" s="35"/>
      <c r="AD413" s="4"/>
      <c r="AE413" s="4"/>
      <c r="AF413" s="4"/>
      <c r="AG413" s="4"/>
      <c r="AH413" s="4"/>
      <c r="AI413" s="4"/>
      <c r="AJ413" s="4"/>
      <c r="AK413" s="4"/>
      <c r="AL413" s="4"/>
    </row>
    <row r="414" spans="1:38" ht="14.4">
      <c r="A414" s="3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20"/>
      <c r="P414" s="20"/>
      <c r="Q414" s="20"/>
      <c r="R414" s="20"/>
      <c r="S414" s="20"/>
      <c r="T414" s="35"/>
      <c r="U414" s="35"/>
      <c r="V414" s="3"/>
      <c r="W414" s="3"/>
      <c r="X414" s="36"/>
      <c r="Y414" s="3"/>
      <c r="Z414" s="3"/>
      <c r="AA414" s="35"/>
      <c r="AB414" s="35"/>
      <c r="AC414" s="35"/>
      <c r="AD414" s="4"/>
      <c r="AE414" s="4"/>
      <c r="AF414" s="4"/>
      <c r="AG414" s="4"/>
      <c r="AH414" s="4"/>
      <c r="AI414" s="4"/>
      <c r="AJ414" s="4"/>
      <c r="AK414" s="4"/>
      <c r="AL414" s="4"/>
    </row>
    <row r="415" spans="1:38" ht="14.4">
      <c r="A415" s="3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20"/>
      <c r="P415" s="20"/>
      <c r="Q415" s="20"/>
      <c r="R415" s="20"/>
      <c r="S415" s="20"/>
      <c r="T415" s="35"/>
      <c r="U415" s="35"/>
      <c r="V415" s="3"/>
      <c r="W415" s="3"/>
      <c r="X415" s="36"/>
      <c r="Y415" s="3"/>
      <c r="Z415" s="3"/>
      <c r="AA415" s="35"/>
      <c r="AB415" s="35"/>
      <c r="AC415" s="35"/>
      <c r="AD415" s="4"/>
      <c r="AE415" s="4"/>
      <c r="AF415" s="4"/>
      <c r="AG415" s="4"/>
      <c r="AH415" s="4"/>
      <c r="AI415" s="4"/>
      <c r="AJ415" s="4"/>
      <c r="AK415" s="4"/>
      <c r="AL415" s="4"/>
    </row>
    <row r="416" spans="1:38" ht="14.4">
      <c r="A416" s="3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20"/>
      <c r="P416" s="20"/>
      <c r="Q416" s="20"/>
      <c r="R416" s="20"/>
      <c r="S416" s="20"/>
      <c r="T416" s="35"/>
      <c r="U416" s="35"/>
      <c r="V416" s="3"/>
      <c r="W416" s="3"/>
      <c r="X416" s="36"/>
      <c r="Y416" s="3"/>
      <c r="Z416" s="3"/>
      <c r="AA416" s="35"/>
      <c r="AB416" s="35"/>
      <c r="AC416" s="35"/>
      <c r="AD416" s="4"/>
      <c r="AE416" s="4"/>
      <c r="AF416" s="4"/>
      <c r="AG416" s="4"/>
      <c r="AH416" s="4"/>
      <c r="AI416" s="4"/>
      <c r="AJ416" s="4"/>
      <c r="AK416" s="4"/>
      <c r="AL416" s="4"/>
    </row>
    <row r="417" spans="1:38" ht="14.4">
      <c r="A417" s="3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20"/>
      <c r="P417" s="20"/>
      <c r="Q417" s="20"/>
      <c r="R417" s="20"/>
      <c r="S417" s="20"/>
      <c r="T417" s="35"/>
      <c r="U417" s="35"/>
      <c r="V417" s="3"/>
      <c r="W417" s="3"/>
      <c r="X417" s="36"/>
      <c r="Y417" s="3"/>
      <c r="Z417" s="3"/>
      <c r="AA417" s="35"/>
      <c r="AB417" s="35"/>
      <c r="AC417" s="35"/>
      <c r="AD417" s="4"/>
      <c r="AE417" s="4"/>
      <c r="AF417" s="4"/>
      <c r="AG417" s="4"/>
      <c r="AH417" s="4"/>
      <c r="AI417" s="4"/>
      <c r="AJ417" s="4"/>
      <c r="AK417" s="4"/>
      <c r="AL417" s="4"/>
    </row>
    <row r="418" spans="1:38" ht="14.4">
      <c r="A418" s="3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20"/>
      <c r="P418" s="20"/>
      <c r="Q418" s="20"/>
      <c r="R418" s="20"/>
      <c r="S418" s="20"/>
      <c r="T418" s="35"/>
      <c r="U418" s="35"/>
      <c r="V418" s="3"/>
      <c r="W418" s="3"/>
      <c r="X418" s="36"/>
      <c r="Y418" s="3"/>
      <c r="Z418" s="3"/>
      <c r="AA418" s="35"/>
      <c r="AB418" s="35"/>
      <c r="AC418" s="35"/>
      <c r="AD418" s="4"/>
      <c r="AE418" s="4"/>
      <c r="AF418" s="4"/>
      <c r="AG418" s="4"/>
      <c r="AH418" s="4"/>
      <c r="AI418" s="4"/>
      <c r="AJ418" s="4"/>
      <c r="AK418" s="4"/>
      <c r="AL418" s="4"/>
    </row>
    <row r="419" spans="1:38" ht="14.4">
      <c r="A419" s="3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20"/>
      <c r="P419" s="20"/>
      <c r="Q419" s="20"/>
      <c r="R419" s="20"/>
      <c r="S419" s="20"/>
      <c r="T419" s="35"/>
      <c r="U419" s="35"/>
      <c r="V419" s="3"/>
      <c r="W419" s="3"/>
      <c r="X419" s="36"/>
      <c r="Y419" s="3"/>
      <c r="Z419" s="3"/>
      <c r="AA419" s="35"/>
      <c r="AB419" s="35"/>
      <c r="AC419" s="35"/>
      <c r="AD419" s="4"/>
      <c r="AE419" s="4"/>
      <c r="AF419" s="4"/>
      <c r="AG419" s="4"/>
      <c r="AH419" s="4"/>
      <c r="AI419" s="4"/>
      <c r="AJ419" s="4"/>
      <c r="AK419" s="4"/>
      <c r="AL419" s="4"/>
    </row>
    <row r="420" spans="1:38" ht="14.4">
      <c r="A420" s="3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20"/>
      <c r="P420" s="20"/>
      <c r="Q420" s="20"/>
      <c r="R420" s="20"/>
      <c r="S420" s="20"/>
      <c r="T420" s="35"/>
      <c r="U420" s="35"/>
      <c r="V420" s="3"/>
      <c r="W420" s="3"/>
      <c r="X420" s="36"/>
      <c r="Y420" s="3"/>
      <c r="Z420" s="3"/>
      <c r="AA420" s="35"/>
      <c r="AB420" s="35"/>
      <c r="AC420" s="35"/>
      <c r="AD420" s="4"/>
      <c r="AE420" s="4"/>
      <c r="AF420" s="4"/>
      <c r="AG420" s="4"/>
      <c r="AH420" s="4"/>
      <c r="AI420" s="4"/>
      <c r="AJ420" s="4"/>
      <c r="AK420" s="4"/>
      <c r="AL420" s="4"/>
    </row>
    <row r="421" spans="1:38" ht="14.4">
      <c r="A421" s="3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20"/>
      <c r="P421" s="20"/>
      <c r="Q421" s="20"/>
      <c r="R421" s="20"/>
      <c r="S421" s="20"/>
      <c r="T421" s="35"/>
      <c r="U421" s="35"/>
      <c r="V421" s="3"/>
      <c r="W421" s="3"/>
      <c r="X421" s="36"/>
      <c r="Y421" s="3"/>
      <c r="Z421" s="3"/>
      <c r="AA421" s="35"/>
      <c r="AB421" s="35"/>
      <c r="AC421" s="35"/>
      <c r="AD421" s="4"/>
      <c r="AE421" s="4"/>
      <c r="AF421" s="4"/>
      <c r="AG421" s="4"/>
      <c r="AH421" s="4"/>
      <c r="AI421" s="4"/>
      <c r="AJ421" s="4"/>
      <c r="AK421" s="4"/>
      <c r="AL421" s="4"/>
    </row>
    <row r="422" spans="1:38" ht="14.4">
      <c r="A422" s="3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20"/>
      <c r="P422" s="20"/>
      <c r="Q422" s="20"/>
      <c r="R422" s="20"/>
      <c r="S422" s="20"/>
      <c r="T422" s="35"/>
      <c r="U422" s="35"/>
      <c r="V422" s="3"/>
      <c r="W422" s="3"/>
      <c r="X422" s="36"/>
      <c r="Y422" s="3"/>
      <c r="Z422" s="3"/>
      <c r="AA422" s="35"/>
      <c r="AB422" s="35"/>
      <c r="AC422" s="35"/>
      <c r="AD422" s="4"/>
      <c r="AE422" s="4"/>
      <c r="AF422" s="4"/>
      <c r="AG422" s="4"/>
      <c r="AH422" s="4"/>
      <c r="AI422" s="4"/>
      <c r="AJ422" s="4"/>
      <c r="AK422" s="4"/>
      <c r="AL422" s="4"/>
    </row>
    <row r="423" spans="1:38" ht="14.4">
      <c r="A423" s="3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20"/>
      <c r="P423" s="20"/>
      <c r="Q423" s="20"/>
      <c r="R423" s="20"/>
      <c r="S423" s="20"/>
      <c r="T423" s="35"/>
      <c r="U423" s="35"/>
      <c r="V423" s="3"/>
      <c r="W423" s="3"/>
      <c r="X423" s="36"/>
      <c r="Y423" s="3"/>
      <c r="Z423" s="3"/>
      <c r="AA423" s="35"/>
      <c r="AB423" s="35"/>
      <c r="AC423" s="35"/>
      <c r="AD423" s="4"/>
      <c r="AE423" s="4"/>
      <c r="AF423" s="4"/>
      <c r="AG423" s="4"/>
      <c r="AH423" s="4"/>
      <c r="AI423" s="4"/>
      <c r="AJ423" s="4"/>
      <c r="AK423" s="4"/>
      <c r="AL423" s="4"/>
    </row>
    <row r="424" spans="1:38" ht="14.4">
      <c r="A424" s="3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20"/>
      <c r="P424" s="20"/>
      <c r="Q424" s="20"/>
      <c r="R424" s="20"/>
      <c r="S424" s="20"/>
      <c r="T424" s="35"/>
      <c r="U424" s="35"/>
      <c r="V424" s="3"/>
      <c r="W424" s="3"/>
      <c r="X424" s="36"/>
      <c r="Y424" s="3"/>
      <c r="Z424" s="3"/>
      <c r="AA424" s="35"/>
      <c r="AB424" s="35"/>
      <c r="AC424" s="35"/>
      <c r="AD424" s="4"/>
      <c r="AE424" s="4"/>
      <c r="AF424" s="4"/>
      <c r="AG424" s="4"/>
      <c r="AH424" s="4"/>
      <c r="AI424" s="4"/>
      <c r="AJ424" s="4"/>
      <c r="AK424" s="4"/>
      <c r="AL424" s="4"/>
    </row>
    <row r="425" spans="1:38" ht="14.4">
      <c r="A425" s="3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20"/>
      <c r="P425" s="20"/>
      <c r="Q425" s="20"/>
      <c r="R425" s="20"/>
      <c r="S425" s="20"/>
      <c r="T425" s="35"/>
      <c r="U425" s="35"/>
      <c r="V425" s="3"/>
      <c r="W425" s="3"/>
      <c r="X425" s="36"/>
      <c r="Y425" s="3"/>
      <c r="Z425" s="3"/>
      <c r="AA425" s="35"/>
      <c r="AB425" s="35"/>
      <c r="AC425" s="35"/>
      <c r="AD425" s="4"/>
      <c r="AE425" s="4"/>
      <c r="AF425" s="4"/>
      <c r="AG425" s="4"/>
      <c r="AH425" s="4"/>
      <c r="AI425" s="4"/>
      <c r="AJ425" s="4"/>
      <c r="AK425" s="4"/>
      <c r="AL425" s="4"/>
    </row>
    <row r="426" spans="1:38" ht="14.4">
      <c r="A426" s="3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20"/>
      <c r="P426" s="20"/>
      <c r="Q426" s="20"/>
      <c r="R426" s="20"/>
      <c r="S426" s="20"/>
      <c r="T426" s="35"/>
      <c r="U426" s="35"/>
      <c r="V426" s="3"/>
      <c r="W426" s="3"/>
      <c r="X426" s="36"/>
      <c r="Y426" s="3"/>
      <c r="Z426" s="3"/>
      <c r="AA426" s="35"/>
      <c r="AB426" s="35"/>
      <c r="AC426" s="35"/>
      <c r="AD426" s="4"/>
      <c r="AE426" s="4"/>
      <c r="AF426" s="4"/>
      <c r="AG426" s="4"/>
      <c r="AH426" s="4"/>
      <c r="AI426" s="4"/>
      <c r="AJ426" s="4"/>
      <c r="AK426" s="4"/>
      <c r="AL426" s="4"/>
    </row>
    <row r="427" spans="1:38" ht="14.4">
      <c r="A427" s="34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20"/>
      <c r="P427" s="20"/>
      <c r="Q427" s="20"/>
      <c r="R427" s="20"/>
      <c r="S427" s="20"/>
      <c r="T427" s="35"/>
      <c r="U427" s="35"/>
      <c r="V427" s="3"/>
      <c r="W427" s="3"/>
      <c r="X427" s="36"/>
      <c r="Y427" s="3"/>
      <c r="Z427" s="3"/>
      <c r="AA427" s="35"/>
      <c r="AB427" s="35"/>
      <c r="AC427" s="35"/>
      <c r="AD427" s="4"/>
      <c r="AE427" s="4"/>
      <c r="AF427" s="4"/>
      <c r="AG427" s="4"/>
      <c r="AH427" s="4"/>
      <c r="AI427" s="4"/>
      <c r="AJ427" s="4"/>
      <c r="AK427" s="4"/>
      <c r="AL427" s="4"/>
    </row>
    <row r="428" spans="1:38" ht="14.4">
      <c r="A428" s="34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20"/>
      <c r="P428" s="20"/>
      <c r="Q428" s="20"/>
      <c r="R428" s="20"/>
      <c r="S428" s="20"/>
      <c r="T428" s="35"/>
      <c r="U428" s="35"/>
      <c r="V428" s="3"/>
      <c r="W428" s="3"/>
      <c r="X428" s="36"/>
      <c r="Y428" s="3"/>
      <c r="Z428" s="3"/>
      <c r="AA428" s="35"/>
      <c r="AB428" s="35"/>
      <c r="AC428" s="35"/>
      <c r="AD428" s="4"/>
      <c r="AE428" s="4"/>
      <c r="AF428" s="4"/>
      <c r="AG428" s="4"/>
      <c r="AH428" s="4"/>
      <c r="AI428" s="4"/>
      <c r="AJ428" s="4"/>
      <c r="AK428" s="4"/>
      <c r="AL428" s="4"/>
    </row>
    <row r="429" spans="1:38" ht="14.4">
      <c r="A429" s="34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20"/>
      <c r="P429" s="20"/>
      <c r="Q429" s="20"/>
      <c r="R429" s="20"/>
      <c r="S429" s="20"/>
      <c r="T429" s="35"/>
      <c r="U429" s="35"/>
      <c r="V429" s="3"/>
      <c r="W429" s="3"/>
      <c r="X429" s="36"/>
      <c r="Y429" s="3"/>
      <c r="Z429" s="3"/>
      <c r="AA429" s="35"/>
      <c r="AB429" s="35"/>
      <c r="AC429" s="35"/>
      <c r="AD429" s="4"/>
      <c r="AE429" s="4"/>
      <c r="AF429" s="4"/>
      <c r="AG429" s="4"/>
      <c r="AH429" s="4"/>
      <c r="AI429" s="4"/>
      <c r="AJ429" s="4"/>
      <c r="AK429" s="4"/>
      <c r="AL429" s="4"/>
    </row>
    <row r="430" spans="1:38" ht="14.4">
      <c r="A430" s="34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20"/>
      <c r="P430" s="20"/>
      <c r="Q430" s="20"/>
      <c r="R430" s="20"/>
      <c r="S430" s="20"/>
      <c r="T430" s="35"/>
      <c r="U430" s="35"/>
      <c r="V430" s="3"/>
      <c r="W430" s="3"/>
      <c r="X430" s="36"/>
      <c r="Y430" s="3"/>
      <c r="Z430" s="3"/>
      <c r="AA430" s="35"/>
      <c r="AB430" s="35"/>
      <c r="AC430" s="35"/>
      <c r="AD430" s="4"/>
      <c r="AE430" s="4"/>
      <c r="AF430" s="4"/>
      <c r="AG430" s="4"/>
      <c r="AH430" s="4"/>
      <c r="AI430" s="4"/>
      <c r="AJ430" s="4"/>
      <c r="AK430" s="4"/>
      <c r="AL430" s="4"/>
    </row>
    <row r="431" spans="1:38" ht="14.4">
      <c r="A431" s="34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20"/>
      <c r="P431" s="20"/>
      <c r="Q431" s="20"/>
      <c r="R431" s="20"/>
      <c r="S431" s="20"/>
      <c r="T431" s="35"/>
      <c r="U431" s="35"/>
      <c r="V431" s="3"/>
      <c r="W431" s="3"/>
      <c r="X431" s="36"/>
      <c r="Y431" s="3"/>
      <c r="Z431" s="3"/>
      <c r="AA431" s="35"/>
      <c r="AB431" s="35"/>
      <c r="AC431" s="35"/>
      <c r="AD431" s="4"/>
      <c r="AE431" s="4"/>
      <c r="AF431" s="4"/>
      <c r="AG431" s="4"/>
      <c r="AH431" s="4"/>
      <c r="AI431" s="4"/>
      <c r="AJ431" s="4"/>
      <c r="AK431" s="4"/>
      <c r="AL431" s="4"/>
    </row>
    <row r="432" spans="1:38" ht="14.4">
      <c r="A432" s="34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20"/>
      <c r="P432" s="20"/>
      <c r="Q432" s="20"/>
      <c r="R432" s="20"/>
      <c r="S432" s="20"/>
      <c r="T432" s="35"/>
      <c r="U432" s="35"/>
      <c r="V432" s="3"/>
      <c r="W432" s="3"/>
      <c r="X432" s="36"/>
      <c r="Y432" s="3"/>
      <c r="Z432" s="3"/>
      <c r="AA432" s="35"/>
      <c r="AB432" s="35"/>
      <c r="AC432" s="35"/>
      <c r="AD432" s="4"/>
      <c r="AE432" s="4"/>
      <c r="AF432" s="4"/>
      <c r="AG432" s="4"/>
      <c r="AH432" s="4"/>
      <c r="AI432" s="4"/>
      <c r="AJ432" s="4"/>
      <c r="AK432" s="4"/>
      <c r="AL432" s="4"/>
    </row>
    <row r="433" spans="1:38" ht="14.4">
      <c r="A433" s="34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20"/>
      <c r="P433" s="20"/>
      <c r="Q433" s="20"/>
      <c r="R433" s="20"/>
      <c r="S433" s="20"/>
      <c r="T433" s="35"/>
      <c r="U433" s="35"/>
      <c r="V433" s="3"/>
      <c r="W433" s="3"/>
      <c r="X433" s="36"/>
      <c r="Y433" s="3"/>
      <c r="Z433" s="3"/>
      <c r="AA433" s="35"/>
      <c r="AB433" s="35"/>
      <c r="AC433" s="35"/>
      <c r="AD433" s="4"/>
      <c r="AE433" s="4"/>
      <c r="AF433" s="4"/>
      <c r="AG433" s="4"/>
      <c r="AH433" s="4"/>
      <c r="AI433" s="4"/>
      <c r="AJ433" s="4"/>
      <c r="AK433" s="4"/>
      <c r="AL433" s="4"/>
    </row>
    <row r="434" spans="1:38" ht="14.4">
      <c r="A434" s="34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20"/>
      <c r="P434" s="20"/>
      <c r="Q434" s="20"/>
      <c r="R434" s="20"/>
      <c r="S434" s="20"/>
      <c r="T434" s="35"/>
      <c r="U434" s="35"/>
      <c r="V434" s="3"/>
      <c r="W434" s="3"/>
      <c r="X434" s="36"/>
      <c r="Y434" s="3"/>
      <c r="Z434" s="3"/>
      <c r="AA434" s="35"/>
      <c r="AB434" s="35"/>
      <c r="AC434" s="35"/>
      <c r="AD434" s="4"/>
      <c r="AE434" s="4"/>
      <c r="AF434" s="4"/>
      <c r="AG434" s="4"/>
      <c r="AH434" s="4"/>
      <c r="AI434" s="4"/>
      <c r="AJ434" s="4"/>
      <c r="AK434" s="4"/>
      <c r="AL434" s="4"/>
    </row>
    <row r="435" spans="1:38" ht="14.4">
      <c r="A435" s="34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20"/>
      <c r="P435" s="20"/>
      <c r="Q435" s="20"/>
      <c r="R435" s="20"/>
      <c r="S435" s="20"/>
      <c r="T435" s="35"/>
      <c r="U435" s="35"/>
      <c r="V435" s="3"/>
      <c r="W435" s="3"/>
      <c r="X435" s="36"/>
      <c r="Y435" s="3"/>
      <c r="Z435" s="3"/>
      <c r="AA435" s="35"/>
      <c r="AB435" s="35"/>
      <c r="AC435" s="35"/>
      <c r="AD435" s="4"/>
      <c r="AE435" s="4"/>
      <c r="AF435" s="4"/>
      <c r="AG435" s="4"/>
      <c r="AH435" s="4"/>
      <c r="AI435" s="4"/>
      <c r="AJ435" s="4"/>
      <c r="AK435" s="4"/>
      <c r="AL435" s="4"/>
    </row>
    <row r="436" spans="1:38" ht="14.4">
      <c r="A436" s="34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20"/>
      <c r="P436" s="20"/>
      <c r="Q436" s="20"/>
      <c r="R436" s="20"/>
      <c r="S436" s="20"/>
      <c r="T436" s="35"/>
      <c r="U436" s="35"/>
      <c r="V436" s="3"/>
      <c r="W436" s="3"/>
      <c r="X436" s="36"/>
      <c r="Y436" s="3"/>
      <c r="Z436" s="3"/>
      <c r="AA436" s="35"/>
      <c r="AB436" s="35"/>
      <c r="AC436" s="35"/>
      <c r="AD436" s="4"/>
      <c r="AE436" s="4"/>
      <c r="AF436" s="4"/>
      <c r="AG436" s="4"/>
      <c r="AH436" s="4"/>
      <c r="AI436" s="4"/>
      <c r="AJ436" s="4"/>
      <c r="AK436" s="4"/>
      <c r="AL436" s="4"/>
    </row>
    <row r="437" spans="1:38" ht="14.4">
      <c r="A437" s="34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20"/>
      <c r="P437" s="20"/>
      <c r="Q437" s="20"/>
      <c r="R437" s="20"/>
      <c r="S437" s="20"/>
      <c r="T437" s="35"/>
      <c r="U437" s="35"/>
      <c r="V437" s="3"/>
      <c r="W437" s="3"/>
      <c r="X437" s="36"/>
      <c r="Y437" s="3"/>
      <c r="Z437" s="3"/>
      <c r="AA437" s="35"/>
      <c r="AB437" s="35"/>
      <c r="AC437" s="35"/>
      <c r="AD437" s="4"/>
      <c r="AE437" s="4"/>
      <c r="AF437" s="4"/>
      <c r="AG437" s="4"/>
      <c r="AH437" s="4"/>
      <c r="AI437" s="4"/>
      <c r="AJ437" s="4"/>
      <c r="AK437" s="4"/>
      <c r="AL437" s="4"/>
    </row>
    <row r="438" spans="1:38" ht="14.4">
      <c r="A438" s="34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20"/>
      <c r="P438" s="20"/>
      <c r="Q438" s="20"/>
      <c r="R438" s="20"/>
      <c r="S438" s="20"/>
      <c r="T438" s="35"/>
      <c r="U438" s="35"/>
      <c r="V438" s="3"/>
      <c r="W438" s="3"/>
      <c r="X438" s="36"/>
      <c r="Y438" s="3"/>
      <c r="Z438" s="3"/>
      <c r="AA438" s="35"/>
      <c r="AB438" s="35"/>
      <c r="AC438" s="35"/>
      <c r="AD438" s="4"/>
      <c r="AE438" s="4"/>
      <c r="AF438" s="4"/>
      <c r="AG438" s="4"/>
      <c r="AH438" s="4"/>
      <c r="AI438" s="4"/>
      <c r="AJ438" s="4"/>
      <c r="AK438" s="4"/>
      <c r="AL438" s="4"/>
    </row>
    <row r="439" spans="1:38" ht="14.4">
      <c r="A439" s="34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20"/>
      <c r="P439" s="20"/>
      <c r="Q439" s="20"/>
      <c r="R439" s="20"/>
      <c r="S439" s="20"/>
      <c r="T439" s="35"/>
      <c r="U439" s="35"/>
      <c r="V439" s="3"/>
      <c r="W439" s="3"/>
      <c r="X439" s="36"/>
      <c r="Y439" s="3"/>
      <c r="Z439" s="3"/>
      <c r="AA439" s="35"/>
      <c r="AB439" s="35"/>
      <c r="AC439" s="35"/>
      <c r="AD439" s="4"/>
      <c r="AE439" s="4"/>
      <c r="AF439" s="4"/>
      <c r="AG439" s="4"/>
      <c r="AH439" s="4"/>
      <c r="AI439" s="4"/>
      <c r="AJ439" s="4"/>
      <c r="AK439" s="4"/>
      <c r="AL439" s="4"/>
    </row>
    <row r="440" spans="1:38" ht="14.4">
      <c r="A440" s="34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20"/>
      <c r="P440" s="20"/>
      <c r="Q440" s="20"/>
      <c r="R440" s="20"/>
      <c r="S440" s="20"/>
      <c r="T440" s="35"/>
      <c r="U440" s="35"/>
      <c r="V440" s="3"/>
      <c r="W440" s="3"/>
      <c r="X440" s="36"/>
      <c r="Y440" s="3"/>
      <c r="Z440" s="3"/>
      <c r="AA440" s="35"/>
      <c r="AB440" s="35"/>
      <c r="AC440" s="35"/>
      <c r="AD440" s="4"/>
      <c r="AE440" s="4"/>
      <c r="AF440" s="4"/>
      <c r="AG440" s="4"/>
      <c r="AH440" s="4"/>
      <c r="AI440" s="4"/>
      <c r="AJ440" s="4"/>
      <c r="AK440" s="4"/>
      <c r="AL440" s="4"/>
    </row>
    <row r="441" spans="1:38" ht="14.4">
      <c r="A441" s="34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20"/>
      <c r="P441" s="20"/>
      <c r="Q441" s="20"/>
      <c r="R441" s="20"/>
      <c r="S441" s="20"/>
      <c r="T441" s="35"/>
      <c r="U441" s="35"/>
      <c r="V441" s="3"/>
      <c r="W441" s="3"/>
      <c r="X441" s="36"/>
      <c r="Y441" s="3"/>
      <c r="Z441" s="3"/>
      <c r="AA441" s="35"/>
      <c r="AB441" s="35"/>
      <c r="AC441" s="35"/>
      <c r="AD441" s="4"/>
      <c r="AE441" s="4"/>
      <c r="AF441" s="4"/>
      <c r="AG441" s="4"/>
      <c r="AH441" s="4"/>
      <c r="AI441" s="4"/>
      <c r="AJ441" s="4"/>
      <c r="AK441" s="4"/>
      <c r="AL441" s="4"/>
    </row>
    <row r="442" spans="1:38" ht="14.4">
      <c r="A442" s="34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20"/>
      <c r="P442" s="20"/>
      <c r="Q442" s="20"/>
      <c r="R442" s="20"/>
      <c r="S442" s="20"/>
      <c r="T442" s="35"/>
      <c r="U442" s="35"/>
      <c r="V442" s="3"/>
      <c r="W442" s="3"/>
      <c r="X442" s="36"/>
      <c r="Y442" s="3"/>
      <c r="Z442" s="3"/>
      <c r="AA442" s="35"/>
      <c r="AB442" s="35"/>
      <c r="AC442" s="35"/>
      <c r="AD442" s="4"/>
      <c r="AE442" s="4"/>
      <c r="AF442" s="4"/>
      <c r="AG442" s="4"/>
      <c r="AH442" s="4"/>
      <c r="AI442" s="4"/>
      <c r="AJ442" s="4"/>
      <c r="AK442" s="4"/>
      <c r="AL442" s="4"/>
    </row>
    <row r="443" spans="1:38" ht="14.4">
      <c r="A443" s="34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20"/>
      <c r="P443" s="20"/>
      <c r="Q443" s="20"/>
      <c r="R443" s="20"/>
      <c r="S443" s="20"/>
      <c r="T443" s="35"/>
      <c r="U443" s="35"/>
      <c r="V443" s="3"/>
      <c r="W443" s="3"/>
      <c r="X443" s="36"/>
      <c r="Y443" s="3"/>
      <c r="Z443" s="3"/>
      <c r="AA443" s="35"/>
      <c r="AB443" s="35"/>
      <c r="AC443" s="35"/>
      <c r="AD443" s="4"/>
      <c r="AE443" s="4"/>
      <c r="AF443" s="4"/>
      <c r="AG443" s="4"/>
      <c r="AH443" s="4"/>
      <c r="AI443" s="4"/>
      <c r="AJ443" s="4"/>
      <c r="AK443" s="4"/>
      <c r="AL443" s="4"/>
    </row>
    <row r="444" spans="1:38" ht="14.4">
      <c r="A444" s="34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20"/>
      <c r="P444" s="20"/>
      <c r="Q444" s="20"/>
      <c r="R444" s="20"/>
      <c r="S444" s="20"/>
      <c r="T444" s="35"/>
      <c r="U444" s="35"/>
      <c r="V444" s="3"/>
      <c r="W444" s="3"/>
      <c r="X444" s="36"/>
      <c r="Y444" s="3"/>
      <c r="Z444" s="3"/>
      <c r="AA444" s="35"/>
      <c r="AB444" s="35"/>
      <c r="AC444" s="35"/>
      <c r="AD444" s="4"/>
      <c r="AE444" s="4"/>
      <c r="AF444" s="4"/>
      <c r="AG444" s="4"/>
      <c r="AH444" s="4"/>
      <c r="AI444" s="4"/>
      <c r="AJ444" s="4"/>
      <c r="AK444" s="4"/>
      <c r="AL444" s="4"/>
    </row>
    <row r="445" spans="1:38" ht="14.4">
      <c r="A445" s="34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20"/>
      <c r="P445" s="20"/>
      <c r="Q445" s="20"/>
      <c r="R445" s="20"/>
      <c r="S445" s="20"/>
      <c r="T445" s="35"/>
      <c r="U445" s="35"/>
      <c r="V445" s="3"/>
      <c r="W445" s="3"/>
      <c r="X445" s="36"/>
      <c r="Y445" s="3"/>
      <c r="Z445" s="3"/>
      <c r="AA445" s="35"/>
      <c r="AB445" s="35"/>
      <c r="AC445" s="35"/>
      <c r="AD445" s="4"/>
      <c r="AE445" s="4"/>
      <c r="AF445" s="4"/>
      <c r="AG445" s="4"/>
      <c r="AH445" s="4"/>
      <c r="AI445" s="4"/>
      <c r="AJ445" s="4"/>
      <c r="AK445" s="4"/>
      <c r="AL445" s="4"/>
    </row>
    <row r="446" spans="1:38" ht="14.4">
      <c r="A446" s="34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20"/>
      <c r="P446" s="20"/>
      <c r="Q446" s="20"/>
      <c r="R446" s="20"/>
      <c r="S446" s="20"/>
      <c r="T446" s="35"/>
      <c r="U446" s="35"/>
      <c r="V446" s="3"/>
      <c r="W446" s="3"/>
      <c r="X446" s="36"/>
      <c r="Y446" s="3"/>
      <c r="Z446" s="3"/>
      <c r="AA446" s="35"/>
      <c r="AB446" s="35"/>
      <c r="AC446" s="35"/>
      <c r="AD446" s="4"/>
      <c r="AE446" s="4"/>
      <c r="AF446" s="4"/>
      <c r="AG446" s="4"/>
      <c r="AH446" s="4"/>
      <c r="AI446" s="4"/>
      <c r="AJ446" s="4"/>
      <c r="AK446" s="4"/>
      <c r="AL446" s="4"/>
    </row>
    <row r="447" spans="1:38" ht="14.4">
      <c r="A447" s="34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20"/>
      <c r="P447" s="20"/>
      <c r="Q447" s="20"/>
      <c r="R447" s="20"/>
      <c r="S447" s="20"/>
      <c r="T447" s="35"/>
      <c r="U447" s="35"/>
      <c r="V447" s="3"/>
      <c r="W447" s="3"/>
      <c r="X447" s="36"/>
      <c r="Y447" s="3"/>
      <c r="Z447" s="3"/>
      <c r="AA447" s="35"/>
      <c r="AB447" s="35"/>
      <c r="AC447" s="35"/>
      <c r="AD447" s="4"/>
      <c r="AE447" s="4"/>
      <c r="AF447" s="4"/>
      <c r="AG447" s="4"/>
      <c r="AH447" s="4"/>
      <c r="AI447" s="4"/>
      <c r="AJ447" s="4"/>
      <c r="AK447" s="4"/>
      <c r="AL447" s="4"/>
    </row>
    <row r="448" spans="1:38" ht="14.4">
      <c r="A448" s="34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20"/>
      <c r="P448" s="20"/>
      <c r="Q448" s="20"/>
      <c r="R448" s="20"/>
      <c r="S448" s="20"/>
      <c r="T448" s="35"/>
      <c r="U448" s="35"/>
      <c r="V448" s="3"/>
      <c r="W448" s="3"/>
      <c r="X448" s="36"/>
      <c r="Y448" s="3"/>
      <c r="Z448" s="3"/>
      <c r="AA448" s="35"/>
      <c r="AB448" s="35"/>
      <c r="AC448" s="35"/>
      <c r="AD448" s="4"/>
      <c r="AE448" s="4"/>
      <c r="AF448" s="4"/>
      <c r="AG448" s="4"/>
      <c r="AH448" s="4"/>
      <c r="AI448" s="4"/>
      <c r="AJ448" s="4"/>
      <c r="AK448" s="4"/>
      <c r="AL448" s="4"/>
    </row>
    <row r="449" spans="1:38" ht="14.4">
      <c r="A449" s="34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20"/>
      <c r="P449" s="20"/>
      <c r="Q449" s="20"/>
      <c r="R449" s="20"/>
      <c r="S449" s="20"/>
      <c r="T449" s="35"/>
      <c r="U449" s="35"/>
      <c r="V449" s="3"/>
      <c r="W449" s="3"/>
      <c r="X449" s="36"/>
      <c r="Y449" s="3"/>
      <c r="Z449" s="3"/>
      <c r="AA449" s="35"/>
      <c r="AB449" s="35"/>
      <c r="AC449" s="35"/>
      <c r="AD449" s="4"/>
      <c r="AE449" s="4"/>
      <c r="AF449" s="4"/>
      <c r="AG449" s="4"/>
      <c r="AH449" s="4"/>
      <c r="AI449" s="4"/>
      <c r="AJ449" s="4"/>
      <c r="AK449" s="4"/>
      <c r="AL449" s="4"/>
    </row>
    <row r="450" spans="1:38" ht="14.4">
      <c r="A450" s="34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20"/>
      <c r="P450" s="20"/>
      <c r="Q450" s="20"/>
      <c r="R450" s="20"/>
      <c r="S450" s="20"/>
      <c r="T450" s="35"/>
      <c r="U450" s="35"/>
      <c r="V450" s="3"/>
      <c r="W450" s="3"/>
      <c r="X450" s="36"/>
      <c r="Y450" s="3"/>
      <c r="Z450" s="3"/>
      <c r="AA450" s="35"/>
      <c r="AB450" s="35"/>
      <c r="AC450" s="35"/>
      <c r="AD450" s="4"/>
      <c r="AE450" s="4"/>
      <c r="AF450" s="4"/>
      <c r="AG450" s="4"/>
      <c r="AH450" s="4"/>
      <c r="AI450" s="4"/>
      <c r="AJ450" s="4"/>
      <c r="AK450" s="4"/>
      <c r="AL450" s="4"/>
    </row>
    <row r="451" spans="1:38" ht="14.4">
      <c r="A451" s="34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20"/>
      <c r="P451" s="20"/>
      <c r="Q451" s="20"/>
      <c r="R451" s="20"/>
      <c r="S451" s="20"/>
      <c r="T451" s="35"/>
      <c r="U451" s="35"/>
      <c r="V451" s="3"/>
      <c r="W451" s="3"/>
      <c r="X451" s="36"/>
      <c r="Y451" s="3"/>
      <c r="Z451" s="3"/>
      <c r="AA451" s="35"/>
      <c r="AB451" s="35"/>
      <c r="AC451" s="35"/>
      <c r="AD451" s="4"/>
      <c r="AE451" s="4"/>
      <c r="AF451" s="4"/>
      <c r="AG451" s="4"/>
      <c r="AH451" s="4"/>
      <c r="AI451" s="4"/>
      <c r="AJ451" s="4"/>
      <c r="AK451" s="4"/>
      <c r="AL451" s="4"/>
    </row>
    <row r="452" spans="1:38" ht="14.4">
      <c r="A452" s="34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20"/>
      <c r="P452" s="20"/>
      <c r="Q452" s="20"/>
      <c r="R452" s="20"/>
      <c r="S452" s="20"/>
      <c r="T452" s="35"/>
      <c r="U452" s="35"/>
      <c r="V452" s="3"/>
      <c r="W452" s="3"/>
      <c r="X452" s="36"/>
      <c r="Y452" s="3"/>
      <c r="Z452" s="3"/>
      <c r="AA452" s="35"/>
      <c r="AB452" s="35"/>
      <c r="AC452" s="35"/>
      <c r="AD452" s="4"/>
      <c r="AE452" s="4"/>
      <c r="AF452" s="4"/>
      <c r="AG452" s="4"/>
      <c r="AH452" s="4"/>
      <c r="AI452" s="4"/>
      <c r="AJ452" s="4"/>
      <c r="AK452" s="4"/>
      <c r="AL452" s="4"/>
    </row>
    <row r="453" spans="1:38" ht="14.4">
      <c r="A453" s="34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20"/>
      <c r="P453" s="20"/>
      <c r="Q453" s="20"/>
      <c r="R453" s="20"/>
      <c r="S453" s="20"/>
      <c r="T453" s="35"/>
      <c r="U453" s="35"/>
      <c r="V453" s="3"/>
      <c r="W453" s="3"/>
      <c r="X453" s="36"/>
      <c r="Y453" s="3"/>
      <c r="Z453" s="3"/>
      <c r="AA453" s="35"/>
      <c r="AB453" s="35"/>
      <c r="AC453" s="35"/>
      <c r="AD453" s="4"/>
      <c r="AE453" s="4"/>
      <c r="AF453" s="4"/>
      <c r="AG453" s="4"/>
      <c r="AH453" s="4"/>
      <c r="AI453" s="4"/>
      <c r="AJ453" s="4"/>
      <c r="AK453" s="4"/>
      <c r="AL453" s="4"/>
    </row>
    <row r="454" spans="1:38" ht="14.4">
      <c r="A454" s="34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20"/>
      <c r="P454" s="20"/>
      <c r="Q454" s="20"/>
      <c r="R454" s="20"/>
      <c r="S454" s="20"/>
      <c r="T454" s="35"/>
      <c r="U454" s="35"/>
      <c r="V454" s="3"/>
      <c r="W454" s="3"/>
      <c r="X454" s="36"/>
      <c r="Y454" s="3"/>
      <c r="Z454" s="3"/>
      <c r="AA454" s="35"/>
      <c r="AB454" s="35"/>
      <c r="AC454" s="35"/>
      <c r="AD454" s="4"/>
      <c r="AE454" s="4"/>
      <c r="AF454" s="4"/>
      <c r="AG454" s="4"/>
      <c r="AH454" s="4"/>
      <c r="AI454" s="4"/>
      <c r="AJ454" s="4"/>
      <c r="AK454" s="4"/>
      <c r="AL454" s="4"/>
    </row>
    <row r="455" spans="1:38" ht="14.4">
      <c r="A455" s="34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20"/>
      <c r="P455" s="20"/>
      <c r="Q455" s="20"/>
      <c r="R455" s="20"/>
      <c r="S455" s="20"/>
      <c r="T455" s="35"/>
      <c r="U455" s="35"/>
      <c r="V455" s="3"/>
      <c r="W455" s="3"/>
      <c r="X455" s="36"/>
      <c r="Y455" s="3"/>
      <c r="Z455" s="3"/>
      <c r="AA455" s="35"/>
      <c r="AB455" s="35"/>
      <c r="AC455" s="35"/>
      <c r="AD455" s="4"/>
      <c r="AE455" s="4"/>
      <c r="AF455" s="4"/>
      <c r="AG455" s="4"/>
      <c r="AH455" s="4"/>
      <c r="AI455" s="4"/>
      <c r="AJ455" s="4"/>
      <c r="AK455" s="4"/>
      <c r="AL455" s="4"/>
    </row>
    <row r="456" spans="1:38" ht="14.4">
      <c r="A456" s="34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20"/>
      <c r="P456" s="20"/>
      <c r="Q456" s="20"/>
      <c r="R456" s="20"/>
      <c r="S456" s="20"/>
      <c r="T456" s="35"/>
      <c r="U456" s="35"/>
      <c r="V456" s="3"/>
      <c r="W456" s="3"/>
      <c r="X456" s="36"/>
      <c r="Y456" s="3"/>
      <c r="Z456" s="3"/>
      <c r="AA456" s="35"/>
      <c r="AB456" s="35"/>
      <c r="AC456" s="35"/>
      <c r="AD456" s="4"/>
      <c r="AE456" s="4"/>
      <c r="AF456" s="4"/>
      <c r="AG456" s="4"/>
      <c r="AH456" s="4"/>
      <c r="AI456" s="4"/>
      <c r="AJ456" s="4"/>
      <c r="AK456" s="4"/>
      <c r="AL456" s="4"/>
    </row>
    <row r="457" spans="1:38" ht="14.4">
      <c r="A457" s="34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20"/>
      <c r="P457" s="20"/>
      <c r="Q457" s="20"/>
      <c r="R457" s="20"/>
      <c r="S457" s="20"/>
      <c r="T457" s="35"/>
      <c r="U457" s="35"/>
      <c r="V457" s="3"/>
      <c r="W457" s="3"/>
      <c r="X457" s="36"/>
      <c r="Y457" s="3"/>
      <c r="Z457" s="3"/>
      <c r="AA457" s="35"/>
      <c r="AB457" s="35"/>
      <c r="AC457" s="35"/>
      <c r="AD457" s="4"/>
      <c r="AE457" s="4"/>
      <c r="AF457" s="4"/>
      <c r="AG457" s="4"/>
      <c r="AH457" s="4"/>
      <c r="AI457" s="4"/>
      <c r="AJ457" s="4"/>
      <c r="AK457" s="4"/>
      <c r="AL457" s="4"/>
    </row>
    <row r="458" spans="1:38" ht="14.4">
      <c r="A458" s="34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20"/>
      <c r="P458" s="20"/>
      <c r="Q458" s="20"/>
      <c r="R458" s="20"/>
      <c r="S458" s="20"/>
      <c r="T458" s="35"/>
      <c r="U458" s="35"/>
      <c r="V458" s="3"/>
      <c r="W458" s="3"/>
      <c r="X458" s="36"/>
      <c r="Y458" s="3"/>
      <c r="Z458" s="3"/>
      <c r="AA458" s="35"/>
      <c r="AB458" s="35"/>
      <c r="AC458" s="35"/>
      <c r="AD458" s="4"/>
      <c r="AE458" s="4"/>
      <c r="AF458" s="4"/>
      <c r="AG458" s="4"/>
      <c r="AH458" s="4"/>
      <c r="AI458" s="4"/>
      <c r="AJ458" s="4"/>
      <c r="AK458" s="4"/>
      <c r="AL458" s="4"/>
    </row>
    <row r="459" spans="1:38" ht="14.4">
      <c r="A459" s="34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20"/>
      <c r="P459" s="20"/>
      <c r="Q459" s="20"/>
      <c r="R459" s="20"/>
      <c r="S459" s="20"/>
      <c r="T459" s="35"/>
      <c r="U459" s="35"/>
      <c r="V459" s="3"/>
      <c r="W459" s="3"/>
      <c r="X459" s="36"/>
      <c r="Y459" s="3"/>
      <c r="Z459" s="3"/>
      <c r="AA459" s="35"/>
      <c r="AB459" s="35"/>
      <c r="AC459" s="35"/>
      <c r="AD459" s="4"/>
      <c r="AE459" s="4"/>
      <c r="AF459" s="4"/>
      <c r="AG459" s="4"/>
      <c r="AH459" s="4"/>
      <c r="AI459" s="4"/>
      <c r="AJ459" s="4"/>
      <c r="AK459" s="4"/>
      <c r="AL459" s="4"/>
    </row>
    <row r="460" spans="1:38" ht="14.4">
      <c r="A460" s="34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20"/>
      <c r="P460" s="20"/>
      <c r="Q460" s="20"/>
      <c r="R460" s="20"/>
      <c r="S460" s="20"/>
      <c r="T460" s="35"/>
      <c r="U460" s="35"/>
      <c r="V460" s="3"/>
      <c r="W460" s="3"/>
      <c r="X460" s="36"/>
      <c r="Y460" s="3"/>
      <c r="Z460" s="3"/>
      <c r="AA460" s="35"/>
      <c r="AB460" s="35"/>
      <c r="AC460" s="35"/>
      <c r="AD460" s="4"/>
      <c r="AE460" s="4"/>
      <c r="AF460" s="4"/>
      <c r="AG460" s="4"/>
      <c r="AH460" s="4"/>
      <c r="AI460" s="4"/>
      <c r="AJ460" s="4"/>
      <c r="AK460" s="4"/>
      <c r="AL460" s="4"/>
    </row>
    <row r="461" spans="1:38" ht="14.4">
      <c r="A461" s="34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20"/>
      <c r="P461" s="20"/>
      <c r="Q461" s="20"/>
      <c r="R461" s="20"/>
      <c r="S461" s="20"/>
      <c r="T461" s="35"/>
      <c r="U461" s="35"/>
      <c r="V461" s="3"/>
      <c r="W461" s="3"/>
      <c r="X461" s="36"/>
      <c r="Y461" s="3"/>
      <c r="Z461" s="3"/>
      <c r="AA461" s="35"/>
      <c r="AB461" s="35"/>
      <c r="AC461" s="35"/>
      <c r="AD461" s="4"/>
      <c r="AE461" s="4"/>
      <c r="AF461" s="4"/>
      <c r="AG461" s="4"/>
      <c r="AH461" s="4"/>
      <c r="AI461" s="4"/>
      <c r="AJ461" s="4"/>
      <c r="AK461" s="4"/>
      <c r="AL461" s="4"/>
    </row>
    <row r="462" spans="1:38" ht="14.4">
      <c r="A462" s="34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20"/>
      <c r="P462" s="20"/>
      <c r="Q462" s="20"/>
      <c r="R462" s="20"/>
      <c r="S462" s="20"/>
      <c r="T462" s="35"/>
      <c r="U462" s="35"/>
      <c r="V462" s="3"/>
      <c r="W462" s="3"/>
      <c r="X462" s="36"/>
      <c r="Y462" s="3"/>
      <c r="Z462" s="3"/>
      <c r="AA462" s="35"/>
      <c r="AB462" s="35"/>
      <c r="AC462" s="35"/>
      <c r="AD462" s="4"/>
      <c r="AE462" s="4"/>
      <c r="AF462" s="4"/>
      <c r="AG462" s="4"/>
      <c r="AH462" s="4"/>
      <c r="AI462" s="4"/>
      <c r="AJ462" s="4"/>
      <c r="AK462" s="4"/>
      <c r="AL462" s="4"/>
    </row>
    <row r="463" spans="1:38" ht="14.4">
      <c r="A463" s="34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20"/>
      <c r="P463" s="20"/>
      <c r="Q463" s="20"/>
      <c r="R463" s="20"/>
      <c r="S463" s="20"/>
      <c r="T463" s="35"/>
      <c r="U463" s="35"/>
      <c r="V463" s="3"/>
      <c r="W463" s="3"/>
      <c r="X463" s="36"/>
      <c r="Y463" s="3"/>
      <c r="Z463" s="3"/>
      <c r="AA463" s="35"/>
      <c r="AB463" s="35"/>
      <c r="AC463" s="35"/>
      <c r="AD463" s="4"/>
      <c r="AE463" s="4"/>
      <c r="AF463" s="4"/>
      <c r="AG463" s="4"/>
      <c r="AH463" s="4"/>
      <c r="AI463" s="4"/>
      <c r="AJ463" s="4"/>
      <c r="AK463" s="4"/>
      <c r="AL463" s="4"/>
    </row>
    <row r="464" spans="1:38" ht="14.4">
      <c r="A464" s="34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20"/>
      <c r="P464" s="20"/>
      <c r="Q464" s="20"/>
      <c r="R464" s="20"/>
      <c r="S464" s="20"/>
      <c r="T464" s="35"/>
      <c r="U464" s="35"/>
      <c r="V464" s="3"/>
      <c r="W464" s="3"/>
      <c r="X464" s="36"/>
      <c r="Y464" s="3"/>
      <c r="Z464" s="3"/>
      <c r="AA464" s="35"/>
      <c r="AB464" s="35"/>
      <c r="AC464" s="35"/>
      <c r="AD464" s="4"/>
      <c r="AE464" s="4"/>
      <c r="AF464" s="4"/>
      <c r="AG464" s="4"/>
      <c r="AH464" s="4"/>
      <c r="AI464" s="4"/>
      <c r="AJ464" s="4"/>
      <c r="AK464" s="4"/>
      <c r="AL464" s="4"/>
    </row>
    <row r="465" spans="1:38" ht="14.4">
      <c r="A465" s="34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20"/>
      <c r="P465" s="20"/>
      <c r="Q465" s="20"/>
      <c r="R465" s="20"/>
      <c r="S465" s="20"/>
      <c r="T465" s="35"/>
      <c r="U465" s="35"/>
      <c r="V465" s="3"/>
      <c r="W465" s="3"/>
      <c r="X465" s="36"/>
      <c r="Y465" s="3"/>
      <c r="Z465" s="3"/>
      <c r="AA465" s="35"/>
      <c r="AB465" s="35"/>
      <c r="AC465" s="35"/>
      <c r="AD465" s="4"/>
      <c r="AE465" s="4"/>
      <c r="AF465" s="4"/>
      <c r="AG465" s="4"/>
      <c r="AH465" s="4"/>
      <c r="AI465" s="4"/>
      <c r="AJ465" s="4"/>
      <c r="AK465" s="4"/>
      <c r="AL465" s="4"/>
    </row>
    <row r="466" spans="1:38" ht="14.4">
      <c r="A466" s="34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20"/>
      <c r="P466" s="20"/>
      <c r="Q466" s="20"/>
      <c r="R466" s="20"/>
      <c r="S466" s="20"/>
      <c r="T466" s="35"/>
      <c r="U466" s="35"/>
      <c r="V466" s="3"/>
      <c r="W466" s="3"/>
      <c r="X466" s="36"/>
      <c r="Y466" s="3"/>
      <c r="Z466" s="3"/>
      <c r="AA466" s="35"/>
      <c r="AB466" s="35"/>
      <c r="AC466" s="35"/>
      <c r="AD466" s="4"/>
      <c r="AE466" s="4"/>
      <c r="AF466" s="4"/>
      <c r="AG466" s="4"/>
      <c r="AH466" s="4"/>
      <c r="AI466" s="4"/>
      <c r="AJ466" s="4"/>
      <c r="AK466" s="4"/>
      <c r="AL466" s="4"/>
    </row>
    <row r="467" spans="1:38" ht="14.4">
      <c r="A467" s="34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20"/>
      <c r="P467" s="20"/>
      <c r="Q467" s="20"/>
      <c r="R467" s="20"/>
      <c r="S467" s="20"/>
      <c r="T467" s="35"/>
      <c r="U467" s="35"/>
      <c r="V467" s="3"/>
      <c r="W467" s="3"/>
      <c r="X467" s="36"/>
      <c r="Y467" s="3"/>
      <c r="Z467" s="3"/>
      <c r="AA467" s="35"/>
      <c r="AB467" s="35"/>
      <c r="AC467" s="35"/>
      <c r="AD467" s="4"/>
      <c r="AE467" s="4"/>
      <c r="AF467" s="4"/>
      <c r="AG467" s="4"/>
      <c r="AH467" s="4"/>
      <c r="AI467" s="4"/>
      <c r="AJ467" s="4"/>
      <c r="AK467" s="4"/>
      <c r="AL467" s="4"/>
    </row>
    <row r="468" spans="1:38" ht="14.4">
      <c r="A468" s="34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20"/>
      <c r="P468" s="20"/>
      <c r="Q468" s="20"/>
      <c r="R468" s="20"/>
      <c r="S468" s="20"/>
      <c r="T468" s="35"/>
      <c r="U468" s="35"/>
      <c r="V468" s="3"/>
      <c r="W468" s="3"/>
      <c r="X468" s="36"/>
      <c r="Y468" s="3"/>
      <c r="Z468" s="3"/>
      <c r="AA468" s="35"/>
      <c r="AB468" s="35"/>
      <c r="AC468" s="35"/>
      <c r="AD468" s="4"/>
      <c r="AE468" s="4"/>
      <c r="AF468" s="4"/>
      <c r="AG468" s="4"/>
      <c r="AH468" s="4"/>
      <c r="AI468" s="4"/>
      <c r="AJ468" s="4"/>
      <c r="AK468" s="4"/>
      <c r="AL468" s="4"/>
    </row>
    <row r="469" spans="1:38" ht="14.4">
      <c r="A469" s="34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20"/>
      <c r="P469" s="20"/>
      <c r="Q469" s="20"/>
      <c r="R469" s="20"/>
      <c r="S469" s="20"/>
      <c r="T469" s="35"/>
      <c r="U469" s="35"/>
      <c r="V469" s="3"/>
      <c r="W469" s="3"/>
      <c r="X469" s="36"/>
      <c r="Y469" s="3"/>
      <c r="Z469" s="3"/>
      <c r="AA469" s="35"/>
      <c r="AB469" s="35"/>
      <c r="AC469" s="35"/>
      <c r="AD469" s="4"/>
      <c r="AE469" s="4"/>
      <c r="AF469" s="4"/>
      <c r="AG469" s="4"/>
      <c r="AH469" s="4"/>
      <c r="AI469" s="4"/>
      <c r="AJ469" s="4"/>
      <c r="AK469" s="4"/>
      <c r="AL469" s="4"/>
    </row>
    <row r="470" spans="1:38" ht="14.4">
      <c r="A470" s="34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20"/>
      <c r="P470" s="20"/>
      <c r="Q470" s="20"/>
      <c r="R470" s="20"/>
      <c r="S470" s="20"/>
      <c r="T470" s="35"/>
      <c r="U470" s="35"/>
      <c r="V470" s="3"/>
      <c r="W470" s="3"/>
      <c r="X470" s="36"/>
      <c r="Y470" s="3"/>
      <c r="Z470" s="3"/>
      <c r="AA470" s="35"/>
      <c r="AB470" s="35"/>
      <c r="AC470" s="35"/>
      <c r="AD470" s="4"/>
      <c r="AE470" s="4"/>
      <c r="AF470" s="4"/>
      <c r="AG470" s="4"/>
      <c r="AH470" s="4"/>
      <c r="AI470" s="4"/>
      <c r="AJ470" s="4"/>
      <c r="AK470" s="4"/>
      <c r="AL470" s="4"/>
    </row>
    <row r="471" spans="1:38" ht="14.4">
      <c r="A471" s="34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20"/>
      <c r="P471" s="20"/>
      <c r="Q471" s="20"/>
      <c r="R471" s="20"/>
      <c r="S471" s="20"/>
      <c r="T471" s="35"/>
      <c r="U471" s="35"/>
      <c r="V471" s="3"/>
      <c r="W471" s="3"/>
      <c r="X471" s="36"/>
      <c r="Y471" s="3"/>
      <c r="Z471" s="3"/>
      <c r="AA471" s="35"/>
      <c r="AB471" s="35"/>
      <c r="AC471" s="35"/>
      <c r="AD471" s="4"/>
      <c r="AE471" s="4"/>
      <c r="AF471" s="4"/>
      <c r="AG471" s="4"/>
      <c r="AH471" s="4"/>
      <c r="AI471" s="4"/>
      <c r="AJ471" s="4"/>
      <c r="AK471" s="4"/>
      <c r="AL471" s="4"/>
    </row>
    <row r="472" spans="1:38" ht="14.4">
      <c r="A472" s="34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20"/>
      <c r="P472" s="20"/>
      <c r="Q472" s="20"/>
      <c r="R472" s="20"/>
      <c r="S472" s="20"/>
      <c r="T472" s="35"/>
      <c r="U472" s="35"/>
      <c r="V472" s="3"/>
      <c r="W472" s="3"/>
      <c r="X472" s="36"/>
      <c r="Y472" s="3"/>
      <c r="Z472" s="3"/>
      <c r="AA472" s="35"/>
      <c r="AB472" s="35"/>
      <c r="AC472" s="35"/>
      <c r="AD472" s="4"/>
      <c r="AE472" s="4"/>
      <c r="AF472" s="4"/>
      <c r="AG472" s="4"/>
      <c r="AH472" s="4"/>
      <c r="AI472" s="4"/>
      <c r="AJ472" s="4"/>
      <c r="AK472" s="4"/>
      <c r="AL472" s="4"/>
    </row>
    <row r="473" spans="1:38" ht="14.4">
      <c r="A473" s="34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20"/>
      <c r="P473" s="20"/>
      <c r="Q473" s="20"/>
      <c r="R473" s="20"/>
      <c r="S473" s="20"/>
      <c r="T473" s="35"/>
      <c r="U473" s="35"/>
      <c r="V473" s="3"/>
      <c r="W473" s="3"/>
      <c r="X473" s="36"/>
      <c r="Y473" s="3"/>
      <c r="Z473" s="3"/>
      <c r="AA473" s="35"/>
      <c r="AB473" s="35"/>
      <c r="AC473" s="35"/>
      <c r="AD473" s="4"/>
      <c r="AE473" s="4"/>
      <c r="AF473" s="4"/>
      <c r="AG473" s="4"/>
      <c r="AH473" s="4"/>
      <c r="AI473" s="4"/>
      <c r="AJ473" s="4"/>
      <c r="AK473" s="4"/>
      <c r="AL473" s="4"/>
    </row>
    <row r="474" spans="1:38" ht="14.4">
      <c r="A474" s="34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20"/>
      <c r="P474" s="20"/>
      <c r="Q474" s="20"/>
      <c r="R474" s="20"/>
      <c r="S474" s="20"/>
      <c r="T474" s="35"/>
      <c r="U474" s="35"/>
      <c r="V474" s="3"/>
      <c r="W474" s="3"/>
      <c r="X474" s="36"/>
      <c r="Y474" s="3"/>
      <c r="Z474" s="3"/>
      <c r="AA474" s="35"/>
      <c r="AB474" s="35"/>
      <c r="AC474" s="35"/>
      <c r="AD474" s="4"/>
      <c r="AE474" s="4"/>
      <c r="AF474" s="4"/>
      <c r="AG474" s="4"/>
      <c r="AH474" s="4"/>
      <c r="AI474" s="4"/>
      <c r="AJ474" s="4"/>
      <c r="AK474" s="4"/>
      <c r="AL474" s="4"/>
    </row>
    <row r="475" spans="1:38" ht="14.4">
      <c r="A475" s="34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20"/>
      <c r="P475" s="20"/>
      <c r="Q475" s="20"/>
      <c r="R475" s="20"/>
      <c r="S475" s="20"/>
      <c r="T475" s="35"/>
      <c r="U475" s="35"/>
      <c r="V475" s="3"/>
      <c r="W475" s="3"/>
      <c r="X475" s="36"/>
      <c r="Y475" s="3"/>
      <c r="Z475" s="3"/>
      <c r="AA475" s="35"/>
      <c r="AB475" s="35"/>
      <c r="AC475" s="35"/>
      <c r="AD475" s="4"/>
      <c r="AE475" s="4"/>
      <c r="AF475" s="4"/>
      <c r="AG475" s="4"/>
      <c r="AH475" s="4"/>
      <c r="AI475" s="4"/>
      <c r="AJ475" s="4"/>
      <c r="AK475" s="4"/>
      <c r="AL475" s="4"/>
    </row>
    <row r="476" spans="1:38" ht="14.4">
      <c r="A476" s="34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20"/>
      <c r="P476" s="20"/>
      <c r="Q476" s="20"/>
      <c r="R476" s="20"/>
      <c r="S476" s="20"/>
      <c r="T476" s="35"/>
      <c r="U476" s="35"/>
      <c r="V476" s="3"/>
      <c r="W476" s="3"/>
      <c r="X476" s="36"/>
      <c r="Y476" s="3"/>
      <c r="Z476" s="3"/>
      <c r="AA476" s="35"/>
      <c r="AB476" s="35"/>
      <c r="AC476" s="35"/>
      <c r="AD476" s="4"/>
      <c r="AE476" s="4"/>
      <c r="AF476" s="4"/>
      <c r="AG476" s="4"/>
      <c r="AH476" s="4"/>
      <c r="AI476" s="4"/>
      <c r="AJ476" s="4"/>
      <c r="AK476" s="4"/>
      <c r="AL476" s="4"/>
    </row>
    <row r="477" spans="1:38" ht="14.4">
      <c r="A477" s="34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20"/>
      <c r="P477" s="20"/>
      <c r="Q477" s="20"/>
      <c r="R477" s="20"/>
      <c r="S477" s="20"/>
      <c r="T477" s="35"/>
      <c r="U477" s="35"/>
      <c r="V477" s="3"/>
      <c r="W477" s="3"/>
      <c r="X477" s="36"/>
      <c r="Y477" s="3"/>
      <c r="Z477" s="3"/>
      <c r="AA477" s="35"/>
      <c r="AB477" s="35"/>
      <c r="AC477" s="35"/>
      <c r="AD477" s="4"/>
      <c r="AE477" s="4"/>
      <c r="AF477" s="4"/>
      <c r="AG477" s="4"/>
      <c r="AH477" s="4"/>
      <c r="AI477" s="4"/>
      <c r="AJ477" s="4"/>
      <c r="AK477" s="4"/>
      <c r="AL477" s="4"/>
    </row>
    <row r="478" spans="1:38" ht="14.4">
      <c r="A478" s="34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20"/>
      <c r="P478" s="20"/>
      <c r="Q478" s="20"/>
      <c r="R478" s="20"/>
      <c r="S478" s="20"/>
      <c r="T478" s="35"/>
      <c r="U478" s="35"/>
      <c r="V478" s="3"/>
      <c r="W478" s="3"/>
      <c r="X478" s="36"/>
      <c r="Y478" s="3"/>
      <c r="Z478" s="3"/>
      <c r="AA478" s="35"/>
      <c r="AB478" s="35"/>
      <c r="AC478" s="35"/>
      <c r="AD478" s="4"/>
      <c r="AE478" s="4"/>
      <c r="AF478" s="4"/>
      <c r="AG478" s="4"/>
      <c r="AH478" s="4"/>
      <c r="AI478" s="4"/>
      <c r="AJ478" s="4"/>
      <c r="AK478" s="4"/>
      <c r="AL478" s="4"/>
    </row>
    <row r="479" spans="1:38" ht="14.4">
      <c r="A479" s="34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20"/>
      <c r="P479" s="20"/>
      <c r="Q479" s="20"/>
      <c r="R479" s="20"/>
      <c r="S479" s="20"/>
      <c r="T479" s="35"/>
      <c r="U479" s="35"/>
      <c r="V479" s="3"/>
      <c r="W479" s="3"/>
      <c r="X479" s="36"/>
      <c r="Y479" s="3"/>
      <c r="Z479" s="3"/>
      <c r="AA479" s="35"/>
      <c r="AB479" s="35"/>
      <c r="AC479" s="35"/>
      <c r="AD479" s="4"/>
      <c r="AE479" s="4"/>
      <c r="AF479" s="4"/>
      <c r="AG479" s="4"/>
      <c r="AH479" s="4"/>
      <c r="AI479" s="4"/>
      <c r="AJ479" s="4"/>
      <c r="AK479" s="4"/>
      <c r="AL479" s="4"/>
    </row>
    <row r="480" spans="1:38" ht="14.4">
      <c r="A480" s="34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20"/>
      <c r="P480" s="20"/>
      <c r="Q480" s="20"/>
      <c r="R480" s="20"/>
      <c r="S480" s="20"/>
      <c r="T480" s="35"/>
      <c r="U480" s="35"/>
      <c r="V480" s="3"/>
      <c r="W480" s="3"/>
      <c r="X480" s="36"/>
      <c r="Y480" s="3"/>
      <c r="Z480" s="3"/>
      <c r="AA480" s="35"/>
      <c r="AB480" s="35"/>
      <c r="AC480" s="35"/>
      <c r="AD480" s="4"/>
      <c r="AE480" s="4"/>
      <c r="AF480" s="4"/>
      <c r="AG480" s="4"/>
      <c r="AH480" s="4"/>
      <c r="AI480" s="4"/>
      <c r="AJ480" s="4"/>
      <c r="AK480" s="4"/>
      <c r="AL480" s="4"/>
    </row>
    <row r="481" spans="1:38" ht="14.4">
      <c r="A481" s="34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20"/>
      <c r="P481" s="20"/>
      <c r="Q481" s="20"/>
      <c r="R481" s="20"/>
      <c r="S481" s="20"/>
      <c r="T481" s="35"/>
      <c r="U481" s="35"/>
      <c r="V481" s="3"/>
      <c r="W481" s="3"/>
      <c r="X481" s="36"/>
      <c r="Y481" s="3"/>
      <c r="Z481" s="3"/>
      <c r="AA481" s="35"/>
      <c r="AB481" s="35"/>
      <c r="AC481" s="35"/>
      <c r="AD481" s="4"/>
      <c r="AE481" s="4"/>
      <c r="AF481" s="4"/>
      <c r="AG481" s="4"/>
      <c r="AH481" s="4"/>
      <c r="AI481" s="4"/>
      <c r="AJ481" s="4"/>
      <c r="AK481" s="4"/>
      <c r="AL481" s="4"/>
    </row>
    <row r="482" spans="1:38" ht="14.4">
      <c r="A482" s="34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20"/>
      <c r="P482" s="20"/>
      <c r="Q482" s="20"/>
      <c r="R482" s="20"/>
      <c r="S482" s="20"/>
      <c r="T482" s="35"/>
      <c r="U482" s="35"/>
      <c r="V482" s="3"/>
      <c r="W482" s="3"/>
      <c r="X482" s="36"/>
      <c r="Y482" s="3"/>
      <c r="Z482" s="3"/>
      <c r="AA482" s="35"/>
      <c r="AB482" s="35"/>
      <c r="AC482" s="35"/>
      <c r="AD482" s="4"/>
      <c r="AE482" s="4"/>
      <c r="AF482" s="4"/>
      <c r="AG482" s="4"/>
      <c r="AH482" s="4"/>
      <c r="AI482" s="4"/>
      <c r="AJ482" s="4"/>
      <c r="AK482" s="4"/>
      <c r="AL482" s="4"/>
    </row>
    <row r="483" spans="1:38" ht="14.4">
      <c r="A483" s="34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20"/>
      <c r="P483" s="20"/>
      <c r="Q483" s="20"/>
      <c r="R483" s="20"/>
      <c r="S483" s="20"/>
      <c r="T483" s="35"/>
      <c r="U483" s="35"/>
      <c r="V483" s="3"/>
      <c r="W483" s="3"/>
      <c r="X483" s="36"/>
      <c r="Y483" s="3"/>
      <c r="Z483" s="3"/>
      <c r="AA483" s="35"/>
      <c r="AB483" s="35"/>
      <c r="AC483" s="35"/>
      <c r="AD483" s="4"/>
      <c r="AE483" s="4"/>
      <c r="AF483" s="4"/>
      <c r="AG483" s="4"/>
      <c r="AH483" s="4"/>
      <c r="AI483" s="4"/>
      <c r="AJ483" s="4"/>
      <c r="AK483" s="4"/>
      <c r="AL483" s="4"/>
    </row>
    <row r="484" spans="1:38" ht="14.4">
      <c r="A484" s="34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20"/>
      <c r="P484" s="20"/>
      <c r="Q484" s="20"/>
      <c r="R484" s="20"/>
      <c r="S484" s="20"/>
      <c r="T484" s="35"/>
      <c r="U484" s="35"/>
      <c r="V484" s="3"/>
      <c r="W484" s="3"/>
      <c r="X484" s="36"/>
      <c r="Y484" s="3"/>
      <c r="Z484" s="3"/>
      <c r="AA484" s="35"/>
      <c r="AB484" s="35"/>
      <c r="AC484" s="35"/>
      <c r="AD484" s="4"/>
      <c r="AE484" s="4"/>
      <c r="AF484" s="4"/>
      <c r="AG484" s="4"/>
      <c r="AH484" s="4"/>
      <c r="AI484" s="4"/>
      <c r="AJ484" s="4"/>
      <c r="AK484" s="4"/>
      <c r="AL484" s="4"/>
    </row>
    <row r="485" spans="1:38" ht="14.4">
      <c r="A485" s="34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20"/>
      <c r="P485" s="20"/>
      <c r="Q485" s="20"/>
      <c r="R485" s="20"/>
      <c r="S485" s="20"/>
      <c r="T485" s="35"/>
      <c r="U485" s="35"/>
      <c r="V485" s="3"/>
      <c r="W485" s="3"/>
      <c r="X485" s="36"/>
      <c r="Y485" s="3"/>
      <c r="Z485" s="3"/>
      <c r="AA485" s="35"/>
      <c r="AB485" s="35"/>
      <c r="AC485" s="35"/>
      <c r="AD485" s="4"/>
      <c r="AE485" s="4"/>
      <c r="AF485" s="4"/>
      <c r="AG485" s="4"/>
      <c r="AH485" s="4"/>
      <c r="AI485" s="4"/>
      <c r="AJ485" s="4"/>
      <c r="AK485" s="4"/>
      <c r="AL485" s="4"/>
    </row>
    <row r="486" spans="1:38" ht="14.4">
      <c r="A486" s="34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20"/>
      <c r="P486" s="20"/>
      <c r="Q486" s="20"/>
      <c r="R486" s="20"/>
      <c r="S486" s="20"/>
      <c r="T486" s="35"/>
      <c r="U486" s="35"/>
      <c r="V486" s="3"/>
      <c r="W486" s="3"/>
      <c r="X486" s="36"/>
      <c r="Y486" s="3"/>
      <c r="Z486" s="3"/>
      <c r="AA486" s="35"/>
      <c r="AB486" s="35"/>
      <c r="AC486" s="35"/>
      <c r="AD486" s="4"/>
      <c r="AE486" s="4"/>
      <c r="AF486" s="4"/>
      <c r="AG486" s="4"/>
      <c r="AH486" s="4"/>
      <c r="AI486" s="4"/>
      <c r="AJ486" s="4"/>
      <c r="AK486" s="4"/>
      <c r="AL486" s="4"/>
    </row>
    <row r="487" spans="1:38" ht="14.4">
      <c r="A487" s="34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20"/>
      <c r="P487" s="20"/>
      <c r="Q487" s="20"/>
      <c r="R487" s="20"/>
      <c r="S487" s="20"/>
      <c r="T487" s="35"/>
      <c r="U487" s="35"/>
      <c r="V487" s="3"/>
      <c r="W487" s="3"/>
      <c r="X487" s="36"/>
      <c r="Y487" s="3"/>
      <c r="Z487" s="3"/>
      <c r="AA487" s="35"/>
      <c r="AB487" s="35"/>
      <c r="AC487" s="35"/>
      <c r="AD487" s="4"/>
      <c r="AE487" s="4"/>
      <c r="AF487" s="4"/>
      <c r="AG487" s="4"/>
      <c r="AH487" s="4"/>
      <c r="AI487" s="4"/>
      <c r="AJ487" s="4"/>
      <c r="AK487" s="4"/>
      <c r="AL487" s="4"/>
    </row>
    <row r="488" spans="1:38" ht="14.4">
      <c r="A488" s="34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20"/>
      <c r="P488" s="20"/>
      <c r="Q488" s="20"/>
      <c r="R488" s="20"/>
      <c r="S488" s="20"/>
      <c r="T488" s="35"/>
      <c r="U488" s="35"/>
      <c r="V488" s="3"/>
      <c r="W488" s="3"/>
      <c r="X488" s="36"/>
      <c r="Y488" s="3"/>
      <c r="Z488" s="3"/>
      <c r="AA488" s="35"/>
      <c r="AB488" s="35"/>
      <c r="AC488" s="35"/>
      <c r="AD488" s="4"/>
      <c r="AE488" s="4"/>
      <c r="AF488" s="4"/>
      <c r="AG488" s="4"/>
      <c r="AH488" s="4"/>
      <c r="AI488" s="4"/>
      <c r="AJ488" s="4"/>
      <c r="AK488" s="4"/>
      <c r="AL488" s="4"/>
    </row>
    <row r="489" spans="1:38" ht="14.4">
      <c r="A489" s="34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20"/>
      <c r="P489" s="20"/>
      <c r="Q489" s="20"/>
      <c r="R489" s="20"/>
      <c r="S489" s="20"/>
      <c r="T489" s="35"/>
      <c r="U489" s="35"/>
      <c r="V489" s="3"/>
      <c r="W489" s="3"/>
      <c r="X489" s="36"/>
      <c r="Y489" s="3"/>
      <c r="Z489" s="3"/>
      <c r="AA489" s="35"/>
      <c r="AB489" s="35"/>
      <c r="AC489" s="35"/>
      <c r="AD489" s="4"/>
      <c r="AE489" s="4"/>
      <c r="AF489" s="4"/>
      <c r="AG489" s="4"/>
      <c r="AH489" s="4"/>
      <c r="AI489" s="4"/>
      <c r="AJ489" s="4"/>
      <c r="AK489" s="4"/>
      <c r="AL489" s="4"/>
    </row>
    <row r="490" spans="1:38" ht="14.4">
      <c r="A490" s="34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20"/>
      <c r="P490" s="20"/>
      <c r="Q490" s="20"/>
      <c r="R490" s="20"/>
      <c r="S490" s="20"/>
      <c r="T490" s="35"/>
      <c r="U490" s="35"/>
      <c r="V490" s="3"/>
      <c r="W490" s="3"/>
      <c r="X490" s="36"/>
      <c r="Y490" s="3"/>
      <c r="Z490" s="3"/>
      <c r="AA490" s="35"/>
      <c r="AB490" s="35"/>
      <c r="AC490" s="35"/>
      <c r="AD490" s="4"/>
      <c r="AE490" s="4"/>
      <c r="AF490" s="4"/>
      <c r="AG490" s="4"/>
      <c r="AH490" s="4"/>
      <c r="AI490" s="4"/>
      <c r="AJ490" s="4"/>
      <c r="AK490" s="4"/>
      <c r="AL490" s="4"/>
    </row>
    <row r="491" spans="1:38" ht="14.4">
      <c r="A491" s="34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20"/>
      <c r="P491" s="20"/>
      <c r="Q491" s="20"/>
      <c r="R491" s="20"/>
      <c r="S491" s="20"/>
      <c r="T491" s="35"/>
      <c r="U491" s="35"/>
      <c r="V491" s="3"/>
      <c r="W491" s="3"/>
      <c r="X491" s="36"/>
      <c r="Y491" s="3"/>
      <c r="Z491" s="3"/>
      <c r="AA491" s="35"/>
      <c r="AB491" s="35"/>
      <c r="AC491" s="35"/>
      <c r="AD491" s="4"/>
      <c r="AE491" s="4"/>
      <c r="AF491" s="4"/>
      <c r="AG491" s="4"/>
      <c r="AH491" s="4"/>
      <c r="AI491" s="4"/>
      <c r="AJ491" s="4"/>
      <c r="AK491" s="4"/>
      <c r="AL491" s="4"/>
    </row>
    <row r="492" spans="1:38" ht="14.4">
      <c r="A492" s="34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20"/>
      <c r="P492" s="20"/>
      <c r="Q492" s="20"/>
      <c r="R492" s="20"/>
      <c r="S492" s="20"/>
      <c r="T492" s="35"/>
      <c r="U492" s="35"/>
      <c r="V492" s="3"/>
      <c r="W492" s="3"/>
      <c r="X492" s="36"/>
      <c r="Y492" s="3"/>
      <c r="Z492" s="3"/>
      <c r="AA492" s="35"/>
      <c r="AB492" s="35"/>
      <c r="AC492" s="35"/>
      <c r="AD492" s="4"/>
      <c r="AE492" s="4"/>
      <c r="AF492" s="4"/>
      <c r="AG492" s="4"/>
      <c r="AH492" s="4"/>
      <c r="AI492" s="4"/>
      <c r="AJ492" s="4"/>
      <c r="AK492" s="4"/>
      <c r="AL492" s="4"/>
    </row>
    <row r="493" spans="1:38" ht="14.4">
      <c r="A493" s="34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20"/>
      <c r="P493" s="20"/>
      <c r="Q493" s="20"/>
      <c r="R493" s="20"/>
      <c r="S493" s="20"/>
      <c r="T493" s="35"/>
      <c r="U493" s="35"/>
      <c r="V493" s="3"/>
      <c r="W493" s="3"/>
      <c r="X493" s="36"/>
      <c r="Y493" s="3"/>
      <c r="Z493" s="3"/>
      <c r="AA493" s="35"/>
      <c r="AB493" s="35"/>
      <c r="AC493" s="35"/>
      <c r="AD493" s="4"/>
      <c r="AE493" s="4"/>
      <c r="AF493" s="4"/>
      <c r="AG493" s="4"/>
      <c r="AH493" s="4"/>
      <c r="AI493" s="4"/>
      <c r="AJ493" s="4"/>
      <c r="AK493" s="4"/>
      <c r="AL493" s="4"/>
    </row>
    <row r="494" spans="1:38" ht="14.4">
      <c r="A494" s="34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20"/>
      <c r="P494" s="20"/>
      <c r="Q494" s="20"/>
      <c r="R494" s="20"/>
      <c r="S494" s="20"/>
      <c r="T494" s="35"/>
      <c r="U494" s="35"/>
      <c r="V494" s="3"/>
      <c r="W494" s="3"/>
      <c r="X494" s="36"/>
      <c r="Y494" s="3"/>
      <c r="Z494" s="3"/>
      <c r="AA494" s="35"/>
      <c r="AB494" s="35"/>
      <c r="AC494" s="35"/>
      <c r="AD494" s="4"/>
      <c r="AE494" s="4"/>
      <c r="AF494" s="4"/>
      <c r="AG494" s="4"/>
      <c r="AH494" s="4"/>
      <c r="AI494" s="4"/>
      <c r="AJ494" s="4"/>
      <c r="AK494" s="4"/>
      <c r="AL494" s="4"/>
    </row>
    <row r="495" spans="1:38" ht="14.4">
      <c r="A495" s="34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20"/>
      <c r="P495" s="20"/>
      <c r="Q495" s="20"/>
      <c r="R495" s="20"/>
      <c r="S495" s="20"/>
      <c r="T495" s="35"/>
      <c r="U495" s="35"/>
      <c r="V495" s="3"/>
      <c r="W495" s="3"/>
      <c r="X495" s="36"/>
      <c r="Y495" s="3"/>
      <c r="Z495" s="3"/>
      <c r="AA495" s="35"/>
      <c r="AB495" s="35"/>
      <c r="AC495" s="35"/>
      <c r="AD495" s="4"/>
      <c r="AE495" s="4"/>
      <c r="AF495" s="4"/>
      <c r="AG495" s="4"/>
      <c r="AH495" s="4"/>
      <c r="AI495" s="4"/>
      <c r="AJ495" s="4"/>
      <c r="AK495" s="4"/>
      <c r="AL495" s="4"/>
    </row>
    <row r="496" spans="1:38" ht="14.4">
      <c r="A496" s="34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20"/>
      <c r="P496" s="20"/>
      <c r="Q496" s="20"/>
      <c r="R496" s="20"/>
      <c r="S496" s="20"/>
      <c r="T496" s="35"/>
      <c r="U496" s="35"/>
      <c r="V496" s="3"/>
      <c r="W496" s="3"/>
      <c r="X496" s="36"/>
      <c r="Y496" s="3"/>
      <c r="Z496" s="3"/>
      <c r="AA496" s="35"/>
      <c r="AB496" s="35"/>
      <c r="AC496" s="35"/>
      <c r="AD496" s="4"/>
      <c r="AE496" s="4"/>
      <c r="AF496" s="4"/>
      <c r="AG496" s="4"/>
      <c r="AH496" s="4"/>
      <c r="AI496" s="4"/>
      <c r="AJ496" s="4"/>
      <c r="AK496" s="4"/>
      <c r="AL496" s="4"/>
    </row>
    <row r="497" spans="1:38" ht="14.4">
      <c r="A497" s="34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20"/>
      <c r="P497" s="20"/>
      <c r="Q497" s="20"/>
      <c r="R497" s="20"/>
      <c r="S497" s="20"/>
      <c r="T497" s="35"/>
      <c r="U497" s="35"/>
      <c r="V497" s="3"/>
      <c r="W497" s="3"/>
      <c r="X497" s="36"/>
      <c r="Y497" s="3"/>
      <c r="Z497" s="3"/>
      <c r="AA497" s="35"/>
      <c r="AB497" s="35"/>
      <c r="AC497" s="35"/>
      <c r="AD497" s="4"/>
      <c r="AE497" s="4"/>
      <c r="AF497" s="4"/>
      <c r="AG497" s="4"/>
      <c r="AH497" s="4"/>
      <c r="AI497" s="4"/>
      <c r="AJ497" s="4"/>
      <c r="AK497" s="4"/>
      <c r="AL497" s="4"/>
    </row>
    <row r="498" spans="1:38" ht="14.4">
      <c r="A498" s="34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20"/>
      <c r="P498" s="20"/>
      <c r="Q498" s="20"/>
      <c r="R498" s="20"/>
      <c r="S498" s="20"/>
      <c r="T498" s="35"/>
      <c r="U498" s="35"/>
      <c r="V498" s="3"/>
      <c r="W498" s="3"/>
      <c r="X498" s="36"/>
      <c r="Y498" s="3"/>
      <c r="Z498" s="3"/>
      <c r="AA498" s="35"/>
      <c r="AB498" s="35"/>
      <c r="AC498" s="35"/>
      <c r="AD498" s="4"/>
      <c r="AE498" s="4"/>
      <c r="AF498" s="4"/>
      <c r="AG498" s="4"/>
      <c r="AH498" s="4"/>
      <c r="AI498" s="4"/>
      <c r="AJ498" s="4"/>
      <c r="AK498" s="4"/>
      <c r="AL498" s="4"/>
    </row>
    <row r="499" spans="1:38" ht="14.4">
      <c r="A499" s="34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20"/>
      <c r="P499" s="20"/>
      <c r="Q499" s="20"/>
      <c r="R499" s="20"/>
      <c r="S499" s="20"/>
      <c r="T499" s="35"/>
      <c r="U499" s="35"/>
      <c r="V499" s="3"/>
      <c r="W499" s="3"/>
      <c r="X499" s="36"/>
      <c r="Y499" s="3"/>
      <c r="Z499" s="3"/>
      <c r="AA499" s="35"/>
      <c r="AB499" s="35"/>
      <c r="AC499" s="35"/>
      <c r="AD499" s="4"/>
      <c r="AE499" s="4"/>
      <c r="AF499" s="4"/>
      <c r="AG499" s="4"/>
      <c r="AH499" s="4"/>
      <c r="AI499" s="4"/>
      <c r="AJ499" s="4"/>
      <c r="AK499" s="4"/>
      <c r="AL499" s="4"/>
    </row>
    <row r="500" spans="1:38" ht="14.4">
      <c r="A500" s="34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20"/>
      <c r="P500" s="20"/>
      <c r="Q500" s="20"/>
      <c r="R500" s="20"/>
      <c r="S500" s="20"/>
      <c r="T500" s="35"/>
      <c r="U500" s="35"/>
      <c r="V500" s="3"/>
      <c r="W500" s="3"/>
      <c r="X500" s="36"/>
      <c r="Y500" s="3"/>
      <c r="Z500" s="3"/>
      <c r="AA500" s="35"/>
      <c r="AB500" s="35"/>
      <c r="AC500" s="35"/>
      <c r="AD500" s="4"/>
      <c r="AE500" s="4"/>
      <c r="AF500" s="4"/>
      <c r="AG500" s="4"/>
      <c r="AH500" s="4"/>
      <c r="AI500" s="4"/>
      <c r="AJ500" s="4"/>
      <c r="AK500" s="4"/>
      <c r="AL500" s="4"/>
    </row>
    <row r="501" spans="1:38" ht="14.4">
      <c r="A501" s="34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20"/>
      <c r="P501" s="20"/>
      <c r="Q501" s="20"/>
      <c r="R501" s="20"/>
      <c r="S501" s="20"/>
      <c r="T501" s="35"/>
      <c r="U501" s="35"/>
      <c r="V501" s="3"/>
      <c r="W501" s="3"/>
      <c r="X501" s="36"/>
      <c r="Y501" s="3"/>
      <c r="Z501" s="3"/>
      <c r="AA501" s="35"/>
      <c r="AB501" s="35"/>
      <c r="AC501" s="35"/>
      <c r="AD501" s="4"/>
      <c r="AE501" s="4"/>
      <c r="AF501" s="4"/>
      <c r="AG501" s="4"/>
      <c r="AH501" s="4"/>
      <c r="AI501" s="4"/>
      <c r="AJ501" s="4"/>
      <c r="AK501" s="4"/>
      <c r="AL501" s="4"/>
    </row>
    <row r="502" spans="1:38" ht="14.4">
      <c r="A502" s="34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20"/>
      <c r="P502" s="20"/>
      <c r="Q502" s="20"/>
      <c r="R502" s="20"/>
      <c r="S502" s="20"/>
      <c r="T502" s="35"/>
      <c r="U502" s="35"/>
      <c r="V502" s="3"/>
      <c r="W502" s="3"/>
      <c r="X502" s="36"/>
      <c r="Y502" s="3"/>
      <c r="Z502" s="3"/>
      <c r="AA502" s="35"/>
      <c r="AB502" s="35"/>
      <c r="AC502" s="35"/>
      <c r="AD502" s="4"/>
      <c r="AE502" s="4"/>
      <c r="AF502" s="4"/>
      <c r="AG502" s="4"/>
      <c r="AH502" s="4"/>
      <c r="AI502" s="4"/>
      <c r="AJ502" s="4"/>
      <c r="AK502" s="4"/>
      <c r="AL502" s="4"/>
    </row>
    <row r="503" spans="1:38" ht="14.4">
      <c r="A503" s="34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20"/>
      <c r="P503" s="20"/>
      <c r="Q503" s="20"/>
      <c r="R503" s="20"/>
      <c r="S503" s="20"/>
      <c r="T503" s="35"/>
      <c r="U503" s="35"/>
      <c r="V503" s="3"/>
      <c r="W503" s="3"/>
      <c r="X503" s="36"/>
      <c r="Y503" s="3"/>
      <c r="Z503" s="3"/>
      <c r="AA503" s="35"/>
      <c r="AB503" s="35"/>
      <c r="AC503" s="35"/>
      <c r="AD503" s="4"/>
      <c r="AE503" s="4"/>
      <c r="AF503" s="4"/>
      <c r="AG503" s="4"/>
      <c r="AH503" s="4"/>
      <c r="AI503" s="4"/>
      <c r="AJ503" s="4"/>
      <c r="AK503" s="4"/>
      <c r="AL503" s="4"/>
    </row>
    <row r="504" spans="1:38" ht="14.4">
      <c r="A504" s="34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20"/>
      <c r="P504" s="20"/>
      <c r="Q504" s="20"/>
      <c r="R504" s="20"/>
      <c r="S504" s="20"/>
      <c r="T504" s="35"/>
      <c r="U504" s="35"/>
      <c r="V504" s="3"/>
      <c r="W504" s="3"/>
      <c r="X504" s="36"/>
      <c r="Y504" s="3"/>
      <c r="Z504" s="3"/>
      <c r="AA504" s="35"/>
      <c r="AB504" s="35"/>
      <c r="AC504" s="35"/>
      <c r="AD504" s="4"/>
      <c r="AE504" s="4"/>
      <c r="AF504" s="4"/>
      <c r="AG504" s="4"/>
      <c r="AH504" s="4"/>
      <c r="AI504" s="4"/>
      <c r="AJ504" s="4"/>
      <c r="AK504" s="4"/>
      <c r="AL504" s="4"/>
    </row>
    <row r="505" spans="1:38" ht="14.4">
      <c r="A505" s="34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20"/>
      <c r="P505" s="20"/>
      <c r="Q505" s="20"/>
      <c r="R505" s="20"/>
      <c r="S505" s="20"/>
      <c r="T505" s="35"/>
      <c r="U505" s="35"/>
      <c r="V505" s="3"/>
      <c r="W505" s="3"/>
      <c r="X505" s="36"/>
      <c r="Y505" s="3"/>
      <c r="Z505" s="3"/>
      <c r="AA505" s="35"/>
      <c r="AB505" s="35"/>
      <c r="AC505" s="35"/>
      <c r="AD505" s="4"/>
      <c r="AE505" s="4"/>
      <c r="AF505" s="4"/>
      <c r="AG505" s="4"/>
      <c r="AH505" s="4"/>
      <c r="AI505" s="4"/>
      <c r="AJ505" s="4"/>
      <c r="AK505" s="4"/>
      <c r="AL505" s="4"/>
    </row>
    <row r="506" spans="1:38" ht="14.4">
      <c r="A506" s="34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20"/>
      <c r="P506" s="20"/>
      <c r="Q506" s="20"/>
      <c r="R506" s="20"/>
      <c r="S506" s="20"/>
      <c r="T506" s="35"/>
      <c r="U506" s="35"/>
      <c r="V506" s="3"/>
      <c r="W506" s="3"/>
      <c r="X506" s="36"/>
      <c r="Y506" s="3"/>
      <c r="Z506" s="3"/>
      <c r="AA506" s="35"/>
      <c r="AB506" s="35"/>
      <c r="AC506" s="35"/>
      <c r="AD506" s="4"/>
      <c r="AE506" s="4"/>
      <c r="AF506" s="4"/>
      <c r="AG506" s="4"/>
      <c r="AH506" s="4"/>
      <c r="AI506" s="4"/>
      <c r="AJ506" s="4"/>
      <c r="AK506" s="4"/>
      <c r="AL506" s="4"/>
    </row>
    <row r="507" spans="1:38" ht="14.4">
      <c r="A507" s="34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20"/>
      <c r="P507" s="20"/>
      <c r="Q507" s="20"/>
      <c r="R507" s="20"/>
      <c r="S507" s="20"/>
      <c r="T507" s="35"/>
      <c r="U507" s="35"/>
      <c r="V507" s="3"/>
      <c r="W507" s="3"/>
      <c r="X507" s="36"/>
      <c r="Y507" s="3"/>
      <c r="Z507" s="3"/>
      <c r="AA507" s="35"/>
      <c r="AB507" s="35"/>
      <c r="AC507" s="35"/>
      <c r="AD507" s="4"/>
      <c r="AE507" s="4"/>
      <c r="AF507" s="4"/>
      <c r="AG507" s="4"/>
      <c r="AH507" s="4"/>
      <c r="AI507" s="4"/>
      <c r="AJ507" s="4"/>
      <c r="AK507" s="4"/>
      <c r="AL507" s="4"/>
    </row>
    <row r="508" spans="1:38" ht="14.4">
      <c r="A508" s="34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20"/>
      <c r="P508" s="20"/>
      <c r="Q508" s="20"/>
      <c r="R508" s="20"/>
      <c r="S508" s="20"/>
      <c r="T508" s="35"/>
      <c r="U508" s="35"/>
      <c r="V508" s="3"/>
      <c r="W508" s="3"/>
      <c r="X508" s="36"/>
      <c r="Y508" s="3"/>
      <c r="Z508" s="3"/>
      <c r="AA508" s="35"/>
      <c r="AB508" s="35"/>
      <c r="AC508" s="35"/>
      <c r="AD508" s="4"/>
      <c r="AE508" s="4"/>
      <c r="AF508" s="4"/>
      <c r="AG508" s="4"/>
      <c r="AH508" s="4"/>
      <c r="AI508" s="4"/>
      <c r="AJ508" s="4"/>
      <c r="AK508" s="4"/>
      <c r="AL508" s="4"/>
    </row>
    <row r="509" spans="1:38" ht="14.4">
      <c r="A509" s="34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20"/>
      <c r="P509" s="20"/>
      <c r="Q509" s="20"/>
      <c r="R509" s="20"/>
      <c r="S509" s="20"/>
      <c r="T509" s="35"/>
      <c r="U509" s="35"/>
      <c r="V509" s="3"/>
      <c r="W509" s="3"/>
      <c r="X509" s="36"/>
      <c r="Y509" s="3"/>
      <c r="Z509" s="3"/>
      <c r="AA509" s="35"/>
      <c r="AB509" s="35"/>
      <c r="AC509" s="35"/>
      <c r="AD509" s="4"/>
      <c r="AE509" s="4"/>
      <c r="AF509" s="4"/>
      <c r="AG509" s="4"/>
      <c r="AH509" s="4"/>
      <c r="AI509" s="4"/>
      <c r="AJ509" s="4"/>
      <c r="AK509" s="4"/>
      <c r="AL509" s="4"/>
    </row>
    <row r="510" spans="1:38" ht="14.4">
      <c r="A510" s="34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20"/>
      <c r="P510" s="20"/>
      <c r="Q510" s="20"/>
      <c r="R510" s="20"/>
      <c r="S510" s="20"/>
      <c r="T510" s="35"/>
      <c r="U510" s="35"/>
      <c r="V510" s="3"/>
      <c r="W510" s="3"/>
      <c r="X510" s="36"/>
      <c r="Y510" s="3"/>
      <c r="Z510" s="3"/>
      <c r="AA510" s="35"/>
      <c r="AB510" s="35"/>
      <c r="AC510" s="35"/>
      <c r="AD510" s="4"/>
      <c r="AE510" s="4"/>
      <c r="AF510" s="4"/>
      <c r="AG510" s="4"/>
      <c r="AH510" s="4"/>
      <c r="AI510" s="4"/>
      <c r="AJ510" s="4"/>
      <c r="AK510" s="4"/>
      <c r="AL510" s="4"/>
    </row>
    <row r="511" spans="1:38" ht="14.4">
      <c r="A511" s="34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20"/>
      <c r="P511" s="20"/>
      <c r="Q511" s="20"/>
      <c r="R511" s="20"/>
      <c r="S511" s="20"/>
      <c r="T511" s="35"/>
      <c r="U511" s="35"/>
      <c r="V511" s="3"/>
      <c r="W511" s="3"/>
      <c r="X511" s="36"/>
      <c r="Y511" s="3"/>
      <c r="Z511" s="3"/>
      <c r="AA511" s="35"/>
      <c r="AB511" s="35"/>
      <c r="AC511" s="35"/>
      <c r="AD511" s="4"/>
      <c r="AE511" s="4"/>
      <c r="AF511" s="4"/>
      <c r="AG511" s="4"/>
      <c r="AH511" s="4"/>
      <c r="AI511" s="4"/>
      <c r="AJ511" s="4"/>
      <c r="AK511" s="4"/>
      <c r="AL511" s="4"/>
    </row>
    <row r="512" spans="1:38" ht="14.4">
      <c r="A512" s="34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20"/>
      <c r="P512" s="20"/>
      <c r="Q512" s="20"/>
      <c r="R512" s="20"/>
      <c r="S512" s="20"/>
      <c r="T512" s="35"/>
      <c r="U512" s="35"/>
      <c r="V512" s="3"/>
      <c r="W512" s="3"/>
      <c r="X512" s="36"/>
      <c r="Y512" s="3"/>
      <c r="Z512" s="3"/>
      <c r="AA512" s="35"/>
      <c r="AB512" s="35"/>
      <c r="AC512" s="35"/>
      <c r="AD512" s="4"/>
      <c r="AE512" s="4"/>
      <c r="AF512" s="4"/>
      <c r="AG512" s="4"/>
      <c r="AH512" s="4"/>
      <c r="AI512" s="4"/>
      <c r="AJ512" s="4"/>
      <c r="AK512" s="4"/>
      <c r="AL512" s="4"/>
    </row>
    <row r="513" spans="1:38" ht="14.4">
      <c r="A513" s="34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20"/>
      <c r="P513" s="20"/>
      <c r="Q513" s="20"/>
      <c r="R513" s="20"/>
      <c r="S513" s="20"/>
      <c r="T513" s="35"/>
      <c r="U513" s="35"/>
      <c r="V513" s="3"/>
      <c r="W513" s="3"/>
      <c r="X513" s="36"/>
      <c r="Y513" s="3"/>
      <c r="Z513" s="3"/>
      <c r="AA513" s="35"/>
      <c r="AB513" s="35"/>
      <c r="AC513" s="35"/>
      <c r="AD513" s="4"/>
      <c r="AE513" s="4"/>
      <c r="AF513" s="4"/>
      <c r="AG513" s="4"/>
      <c r="AH513" s="4"/>
      <c r="AI513" s="4"/>
      <c r="AJ513" s="4"/>
      <c r="AK513" s="4"/>
      <c r="AL513" s="4"/>
    </row>
    <row r="514" spans="1:38" ht="14.4">
      <c r="A514" s="34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20"/>
      <c r="P514" s="20"/>
      <c r="Q514" s="20"/>
      <c r="R514" s="20"/>
      <c r="S514" s="20"/>
      <c r="T514" s="35"/>
      <c r="U514" s="35"/>
      <c r="V514" s="3"/>
      <c r="W514" s="3"/>
      <c r="X514" s="36"/>
      <c r="Y514" s="3"/>
      <c r="Z514" s="3"/>
      <c r="AA514" s="35"/>
      <c r="AB514" s="35"/>
      <c r="AC514" s="35"/>
      <c r="AD514" s="4"/>
      <c r="AE514" s="4"/>
      <c r="AF514" s="4"/>
      <c r="AG514" s="4"/>
      <c r="AH514" s="4"/>
      <c r="AI514" s="4"/>
      <c r="AJ514" s="4"/>
      <c r="AK514" s="4"/>
      <c r="AL514" s="4"/>
    </row>
    <row r="515" spans="1:38" ht="14.4">
      <c r="A515" s="34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20"/>
      <c r="P515" s="20"/>
      <c r="Q515" s="20"/>
      <c r="R515" s="20"/>
      <c r="S515" s="20"/>
      <c r="T515" s="35"/>
      <c r="U515" s="35"/>
      <c r="V515" s="3"/>
      <c r="W515" s="3"/>
      <c r="X515" s="36"/>
      <c r="Y515" s="3"/>
      <c r="Z515" s="3"/>
      <c r="AA515" s="35"/>
      <c r="AB515" s="35"/>
      <c r="AC515" s="35"/>
      <c r="AD515" s="4"/>
      <c r="AE515" s="4"/>
      <c r="AF515" s="4"/>
      <c r="AG515" s="4"/>
      <c r="AH515" s="4"/>
      <c r="AI515" s="4"/>
      <c r="AJ515" s="4"/>
      <c r="AK515" s="4"/>
      <c r="AL515" s="4"/>
    </row>
    <row r="516" spans="1:38" ht="14.4">
      <c r="A516" s="34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20"/>
      <c r="P516" s="20"/>
      <c r="Q516" s="20"/>
      <c r="R516" s="20"/>
      <c r="S516" s="20"/>
      <c r="T516" s="35"/>
      <c r="U516" s="35"/>
      <c r="V516" s="3"/>
      <c r="W516" s="3"/>
      <c r="X516" s="36"/>
      <c r="Y516" s="3"/>
      <c r="Z516" s="3"/>
      <c r="AA516" s="35"/>
      <c r="AB516" s="35"/>
      <c r="AC516" s="35"/>
      <c r="AD516" s="4"/>
      <c r="AE516" s="4"/>
      <c r="AF516" s="4"/>
      <c r="AG516" s="4"/>
      <c r="AH516" s="4"/>
      <c r="AI516" s="4"/>
      <c r="AJ516" s="4"/>
      <c r="AK516" s="4"/>
      <c r="AL516" s="4"/>
    </row>
    <row r="517" spans="1:38" ht="14.4">
      <c r="A517" s="34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20"/>
      <c r="P517" s="20"/>
      <c r="Q517" s="20"/>
      <c r="R517" s="20"/>
      <c r="S517" s="20"/>
      <c r="T517" s="35"/>
      <c r="U517" s="35"/>
      <c r="V517" s="3"/>
      <c r="W517" s="3"/>
      <c r="X517" s="36"/>
      <c r="Y517" s="3"/>
      <c r="Z517" s="3"/>
      <c r="AA517" s="35"/>
      <c r="AB517" s="35"/>
      <c r="AC517" s="35"/>
      <c r="AD517" s="4"/>
      <c r="AE517" s="4"/>
      <c r="AF517" s="4"/>
      <c r="AG517" s="4"/>
      <c r="AH517" s="4"/>
      <c r="AI517" s="4"/>
      <c r="AJ517" s="4"/>
      <c r="AK517" s="4"/>
      <c r="AL517" s="4"/>
    </row>
    <row r="518" spans="1:38" ht="14.4">
      <c r="A518" s="34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20"/>
      <c r="P518" s="20"/>
      <c r="Q518" s="20"/>
      <c r="R518" s="20"/>
      <c r="S518" s="20"/>
      <c r="T518" s="35"/>
      <c r="U518" s="35"/>
      <c r="V518" s="3"/>
      <c r="W518" s="3"/>
      <c r="X518" s="36"/>
      <c r="Y518" s="3"/>
      <c r="Z518" s="3"/>
      <c r="AA518" s="35"/>
      <c r="AB518" s="35"/>
      <c r="AC518" s="35"/>
      <c r="AD518" s="4"/>
      <c r="AE518" s="4"/>
      <c r="AF518" s="4"/>
      <c r="AG518" s="4"/>
      <c r="AH518" s="4"/>
      <c r="AI518" s="4"/>
      <c r="AJ518" s="4"/>
      <c r="AK518" s="4"/>
      <c r="AL518" s="4"/>
    </row>
    <row r="519" spans="1:38" ht="14.4">
      <c r="A519" s="34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20"/>
      <c r="P519" s="20"/>
      <c r="Q519" s="20"/>
      <c r="R519" s="20"/>
      <c r="S519" s="20"/>
      <c r="T519" s="35"/>
      <c r="U519" s="35"/>
      <c r="V519" s="3"/>
      <c r="W519" s="3"/>
      <c r="X519" s="36"/>
      <c r="Y519" s="3"/>
      <c r="Z519" s="3"/>
      <c r="AA519" s="35"/>
      <c r="AB519" s="35"/>
      <c r="AC519" s="35"/>
      <c r="AD519" s="4"/>
      <c r="AE519" s="4"/>
      <c r="AF519" s="4"/>
      <c r="AG519" s="4"/>
      <c r="AH519" s="4"/>
      <c r="AI519" s="4"/>
      <c r="AJ519" s="4"/>
      <c r="AK519" s="4"/>
      <c r="AL519" s="4"/>
    </row>
    <row r="520" spans="1:38" ht="14.4">
      <c r="A520" s="34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20"/>
      <c r="P520" s="20"/>
      <c r="Q520" s="20"/>
      <c r="R520" s="20"/>
      <c r="S520" s="20"/>
      <c r="T520" s="35"/>
      <c r="U520" s="35"/>
      <c r="V520" s="3"/>
      <c r="W520" s="3"/>
      <c r="X520" s="36"/>
      <c r="Y520" s="3"/>
      <c r="Z520" s="3"/>
      <c r="AA520" s="35"/>
      <c r="AB520" s="35"/>
      <c r="AC520" s="35"/>
      <c r="AD520" s="4"/>
      <c r="AE520" s="4"/>
      <c r="AF520" s="4"/>
      <c r="AG520" s="4"/>
      <c r="AH520" s="4"/>
      <c r="AI520" s="4"/>
      <c r="AJ520" s="4"/>
      <c r="AK520" s="4"/>
      <c r="AL520" s="4"/>
    </row>
    <row r="521" spans="1:38" ht="14.4">
      <c r="A521" s="34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20"/>
      <c r="P521" s="20"/>
      <c r="Q521" s="20"/>
      <c r="R521" s="20"/>
      <c r="S521" s="20"/>
      <c r="T521" s="35"/>
      <c r="U521" s="35"/>
      <c r="V521" s="3"/>
      <c r="W521" s="3"/>
      <c r="X521" s="36"/>
      <c r="Y521" s="3"/>
      <c r="Z521" s="3"/>
      <c r="AA521" s="35"/>
      <c r="AB521" s="35"/>
      <c r="AC521" s="35"/>
      <c r="AD521" s="4"/>
      <c r="AE521" s="4"/>
      <c r="AF521" s="4"/>
      <c r="AG521" s="4"/>
      <c r="AH521" s="4"/>
      <c r="AI521" s="4"/>
      <c r="AJ521" s="4"/>
      <c r="AK521" s="4"/>
      <c r="AL521" s="4"/>
    </row>
    <row r="522" spans="1:38" ht="14.4">
      <c r="A522" s="34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20"/>
      <c r="P522" s="20"/>
      <c r="Q522" s="20"/>
      <c r="R522" s="20"/>
      <c r="S522" s="20"/>
      <c r="T522" s="35"/>
      <c r="U522" s="35"/>
      <c r="V522" s="3"/>
      <c r="W522" s="3"/>
      <c r="X522" s="36"/>
      <c r="Y522" s="3"/>
      <c r="Z522" s="3"/>
      <c r="AA522" s="35"/>
      <c r="AB522" s="35"/>
      <c r="AC522" s="35"/>
      <c r="AD522" s="4"/>
      <c r="AE522" s="4"/>
      <c r="AF522" s="4"/>
      <c r="AG522" s="4"/>
      <c r="AH522" s="4"/>
      <c r="AI522" s="4"/>
      <c r="AJ522" s="4"/>
      <c r="AK522" s="4"/>
      <c r="AL522" s="4"/>
    </row>
    <row r="523" spans="1:38" ht="14.4">
      <c r="A523" s="34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20"/>
      <c r="P523" s="20"/>
      <c r="Q523" s="20"/>
      <c r="R523" s="20"/>
      <c r="S523" s="20"/>
      <c r="T523" s="35"/>
      <c r="U523" s="35"/>
      <c r="V523" s="3"/>
      <c r="W523" s="3"/>
      <c r="X523" s="36"/>
      <c r="Y523" s="3"/>
      <c r="Z523" s="3"/>
      <c r="AA523" s="35"/>
      <c r="AB523" s="35"/>
      <c r="AC523" s="35"/>
      <c r="AD523" s="4"/>
      <c r="AE523" s="4"/>
      <c r="AF523" s="4"/>
      <c r="AG523" s="4"/>
      <c r="AH523" s="4"/>
      <c r="AI523" s="4"/>
      <c r="AJ523" s="4"/>
      <c r="AK523" s="4"/>
      <c r="AL523" s="4"/>
    </row>
    <row r="524" spans="1:38" ht="14.4">
      <c r="A524" s="34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20"/>
      <c r="P524" s="20"/>
      <c r="Q524" s="20"/>
      <c r="R524" s="20"/>
      <c r="S524" s="20"/>
      <c r="T524" s="35"/>
      <c r="U524" s="35"/>
      <c r="V524" s="3"/>
      <c r="W524" s="3"/>
      <c r="X524" s="36"/>
      <c r="Y524" s="3"/>
      <c r="Z524" s="3"/>
      <c r="AA524" s="35"/>
      <c r="AB524" s="35"/>
      <c r="AC524" s="35"/>
      <c r="AD524" s="4"/>
      <c r="AE524" s="4"/>
      <c r="AF524" s="4"/>
      <c r="AG524" s="4"/>
      <c r="AH524" s="4"/>
      <c r="AI524" s="4"/>
      <c r="AJ524" s="4"/>
      <c r="AK524" s="4"/>
      <c r="AL524" s="4"/>
    </row>
    <row r="525" spans="1:38" ht="14.4">
      <c r="A525" s="34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20"/>
      <c r="P525" s="20"/>
      <c r="Q525" s="20"/>
      <c r="R525" s="20"/>
      <c r="S525" s="20"/>
      <c r="T525" s="35"/>
      <c r="U525" s="35"/>
      <c r="V525" s="3"/>
      <c r="W525" s="3"/>
      <c r="X525" s="36"/>
      <c r="Y525" s="3"/>
      <c r="Z525" s="3"/>
      <c r="AA525" s="35"/>
      <c r="AB525" s="35"/>
      <c r="AC525" s="35"/>
      <c r="AD525" s="4"/>
      <c r="AE525" s="4"/>
      <c r="AF525" s="4"/>
      <c r="AG525" s="4"/>
      <c r="AH525" s="4"/>
      <c r="AI525" s="4"/>
      <c r="AJ525" s="4"/>
      <c r="AK525" s="4"/>
      <c r="AL525" s="4"/>
    </row>
    <row r="526" spans="1:38" ht="14.4">
      <c r="A526" s="34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20"/>
      <c r="P526" s="20"/>
      <c r="Q526" s="20"/>
      <c r="R526" s="20"/>
      <c r="S526" s="20"/>
      <c r="T526" s="35"/>
      <c r="U526" s="35"/>
      <c r="V526" s="3"/>
      <c r="W526" s="3"/>
      <c r="X526" s="36"/>
      <c r="Y526" s="3"/>
      <c r="Z526" s="3"/>
      <c r="AA526" s="35"/>
      <c r="AB526" s="35"/>
      <c r="AC526" s="35"/>
      <c r="AD526" s="4"/>
      <c r="AE526" s="4"/>
      <c r="AF526" s="4"/>
      <c r="AG526" s="4"/>
      <c r="AH526" s="4"/>
      <c r="AI526" s="4"/>
      <c r="AJ526" s="4"/>
      <c r="AK526" s="4"/>
      <c r="AL526" s="4"/>
    </row>
    <row r="527" spans="1:38" ht="14.4">
      <c r="A527" s="34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20"/>
      <c r="P527" s="20"/>
      <c r="Q527" s="20"/>
      <c r="R527" s="20"/>
      <c r="S527" s="20"/>
      <c r="T527" s="35"/>
      <c r="U527" s="35"/>
      <c r="V527" s="3"/>
      <c r="W527" s="3"/>
      <c r="X527" s="36"/>
      <c r="Y527" s="3"/>
      <c r="Z527" s="3"/>
      <c r="AA527" s="35"/>
      <c r="AB527" s="35"/>
      <c r="AC527" s="35"/>
      <c r="AD527" s="4"/>
      <c r="AE527" s="4"/>
      <c r="AF527" s="4"/>
      <c r="AG527" s="4"/>
      <c r="AH527" s="4"/>
      <c r="AI527" s="4"/>
      <c r="AJ527" s="4"/>
      <c r="AK527" s="4"/>
      <c r="AL527" s="4"/>
    </row>
    <row r="528" spans="1:38" ht="14.4">
      <c r="A528" s="34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20"/>
      <c r="P528" s="20"/>
      <c r="Q528" s="20"/>
      <c r="R528" s="20"/>
      <c r="S528" s="20"/>
      <c r="T528" s="35"/>
      <c r="U528" s="35"/>
      <c r="V528" s="3"/>
      <c r="W528" s="3"/>
      <c r="X528" s="36"/>
      <c r="Y528" s="3"/>
      <c r="Z528" s="3"/>
      <c r="AA528" s="35"/>
      <c r="AB528" s="35"/>
      <c r="AC528" s="35"/>
      <c r="AD528" s="4"/>
      <c r="AE528" s="4"/>
      <c r="AF528" s="4"/>
      <c r="AG528" s="4"/>
      <c r="AH528" s="4"/>
      <c r="AI528" s="4"/>
      <c r="AJ528" s="4"/>
      <c r="AK528" s="4"/>
      <c r="AL528" s="4"/>
    </row>
    <row r="529" spans="1:38" ht="14.4">
      <c r="A529" s="34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20"/>
      <c r="P529" s="20"/>
      <c r="Q529" s="20"/>
      <c r="R529" s="20"/>
      <c r="S529" s="20"/>
      <c r="T529" s="35"/>
      <c r="U529" s="35"/>
      <c r="V529" s="3"/>
      <c r="W529" s="3"/>
      <c r="X529" s="36"/>
      <c r="Y529" s="3"/>
      <c r="Z529" s="3"/>
      <c r="AA529" s="35"/>
      <c r="AB529" s="35"/>
      <c r="AC529" s="35"/>
      <c r="AD529" s="4"/>
      <c r="AE529" s="4"/>
      <c r="AF529" s="4"/>
      <c r="AG529" s="4"/>
      <c r="AH529" s="4"/>
      <c r="AI529" s="4"/>
      <c r="AJ529" s="4"/>
      <c r="AK529" s="4"/>
      <c r="AL529" s="4"/>
    </row>
    <row r="530" spans="1:38" ht="14.4">
      <c r="A530" s="34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20"/>
      <c r="P530" s="20"/>
      <c r="Q530" s="20"/>
      <c r="R530" s="20"/>
      <c r="S530" s="20"/>
      <c r="T530" s="35"/>
      <c r="U530" s="35"/>
      <c r="V530" s="3"/>
      <c r="W530" s="3"/>
      <c r="X530" s="36"/>
      <c r="Y530" s="3"/>
      <c r="Z530" s="3"/>
      <c r="AA530" s="35"/>
      <c r="AB530" s="35"/>
      <c r="AC530" s="35"/>
      <c r="AD530" s="4"/>
      <c r="AE530" s="4"/>
      <c r="AF530" s="4"/>
      <c r="AG530" s="4"/>
      <c r="AH530" s="4"/>
      <c r="AI530" s="4"/>
      <c r="AJ530" s="4"/>
      <c r="AK530" s="4"/>
      <c r="AL530" s="4"/>
    </row>
    <row r="531" spans="1:38" ht="14.4">
      <c r="A531" s="34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20"/>
      <c r="P531" s="20"/>
      <c r="Q531" s="20"/>
      <c r="R531" s="20"/>
      <c r="S531" s="20"/>
      <c r="T531" s="35"/>
      <c r="U531" s="35"/>
      <c r="V531" s="3"/>
      <c r="W531" s="3"/>
      <c r="X531" s="36"/>
      <c r="Y531" s="3"/>
      <c r="Z531" s="3"/>
      <c r="AA531" s="35"/>
      <c r="AB531" s="35"/>
      <c r="AC531" s="35"/>
      <c r="AD531" s="4"/>
      <c r="AE531" s="4"/>
      <c r="AF531" s="4"/>
      <c r="AG531" s="4"/>
      <c r="AH531" s="4"/>
      <c r="AI531" s="4"/>
      <c r="AJ531" s="4"/>
      <c r="AK531" s="4"/>
      <c r="AL531" s="4"/>
    </row>
    <row r="532" spans="1:38" ht="14.4">
      <c r="A532" s="34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20"/>
      <c r="P532" s="20"/>
      <c r="Q532" s="20"/>
      <c r="R532" s="20"/>
      <c r="S532" s="20"/>
      <c r="T532" s="35"/>
      <c r="U532" s="35"/>
      <c r="V532" s="3"/>
      <c r="W532" s="3"/>
      <c r="X532" s="36"/>
      <c r="Y532" s="3"/>
      <c r="Z532" s="3"/>
      <c r="AA532" s="35"/>
      <c r="AB532" s="35"/>
      <c r="AC532" s="35"/>
      <c r="AD532" s="4"/>
      <c r="AE532" s="4"/>
      <c r="AF532" s="4"/>
      <c r="AG532" s="4"/>
      <c r="AH532" s="4"/>
      <c r="AI532" s="4"/>
      <c r="AJ532" s="4"/>
      <c r="AK532" s="4"/>
      <c r="AL532" s="4"/>
    </row>
    <row r="533" spans="1:38" ht="14.4">
      <c r="A533" s="34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20"/>
      <c r="P533" s="20"/>
      <c r="Q533" s="20"/>
      <c r="R533" s="20"/>
      <c r="S533" s="20"/>
      <c r="T533" s="35"/>
      <c r="U533" s="35"/>
      <c r="V533" s="3"/>
      <c r="W533" s="3"/>
      <c r="X533" s="36"/>
      <c r="Y533" s="3"/>
      <c r="Z533" s="3"/>
      <c r="AA533" s="35"/>
      <c r="AB533" s="35"/>
      <c r="AC533" s="35"/>
      <c r="AD533" s="4"/>
      <c r="AE533" s="4"/>
      <c r="AF533" s="4"/>
      <c r="AG533" s="4"/>
      <c r="AH533" s="4"/>
      <c r="AI533" s="4"/>
      <c r="AJ533" s="4"/>
      <c r="AK533" s="4"/>
      <c r="AL533" s="4"/>
    </row>
    <row r="534" spans="1:38" ht="14.4">
      <c r="A534" s="34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20"/>
      <c r="P534" s="20"/>
      <c r="Q534" s="20"/>
      <c r="R534" s="20"/>
      <c r="S534" s="20"/>
      <c r="T534" s="35"/>
      <c r="U534" s="35"/>
      <c r="V534" s="3"/>
      <c r="W534" s="3"/>
      <c r="X534" s="36"/>
      <c r="Y534" s="3"/>
      <c r="Z534" s="3"/>
      <c r="AA534" s="35"/>
      <c r="AB534" s="35"/>
      <c r="AC534" s="35"/>
      <c r="AD534" s="4"/>
      <c r="AE534" s="4"/>
      <c r="AF534" s="4"/>
      <c r="AG534" s="4"/>
      <c r="AH534" s="4"/>
      <c r="AI534" s="4"/>
      <c r="AJ534" s="4"/>
      <c r="AK534" s="4"/>
      <c r="AL534" s="4"/>
    </row>
    <row r="535" spans="1:38" ht="14.4">
      <c r="A535" s="34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20"/>
      <c r="P535" s="20"/>
      <c r="Q535" s="20"/>
      <c r="R535" s="20"/>
      <c r="S535" s="20"/>
      <c r="T535" s="35"/>
      <c r="U535" s="35"/>
      <c r="V535" s="3"/>
      <c r="W535" s="3"/>
      <c r="X535" s="36"/>
      <c r="Y535" s="3"/>
      <c r="Z535" s="3"/>
      <c r="AA535" s="35"/>
      <c r="AB535" s="35"/>
      <c r="AC535" s="35"/>
      <c r="AD535" s="4"/>
      <c r="AE535" s="4"/>
      <c r="AF535" s="4"/>
      <c r="AG535" s="4"/>
      <c r="AH535" s="4"/>
      <c r="AI535" s="4"/>
      <c r="AJ535" s="4"/>
      <c r="AK535" s="4"/>
      <c r="AL535" s="4"/>
    </row>
    <row r="536" spans="1:38" ht="14.4">
      <c r="A536" s="34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20"/>
      <c r="P536" s="20"/>
      <c r="Q536" s="20"/>
      <c r="R536" s="20"/>
      <c r="S536" s="20"/>
      <c r="T536" s="35"/>
      <c r="U536" s="35"/>
      <c r="V536" s="3"/>
      <c r="W536" s="3"/>
      <c r="X536" s="36"/>
      <c r="Y536" s="3"/>
      <c r="Z536" s="3"/>
      <c r="AA536" s="35"/>
      <c r="AB536" s="35"/>
      <c r="AC536" s="35"/>
      <c r="AD536" s="4"/>
      <c r="AE536" s="4"/>
      <c r="AF536" s="4"/>
      <c r="AG536" s="4"/>
      <c r="AH536" s="4"/>
      <c r="AI536" s="4"/>
      <c r="AJ536" s="4"/>
      <c r="AK536" s="4"/>
      <c r="AL536" s="4"/>
    </row>
    <row r="537" spans="1:38" ht="14.4">
      <c r="A537" s="34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20"/>
      <c r="P537" s="20"/>
      <c r="Q537" s="20"/>
      <c r="R537" s="20"/>
      <c r="S537" s="20"/>
      <c r="T537" s="35"/>
      <c r="U537" s="35"/>
      <c r="V537" s="3"/>
      <c r="W537" s="3"/>
      <c r="X537" s="36"/>
      <c r="Y537" s="3"/>
      <c r="Z537" s="3"/>
      <c r="AA537" s="35"/>
      <c r="AB537" s="35"/>
      <c r="AC537" s="35"/>
      <c r="AD537" s="4"/>
      <c r="AE537" s="4"/>
      <c r="AF537" s="4"/>
      <c r="AG537" s="4"/>
      <c r="AH537" s="4"/>
      <c r="AI537" s="4"/>
      <c r="AJ537" s="4"/>
      <c r="AK537" s="4"/>
      <c r="AL537" s="4"/>
    </row>
    <row r="538" spans="1:38" ht="14.4">
      <c r="A538" s="34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20"/>
      <c r="P538" s="20"/>
      <c r="Q538" s="20"/>
      <c r="R538" s="20"/>
      <c r="S538" s="20"/>
      <c r="T538" s="35"/>
      <c r="U538" s="35"/>
      <c r="V538" s="3"/>
      <c r="W538" s="3"/>
      <c r="X538" s="36"/>
      <c r="Y538" s="3"/>
      <c r="Z538" s="3"/>
      <c r="AA538" s="35"/>
      <c r="AB538" s="35"/>
      <c r="AC538" s="35"/>
      <c r="AD538" s="4"/>
      <c r="AE538" s="4"/>
      <c r="AF538" s="4"/>
      <c r="AG538" s="4"/>
      <c r="AH538" s="4"/>
      <c r="AI538" s="4"/>
      <c r="AJ538" s="4"/>
      <c r="AK538" s="4"/>
      <c r="AL538" s="4"/>
    </row>
    <row r="539" spans="1:38" ht="14.4">
      <c r="A539" s="34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20"/>
      <c r="P539" s="20"/>
      <c r="Q539" s="20"/>
      <c r="R539" s="20"/>
      <c r="S539" s="20"/>
      <c r="T539" s="35"/>
      <c r="U539" s="35"/>
      <c r="V539" s="3"/>
      <c r="W539" s="3"/>
      <c r="X539" s="36"/>
      <c r="Y539" s="3"/>
      <c r="Z539" s="3"/>
      <c r="AA539" s="35"/>
      <c r="AB539" s="35"/>
      <c r="AC539" s="35"/>
      <c r="AD539" s="4"/>
      <c r="AE539" s="4"/>
      <c r="AF539" s="4"/>
      <c r="AG539" s="4"/>
      <c r="AH539" s="4"/>
      <c r="AI539" s="4"/>
      <c r="AJ539" s="4"/>
      <c r="AK539" s="4"/>
      <c r="AL539" s="4"/>
    </row>
    <row r="540" spans="1:38" ht="14.4">
      <c r="A540" s="34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20"/>
      <c r="P540" s="20"/>
      <c r="Q540" s="20"/>
      <c r="R540" s="20"/>
      <c r="S540" s="20"/>
      <c r="T540" s="35"/>
      <c r="U540" s="35"/>
      <c r="V540" s="3"/>
      <c r="W540" s="3"/>
      <c r="X540" s="36"/>
      <c r="Y540" s="3"/>
      <c r="Z540" s="3"/>
      <c r="AA540" s="35"/>
      <c r="AB540" s="35"/>
      <c r="AC540" s="35"/>
      <c r="AD540" s="4"/>
      <c r="AE540" s="4"/>
      <c r="AF540" s="4"/>
      <c r="AG540" s="4"/>
      <c r="AH540" s="4"/>
      <c r="AI540" s="4"/>
      <c r="AJ540" s="4"/>
      <c r="AK540" s="4"/>
      <c r="AL540" s="4"/>
    </row>
    <row r="541" spans="1:38" ht="14.4">
      <c r="A541" s="34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20"/>
      <c r="P541" s="20"/>
      <c r="Q541" s="20"/>
      <c r="R541" s="20"/>
      <c r="S541" s="20"/>
      <c r="T541" s="35"/>
      <c r="U541" s="35"/>
      <c r="V541" s="3"/>
      <c r="W541" s="3"/>
      <c r="X541" s="36"/>
      <c r="Y541" s="3"/>
      <c r="Z541" s="3"/>
      <c r="AA541" s="35"/>
      <c r="AB541" s="35"/>
      <c r="AC541" s="35"/>
      <c r="AD541" s="4"/>
      <c r="AE541" s="4"/>
      <c r="AF541" s="4"/>
      <c r="AG541" s="4"/>
      <c r="AH541" s="4"/>
      <c r="AI541" s="4"/>
      <c r="AJ541" s="4"/>
      <c r="AK541" s="4"/>
      <c r="AL541" s="4"/>
    </row>
    <row r="542" spans="1:38" ht="14.4">
      <c r="A542" s="34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20"/>
      <c r="P542" s="20"/>
      <c r="Q542" s="20"/>
      <c r="R542" s="20"/>
      <c r="S542" s="20"/>
      <c r="T542" s="35"/>
      <c r="U542" s="35"/>
      <c r="V542" s="3"/>
      <c r="W542" s="3"/>
      <c r="X542" s="36"/>
      <c r="Y542" s="3"/>
      <c r="Z542" s="3"/>
      <c r="AA542" s="35"/>
      <c r="AB542" s="35"/>
      <c r="AC542" s="35"/>
      <c r="AD542" s="4"/>
      <c r="AE542" s="4"/>
      <c r="AF542" s="4"/>
      <c r="AG542" s="4"/>
      <c r="AH542" s="4"/>
      <c r="AI542" s="4"/>
      <c r="AJ542" s="4"/>
      <c r="AK542" s="4"/>
      <c r="AL542" s="4"/>
    </row>
    <row r="543" spans="1:38" ht="14.4">
      <c r="A543" s="34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20"/>
      <c r="P543" s="20"/>
      <c r="Q543" s="20"/>
      <c r="R543" s="20"/>
      <c r="S543" s="20"/>
      <c r="T543" s="35"/>
      <c r="U543" s="35"/>
      <c r="V543" s="3"/>
      <c r="W543" s="3"/>
      <c r="X543" s="36"/>
      <c r="Y543" s="3"/>
      <c r="Z543" s="3"/>
      <c r="AA543" s="35"/>
      <c r="AB543" s="35"/>
      <c r="AC543" s="35"/>
      <c r="AD543" s="4"/>
      <c r="AE543" s="4"/>
      <c r="AF543" s="4"/>
      <c r="AG543" s="4"/>
      <c r="AH543" s="4"/>
      <c r="AI543" s="4"/>
      <c r="AJ543" s="4"/>
      <c r="AK543" s="4"/>
      <c r="AL543" s="4"/>
    </row>
    <row r="544" spans="1:38" ht="14.4">
      <c r="A544" s="34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20"/>
      <c r="P544" s="20"/>
      <c r="Q544" s="20"/>
      <c r="R544" s="20"/>
      <c r="S544" s="20"/>
      <c r="T544" s="35"/>
      <c r="U544" s="35"/>
      <c r="V544" s="3"/>
      <c r="W544" s="3"/>
      <c r="X544" s="36"/>
      <c r="Y544" s="3"/>
      <c r="Z544" s="3"/>
      <c r="AA544" s="35"/>
      <c r="AB544" s="35"/>
      <c r="AC544" s="35"/>
      <c r="AD544" s="4"/>
      <c r="AE544" s="4"/>
      <c r="AF544" s="4"/>
      <c r="AG544" s="4"/>
      <c r="AH544" s="4"/>
      <c r="AI544" s="4"/>
      <c r="AJ544" s="4"/>
      <c r="AK544" s="4"/>
      <c r="AL544" s="4"/>
    </row>
    <row r="545" spans="1:38" ht="14.4">
      <c r="A545" s="34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20"/>
      <c r="P545" s="20"/>
      <c r="Q545" s="20"/>
      <c r="R545" s="20"/>
      <c r="S545" s="20"/>
      <c r="T545" s="35"/>
      <c r="U545" s="35"/>
      <c r="V545" s="3"/>
      <c r="W545" s="3"/>
      <c r="X545" s="36"/>
      <c r="Y545" s="3"/>
      <c r="Z545" s="3"/>
      <c r="AA545" s="35"/>
      <c r="AB545" s="35"/>
      <c r="AC545" s="35"/>
      <c r="AD545" s="4"/>
      <c r="AE545" s="4"/>
      <c r="AF545" s="4"/>
      <c r="AG545" s="4"/>
      <c r="AH545" s="4"/>
      <c r="AI545" s="4"/>
      <c r="AJ545" s="4"/>
      <c r="AK545" s="4"/>
      <c r="AL545" s="4"/>
    </row>
    <row r="546" spans="1:38" ht="14.4">
      <c r="A546" s="34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20"/>
      <c r="P546" s="20"/>
      <c r="Q546" s="20"/>
      <c r="R546" s="20"/>
      <c r="S546" s="20"/>
      <c r="T546" s="35"/>
      <c r="U546" s="35"/>
      <c r="V546" s="3"/>
      <c r="W546" s="3"/>
      <c r="X546" s="36"/>
      <c r="Y546" s="3"/>
      <c r="Z546" s="3"/>
      <c r="AA546" s="35"/>
      <c r="AB546" s="35"/>
      <c r="AC546" s="35"/>
      <c r="AD546" s="4"/>
      <c r="AE546" s="4"/>
      <c r="AF546" s="4"/>
      <c r="AG546" s="4"/>
      <c r="AH546" s="4"/>
      <c r="AI546" s="4"/>
      <c r="AJ546" s="4"/>
      <c r="AK546" s="4"/>
      <c r="AL546" s="4"/>
    </row>
    <row r="547" spans="1:38" ht="14.4">
      <c r="A547" s="34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20"/>
      <c r="P547" s="20"/>
      <c r="Q547" s="20"/>
      <c r="R547" s="20"/>
      <c r="S547" s="20"/>
      <c r="T547" s="35"/>
      <c r="U547" s="35"/>
      <c r="V547" s="3"/>
      <c r="W547" s="3"/>
      <c r="X547" s="36"/>
      <c r="Y547" s="3"/>
      <c r="Z547" s="3"/>
      <c r="AA547" s="35"/>
      <c r="AB547" s="35"/>
      <c r="AC547" s="35"/>
      <c r="AD547" s="4"/>
      <c r="AE547" s="4"/>
      <c r="AF547" s="4"/>
      <c r="AG547" s="4"/>
      <c r="AH547" s="4"/>
      <c r="AI547" s="4"/>
      <c r="AJ547" s="4"/>
      <c r="AK547" s="4"/>
      <c r="AL547" s="4"/>
    </row>
    <row r="548" spans="1:38" ht="14.4">
      <c r="A548" s="34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20"/>
      <c r="P548" s="20"/>
      <c r="Q548" s="20"/>
      <c r="R548" s="20"/>
      <c r="S548" s="20"/>
      <c r="T548" s="35"/>
      <c r="U548" s="35"/>
      <c r="V548" s="3"/>
      <c r="W548" s="3"/>
      <c r="X548" s="36"/>
      <c r="Y548" s="3"/>
      <c r="Z548" s="3"/>
      <c r="AA548" s="35"/>
      <c r="AB548" s="35"/>
      <c r="AC548" s="35"/>
      <c r="AD548" s="4"/>
      <c r="AE548" s="4"/>
      <c r="AF548" s="4"/>
      <c r="AG548" s="4"/>
      <c r="AH548" s="4"/>
      <c r="AI548" s="4"/>
      <c r="AJ548" s="4"/>
      <c r="AK548" s="4"/>
      <c r="AL548" s="4"/>
    </row>
    <row r="549" spans="1:38" ht="14.4">
      <c r="A549" s="34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20"/>
      <c r="P549" s="20"/>
      <c r="Q549" s="20"/>
      <c r="R549" s="20"/>
      <c r="S549" s="20"/>
      <c r="T549" s="35"/>
      <c r="U549" s="35"/>
      <c r="V549" s="3"/>
      <c r="W549" s="3"/>
      <c r="X549" s="36"/>
      <c r="Y549" s="3"/>
      <c r="Z549" s="3"/>
      <c r="AA549" s="35"/>
      <c r="AB549" s="35"/>
      <c r="AC549" s="35"/>
      <c r="AD549" s="4"/>
      <c r="AE549" s="4"/>
      <c r="AF549" s="4"/>
      <c r="AG549" s="4"/>
      <c r="AH549" s="4"/>
      <c r="AI549" s="4"/>
      <c r="AJ549" s="4"/>
      <c r="AK549" s="4"/>
      <c r="AL549" s="4"/>
    </row>
    <row r="550" spans="1:38" ht="14.4">
      <c r="A550" s="34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20"/>
      <c r="P550" s="20"/>
      <c r="Q550" s="20"/>
      <c r="R550" s="20"/>
      <c r="S550" s="20"/>
      <c r="T550" s="35"/>
      <c r="U550" s="35"/>
      <c r="V550" s="3"/>
      <c r="W550" s="3"/>
      <c r="X550" s="36"/>
      <c r="Y550" s="3"/>
      <c r="Z550" s="3"/>
      <c r="AA550" s="35"/>
      <c r="AB550" s="35"/>
      <c r="AC550" s="35"/>
      <c r="AD550" s="4"/>
      <c r="AE550" s="4"/>
      <c r="AF550" s="4"/>
      <c r="AG550" s="4"/>
      <c r="AH550" s="4"/>
      <c r="AI550" s="4"/>
      <c r="AJ550" s="4"/>
      <c r="AK550" s="4"/>
      <c r="AL550" s="4"/>
    </row>
    <row r="551" spans="1:38" ht="14.4">
      <c r="A551" s="34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20"/>
      <c r="P551" s="20"/>
      <c r="Q551" s="20"/>
      <c r="R551" s="20"/>
      <c r="S551" s="20"/>
      <c r="T551" s="35"/>
      <c r="U551" s="35"/>
      <c r="V551" s="3"/>
      <c r="W551" s="3"/>
      <c r="X551" s="36"/>
      <c r="Y551" s="3"/>
      <c r="Z551" s="3"/>
      <c r="AA551" s="35"/>
      <c r="AB551" s="35"/>
      <c r="AC551" s="35"/>
      <c r="AD551" s="4"/>
      <c r="AE551" s="4"/>
      <c r="AF551" s="4"/>
      <c r="AG551" s="4"/>
      <c r="AH551" s="4"/>
      <c r="AI551" s="4"/>
      <c r="AJ551" s="4"/>
      <c r="AK551" s="4"/>
      <c r="AL551" s="4"/>
    </row>
    <row r="552" spans="1:38" ht="14.4">
      <c r="A552" s="34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20"/>
      <c r="P552" s="20"/>
      <c r="Q552" s="20"/>
      <c r="R552" s="20"/>
      <c r="S552" s="20"/>
      <c r="T552" s="35"/>
      <c r="U552" s="35"/>
      <c r="V552" s="3"/>
      <c r="W552" s="3"/>
      <c r="X552" s="36"/>
      <c r="Y552" s="3"/>
      <c r="Z552" s="3"/>
      <c r="AA552" s="35"/>
      <c r="AB552" s="35"/>
      <c r="AC552" s="35"/>
      <c r="AD552" s="4"/>
      <c r="AE552" s="4"/>
      <c r="AF552" s="4"/>
      <c r="AG552" s="4"/>
      <c r="AH552" s="4"/>
      <c r="AI552" s="4"/>
      <c r="AJ552" s="4"/>
      <c r="AK552" s="4"/>
      <c r="AL552" s="4"/>
    </row>
    <row r="553" spans="1:38" ht="14.4">
      <c r="A553" s="34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20"/>
      <c r="P553" s="20"/>
      <c r="Q553" s="20"/>
      <c r="R553" s="20"/>
      <c r="S553" s="20"/>
      <c r="T553" s="35"/>
      <c r="U553" s="35"/>
      <c r="V553" s="3"/>
      <c r="W553" s="3"/>
      <c r="X553" s="36"/>
      <c r="Y553" s="3"/>
      <c r="Z553" s="3"/>
      <c r="AA553" s="35"/>
      <c r="AB553" s="35"/>
      <c r="AC553" s="35"/>
      <c r="AD553" s="4"/>
      <c r="AE553" s="4"/>
      <c r="AF553" s="4"/>
      <c r="AG553" s="4"/>
      <c r="AH553" s="4"/>
      <c r="AI553" s="4"/>
      <c r="AJ553" s="4"/>
      <c r="AK553" s="4"/>
      <c r="AL553" s="4"/>
    </row>
    <row r="554" spans="1:38" ht="14.4">
      <c r="A554" s="34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20"/>
      <c r="P554" s="20"/>
      <c r="Q554" s="20"/>
      <c r="R554" s="20"/>
      <c r="S554" s="20"/>
      <c r="T554" s="35"/>
      <c r="U554" s="35"/>
      <c r="V554" s="3"/>
      <c r="W554" s="3"/>
      <c r="X554" s="36"/>
      <c r="Y554" s="3"/>
      <c r="Z554" s="3"/>
      <c r="AA554" s="35"/>
      <c r="AB554" s="35"/>
      <c r="AC554" s="35"/>
      <c r="AD554" s="4"/>
      <c r="AE554" s="4"/>
      <c r="AF554" s="4"/>
      <c r="AG554" s="4"/>
      <c r="AH554" s="4"/>
      <c r="AI554" s="4"/>
      <c r="AJ554" s="4"/>
      <c r="AK554" s="4"/>
      <c r="AL554" s="4"/>
    </row>
    <row r="555" spans="1:38" ht="14.4">
      <c r="A555" s="34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20"/>
      <c r="P555" s="20"/>
      <c r="Q555" s="20"/>
      <c r="R555" s="20"/>
      <c r="S555" s="20"/>
      <c r="T555" s="35"/>
      <c r="U555" s="35"/>
      <c r="V555" s="3"/>
      <c r="W555" s="3"/>
      <c r="X555" s="36"/>
      <c r="Y555" s="3"/>
      <c r="Z555" s="3"/>
      <c r="AA555" s="35"/>
      <c r="AB555" s="35"/>
      <c r="AC555" s="35"/>
      <c r="AD555" s="4"/>
      <c r="AE555" s="4"/>
      <c r="AF555" s="4"/>
      <c r="AG555" s="4"/>
      <c r="AH555" s="4"/>
      <c r="AI555" s="4"/>
      <c r="AJ555" s="4"/>
      <c r="AK555" s="4"/>
      <c r="AL555" s="4"/>
    </row>
    <row r="556" spans="1:38" ht="14.4">
      <c r="A556" s="34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20"/>
      <c r="P556" s="20"/>
      <c r="Q556" s="20"/>
      <c r="R556" s="20"/>
      <c r="S556" s="20"/>
      <c r="T556" s="35"/>
      <c r="U556" s="35"/>
      <c r="V556" s="3"/>
      <c r="W556" s="3"/>
      <c r="X556" s="36"/>
      <c r="Y556" s="3"/>
      <c r="Z556" s="3"/>
      <c r="AA556" s="35"/>
      <c r="AB556" s="35"/>
      <c r="AC556" s="35"/>
      <c r="AD556" s="4"/>
      <c r="AE556" s="4"/>
      <c r="AF556" s="4"/>
      <c r="AG556" s="4"/>
      <c r="AH556" s="4"/>
      <c r="AI556" s="4"/>
      <c r="AJ556" s="4"/>
      <c r="AK556" s="4"/>
      <c r="AL556" s="4"/>
    </row>
    <row r="557" spans="1:38" ht="14.4">
      <c r="A557" s="34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20"/>
      <c r="P557" s="20"/>
      <c r="Q557" s="20"/>
      <c r="R557" s="20"/>
      <c r="S557" s="20"/>
      <c r="T557" s="35"/>
      <c r="U557" s="35"/>
      <c r="V557" s="3"/>
      <c r="W557" s="3"/>
      <c r="X557" s="36"/>
      <c r="Y557" s="3"/>
      <c r="Z557" s="3"/>
      <c r="AA557" s="35"/>
      <c r="AB557" s="35"/>
      <c r="AC557" s="35"/>
      <c r="AD557" s="4"/>
      <c r="AE557" s="4"/>
      <c r="AF557" s="4"/>
      <c r="AG557" s="4"/>
      <c r="AH557" s="4"/>
      <c r="AI557" s="4"/>
      <c r="AJ557" s="4"/>
      <c r="AK557" s="4"/>
      <c r="AL557" s="4"/>
    </row>
    <row r="558" spans="1:38" ht="14.4">
      <c r="A558" s="34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20"/>
      <c r="P558" s="20"/>
      <c r="Q558" s="20"/>
      <c r="R558" s="20"/>
      <c r="S558" s="20"/>
      <c r="T558" s="35"/>
      <c r="U558" s="35"/>
      <c r="V558" s="3"/>
      <c r="W558" s="3"/>
      <c r="X558" s="36"/>
      <c r="Y558" s="3"/>
      <c r="Z558" s="3"/>
      <c r="AA558" s="35"/>
      <c r="AB558" s="35"/>
      <c r="AC558" s="35"/>
      <c r="AD558" s="4"/>
      <c r="AE558" s="4"/>
      <c r="AF558" s="4"/>
      <c r="AG558" s="4"/>
      <c r="AH558" s="4"/>
      <c r="AI558" s="4"/>
      <c r="AJ558" s="4"/>
      <c r="AK558" s="4"/>
      <c r="AL558" s="4"/>
    </row>
    <row r="559" spans="1:38" ht="14.4">
      <c r="A559" s="34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20"/>
      <c r="P559" s="20"/>
      <c r="Q559" s="20"/>
      <c r="R559" s="20"/>
      <c r="S559" s="20"/>
      <c r="T559" s="35"/>
      <c r="U559" s="35"/>
      <c r="V559" s="3"/>
      <c r="W559" s="3"/>
      <c r="X559" s="36"/>
      <c r="Y559" s="3"/>
      <c r="Z559" s="3"/>
      <c r="AA559" s="35"/>
      <c r="AB559" s="35"/>
      <c r="AC559" s="35"/>
      <c r="AD559" s="4"/>
      <c r="AE559" s="4"/>
      <c r="AF559" s="4"/>
      <c r="AG559" s="4"/>
      <c r="AH559" s="4"/>
      <c r="AI559" s="4"/>
      <c r="AJ559" s="4"/>
      <c r="AK559" s="4"/>
      <c r="AL559" s="4"/>
    </row>
    <row r="560" spans="1:38" ht="14.4">
      <c r="A560" s="34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20"/>
      <c r="P560" s="20"/>
      <c r="Q560" s="20"/>
      <c r="R560" s="20"/>
      <c r="S560" s="20"/>
      <c r="T560" s="35"/>
      <c r="U560" s="35"/>
      <c r="V560" s="3"/>
      <c r="W560" s="3"/>
      <c r="X560" s="36"/>
      <c r="Y560" s="3"/>
      <c r="Z560" s="3"/>
      <c r="AA560" s="35"/>
      <c r="AB560" s="35"/>
      <c r="AC560" s="35"/>
      <c r="AD560" s="4"/>
      <c r="AE560" s="4"/>
      <c r="AF560" s="4"/>
      <c r="AG560" s="4"/>
      <c r="AH560" s="4"/>
      <c r="AI560" s="4"/>
      <c r="AJ560" s="4"/>
      <c r="AK560" s="4"/>
      <c r="AL560" s="4"/>
    </row>
    <row r="561" spans="1:38" ht="14.4">
      <c r="A561" s="34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20"/>
      <c r="P561" s="20"/>
      <c r="Q561" s="20"/>
      <c r="R561" s="20"/>
      <c r="S561" s="20"/>
      <c r="T561" s="35"/>
      <c r="U561" s="35"/>
      <c r="V561" s="3"/>
      <c r="W561" s="3"/>
      <c r="X561" s="36"/>
      <c r="Y561" s="3"/>
      <c r="Z561" s="3"/>
      <c r="AA561" s="35"/>
      <c r="AB561" s="35"/>
      <c r="AC561" s="35"/>
      <c r="AD561" s="4"/>
      <c r="AE561" s="4"/>
      <c r="AF561" s="4"/>
      <c r="AG561" s="4"/>
      <c r="AH561" s="4"/>
      <c r="AI561" s="4"/>
      <c r="AJ561" s="4"/>
      <c r="AK561" s="4"/>
      <c r="AL561" s="4"/>
    </row>
    <row r="562" spans="1:38" ht="14.4">
      <c r="A562" s="34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20"/>
      <c r="P562" s="20"/>
      <c r="Q562" s="20"/>
      <c r="R562" s="20"/>
      <c r="S562" s="20"/>
      <c r="T562" s="35"/>
      <c r="U562" s="35"/>
      <c r="V562" s="3"/>
      <c r="W562" s="3"/>
      <c r="X562" s="36"/>
      <c r="Y562" s="3"/>
      <c r="Z562" s="3"/>
      <c r="AA562" s="35"/>
      <c r="AB562" s="35"/>
      <c r="AC562" s="35"/>
      <c r="AD562" s="4"/>
      <c r="AE562" s="4"/>
      <c r="AF562" s="4"/>
      <c r="AG562" s="4"/>
      <c r="AH562" s="4"/>
      <c r="AI562" s="4"/>
      <c r="AJ562" s="4"/>
      <c r="AK562" s="4"/>
      <c r="AL562" s="4"/>
    </row>
    <row r="563" spans="1:38" ht="14.4">
      <c r="A563" s="34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20"/>
      <c r="P563" s="20"/>
      <c r="Q563" s="20"/>
      <c r="R563" s="20"/>
      <c r="S563" s="20"/>
      <c r="T563" s="35"/>
      <c r="U563" s="35"/>
      <c r="V563" s="3"/>
      <c r="W563" s="3"/>
      <c r="X563" s="36"/>
      <c r="Y563" s="3"/>
      <c r="Z563" s="3"/>
      <c r="AA563" s="35"/>
      <c r="AB563" s="35"/>
      <c r="AC563" s="35"/>
      <c r="AD563" s="4"/>
      <c r="AE563" s="4"/>
      <c r="AF563" s="4"/>
      <c r="AG563" s="4"/>
      <c r="AH563" s="4"/>
      <c r="AI563" s="4"/>
      <c r="AJ563" s="4"/>
      <c r="AK563" s="4"/>
      <c r="AL563" s="4"/>
    </row>
    <row r="564" spans="1:38" ht="14.4">
      <c r="A564" s="34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20"/>
      <c r="P564" s="20"/>
      <c r="Q564" s="20"/>
      <c r="R564" s="20"/>
      <c r="S564" s="20"/>
      <c r="T564" s="35"/>
      <c r="U564" s="35"/>
      <c r="V564" s="3"/>
      <c r="W564" s="3"/>
      <c r="X564" s="36"/>
      <c r="Y564" s="3"/>
      <c r="Z564" s="3"/>
      <c r="AA564" s="35"/>
      <c r="AB564" s="35"/>
      <c r="AC564" s="35"/>
      <c r="AD564" s="4"/>
      <c r="AE564" s="4"/>
      <c r="AF564" s="4"/>
      <c r="AG564" s="4"/>
      <c r="AH564" s="4"/>
      <c r="AI564" s="4"/>
      <c r="AJ564" s="4"/>
      <c r="AK564" s="4"/>
      <c r="AL564" s="4"/>
    </row>
    <row r="565" spans="1:38" ht="14.4">
      <c r="A565" s="34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20"/>
      <c r="P565" s="20"/>
      <c r="Q565" s="20"/>
      <c r="R565" s="20"/>
      <c r="S565" s="20"/>
      <c r="T565" s="35"/>
      <c r="U565" s="35"/>
      <c r="V565" s="3"/>
      <c r="W565" s="3"/>
      <c r="X565" s="36"/>
      <c r="Y565" s="3"/>
      <c r="Z565" s="3"/>
      <c r="AA565" s="35"/>
      <c r="AB565" s="35"/>
      <c r="AC565" s="35"/>
      <c r="AD565" s="4"/>
      <c r="AE565" s="4"/>
      <c r="AF565" s="4"/>
      <c r="AG565" s="4"/>
      <c r="AH565" s="4"/>
      <c r="AI565" s="4"/>
      <c r="AJ565" s="4"/>
      <c r="AK565" s="4"/>
      <c r="AL565" s="4"/>
    </row>
    <row r="566" spans="1:38" ht="14.4">
      <c r="A566" s="34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20"/>
      <c r="P566" s="20"/>
      <c r="Q566" s="20"/>
      <c r="R566" s="20"/>
      <c r="S566" s="20"/>
      <c r="T566" s="35"/>
      <c r="U566" s="35"/>
      <c r="V566" s="3"/>
      <c r="W566" s="3"/>
      <c r="X566" s="36"/>
      <c r="Y566" s="3"/>
      <c r="Z566" s="3"/>
      <c r="AA566" s="35"/>
      <c r="AB566" s="35"/>
      <c r="AC566" s="35"/>
      <c r="AD566" s="4"/>
      <c r="AE566" s="4"/>
      <c r="AF566" s="4"/>
      <c r="AG566" s="4"/>
      <c r="AH566" s="4"/>
      <c r="AI566" s="4"/>
      <c r="AJ566" s="4"/>
      <c r="AK566" s="4"/>
      <c r="AL566" s="4"/>
    </row>
    <row r="567" spans="1:38" ht="14.4">
      <c r="A567" s="34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20"/>
      <c r="P567" s="20"/>
      <c r="Q567" s="20"/>
      <c r="R567" s="20"/>
      <c r="S567" s="20"/>
      <c r="T567" s="35"/>
      <c r="U567" s="35"/>
      <c r="V567" s="3"/>
      <c r="W567" s="3"/>
      <c r="X567" s="36"/>
      <c r="Y567" s="3"/>
      <c r="Z567" s="3"/>
      <c r="AA567" s="35"/>
      <c r="AB567" s="35"/>
      <c r="AC567" s="35"/>
      <c r="AD567" s="4"/>
      <c r="AE567" s="4"/>
      <c r="AF567" s="4"/>
      <c r="AG567" s="4"/>
      <c r="AH567" s="4"/>
      <c r="AI567" s="4"/>
      <c r="AJ567" s="4"/>
      <c r="AK567" s="4"/>
      <c r="AL567" s="4"/>
    </row>
    <row r="568" spans="1:38" ht="14.4">
      <c r="A568" s="34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20"/>
      <c r="P568" s="20"/>
      <c r="Q568" s="20"/>
      <c r="R568" s="20"/>
      <c r="S568" s="20"/>
      <c r="T568" s="35"/>
      <c r="U568" s="35"/>
      <c r="V568" s="3"/>
      <c r="W568" s="3"/>
      <c r="X568" s="36"/>
      <c r="Y568" s="3"/>
      <c r="Z568" s="3"/>
      <c r="AA568" s="35"/>
      <c r="AB568" s="35"/>
      <c r="AC568" s="35"/>
      <c r="AD568" s="4"/>
      <c r="AE568" s="4"/>
      <c r="AF568" s="4"/>
      <c r="AG568" s="4"/>
      <c r="AH568" s="4"/>
      <c r="AI568" s="4"/>
      <c r="AJ568" s="4"/>
      <c r="AK568" s="4"/>
      <c r="AL568" s="4"/>
    </row>
    <row r="569" spans="1:38" ht="14.4">
      <c r="A569" s="34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20"/>
      <c r="P569" s="20"/>
      <c r="Q569" s="20"/>
      <c r="R569" s="20"/>
      <c r="S569" s="20"/>
      <c r="T569" s="35"/>
      <c r="U569" s="35"/>
      <c r="V569" s="3"/>
      <c r="W569" s="3"/>
      <c r="X569" s="36"/>
      <c r="Y569" s="3"/>
      <c r="Z569" s="3"/>
      <c r="AA569" s="35"/>
      <c r="AB569" s="35"/>
      <c r="AC569" s="35"/>
      <c r="AD569" s="4"/>
      <c r="AE569" s="4"/>
      <c r="AF569" s="4"/>
      <c r="AG569" s="4"/>
      <c r="AH569" s="4"/>
      <c r="AI569" s="4"/>
      <c r="AJ569" s="4"/>
      <c r="AK569" s="4"/>
      <c r="AL569" s="4"/>
    </row>
    <row r="570" spans="1:38" ht="14.4">
      <c r="A570" s="34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20"/>
      <c r="P570" s="20"/>
      <c r="Q570" s="20"/>
      <c r="R570" s="20"/>
      <c r="S570" s="20"/>
      <c r="T570" s="35"/>
      <c r="U570" s="35"/>
      <c r="V570" s="3"/>
      <c r="W570" s="3"/>
      <c r="X570" s="36"/>
      <c r="Y570" s="3"/>
      <c r="Z570" s="3"/>
      <c r="AA570" s="35"/>
      <c r="AB570" s="35"/>
      <c r="AC570" s="35"/>
      <c r="AD570" s="4"/>
      <c r="AE570" s="4"/>
      <c r="AF570" s="4"/>
      <c r="AG570" s="4"/>
      <c r="AH570" s="4"/>
      <c r="AI570" s="4"/>
      <c r="AJ570" s="4"/>
      <c r="AK570" s="4"/>
      <c r="AL570" s="4"/>
    </row>
    <row r="571" spans="1:38" ht="14.4">
      <c r="A571" s="34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20"/>
      <c r="P571" s="20"/>
      <c r="Q571" s="20"/>
      <c r="R571" s="20"/>
      <c r="S571" s="20"/>
      <c r="T571" s="35"/>
      <c r="U571" s="35"/>
      <c r="V571" s="3"/>
      <c r="W571" s="3"/>
      <c r="X571" s="36"/>
      <c r="Y571" s="3"/>
      <c r="Z571" s="3"/>
      <c r="AA571" s="35"/>
      <c r="AB571" s="35"/>
      <c r="AC571" s="35"/>
      <c r="AD571" s="4"/>
      <c r="AE571" s="4"/>
      <c r="AF571" s="4"/>
      <c r="AG571" s="4"/>
      <c r="AH571" s="4"/>
      <c r="AI571" s="4"/>
      <c r="AJ571" s="4"/>
      <c r="AK571" s="4"/>
      <c r="AL571" s="4"/>
    </row>
    <row r="572" spans="1:38" ht="14.4">
      <c r="A572" s="34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20"/>
      <c r="P572" s="20"/>
      <c r="Q572" s="20"/>
      <c r="R572" s="20"/>
      <c r="S572" s="20"/>
      <c r="T572" s="35"/>
      <c r="U572" s="35"/>
      <c r="V572" s="3"/>
      <c r="W572" s="3"/>
      <c r="X572" s="36"/>
      <c r="Y572" s="3"/>
      <c r="Z572" s="3"/>
      <c r="AA572" s="35"/>
      <c r="AB572" s="35"/>
      <c r="AC572" s="35"/>
      <c r="AD572" s="4"/>
      <c r="AE572" s="4"/>
      <c r="AF572" s="4"/>
      <c r="AG572" s="4"/>
      <c r="AH572" s="4"/>
      <c r="AI572" s="4"/>
      <c r="AJ572" s="4"/>
      <c r="AK572" s="4"/>
      <c r="AL572" s="4"/>
    </row>
    <row r="573" spans="1:38" ht="14.4">
      <c r="A573" s="34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20"/>
      <c r="P573" s="20"/>
      <c r="Q573" s="20"/>
      <c r="R573" s="20"/>
      <c r="S573" s="20"/>
      <c r="T573" s="35"/>
      <c r="U573" s="35"/>
      <c r="V573" s="3"/>
      <c r="W573" s="3"/>
      <c r="X573" s="36"/>
      <c r="Y573" s="3"/>
      <c r="Z573" s="3"/>
      <c r="AA573" s="35"/>
      <c r="AB573" s="35"/>
      <c r="AC573" s="35"/>
      <c r="AD573" s="4"/>
      <c r="AE573" s="4"/>
      <c r="AF573" s="4"/>
      <c r="AG573" s="4"/>
      <c r="AH573" s="4"/>
      <c r="AI573" s="4"/>
      <c r="AJ573" s="4"/>
      <c r="AK573" s="4"/>
      <c r="AL573" s="4"/>
    </row>
    <row r="574" spans="1:38" ht="14.4">
      <c r="A574" s="34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20"/>
      <c r="P574" s="20"/>
      <c r="Q574" s="20"/>
      <c r="R574" s="20"/>
      <c r="S574" s="20"/>
      <c r="T574" s="35"/>
      <c r="U574" s="35"/>
      <c r="V574" s="3"/>
      <c r="W574" s="3"/>
      <c r="X574" s="36"/>
      <c r="Y574" s="3"/>
      <c r="Z574" s="3"/>
      <c r="AA574" s="35"/>
      <c r="AB574" s="35"/>
      <c r="AC574" s="35"/>
      <c r="AD574" s="4"/>
      <c r="AE574" s="4"/>
      <c r="AF574" s="4"/>
      <c r="AG574" s="4"/>
      <c r="AH574" s="4"/>
      <c r="AI574" s="4"/>
      <c r="AJ574" s="4"/>
      <c r="AK574" s="4"/>
      <c r="AL574" s="4"/>
    </row>
    <row r="575" spans="1:38" ht="14.4">
      <c r="A575" s="34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20"/>
      <c r="P575" s="20"/>
      <c r="Q575" s="20"/>
      <c r="R575" s="20"/>
      <c r="S575" s="20"/>
      <c r="T575" s="35"/>
      <c r="U575" s="35"/>
      <c r="V575" s="3"/>
      <c r="W575" s="3"/>
      <c r="X575" s="36"/>
      <c r="Y575" s="3"/>
      <c r="Z575" s="3"/>
      <c r="AA575" s="35"/>
      <c r="AB575" s="35"/>
      <c r="AC575" s="35"/>
      <c r="AD575" s="4"/>
      <c r="AE575" s="4"/>
      <c r="AF575" s="4"/>
      <c r="AG575" s="4"/>
      <c r="AH575" s="4"/>
      <c r="AI575" s="4"/>
      <c r="AJ575" s="4"/>
      <c r="AK575" s="4"/>
      <c r="AL575" s="4"/>
    </row>
    <row r="576" spans="1:38" ht="14.4">
      <c r="A576" s="34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20"/>
      <c r="P576" s="20"/>
      <c r="Q576" s="20"/>
      <c r="R576" s="20"/>
      <c r="S576" s="20"/>
      <c r="T576" s="35"/>
      <c r="U576" s="35"/>
      <c r="V576" s="3"/>
      <c r="W576" s="3"/>
      <c r="X576" s="36"/>
      <c r="Y576" s="3"/>
      <c r="Z576" s="3"/>
      <c r="AA576" s="35"/>
      <c r="AB576" s="35"/>
      <c r="AC576" s="35"/>
      <c r="AD576" s="4"/>
      <c r="AE576" s="4"/>
      <c r="AF576" s="4"/>
      <c r="AG576" s="4"/>
      <c r="AH576" s="4"/>
      <c r="AI576" s="4"/>
      <c r="AJ576" s="4"/>
      <c r="AK576" s="4"/>
      <c r="AL576" s="4"/>
    </row>
    <row r="577" spans="1:38" ht="14.4">
      <c r="A577" s="34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20"/>
      <c r="P577" s="20"/>
      <c r="Q577" s="20"/>
      <c r="R577" s="20"/>
      <c r="S577" s="20"/>
      <c r="T577" s="35"/>
      <c r="U577" s="35"/>
      <c r="V577" s="3"/>
      <c r="W577" s="3"/>
      <c r="X577" s="36"/>
      <c r="Y577" s="3"/>
      <c r="Z577" s="3"/>
      <c r="AA577" s="35"/>
      <c r="AB577" s="35"/>
      <c r="AC577" s="35"/>
      <c r="AD577" s="4"/>
      <c r="AE577" s="4"/>
      <c r="AF577" s="4"/>
      <c r="AG577" s="4"/>
      <c r="AH577" s="4"/>
      <c r="AI577" s="4"/>
      <c r="AJ577" s="4"/>
      <c r="AK577" s="4"/>
      <c r="AL577" s="4"/>
    </row>
    <row r="578" spans="1:38" ht="14.4">
      <c r="A578" s="34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20"/>
      <c r="P578" s="20"/>
      <c r="Q578" s="20"/>
      <c r="R578" s="20"/>
      <c r="S578" s="20"/>
      <c r="T578" s="35"/>
      <c r="U578" s="35"/>
      <c r="V578" s="3"/>
      <c r="W578" s="3"/>
      <c r="X578" s="36"/>
      <c r="Y578" s="3"/>
      <c r="Z578" s="3"/>
      <c r="AA578" s="35"/>
      <c r="AB578" s="35"/>
      <c r="AC578" s="35"/>
      <c r="AD578" s="4"/>
      <c r="AE578" s="4"/>
      <c r="AF578" s="4"/>
      <c r="AG578" s="4"/>
      <c r="AH578" s="4"/>
      <c r="AI578" s="4"/>
      <c r="AJ578" s="4"/>
      <c r="AK578" s="4"/>
      <c r="AL578" s="4"/>
    </row>
    <row r="579" spans="1:38" ht="14.4">
      <c r="A579" s="34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20"/>
      <c r="P579" s="20"/>
      <c r="Q579" s="20"/>
      <c r="R579" s="20"/>
      <c r="S579" s="20"/>
      <c r="T579" s="35"/>
      <c r="U579" s="35"/>
      <c r="V579" s="3"/>
      <c r="W579" s="3"/>
      <c r="X579" s="36"/>
      <c r="Y579" s="3"/>
      <c r="Z579" s="3"/>
      <c r="AA579" s="35"/>
      <c r="AB579" s="35"/>
      <c r="AC579" s="35"/>
      <c r="AD579" s="4"/>
      <c r="AE579" s="4"/>
      <c r="AF579" s="4"/>
      <c r="AG579" s="4"/>
      <c r="AH579" s="4"/>
      <c r="AI579" s="4"/>
      <c r="AJ579" s="4"/>
      <c r="AK579" s="4"/>
      <c r="AL579" s="4"/>
    </row>
    <row r="580" spans="1:38" ht="14.4">
      <c r="A580" s="34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20"/>
      <c r="P580" s="20"/>
      <c r="Q580" s="20"/>
      <c r="R580" s="20"/>
      <c r="S580" s="20"/>
      <c r="T580" s="35"/>
      <c r="U580" s="35"/>
      <c r="V580" s="3"/>
      <c r="W580" s="3"/>
      <c r="X580" s="36"/>
      <c r="Y580" s="3"/>
      <c r="Z580" s="3"/>
      <c r="AA580" s="35"/>
      <c r="AB580" s="35"/>
      <c r="AC580" s="35"/>
      <c r="AD580" s="4"/>
      <c r="AE580" s="4"/>
      <c r="AF580" s="4"/>
      <c r="AG580" s="4"/>
      <c r="AH580" s="4"/>
      <c r="AI580" s="4"/>
      <c r="AJ580" s="4"/>
      <c r="AK580" s="4"/>
      <c r="AL580" s="4"/>
    </row>
    <row r="581" spans="1:38" ht="14.4">
      <c r="A581" s="34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20"/>
      <c r="P581" s="20"/>
      <c r="Q581" s="20"/>
      <c r="R581" s="20"/>
      <c r="S581" s="20"/>
      <c r="T581" s="35"/>
      <c r="U581" s="35"/>
      <c r="V581" s="3"/>
      <c r="W581" s="3"/>
      <c r="X581" s="36"/>
      <c r="Y581" s="3"/>
      <c r="Z581" s="3"/>
      <c r="AA581" s="35"/>
      <c r="AB581" s="35"/>
      <c r="AC581" s="35"/>
      <c r="AD581" s="4"/>
      <c r="AE581" s="4"/>
      <c r="AF581" s="4"/>
      <c r="AG581" s="4"/>
      <c r="AH581" s="4"/>
      <c r="AI581" s="4"/>
      <c r="AJ581" s="4"/>
      <c r="AK581" s="4"/>
      <c r="AL581" s="4"/>
    </row>
    <row r="582" spans="1:38" ht="14.4">
      <c r="A582" s="34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20"/>
      <c r="P582" s="20"/>
      <c r="Q582" s="20"/>
      <c r="R582" s="20"/>
      <c r="S582" s="20"/>
      <c r="T582" s="35"/>
      <c r="U582" s="35"/>
      <c r="V582" s="3"/>
      <c r="W582" s="3"/>
      <c r="X582" s="36"/>
      <c r="Y582" s="3"/>
      <c r="Z582" s="3"/>
      <c r="AA582" s="35"/>
      <c r="AB582" s="35"/>
      <c r="AC582" s="35"/>
      <c r="AD582" s="4"/>
      <c r="AE582" s="4"/>
      <c r="AF582" s="4"/>
      <c r="AG582" s="4"/>
      <c r="AH582" s="4"/>
      <c r="AI582" s="4"/>
      <c r="AJ582" s="4"/>
      <c r="AK582" s="4"/>
      <c r="AL582" s="4"/>
    </row>
    <row r="583" spans="1:38" ht="14.4">
      <c r="A583" s="34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20"/>
      <c r="P583" s="20"/>
      <c r="Q583" s="20"/>
      <c r="R583" s="20"/>
      <c r="S583" s="20"/>
      <c r="T583" s="35"/>
      <c r="U583" s="35"/>
      <c r="V583" s="3"/>
      <c r="W583" s="3"/>
      <c r="X583" s="36"/>
      <c r="Y583" s="3"/>
      <c r="Z583" s="3"/>
      <c r="AA583" s="35"/>
      <c r="AB583" s="35"/>
      <c r="AC583" s="35"/>
      <c r="AD583" s="4"/>
      <c r="AE583" s="4"/>
      <c r="AF583" s="4"/>
      <c r="AG583" s="4"/>
      <c r="AH583" s="4"/>
      <c r="AI583" s="4"/>
      <c r="AJ583" s="4"/>
      <c r="AK583" s="4"/>
      <c r="AL583" s="4"/>
    </row>
    <row r="584" spans="1:38" ht="14.4">
      <c r="A584" s="34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20"/>
      <c r="P584" s="20"/>
      <c r="Q584" s="20"/>
      <c r="R584" s="20"/>
      <c r="S584" s="20"/>
      <c r="T584" s="35"/>
      <c r="U584" s="35"/>
      <c r="V584" s="3"/>
      <c r="W584" s="3"/>
      <c r="X584" s="36"/>
      <c r="Y584" s="3"/>
      <c r="Z584" s="3"/>
      <c r="AA584" s="35"/>
      <c r="AB584" s="35"/>
      <c r="AC584" s="35"/>
      <c r="AD584" s="4"/>
      <c r="AE584" s="4"/>
      <c r="AF584" s="4"/>
      <c r="AG584" s="4"/>
      <c r="AH584" s="4"/>
      <c r="AI584" s="4"/>
      <c r="AJ584" s="4"/>
      <c r="AK584" s="4"/>
      <c r="AL584" s="4"/>
    </row>
    <row r="585" spans="1:38" ht="14.4">
      <c r="A585" s="34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20"/>
      <c r="P585" s="20"/>
      <c r="Q585" s="20"/>
      <c r="R585" s="20"/>
      <c r="S585" s="20"/>
      <c r="T585" s="35"/>
      <c r="U585" s="35"/>
      <c r="V585" s="3"/>
      <c r="W585" s="3"/>
      <c r="X585" s="36"/>
      <c r="Y585" s="3"/>
      <c r="Z585" s="3"/>
      <c r="AA585" s="35"/>
      <c r="AB585" s="35"/>
      <c r="AC585" s="35"/>
      <c r="AD585" s="4"/>
      <c r="AE585" s="4"/>
      <c r="AF585" s="4"/>
      <c r="AG585" s="4"/>
      <c r="AH585" s="4"/>
      <c r="AI585" s="4"/>
      <c r="AJ585" s="4"/>
      <c r="AK585" s="4"/>
      <c r="AL585" s="4"/>
    </row>
    <row r="586" spans="1:38" ht="14.4">
      <c r="A586" s="34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20"/>
      <c r="P586" s="20"/>
      <c r="Q586" s="20"/>
      <c r="R586" s="20"/>
      <c r="S586" s="20"/>
      <c r="T586" s="35"/>
      <c r="U586" s="35"/>
      <c r="V586" s="3"/>
      <c r="W586" s="3"/>
      <c r="X586" s="36"/>
      <c r="Y586" s="3"/>
      <c r="Z586" s="3"/>
      <c r="AA586" s="35"/>
      <c r="AB586" s="35"/>
      <c r="AC586" s="35"/>
      <c r="AD586" s="4"/>
      <c r="AE586" s="4"/>
      <c r="AF586" s="4"/>
      <c r="AG586" s="4"/>
      <c r="AH586" s="4"/>
      <c r="AI586" s="4"/>
      <c r="AJ586" s="4"/>
      <c r="AK586" s="4"/>
      <c r="AL586" s="4"/>
    </row>
    <row r="587" spans="1:38" ht="14.4">
      <c r="A587" s="34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20"/>
      <c r="P587" s="20"/>
      <c r="Q587" s="20"/>
      <c r="R587" s="20"/>
      <c r="S587" s="20"/>
      <c r="T587" s="35"/>
      <c r="U587" s="35"/>
      <c r="V587" s="3"/>
      <c r="W587" s="3"/>
      <c r="X587" s="36"/>
      <c r="Y587" s="3"/>
      <c r="Z587" s="3"/>
      <c r="AA587" s="35"/>
      <c r="AB587" s="35"/>
      <c r="AC587" s="35"/>
      <c r="AD587" s="4"/>
      <c r="AE587" s="4"/>
      <c r="AF587" s="4"/>
      <c r="AG587" s="4"/>
      <c r="AH587" s="4"/>
      <c r="AI587" s="4"/>
      <c r="AJ587" s="4"/>
      <c r="AK587" s="4"/>
      <c r="AL587" s="4"/>
    </row>
    <row r="588" spans="1:38" ht="14.4">
      <c r="A588" s="34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20"/>
      <c r="P588" s="20"/>
      <c r="Q588" s="20"/>
      <c r="R588" s="20"/>
      <c r="S588" s="20"/>
      <c r="T588" s="35"/>
      <c r="U588" s="35"/>
      <c r="V588" s="3"/>
      <c r="W588" s="3"/>
      <c r="X588" s="36"/>
      <c r="Y588" s="3"/>
      <c r="Z588" s="3"/>
      <c r="AA588" s="35"/>
      <c r="AB588" s="35"/>
      <c r="AC588" s="35"/>
      <c r="AD588" s="4"/>
      <c r="AE588" s="4"/>
      <c r="AF588" s="4"/>
      <c r="AG588" s="4"/>
      <c r="AH588" s="4"/>
      <c r="AI588" s="4"/>
      <c r="AJ588" s="4"/>
      <c r="AK588" s="4"/>
      <c r="AL588" s="4"/>
    </row>
    <row r="589" spans="1:38" ht="14.4">
      <c r="A589" s="34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20"/>
      <c r="P589" s="20"/>
      <c r="Q589" s="20"/>
      <c r="R589" s="20"/>
      <c r="S589" s="20"/>
      <c r="T589" s="35"/>
      <c r="U589" s="35"/>
      <c r="V589" s="3"/>
      <c r="W589" s="3"/>
      <c r="X589" s="36"/>
      <c r="Y589" s="3"/>
      <c r="Z589" s="3"/>
      <c r="AA589" s="35"/>
      <c r="AB589" s="35"/>
      <c r="AC589" s="35"/>
      <c r="AD589" s="4"/>
      <c r="AE589" s="4"/>
      <c r="AF589" s="4"/>
      <c r="AG589" s="4"/>
      <c r="AH589" s="4"/>
      <c r="AI589" s="4"/>
      <c r="AJ589" s="4"/>
      <c r="AK589" s="4"/>
      <c r="AL589" s="4"/>
    </row>
    <row r="590" spans="1:38" ht="14.4">
      <c r="A590" s="34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20"/>
      <c r="P590" s="20"/>
      <c r="Q590" s="20"/>
      <c r="R590" s="20"/>
      <c r="S590" s="20"/>
      <c r="T590" s="35"/>
      <c r="U590" s="35"/>
      <c r="V590" s="3"/>
      <c r="W590" s="3"/>
      <c r="X590" s="36"/>
      <c r="Y590" s="3"/>
      <c r="Z590" s="3"/>
      <c r="AA590" s="35"/>
      <c r="AB590" s="35"/>
      <c r="AC590" s="35"/>
      <c r="AD590" s="4"/>
      <c r="AE590" s="4"/>
      <c r="AF590" s="4"/>
      <c r="AG590" s="4"/>
      <c r="AH590" s="4"/>
      <c r="AI590" s="4"/>
      <c r="AJ590" s="4"/>
      <c r="AK590" s="4"/>
      <c r="AL590" s="4"/>
    </row>
    <row r="591" spans="1:38" ht="14.4">
      <c r="A591" s="34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20"/>
      <c r="P591" s="20"/>
      <c r="Q591" s="20"/>
      <c r="R591" s="20"/>
      <c r="S591" s="20"/>
      <c r="T591" s="35"/>
      <c r="U591" s="35"/>
      <c r="V591" s="3"/>
      <c r="W591" s="3"/>
      <c r="X591" s="36"/>
      <c r="Y591" s="3"/>
      <c r="Z591" s="3"/>
      <c r="AA591" s="35"/>
      <c r="AB591" s="35"/>
      <c r="AC591" s="35"/>
      <c r="AD591" s="4"/>
      <c r="AE591" s="4"/>
      <c r="AF591" s="4"/>
      <c r="AG591" s="4"/>
      <c r="AH591" s="4"/>
      <c r="AI591" s="4"/>
      <c r="AJ591" s="4"/>
      <c r="AK591" s="4"/>
      <c r="AL591" s="4"/>
    </row>
    <row r="592" spans="1:38" ht="14.4">
      <c r="A592" s="34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20"/>
      <c r="P592" s="20"/>
      <c r="Q592" s="20"/>
      <c r="R592" s="20"/>
      <c r="S592" s="20"/>
      <c r="T592" s="35"/>
      <c r="U592" s="35"/>
      <c r="V592" s="3"/>
      <c r="W592" s="3"/>
      <c r="X592" s="36"/>
      <c r="Y592" s="3"/>
      <c r="Z592" s="3"/>
      <c r="AA592" s="35"/>
      <c r="AB592" s="35"/>
      <c r="AC592" s="35"/>
      <c r="AD592" s="4"/>
      <c r="AE592" s="4"/>
      <c r="AF592" s="4"/>
      <c r="AG592" s="4"/>
      <c r="AH592" s="4"/>
      <c r="AI592" s="4"/>
      <c r="AJ592" s="4"/>
      <c r="AK592" s="4"/>
      <c r="AL592" s="4"/>
    </row>
    <row r="593" spans="1:38" ht="14.4">
      <c r="A593" s="34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20"/>
      <c r="P593" s="20"/>
      <c r="Q593" s="20"/>
      <c r="R593" s="20"/>
      <c r="S593" s="20"/>
      <c r="T593" s="35"/>
      <c r="U593" s="35"/>
      <c r="V593" s="3"/>
      <c r="W593" s="3"/>
      <c r="X593" s="36"/>
      <c r="Y593" s="3"/>
      <c r="Z593" s="3"/>
      <c r="AA593" s="35"/>
      <c r="AB593" s="35"/>
      <c r="AC593" s="35"/>
      <c r="AD593" s="4"/>
      <c r="AE593" s="4"/>
      <c r="AF593" s="4"/>
      <c r="AG593" s="4"/>
      <c r="AH593" s="4"/>
      <c r="AI593" s="4"/>
      <c r="AJ593" s="4"/>
      <c r="AK593" s="4"/>
      <c r="AL593" s="4"/>
    </row>
    <row r="594" spans="1:38" ht="14.4">
      <c r="A594" s="34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20"/>
      <c r="P594" s="20"/>
      <c r="Q594" s="20"/>
      <c r="R594" s="20"/>
      <c r="S594" s="20"/>
      <c r="T594" s="35"/>
      <c r="U594" s="35"/>
      <c r="V594" s="3"/>
      <c r="W594" s="3"/>
      <c r="X594" s="36"/>
      <c r="Y594" s="3"/>
      <c r="Z594" s="3"/>
      <c r="AA594" s="35"/>
      <c r="AB594" s="35"/>
      <c r="AC594" s="35"/>
      <c r="AD594" s="4"/>
      <c r="AE594" s="4"/>
      <c r="AF594" s="4"/>
      <c r="AG594" s="4"/>
      <c r="AH594" s="4"/>
      <c r="AI594" s="4"/>
      <c r="AJ594" s="4"/>
      <c r="AK594" s="4"/>
      <c r="AL594" s="4"/>
    </row>
    <row r="595" spans="1:38" ht="14.4">
      <c r="A595" s="34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20"/>
      <c r="P595" s="20"/>
      <c r="Q595" s="20"/>
      <c r="R595" s="20"/>
      <c r="S595" s="20"/>
      <c r="T595" s="35"/>
      <c r="U595" s="35"/>
      <c r="V595" s="3"/>
      <c r="W595" s="3"/>
      <c r="X595" s="36"/>
      <c r="Y595" s="3"/>
      <c r="Z595" s="3"/>
      <c r="AA595" s="35"/>
      <c r="AB595" s="35"/>
      <c r="AC595" s="35"/>
      <c r="AD595" s="4"/>
      <c r="AE595" s="4"/>
      <c r="AF595" s="4"/>
      <c r="AG595" s="4"/>
      <c r="AH595" s="4"/>
      <c r="AI595" s="4"/>
      <c r="AJ595" s="4"/>
      <c r="AK595" s="4"/>
      <c r="AL595" s="4"/>
    </row>
    <row r="596" spans="1:38" ht="14.4">
      <c r="A596" s="34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20"/>
      <c r="P596" s="20"/>
      <c r="Q596" s="20"/>
      <c r="R596" s="20"/>
      <c r="S596" s="20"/>
      <c r="T596" s="35"/>
      <c r="U596" s="35"/>
      <c r="V596" s="3"/>
      <c r="W596" s="3"/>
      <c r="X596" s="36"/>
      <c r="Y596" s="3"/>
      <c r="Z596" s="3"/>
      <c r="AA596" s="35"/>
      <c r="AB596" s="35"/>
      <c r="AC596" s="35"/>
      <c r="AD596" s="4"/>
      <c r="AE596" s="4"/>
      <c r="AF596" s="4"/>
      <c r="AG596" s="4"/>
      <c r="AH596" s="4"/>
      <c r="AI596" s="4"/>
      <c r="AJ596" s="4"/>
      <c r="AK596" s="4"/>
      <c r="AL596" s="4"/>
    </row>
    <row r="597" spans="1:38" ht="14.4">
      <c r="A597" s="34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20"/>
      <c r="P597" s="20"/>
      <c r="Q597" s="20"/>
      <c r="R597" s="20"/>
      <c r="S597" s="20"/>
      <c r="T597" s="35"/>
      <c r="U597" s="35"/>
      <c r="V597" s="3"/>
      <c r="W597" s="3"/>
      <c r="X597" s="36"/>
      <c r="Y597" s="3"/>
      <c r="Z597" s="3"/>
      <c r="AA597" s="35"/>
      <c r="AB597" s="35"/>
      <c r="AC597" s="35"/>
      <c r="AD597" s="4"/>
      <c r="AE597" s="4"/>
      <c r="AF597" s="4"/>
      <c r="AG597" s="4"/>
      <c r="AH597" s="4"/>
      <c r="AI597" s="4"/>
      <c r="AJ597" s="4"/>
      <c r="AK597" s="4"/>
      <c r="AL597" s="4"/>
    </row>
    <row r="598" spans="1:38" ht="14.4">
      <c r="A598" s="34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20"/>
      <c r="P598" s="20"/>
      <c r="Q598" s="20"/>
      <c r="R598" s="20"/>
      <c r="S598" s="20"/>
      <c r="T598" s="35"/>
      <c r="U598" s="35"/>
      <c r="V598" s="3"/>
      <c r="W598" s="3"/>
      <c r="X598" s="36"/>
      <c r="Y598" s="3"/>
      <c r="Z598" s="3"/>
      <c r="AA598" s="35"/>
      <c r="AB598" s="35"/>
      <c r="AC598" s="35"/>
      <c r="AD598" s="4"/>
      <c r="AE598" s="4"/>
      <c r="AF598" s="4"/>
      <c r="AG598" s="4"/>
      <c r="AH598" s="4"/>
      <c r="AI598" s="4"/>
      <c r="AJ598" s="4"/>
      <c r="AK598" s="4"/>
      <c r="AL598" s="4"/>
    </row>
    <row r="599" spans="1:38" ht="14.4">
      <c r="A599" s="34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20"/>
      <c r="P599" s="20"/>
      <c r="Q599" s="20"/>
      <c r="R599" s="20"/>
      <c r="S599" s="20"/>
      <c r="T599" s="35"/>
      <c r="U599" s="35"/>
      <c r="V599" s="3"/>
      <c r="W599" s="3"/>
      <c r="X599" s="36"/>
      <c r="Y599" s="3"/>
      <c r="Z599" s="3"/>
      <c r="AA599" s="35"/>
      <c r="AB599" s="35"/>
      <c r="AC599" s="35"/>
      <c r="AD599" s="4"/>
      <c r="AE599" s="4"/>
      <c r="AF599" s="4"/>
      <c r="AG599" s="4"/>
      <c r="AH599" s="4"/>
      <c r="AI599" s="4"/>
      <c r="AJ599" s="4"/>
      <c r="AK599" s="4"/>
      <c r="AL599" s="4"/>
    </row>
    <row r="600" spans="1:38" ht="14.4">
      <c r="A600" s="34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20"/>
      <c r="P600" s="20"/>
      <c r="Q600" s="20"/>
      <c r="R600" s="20"/>
      <c r="S600" s="20"/>
      <c r="T600" s="35"/>
      <c r="U600" s="35"/>
      <c r="V600" s="3"/>
      <c r="W600" s="3"/>
      <c r="X600" s="36"/>
      <c r="Y600" s="3"/>
      <c r="Z600" s="3"/>
      <c r="AA600" s="35"/>
      <c r="AB600" s="35"/>
      <c r="AC600" s="35"/>
      <c r="AD600" s="4"/>
      <c r="AE600" s="4"/>
      <c r="AF600" s="4"/>
      <c r="AG600" s="4"/>
      <c r="AH600" s="4"/>
      <c r="AI600" s="4"/>
      <c r="AJ600" s="4"/>
      <c r="AK600" s="4"/>
      <c r="AL600" s="4"/>
    </row>
    <row r="601" spans="1:38" ht="14.4">
      <c r="A601" s="34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20"/>
      <c r="P601" s="20"/>
      <c r="Q601" s="20"/>
      <c r="R601" s="20"/>
      <c r="S601" s="20"/>
      <c r="T601" s="35"/>
      <c r="U601" s="35"/>
      <c r="V601" s="3"/>
      <c r="W601" s="3"/>
      <c r="X601" s="36"/>
      <c r="Y601" s="3"/>
      <c r="Z601" s="3"/>
      <c r="AA601" s="35"/>
      <c r="AB601" s="35"/>
      <c r="AC601" s="35"/>
      <c r="AD601" s="4"/>
      <c r="AE601" s="4"/>
      <c r="AF601" s="4"/>
      <c r="AG601" s="4"/>
      <c r="AH601" s="4"/>
      <c r="AI601" s="4"/>
      <c r="AJ601" s="4"/>
      <c r="AK601" s="4"/>
      <c r="AL601" s="4"/>
    </row>
    <row r="602" spans="1:38" ht="14.4">
      <c r="A602" s="34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20"/>
      <c r="P602" s="20"/>
      <c r="Q602" s="20"/>
      <c r="R602" s="20"/>
      <c r="S602" s="20"/>
      <c r="T602" s="35"/>
      <c r="U602" s="35"/>
      <c r="V602" s="3"/>
      <c r="W602" s="3"/>
      <c r="X602" s="36"/>
      <c r="Y602" s="3"/>
      <c r="Z602" s="3"/>
      <c r="AA602" s="35"/>
      <c r="AB602" s="35"/>
      <c r="AC602" s="35"/>
      <c r="AD602" s="4"/>
      <c r="AE602" s="4"/>
      <c r="AF602" s="4"/>
      <c r="AG602" s="4"/>
      <c r="AH602" s="4"/>
      <c r="AI602" s="4"/>
      <c r="AJ602" s="4"/>
      <c r="AK602" s="4"/>
      <c r="AL602" s="4"/>
    </row>
    <row r="603" spans="1:38" ht="14.4">
      <c r="A603" s="34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20"/>
      <c r="P603" s="20"/>
      <c r="Q603" s="20"/>
      <c r="R603" s="20"/>
      <c r="S603" s="20"/>
      <c r="T603" s="35"/>
      <c r="U603" s="35"/>
      <c r="V603" s="3"/>
      <c r="W603" s="3"/>
      <c r="X603" s="36"/>
      <c r="Y603" s="3"/>
      <c r="Z603" s="3"/>
      <c r="AA603" s="35"/>
      <c r="AB603" s="35"/>
      <c r="AC603" s="35"/>
      <c r="AD603" s="4"/>
      <c r="AE603" s="4"/>
      <c r="AF603" s="4"/>
      <c r="AG603" s="4"/>
      <c r="AH603" s="4"/>
      <c r="AI603" s="4"/>
      <c r="AJ603" s="4"/>
      <c r="AK603" s="4"/>
      <c r="AL603" s="4"/>
    </row>
    <row r="604" spans="1:38" ht="14.4">
      <c r="A604" s="34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20"/>
      <c r="P604" s="20"/>
      <c r="Q604" s="20"/>
      <c r="R604" s="20"/>
      <c r="S604" s="20"/>
      <c r="T604" s="35"/>
      <c r="U604" s="35"/>
      <c r="V604" s="3"/>
      <c r="W604" s="3"/>
      <c r="X604" s="36"/>
      <c r="Y604" s="3"/>
      <c r="Z604" s="3"/>
      <c r="AA604" s="35"/>
      <c r="AB604" s="35"/>
      <c r="AC604" s="35"/>
      <c r="AD604" s="4"/>
      <c r="AE604" s="4"/>
      <c r="AF604" s="4"/>
      <c r="AG604" s="4"/>
      <c r="AH604" s="4"/>
      <c r="AI604" s="4"/>
      <c r="AJ604" s="4"/>
      <c r="AK604" s="4"/>
      <c r="AL604" s="4"/>
    </row>
    <row r="605" spans="1:38" ht="14.4">
      <c r="A605" s="34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20"/>
      <c r="P605" s="20"/>
      <c r="Q605" s="20"/>
      <c r="R605" s="20"/>
      <c r="S605" s="20"/>
      <c r="T605" s="35"/>
      <c r="U605" s="35"/>
      <c r="V605" s="3"/>
      <c r="W605" s="3"/>
      <c r="X605" s="36"/>
      <c r="Y605" s="3"/>
      <c r="Z605" s="3"/>
      <c r="AA605" s="35"/>
      <c r="AB605" s="35"/>
      <c r="AC605" s="35"/>
      <c r="AD605" s="4"/>
      <c r="AE605" s="4"/>
      <c r="AF605" s="4"/>
      <c r="AG605" s="4"/>
      <c r="AH605" s="4"/>
      <c r="AI605" s="4"/>
      <c r="AJ605" s="4"/>
      <c r="AK605" s="4"/>
      <c r="AL605" s="4"/>
    </row>
    <row r="606" spans="1:38" ht="14.4">
      <c r="A606" s="34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20"/>
      <c r="P606" s="20"/>
      <c r="Q606" s="20"/>
      <c r="R606" s="20"/>
      <c r="S606" s="20"/>
      <c r="T606" s="35"/>
      <c r="U606" s="35"/>
      <c r="V606" s="3"/>
      <c r="W606" s="3"/>
      <c r="X606" s="36"/>
      <c r="Y606" s="3"/>
      <c r="Z606" s="3"/>
      <c r="AA606" s="35"/>
      <c r="AB606" s="35"/>
      <c r="AC606" s="35"/>
      <c r="AD606" s="4"/>
      <c r="AE606" s="4"/>
      <c r="AF606" s="4"/>
      <c r="AG606" s="4"/>
      <c r="AH606" s="4"/>
      <c r="AI606" s="4"/>
      <c r="AJ606" s="4"/>
      <c r="AK606" s="4"/>
      <c r="AL606" s="4"/>
    </row>
    <row r="607" spans="1:38" ht="14.4">
      <c r="A607" s="34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20"/>
      <c r="P607" s="20"/>
      <c r="Q607" s="20"/>
      <c r="R607" s="20"/>
      <c r="S607" s="20"/>
      <c r="T607" s="35"/>
      <c r="U607" s="35"/>
      <c r="V607" s="3"/>
      <c r="W607" s="3"/>
      <c r="X607" s="36"/>
      <c r="Y607" s="3"/>
      <c r="Z607" s="3"/>
      <c r="AA607" s="35"/>
      <c r="AB607" s="35"/>
      <c r="AC607" s="35"/>
      <c r="AD607" s="4"/>
      <c r="AE607" s="4"/>
      <c r="AF607" s="4"/>
      <c r="AG607" s="4"/>
      <c r="AH607" s="4"/>
      <c r="AI607" s="4"/>
      <c r="AJ607" s="4"/>
      <c r="AK607" s="4"/>
      <c r="AL607" s="4"/>
    </row>
    <row r="608" spans="1:38" ht="14.4">
      <c r="A608" s="34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20"/>
      <c r="P608" s="20"/>
      <c r="Q608" s="20"/>
      <c r="R608" s="20"/>
      <c r="S608" s="20"/>
      <c r="T608" s="35"/>
      <c r="U608" s="35"/>
      <c r="V608" s="3"/>
      <c r="W608" s="3"/>
      <c r="X608" s="36"/>
      <c r="Y608" s="3"/>
      <c r="Z608" s="3"/>
      <c r="AA608" s="35"/>
      <c r="AB608" s="35"/>
      <c r="AC608" s="35"/>
      <c r="AD608" s="4"/>
      <c r="AE608" s="4"/>
      <c r="AF608" s="4"/>
      <c r="AG608" s="4"/>
      <c r="AH608" s="4"/>
      <c r="AI608" s="4"/>
      <c r="AJ608" s="4"/>
      <c r="AK608" s="4"/>
      <c r="AL608" s="4"/>
    </row>
    <row r="609" spans="1:38" ht="14.4">
      <c r="A609" s="34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20"/>
      <c r="P609" s="20"/>
      <c r="Q609" s="20"/>
      <c r="R609" s="20"/>
      <c r="S609" s="20"/>
      <c r="T609" s="35"/>
      <c r="U609" s="35"/>
      <c r="V609" s="3"/>
      <c r="W609" s="3"/>
      <c r="X609" s="36"/>
      <c r="Y609" s="3"/>
      <c r="Z609" s="3"/>
      <c r="AA609" s="35"/>
      <c r="AB609" s="35"/>
      <c r="AC609" s="35"/>
      <c r="AD609" s="4"/>
      <c r="AE609" s="4"/>
      <c r="AF609" s="4"/>
      <c r="AG609" s="4"/>
      <c r="AH609" s="4"/>
      <c r="AI609" s="4"/>
      <c r="AJ609" s="4"/>
      <c r="AK609" s="4"/>
      <c r="AL609" s="4"/>
    </row>
    <row r="610" spans="1:38" ht="14.4">
      <c r="A610" s="34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20"/>
      <c r="P610" s="20"/>
      <c r="Q610" s="20"/>
      <c r="R610" s="20"/>
      <c r="S610" s="20"/>
      <c r="T610" s="35"/>
      <c r="U610" s="35"/>
      <c r="V610" s="3"/>
      <c r="W610" s="3"/>
      <c r="X610" s="36"/>
      <c r="Y610" s="3"/>
      <c r="Z610" s="3"/>
      <c r="AA610" s="35"/>
      <c r="AB610" s="35"/>
      <c r="AC610" s="35"/>
      <c r="AD610" s="4"/>
      <c r="AE610" s="4"/>
      <c r="AF610" s="4"/>
      <c r="AG610" s="4"/>
      <c r="AH610" s="4"/>
      <c r="AI610" s="4"/>
      <c r="AJ610" s="4"/>
      <c r="AK610" s="4"/>
      <c r="AL610" s="4"/>
    </row>
    <row r="611" spans="1:38" ht="14.4">
      <c r="A611" s="34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20"/>
      <c r="P611" s="20"/>
      <c r="Q611" s="20"/>
      <c r="R611" s="20"/>
      <c r="S611" s="20"/>
      <c r="T611" s="35"/>
      <c r="U611" s="35"/>
      <c r="V611" s="3"/>
      <c r="W611" s="3"/>
      <c r="X611" s="36"/>
      <c r="Y611" s="3"/>
      <c r="Z611" s="3"/>
      <c r="AA611" s="35"/>
      <c r="AB611" s="35"/>
      <c r="AC611" s="35"/>
      <c r="AD611" s="4"/>
      <c r="AE611" s="4"/>
      <c r="AF611" s="4"/>
      <c r="AG611" s="4"/>
      <c r="AH611" s="4"/>
      <c r="AI611" s="4"/>
      <c r="AJ611" s="4"/>
      <c r="AK611" s="4"/>
      <c r="AL611" s="4"/>
    </row>
    <row r="612" spans="1:38" ht="14.4">
      <c r="A612" s="34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20"/>
      <c r="P612" s="20"/>
      <c r="Q612" s="20"/>
      <c r="R612" s="20"/>
      <c r="S612" s="20"/>
      <c r="T612" s="35"/>
      <c r="U612" s="35"/>
      <c r="V612" s="3"/>
      <c r="W612" s="3"/>
      <c r="X612" s="36"/>
      <c r="Y612" s="3"/>
      <c r="Z612" s="3"/>
      <c r="AA612" s="35"/>
      <c r="AB612" s="35"/>
      <c r="AC612" s="35"/>
      <c r="AD612" s="4"/>
      <c r="AE612" s="4"/>
      <c r="AF612" s="4"/>
      <c r="AG612" s="4"/>
      <c r="AH612" s="4"/>
      <c r="AI612" s="4"/>
      <c r="AJ612" s="4"/>
      <c r="AK612" s="4"/>
      <c r="AL612" s="4"/>
    </row>
    <row r="613" spans="1:38" ht="14.4">
      <c r="A613" s="34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20"/>
      <c r="P613" s="20"/>
      <c r="Q613" s="20"/>
      <c r="R613" s="20"/>
      <c r="S613" s="20"/>
      <c r="T613" s="35"/>
      <c r="U613" s="35"/>
      <c r="V613" s="3"/>
      <c r="W613" s="3"/>
      <c r="X613" s="36"/>
      <c r="Y613" s="3"/>
      <c r="Z613" s="3"/>
      <c r="AA613" s="35"/>
      <c r="AB613" s="35"/>
      <c r="AC613" s="35"/>
      <c r="AD613" s="4"/>
      <c r="AE613" s="4"/>
      <c r="AF613" s="4"/>
      <c r="AG613" s="4"/>
      <c r="AH613" s="4"/>
      <c r="AI613" s="4"/>
      <c r="AJ613" s="4"/>
      <c r="AK613" s="4"/>
      <c r="AL613" s="4"/>
    </row>
    <row r="614" spans="1:38" ht="14.4">
      <c r="A614" s="34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20"/>
      <c r="P614" s="20"/>
      <c r="Q614" s="20"/>
      <c r="R614" s="20"/>
      <c r="S614" s="20"/>
      <c r="T614" s="35"/>
      <c r="U614" s="35"/>
      <c r="V614" s="3"/>
      <c r="W614" s="3"/>
      <c r="X614" s="36"/>
      <c r="Y614" s="3"/>
      <c r="Z614" s="3"/>
      <c r="AA614" s="35"/>
      <c r="AB614" s="35"/>
      <c r="AC614" s="35"/>
      <c r="AD614" s="4"/>
      <c r="AE614" s="4"/>
      <c r="AF614" s="4"/>
      <c r="AG614" s="4"/>
      <c r="AH614" s="4"/>
      <c r="AI614" s="4"/>
      <c r="AJ614" s="4"/>
      <c r="AK614" s="4"/>
      <c r="AL614" s="4"/>
    </row>
    <row r="615" spans="1:38" ht="14.4">
      <c r="A615" s="34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20"/>
      <c r="P615" s="20"/>
      <c r="Q615" s="20"/>
      <c r="R615" s="20"/>
      <c r="S615" s="20"/>
      <c r="T615" s="35"/>
      <c r="U615" s="35"/>
      <c r="V615" s="3"/>
      <c r="W615" s="3"/>
      <c r="X615" s="36"/>
      <c r="Y615" s="3"/>
      <c r="Z615" s="3"/>
      <c r="AA615" s="35"/>
      <c r="AB615" s="35"/>
      <c r="AC615" s="35"/>
      <c r="AD615" s="4"/>
      <c r="AE615" s="4"/>
      <c r="AF615" s="4"/>
      <c r="AG615" s="4"/>
      <c r="AH615" s="4"/>
      <c r="AI615" s="4"/>
      <c r="AJ615" s="4"/>
      <c r="AK615" s="4"/>
      <c r="AL615" s="4"/>
    </row>
    <row r="616" spans="1:38" ht="14.4">
      <c r="A616" s="34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20"/>
      <c r="P616" s="20"/>
      <c r="Q616" s="20"/>
      <c r="R616" s="20"/>
      <c r="S616" s="20"/>
      <c r="T616" s="35"/>
      <c r="U616" s="35"/>
      <c r="V616" s="3"/>
      <c r="W616" s="3"/>
      <c r="X616" s="36"/>
      <c r="Y616" s="3"/>
      <c r="Z616" s="3"/>
      <c r="AA616" s="35"/>
      <c r="AB616" s="35"/>
      <c r="AC616" s="35"/>
      <c r="AD616" s="4"/>
      <c r="AE616" s="4"/>
      <c r="AF616" s="4"/>
      <c r="AG616" s="4"/>
      <c r="AH616" s="4"/>
      <c r="AI616" s="4"/>
      <c r="AJ616" s="4"/>
      <c r="AK616" s="4"/>
      <c r="AL616" s="4"/>
    </row>
    <row r="617" spans="1:38" ht="14.4">
      <c r="A617" s="34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20"/>
      <c r="P617" s="20"/>
      <c r="Q617" s="20"/>
      <c r="R617" s="20"/>
      <c r="S617" s="20"/>
      <c r="T617" s="35"/>
      <c r="U617" s="35"/>
      <c r="V617" s="3"/>
      <c r="W617" s="3"/>
      <c r="X617" s="36"/>
      <c r="Y617" s="3"/>
      <c r="Z617" s="3"/>
      <c r="AA617" s="35"/>
      <c r="AB617" s="35"/>
      <c r="AC617" s="35"/>
      <c r="AD617" s="4"/>
      <c r="AE617" s="4"/>
      <c r="AF617" s="4"/>
      <c r="AG617" s="4"/>
      <c r="AH617" s="4"/>
      <c r="AI617" s="4"/>
      <c r="AJ617" s="4"/>
      <c r="AK617" s="4"/>
      <c r="AL617" s="4"/>
    </row>
    <row r="618" spans="1:38" ht="14.4">
      <c r="A618" s="34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20"/>
      <c r="P618" s="20"/>
      <c r="Q618" s="20"/>
      <c r="R618" s="20"/>
      <c r="S618" s="20"/>
      <c r="T618" s="35"/>
      <c r="U618" s="35"/>
      <c r="V618" s="3"/>
      <c r="W618" s="3"/>
      <c r="X618" s="36"/>
      <c r="Y618" s="3"/>
      <c r="Z618" s="3"/>
      <c r="AA618" s="35"/>
      <c r="AB618" s="35"/>
      <c r="AC618" s="35"/>
      <c r="AD618" s="4"/>
      <c r="AE618" s="4"/>
      <c r="AF618" s="4"/>
      <c r="AG618" s="4"/>
      <c r="AH618" s="4"/>
      <c r="AI618" s="4"/>
      <c r="AJ618" s="4"/>
      <c r="AK618" s="4"/>
      <c r="AL618" s="4"/>
    </row>
    <row r="619" spans="1:38" ht="14.4">
      <c r="A619" s="34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20"/>
      <c r="P619" s="20"/>
      <c r="Q619" s="20"/>
      <c r="R619" s="20"/>
      <c r="S619" s="20"/>
      <c r="T619" s="35"/>
      <c r="U619" s="35"/>
      <c r="V619" s="3"/>
      <c r="W619" s="3"/>
      <c r="X619" s="36"/>
      <c r="Y619" s="3"/>
      <c r="Z619" s="3"/>
      <c r="AA619" s="35"/>
      <c r="AB619" s="35"/>
      <c r="AC619" s="35"/>
      <c r="AD619" s="4"/>
      <c r="AE619" s="4"/>
      <c r="AF619" s="4"/>
      <c r="AG619" s="4"/>
      <c r="AH619" s="4"/>
      <c r="AI619" s="4"/>
      <c r="AJ619" s="4"/>
      <c r="AK619" s="4"/>
      <c r="AL619" s="4"/>
    </row>
    <row r="620" spans="1:38" ht="14.4">
      <c r="A620" s="34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20"/>
      <c r="P620" s="20"/>
      <c r="Q620" s="20"/>
      <c r="R620" s="20"/>
      <c r="S620" s="20"/>
      <c r="T620" s="35"/>
      <c r="U620" s="35"/>
      <c r="V620" s="3"/>
      <c r="W620" s="3"/>
      <c r="X620" s="36"/>
      <c r="Y620" s="3"/>
      <c r="Z620" s="3"/>
      <c r="AA620" s="35"/>
      <c r="AB620" s="35"/>
      <c r="AC620" s="35"/>
      <c r="AD620" s="4"/>
      <c r="AE620" s="4"/>
      <c r="AF620" s="4"/>
      <c r="AG620" s="4"/>
      <c r="AH620" s="4"/>
      <c r="AI620" s="4"/>
      <c r="AJ620" s="4"/>
      <c r="AK620" s="4"/>
      <c r="AL620" s="4"/>
    </row>
    <row r="621" spans="1:38" ht="14.4">
      <c r="A621" s="34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20"/>
      <c r="P621" s="20"/>
      <c r="Q621" s="20"/>
      <c r="R621" s="20"/>
      <c r="S621" s="20"/>
      <c r="T621" s="35"/>
      <c r="U621" s="35"/>
      <c r="V621" s="3"/>
      <c r="W621" s="3"/>
      <c r="X621" s="36"/>
      <c r="Y621" s="3"/>
      <c r="Z621" s="3"/>
      <c r="AA621" s="35"/>
      <c r="AB621" s="35"/>
      <c r="AC621" s="35"/>
      <c r="AD621" s="4"/>
      <c r="AE621" s="4"/>
      <c r="AF621" s="4"/>
      <c r="AG621" s="4"/>
      <c r="AH621" s="4"/>
      <c r="AI621" s="4"/>
      <c r="AJ621" s="4"/>
      <c r="AK621" s="4"/>
      <c r="AL621" s="4"/>
    </row>
    <row r="622" spans="1:38" ht="14.4">
      <c r="A622" s="34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20"/>
      <c r="P622" s="20"/>
      <c r="Q622" s="20"/>
      <c r="R622" s="20"/>
      <c r="S622" s="20"/>
      <c r="T622" s="35"/>
      <c r="U622" s="35"/>
      <c r="V622" s="3"/>
      <c r="W622" s="3"/>
      <c r="X622" s="36"/>
      <c r="Y622" s="3"/>
      <c r="Z622" s="3"/>
      <c r="AA622" s="35"/>
      <c r="AB622" s="35"/>
      <c r="AC622" s="35"/>
      <c r="AD622" s="4"/>
      <c r="AE622" s="4"/>
      <c r="AF622" s="4"/>
      <c r="AG622" s="4"/>
      <c r="AH622" s="4"/>
      <c r="AI622" s="4"/>
      <c r="AJ622" s="4"/>
      <c r="AK622" s="4"/>
      <c r="AL622" s="4"/>
    </row>
    <row r="623" spans="1:38" ht="14.4">
      <c r="A623" s="34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20"/>
      <c r="P623" s="20"/>
      <c r="Q623" s="20"/>
      <c r="R623" s="20"/>
      <c r="S623" s="20"/>
      <c r="T623" s="35"/>
      <c r="U623" s="35"/>
      <c r="V623" s="3"/>
      <c r="W623" s="3"/>
      <c r="X623" s="36"/>
      <c r="Y623" s="3"/>
      <c r="Z623" s="3"/>
      <c r="AA623" s="35"/>
      <c r="AB623" s="35"/>
      <c r="AC623" s="35"/>
      <c r="AD623" s="4"/>
      <c r="AE623" s="4"/>
      <c r="AF623" s="4"/>
      <c r="AG623" s="4"/>
      <c r="AH623" s="4"/>
      <c r="AI623" s="4"/>
      <c r="AJ623" s="4"/>
      <c r="AK623" s="4"/>
      <c r="AL623" s="4"/>
    </row>
    <row r="624" spans="1:38" ht="14.4">
      <c r="A624" s="34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20"/>
      <c r="P624" s="20"/>
      <c r="Q624" s="20"/>
      <c r="R624" s="20"/>
      <c r="S624" s="20"/>
      <c r="T624" s="35"/>
      <c r="U624" s="35"/>
      <c r="V624" s="3"/>
      <c r="W624" s="3"/>
      <c r="X624" s="36"/>
      <c r="Y624" s="3"/>
      <c r="Z624" s="3"/>
      <c r="AA624" s="35"/>
      <c r="AB624" s="35"/>
      <c r="AC624" s="35"/>
      <c r="AD624" s="4"/>
      <c r="AE624" s="4"/>
      <c r="AF624" s="4"/>
      <c r="AG624" s="4"/>
      <c r="AH624" s="4"/>
      <c r="AI624" s="4"/>
      <c r="AJ624" s="4"/>
      <c r="AK624" s="4"/>
      <c r="AL624" s="4"/>
    </row>
    <row r="625" spans="1:38" ht="14.4">
      <c r="A625" s="34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20"/>
      <c r="P625" s="20"/>
      <c r="Q625" s="20"/>
      <c r="R625" s="20"/>
      <c r="S625" s="20"/>
      <c r="T625" s="35"/>
      <c r="U625" s="35"/>
      <c r="V625" s="3"/>
      <c r="W625" s="3"/>
      <c r="X625" s="36"/>
      <c r="Y625" s="3"/>
      <c r="Z625" s="3"/>
      <c r="AA625" s="35"/>
      <c r="AB625" s="35"/>
      <c r="AC625" s="35"/>
      <c r="AD625" s="4"/>
      <c r="AE625" s="4"/>
      <c r="AF625" s="4"/>
      <c r="AG625" s="4"/>
      <c r="AH625" s="4"/>
      <c r="AI625" s="4"/>
      <c r="AJ625" s="4"/>
      <c r="AK625" s="4"/>
      <c r="AL625" s="4"/>
    </row>
    <row r="626" spans="1:38" ht="14.4">
      <c r="A626" s="34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20"/>
      <c r="P626" s="20"/>
      <c r="Q626" s="20"/>
      <c r="R626" s="20"/>
      <c r="S626" s="20"/>
      <c r="T626" s="35"/>
      <c r="U626" s="35"/>
      <c r="V626" s="3"/>
      <c r="W626" s="3"/>
      <c r="X626" s="36"/>
      <c r="Y626" s="3"/>
      <c r="Z626" s="3"/>
      <c r="AA626" s="35"/>
      <c r="AB626" s="35"/>
      <c r="AC626" s="35"/>
      <c r="AD626" s="4"/>
      <c r="AE626" s="4"/>
      <c r="AF626" s="4"/>
      <c r="AG626" s="4"/>
      <c r="AH626" s="4"/>
      <c r="AI626" s="4"/>
      <c r="AJ626" s="4"/>
      <c r="AK626" s="4"/>
      <c r="AL626" s="4"/>
    </row>
    <row r="627" spans="1:38" ht="14.4">
      <c r="A627" s="34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20"/>
      <c r="P627" s="20"/>
      <c r="Q627" s="20"/>
      <c r="R627" s="20"/>
      <c r="S627" s="20"/>
      <c r="T627" s="35"/>
      <c r="U627" s="35"/>
      <c r="V627" s="3"/>
      <c r="W627" s="3"/>
      <c r="X627" s="36"/>
      <c r="Y627" s="3"/>
      <c r="Z627" s="3"/>
      <c r="AA627" s="35"/>
      <c r="AB627" s="35"/>
      <c r="AC627" s="35"/>
      <c r="AD627" s="4"/>
      <c r="AE627" s="4"/>
      <c r="AF627" s="4"/>
      <c r="AG627" s="4"/>
      <c r="AH627" s="4"/>
      <c r="AI627" s="4"/>
      <c r="AJ627" s="4"/>
      <c r="AK627" s="4"/>
      <c r="AL627" s="4"/>
    </row>
    <row r="628" spans="1:38" ht="14.4">
      <c r="A628" s="34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20"/>
      <c r="P628" s="20"/>
      <c r="Q628" s="20"/>
      <c r="R628" s="20"/>
      <c r="S628" s="20"/>
      <c r="T628" s="35"/>
      <c r="U628" s="35"/>
      <c r="V628" s="3"/>
      <c r="W628" s="3"/>
      <c r="X628" s="36"/>
      <c r="Y628" s="3"/>
      <c r="Z628" s="3"/>
      <c r="AA628" s="35"/>
      <c r="AB628" s="35"/>
      <c r="AC628" s="35"/>
      <c r="AD628" s="4"/>
      <c r="AE628" s="4"/>
      <c r="AF628" s="4"/>
      <c r="AG628" s="4"/>
      <c r="AH628" s="4"/>
      <c r="AI628" s="4"/>
      <c r="AJ628" s="4"/>
      <c r="AK628" s="4"/>
      <c r="AL628" s="4"/>
    </row>
    <row r="629" spans="1:38" ht="14.4">
      <c r="A629" s="34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20"/>
      <c r="P629" s="20"/>
      <c r="Q629" s="20"/>
      <c r="R629" s="20"/>
      <c r="S629" s="20"/>
      <c r="T629" s="35"/>
      <c r="U629" s="35"/>
      <c r="V629" s="3"/>
      <c r="W629" s="3"/>
      <c r="X629" s="36"/>
      <c r="Y629" s="3"/>
      <c r="Z629" s="3"/>
      <c r="AA629" s="35"/>
      <c r="AB629" s="35"/>
      <c r="AC629" s="35"/>
      <c r="AD629" s="4"/>
      <c r="AE629" s="4"/>
      <c r="AF629" s="4"/>
      <c r="AG629" s="4"/>
      <c r="AH629" s="4"/>
      <c r="AI629" s="4"/>
      <c r="AJ629" s="4"/>
      <c r="AK629" s="4"/>
      <c r="AL629" s="4"/>
    </row>
    <row r="630" spans="1:38" ht="14.4">
      <c r="A630" s="34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20"/>
      <c r="P630" s="20"/>
      <c r="Q630" s="20"/>
      <c r="R630" s="20"/>
      <c r="S630" s="20"/>
      <c r="T630" s="35"/>
      <c r="U630" s="35"/>
      <c r="V630" s="3"/>
      <c r="W630" s="3"/>
      <c r="X630" s="36"/>
      <c r="Y630" s="3"/>
      <c r="Z630" s="3"/>
      <c r="AA630" s="35"/>
      <c r="AB630" s="35"/>
      <c r="AC630" s="35"/>
      <c r="AD630" s="4"/>
      <c r="AE630" s="4"/>
      <c r="AF630" s="4"/>
      <c r="AG630" s="4"/>
      <c r="AH630" s="4"/>
      <c r="AI630" s="4"/>
      <c r="AJ630" s="4"/>
      <c r="AK630" s="4"/>
      <c r="AL630" s="4"/>
    </row>
    <row r="631" spans="1:38" ht="14.4">
      <c r="A631" s="34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20"/>
      <c r="P631" s="20"/>
      <c r="Q631" s="20"/>
      <c r="R631" s="20"/>
      <c r="S631" s="20"/>
      <c r="T631" s="35"/>
      <c r="U631" s="35"/>
      <c r="V631" s="3"/>
      <c r="W631" s="3"/>
      <c r="X631" s="36"/>
      <c r="Y631" s="3"/>
      <c r="Z631" s="3"/>
      <c r="AA631" s="35"/>
      <c r="AB631" s="35"/>
      <c r="AC631" s="35"/>
      <c r="AD631" s="4"/>
      <c r="AE631" s="4"/>
      <c r="AF631" s="4"/>
      <c r="AG631" s="4"/>
      <c r="AH631" s="4"/>
      <c r="AI631" s="4"/>
      <c r="AJ631" s="4"/>
      <c r="AK631" s="4"/>
      <c r="AL631" s="4"/>
    </row>
    <row r="632" spans="1:38" ht="14.4">
      <c r="A632" s="34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20"/>
      <c r="P632" s="20"/>
      <c r="Q632" s="20"/>
      <c r="R632" s="20"/>
      <c r="S632" s="20"/>
      <c r="T632" s="35"/>
      <c r="U632" s="35"/>
      <c r="V632" s="3"/>
      <c r="W632" s="3"/>
      <c r="X632" s="36"/>
      <c r="Y632" s="3"/>
      <c r="Z632" s="3"/>
      <c r="AA632" s="35"/>
      <c r="AB632" s="35"/>
      <c r="AC632" s="35"/>
      <c r="AD632" s="4"/>
      <c r="AE632" s="4"/>
      <c r="AF632" s="4"/>
      <c r="AG632" s="4"/>
      <c r="AH632" s="4"/>
      <c r="AI632" s="4"/>
      <c r="AJ632" s="4"/>
      <c r="AK632" s="4"/>
      <c r="AL632" s="4"/>
    </row>
    <row r="633" spans="1:38" ht="14.4">
      <c r="A633" s="34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20"/>
      <c r="P633" s="20"/>
      <c r="Q633" s="20"/>
      <c r="R633" s="20"/>
      <c r="S633" s="20"/>
      <c r="T633" s="35"/>
      <c r="U633" s="35"/>
      <c r="V633" s="3"/>
      <c r="W633" s="3"/>
      <c r="X633" s="36"/>
      <c r="Y633" s="3"/>
      <c r="Z633" s="3"/>
      <c r="AA633" s="35"/>
      <c r="AB633" s="35"/>
      <c r="AC633" s="35"/>
      <c r="AD633" s="4"/>
      <c r="AE633" s="4"/>
      <c r="AF633" s="4"/>
      <c r="AG633" s="4"/>
      <c r="AH633" s="4"/>
      <c r="AI633" s="4"/>
      <c r="AJ633" s="4"/>
      <c r="AK633" s="4"/>
      <c r="AL633" s="4"/>
    </row>
    <row r="634" spans="1:38" ht="14.4">
      <c r="A634" s="34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20"/>
      <c r="P634" s="20"/>
      <c r="Q634" s="20"/>
      <c r="R634" s="20"/>
      <c r="S634" s="20"/>
      <c r="T634" s="35"/>
      <c r="U634" s="35"/>
      <c r="V634" s="3"/>
      <c r="W634" s="3"/>
      <c r="X634" s="36"/>
      <c r="Y634" s="3"/>
      <c r="Z634" s="3"/>
      <c r="AA634" s="35"/>
      <c r="AB634" s="35"/>
      <c r="AC634" s="35"/>
      <c r="AD634" s="4"/>
      <c r="AE634" s="4"/>
      <c r="AF634" s="4"/>
      <c r="AG634" s="4"/>
      <c r="AH634" s="4"/>
      <c r="AI634" s="4"/>
      <c r="AJ634" s="4"/>
      <c r="AK634" s="4"/>
      <c r="AL634" s="4"/>
    </row>
    <row r="635" spans="1:38" ht="14.4">
      <c r="A635" s="34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20"/>
      <c r="P635" s="20"/>
      <c r="Q635" s="20"/>
      <c r="R635" s="20"/>
      <c r="S635" s="20"/>
      <c r="T635" s="35"/>
      <c r="U635" s="35"/>
      <c r="V635" s="3"/>
      <c r="W635" s="3"/>
      <c r="X635" s="36"/>
      <c r="Y635" s="3"/>
      <c r="Z635" s="3"/>
      <c r="AA635" s="35"/>
      <c r="AB635" s="35"/>
      <c r="AC635" s="35"/>
      <c r="AD635" s="4"/>
      <c r="AE635" s="4"/>
      <c r="AF635" s="4"/>
      <c r="AG635" s="4"/>
      <c r="AH635" s="4"/>
      <c r="AI635" s="4"/>
      <c r="AJ635" s="4"/>
      <c r="AK635" s="4"/>
      <c r="AL635" s="4"/>
    </row>
    <row r="636" spans="1:38" ht="14.4">
      <c r="A636" s="34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20"/>
      <c r="P636" s="20"/>
      <c r="Q636" s="20"/>
      <c r="R636" s="20"/>
      <c r="S636" s="20"/>
      <c r="T636" s="35"/>
      <c r="U636" s="35"/>
      <c r="V636" s="3"/>
      <c r="W636" s="3"/>
      <c r="X636" s="36"/>
      <c r="Y636" s="3"/>
      <c r="Z636" s="3"/>
      <c r="AA636" s="35"/>
      <c r="AB636" s="35"/>
      <c r="AC636" s="35"/>
      <c r="AD636" s="4"/>
      <c r="AE636" s="4"/>
      <c r="AF636" s="4"/>
      <c r="AG636" s="4"/>
      <c r="AH636" s="4"/>
      <c r="AI636" s="4"/>
      <c r="AJ636" s="4"/>
      <c r="AK636" s="4"/>
      <c r="AL636" s="4"/>
    </row>
    <row r="637" spans="1:38" ht="14.4">
      <c r="A637" s="34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20"/>
      <c r="P637" s="20"/>
      <c r="Q637" s="20"/>
      <c r="R637" s="20"/>
      <c r="S637" s="20"/>
      <c r="T637" s="35"/>
      <c r="U637" s="35"/>
      <c r="V637" s="3"/>
      <c r="W637" s="3"/>
      <c r="X637" s="36"/>
      <c r="Y637" s="3"/>
      <c r="Z637" s="3"/>
      <c r="AA637" s="35"/>
      <c r="AB637" s="35"/>
      <c r="AC637" s="35"/>
      <c r="AD637" s="4"/>
      <c r="AE637" s="4"/>
      <c r="AF637" s="4"/>
      <c r="AG637" s="4"/>
      <c r="AH637" s="4"/>
      <c r="AI637" s="4"/>
      <c r="AJ637" s="4"/>
      <c r="AK637" s="4"/>
      <c r="AL637" s="4"/>
    </row>
    <row r="638" spans="1:38" ht="14.4">
      <c r="A638" s="34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20"/>
      <c r="P638" s="20"/>
      <c r="Q638" s="20"/>
      <c r="R638" s="20"/>
      <c r="S638" s="20"/>
      <c r="T638" s="35"/>
      <c r="U638" s="35"/>
      <c r="V638" s="3"/>
      <c r="W638" s="3"/>
      <c r="X638" s="36"/>
      <c r="Y638" s="3"/>
      <c r="Z638" s="3"/>
      <c r="AA638" s="35"/>
      <c r="AB638" s="35"/>
      <c r="AC638" s="35"/>
      <c r="AD638" s="4"/>
      <c r="AE638" s="4"/>
      <c r="AF638" s="4"/>
      <c r="AG638" s="4"/>
      <c r="AH638" s="4"/>
      <c r="AI638" s="4"/>
      <c r="AJ638" s="4"/>
      <c r="AK638" s="4"/>
      <c r="AL638" s="4"/>
    </row>
    <row r="639" spans="1:38" ht="14.4">
      <c r="A639" s="34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20"/>
      <c r="P639" s="20"/>
      <c r="Q639" s="20"/>
      <c r="R639" s="20"/>
      <c r="S639" s="20"/>
      <c r="T639" s="35"/>
      <c r="U639" s="35"/>
      <c r="V639" s="3"/>
      <c r="W639" s="3"/>
      <c r="X639" s="36"/>
      <c r="Y639" s="3"/>
      <c r="Z639" s="3"/>
      <c r="AA639" s="35"/>
      <c r="AB639" s="35"/>
      <c r="AC639" s="35"/>
      <c r="AD639" s="4"/>
      <c r="AE639" s="4"/>
      <c r="AF639" s="4"/>
      <c r="AG639" s="4"/>
      <c r="AH639" s="4"/>
      <c r="AI639" s="4"/>
      <c r="AJ639" s="4"/>
      <c r="AK639" s="4"/>
      <c r="AL639" s="4"/>
    </row>
    <row r="640" spans="1:38" ht="14.4">
      <c r="A640" s="34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20"/>
      <c r="P640" s="20"/>
      <c r="Q640" s="20"/>
      <c r="R640" s="20"/>
      <c r="S640" s="20"/>
      <c r="T640" s="35"/>
      <c r="U640" s="35"/>
      <c r="V640" s="3"/>
      <c r="W640" s="3"/>
      <c r="X640" s="36"/>
      <c r="Y640" s="3"/>
      <c r="Z640" s="3"/>
      <c r="AA640" s="35"/>
      <c r="AB640" s="35"/>
      <c r="AC640" s="35"/>
      <c r="AD640" s="4"/>
      <c r="AE640" s="4"/>
      <c r="AF640" s="4"/>
      <c r="AG640" s="4"/>
      <c r="AH640" s="4"/>
      <c r="AI640" s="4"/>
      <c r="AJ640" s="4"/>
      <c r="AK640" s="4"/>
      <c r="AL640" s="4"/>
    </row>
    <row r="641" spans="1:38" ht="14.4">
      <c r="A641" s="34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20"/>
      <c r="P641" s="20"/>
      <c r="Q641" s="20"/>
      <c r="R641" s="20"/>
      <c r="S641" s="20"/>
      <c r="T641" s="35"/>
      <c r="U641" s="35"/>
      <c r="V641" s="3"/>
      <c r="W641" s="3"/>
      <c r="X641" s="36"/>
      <c r="Y641" s="3"/>
      <c r="Z641" s="3"/>
      <c r="AA641" s="35"/>
      <c r="AB641" s="35"/>
      <c r="AC641" s="35"/>
      <c r="AD641" s="4"/>
      <c r="AE641" s="4"/>
      <c r="AF641" s="4"/>
      <c r="AG641" s="4"/>
      <c r="AH641" s="4"/>
      <c r="AI641" s="4"/>
      <c r="AJ641" s="4"/>
      <c r="AK641" s="4"/>
      <c r="AL641" s="4"/>
    </row>
    <row r="642" spans="1:38" ht="14.4">
      <c r="A642" s="34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20"/>
      <c r="P642" s="20"/>
      <c r="Q642" s="20"/>
      <c r="R642" s="20"/>
      <c r="S642" s="20"/>
      <c r="T642" s="35"/>
      <c r="U642" s="35"/>
      <c r="V642" s="3"/>
      <c r="W642" s="3"/>
      <c r="X642" s="36"/>
      <c r="Y642" s="3"/>
      <c r="Z642" s="3"/>
      <c r="AA642" s="35"/>
      <c r="AB642" s="35"/>
      <c r="AC642" s="35"/>
      <c r="AD642" s="4"/>
      <c r="AE642" s="4"/>
      <c r="AF642" s="4"/>
      <c r="AG642" s="4"/>
      <c r="AH642" s="4"/>
      <c r="AI642" s="4"/>
      <c r="AJ642" s="4"/>
      <c r="AK642" s="4"/>
      <c r="AL642" s="4"/>
    </row>
    <row r="643" spans="1:38" ht="14.4">
      <c r="A643" s="34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20"/>
      <c r="P643" s="20"/>
      <c r="Q643" s="20"/>
      <c r="R643" s="20"/>
      <c r="S643" s="20"/>
      <c r="T643" s="35"/>
      <c r="U643" s="35"/>
      <c r="V643" s="3"/>
      <c r="W643" s="3"/>
      <c r="X643" s="36"/>
      <c r="Y643" s="3"/>
      <c r="Z643" s="3"/>
      <c r="AA643" s="35"/>
      <c r="AB643" s="35"/>
      <c r="AC643" s="35"/>
      <c r="AD643" s="4"/>
      <c r="AE643" s="4"/>
      <c r="AF643" s="4"/>
      <c r="AG643" s="4"/>
      <c r="AH643" s="4"/>
      <c r="AI643" s="4"/>
      <c r="AJ643" s="4"/>
      <c r="AK643" s="4"/>
      <c r="AL643" s="4"/>
    </row>
    <row r="644" spans="1:38" ht="14.4">
      <c r="A644" s="34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20"/>
      <c r="P644" s="20"/>
      <c r="Q644" s="20"/>
      <c r="R644" s="20"/>
      <c r="S644" s="20"/>
      <c r="T644" s="35"/>
      <c r="U644" s="35"/>
      <c r="V644" s="3"/>
      <c r="W644" s="3"/>
      <c r="X644" s="36"/>
      <c r="Y644" s="3"/>
      <c r="Z644" s="3"/>
      <c r="AA644" s="35"/>
      <c r="AB644" s="35"/>
      <c r="AC644" s="35"/>
      <c r="AD644" s="4"/>
      <c r="AE644" s="4"/>
      <c r="AF644" s="4"/>
      <c r="AG644" s="4"/>
      <c r="AH644" s="4"/>
      <c r="AI644" s="4"/>
      <c r="AJ644" s="4"/>
      <c r="AK644" s="4"/>
      <c r="AL644" s="4"/>
    </row>
    <row r="645" spans="1:38" ht="14.4">
      <c r="A645" s="34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20"/>
      <c r="P645" s="20"/>
      <c r="Q645" s="20"/>
      <c r="R645" s="20"/>
      <c r="S645" s="20"/>
      <c r="T645" s="35"/>
      <c r="U645" s="35"/>
      <c r="V645" s="3"/>
      <c r="W645" s="3"/>
      <c r="X645" s="36"/>
      <c r="Y645" s="3"/>
      <c r="Z645" s="3"/>
      <c r="AA645" s="35"/>
      <c r="AB645" s="35"/>
      <c r="AC645" s="35"/>
      <c r="AD645" s="4"/>
      <c r="AE645" s="4"/>
      <c r="AF645" s="4"/>
      <c r="AG645" s="4"/>
      <c r="AH645" s="4"/>
      <c r="AI645" s="4"/>
      <c r="AJ645" s="4"/>
      <c r="AK645" s="4"/>
      <c r="AL645" s="4"/>
    </row>
    <row r="646" spans="1:38" ht="14.4">
      <c r="A646" s="34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20"/>
      <c r="P646" s="20"/>
      <c r="Q646" s="20"/>
      <c r="R646" s="20"/>
      <c r="S646" s="20"/>
      <c r="T646" s="35"/>
      <c r="U646" s="35"/>
      <c r="V646" s="3"/>
      <c r="W646" s="3"/>
      <c r="X646" s="36"/>
      <c r="Y646" s="3"/>
      <c r="Z646" s="3"/>
      <c r="AA646" s="35"/>
      <c r="AB646" s="35"/>
      <c r="AC646" s="35"/>
      <c r="AD646" s="4"/>
      <c r="AE646" s="4"/>
      <c r="AF646" s="4"/>
      <c r="AG646" s="4"/>
      <c r="AH646" s="4"/>
      <c r="AI646" s="4"/>
      <c r="AJ646" s="4"/>
      <c r="AK646" s="4"/>
      <c r="AL646" s="4"/>
    </row>
    <row r="647" spans="1:38" ht="14.4">
      <c r="A647" s="34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20"/>
      <c r="P647" s="20"/>
      <c r="Q647" s="20"/>
      <c r="R647" s="20"/>
      <c r="S647" s="20"/>
      <c r="T647" s="35"/>
      <c r="U647" s="35"/>
      <c r="V647" s="3"/>
      <c r="W647" s="3"/>
      <c r="X647" s="36"/>
      <c r="Y647" s="3"/>
      <c r="Z647" s="3"/>
      <c r="AA647" s="35"/>
      <c r="AB647" s="35"/>
      <c r="AC647" s="35"/>
      <c r="AD647" s="4"/>
      <c r="AE647" s="4"/>
      <c r="AF647" s="4"/>
      <c r="AG647" s="4"/>
      <c r="AH647" s="4"/>
      <c r="AI647" s="4"/>
      <c r="AJ647" s="4"/>
      <c r="AK647" s="4"/>
      <c r="AL647" s="4"/>
    </row>
    <row r="648" spans="1:38" ht="14.4">
      <c r="A648" s="34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20"/>
      <c r="P648" s="20"/>
      <c r="Q648" s="20"/>
      <c r="R648" s="20"/>
      <c r="S648" s="20"/>
      <c r="T648" s="35"/>
      <c r="U648" s="35"/>
      <c r="V648" s="3"/>
      <c r="W648" s="3"/>
      <c r="X648" s="36"/>
      <c r="Y648" s="3"/>
      <c r="Z648" s="3"/>
      <c r="AA648" s="35"/>
      <c r="AB648" s="35"/>
      <c r="AC648" s="35"/>
      <c r="AD648" s="4"/>
      <c r="AE648" s="4"/>
      <c r="AF648" s="4"/>
      <c r="AG648" s="4"/>
      <c r="AH648" s="4"/>
      <c r="AI648" s="4"/>
      <c r="AJ648" s="4"/>
      <c r="AK648" s="4"/>
      <c r="AL648" s="4"/>
    </row>
    <row r="649" spans="1:38" ht="14.4">
      <c r="A649" s="34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20"/>
      <c r="P649" s="20"/>
      <c r="Q649" s="20"/>
      <c r="R649" s="20"/>
      <c r="S649" s="20"/>
      <c r="T649" s="35"/>
      <c r="U649" s="35"/>
      <c r="V649" s="3"/>
      <c r="W649" s="3"/>
      <c r="X649" s="36"/>
      <c r="Y649" s="3"/>
      <c r="Z649" s="3"/>
      <c r="AA649" s="35"/>
      <c r="AB649" s="35"/>
      <c r="AC649" s="35"/>
      <c r="AD649" s="4"/>
      <c r="AE649" s="4"/>
      <c r="AF649" s="4"/>
      <c r="AG649" s="4"/>
      <c r="AH649" s="4"/>
      <c r="AI649" s="4"/>
      <c r="AJ649" s="4"/>
      <c r="AK649" s="4"/>
      <c r="AL649" s="4"/>
    </row>
    <row r="650" spans="1:38" ht="14.4">
      <c r="A650" s="34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20"/>
      <c r="P650" s="20"/>
      <c r="Q650" s="20"/>
      <c r="R650" s="20"/>
      <c r="S650" s="20"/>
      <c r="T650" s="35"/>
      <c r="U650" s="35"/>
      <c r="V650" s="3"/>
      <c r="W650" s="3"/>
      <c r="X650" s="36"/>
      <c r="Y650" s="3"/>
      <c r="Z650" s="3"/>
      <c r="AA650" s="35"/>
      <c r="AB650" s="35"/>
      <c r="AC650" s="35"/>
      <c r="AD650" s="4"/>
      <c r="AE650" s="4"/>
      <c r="AF650" s="4"/>
      <c r="AG650" s="4"/>
      <c r="AH650" s="4"/>
      <c r="AI650" s="4"/>
      <c r="AJ650" s="4"/>
      <c r="AK650" s="4"/>
      <c r="AL650" s="4"/>
    </row>
    <row r="651" spans="1:38" ht="14.4">
      <c r="A651" s="34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20"/>
      <c r="P651" s="20"/>
      <c r="Q651" s="20"/>
      <c r="R651" s="20"/>
      <c r="S651" s="20"/>
      <c r="T651" s="35"/>
      <c r="U651" s="35"/>
      <c r="V651" s="3"/>
      <c r="W651" s="3"/>
      <c r="X651" s="36"/>
      <c r="Y651" s="3"/>
      <c r="Z651" s="3"/>
      <c r="AA651" s="35"/>
      <c r="AB651" s="35"/>
      <c r="AC651" s="35"/>
      <c r="AD651" s="4"/>
      <c r="AE651" s="4"/>
      <c r="AF651" s="4"/>
      <c r="AG651" s="4"/>
      <c r="AH651" s="4"/>
      <c r="AI651" s="4"/>
      <c r="AJ651" s="4"/>
      <c r="AK651" s="4"/>
      <c r="AL651" s="4"/>
    </row>
    <row r="652" spans="1:38" ht="14.4">
      <c r="A652" s="34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20"/>
      <c r="P652" s="20"/>
      <c r="Q652" s="20"/>
      <c r="R652" s="20"/>
      <c r="S652" s="20"/>
      <c r="T652" s="35"/>
      <c r="U652" s="35"/>
      <c r="V652" s="3"/>
      <c r="W652" s="3"/>
      <c r="X652" s="36"/>
      <c r="Y652" s="3"/>
      <c r="Z652" s="3"/>
      <c r="AA652" s="35"/>
      <c r="AB652" s="35"/>
      <c r="AC652" s="35"/>
      <c r="AD652" s="4"/>
      <c r="AE652" s="4"/>
      <c r="AF652" s="4"/>
      <c r="AG652" s="4"/>
      <c r="AH652" s="4"/>
      <c r="AI652" s="4"/>
      <c r="AJ652" s="4"/>
      <c r="AK652" s="4"/>
      <c r="AL652" s="4"/>
    </row>
    <row r="653" spans="1:38" ht="14.4">
      <c r="A653" s="34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20"/>
      <c r="P653" s="20"/>
      <c r="Q653" s="20"/>
      <c r="R653" s="20"/>
      <c r="S653" s="20"/>
      <c r="T653" s="35"/>
      <c r="U653" s="35"/>
      <c r="V653" s="3"/>
      <c r="W653" s="3"/>
      <c r="X653" s="36"/>
      <c r="Y653" s="3"/>
      <c r="Z653" s="3"/>
      <c r="AA653" s="35"/>
      <c r="AB653" s="35"/>
      <c r="AC653" s="35"/>
      <c r="AD653" s="4"/>
      <c r="AE653" s="4"/>
      <c r="AF653" s="4"/>
      <c r="AG653" s="4"/>
      <c r="AH653" s="4"/>
      <c r="AI653" s="4"/>
      <c r="AJ653" s="4"/>
      <c r="AK653" s="4"/>
      <c r="AL653" s="4"/>
    </row>
    <row r="654" spans="1:38" ht="14.4">
      <c r="A654" s="34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20"/>
      <c r="P654" s="20"/>
      <c r="Q654" s="20"/>
      <c r="R654" s="20"/>
      <c r="S654" s="20"/>
      <c r="T654" s="35"/>
      <c r="U654" s="35"/>
      <c r="V654" s="3"/>
      <c r="W654" s="3"/>
      <c r="X654" s="36"/>
      <c r="Y654" s="3"/>
      <c r="Z654" s="3"/>
      <c r="AA654" s="35"/>
      <c r="AB654" s="35"/>
      <c r="AC654" s="35"/>
      <c r="AD654" s="4"/>
      <c r="AE654" s="4"/>
      <c r="AF654" s="4"/>
      <c r="AG654" s="4"/>
      <c r="AH654" s="4"/>
      <c r="AI654" s="4"/>
      <c r="AJ654" s="4"/>
      <c r="AK654" s="4"/>
      <c r="AL654" s="4"/>
    </row>
    <row r="655" spans="1:38" ht="14.4">
      <c r="A655" s="34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20"/>
      <c r="P655" s="20"/>
      <c r="Q655" s="20"/>
      <c r="R655" s="20"/>
      <c r="S655" s="20"/>
      <c r="T655" s="35"/>
      <c r="U655" s="35"/>
      <c r="V655" s="3"/>
      <c r="W655" s="3"/>
      <c r="X655" s="36"/>
      <c r="Y655" s="3"/>
      <c r="Z655" s="3"/>
      <c r="AA655" s="35"/>
      <c r="AB655" s="35"/>
      <c r="AC655" s="35"/>
      <c r="AD655" s="4"/>
      <c r="AE655" s="4"/>
      <c r="AF655" s="4"/>
      <c r="AG655" s="4"/>
      <c r="AH655" s="4"/>
      <c r="AI655" s="4"/>
      <c r="AJ655" s="4"/>
      <c r="AK655" s="4"/>
      <c r="AL655" s="4"/>
    </row>
    <row r="656" spans="1:38" ht="14.4">
      <c r="A656" s="34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20"/>
      <c r="P656" s="20"/>
      <c r="Q656" s="20"/>
      <c r="R656" s="20"/>
      <c r="S656" s="20"/>
      <c r="T656" s="35"/>
      <c r="U656" s="35"/>
      <c r="V656" s="3"/>
      <c r="W656" s="3"/>
      <c r="X656" s="36"/>
      <c r="Y656" s="3"/>
      <c r="Z656" s="3"/>
      <c r="AA656" s="35"/>
      <c r="AB656" s="35"/>
      <c r="AC656" s="35"/>
      <c r="AD656" s="4"/>
      <c r="AE656" s="4"/>
      <c r="AF656" s="4"/>
      <c r="AG656" s="4"/>
      <c r="AH656" s="4"/>
      <c r="AI656" s="4"/>
      <c r="AJ656" s="4"/>
      <c r="AK656" s="4"/>
      <c r="AL656" s="4"/>
    </row>
    <row r="657" spans="1:38" ht="14.4">
      <c r="A657" s="34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20"/>
      <c r="P657" s="20"/>
      <c r="Q657" s="20"/>
      <c r="R657" s="20"/>
      <c r="S657" s="20"/>
      <c r="T657" s="35"/>
      <c r="U657" s="35"/>
      <c r="V657" s="3"/>
      <c r="W657" s="3"/>
      <c r="X657" s="36"/>
      <c r="Y657" s="3"/>
      <c r="Z657" s="3"/>
      <c r="AA657" s="35"/>
      <c r="AB657" s="35"/>
      <c r="AC657" s="35"/>
      <c r="AD657" s="4"/>
      <c r="AE657" s="4"/>
      <c r="AF657" s="4"/>
      <c r="AG657" s="4"/>
      <c r="AH657" s="4"/>
      <c r="AI657" s="4"/>
      <c r="AJ657" s="4"/>
      <c r="AK657" s="4"/>
      <c r="AL657" s="4"/>
    </row>
    <row r="658" spans="1:38" ht="14.4">
      <c r="A658" s="34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20"/>
      <c r="P658" s="20"/>
      <c r="Q658" s="20"/>
      <c r="R658" s="20"/>
      <c r="S658" s="20"/>
      <c r="T658" s="35"/>
      <c r="U658" s="35"/>
      <c r="V658" s="3"/>
      <c r="W658" s="3"/>
      <c r="X658" s="36"/>
      <c r="Y658" s="3"/>
      <c r="Z658" s="3"/>
      <c r="AA658" s="35"/>
      <c r="AB658" s="35"/>
      <c r="AC658" s="35"/>
      <c r="AD658" s="4"/>
      <c r="AE658" s="4"/>
      <c r="AF658" s="4"/>
      <c r="AG658" s="4"/>
      <c r="AH658" s="4"/>
      <c r="AI658" s="4"/>
      <c r="AJ658" s="4"/>
      <c r="AK658" s="4"/>
      <c r="AL658" s="4"/>
    </row>
    <row r="659" spans="1:38" ht="14.4">
      <c r="A659" s="34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20"/>
      <c r="P659" s="20"/>
      <c r="Q659" s="20"/>
      <c r="R659" s="20"/>
      <c r="S659" s="20"/>
      <c r="T659" s="35"/>
      <c r="U659" s="35"/>
      <c r="V659" s="3"/>
      <c r="W659" s="3"/>
      <c r="X659" s="36"/>
      <c r="Y659" s="3"/>
      <c r="Z659" s="3"/>
      <c r="AA659" s="35"/>
      <c r="AB659" s="35"/>
      <c r="AC659" s="35"/>
      <c r="AD659" s="4"/>
      <c r="AE659" s="4"/>
      <c r="AF659" s="4"/>
      <c r="AG659" s="4"/>
      <c r="AH659" s="4"/>
      <c r="AI659" s="4"/>
      <c r="AJ659" s="4"/>
      <c r="AK659" s="4"/>
      <c r="AL659" s="4"/>
    </row>
    <row r="660" spans="1:38" ht="14.4">
      <c r="A660" s="34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20"/>
      <c r="P660" s="20"/>
      <c r="Q660" s="20"/>
      <c r="R660" s="20"/>
      <c r="S660" s="20"/>
      <c r="T660" s="35"/>
      <c r="U660" s="35"/>
      <c r="V660" s="3"/>
      <c r="W660" s="3"/>
      <c r="X660" s="36"/>
      <c r="Y660" s="3"/>
      <c r="Z660" s="3"/>
      <c r="AA660" s="35"/>
      <c r="AB660" s="35"/>
      <c r="AC660" s="35"/>
      <c r="AD660" s="4"/>
      <c r="AE660" s="4"/>
      <c r="AF660" s="4"/>
      <c r="AG660" s="4"/>
      <c r="AH660" s="4"/>
      <c r="AI660" s="4"/>
      <c r="AJ660" s="4"/>
      <c r="AK660" s="4"/>
      <c r="AL660" s="4"/>
    </row>
    <row r="661" spans="1:38" ht="14.4">
      <c r="A661" s="34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20"/>
      <c r="P661" s="20"/>
      <c r="Q661" s="20"/>
      <c r="R661" s="20"/>
      <c r="S661" s="20"/>
      <c r="T661" s="35"/>
      <c r="U661" s="35"/>
      <c r="V661" s="3"/>
      <c r="W661" s="3"/>
      <c r="X661" s="36"/>
      <c r="Y661" s="3"/>
      <c r="Z661" s="3"/>
      <c r="AA661" s="35"/>
      <c r="AB661" s="35"/>
      <c r="AC661" s="35"/>
      <c r="AD661" s="4"/>
      <c r="AE661" s="4"/>
      <c r="AF661" s="4"/>
      <c r="AG661" s="4"/>
      <c r="AH661" s="4"/>
      <c r="AI661" s="4"/>
      <c r="AJ661" s="4"/>
      <c r="AK661" s="4"/>
      <c r="AL661" s="4"/>
    </row>
    <row r="662" spans="1:38" ht="14.4">
      <c r="A662" s="34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20"/>
      <c r="P662" s="20"/>
      <c r="Q662" s="20"/>
      <c r="R662" s="20"/>
      <c r="S662" s="20"/>
      <c r="T662" s="35"/>
      <c r="U662" s="35"/>
      <c r="V662" s="3"/>
      <c r="W662" s="3"/>
      <c r="X662" s="36"/>
      <c r="Y662" s="3"/>
      <c r="Z662" s="3"/>
      <c r="AA662" s="35"/>
      <c r="AB662" s="35"/>
      <c r="AC662" s="35"/>
      <c r="AD662" s="4"/>
      <c r="AE662" s="4"/>
      <c r="AF662" s="4"/>
      <c r="AG662" s="4"/>
      <c r="AH662" s="4"/>
      <c r="AI662" s="4"/>
      <c r="AJ662" s="4"/>
      <c r="AK662" s="4"/>
      <c r="AL662" s="4"/>
    </row>
    <row r="663" spans="1:38" ht="14.4">
      <c r="A663" s="34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20"/>
      <c r="P663" s="20"/>
      <c r="Q663" s="20"/>
      <c r="R663" s="20"/>
      <c r="S663" s="20"/>
      <c r="T663" s="35"/>
      <c r="U663" s="35"/>
      <c r="V663" s="3"/>
      <c r="W663" s="3"/>
      <c r="X663" s="36"/>
      <c r="Y663" s="3"/>
      <c r="Z663" s="3"/>
      <c r="AA663" s="35"/>
      <c r="AB663" s="35"/>
      <c r="AC663" s="35"/>
      <c r="AD663" s="4"/>
      <c r="AE663" s="4"/>
      <c r="AF663" s="4"/>
      <c r="AG663" s="4"/>
      <c r="AH663" s="4"/>
      <c r="AI663" s="4"/>
      <c r="AJ663" s="4"/>
      <c r="AK663" s="4"/>
      <c r="AL663" s="4"/>
    </row>
    <row r="664" spans="1:38" ht="14.4">
      <c r="A664" s="34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20"/>
      <c r="P664" s="20"/>
      <c r="Q664" s="20"/>
      <c r="R664" s="20"/>
      <c r="S664" s="20"/>
      <c r="T664" s="35"/>
      <c r="U664" s="35"/>
      <c r="V664" s="3"/>
      <c r="W664" s="3"/>
      <c r="X664" s="36"/>
      <c r="Y664" s="3"/>
      <c r="Z664" s="3"/>
      <c r="AA664" s="35"/>
      <c r="AB664" s="35"/>
      <c r="AC664" s="35"/>
      <c r="AD664" s="4"/>
      <c r="AE664" s="4"/>
      <c r="AF664" s="4"/>
      <c r="AG664" s="4"/>
      <c r="AH664" s="4"/>
      <c r="AI664" s="4"/>
      <c r="AJ664" s="4"/>
      <c r="AK664" s="4"/>
      <c r="AL664" s="4"/>
    </row>
    <row r="665" spans="1:38" ht="14.4">
      <c r="A665" s="34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20"/>
      <c r="P665" s="20"/>
      <c r="Q665" s="20"/>
      <c r="R665" s="20"/>
      <c r="S665" s="20"/>
      <c r="T665" s="35"/>
      <c r="U665" s="35"/>
      <c r="V665" s="3"/>
      <c r="W665" s="3"/>
      <c r="X665" s="36"/>
      <c r="Y665" s="3"/>
      <c r="Z665" s="3"/>
      <c r="AA665" s="35"/>
      <c r="AB665" s="35"/>
      <c r="AC665" s="35"/>
      <c r="AD665" s="4"/>
      <c r="AE665" s="4"/>
      <c r="AF665" s="4"/>
      <c r="AG665" s="4"/>
      <c r="AH665" s="4"/>
      <c r="AI665" s="4"/>
      <c r="AJ665" s="4"/>
      <c r="AK665" s="4"/>
      <c r="AL665" s="4"/>
    </row>
    <row r="666" spans="1:38" ht="14.4">
      <c r="A666" s="34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20"/>
      <c r="P666" s="20"/>
      <c r="Q666" s="20"/>
      <c r="R666" s="20"/>
      <c r="S666" s="20"/>
      <c r="T666" s="35"/>
      <c r="U666" s="35"/>
      <c r="V666" s="3"/>
      <c r="W666" s="3"/>
      <c r="X666" s="36"/>
      <c r="Y666" s="3"/>
      <c r="Z666" s="3"/>
      <c r="AA666" s="35"/>
      <c r="AB666" s="35"/>
      <c r="AC666" s="35"/>
      <c r="AD666" s="4"/>
      <c r="AE666" s="4"/>
      <c r="AF666" s="4"/>
      <c r="AG666" s="4"/>
      <c r="AH666" s="4"/>
      <c r="AI666" s="4"/>
      <c r="AJ666" s="4"/>
      <c r="AK666" s="4"/>
      <c r="AL666" s="4"/>
    </row>
    <row r="667" spans="1:38" ht="14.4">
      <c r="A667" s="34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20"/>
      <c r="P667" s="20"/>
      <c r="Q667" s="20"/>
      <c r="R667" s="20"/>
      <c r="S667" s="20"/>
      <c r="T667" s="35"/>
      <c r="U667" s="35"/>
      <c r="V667" s="3"/>
      <c r="W667" s="3"/>
      <c r="X667" s="36"/>
      <c r="Y667" s="3"/>
      <c r="Z667" s="3"/>
      <c r="AA667" s="35"/>
      <c r="AB667" s="35"/>
      <c r="AC667" s="35"/>
      <c r="AD667" s="4"/>
      <c r="AE667" s="4"/>
      <c r="AF667" s="4"/>
      <c r="AG667" s="4"/>
      <c r="AH667" s="4"/>
      <c r="AI667" s="4"/>
      <c r="AJ667" s="4"/>
      <c r="AK667" s="4"/>
      <c r="AL667" s="4"/>
    </row>
    <row r="668" spans="1:38" ht="14.4">
      <c r="A668" s="34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20"/>
      <c r="P668" s="20"/>
      <c r="Q668" s="20"/>
      <c r="R668" s="20"/>
      <c r="S668" s="20"/>
      <c r="T668" s="35"/>
      <c r="U668" s="35"/>
      <c r="V668" s="3"/>
      <c r="W668" s="3"/>
      <c r="X668" s="36"/>
      <c r="Y668" s="3"/>
      <c r="Z668" s="3"/>
      <c r="AA668" s="35"/>
      <c r="AB668" s="35"/>
      <c r="AC668" s="35"/>
      <c r="AD668" s="4"/>
      <c r="AE668" s="4"/>
      <c r="AF668" s="4"/>
      <c r="AG668" s="4"/>
      <c r="AH668" s="4"/>
      <c r="AI668" s="4"/>
      <c r="AJ668" s="4"/>
      <c r="AK668" s="4"/>
      <c r="AL668" s="4"/>
    </row>
    <row r="669" spans="1:38" ht="14.4">
      <c r="A669" s="34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20"/>
      <c r="P669" s="20"/>
      <c r="Q669" s="20"/>
      <c r="R669" s="20"/>
      <c r="S669" s="20"/>
      <c r="T669" s="35"/>
      <c r="U669" s="35"/>
      <c r="V669" s="3"/>
      <c r="W669" s="3"/>
      <c r="X669" s="36"/>
      <c r="Y669" s="3"/>
      <c r="Z669" s="3"/>
      <c r="AA669" s="35"/>
      <c r="AB669" s="35"/>
      <c r="AC669" s="35"/>
      <c r="AD669" s="4"/>
      <c r="AE669" s="4"/>
      <c r="AF669" s="4"/>
      <c r="AG669" s="4"/>
      <c r="AH669" s="4"/>
      <c r="AI669" s="4"/>
      <c r="AJ669" s="4"/>
      <c r="AK669" s="4"/>
      <c r="AL669" s="4"/>
    </row>
    <row r="670" spans="1:38" ht="14.4">
      <c r="A670" s="34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20"/>
      <c r="P670" s="20"/>
      <c r="Q670" s="20"/>
      <c r="R670" s="20"/>
      <c r="S670" s="20"/>
      <c r="T670" s="35"/>
      <c r="U670" s="35"/>
      <c r="V670" s="3"/>
      <c r="W670" s="3"/>
      <c r="X670" s="36"/>
      <c r="Y670" s="3"/>
      <c r="Z670" s="3"/>
      <c r="AA670" s="35"/>
      <c r="AB670" s="35"/>
      <c r="AC670" s="35"/>
      <c r="AD670" s="4"/>
      <c r="AE670" s="4"/>
      <c r="AF670" s="4"/>
      <c r="AG670" s="4"/>
      <c r="AH670" s="4"/>
      <c r="AI670" s="4"/>
      <c r="AJ670" s="4"/>
      <c r="AK670" s="4"/>
      <c r="AL670" s="4"/>
    </row>
    <row r="671" spans="1:38" ht="14.4">
      <c r="A671" s="34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20"/>
      <c r="P671" s="20"/>
      <c r="Q671" s="20"/>
      <c r="R671" s="20"/>
      <c r="S671" s="20"/>
      <c r="T671" s="35"/>
      <c r="U671" s="35"/>
      <c r="V671" s="3"/>
      <c r="W671" s="3"/>
      <c r="X671" s="36"/>
      <c r="Y671" s="3"/>
      <c r="Z671" s="3"/>
      <c r="AA671" s="35"/>
      <c r="AB671" s="35"/>
      <c r="AC671" s="35"/>
      <c r="AD671" s="4"/>
      <c r="AE671" s="4"/>
      <c r="AF671" s="4"/>
      <c r="AG671" s="4"/>
      <c r="AH671" s="4"/>
      <c r="AI671" s="4"/>
      <c r="AJ671" s="4"/>
      <c r="AK671" s="4"/>
      <c r="AL671" s="4"/>
    </row>
    <row r="672" spans="1:38" ht="14.4">
      <c r="A672" s="34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20"/>
      <c r="P672" s="20"/>
      <c r="Q672" s="20"/>
      <c r="R672" s="20"/>
      <c r="S672" s="20"/>
      <c r="T672" s="35"/>
      <c r="U672" s="35"/>
      <c r="V672" s="3"/>
      <c r="W672" s="3"/>
      <c r="X672" s="36"/>
      <c r="Y672" s="3"/>
      <c r="Z672" s="3"/>
      <c r="AA672" s="35"/>
      <c r="AB672" s="35"/>
      <c r="AC672" s="35"/>
      <c r="AD672" s="4"/>
      <c r="AE672" s="4"/>
      <c r="AF672" s="4"/>
      <c r="AG672" s="4"/>
      <c r="AH672" s="4"/>
      <c r="AI672" s="4"/>
      <c r="AJ672" s="4"/>
      <c r="AK672" s="4"/>
      <c r="AL672" s="4"/>
    </row>
    <row r="673" spans="1:38" ht="14.4">
      <c r="A673" s="34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20"/>
      <c r="P673" s="20"/>
      <c r="Q673" s="20"/>
      <c r="R673" s="20"/>
      <c r="S673" s="20"/>
      <c r="T673" s="35"/>
      <c r="U673" s="35"/>
      <c r="V673" s="3"/>
      <c r="W673" s="3"/>
      <c r="X673" s="36"/>
      <c r="Y673" s="3"/>
      <c r="Z673" s="3"/>
      <c r="AA673" s="35"/>
      <c r="AB673" s="35"/>
      <c r="AC673" s="35"/>
      <c r="AD673" s="4"/>
      <c r="AE673" s="4"/>
      <c r="AF673" s="4"/>
      <c r="AG673" s="4"/>
      <c r="AH673" s="4"/>
      <c r="AI673" s="4"/>
      <c r="AJ673" s="4"/>
      <c r="AK673" s="4"/>
      <c r="AL673" s="4"/>
    </row>
    <row r="674" spans="1:38" ht="14.4">
      <c r="A674" s="34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20"/>
      <c r="P674" s="20"/>
      <c r="Q674" s="20"/>
      <c r="R674" s="20"/>
      <c r="S674" s="20"/>
      <c r="T674" s="35"/>
      <c r="U674" s="35"/>
      <c r="V674" s="3"/>
      <c r="W674" s="3"/>
      <c r="X674" s="36"/>
      <c r="Y674" s="3"/>
      <c r="Z674" s="3"/>
      <c r="AA674" s="35"/>
      <c r="AB674" s="35"/>
      <c r="AC674" s="35"/>
      <c r="AD674" s="4"/>
      <c r="AE674" s="4"/>
      <c r="AF674" s="4"/>
      <c r="AG674" s="4"/>
      <c r="AH674" s="4"/>
      <c r="AI674" s="4"/>
      <c r="AJ674" s="4"/>
      <c r="AK674" s="4"/>
      <c r="AL674" s="4"/>
    </row>
    <row r="675" spans="1:38" ht="14.4">
      <c r="A675" s="34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20"/>
      <c r="P675" s="20"/>
      <c r="Q675" s="20"/>
      <c r="R675" s="20"/>
      <c r="S675" s="20"/>
      <c r="T675" s="35"/>
      <c r="U675" s="35"/>
      <c r="V675" s="3"/>
      <c r="W675" s="3"/>
      <c r="X675" s="36"/>
      <c r="Y675" s="3"/>
      <c r="Z675" s="3"/>
      <c r="AA675" s="35"/>
      <c r="AB675" s="35"/>
      <c r="AC675" s="35"/>
      <c r="AD675" s="4"/>
      <c r="AE675" s="4"/>
      <c r="AF675" s="4"/>
      <c r="AG675" s="4"/>
      <c r="AH675" s="4"/>
      <c r="AI675" s="4"/>
      <c r="AJ675" s="4"/>
      <c r="AK675" s="4"/>
      <c r="AL675" s="4"/>
    </row>
    <row r="676" spans="1:38" ht="14.4">
      <c r="A676" s="34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20"/>
      <c r="P676" s="20"/>
      <c r="Q676" s="20"/>
      <c r="R676" s="20"/>
      <c r="S676" s="20"/>
      <c r="T676" s="35"/>
      <c r="U676" s="35"/>
      <c r="V676" s="3"/>
      <c r="W676" s="3"/>
      <c r="X676" s="36"/>
      <c r="Y676" s="3"/>
      <c r="Z676" s="3"/>
      <c r="AA676" s="35"/>
      <c r="AB676" s="35"/>
      <c r="AC676" s="35"/>
      <c r="AD676" s="4"/>
      <c r="AE676" s="4"/>
      <c r="AF676" s="4"/>
      <c r="AG676" s="4"/>
      <c r="AH676" s="4"/>
      <c r="AI676" s="4"/>
      <c r="AJ676" s="4"/>
      <c r="AK676" s="4"/>
      <c r="AL676" s="4"/>
    </row>
    <row r="677" spans="1:38" ht="14.4">
      <c r="A677" s="34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20"/>
      <c r="P677" s="20"/>
      <c r="Q677" s="20"/>
      <c r="R677" s="20"/>
      <c r="S677" s="20"/>
      <c r="T677" s="35"/>
      <c r="U677" s="35"/>
      <c r="V677" s="3"/>
      <c r="W677" s="3"/>
      <c r="X677" s="36"/>
      <c r="Y677" s="3"/>
      <c r="Z677" s="3"/>
      <c r="AA677" s="35"/>
      <c r="AB677" s="35"/>
      <c r="AC677" s="35"/>
      <c r="AD677" s="4"/>
      <c r="AE677" s="4"/>
      <c r="AF677" s="4"/>
      <c r="AG677" s="4"/>
      <c r="AH677" s="4"/>
      <c r="AI677" s="4"/>
      <c r="AJ677" s="4"/>
      <c r="AK677" s="4"/>
      <c r="AL677" s="4"/>
    </row>
    <row r="678" spans="1:38" ht="14.4">
      <c r="A678" s="34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20"/>
      <c r="P678" s="20"/>
      <c r="Q678" s="20"/>
      <c r="R678" s="20"/>
      <c r="S678" s="20"/>
      <c r="T678" s="35"/>
      <c r="U678" s="35"/>
      <c r="V678" s="3"/>
      <c r="W678" s="3"/>
      <c r="X678" s="36"/>
      <c r="Y678" s="3"/>
      <c r="Z678" s="3"/>
      <c r="AA678" s="35"/>
      <c r="AB678" s="35"/>
      <c r="AC678" s="35"/>
      <c r="AD678" s="4"/>
      <c r="AE678" s="4"/>
      <c r="AF678" s="4"/>
      <c r="AG678" s="4"/>
      <c r="AH678" s="4"/>
      <c r="AI678" s="4"/>
      <c r="AJ678" s="4"/>
      <c r="AK678" s="4"/>
      <c r="AL678" s="4"/>
    </row>
    <row r="679" spans="1:38" ht="14.4">
      <c r="A679" s="34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20"/>
      <c r="P679" s="20"/>
      <c r="Q679" s="20"/>
      <c r="R679" s="20"/>
      <c r="S679" s="20"/>
      <c r="T679" s="35"/>
      <c r="U679" s="35"/>
      <c r="V679" s="3"/>
      <c r="W679" s="3"/>
      <c r="X679" s="36"/>
      <c r="Y679" s="3"/>
      <c r="Z679" s="3"/>
      <c r="AA679" s="35"/>
      <c r="AB679" s="35"/>
      <c r="AC679" s="35"/>
      <c r="AD679" s="4"/>
      <c r="AE679" s="4"/>
      <c r="AF679" s="4"/>
      <c r="AG679" s="4"/>
      <c r="AH679" s="4"/>
      <c r="AI679" s="4"/>
      <c r="AJ679" s="4"/>
      <c r="AK679" s="4"/>
      <c r="AL679" s="4"/>
    </row>
    <row r="680" spans="1:38" ht="14.4">
      <c r="A680" s="34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20"/>
      <c r="P680" s="20"/>
      <c r="Q680" s="20"/>
      <c r="R680" s="20"/>
      <c r="S680" s="20"/>
      <c r="T680" s="35"/>
      <c r="U680" s="35"/>
      <c r="V680" s="3"/>
      <c r="W680" s="3"/>
      <c r="X680" s="36"/>
      <c r="Y680" s="3"/>
      <c r="Z680" s="3"/>
      <c r="AA680" s="35"/>
      <c r="AB680" s="35"/>
      <c r="AC680" s="35"/>
      <c r="AD680" s="4"/>
      <c r="AE680" s="4"/>
      <c r="AF680" s="4"/>
      <c r="AG680" s="4"/>
      <c r="AH680" s="4"/>
      <c r="AI680" s="4"/>
      <c r="AJ680" s="4"/>
      <c r="AK680" s="4"/>
      <c r="AL680" s="4"/>
    </row>
    <row r="681" spans="1:38" ht="14.4">
      <c r="A681" s="34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20"/>
      <c r="P681" s="20"/>
      <c r="Q681" s="20"/>
      <c r="R681" s="20"/>
      <c r="S681" s="20"/>
      <c r="T681" s="35"/>
      <c r="U681" s="35"/>
      <c r="V681" s="3"/>
      <c r="W681" s="3"/>
      <c r="X681" s="36"/>
      <c r="Y681" s="3"/>
      <c r="Z681" s="3"/>
      <c r="AA681" s="35"/>
      <c r="AB681" s="35"/>
      <c r="AC681" s="35"/>
      <c r="AD681" s="4"/>
      <c r="AE681" s="4"/>
      <c r="AF681" s="4"/>
      <c r="AG681" s="4"/>
      <c r="AH681" s="4"/>
      <c r="AI681" s="4"/>
      <c r="AJ681" s="4"/>
      <c r="AK681" s="4"/>
      <c r="AL681" s="4"/>
    </row>
    <row r="682" spans="1:38" ht="14.4">
      <c r="A682" s="34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20"/>
      <c r="P682" s="20"/>
      <c r="Q682" s="20"/>
      <c r="R682" s="20"/>
      <c r="S682" s="20"/>
      <c r="T682" s="35"/>
      <c r="U682" s="35"/>
      <c r="V682" s="3"/>
      <c r="W682" s="3"/>
      <c r="X682" s="36"/>
      <c r="Y682" s="3"/>
      <c r="Z682" s="3"/>
      <c r="AA682" s="35"/>
      <c r="AB682" s="35"/>
      <c r="AC682" s="35"/>
      <c r="AD682" s="4"/>
      <c r="AE682" s="4"/>
      <c r="AF682" s="4"/>
      <c r="AG682" s="4"/>
      <c r="AH682" s="4"/>
      <c r="AI682" s="4"/>
      <c r="AJ682" s="4"/>
      <c r="AK682" s="4"/>
      <c r="AL682" s="4"/>
    </row>
    <row r="683" spans="1:38" ht="14.4">
      <c r="A683" s="34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20"/>
      <c r="P683" s="20"/>
      <c r="Q683" s="20"/>
      <c r="R683" s="20"/>
      <c r="S683" s="20"/>
      <c r="T683" s="35"/>
      <c r="U683" s="35"/>
      <c r="V683" s="3"/>
      <c r="W683" s="3"/>
      <c r="X683" s="36"/>
      <c r="Y683" s="3"/>
      <c r="Z683" s="3"/>
      <c r="AA683" s="35"/>
      <c r="AB683" s="35"/>
      <c r="AC683" s="35"/>
      <c r="AD683" s="4"/>
      <c r="AE683" s="4"/>
      <c r="AF683" s="4"/>
      <c r="AG683" s="4"/>
      <c r="AH683" s="4"/>
      <c r="AI683" s="4"/>
      <c r="AJ683" s="4"/>
      <c r="AK683" s="4"/>
      <c r="AL683" s="4"/>
    </row>
    <row r="684" spans="1:38" ht="14.4">
      <c r="A684" s="34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20"/>
      <c r="P684" s="20"/>
      <c r="Q684" s="20"/>
      <c r="R684" s="20"/>
      <c r="S684" s="20"/>
      <c r="T684" s="35"/>
      <c r="U684" s="35"/>
      <c r="V684" s="3"/>
      <c r="W684" s="3"/>
      <c r="X684" s="36"/>
      <c r="Y684" s="3"/>
      <c r="Z684" s="3"/>
      <c r="AA684" s="35"/>
      <c r="AB684" s="35"/>
      <c r="AC684" s="35"/>
      <c r="AD684" s="4"/>
      <c r="AE684" s="4"/>
      <c r="AF684" s="4"/>
      <c r="AG684" s="4"/>
      <c r="AH684" s="4"/>
      <c r="AI684" s="4"/>
      <c r="AJ684" s="4"/>
      <c r="AK684" s="4"/>
      <c r="AL684" s="4"/>
    </row>
    <row r="685" spans="1:38" ht="14.4">
      <c r="A685" s="34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20"/>
      <c r="P685" s="20"/>
      <c r="Q685" s="20"/>
      <c r="R685" s="20"/>
      <c r="S685" s="20"/>
      <c r="T685" s="35"/>
      <c r="U685" s="35"/>
      <c r="V685" s="3"/>
      <c r="W685" s="3"/>
      <c r="X685" s="36"/>
      <c r="Y685" s="3"/>
      <c r="Z685" s="3"/>
      <c r="AA685" s="35"/>
      <c r="AB685" s="35"/>
      <c r="AC685" s="35"/>
      <c r="AD685" s="4"/>
      <c r="AE685" s="4"/>
      <c r="AF685" s="4"/>
      <c r="AG685" s="4"/>
      <c r="AH685" s="4"/>
      <c r="AI685" s="4"/>
      <c r="AJ685" s="4"/>
      <c r="AK685" s="4"/>
      <c r="AL685" s="4"/>
    </row>
    <row r="686" spans="1:38" ht="14.4">
      <c r="A686" s="34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20"/>
      <c r="P686" s="20"/>
      <c r="Q686" s="20"/>
      <c r="R686" s="20"/>
      <c r="S686" s="20"/>
      <c r="T686" s="35"/>
      <c r="U686" s="35"/>
      <c r="V686" s="3"/>
      <c r="W686" s="3"/>
      <c r="X686" s="36"/>
      <c r="Y686" s="3"/>
      <c r="Z686" s="3"/>
      <c r="AA686" s="35"/>
      <c r="AB686" s="35"/>
      <c r="AC686" s="35"/>
      <c r="AD686" s="4"/>
      <c r="AE686" s="4"/>
      <c r="AF686" s="4"/>
      <c r="AG686" s="4"/>
      <c r="AH686" s="4"/>
      <c r="AI686" s="4"/>
      <c r="AJ686" s="4"/>
      <c r="AK686" s="4"/>
      <c r="AL686" s="4"/>
    </row>
    <row r="687" spans="1:38" ht="14.4">
      <c r="A687" s="34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20"/>
      <c r="P687" s="20"/>
      <c r="Q687" s="20"/>
      <c r="R687" s="20"/>
      <c r="S687" s="20"/>
      <c r="T687" s="35"/>
      <c r="U687" s="35"/>
      <c r="V687" s="3"/>
      <c r="W687" s="3"/>
      <c r="X687" s="36"/>
      <c r="Y687" s="3"/>
      <c r="Z687" s="3"/>
      <c r="AA687" s="35"/>
      <c r="AB687" s="35"/>
      <c r="AC687" s="35"/>
      <c r="AD687" s="4"/>
      <c r="AE687" s="4"/>
      <c r="AF687" s="4"/>
      <c r="AG687" s="4"/>
      <c r="AH687" s="4"/>
      <c r="AI687" s="4"/>
      <c r="AJ687" s="4"/>
      <c r="AK687" s="4"/>
      <c r="AL687" s="4"/>
    </row>
    <row r="688" spans="1:38" ht="14.4">
      <c r="A688" s="34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20"/>
      <c r="P688" s="20"/>
      <c r="Q688" s="20"/>
      <c r="R688" s="20"/>
      <c r="S688" s="20"/>
      <c r="T688" s="35"/>
      <c r="U688" s="35"/>
      <c r="V688" s="3"/>
      <c r="W688" s="3"/>
      <c r="X688" s="36"/>
      <c r="Y688" s="3"/>
      <c r="Z688" s="3"/>
      <c r="AA688" s="35"/>
      <c r="AB688" s="35"/>
      <c r="AC688" s="35"/>
      <c r="AD688" s="4"/>
      <c r="AE688" s="4"/>
      <c r="AF688" s="4"/>
      <c r="AG688" s="4"/>
      <c r="AH688" s="4"/>
      <c r="AI688" s="4"/>
      <c r="AJ688" s="4"/>
      <c r="AK688" s="4"/>
      <c r="AL688" s="4"/>
    </row>
    <row r="689" spans="1:38" ht="14.4">
      <c r="A689" s="34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20"/>
      <c r="P689" s="20"/>
      <c r="Q689" s="20"/>
      <c r="R689" s="20"/>
      <c r="S689" s="20"/>
      <c r="T689" s="35"/>
      <c r="U689" s="35"/>
      <c r="V689" s="3"/>
      <c r="W689" s="3"/>
      <c r="X689" s="36"/>
      <c r="Y689" s="3"/>
      <c r="Z689" s="3"/>
      <c r="AA689" s="35"/>
      <c r="AB689" s="35"/>
      <c r="AC689" s="35"/>
      <c r="AD689" s="4"/>
      <c r="AE689" s="4"/>
      <c r="AF689" s="4"/>
      <c r="AG689" s="4"/>
      <c r="AH689" s="4"/>
      <c r="AI689" s="4"/>
      <c r="AJ689" s="4"/>
      <c r="AK689" s="4"/>
      <c r="AL689" s="4"/>
    </row>
    <row r="690" spans="1:38" ht="14.4">
      <c r="A690" s="34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20"/>
      <c r="P690" s="20"/>
      <c r="Q690" s="20"/>
      <c r="R690" s="20"/>
      <c r="S690" s="20"/>
      <c r="T690" s="35"/>
      <c r="U690" s="35"/>
      <c r="V690" s="3"/>
      <c r="W690" s="3"/>
      <c r="X690" s="36"/>
      <c r="Y690" s="3"/>
      <c r="Z690" s="3"/>
      <c r="AA690" s="35"/>
      <c r="AB690" s="35"/>
      <c r="AC690" s="35"/>
      <c r="AD690" s="4"/>
      <c r="AE690" s="4"/>
      <c r="AF690" s="4"/>
      <c r="AG690" s="4"/>
      <c r="AH690" s="4"/>
      <c r="AI690" s="4"/>
      <c r="AJ690" s="4"/>
      <c r="AK690" s="4"/>
      <c r="AL690" s="4"/>
    </row>
    <row r="691" spans="1:38" ht="14.4">
      <c r="A691" s="34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20"/>
      <c r="P691" s="20"/>
      <c r="Q691" s="20"/>
      <c r="R691" s="20"/>
      <c r="S691" s="20"/>
      <c r="T691" s="35"/>
      <c r="U691" s="35"/>
      <c r="V691" s="3"/>
      <c r="W691" s="3"/>
      <c r="X691" s="36"/>
      <c r="Y691" s="3"/>
      <c r="Z691" s="3"/>
      <c r="AA691" s="35"/>
      <c r="AB691" s="35"/>
      <c r="AC691" s="35"/>
      <c r="AD691" s="4"/>
      <c r="AE691" s="4"/>
      <c r="AF691" s="4"/>
      <c r="AG691" s="4"/>
      <c r="AH691" s="4"/>
      <c r="AI691" s="4"/>
      <c r="AJ691" s="4"/>
      <c r="AK691" s="4"/>
      <c r="AL691" s="4"/>
    </row>
    <row r="692" spans="1:38" ht="14.4">
      <c r="A692" s="34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20"/>
      <c r="P692" s="20"/>
      <c r="Q692" s="20"/>
      <c r="R692" s="20"/>
      <c r="S692" s="20"/>
      <c r="T692" s="35"/>
      <c r="U692" s="35"/>
      <c r="V692" s="3"/>
      <c r="W692" s="3"/>
      <c r="X692" s="36"/>
      <c r="Y692" s="3"/>
      <c r="Z692" s="3"/>
      <c r="AA692" s="35"/>
      <c r="AB692" s="35"/>
      <c r="AC692" s="35"/>
      <c r="AD692" s="4"/>
      <c r="AE692" s="4"/>
      <c r="AF692" s="4"/>
      <c r="AG692" s="4"/>
      <c r="AH692" s="4"/>
      <c r="AI692" s="4"/>
      <c r="AJ692" s="4"/>
      <c r="AK692" s="4"/>
      <c r="AL692" s="4"/>
    </row>
    <row r="693" spans="1:38" ht="14.4">
      <c r="A693" s="34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20"/>
      <c r="P693" s="20"/>
      <c r="Q693" s="20"/>
      <c r="R693" s="20"/>
      <c r="S693" s="20"/>
      <c r="T693" s="35"/>
      <c r="U693" s="35"/>
      <c r="V693" s="3"/>
      <c r="W693" s="3"/>
      <c r="X693" s="36"/>
      <c r="Y693" s="3"/>
      <c r="Z693" s="3"/>
      <c r="AA693" s="35"/>
      <c r="AB693" s="35"/>
      <c r="AC693" s="35"/>
      <c r="AD693" s="4"/>
      <c r="AE693" s="4"/>
      <c r="AF693" s="4"/>
      <c r="AG693" s="4"/>
      <c r="AH693" s="4"/>
      <c r="AI693" s="4"/>
      <c r="AJ693" s="4"/>
      <c r="AK693" s="4"/>
      <c r="AL693" s="4"/>
    </row>
    <row r="694" spans="1:38" ht="14.4">
      <c r="A694" s="34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20"/>
      <c r="P694" s="20"/>
      <c r="Q694" s="20"/>
      <c r="R694" s="20"/>
      <c r="S694" s="20"/>
      <c r="T694" s="35"/>
      <c r="U694" s="35"/>
      <c r="V694" s="3"/>
      <c r="W694" s="3"/>
      <c r="X694" s="36"/>
      <c r="Y694" s="3"/>
      <c r="Z694" s="3"/>
      <c r="AA694" s="35"/>
      <c r="AB694" s="35"/>
      <c r="AC694" s="35"/>
      <c r="AD694" s="4"/>
      <c r="AE694" s="4"/>
      <c r="AF694" s="4"/>
      <c r="AG694" s="4"/>
      <c r="AH694" s="4"/>
      <c r="AI694" s="4"/>
      <c r="AJ694" s="4"/>
      <c r="AK694" s="4"/>
      <c r="AL694" s="4"/>
    </row>
    <row r="695" spans="1:38" ht="14.4">
      <c r="A695" s="34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20"/>
      <c r="P695" s="20"/>
      <c r="Q695" s="20"/>
      <c r="R695" s="20"/>
      <c r="S695" s="20"/>
      <c r="T695" s="35"/>
      <c r="U695" s="35"/>
      <c r="V695" s="3"/>
      <c r="W695" s="3"/>
      <c r="X695" s="36"/>
      <c r="Y695" s="3"/>
      <c r="Z695" s="3"/>
      <c r="AA695" s="35"/>
      <c r="AB695" s="35"/>
      <c r="AC695" s="35"/>
      <c r="AD695" s="4"/>
      <c r="AE695" s="4"/>
      <c r="AF695" s="4"/>
      <c r="AG695" s="4"/>
      <c r="AH695" s="4"/>
      <c r="AI695" s="4"/>
      <c r="AJ695" s="4"/>
      <c r="AK695" s="4"/>
      <c r="AL695" s="4"/>
    </row>
    <row r="696" spans="1:38" ht="14.4">
      <c r="A696" s="34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20"/>
      <c r="P696" s="20"/>
      <c r="Q696" s="20"/>
      <c r="R696" s="20"/>
      <c r="S696" s="20"/>
      <c r="T696" s="35"/>
      <c r="U696" s="35"/>
      <c r="V696" s="3"/>
      <c r="W696" s="3"/>
      <c r="X696" s="36"/>
      <c r="Y696" s="3"/>
      <c r="Z696" s="3"/>
      <c r="AA696" s="35"/>
      <c r="AB696" s="35"/>
      <c r="AC696" s="35"/>
      <c r="AD696" s="4"/>
      <c r="AE696" s="4"/>
      <c r="AF696" s="4"/>
      <c r="AG696" s="4"/>
      <c r="AH696" s="4"/>
      <c r="AI696" s="4"/>
      <c r="AJ696" s="4"/>
      <c r="AK696" s="4"/>
      <c r="AL696" s="4"/>
    </row>
    <row r="697" spans="1:38" ht="14.4">
      <c r="A697" s="34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20"/>
      <c r="P697" s="20"/>
      <c r="Q697" s="20"/>
      <c r="R697" s="20"/>
      <c r="S697" s="20"/>
      <c r="T697" s="35"/>
      <c r="U697" s="35"/>
      <c r="V697" s="3"/>
      <c r="W697" s="3"/>
      <c r="X697" s="36"/>
      <c r="Y697" s="3"/>
      <c r="Z697" s="3"/>
      <c r="AA697" s="35"/>
      <c r="AB697" s="35"/>
      <c r="AC697" s="35"/>
      <c r="AD697" s="4"/>
      <c r="AE697" s="4"/>
      <c r="AF697" s="4"/>
      <c r="AG697" s="4"/>
      <c r="AH697" s="4"/>
      <c r="AI697" s="4"/>
      <c r="AJ697" s="4"/>
      <c r="AK697" s="4"/>
      <c r="AL697" s="4"/>
    </row>
    <row r="698" spans="1:38" ht="14.4">
      <c r="A698" s="34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20"/>
      <c r="P698" s="20"/>
      <c r="Q698" s="20"/>
      <c r="R698" s="20"/>
      <c r="S698" s="20"/>
      <c r="T698" s="35"/>
      <c r="U698" s="35"/>
      <c r="V698" s="3"/>
      <c r="W698" s="3"/>
      <c r="X698" s="36"/>
      <c r="Y698" s="3"/>
      <c r="Z698" s="3"/>
      <c r="AA698" s="35"/>
      <c r="AB698" s="35"/>
      <c r="AC698" s="35"/>
      <c r="AD698" s="4"/>
      <c r="AE698" s="4"/>
      <c r="AF698" s="4"/>
      <c r="AG698" s="4"/>
      <c r="AH698" s="4"/>
      <c r="AI698" s="4"/>
      <c r="AJ698" s="4"/>
      <c r="AK698" s="4"/>
      <c r="AL698" s="4"/>
    </row>
    <row r="699" spans="1:38" ht="14.4">
      <c r="A699" s="34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20"/>
      <c r="P699" s="20"/>
      <c r="Q699" s="20"/>
      <c r="R699" s="20"/>
      <c r="S699" s="20"/>
      <c r="T699" s="35"/>
      <c r="U699" s="35"/>
      <c r="V699" s="3"/>
      <c r="W699" s="3"/>
      <c r="X699" s="36"/>
      <c r="Y699" s="3"/>
      <c r="Z699" s="3"/>
      <c r="AA699" s="35"/>
      <c r="AB699" s="35"/>
      <c r="AC699" s="35"/>
      <c r="AD699" s="4"/>
      <c r="AE699" s="4"/>
      <c r="AF699" s="4"/>
      <c r="AG699" s="4"/>
      <c r="AH699" s="4"/>
      <c r="AI699" s="4"/>
      <c r="AJ699" s="4"/>
      <c r="AK699" s="4"/>
      <c r="AL699" s="4"/>
    </row>
    <row r="700" spans="1:38" ht="14.4">
      <c r="A700" s="34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20"/>
      <c r="P700" s="20"/>
      <c r="Q700" s="20"/>
      <c r="R700" s="20"/>
      <c r="S700" s="20"/>
      <c r="T700" s="35"/>
      <c r="U700" s="35"/>
      <c r="V700" s="3"/>
      <c r="W700" s="3"/>
      <c r="X700" s="36"/>
      <c r="Y700" s="3"/>
      <c r="Z700" s="3"/>
      <c r="AA700" s="35"/>
      <c r="AB700" s="35"/>
      <c r="AC700" s="35"/>
      <c r="AD700" s="4"/>
      <c r="AE700" s="4"/>
      <c r="AF700" s="4"/>
      <c r="AG700" s="4"/>
      <c r="AH700" s="4"/>
      <c r="AI700" s="4"/>
      <c r="AJ700" s="4"/>
      <c r="AK700" s="4"/>
      <c r="AL700" s="4"/>
    </row>
    <row r="701" spans="1:38" ht="14.4">
      <c r="A701" s="34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20"/>
      <c r="P701" s="20"/>
      <c r="Q701" s="20"/>
      <c r="R701" s="20"/>
      <c r="S701" s="20"/>
      <c r="T701" s="35"/>
      <c r="U701" s="35"/>
      <c r="V701" s="3"/>
      <c r="W701" s="3"/>
      <c r="X701" s="36"/>
      <c r="Y701" s="3"/>
      <c r="Z701" s="3"/>
      <c r="AA701" s="35"/>
      <c r="AB701" s="35"/>
      <c r="AC701" s="35"/>
      <c r="AD701" s="4"/>
      <c r="AE701" s="4"/>
      <c r="AF701" s="4"/>
      <c r="AG701" s="4"/>
      <c r="AH701" s="4"/>
      <c r="AI701" s="4"/>
      <c r="AJ701" s="4"/>
      <c r="AK701" s="4"/>
      <c r="AL701" s="4"/>
    </row>
    <row r="702" spans="1:38" ht="14.4">
      <c r="A702" s="34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20"/>
      <c r="P702" s="20"/>
      <c r="Q702" s="20"/>
      <c r="R702" s="20"/>
      <c r="S702" s="20"/>
      <c r="T702" s="35"/>
      <c r="U702" s="35"/>
      <c r="V702" s="3"/>
      <c r="W702" s="3"/>
      <c r="X702" s="36"/>
      <c r="Y702" s="3"/>
      <c r="Z702" s="3"/>
      <c r="AA702" s="35"/>
      <c r="AB702" s="35"/>
      <c r="AC702" s="35"/>
      <c r="AD702" s="4"/>
      <c r="AE702" s="4"/>
      <c r="AF702" s="4"/>
      <c r="AG702" s="4"/>
      <c r="AH702" s="4"/>
      <c r="AI702" s="4"/>
      <c r="AJ702" s="4"/>
      <c r="AK702" s="4"/>
      <c r="AL702" s="4"/>
    </row>
    <row r="703" spans="1:38" ht="14.4">
      <c r="A703" s="34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20"/>
      <c r="P703" s="20"/>
      <c r="Q703" s="20"/>
      <c r="R703" s="20"/>
      <c r="S703" s="20"/>
      <c r="T703" s="35"/>
      <c r="U703" s="35"/>
      <c r="V703" s="3"/>
      <c r="W703" s="3"/>
      <c r="X703" s="36"/>
      <c r="Y703" s="3"/>
      <c r="Z703" s="3"/>
      <c r="AA703" s="35"/>
      <c r="AB703" s="35"/>
      <c r="AC703" s="35"/>
      <c r="AD703" s="4"/>
      <c r="AE703" s="4"/>
      <c r="AF703" s="4"/>
      <c r="AG703" s="4"/>
      <c r="AH703" s="4"/>
      <c r="AI703" s="4"/>
      <c r="AJ703" s="4"/>
      <c r="AK703" s="4"/>
      <c r="AL703" s="4"/>
    </row>
    <row r="704" spans="1:38" ht="14.4">
      <c r="A704" s="34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20"/>
      <c r="P704" s="20"/>
      <c r="Q704" s="20"/>
      <c r="R704" s="20"/>
      <c r="S704" s="20"/>
      <c r="T704" s="35"/>
      <c r="U704" s="35"/>
      <c r="V704" s="3"/>
      <c r="W704" s="3"/>
      <c r="X704" s="36"/>
      <c r="Y704" s="3"/>
      <c r="Z704" s="3"/>
      <c r="AA704" s="35"/>
      <c r="AB704" s="35"/>
      <c r="AC704" s="35"/>
      <c r="AD704" s="4"/>
      <c r="AE704" s="4"/>
      <c r="AF704" s="4"/>
      <c r="AG704" s="4"/>
      <c r="AH704" s="4"/>
      <c r="AI704" s="4"/>
      <c r="AJ704" s="4"/>
      <c r="AK704" s="4"/>
      <c r="AL704" s="4"/>
    </row>
    <row r="705" spans="1:38" ht="14.4">
      <c r="A705" s="34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20"/>
      <c r="P705" s="20"/>
      <c r="Q705" s="20"/>
      <c r="R705" s="20"/>
      <c r="S705" s="20"/>
      <c r="T705" s="35"/>
      <c r="U705" s="35"/>
      <c r="V705" s="3"/>
      <c r="W705" s="3"/>
      <c r="X705" s="36"/>
      <c r="Y705" s="3"/>
      <c r="Z705" s="3"/>
      <c r="AA705" s="35"/>
      <c r="AB705" s="35"/>
      <c r="AC705" s="35"/>
      <c r="AD705" s="4"/>
      <c r="AE705" s="4"/>
      <c r="AF705" s="4"/>
      <c r="AG705" s="4"/>
      <c r="AH705" s="4"/>
      <c r="AI705" s="4"/>
      <c r="AJ705" s="4"/>
      <c r="AK705" s="4"/>
      <c r="AL705" s="4"/>
    </row>
    <row r="706" spans="1:38" ht="14.4">
      <c r="A706" s="34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20"/>
      <c r="P706" s="20"/>
      <c r="Q706" s="20"/>
      <c r="R706" s="20"/>
      <c r="S706" s="20"/>
      <c r="T706" s="35"/>
      <c r="U706" s="35"/>
      <c r="V706" s="3"/>
      <c r="W706" s="3"/>
      <c r="X706" s="36"/>
      <c r="Y706" s="3"/>
      <c r="Z706" s="3"/>
      <c r="AA706" s="35"/>
      <c r="AB706" s="35"/>
      <c r="AC706" s="35"/>
      <c r="AD706" s="4"/>
      <c r="AE706" s="4"/>
      <c r="AF706" s="4"/>
      <c r="AG706" s="4"/>
      <c r="AH706" s="4"/>
      <c r="AI706" s="4"/>
      <c r="AJ706" s="4"/>
      <c r="AK706" s="4"/>
      <c r="AL706" s="4"/>
    </row>
    <row r="707" spans="1:38" ht="14.4">
      <c r="A707" s="34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20"/>
      <c r="P707" s="20"/>
      <c r="Q707" s="20"/>
      <c r="R707" s="20"/>
      <c r="S707" s="20"/>
      <c r="T707" s="35"/>
      <c r="U707" s="35"/>
      <c r="V707" s="3"/>
      <c r="W707" s="3"/>
      <c r="X707" s="36"/>
      <c r="Y707" s="3"/>
      <c r="Z707" s="3"/>
      <c r="AA707" s="35"/>
      <c r="AB707" s="35"/>
      <c r="AC707" s="35"/>
      <c r="AD707" s="4"/>
      <c r="AE707" s="4"/>
      <c r="AF707" s="4"/>
      <c r="AG707" s="4"/>
      <c r="AH707" s="4"/>
      <c r="AI707" s="4"/>
      <c r="AJ707" s="4"/>
      <c r="AK707" s="4"/>
      <c r="AL707" s="4"/>
    </row>
    <row r="708" spans="1:38" ht="14.4">
      <c r="A708" s="34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20"/>
      <c r="P708" s="20"/>
      <c r="Q708" s="20"/>
      <c r="R708" s="20"/>
      <c r="S708" s="20"/>
      <c r="T708" s="35"/>
      <c r="U708" s="35"/>
      <c r="V708" s="3"/>
      <c r="W708" s="3"/>
      <c r="X708" s="36"/>
      <c r="Y708" s="3"/>
      <c r="Z708" s="3"/>
      <c r="AA708" s="35"/>
      <c r="AB708" s="35"/>
      <c r="AC708" s="35"/>
      <c r="AD708" s="4"/>
      <c r="AE708" s="4"/>
      <c r="AF708" s="4"/>
      <c r="AG708" s="4"/>
      <c r="AH708" s="4"/>
      <c r="AI708" s="4"/>
      <c r="AJ708" s="4"/>
      <c r="AK708" s="4"/>
      <c r="AL708" s="4"/>
    </row>
    <row r="709" spans="1:38" ht="14.4">
      <c r="A709" s="34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20"/>
      <c r="P709" s="20"/>
      <c r="Q709" s="20"/>
      <c r="R709" s="20"/>
      <c r="S709" s="20"/>
      <c r="T709" s="35"/>
      <c r="U709" s="35"/>
      <c r="V709" s="3"/>
      <c r="W709" s="3"/>
      <c r="X709" s="36"/>
      <c r="Y709" s="3"/>
      <c r="Z709" s="3"/>
      <c r="AA709" s="35"/>
      <c r="AB709" s="35"/>
      <c r="AC709" s="35"/>
      <c r="AD709" s="4"/>
      <c r="AE709" s="4"/>
      <c r="AF709" s="4"/>
      <c r="AG709" s="4"/>
      <c r="AH709" s="4"/>
      <c r="AI709" s="4"/>
      <c r="AJ709" s="4"/>
      <c r="AK709" s="4"/>
      <c r="AL709" s="4"/>
    </row>
    <row r="710" spans="1:38" ht="14.4">
      <c r="A710" s="34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20"/>
      <c r="P710" s="20"/>
      <c r="Q710" s="20"/>
      <c r="R710" s="20"/>
      <c r="S710" s="20"/>
      <c r="T710" s="35"/>
      <c r="U710" s="35"/>
      <c r="V710" s="3"/>
      <c r="W710" s="3"/>
      <c r="X710" s="36"/>
      <c r="Y710" s="3"/>
      <c r="Z710" s="3"/>
      <c r="AA710" s="35"/>
      <c r="AB710" s="35"/>
      <c r="AC710" s="35"/>
      <c r="AD710" s="4"/>
      <c r="AE710" s="4"/>
      <c r="AF710" s="4"/>
      <c r="AG710" s="4"/>
      <c r="AH710" s="4"/>
      <c r="AI710" s="4"/>
      <c r="AJ710" s="4"/>
      <c r="AK710" s="4"/>
      <c r="AL710" s="4"/>
    </row>
    <row r="711" spans="1:38" ht="14.4">
      <c r="A711" s="34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20"/>
      <c r="P711" s="20"/>
      <c r="Q711" s="20"/>
      <c r="R711" s="20"/>
      <c r="S711" s="20"/>
      <c r="T711" s="35"/>
      <c r="U711" s="35"/>
      <c r="V711" s="3"/>
      <c r="W711" s="3"/>
      <c r="X711" s="36"/>
      <c r="Y711" s="3"/>
      <c r="Z711" s="3"/>
      <c r="AA711" s="35"/>
      <c r="AB711" s="35"/>
      <c r="AC711" s="35"/>
      <c r="AD711" s="4"/>
      <c r="AE711" s="4"/>
      <c r="AF711" s="4"/>
      <c r="AG711" s="4"/>
      <c r="AH711" s="4"/>
      <c r="AI711" s="4"/>
      <c r="AJ711" s="4"/>
      <c r="AK711" s="4"/>
      <c r="AL711" s="4"/>
    </row>
    <row r="712" spans="1:38" ht="14.4">
      <c r="A712" s="34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20"/>
      <c r="P712" s="20"/>
      <c r="Q712" s="20"/>
      <c r="R712" s="20"/>
      <c r="S712" s="20"/>
      <c r="T712" s="35"/>
      <c r="U712" s="35"/>
      <c r="V712" s="3"/>
      <c r="W712" s="3"/>
      <c r="X712" s="36"/>
      <c r="Y712" s="3"/>
      <c r="Z712" s="3"/>
      <c r="AA712" s="35"/>
      <c r="AB712" s="35"/>
      <c r="AC712" s="35"/>
      <c r="AD712" s="4"/>
      <c r="AE712" s="4"/>
      <c r="AF712" s="4"/>
      <c r="AG712" s="4"/>
      <c r="AH712" s="4"/>
      <c r="AI712" s="4"/>
      <c r="AJ712" s="4"/>
      <c r="AK712" s="4"/>
      <c r="AL712" s="4"/>
    </row>
    <row r="713" spans="1:38" ht="14.4">
      <c r="A713" s="34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20"/>
      <c r="P713" s="20"/>
      <c r="Q713" s="20"/>
      <c r="R713" s="20"/>
      <c r="S713" s="20"/>
      <c r="T713" s="35"/>
      <c r="U713" s="35"/>
      <c r="V713" s="3"/>
      <c r="W713" s="3"/>
      <c r="X713" s="36"/>
      <c r="Y713" s="3"/>
      <c r="Z713" s="3"/>
      <c r="AA713" s="35"/>
      <c r="AB713" s="35"/>
      <c r="AC713" s="35"/>
      <c r="AD713" s="4"/>
      <c r="AE713" s="4"/>
      <c r="AF713" s="4"/>
      <c r="AG713" s="4"/>
      <c r="AH713" s="4"/>
      <c r="AI713" s="4"/>
      <c r="AJ713" s="4"/>
      <c r="AK713" s="4"/>
      <c r="AL713" s="4"/>
    </row>
    <row r="714" spans="1:38" ht="14.4">
      <c r="A714" s="34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20"/>
      <c r="P714" s="20"/>
      <c r="Q714" s="20"/>
      <c r="R714" s="20"/>
      <c r="S714" s="20"/>
      <c r="T714" s="35"/>
      <c r="U714" s="35"/>
      <c r="V714" s="3"/>
      <c r="W714" s="3"/>
      <c r="X714" s="36"/>
      <c r="Y714" s="3"/>
      <c r="Z714" s="3"/>
      <c r="AA714" s="35"/>
      <c r="AB714" s="35"/>
      <c r="AC714" s="35"/>
      <c r="AD714" s="4"/>
      <c r="AE714" s="4"/>
      <c r="AF714" s="4"/>
      <c r="AG714" s="4"/>
      <c r="AH714" s="4"/>
      <c r="AI714" s="4"/>
      <c r="AJ714" s="4"/>
      <c r="AK714" s="4"/>
      <c r="AL714" s="4"/>
    </row>
    <row r="715" spans="1:38" ht="14.4">
      <c r="A715" s="34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20"/>
      <c r="P715" s="20"/>
      <c r="Q715" s="20"/>
      <c r="R715" s="20"/>
      <c r="S715" s="20"/>
      <c r="T715" s="35"/>
      <c r="U715" s="35"/>
      <c r="V715" s="3"/>
      <c r="W715" s="3"/>
      <c r="X715" s="36"/>
      <c r="Y715" s="3"/>
      <c r="Z715" s="3"/>
      <c r="AA715" s="35"/>
      <c r="AB715" s="35"/>
      <c r="AC715" s="35"/>
      <c r="AD715" s="4"/>
      <c r="AE715" s="4"/>
      <c r="AF715" s="4"/>
      <c r="AG715" s="4"/>
      <c r="AH715" s="4"/>
      <c r="AI715" s="4"/>
      <c r="AJ715" s="4"/>
      <c r="AK715" s="4"/>
      <c r="AL715" s="4"/>
    </row>
    <row r="716" spans="1:38" ht="14.4">
      <c r="A716" s="34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20"/>
      <c r="P716" s="20"/>
      <c r="Q716" s="20"/>
      <c r="R716" s="20"/>
      <c r="S716" s="20"/>
      <c r="T716" s="35"/>
      <c r="U716" s="35"/>
      <c r="V716" s="3"/>
      <c r="W716" s="3"/>
      <c r="X716" s="36"/>
      <c r="Y716" s="3"/>
      <c r="Z716" s="3"/>
      <c r="AA716" s="35"/>
      <c r="AB716" s="35"/>
      <c r="AC716" s="35"/>
      <c r="AD716" s="4"/>
      <c r="AE716" s="4"/>
      <c r="AF716" s="4"/>
      <c r="AG716" s="4"/>
      <c r="AH716" s="4"/>
      <c r="AI716" s="4"/>
      <c r="AJ716" s="4"/>
      <c r="AK716" s="4"/>
      <c r="AL716" s="4"/>
    </row>
    <row r="717" spans="1:38" ht="14.4">
      <c r="A717" s="34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20"/>
      <c r="P717" s="20"/>
      <c r="Q717" s="20"/>
      <c r="R717" s="20"/>
      <c r="S717" s="20"/>
      <c r="T717" s="35"/>
      <c r="U717" s="35"/>
      <c r="V717" s="3"/>
      <c r="W717" s="3"/>
      <c r="X717" s="36"/>
      <c r="Y717" s="3"/>
      <c r="Z717" s="3"/>
      <c r="AA717" s="35"/>
      <c r="AB717" s="35"/>
      <c r="AC717" s="35"/>
      <c r="AD717" s="4"/>
      <c r="AE717" s="4"/>
      <c r="AF717" s="4"/>
      <c r="AG717" s="4"/>
      <c r="AH717" s="4"/>
      <c r="AI717" s="4"/>
      <c r="AJ717" s="4"/>
      <c r="AK717" s="4"/>
      <c r="AL717" s="4"/>
    </row>
    <row r="718" spans="1:38" ht="14.4">
      <c r="A718" s="34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20"/>
      <c r="P718" s="20"/>
      <c r="Q718" s="20"/>
      <c r="R718" s="20"/>
      <c r="S718" s="20"/>
      <c r="T718" s="35"/>
      <c r="U718" s="35"/>
      <c r="V718" s="3"/>
      <c r="W718" s="3"/>
      <c r="X718" s="36"/>
      <c r="Y718" s="3"/>
      <c r="Z718" s="3"/>
      <c r="AA718" s="35"/>
      <c r="AB718" s="35"/>
      <c r="AC718" s="35"/>
      <c r="AD718" s="4"/>
      <c r="AE718" s="4"/>
      <c r="AF718" s="4"/>
      <c r="AG718" s="4"/>
      <c r="AH718" s="4"/>
      <c r="AI718" s="4"/>
      <c r="AJ718" s="4"/>
      <c r="AK718" s="4"/>
      <c r="AL718" s="4"/>
    </row>
    <row r="719" spans="1:38" ht="14.4">
      <c r="A719" s="34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20"/>
      <c r="P719" s="20"/>
      <c r="Q719" s="20"/>
      <c r="R719" s="20"/>
      <c r="S719" s="20"/>
      <c r="T719" s="35"/>
      <c r="U719" s="35"/>
      <c r="V719" s="3"/>
      <c r="W719" s="3"/>
      <c r="X719" s="36"/>
      <c r="Y719" s="3"/>
      <c r="Z719" s="3"/>
      <c r="AA719" s="35"/>
      <c r="AB719" s="35"/>
      <c r="AC719" s="35"/>
      <c r="AD719" s="4"/>
      <c r="AE719" s="4"/>
      <c r="AF719" s="4"/>
      <c r="AG719" s="4"/>
      <c r="AH719" s="4"/>
      <c r="AI719" s="4"/>
      <c r="AJ719" s="4"/>
      <c r="AK719" s="4"/>
      <c r="AL719" s="4"/>
    </row>
    <row r="720" spans="1:38" ht="14.4">
      <c r="A720" s="34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20"/>
      <c r="P720" s="20"/>
      <c r="Q720" s="20"/>
      <c r="R720" s="20"/>
      <c r="S720" s="20"/>
      <c r="T720" s="35"/>
      <c r="U720" s="35"/>
      <c r="V720" s="3"/>
      <c r="W720" s="3"/>
      <c r="X720" s="36"/>
      <c r="Y720" s="3"/>
      <c r="Z720" s="3"/>
      <c r="AA720" s="35"/>
      <c r="AB720" s="35"/>
      <c r="AC720" s="35"/>
      <c r="AD720" s="4"/>
      <c r="AE720" s="4"/>
      <c r="AF720" s="4"/>
      <c r="AG720" s="4"/>
      <c r="AH720" s="4"/>
      <c r="AI720" s="4"/>
      <c r="AJ720" s="4"/>
      <c r="AK720" s="4"/>
      <c r="AL720" s="4"/>
    </row>
    <row r="721" spans="1:38" ht="14.4">
      <c r="A721" s="34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20"/>
      <c r="P721" s="20"/>
      <c r="Q721" s="20"/>
      <c r="R721" s="20"/>
      <c r="S721" s="20"/>
      <c r="T721" s="35"/>
      <c r="U721" s="35"/>
      <c r="V721" s="3"/>
      <c r="W721" s="3"/>
      <c r="X721" s="36"/>
      <c r="Y721" s="3"/>
      <c r="Z721" s="3"/>
      <c r="AA721" s="35"/>
      <c r="AB721" s="35"/>
      <c r="AC721" s="35"/>
      <c r="AD721" s="4"/>
      <c r="AE721" s="4"/>
      <c r="AF721" s="4"/>
      <c r="AG721" s="4"/>
      <c r="AH721" s="4"/>
      <c r="AI721" s="4"/>
      <c r="AJ721" s="4"/>
      <c r="AK721" s="4"/>
      <c r="AL721" s="4"/>
    </row>
    <row r="722" spans="1:38" ht="14.4">
      <c r="A722" s="34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20"/>
      <c r="P722" s="20"/>
      <c r="Q722" s="20"/>
      <c r="R722" s="20"/>
      <c r="S722" s="20"/>
      <c r="T722" s="35"/>
      <c r="U722" s="35"/>
      <c r="V722" s="3"/>
      <c r="W722" s="3"/>
      <c r="X722" s="36"/>
      <c r="Y722" s="3"/>
      <c r="Z722" s="3"/>
      <c r="AA722" s="35"/>
      <c r="AB722" s="35"/>
      <c r="AC722" s="35"/>
      <c r="AD722" s="4"/>
      <c r="AE722" s="4"/>
      <c r="AF722" s="4"/>
      <c r="AG722" s="4"/>
      <c r="AH722" s="4"/>
      <c r="AI722" s="4"/>
      <c r="AJ722" s="4"/>
      <c r="AK722" s="4"/>
      <c r="AL722" s="4"/>
    </row>
    <row r="723" spans="1:38" ht="14.4">
      <c r="A723" s="34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20"/>
      <c r="P723" s="20"/>
      <c r="Q723" s="20"/>
      <c r="R723" s="20"/>
      <c r="S723" s="20"/>
      <c r="T723" s="35"/>
      <c r="U723" s="35"/>
      <c r="V723" s="3"/>
      <c r="W723" s="3"/>
      <c r="X723" s="36"/>
      <c r="Y723" s="3"/>
      <c r="Z723" s="3"/>
      <c r="AA723" s="35"/>
      <c r="AB723" s="35"/>
      <c r="AC723" s="35"/>
      <c r="AD723" s="4"/>
      <c r="AE723" s="4"/>
      <c r="AF723" s="4"/>
      <c r="AG723" s="4"/>
      <c r="AH723" s="4"/>
      <c r="AI723" s="4"/>
      <c r="AJ723" s="4"/>
      <c r="AK723" s="4"/>
      <c r="AL723" s="4"/>
    </row>
    <row r="724" spans="1:38" ht="14.4">
      <c r="A724" s="34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20"/>
      <c r="P724" s="20"/>
      <c r="Q724" s="20"/>
      <c r="R724" s="20"/>
      <c r="S724" s="20"/>
      <c r="T724" s="35"/>
      <c r="U724" s="35"/>
      <c r="V724" s="3"/>
      <c r="W724" s="3"/>
      <c r="X724" s="36"/>
      <c r="Y724" s="3"/>
      <c r="Z724" s="3"/>
      <c r="AA724" s="35"/>
      <c r="AB724" s="35"/>
      <c r="AC724" s="35"/>
      <c r="AD724" s="4"/>
      <c r="AE724" s="4"/>
      <c r="AF724" s="4"/>
      <c r="AG724" s="4"/>
      <c r="AH724" s="4"/>
      <c r="AI724" s="4"/>
      <c r="AJ724" s="4"/>
      <c r="AK724" s="4"/>
      <c r="AL724" s="4"/>
    </row>
    <row r="725" spans="1:38" ht="14.4">
      <c r="A725" s="34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20"/>
      <c r="P725" s="20"/>
      <c r="Q725" s="20"/>
      <c r="R725" s="20"/>
      <c r="S725" s="20"/>
      <c r="T725" s="35"/>
      <c r="U725" s="35"/>
      <c r="V725" s="3"/>
      <c r="W725" s="3"/>
      <c r="X725" s="36"/>
      <c r="Y725" s="3"/>
      <c r="Z725" s="3"/>
      <c r="AA725" s="35"/>
      <c r="AB725" s="35"/>
      <c r="AC725" s="35"/>
      <c r="AD725" s="4"/>
      <c r="AE725" s="4"/>
      <c r="AF725" s="4"/>
      <c r="AG725" s="4"/>
      <c r="AH725" s="4"/>
      <c r="AI725" s="4"/>
      <c r="AJ725" s="4"/>
      <c r="AK725" s="4"/>
      <c r="AL725" s="4"/>
    </row>
    <row r="726" spans="1:38" ht="14.4">
      <c r="A726" s="34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20"/>
      <c r="P726" s="20"/>
      <c r="Q726" s="20"/>
      <c r="R726" s="20"/>
      <c r="S726" s="20"/>
      <c r="T726" s="35"/>
      <c r="U726" s="35"/>
      <c r="V726" s="3"/>
      <c r="W726" s="3"/>
      <c r="X726" s="36"/>
      <c r="Y726" s="3"/>
      <c r="Z726" s="3"/>
      <c r="AA726" s="35"/>
      <c r="AB726" s="35"/>
      <c r="AC726" s="35"/>
      <c r="AD726" s="4"/>
      <c r="AE726" s="4"/>
      <c r="AF726" s="4"/>
      <c r="AG726" s="4"/>
      <c r="AH726" s="4"/>
      <c r="AI726" s="4"/>
      <c r="AJ726" s="4"/>
      <c r="AK726" s="4"/>
      <c r="AL726" s="4"/>
    </row>
    <row r="727" spans="1:38" ht="14.4">
      <c r="A727" s="34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20"/>
      <c r="P727" s="20"/>
      <c r="Q727" s="20"/>
      <c r="R727" s="20"/>
      <c r="S727" s="20"/>
      <c r="T727" s="35"/>
      <c r="U727" s="35"/>
      <c r="V727" s="3"/>
      <c r="W727" s="3"/>
      <c r="X727" s="36"/>
      <c r="Y727" s="3"/>
      <c r="Z727" s="3"/>
      <c r="AA727" s="35"/>
      <c r="AB727" s="35"/>
      <c r="AC727" s="35"/>
      <c r="AD727" s="4"/>
      <c r="AE727" s="4"/>
      <c r="AF727" s="4"/>
      <c r="AG727" s="4"/>
      <c r="AH727" s="4"/>
      <c r="AI727" s="4"/>
      <c r="AJ727" s="4"/>
      <c r="AK727" s="4"/>
      <c r="AL727" s="4"/>
    </row>
    <row r="728" spans="1:38" ht="14.4">
      <c r="A728" s="34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20"/>
      <c r="P728" s="20"/>
      <c r="Q728" s="20"/>
      <c r="R728" s="20"/>
      <c r="S728" s="20"/>
      <c r="T728" s="35"/>
      <c r="U728" s="35"/>
      <c r="V728" s="3"/>
      <c r="W728" s="3"/>
      <c r="X728" s="36"/>
      <c r="Y728" s="3"/>
      <c r="Z728" s="3"/>
      <c r="AA728" s="35"/>
      <c r="AB728" s="35"/>
      <c r="AC728" s="35"/>
      <c r="AD728" s="4"/>
      <c r="AE728" s="4"/>
      <c r="AF728" s="4"/>
      <c r="AG728" s="4"/>
      <c r="AH728" s="4"/>
      <c r="AI728" s="4"/>
      <c r="AJ728" s="4"/>
      <c r="AK728" s="4"/>
      <c r="AL728" s="4"/>
    </row>
    <row r="729" spans="1:38" ht="14.4">
      <c r="A729" s="34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20"/>
      <c r="P729" s="20"/>
      <c r="Q729" s="20"/>
      <c r="R729" s="20"/>
      <c r="S729" s="20"/>
      <c r="T729" s="35"/>
      <c r="U729" s="35"/>
      <c r="V729" s="3"/>
      <c r="W729" s="3"/>
      <c r="X729" s="36"/>
      <c r="Y729" s="3"/>
      <c r="Z729" s="3"/>
      <c r="AA729" s="35"/>
      <c r="AB729" s="35"/>
      <c r="AC729" s="35"/>
      <c r="AD729" s="4"/>
      <c r="AE729" s="4"/>
      <c r="AF729" s="4"/>
      <c r="AG729" s="4"/>
      <c r="AH729" s="4"/>
      <c r="AI729" s="4"/>
      <c r="AJ729" s="4"/>
      <c r="AK729" s="4"/>
      <c r="AL729" s="4"/>
    </row>
    <row r="730" spans="1:38" ht="14.4">
      <c r="A730" s="34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20"/>
      <c r="P730" s="20"/>
      <c r="Q730" s="20"/>
      <c r="R730" s="20"/>
      <c r="S730" s="20"/>
      <c r="T730" s="35"/>
      <c r="U730" s="35"/>
      <c r="V730" s="3"/>
      <c r="W730" s="3"/>
      <c r="X730" s="36"/>
      <c r="Y730" s="3"/>
      <c r="Z730" s="3"/>
      <c r="AA730" s="35"/>
      <c r="AB730" s="35"/>
      <c r="AC730" s="35"/>
      <c r="AD730" s="4"/>
      <c r="AE730" s="4"/>
      <c r="AF730" s="4"/>
      <c r="AG730" s="4"/>
      <c r="AH730" s="4"/>
      <c r="AI730" s="4"/>
      <c r="AJ730" s="4"/>
      <c r="AK730" s="4"/>
      <c r="AL730" s="4"/>
    </row>
    <row r="731" spans="1:38" ht="14.4">
      <c r="A731" s="34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20"/>
      <c r="P731" s="20"/>
      <c r="Q731" s="20"/>
      <c r="R731" s="20"/>
      <c r="S731" s="20"/>
      <c r="T731" s="35"/>
      <c r="U731" s="35"/>
      <c r="V731" s="3"/>
      <c r="W731" s="3"/>
      <c r="X731" s="36"/>
      <c r="Y731" s="3"/>
      <c r="Z731" s="3"/>
      <c r="AA731" s="35"/>
      <c r="AB731" s="35"/>
      <c r="AC731" s="35"/>
      <c r="AD731" s="4"/>
      <c r="AE731" s="4"/>
      <c r="AF731" s="4"/>
      <c r="AG731" s="4"/>
      <c r="AH731" s="4"/>
      <c r="AI731" s="4"/>
      <c r="AJ731" s="4"/>
      <c r="AK731" s="4"/>
      <c r="AL731" s="4"/>
    </row>
    <row r="732" spans="1:38" ht="14.4">
      <c r="A732" s="34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20"/>
      <c r="P732" s="20"/>
      <c r="Q732" s="20"/>
      <c r="R732" s="20"/>
      <c r="S732" s="20"/>
      <c r="T732" s="35"/>
      <c r="U732" s="35"/>
      <c r="V732" s="3"/>
      <c r="W732" s="3"/>
      <c r="X732" s="36"/>
      <c r="Y732" s="3"/>
      <c r="Z732" s="3"/>
      <c r="AA732" s="35"/>
      <c r="AB732" s="35"/>
      <c r="AC732" s="35"/>
      <c r="AD732" s="4"/>
      <c r="AE732" s="4"/>
      <c r="AF732" s="4"/>
      <c r="AG732" s="4"/>
      <c r="AH732" s="4"/>
      <c r="AI732" s="4"/>
      <c r="AJ732" s="4"/>
      <c r="AK732" s="4"/>
      <c r="AL732" s="4"/>
    </row>
    <row r="733" spans="1:38" ht="14.4">
      <c r="A733" s="34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20"/>
      <c r="P733" s="20"/>
      <c r="Q733" s="20"/>
      <c r="R733" s="20"/>
      <c r="S733" s="20"/>
      <c r="T733" s="35"/>
      <c r="U733" s="35"/>
      <c r="V733" s="3"/>
      <c r="W733" s="3"/>
      <c r="X733" s="36"/>
      <c r="Y733" s="3"/>
      <c r="Z733" s="3"/>
      <c r="AA733" s="35"/>
      <c r="AB733" s="35"/>
      <c r="AC733" s="35"/>
      <c r="AD733" s="4"/>
      <c r="AE733" s="4"/>
      <c r="AF733" s="4"/>
      <c r="AG733" s="4"/>
      <c r="AH733" s="4"/>
      <c r="AI733" s="4"/>
      <c r="AJ733" s="4"/>
      <c r="AK733" s="4"/>
      <c r="AL733" s="4"/>
    </row>
    <row r="734" spans="1:38" ht="14.4">
      <c r="A734" s="34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20"/>
      <c r="P734" s="20"/>
      <c r="Q734" s="20"/>
      <c r="R734" s="20"/>
      <c r="S734" s="20"/>
      <c r="T734" s="35"/>
      <c r="U734" s="35"/>
      <c r="V734" s="3"/>
      <c r="W734" s="3"/>
      <c r="X734" s="36"/>
      <c r="Y734" s="3"/>
      <c r="Z734" s="3"/>
      <c r="AA734" s="35"/>
      <c r="AB734" s="35"/>
      <c r="AC734" s="35"/>
      <c r="AD734" s="4"/>
      <c r="AE734" s="4"/>
      <c r="AF734" s="4"/>
      <c r="AG734" s="4"/>
      <c r="AH734" s="4"/>
      <c r="AI734" s="4"/>
      <c r="AJ734" s="4"/>
      <c r="AK734" s="4"/>
      <c r="AL734" s="4"/>
    </row>
    <row r="735" spans="1:38" ht="14.4">
      <c r="A735" s="34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20"/>
      <c r="P735" s="20"/>
      <c r="Q735" s="20"/>
      <c r="R735" s="20"/>
      <c r="S735" s="20"/>
      <c r="T735" s="35"/>
      <c r="U735" s="35"/>
      <c r="V735" s="3"/>
      <c r="W735" s="3"/>
      <c r="X735" s="36"/>
      <c r="Y735" s="3"/>
      <c r="Z735" s="3"/>
      <c r="AA735" s="35"/>
      <c r="AB735" s="35"/>
      <c r="AC735" s="35"/>
      <c r="AD735" s="4"/>
      <c r="AE735" s="4"/>
      <c r="AF735" s="4"/>
      <c r="AG735" s="4"/>
      <c r="AH735" s="4"/>
      <c r="AI735" s="4"/>
      <c r="AJ735" s="4"/>
      <c r="AK735" s="4"/>
      <c r="AL735" s="4"/>
    </row>
    <row r="736" spans="1:38" ht="14.4">
      <c r="A736" s="34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20"/>
      <c r="P736" s="20"/>
      <c r="Q736" s="20"/>
      <c r="R736" s="20"/>
      <c r="S736" s="20"/>
      <c r="T736" s="35"/>
      <c r="U736" s="35"/>
      <c r="V736" s="3"/>
      <c r="W736" s="3"/>
      <c r="X736" s="36"/>
      <c r="Y736" s="3"/>
      <c r="Z736" s="3"/>
      <c r="AA736" s="35"/>
      <c r="AB736" s="35"/>
      <c r="AC736" s="35"/>
      <c r="AD736" s="4"/>
      <c r="AE736" s="4"/>
      <c r="AF736" s="4"/>
      <c r="AG736" s="4"/>
      <c r="AH736" s="4"/>
      <c r="AI736" s="4"/>
      <c r="AJ736" s="4"/>
      <c r="AK736" s="4"/>
      <c r="AL736" s="4"/>
    </row>
    <row r="737" spans="1:38" ht="14.4">
      <c r="A737" s="34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20"/>
      <c r="P737" s="20"/>
      <c r="Q737" s="20"/>
      <c r="R737" s="20"/>
      <c r="S737" s="20"/>
      <c r="T737" s="35"/>
      <c r="U737" s="35"/>
      <c r="V737" s="3"/>
      <c r="W737" s="3"/>
      <c r="X737" s="36"/>
      <c r="Y737" s="3"/>
      <c r="Z737" s="3"/>
      <c r="AA737" s="35"/>
      <c r="AB737" s="35"/>
      <c r="AC737" s="35"/>
      <c r="AD737" s="4"/>
      <c r="AE737" s="4"/>
      <c r="AF737" s="4"/>
      <c r="AG737" s="4"/>
      <c r="AH737" s="4"/>
      <c r="AI737" s="4"/>
      <c r="AJ737" s="4"/>
      <c r="AK737" s="4"/>
      <c r="AL737" s="4"/>
    </row>
    <row r="738" spans="1:38" ht="14.4">
      <c r="A738" s="34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20"/>
      <c r="P738" s="20"/>
      <c r="Q738" s="20"/>
      <c r="R738" s="20"/>
      <c r="S738" s="20"/>
      <c r="T738" s="35"/>
      <c r="U738" s="35"/>
      <c r="V738" s="3"/>
      <c r="W738" s="3"/>
      <c r="X738" s="36"/>
      <c r="Y738" s="3"/>
      <c r="Z738" s="3"/>
      <c r="AA738" s="35"/>
      <c r="AB738" s="35"/>
      <c r="AC738" s="35"/>
      <c r="AD738" s="4"/>
      <c r="AE738" s="4"/>
      <c r="AF738" s="4"/>
      <c r="AG738" s="4"/>
      <c r="AH738" s="4"/>
      <c r="AI738" s="4"/>
      <c r="AJ738" s="4"/>
      <c r="AK738" s="4"/>
      <c r="AL738" s="4"/>
    </row>
    <row r="739" spans="1:38" ht="14.4">
      <c r="A739" s="34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20"/>
      <c r="P739" s="20"/>
      <c r="Q739" s="20"/>
      <c r="R739" s="20"/>
      <c r="S739" s="20"/>
      <c r="T739" s="35"/>
      <c r="U739" s="35"/>
      <c r="V739" s="3"/>
      <c r="W739" s="3"/>
      <c r="X739" s="36"/>
      <c r="Y739" s="3"/>
      <c r="Z739" s="3"/>
      <c r="AA739" s="35"/>
      <c r="AB739" s="35"/>
      <c r="AC739" s="35"/>
      <c r="AD739" s="4"/>
      <c r="AE739" s="4"/>
      <c r="AF739" s="4"/>
      <c r="AG739" s="4"/>
      <c r="AH739" s="4"/>
      <c r="AI739" s="4"/>
      <c r="AJ739" s="4"/>
      <c r="AK739" s="4"/>
      <c r="AL739" s="4"/>
    </row>
    <row r="740" spans="1:38" ht="14.4">
      <c r="A740" s="34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20"/>
      <c r="P740" s="20"/>
      <c r="Q740" s="20"/>
      <c r="R740" s="20"/>
      <c r="S740" s="20"/>
      <c r="T740" s="35"/>
      <c r="U740" s="35"/>
      <c r="V740" s="3"/>
      <c r="W740" s="3"/>
      <c r="X740" s="36"/>
      <c r="Y740" s="3"/>
      <c r="Z740" s="3"/>
      <c r="AA740" s="35"/>
      <c r="AB740" s="35"/>
      <c r="AC740" s="35"/>
      <c r="AD740" s="4"/>
      <c r="AE740" s="4"/>
      <c r="AF740" s="4"/>
      <c r="AG740" s="4"/>
      <c r="AH740" s="4"/>
      <c r="AI740" s="4"/>
      <c r="AJ740" s="4"/>
      <c r="AK740" s="4"/>
      <c r="AL740" s="4"/>
    </row>
    <row r="741" spans="1:38" ht="14.4">
      <c r="A741" s="34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20"/>
      <c r="P741" s="20"/>
      <c r="Q741" s="20"/>
      <c r="R741" s="20"/>
      <c r="S741" s="20"/>
      <c r="T741" s="35"/>
      <c r="U741" s="35"/>
      <c r="V741" s="3"/>
      <c r="W741" s="3"/>
      <c r="X741" s="36"/>
      <c r="Y741" s="3"/>
      <c r="Z741" s="3"/>
      <c r="AA741" s="35"/>
      <c r="AB741" s="35"/>
      <c r="AC741" s="35"/>
      <c r="AD741" s="4"/>
      <c r="AE741" s="4"/>
      <c r="AF741" s="4"/>
      <c r="AG741" s="4"/>
      <c r="AH741" s="4"/>
      <c r="AI741" s="4"/>
      <c r="AJ741" s="4"/>
      <c r="AK741" s="4"/>
      <c r="AL741" s="4"/>
    </row>
    <row r="742" spans="1:38" ht="14.4">
      <c r="A742" s="34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20"/>
      <c r="P742" s="20"/>
      <c r="Q742" s="20"/>
      <c r="R742" s="20"/>
      <c r="S742" s="20"/>
      <c r="T742" s="35"/>
      <c r="U742" s="35"/>
      <c r="V742" s="3"/>
      <c r="W742" s="3"/>
      <c r="X742" s="36"/>
      <c r="Y742" s="3"/>
      <c r="Z742" s="3"/>
      <c r="AA742" s="35"/>
      <c r="AB742" s="35"/>
      <c r="AC742" s="35"/>
      <c r="AD742" s="4"/>
      <c r="AE742" s="4"/>
      <c r="AF742" s="4"/>
      <c r="AG742" s="4"/>
      <c r="AH742" s="4"/>
      <c r="AI742" s="4"/>
      <c r="AJ742" s="4"/>
      <c r="AK742" s="4"/>
      <c r="AL742" s="4"/>
    </row>
    <row r="743" spans="1:38" ht="14.4">
      <c r="A743" s="34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20"/>
      <c r="P743" s="20"/>
      <c r="Q743" s="20"/>
      <c r="R743" s="20"/>
      <c r="S743" s="20"/>
      <c r="T743" s="35"/>
      <c r="U743" s="35"/>
      <c r="V743" s="3"/>
      <c r="W743" s="3"/>
      <c r="X743" s="36"/>
      <c r="Y743" s="3"/>
      <c r="Z743" s="3"/>
      <c r="AA743" s="35"/>
      <c r="AB743" s="35"/>
      <c r="AC743" s="35"/>
      <c r="AD743" s="4"/>
      <c r="AE743" s="4"/>
      <c r="AF743" s="4"/>
      <c r="AG743" s="4"/>
      <c r="AH743" s="4"/>
      <c r="AI743" s="4"/>
      <c r="AJ743" s="4"/>
      <c r="AK743" s="4"/>
      <c r="AL743" s="4"/>
    </row>
    <row r="744" spans="1:38" ht="14.4">
      <c r="A744" s="34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20"/>
      <c r="P744" s="20"/>
      <c r="Q744" s="20"/>
      <c r="R744" s="20"/>
      <c r="S744" s="20"/>
      <c r="T744" s="35"/>
      <c r="U744" s="35"/>
      <c r="V744" s="3"/>
      <c r="W744" s="3"/>
      <c r="X744" s="36"/>
      <c r="Y744" s="3"/>
      <c r="Z744" s="3"/>
      <c r="AA744" s="35"/>
      <c r="AB744" s="35"/>
      <c r="AC744" s="35"/>
      <c r="AD744" s="4"/>
      <c r="AE744" s="4"/>
      <c r="AF744" s="4"/>
      <c r="AG744" s="4"/>
      <c r="AH744" s="4"/>
      <c r="AI744" s="4"/>
      <c r="AJ744" s="4"/>
      <c r="AK744" s="4"/>
      <c r="AL744" s="4"/>
    </row>
    <row r="745" spans="1:38" ht="14.4">
      <c r="A745" s="34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20"/>
      <c r="P745" s="20"/>
      <c r="Q745" s="20"/>
      <c r="R745" s="20"/>
      <c r="S745" s="20"/>
      <c r="T745" s="35"/>
      <c r="U745" s="35"/>
      <c r="V745" s="3"/>
      <c r="W745" s="3"/>
      <c r="X745" s="36"/>
      <c r="Y745" s="3"/>
      <c r="Z745" s="3"/>
      <c r="AA745" s="35"/>
      <c r="AB745" s="35"/>
      <c r="AC745" s="35"/>
      <c r="AD745" s="4"/>
      <c r="AE745" s="4"/>
      <c r="AF745" s="4"/>
      <c r="AG745" s="4"/>
      <c r="AH745" s="4"/>
      <c r="AI745" s="4"/>
      <c r="AJ745" s="4"/>
      <c r="AK745" s="4"/>
      <c r="AL745" s="4"/>
    </row>
    <row r="746" spans="1:38" ht="14.4">
      <c r="A746" s="34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20"/>
      <c r="P746" s="20"/>
      <c r="Q746" s="20"/>
      <c r="R746" s="20"/>
      <c r="S746" s="20"/>
      <c r="T746" s="35"/>
      <c r="U746" s="35"/>
      <c r="V746" s="3"/>
      <c r="W746" s="3"/>
      <c r="X746" s="36"/>
      <c r="Y746" s="3"/>
      <c r="Z746" s="3"/>
      <c r="AA746" s="35"/>
      <c r="AB746" s="35"/>
      <c r="AC746" s="35"/>
      <c r="AD746" s="4"/>
      <c r="AE746" s="4"/>
      <c r="AF746" s="4"/>
      <c r="AG746" s="4"/>
      <c r="AH746" s="4"/>
      <c r="AI746" s="4"/>
      <c r="AJ746" s="4"/>
      <c r="AK746" s="4"/>
      <c r="AL746" s="4"/>
    </row>
    <row r="747" spans="1:38" ht="14.4">
      <c r="A747" s="34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20"/>
      <c r="P747" s="20"/>
      <c r="Q747" s="20"/>
      <c r="R747" s="20"/>
      <c r="S747" s="20"/>
      <c r="T747" s="35"/>
      <c r="U747" s="35"/>
      <c r="V747" s="3"/>
      <c r="W747" s="3"/>
      <c r="X747" s="36"/>
      <c r="Y747" s="3"/>
      <c r="Z747" s="3"/>
      <c r="AA747" s="35"/>
      <c r="AB747" s="35"/>
      <c r="AC747" s="35"/>
      <c r="AD747" s="4"/>
      <c r="AE747" s="4"/>
      <c r="AF747" s="4"/>
      <c r="AG747" s="4"/>
      <c r="AH747" s="4"/>
      <c r="AI747" s="4"/>
      <c r="AJ747" s="4"/>
      <c r="AK747" s="4"/>
      <c r="AL747" s="4"/>
    </row>
    <row r="748" spans="1:38" ht="14.4">
      <c r="A748" s="34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20"/>
      <c r="P748" s="20"/>
      <c r="Q748" s="20"/>
      <c r="R748" s="20"/>
      <c r="S748" s="20"/>
      <c r="T748" s="35"/>
      <c r="U748" s="35"/>
      <c r="V748" s="3"/>
      <c r="W748" s="3"/>
      <c r="X748" s="36"/>
      <c r="Y748" s="3"/>
      <c r="Z748" s="3"/>
      <c r="AA748" s="35"/>
      <c r="AB748" s="35"/>
      <c r="AC748" s="35"/>
      <c r="AD748" s="4"/>
      <c r="AE748" s="4"/>
      <c r="AF748" s="4"/>
      <c r="AG748" s="4"/>
      <c r="AH748" s="4"/>
      <c r="AI748" s="4"/>
      <c r="AJ748" s="4"/>
      <c r="AK748" s="4"/>
      <c r="AL748" s="4"/>
    </row>
    <row r="749" spans="1:38" ht="14.4">
      <c r="A749" s="34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20"/>
      <c r="P749" s="20"/>
      <c r="Q749" s="20"/>
      <c r="R749" s="20"/>
      <c r="S749" s="20"/>
      <c r="T749" s="35"/>
      <c r="U749" s="35"/>
      <c r="V749" s="3"/>
      <c r="W749" s="3"/>
      <c r="X749" s="36"/>
      <c r="Y749" s="3"/>
      <c r="Z749" s="3"/>
      <c r="AA749" s="35"/>
      <c r="AB749" s="35"/>
      <c r="AC749" s="35"/>
      <c r="AD749" s="4"/>
      <c r="AE749" s="4"/>
      <c r="AF749" s="4"/>
      <c r="AG749" s="4"/>
      <c r="AH749" s="4"/>
      <c r="AI749" s="4"/>
      <c r="AJ749" s="4"/>
      <c r="AK749" s="4"/>
      <c r="AL749" s="4"/>
    </row>
    <row r="750" spans="1:38" ht="14.4">
      <c r="A750" s="34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20"/>
      <c r="P750" s="20"/>
      <c r="Q750" s="20"/>
      <c r="R750" s="20"/>
      <c r="S750" s="20"/>
      <c r="T750" s="35"/>
      <c r="U750" s="35"/>
      <c r="V750" s="3"/>
      <c r="W750" s="3"/>
      <c r="X750" s="36"/>
      <c r="Y750" s="3"/>
      <c r="Z750" s="3"/>
      <c r="AA750" s="35"/>
      <c r="AB750" s="35"/>
      <c r="AC750" s="35"/>
      <c r="AD750" s="4"/>
      <c r="AE750" s="4"/>
      <c r="AF750" s="4"/>
      <c r="AG750" s="4"/>
      <c r="AH750" s="4"/>
      <c r="AI750" s="4"/>
      <c r="AJ750" s="4"/>
      <c r="AK750" s="4"/>
      <c r="AL750" s="4"/>
    </row>
    <row r="751" spans="1:38" ht="14.4">
      <c r="A751" s="34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20"/>
      <c r="P751" s="20"/>
      <c r="Q751" s="20"/>
      <c r="R751" s="20"/>
      <c r="S751" s="20"/>
      <c r="T751" s="35"/>
      <c r="U751" s="35"/>
      <c r="V751" s="3"/>
      <c r="W751" s="3"/>
      <c r="X751" s="36"/>
      <c r="Y751" s="3"/>
      <c r="Z751" s="3"/>
      <c r="AA751" s="35"/>
      <c r="AB751" s="35"/>
      <c r="AC751" s="35"/>
      <c r="AD751" s="4"/>
      <c r="AE751" s="4"/>
      <c r="AF751" s="4"/>
      <c r="AG751" s="4"/>
      <c r="AH751" s="4"/>
      <c r="AI751" s="4"/>
      <c r="AJ751" s="4"/>
      <c r="AK751" s="4"/>
      <c r="AL751" s="4"/>
    </row>
    <row r="752" spans="1:38" ht="14.4">
      <c r="A752" s="34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20"/>
      <c r="P752" s="20"/>
      <c r="Q752" s="20"/>
      <c r="R752" s="20"/>
      <c r="S752" s="20"/>
      <c r="T752" s="35"/>
      <c r="U752" s="35"/>
      <c r="V752" s="3"/>
      <c r="W752" s="3"/>
      <c r="X752" s="36"/>
      <c r="Y752" s="3"/>
      <c r="Z752" s="3"/>
      <c r="AA752" s="35"/>
      <c r="AB752" s="35"/>
      <c r="AC752" s="35"/>
      <c r="AD752" s="4"/>
      <c r="AE752" s="4"/>
      <c r="AF752" s="4"/>
      <c r="AG752" s="4"/>
      <c r="AH752" s="4"/>
      <c r="AI752" s="4"/>
      <c r="AJ752" s="4"/>
      <c r="AK752" s="4"/>
      <c r="AL752" s="4"/>
    </row>
    <row r="753" spans="1:38" ht="14.4">
      <c r="A753" s="34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20"/>
      <c r="P753" s="20"/>
      <c r="Q753" s="20"/>
      <c r="R753" s="20"/>
      <c r="S753" s="20"/>
      <c r="T753" s="35"/>
      <c r="U753" s="35"/>
      <c r="V753" s="3"/>
      <c r="W753" s="3"/>
      <c r="X753" s="36"/>
      <c r="Y753" s="3"/>
      <c r="Z753" s="3"/>
      <c r="AA753" s="35"/>
      <c r="AB753" s="35"/>
      <c r="AC753" s="35"/>
      <c r="AD753" s="4"/>
      <c r="AE753" s="4"/>
      <c r="AF753" s="4"/>
      <c r="AG753" s="4"/>
      <c r="AH753" s="4"/>
      <c r="AI753" s="4"/>
      <c r="AJ753" s="4"/>
      <c r="AK753" s="4"/>
      <c r="AL753" s="4"/>
    </row>
    <row r="754" spans="1:38" ht="14.4">
      <c r="A754" s="34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20"/>
      <c r="P754" s="20"/>
      <c r="Q754" s="20"/>
      <c r="R754" s="20"/>
      <c r="S754" s="20"/>
      <c r="T754" s="35"/>
      <c r="U754" s="35"/>
      <c r="V754" s="3"/>
      <c r="W754" s="3"/>
      <c r="X754" s="36"/>
      <c r="Y754" s="3"/>
      <c r="Z754" s="3"/>
      <c r="AA754" s="35"/>
      <c r="AB754" s="35"/>
      <c r="AC754" s="35"/>
      <c r="AD754" s="4"/>
      <c r="AE754" s="4"/>
      <c r="AF754" s="4"/>
      <c r="AG754" s="4"/>
      <c r="AH754" s="4"/>
      <c r="AI754" s="4"/>
      <c r="AJ754" s="4"/>
      <c r="AK754" s="4"/>
      <c r="AL754" s="4"/>
    </row>
    <row r="755" spans="1:38" ht="14.4">
      <c r="A755" s="34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20"/>
      <c r="P755" s="20"/>
      <c r="Q755" s="20"/>
      <c r="R755" s="20"/>
      <c r="S755" s="20"/>
      <c r="T755" s="35"/>
      <c r="U755" s="35"/>
      <c r="V755" s="3"/>
      <c r="W755" s="3"/>
      <c r="X755" s="36"/>
      <c r="Y755" s="3"/>
      <c r="Z755" s="3"/>
      <c r="AA755" s="35"/>
      <c r="AB755" s="35"/>
      <c r="AC755" s="35"/>
      <c r="AD755" s="4"/>
      <c r="AE755" s="4"/>
      <c r="AF755" s="4"/>
      <c r="AG755" s="4"/>
      <c r="AH755" s="4"/>
      <c r="AI755" s="4"/>
      <c r="AJ755" s="4"/>
      <c r="AK755" s="4"/>
      <c r="AL755" s="4"/>
    </row>
    <row r="756" spans="1:38" ht="14.4">
      <c r="A756" s="34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20"/>
      <c r="P756" s="20"/>
      <c r="Q756" s="20"/>
      <c r="R756" s="20"/>
      <c r="S756" s="20"/>
      <c r="T756" s="35"/>
      <c r="U756" s="35"/>
      <c r="V756" s="3"/>
      <c r="W756" s="3"/>
      <c r="X756" s="36"/>
      <c r="Y756" s="3"/>
      <c r="Z756" s="3"/>
      <c r="AA756" s="35"/>
      <c r="AB756" s="35"/>
      <c r="AC756" s="35"/>
      <c r="AD756" s="4"/>
      <c r="AE756" s="4"/>
      <c r="AF756" s="4"/>
      <c r="AG756" s="4"/>
      <c r="AH756" s="4"/>
      <c r="AI756" s="4"/>
      <c r="AJ756" s="4"/>
      <c r="AK756" s="4"/>
      <c r="AL756" s="4"/>
    </row>
    <row r="757" spans="1:38" ht="14.4">
      <c r="A757" s="34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20"/>
      <c r="P757" s="20"/>
      <c r="Q757" s="20"/>
      <c r="R757" s="20"/>
      <c r="S757" s="20"/>
      <c r="T757" s="35"/>
      <c r="U757" s="35"/>
      <c r="V757" s="3"/>
      <c r="W757" s="3"/>
      <c r="X757" s="36"/>
      <c r="Y757" s="3"/>
      <c r="Z757" s="3"/>
      <c r="AA757" s="35"/>
      <c r="AB757" s="35"/>
      <c r="AC757" s="35"/>
      <c r="AD757" s="4"/>
      <c r="AE757" s="4"/>
      <c r="AF757" s="4"/>
      <c r="AG757" s="4"/>
      <c r="AH757" s="4"/>
      <c r="AI757" s="4"/>
      <c r="AJ757" s="4"/>
      <c r="AK757" s="4"/>
      <c r="AL757" s="4"/>
    </row>
    <row r="758" spans="1:38" ht="14.4">
      <c r="A758" s="34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20"/>
      <c r="P758" s="20"/>
      <c r="Q758" s="20"/>
      <c r="R758" s="20"/>
      <c r="S758" s="20"/>
      <c r="T758" s="35"/>
      <c r="U758" s="35"/>
      <c r="V758" s="3"/>
      <c r="W758" s="3"/>
      <c r="X758" s="36"/>
      <c r="Y758" s="3"/>
      <c r="Z758" s="3"/>
      <c r="AA758" s="35"/>
      <c r="AB758" s="35"/>
      <c r="AC758" s="35"/>
      <c r="AD758" s="4"/>
      <c r="AE758" s="4"/>
      <c r="AF758" s="4"/>
      <c r="AG758" s="4"/>
      <c r="AH758" s="4"/>
      <c r="AI758" s="4"/>
      <c r="AJ758" s="4"/>
      <c r="AK758" s="4"/>
      <c r="AL758" s="4"/>
    </row>
    <row r="759" spans="1:38" ht="14.4">
      <c r="A759" s="34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20"/>
      <c r="P759" s="20"/>
      <c r="Q759" s="20"/>
      <c r="R759" s="20"/>
      <c r="S759" s="20"/>
      <c r="T759" s="35"/>
      <c r="U759" s="35"/>
      <c r="V759" s="3"/>
      <c r="W759" s="3"/>
      <c r="X759" s="36"/>
      <c r="Y759" s="3"/>
      <c r="Z759" s="3"/>
      <c r="AA759" s="35"/>
      <c r="AB759" s="35"/>
      <c r="AC759" s="35"/>
      <c r="AD759" s="4"/>
      <c r="AE759" s="4"/>
      <c r="AF759" s="4"/>
      <c r="AG759" s="4"/>
      <c r="AH759" s="4"/>
      <c r="AI759" s="4"/>
      <c r="AJ759" s="4"/>
      <c r="AK759" s="4"/>
      <c r="AL759" s="4"/>
    </row>
    <row r="760" spans="1:38" ht="14.4">
      <c r="A760" s="34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20"/>
      <c r="P760" s="20"/>
      <c r="Q760" s="20"/>
      <c r="R760" s="20"/>
      <c r="S760" s="20"/>
      <c r="T760" s="35"/>
      <c r="U760" s="35"/>
      <c r="V760" s="3"/>
      <c r="W760" s="3"/>
      <c r="X760" s="36"/>
      <c r="Y760" s="3"/>
      <c r="Z760" s="3"/>
      <c r="AA760" s="35"/>
      <c r="AB760" s="35"/>
      <c r="AC760" s="35"/>
      <c r="AD760" s="4"/>
      <c r="AE760" s="4"/>
      <c r="AF760" s="4"/>
      <c r="AG760" s="4"/>
      <c r="AH760" s="4"/>
      <c r="AI760" s="4"/>
      <c r="AJ760" s="4"/>
      <c r="AK760" s="4"/>
      <c r="AL760" s="4"/>
    </row>
    <row r="761" spans="1:38" ht="14.4">
      <c r="A761" s="34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20"/>
      <c r="P761" s="20"/>
      <c r="Q761" s="20"/>
      <c r="R761" s="20"/>
      <c r="S761" s="20"/>
      <c r="T761" s="35"/>
      <c r="U761" s="35"/>
      <c r="V761" s="3"/>
      <c r="W761" s="3"/>
      <c r="X761" s="36"/>
      <c r="Y761" s="3"/>
      <c r="Z761" s="3"/>
      <c r="AA761" s="35"/>
      <c r="AB761" s="35"/>
      <c r="AC761" s="35"/>
      <c r="AD761" s="4"/>
      <c r="AE761" s="4"/>
      <c r="AF761" s="4"/>
      <c r="AG761" s="4"/>
      <c r="AH761" s="4"/>
      <c r="AI761" s="4"/>
      <c r="AJ761" s="4"/>
      <c r="AK761" s="4"/>
      <c r="AL761" s="4"/>
    </row>
    <row r="762" spans="1:38" ht="14.4">
      <c r="A762" s="34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20"/>
      <c r="P762" s="20"/>
      <c r="Q762" s="20"/>
      <c r="R762" s="20"/>
      <c r="S762" s="20"/>
      <c r="T762" s="35"/>
      <c r="U762" s="35"/>
      <c r="V762" s="3"/>
      <c r="W762" s="3"/>
      <c r="X762" s="36"/>
      <c r="Y762" s="3"/>
      <c r="Z762" s="3"/>
      <c r="AA762" s="35"/>
      <c r="AB762" s="35"/>
      <c r="AC762" s="35"/>
      <c r="AD762" s="4"/>
      <c r="AE762" s="4"/>
      <c r="AF762" s="4"/>
      <c r="AG762" s="4"/>
      <c r="AH762" s="4"/>
      <c r="AI762" s="4"/>
      <c r="AJ762" s="4"/>
      <c r="AK762" s="4"/>
      <c r="AL762" s="4"/>
    </row>
    <row r="763" spans="1:38" ht="14.4">
      <c r="A763" s="34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20"/>
      <c r="P763" s="20"/>
      <c r="Q763" s="20"/>
      <c r="R763" s="20"/>
      <c r="S763" s="20"/>
      <c r="T763" s="35"/>
      <c r="U763" s="35"/>
      <c r="V763" s="3"/>
      <c r="W763" s="3"/>
      <c r="X763" s="36"/>
      <c r="Y763" s="3"/>
      <c r="Z763" s="3"/>
      <c r="AA763" s="35"/>
      <c r="AB763" s="35"/>
      <c r="AC763" s="35"/>
      <c r="AD763" s="4"/>
      <c r="AE763" s="4"/>
      <c r="AF763" s="4"/>
      <c r="AG763" s="4"/>
      <c r="AH763" s="4"/>
      <c r="AI763" s="4"/>
      <c r="AJ763" s="4"/>
      <c r="AK763" s="4"/>
      <c r="AL763" s="4"/>
    </row>
    <row r="764" spans="1:38" ht="14.4">
      <c r="A764" s="34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20"/>
      <c r="P764" s="20"/>
      <c r="Q764" s="20"/>
      <c r="R764" s="20"/>
      <c r="S764" s="20"/>
      <c r="T764" s="35"/>
      <c r="U764" s="35"/>
      <c r="V764" s="3"/>
      <c r="W764" s="3"/>
      <c r="X764" s="36"/>
      <c r="Y764" s="3"/>
      <c r="Z764" s="3"/>
      <c r="AA764" s="35"/>
      <c r="AB764" s="35"/>
      <c r="AC764" s="35"/>
      <c r="AD764" s="4"/>
      <c r="AE764" s="4"/>
      <c r="AF764" s="4"/>
      <c r="AG764" s="4"/>
      <c r="AH764" s="4"/>
      <c r="AI764" s="4"/>
      <c r="AJ764" s="4"/>
      <c r="AK764" s="4"/>
      <c r="AL764" s="4"/>
    </row>
    <row r="765" spans="1:38" ht="14.4">
      <c r="A765" s="34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20"/>
      <c r="P765" s="20"/>
      <c r="Q765" s="20"/>
      <c r="R765" s="20"/>
      <c r="S765" s="20"/>
      <c r="T765" s="35"/>
      <c r="U765" s="35"/>
      <c r="V765" s="3"/>
      <c r="W765" s="3"/>
      <c r="X765" s="36"/>
      <c r="Y765" s="3"/>
      <c r="Z765" s="3"/>
      <c r="AA765" s="35"/>
      <c r="AB765" s="35"/>
      <c r="AC765" s="35"/>
      <c r="AD765" s="4"/>
      <c r="AE765" s="4"/>
      <c r="AF765" s="4"/>
      <c r="AG765" s="4"/>
      <c r="AH765" s="4"/>
      <c r="AI765" s="4"/>
      <c r="AJ765" s="4"/>
      <c r="AK765" s="4"/>
      <c r="AL765" s="4"/>
    </row>
    <row r="766" spans="1:38" ht="14.4">
      <c r="A766" s="34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20"/>
      <c r="P766" s="20"/>
      <c r="Q766" s="20"/>
      <c r="R766" s="20"/>
      <c r="S766" s="20"/>
      <c r="T766" s="35"/>
      <c r="U766" s="35"/>
      <c r="V766" s="3"/>
      <c r="W766" s="3"/>
      <c r="X766" s="36"/>
      <c r="Y766" s="3"/>
      <c r="Z766" s="3"/>
      <c r="AA766" s="35"/>
      <c r="AB766" s="35"/>
      <c r="AC766" s="35"/>
      <c r="AD766" s="4"/>
      <c r="AE766" s="4"/>
      <c r="AF766" s="4"/>
      <c r="AG766" s="4"/>
      <c r="AH766" s="4"/>
      <c r="AI766" s="4"/>
      <c r="AJ766" s="4"/>
      <c r="AK766" s="4"/>
      <c r="AL766" s="4"/>
    </row>
    <row r="767" spans="1:38" ht="14.4">
      <c r="A767" s="34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20"/>
      <c r="P767" s="20"/>
      <c r="Q767" s="20"/>
      <c r="R767" s="20"/>
      <c r="S767" s="20"/>
      <c r="T767" s="35"/>
      <c r="U767" s="35"/>
      <c r="V767" s="3"/>
      <c r="W767" s="3"/>
      <c r="X767" s="36"/>
      <c r="Y767" s="3"/>
      <c r="Z767" s="3"/>
      <c r="AA767" s="35"/>
      <c r="AB767" s="35"/>
      <c r="AC767" s="35"/>
      <c r="AD767" s="4"/>
      <c r="AE767" s="4"/>
      <c r="AF767" s="4"/>
      <c r="AG767" s="4"/>
      <c r="AH767" s="4"/>
      <c r="AI767" s="4"/>
      <c r="AJ767" s="4"/>
      <c r="AK767" s="4"/>
      <c r="AL767" s="4"/>
    </row>
    <row r="768" spans="1:38" ht="14.4">
      <c r="A768" s="34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20"/>
      <c r="P768" s="20"/>
      <c r="Q768" s="20"/>
      <c r="R768" s="20"/>
      <c r="S768" s="20"/>
      <c r="T768" s="35"/>
      <c r="U768" s="35"/>
      <c r="V768" s="3"/>
      <c r="W768" s="3"/>
      <c r="X768" s="36"/>
      <c r="Y768" s="3"/>
      <c r="Z768" s="3"/>
      <c r="AA768" s="35"/>
      <c r="AB768" s="35"/>
      <c r="AC768" s="35"/>
      <c r="AD768" s="4"/>
      <c r="AE768" s="4"/>
      <c r="AF768" s="4"/>
      <c r="AG768" s="4"/>
      <c r="AH768" s="4"/>
      <c r="AI768" s="4"/>
      <c r="AJ768" s="4"/>
      <c r="AK768" s="4"/>
      <c r="AL768" s="4"/>
    </row>
    <row r="769" spans="1:38" ht="14.4">
      <c r="A769" s="34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20"/>
      <c r="P769" s="20"/>
      <c r="Q769" s="20"/>
      <c r="R769" s="20"/>
      <c r="S769" s="20"/>
      <c r="T769" s="35"/>
      <c r="U769" s="35"/>
      <c r="V769" s="3"/>
      <c r="W769" s="3"/>
      <c r="X769" s="36"/>
      <c r="Y769" s="3"/>
      <c r="Z769" s="3"/>
      <c r="AA769" s="35"/>
      <c r="AB769" s="35"/>
      <c r="AC769" s="35"/>
      <c r="AD769" s="4"/>
      <c r="AE769" s="4"/>
      <c r="AF769" s="4"/>
      <c r="AG769" s="4"/>
      <c r="AH769" s="4"/>
      <c r="AI769" s="4"/>
      <c r="AJ769" s="4"/>
      <c r="AK769" s="4"/>
      <c r="AL769" s="4"/>
    </row>
    <row r="770" spans="1:38" ht="14.4">
      <c r="A770" s="34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20"/>
      <c r="P770" s="20"/>
      <c r="Q770" s="20"/>
      <c r="R770" s="20"/>
      <c r="S770" s="20"/>
      <c r="T770" s="35"/>
      <c r="U770" s="35"/>
      <c r="V770" s="3"/>
      <c r="W770" s="3"/>
      <c r="X770" s="36"/>
      <c r="Y770" s="3"/>
      <c r="Z770" s="3"/>
      <c r="AA770" s="35"/>
      <c r="AB770" s="35"/>
      <c r="AC770" s="35"/>
      <c r="AD770" s="4"/>
      <c r="AE770" s="4"/>
      <c r="AF770" s="4"/>
      <c r="AG770" s="4"/>
      <c r="AH770" s="4"/>
      <c r="AI770" s="4"/>
      <c r="AJ770" s="4"/>
      <c r="AK770" s="4"/>
      <c r="AL770" s="4"/>
    </row>
    <row r="771" spans="1:38" ht="14.4">
      <c r="A771" s="34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20"/>
      <c r="P771" s="20"/>
      <c r="Q771" s="20"/>
      <c r="R771" s="20"/>
      <c r="S771" s="20"/>
      <c r="T771" s="35"/>
      <c r="U771" s="35"/>
      <c r="V771" s="3"/>
      <c r="W771" s="3"/>
      <c r="X771" s="36"/>
      <c r="Y771" s="3"/>
      <c r="Z771" s="3"/>
      <c r="AA771" s="35"/>
      <c r="AB771" s="35"/>
      <c r="AC771" s="35"/>
      <c r="AD771" s="4"/>
      <c r="AE771" s="4"/>
      <c r="AF771" s="4"/>
      <c r="AG771" s="4"/>
      <c r="AH771" s="4"/>
      <c r="AI771" s="4"/>
      <c r="AJ771" s="4"/>
      <c r="AK771" s="4"/>
      <c r="AL771" s="4"/>
    </row>
    <row r="772" spans="1:38" ht="14.4">
      <c r="A772" s="34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20"/>
      <c r="P772" s="20"/>
      <c r="Q772" s="20"/>
      <c r="R772" s="20"/>
      <c r="S772" s="20"/>
      <c r="T772" s="35"/>
      <c r="U772" s="35"/>
      <c r="V772" s="3"/>
      <c r="W772" s="3"/>
      <c r="X772" s="36"/>
      <c r="Y772" s="3"/>
      <c r="Z772" s="3"/>
      <c r="AA772" s="35"/>
      <c r="AB772" s="35"/>
      <c r="AC772" s="35"/>
      <c r="AD772" s="4"/>
      <c r="AE772" s="4"/>
      <c r="AF772" s="4"/>
      <c r="AG772" s="4"/>
      <c r="AH772" s="4"/>
      <c r="AI772" s="4"/>
      <c r="AJ772" s="4"/>
      <c r="AK772" s="4"/>
      <c r="AL772" s="4"/>
    </row>
    <row r="773" spans="1:38" ht="14.4">
      <c r="A773" s="34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20"/>
      <c r="P773" s="20"/>
      <c r="Q773" s="20"/>
      <c r="R773" s="20"/>
      <c r="S773" s="20"/>
      <c r="T773" s="35"/>
      <c r="U773" s="35"/>
      <c r="V773" s="3"/>
      <c r="W773" s="3"/>
      <c r="X773" s="36"/>
      <c r="Y773" s="3"/>
      <c r="Z773" s="3"/>
      <c r="AA773" s="35"/>
      <c r="AB773" s="35"/>
      <c r="AC773" s="35"/>
      <c r="AD773" s="4"/>
      <c r="AE773" s="4"/>
      <c r="AF773" s="4"/>
      <c r="AG773" s="4"/>
      <c r="AH773" s="4"/>
      <c r="AI773" s="4"/>
      <c r="AJ773" s="4"/>
      <c r="AK773" s="4"/>
      <c r="AL773" s="4"/>
    </row>
    <row r="774" spans="1:38" ht="14.4">
      <c r="A774" s="34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20"/>
      <c r="P774" s="20"/>
      <c r="Q774" s="20"/>
      <c r="R774" s="20"/>
      <c r="S774" s="20"/>
      <c r="T774" s="35"/>
      <c r="U774" s="35"/>
      <c r="V774" s="3"/>
      <c r="W774" s="3"/>
      <c r="X774" s="36"/>
      <c r="Y774" s="3"/>
      <c r="Z774" s="3"/>
      <c r="AA774" s="35"/>
      <c r="AB774" s="35"/>
      <c r="AC774" s="35"/>
      <c r="AD774" s="4"/>
      <c r="AE774" s="4"/>
      <c r="AF774" s="4"/>
      <c r="AG774" s="4"/>
      <c r="AH774" s="4"/>
      <c r="AI774" s="4"/>
      <c r="AJ774" s="4"/>
      <c r="AK774" s="4"/>
      <c r="AL774" s="4"/>
    </row>
    <row r="775" spans="1:38" ht="14.4">
      <c r="A775" s="34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20"/>
      <c r="P775" s="20"/>
      <c r="Q775" s="20"/>
      <c r="R775" s="20"/>
      <c r="S775" s="20"/>
      <c r="T775" s="35"/>
      <c r="U775" s="35"/>
      <c r="V775" s="3"/>
      <c r="W775" s="3"/>
      <c r="X775" s="36"/>
      <c r="Y775" s="3"/>
      <c r="Z775" s="3"/>
      <c r="AA775" s="35"/>
      <c r="AB775" s="35"/>
      <c r="AC775" s="35"/>
      <c r="AD775" s="4"/>
      <c r="AE775" s="4"/>
      <c r="AF775" s="4"/>
      <c r="AG775" s="4"/>
      <c r="AH775" s="4"/>
      <c r="AI775" s="4"/>
      <c r="AJ775" s="4"/>
      <c r="AK775" s="4"/>
      <c r="AL775" s="4"/>
    </row>
    <row r="776" spans="1:38" ht="14.4">
      <c r="A776" s="34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20"/>
      <c r="P776" s="20"/>
      <c r="Q776" s="20"/>
      <c r="R776" s="20"/>
      <c r="S776" s="20"/>
      <c r="T776" s="35"/>
      <c r="U776" s="35"/>
      <c r="V776" s="3"/>
      <c r="W776" s="3"/>
      <c r="X776" s="36"/>
      <c r="Y776" s="3"/>
      <c r="Z776" s="3"/>
      <c r="AA776" s="35"/>
      <c r="AB776" s="35"/>
      <c r="AC776" s="35"/>
      <c r="AD776" s="4"/>
      <c r="AE776" s="4"/>
      <c r="AF776" s="4"/>
      <c r="AG776" s="4"/>
      <c r="AH776" s="4"/>
      <c r="AI776" s="4"/>
      <c r="AJ776" s="4"/>
      <c r="AK776" s="4"/>
      <c r="AL776" s="4"/>
    </row>
    <row r="777" spans="1:38" ht="14.4">
      <c r="A777" s="34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20"/>
      <c r="P777" s="20"/>
      <c r="Q777" s="20"/>
      <c r="R777" s="20"/>
      <c r="S777" s="20"/>
      <c r="T777" s="35"/>
      <c r="U777" s="35"/>
      <c r="V777" s="3"/>
      <c r="W777" s="3"/>
      <c r="X777" s="36"/>
      <c r="Y777" s="3"/>
      <c r="Z777" s="3"/>
      <c r="AA777" s="35"/>
      <c r="AB777" s="35"/>
      <c r="AC777" s="35"/>
      <c r="AD777" s="4"/>
      <c r="AE777" s="4"/>
      <c r="AF777" s="4"/>
      <c r="AG777" s="4"/>
      <c r="AH777" s="4"/>
      <c r="AI777" s="4"/>
      <c r="AJ777" s="4"/>
      <c r="AK777" s="4"/>
      <c r="AL777" s="4"/>
    </row>
    <row r="778" spans="1:38" ht="14.4">
      <c r="A778" s="34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20"/>
      <c r="P778" s="20"/>
      <c r="Q778" s="20"/>
      <c r="R778" s="20"/>
      <c r="S778" s="20"/>
      <c r="T778" s="35"/>
      <c r="U778" s="35"/>
      <c r="V778" s="3"/>
      <c r="W778" s="3"/>
      <c r="X778" s="36"/>
      <c r="Y778" s="3"/>
      <c r="Z778" s="3"/>
      <c r="AA778" s="35"/>
      <c r="AB778" s="35"/>
      <c r="AC778" s="35"/>
      <c r="AD778" s="4"/>
      <c r="AE778" s="4"/>
      <c r="AF778" s="4"/>
      <c r="AG778" s="4"/>
      <c r="AH778" s="4"/>
      <c r="AI778" s="4"/>
      <c r="AJ778" s="4"/>
      <c r="AK778" s="4"/>
      <c r="AL778" s="4"/>
    </row>
    <row r="779" spans="1:38" ht="14.4">
      <c r="A779" s="34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20"/>
      <c r="P779" s="20"/>
      <c r="Q779" s="20"/>
      <c r="R779" s="20"/>
      <c r="S779" s="20"/>
      <c r="T779" s="35"/>
      <c r="U779" s="35"/>
      <c r="V779" s="3"/>
      <c r="W779" s="3"/>
      <c r="X779" s="36"/>
      <c r="Y779" s="3"/>
      <c r="Z779" s="3"/>
      <c r="AA779" s="35"/>
      <c r="AB779" s="35"/>
      <c r="AC779" s="35"/>
      <c r="AD779" s="4"/>
      <c r="AE779" s="4"/>
      <c r="AF779" s="4"/>
      <c r="AG779" s="4"/>
      <c r="AH779" s="4"/>
      <c r="AI779" s="4"/>
      <c r="AJ779" s="4"/>
      <c r="AK779" s="4"/>
      <c r="AL779" s="4"/>
    </row>
    <row r="780" spans="1:38" ht="14.4">
      <c r="A780" s="34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20"/>
      <c r="P780" s="20"/>
      <c r="Q780" s="20"/>
      <c r="R780" s="20"/>
      <c r="S780" s="20"/>
      <c r="T780" s="35"/>
      <c r="U780" s="35"/>
      <c r="V780" s="3"/>
      <c r="W780" s="3"/>
      <c r="X780" s="36"/>
      <c r="Y780" s="3"/>
      <c r="Z780" s="3"/>
      <c r="AA780" s="35"/>
      <c r="AB780" s="35"/>
      <c r="AC780" s="35"/>
      <c r="AD780" s="4"/>
      <c r="AE780" s="4"/>
      <c r="AF780" s="4"/>
      <c r="AG780" s="4"/>
      <c r="AH780" s="4"/>
      <c r="AI780" s="4"/>
      <c r="AJ780" s="4"/>
      <c r="AK780" s="4"/>
      <c r="AL780" s="4"/>
    </row>
    <row r="781" spans="1:38" ht="14.4">
      <c r="A781" s="34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20"/>
      <c r="P781" s="20"/>
      <c r="Q781" s="20"/>
      <c r="R781" s="20"/>
      <c r="S781" s="20"/>
      <c r="T781" s="35"/>
      <c r="U781" s="35"/>
      <c r="V781" s="3"/>
      <c r="W781" s="3"/>
      <c r="X781" s="36"/>
      <c r="Y781" s="3"/>
      <c r="Z781" s="3"/>
      <c r="AA781" s="35"/>
      <c r="AB781" s="35"/>
      <c r="AC781" s="35"/>
      <c r="AD781" s="4"/>
      <c r="AE781" s="4"/>
      <c r="AF781" s="4"/>
      <c r="AG781" s="4"/>
      <c r="AH781" s="4"/>
      <c r="AI781" s="4"/>
      <c r="AJ781" s="4"/>
      <c r="AK781" s="4"/>
      <c r="AL781" s="4"/>
    </row>
    <row r="782" spans="1:38" ht="14.4">
      <c r="A782" s="34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20"/>
      <c r="P782" s="20"/>
      <c r="Q782" s="20"/>
      <c r="R782" s="20"/>
      <c r="S782" s="20"/>
      <c r="T782" s="35"/>
      <c r="U782" s="35"/>
      <c r="V782" s="3"/>
      <c r="W782" s="3"/>
      <c r="X782" s="36"/>
      <c r="Y782" s="3"/>
      <c r="Z782" s="3"/>
      <c r="AA782" s="35"/>
      <c r="AB782" s="35"/>
      <c r="AC782" s="35"/>
      <c r="AD782" s="4"/>
      <c r="AE782" s="4"/>
      <c r="AF782" s="4"/>
      <c r="AG782" s="4"/>
      <c r="AH782" s="4"/>
      <c r="AI782" s="4"/>
      <c r="AJ782" s="4"/>
      <c r="AK782" s="4"/>
      <c r="AL782" s="4"/>
    </row>
    <row r="783" spans="1:38" ht="14.4">
      <c r="A783" s="34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20"/>
      <c r="P783" s="20"/>
      <c r="Q783" s="20"/>
      <c r="R783" s="20"/>
      <c r="S783" s="20"/>
      <c r="T783" s="35"/>
      <c r="U783" s="35"/>
      <c r="V783" s="3"/>
      <c r="W783" s="3"/>
      <c r="X783" s="36"/>
      <c r="Y783" s="3"/>
      <c r="Z783" s="3"/>
      <c r="AA783" s="35"/>
      <c r="AB783" s="35"/>
      <c r="AC783" s="35"/>
      <c r="AD783" s="4"/>
      <c r="AE783" s="4"/>
      <c r="AF783" s="4"/>
      <c r="AG783" s="4"/>
      <c r="AH783" s="4"/>
      <c r="AI783" s="4"/>
      <c r="AJ783" s="4"/>
      <c r="AK783" s="4"/>
      <c r="AL783" s="4"/>
    </row>
    <row r="784" spans="1:38" ht="14.4">
      <c r="A784" s="34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20"/>
      <c r="P784" s="20"/>
      <c r="Q784" s="20"/>
      <c r="R784" s="20"/>
      <c r="S784" s="20"/>
      <c r="T784" s="35"/>
      <c r="U784" s="35"/>
      <c r="V784" s="3"/>
      <c r="W784" s="3"/>
      <c r="X784" s="36"/>
      <c r="Y784" s="3"/>
      <c r="Z784" s="3"/>
      <c r="AA784" s="35"/>
      <c r="AB784" s="35"/>
      <c r="AC784" s="35"/>
      <c r="AD784" s="4"/>
      <c r="AE784" s="4"/>
      <c r="AF784" s="4"/>
      <c r="AG784" s="4"/>
      <c r="AH784" s="4"/>
      <c r="AI784" s="4"/>
      <c r="AJ784" s="4"/>
      <c r="AK784" s="4"/>
      <c r="AL784" s="4"/>
    </row>
    <row r="785" spans="1:38" ht="14.4">
      <c r="A785" s="34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20"/>
      <c r="P785" s="20"/>
      <c r="Q785" s="20"/>
      <c r="R785" s="20"/>
      <c r="S785" s="20"/>
      <c r="T785" s="35"/>
      <c r="U785" s="35"/>
      <c r="V785" s="3"/>
      <c r="W785" s="3"/>
      <c r="X785" s="36"/>
      <c r="Y785" s="3"/>
      <c r="Z785" s="3"/>
      <c r="AA785" s="35"/>
      <c r="AB785" s="35"/>
      <c r="AC785" s="35"/>
      <c r="AD785" s="4"/>
      <c r="AE785" s="4"/>
      <c r="AF785" s="4"/>
      <c r="AG785" s="4"/>
      <c r="AH785" s="4"/>
      <c r="AI785" s="4"/>
      <c r="AJ785" s="4"/>
      <c r="AK785" s="4"/>
      <c r="AL785" s="4"/>
    </row>
    <row r="786" spans="1:38" ht="14.4">
      <c r="A786" s="34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20"/>
      <c r="P786" s="20"/>
      <c r="Q786" s="20"/>
      <c r="R786" s="20"/>
      <c r="S786" s="20"/>
      <c r="T786" s="35"/>
      <c r="U786" s="35"/>
      <c r="V786" s="3"/>
      <c r="W786" s="3"/>
      <c r="X786" s="36"/>
      <c r="Y786" s="3"/>
      <c r="Z786" s="3"/>
      <c r="AA786" s="35"/>
      <c r="AB786" s="35"/>
      <c r="AC786" s="35"/>
      <c r="AD786" s="4"/>
      <c r="AE786" s="4"/>
      <c r="AF786" s="4"/>
      <c r="AG786" s="4"/>
      <c r="AH786" s="4"/>
      <c r="AI786" s="4"/>
      <c r="AJ786" s="4"/>
      <c r="AK786" s="4"/>
      <c r="AL786" s="4"/>
    </row>
    <row r="787" spans="1:38" ht="14.4">
      <c r="A787" s="34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20"/>
      <c r="P787" s="20"/>
      <c r="Q787" s="20"/>
      <c r="R787" s="20"/>
      <c r="S787" s="20"/>
      <c r="T787" s="35"/>
      <c r="U787" s="35"/>
      <c r="V787" s="3"/>
      <c r="W787" s="3"/>
      <c r="X787" s="36"/>
      <c r="Y787" s="3"/>
      <c r="Z787" s="3"/>
      <c r="AA787" s="35"/>
      <c r="AB787" s="35"/>
      <c r="AC787" s="35"/>
      <c r="AD787" s="4"/>
      <c r="AE787" s="4"/>
      <c r="AF787" s="4"/>
      <c r="AG787" s="4"/>
      <c r="AH787" s="4"/>
      <c r="AI787" s="4"/>
      <c r="AJ787" s="4"/>
      <c r="AK787" s="4"/>
      <c r="AL787" s="4"/>
    </row>
    <row r="788" spans="1:38" ht="14.4">
      <c r="A788" s="34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20"/>
      <c r="P788" s="20"/>
      <c r="Q788" s="20"/>
      <c r="R788" s="20"/>
      <c r="S788" s="20"/>
      <c r="T788" s="35"/>
      <c r="U788" s="35"/>
      <c r="V788" s="3"/>
      <c r="W788" s="3"/>
      <c r="X788" s="36"/>
      <c r="Y788" s="3"/>
      <c r="Z788" s="3"/>
      <c r="AA788" s="35"/>
      <c r="AB788" s="35"/>
      <c r="AC788" s="35"/>
      <c r="AD788" s="4"/>
      <c r="AE788" s="4"/>
      <c r="AF788" s="4"/>
      <c r="AG788" s="4"/>
      <c r="AH788" s="4"/>
      <c r="AI788" s="4"/>
      <c r="AJ788" s="4"/>
      <c r="AK788" s="4"/>
      <c r="AL788" s="4"/>
    </row>
    <row r="789" spans="1:38" ht="14.4">
      <c r="A789" s="34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20"/>
      <c r="P789" s="20"/>
      <c r="Q789" s="20"/>
      <c r="R789" s="20"/>
      <c r="S789" s="20"/>
      <c r="T789" s="35"/>
      <c r="U789" s="35"/>
      <c r="V789" s="3"/>
      <c r="W789" s="3"/>
      <c r="X789" s="36"/>
      <c r="Y789" s="3"/>
      <c r="Z789" s="3"/>
      <c r="AA789" s="35"/>
      <c r="AB789" s="35"/>
      <c r="AC789" s="35"/>
      <c r="AD789" s="4"/>
      <c r="AE789" s="4"/>
      <c r="AF789" s="4"/>
      <c r="AG789" s="4"/>
      <c r="AH789" s="4"/>
      <c r="AI789" s="4"/>
      <c r="AJ789" s="4"/>
      <c r="AK789" s="4"/>
      <c r="AL789" s="4"/>
    </row>
    <row r="790" spans="1:38" ht="14.4">
      <c r="A790" s="34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20"/>
      <c r="P790" s="20"/>
      <c r="Q790" s="20"/>
      <c r="R790" s="20"/>
      <c r="S790" s="20"/>
      <c r="T790" s="35"/>
      <c r="U790" s="35"/>
      <c r="V790" s="3"/>
      <c r="W790" s="3"/>
      <c r="X790" s="36"/>
      <c r="Y790" s="3"/>
      <c r="Z790" s="3"/>
      <c r="AA790" s="35"/>
      <c r="AB790" s="35"/>
      <c r="AC790" s="35"/>
      <c r="AD790" s="4"/>
      <c r="AE790" s="4"/>
      <c r="AF790" s="4"/>
      <c r="AG790" s="4"/>
      <c r="AH790" s="4"/>
      <c r="AI790" s="4"/>
      <c r="AJ790" s="4"/>
      <c r="AK790" s="4"/>
      <c r="AL790" s="4"/>
    </row>
    <row r="791" spans="1:38" ht="14.4">
      <c r="A791" s="34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20"/>
      <c r="P791" s="20"/>
      <c r="Q791" s="20"/>
      <c r="R791" s="20"/>
      <c r="S791" s="20"/>
      <c r="T791" s="35"/>
      <c r="U791" s="35"/>
      <c r="V791" s="3"/>
      <c r="W791" s="3"/>
      <c r="X791" s="36"/>
      <c r="Y791" s="3"/>
      <c r="Z791" s="3"/>
      <c r="AA791" s="35"/>
      <c r="AB791" s="35"/>
      <c r="AC791" s="35"/>
      <c r="AD791" s="4"/>
      <c r="AE791" s="4"/>
      <c r="AF791" s="4"/>
      <c r="AG791" s="4"/>
      <c r="AH791" s="4"/>
      <c r="AI791" s="4"/>
      <c r="AJ791" s="4"/>
      <c r="AK791" s="4"/>
      <c r="AL791" s="4"/>
    </row>
    <row r="792" spans="1:38" ht="14.4">
      <c r="A792" s="34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20"/>
      <c r="P792" s="20"/>
      <c r="Q792" s="20"/>
      <c r="R792" s="20"/>
      <c r="S792" s="20"/>
      <c r="T792" s="35"/>
      <c r="U792" s="35"/>
      <c r="V792" s="3"/>
      <c r="W792" s="3"/>
      <c r="X792" s="36"/>
      <c r="Y792" s="3"/>
      <c r="Z792" s="3"/>
      <c r="AA792" s="35"/>
      <c r="AB792" s="35"/>
      <c r="AC792" s="35"/>
      <c r="AD792" s="4"/>
      <c r="AE792" s="4"/>
      <c r="AF792" s="4"/>
      <c r="AG792" s="4"/>
      <c r="AH792" s="4"/>
      <c r="AI792" s="4"/>
      <c r="AJ792" s="4"/>
      <c r="AK792" s="4"/>
      <c r="AL792" s="4"/>
    </row>
    <row r="793" spans="1:38" ht="14.4">
      <c r="A793" s="34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20"/>
      <c r="P793" s="20"/>
      <c r="Q793" s="20"/>
      <c r="R793" s="20"/>
      <c r="S793" s="20"/>
      <c r="T793" s="35"/>
      <c r="U793" s="35"/>
      <c r="V793" s="3"/>
      <c r="W793" s="3"/>
      <c r="X793" s="36"/>
      <c r="Y793" s="3"/>
      <c r="Z793" s="3"/>
      <c r="AA793" s="35"/>
      <c r="AB793" s="35"/>
      <c r="AC793" s="35"/>
      <c r="AD793" s="4"/>
      <c r="AE793" s="4"/>
      <c r="AF793" s="4"/>
      <c r="AG793" s="4"/>
      <c r="AH793" s="4"/>
      <c r="AI793" s="4"/>
      <c r="AJ793" s="4"/>
      <c r="AK793" s="4"/>
      <c r="AL793" s="4"/>
    </row>
    <row r="794" spans="1:38" ht="14.4">
      <c r="A794" s="34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20"/>
      <c r="P794" s="20"/>
      <c r="Q794" s="20"/>
      <c r="R794" s="20"/>
      <c r="S794" s="20"/>
      <c r="T794" s="35"/>
      <c r="U794" s="35"/>
      <c r="V794" s="3"/>
      <c r="W794" s="3"/>
      <c r="X794" s="36"/>
      <c r="Y794" s="3"/>
      <c r="Z794" s="3"/>
      <c r="AA794" s="35"/>
      <c r="AB794" s="35"/>
      <c r="AC794" s="35"/>
      <c r="AD794" s="4"/>
      <c r="AE794" s="4"/>
      <c r="AF794" s="4"/>
      <c r="AG794" s="4"/>
      <c r="AH794" s="4"/>
      <c r="AI794" s="4"/>
      <c r="AJ794" s="4"/>
      <c r="AK794" s="4"/>
      <c r="AL794" s="4"/>
    </row>
    <row r="795" spans="1:38" ht="14.4">
      <c r="A795" s="34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20"/>
      <c r="P795" s="20"/>
      <c r="Q795" s="20"/>
      <c r="R795" s="20"/>
      <c r="S795" s="20"/>
      <c r="T795" s="35"/>
      <c r="U795" s="35"/>
      <c r="V795" s="3"/>
      <c r="W795" s="3"/>
      <c r="X795" s="36"/>
      <c r="Y795" s="3"/>
      <c r="Z795" s="3"/>
      <c r="AA795" s="35"/>
      <c r="AB795" s="35"/>
      <c r="AC795" s="35"/>
      <c r="AD795" s="4"/>
      <c r="AE795" s="4"/>
      <c r="AF795" s="4"/>
      <c r="AG795" s="4"/>
      <c r="AH795" s="4"/>
      <c r="AI795" s="4"/>
      <c r="AJ795" s="4"/>
      <c r="AK795" s="4"/>
      <c r="AL795" s="4"/>
    </row>
    <row r="796" spans="1:38" ht="14.4">
      <c r="A796" s="34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20"/>
      <c r="P796" s="20"/>
      <c r="Q796" s="20"/>
      <c r="R796" s="20"/>
      <c r="S796" s="20"/>
      <c r="T796" s="35"/>
      <c r="U796" s="35"/>
      <c r="V796" s="3"/>
      <c r="W796" s="3"/>
      <c r="X796" s="36"/>
      <c r="Y796" s="3"/>
      <c r="Z796" s="3"/>
      <c r="AA796" s="35"/>
      <c r="AB796" s="35"/>
      <c r="AC796" s="35"/>
      <c r="AD796" s="4"/>
      <c r="AE796" s="4"/>
      <c r="AF796" s="4"/>
      <c r="AG796" s="4"/>
      <c r="AH796" s="4"/>
      <c r="AI796" s="4"/>
      <c r="AJ796" s="4"/>
      <c r="AK796" s="4"/>
      <c r="AL796" s="4"/>
    </row>
    <row r="797" spans="1:38" ht="14.4">
      <c r="A797" s="34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20"/>
      <c r="P797" s="20"/>
      <c r="Q797" s="20"/>
      <c r="R797" s="20"/>
      <c r="S797" s="20"/>
      <c r="T797" s="35"/>
      <c r="U797" s="35"/>
      <c r="V797" s="3"/>
      <c r="W797" s="3"/>
      <c r="X797" s="36"/>
      <c r="Y797" s="3"/>
      <c r="Z797" s="3"/>
      <c r="AA797" s="35"/>
      <c r="AB797" s="35"/>
      <c r="AC797" s="35"/>
      <c r="AD797" s="4"/>
      <c r="AE797" s="4"/>
      <c r="AF797" s="4"/>
      <c r="AG797" s="4"/>
      <c r="AH797" s="4"/>
      <c r="AI797" s="4"/>
      <c r="AJ797" s="4"/>
      <c r="AK797" s="4"/>
      <c r="AL797" s="4"/>
    </row>
    <row r="798" spans="1:38" ht="14.4">
      <c r="A798" s="34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20"/>
      <c r="P798" s="20"/>
      <c r="Q798" s="20"/>
      <c r="R798" s="20"/>
      <c r="S798" s="20"/>
      <c r="T798" s="35"/>
      <c r="U798" s="35"/>
      <c r="V798" s="3"/>
      <c r="W798" s="3"/>
      <c r="X798" s="36"/>
      <c r="Y798" s="3"/>
      <c r="Z798" s="3"/>
      <c r="AA798" s="35"/>
      <c r="AB798" s="35"/>
      <c r="AC798" s="35"/>
      <c r="AD798" s="4"/>
      <c r="AE798" s="4"/>
      <c r="AF798" s="4"/>
      <c r="AG798" s="4"/>
      <c r="AH798" s="4"/>
      <c r="AI798" s="4"/>
      <c r="AJ798" s="4"/>
      <c r="AK798" s="4"/>
      <c r="AL798" s="4"/>
    </row>
    <row r="799" spans="1:38" ht="14.4">
      <c r="A799" s="34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20"/>
      <c r="P799" s="20"/>
      <c r="Q799" s="20"/>
      <c r="R799" s="20"/>
      <c r="S799" s="20"/>
      <c r="T799" s="35"/>
      <c r="U799" s="35"/>
      <c r="V799" s="3"/>
      <c r="W799" s="3"/>
      <c r="X799" s="36"/>
      <c r="Y799" s="3"/>
      <c r="Z799" s="3"/>
      <c r="AA799" s="35"/>
      <c r="AB799" s="35"/>
      <c r="AC799" s="35"/>
      <c r="AD799" s="4"/>
      <c r="AE799" s="4"/>
      <c r="AF799" s="4"/>
      <c r="AG799" s="4"/>
      <c r="AH799" s="4"/>
      <c r="AI799" s="4"/>
      <c r="AJ799" s="4"/>
      <c r="AK799" s="4"/>
      <c r="AL799" s="4"/>
    </row>
    <row r="800" spans="1:38" ht="14.4">
      <c r="A800" s="34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20"/>
      <c r="P800" s="20"/>
      <c r="Q800" s="20"/>
      <c r="R800" s="20"/>
      <c r="S800" s="20"/>
      <c r="T800" s="35"/>
      <c r="U800" s="35"/>
      <c r="V800" s="3"/>
      <c r="W800" s="3"/>
      <c r="X800" s="36"/>
      <c r="Y800" s="3"/>
      <c r="Z800" s="3"/>
      <c r="AA800" s="35"/>
      <c r="AB800" s="35"/>
      <c r="AC800" s="35"/>
      <c r="AD800" s="4"/>
      <c r="AE800" s="4"/>
      <c r="AF800" s="4"/>
      <c r="AG800" s="4"/>
      <c r="AH800" s="4"/>
      <c r="AI800" s="4"/>
      <c r="AJ800" s="4"/>
      <c r="AK800" s="4"/>
      <c r="AL800" s="4"/>
    </row>
    <row r="801" spans="1:38" ht="14.4">
      <c r="A801" s="34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20"/>
      <c r="P801" s="20"/>
      <c r="Q801" s="20"/>
      <c r="R801" s="20"/>
      <c r="S801" s="20"/>
      <c r="T801" s="35"/>
      <c r="U801" s="35"/>
      <c r="V801" s="3"/>
      <c r="W801" s="3"/>
      <c r="X801" s="36"/>
      <c r="Y801" s="3"/>
      <c r="Z801" s="3"/>
      <c r="AA801" s="35"/>
      <c r="AB801" s="35"/>
      <c r="AC801" s="35"/>
      <c r="AD801" s="4"/>
      <c r="AE801" s="4"/>
      <c r="AF801" s="4"/>
      <c r="AG801" s="4"/>
      <c r="AH801" s="4"/>
      <c r="AI801" s="4"/>
      <c r="AJ801" s="4"/>
      <c r="AK801" s="4"/>
      <c r="AL801" s="4"/>
    </row>
    <row r="802" spans="1:38" ht="14.4">
      <c r="A802" s="34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20"/>
      <c r="P802" s="20"/>
      <c r="Q802" s="20"/>
      <c r="R802" s="20"/>
      <c r="S802" s="20"/>
      <c r="T802" s="35"/>
      <c r="U802" s="35"/>
      <c r="V802" s="3"/>
      <c r="W802" s="3"/>
      <c r="X802" s="36"/>
      <c r="Y802" s="3"/>
      <c r="Z802" s="3"/>
      <c r="AA802" s="35"/>
      <c r="AB802" s="35"/>
      <c r="AC802" s="35"/>
      <c r="AD802" s="4"/>
      <c r="AE802" s="4"/>
      <c r="AF802" s="4"/>
      <c r="AG802" s="4"/>
      <c r="AH802" s="4"/>
      <c r="AI802" s="4"/>
      <c r="AJ802" s="4"/>
      <c r="AK802" s="4"/>
      <c r="AL802" s="4"/>
    </row>
    <row r="803" spans="1:38" ht="14.4">
      <c r="A803" s="34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20"/>
      <c r="P803" s="20"/>
      <c r="Q803" s="20"/>
      <c r="R803" s="20"/>
      <c r="S803" s="20"/>
      <c r="T803" s="35"/>
      <c r="U803" s="35"/>
      <c r="V803" s="3"/>
      <c r="W803" s="3"/>
      <c r="X803" s="36"/>
      <c r="Y803" s="3"/>
      <c r="Z803" s="3"/>
      <c r="AA803" s="35"/>
      <c r="AB803" s="35"/>
      <c r="AC803" s="35"/>
      <c r="AD803" s="4"/>
      <c r="AE803" s="4"/>
      <c r="AF803" s="4"/>
      <c r="AG803" s="4"/>
      <c r="AH803" s="4"/>
      <c r="AI803" s="4"/>
      <c r="AJ803" s="4"/>
      <c r="AK803" s="4"/>
      <c r="AL803" s="4"/>
    </row>
    <row r="804" spans="1:38" ht="14.4">
      <c r="A804" s="34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20"/>
      <c r="P804" s="20"/>
      <c r="Q804" s="20"/>
      <c r="R804" s="20"/>
      <c r="S804" s="20"/>
      <c r="T804" s="35"/>
      <c r="U804" s="35"/>
      <c r="V804" s="3"/>
      <c r="W804" s="3"/>
      <c r="X804" s="36"/>
      <c r="Y804" s="3"/>
      <c r="Z804" s="3"/>
      <c r="AA804" s="35"/>
      <c r="AB804" s="35"/>
      <c r="AC804" s="35"/>
      <c r="AD804" s="4"/>
      <c r="AE804" s="4"/>
      <c r="AF804" s="4"/>
      <c r="AG804" s="4"/>
      <c r="AH804" s="4"/>
      <c r="AI804" s="4"/>
      <c r="AJ804" s="4"/>
      <c r="AK804" s="4"/>
      <c r="AL804" s="4"/>
    </row>
    <row r="805" spans="1:38" ht="14.4">
      <c r="A805" s="34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20"/>
      <c r="P805" s="20"/>
      <c r="Q805" s="20"/>
      <c r="R805" s="20"/>
      <c r="S805" s="20"/>
      <c r="T805" s="35"/>
      <c r="U805" s="35"/>
      <c r="V805" s="3"/>
      <c r="W805" s="3"/>
      <c r="X805" s="36"/>
      <c r="Y805" s="3"/>
      <c r="Z805" s="3"/>
      <c r="AA805" s="35"/>
      <c r="AB805" s="35"/>
      <c r="AC805" s="35"/>
      <c r="AD805" s="4"/>
      <c r="AE805" s="4"/>
      <c r="AF805" s="4"/>
      <c r="AG805" s="4"/>
      <c r="AH805" s="4"/>
      <c r="AI805" s="4"/>
      <c r="AJ805" s="4"/>
      <c r="AK805" s="4"/>
      <c r="AL805" s="4"/>
    </row>
    <row r="806" spans="1:38" ht="14.4">
      <c r="A806" s="34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20"/>
      <c r="P806" s="20"/>
      <c r="Q806" s="20"/>
      <c r="R806" s="20"/>
      <c r="S806" s="20"/>
      <c r="T806" s="35"/>
      <c r="U806" s="35"/>
      <c r="V806" s="3"/>
      <c r="W806" s="3"/>
      <c r="X806" s="36"/>
      <c r="Y806" s="3"/>
      <c r="Z806" s="3"/>
      <c r="AA806" s="35"/>
      <c r="AB806" s="35"/>
      <c r="AC806" s="35"/>
      <c r="AD806" s="4"/>
      <c r="AE806" s="4"/>
      <c r="AF806" s="4"/>
      <c r="AG806" s="4"/>
      <c r="AH806" s="4"/>
      <c r="AI806" s="4"/>
      <c r="AJ806" s="4"/>
      <c r="AK806" s="4"/>
      <c r="AL806" s="4"/>
    </row>
    <row r="807" spans="1:38" ht="14.4">
      <c r="A807" s="34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20"/>
      <c r="P807" s="20"/>
      <c r="Q807" s="20"/>
      <c r="R807" s="20"/>
      <c r="S807" s="20"/>
      <c r="T807" s="35"/>
      <c r="U807" s="35"/>
      <c r="V807" s="3"/>
      <c r="W807" s="3"/>
      <c r="X807" s="36"/>
      <c r="Y807" s="3"/>
      <c r="Z807" s="3"/>
      <c r="AA807" s="35"/>
      <c r="AB807" s="35"/>
      <c r="AC807" s="35"/>
      <c r="AD807" s="4"/>
      <c r="AE807" s="4"/>
      <c r="AF807" s="4"/>
      <c r="AG807" s="4"/>
      <c r="AH807" s="4"/>
      <c r="AI807" s="4"/>
      <c r="AJ807" s="4"/>
      <c r="AK807" s="4"/>
      <c r="AL807" s="4"/>
    </row>
    <row r="808" spans="1:38" ht="14.4">
      <c r="A808" s="34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20"/>
      <c r="P808" s="20"/>
      <c r="Q808" s="20"/>
      <c r="R808" s="20"/>
      <c r="S808" s="20"/>
      <c r="T808" s="35"/>
      <c r="U808" s="35"/>
      <c r="V808" s="3"/>
      <c r="W808" s="3"/>
      <c r="X808" s="36"/>
      <c r="Y808" s="3"/>
      <c r="Z808" s="3"/>
      <c r="AA808" s="35"/>
      <c r="AB808" s="35"/>
      <c r="AC808" s="35"/>
      <c r="AD808" s="4"/>
      <c r="AE808" s="4"/>
      <c r="AF808" s="4"/>
      <c r="AG808" s="4"/>
      <c r="AH808" s="4"/>
      <c r="AI808" s="4"/>
      <c r="AJ808" s="4"/>
      <c r="AK808" s="4"/>
      <c r="AL808" s="4"/>
    </row>
    <row r="809" spans="1:38" ht="14.4">
      <c r="A809" s="34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20"/>
      <c r="P809" s="20"/>
      <c r="Q809" s="20"/>
      <c r="R809" s="20"/>
      <c r="S809" s="20"/>
      <c r="T809" s="35"/>
      <c r="U809" s="35"/>
      <c r="V809" s="3"/>
      <c r="W809" s="3"/>
      <c r="X809" s="36"/>
      <c r="Y809" s="3"/>
      <c r="Z809" s="3"/>
      <c r="AA809" s="35"/>
      <c r="AB809" s="35"/>
      <c r="AC809" s="35"/>
      <c r="AD809" s="4"/>
      <c r="AE809" s="4"/>
      <c r="AF809" s="4"/>
      <c r="AG809" s="4"/>
      <c r="AH809" s="4"/>
      <c r="AI809" s="4"/>
      <c r="AJ809" s="4"/>
      <c r="AK809" s="4"/>
      <c r="AL809" s="4"/>
    </row>
    <row r="810" spans="1:38" ht="14.4">
      <c r="A810" s="34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20"/>
      <c r="P810" s="20"/>
      <c r="Q810" s="20"/>
      <c r="R810" s="20"/>
      <c r="S810" s="20"/>
      <c r="T810" s="35"/>
      <c r="U810" s="35"/>
      <c r="V810" s="3"/>
      <c r="W810" s="3"/>
      <c r="X810" s="36"/>
      <c r="Y810" s="3"/>
      <c r="Z810" s="3"/>
      <c r="AA810" s="35"/>
      <c r="AB810" s="35"/>
      <c r="AC810" s="35"/>
      <c r="AD810" s="4"/>
      <c r="AE810" s="4"/>
      <c r="AF810" s="4"/>
      <c r="AG810" s="4"/>
      <c r="AH810" s="4"/>
      <c r="AI810" s="4"/>
      <c r="AJ810" s="4"/>
      <c r="AK810" s="4"/>
      <c r="AL810" s="4"/>
    </row>
    <row r="811" spans="1:38" ht="14.4">
      <c r="A811" s="34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20"/>
      <c r="P811" s="20"/>
      <c r="Q811" s="20"/>
      <c r="R811" s="20"/>
      <c r="S811" s="20"/>
      <c r="T811" s="35"/>
      <c r="U811" s="35"/>
      <c r="V811" s="3"/>
      <c r="W811" s="3"/>
      <c r="X811" s="36"/>
      <c r="Y811" s="3"/>
      <c r="Z811" s="3"/>
      <c r="AA811" s="35"/>
      <c r="AB811" s="35"/>
      <c r="AC811" s="35"/>
      <c r="AD811" s="4"/>
      <c r="AE811" s="4"/>
      <c r="AF811" s="4"/>
      <c r="AG811" s="4"/>
      <c r="AH811" s="4"/>
      <c r="AI811" s="4"/>
      <c r="AJ811" s="4"/>
      <c r="AK811" s="4"/>
      <c r="AL811" s="4"/>
    </row>
    <row r="812" spans="1:38" ht="14.4">
      <c r="A812" s="34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20"/>
      <c r="P812" s="20"/>
      <c r="Q812" s="20"/>
      <c r="R812" s="20"/>
      <c r="S812" s="20"/>
      <c r="T812" s="35"/>
      <c r="U812" s="35"/>
      <c r="V812" s="3"/>
      <c r="W812" s="3"/>
      <c r="X812" s="36"/>
      <c r="Y812" s="3"/>
      <c r="Z812" s="3"/>
      <c r="AA812" s="35"/>
      <c r="AB812" s="35"/>
      <c r="AC812" s="35"/>
      <c r="AD812" s="4"/>
      <c r="AE812" s="4"/>
      <c r="AF812" s="4"/>
      <c r="AG812" s="4"/>
      <c r="AH812" s="4"/>
      <c r="AI812" s="4"/>
      <c r="AJ812" s="4"/>
      <c r="AK812" s="4"/>
      <c r="AL812" s="4"/>
    </row>
    <row r="813" spans="1:38" ht="14.4">
      <c r="A813" s="34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20"/>
      <c r="P813" s="20"/>
      <c r="Q813" s="20"/>
      <c r="R813" s="20"/>
      <c r="S813" s="20"/>
      <c r="T813" s="35"/>
      <c r="U813" s="35"/>
      <c r="V813" s="3"/>
      <c r="W813" s="3"/>
      <c r="X813" s="36"/>
      <c r="Y813" s="3"/>
      <c r="Z813" s="3"/>
      <c r="AA813" s="35"/>
      <c r="AB813" s="35"/>
      <c r="AC813" s="35"/>
      <c r="AD813" s="4"/>
      <c r="AE813" s="4"/>
      <c r="AF813" s="4"/>
      <c r="AG813" s="4"/>
      <c r="AH813" s="4"/>
      <c r="AI813" s="4"/>
      <c r="AJ813" s="4"/>
      <c r="AK813" s="4"/>
      <c r="AL813" s="4"/>
    </row>
    <row r="814" spans="1:38" ht="14.4">
      <c r="A814" s="34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20"/>
      <c r="P814" s="20"/>
      <c r="Q814" s="20"/>
      <c r="R814" s="20"/>
      <c r="S814" s="20"/>
      <c r="T814" s="35"/>
      <c r="U814" s="35"/>
      <c r="V814" s="3"/>
      <c r="W814" s="3"/>
      <c r="X814" s="36"/>
      <c r="Y814" s="3"/>
      <c r="Z814" s="3"/>
      <c r="AA814" s="35"/>
      <c r="AB814" s="35"/>
      <c r="AC814" s="35"/>
      <c r="AD814" s="4"/>
      <c r="AE814" s="4"/>
      <c r="AF814" s="4"/>
      <c r="AG814" s="4"/>
      <c r="AH814" s="4"/>
      <c r="AI814" s="4"/>
      <c r="AJ814" s="4"/>
      <c r="AK814" s="4"/>
      <c r="AL814" s="4"/>
    </row>
    <row r="815" spans="1:38" ht="14.4">
      <c r="A815" s="34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20"/>
      <c r="P815" s="20"/>
      <c r="Q815" s="20"/>
      <c r="R815" s="20"/>
      <c r="S815" s="20"/>
      <c r="T815" s="35"/>
      <c r="U815" s="35"/>
      <c r="V815" s="3"/>
      <c r="W815" s="3"/>
      <c r="X815" s="36"/>
      <c r="Y815" s="3"/>
      <c r="Z815" s="3"/>
      <c r="AA815" s="35"/>
      <c r="AB815" s="35"/>
      <c r="AC815" s="35"/>
      <c r="AD815" s="4"/>
      <c r="AE815" s="4"/>
      <c r="AF815" s="4"/>
      <c r="AG815" s="4"/>
      <c r="AH815" s="4"/>
      <c r="AI815" s="4"/>
      <c r="AJ815" s="4"/>
      <c r="AK815" s="4"/>
      <c r="AL815" s="4"/>
    </row>
    <row r="816" spans="1:38" ht="14.4">
      <c r="A816" s="34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20"/>
      <c r="P816" s="20"/>
      <c r="Q816" s="20"/>
      <c r="R816" s="20"/>
      <c r="S816" s="20"/>
      <c r="T816" s="35"/>
      <c r="U816" s="35"/>
      <c r="V816" s="3"/>
      <c r="W816" s="3"/>
      <c r="X816" s="36"/>
      <c r="Y816" s="3"/>
      <c r="Z816" s="3"/>
      <c r="AA816" s="35"/>
      <c r="AB816" s="35"/>
      <c r="AC816" s="35"/>
      <c r="AD816" s="4"/>
      <c r="AE816" s="4"/>
      <c r="AF816" s="4"/>
      <c r="AG816" s="4"/>
      <c r="AH816" s="4"/>
      <c r="AI816" s="4"/>
      <c r="AJ816" s="4"/>
      <c r="AK816" s="4"/>
      <c r="AL816" s="4"/>
    </row>
    <row r="817" spans="1:38" ht="14.4">
      <c r="A817" s="34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20"/>
      <c r="P817" s="20"/>
      <c r="Q817" s="20"/>
      <c r="R817" s="20"/>
      <c r="S817" s="20"/>
      <c r="T817" s="35"/>
      <c r="U817" s="35"/>
      <c r="V817" s="3"/>
      <c r="W817" s="3"/>
      <c r="X817" s="36"/>
      <c r="Y817" s="3"/>
      <c r="Z817" s="3"/>
      <c r="AA817" s="35"/>
      <c r="AB817" s="35"/>
      <c r="AC817" s="35"/>
      <c r="AD817" s="4"/>
      <c r="AE817" s="4"/>
      <c r="AF817" s="4"/>
      <c r="AG817" s="4"/>
      <c r="AH817" s="4"/>
      <c r="AI817" s="4"/>
      <c r="AJ817" s="4"/>
      <c r="AK817" s="4"/>
      <c r="AL817" s="4"/>
    </row>
    <row r="818" spans="1:38" ht="14.4">
      <c r="A818" s="34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20"/>
      <c r="P818" s="20"/>
      <c r="Q818" s="20"/>
      <c r="R818" s="20"/>
      <c r="S818" s="20"/>
      <c r="T818" s="35"/>
      <c r="U818" s="35"/>
      <c r="V818" s="3"/>
      <c r="W818" s="3"/>
      <c r="X818" s="36"/>
      <c r="Y818" s="3"/>
      <c r="Z818" s="3"/>
      <c r="AA818" s="35"/>
      <c r="AB818" s="35"/>
      <c r="AC818" s="35"/>
      <c r="AD818" s="4"/>
      <c r="AE818" s="4"/>
      <c r="AF818" s="4"/>
      <c r="AG818" s="4"/>
      <c r="AH818" s="4"/>
      <c r="AI818" s="4"/>
      <c r="AJ818" s="4"/>
      <c r="AK818" s="4"/>
      <c r="AL818" s="4"/>
    </row>
    <row r="819" spans="1:38" ht="14.4">
      <c r="A819" s="34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20"/>
      <c r="P819" s="20"/>
      <c r="Q819" s="20"/>
      <c r="R819" s="20"/>
      <c r="S819" s="20"/>
      <c r="T819" s="35"/>
      <c r="U819" s="35"/>
      <c r="V819" s="3"/>
      <c r="W819" s="3"/>
      <c r="X819" s="36"/>
      <c r="Y819" s="3"/>
      <c r="Z819" s="3"/>
      <c r="AA819" s="35"/>
      <c r="AB819" s="35"/>
      <c r="AC819" s="35"/>
      <c r="AD819" s="4"/>
      <c r="AE819" s="4"/>
      <c r="AF819" s="4"/>
      <c r="AG819" s="4"/>
      <c r="AH819" s="4"/>
      <c r="AI819" s="4"/>
      <c r="AJ819" s="4"/>
      <c r="AK819" s="4"/>
      <c r="AL819" s="4"/>
    </row>
    <row r="820" spans="1:38" ht="14.4">
      <c r="A820" s="34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20"/>
      <c r="P820" s="20"/>
      <c r="Q820" s="20"/>
      <c r="R820" s="20"/>
      <c r="S820" s="20"/>
      <c r="T820" s="35"/>
      <c r="U820" s="35"/>
      <c r="V820" s="3"/>
      <c r="W820" s="3"/>
      <c r="X820" s="36"/>
      <c r="Y820" s="3"/>
      <c r="Z820" s="3"/>
      <c r="AA820" s="35"/>
      <c r="AB820" s="35"/>
      <c r="AC820" s="35"/>
      <c r="AD820" s="4"/>
      <c r="AE820" s="4"/>
      <c r="AF820" s="4"/>
      <c r="AG820" s="4"/>
      <c r="AH820" s="4"/>
      <c r="AI820" s="4"/>
      <c r="AJ820" s="4"/>
      <c r="AK820" s="4"/>
      <c r="AL820" s="4"/>
    </row>
    <row r="821" spans="1:38" ht="14.4">
      <c r="A821" s="34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20"/>
      <c r="P821" s="20"/>
      <c r="Q821" s="20"/>
      <c r="R821" s="20"/>
      <c r="S821" s="20"/>
      <c r="T821" s="35"/>
      <c r="U821" s="35"/>
      <c r="V821" s="3"/>
      <c r="W821" s="3"/>
      <c r="X821" s="36"/>
      <c r="Y821" s="3"/>
      <c r="Z821" s="3"/>
      <c r="AA821" s="35"/>
      <c r="AB821" s="35"/>
      <c r="AC821" s="35"/>
      <c r="AD821" s="4"/>
      <c r="AE821" s="4"/>
      <c r="AF821" s="4"/>
      <c r="AG821" s="4"/>
      <c r="AH821" s="4"/>
      <c r="AI821" s="4"/>
      <c r="AJ821" s="4"/>
      <c r="AK821" s="4"/>
      <c r="AL821" s="4"/>
    </row>
    <row r="822" spans="1:38" ht="14.4">
      <c r="A822" s="34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20"/>
      <c r="P822" s="20"/>
      <c r="Q822" s="20"/>
      <c r="R822" s="20"/>
      <c r="S822" s="20"/>
      <c r="T822" s="35"/>
      <c r="U822" s="35"/>
      <c r="V822" s="3"/>
      <c r="W822" s="3"/>
      <c r="X822" s="36"/>
      <c r="Y822" s="3"/>
      <c r="Z822" s="3"/>
      <c r="AA822" s="35"/>
      <c r="AB822" s="35"/>
      <c r="AC822" s="35"/>
      <c r="AD822" s="4"/>
      <c r="AE822" s="4"/>
      <c r="AF822" s="4"/>
      <c r="AG822" s="4"/>
      <c r="AH822" s="4"/>
      <c r="AI822" s="4"/>
      <c r="AJ822" s="4"/>
      <c r="AK822" s="4"/>
      <c r="AL822" s="4"/>
    </row>
    <row r="823" spans="1:38" ht="14.4">
      <c r="A823" s="34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20"/>
      <c r="P823" s="20"/>
      <c r="Q823" s="20"/>
      <c r="R823" s="20"/>
      <c r="S823" s="20"/>
      <c r="T823" s="35"/>
      <c r="U823" s="35"/>
      <c r="V823" s="3"/>
      <c r="W823" s="3"/>
      <c r="X823" s="36"/>
      <c r="Y823" s="3"/>
      <c r="Z823" s="3"/>
      <c r="AA823" s="35"/>
      <c r="AB823" s="35"/>
      <c r="AC823" s="35"/>
      <c r="AD823" s="4"/>
      <c r="AE823" s="4"/>
      <c r="AF823" s="4"/>
      <c r="AG823" s="4"/>
      <c r="AH823" s="4"/>
      <c r="AI823" s="4"/>
      <c r="AJ823" s="4"/>
      <c r="AK823" s="4"/>
      <c r="AL823" s="4"/>
    </row>
    <row r="824" spans="1:38" ht="14.4">
      <c r="A824" s="34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20"/>
      <c r="P824" s="20"/>
      <c r="Q824" s="20"/>
      <c r="R824" s="20"/>
      <c r="S824" s="20"/>
      <c r="T824" s="35"/>
      <c r="U824" s="35"/>
      <c r="V824" s="3"/>
      <c r="W824" s="3"/>
      <c r="X824" s="36"/>
      <c r="Y824" s="3"/>
      <c r="Z824" s="3"/>
      <c r="AA824" s="35"/>
      <c r="AB824" s="35"/>
      <c r="AC824" s="35"/>
      <c r="AD824" s="4"/>
      <c r="AE824" s="4"/>
      <c r="AF824" s="4"/>
      <c r="AG824" s="4"/>
      <c r="AH824" s="4"/>
      <c r="AI824" s="4"/>
      <c r="AJ824" s="4"/>
      <c r="AK824" s="4"/>
      <c r="AL824" s="4"/>
    </row>
    <row r="825" spans="1:38" ht="14.4">
      <c r="A825" s="34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20"/>
      <c r="P825" s="20"/>
      <c r="Q825" s="20"/>
      <c r="R825" s="20"/>
      <c r="S825" s="20"/>
      <c r="T825" s="35"/>
      <c r="U825" s="35"/>
      <c r="V825" s="3"/>
      <c r="W825" s="3"/>
      <c r="X825" s="36"/>
      <c r="Y825" s="3"/>
      <c r="Z825" s="3"/>
      <c r="AA825" s="35"/>
      <c r="AB825" s="35"/>
      <c r="AC825" s="35"/>
      <c r="AD825" s="4"/>
      <c r="AE825" s="4"/>
      <c r="AF825" s="4"/>
      <c r="AG825" s="4"/>
      <c r="AH825" s="4"/>
      <c r="AI825" s="4"/>
      <c r="AJ825" s="4"/>
      <c r="AK825" s="4"/>
      <c r="AL825" s="4"/>
    </row>
    <row r="826" spans="1:38" ht="14.4">
      <c r="A826" s="34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20"/>
      <c r="P826" s="20"/>
      <c r="Q826" s="20"/>
      <c r="R826" s="20"/>
      <c r="S826" s="20"/>
      <c r="T826" s="35"/>
      <c r="U826" s="35"/>
      <c r="V826" s="3"/>
      <c r="W826" s="3"/>
      <c r="X826" s="36"/>
      <c r="Y826" s="3"/>
      <c r="Z826" s="3"/>
      <c r="AA826" s="35"/>
      <c r="AB826" s="35"/>
      <c r="AC826" s="35"/>
      <c r="AD826" s="4"/>
      <c r="AE826" s="4"/>
      <c r="AF826" s="4"/>
      <c r="AG826" s="4"/>
      <c r="AH826" s="4"/>
      <c r="AI826" s="4"/>
      <c r="AJ826" s="4"/>
      <c r="AK826" s="4"/>
      <c r="AL826" s="4"/>
    </row>
    <row r="827" spans="1:38" ht="14.4">
      <c r="A827" s="34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20"/>
      <c r="P827" s="20"/>
      <c r="Q827" s="20"/>
      <c r="R827" s="20"/>
      <c r="S827" s="20"/>
      <c r="T827" s="35"/>
      <c r="U827" s="35"/>
      <c r="V827" s="3"/>
      <c r="W827" s="3"/>
      <c r="X827" s="36"/>
      <c r="Y827" s="3"/>
      <c r="Z827" s="3"/>
      <c r="AA827" s="35"/>
      <c r="AB827" s="35"/>
      <c r="AC827" s="35"/>
      <c r="AD827" s="4"/>
      <c r="AE827" s="4"/>
      <c r="AF827" s="4"/>
      <c r="AG827" s="4"/>
      <c r="AH827" s="4"/>
      <c r="AI827" s="4"/>
      <c r="AJ827" s="4"/>
      <c r="AK827" s="4"/>
      <c r="AL827" s="4"/>
    </row>
    <row r="828" spans="1:38" ht="14.4">
      <c r="A828" s="34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20"/>
      <c r="P828" s="20"/>
      <c r="Q828" s="20"/>
      <c r="R828" s="20"/>
      <c r="S828" s="20"/>
      <c r="T828" s="35"/>
      <c r="U828" s="35"/>
      <c r="V828" s="3"/>
      <c r="W828" s="3"/>
      <c r="X828" s="36"/>
      <c r="Y828" s="3"/>
      <c r="Z828" s="3"/>
      <c r="AA828" s="35"/>
      <c r="AB828" s="35"/>
      <c r="AC828" s="35"/>
      <c r="AD828" s="4"/>
      <c r="AE828" s="4"/>
      <c r="AF828" s="4"/>
      <c r="AG828" s="4"/>
      <c r="AH828" s="4"/>
      <c r="AI828" s="4"/>
      <c r="AJ828" s="4"/>
      <c r="AK828" s="4"/>
      <c r="AL828" s="4"/>
    </row>
    <row r="829" spans="1:38" ht="14.4">
      <c r="A829" s="34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20"/>
      <c r="P829" s="20"/>
      <c r="Q829" s="20"/>
      <c r="R829" s="20"/>
      <c r="S829" s="20"/>
      <c r="T829" s="35"/>
      <c r="U829" s="35"/>
      <c r="V829" s="3"/>
      <c r="W829" s="3"/>
      <c r="X829" s="36"/>
      <c r="Y829" s="3"/>
      <c r="Z829" s="3"/>
      <c r="AA829" s="35"/>
      <c r="AB829" s="35"/>
      <c r="AC829" s="35"/>
      <c r="AD829" s="4"/>
      <c r="AE829" s="4"/>
      <c r="AF829" s="4"/>
      <c r="AG829" s="4"/>
      <c r="AH829" s="4"/>
      <c r="AI829" s="4"/>
      <c r="AJ829" s="4"/>
      <c r="AK829" s="4"/>
      <c r="AL829" s="4"/>
    </row>
    <row r="830" spans="1:38" ht="14.4">
      <c r="A830" s="34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20"/>
      <c r="P830" s="20"/>
      <c r="Q830" s="20"/>
      <c r="R830" s="20"/>
      <c r="S830" s="20"/>
      <c r="T830" s="35"/>
      <c r="U830" s="35"/>
      <c r="V830" s="3"/>
      <c r="W830" s="3"/>
      <c r="X830" s="36"/>
      <c r="Y830" s="3"/>
      <c r="Z830" s="3"/>
      <c r="AA830" s="35"/>
      <c r="AB830" s="35"/>
      <c r="AC830" s="35"/>
      <c r="AD830" s="4"/>
      <c r="AE830" s="4"/>
      <c r="AF830" s="4"/>
      <c r="AG830" s="4"/>
      <c r="AH830" s="4"/>
      <c r="AI830" s="4"/>
      <c r="AJ830" s="4"/>
      <c r="AK830" s="4"/>
      <c r="AL830" s="4"/>
    </row>
    <row r="831" spans="1:38" ht="14.4">
      <c r="A831" s="34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20"/>
      <c r="P831" s="20"/>
      <c r="Q831" s="20"/>
      <c r="R831" s="20"/>
      <c r="S831" s="20"/>
      <c r="T831" s="35"/>
      <c r="U831" s="35"/>
      <c r="V831" s="3"/>
      <c r="W831" s="3"/>
      <c r="X831" s="36"/>
      <c r="Y831" s="3"/>
      <c r="Z831" s="3"/>
      <c r="AA831" s="35"/>
      <c r="AB831" s="35"/>
      <c r="AC831" s="35"/>
      <c r="AD831" s="4"/>
      <c r="AE831" s="4"/>
      <c r="AF831" s="4"/>
      <c r="AG831" s="4"/>
      <c r="AH831" s="4"/>
      <c r="AI831" s="4"/>
      <c r="AJ831" s="4"/>
      <c r="AK831" s="4"/>
      <c r="AL831" s="4"/>
    </row>
    <row r="832" spans="1:38" ht="14.4">
      <c r="A832" s="34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20"/>
      <c r="P832" s="20"/>
      <c r="Q832" s="20"/>
      <c r="R832" s="20"/>
      <c r="S832" s="20"/>
      <c r="T832" s="35"/>
      <c r="U832" s="35"/>
      <c r="V832" s="3"/>
      <c r="W832" s="3"/>
      <c r="X832" s="36"/>
      <c r="Y832" s="3"/>
      <c r="Z832" s="3"/>
      <c r="AA832" s="35"/>
      <c r="AB832" s="35"/>
      <c r="AC832" s="35"/>
      <c r="AD832" s="4"/>
      <c r="AE832" s="4"/>
      <c r="AF832" s="4"/>
      <c r="AG832" s="4"/>
      <c r="AH832" s="4"/>
      <c r="AI832" s="4"/>
      <c r="AJ832" s="4"/>
      <c r="AK832" s="4"/>
      <c r="AL832" s="4"/>
    </row>
    <row r="833" spans="1:38" ht="14.4">
      <c r="A833" s="34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20"/>
      <c r="P833" s="20"/>
      <c r="Q833" s="20"/>
      <c r="R833" s="20"/>
      <c r="S833" s="20"/>
      <c r="T833" s="35"/>
      <c r="U833" s="35"/>
      <c r="V833" s="3"/>
      <c r="W833" s="3"/>
      <c r="X833" s="36"/>
      <c r="Y833" s="3"/>
      <c r="Z833" s="3"/>
      <c r="AA833" s="35"/>
      <c r="AB833" s="35"/>
      <c r="AC833" s="35"/>
      <c r="AD833" s="4"/>
      <c r="AE833" s="4"/>
      <c r="AF833" s="4"/>
      <c r="AG833" s="4"/>
      <c r="AH833" s="4"/>
      <c r="AI833" s="4"/>
      <c r="AJ833" s="4"/>
      <c r="AK833" s="4"/>
      <c r="AL833" s="4"/>
    </row>
    <row r="834" spans="1:38" ht="14.4">
      <c r="A834" s="34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20"/>
      <c r="P834" s="20"/>
      <c r="Q834" s="20"/>
      <c r="R834" s="20"/>
      <c r="S834" s="20"/>
      <c r="T834" s="35"/>
      <c r="U834" s="35"/>
      <c r="V834" s="3"/>
      <c r="W834" s="3"/>
      <c r="X834" s="36"/>
      <c r="Y834" s="3"/>
      <c r="Z834" s="3"/>
      <c r="AA834" s="35"/>
      <c r="AB834" s="35"/>
      <c r="AC834" s="35"/>
      <c r="AD834" s="4"/>
      <c r="AE834" s="4"/>
      <c r="AF834" s="4"/>
      <c r="AG834" s="4"/>
      <c r="AH834" s="4"/>
      <c r="AI834" s="4"/>
      <c r="AJ834" s="4"/>
      <c r="AK834" s="4"/>
      <c r="AL834" s="4"/>
    </row>
    <row r="835" spans="1:38" ht="14.4">
      <c r="A835" s="34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20"/>
      <c r="P835" s="20"/>
      <c r="Q835" s="20"/>
      <c r="R835" s="20"/>
      <c r="S835" s="20"/>
      <c r="T835" s="35"/>
      <c r="U835" s="35"/>
      <c r="V835" s="3"/>
      <c r="W835" s="3"/>
      <c r="X835" s="36"/>
      <c r="Y835" s="3"/>
      <c r="Z835" s="3"/>
      <c r="AA835" s="35"/>
      <c r="AB835" s="35"/>
      <c r="AC835" s="35"/>
      <c r="AD835" s="4"/>
      <c r="AE835" s="4"/>
      <c r="AF835" s="4"/>
      <c r="AG835" s="4"/>
      <c r="AH835" s="4"/>
      <c r="AI835" s="4"/>
      <c r="AJ835" s="4"/>
      <c r="AK835" s="4"/>
      <c r="AL835" s="4"/>
    </row>
    <row r="836" spans="1:38" ht="14.4">
      <c r="A836" s="34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20"/>
      <c r="P836" s="20"/>
      <c r="Q836" s="20"/>
      <c r="R836" s="20"/>
      <c r="S836" s="20"/>
      <c r="T836" s="35"/>
      <c r="U836" s="35"/>
      <c r="V836" s="3"/>
      <c r="W836" s="3"/>
      <c r="X836" s="36"/>
      <c r="Y836" s="3"/>
      <c r="Z836" s="3"/>
      <c r="AA836" s="35"/>
      <c r="AB836" s="35"/>
      <c r="AC836" s="35"/>
      <c r="AD836" s="4"/>
      <c r="AE836" s="4"/>
      <c r="AF836" s="4"/>
      <c r="AG836" s="4"/>
      <c r="AH836" s="4"/>
      <c r="AI836" s="4"/>
      <c r="AJ836" s="4"/>
      <c r="AK836" s="4"/>
      <c r="AL836" s="4"/>
    </row>
    <row r="837" spans="1:38" ht="14.4">
      <c r="A837" s="34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20"/>
      <c r="P837" s="20"/>
      <c r="Q837" s="20"/>
      <c r="R837" s="20"/>
      <c r="S837" s="20"/>
      <c r="T837" s="35"/>
      <c r="U837" s="35"/>
      <c r="V837" s="3"/>
      <c r="W837" s="3"/>
      <c r="X837" s="36"/>
      <c r="Y837" s="3"/>
      <c r="Z837" s="3"/>
      <c r="AA837" s="35"/>
      <c r="AB837" s="35"/>
      <c r="AC837" s="35"/>
      <c r="AD837" s="4"/>
      <c r="AE837" s="4"/>
      <c r="AF837" s="4"/>
      <c r="AG837" s="4"/>
      <c r="AH837" s="4"/>
      <c r="AI837" s="4"/>
      <c r="AJ837" s="4"/>
      <c r="AK837" s="4"/>
      <c r="AL837" s="4"/>
    </row>
    <row r="838" spans="1:38" ht="14.4">
      <c r="A838" s="34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20"/>
      <c r="P838" s="20"/>
      <c r="Q838" s="20"/>
      <c r="R838" s="20"/>
      <c r="S838" s="20"/>
      <c r="T838" s="35"/>
      <c r="U838" s="35"/>
      <c r="V838" s="3"/>
      <c r="W838" s="3"/>
      <c r="X838" s="36"/>
      <c r="Y838" s="3"/>
      <c r="Z838" s="3"/>
      <c r="AA838" s="35"/>
      <c r="AB838" s="35"/>
      <c r="AC838" s="35"/>
      <c r="AD838" s="4"/>
      <c r="AE838" s="4"/>
      <c r="AF838" s="4"/>
      <c r="AG838" s="4"/>
      <c r="AH838" s="4"/>
      <c r="AI838" s="4"/>
      <c r="AJ838" s="4"/>
      <c r="AK838" s="4"/>
      <c r="AL838" s="4"/>
    </row>
    <row r="839" spans="1:38" ht="14.4">
      <c r="A839" s="34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20"/>
      <c r="P839" s="20"/>
      <c r="Q839" s="20"/>
      <c r="R839" s="20"/>
      <c r="S839" s="20"/>
      <c r="T839" s="35"/>
      <c r="U839" s="35"/>
      <c r="V839" s="3"/>
      <c r="W839" s="3"/>
      <c r="X839" s="36"/>
      <c r="Y839" s="3"/>
      <c r="Z839" s="3"/>
      <c r="AA839" s="35"/>
      <c r="AB839" s="35"/>
      <c r="AC839" s="35"/>
      <c r="AD839" s="4"/>
      <c r="AE839" s="4"/>
      <c r="AF839" s="4"/>
      <c r="AG839" s="4"/>
      <c r="AH839" s="4"/>
      <c r="AI839" s="4"/>
      <c r="AJ839" s="4"/>
      <c r="AK839" s="4"/>
      <c r="AL839" s="4"/>
    </row>
    <row r="840" spans="1:38" ht="14.4">
      <c r="A840" s="34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20"/>
      <c r="P840" s="20"/>
      <c r="Q840" s="20"/>
      <c r="R840" s="20"/>
      <c r="S840" s="20"/>
      <c r="T840" s="35"/>
      <c r="U840" s="35"/>
      <c r="V840" s="3"/>
      <c r="W840" s="3"/>
      <c r="X840" s="36"/>
      <c r="Y840" s="3"/>
      <c r="Z840" s="3"/>
      <c r="AA840" s="35"/>
      <c r="AB840" s="35"/>
      <c r="AC840" s="35"/>
      <c r="AD840" s="4"/>
      <c r="AE840" s="4"/>
      <c r="AF840" s="4"/>
      <c r="AG840" s="4"/>
      <c r="AH840" s="4"/>
      <c r="AI840" s="4"/>
      <c r="AJ840" s="4"/>
      <c r="AK840" s="4"/>
      <c r="AL840" s="4"/>
    </row>
    <row r="841" spans="1:38" ht="14.4">
      <c r="A841" s="34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20"/>
      <c r="P841" s="20"/>
      <c r="Q841" s="20"/>
      <c r="R841" s="20"/>
      <c r="S841" s="20"/>
      <c r="T841" s="35"/>
      <c r="U841" s="35"/>
      <c r="V841" s="3"/>
      <c r="W841" s="3"/>
      <c r="X841" s="36"/>
      <c r="Y841" s="3"/>
      <c r="Z841" s="3"/>
      <c r="AA841" s="35"/>
      <c r="AB841" s="35"/>
      <c r="AC841" s="35"/>
      <c r="AD841" s="4"/>
      <c r="AE841" s="4"/>
      <c r="AF841" s="4"/>
      <c r="AG841" s="4"/>
      <c r="AH841" s="4"/>
      <c r="AI841" s="4"/>
      <c r="AJ841" s="4"/>
      <c r="AK841" s="4"/>
      <c r="AL841" s="4"/>
    </row>
    <row r="842" spans="1:38" ht="14.4">
      <c r="A842" s="34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20"/>
      <c r="P842" s="20"/>
      <c r="Q842" s="20"/>
      <c r="R842" s="20"/>
      <c r="S842" s="20"/>
      <c r="T842" s="35"/>
      <c r="U842" s="35"/>
      <c r="V842" s="3"/>
      <c r="W842" s="3"/>
      <c r="X842" s="36"/>
      <c r="Y842" s="3"/>
      <c r="Z842" s="3"/>
      <c r="AA842" s="35"/>
      <c r="AB842" s="35"/>
      <c r="AC842" s="35"/>
      <c r="AD842" s="4"/>
      <c r="AE842" s="4"/>
      <c r="AF842" s="4"/>
      <c r="AG842" s="4"/>
      <c r="AH842" s="4"/>
      <c r="AI842" s="4"/>
      <c r="AJ842" s="4"/>
      <c r="AK842" s="4"/>
      <c r="AL842" s="4"/>
    </row>
    <row r="843" spans="1:38" ht="14.4">
      <c r="A843" s="34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20"/>
      <c r="P843" s="20"/>
      <c r="Q843" s="20"/>
      <c r="R843" s="20"/>
      <c r="S843" s="20"/>
      <c r="T843" s="35"/>
      <c r="U843" s="35"/>
      <c r="V843" s="3"/>
      <c r="W843" s="3"/>
      <c r="X843" s="36"/>
      <c r="Y843" s="3"/>
      <c r="Z843" s="3"/>
      <c r="AA843" s="35"/>
      <c r="AB843" s="35"/>
      <c r="AC843" s="35"/>
      <c r="AD843" s="4"/>
      <c r="AE843" s="4"/>
      <c r="AF843" s="4"/>
      <c r="AG843" s="4"/>
      <c r="AH843" s="4"/>
      <c r="AI843" s="4"/>
      <c r="AJ843" s="4"/>
      <c r="AK843" s="4"/>
      <c r="AL843" s="4"/>
    </row>
    <row r="844" spans="1:38" ht="14.4">
      <c r="A844" s="34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20"/>
      <c r="P844" s="20"/>
      <c r="Q844" s="20"/>
      <c r="R844" s="20"/>
      <c r="S844" s="20"/>
      <c r="T844" s="35"/>
      <c r="U844" s="35"/>
      <c r="V844" s="3"/>
      <c r="W844" s="3"/>
      <c r="X844" s="36"/>
      <c r="Y844" s="3"/>
      <c r="Z844" s="3"/>
      <c r="AA844" s="35"/>
      <c r="AB844" s="35"/>
      <c r="AC844" s="35"/>
      <c r="AD844" s="4"/>
      <c r="AE844" s="4"/>
      <c r="AF844" s="4"/>
      <c r="AG844" s="4"/>
      <c r="AH844" s="4"/>
      <c r="AI844" s="4"/>
      <c r="AJ844" s="4"/>
      <c r="AK844" s="4"/>
      <c r="AL844" s="4"/>
    </row>
    <row r="845" spans="1:38" ht="14.4">
      <c r="A845" s="34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20"/>
      <c r="P845" s="20"/>
      <c r="Q845" s="20"/>
      <c r="R845" s="20"/>
      <c r="S845" s="20"/>
      <c r="T845" s="35"/>
      <c r="U845" s="35"/>
      <c r="V845" s="3"/>
      <c r="W845" s="3"/>
      <c r="X845" s="36"/>
      <c r="Y845" s="3"/>
      <c r="Z845" s="3"/>
      <c r="AA845" s="35"/>
      <c r="AB845" s="35"/>
      <c r="AC845" s="35"/>
      <c r="AD845" s="4"/>
      <c r="AE845" s="4"/>
      <c r="AF845" s="4"/>
      <c r="AG845" s="4"/>
      <c r="AH845" s="4"/>
      <c r="AI845" s="4"/>
      <c r="AJ845" s="4"/>
      <c r="AK845" s="4"/>
      <c r="AL845" s="4"/>
    </row>
    <row r="846" spans="1:38" ht="14.4">
      <c r="A846" s="34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20"/>
      <c r="P846" s="20"/>
      <c r="Q846" s="20"/>
      <c r="R846" s="20"/>
      <c r="S846" s="20"/>
      <c r="T846" s="35"/>
      <c r="U846" s="35"/>
      <c r="V846" s="3"/>
      <c r="W846" s="3"/>
      <c r="X846" s="36"/>
      <c r="Y846" s="3"/>
      <c r="Z846" s="3"/>
      <c r="AA846" s="35"/>
      <c r="AB846" s="35"/>
      <c r="AC846" s="35"/>
      <c r="AD846" s="4"/>
      <c r="AE846" s="4"/>
      <c r="AF846" s="4"/>
      <c r="AG846" s="4"/>
      <c r="AH846" s="4"/>
      <c r="AI846" s="4"/>
      <c r="AJ846" s="4"/>
      <c r="AK846" s="4"/>
      <c r="AL846" s="4"/>
    </row>
    <row r="847" spans="1:38" ht="14.4">
      <c r="A847" s="34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20"/>
      <c r="P847" s="20"/>
      <c r="Q847" s="20"/>
      <c r="R847" s="20"/>
      <c r="S847" s="20"/>
      <c r="T847" s="35"/>
      <c r="U847" s="35"/>
      <c r="V847" s="3"/>
      <c r="W847" s="3"/>
      <c r="X847" s="36"/>
      <c r="Y847" s="3"/>
      <c r="Z847" s="3"/>
      <c r="AA847" s="35"/>
      <c r="AB847" s="35"/>
      <c r="AC847" s="35"/>
      <c r="AD847" s="4"/>
      <c r="AE847" s="4"/>
      <c r="AF847" s="4"/>
      <c r="AG847" s="4"/>
      <c r="AH847" s="4"/>
      <c r="AI847" s="4"/>
      <c r="AJ847" s="4"/>
      <c r="AK847" s="4"/>
      <c r="AL847" s="4"/>
    </row>
    <row r="848" spans="1:38" ht="14.4">
      <c r="A848" s="34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20"/>
      <c r="P848" s="20"/>
      <c r="Q848" s="20"/>
      <c r="R848" s="20"/>
      <c r="S848" s="20"/>
      <c r="T848" s="35"/>
      <c r="U848" s="35"/>
      <c r="V848" s="3"/>
      <c r="W848" s="3"/>
      <c r="X848" s="36"/>
      <c r="Y848" s="3"/>
      <c r="Z848" s="3"/>
      <c r="AA848" s="35"/>
      <c r="AB848" s="35"/>
      <c r="AC848" s="35"/>
      <c r="AD848" s="4"/>
      <c r="AE848" s="4"/>
      <c r="AF848" s="4"/>
      <c r="AG848" s="4"/>
      <c r="AH848" s="4"/>
      <c r="AI848" s="4"/>
      <c r="AJ848" s="4"/>
      <c r="AK848" s="4"/>
      <c r="AL848" s="4"/>
    </row>
    <row r="849" spans="1:38" ht="14.4">
      <c r="A849" s="34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20"/>
      <c r="P849" s="20"/>
      <c r="Q849" s="20"/>
      <c r="R849" s="20"/>
      <c r="S849" s="20"/>
      <c r="T849" s="35"/>
      <c r="U849" s="35"/>
      <c r="V849" s="3"/>
      <c r="W849" s="3"/>
      <c r="X849" s="36"/>
      <c r="Y849" s="3"/>
      <c r="Z849" s="3"/>
      <c r="AA849" s="35"/>
      <c r="AB849" s="35"/>
      <c r="AC849" s="35"/>
      <c r="AD849" s="4"/>
      <c r="AE849" s="4"/>
      <c r="AF849" s="4"/>
      <c r="AG849" s="4"/>
      <c r="AH849" s="4"/>
      <c r="AI849" s="4"/>
      <c r="AJ849" s="4"/>
      <c r="AK849" s="4"/>
      <c r="AL849" s="4"/>
    </row>
    <row r="850" spans="1:38" ht="14.4">
      <c r="A850" s="34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20"/>
      <c r="P850" s="20"/>
      <c r="Q850" s="20"/>
      <c r="R850" s="20"/>
      <c r="S850" s="20"/>
      <c r="T850" s="35"/>
      <c r="U850" s="35"/>
      <c r="V850" s="3"/>
      <c r="W850" s="3"/>
      <c r="X850" s="36"/>
      <c r="Y850" s="3"/>
      <c r="Z850" s="3"/>
      <c r="AA850" s="35"/>
      <c r="AB850" s="35"/>
      <c r="AC850" s="35"/>
      <c r="AD850" s="4"/>
      <c r="AE850" s="4"/>
      <c r="AF850" s="4"/>
      <c r="AG850" s="4"/>
      <c r="AH850" s="4"/>
      <c r="AI850" s="4"/>
      <c r="AJ850" s="4"/>
      <c r="AK850" s="4"/>
      <c r="AL850" s="4"/>
    </row>
    <row r="851" spans="1:38" ht="14.4">
      <c r="A851" s="34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20"/>
      <c r="P851" s="20"/>
      <c r="Q851" s="20"/>
      <c r="R851" s="20"/>
      <c r="S851" s="20"/>
      <c r="T851" s="35"/>
      <c r="U851" s="35"/>
      <c r="V851" s="3"/>
      <c r="W851" s="3"/>
      <c r="X851" s="36"/>
      <c r="Y851" s="3"/>
      <c r="Z851" s="3"/>
      <c r="AA851" s="35"/>
      <c r="AB851" s="35"/>
      <c r="AC851" s="35"/>
      <c r="AD851" s="4"/>
      <c r="AE851" s="4"/>
      <c r="AF851" s="4"/>
      <c r="AG851" s="4"/>
      <c r="AH851" s="4"/>
      <c r="AI851" s="4"/>
      <c r="AJ851" s="4"/>
      <c r="AK851" s="4"/>
      <c r="AL851" s="4"/>
    </row>
    <row r="852" spans="1:38" ht="14.4">
      <c r="A852" s="34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20"/>
      <c r="P852" s="20"/>
      <c r="Q852" s="20"/>
      <c r="R852" s="20"/>
      <c r="S852" s="20"/>
      <c r="T852" s="35"/>
      <c r="U852" s="35"/>
      <c r="V852" s="3"/>
      <c r="W852" s="3"/>
      <c r="X852" s="36"/>
      <c r="Y852" s="3"/>
      <c r="Z852" s="3"/>
      <c r="AA852" s="35"/>
      <c r="AB852" s="35"/>
      <c r="AC852" s="35"/>
      <c r="AD852" s="4"/>
      <c r="AE852" s="4"/>
      <c r="AF852" s="4"/>
      <c r="AG852" s="4"/>
      <c r="AH852" s="4"/>
      <c r="AI852" s="4"/>
      <c r="AJ852" s="4"/>
      <c r="AK852" s="4"/>
      <c r="AL852" s="4"/>
    </row>
    <row r="853" spans="1:38" ht="14.4">
      <c r="A853" s="34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20"/>
      <c r="P853" s="20"/>
      <c r="Q853" s="20"/>
      <c r="R853" s="20"/>
      <c r="S853" s="20"/>
      <c r="T853" s="35"/>
      <c r="U853" s="35"/>
      <c r="V853" s="3"/>
      <c r="W853" s="3"/>
      <c r="X853" s="36"/>
      <c r="Y853" s="3"/>
      <c r="Z853" s="3"/>
      <c r="AA853" s="35"/>
      <c r="AB853" s="35"/>
      <c r="AC853" s="35"/>
      <c r="AD853" s="4"/>
      <c r="AE853" s="4"/>
      <c r="AF853" s="4"/>
      <c r="AG853" s="4"/>
      <c r="AH853" s="4"/>
      <c r="AI853" s="4"/>
      <c r="AJ853" s="4"/>
      <c r="AK853" s="4"/>
      <c r="AL853" s="4"/>
    </row>
    <row r="854" spans="1:38" ht="14.4">
      <c r="A854" s="34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20"/>
      <c r="P854" s="20"/>
      <c r="Q854" s="20"/>
      <c r="R854" s="20"/>
      <c r="S854" s="20"/>
      <c r="T854" s="35"/>
      <c r="U854" s="35"/>
      <c r="V854" s="3"/>
      <c r="W854" s="3"/>
      <c r="X854" s="36"/>
      <c r="Y854" s="3"/>
      <c r="Z854" s="3"/>
      <c r="AA854" s="35"/>
      <c r="AB854" s="35"/>
      <c r="AC854" s="35"/>
      <c r="AD854" s="4"/>
      <c r="AE854" s="4"/>
      <c r="AF854" s="4"/>
      <c r="AG854" s="4"/>
      <c r="AH854" s="4"/>
      <c r="AI854" s="4"/>
      <c r="AJ854" s="4"/>
      <c r="AK854" s="4"/>
      <c r="AL854" s="4"/>
    </row>
    <row r="855" spans="1:38" ht="14.4">
      <c r="A855" s="34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20"/>
      <c r="P855" s="20"/>
      <c r="Q855" s="20"/>
      <c r="R855" s="20"/>
      <c r="S855" s="20"/>
      <c r="T855" s="35"/>
      <c r="U855" s="35"/>
      <c r="V855" s="3"/>
      <c r="W855" s="3"/>
      <c r="X855" s="36"/>
      <c r="Y855" s="3"/>
      <c r="Z855" s="3"/>
      <c r="AA855" s="35"/>
      <c r="AB855" s="35"/>
      <c r="AC855" s="35"/>
      <c r="AD855" s="4"/>
      <c r="AE855" s="4"/>
      <c r="AF855" s="4"/>
      <c r="AG855" s="4"/>
      <c r="AH855" s="4"/>
      <c r="AI855" s="4"/>
      <c r="AJ855" s="4"/>
      <c r="AK855" s="4"/>
      <c r="AL855" s="4"/>
    </row>
    <row r="856" spans="1:38" ht="14.4">
      <c r="A856" s="34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20"/>
      <c r="P856" s="20"/>
      <c r="Q856" s="20"/>
      <c r="R856" s="20"/>
      <c r="S856" s="20"/>
      <c r="T856" s="35"/>
      <c r="U856" s="35"/>
      <c r="V856" s="3"/>
      <c r="W856" s="3"/>
      <c r="X856" s="36"/>
      <c r="Y856" s="3"/>
      <c r="Z856" s="3"/>
      <c r="AA856" s="35"/>
      <c r="AB856" s="35"/>
      <c r="AC856" s="35"/>
      <c r="AD856" s="4"/>
      <c r="AE856" s="4"/>
      <c r="AF856" s="4"/>
      <c r="AG856" s="4"/>
      <c r="AH856" s="4"/>
      <c r="AI856" s="4"/>
      <c r="AJ856" s="4"/>
      <c r="AK856" s="4"/>
      <c r="AL856" s="4"/>
    </row>
    <row r="857" spans="1:38" ht="14.4">
      <c r="A857" s="34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20"/>
      <c r="P857" s="20"/>
      <c r="Q857" s="20"/>
      <c r="R857" s="20"/>
      <c r="S857" s="20"/>
      <c r="T857" s="35"/>
      <c r="U857" s="35"/>
      <c r="V857" s="3"/>
      <c r="W857" s="3"/>
      <c r="X857" s="36"/>
      <c r="Y857" s="3"/>
      <c r="Z857" s="3"/>
      <c r="AA857" s="35"/>
      <c r="AB857" s="35"/>
      <c r="AC857" s="35"/>
      <c r="AD857" s="4"/>
      <c r="AE857" s="4"/>
      <c r="AF857" s="4"/>
      <c r="AG857" s="4"/>
      <c r="AH857" s="4"/>
      <c r="AI857" s="4"/>
      <c r="AJ857" s="4"/>
      <c r="AK857" s="4"/>
      <c r="AL857" s="4"/>
    </row>
    <row r="858" spans="1:38" ht="14.4">
      <c r="A858" s="34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20"/>
      <c r="P858" s="20"/>
      <c r="Q858" s="20"/>
      <c r="R858" s="20"/>
      <c r="S858" s="20"/>
      <c r="T858" s="35"/>
      <c r="U858" s="35"/>
      <c r="V858" s="3"/>
      <c r="W858" s="3"/>
      <c r="X858" s="36"/>
      <c r="Y858" s="3"/>
      <c r="Z858" s="3"/>
      <c r="AA858" s="35"/>
      <c r="AB858" s="35"/>
      <c r="AC858" s="35"/>
      <c r="AD858" s="4"/>
      <c r="AE858" s="4"/>
      <c r="AF858" s="4"/>
      <c r="AG858" s="4"/>
      <c r="AH858" s="4"/>
      <c r="AI858" s="4"/>
      <c r="AJ858" s="4"/>
      <c r="AK858" s="4"/>
      <c r="AL858" s="4"/>
    </row>
    <row r="859" spans="1:38" ht="14.4">
      <c r="A859" s="34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20"/>
      <c r="P859" s="20"/>
      <c r="Q859" s="20"/>
      <c r="R859" s="20"/>
      <c r="S859" s="20"/>
      <c r="T859" s="35"/>
      <c r="U859" s="35"/>
      <c r="V859" s="3"/>
      <c r="W859" s="3"/>
      <c r="X859" s="36"/>
      <c r="Y859" s="3"/>
      <c r="Z859" s="3"/>
      <c r="AA859" s="35"/>
      <c r="AB859" s="35"/>
      <c r="AC859" s="35"/>
      <c r="AD859" s="4"/>
      <c r="AE859" s="4"/>
      <c r="AF859" s="4"/>
      <c r="AG859" s="4"/>
      <c r="AH859" s="4"/>
      <c r="AI859" s="4"/>
      <c r="AJ859" s="4"/>
      <c r="AK859" s="4"/>
      <c r="AL859" s="4"/>
    </row>
    <row r="860" spans="1:38" ht="14.4">
      <c r="A860" s="34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20"/>
      <c r="P860" s="20"/>
      <c r="Q860" s="20"/>
      <c r="R860" s="20"/>
      <c r="S860" s="20"/>
      <c r="T860" s="35"/>
      <c r="U860" s="35"/>
      <c r="V860" s="3"/>
      <c r="W860" s="3"/>
      <c r="X860" s="36"/>
      <c r="Y860" s="3"/>
      <c r="Z860" s="3"/>
      <c r="AA860" s="35"/>
      <c r="AB860" s="35"/>
      <c r="AC860" s="35"/>
      <c r="AD860" s="4"/>
      <c r="AE860" s="4"/>
      <c r="AF860" s="4"/>
      <c r="AG860" s="4"/>
      <c r="AH860" s="4"/>
      <c r="AI860" s="4"/>
      <c r="AJ860" s="4"/>
      <c r="AK860" s="4"/>
      <c r="AL860" s="4"/>
    </row>
    <row r="861" spans="1:38" ht="14.4">
      <c r="A861" s="34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20"/>
      <c r="P861" s="20"/>
      <c r="Q861" s="20"/>
      <c r="R861" s="20"/>
      <c r="S861" s="20"/>
      <c r="T861" s="35"/>
      <c r="U861" s="35"/>
      <c r="V861" s="3"/>
      <c r="W861" s="3"/>
      <c r="X861" s="36"/>
      <c r="Y861" s="3"/>
      <c r="Z861" s="3"/>
      <c r="AA861" s="35"/>
      <c r="AB861" s="35"/>
      <c r="AC861" s="35"/>
      <c r="AD861" s="4"/>
      <c r="AE861" s="4"/>
      <c r="AF861" s="4"/>
      <c r="AG861" s="4"/>
      <c r="AH861" s="4"/>
      <c r="AI861" s="4"/>
      <c r="AJ861" s="4"/>
      <c r="AK861" s="4"/>
      <c r="AL861" s="4"/>
    </row>
    <row r="862" spans="1:38" ht="14.4">
      <c r="A862" s="34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20"/>
      <c r="P862" s="20"/>
      <c r="Q862" s="20"/>
      <c r="R862" s="20"/>
      <c r="S862" s="20"/>
      <c r="T862" s="35"/>
      <c r="U862" s="35"/>
      <c r="V862" s="3"/>
      <c r="W862" s="3"/>
      <c r="X862" s="36"/>
      <c r="Y862" s="3"/>
      <c r="Z862" s="3"/>
      <c r="AA862" s="35"/>
      <c r="AB862" s="35"/>
      <c r="AC862" s="35"/>
      <c r="AD862" s="4"/>
      <c r="AE862" s="4"/>
      <c r="AF862" s="4"/>
      <c r="AG862" s="4"/>
      <c r="AH862" s="4"/>
      <c r="AI862" s="4"/>
      <c r="AJ862" s="4"/>
      <c r="AK862" s="4"/>
      <c r="AL862" s="4"/>
    </row>
    <row r="863" spans="1:38" ht="14.4">
      <c r="A863" s="34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20"/>
      <c r="P863" s="20"/>
      <c r="Q863" s="20"/>
      <c r="R863" s="20"/>
      <c r="S863" s="20"/>
      <c r="T863" s="35"/>
      <c r="U863" s="35"/>
      <c r="V863" s="3"/>
      <c r="W863" s="3"/>
      <c r="X863" s="36"/>
      <c r="Y863" s="3"/>
      <c r="Z863" s="3"/>
      <c r="AA863" s="35"/>
      <c r="AB863" s="35"/>
      <c r="AC863" s="35"/>
      <c r="AD863" s="4"/>
      <c r="AE863" s="4"/>
      <c r="AF863" s="4"/>
      <c r="AG863" s="4"/>
      <c r="AH863" s="4"/>
      <c r="AI863" s="4"/>
      <c r="AJ863" s="4"/>
      <c r="AK863" s="4"/>
      <c r="AL863" s="4"/>
    </row>
    <row r="864" spans="1:38" ht="14.4">
      <c r="A864" s="34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20"/>
      <c r="P864" s="20"/>
      <c r="Q864" s="20"/>
      <c r="R864" s="20"/>
      <c r="S864" s="20"/>
      <c r="T864" s="35"/>
      <c r="U864" s="35"/>
      <c r="V864" s="3"/>
      <c r="W864" s="3"/>
      <c r="X864" s="36"/>
      <c r="Y864" s="3"/>
      <c r="Z864" s="3"/>
      <c r="AA864" s="35"/>
      <c r="AB864" s="35"/>
      <c r="AC864" s="35"/>
      <c r="AD864" s="4"/>
      <c r="AE864" s="4"/>
      <c r="AF864" s="4"/>
      <c r="AG864" s="4"/>
      <c r="AH864" s="4"/>
      <c r="AI864" s="4"/>
      <c r="AJ864" s="4"/>
      <c r="AK864" s="4"/>
      <c r="AL864" s="4"/>
    </row>
    <row r="865" spans="1:38" ht="14.4">
      <c r="A865" s="34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20"/>
      <c r="P865" s="20"/>
      <c r="Q865" s="20"/>
      <c r="R865" s="20"/>
      <c r="S865" s="20"/>
      <c r="T865" s="35"/>
      <c r="U865" s="35"/>
      <c r="V865" s="3"/>
      <c r="W865" s="3"/>
      <c r="X865" s="36"/>
      <c r="Y865" s="3"/>
      <c r="Z865" s="3"/>
      <c r="AA865" s="35"/>
      <c r="AB865" s="35"/>
      <c r="AC865" s="35"/>
      <c r="AD865" s="4"/>
      <c r="AE865" s="4"/>
      <c r="AF865" s="4"/>
      <c r="AG865" s="4"/>
      <c r="AH865" s="4"/>
      <c r="AI865" s="4"/>
      <c r="AJ865" s="4"/>
      <c r="AK865" s="4"/>
      <c r="AL865" s="4"/>
    </row>
    <row r="866" spans="1:38" ht="14.4">
      <c r="A866" s="34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20"/>
      <c r="P866" s="20"/>
      <c r="Q866" s="20"/>
      <c r="R866" s="20"/>
      <c r="S866" s="20"/>
      <c r="T866" s="35"/>
      <c r="U866" s="35"/>
      <c r="V866" s="3"/>
      <c r="W866" s="3"/>
      <c r="X866" s="36"/>
      <c r="Y866" s="3"/>
      <c r="Z866" s="3"/>
      <c r="AA866" s="35"/>
      <c r="AB866" s="35"/>
      <c r="AC866" s="35"/>
      <c r="AD866" s="4"/>
      <c r="AE866" s="4"/>
      <c r="AF866" s="4"/>
      <c r="AG866" s="4"/>
      <c r="AH866" s="4"/>
      <c r="AI866" s="4"/>
      <c r="AJ866" s="4"/>
      <c r="AK866" s="4"/>
      <c r="AL866" s="4"/>
    </row>
    <row r="867" spans="1:38" ht="14.4">
      <c r="A867" s="34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20"/>
      <c r="P867" s="20"/>
      <c r="Q867" s="20"/>
      <c r="R867" s="20"/>
      <c r="S867" s="20"/>
      <c r="T867" s="35"/>
      <c r="U867" s="35"/>
      <c r="V867" s="3"/>
      <c r="W867" s="3"/>
      <c r="X867" s="36"/>
      <c r="Y867" s="3"/>
      <c r="Z867" s="3"/>
      <c r="AA867" s="35"/>
      <c r="AB867" s="35"/>
      <c r="AC867" s="35"/>
      <c r="AD867" s="4"/>
      <c r="AE867" s="4"/>
      <c r="AF867" s="4"/>
      <c r="AG867" s="4"/>
      <c r="AH867" s="4"/>
      <c r="AI867" s="4"/>
      <c r="AJ867" s="4"/>
      <c r="AK867" s="4"/>
      <c r="AL867" s="4"/>
    </row>
    <row r="868" spans="1:38" ht="14.4">
      <c r="A868" s="34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20"/>
      <c r="P868" s="20"/>
      <c r="Q868" s="20"/>
      <c r="R868" s="20"/>
      <c r="S868" s="20"/>
      <c r="T868" s="35"/>
      <c r="U868" s="35"/>
      <c r="V868" s="3"/>
      <c r="W868" s="3"/>
      <c r="X868" s="36"/>
      <c r="Y868" s="3"/>
      <c r="Z868" s="3"/>
      <c r="AA868" s="35"/>
      <c r="AB868" s="35"/>
      <c r="AC868" s="35"/>
      <c r="AD868" s="4"/>
      <c r="AE868" s="4"/>
      <c r="AF868" s="4"/>
      <c r="AG868" s="4"/>
      <c r="AH868" s="4"/>
      <c r="AI868" s="4"/>
      <c r="AJ868" s="4"/>
      <c r="AK868" s="4"/>
      <c r="AL868" s="4"/>
    </row>
    <row r="869" spans="1:38" ht="14.4">
      <c r="A869" s="34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20"/>
      <c r="P869" s="20"/>
      <c r="Q869" s="20"/>
      <c r="R869" s="20"/>
      <c r="S869" s="20"/>
      <c r="T869" s="35"/>
      <c r="U869" s="35"/>
      <c r="V869" s="3"/>
      <c r="W869" s="3"/>
      <c r="X869" s="36"/>
      <c r="Y869" s="3"/>
      <c r="Z869" s="3"/>
      <c r="AA869" s="35"/>
      <c r="AB869" s="35"/>
      <c r="AC869" s="35"/>
      <c r="AD869" s="4"/>
      <c r="AE869" s="4"/>
      <c r="AF869" s="4"/>
      <c r="AG869" s="4"/>
      <c r="AH869" s="4"/>
      <c r="AI869" s="4"/>
      <c r="AJ869" s="4"/>
      <c r="AK869" s="4"/>
      <c r="AL869" s="4"/>
    </row>
    <row r="870" spans="1:38" ht="14.4">
      <c r="A870" s="34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20"/>
      <c r="P870" s="20"/>
      <c r="Q870" s="20"/>
      <c r="R870" s="20"/>
      <c r="S870" s="20"/>
      <c r="T870" s="35"/>
      <c r="U870" s="35"/>
      <c r="V870" s="3"/>
      <c r="W870" s="3"/>
      <c r="X870" s="36"/>
      <c r="Y870" s="3"/>
      <c r="Z870" s="3"/>
      <c r="AA870" s="35"/>
      <c r="AB870" s="35"/>
      <c r="AC870" s="35"/>
      <c r="AD870" s="4"/>
      <c r="AE870" s="4"/>
      <c r="AF870" s="4"/>
      <c r="AG870" s="4"/>
      <c r="AH870" s="4"/>
      <c r="AI870" s="4"/>
      <c r="AJ870" s="4"/>
      <c r="AK870" s="4"/>
      <c r="AL870" s="4"/>
    </row>
    <row r="871" spans="1:38" ht="14.4">
      <c r="A871" s="34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20"/>
      <c r="P871" s="20"/>
      <c r="Q871" s="20"/>
      <c r="R871" s="20"/>
      <c r="S871" s="20"/>
      <c r="T871" s="35"/>
      <c r="U871" s="35"/>
      <c r="V871" s="3"/>
      <c r="W871" s="3"/>
      <c r="X871" s="36"/>
      <c r="Y871" s="3"/>
      <c r="Z871" s="3"/>
      <c r="AA871" s="35"/>
      <c r="AB871" s="35"/>
      <c r="AC871" s="35"/>
      <c r="AD871" s="4"/>
      <c r="AE871" s="4"/>
      <c r="AF871" s="4"/>
      <c r="AG871" s="4"/>
      <c r="AH871" s="4"/>
      <c r="AI871" s="4"/>
      <c r="AJ871" s="4"/>
      <c r="AK871" s="4"/>
      <c r="AL871" s="4"/>
    </row>
    <row r="872" spans="1:38" ht="14.4">
      <c r="A872" s="34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20"/>
      <c r="P872" s="20"/>
      <c r="Q872" s="20"/>
      <c r="R872" s="20"/>
      <c r="S872" s="20"/>
      <c r="T872" s="35"/>
      <c r="U872" s="35"/>
      <c r="V872" s="3"/>
      <c r="W872" s="3"/>
      <c r="X872" s="36"/>
      <c r="Y872" s="3"/>
      <c r="Z872" s="3"/>
      <c r="AA872" s="35"/>
      <c r="AB872" s="35"/>
      <c r="AC872" s="35"/>
      <c r="AD872" s="4"/>
      <c r="AE872" s="4"/>
      <c r="AF872" s="4"/>
      <c r="AG872" s="4"/>
      <c r="AH872" s="4"/>
      <c r="AI872" s="4"/>
      <c r="AJ872" s="4"/>
      <c r="AK872" s="4"/>
      <c r="AL872" s="4"/>
    </row>
    <row r="873" spans="1:38" ht="14.4">
      <c r="A873" s="34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20"/>
      <c r="P873" s="20"/>
      <c r="Q873" s="20"/>
      <c r="R873" s="20"/>
      <c r="S873" s="20"/>
      <c r="T873" s="35"/>
      <c r="U873" s="35"/>
      <c r="V873" s="3"/>
      <c r="W873" s="3"/>
      <c r="X873" s="36"/>
      <c r="Y873" s="3"/>
      <c r="Z873" s="3"/>
      <c r="AA873" s="35"/>
      <c r="AB873" s="35"/>
      <c r="AC873" s="35"/>
      <c r="AD873" s="4"/>
      <c r="AE873" s="4"/>
      <c r="AF873" s="4"/>
      <c r="AG873" s="4"/>
      <c r="AH873" s="4"/>
      <c r="AI873" s="4"/>
      <c r="AJ873" s="4"/>
      <c r="AK873" s="4"/>
      <c r="AL873" s="4"/>
    </row>
    <row r="874" spans="1:38" ht="14.4">
      <c r="A874" s="34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20"/>
      <c r="P874" s="20"/>
      <c r="Q874" s="20"/>
      <c r="R874" s="20"/>
      <c r="S874" s="20"/>
      <c r="T874" s="35"/>
      <c r="U874" s="35"/>
      <c r="V874" s="3"/>
      <c r="W874" s="3"/>
      <c r="X874" s="36"/>
      <c r="Y874" s="3"/>
      <c r="Z874" s="3"/>
      <c r="AA874" s="35"/>
      <c r="AB874" s="35"/>
      <c r="AC874" s="35"/>
      <c r="AD874" s="4"/>
      <c r="AE874" s="4"/>
      <c r="AF874" s="4"/>
      <c r="AG874" s="4"/>
      <c r="AH874" s="4"/>
      <c r="AI874" s="4"/>
      <c r="AJ874" s="4"/>
      <c r="AK874" s="4"/>
      <c r="AL874" s="4"/>
    </row>
    <row r="875" spans="1:38" ht="14.4">
      <c r="A875" s="34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20"/>
      <c r="P875" s="20"/>
      <c r="Q875" s="20"/>
      <c r="R875" s="20"/>
      <c r="S875" s="20"/>
      <c r="T875" s="35"/>
      <c r="U875" s="35"/>
      <c r="V875" s="3"/>
      <c r="W875" s="3"/>
      <c r="X875" s="36"/>
      <c r="Y875" s="3"/>
      <c r="Z875" s="3"/>
      <c r="AA875" s="35"/>
      <c r="AB875" s="35"/>
      <c r="AC875" s="35"/>
      <c r="AD875" s="4"/>
      <c r="AE875" s="4"/>
      <c r="AF875" s="4"/>
      <c r="AG875" s="4"/>
      <c r="AH875" s="4"/>
      <c r="AI875" s="4"/>
      <c r="AJ875" s="4"/>
      <c r="AK875" s="4"/>
      <c r="AL875" s="4"/>
    </row>
    <row r="876" spans="1:38" ht="14.4">
      <c r="A876" s="34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20"/>
      <c r="P876" s="20"/>
      <c r="Q876" s="20"/>
      <c r="R876" s="20"/>
      <c r="S876" s="20"/>
      <c r="T876" s="35"/>
      <c r="U876" s="35"/>
      <c r="V876" s="3"/>
      <c r="W876" s="3"/>
      <c r="X876" s="36"/>
      <c r="Y876" s="3"/>
      <c r="Z876" s="3"/>
      <c r="AA876" s="35"/>
      <c r="AB876" s="35"/>
      <c r="AC876" s="35"/>
      <c r="AD876" s="4"/>
      <c r="AE876" s="4"/>
      <c r="AF876" s="4"/>
      <c r="AG876" s="4"/>
      <c r="AH876" s="4"/>
      <c r="AI876" s="4"/>
      <c r="AJ876" s="4"/>
      <c r="AK876" s="4"/>
      <c r="AL876" s="4"/>
    </row>
    <row r="877" spans="1:38" ht="14.4">
      <c r="A877" s="34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20"/>
      <c r="P877" s="20"/>
      <c r="Q877" s="20"/>
      <c r="R877" s="20"/>
      <c r="S877" s="20"/>
      <c r="T877" s="35"/>
      <c r="U877" s="35"/>
      <c r="V877" s="3"/>
      <c r="W877" s="3"/>
      <c r="X877" s="36"/>
      <c r="Y877" s="3"/>
      <c r="Z877" s="3"/>
      <c r="AA877" s="35"/>
      <c r="AB877" s="35"/>
      <c r="AC877" s="35"/>
      <c r="AD877" s="4"/>
      <c r="AE877" s="4"/>
      <c r="AF877" s="4"/>
      <c r="AG877" s="4"/>
      <c r="AH877" s="4"/>
      <c r="AI877" s="4"/>
      <c r="AJ877" s="4"/>
      <c r="AK877" s="4"/>
      <c r="AL877" s="4"/>
    </row>
    <row r="878" spans="1:38" ht="14.4">
      <c r="A878" s="34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20"/>
      <c r="P878" s="20"/>
      <c r="Q878" s="20"/>
      <c r="R878" s="20"/>
      <c r="S878" s="20"/>
      <c r="T878" s="35"/>
      <c r="U878" s="35"/>
      <c r="V878" s="3"/>
      <c r="W878" s="3"/>
      <c r="X878" s="36"/>
      <c r="Y878" s="3"/>
      <c r="Z878" s="3"/>
      <c r="AA878" s="35"/>
      <c r="AB878" s="35"/>
      <c r="AC878" s="35"/>
      <c r="AD878" s="4"/>
      <c r="AE878" s="4"/>
      <c r="AF878" s="4"/>
      <c r="AG878" s="4"/>
      <c r="AH878" s="4"/>
      <c r="AI878" s="4"/>
      <c r="AJ878" s="4"/>
      <c r="AK878" s="4"/>
      <c r="AL878" s="4"/>
    </row>
    <row r="879" spans="1:38" ht="14.4">
      <c r="A879" s="34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20"/>
      <c r="P879" s="20"/>
      <c r="Q879" s="20"/>
      <c r="R879" s="20"/>
      <c r="S879" s="20"/>
      <c r="T879" s="35"/>
      <c r="U879" s="35"/>
      <c r="V879" s="3"/>
      <c r="W879" s="3"/>
      <c r="X879" s="36"/>
      <c r="Y879" s="3"/>
      <c r="Z879" s="3"/>
      <c r="AA879" s="35"/>
      <c r="AB879" s="35"/>
      <c r="AC879" s="35"/>
      <c r="AD879" s="4"/>
      <c r="AE879" s="4"/>
      <c r="AF879" s="4"/>
      <c r="AG879" s="4"/>
      <c r="AH879" s="4"/>
      <c r="AI879" s="4"/>
      <c r="AJ879" s="4"/>
      <c r="AK879" s="4"/>
      <c r="AL879" s="4"/>
    </row>
    <row r="880" spans="1:38" ht="14.4">
      <c r="A880" s="34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20"/>
      <c r="P880" s="20"/>
      <c r="Q880" s="20"/>
      <c r="R880" s="20"/>
      <c r="S880" s="20"/>
      <c r="T880" s="35"/>
      <c r="U880" s="35"/>
      <c r="V880" s="3"/>
      <c r="W880" s="3"/>
      <c r="X880" s="36"/>
      <c r="Y880" s="3"/>
      <c r="Z880" s="3"/>
      <c r="AA880" s="35"/>
      <c r="AB880" s="35"/>
      <c r="AC880" s="35"/>
      <c r="AD880" s="4"/>
      <c r="AE880" s="4"/>
      <c r="AF880" s="4"/>
      <c r="AG880" s="4"/>
      <c r="AH880" s="4"/>
      <c r="AI880" s="4"/>
      <c r="AJ880" s="4"/>
      <c r="AK880" s="4"/>
      <c r="AL880" s="4"/>
    </row>
    <row r="881" spans="1:38" ht="14.4">
      <c r="A881" s="34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20"/>
      <c r="P881" s="20"/>
      <c r="Q881" s="20"/>
      <c r="R881" s="20"/>
      <c r="S881" s="20"/>
      <c r="T881" s="35"/>
      <c r="U881" s="35"/>
      <c r="V881" s="3"/>
      <c r="W881" s="3"/>
      <c r="X881" s="36"/>
      <c r="Y881" s="3"/>
      <c r="Z881" s="3"/>
      <c r="AA881" s="35"/>
      <c r="AB881" s="35"/>
      <c r="AC881" s="35"/>
      <c r="AD881" s="4"/>
      <c r="AE881" s="4"/>
      <c r="AF881" s="4"/>
      <c r="AG881" s="4"/>
      <c r="AH881" s="4"/>
      <c r="AI881" s="4"/>
      <c r="AJ881" s="4"/>
      <c r="AK881" s="4"/>
      <c r="AL881" s="4"/>
    </row>
    <row r="882" spans="1:38" ht="14.4">
      <c r="A882" s="34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20"/>
      <c r="P882" s="20"/>
      <c r="Q882" s="20"/>
      <c r="R882" s="20"/>
      <c r="S882" s="20"/>
      <c r="T882" s="35"/>
      <c r="U882" s="35"/>
      <c r="V882" s="3"/>
      <c r="W882" s="3"/>
      <c r="X882" s="36"/>
      <c r="Y882" s="3"/>
      <c r="Z882" s="3"/>
      <c r="AA882" s="35"/>
      <c r="AB882" s="35"/>
      <c r="AC882" s="35"/>
      <c r="AD882" s="4"/>
      <c r="AE882" s="4"/>
      <c r="AF882" s="4"/>
      <c r="AG882" s="4"/>
      <c r="AH882" s="4"/>
      <c r="AI882" s="4"/>
      <c r="AJ882" s="4"/>
      <c r="AK882" s="4"/>
      <c r="AL882" s="4"/>
    </row>
    <row r="883" spans="1:38" ht="14.4">
      <c r="A883" s="34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20"/>
      <c r="P883" s="20"/>
      <c r="Q883" s="20"/>
      <c r="R883" s="20"/>
      <c r="S883" s="20"/>
      <c r="T883" s="35"/>
      <c r="U883" s="35"/>
      <c r="V883" s="3"/>
      <c r="W883" s="3"/>
      <c r="X883" s="36"/>
      <c r="Y883" s="3"/>
      <c r="Z883" s="3"/>
      <c r="AA883" s="35"/>
      <c r="AB883" s="35"/>
      <c r="AC883" s="35"/>
      <c r="AD883" s="4"/>
      <c r="AE883" s="4"/>
      <c r="AF883" s="4"/>
      <c r="AG883" s="4"/>
      <c r="AH883" s="4"/>
      <c r="AI883" s="4"/>
      <c r="AJ883" s="4"/>
      <c r="AK883" s="4"/>
      <c r="AL883" s="4"/>
    </row>
    <row r="884" spans="1:38" ht="14.4">
      <c r="A884" s="34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20"/>
      <c r="P884" s="20"/>
      <c r="Q884" s="20"/>
      <c r="R884" s="20"/>
      <c r="S884" s="20"/>
      <c r="T884" s="35"/>
      <c r="U884" s="35"/>
      <c r="V884" s="3"/>
      <c r="W884" s="3"/>
      <c r="X884" s="36"/>
      <c r="Y884" s="3"/>
      <c r="Z884" s="3"/>
      <c r="AA884" s="35"/>
      <c r="AB884" s="35"/>
      <c r="AC884" s="35"/>
      <c r="AD884" s="4"/>
      <c r="AE884" s="4"/>
      <c r="AF884" s="4"/>
      <c r="AG884" s="4"/>
      <c r="AH884" s="4"/>
      <c r="AI884" s="4"/>
      <c r="AJ884" s="4"/>
      <c r="AK884" s="4"/>
      <c r="AL884" s="4"/>
    </row>
    <row r="885" spans="1:38" ht="14.4">
      <c r="A885" s="34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20"/>
      <c r="P885" s="20"/>
      <c r="Q885" s="20"/>
      <c r="R885" s="20"/>
      <c r="S885" s="20"/>
      <c r="T885" s="35"/>
      <c r="U885" s="35"/>
      <c r="V885" s="3"/>
      <c r="W885" s="3"/>
      <c r="X885" s="36"/>
      <c r="Y885" s="3"/>
      <c r="Z885" s="3"/>
      <c r="AA885" s="35"/>
      <c r="AB885" s="35"/>
      <c r="AC885" s="35"/>
      <c r="AD885" s="4"/>
      <c r="AE885" s="4"/>
      <c r="AF885" s="4"/>
      <c r="AG885" s="4"/>
      <c r="AH885" s="4"/>
      <c r="AI885" s="4"/>
      <c r="AJ885" s="4"/>
      <c r="AK885" s="4"/>
      <c r="AL885" s="4"/>
    </row>
    <row r="886" spans="1:38" ht="14.4">
      <c r="A886" s="34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20"/>
      <c r="P886" s="20"/>
      <c r="Q886" s="20"/>
      <c r="R886" s="20"/>
      <c r="S886" s="20"/>
      <c r="T886" s="35"/>
      <c r="U886" s="35"/>
      <c r="V886" s="3"/>
      <c r="W886" s="3"/>
      <c r="X886" s="36"/>
      <c r="Y886" s="3"/>
      <c r="Z886" s="3"/>
      <c r="AA886" s="35"/>
      <c r="AB886" s="35"/>
      <c r="AC886" s="35"/>
      <c r="AD886" s="4"/>
      <c r="AE886" s="4"/>
      <c r="AF886" s="4"/>
      <c r="AG886" s="4"/>
      <c r="AH886" s="4"/>
      <c r="AI886" s="4"/>
      <c r="AJ886" s="4"/>
      <c r="AK886" s="4"/>
      <c r="AL886" s="4"/>
    </row>
    <row r="887" spans="1:38" ht="14.4">
      <c r="A887" s="34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20"/>
      <c r="P887" s="20"/>
      <c r="Q887" s="20"/>
      <c r="R887" s="20"/>
      <c r="S887" s="20"/>
      <c r="T887" s="35"/>
      <c r="U887" s="35"/>
      <c r="V887" s="3"/>
      <c r="W887" s="3"/>
      <c r="X887" s="36"/>
      <c r="Y887" s="3"/>
      <c r="Z887" s="3"/>
      <c r="AA887" s="35"/>
      <c r="AB887" s="35"/>
      <c r="AC887" s="35"/>
      <c r="AD887" s="4"/>
      <c r="AE887" s="4"/>
      <c r="AF887" s="4"/>
      <c r="AG887" s="4"/>
      <c r="AH887" s="4"/>
      <c r="AI887" s="4"/>
      <c r="AJ887" s="4"/>
      <c r="AK887" s="4"/>
      <c r="AL887" s="4"/>
    </row>
    <row r="888" spans="1:38" ht="14.4">
      <c r="A888" s="34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20"/>
      <c r="P888" s="20"/>
      <c r="Q888" s="20"/>
      <c r="R888" s="20"/>
      <c r="S888" s="20"/>
      <c r="T888" s="35"/>
      <c r="U888" s="35"/>
      <c r="V888" s="3"/>
      <c r="W888" s="3"/>
      <c r="X888" s="36"/>
      <c r="Y888" s="3"/>
      <c r="Z888" s="3"/>
      <c r="AA888" s="35"/>
      <c r="AB888" s="35"/>
      <c r="AC888" s="35"/>
      <c r="AD888" s="4"/>
      <c r="AE888" s="4"/>
      <c r="AF888" s="4"/>
      <c r="AG888" s="4"/>
      <c r="AH888" s="4"/>
      <c r="AI888" s="4"/>
      <c r="AJ888" s="4"/>
      <c r="AK888" s="4"/>
      <c r="AL888" s="4"/>
    </row>
    <row r="889" spans="1:38" ht="14.4">
      <c r="A889" s="34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20"/>
      <c r="P889" s="20"/>
      <c r="Q889" s="20"/>
      <c r="R889" s="20"/>
      <c r="S889" s="20"/>
      <c r="T889" s="35"/>
      <c r="U889" s="35"/>
      <c r="V889" s="3"/>
      <c r="W889" s="3"/>
      <c r="X889" s="36"/>
      <c r="Y889" s="3"/>
      <c r="Z889" s="3"/>
      <c r="AA889" s="35"/>
      <c r="AB889" s="35"/>
      <c r="AC889" s="35"/>
      <c r="AD889" s="4"/>
      <c r="AE889" s="4"/>
      <c r="AF889" s="4"/>
      <c r="AG889" s="4"/>
      <c r="AH889" s="4"/>
      <c r="AI889" s="4"/>
      <c r="AJ889" s="4"/>
      <c r="AK889" s="4"/>
      <c r="AL889" s="4"/>
    </row>
    <row r="890" spans="1:38" ht="14.4">
      <c r="A890" s="34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20"/>
      <c r="P890" s="20"/>
      <c r="Q890" s="20"/>
      <c r="R890" s="20"/>
      <c r="S890" s="20"/>
      <c r="T890" s="35"/>
      <c r="U890" s="35"/>
      <c r="V890" s="3"/>
      <c r="W890" s="3"/>
      <c r="X890" s="36"/>
      <c r="Y890" s="3"/>
      <c r="Z890" s="3"/>
      <c r="AA890" s="35"/>
      <c r="AB890" s="35"/>
      <c r="AC890" s="35"/>
      <c r="AD890" s="4"/>
      <c r="AE890" s="4"/>
      <c r="AF890" s="4"/>
      <c r="AG890" s="4"/>
      <c r="AH890" s="4"/>
      <c r="AI890" s="4"/>
      <c r="AJ890" s="4"/>
      <c r="AK890" s="4"/>
      <c r="AL890" s="4"/>
    </row>
    <row r="891" spans="1:38" ht="14.4">
      <c r="A891" s="34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20"/>
      <c r="P891" s="20"/>
      <c r="Q891" s="20"/>
      <c r="R891" s="20"/>
      <c r="S891" s="20"/>
      <c r="T891" s="35"/>
      <c r="U891" s="35"/>
      <c r="V891" s="3"/>
      <c r="W891" s="3"/>
      <c r="X891" s="36"/>
      <c r="Y891" s="3"/>
      <c r="Z891" s="3"/>
      <c r="AA891" s="35"/>
      <c r="AB891" s="35"/>
      <c r="AC891" s="35"/>
      <c r="AD891" s="4"/>
      <c r="AE891" s="4"/>
      <c r="AF891" s="4"/>
      <c r="AG891" s="4"/>
      <c r="AH891" s="4"/>
      <c r="AI891" s="4"/>
      <c r="AJ891" s="4"/>
      <c r="AK891" s="4"/>
      <c r="AL891" s="4"/>
    </row>
    <row r="892" spans="1:38" ht="14.4">
      <c r="A892" s="34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20"/>
      <c r="P892" s="20"/>
      <c r="Q892" s="20"/>
      <c r="R892" s="20"/>
      <c r="S892" s="20"/>
      <c r="T892" s="35"/>
      <c r="U892" s="35"/>
      <c r="V892" s="3"/>
      <c r="W892" s="3"/>
      <c r="X892" s="36"/>
      <c r="Y892" s="3"/>
      <c r="Z892" s="3"/>
      <c r="AA892" s="35"/>
      <c r="AB892" s="35"/>
      <c r="AC892" s="35"/>
      <c r="AD892" s="4"/>
      <c r="AE892" s="4"/>
      <c r="AF892" s="4"/>
      <c r="AG892" s="4"/>
      <c r="AH892" s="4"/>
      <c r="AI892" s="4"/>
      <c r="AJ892" s="4"/>
      <c r="AK892" s="4"/>
      <c r="AL892" s="4"/>
    </row>
    <row r="893" spans="1:38" ht="14.4">
      <c r="A893" s="34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20"/>
      <c r="P893" s="20"/>
      <c r="Q893" s="20"/>
      <c r="R893" s="20"/>
      <c r="S893" s="20"/>
      <c r="T893" s="35"/>
      <c r="U893" s="35"/>
      <c r="V893" s="3"/>
      <c r="W893" s="3"/>
      <c r="X893" s="36"/>
      <c r="Y893" s="3"/>
      <c r="Z893" s="3"/>
      <c r="AA893" s="35"/>
      <c r="AB893" s="35"/>
      <c r="AC893" s="35"/>
      <c r="AD893" s="4"/>
      <c r="AE893" s="4"/>
      <c r="AF893" s="4"/>
      <c r="AG893" s="4"/>
      <c r="AH893" s="4"/>
      <c r="AI893" s="4"/>
      <c r="AJ893" s="4"/>
      <c r="AK893" s="4"/>
      <c r="AL893" s="4"/>
    </row>
    <row r="894" spans="1:38" ht="14.4">
      <c r="A894" s="34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20"/>
      <c r="P894" s="20"/>
      <c r="Q894" s="20"/>
      <c r="R894" s="20"/>
      <c r="S894" s="20"/>
      <c r="T894" s="35"/>
      <c r="U894" s="35"/>
      <c r="V894" s="3"/>
      <c r="W894" s="3"/>
      <c r="X894" s="36"/>
      <c r="Y894" s="3"/>
      <c r="Z894" s="3"/>
      <c r="AA894" s="35"/>
      <c r="AB894" s="35"/>
      <c r="AC894" s="35"/>
      <c r="AD894" s="4"/>
      <c r="AE894" s="4"/>
      <c r="AF894" s="4"/>
      <c r="AG894" s="4"/>
      <c r="AH894" s="4"/>
      <c r="AI894" s="4"/>
      <c r="AJ894" s="4"/>
      <c r="AK894" s="4"/>
      <c r="AL894" s="4"/>
    </row>
    <row r="895" spans="1:38" ht="14.4">
      <c r="A895" s="34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20"/>
      <c r="P895" s="20"/>
      <c r="Q895" s="20"/>
      <c r="R895" s="20"/>
      <c r="S895" s="20"/>
      <c r="T895" s="35"/>
      <c r="U895" s="35"/>
      <c r="V895" s="3"/>
      <c r="W895" s="3"/>
      <c r="X895" s="36"/>
      <c r="Y895" s="3"/>
      <c r="Z895" s="3"/>
      <c r="AA895" s="35"/>
      <c r="AB895" s="35"/>
      <c r="AC895" s="35"/>
      <c r="AD895" s="4"/>
      <c r="AE895" s="4"/>
      <c r="AF895" s="4"/>
      <c r="AG895" s="4"/>
      <c r="AH895" s="4"/>
      <c r="AI895" s="4"/>
      <c r="AJ895" s="4"/>
      <c r="AK895" s="4"/>
      <c r="AL895" s="4"/>
    </row>
    <row r="896" spans="1:38" ht="14.4">
      <c r="A896" s="34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20"/>
      <c r="P896" s="20"/>
      <c r="Q896" s="20"/>
      <c r="R896" s="20"/>
      <c r="S896" s="20"/>
      <c r="T896" s="35"/>
      <c r="U896" s="35"/>
      <c r="V896" s="3"/>
      <c r="W896" s="3"/>
      <c r="X896" s="36"/>
      <c r="Y896" s="3"/>
      <c r="Z896" s="3"/>
      <c r="AA896" s="35"/>
      <c r="AB896" s="35"/>
      <c r="AC896" s="35"/>
      <c r="AD896" s="4"/>
      <c r="AE896" s="4"/>
      <c r="AF896" s="4"/>
      <c r="AG896" s="4"/>
      <c r="AH896" s="4"/>
      <c r="AI896" s="4"/>
      <c r="AJ896" s="4"/>
      <c r="AK896" s="4"/>
      <c r="AL896" s="4"/>
    </row>
    <row r="897" spans="1:38" ht="14.4">
      <c r="A897" s="34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20"/>
      <c r="P897" s="20"/>
      <c r="Q897" s="20"/>
      <c r="R897" s="20"/>
      <c r="S897" s="20"/>
      <c r="T897" s="35"/>
      <c r="U897" s="35"/>
      <c r="V897" s="3"/>
      <c r="W897" s="3"/>
      <c r="X897" s="36"/>
      <c r="Y897" s="3"/>
      <c r="Z897" s="3"/>
      <c r="AA897" s="35"/>
      <c r="AB897" s="35"/>
      <c r="AC897" s="35"/>
      <c r="AD897" s="4"/>
      <c r="AE897" s="4"/>
      <c r="AF897" s="4"/>
      <c r="AG897" s="4"/>
      <c r="AH897" s="4"/>
      <c r="AI897" s="4"/>
      <c r="AJ897" s="4"/>
      <c r="AK897" s="4"/>
      <c r="AL897" s="4"/>
    </row>
    <row r="898" spans="1:38" ht="14.4">
      <c r="A898" s="34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20"/>
      <c r="P898" s="20"/>
      <c r="Q898" s="20"/>
      <c r="R898" s="20"/>
      <c r="S898" s="20"/>
      <c r="T898" s="35"/>
      <c r="U898" s="35"/>
      <c r="V898" s="3"/>
      <c r="W898" s="3"/>
      <c r="X898" s="36"/>
      <c r="Y898" s="3"/>
      <c r="Z898" s="3"/>
      <c r="AA898" s="35"/>
      <c r="AB898" s="35"/>
      <c r="AC898" s="35"/>
      <c r="AD898" s="4"/>
      <c r="AE898" s="4"/>
      <c r="AF898" s="4"/>
      <c r="AG898" s="4"/>
      <c r="AH898" s="4"/>
      <c r="AI898" s="4"/>
      <c r="AJ898" s="4"/>
      <c r="AK898" s="4"/>
      <c r="AL898" s="4"/>
    </row>
    <row r="899" spans="1:38" ht="14.4">
      <c r="A899" s="34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20"/>
      <c r="P899" s="20"/>
      <c r="Q899" s="20"/>
      <c r="R899" s="20"/>
      <c r="S899" s="20"/>
      <c r="T899" s="35"/>
      <c r="U899" s="35"/>
      <c r="V899" s="3"/>
      <c r="W899" s="3"/>
      <c r="X899" s="36"/>
      <c r="Y899" s="3"/>
      <c r="Z899" s="3"/>
      <c r="AA899" s="35"/>
      <c r="AB899" s="35"/>
      <c r="AC899" s="35"/>
      <c r="AD899" s="4"/>
      <c r="AE899" s="4"/>
      <c r="AF899" s="4"/>
      <c r="AG899" s="4"/>
      <c r="AH899" s="4"/>
      <c r="AI899" s="4"/>
      <c r="AJ899" s="4"/>
      <c r="AK899" s="4"/>
      <c r="AL899" s="4"/>
    </row>
    <row r="900" spans="1:38" ht="14.4">
      <c r="A900" s="34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20"/>
      <c r="P900" s="20"/>
      <c r="Q900" s="20"/>
      <c r="R900" s="20"/>
      <c r="S900" s="20"/>
      <c r="T900" s="35"/>
      <c r="U900" s="35"/>
      <c r="V900" s="3"/>
      <c r="W900" s="3"/>
      <c r="X900" s="36"/>
      <c r="Y900" s="3"/>
      <c r="Z900" s="3"/>
      <c r="AA900" s="35"/>
      <c r="AB900" s="35"/>
      <c r="AC900" s="35"/>
      <c r="AD900" s="4"/>
      <c r="AE900" s="4"/>
      <c r="AF900" s="4"/>
      <c r="AG900" s="4"/>
      <c r="AH900" s="4"/>
      <c r="AI900" s="4"/>
      <c r="AJ900" s="4"/>
      <c r="AK900" s="4"/>
      <c r="AL900" s="4"/>
    </row>
    <row r="901" spans="1:38" ht="14.4">
      <c r="A901" s="34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20"/>
      <c r="P901" s="20"/>
      <c r="Q901" s="20"/>
      <c r="R901" s="20"/>
      <c r="S901" s="20"/>
      <c r="T901" s="35"/>
      <c r="U901" s="35"/>
      <c r="V901" s="3"/>
      <c r="W901" s="3"/>
      <c r="X901" s="36"/>
      <c r="Y901" s="3"/>
      <c r="Z901" s="3"/>
      <c r="AA901" s="35"/>
      <c r="AB901" s="35"/>
      <c r="AC901" s="35"/>
      <c r="AD901" s="4"/>
      <c r="AE901" s="4"/>
      <c r="AF901" s="4"/>
      <c r="AG901" s="4"/>
      <c r="AH901" s="4"/>
      <c r="AI901" s="4"/>
      <c r="AJ901" s="4"/>
      <c r="AK901" s="4"/>
      <c r="AL901" s="4"/>
    </row>
    <row r="902" spans="1:38" ht="14.4">
      <c r="A902" s="34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20"/>
      <c r="P902" s="20"/>
      <c r="Q902" s="20"/>
      <c r="R902" s="20"/>
      <c r="S902" s="20"/>
      <c r="T902" s="35"/>
      <c r="U902" s="35"/>
      <c r="V902" s="3"/>
      <c r="W902" s="3"/>
      <c r="X902" s="36"/>
      <c r="Y902" s="3"/>
      <c r="Z902" s="3"/>
      <c r="AA902" s="35"/>
      <c r="AB902" s="35"/>
      <c r="AC902" s="35"/>
      <c r="AD902" s="4"/>
      <c r="AE902" s="4"/>
      <c r="AF902" s="4"/>
      <c r="AG902" s="4"/>
      <c r="AH902" s="4"/>
      <c r="AI902" s="4"/>
      <c r="AJ902" s="4"/>
      <c r="AK902" s="4"/>
      <c r="AL902" s="4"/>
    </row>
    <row r="903" spans="1:38" ht="14.4">
      <c r="A903" s="34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20"/>
      <c r="P903" s="20"/>
      <c r="Q903" s="20"/>
      <c r="R903" s="20"/>
      <c r="S903" s="20"/>
      <c r="T903" s="35"/>
      <c r="U903" s="35"/>
      <c r="V903" s="3"/>
      <c r="W903" s="3"/>
      <c r="X903" s="36"/>
      <c r="Y903" s="3"/>
      <c r="Z903" s="3"/>
      <c r="AA903" s="35"/>
      <c r="AB903" s="35"/>
      <c r="AC903" s="35"/>
      <c r="AD903" s="4"/>
      <c r="AE903" s="4"/>
      <c r="AF903" s="4"/>
      <c r="AG903" s="4"/>
      <c r="AH903" s="4"/>
      <c r="AI903" s="4"/>
      <c r="AJ903" s="4"/>
      <c r="AK903" s="4"/>
      <c r="AL903" s="4"/>
    </row>
    <row r="904" spans="1:38" ht="14.4">
      <c r="A904" s="34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20"/>
      <c r="P904" s="20"/>
      <c r="Q904" s="20"/>
      <c r="R904" s="20"/>
      <c r="S904" s="20"/>
      <c r="T904" s="35"/>
      <c r="U904" s="35"/>
      <c r="V904" s="3"/>
      <c r="W904" s="3"/>
      <c r="X904" s="36"/>
      <c r="Y904" s="3"/>
      <c r="Z904" s="3"/>
      <c r="AA904" s="35"/>
      <c r="AB904" s="35"/>
      <c r="AC904" s="35"/>
      <c r="AD904" s="4"/>
      <c r="AE904" s="4"/>
      <c r="AF904" s="4"/>
      <c r="AG904" s="4"/>
      <c r="AH904" s="4"/>
      <c r="AI904" s="4"/>
      <c r="AJ904" s="4"/>
      <c r="AK904" s="4"/>
      <c r="AL904" s="4"/>
    </row>
    <row r="905" spans="1:38" ht="14.4">
      <c r="A905" s="34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20"/>
      <c r="P905" s="20"/>
      <c r="Q905" s="20"/>
      <c r="R905" s="20"/>
      <c r="S905" s="20"/>
      <c r="T905" s="35"/>
      <c r="U905" s="35"/>
      <c r="V905" s="3"/>
      <c r="W905" s="3"/>
      <c r="X905" s="36"/>
      <c r="Y905" s="3"/>
      <c r="Z905" s="3"/>
      <c r="AA905" s="35"/>
      <c r="AB905" s="35"/>
      <c r="AC905" s="35"/>
      <c r="AD905" s="4"/>
      <c r="AE905" s="4"/>
      <c r="AF905" s="4"/>
      <c r="AG905" s="4"/>
      <c r="AH905" s="4"/>
      <c r="AI905" s="4"/>
      <c r="AJ905" s="4"/>
      <c r="AK905" s="4"/>
      <c r="AL905" s="4"/>
    </row>
    <row r="906" spans="1:38" ht="14.4">
      <c r="A906" s="34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20"/>
      <c r="P906" s="20"/>
      <c r="Q906" s="20"/>
      <c r="R906" s="20"/>
      <c r="S906" s="20"/>
      <c r="T906" s="35"/>
      <c r="U906" s="35"/>
      <c r="V906" s="3"/>
      <c r="W906" s="3"/>
      <c r="X906" s="36"/>
      <c r="Y906" s="3"/>
      <c r="Z906" s="3"/>
      <c r="AA906" s="35"/>
      <c r="AB906" s="35"/>
      <c r="AC906" s="35"/>
      <c r="AD906" s="4"/>
      <c r="AE906" s="4"/>
      <c r="AF906" s="4"/>
      <c r="AG906" s="4"/>
      <c r="AH906" s="4"/>
      <c r="AI906" s="4"/>
      <c r="AJ906" s="4"/>
      <c r="AK906" s="4"/>
      <c r="AL906" s="4"/>
    </row>
    <row r="907" spans="1:38" ht="14.4">
      <c r="A907" s="34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20"/>
      <c r="P907" s="20"/>
      <c r="Q907" s="20"/>
      <c r="R907" s="20"/>
      <c r="S907" s="20"/>
      <c r="T907" s="35"/>
      <c r="U907" s="35"/>
      <c r="V907" s="3"/>
      <c r="W907" s="3"/>
      <c r="X907" s="36"/>
      <c r="Y907" s="3"/>
      <c r="Z907" s="3"/>
      <c r="AA907" s="35"/>
      <c r="AB907" s="35"/>
      <c r="AC907" s="35"/>
      <c r="AD907" s="4"/>
      <c r="AE907" s="4"/>
      <c r="AF907" s="4"/>
      <c r="AG907" s="4"/>
      <c r="AH907" s="4"/>
      <c r="AI907" s="4"/>
      <c r="AJ907" s="4"/>
      <c r="AK907" s="4"/>
      <c r="AL907" s="4"/>
    </row>
    <row r="908" spans="1:38" ht="14.4">
      <c r="A908" s="34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20"/>
      <c r="P908" s="20"/>
      <c r="Q908" s="20"/>
      <c r="R908" s="20"/>
      <c r="S908" s="20"/>
      <c r="T908" s="35"/>
      <c r="U908" s="35"/>
      <c r="V908" s="3"/>
      <c r="W908" s="3"/>
      <c r="X908" s="36"/>
      <c r="Y908" s="3"/>
      <c r="Z908" s="3"/>
      <c r="AA908" s="35"/>
      <c r="AB908" s="35"/>
      <c r="AC908" s="35"/>
      <c r="AD908" s="4"/>
      <c r="AE908" s="4"/>
      <c r="AF908" s="4"/>
      <c r="AG908" s="4"/>
      <c r="AH908" s="4"/>
      <c r="AI908" s="4"/>
      <c r="AJ908" s="4"/>
      <c r="AK908" s="4"/>
      <c r="AL908" s="4"/>
    </row>
    <row r="909" spans="1:38" ht="14.4">
      <c r="A909" s="34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20"/>
      <c r="P909" s="20"/>
      <c r="Q909" s="20"/>
      <c r="R909" s="20"/>
      <c r="S909" s="20"/>
      <c r="T909" s="35"/>
      <c r="U909" s="35"/>
      <c r="V909" s="3"/>
      <c r="W909" s="3"/>
      <c r="X909" s="36"/>
      <c r="Y909" s="3"/>
      <c r="Z909" s="3"/>
      <c r="AA909" s="35"/>
      <c r="AB909" s="35"/>
      <c r="AC909" s="35"/>
      <c r="AD909" s="4"/>
      <c r="AE909" s="4"/>
      <c r="AF909" s="4"/>
      <c r="AG909" s="4"/>
      <c r="AH909" s="4"/>
      <c r="AI909" s="4"/>
      <c r="AJ909" s="4"/>
      <c r="AK909" s="4"/>
      <c r="AL909" s="4"/>
    </row>
    <row r="910" spans="1:38" ht="14.4">
      <c r="A910" s="34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20"/>
      <c r="P910" s="20"/>
      <c r="Q910" s="20"/>
      <c r="R910" s="20"/>
      <c r="S910" s="20"/>
      <c r="T910" s="35"/>
      <c r="U910" s="35"/>
      <c r="V910" s="3"/>
      <c r="W910" s="3"/>
      <c r="X910" s="36"/>
      <c r="Y910" s="3"/>
      <c r="Z910" s="3"/>
      <c r="AA910" s="35"/>
      <c r="AB910" s="35"/>
      <c r="AC910" s="35"/>
      <c r="AD910" s="4"/>
      <c r="AE910" s="4"/>
      <c r="AF910" s="4"/>
      <c r="AG910" s="4"/>
      <c r="AH910" s="4"/>
      <c r="AI910" s="4"/>
      <c r="AJ910" s="4"/>
      <c r="AK910" s="4"/>
      <c r="AL910" s="4"/>
    </row>
    <row r="911" spans="1:38" ht="14.4">
      <c r="A911" s="34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20"/>
      <c r="P911" s="20"/>
      <c r="Q911" s="20"/>
      <c r="R911" s="20"/>
      <c r="S911" s="20"/>
      <c r="T911" s="35"/>
      <c r="U911" s="35"/>
      <c r="V911" s="3"/>
      <c r="W911" s="3"/>
      <c r="X911" s="36"/>
      <c r="Y911" s="3"/>
      <c r="Z911" s="3"/>
      <c r="AA911" s="35"/>
      <c r="AB911" s="35"/>
      <c r="AC911" s="35"/>
      <c r="AD911" s="4"/>
      <c r="AE911" s="4"/>
      <c r="AF911" s="4"/>
      <c r="AG911" s="4"/>
      <c r="AH911" s="4"/>
      <c r="AI911" s="4"/>
      <c r="AJ911" s="4"/>
      <c r="AK911" s="4"/>
      <c r="AL911" s="4"/>
    </row>
    <row r="912" spans="1:38" ht="14.4">
      <c r="A912" s="34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20"/>
      <c r="P912" s="20"/>
      <c r="Q912" s="20"/>
      <c r="R912" s="20"/>
      <c r="S912" s="20"/>
      <c r="T912" s="35"/>
      <c r="U912" s="35"/>
      <c r="V912" s="3"/>
      <c r="W912" s="3"/>
      <c r="X912" s="36"/>
      <c r="Y912" s="3"/>
      <c r="Z912" s="3"/>
      <c r="AA912" s="35"/>
      <c r="AB912" s="35"/>
      <c r="AC912" s="35"/>
      <c r="AD912" s="4"/>
      <c r="AE912" s="4"/>
      <c r="AF912" s="4"/>
      <c r="AG912" s="4"/>
      <c r="AH912" s="4"/>
      <c r="AI912" s="4"/>
      <c r="AJ912" s="4"/>
      <c r="AK912" s="4"/>
      <c r="AL912" s="4"/>
    </row>
    <row r="913" spans="1:38" ht="14.4">
      <c r="A913" s="34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20"/>
      <c r="P913" s="20"/>
      <c r="Q913" s="20"/>
      <c r="R913" s="20"/>
      <c r="S913" s="20"/>
      <c r="T913" s="35"/>
      <c r="U913" s="35"/>
      <c r="V913" s="3"/>
      <c r="W913" s="3"/>
      <c r="X913" s="36"/>
      <c r="Y913" s="3"/>
      <c r="Z913" s="3"/>
      <c r="AA913" s="35"/>
      <c r="AB913" s="35"/>
      <c r="AC913" s="35"/>
      <c r="AD913" s="4"/>
      <c r="AE913" s="4"/>
      <c r="AF913" s="4"/>
      <c r="AG913" s="4"/>
      <c r="AH913" s="4"/>
      <c r="AI913" s="4"/>
      <c r="AJ913" s="4"/>
      <c r="AK913" s="4"/>
      <c r="AL913" s="4"/>
    </row>
    <row r="914" spans="1:38" ht="14.4">
      <c r="A914" s="34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20"/>
      <c r="P914" s="20"/>
      <c r="Q914" s="20"/>
      <c r="R914" s="20"/>
      <c r="S914" s="20"/>
      <c r="T914" s="35"/>
      <c r="U914" s="35"/>
      <c r="V914" s="3"/>
      <c r="W914" s="3"/>
      <c r="X914" s="36"/>
      <c r="Y914" s="3"/>
      <c r="Z914" s="3"/>
      <c r="AA914" s="35"/>
      <c r="AB914" s="35"/>
      <c r="AC914" s="35"/>
      <c r="AD914" s="4"/>
      <c r="AE914" s="4"/>
      <c r="AF914" s="4"/>
      <c r="AG914" s="4"/>
      <c r="AH914" s="4"/>
      <c r="AI914" s="4"/>
      <c r="AJ914" s="4"/>
      <c r="AK914" s="4"/>
      <c r="AL914" s="4"/>
    </row>
    <row r="915" spans="1:38" ht="14.4">
      <c r="A915" s="34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20"/>
      <c r="P915" s="20"/>
      <c r="Q915" s="20"/>
      <c r="R915" s="20"/>
      <c r="S915" s="20"/>
      <c r="T915" s="35"/>
      <c r="U915" s="35"/>
      <c r="V915" s="3"/>
      <c r="W915" s="3"/>
      <c r="X915" s="36"/>
      <c r="Y915" s="3"/>
      <c r="Z915" s="3"/>
      <c r="AA915" s="35"/>
      <c r="AB915" s="35"/>
      <c r="AC915" s="35"/>
      <c r="AD915" s="4"/>
      <c r="AE915" s="4"/>
      <c r="AF915" s="4"/>
      <c r="AG915" s="4"/>
      <c r="AH915" s="4"/>
      <c r="AI915" s="4"/>
      <c r="AJ915" s="4"/>
      <c r="AK915" s="4"/>
      <c r="AL915" s="4"/>
    </row>
    <row r="916" spans="1:38" ht="14.4">
      <c r="A916" s="34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20"/>
      <c r="P916" s="20"/>
      <c r="Q916" s="20"/>
      <c r="R916" s="20"/>
      <c r="S916" s="20"/>
      <c r="T916" s="35"/>
      <c r="U916" s="35"/>
      <c r="V916" s="3"/>
      <c r="W916" s="3"/>
      <c r="X916" s="36"/>
      <c r="Y916" s="3"/>
      <c r="Z916" s="3"/>
      <c r="AA916" s="35"/>
      <c r="AB916" s="35"/>
      <c r="AC916" s="35"/>
      <c r="AD916" s="4"/>
      <c r="AE916" s="4"/>
      <c r="AF916" s="4"/>
      <c r="AG916" s="4"/>
      <c r="AH916" s="4"/>
      <c r="AI916" s="4"/>
      <c r="AJ916" s="4"/>
      <c r="AK916" s="4"/>
      <c r="AL916" s="4"/>
    </row>
    <row r="917" spans="1:38" ht="14.4">
      <c r="A917" s="34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20"/>
      <c r="P917" s="20"/>
      <c r="Q917" s="20"/>
      <c r="R917" s="20"/>
      <c r="S917" s="20"/>
      <c r="T917" s="35"/>
      <c r="U917" s="35"/>
      <c r="V917" s="3"/>
      <c r="W917" s="3"/>
      <c r="X917" s="36"/>
      <c r="Y917" s="3"/>
      <c r="Z917" s="3"/>
      <c r="AA917" s="35"/>
      <c r="AB917" s="35"/>
      <c r="AC917" s="35"/>
      <c r="AD917" s="4"/>
      <c r="AE917" s="4"/>
      <c r="AF917" s="4"/>
      <c r="AG917" s="4"/>
      <c r="AH917" s="4"/>
      <c r="AI917" s="4"/>
      <c r="AJ917" s="4"/>
      <c r="AK917" s="4"/>
      <c r="AL917" s="4"/>
    </row>
    <row r="918" spans="1:38" ht="14.4">
      <c r="A918" s="34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20"/>
      <c r="P918" s="20"/>
      <c r="Q918" s="20"/>
      <c r="R918" s="20"/>
      <c r="S918" s="20"/>
      <c r="T918" s="35"/>
      <c r="U918" s="35"/>
      <c r="V918" s="3"/>
      <c r="W918" s="3"/>
      <c r="X918" s="36"/>
      <c r="Y918" s="3"/>
      <c r="Z918" s="3"/>
      <c r="AA918" s="35"/>
      <c r="AB918" s="35"/>
      <c r="AC918" s="35"/>
      <c r="AD918" s="4"/>
      <c r="AE918" s="4"/>
      <c r="AF918" s="4"/>
      <c r="AG918" s="4"/>
      <c r="AH918" s="4"/>
      <c r="AI918" s="4"/>
      <c r="AJ918" s="4"/>
      <c r="AK918" s="4"/>
      <c r="AL918" s="4"/>
    </row>
    <row r="919" spans="1:38" ht="14.4">
      <c r="A919" s="34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20"/>
      <c r="P919" s="20"/>
      <c r="Q919" s="20"/>
      <c r="R919" s="20"/>
      <c r="S919" s="20"/>
      <c r="T919" s="35"/>
      <c r="U919" s="35"/>
      <c r="V919" s="3"/>
      <c r="W919" s="3"/>
      <c r="X919" s="36"/>
      <c r="Y919" s="3"/>
      <c r="Z919" s="3"/>
      <c r="AA919" s="35"/>
      <c r="AB919" s="35"/>
      <c r="AC919" s="35"/>
      <c r="AD919" s="4"/>
      <c r="AE919" s="4"/>
      <c r="AF919" s="4"/>
      <c r="AG919" s="4"/>
      <c r="AH919" s="4"/>
      <c r="AI919" s="4"/>
      <c r="AJ919" s="4"/>
      <c r="AK919" s="4"/>
      <c r="AL919" s="4"/>
    </row>
    <row r="920" spans="1:38" ht="14.4">
      <c r="A920" s="34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20"/>
      <c r="P920" s="20"/>
      <c r="Q920" s="20"/>
      <c r="R920" s="20"/>
      <c r="S920" s="20"/>
      <c r="T920" s="35"/>
      <c r="U920" s="35"/>
      <c r="V920" s="3"/>
      <c r="W920" s="3"/>
      <c r="X920" s="36"/>
      <c r="Y920" s="3"/>
      <c r="Z920" s="3"/>
      <c r="AA920" s="35"/>
      <c r="AB920" s="35"/>
      <c r="AC920" s="35"/>
      <c r="AD920" s="4"/>
      <c r="AE920" s="4"/>
      <c r="AF920" s="4"/>
      <c r="AG920" s="4"/>
      <c r="AH920" s="4"/>
      <c r="AI920" s="4"/>
      <c r="AJ920" s="4"/>
      <c r="AK920" s="4"/>
      <c r="AL920" s="4"/>
    </row>
    <row r="921" spans="1:38" ht="14.4">
      <c r="A921" s="34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20"/>
      <c r="P921" s="20"/>
      <c r="Q921" s="20"/>
      <c r="R921" s="20"/>
      <c r="S921" s="20"/>
      <c r="T921" s="35"/>
      <c r="U921" s="35"/>
      <c r="V921" s="3"/>
      <c r="W921" s="3"/>
      <c r="X921" s="36"/>
      <c r="Y921" s="3"/>
      <c r="Z921" s="3"/>
      <c r="AA921" s="35"/>
      <c r="AB921" s="35"/>
      <c r="AC921" s="35"/>
      <c r="AD921" s="4"/>
      <c r="AE921" s="4"/>
      <c r="AF921" s="4"/>
      <c r="AG921" s="4"/>
      <c r="AH921" s="4"/>
      <c r="AI921" s="4"/>
      <c r="AJ921" s="4"/>
      <c r="AK921" s="4"/>
      <c r="AL921" s="4"/>
    </row>
    <row r="922" spans="1:38" ht="14.4">
      <c r="A922" s="34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20"/>
      <c r="P922" s="20"/>
      <c r="Q922" s="20"/>
      <c r="R922" s="20"/>
      <c r="S922" s="20"/>
      <c r="T922" s="35"/>
      <c r="U922" s="35"/>
      <c r="V922" s="3"/>
      <c r="W922" s="3"/>
      <c r="X922" s="36"/>
      <c r="Y922" s="3"/>
      <c r="Z922" s="3"/>
      <c r="AA922" s="35"/>
      <c r="AB922" s="35"/>
      <c r="AC922" s="35"/>
      <c r="AD922" s="4"/>
      <c r="AE922" s="4"/>
      <c r="AF922" s="4"/>
      <c r="AG922" s="4"/>
      <c r="AH922" s="4"/>
      <c r="AI922" s="4"/>
      <c r="AJ922" s="4"/>
      <c r="AK922" s="4"/>
      <c r="AL922" s="4"/>
    </row>
    <row r="923" spans="1:38" ht="14.4">
      <c r="A923" s="34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20"/>
      <c r="P923" s="20"/>
      <c r="Q923" s="20"/>
      <c r="R923" s="20"/>
      <c r="S923" s="20"/>
      <c r="T923" s="35"/>
      <c r="U923" s="35"/>
      <c r="V923" s="3"/>
      <c r="W923" s="3"/>
      <c r="X923" s="36"/>
      <c r="Y923" s="3"/>
      <c r="Z923" s="3"/>
      <c r="AA923" s="35"/>
      <c r="AB923" s="35"/>
      <c r="AC923" s="35"/>
      <c r="AD923" s="4"/>
      <c r="AE923" s="4"/>
      <c r="AF923" s="4"/>
      <c r="AG923" s="4"/>
      <c r="AH923" s="4"/>
      <c r="AI923" s="4"/>
      <c r="AJ923" s="4"/>
      <c r="AK923" s="4"/>
      <c r="AL923" s="4"/>
    </row>
    <row r="924" spans="1:38" ht="14.4">
      <c r="A924" s="34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20"/>
      <c r="P924" s="20"/>
      <c r="Q924" s="20"/>
      <c r="R924" s="20"/>
      <c r="S924" s="20"/>
      <c r="T924" s="35"/>
      <c r="U924" s="35"/>
      <c r="V924" s="3"/>
      <c r="W924" s="3"/>
      <c r="X924" s="36"/>
      <c r="Y924" s="3"/>
      <c r="Z924" s="3"/>
      <c r="AA924" s="35"/>
      <c r="AB924" s="35"/>
      <c r="AC924" s="35"/>
      <c r="AD924" s="4"/>
      <c r="AE924" s="4"/>
      <c r="AF924" s="4"/>
      <c r="AG924" s="4"/>
      <c r="AH924" s="4"/>
      <c r="AI924" s="4"/>
      <c r="AJ924" s="4"/>
      <c r="AK924" s="4"/>
      <c r="AL924" s="4"/>
    </row>
    <row r="925" spans="1:38" ht="14.4">
      <c r="A925" s="34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20"/>
      <c r="P925" s="20"/>
      <c r="Q925" s="20"/>
      <c r="R925" s="20"/>
      <c r="S925" s="20"/>
      <c r="T925" s="35"/>
      <c r="U925" s="35"/>
      <c r="V925" s="3"/>
      <c r="W925" s="3"/>
      <c r="X925" s="36"/>
      <c r="Y925" s="3"/>
      <c r="Z925" s="3"/>
      <c r="AA925" s="35"/>
      <c r="AB925" s="35"/>
      <c r="AC925" s="35"/>
      <c r="AD925" s="4"/>
      <c r="AE925" s="4"/>
      <c r="AF925" s="4"/>
      <c r="AG925" s="4"/>
      <c r="AH925" s="4"/>
      <c r="AI925" s="4"/>
      <c r="AJ925" s="4"/>
      <c r="AK925" s="4"/>
      <c r="AL925" s="4"/>
    </row>
    <row r="926" spans="1:38" ht="14.4">
      <c r="A926" s="34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20"/>
      <c r="P926" s="20"/>
      <c r="Q926" s="20"/>
      <c r="R926" s="20"/>
      <c r="S926" s="20"/>
      <c r="T926" s="35"/>
      <c r="U926" s="35"/>
      <c r="V926" s="3"/>
      <c r="W926" s="3"/>
      <c r="X926" s="36"/>
      <c r="Y926" s="3"/>
      <c r="Z926" s="3"/>
      <c r="AA926" s="35"/>
      <c r="AB926" s="35"/>
      <c r="AC926" s="35"/>
      <c r="AD926" s="4"/>
      <c r="AE926" s="4"/>
      <c r="AF926" s="4"/>
      <c r="AG926" s="4"/>
      <c r="AH926" s="4"/>
      <c r="AI926" s="4"/>
      <c r="AJ926" s="4"/>
      <c r="AK926" s="4"/>
      <c r="AL926" s="4"/>
    </row>
    <row r="927" spans="1:38" ht="14.4">
      <c r="A927" s="34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20"/>
      <c r="P927" s="20"/>
      <c r="Q927" s="20"/>
      <c r="R927" s="20"/>
      <c r="S927" s="20"/>
      <c r="T927" s="35"/>
      <c r="U927" s="35"/>
      <c r="V927" s="3"/>
      <c r="W927" s="3"/>
      <c r="X927" s="36"/>
      <c r="Y927" s="3"/>
      <c r="Z927" s="3"/>
      <c r="AA927" s="35"/>
      <c r="AB927" s="35"/>
      <c r="AC927" s="35"/>
      <c r="AD927" s="4"/>
      <c r="AE927" s="4"/>
      <c r="AF927" s="4"/>
      <c r="AG927" s="4"/>
      <c r="AH927" s="4"/>
      <c r="AI927" s="4"/>
      <c r="AJ927" s="4"/>
      <c r="AK927" s="4"/>
      <c r="AL927" s="4"/>
    </row>
    <row r="928" spans="1:38" ht="14.4">
      <c r="A928" s="34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20"/>
      <c r="P928" s="20"/>
      <c r="Q928" s="20"/>
      <c r="R928" s="20"/>
      <c r="S928" s="20"/>
      <c r="T928" s="35"/>
      <c r="U928" s="35"/>
      <c r="V928" s="3"/>
      <c r="W928" s="3"/>
      <c r="X928" s="36"/>
      <c r="Y928" s="3"/>
      <c r="Z928" s="3"/>
      <c r="AA928" s="35"/>
      <c r="AB928" s="35"/>
      <c r="AC928" s="35"/>
      <c r="AD928" s="4"/>
      <c r="AE928" s="4"/>
      <c r="AF928" s="4"/>
      <c r="AG928" s="4"/>
      <c r="AH928" s="4"/>
      <c r="AI928" s="4"/>
      <c r="AJ928" s="4"/>
      <c r="AK928" s="4"/>
      <c r="AL928" s="4"/>
    </row>
    <row r="929" spans="1:38" ht="14.4">
      <c r="A929" s="34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20"/>
      <c r="P929" s="20"/>
      <c r="Q929" s="20"/>
      <c r="R929" s="20"/>
      <c r="S929" s="20"/>
      <c r="T929" s="35"/>
      <c r="U929" s="35"/>
      <c r="V929" s="3"/>
      <c r="W929" s="3"/>
      <c r="X929" s="36"/>
      <c r="Y929" s="3"/>
      <c r="Z929" s="3"/>
      <c r="AA929" s="35"/>
      <c r="AB929" s="35"/>
      <c r="AC929" s="35"/>
      <c r="AD929" s="4"/>
      <c r="AE929" s="4"/>
      <c r="AF929" s="4"/>
      <c r="AG929" s="4"/>
      <c r="AH929" s="4"/>
      <c r="AI929" s="4"/>
      <c r="AJ929" s="4"/>
      <c r="AK929" s="4"/>
      <c r="AL929" s="4"/>
    </row>
    <row r="930" spans="1:38" ht="14.4">
      <c r="A930" s="34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20"/>
      <c r="P930" s="20"/>
      <c r="Q930" s="20"/>
      <c r="R930" s="20"/>
      <c r="S930" s="20"/>
      <c r="T930" s="35"/>
      <c r="U930" s="35"/>
      <c r="V930" s="3"/>
      <c r="W930" s="3"/>
      <c r="X930" s="36"/>
      <c r="Y930" s="3"/>
      <c r="Z930" s="3"/>
      <c r="AA930" s="35"/>
      <c r="AB930" s="35"/>
      <c r="AC930" s="35"/>
      <c r="AD930" s="4"/>
      <c r="AE930" s="4"/>
      <c r="AF930" s="4"/>
      <c r="AG930" s="4"/>
      <c r="AH930" s="4"/>
      <c r="AI930" s="4"/>
      <c r="AJ930" s="4"/>
      <c r="AK930" s="4"/>
      <c r="AL930" s="4"/>
    </row>
    <row r="931" spans="1:38" ht="14.4">
      <c r="A931" s="34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20"/>
      <c r="P931" s="20"/>
      <c r="Q931" s="20"/>
      <c r="R931" s="20"/>
      <c r="S931" s="20"/>
      <c r="T931" s="35"/>
      <c r="U931" s="35"/>
      <c r="V931" s="3"/>
      <c r="W931" s="3"/>
      <c r="X931" s="36"/>
      <c r="Y931" s="3"/>
      <c r="Z931" s="3"/>
      <c r="AA931" s="35"/>
      <c r="AB931" s="35"/>
      <c r="AC931" s="35"/>
      <c r="AD931" s="4"/>
      <c r="AE931" s="4"/>
      <c r="AF931" s="4"/>
      <c r="AG931" s="4"/>
      <c r="AH931" s="4"/>
      <c r="AI931" s="4"/>
      <c r="AJ931" s="4"/>
      <c r="AK931" s="4"/>
      <c r="AL931" s="4"/>
    </row>
    <row r="932" spans="1:38" ht="14.4">
      <c r="A932" s="34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20"/>
      <c r="P932" s="20"/>
      <c r="Q932" s="20"/>
      <c r="R932" s="20"/>
      <c r="S932" s="20"/>
      <c r="T932" s="35"/>
      <c r="U932" s="35"/>
      <c r="V932" s="3"/>
      <c r="W932" s="3"/>
      <c r="X932" s="36"/>
      <c r="Y932" s="3"/>
      <c r="Z932" s="3"/>
      <c r="AA932" s="35"/>
      <c r="AB932" s="35"/>
      <c r="AC932" s="35"/>
      <c r="AD932" s="4"/>
      <c r="AE932" s="4"/>
      <c r="AF932" s="4"/>
      <c r="AG932" s="4"/>
      <c r="AH932" s="4"/>
      <c r="AI932" s="4"/>
      <c r="AJ932" s="4"/>
      <c r="AK932" s="4"/>
      <c r="AL932" s="4"/>
    </row>
    <row r="933" spans="1:38" ht="14.4">
      <c r="A933" s="34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20"/>
      <c r="P933" s="20"/>
      <c r="Q933" s="20"/>
      <c r="R933" s="20"/>
      <c r="S933" s="20"/>
      <c r="T933" s="35"/>
      <c r="U933" s="35"/>
      <c r="V933" s="3"/>
      <c r="W933" s="3"/>
      <c r="X933" s="36"/>
      <c r="Y933" s="3"/>
      <c r="Z933" s="3"/>
      <c r="AA933" s="35"/>
      <c r="AB933" s="35"/>
      <c r="AC933" s="35"/>
      <c r="AD933" s="4"/>
      <c r="AE933" s="4"/>
      <c r="AF933" s="4"/>
      <c r="AG933" s="4"/>
      <c r="AH933" s="4"/>
      <c r="AI933" s="4"/>
      <c r="AJ933" s="4"/>
      <c r="AK933" s="4"/>
      <c r="AL933" s="4"/>
    </row>
    <row r="934" spans="1:38" ht="14.4">
      <c r="A934" s="34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20"/>
      <c r="P934" s="20"/>
      <c r="Q934" s="20"/>
      <c r="R934" s="20"/>
      <c r="S934" s="20"/>
      <c r="T934" s="35"/>
      <c r="U934" s="35"/>
      <c r="V934" s="3"/>
      <c r="W934" s="3"/>
      <c r="X934" s="36"/>
      <c r="Y934" s="3"/>
      <c r="Z934" s="3"/>
      <c r="AA934" s="35"/>
      <c r="AB934" s="35"/>
      <c r="AC934" s="35"/>
      <c r="AD934" s="4"/>
      <c r="AE934" s="4"/>
      <c r="AF934" s="4"/>
      <c r="AG934" s="4"/>
      <c r="AH934" s="4"/>
      <c r="AI934" s="4"/>
      <c r="AJ934" s="4"/>
      <c r="AK934" s="4"/>
      <c r="AL934" s="4"/>
    </row>
    <row r="935" spans="1:38" ht="14.4">
      <c r="A935" s="34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20"/>
      <c r="P935" s="20"/>
      <c r="Q935" s="20"/>
      <c r="R935" s="20"/>
      <c r="S935" s="20"/>
      <c r="T935" s="35"/>
      <c r="U935" s="35"/>
      <c r="V935" s="3"/>
      <c r="W935" s="3"/>
      <c r="X935" s="36"/>
      <c r="Y935" s="3"/>
      <c r="Z935" s="3"/>
      <c r="AA935" s="35"/>
      <c r="AB935" s="35"/>
      <c r="AC935" s="35"/>
      <c r="AD935" s="4"/>
      <c r="AE935" s="4"/>
      <c r="AF935" s="4"/>
      <c r="AG935" s="4"/>
      <c r="AH935" s="4"/>
      <c r="AI935" s="4"/>
      <c r="AJ935" s="4"/>
      <c r="AK935" s="4"/>
      <c r="AL935" s="4"/>
    </row>
    <row r="936" spans="1:38" ht="14.4">
      <c r="A936" s="34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20"/>
      <c r="P936" s="20"/>
      <c r="Q936" s="20"/>
      <c r="R936" s="20"/>
      <c r="S936" s="20"/>
      <c r="T936" s="35"/>
      <c r="U936" s="35"/>
      <c r="V936" s="3"/>
      <c r="W936" s="3"/>
      <c r="X936" s="36"/>
      <c r="Y936" s="3"/>
      <c r="Z936" s="3"/>
      <c r="AA936" s="35"/>
      <c r="AB936" s="35"/>
      <c r="AC936" s="35"/>
      <c r="AD936" s="4"/>
      <c r="AE936" s="4"/>
      <c r="AF936" s="4"/>
      <c r="AG936" s="4"/>
      <c r="AH936" s="4"/>
      <c r="AI936" s="4"/>
      <c r="AJ936" s="4"/>
      <c r="AK936" s="4"/>
      <c r="AL936" s="4"/>
    </row>
    <row r="937" spans="1:38" ht="14.4">
      <c r="A937" s="34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20"/>
      <c r="P937" s="20"/>
      <c r="Q937" s="20"/>
      <c r="R937" s="20"/>
      <c r="S937" s="20"/>
      <c r="T937" s="35"/>
      <c r="U937" s="35"/>
      <c r="V937" s="3"/>
      <c r="W937" s="3"/>
      <c r="X937" s="36"/>
      <c r="Y937" s="3"/>
      <c r="Z937" s="3"/>
      <c r="AA937" s="35"/>
      <c r="AB937" s="35"/>
      <c r="AC937" s="35"/>
      <c r="AD937" s="4"/>
      <c r="AE937" s="4"/>
      <c r="AF937" s="4"/>
      <c r="AG937" s="4"/>
      <c r="AH937" s="4"/>
      <c r="AI937" s="4"/>
      <c r="AJ937" s="4"/>
      <c r="AK937" s="4"/>
      <c r="AL937" s="4"/>
    </row>
    <row r="938" spans="1:38" ht="14.4">
      <c r="A938" s="34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20"/>
      <c r="P938" s="20"/>
      <c r="Q938" s="20"/>
      <c r="R938" s="20"/>
      <c r="S938" s="20"/>
      <c r="T938" s="35"/>
      <c r="U938" s="35"/>
      <c r="V938" s="3"/>
      <c r="W938" s="3"/>
      <c r="X938" s="36"/>
      <c r="Y938" s="3"/>
      <c r="Z938" s="3"/>
      <c r="AA938" s="35"/>
      <c r="AB938" s="35"/>
      <c r="AC938" s="35"/>
      <c r="AD938" s="4"/>
      <c r="AE938" s="4"/>
      <c r="AF938" s="4"/>
      <c r="AG938" s="4"/>
      <c r="AH938" s="4"/>
      <c r="AI938" s="4"/>
      <c r="AJ938" s="4"/>
      <c r="AK938" s="4"/>
      <c r="AL938" s="4"/>
    </row>
    <row r="939" spans="1:38" ht="14.4">
      <c r="A939" s="34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20"/>
      <c r="P939" s="20"/>
      <c r="Q939" s="20"/>
      <c r="R939" s="20"/>
      <c r="S939" s="20"/>
      <c r="T939" s="35"/>
      <c r="U939" s="35"/>
      <c r="V939" s="3"/>
      <c r="W939" s="3"/>
      <c r="X939" s="36"/>
      <c r="Y939" s="3"/>
      <c r="Z939" s="3"/>
      <c r="AA939" s="35"/>
      <c r="AB939" s="35"/>
      <c r="AC939" s="35"/>
      <c r="AD939" s="4"/>
      <c r="AE939" s="4"/>
      <c r="AF939" s="4"/>
      <c r="AG939" s="4"/>
      <c r="AH939" s="4"/>
      <c r="AI939" s="4"/>
      <c r="AJ939" s="4"/>
      <c r="AK939" s="4"/>
      <c r="AL939" s="4"/>
    </row>
    <row r="940" spans="1:38" ht="14.4">
      <c r="A940" s="34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20"/>
      <c r="P940" s="20"/>
      <c r="Q940" s="20"/>
      <c r="R940" s="20"/>
      <c r="S940" s="20"/>
      <c r="T940" s="35"/>
      <c r="U940" s="35"/>
      <c r="V940" s="3"/>
      <c r="W940" s="3"/>
      <c r="X940" s="36"/>
      <c r="Y940" s="3"/>
      <c r="Z940" s="3"/>
      <c r="AA940" s="35"/>
      <c r="AB940" s="35"/>
      <c r="AC940" s="35"/>
      <c r="AD940" s="4"/>
      <c r="AE940" s="4"/>
      <c r="AF940" s="4"/>
      <c r="AG940" s="4"/>
      <c r="AH940" s="4"/>
      <c r="AI940" s="4"/>
      <c r="AJ940" s="4"/>
      <c r="AK940" s="4"/>
      <c r="AL940" s="4"/>
    </row>
    <row r="941" spans="1:38" ht="14.4">
      <c r="A941" s="34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20"/>
      <c r="P941" s="20"/>
      <c r="Q941" s="20"/>
      <c r="R941" s="20"/>
      <c r="S941" s="20"/>
      <c r="T941" s="35"/>
      <c r="U941" s="35"/>
      <c r="V941" s="3"/>
      <c r="W941" s="3"/>
      <c r="X941" s="36"/>
      <c r="Y941" s="3"/>
      <c r="Z941" s="3"/>
      <c r="AA941" s="35"/>
      <c r="AB941" s="35"/>
      <c r="AC941" s="35"/>
      <c r="AD941" s="4"/>
      <c r="AE941" s="4"/>
      <c r="AF941" s="4"/>
      <c r="AG941" s="4"/>
      <c r="AH941" s="4"/>
      <c r="AI941" s="4"/>
      <c r="AJ941" s="4"/>
      <c r="AK941" s="4"/>
      <c r="AL941" s="4"/>
    </row>
    <row r="942" spans="1:38" ht="14.4">
      <c r="A942" s="34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20"/>
      <c r="P942" s="20"/>
      <c r="Q942" s="20"/>
      <c r="R942" s="20"/>
      <c r="S942" s="20"/>
      <c r="T942" s="35"/>
      <c r="U942" s="35"/>
      <c r="V942" s="3"/>
      <c r="W942" s="3"/>
      <c r="X942" s="36"/>
      <c r="Y942" s="3"/>
      <c r="Z942" s="3"/>
      <c r="AA942" s="35"/>
      <c r="AB942" s="35"/>
      <c r="AC942" s="35"/>
      <c r="AD942" s="4"/>
      <c r="AE942" s="4"/>
      <c r="AF942" s="4"/>
      <c r="AG942" s="4"/>
      <c r="AH942" s="4"/>
      <c r="AI942" s="4"/>
      <c r="AJ942" s="4"/>
      <c r="AK942" s="4"/>
      <c r="AL942" s="4"/>
    </row>
    <row r="943" spans="1:38" ht="14.4">
      <c r="A943" s="34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20"/>
      <c r="P943" s="20"/>
      <c r="Q943" s="20"/>
      <c r="R943" s="20"/>
      <c r="S943" s="20"/>
      <c r="T943" s="35"/>
      <c r="U943" s="35"/>
      <c r="V943" s="3"/>
      <c r="W943" s="3"/>
      <c r="X943" s="36"/>
      <c r="Y943" s="3"/>
      <c r="Z943" s="3"/>
      <c r="AA943" s="35"/>
      <c r="AB943" s="35"/>
      <c r="AC943" s="35"/>
      <c r="AD943" s="4"/>
      <c r="AE943" s="4"/>
      <c r="AF943" s="4"/>
      <c r="AG943" s="4"/>
      <c r="AH943" s="4"/>
      <c r="AI943" s="4"/>
      <c r="AJ943" s="4"/>
      <c r="AK943" s="4"/>
      <c r="AL943" s="4"/>
    </row>
    <row r="944" spans="1:38" ht="14.4">
      <c r="A944" s="34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20"/>
      <c r="P944" s="20"/>
      <c r="Q944" s="20"/>
      <c r="R944" s="20"/>
      <c r="S944" s="20"/>
      <c r="T944" s="35"/>
      <c r="U944" s="35"/>
      <c r="V944" s="3"/>
      <c r="W944" s="3"/>
      <c r="X944" s="36"/>
      <c r="Y944" s="3"/>
      <c r="Z944" s="3"/>
      <c r="AA944" s="35"/>
      <c r="AB944" s="35"/>
      <c r="AC944" s="35"/>
      <c r="AD944" s="4"/>
      <c r="AE944" s="4"/>
      <c r="AF944" s="4"/>
      <c r="AG944" s="4"/>
      <c r="AH944" s="4"/>
      <c r="AI944" s="4"/>
      <c r="AJ944" s="4"/>
      <c r="AK944" s="4"/>
      <c r="AL944" s="4"/>
    </row>
    <row r="945" spans="1:38" ht="14.4">
      <c r="A945" s="34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20"/>
      <c r="P945" s="20"/>
      <c r="Q945" s="20"/>
      <c r="R945" s="20"/>
      <c r="S945" s="20"/>
      <c r="T945" s="35"/>
      <c r="U945" s="35"/>
      <c r="V945" s="3"/>
      <c r="W945" s="3"/>
      <c r="X945" s="36"/>
      <c r="Y945" s="3"/>
      <c r="Z945" s="3"/>
      <c r="AA945" s="35"/>
      <c r="AB945" s="35"/>
      <c r="AC945" s="35"/>
      <c r="AD945" s="4"/>
      <c r="AE945" s="4"/>
      <c r="AF945" s="4"/>
      <c r="AG945" s="4"/>
      <c r="AH945" s="4"/>
      <c r="AI945" s="4"/>
      <c r="AJ945" s="4"/>
      <c r="AK945" s="4"/>
      <c r="AL945" s="4"/>
    </row>
    <row r="946" spans="1:38" ht="14.4">
      <c r="A946" s="34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20"/>
      <c r="P946" s="20"/>
      <c r="Q946" s="20"/>
      <c r="R946" s="20"/>
      <c r="S946" s="20"/>
      <c r="T946" s="35"/>
      <c r="U946" s="35"/>
      <c r="V946" s="3"/>
      <c r="W946" s="3"/>
      <c r="X946" s="36"/>
      <c r="Y946" s="3"/>
      <c r="Z946" s="3"/>
      <c r="AA946" s="35"/>
      <c r="AB946" s="35"/>
      <c r="AC946" s="35"/>
      <c r="AD946" s="4"/>
      <c r="AE946" s="4"/>
      <c r="AF946" s="4"/>
      <c r="AG946" s="4"/>
      <c r="AH946" s="4"/>
      <c r="AI946" s="4"/>
      <c r="AJ946" s="4"/>
      <c r="AK946" s="4"/>
      <c r="AL946" s="4"/>
    </row>
    <row r="947" spans="1:38" ht="14.4">
      <c r="A947" s="34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20"/>
      <c r="P947" s="20"/>
      <c r="Q947" s="20"/>
      <c r="R947" s="20"/>
      <c r="S947" s="20"/>
      <c r="T947" s="35"/>
      <c r="U947" s="35"/>
      <c r="V947" s="3"/>
      <c r="W947" s="3"/>
      <c r="X947" s="36"/>
      <c r="Y947" s="3"/>
      <c r="Z947" s="3"/>
      <c r="AA947" s="35"/>
      <c r="AB947" s="35"/>
      <c r="AC947" s="35"/>
      <c r="AD947" s="4"/>
      <c r="AE947" s="4"/>
      <c r="AF947" s="4"/>
      <c r="AG947" s="4"/>
      <c r="AH947" s="4"/>
      <c r="AI947" s="4"/>
      <c r="AJ947" s="4"/>
      <c r="AK947" s="4"/>
      <c r="AL947" s="4"/>
    </row>
    <row r="948" spans="1:38" ht="14.4">
      <c r="A948" s="34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20"/>
      <c r="P948" s="20"/>
      <c r="Q948" s="20"/>
      <c r="R948" s="20"/>
      <c r="S948" s="20"/>
      <c r="T948" s="35"/>
      <c r="U948" s="35"/>
      <c r="V948" s="3"/>
      <c r="W948" s="3"/>
      <c r="X948" s="36"/>
      <c r="Y948" s="3"/>
      <c r="Z948" s="3"/>
      <c r="AA948" s="35"/>
      <c r="AB948" s="35"/>
      <c r="AC948" s="35"/>
      <c r="AD948" s="4"/>
      <c r="AE948" s="4"/>
      <c r="AF948" s="4"/>
      <c r="AG948" s="4"/>
      <c r="AH948" s="4"/>
      <c r="AI948" s="4"/>
      <c r="AJ948" s="4"/>
      <c r="AK948" s="4"/>
      <c r="AL948" s="4"/>
    </row>
    <row r="949" spans="1:38" ht="14.4">
      <c r="A949" s="34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20"/>
      <c r="P949" s="20"/>
      <c r="Q949" s="20"/>
      <c r="R949" s="20"/>
      <c r="S949" s="20"/>
      <c r="T949" s="35"/>
      <c r="U949" s="35"/>
      <c r="V949" s="3"/>
      <c r="W949" s="3"/>
      <c r="X949" s="36"/>
      <c r="Y949" s="3"/>
      <c r="Z949" s="3"/>
      <c r="AA949" s="35"/>
      <c r="AB949" s="35"/>
      <c r="AC949" s="35"/>
      <c r="AD949" s="4"/>
      <c r="AE949" s="4"/>
      <c r="AF949" s="4"/>
      <c r="AG949" s="4"/>
      <c r="AH949" s="4"/>
      <c r="AI949" s="4"/>
      <c r="AJ949" s="4"/>
      <c r="AK949" s="4"/>
      <c r="AL949" s="4"/>
    </row>
    <row r="950" spans="1:38" ht="14.4">
      <c r="A950" s="34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20"/>
      <c r="P950" s="20"/>
      <c r="Q950" s="20"/>
      <c r="R950" s="20"/>
      <c r="S950" s="20"/>
      <c r="T950" s="35"/>
      <c r="U950" s="35"/>
      <c r="V950" s="3"/>
      <c r="W950" s="3"/>
      <c r="X950" s="36"/>
      <c r="Y950" s="3"/>
      <c r="Z950" s="3"/>
      <c r="AA950" s="35"/>
      <c r="AB950" s="35"/>
      <c r="AC950" s="35"/>
      <c r="AD950" s="4"/>
      <c r="AE950" s="4"/>
      <c r="AF950" s="4"/>
      <c r="AG950" s="4"/>
      <c r="AH950" s="4"/>
      <c r="AI950" s="4"/>
      <c r="AJ950" s="4"/>
      <c r="AK950" s="4"/>
      <c r="AL950" s="4"/>
    </row>
    <row r="951" spans="1:38" ht="14.4">
      <c r="A951" s="34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20"/>
      <c r="P951" s="20"/>
      <c r="Q951" s="20"/>
      <c r="R951" s="20"/>
      <c r="S951" s="20"/>
      <c r="T951" s="35"/>
      <c r="U951" s="35"/>
      <c r="V951" s="3"/>
      <c r="W951" s="3"/>
      <c r="X951" s="36"/>
      <c r="Y951" s="3"/>
      <c r="Z951" s="3"/>
      <c r="AA951" s="35"/>
      <c r="AB951" s="35"/>
      <c r="AC951" s="35"/>
      <c r="AD951" s="4"/>
      <c r="AE951" s="4"/>
      <c r="AF951" s="4"/>
      <c r="AG951" s="4"/>
      <c r="AH951" s="4"/>
      <c r="AI951" s="4"/>
      <c r="AJ951" s="4"/>
      <c r="AK951" s="4"/>
      <c r="AL951" s="4"/>
    </row>
    <row r="952" spans="1:38" ht="14.4">
      <c r="A952" s="34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20"/>
      <c r="P952" s="20"/>
      <c r="Q952" s="20"/>
      <c r="R952" s="20"/>
      <c r="S952" s="20"/>
      <c r="T952" s="35"/>
      <c r="U952" s="35"/>
      <c r="V952" s="3"/>
      <c r="W952" s="3"/>
      <c r="X952" s="36"/>
      <c r="Y952" s="3"/>
      <c r="Z952" s="3"/>
      <c r="AA952" s="35"/>
      <c r="AB952" s="35"/>
      <c r="AC952" s="35"/>
      <c r="AD952" s="4"/>
      <c r="AE952" s="4"/>
      <c r="AF952" s="4"/>
      <c r="AG952" s="4"/>
      <c r="AH952" s="4"/>
      <c r="AI952" s="4"/>
      <c r="AJ952" s="4"/>
      <c r="AK952" s="4"/>
      <c r="AL952" s="4"/>
    </row>
    <row r="953" spans="1:38" ht="14.4">
      <c r="A953" s="34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20"/>
      <c r="P953" s="20"/>
      <c r="Q953" s="20"/>
      <c r="R953" s="20"/>
      <c r="S953" s="20"/>
      <c r="T953" s="35"/>
      <c r="U953" s="35"/>
      <c r="V953" s="3"/>
      <c r="W953" s="3"/>
      <c r="X953" s="36"/>
      <c r="Y953" s="3"/>
      <c r="Z953" s="3"/>
      <c r="AA953" s="35"/>
      <c r="AB953" s="35"/>
      <c r="AC953" s="35"/>
      <c r="AD953" s="4"/>
      <c r="AE953" s="4"/>
      <c r="AF953" s="4"/>
      <c r="AG953" s="4"/>
      <c r="AH953" s="4"/>
      <c r="AI953" s="4"/>
      <c r="AJ953" s="4"/>
      <c r="AK953" s="4"/>
      <c r="AL953" s="4"/>
    </row>
    <row r="954" spans="1:38" ht="14.4">
      <c r="A954" s="34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20"/>
      <c r="P954" s="20"/>
      <c r="Q954" s="20"/>
      <c r="R954" s="20"/>
      <c r="S954" s="20"/>
      <c r="T954" s="35"/>
      <c r="U954" s="35"/>
      <c r="V954" s="3"/>
      <c r="W954" s="3"/>
      <c r="X954" s="36"/>
      <c r="Y954" s="3"/>
      <c r="Z954" s="3"/>
      <c r="AA954" s="35"/>
      <c r="AB954" s="35"/>
      <c r="AC954" s="35"/>
      <c r="AD954" s="4"/>
      <c r="AE954" s="4"/>
      <c r="AF954" s="4"/>
      <c r="AG954" s="4"/>
      <c r="AH954" s="4"/>
      <c r="AI954" s="4"/>
      <c r="AJ954" s="4"/>
      <c r="AK954" s="4"/>
      <c r="AL954" s="4"/>
    </row>
    <row r="955" spans="1:38" ht="14.4">
      <c r="A955" s="34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20"/>
      <c r="P955" s="20"/>
      <c r="Q955" s="20"/>
      <c r="R955" s="20"/>
      <c r="S955" s="20"/>
      <c r="T955" s="35"/>
      <c r="U955" s="35"/>
      <c r="V955" s="3"/>
      <c r="W955" s="3"/>
      <c r="X955" s="36"/>
      <c r="Y955" s="3"/>
      <c r="Z955" s="3"/>
      <c r="AA955" s="35"/>
      <c r="AB955" s="35"/>
      <c r="AC955" s="35"/>
      <c r="AD955" s="4"/>
      <c r="AE955" s="4"/>
      <c r="AF955" s="4"/>
      <c r="AG955" s="4"/>
      <c r="AH955" s="4"/>
      <c r="AI955" s="4"/>
      <c r="AJ955" s="4"/>
      <c r="AK955" s="4"/>
      <c r="AL955" s="4"/>
    </row>
    <row r="956" spans="1:38" ht="14.4">
      <c r="A956" s="34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20"/>
      <c r="P956" s="20"/>
      <c r="Q956" s="20"/>
      <c r="R956" s="20"/>
      <c r="S956" s="20"/>
      <c r="T956" s="35"/>
      <c r="U956" s="35"/>
      <c r="V956" s="3"/>
      <c r="W956" s="3"/>
      <c r="X956" s="36"/>
      <c r="Y956" s="3"/>
      <c r="Z956" s="3"/>
      <c r="AA956" s="35"/>
      <c r="AB956" s="35"/>
      <c r="AC956" s="35"/>
      <c r="AD956" s="4"/>
      <c r="AE956" s="4"/>
      <c r="AF956" s="4"/>
      <c r="AG956" s="4"/>
      <c r="AH956" s="4"/>
      <c r="AI956" s="4"/>
      <c r="AJ956" s="4"/>
      <c r="AK956" s="4"/>
      <c r="AL956" s="4"/>
    </row>
    <row r="957" spans="1:38" ht="14.4">
      <c r="A957" s="34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20"/>
      <c r="P957" s="20"/>
      <c r="Q957" s="20"/>
      <c r="R957" s="20"/>
      <c r="S957" s="20"/>
      <c r="T957" s="35"/>
      <c r="U957" s="35"/>
      <c r="V957" s="3"/>
      <c r="W957" s="3"/>
      <c r="X957" s="36"/>
      <c r="Y957" s="3"/>
      <c r="Z957" s="3"/>
      <c r="AA957" s="35"/>
      <c r="AB957" s="35"/>
      <c r="AC957" s="35"/>
      <c r="AD957" s="4"/>
      <c r="AE957" s="4"/>
      <c r="AF957" s="4"/>
      <c r="AG957" s="4"/>
      <c r="AH957" s="4"/>
      <c r="AI957" s="4"/>
      <c r="AJ957" s="4"/>
      <c r="AK957" s="4"/>
      <c r="AL957" s="4"/>
    </row>
    <row r="958" spans="1:38" ht="14.4">
      <c r="A958" s="34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20"/>
      <c r="P958" s="20"/>
      <c r="Q958" s="20"/>
      <c r="R958" s="20"/>
      <c r="S958" s="20"/>
      <c r="T958" s="35"/>
      <c r="U958" s="35"/>
      <c r="V958" s="3"/>
      <c r="W958" s="3"/>
      <c r="X958" s="36"/>
      <c r="Y958" s="3"/>
      <c r="Z958" s="3"/>
      <c r="AA958" s="35"/>
      <c r="AB958" s="35"/>
      <c r="AC958" s="35"/>
      <c r="AD958" s="4"/>
      <c r="AE958" s="4"/>
      <c r="AF958" s="4"/>
      <c r="AG958" s="4"/>
      <c r="AH958" s="4"/>
      <c r="AI958" s="4"/>
      <c r="AJ958" s="4"/>
      <c r="AK958" s="4"/>
      <c r="AL958" s="4"/>
    </row>
    <row r="959" spans="1:38" ht="14.4">
      <c r="A959" s="34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20"/>
      <c r="P959" s="20"/>
      <c r="Q959" s="20"/>
      <c r="R959" s="20"/>
      <c r="S959" s="20"/>
      <c r="T959" s="35"/>
      <c r="U959" s="35"/>
      <c r="V959" s="3"/>
      <c r="W959" s="3"/>
      <c r="X959" s="36"/>
      <c r="Y959" s="3"/>
      <c r="Z959" s="3"/>
      <c r="AA959" s="35"/>
      <c r="AB959" s="35"/>
      <c r="AC959" s="35"/>
      <c r="AD959" s="4"/>
      <c r="AE959" s="4"/>
      <c r="AF959" s="4"/>
      <c r="AG959" s="4"/>
      <c r="AH959" s="4"/>
      <c r="AI959" s="4"/>
      <c r="AJ959" s="4"/>
      <c r="AK959" s="4"/>
      <c r="AL959" s="4"/>
    </row>
    <row r="960" spans="1:38" ht="14.4">
      <c r="A960" s="34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20"/>
      <c r="P960" s="20"/>
      <c r="Q960" s="20"/>
      <c r="R960" s="20"/>
      <c r="S960" s="20"/>
      <c r="T960" s="35"/>
      <c r="U960" s="35"/>
      <c r="V960" s="3"/>
      <c r="W960" s="3"/>
      <c r="X960" s="36"/>
      <c r="Y960" s="3"/>
      <c r="Z960" s="3"/>
      <c r="AA960" s="35"/>
      <c r="AB960" s="35"/>
      <c r="AC960" s="35"/>
      <c r="AD960" s="4"/>
      <c r="AE960" s="4"/>
      <c r="AF960" s="4"/>
      <c r="AG960" s="4"/>
      <c r="AH960" s="4"/>
      <c r="AI960" s="4"/>
      <c r="AJ960" s="4"/>
      <c r="AK960" s="4"/>
      <c r="AL960" s="4"/>
    </row>
    <row r="961" spans="1:38" ht="14.4">
      <c r="A961" s="34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20"/>
      <c r="P961" s="20"/>
      <c r="Q961" s="20"/>
      <c r="R961" s="20"/>
      <c r="S961" s="20"/>
      <c r="T961" s="35"/>
      <c r="U961" s="35"/>
      <c r="V961" s="3"/>
      <c r="W961" s="3"/>
      <c r="X961" s="36"/>
      <c r="Y961" s="3"/>
      <c r="Z961" s="3"/>
      <c r="AA961" s="35"/>
      <c r="AB961" s="35"/>
      <c r="AC961" s="35"/>
      <c r="AD961" s="4"/>
      <c r="AE961" s="4"/>
      <c r="AF961" s="4"/>
      <c r="AG961" s="4"/>
      <c r="AH961" s="4"/>
      <c r="AI961" s="4"/>
      <c r="AJ961" s="4"/>
      <c r="AK961" s="4"/>
      <c r="AL961" s="4"/>
    </row>
    <row r="962" spans="1:38" ht="14.4">
      <c r="A962" s="34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20"/>
      <c r="P962" s="20"/>
      <c r="Q962" s="20"/>
      <c r="R962" s="20"/>
      <c r="S962" s="20"/>
      <c r="T962" s="35"/>
      <c r="U962" s="35"/>
      <c r="V962" s="3"/>
      <c r="W962" s="3"/>
      <c r="X962" s="36"/>
      <c r="Y962" s="3"/>
      <c r="Z962" s="3"/>
      <c r="AA962" s="35"/>
      <c r="AB962" s="35"/>
      <c r="AC962" s="35"/>
      <c r="AD962" s="4"/>
      <c r="AE962" s="4"/>
      <c r="AF962" s="4"/>
      <c r="AG962" s="4"/>
      <c r="AH962" s="4"/>
      <c r="AI962" s="4"/>
      <c r="AJ962" s="4"/>
      <c r="AK962" s="4"/>
      <c r="AL962" s="4"/>
    </row>
    <row r="963" spans="1:38" ht="14.4">
      <c r="A963" s="34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20"/>
      <c r="P963" s="20"/>
      <c r="Q963" s="20"/>
      <c r="R963" s="20"/>
      <c r="S963" s="20"/>
      <c r="T963" s="35"/>
      <c r="U963" s="35"/>
      <c r="V963" s="3"/>
      <c r="W963" s="3"/>
      <c r="X963" s="36"/>
      <c r="Y963" s="3"/>
      <c r="Z963" s="3"/>
      <c r="AA963" s="35"/>
      <c r="AB963" s="35"/>
      <c r="AC963" s="35"/>
      <c r="AD963" s="4"/>
      <c r="AE963" s="4"/>
      <c r="AF963" s="4"/>
      <c r="AG963" s="4"/>
      <c r="AH963" s="4"/>
      <c r="AI963" s="4"/>
      <c r="AJ963" s="4"/>
      <c r="AK963" s="4"/>
      <c r="AL963" s="4"/>
    </row>
    <row r="964" spans="1:38" ht="14.4">
      <c r="A964" s="34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20"/>
      <c r="P964" s="20"/>
      <c r="Q964" s="20"/>
      <c r="R964" s="20"/>
      <c r="S964" s="20"/>
      <c r="T964" s="35"/>
      <c r="U964" s="35"/>
      <c r="V964" s="3"/>
      <c r="W964" s="3"/>
      <c r="X964" s="36"/>
      <c r="Y964" s="3"/>
      <c r="Z964" s="3"/>
      <c r="AA964" s="35"/>
      <c r="AB964" s="35"/>
      <c r="AC964" s="35"/>
      <c r="AD964" s="4"/>
      <c r="AE964" s="4"/>
      <c r="AF964" s="4"/>
      <c r="AG964" s="4"/>
      <c r="AH964" s="4"/>
      <c r="AI964" s="4"/>
      <c r="AJ964" s="4"/>
      <c r="AK964" s="4"/>
      <c r="AL964" s="4"/>
    </row>
    <row r="965" spans="1:38" ht="14.4">
      <c r="A965" s="34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20"/>
      <c r="P965" s="20"/>
      <c r="Q965" s="20"/>
      <c r="R965" s="20"/>
      <c r="S965" s="20"/>
      <c r="T965" s="35"/>
      <c r="U965" s="35"/>
      <c r="V965" s="3"/>
      <c r="W965" s="3"/>
      <c r="X965" s="36"/>
      <c r="Y965" s="3"/>
      <c r="Z965" s="3"/>
      <c r="AA965" s="35"/>
      <c r="AB965" s="35"/>
      <c r="AC965" s="35"/>
      <c r="AD965" s="4"/>
      <c r="AE965" s="4"/>
      <c r="AF965" s="4"/>
      <c r="AG965" s="4"/>
      <c r="AH965" s="4"/>
      <c r="AI965" s="4"/>
      <c r="AJ965" s="4"/>
      <c r="AK965" s="4"/>
      <c r="AL965" s="4"/>
    </row>
    <row r="966" spans="1:38" ht="14.4">
      <c r="A966" s="34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20"/>
      <c r="P966" s="20"/>
      <c r="Q966" s="20"/>
      <c r="R966" s="20"/>
      <c r="S966" s="20"/>
      <c r="T966" s="35"/>
      <c r="U966" s="35"/>
      <c r="V966" s="3"/>
      <c r="W966" s="3"/>
      <c r="X966" s="36"/>
      <c r="Y966" s="3"/>
      <c r="Z966" s="3"/>
      <c r="AA966" s="35"/>
      <c r="AB966" s="35"/>
      <c r="AC966" s="35"/>
      <c r="AD966" s="4"/>
      <c r="AE966" s="4"/>
      <c r="AF966" s="4"/>
      <c r="AG966" s="4"/>
      <c r="AH966" s="4"/>
      <c r="AI966" s="4"/>
      <c r="AJ966" s="4"/>
      <c r="AK966" s="4"/>
      <c r="AL966" s="4"/>
    </row>
    <row r="967" spans="1:38" ht="14.4">
      <c r="A967" s="34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20"/>
      <c r="P967" s="20"/>
      <c r="Q967" s="20"/>
      <c r="R967" s="20"/>
      <c r="S967" s="20"/>
      <c r="T967" s="35"/>
      <c r="U967" s="35"/>
      <c r="V967" s="3"/>
      <c r="W967" s="3"/>
      <c r="X967" s="36"/>
      <c r="Y967" s="3"/>
      <c r="Z967" s="3"/>
      <c r="AA967" s="35"/>
      <c r="AB967" s="35"/>
      <c r="AC967" s="35"/>
      <c r="AD967" s="4"/>
      <c r="AE967" s="4"/>
      <c r="AF967" s="4"/>
      <c r="AG967" s="4"/>
      <c r="AH967" s="4"/>
      <c r="AI967" s="4"/>
      <c r="AJ967" s="4"/>
      <c r="AK967" s="4"/>
      <c r="AL967" s="4"/>
    </row>
    <row r="968" spans="1:38" ht="14.4">
      <c r="A968" s="34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20"/>
      <c r="P968" s="20"/>
      <c r="Q968" s="20"/>
      <c r="R968" s="20"/>
      <c r="S968" s="20"/>
      <c r="T968" s="35"/>
      <c r="U968" s="35"/>
      <c r="V968" s="3"/>
      <c r="W968" s="3"/>
      <c r="X968" s="36"/>
      <c r="Y968" s="3"/>
      <c r="Z968" s="3"/>
      <c r="AA968" s="35"/>
      <c r="AB968" s="35"/>
      <c r="AC968" s="35"/>
      <c r="AD968" s="4"/>
      <c r="AE968" s="4"/>
      <c r="AF968" s="4"/>
      <c r="AG968" s="4"/>
      <c r="AH968" s="4"/>
      <c r="AI968" s="4"/>
      <c r="AJ968" s="4"/>
      <c r="AK968" s="4"/>
      <c r="AL968" s="4"/>
    </row>
    <row r="969" spans="1:38" ht="14.4">
      <c r="A969" s="34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20"/>
      <c r="P969" s="20"/>
      <c r="Q969" s="20"/>
      <c r="R969" s="20"/>
      <c r="S969" s="20"/>
      <c r="T969" s="35"/>
      <c r="U969" s="35"/>
      <c r="V969" s="3"/>
      <c r="W969" s="3"/>
      <c r="X969" s="36"/>
      <c r="Y969" s="3"/>
      <c r="Z969" s="3"/>
      <c r="AA969" s="35"/>
      <c r="AB969" s="35"/>
      <c r="AC969" s="35"/>
      <c r="AD969" s="4"/>
      <c r="AE969" s="4"/>
      <c r="AF969" s="4"/>
      <c r="AG969" s="4"/>
      <c r="AH969" s="4"/>
      <c r="AI969" s="4"/>
      <c r="AJ969" s="4"/>
      <c r="AK969" s="4"/>
      <c r="AL969" s="4"/>
    </row>
    <row r="970" spans="1:38" ht="14.4">
      <c r="A970" s="34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20"/>
      <c r="P970" s="20"/>
      <c r="Q970" s="20"/>
      <c r="R970" s="20"/>
      <c r="S970" s="20"/>
      <c r="T970" s="35"/>
      <c r="U970" s="35"/>
      <c r="V970" s="3"/>
      <c r="W970" s="3"/>
      <c r="X970" s="36"/>
      <c r="Y970" s="3"/>
      <c r="Z970" s="3"/>
      <c r="AA970" s="35"/>
      <c r="AB970" s="35"/>
      <c r="AC970" s="35"/>
      <c r="AD970" s="4"/>
      <c r="AE970" s="4"/>
      <c r="AF970" s="4"/>
      <c r="AG970" s="4"/>
      <c r="AH970" s="4"/>
      <c r="AI970" s="4"/>
      <c r="AJ970" s="4"/>
      <c r="AK970" s="4"/>
      <c r="AL970" s="4"/>
    </row>
    <row r="971" spans="1:38" ht="14.4">
      <c r="A971" s="34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20"/>
      <c r="P971" s="20"/>
      <c r="Q971" s="20"/>
      <c r="R971" s="20"/>
      <c r="S971" s="20"/>
      <c r="T971" s="35"/>
      <c r="U971" s="35"/>
      <c r="V971" s="3"/>
      <c r="W971" s="3"/>
      <c r="X971" s="36"/>
      <c r="Y971" s="3"/>
      <c r="Z971" s="3"/>
      <c r="AA971" s="35"/>
      <c r="AB971" s="35"/>
      <c r="AC971" s="35"/>
      <c r="AD971" s="4"/>
      <c r="AE971" s="4"/>
      <c r="AF971" s="4"/>
      <c r="AG971" s="4"/>
      <c r="AH971" s="4"/>
      <c r="AI971" s="4"/>
      <c r="AJ971" s="4"/>
      <c r="AK971" s="4"/>
      <c r="AL971" s="4"/>
    </row>
    <row r="972" spans="1:38" ht="14.4">
      <c r="A972" s="34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20"/>
      <c r="P972" s="20"/>
      <c r="Q972" s="20"/>
      <c r="R972" s="20"/>
      <c r="S972" s="20"/>
      <c r="T972" s="35"/>
      <c r="U972" s="35"/>
      <c r="V972" s="3"/>
      <c r="W972" s="3"/>
      <c r="X972" s="36"/>
      <c r="Y972" s="3"/>
      <c r="Z972" s="3"/>
      <c r="AA972" s="35"/>
      <c r="AB972" s="35"/>
      <c r="AC972" s="35"/>
      <c r="AD972" s="4"/>
      <c r="AE972" s="4"/>
      <c r="AF972" s="4"/>
      <c r="AG972" s="4"/>
      <c r="AH972" s="4"/>
      <c r="AI972" s="4"/>
      <c r="AJ972" s="4"/>
      <c r="AK972" s="4"/>
      <c r="AL972" s="4"/>
    </row>
    <row r="973" spans="1:38" ht="14.4">
      <c r="A973" s="34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20"/>
      <c r="P973" s="20"/>
      <c r="Q973" s="20"/>
      <c r="R973" s="20"/>
      <c r="S973" s="20"/>
      <c r="T973" s="35"/>
      <c r="U973" s="35"/>
      <c r="V973" s="3"/>
      <c r="W973" s="3"/>
      <c r="X973" s="36"/>
      <c r="Y973" s="3"/>
      <c r="Z973" s="3"/>
      <c r="AA973" s="35"/>
      <c r="AB973" s="35"/>
      <c r="AC973" s="35"/>
      <c r="AD973" s="4"/>
      <c r="AE973" s="4"/>
      <c r="AF973" s="4"/>
      <c r="AG973" s="4"/>
      <c r="AH973" s="4"/>
      <c r="AI973" s="4"/>
      <c r="AJ973" s="4"/>
      <c r="AK973" s="4"/>
      <c r="AL973" s="4"/>
    </row>
    <row r="974" spans="1:38" ht="14.4">
      <c r="A974" s="34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20"/>
      <c r="P974" s="20"/>
      <c r="Q974" s="20"/>
      <c r="R974" s="20"/>
      <c r="S974" s="20"/>
      <c r="T974" s="35"/>
      <c r="U974" s="35"/>
      <c r="V974" s="3"/>
      <c r="W974" s="3"/>
      <c r="X974" s="36"/>
      <c r="Y974" s="3"/>
      <c r="Z974" s="3"/>
      <c r="AA974" s="35"/>
      <c r="AB974" s="35"/>
      <c r="AC974" s="35"/>
      <c r="AD974" s="4"/>
      <c r="AE974" s="4"/>
      <c r="AF974" s="4"/>
      <c r="AG974" s="4"/>
      <c r="AH974" s="4"/>
      <c r="AI974" s="4"/>
      <c r="AJ974" s="4"/>
      <c r="AK974" s="4"/>
      <c r="AL974" s="4"/>
    </row>
    <row r="975" spans="1:38" ht="14.4">
      <c r="A975" s="34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20"/>
      <c r="P975" s="20"/>
      <c r="Q975" s="20"/>
      <c r="R975" s="20"/>
      <c r="S975" s="20"/>
      <c r="T975" s="35"/>
      <c r="U975" s="35"/>
      <c r="V975" s="3"/>
      <c r="W975" s="3"/>
      <c r="X975" s="36"/>
      <c r="Y975" s="3"/>
      <c r="Z975" s="3"/>
      <c r="AA975" s="35"/>
      <c r="AB975" s="35"/>
      <c r="AC975" s="35"/>
      <c r="AD975" s="4"/>
      <c r="AE975" s="4"/>
      <c r="AF975" s="4"/>
      <c r="AG975" s="4"/>
      <c r="AH975" s="4"/>
      <c r="AI975" s="4"/>
      <c r="AJ975" s="4"/>
      <c r="AK975" s="4"/>
      <c r="AL975" s="4"/>
    </row>
    <row r="976" spans="1:38" ht="14.4">
      <c r="A976" s="34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20"/>
      <c r="P976" s="20"/>
      <c r="Q976" s="20"/>
      <c r="R976" s="20"/>
      <c r="S976" s="20"/>
      <c r="T976" s="35"/>
      <c r="U976" s="35"/>
      <c r="V976" s="3"/>
      <c r="W976" s="3"/>
      <c r="X976" s="36"/>
      <c r="Y976" s="3"/>
      <c r="Z976" s="3"/>
      <c r="AA976" s="35"/>
      <c r="AB976" s="35"/>
      <c r="AC976" s="35"/>
      <c r="AD976" s="4"/>
      <c r="AE976" s="4"/>
      <c r="AF976" s="4"/>
      <c r="AG976" s="4"/>
      <c r="AH976" s="4"/>
      <c r="AI976" s="4"/>
      <c r="AJ976" s="4"/>
      <c r="AK976" s="4"/>
      <c r="AL976" s="4"/>
    </row>
    <row r="977" spans="1:38" ht="14.4">
      <c r="A977" s="34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20"/>
      <c r="P977" s="20"/>
      <c r="Q977" s="20"/>
      <c r="R977" s="20"/>
      <c r="S977" s="20"/>
      <c r="T977" s="35"/>
      <c r="U977" s="35"/>
      <c r="V977" s="3"/>
      <c r="W977" s="3"/>
      <c r="X977" s="36"/>
      <c r="Y977" s="3"/>
      <c r="Z977" s="3"/>
      <c r="AA977" s="35"/>
      <c r="AB977" s="35"/>
      <c r="AC977" s="35"/>
      <c r="AD977" s="4"/>
      <c r="AE977" s="4"/>
      <c r="AF977" s="4"/>
      <c r="AG977" s="4"/>
      <c r="AH977" s="4"/>
      <c r="AI977" s="4"/>
      <c r="AJ977" s="4"/>
      <c r="AK977" s="4"/>
      <c r="AL977" s="4"/>
    </row>
    <row r="978" spans="1:38" ht="14.4">
      <c r="A978" s="34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20"/>
      <c r="P978" s="20"/>
      <c r="Q978" s="20"/>
      <c r="R978" s="20"/>
      <c r="S978" s="20"/>
      <c r="T978" s="35"/>
      <c r="U978" s="35"/>
      <c r="V978" s="3"/>
      <c r="W978" s="3"/>
      <c r="X978" s="36"/>
      <c r="Y978" s="3"/>
      <c r="Z978" s="3"/>
      <c r="AA978" s="35"/>
      <c r="AB978" s="35"/>
      <c r="AC978" s="35"/>
      <c r="AD978" s="4"/>
      <c r="AE978" s="4"/>
      <c r="AF978" s="4"/>
      <c r="AG978" s="4"/>
      <c r="AH978" s="4"/>
      <c r="AI978" s="4"/>
      <c r="AJ978" s="4"/>
      <c r="AK978" s="4"/>
      <c r="AL978" s="4"/>
    </row>
    <row r="979" spans="1:38" ht="14.4">
      <c r="A979" s="34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20"/>
      <c r="P979" s="20"/>
      <c r="Q979" s="20"/>
      <c r="R979" s="20"/>
      <c r="S979" s="20"/>
      <c r="T979" s="35"/>
      <c r="U979" s="35"/>
      <c r="V979" s="3"/>
      <c r="W979" s="3"/>
      <c r="X979" s="36"/>
      <c r="Y979" s="3"/>
      <c r="Z979" s="3"/>
      <c r="AA979" s="35"/>
      <c r="AB979" s="35"/>
      <c r="AC979" s="35"/>
      <c r="AD979" s="4"/>
      <c r="AE979" s="4"/>
      <c r="AF979" s="4"/>
      <c r="AG979" s="4"/>
      <c r="AH979" s="4"/>
      <c r="AI979" s="4"/>
      <c r="AJ979" s="4"/>
      <c r="AK979" s="4"/>
      <c r="AL979" s="4"/>
    </row>
    <row r="980" spans="1:38" ht="14.4">
      <c r="A980" s="34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20"/>
      <c r="P980" s="20"/>
      <c r="Q980" s="20"/>
      <c r="R980" s="20"/>
      <c r="S980" s="20"/>
      <c r="T980" s="35"/>
      <c r="U980" s="35"/>
      <c r="V980" s="3"/>
      <c r="W980" s="3"/>
      <c r="X980" s="36"/>
      <c r="Y980" s="3"/>
      <c r="Z980" s="3"/>
      <c r="AA980" s="35"/>
      <c r="AB980" s="35"/>
      <c r="AC980" s="35"/>
      <c r="AD980" s="4"/>
      <c r="AE980" s="4"/>
      <c r="AF980" s="4"/>
      <c r="AG980" s="4"/>
      <c r="AH980" s="4"/>
      <c r="AI980" s="4"/>
      <c r="AJ980" s="4"/>
      <c r="AK980" s="4"/>
      <c r="AL980" s="4"/>
    </row>
    <row r="981" spans="1:38" ht="14.4">
      <c r="A981" s="34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20"/>
      <c r="P981" s="20"/>
      <c r="Q981" s="20"/>
      <c r="R981" s="20"/>
      <c r="S981" s="20"/>
      <c r="T981" s="35"/>
      <c r="U981" s="35"/>
      <c r="V981" s="3"/>
      <c r="W981" s="3"/>
      <c r="X981" s="36"/>
      <c r="Y981" s="3"/>
      <c r="Z981" s="3"/>
      <c r="AA981" s="35"/>
      <c r="AB981" s="35"/>
      <c r="AC981" s="35"/>
      <c r="AD981" s="4"/>
      <c r="AE981" s="4"/>
      <c r="AF981" s="4"/>
      <c r="AG981" s="4"/>
      <c r="AH981" s="4"/>
      <c r="AI981" s="4"/>
      <c r="AJ981" s="4"/>
      <c r="AK981" s="4"/>
      <c r="AL981" s="4"/>
    </row>
    <row r="982" spans="1:38" ht="14.4">
      <c r="A982" s="34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20"/>
      <c r="P982" s="20"/>
      <c r="Q982" s="20"/>
      <c r="R982" s="20"/>
      <c r="S982" s="20"/>
      <c r="T982" s="35"/>
      <c r="U982" s="35"/>
      <c r="V982" s="3"/>
      <c r="W982" s="3"/>
      <c r="X982" s="36"/>
      <c r="Y982" s="3"/>
      <c r="Z982" s="3"/>
      <c r="AA982" s="35"/>
      <c r="AB982" s="35"/>
      <c r="AC982" s="35"/>
      <c r="AD982" s="4"/>
      <c r="AE982" s="4"/>
      <c r="AF982" s="4"/>
      <c r="AG982" s="4"/>
      <c r="AH982" s="4"/>
      <c r="AI982" s="4"/>
      <c r="AJ982" s="4"/>
      <c r="AK982" s="4"/>
      <c r="AL982" s="4"/>
    </row>
    <row r="983" spans="1:38" ht="14.4">
      <c r="A983" s="34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20"/>
      <c r="P983" s="20"/>
      <c r="Q983" s="20"/>
      <c r="R983" s="20"/>
      <c r="S983" s="20"/>
      <c r="T983" s="35"/>
      <c r="U983" s="35"/>
      <c r="V983" s="3"/>
      <c r="W983" s="3"/>
      <c r="X983" s="36"/>
      <c r="Y983" s="3"/>
      <c r="Z983" s="3"/>
      <c r="AA983" s="35"/>
      <c r="AB983" s="35"/>
      <c r="AC983" s="35"/>
      <c r="AD983" s="4"/>
      <c r="AE983" s="4"/>
      <c r="AF983" s="4"/>
      <c r="AG983" s="4"/>
      <c r="AH983" s="4"/>
      <c r="AI983" s="4"/>
      <c r="AJ983" s="4"/>
      <c r="AK983" s="4"/>
      <c r="AL983" s="4"/>
    </row>
    <row r="984" spans="1:38" ht="14.4">
      <c r="A984" s="34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20"/>
      <c r="P984" s="20"/>
      <c r="Q984" s="20"/>
      <c r="R984" s="20"/>
      <c r="S984" s="20"/>
      <c r="T984" s="35"/>
      <c r="U984" s="35"/>
      <c r="V984" s="3"/>
      <c r="W984" s="3"/>
      <c r="X984" s="36"/>
      <c r="Y984" s="3"/>
      <c r="Z984" s="3"/>
      <c r="AA984" s="35"/>
      <c r="AB984" s="35"/>
      <c r="AC984" s="35"/>
      <c r="AD984" s="4"/>
      <c r="AE984" s="4"/>
      <c r="AF984" s="4"/>
      <c r="AG984" s="4"/>
      <c r="AH984" s="4"/>
      <c r="AI984" s="4"/>
      <c r="AJ984" s="4"/>
      <c r="AK984" s="4"/>
      <c r="AL984" s="4"/>
    </row>
    <row r="985" spans="1:38" ht="14.4">
      <c r="A985" s="34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20"/>
      <c r="P985" s="20"/>
      <c r="Q985" s="20"/>
      <c r="R985" s="20"/>
      <c r="S985" s="20"/>
      <c r="T985" s="35"/>
      <c r="U985" s="35"/>
      <c r="V985" s="3"/>
      <c r="W985" s="3"/>
      <c r="X985" s="36"/>
      <c r="Y985" s="3"/>
      <c r="Z985" s="3"/>
      <c r="AA985" s="35"/>
      <c r="AB985" s="35"/>
      <c r="AC985" s="35"/>
      <c r="AD985" s="4"/>
      <c r="AE985" s="4"/>
      <c r="AF985" s="4"/>
      <c r="AG985" s="4"/>
      <c r="AH985" s="4"/>
      <c r="AI985" s="4"/>
      <c r="AJ985" s="4"/>
      <c r="AK985" s="4"/>
      <c r="AL985" s="4"/>
    </row>
    <row r="986" spans="1:38" ht="14.4">
      <c r="A986" s="34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20"/>
      <c r="P986" s="20"/>
      <c r="Q986" s="20"/>
      <c r="R986" s="20"/>
      <c r="S986" s="20"/>
      <c r="T986" s="35"/>
      <c r="U986" s="35"/>
      <c r="V986" s="3"/>
      <c r="W986" s="3"/>
      <c r="X986" s="36"/>
      <c r="Y986" s="3"/>
      <c r="Z986" s="3"/>
      <c r="AA986" s="35"/>
      <c r="AB986" s="35"/>
      <c r="AC986" s="35"/>
      <c r="AD986" s="4"/>
      <c r="AE986" s="4"/>
      <c r="AF986" s="4"/>
      <c r="AG986" s="4"/>
      <c r="AH986" s="4"/>
      <c r="AI986" s="4"/>
      <c r="AJ986" s="4"/>
      <c r="AK986" s="4"/>
      <c r="AL986" s="4"/>
    </row>
    <row r="987" spans="1:38" ht="14.4">
      <c r="A987" s="34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20"/>
      <c r="P987" s="20"/>
      <c r="Q987" s="20"/>
      <c r="R987" s="20"/>
      <c r="S987" s="20"/>
      <c r="T987" s="35"/>
      <c r="U987" s="35"/>
      <c r="V987" s="3"/>
      <c r="W987" s="3"/>
      <c r="X987" s="36"/>
      <c r="Y987" s="3"/>
      <c r="Z987" s="3"/>
      <c r="AA987" s="35"/>
      <c r="AB987" s="35"/>
      <c r="AC987" s="35"/>
      <c r="AD987" s="4"/>
      <c r="AE987" s="4"/>
      <c r="AF987" s="4"/>
      <c r="AG987" s="4"/>
      <c r="AH987" s="4"/>
      <c r="AI987" s="4"/>
      <c r="AJ987" s="4"/>
      <c r="AK987" s="4"/>
      <c r="AL987" s="4"/>
    </row>
    <row r="988" spans="1:38" ht="14.4">
      <c r="A988" s="34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20"/>
      <c r="P988" s="20"/>
      <c r="Q988" s="20"/>
      <c r="R988" s="20"/>
      <c r="S988" s="20"/>
      <c r="T988" s="35"/>
      <c r="U988" s="35"/>
      <c r="V988" s="3"/>
      <c r="W988" s="3"/>
      <c r="X988" s="36"/>
      <c r="Y988" s="3"/>
      <c r="Z988" s="3"/>
      <c r="AA988" s="35"/>
      <c r="AB988" s="35"/>
      <c r="AC988" s="35"/>
      <c r="AD988" s="4"/>
      <c r="AE988" s="4"/>
      <c r="AF988" s="4"/>
      <c r="AG988" s="4"/>
      <c r="AH988" s="4"/>
      <c r="AI988" s="4"/>
      <c r="AJ988" s="4"/>
      <c r="AK988" s="4"/>
      <c r="AL988" s="4"/>
    </row>
    <row r="989" spans="1:38" ht="14.4">
      <c r="A989" s="34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20"/>
      <c r="P989" s="20"/>
      <c r="Q989" s="20"/>
      <c r="R989" s="20"/>
      <c r="S989" s="20"/>
      <c r="T989" s="35"/>
      <c r="U989" s="35"/>
      <c r="V989" s="3"/>
      <c r="W989" s="3"/>
      <c r="X989" s="36"/>
      <c r="Y989" s="3"/>
      <c r="Z989" s="3"/>
      <c r="AA989" s="35"/>
      <c r="AB989" s="35"/>
      <c r="AC989" s="35"/>
      <c r="AD989" s="4"/>
      <c r="AE989" s="4"/>
      <c r="AF989" s="4"/>
      <c r="AG989" s="4"/>
      <c r="AH989" s="4"/>
      <c r="AI989" s="4"/>
      <c r="AJ989" s="4"/>
      <c r="AK989" s="4"/>
      <c r="AL989" s="4"/>
    </row>
    <row r="990" spans="1:38" ht="14.4">
      <c r="A990" s="34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20"/>
      <c r="P990" s="20"/>
      <c r="Q990" s="20"/>
      <c r="R990" s="20"/>
      <c r="S990" s="20"/>
      <c r="T990" s="35"/>
      <c r="U990" s="35"/>
      <c r="V990" s="3"/>
      <c r="W990" s="3"/>
      <c r="X990" s="36"/>
      <c r="Y990" s="3"/>
      <c r="Z990" s="3"/>
      <c r="AA990" s="35"/>
      <c r="AB990" s="35"/>
      <c r="AC990" s="35"/>
      <c r="AD990" s="4"/>
      <c r="AE990" s="4"/>
      <c r="AF990" s="4"/>
      <c r="AG990" s="4"/>
      <c r="AH990" s="4"/>
      <c r="AI990" s="4"/>
      <c r="AJ990" s="4"/>
      <c r="AK990" s="4"/>
      <c r="AL990" s="4"/>
    </row>
    <row r="991" spans="1:38" ht="14.4">
      <c r="A991" s="34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20"/>
      <c r="P991" s="20"/>
      <c r="Q991" s="20"/>
      <c r="R991" s="20"/>
      <c r="S991" s="20"/>
      <c r="T991" s="35"/>
      <c r="U991" s="35"/>
      <c r="V991" s="3"/>
      <c r="W991" s="3"/>
      <c r="X991" s="36"/>
      <c r="Y991" s="3"/>
      <c r="Z991" s="3"/>
      <c r="AA991" s="35"/>
      <c r="AB991" s="35"/>
      <c r="AC991" s="35"/>
      <c r="AD991" s="4"/>
      <c r="AE991" s="4"/>
      <c r="AF991" s="4"/>
      <c r="AG991" s="4"/>
      <c r="AH991" s="4"/>
      <c r="AI991" s="4"/>
      <c r="AJ991" s="4"/>
      <c r="AK991" s="4"/>
      <c r="AL991" s="4"/>
    </row>
    <row r="992" spans="1:38" ht="14.4">
      <c r="A992" s="34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20"/>
      <c r="P992" s="20"/>
      <c r="Q992" s="20"/>
      <c r="R992" s="20"/>
      <c r="S992" s="20"/>
      <c r="T992" s="35"/>
      <c r="U992" s="35"/>
      <c r="V992" s="3"/>
      <c r="W992" s="3"/>
      <c r="X992" s="36"/>
      <c r="Y992" s="3"/>
      <c r="Z992" s="3"/>
      <c r="AA992" s="35"/>
      <c r="AB992" s="35"/>
      <c r="AC992" s="35"/>
      <c r="AD992" s="4"/>
      <c r="AE992" s="4"/>
      <c r="AF992" s="4"/>
      <c r="AG992" s="4"/>
      <c r="AH992" s="4"/>
      <c r="AI992" s="4"/>
      <c r="AJ992" s="4"/>
      <c r="AK992" s="4"/>
      <c r="AL992" s="4"/>
    </row>
    <row r="993" spans="1:38" ht="14.4">
      <c r="A993" s="34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20"/>
      <c r="P993" s="20"/>
      <c r="Q993" s="20"/>
      <c r="R993" s="20"/>
      <c r="S993" s="20"/>
      <c r="T993" s="35"/>
      <c r="U993" s="35"/>
      <c r="V993" s="3"/>
      <c r="W993" s="3"/>
      <c r="X993" s="36"/>
      <c r="Y993" s="3"/>
      <c r="Z993" s="3"/>
      <c r="AA993" s="35"/>
      <c r="AB993" s="35"/>
      <c r="AC993" s="35"/>
      <c r="AD993" s="4"/>
      <c r="AE993" s="4"/>
      <c r="AF993" s="4"/>
      <c r="AG993" s="4"/>
      <c r="AH993" s="4"/>
      <c r="AI993" s="4"/>
      <c r="AJ993" s="4"/>
      <c r="AK993" s="4"/>
      <c r="AL993" s="4"/>
    </row>
    <row r="994" spans="1:38" ht="14.4">
      <c r="A994" s="34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20"/>
      <c r="P994" s="20"/>
      <c r="Q994" s="20"/>
      <c r="R994" s="20"/>
      <c r="S994" s="20"/>
      <c r="T994" s="35"/>
      <c r="U994" s="35"/>
      <c r="V994" s="3"/>
      <c r="W994" s="3"/>
      <c r="X994" s="36"/>
      <c r="Y994" s="3"/>
      <c r="Z994" s="3"/>
      <c r="AA994" s="35"/>
      <c r="AB994" s="35"/>
      <c r="AC994" s="35"/>
      <c r="AD994" s="4"/>
      <c r="AE994" s="4"/>
      <c r="AF994" s="4"/>
      <c r="AG994" s="4"/>
      <c r="AH994" s="4"/>
      <c r="AI994" s="4"/>
      <c r="AJ994" s="4"/>
      <c r="AK994" s="4"/>
      <c r="AL994" s="4"/>
    </row>
    <row r="995" spans="1:38" ht="14.4">
      <c r="A995" s="34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20"/>
      <c r="P995" s="20"/>
      <c r="Q995" s="20"/>
      <c r="R995" s="20"/>
      <c r="S995" s="20"/>
      <c r="T995" s="35"/>
      <c r="U995" s="35"/>
      <c r="V995" s="3"/>
      <c r="W995" s="3"/>
      <c r="X995" s="36"/>
      <c r="Y995" s="3"/>
      <c r="Z995" s="3"/>
      <c r="AA995" s="35"/>
      <c r="AB995" s="35"/>
      <c r="AC995" s="35"/>
      <c r="AD995" s="4"/>
      <c r="AE995" s="4"/>
      <c r="AF995" s="4"/>
      <c r="AG995" s="4"/>
      <c r="AH995" s="4"/>
      <c r="AI995" s="4"/>
      <c r="AJ995" s="4"/>
      <c r="AK995" s="4"/>
      <c r="AL995" s="4"/>
    </row>
    <row r="996" spans="1:38" ht="14.4">
      <c r="A996" s="34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20"/>
      <c r="P996" s="20"/>
      <c r="Q996" s="20"/>
      <c r="R996" s="20"/>
      <c r="S996" s="20"/>
      <c r="T996" s="35"/>
      <c r="U996" s="35"/>
      <c r="V996" s="3"/>
      <c r="W996" s="3"/>
      <c r="X996" s="36"/>
      <c r="Y996" s="3"/>
      <c r="Z996" s="3"/>
      <c r="AA996" s="35"/>
      <c r="AB996" s="35"/>
      <c r="AC996" s="35"/>
      <c r="AD996" s="4"/>
      <c r="AE996" s="4"/>
      <c r="AF996" s="4"/>
      <c r="AG996" s="4"/>
      <c r="AH996" s="4"/>
      <c r="AI996" s="4"/>
      <c r="AJ996" s="4"/>
      <c r="AK996" s="4"/>
      <c r="AL996" s="4"/>
    </row>
    <row r="997" spans="1:38" ht="14.4">
      <c r="A997" s="34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20"/>
      <c r="P997" s="20"/>
      <c r="Q997" s="20"/>
      <c r="R997" s="20"/>
      <c r="S997" s="20"/>
      <c r="T997" s="35"/>
      <c r="U997" s="35"/>
      <c r="V997" s="3"/>
      <c r="W997" s="3"/>
      <c r="X997" s="36"/>
      <c r="Y997" s="3"/>
      <c r="Z997" s="3"/>
      <c r="AA997" s="35"/>
      <c r="AB997" s="35"/>
      <c r="AC997" s="35"/>
      <c r="AD997" s="4"/>
      <c r="AE997" s="4"/>
      <c r="AF997" s="4"/>
      <c r="AG997" s="4"/>
      <c r="AH997" s="4"/>
      <c r="AI997" s="4"/>
      <c r="AJ997" s="4"/>
      <c r="AK997" s="4"/>
      <c r="AL997" s="4"/>
    </row>
    <row r="998" spans="1:38" ht="14.4">
      <c r="A998" s="34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20"/>
      <c r="P998" s="20"/>
      <c r="Q998" s="20"/>
      <c r="R998" s="20"/>
      <c r="S998" s="20"/>
      <c r="T998" s="35"/>
      <c r="U998" s="35"/>
      <c r="V998" s="3"/>
      <c r="W998" s="3"/>
      <c r="X998" s="36"/>
      <c r="Y998" s="3"/>
      <c r="Z998" s="3"/>
      <c r="AA998" s="35"/>
      <c r="AB998" s="35"/>
      <c r="AC998" s="35"/>
      <c r="AD998" s="4"/>
      <c r="AE998" s="4"/>
      <c r="AF998" s="4"/>
      <c r="AG998" s="4"/>
      <c r="AH998" s="4"/>
      <c r="AI998" s="4"/>
      <c r="AJ998" s="4"/>
      <c r="AK998" s="4"/>
      <c r="AL998" s="4"/>
    </row>
    <row r="999" spans="1:38" ht="14.4">
      <c r="A999" s="34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20"/>
      <c r="P999" s="20"/>
      <c r="Q999" s="20"/>
      <c r="R999" s="20"/>
      <c r="S999" s="20"/>
      <c r="T999" s="35"/>
      <c r="U999" s="35"/>
      <c r="V999" s="3"/>
      <c r="W999" s="3"/>
      <c r="X999" s="36"/>
      <c r="Y999" s="3"/>
      <c r="Z999" s="3"/>
      <c r="AA999" s="35"/>
      <c r="AB999" s="35"/>
      <c r="AC999" s="35"/>
      <c r="AD999" s="4"/>
      <c r="AE999" s="4"/>
      <c r="AF999" s="4"/>
      <c r="AG999" s="4"/>
      <c r="AH999" s="4"/>
      <c r="AI999" s="4"/>
      <c r="AJ999" s="4"/>
      <c r="AK999" s="4"/>
      <c r="AL999" s="4"/>
    </row>
    <row r="1000" spans="1:38" ht="14.4">
      <c r="A1000" s="34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20"/>
      <c r="P1000" s="20"/>
      <c r="Q1000" s="20"/>
      <c r="R1000" s="20"/>
      <c r="S1000" s="20"/>
      <c r="T1000" s="35"/>
      <c r="U1000" s="35"/>
      <c r="V1000" s="3"/>
      <c r="W1000" s="3"/>
      <c r="X1000" s="36"/>
      <c r="Y1000" s="3"/>
      <c r="Z1000" s="3"/>
      <c r="AA1000" s="35"/>
      <c r="AB1000" s="35"/>
      <c r="AC1000" s="35"/>
      <c r="AD1000" s="4"/>
      <c r="AE1000" s="4"/>
      <c r="AF1000" s="4"/>
      <c r="AG1000" s="4"/>
      <c r="AH1000" s="4"/>
      <c r="AI1000" s="4"/>
      <c r="AJ1000" s="4"/>
      <c r="AK1000" s="4"/>
      <c r="AL1000" s="4"/>
    </row>
    <row r="1001" spans="1:38" ht="14.4">
      <c r="A1001" s="34"/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20"/>
      <c r="P1001" s="20"/>
      <c r="Q1001" s="20"/>
      <c r="R1001" s="20"/>
      <c r="S1001" s="20"/>
      <c r="T1001" s="35"/>
      <c r="U1001" s="35"/>
      <c r="V1001" s="3"/>
      <c r="W1001" s="3"/>
      <c r="X1001" s="36"/>
      <c r="Y1001" s="3"/>
      <c r="Z1001" s="3"/>
      <c r="AA1001" s="35"/>
      <c r="AB1001" s="35"/>
      <c r="AC1001" s="35"/>
      <c r="AD1001" s="4"/>
      <c r="AE1001" s="4"/>
      <c r="AF1001" s="4"/>
      <c r="AG1001" s="4"/>
      <c r="AH1001" s="4"/>
      <c r="AI1001" s="4"/>
      <c r="AJ1001" s="4"/>
      <c r="AK1001" s="4"/>
      <c r="AL1001" s="4"/>
    </row>
    <row r="1002" spans="1:38" ht="14.4">
      <c r="A1002" s="34"/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20"/>
      <c r="P1002" s="20"/>
      <c r="Q1002" s="20"/>
      <c r="R1002" s="20"/>
      <c r="S1002" s="20"/>
      <c r="T1002" s="35"/>
      <c r="U1002" s="35"/>
      <c r="V1002" s="3"/>
      <c r="W1002" s="3"/>
      <c r="X1002" s="36"/>
      <c r="Y1002" s="3"/>
      <c r="Z1002" s="3"/>
      <c r="AA1002" s="35"/>
      <c r="AB1002" s="35"/>
      <c r="AC1002" s="35"/>
      <c r="AD1002" s="4"/>
      <c r="AE1002" s="4"/>
      <c r="AF1002" s="4"/>
      <c r="AG1002" s="4"/>
      <c r="AH1002" s="4"/>
      <c r="AI1002" s="4"/>
      <c r="AJ1002" s="4"/>
      <c r="AK1002" s="4"/>
      <c r="AL1002" s="4"/>
    </row>
    <row r="1003" spans="1:38" ht="14.4">
      <c r="A1003" s="34"/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20"/>
      <c r="P1003" s="20"/>
      <c r="Q1003" s="20"/>
      <c r="R1003" s="20"/>
      <c r="S1003" s="20"/>
      <c r="T1003" s="35"/>
      <c r="U1003" s="35"/>
      <c r="V1003" s="3"/>
      <c r="W1003" s="3"/>
      <c r="X1003" s="36"/>
      <c r="Y1003" s="3"/>
      <c r="Z1003" s="3"/>
      <c r="AA1003" s="35"/>
      <c r="AB1003" s="35"/>
      <c r="AC1003" s="35"/>
      <c r="AD1003" s="4"/>
      <c r="AE1003" s="4"/>
      <c r="AF1003" s="4"/>
      <c r="AG1003" s="4"/>
      <c r="AH1003" s="4"/>
      <c r="AI1003" s="4"/>
      <c r="AJ1003" s="4"/>
      <c r="AK1003" s="4"/>
      <c r="AL1003" s="4"/>
    </row>
    <row r="1004" spans="1:38" ht="14.4">
      <c r="A1004" s="34"/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20"/>
      <c r="P1004" s="20"/>
      <c r="Q1004" s="20"/>
      <c r="R1004" s="20"/>
      <c r="S1004" s="20"/>
      <c r="T1004" s="35"/>
      <c r="U1004" s="35"/>
      <c r="V1004" s="3"/>
      <c r="W1004" s="3"/>
      <c r="X1004" s="36"/>
      <c r="Y1004" s="3"/>
      <c r="Z1004" s="3"/>
      <c r="AA1004" s="35"/>
      <c r="AB1004" s="35"/>
      <c r="AC1004" s="35"/>
      <c r="AD1004" s="4"/>
      <c r="AE1004" s="4"/>
      <c r="AF1004" s="4"/>
      <c r="AG1004" s="4"/>
      <c r="AH1004" s="4"/>
      <c r="AI1004" s="4"/>
      <c r="AJ1004" s="4"/>
      <c r="AK1004" s="4"/>
      <c r="AL1004" s="4"/>
    </row>
    <row r="1005" spans="1:38" ht="14.4">
      <c r="A1005" s="34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20"/>
      <c r="P1005" s="20"/>
      <c r="Q1005" s="20"/>
      <c r="R1005" s="20"/>
      <c r="S1005" s="20"/>
      <c r="T1005" s="35"/>
      <c r="U1005" s="35"/>
      <c r="V1005" s="3"/>
      <c r="W1005" s="3"/>
      <c r="X1005" s="36"/>
      <c r="Y1005" s="3"/>
      <c r="Z1005" s="3"/>
      <c r="AA1005" s="35"/>
      <c r="AB1005" s="35"/>
      <c r="AC1005" s="35"/>
      <c r="AD1005" s="4"/>
      <c r="AE1005" s="4"/>
      <c r="AF1005" s="4"/>
      <c r="AG1005" s="4"/>
      <c r="AH1005" s="4"/>
      <c r="AI1005" s="4"/>
      <c r="AJ1005" s="4"/>
      <c r="AK1005" s="4"/>
      <c r="AL1005" s="4"/>
    </row>
    <row r="1006" spans="1:38" ht="14.4">
      <c r="A1006" s="34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20"/>
      <c r="P1006" s="20"/>
      <c r="Q1006" s="20"/>
      <c r="R1006" s="20"/>
      <c r="S1006" s="20"/>
      <c r="T1006" s="35"/>
      <c r="U1006" s="35"/>
      <c r="V1006" s="3"/>
      <c r="W1006" s="3"/>
      <c r="X1006" s="36"/>
      <c r="Y1006" s="3"/>
      <c r="Z1006" s="3"/>
      <c r="AA1006" s="35"/>
      <c r="AB1006" s="35"/>
      <c r="AC1006" s="35"/>
      <c r="AD1006" s="4"/>
      <c r="AE1006" s="4"/>
      <c r="AF1006" s="4"/>
      <c r="AG1006" s="4"/>
      <c r="AH1006" s="4"/>
      <c r="AI1006" s="4"/>
      <c r="AJ1006" s="4"/>
      <c r="AK1006" s="4"/>
      <c r="AL1006" s="4"/>
    </row>
  </sheetData>
  <mergeCells count="10">
    <mergeCell ref="Y1:Y3"/>
    <mergeCell ref="AA1:AC1"/>
    <mergeCell ref="A2:A3"/>
    <mergeCell ref="B2:B3"/>
    <mergeCell ref="O2:T2"/>
    <mergeCell ref="C2:H2"/>
    <mergeCell ref="I2:N2"/>
    <mergeCell ref="C1:N1"/>
    <mergeCell ref="O1:T1"/>
    <mergeCell ref="U1: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V1006"/>
  <sheetViews>
    <sheetView workbookViewId="0"/>
  </sheetViews>
  <sheetFormatPr baseColWidth="10" defaultColWidth="12.6640625" defaultRowHeight="15.75" customHeight="1"/>
  <cols>
    <col min="1" max="1" width="6.21875" customWidth="1"/>
    <col min="3" max="4" width="8.21875" customWidth="1"/>
    <col min="5" max="5" width="9" customWidth="1"/>
    <col min="6" max="6" width="7.44140625" customWidth="1"/>
    <col min="7" max="7" width="6.6640625" customWidth="1"/>
    <col min="8" max="8" width="6" customWidth="1"/>
    <col min="9" max="9" width="5.109375" customWidth="1"/>
    <col min="10" max="10" width="9" customWidth="1"/>
    <col min="11" max="11" width="8.33203125" customWidth="1"/>
    <col min="12" max="12" width="8.88671875" customWidth="1"/>
    <col min="13" max="13" width="6.21875" customWidth="1"/>
    <col min="14" max="14" width="5.6640625" customWidth="1"/>
  </cols>
  <sheetData>
    <row r="1" spans="1:22" ht="13.2">
      <c r="A1" s="1"/>
      <c r="B1" s="2"/>
      <c r="C1" s="102" t="s">
        <v>0</v>
      </c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1"/>
      <c r="O1" s="104" t="s">
        <v>2</v>
      </c>
      <c r="P1" s="100"/>
      <c r="Q1" s="100"/>
      <c r="R1" s="101"/>
      <c r="S1" s="105" t="s">
        <v>3</v>
      </c>
    </row>
    <row r="2" spans="1:22" ht="13.2">
      <c r="A2" s="97" t="s">
        <v>5</v>
      </c>
      <c r="B2" s="98" t="s">
        <v>6</v>
      </c>
      <c r="C2" s="102">
        <v>2012</v>
      </c>
      <c r="D2" s="100"/>
      <c r="E2" s="100"/>
      <c r="F2" s="100"/>
      <c r="G2" s="100"/>
      <c r="H2" s="101"/>
      <c r="I2" s="102">
        <v>2024</v>
      </c>
      <c r="J2" s="100"/>
      <c r="K2" s="100"/>
      <c r="L2" s="100"/>
      <c r="M2" s="100"/>
      <c r="N2" s="101"/>
      <c r="O2" s="2"/>
      <c r="P2" s="2"/>
      <c r="Q2" s="2"/>
      <c r="R2" s="2"/>
      <c r="S2" s="92"/>
    </row>
    <row r="3" spans="1:22" ht="15.75" customHeight="1">
      <c r="A3" s="93"/>
      <c r="B3" s="93"/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8</v>
      </c>
      <c r="J3" s="9" t="s">
        <v>14</v>
      </c>
      <c r="K3" s="9" t="s">
        <v>10</v>
      </c>
      <c r="L3" s="9" t="s">
        <v>11</v>
      </c>
      <c r="M3" s="9" t="s">
        <v>12</v>
      </c>
      <c r="N3" s="9" t="s">
        <v>13</v>
      </c>
      <c r="O3" s="11" t="s">
        <v>358</v>
      </c>
      <c r="P3" s="12" t="s">
        <v>359</v>
      </c>
      <c r="Q3" s="12" t="s">
        <v>17</v>
      </c>
      <c r="R3" s="12" t="s">
        <v>360</v>
      </c>
      <c r="S3" s="93"/>
      <c r="U3" s="4"/>
      <c r="V3" s="4"/>
    </row>
    <row r="4" spans="1:22" ht="15.75" customHeight="1">
      <c r="A4" s="13">
        <v>10101</v>
      </c>
      <c r="B4" s="14" t="s">
        <v>19</v>
      </c>
      <c r="C4" s="15">
        <v>69949</v>
      </c>
      <c r="D4" s="15">
        <v>64063</v>
      </c>
      <c r="E4" s="15">
        <v>160</v>
      </c>
      <c r="F4" s="15">
        <v>40</v>
      </c>
      <c r="G4" s="15">
        <v>335</v>
      </c>
      <c r="H4" s="15">
        <v>5351</v>
      </c>
      <c r="I4" s="15">
        <v>92531</v>
      </c>
      <c r="J4" s="15">
        <v>88605</v>
      </c>
      <c r="K4" s="15">
        <v>409</v>
      </c>
      <c r="L4" s="15">
        <v>164</v>
      </c>
      <c r="M4" s="15">
        <v>192</v>
      </c>
      <c r="N4" s="15">
        <v>3161</v>
      </c>
      <c r="O4" s="40">
        <v>94916</v>
      </c>
      <c r="P4" s="18">
        <f t="shared" ref="P4:P258" si="0">J4-O4</f>
        <v>-6311</v>
      </c>
      <c r="Q4" s="40" t="str">
        <f t="shared" ref="Q4:Q258" si="1">IF(P4&gt;0,P4,"")</f>
        <v/>
      </c>
      <c r="R4" s="18">
        <f t="shared" ref="R4:R258" si="2">SUM(K4:N4,O4,Q4)</f>
        <v>98842</v>
      </c>
      <c r="S4" s="41">
        <v>867</v>
      </c>
      <c r="U4" s="42"/>
      <c r="V4" s="42"/>
    </row>
    <row r="5" spans="1:22" ht="15.75" customHeight="1">
      <c r="A5" s="21">
        <v>10102</v>
      </c>
      <c r="B5" s="22" t="s">
        <v>20</v>
      </c>
      <c r="C5" s="15">
        <v>2646</v>
      </c>
      <c r="D5" s="15">
        <v>1994</v>
      </c>
      <c r="E5" s="15">
        <v>3</v>
      </c>
      <c r="F5" s="15">
        <v>10</v>
      </c>
      <c r="G5" s="15">
        <v>17</v>
      </c>
      <c r="H5" s="15">
        <v>622</v>
      </c>
      <c r="I5" s="15">
        <v>3056</v>
      </c>
      <c r="J5" s="15">
        <v>2645</v>
      </c>
      <c r="K5" s="15">
        <v>16</v>
      </c>
      <c r="L5" s="15">
        <v>33</v>
      </c>
      <c r="M5" s="15">
        <v>11</v>
      </c>
      <c r="N5" s="15">
        <v>351</v>
      </c>
      <c r="O5" s="40">
        <v>3342</v>
      </c>
      <c r="P5" s="18">
        <f t="shared" si="0"/>
        <v>-697</v>
      </c>
      <c r="Q5" s="40" t="str">
        <f t="shared" si="1"/>
        <v/>
      </c>
      <c r="R5" s="18">
        <f t="shared" si="2"/>
        <v>3753</v>
      </c>
      <c r="S5" s="41">
        <v>325</v>
      </c>
      <c r="U5" s="42"/>
      <c r="V5" s="42"/>
    </row>
    <row r="6" spans="1:22" ht="15.75" customHeight="1">
      <c r="A6" s="13">
        <v>10103</v>
      </c>
      <c r="B6" s="14" t="s">
        <v>21</v>
      </c>
      <c r="C6" s="15">
        <v>4660</v>
      </c>
      <c r="D6" s="15">
        <v>594</v>
      </c>
      <c r="E6" s="15">
        <v>19</v>
      </c>
      <c r="F6" s="15">
        <v>76</v>
      </c>
      <c r="G6" s="15">
        <v>56</v>
      </c>
      <c r="H6" s="15">
        <v>3915</v>
      </c>
      <c r="I6" s="15">
        <v>4654</v>
      </c>
      <c r="J6" s="15">
        <v>2054</v>
      </c>
      <c r="K6" s="15">
        <v>5</v>
      </c>
      <c r="L6" s="15">
        <v>70</v>
      </c>
      <c r="M6" s="15">
        <v>44</v>
      </c>
      <c r="N6" s="15">
        <v>2481</v>
      </c>
      <c r="O6" s="40">
        <v>2176</v>
      </c>
      <c r="P6" s="18">
        <f t="shared" si="0"/>
        <v>-122</v>
      </c>
      <c r="Q6" s="40" t="str">
        <f t="shared" si="1"/>
        <v/>
      </c>
      <c r="R6" s="18">
        <f t="shared" si="2"/>
        <v>4776</v>
      </c>
      <c r="S6" s="41">
        <v>62</v>
      </c>
      <c r="U6" s="42"/>
      <c r="V6" s="42"/>
    </row>
    <row r="7" spans="1:22" ht="15.75" customHeight="1">
      <c r="A7" s="21">
        <v>10201</v>
      </c>
      <c r="B7" s="22" t="s">
        <v>22</v>
      </c>
      <c r="C7" s="15">
        <v>2538</v>
      </c>
      <c r="D7" s="15">
        <v>368</v>
      </c>
      <c r="E7" s="15">
        <v>15</v>
      </c>
      <c r="F7" s="15">
        <v>105</v>
      </c>
      <c r="G7" s="15">
        <v>11</v>
      </c>
      <c r="H7" s="15">
        <v>2039</v>
      </c>
      <c r="I7" s="15">
        <v>2450</v>
      </c>
      <c r="J7" s="15">
        <v>1171</v>
      </c>
      <c r="K7" s="15">
        <v>8</v>
      </c>
      <c r="L7" s="15">
        <v>173</v>
      </c>
      <c r="M7" s="15">
        <v>3</v>
      </c>
      <c r="N7" s="15">
        <v>1095</v>
      </c>
      <c r="O7" s="40">
        <v>1449</v>
      </c>
      <c r="P7" s="18">
        <f t="shared" si="0"/>
        <v>-278</v>
      </c>
      <c r="Q7" s="40" t="str">
        <f t="shared" si="1"/>
        <v/>
      </c>
      <c r="R7" s="18">
        <f t="shared" si="2"/>
        <v>2728</v>
      </c>
      <c r="S7" s="41">
        <v>107</v>
      </c>
      <c r="U7" s="42"/>
      <c r="V7" s="42"/>
    </row>
    <row r="8" spans="1:22" ht="15.75" customHeight="1">
      <c r="A8" s="13">
        <v>10202</v>
      </c>
      <c r="B8" s="14" t="s">
        <v>23</v>
      </c>
      <c r="C8" s="15">
        <v>3418</v>
      </c>
      <c r="D8" s="15">
        <v>808</v>
      </c>
      <c r="E8" s="15">
        <v>32</v>
      </c>
      <c r="F8" s="15">
        <v>41</v>
      </c>
      <c r="G8" s="15">
        <v>258</v>
      </c>
      <c r="H8" s="15">
        <v>2279</v>
      </c>
      <c r="I8" s="15">
        <v>4598</v>
      </c>
      <c r="J8" s="15">
        <v>2971</v>
      </c>
      <c r="K8" s="15">
        <v>9</v>
      </c>
      <c r="L8" s="15">
        <v>88</v>
      </c>
      <c r="M8" s="15">
        <v>74</v>
      </c>
      <c r="N8" s="15">
        <v>1456</v>
      </c>
      <c r="O8" s="40">
        <v>2476</v>
      </c>
      <c r="P8" s="18">
        <f t="shared" si="0"/>
        <v>495</v>
      </c>
      <c r="Q8" s="18">
        <f t="shared" si="1"/>
        <v>495</v>
      </c>
      <c r="R8" s="18">
        <f t="shared" si="2"/>
        <v>4598</v>
      </c>
      <c r="S8" s="41">
        <v>80</v>
      </c>
      <c r="U8" s="42"/>
      <c r="V8" s="42"/>
    </row>
    <row r="9" spans="1:22" ht="15.75" customHeight="1">
      <c r="A9" s="21">
        <v>10301</v>
      </c>
      <c r="B9" s="22" t="s">
        <v>24</v>
      </c>
      <c r="C9" s="15">
        <v>2586</v>
      </c>
      <c r="D9" s="15">
        <v>1186</v>
      </c>
      <c r="E9" s="15">
        <v>7</v>
      </c>
      <c r="F9" s="15">
        <v>28</v>
      </c>
      <c r="G9" s="15">
        <v>47</v>
      </c>
      <c r="H9" s="15">
        <v>1318</v>
      </c>
      <c r="I9" s="15">
        <v>3187</v>
      </c>
      <c r="J9" s="15">
        <v>2361</v>
      </c>
      <c r="K9" s="15">
        <v>7</v>
      </c>
      <c r="L9" s="15">
        <v>343</v>
      </c>
      <c r="M9" s="15">
        <v>3</v>
      </c>
      <c r="N9" s="15">
        <v>473</v>
      </c>
      <c r="O9" s="40">
        <v>1931</v>
      </c>
      <c r="P9" s="18">
        <f t="shared" si="0"/>
        <v>430</v>
      </c>
      <c r="Q9" s="18">
        <f t="shared" si="1"/>
        <v>430</v>
      </c>
      <c r="R9" s="18">
        <f t="shared" si="2"/>
        <v>3187</v>
      </c>
      <c r="S9" s="41">
        <v>221</v>
      </c>
      <c r="U9" s="42"/>
      <c r="V9" s="42"/>
    </row>
    <row r="10" spans="1:22" ht="15.75" customHeight="1">
      <c r="A10" s="13">
        <v>10302</v>
      </c>
      <c r="B10" s="14" t="s">
        <v>25</v>
      </c>
      <c r="C10" s="15">
        <v>2717</v>
      </c>
      <c r="D10" s="15">
        <v>896</v>
      </c>
      <c r="E10" s="15">
        <v>25</v>
      </c>
      <c r="F10" s="15">
        <v>31</v>
      </c>
      <c r="G10" s="15">
        <v>85</v>
      </c>
      <c r="H10" s="15">
        <v>1680</v>
      </c>
      <c r="I10" s="15">
        <v>3271</v>
      </c>
      <c r="J10" s="15">
        <v>2076</v>
      </c>
      <c r="K10" s="15">
        <v>7</v>
      </c>
      <c r="L10" s="15">
        <v>256</v>
      </c>
      <c r="M10" s="15">
        <v>23</v>
      </c>
      <c r="N10" s="15">
        <v>909</v>
      </c>
      <c r="O10" s="40">
        <v>1472</v>
      </c>
      <c r="P10" s="18">
        <f t="shared" si="0"/>
        <v>604</v>
      </c>
      <c r="Q10" s="18">
        <f t="shared" si="1"/>
        <v>604</v>
      </c>
      <c r="R10" s="18">
        <f t="shared" si="2"/>
        <v>3271</v>
      </c>
      <c r="S10" s="41">
        <v>135.5</v>
      </c>
      <c r="U10" s="42"/>
      <c r="V10" s="42"/>
    </row>
    <row r="11" spans="1:22" ht="15.75" customHeight="1">
      <c r="A11" s="21">
        <v>10303</v>
      </c>
      <c r="B11" s="22" t="s">
        <v>26</v>
      </c>
      <c r="C11" s="15">
        <v>1982</v>
      </c>
      <c r="D11" s="15">
        <v>884</v>
      </c>
      <c r="E11" s="15">
        <v>6</v>
      </c>
      <c r="F11" s="15">
        <v>238</v>
      </c>
      <c r="G11" s="15">
        <v>16</v>
      </c>
      <c r="H11" s="15">
        <v>838</v>
      </c>
      <c r="I11" s="15">
        <v>2543</v>
      </c>
      <c r="J11" s="15">
        <v>1871</v>
      </c>
      <c r="K11" s="15">
        <v>5</v>
      </c>
      <c r="L11" s="15">
        <v>94</v>
      </c>
      <c r="M11" s="15">
        <v>21</v>
      </c>
      <c r="N11" s="15">
        <v>552</v>
      </c>
      <c r="O11" s="40">
        <v>1832</v>
      </c>
      <c r="P11" s="18">
        <f t="shared" si="0"/>
        <v>39</v>
      </c>
      <c r="Q11" s="18">
        <f t="shared" si="1"/>
        <v>39</v>
      </c>
      <c r="R11" s="18">
        <f t="shared" si="2"/>
        <v>2543</v>
      </c>
      <c r="S11" s="41">
        <v>212</v>
      </c>
      <c r="U11" s="42"/>
      <c r="V11" s="42"/>
    </row>
    <row r="12" spans="1:22" ht="15.75" customHeight="1">
      <c r="A12" s="13">
        <v>10304</v>
      </c>
      <c r="B12" s="14" t="s">
        <v>27</v>
      </c>
      <c r="C12" s="15">
        <v>1831</v>
      </c>
      <c r="D12" s="15">
        <v>912</v>
      </c>
      <c r="E12" s="15">
        <v>4</v>
      </c>
      <c r="F12" s="15">
        <v>5</v>
      </c>
      <c r="G12" s="15">
        <v>93</v>
      </c>
      <c r="H12" s="15">
        <v>817</v>
      </c>
      <c r="I12" s="15">
        <v>2635</v>
      </c>
      <c r="J12" s="15">
        <v>1749</v>
      </c>
      <c r="K12" s="15">
        <v>0</v>
      </c>
      <c r="L12" s="15">
        <v>97</v>
      </c>
      <c r="M12" s="15">
        <v>16</v>
      </c>
      <c r="N12" s="15">
        <v>773</v>
      </c>
      <c r="O12" s="40">
        <v>1496</v>
      </c>
      <c r="P12" s="18">
        <f t="shared" si="0"/>
        <v>253</v>
      </c>
      <c r="Q12" s="18">
        <f t="shared" si="1"/>
        <v>253</v>
      </c>
      <c r="R12" s="18">
        <f t="shared" si="2"/>
        <v>2635</v>
      </c>
      <c r="S12" s="41">
        <v>125</v>
      </c>
      <c r="U12" s="42"/>
      <c r="V12" s="42"/>
    </row>
    <row r="13" spans="1:22" ht="15.75" customHeight="1">
      <c r="A13" s="21">
        <v>10401</v>
      </c>
      <c r="B13" s="22" t="s">
        <v>28</v>
      </c>
      <c r="C13" s="15">
        <v>2810</v>
      </c>
      <c r="D13" s="15">
        <v>1136</v>
      </c>
      <c r="E13" s="15">
        <v>21</v>
      </c>
      <c r="F13" s="15">
        <v>227</v>
      </c>
      <c r="G13" s="15">
        <v>32</v>
      </c>
      <c r="H13" s="15">
        <v>1394</v>
      </c>
      <c r="I13" s="15">
        <v>3186</v>
      </c>
      <c r="J13" s="15">
        <v>2348</v>
      </c>
      <c r="K13" s="15">
        <v>9</v>
      </c>
      <c r="L13" s="15">
        <v>198</v>
      </c>
      <c r="M13" s="15">
        <v>9</v>
      </c>
      <c r="N13" s="15">
        <v>622</v>
      </c>
      <c r="O13" s="40">
        <v>2762</v>
      </c>
      <c r="P13" s="18">
        <f t="shared" si="0"/>
        <v>-414</v>
      </c>
      <c r="Q13" s="40" t="str">
        <f t="shared" si="1"/>
        <v/>
      </c>
      <c r="R13" s="18">
        <f t="shared" si="2"/>
        <v>3600</v>
      </c>
      <c r="S13" s="41">
        <v>313</v>
      </c>
      <c r="U13" s="42"/>
      <c r="V13" s="42"/>
    </row>
    <row r="14" spans="1:22" ht="15.75" customHeight="1">
      <c r="A14" s="13">
        <v>10402</v>
      </c>
      <c r="B14" s="14" t="s">
        <v>29</v>
      </c>
      <c r="C14" s="15">
        <v>2113</v>
      </c>
      <c r="D14" s="15">
        <v>993</v>
      </c>
      <c r="E14" s="15">
        <v>17</v>
      </c>
      <c r="F14" s="15">
        <v>5</v>
      </c>
      <c r="G14" s="15">
        <v>63</v>
      </c>
      <c r="H14" s="15">
        <v>1035</v>
      </c>
      <c r="I14" s="15">
        <v>2243</v>
      </c>
      <c r="J14" s="15">
        <v>1882</v>
      </c>
      <c r="K14" s="15">
        <v>2</v>
      </c>
      <c r="L14" s="15">
        <v>112</v>
      </c>
      <c r="M14" s="15">
        <v>1</v>
      </c>
      <c r="N14" s="15">
        <v>246</v>
      </c>
      <c r="O14" s="40">
        <v>2052</v>
      </c>
      <c r="P14" s="18">
        <f t="shared" si="0"/>
        <v>-170</v>
      </c>
      <c r="Q14" s="40" t="str">
        <f t="shared" si="1"/>
        <v/>
      </c>
      <c r="R14" s="18">
        <f t="shared" si="2"/>
        <v>2413</v>
      </c>
      <c r="S14" s="41">
        <v>236</v>
      </c>
      <c r="U14" s="42"/>
      <c r="V14" s="42"/>
    </row>
    <row r="15" spans="1:22" ht="15.75" customHeight="1">
      <c r="A15" s="21">
        <v>10403</v>
      </c>
      <c r="B15" s="22" t="s">
        <v>30</v>
      </c>
      <c r="C15" s="15">
        <v>2010</v>
      </c>
      <c r="D15" s="15">
        <v>741</v>
      </c>
      <c r="E15" s="15">
        <v>24</v>
      </c>
      <c r="F15" s="15">
        <v>16</v>
      </c>
      <c r="G15" s="15">
        <v>19</v>
      </c>
      <c r="H15" s="15">
        <v>1210</v>
      </c>
      <c r="I15" s="15">
        <v>2087</v>
      </c>
      <c r="J15" s="15">
        <v>1379</v>
      </c>
      <c r="K15" s="15">
        <v>8</v>
      </c>
      <c r="L15" s="15">
        <v>13</v>
      </c>
      <c r="M15" s="15">
        <v>1</v>
      </c>
      <c r="N15" s="15">
        <v>686</v>
      </c>
      <c r="O15" s="40">
        <v>1572</v>
      </c>
      <c r="P15" s="18">
        <f t="shared" si="0"/>
        <v>-193</v>
      </c>
      <c r="Q15" s="40" t="str">
        <f t="shared" si="1"/>
        <v/>
      </c>
      <c r="R15" s="18">
        <f t="shared" si="2"/>
        <v>2280</v>
      </c>
      <c r="S15" s="41">
        <v>156.5</v>
      </c>
      <c r="U15" s="42"/>
      <c r="V15" s="42"/>
    </row>
    <row r="16" spans="1:22" ht="15.75" customHeight="1">
      <c r="A16" s="13">
        <v>10404</v>
      </c>
      <c r="B16" s="14" t="s">
        <v>31</v>
      </c>
      <c r="C16" s="15">
        <v>1072</v>
      </c>
      <c r="D16" s="15">
        <v>524</v>
      </c>
      <c r="E16" s="15">
        <v>4</v>
      </c>
      <c r="F16" s="15">
        <v>17</v>
      </c>
      <c r="G16" s="15">
        <v>0</v>
      </c>
      <c r="H16" s="15">
        <v>527</v>
      </c>
      <c r="I16" s="15">
        <v>1189</v>
      </c>
      <c r="J16" s="15">
        <v>1083</v>
      </c>
      <c r="K16" s="15">
        <v>0</v>
      </c>
      <c r="L16" s="15">
        <v>5</v>
      </c>
      <c r="M16" s="15">
        <v>1</v>
      </c>
      <c r="N16" s="15">
        <v>100</v>
      </c>
      <c r="O16" s="40">
        <v>1105</v>
      </c>
      <c r="P16" s="18">
        <f t="shared" si="0"/>
        <v>-22</v>
      </c>
      <c r="Q16" s="40" t="str">
        <f t="shared" si="1"/>
        <v/>
      </c>
      <c r="R16" s="18">
        <f t="shared" si="2"/>
        <v>1211</v>
      </c>
      <c r="S16" s="41">
        <v>143</v>
      </c>
      <c r="U16" s="42"/>
      <c r="V16" s="42"/>
    </row>
    <row r="17" spans="1:22" ht="15.75" customHeight="1">
      <c r="A17" s="21">
        <v>10405</v>
      </c>
      <c r="B17" s="22" t="s">
        <v>32</v>
      </c>
      <c r="C17" s="15">
        <v>1212</v>
      </c>
      <c r="D17" s="15">
        <v>332</v>
      </c>
      <c r="E17" s="15">
        <v>38</v>
      </c>
      <c r="F17" s="15">
        <v>44</v>
      </c>
      <c r="G17" s="15">
        <v>8</v>
      </c>
      <c r="H17" s="15">
        <v>790</v>
      </c>
      <c r="I17" s="15">
        <v>1439</v>
      </c>
      <c r="J17" s="15">
        <v>1041</v>
      </c>
      <c r="K17" s="15">
        <v>1</v>
      </c>
      <c r="L17" s="15">
        <v>30</v>
      </c>
      <c r="M17" s="15">
        <v>5</v>
      </c>
      <c r="N17" s="15">
        <v>362</v>
      </c>
      <c r="O17" s="40">
        <v>1059</v>
      </c>
      <c r="P17" s="18">
        <f t="shared" si="0"/>
        <v>-18</v>
      </c>
      <c r="Q17" s="40" t="str">
        <f t="shared" si="1"/>
        <v/>
      </c>
      <c r="R17" s="18">
        <f t="shared" si="2"/>
        <v>1457</v>
      </c>
      <c r="S17" s="41">
        <v>216</v>
      </c>
      <c r="U17" s="42"/>
      <c r="V17" s="42"/>
    </row>
    <row r="18" spans="1:22" ht="15.75" customHeight="1">
      <c r="A18" s="13">
        <v>10501</v>
      </c>
      <c r="B18" s="14" t="s">
        <v>33</v>
      </c>
      <c r="C18" s="15">
        <v>6079</v>
      </c>
      <c r="D18" s="15">
        <v>3703</v>
      </c>
      <c r="E18" s="15">
        <v>38</v>
      </c>
      <c r="F18" s="15">
        <v>374</v>
      </c>
      <c r="G18" s="15">
        <v>26</v>
      </c>
      <c r="H18" s="15">
        <v>1938</v>
      </c>
      <c r="I18" s="15">
        <v>7742</v>
      </c>
      <c r="J18" s="15">
        <v>6320</v>
      </c>
      <c r="K18" s="15">
        <v>33</v>
      </c>
      <c r="L18" s="15">
        <v>347</v>
      </c>
      <c r="M18" s="15">
        <v>38</v>
      </c>
      <c r="N18" s="15">
        <v>1004</v>
      </c>
      <c r="O18" s="40">
        <v>6554</v>
      </c>
      <c r="P18" s="18">
        <f t="shared" si="0"/>
        <v>-234</v>
      </c>
      <c r="Q18" s="40" t="str">
        <f t="shared" si="1"/>
        <v/>
      </c>
      <c r="R18" s="18">
        <f t="shared" si="2"/>
        <v>7976</v>
      </c>
      <c r="S18" s="41">
        <v>569</v>
      </c>
      <c r="U18" s="42"/>
      <c r="V18" s="42"/>
    </row>
    <row r="19" spans="1:22" ht="15.75" customHeight="1">
      <c r="A19" s="21">
        <v>10502</v>
      </c>
      <c r="B19" s="22" t="s">
        <v>34</v>
      </c>
      <c r="C19" s="15">
        <v>2079</v>
      </c>
      <c r="D19" s="15">
        <v>731</v>
      </c>
      <c r="E19" s="15">
        <v>69</v>
      </c>
      <c r="F19" s="15">
        <v>172</v>
      </c>
      <c r="G19" s="15">
        <v>81</v>
      </c>
      <c r="H19" s="15">
        <v>1026</v>
      </c>
      <c r="I19" s="15">
        <v>2301</v>
      </c>
      <c r="J19" s="15">
        <v>1773</v>
      </c>
      <c r="K19" s="15">
        <v>13</v>
      </c>
      <c r="L19" s="15">
        <v>117</v>
      </c>
      <c r="M19" s="15">
        <v>11</v>
      </c>
      <c r="N19" s="15">
        <v>387</v>
      </c>
      <c r="O19" s="40">
        <v>2047</v>
      </c>
      <c r="P19" s="18">
        <f t="shared" si="0"/>
        <v>-274</v>
      </c>
      <c r="Q19" s="40" t="str">
        <f t="shared" si="1"/>
        <v/>
      </c>
      <c r="R19" s="18">
        <f t="shared" si="2"/>
        <v>2575</v>
      </c>
      <c r="S19" s="41">
        <v>334</v>
      </c>
      <c r="U19" s="42"/>
      <c r="V19" s="42"/>
    </row>
    <row r="20" spans="1:22" ht="15.75" customHeight="1">
      <c r="A20" s="13">
        <v>10601</v>
      </c>
      <c r="B20" s="14" t="s">
        <v>35</v>
      </c>
      <c r="C20" s="15">
        <v>4386</v>
      </c>
      <c r="D20" s="15">
        <v>2090</v>
      </c>
      <c r="E20" s="15">
        <v>12</v>
      </c>
      <c r="F20" s="15">
        <v>131</v>
      </c>
      <c r="G20" s="15">
        <v>35</v>
      </c>
      <c r="H20" s="15">
        <v>2118</v>
      </c>
      <c r="I20" s="15">
        <v>4279</v>
      </c>
      <c r="J20" s="15">
        <v>3402</v>
      </c>
      <c r="K20" s="15">
        <v>32</v>
      </c>
      <c r="L20" s="15">
        <v>72</v>
      </c>
      <c r="M20" s="15">
        <v>39</v>
      </c>
      <c r="N20" s="15">
        <v>734</v>
      </c>
      <c r="O20" s="40">
        <v>3684</v>
      </c>
      <c r="P20" s="18">
        <f t="shared" si="0"/>
        <v>-282</v>
      </c>
      <c r="Q20" s="40" t="str">
        <f t="shared" si="1"/>
        <v/>
      </c>
      <c r="R20" s="18">
        <f t="shared" si="2"/>
        <v>4561</v>
      </c>
      <c r="S20" s="41">
        <v>119</v>
      </c>
      <c r="U20" s="42"/>
      <c r="V20" s="42"/>
    </row>
    <row r="21" spans="1:22" ht="15.75" customHeight="1">
      <c r="A21" s="21">
        <v>10602</v>
      </c>
      <c r="B21" s="22" t="s">
        <v>36</v>
      </c>
      <c r="C21" s="15">
        <v>2950</v>
      </c>
      <c r="D21" s="15">
        <v>1417</v>
      </c>
      <c r="E21" s="15">
        <v>27</v>
      </c>
      <c r="F21" s="15">
        <v>15</v>
      </c>
      <c r="G21" s="15">
        <v>38</v>
      </c>
      <c r="H21" s="15">
        <v>1453</v>
      </c>
      <c r="I21" s="15">
        <v>3069</v>
      </c>
      <c r="J21" s="15">
        <v>2437</v>
      </c>
      <c r="K21" s="15">
        <v>8</v>
      </c>
      <c r="L21" s="15">
        <v>77</v>
      </c>
      <c r="M21" s="15">
        <v>27</v>
      </c>
      <c r="N21" s="15">
        <v>520</v>
      </c>
      <c r="O21" s="40">
        <v>2243</v>
      </c>
      <c r="P21" s="18">
        <f t="shared" si="0"/>
        <v>194</v>
      </c>
      <c r="Q21" s="18">
        <f t="shared" si="1"/>
        <v>194</v>
      </c>
      <c r="R21" s="18">
        <f t="shared" si="2"/>
        <v>3069</v>
      </c>
      <c r="S21" s="41">
        <v>119</v>
      </c>
      <c r="U21" s="42"/>
      <c r="V21" s="42"/>
    </row>
    <row r="22" spans="1:22" ht="15.75" customHeight="1">
      <c r="A22" s="13">
        <v>10701</v>
      </c>
      <c r="B22" s="14" t="s">
        <v>37</v>
      </c>
      <c r="C22" s="15">
        <v>4325</v>
      </c>
      <c r="D22" s="15">
        <v>2941</v>
      </c>
      <c r="E22" s="15">
        <v>20</v>
      </c>
      <c r="F22" s="15">
        <v>35</v>
      </c>
      <c r="G22" s="15">
        <v>33</v>
      </c>
      <c r="H22" s="15">
        <v>1296</v>
      </c>
      <c r="I22" s="15">
        <v>5047</v>
      </c>
      <c r="J22" s="15">
        <v>4300</v>
      </c>
      <c r="K22" s="15">
        <v>14</v>
      </c>
      <c r="L22" s="15">
        <v>59</v>
      </c>
      <c r="M22" s="15">
        <v>15</v>
      </c>
      <c r="N22" s="15">
        <v>659</v>
      </c>
      <c r="O22" s="40">
        <v>4518</v>
      </c>
      <c r="P22" s="18">
        <f t="shared" si="0"/>
        <v>-218</v>
      </c>
      <c r="Q22" s="40" t="str">
        <f t="shared" si="1"/>
        <v/>
      </c>
      <c r="R22" s="18">
        <f t="shared" si="2"/>
        <v>5265</v>
      </c>
      <c r="S22" s="41">
        <v>262</v>
      </c>
      <c r="U22" s="42"/>
      <c r="V22" s="42"/>
    </row>
    <row r="23" spans="1:22" ht="15.75" customHeight="1">
      <c r="A23" s="21">
        <v>10702</v>
      </c>
      <c r="B23" s="22" t="s">
        <v>38</v>
      </c>
      <c r="C23" s="15">
        <v>8008</v>
      </c>
      <c r="D23" s="15">
        <v>2606</v>
      </c>
      <c r="E23" s="15">
        <v>55</v>
      </c>
      <c r="F23" s="15">
        <v>628</v>
      </c>
      <c r="G23" s="15">
        <v>185</v>
      </c>
      <c r="H23" s="15">
        <v>4534</v>
      </c>
      <c r="I23" s="15">
        <v>8651</v>
      </c>
      <c r="J23" s="15">
        <v>6050</v>
      </c>
      <c r="K23" s="15">
        <v>18</v>
      </c>
      <c r="L23" s="15">
        <v>435</v>
      </c>
      <c r="M23" s="15">
        <v>44</v>
      </c>
      <c r="N23" s="15">
        <v>2104</v>
      </c>
      <c r="O23" s="40">
        <v>7228</v>
      </c>
      <c r="P23" s="18">
        <f t="shared" si="0"/>
        <v>-1178</v>
      </c>
      <c r="Q23" s="40" t="str">
        <f t="shared" si="1"/>
        <v/>
      </c>
      <c r="R23" s="18">
        <f t="shared" si="2"/>
        <v>9829</v>
      </c>
      <c r="S23" s="41">
        <v>64</v>
      </c>
      <c r="U23" s="42"/>
      <c r="V23" s="42"/>
    </row>
    <row r="24" spans="1:22" ht="15.75" customHeight="1">
      <c r="A24" s="13">
        <v>10703</v>
      </c>
      <c r="B24" s="14" t="s">
        <v>39</v>
      </c>
      <c r="C24" s="15">
        <v>2779</v>
      </c>
      <c r="D24" s="15">
        <v>746</v>
      </c>
      <c r="E24" s="15">
        <v>41</v>
      </c>
      <c r="F24" s="15">
        <v>84</v>
      </c>
      <c r="G24" s="15">
        <v>17</v>
      </c>
      <c r="H24" s="15">
        <v>1891</v>
      </c>
      <c r="I24" s="15">
        <v>4071</v>
      </c>
      <c r="J24" s="15">
        <v>2006</v>
      </c>
      <c r="K24" s="15">
        <v>12</v>
      </c>
      <c r="L24" s="15">
        <v>381</v>
      </c>
      <c r="M24" s="15">
        <v>33</v>
      </c>
      <c r="N24" s="15">
        <v>1639</v>
      </c>
      <c r="O24" s="40">
        <v>1425</v>
      </c>
      <c r="P24" s="18">
        <f t="shared" si="0"/>
        <v>581</v>
      </c>
      <c r="Q24" s="18">
        <f t="shared" si="1"/>
        <v>581</v>
      </c>
      <c r="R24" s="18">
        <f t="shared" si="2"/>
        <v>4071</v>
      </c>
      <c r="S24" s="41">
        <v>145</v>
      </c>
      <c r="U24" s="42"/>
      <c r="V24" s="42"/>
    </row>
    <row r="25" spans="1:22" ht="15.75" customHeight="1">
      <c r="A25" s="21">
        <v>10704</v>
      </c>
      <c r="B25" s="22" t="s">
        <v>40</v>
      </c>
      <c r="C25" s="15">
        <v>3475</v>
      </c>
      <c r="D25" s="15">
        <v>1204</v>
      </c>
      <c r="E25" s="15">
        <v>24</v>
      </c>
      <c r="F25" s="15">
        <v>68</v>
      </c>
      <c r="G25" s="15">
        <v>29</v>
      </c>
      <c r="H25" s="15">
        <v>2150</v>
      </c>
      <c r="I25" s="15">
        <v>4000</v>
      </c>
      <c r="J25" s="15">
        <v>2814</v>
      </c>
      <c r="K25" s="15">
        <v>6</v>
      </c>
      <c r="L25" s="15">
        <v>100</v>
      </c>
      <c r="M25" s="15">
        <v>5</v>
      </c>
      <c r="N25" s="15">
        <v>1075</v>
      </c>
      <c r="O25" s="40">
        <v>2650</v>
      </c>
      <c r="P25" s="18">
        <f t="shared" si="0"/>
        <v>164</v>
      </c>
      <c r="Q25" s="18">
        <f t="shared" si="1"/>
        <v>164</v>
      </c>
      <c r="R25" s="18">
        <f t="shared" si="2"/>
        <v>4000</v>
      </c>
      <c r="S25" s="41">
        <v>103</v>
      </c>
      <c r="U25" s="42"/>
      <c r="V25" s="42"/>
    </row>
    <row r="26" spans="1:22" ht="15.75" customHeight="1">
      <c r="A26" s="13">
        <v>10801</v>
      </c>
      <c r="B26" s="14" t="s">
        <v>41</v>
      </c>
      <c r="C26" s="15">
        <v>3196</v>
      </c>
      <c r="D26" s="15">
        <v>1730</v>
      </c>
      <c r="E26" s="15">
        <v>5</v>
      </c>
      <c r="F26" s="15">
        <v>203</v>
      </c>
      <c r="G26" s="15">
        <v>35</v>
      </c>
      <c r="H26" s="15">
        <v>1223</v>
      </c>
      <c r="I26" s="15">
        <v>3187</v>
      </c>
      <c r="J26" s="15">
        <v>2673</v>
      </c>
      <c r="K26" s="15">
        <v>2</v>
      </c>
      <c r="L26" s="15">
        <v>75</v>
      </c>
      <c r="M26" s="15">
        <v>4</v>
      </c>
      <c r="N26" s="15">
        <v>433</v>
      </c>
      <c r="O26" s="40">
        <v>3340</v>
      </c>
      <c r="P26" s="18">
        <f t="shared" si="0"/>
        <v>-667</v>
      </c>
      <c r="Q26" s="40" t="str">
        <f t="shared" si="1"/>
        <v/>
      </c>
      <c r="R26" s="18">
        <f t="shared" si="2"/>
        <v>3854</v>
      </c>
      <c r="S26" s="41">
        <v>209</v>
      </c>
      <c r="U26" s="42"/>
      <c r="V26" s="42"/>
    </row>
    <row r="27" spans="1:22" ht="15.75" customHeight="1">
      <c r="A27" s="21">
        <v>10901</v>
      </c>
      <c r="B27" s="22" t="s">
        <v>42</v>
      </c>
      <c r="C27" s="15">
        <v>965</v>
      </c>
      <c r="D27" s="15">
        <v>431</v>
      </c>
      <c r="E27" s="15">
        <v>2</v>
      </c>
      <c r="F27" s="15">
        <v>7</v>
      </c>
      <c r="G27" s="15">
        <v>2</v>
      </c>
      <c r="H27" s="15">
        <v>523</v>
      </c>
      <c r="I27" s="15">
        <v>1371</v>
      </c>
      <c r="J27" s="15">
        <v>1145</v>
      </c>
      <c r="K27" s="15">
        <v>3</v>
      </c>
      <c r="L27" s="15">
        <v>22</v>
      </c>
      <c r="M27" s="15">
        <v>2</v>
      </c>
      <c r="N27" s="15">
        <v>199</v>
      </c>
      <c r="O27" s="40">
        <v>1080</v>
      </c>
      <c r="P27" s="18">
        <f t="shared" si="0"/>
        <v>65</v>
      </c>
      <c r="Q27" s="18">
        <f t="shared" si="1"/>
        <v>65</v>
      </c>
      <c r="R27" s="18">
        <f t="shared" si="2"/>
        <v>1371</v>
      </c>
      <c r="S27" s="41">
        <v>132.5</v>
      </c>
      <c r="U27" s="42"/>
      <c r="V27" s="42"/>
    </row>
    <row r="28" spans="1:22" ht="15.75" customHeight="1">
      <c r="A28" s="13">
        <v>10902</v>
      </c>
      <c r="B28" s="14" t="s">
        <v>43</v>
      </c>
      <c r="C28" s="15">
        <v>4347</v>
      </c>
      <c r="D28" s="15">
        <v>1639</v>
      </c>
      <c r="E28" s="15">
        <v>24</v>
      </c>
      <c r="F28" s="15">
        <v>758</v>
      </c>
      <c r="G28" s="15">
        <v>24</v>
      </c>
      <c r="H28" s="15">
        <v>1902</v>
      </c>
      <c r="I28" s="15">
        <v>4660</v>
      </c>
      <c r="J28" s="15">
        <v>2747</v>
      </c>
      <c r="K28" s="15">
        <v>8</v>
      </c>
      <c r="L28" s="15">
        <v>485</v>
      </c>
      <c r="M28" s="15">
        <v>29</v>
      </c>
      <c r="N28" s="15">
        <v>1391</v>
      </c>
      <c r="O28" s="40">
        <v>2888</v>
      </c>
      <c r="P28" s="18">
        <f t="shared" si="0"/>
        <v>-141</v>
      </c>
      <c r="Q28" s="40" t="str">
        <f t="shared" si="1"/>
        <v/>
      </c>
      <c r="R28" s="18">
        <f t="shared" si="2"/>
        <v>4801</v>
      </c>
      <c r="S28" s="41">
        <v>186</v>
      </c>
      <c r="U28" s="42"/>
      <c r="V28" s="42"/>
    </row>
    <row r="29" spans="1:22" ht="15.75" customHeight="1">
      <c r="A29" s="21">
        <v>10903</v>
      </c>
      <c r="B29" s="22" t="s">
        <v>44</v>
      </c>
      <c r="C29" s="15">
        <v>1062</v>
      </c>
      <c r="D29" s="15">
        <v>583</v>
      </c>
      <c r="E29" s="15">
        <v>22</v>
      </c>
      <c r="F29" s="15">
        <v>31</v>
      </c>
      <c r="G29" s="15">
        <v>4</v>
      </c>
      <c r="H29" s="15">
        <v>422</v>
      </c>
      <c r="I29" s="15">
        <v>1280</v>
      </c>
      <c r="J29" s="15">
        <v>1110</v>
      </c>
      <c r="K29" s="15">
        <v>23</v>
      </c>
      <c r="L29" s="15">
        <v>17</v>
      </c>
      <c r="M29" s="15">
        <v>4</v>
      </c>
      <c r="N29" s="15">
        <v>126</v>
      </c>
      <c r="O29" s="40">
        <v>997</v>
      </c>
      <c r="P29" s="18">
        <f t="shared" si="0"/>
        <v>113</v>
      </c>
      <c r="Q29" s="18">
        <f t="shared" si="1"/>
        <v>113</v>
      </c>
      <c r="R29" s="18">
        <f t="shared" si="2"/>
        <v>1280</v>
      </c>
      <c r="S29" s="41">
        <v>227</v>
      </c>
      <c r="U29" s="42"/>
      <c r="V29" s="42"/>
    </row>
    <row r="30" spans="1:22" ht="15.75" customHeight="1">
      <c r="A30" s="13">
        <v>11001</v>
      </c>
      <c r="B30" s="14" t="s">
        <v>45</v>
      </c>
      <c r="C30" s="15">
        <v>2532</v>
      </c>
      <c r="D30" s="15">
        <v>1272</v>
      </c>
      <c r="E30" s="15">
        <v>48</v>
      </c>
      <c r="F30" s="15">
        <v>229</v>
      </c>
      <c r="G30" s="15">
        <v>35</v>
      </c>
      <c r="H30" s="15">
        <v>948</v>
      </c>
      <c r="I30" s="15">
        <v>3136</v>
      </c>
      <c r="J30" s="15">
        <v>2398</v>
      </c>
      <c r="K30" s="15">
        <v>9</v>
      </c>
      <c r="L30" s="15">
        <v>119</v>
      </c>
      <c r="M30" s="15">
        <v>6</v>
      </c>
      <c r="N30" s="15">
        <v>604</v>
      </c>
      <c r="O30" s="40">
        <v>2147</v>
      </c>
      <c r="P30" s="18">
        <f t="shared" si="0"/>
        <v>251</v>
      </c>
      <c r="Q30" s="18">
        <f t="shared" si="1"/>
        <v>251</v>
      </c>
      <c r="R30" s="18">
        <f t="shared" si="2"/>
        <v>3136</v>
      </c>
      <c r="S30" s="41">
        <v>576</v>
      </c>
      <c r="U30" s="42"/>
      <c r="V30" s="42"/>
    </row>
    <row r="31" spans="1:22" ht="14.4">
      <c r="A31" s="21">
        <v>11002</v>
      </c>
      <c r="B31" s="22" t="s">
        <v>46</v>
      </c>
      <c r="C31" s="15">
        <v>603</v>
      </c>
      <c r="D31" s="15">
        <v>131</v>
      </c>
      <c r="E31" s="15">
        <v>14</v>
      </c>
      <c r="F31" s="15">
        <v>69</v>
      </c>
      <c r="G31" s="15">
        <v>32</v>
      </c>
      <c r="H31" s="15">
        <v>357</v>
      </c>
      <c r="I31" s="15">
        <v>818</v>
      </c>
      <c r="J31" s="15">
        <v>623</v>
      </c>
      <c r="K31" s="15">
        <v>0</v>
      </c>
      <c r="L31" s="15">
        <v>93</v>
      </c>
      <c r="M31" s="15">
        <v>6</v>
      </c>
      <c r="N31" s="15">
        <v>96</v>
      </c>
      <c r="O31" s="40">
        <v>70</v>
      </c>
      <c r="P31" s="18">
        <f t="shared" si="0"/>
        <v>553</v>
      </c>
      <c r="Q31" s="18">
        <f t="shared" si="1"/>
        <v>553</v>
      </c>
      <c r="R31" s="18">
        <f t="shared" si="2"/>
        <v>818</v>
      </c>
      <c r="S31" s="41">
        <v>61.5</v>
      </c>
      <c r="U31" s="42"/>
      <c r="V31" s="42"/>
    </row>
    <row r="32" spans="1:22" ht="14.4">
      <c r="A32" s="13">
        <v>11003</v>
      </c>
      <c r="B32" s="14" t="s">
        <v>47</v>
      </c>
      <c r="C32" s="15">
        <v>1751</v>
      </c>
      <c r="D32" s="15">
        <v>824</v>
      </c>
      <c r="E32" s="15">
        <v>31</v>
      </c>
      <c r="F32" s="15">
        <v>180</v>
      </c>
      <c r="G32" s="15">
        <v>27</v>
      </c>
      <c r="H32" s="15">
        <v>689</v>
      </c>
      <c r="I32" s="15">
        <v>2288</v>
      </c>
      <c r="J32" s="15">
        <v>1413</v>
      </c>
      <c r="K32" s="15">
        <v>54</v>
      </c>
      <c r="L32" s="15">
        <v>295</v>
      </c>
      <c r="M32" s="15">
        <v>24</v>
      </c>
      <c r="N32" s="15">
        <v>502</v>
      </c>
      <c r="O32" s="40">
        <v>966</v>
      </c>
      <c r="P32" s="18">
        <f t="shared" si="0"/>
        <v>447</v>
      </c>
      <c r="Q32" s="18">
        <f t="shared" si="1"/>
        <v>447</v>
      </c>
      <c r="R32" s="18">
        <f t="shared" si="2"/>
        <v>2288</v>
      </c>
      <c r="S32" s="41">
        <v>639.5</v>
      </c>
      <c r="U32" s="42"/>
      <c r="V32" s="42"/>
    </row>
    <row r="33" spans="1:22" ht="14.4">
      <c r="A33" s="21">
        <v>20101</v>
      </c>
      <c r="B33" s="22" t="s">
        <v>48</v>
      </c>
      <c r="C33" s="15">
        <v>226458</v>
      </c>
      <c r="D33" s="15">
        <v>222302</v>
      </c>
      <c r="E33" s="15">
        <v>313</v>
      </c>
      <c r="F33" s="15">
        <v>30</v>
      </c>
      <c r="G33" s="15">
        <v>230</v>
      </c>
      <c r="H33" s="15">
        <v>3583</v>
      </c>
      <c r="I33" s="15">
        <v>250931</v>
      </c>
      <c r="J33" s="15">
        <v>246265</v>
      </c>
      <c r="K33" s="15">
        <v>712</v>
      </c>
      <c r="L33" s="15">
        <v>344</v>
      </c>
      <c r="M33" s="15">
        <v>598</v>
      </c>
      <c r="N33" s="15">
        <v>3012</v>
      </c>
      <c r="O33" s="40">
        <v>311555</v>
      </c>
      <c r="P33" s="18">
        <f t="shared" si="0"/>
        <v>-65290</v>
      </c>
      <c r="Q33" s="40" t="str">
        <f t="shared" si="1"/>
        <v/>
      </c>
      <c r="R33" s="18">
        <f t="shared" si="2"/>
        <v>316221</v>
      </c>
      <c r="S33" s="41">
        <v>1045</v>
      </c>
      <c r="U33" s="42"/>
      <c r="V33" s="42"/>
    </row>
    <row r="34" spans="1:22" ht="14.4">
      <c r="A34" s="13">
        <v>20102</v>
      </c>
      <c r="B34" s="14" t="s">
        <v>49</v>
      </c>
      <c r="C34" s="15">
        <v>4853</v>
      </c>
      <c r="D34" s="15">
        <v>3820</v>
      </c>
      <c r="E34" s="15">
        <v>5</v>
      </c>
      <c r="F34" s="15">
        <v>4</v>
      </c>
      <c r="G34" s="15">
        <v>15</v>
      </c>
      <c r="H34" s="15">
        <v>1009</v>
      </c>
      <c r="I34" s="15">
        <v>7585</v>
      </c>
      <c r="J34" s="15">
        <v>6462</v>
      </c>
      <c r="K34" s="15">
        <v>27</v>
      </c>
      <c r="L34" s="15">
        <v>80</v>
      </c>
      <c r="M34" s="15">
        <v>24</v>
      </c>
      <c r="N34" s="15">
        <v>992</v>
      </c>
      <c r="O34" s="40">
        <v>4348</v>
      </c>
      <c r="P34" s="18">
        <f t="shared" si="0"/>
        <v>2114</v>
      </c>
      <c r="Q34" s="18">
        <f t="shared" si="1"/>
        <v>2114</v>
      </c>
      <c r="R34" s="18">
        <f t="shared" si="2"/>
        <v>7585</v>
      </c>
      <c r="S34" s="41">
        <v>260</v>
      </c>
      <c r="U34" s="42"/>
      <c r="V34" s="42"/>
    </row>
    <row r="35" spans="1:22" ht="14.4">
      <c r="A35" s="21">
        <v>20103</v>
      </c>
      <c r="B35" s="22" t="s">
        <v>50</v>
      </c>
      <c r="C35" s="15">
        <v>4772</v>
      </c>
      <c r="D35" s="15">
        <v>4003</v>
      </c>
      <c r="E35" s="15">
        <v>13</v>
      </c>
      <c r="F35" s="15">
        <v>5</v>
      </c>
      <c r="G35" s="15">
        <v>13</v>
      </c>
      <c r="H35" s="15">
        <v>738</v>
      </c>
      <c r="I35" s="15">
        <v>6849</v>
      </c>
      <c r="J35" s="15">
        <v>6167</v>
      </c>
      <c r="K35" s="15">
        <v>15</v>
      </c>
      <c r="L35" s="15">
        <v>49</v>
      </c>
      <c r="M35" s="15">
        <v>33</v>
      </c>
      <c r="N35" s="15">
        <v>585</v>
      </c>
      <c r="O35" s="40">
        <v>7381</v>
      </c>
      <c r="P35" s="18">
        <f t="shared" si="0"/>
        <v>-1214</v>
      </c>
      <c r="Q35" s="40" t="str">
        <f t="shared" si="1"/>
        <v/>
      </c>
      <c r="R35" s="18">
        <f t="shared" si="2"/>
        <v>8063</v>
      </c>
      <c r="S35" s="41">
        <v>447.5</v>
      </c>
      <c r="U35" s="42"/>
      <c r="V35" s="42"/>
    </row>
    <row r="36" spans="1:22" ht="14.4">
      <c r="A36" s="13">
        <v>20104</v>
      </c>
      <c r="B36" s="14" t="s">
        <v>51</v>
      </c>
      <c r="C36" s="15">
        <v>7151</v>
      </c>
      <c r="D36" s="15">
        <v>5474</v>
      </c>
      <c r="E36" s="15">
        <v>22</v>
      </c>
      <c r="F36" s="15">
        <v>7</v>
      </c>
      <c r="G36" s="15">
        <v>113</v>
      </c>
      <c r="H36" s="15">
        <v>1535</v>
      </c>
      <c r="I36" s="15">
        <v>16297</v>
      </c>
      <c r="J36" s="15">
        <v>13397</v>
      </c>
      <c r="K36" s="15">
        <v>149</v>
      </c>
      <c r="L36" s="15">
        <v>103</v>
      </c>
      <c r="M36" s="15">
        <v>212</v>
      </c>
      <c r="N36" s="15">
        <v>2436</v>
      </c>
      <c r="O36" s="40">
        <v>12212</v>
      </c>
      <c r="P36" s="18">
        <f t="shared" si="0"/>
        <v>1185</v>
      </c>
      <c r="Q36" s="18">
        <f t="shared" si="1"/>
        <v>1185</v>
      </c>
      <c r="R36" s="18">
        <f t="shared" si="2"/>
        <v>16297</v>
      </c>
      <c r="S36" s="41">
        <v>296</v>
      </c>
      <c r="U36" s="42"/>
      <c r="V36" s="42"/>
    </row>
    <row r="37" spans="1:22" ht="14.4">
      <c r="A37" s="21">
        <v>20105</v>
      </c>
      <c r="B37" s="22" t="s">
        <v>52</v>
      </c>
      <c r="C37" s="15">
        <v>256852</v>
      </c>
      <c r="D37" s="15">
        <v>234389</v>
      </c>
      <c r="E37" s="15">
        <v>247</v>
      </c>
      <c r="F37" s="15">
        <v>57</v>
      </c>
      <c r="G37" s="15">
        <v>854</v>
      </c>
      <c r="H37" s="15">
        <v>21305</v>
      </c>
      <c r="I37" s="15">
        <v>297898</v>
      </c>
      <c r="J37" s="15">
        <v>287136</v>
      </c>
      <c r="K37" s="15">
        <v>885</v>
      </c>
      <c r="L37" s="15">
        <v>419</v>
      </c>
      <c r="M37" s="15">
        <v>1017</v>
      </c>
      <c r="N37" s="15">
        <v>8441</v>
      </c>
      <c r="O37" s="40">
        <v>306188</v>
      </c>
      <c r="P37" s="18">
        <f t="shared" si="0"/>
        <v>-19052</v>
      </c>
      <c r="Q37" s="40" t="str">
        <f t="shared" si="1"/>
        <v/>
      </c>
      <c r="R37" s="18">
        <f t="shared" si="2"/>
        <v>316950</v>
      </c>
      <c r="S37" s="41">
        <v>730</v>
      </c>
      <c r="U37" s="42"/>
      <c r="V37" s="42"/>
    </row>
    <row r="38" spans="1:22" ht="14.4">
      <c r="A38" s="13">
        <v>20201</v>
      </c>
      <c r="B38" s="14" t="s">
        <v>53</v>
      </c>
      <c r="C38" s="15">
        <v>16228</v>
      </c>
      <c r="D38" s="15">
        <v>12147</v>
      </c>
      <c r="E38" s="15">
        <v>31</v>
      </c>
      <c r="F38" s="15">
        <v>23</v>
      </c>
      <c r="G38" s="15">
        <v>55</v>
      </c>
      <c r="H38" s="15">
        <v>3972</v>
      </c>
      <c r="I38" s="15">
        <v>18316</v>
      </c>
      <c r="J38" s="15">
        <v>15257</v>
      </c>
      <c r="K38" s="15">
        <v>43</v>
      </c>
      <c r="L38" s="15">
        <v>64</v>
      </c>
      <c r="M38" s="15">
        <v>113</v>
      </c>
      <c r="N38" s="15">
        <v>2839</v>
      </c>
      <c r="O38" s="40">
        <v>13605</v>
      </c>
      <c r="P38" s="18">
        <f t="shared" si="0"/>
        <v>1652</v>
      </c>
      <c r="Q38" s="18">
        <f t="shared" si="1"/>
        <v>1652</v>
      </c>
      <c r="R38" s="18">
        <f t="shared" si="2"/>
        <v>18316</v>
      </c>
      <c r="S38" s="41">
        <v>141</v>
      </c>
      <c r="U38" s="42"/>
      <c r="V38" s="42"/>
    </row>
    <row r="39" spans="1:22" ht="14.4">
      <c r="A39" s="21">
        <v>20202</v>
      </c>
      <c r="B39" s="22" t="s">
        <v>54</v>
      </c>
      <c r="C39" s="15">
        <v>5027</v>
      </c>
      <c r="D39" s="15">
        <v>3231</v>
      </c>
      <c r="E39" s="15">
        <v>11</v>
      </c>
      <c r="F39" s="15">
        <v>9</v>
      </c>
      <c r="G39" s="15">
        <v>106</v>
      </c>
      <c r="H39" s="15">
        <v>1670</v>
      </c>
      <c r="I39" s="15">
        <v>6737</v>
      </c>
      <c r="J39" s="15">
        <v>4907</v>
      </c>
      <c r="K39" s="15">
        <v>11</v>
      </c>
      <c r="L39" s="15">
        <v>52</v>
      </c>
      <c r="M39" s="15">
        <v>60</v>
      </c>
      <c r="N39" s="15">
        <v>1707</v>
      </c>
      <c r="O39" s="40">
        <v>3326</v>
      </c>
      <c r="P39" s="18">
        <f t="shared" si="0"/>
        <v>1581</v>
      </c>
      <c r="Q39" s="18">
        <f t="shared" si="1"/>
        <v>1581</v>
      </c>
      <c r="R39" s="18">
        <f t="shared" si="2"/>
        <v>6737</v>
      </c>
      <c r="S39" s="41">
        <v>74</v>
      </c>
      <c r="U39" s="42"/>
      <c r="V39" s="42"/>
    </row>
    <row r="40" spans="1:22" ht="14.4">
      <c r="A40" s="13">
        <v>20203</v>
      </c>
      <c r="B40" s="14" t="s">
        <v>55</v>
      </c>
      <c r="C40" s="15">
        <v>2032</v>
      </c>
      <c r="D40" s="15">
        <v>1406</v>
      </c>
      <c r="E40" s="15">
        <v>0</v>
      </c>
      <c r="F40" s="15">
        <v>2</v>
      </c>
      <c r="G40" s="15">
        <v>20</v>
      </c>
      <c r="H40" s="15">
        <v>604</v>
      </c>
      <c r="I40" s="15">
        <v>2631</v>
      </c>
      <c r="J40" s="15">
        <v>1962</v>
      </c>
      <c r="K40" s="15">
        <v>5</v>
      </c>
      <c r="L40" s="15">
        <v>11</v>
      </c>
      <c r="M40" s="15">
        <v>49</v>
      </c>
      <c r="N40" s="15">
        <v>604</v>
      </c>
      <c r="O40" s="40">
        <v>1326</v>
      </c>
      <c r="P40" s="18">
        <f t="shared" si="0"/>
        <v>636</v>
      </c>
      <c r="Q40" s="18">
        <f t="shared" si="1"/>
        <v>636</v>
      </c>
      <c r="R40" s="18">
        <f t="shared" si="2"/>
        <v>2631</v>
      </c>
      <c r="S40" s="41">
        <v>112</v>
      </c>
      <c r="U40" s="42"/>
      <c r="V40" s="42"/>
    </row>
    <row r="41" spans="1:22" ht="14.4">
      <c r="A41" s="21">
        <v>20204</v>
      </c>
      <c r="B41" s="22" t="s">
        <v>56</v>
      </c>
      <c r="C41" s="15">
        <v>3297</v>
      </c>
      <c r="D41" s="15">
        <v>2315</v>
      </c>
      <c r="E41" s="15">
        <v>8</v>
      </c>
      <c r="F41" s="15">
        <v>6</v>
      </c>
      <c r="G41" s="15">
        <v>30</v>
      </c>
      <c r="H41" s="15">
        <v>938</v>
      </c>
      <c r="I41" s="15">
        <v>3956</v>
      </c>
      <c r="J41" s="15">
        <v>3045</v>
      </c>
      <c r="K41" s="15">
        <v>6</v>
      </c>
      <c r="L41" s="15">
        <v>12</v>
      </c>
      <c r="M41" s="15">
        <v>21</v>
      </c>
      <c r="N41" s="15">
        <v>872</v>
      </c>
      <c r="O41" s="40">
        <v>2203</v>
      </c>
      <c r="P41" s="18">
        <f t="shared" si="0"/>
        <v>842</v>
      </c>
      <c r="Q41" s="18">
        <f t="shared" si="1"/>
        <v>842</v>
      </c>
      <c r="R41" s="18">
        <f t="shared" si="2"/>
        <v>3956</v>
      </c>
      <c r="S41" s="41">
        <v>108</v>
      </c>
      <c r="U41" s="42"/>
      <c r="V41" s="42"/>
    </row>
    <row r="42" spans="1:22" ht="14.4">
      <c r="A42" s="13">
        <v>20205</v>
      </c>
      <c r="B42" s="14" t="s">
        <v>57</v>
      </c>
      <c r="C42" s="15">
        <v>3797</v>
      </c>
      <c r="D42" s="15">
        <v>2553</v>
      </c>
      <c r="E42" s="15">
        <v>10</v>
      </c>
      <c r="F42" s="15">
        <v>3</v>
      </c>
      <c r="G42" s="15">
        <v>33</v>
      </c>
      <c r="H42" s="15">
        <v>1198</v>
      </c>
      <c r="I42" s="15">
        <v>4479</v>
      </c>
      <c r="J42" s="15">
        <v>3568</v>
      </c>
      <c r="K42" s="15">
        <v>8</v>
      </c>
      <c r="L42" s="15">
        <v>27</v>
      </c>
      <c r="M42" s="15">
        <v>42</v>
      </c>
      <c r="N42" s="15">
        <v>834</v>
      </c>
      <c r="O42" s="40">
        <v>2753</v>
      </c>
      <c r="P42" s="18">
        <f t="shared" si="0"/>
        <v>815</v>
      </c>
      <c r="Q42" s="18">
        <f t="shared" si="1"/>
        <v>815</v>
      </c>
      <c r="R42" s="18">
        <f t="shared" si="2"/>
        <v>4479</v>
      </c>
      <c r="S42" s="41">
        <v>75</v>
      </c>
      <c r="U42" s="42"/>
      <c r="V42" s="42"/>
    </row>
    <row r="43" spans="1:22" ht="14.4">
      <c r="A43" s="21">
        <v>20206</v>
      </c>
      <c r="B43" s="22" t="s">
        <v>58</v>
      </c>
      <c r="C43" s="15">
        <v>1662</v>
      </c>
      <c r="D43" s="15">
        <v>1357</v>
      </c>
      <c r="E43" s="15">
        <v>4</v>
      </c>
      <c r="F43" s="15">
        <v>2</v>
      </c>
      <c r="G43" s="15">
        <v>6</v>
      </c>
      <c r="H43" s="15">
        <v>293</v>
      </c>
      <c r="I43" s="15">
        <v>2509</v>
      </c>
      <c r="J43" s="15">
        <v>2120</v>
      </c>
      <c r="K43" s="15">
        <v>3</v>
      </c>
      <c r="L43" s="15">
        <v>3</v>
      </c>
      <c r="M43" s="15">
        <v>30</v>
      </c>
      <c r="N43" s="15">
        <v>353</v>
      </c>
      <c r="O43" s="40">
        <v>1180</v>
      </c>
      <c r="P43" s="18">
        <f t="shared" si="0"/>
        <v>940</v>
      </c>
      <c r="Q43" s="18">
        <f t="shared" si="1"/>
        <v>940</v>
      </c>
      <c r="R43" s="18">
        <f t="shared" si="2"/>
        <v>2509</v>
      </c>
      <c r="S43" s="41">
        <v>82</v>
      </c>
      <c r="U43" s="42"/>
      <c r="V43" s="42"/>
    </row>
    <row r="44" spans="1:22" ht="14.4">
      <c r="A44" s="13">
        <v>20301</v>
      </c>
      <c r="B44" s="14" t="s">
        <v>59</v>
      </c>
      <c r="C44" s="15">
        <v>3740</v>
      </c>
      <c r="D44" s="15">
        <v>1917</v>
      </c>
      <c r="E44" s="15">
        <v>8</v>
      </c>
      <c r="F44" s="15">
        <v>71</v>
      </c>
      <c r="G44" s="15">
        <v>36</v>
      </c>
      <c r="H44" s="15">
        <v>1708</v>
      </c>
      <c r="I44" s="15">
        <v>5244</v>
      </c>
      <c r="J44" s="15">
        <v>3709</v>
      </c>
      <c r="K44" s="15">
        <v>17</v>
      </c>
      <c r="L44" s="15">
        <v>63</v>
      </c>
      <c r="M44" s="15">
        <v>62</v>
      </c>
      <c r="N44" s="15">
        <v>1393</v>
      </c>
      <c r="O44" s="40">
        <v>2841</v>
      </c>
      <c r="P44" s="18">
        <f t="shared" si="0"/>
        <v>868</v>
      </c>
      <c r="Q44" s="18">
        <f t="shared" si="1"/>
        <v>868</v>
      </c>
      <c r="R44" s="18">
        <f t="shared" si="2"/>
        <v>5244</v>
      </c>
      <c r="S44" s="41">
        <v>66</v>
      </c>
      <c r="U44" s="42"/>
      <c r="V44" s="42"/>
    </row>
    <row r="45" spans="1:22" ht="14.4">
      <c r="A45" s="21">
        <v>20302</v>
      </c>
      <c r="B45" s="22" t="s">
        <v>60</v>
      </c>
      <c r="C45" s="15">
        <v>4269</v>
      </c>
      <c r="D45" s="15">
        <v>1512</v>
      </c>
      <c r="E45" s="15">
        <v>13</v>
      </c>
      <c r="F45" s="15">
        <v>91</v>
      </c>
      <c r="G45" s="15">
        <v>35</v>
      </c>
      <c r="H45" s="15">
        <v>2618</v>
      </c>
      <c r="I45" s="15">
        <v>5233</v>
      </c>
      <c r="J45" s="15">
        <v>3745</v>
      </c>
      <c r="K45" s="15">
        <v>17</v>
      </c>
      <c r="L45" s="15">
        <v>186</v>
      </c>
      <c r="M45" s="15">
        <v>52</v>
      </c>
      <c r="N45" s="15">
        <v>1233</v>
      </c>
      <c r="O45" s="40">
        <v>3285</v>
      </c>
      <c r="P45" s="18">
        <f t="shared" si="0"/>
        <v>460</v>
      </c>
      <c r="Q45" s="18">
        <f t="shared" si="1"/>
        <v>460</v>
      </c>
      <c r="R45" s="18">
        <f t="shared" si="2"/>
        <v>5233</v>
      </c>
      <c r="S45" s="41">
        <v>40</v>
      </c>
      <c r="U45" s="42"/>
      <c r="V45" s="42"/>
    </row>
    <row r="46" spans="1:22" ht="14.4">
      <c r="A46" s="13">
        <v>20303</v>
      </c>
      <c r="B46" s="14" t="s">
        <v>61</v>
      </c>
      <c r="C46" s="15">
        <v>3533</v>
      </c>
      <c r="D46" s="15">
        <v>635</v>
      </c>
      <c r="E46" s="15">
        <v>11</v>
      </c>
      <c r="F46" s="15">
        <v>195</v>
      </c>
      <c r="G46" s="15">
        <v>165</v>
      </c>
      <c r="H46" s="15">
        <v>2527</v>
      </c>
      <c r="I46" s="15">
        <v>5108</v>
      </c>
      <c r="J46" s="15">
        <v>2331</v>
      </c>
      <c r="K46" s="15">
        <v>5</v>
      </c>
      <c r="L46" s="15">
        <v>422</v>
      </c>
      <c r="M46" s="15">
        <v>99</v>
      </c>
      <c r="N46" s="15">
        <v>2251</v>
      </c>
      <c r="O46" s="40">
        <v>1663</v>
      </c>
      <c r="P46" s="18">
        <f t="shared" si="0"/>
        <v>668</v>
      </c>
      <c r="Q46" s="18">
        <f t="shared" si="1"/>
        <v>668</v>
      </c>
      <c r="R46" s="18">
        <f t="shared" si="2"/>
        <v>5108</v>
      </c>
      <c r="S46" s="41">
        <v>31</v>
      </c>
      <c r="U46" s="42"/>
      <c r="V46" s="42"/>
    </row>
    <row r="47" spans="1:22" ht="14.4">
      <c r="A47" s="21">
        <v>20304</v>
      </c>
      <c r="B47" s="22" t="s">
        <v>62</v>
      </c>
      <c r="C47" s="15">
        <v>1311</v>
      </c>
      <c r="D47" s="15">
        <v>481</v>
      </c>
      <c r="E47" s="15">
        <v>4</v>
      </c>
      <c r="F47" s="15">
        <v>36</v>
      </c>
      <c r="G47" s="15">
        <v>26</v>
      </c>
      <c r="H47" s="15">
        <v>764</v>
      </c>
      <c r="I47" s="15">
        <v>1930</v>
      </c>
      <c r="J47" s="15">
        <v>1514</v>
      </c>
      <c r="K47" s="15">
        <v>7</v>
      </c>
      <c r="L47" s="15">
        <v>29</v>
      </c>
      <c r="M47" s="15">
        <v>11</v>
      </c>
      <c r="N47" s="15">
        <v>369</v>
      </c>
      <c r="O47" s="40">
        <v>1168</v>
      </c>
      <c r="P47" s="18">
        <f t="shared" si="0"/>
        <v>346</v>
      </c>
      <c r="Q47" s="18">
        <f t="shared" si="1"/>
        <v>346</v>
      </c>
      <c r="R47" s="18">
        <f t="shared" si="2"/>
        <v>1930</v>
      </c>
      <c r="S47" s="41">
        <v>60</v>
      </c>
      <c r="U47" s="42"/>
      <c r="V47" s="42"/>
    </row>
    <row r="48" spans="1:22" ht="14.4">
      <c r="A48" s="13">
        <v>20305</v>
      </c>
      <c r="B48" s="14" t="s">
        <v>63</v>
      </c>
      <c r="C48" s="15">
        <v>1159</v>
      </c>
      <c r="D48" s="15">
        <v>348</v>
      </c>
      <c r="E48" s="15">
        <v>1</v>
      </c>
      <c r="F48" s="15">
        <v>70</v>
      </c>
      <c r="G48" s="15">
        <v>69</v>
      </c>
      <c r="H48" s="15">
        <v>671</v>
      </c>
      <c r="I48" s="15">
        <v>1742</v>
      </c>
      <c r="J48" s="15">
        <v>459</v>
      </c>
      <c r="K48" s="15">
        <v>2</v>
      </c>
      <c r="L48" s="15">
        <v>236</v>
      </c>
      <c r="M48" s="15">
        <v>67</v>
      </c>
      <c r="N48" s="15">
        <v>978</v>
      </c>
      <c r="O48" s="40">
        <v>398</v>
      </c>
      <c r="P48" s="18">
        <f t="shared" si="0"/>
        <v>61</v>
      </c>
      <c r="Q48" s="18">
        <f t="shared" si="1"/>
        <v>61</v>
      </c>
      <c r="R48" s="18">
        <f t="shared" si="2"/>
        <v>1742</v>
      </c>
      <c r="S48" s="41">
        <v>144.5</v>
      </c>
      <c r="U48" s="42"/>
      <c r="V48" s="42"/>
    </row>
    <row r="49" spans="1:22" ht="14.4">
      <c r="A49" s="21">
        <v>20306</v>
      </c>
      <c r="B49" s="22" t="s">
        <v>64</v>
      </c>
      <c r="C49" s="15">
        <v>1070</v>
      </c>
      <c r="D49" s="15">
        <v>663</v>
      </c>
      <c r="E49" s="15">
        <v>2</v>
      </c>
      <c r="F49" s="15">
        <v>7</v>
      </c>
      <c r="G49" s="15">
        <v>19</v>
      </c>
      <c r="H49" s="15">
        <v>379</v>
      </c>
      <c r="I49" s="15">
        <v>1463</v>
      </c>
      <c r="J49" s="15">
        <v>1000</v>
      </c>
      <c r="K49" s="15">
        <v>1</v>
      </c>
      <c r="L49" s="15">
        <v>66</v>
      </c>
      <c r="M49" s="15">
        <v>20</v>
      </c>
      <c r="N49" s="15">
        <v>376</v>
      </c>
      <c r="O49" s="40">
        <v>0</v>
      </c>
      <c r="P49" s="18">
        <f t="shared" si="0"/>
        <v>1000</v>
      </c>
      <c r="Q49" s="18">
        <f t="shared" si="1"/>
        <v>1000</v>
      </c>
      <c r="R49" s="18">
        <f t="shared" si="2"/>
        <v>1463</v>
      </c>
      <c r="S49" s="41">
        <v>0</v>
      </c>
      <c r="U49" s="42"/>
      <c r="V49" s="42"/>
    </row>
    <row r="50" spans="1:22" ht="14.4">
      <c r="A50" s="13">
        <v>20307</v>
      </c>
      <c r="B50" s="14" t="s">
        <v>65</v>
      </c>
      <c r="C50" s="15">
        <v>289</v>
      </c>
      <c r="D50" s="15">
        <v>108</v>
      </c>
      <c r="E50" s="15">
        <v>0</v>
      </c>
      <c r="F50" s="15">
        <v>13</v>
      </c>
      <c r="G50" s="15">
        <v>1</v>
      </c>
      <c r="H50" s="15">
        <v>167</v>
      </c>
      <c r="I50" s="15">
        <v>1213</v>
      </c>
      <c r="J50" s="15">
        <v>826</v>
      </c>
      <c r="K50" s="15">
        <v>5</v>
      </c>
      <c r="L50" s="15">
        <v>16</v>
      </c>
      <c r="M50" s="15">
        <v>6</v>
      </c>
      <c r="N50" s="15">
        <v>360</v>
      </c>
      <c r="O50" s="40">
        <v>104</v>
      </c>
      <c r="P50" s="18">
        <f t="shared" si="0"/>
        <v>722</v>
      </c>
      <c r="Q50" s="18">
        <f t="shared" si="1"/>
        <v>722</v>
      </c>
      <c r="R50" s="18">
        <f t="shared" si="2"/>
        <v>1213</v>
      </c>
      <c r="S50" s="41">
        <v>69.5</v>
      </c>
      <c r="U50" s="42"/>
      <c r="V50" s="42"/>
    </row>
    <row r="51" spans="1:22" ht="14.4">
      <c r="A51" s="21">
        <v>20308</v>
      </c>
      <c r="B51" s="22" t="s">
        <v>66</v>
      </c>
      <c r="C51" s="15">
        <v>2790</v>
      </c>
      <c r="D51" s="15">
        <v>364</v>
      </c>
      <c r="E51" s="15">
        <v>2</v>
      </c>
      <c r="F51" s="15">
        <v>37</v>
      </c>
      <c r="G51" s="15">
        <v>8</v>
      </c>
      <c r="H51" s="15">
        <v>2379</v>
      </c>
      <c r="I51" s="15">
        <v>3569</v>
      </c>
      <c r="J51" s="15">
        <v>1944</v>
      </c>
      <c r="K51" s="15">
        <v>5</v>
      </c>
      <c r="L51" s="15">
        <v>125</v>
      </c>
      <c r="M51" s="15">
        <v>33</v>
      </c>
      <c r="N51" s="15">
        <v>1462</v>
      </c>
      <c r="O51" s="40">
        <v>1510</v>
      </c>
      <c r="P51" s="18">
        <f t="shared" si="0"/>
        <v>434</v>
      </c>
      <c r="Q51" s="18">
        <f t="shared" si="1"/>
        <v>434</v>
      </c>
      <c r="R51" s="18">
        <f t="shared" si="2"/>
        <v>3569</v>
      </c>
      <c r="S51" s="41">
        <v>29</v>
      </c>
      <c r="U51" s="42"/>
      <c r="V51" s="42"/>
    </row>
    <row r="52" spans="1:22" ht="14.4">
      <c r="A52" s="13">
        <v>20401</v>
      </c>
      <c r="B52" s="14" t="s">
        <v>67</v>
      </c>
      <c r="C52" s="15">
        <v>5011</v>
      </c>
      <c r="D52" s="15">
        <v>2707</v>
      </c>
      <c r="E52" s="15">
        <v>3</v>
      </c>
      <c r="F52" s="15">
        <v>13</v>
      </c>
      <c r="G52" s="15">
        <v>72</v>
      </c>
      <c r="H52" s="15">
        <v>2216</v>
      </c>
      <c r="I52" s="15">
        <v>6604</v>
      </c>
      <c r="J52" s="15">
        <v>4592</v>
      </c>
      <c r="K52" s="15">
        <v>8</v>
      </c>
      <c r="L52" s="15">
        <v>27</v>
      </c>
      <c r="M52" s="15">
        <v>38</v>
      </c>
      <c r="N52" s="15">
        <v>1939</v>
      </c>
      <c r="O52" s="40">
        <v>3885</v>
      </c>
      <c r="P52" s="18">
        <f t="shared" si="0"/>
        <v>707</v>
      </c>
      <c r="Q52" s="18">
        <f t="shared" si="1"/>
        <v>707</v>
      </c>
      <c r="R52" s="18">
        <f t="shared" si="2"/>
        <v>6604</v>
      </c>
      <c r="S52" s="41">
        <v>67</v>
      </c>
      <c r="U52" s="42"/>
      <c r="V52" s="42"/>
    </row>
    <row r="53" spans="1:22" ht="14.4">
      <c r="A53" s="21">
        <v>20402</v>
      </c>
      <c r="B53" s="22" t="s">
        <v>68</v>
      </c>
      <c r="C53" s="15">
        <v>6606</v>
      </c>
      <c r="D53" s="15">
        <v>3081</v>
      </c>
      <c r="E53" s="15">
        <v>27</v>
      </c>
      <c r="F53" s="15">
        <v>12</v>
      </c>
      <c r="G53" s="15">
        <v>63</v>
      </c>
      <c r="H53" s="15">
        <v>3423</v>
      </c>
      <c r="I53" s="15">
        <v>8013</v>
      </c>
      <c r="J53" s="15">
        <v>5543</v>
      </c>
      <c r="K53" s="15">
        <v>18</v>
      </c>
      <c r="L53" s="15">
        <v>42</v>
      </c>
      <c r="M53" s="15">
        <v>45</v>
      </c>
      <c r="N53" s="15">
        <v>2365</v>
      </c>
      <c r="O53" s="40">
        <v>2950</v>
      </c>
      <c r="P53" s="18">
        <f t="shared" si="0"/>
        <v>2593</v>
      </c>
      <c r="Q53" s="18">
        <f t="shared" si="1"/>
        <v>2593</v>
      </c>
      <c r="R53" s="18">
        <f t="shared" si="2"/>
        <v>8013</v>
      </c>
      <c r="S53" s="41">
        <v>76</v>
      </c>
      <c r="U53" s="42"/>
      <c r="V53" s="42"/>
    </row>
    <row r="54" spans="1:22" ht="14.4">
      <c r="A54" s="13">
        <v>20403</v>
      </c>
      <c r="B54" s="14" t="s">
        <v>69</v>
      </c>
      <c r="C54" s="15">
        <v>5347</v>
      </c>
      <c r="D54" s="15">
        <v>2774</v>
      </c>
      <c r="E54" s="15">
        <v>10</v>
      </c>
      <c r="F54" s="15">
        <v>27</v>
      </c>
      <c r="G54" s="15">
        <v>74</v>
      </c>
      <c r="H54" s="15">
        <v>2462</v>
      </c>
      <c r="I54" s="15">
        <v>7065</v>
      </c>
      <c r="J54" s="15">
        <v>5324</v>
      </c>
      <c r="K54" s="15">
        <v>19</v>
      </c>
      <c r="L54" s="15">
        <v>48</v>
      </c>
      <c r="M54" s="15">
        <v>42</v>
      </c>
      <c r="N54" s="15">
        <v>1632</v>
      </c>
      <c r="O54" s="40">
        <v>3471</v>
      </c>
      <c r="P54" s="18">
        <f t="shared" si="0"/>
        <v>1853</v>
      </c>
      <c r="Q54" s="18">
        <f t="shared" si="1"/>
        <v>1853</v>
      </c>
      <c r="R54" s="18">
        <f t="shared" si="2"/>
        <v>7065</v>
      </c>
      <c r="S54" s="41">
        <v>88</v>
      </c>
      <c r="U54" s="42"/>
      <c r="V54" s="42"/>
    </row>
    <row r="55" spans="1:22" ht="14.4">
      <c r="A55" s="21">
        <v>20404</v>
      </c>
      <c r="B55" s="22" t="s">
        <v>70</v>
      </c>
      <c r="C55" s="15">
        <v>2108</v>
      </c>
      <c r="D55" s="15">
        <v>1204</v>
      </c>
      <c r="E55" s="15">
        <v>1</v>
      </c>
      <c r="F55" s="15">
        <v>20</v>
      </c>
      <c r="G55" s="15">
        <v>56</v>
      </c>
      <c r="H55" s="15">
        <v>827</v>
      </c>
      <c r="I55" s="15">
        <v>2527</v>
      </c>
      <c r="J55" s="15">
        <v>1783</v>
      </c>
      <c r="K55" s="15">
        <v>7</v>
      </c>
      <c r="L55" s="15">
        <v>14</v>
      </c>
      <c r="M55" s="15">
        <v>16</v>
      </c>
      <c r="N55" s="15">
        <v>707</v>
      </c>
      <c r="O55" s="40">
        <v>1139</v>
      </c>
      <c r="P55" s="18">
        <f t="shared" si="0"/>
        <v>644</v>
      </c>
      <c r="Q55" s="18">
        <f t="shared" si="1"/>
        <v>644</v>
      </c>
      <c r="R55" s="18">
        <f t="shared" si="2"/>
        <v>2527</v>
      </c>
      <c r="S55" s="41">
        <v>85</v>
      </c>
      <c r="U55" s="42"/>
      <c r="V55" s="42"/>
    </row>
    <row r="56" spans="1:22" ht="14.4">
      <c r="A56" s="13">
        <v>20405</v>
      </c>
      <c r="B56" s="14" t="s">
        <v>71</v>
      </c>
      <c r="C56" s="15">
        <v>3027</v>
      </c>
      <c r="D56" s="15">
        <v>1856</v>
      </c>
      <c r="E56" s="15">
        <v>12</v>
      </c>
      <c r="F56" s="15">
        <v>7</v>
      </c>
      <c r="G56" s="15">
        <v>72</v>
      </c>
      <c r="H56" s="15">
        <v>1080</v>
      </c>
      <c r="I56" s="15">
        <v>4116</v>
      </c>
      <c r="J56" s="15">
        <v>2870</v>
      </c>
      <c r="K56" s="15">
        <v>6</v>
      </c>
      <c r="L56" s="15">
        <v>27</v>
      </c>
      <c r="M56" s="15">
        <v>17</v>
      </c>
      <c r="N56" s="15">
        <v>1196</v>
      </c>
      <c r="O56" s="40">
        <v>2121</v>
      </c>
      <c r="P56" s="18">
        <f t="shared" si="0"/>
        <v>749</v>
      </c>
      <c r="Q56" s="18">
        <f t="shared" si="1"/>
        <v>749</v>
      </c>
      <c r="R56" s="18">
        <f t="shared" si="2"/>
        <v>4116</v>
      </c>
      <c r="S56" s="41">
        <v>84</v>
      </c>
      <c r="U56" s="42"/>
      <c r="V56" s="42"/>
    </row>
    <row r="57" spans="1:22" ht="14.4">
      <c r="A57" s="21">
        <v>20501</v>
      </c>
      <c r="B57" s="22" t="s">
        <v>72</v>
      </c>
      <c r="C57" s="15">
        <v>3938</v>
      </c>
      <c r="D57" s="15">
        <v>2437</v>
      </c>
      <c r="E57" s="15">
        <v>6</v>
      </c>
      <c r="F57" s="15">
        <v>3</v>
      </c>
      <c r="G57" s="15">
        <v>14</v>
      </c>
      <c r="H57" s="15">
        <v>1478</v>
      </c>
      <c r="I57" s="15">
        <v>6388</v>
      </c>
      <c r="J57" s="15">
        <v>4840</v>
      </c>
      <c r="K57" s="15">
        <v>19</v>
      </c>
      <c r="L57" s="15">
        <v>48</v>
      </c>
      <c r="M57" s="15">
        <v>19</v>
      </c>
      <c r="N57" s="15">
        <v>1462</v>
      </c>
      <c r="O57" s="40">
        <v>3404</v>
      </c>
      <c r="P57" s="18">
        <f t="shared" si="0"/>
        <v>1436</v>
      </c>
      <c r="Q57" s="18">
        <f t="shared" si="1"/>
        <v>1436</v>
      </c>
      <c r="R57" s="18">
        <f t="shared" si="2"/>
        <v>6388</v>
      </c>
      <c r="S57" s="41">
        <v>95</v>
      </c>
      <c r="U57" s="42"/>
      <c r="V57" s="42"/>
    </row>
    <row r="58" spans="1:22" ht="14.4">
      <c r="A58" s="13">
        <v>20502</v>
      </c>
      <c r="B58" s="14" t="s">
        <v>73</v>
      </c>
      <c r="C58" s="15">
        <v>2747</v>
      </c>
      <c r="D58" s="15">
        <v>1397</v>
      </c>
      <c r="E58" s="15">
        <v>113</v>
      </c>
      <c r="F58" s="15">
        <v>24</v>
      </c>
      <c r="G58" s="15">
        <v>28</v>
      </c>
      <c r="H58" s="15">
        <v>1185</v>
      </c>
      <c r="I58" s="15">
        <v>3494</v>
      </c>
      <c r="J58" s="15">
        <v>2635</v>
      </c>
      <c r="K58" s="15">
        <v>45</v>
      </c>
      <c r="L58" s="15">
        <v>41</v>
      </c>
      <c r="M58" s="15">
        <v>51</v>
      </c>
      <c r="N58" s="15">
        <v>722</v>
      </c>
      <c r="O58" s="40">
        <v>1519</v>
      </c>
      <c r="P58" s="18">
        <f t="shared" si="0"/>
        <v>1116</v>
      </c>
      <c r="Q58" s="18">
        <f t="shared" si="1"/>
        <v>1116</v>
      </c>
      <c r="R58" s="18">
        <f t="shared" si="2"/>
        <v>3494</v>
      </c>
      <c r="S58" s="41">
        <v>99</v>
      </c>
      <c r="U58" s="42"/>
      <c r="V58" s="42"/>
    </row>
    <row r="59" spans="1:22" ht="14.4">
      <c r="A59" s="21">
        <v>20503</v>
      </c>
      <c r="B59" s="22" t="s">
        <v>74</v>
      </c>
      <c r="C59" s="15">
        <v>1938</v>
      </c>
      <c r="D59" s="15">
        <v>1236</v>
      </c>
      <c r="E59" s="15">
        <v>27</v>
      </c>
      <c r="F59" s="15">
        <v>9</v>
      </c>
      <c r="G59" s="15">
        <v>71</v>
      </c>
      <c r="H59" s="15">
        <v>595</v>
      </c>
      <c r="I59" s="15">
        <v>2500</v>
      </c>
      <c r="J59" s="15">
        <v>1844</v>
      </c>
      <c r="K59" s="15">
        <v>61</v>
      </c>
      <c r="L59" s="15">
        <v>88</v>
      </c>
      <c r="M59" s="15">
        <v>20</v>
      </c>
      <c r="N59" s="15">
        <v>487</v>
      </c>
      <c r="O59" s="40">
        <v>1244</v>
      </c>
      <c r="P59" s="18">
        <f t="shared" si="0"/>
        <v>600</v>
      </c>
      <c r="Q59" s="18">
        <f t="shared" si="1"/>
        <v>600</v>
      </c>
      <c r="R59" s="18">
        <f t="shared" si="2"/>
        <v>2500</v>
      </c>
      <c r="S59" s="41">
        <v>232</v>
      </c>
      <c r="U59" s="42"/>
      <c r="V59" s="42"/>
    </row>
    <row r="60" spans="1:22" ht="14.4">
      <c r="A60" s="13">
        <v>20601</v>
      </c>
      <c r="B60" s="14" t="s">
        <v>75</v>
      </c>
      <c r="C60" s="15">
        <v>8775</v>
      </c>
      <c r="D60" s="15">
        <v>5375</v>
      </c>
      <c r="E60" s="15">
        <v>86</v>
      </c>
      <c r="F60" s="15">
        <v>25</v>
      </c>
      <c r="G60" s="15">
        <v>302</v>
      </c>
      <c r="H60" s="15">
        <v>2987</v>
      </c>
      <c r="I60" s="15">
        <v>11459</v>
      </c>
      <c r="J60" s="15">
        <v>9113</v>
      </c>
      <c r="K60" s="15">
        <v>205</v>
      </c>
      <c r="L60" s="15">
        <v>106</v>
      </c>
      <c r="M60" s="15">
        <v>31</v>
      </c>
      <c r="N60" s="15">
        <v>2004</v>
      </c>
      <c r="O60" s="40">
        <v>6772</v>
      </c>
      <c r="P60" s="18">
        <f t="shared" si="0"/>
        <v>2341</v>
      </c>
      <c r="Q60" s="18">
        <f t="shared" si="1"/>
        <v>2341</v>
      </c>
      <c r="R60" s="18">
        <f t="shared" si="2"/>
        <v>11459</v>
      </c>
      <c r="S60" s="41">
        <v>199</v>
      </c>
      <c r="U60" s="42"/>
      <c r="V60" s="42"/>
    </row>
    <row r="61" spans="1:22" ht="14.4">
      <c r="A61" s="21">
        <v>20602</v>
      </c>
      <c r="B61" s="22" t="s">
        <v>76</v>
      </c>
      <c r="C61" s="15">
        <v>4681</v>
      </c>
      <c r="D61" s="15">
        <v>2699</v>
      </c>
      <c r="E61" s="15">
        <v>276</v>
      </c>
      <c r="F61" s="15">
        <v>35</v>
      </c>
      <c r="G61" s="15">
        <v>110</v>
      </c>
      <c r="H61" s="15">
        <v>1561</v>
      </c>
      <c r="I61" s="15">
        <v>6269</v>
      </c>
      <c r="J61" s="15">
        <v>4260</v>
      </c>
      <c r="K61" s="15">
        <v>387</v>
      </c>
      <c r="L61" s="15">
        <v>263</v>
      </c>
      <c r="M61" s="15">
        <v>94</v>
      </c>
      <c r="N61" s="15">
        <v>1265</v>
      </c>
      <c r="O61" s="40">
        <v>3116</v>
      </c>
      <c r="P61" s="18">
        <f t="shared" si="0"/>
        <v>1144</v>
      </c>
      <c r="Q61" s="18">
        <f t="shared" si="1"/>
        <v>1144</v>
      </c>
      <c r="R61" s="18">
        <f t="shared" si="2"/>
        <v>6269</v>
      </c>
      <c r="S61" s="41">
        <v>1079</v>
      </c>
      <c r="U61" s="42"/>
      <c r="V61" s="42"/>
    </row>
    <row r="62" spans="1:22" ht="14.4">
      <c r="A62" s="13">
        <v>20603</v>
      </c>
      <c r="B62" s="14" t="s">
        <v>77</v>
      </c>
      <c r="C62" s="15">
        <v>2980</v>
      </c>
      <c r="D62" s="15">
        <v>1611</v>
      </c>
      <c r="E62" s="15">
        <v>181</v>
      </c>
      <c r="F62" s="15">
        <v>14</v>
      </c>
      <c r="G62" s="15">
        <v>63</v>
      </c>
      <c r="H62" s="15">
        <v>1111</v>
      </c>
      <c r="I62" s="15">
        <v>4152</v>
      </c>
      <c r="J62" s="15">
        <v>2892</v>
      </c>
      <c r="K62" s="15">
        <v>193</v>
      </c>
      <c r="L62" s="15">
        <v>89</v>
      </c>
      <c r="M62" s="15">
        <v>49</v>
      </c>
      <c r="N62" s="15">
        <v>929</v>
      </c>
      <c r="O62" s="40">
        <v>1865</v>
      </c>
      <c r="P62" s="18">
        <f t="shared" si="0"/>
        <v>1027</v>
      </c>
      <c r="Q62" s="18">
        <f t="shared" si="1"/>
        <v>1027</v>
      </c>
      <c r="R62" s="18">
        <f t="shared" si="2"/>
        <v>4152</v>
      </c>
      <c r="S62" s="41">
        <v>325</v>
      </c>
      <c r="U62" s="42"/>
      <c r="V62" s="42"/>
    </row>
    <row r="63" spans="1:22" ht="14.4">
      <c r="A63" s="21">
        <v>20604</v>
      </c>
      <c r="B63" s="22" t="s">
        <v>78</v>
      </c>
      <c r="C63" s="15">
        <v>1027</v>
      </c>
      <c r="D63" s="15">
        <v>677</v>
      </c>
      <c r="E63" s="15">
        <v>1</v>
      </c>
      <c r="F63" s="15">
        <v>3</v>
      </c>
      <c r="G63" s="15">
        <v>5</v>
      </c>
      <c r="H63" s="15">
        <v>341</v>
      </c>
      <c r="I63" s="15">
        <v>1391</v>
      </c>
      <c r="J63" s="15">
        <v>1066</v>
      </c>
      <c r="K63" s="15">
        <v>1</v>
      </c>
      <c r="L63" s="15">
        <v>10</v>
      </c>
      <c r="M63" s="15">
        <v>8</v>
      </c>
      <c r="N63" s="15">
        <v>306</v>
      </c>
      <c r="O63" s="40">
        <v>791</v>
      </c>
      <c r="P63" s="18">
        <f t="shared" si="0"/>
        <v>275</v>
      </c>
      <c r="Q63" s="18">
        <f t="shared" si="1"/>
        <v>275</v>
      </c>
      <c r="R63" s="18">
        <f t="shared" si="2"/>
        <v>1391</v>
      </c>
      <c r="S63" s="41">
        <v>160</v>
      </c>
      <c r="U63" s="42"/>
      <c r="V63" s="42"/>
    </row>
    <row r="64" spans="1:22" ht="14.4">
      <c r="A64" s="13">
        <v>20605</v>
      </c>
      <c r="B64" s="14" t="s">
        <v>79</v>
      </c>
      <c r="C64" s="15">
        <v>994</v>
      </c>
      <c r="D64" s="15">
        <v>681</v>
      </c>
      <c r="E64" s="15">
        <v>1</v>
      </c>
      <c r="F64" s="15">
        <v>1</v>
      </c>
      <c r="G64" s="15">
        <v>10</v>
      </c>
      <c r="H64" s="15">
        <v>301</v>
      </c>
      <c r="I64" s="15">
        <v>1425</v>
      </c>
      <c r="J64" s="15">
        <v>1082</v>
      </c>
      <c r="K64" s="15">
        <v>2</v>
      </c>
      <c r="L64" s="15">
        <v>11</v>
      </c>
      <c r="M64" s="15">
        <v>6</v>
      </c>
      <c r="N64" s="15">
        <v>324</v>
      </c>
      <c r="O64" s="40">
        <v>586</v>
      </c>
      <c r="P64" s="18">
        <f t="shared" si="0"/>
        <v>496</v>
      </c>
      <c r="Q64" s="18">
        <f t="shared" si="1"/>
        <v>496</v>
      </c>
      <c r="R64" s="18">
        <f t="shared" si="2"/>
        <v>1425</v>
      </c>
      <c r="S64" s="41">
        <v>71.5</v>
      </c>
      <c r="U64" s="42"/>
      <c r="V64" s="42"/>
    </row>
    <row r="65" spans="1:22" ht="14.4">
      <c r="A65" s="21">
        <v>20606</v>
      </c>
      <c r="B65" s="22" t="s">
        <v>80</v>
      </c>
      <c r="C65" s="15">
        <v>3457</v>
      </c>
      <c r="D65" s="15">
        <v>2983</v>
      </c>
      <c r="E65" s="15">
        <v>27</v>
      </c>
      <c r="F65" s="15">
        <v>6</v>
      </c>
      <c r="G65" s="15">
        <v>55</v>
      </c>
      <c r="H65" s="15">
        <v>386</v>
      </c>
      <c r="I65" s="15">
        <v>3243</v>
      </c>
      <c r="J65" s="15">
        <v>2810</v>
      </c>
      <c r="K65" s="15">
        <v>76</v>
      </c>
      <c r="L65" s="15">
        <v>11</v>
      </c>
      <c r="M65" s="15">
        <v>98</v>
      </c>
      <c r="N65" s="15">
        <v>248</v>
      </c>
      <c r="O65" s="40">
        <v>2270</v>
      </c>
      <c r="P65" s="18">
        <f t="shared" si="0"/>
        <v>540</v>
      </c>
      <c r="Q65" s="18">
        <f t="shared" si="1"/>
        <v>540</v>
      </c>
      <c r="R65" s="18">
        <f t="shared" si="2"/>
        <v>3243</v>
      </c>
      <c r="S65" s="41">
        <v>761</v>
      </c>
      <c r="U65" s="42"/>
      <c r="V65" s="42"/>
    </row>
    <row r="66" spans="1:22" ht="14.4">
      <c r="A66" s="13">
        <v>20607</v>
      </c>
      <c r="B66" s="14" t="s">
        <v>81</v>
      </c>
      <c r="C66" s="15">
        <v>4050</v>
      </c>
      <c r="D66" s="15">
        <v>3526</v>
      </c>
      <c r="E66" s="15">
        <v>62</v>
      </c>
      <c r="F66" s="15">
        <v>4</v>
      </c>
      <c r="G66" s="15">
        <v>51</v>
      </c>
      <c r="H66" s="15">
        <v>407</v>
      </c>
      <c r="I66" s="15">
        <v>6898</v>
      </c>
      <c r="J66" s="15">
        <v>6280</v>
      </c>
      <c r="K66" s="15">
        <v>139</v>
      </c>
      <c r="L66" s="15">
        <v>63</v>
      </c>
      <c r="M66" s="15">
        <v>70</v>
      </c>
      <c r="N66" s="15">
        <v>346</v>
      </c>
      <c r="O66" s="40">
        <v>3570</v>
      </c>
      <c r="P66" s="18">
        <f t="shared" si="0"/>
        <v>2710</v>
      </c>
      <c r="Q66" s="18">
        <f t="shared" si="1"/>
        <v>2710</v>
      </c>
      <c r="R66" s="18">
        <f t="shared" si="2"/>
        <v>6898</v>
      </c>
      <c r="S66" s="41">
        <v>1231.5</v>
      </c>
      <c r="U66" s="42"/>
      <c r="V66" s="42"/>
    </row>
    <row r="67" spans="1:22" ht="14.4">
      <c r="A67" s="21">
        <v>20608</v>
      </c>
      <c r="B67" s="22" t="s">
        <v>82</v>
      </c>
      <c r="C67" s="15">
        <v>3487</v>
      </c>
      <c r="D67" s="15">
        <v>1413</v>
      </c>
      <c r="E67" s="15">
        <v>64</v>
      </c>
      <c r="F67" s="15">
        <v>29</v>
      </c>
      <c r="G67" s="15">
        <v>41</v>
      </c>
      <c r="H67" s="15">
        <v>1940</v>
      </c>
      <c r="I67" s="15">
        <v>4602</v>
      </c>
      <c r="J67" s="15">
        <v>2777</v>
      </c>
      <c r="K67" s="15">
        <v>120</v>
      </c>
      <c r="L67" s="15">
        <v>118</v>
      </c>
      <c r="M67" s="15">
        <v>34</v>
      </c>
      <c r="N67" s="15">
        <v>1553</v>
      </c>
      <c r="O67" s="40">
        <v>2454</v>
      </c>
      <c r="P67" s="18">
        <f t="shared" si="0"/>
        <v>323</v>
      </c>
      <c r="Q67" s="18">
        <f t="shared" si="1"/>
        <v>323</v>
      </c>
      <c r="R67" s="18">
        <f t="shared" si="2"/>
        <v>4602</v>
      </c>
      <c r="S67" s="41">
        <v>678.5</v>
      </c>
      <c r="U67" s="42"/>
      <c r="V67" s="42"/>
    </row>
    <row r="68" spans="1:22" ht="14.4">
      <c r="A68" s="13">
        <v>20701</v>
      </c>
      <c r="B68" s="14" t="s">
        <v>83</v>
      </c>
      <c r="C68" s="15">
        <v>4625</v>
      </c>
      <c r="D68" s="15">
        <v>2828</v>
      </c>
      <c r="E68" s="15">
        <v>65</v>
      </c>
      <c r="F68" s="15">
        <v>111</v>
      </c>
      <c r="G68" s="15">
        <v>39</v>
      </c>
      <c r="H68" s="15">
        <v>1582</v>
      </c>
      <c r="I68" s="15">
        <v>6164</v>
      </c>
      <c r="J68" s="15">
        <v>4238</v>
      </c>
      <c r="K68" s="15">
        <v>143</v>
      </c>
      <c r="L68" s="15">
        <v>267</v>
      </c>
      <c r="M68" s="15">
        <v>81</v>
      </c>
      <c r="N68" s="15">
        <v>1435</v>
      </c>
      <c r="O68" s="40">
        <v>4164</v>
      </c>
      <c r="P68" s="18">
        <f t="shared" si="0"/>
        <v>74</v>
      </c>
      <c r="Q68" s="18">
        <f t="shared" si="1"/>
        <v>74</v>
      </c>
      <c r="R68" s="18">
        <f t="shared" si="2"/>
        <v>6164</v>
      </c>
      <c r="S68" s="41">
        <v>422</v>
      </c>
      <c r="U68" s="42"/>
      <c r="V68" s="42"/>
    </row>
    <row r="69" spans="1:22" ht="14.4">
      <c r="A69" s="21">
        <v>20702</v>
      </c>
      <c r="B69" s="22" t="s">
        <v>84</v>
      </c>
      <c r="C69" s="15">
        <v>2230</v>
      </c>
      <c r="D69" s="15">
        <v>801</v>
      </c>
      <c r="E69" s="15">
        <v>94</v>
      </c>
      <c r="F69" s="15">
        <v>166</v>
      </c>
      <c r="G69" s="15">
        <v>152</v>
      </c>
      <c r="H69" s="15">
        <v>1017</v>
      </c>
      <c r="I69" s="15">
        <v>3068</v>
      </c>
      <c r="J69" s="15">
        <v>2193</v>
      </c>
      <c r="K69" s="15">
        <v>79</v>
      </c>
      <c r="L69" s="15">
        <v>150</v>
      </c>
      <c r="M69" s="15">
        <v>57</v>
      </c>
      <c r="N69" s="15">
        <v>589</v>
      </c>
      <c r="O69" s="40">
        <v>1659</v>
      </c>
      <c r="P69" s="18">
        <f t="shared" si="0"/>
        <v>534</v>
      </c>
      <c r="Q69" s="18">
        <f t="shared" si="1"/>
        <v>534</v>
      </c>
      <c r="R69" s="18">
        <f t="shared" si="2"/>
        <v>3068</v>
      </c>
      <c r="S69" s="41">
        <v>168</v>
      </c>
      <c r="U69" s="42"/>
      <c r="V69" s="42"/>
    </row>
    <row r="70" spans="1:22" ht="14.4">
      <c r="A70" s="13">
        <v>20801</v>
      </c>
      <c r="B70" s="14" t="s">
        <v>85</v>
      </c>
      <c r="C70" s="15">
        <v>26248</v>
      </c>
      <c r="D70" s="15">
        <v>20077</v>
      </c>
      <c r="E70" s="15">
        <v>53</v>
      </c>
      <c r="F70" s="15">
        <v>26</v>
      </c>
      <c r="G70" s="15">
        <v>184</v>
      </c>
      <c r="H70" s="15">
        <v>5908</v>
      </c>
      <c r="I70" s="15">
        <v>41941</v>
      </c>
      <c r="J70" s="15">
        <v>36532</v>
      </c>
      <c r="K70" s="15">
        <v>138</v>
      </c>
      <c r="L70" s="15">
        <v>209</v>
      </c>
      <c r="M70" s="15">
        <v>305</v>
      </c>
      <c r="N70" s="15">
        <v>4757</v>
      </c>
      <c r="O70" s="40">
        <v>40390</v>
      </c>
      <c r="P70" s="18">
        <f t="shared" si="0"/>
        <v>-3858</v>
      </c>
      <c r="Q70" s="40" t="str">
        <f t="shared" si="1"/>
        <v/>
      </c>
      <c r="R70" s="18">
        <f t="shared" si="2"/>
        <v>45799</v>
      </c>
      <c r="S70" s="41">
        <v>346</v>
      </c>
      <c r="U70" s="42"/>
      <c r="V70" s="42"/>
    </row>
    <row r="71" spans="1:22" ht="14.4">
      <c r="A71" s="21">
        <v>20802</v>
      </c>
      <c r="B71" s="22" t="s">
        <v>86</v>
      </c>
      <c r="C71" s="15">
        <v>2731</v>
      </c>
      <c r="D71" s="15">
        <v>2101</v>
      </c>
      <c r="E71" s="15">
        <v>4</v>
      </c>
      <c r="F71" s="15">
        <v>10</v>
      </c>
      <c r="G71" s="15">
        <v>9</v>
      </c>
      <c r="H71" s="15">
        <v>607</v>
      </c>
      <c r="I71" s="15">
        <v>3220</v>
      </c>
      <c r="J71" s="15">
        <v>2645</v>
      </c>
      <c r="K71" s="15">
        <v>8</v>
      </c>
      <c r="L71" s="15">
        <v>22</v>
      </c>
      <c r="M71" s="15">
        <v>24</v>
      </c>
      <c r="N71" s="15">
        <v>521</v>
      </c>
      <c r="O71" s="40">
        <v>2627</v>
      </c>
      <c r="P71" s="18">
        <f t="shared" si="0"/>
        <v>18</v>
      </c>
      <c r="Q71" s="18">
        <f t="shared" si="1"/>
        <v>18</v>
      </c>
      <c r="R71" s="18">
        <f t="shared" si="2"/>
        <v>3220</v>
      </c>
      <c r="S71" s="41">
        <v>118</v>
      </c>
      <c r="U71" s="42"/>
      <c r="V71" s="42"/>
    </row>
    <row r="72" spans="1:22" ht="14.4">
      <c r="A72" s="13">
        <v>20803</v>
      </c>
      <c r="B72" s="14" t="s">
        <v>87</v>
      </c>
      <c r="C72" s="15">
        <v>3594</v>
      </c>
      <c r="D72" s="15">
        <v>2652</v>
      </c>
      <c r="E72" s="15">
        <v>5</v>
      </c>
      <c r="F72" s="15">
        <v>7</v>
      </c>
      <c r="G72" s="15">
        <v>17</v>
      </c>
      <c r="H72" s="15">
        <v>913</v>
      </c>
      <c r="I72" s="15">
        <v>4653</v>
      </c>
      <c r="J72" s="15">
        <v>3576</v>
      </c>
      <c r="K72" s="15">
        <v>13</v>
      </c>
      <c r="L72" s="15">
        <v>41</v>
      </c>
      <c r="M72" s="15">
        <v>30</v>
      </c>
      <c r="N72" s="15">
        <v>993</v>
      </c>
      <c r="O72" s="40">
        <v>3110</v>
      </c>
      <c r="P72" s="18">
        <f t="shared" si="0"/>
        <v>466</v>
      </c>
      <c r="Q72" s="18">
        <f t="shared" si="1"/>
        <v>466</v>
      </c>
      <c r="R72" s="18">
        <f t="shared" si="2"/>
        <v>4653</v>
      </c>
      <c r="S72" s="41">
        <v>121.5</v>
      </c>
      <c r="U72" s="42"/>
      <c r="V72" s="42"/>
    </row>
    <row r="73" spans="1:22" ht="14.4">
      <c r="A73" s="21">
        <v>20804</v>
      </c>
      <c r="B73" s="22" t="s">
        <v>88</v>
      </c>
      <c r="C73" s="15">
        <v>2250</v>
      </c>
      <c r="D73" s="15">
        <v>1930</v>
      </c>
      <c r="E73" s="15">
        <v>0</v>
      </c>
      <c r="F73" s="15">
        <v>3</v>
      </c>
      <c r="G73" s="15">
        <v>3</v>
      </c>
      <c r="H73" s="15">
        <v>314</v>
      </c>
      <c r="I73" s="15">
        <v>2675</v>
      </c>
      <c r="J73" s="15">
        <v>2469</v>
      </c>
      <c r="K73" s="15">
        <v>19</v>
      </c>
      <c r="L73" s="15">
        <v>8</v>
      </c>
      <c r="M73" s="15">
        <v>13</v>
      </c>
      <c r="N73" s="15">
        <v>166</v>
      </c>
      <c r="O73" s="40">
        <v>2173</v>
      </c>
      <c r="P73" s="18">
        <f t="shared" si="0"/>
        <v>296</v>
      </c>
      <c r="Q73" s="18">
        <f t="shared" si="1"/>
        <v>296</v>
      </c>
      <c r="R73" s="18">
        <f t="shared" si="2"/>
        <v>2675</v>
      </c>
      <c r="S73" s="41">
        <v>268</v>
      </c>
      <c r="U73" s="42"/>
      <c r="V73" s="42"/>
    </row>
    <row r="74" spans="1:22" ht="14.4">
      <c r="A74" s="13">
        <v>20805</v>
      </c>
      <c r="B74" s="14" t="s">
        <v>89</v>
      </c>
      <c r="C74" s="15">
        <v>2391</v>
      </c>
      <c r="D74" s="15">
        <v>568</v>
      </c>
      <c r="E74" s="15">
        <v>7</v>
      </c>
      <c r="F74" s="15">
        <v>101</v>
      </c>
      <c r="G74" s="15">
        <v>62</v>
      </c>
      <c r="H74" s="15">
        <v>1653</v>
      </c>
      <c r="I74" s="15">
        <v>3114</v>
      </c>
      <c r="J74" s="15">
        <v>2175</v>
      </c>
      <c r="K74" s="15">
        <v>3</v>
      </c>
      <c r="L74" s="15">
        <v>41</v>
      </c>
      <c r="M74" s="15">
        <v>21</v>
      </c>
      <c r="N74" s="15">
        <v>874</v>
      </c>
      <c r="O74" s="40">
        <v>0</v>
      </c>
      <c r="P74" s="18">
        <f t="shared" si="0"/>
        <v>2175</v>
      </c>
      <c r="Q74" s="18">
        <f t="shared" si="1"/>
        <v>2175</v>
      </c>
      <c r="R74" s="18">
        <f t="shared" si="2"/>
        <v>3114</v>
      </c>
      <c r="S74" s="41">
        <v>0</v>
      </c>
      <c r="U74" s="42"/>
      <c r="V74" s="42"/>
    </row>
    <row r="75" spans="1:22" ht="14.4">
      <c r="A75" s="21">
        <v>20806</v>
      </c>
      <c r="B75" s="22" t="s">
        <v>90</v>
      </c>
      <c r="C75" s="15">
        <v>4967</v>
      </c>
      <c r="D75" s="15">
        <v>2775</v>
      </c>
      <c r="E75" s="15">
        <v>14</v>
      </c>
      <c r="F75" s="15">
        <v>11</v>
      </c>
      <c r="G75" s="15">
        <v>4</v>
      </c>
      <c r="H75" s="15">
        <v>2163</v>
      </c>
      <c r="I75" s="15">
        <v>5887</v>
      </c>
      <c r="J75" s="15">
        <v>4111</v>
      </c>
      <c r="K75" s="15">
        <v>10</v>
      </c>
      <c r="L75" s="15">
        <v>148</v>
      </c>
      <c r="M75" s="15">
        <v>49</v>
      </c>
      <c r="N75" s="15">
        <v>1569</v>
      </c>
      <c r="O75" s="40">
        <v>0</v>
      </c>
      <c r="P75" s="18">
        <f t="shared" si="0"/>
        <v>4111</v>
      </c>
      <c r="Q75" s="18">
        <f t="shared" si="1"/>
        <v>4111</v>
      </c>
      <c r="R75" s="18">
        <f t="shared" si="2"/>
        <v>5887</v>
      </c>
      <c r="S75" s="41">
        <v>0</v>
      </c>
      <c r="U75" s="42"/>
      <c r="V75" s="42"/>
    </row>
    <row r="76" spans="1:22" ht="14.4">
      <c r="A76" s="13">
        <v>20807</v>
      </c>
      <c r="B76" s="14" t="s">
        <v>91</v>
      </c>
      <c r="C76" s="15">
        <v>1819</v>
      </c>
      <c r="D76" s="15">
        <v>1411</v>
      </c>
      <c r="E76" s="15">
        <v>1</v>
      </c>
      <c r="F76" s="15">
        <v>1</v>
      </c>
      <c r="G76" s="15">
        <v>13</v>
      </c>
      <c r="H76" s="15">
        <v>393</v>
      </c>
      <c r="I76" s="15">
        <v>2562</v>
      </c>
      <c r="J76" s="15">
        <v>2124</v>
      </c>
      <c r="K76" s="15">
        <v>6</v>
      </c>
      <c r="L76" s="15">
        <v>12</v>
      </c>
      <c r="M76" s="15">
        <v>18</v>
      </c>
      <c r="N76" s="15">
        <v>402</v>
      </c>
      <c r="O76" s="40">
        <v>1731</v>
      </c>
      <c r="P76" s="18">
        <f t="shared" si="0"/>
        <v>393</v>
      </c>
      <c r="Q76" s="18">
        <f t="shared" si="1"/>
        <v>393</v>
      </c>
      <c r="R76" s="18">
        <f t="shared" si="2"/>
        <v>2562</v>
      </c>
      <c r="S76" s="41">
        <v>77</v>
      </c>
      <c r="U76" s="42"/>
      <c r="V76" s="42"/>
    </row>
    <row r="77" spans="1:22" ht="14.4">
      <c r="A77" s="21">
        <v>20901</v>
      </c>
      <c r="B77" s="22" t="s">
        <v>92</v>
      </c>
      <c r="C77" s="15">
        <v>3913</v>
      </c>
      <c r="D77" s="15">
        <v>2786</v>
      </c>
      <c r="E77" s="15">
        <v>5</v>
      </c>
      <c r="F77" s="15">
        <v>3</v>
      </c>
      <c r="G77" s="15">
        <v>3</v>
      </c>
      <c r="H77" s="15">
        <v>1116</v>
      </c>
      <c r="I77" s="15">
        <v>4434</v>
      </c>
      <c r="J77" s="15">
        <v>3541</v>
      </c>
      <c r="K77" s="15">
        <v>7</v>
      </c>
      <c r="L77" s="15">
        <v>39</v>
      </c>
      <c r="M77" s="15">
        <v>41</v>
      </c>
      <c r="N77" s="15">
        <v>806</v>
      </c>
      <c r="O77" s="40">
        <v>2806</v>
      </c>
      <c r="P77" s="18">
        <f t="shared" si="0"/>
        <v>735</v>
      </c>
      <c r="Q77" s="18">
        <f t="shared" si="1"/>
        <v>735</v>
      </c>
      <c r="R77" s="18">
        <f t="shared" si="2"/>
        <v>4434</v>
      </c>
      <c r="S77" s="41">
        <v>205</v>
      </c>
      <c r="U77" s="42"/>
      <c r="V77" s="42"/>
    </row>
    <row r="78" spans="1:22" ht="14.4">
      <c r="A78" s="13">
        <v>20902</v>
      </c>
      <c r="B78" s="14" t="s">
        <v>93</v>
      </c>
      <c r="C78" s="15">
        <v>4624</v>
      </c>
      <c r="D78" s="15">
        <v>2790</v>
      </c>
      <c r="E78" s="15">
        <v>9</v>
      </c>
      <c r="F78" s="15">
        <v>12</v>
      </c>
      <c r="G78" s="15">
        <v>21</v>
      </c>
      <c r="H78" s="15">
        <v>1792</v>
      </c>
      <c r="I78" s="15">
        <v>6638</v>
      </c>
      <c r="J78" s="15">
        <v>5080</v>
      </c>
      <c r="K78" s="15">
        <v>8</v>
      </c>
      <c r="L78" s="15">
        <v>78</v>
      </c>
      <c r="M78" s="15">
        <v>52</v>
      </c>
      <c r="N78" s="15">
        <v>1420</v>
      </c>
      <c r="O78" s="40">
        <v>3518</v>
      </c>
      <c r="P78" s="18">
        <f t="shared" si="0"/>
        <v>1562</v>
      </c>
      <c r="Q78" s="18">
        <f t="shared" si="1"/>
        <v>1562</v>
      </c>
      <c r="R78" s="18">
        <f t="shared" si="2"/>
        <v>6638</v>
      </c>
      <c r="S78" s="41">
        <v>155</v>
      </c>
      <c r="U78" s="42"/>
      <c r="V78" s="42"/>
    </row>
    <row r="79" spans="1:22" ht="14.4">
      <c r="A79" s="21">
        <v>20903</v>
      </c>
      <c r="B79" s="22" t="s">
        <v>94</v>
      </c>
      <c r="C79" s="15">
        <v>2306</v>
      </c>
      <c r="D79" s="15">
        <v>1520</v>
      </c>
      <c r="E79" s="15">
        <v>11</v>
      </c>
      <c r="F79" s="15">
        <v>3</v>
      </c>
      <c r="G79" s="15">
        <v>8</v>
      </c>
      <c r="H79" s="15">
        <v>764</v>
      </c>
      <c r="I79" s="15">
        <v>4142</v>
      </c>
      <c r="J79" s="15">
        <v>2864</v>
      </c>
      <c r="K79" s="15">
        <v>25</v>
      </c>
      <c r="L79" s="15">
        <v>63</v>
      </c>
      <c r="M79" s="15">
        <v>39</v>
      </c>
      <c r="N79" s="15">
        <v>1151</v>
      </c>
      <c r="O79" s="40">
        <v>1598</v>
      </c>
      <c r="P79" s="18">
        <f t="shared" si="0"/>
        <v>1266</v>
      </c>
      <c r="Q79" s="18">
        <f t="shared" si="1"/>
        <v>1266</v>
      </c>
      <c r="R79" s="18">
        <f t="shared" si="2"/>
        <v>4142</v>
      </c>
      <c r="S79" s="41">
        <v>77</v>
      </c>
      <c r="U79" s="42"/>
      <c r="V79" s="42"/>
    </row>
    <row r="80" spans="1:22" ht="14.4">
      <c r="A80" s="13">
        <v>20904</v>
      </c>
      <c r="B80" s="14" t="s">
        <v>95</v>
      </c>
      <c r="C80" s="15">
        <v>1234</v>
      </c>
      <c r="D80" s="15">
        <v>729</v>
      </c>
      <c r="E80" s="15">
        <v>99</v>
      </c>
      <c r="F80" s="15">
        <v>18</v>
      </c>
      <c r="G80" s="15">
        <v>52</v>
      </c>
      <c r="H80" s="15">
        <v>336</v>
      </c>
      <c r="I80" s="15">
        <v>1777</v>
      </c>
      <c r="J80" s="15">
        <v>1040</v>
      </c>
      <c r="K80" s="15">
        <v>49</v>
      </c>
      <c r="L80" s="15">
        <v>56</v>
      </c>
      <c r="M80" s="15">
        <v>22</v>
      </c>
      <c r="N80" s="15">
        <v>610</v>
      </c>
      <c r="O80" s="40">
        <v>252</v>
      </c>
      <c r="P80" s="18">
        <f t="shared" si="0"/>
        <v>788</v>
      </c>
      <c r="Q80" s="18">
        <f t="shared" si="1"/>
        <v>788</v>
      </c>
      <c r="R80" s="18">
        <f t="shared" si="2"/>
        <v>1777</v>
      </c>
      <c r="S80" s="41">
        <v>141</v>
      </c>
      <c r="U80" s="42"/>
      <c r="V80" s="42"/>
    </row>
    <row r="81" spans="1:22" ht="14.4">
      <c r="A81" s="21">
        <v>20905</v>
      </c>
      <c r="B81" s="22" t="s">
        <v>96</v>
      </c>
      <c r="C81" s="15">
        <v>3070</v>
      </c>
      <c r="D81" s="15">
        <v>2409</v>
      </c>
      <c r="E81" s="15">
        <v>4</v>
      </c>
      <c r="F81" s="15">
        <v>6</v>
      </c>
      <c r="G81" s="15">
        <v>1</v>
      </c>
      <c r="H81" s="15">
        <v>650</v>
      </c>
      <c r="I81" s="15">
        <v>4892</v>
      </c>
      <c r="J81" s="15">
        <v>4132</v>
      </c>
      <c r="K81" s="15">
        <v>9</v>
      </c>
      <c r="L81" s="15">
        <v>47</v>
      </c>
      <c r="M81" s="15">
        <v>13</v>
      </c>
      <c r="N81" s="15">
        <v>691</v>
      </c>
      <c r="O81" s="40">
        <v>2002</v>
      </c>
      <c r="P81" s="18">
        <f t="shared" si="0"/>
        <v>2130</v>
      </c>
      <c r="Q81" s="18">
        <f t="shared" si="1"/>
        <v>2130</v>
      </c>
      <c r="R81" s="18">
        <f t="shared" si="2"/>
        <v>4892</v>
      </c>
      <c r="S81" s="41">
        <v>241</v>
      </c>
      <c r="U81" s="42"/>
      <c r="V81" s="42"/>
    </row>
    <row r="82" spans="1:22" ht="14.4">
      <c r="A82" s="13">
        <v>21001</v>
      </c>
      <c r="B82" s="14" t="s">
        <v>97</v>
      </c>
      <c r="C82" s="15">
        <v>4894</v>
      </c>
      <c r="D82" s="15">
        <v>1107</v>
      </c>
      <c r="E82" s="15">
        <v>86</v>
      </c>
      <c r="F82" s="15">
        <v>505</v>
      </c>
      <c r="G82" s="15">
        <v>140</v>
      </c>
      <c r="H82" s="15">
        <v>3056</v>
      </c>
      <c r="I82" s="15">
        <v>7144</v>
      </c>
      <c r="J82" s="15">
        <v>3536</v>
      </c>
      <c r="K82" s="15">
        <v>109</v>
      </c>
      <c r="L82" s="15">
        <v>1186</v>
      </c>
      <c r="M82" s="15">
        <v>109</v>
      </c>
      <c r="N82" s="15">
        <v>2204</v>
      </c>
      <c r="O82" s="40">
        <v>2635</v>
      </c>
      <c r="P82" s="18">
        <f t="shared" si="0"/>
        <v>901</v>
      </c>
      <c r="Q82" s="18">
        <f t="shared" si="1"/>
        <v>901</v>
      </c>
      <c r="R82" s="18">
        <f t="shared" si="2"/>
        <v>7144</v>
      </c>
      <c r="S82" s="41">
        <v>106</v>
      </c>
      <c r="U82" s="42"/>
      <c r="V82" s="42"/>
    </row>
    <row r="83" spans="1:22" ht="14.4">
      <c r="A83" s="21">
        <v>21002</v>
      </c>
      <c r="B83" s="22" t="s">
        <v>98</v>
      </c>
      <c r="C83" s="15">
        <v>3387</v>
      </c>
      <c r="D83" s="15">
        <v>2395</v>
      </c>
      <c r="E83" s="15">
        <v>34</v>
      </c>
      <c r="F83" s="15">
        <v>34</v>
      </c>
      <c r="G83" s="15">
        <v>52</v>
      </c>
      <c r="H83" s="15">
        <v>872</v>
      </c>
      <c r="I83" s="15">
        <v>4434</v>
      </c>
      <c r="J83" s="15">
        <v>3434</v>
      </c>
      <c r="K83" s="15">
        <v>72</v>
      </c>
      <c r="L83" s="15">
        <v>103</v>
      </c>
      <c r="M83" s="15">
        <v>70</v>
      </c>
      <c r="N83" s="15">
        <v>755</v>
      </c>
      <c r="O83" s="40">
        <v>2110</v>
      </c>
      <c r="P83" s="18">
        <f t="shared" si="0"/>
        <v>1324</v>
      </c>
      <c r="Q83" s="18">
        <f t="shared" si="1"/>
        <v>1324</v>
      </c>
      <c r="R83" s="18">
        <f t="shared" si="2"/>
        <v>4434</v>
      </c>
      <c r="S83" s="41">
        <v>221</v>
      </c>
      <c r="U83" s="42"/>
      <c r="V83" s="42"/>
    </row>
    <row r="84" spans="1:22" ht="14.4">
      <c r="A84" s="13">
        <v>21003</v>
      </c>
      <c r="B84" s="14" t="s">
        <v>99</v>
      </c>
      <c r="C84" s="15">
        <v>3019</v>
      </c>
      <c r="D84" s="15">
        <v>2490</v>
      </c>
      <c r="E84" s="15">
        <v>11</v>
      </c>
      <c r="F84" s="15">
        <v>10</v>
      </c>
      <c r="G84" s="15">
        <v>24</v>
      </c>
      <c r="H84" s="15">
        <v>484</v>
      </c>
      <c r="I84" s="15">
        <v>5809</v>
      </c>
      <c r="J84" s="15">
        <v>4995</v>
      </c>
      <c r="K84" s="15">
        <v>22</v>
      </c>
      <c r="L84" s="15">
        <v>60</v>
      </c>
      <c r="M84" s="15">
        <v>6</v>
      </c>
      <c r="N84" s="15">
        <v>726</v>
      </c>
      <c r="O84" s="40">
        <v>3257</v>
      </c>
      <c r="P84" s="18">
        <f t="shared" si="0"/>
        <v>1738</v>
      </c>
      <c r="Q84" s="18">
        <f t="shared" si="1"/>
        <v>1738</v>
      </c>
      <c r="R84" s="18">
        <f t="shared" si="2"/>
        <v>5809</v>
      </c>
      <c r="S84" s="41">
        <v>480</v>
      </c>
      <c r="U84" s="42"/>
      <c r="V84" s="42"/>
    </row>
    <row r="85" spans="1:22" ht="14.4">
      <c r="A85" s="21">
        <v>21004</v>
      </c>
      <c r="B85" s="22" t="s">
        <v>100</v>
      </c>
      <c r="C85" s="15">
        <v>5830</v>
      </c>
      <c r="D85" s="15">
        <v>4497</v>
      </c>
      <c r="E85" s="15">
        <v>7</v>
      </c>
      <c r="F85" s="15">
        <v>14</v>
      </c>
      <c r="G85" s="15">
        <v>10</v>
      </c>
      <c r="H85" s="15">
        <v>1302</v>
      </c>
      <c r="I85" s="15">
        <v>7870</v>
      </c>
      <c r="J85" s="15">
        <v>6428</v>
      </c>
      <c r="K85" s="15">
        <v>20</v>
      </c>
      <c r="L85" s="15">
        <v>88</v>
      </c>
      <c r="M85" s="15">
        <v>27</v>
      </c>
      <c r="N85" s="15">
        <v>1307</v>
      </c>
      <c r="O85" s="40">
        <v>1947</v>
      </c>
      <c r="P85" s="18">
        <f t="shared" si="0"/>
        <v>4481</v>
      </c>
      <c r="Q85" s="18">
        <f t="shared" si="1"/>
        <v>4481</v>
      </c>
      <c r="R85" s="18">
        <f t="shared" si="2"/>
        <v>7870</v>
      </c>
      <c r="S85" s="41">
        <v>70</v>
      </c>
      <c r="U85" s="42"/>
      <c r="V85" s="42"/>
    </row>
    <row r="86" spans="1:22" ht="14.4">
      <c r="A86" s="13">
        <v>21005</v>
      </c>
      <c r="B86" s="14" t="s">
        <v>101</v>
      </c>
      <c r="C86" s="15">
        <v>1695</v>
      </c>
      <c r="D86" s="15">
        <v>781</v>
      </c>
      <c r="E86" s="15">
        <v>6</v>
      </c>
      <c r="F86" s="15">
        <v>1</v>
      </c>
      <c r="G86" s="15">
        <v>8</v>
      </c>
      <c r="H86" s="15">
        <v>899</v>
      </c>
      <c r="I86" s="15">
        <v>3455</v>
      </c>
      <c r="J86" s="15">
        <v>2057</v>
      </c>
      <c r="K86" s="15">
        <v>31</v>
      </c>
      <c r="L86" s="15">
        <v>52</v>
      </c>
      <c r="M86" s="15">
        <v>11</v>
      </c>
      <c r="N86" s="15">
        <v>1304</v>
      </c>
      <c r="O86" s="40">
        <v>1077</v>
      </c>
      <c r="P86" s="18">
        <f t="shared" si="0"/>
        <v>980</v>
      </c>
      <c r="Q86" s="18">
        <f t="shared" si="1"/>
        <v>980</v>
      </c>
      <c r="R86" s="18">
        <f t="shared" si="2"/>
        <v>3455</v>
      </c>
      <c r="S86" s="41">
        <v>78</v>
      </c>
      <c r="U86" s="42"/>
      <c r="V86" s="42"/>
    </row>
    <row r="87" spans="1:22" ht="14.4">
      <c r="A87" s="21">
        <v>21006</v>
      </c>
      <c r="B87" s="22" t="s">
        <v>102</v>
      </c>
      <c r="C87" s="15">
        <v>1021</v>
      </c>
      <c r="D87" s="15">
        <v>561</v>
      </c>
      <c r="E87" s="15">
        <v>3</v>
      </c>
      <c r="F87" s="15">
        <v>5</v>
      </c>
      <c r="G87" s="15">
        <v>1</v>
      </c>
      <c r="H87" s="15">
        <v>451</v>
      </c>
      <c r="I87" s="15">
        <v>1871</v>
      </c>
      <c r="J87" s="15">
        <v>1585</v>
      </c>
      <c r="K87" s="15">
        <v>12</v>
      </c>
      <c r="L87" s="15">
        <v>6</v>
      </c>
      <c r="M87" s="15">
        <v>5</v>
      </c>
      <c r="N87" s="15">
        <v>263</v>
      </c>
      <c r="O87" s="40">
        <v>790</v>
      </c>
      <c r="P87" s="18">
        <f t="shared" si="0"/>
        <v>795</v>
      </c>
      <c r="Q87" s="18">
        <f t="shared" si="1"/>
        <v>795</v>
      </c>
      <c r="R87" s="18">
        <f t="shared" si="2"/>
        <v>1871</v>
      </c>
      <c r="S87" s="41">
        <v>306.5</v>
      </c>
      <c r="U87" s="42"/>
      <c r="V87" s="42"/>
    </row>
    <row r="88" spans="1:22" ht="14.4">
      <c r="A88" s="13">
        <v>21101</v>
      </c>
      <c r="B88" s="14" t="s">
        <v>103</v>
      </c>
      <c r="C88" s="15">
        <v>6079</v>
      </c>
      <c r="D88" s="15">
        <v>4871</v>
      </c>
      <c r="E88" s="15">
        <v>12</v>
      </c>
      <c r="F88" s="15">
        <v>16</v>
      </c>
      <c r="G88" s="15">
        <v>27</v>
      </c>
      <c r="H88" s="15">
        <v>1153</v>
      </c>
      <c r="I88" s="15">
        <v>7214</v>
      </c>
      <c r="J88" s="15">
        <v>6533</v>
      </c>
      <c r="K88" s="15">
        <v>53</v>
      </c>
      <c r="L88" s="15">
        <v>25</v>
      </c>
      <c r="M88" s="15">
        <v>17</v>
      </c>
      <c r="N88" s="15">
        <v>586</v>
      </c>
      <c r="O88" s="40">
        <v>5678</v>
      </c>
      <c r="P88" s="18">
        <f t="shared" si="0"/>
        <v>855</v>
      </c>
      <c r="Q88" s="18">
        <f t="shared" si="1"/>
        <v>855</v>
      </c>
      <c r="R88" s="18">
        <f t="shared" si="2"/>
        <v>7214</v>
      </c>
      <c r="S88" s="41">
        <v>523</v>
      </c>
      <c r="U88" s="42"/>
      <c r="V88" s="42"/>
    </row>
    <row r="89" spans="1:22" ht="14.4">
      <c r="A89" s="21">
        <v>21102</v>
      </c>
      <c r="B89" s="22" t="s">
        <v>104</v>
      </c>
      <c r="C89" s="15">
        <v>6499</v>
      </c>
      <c r="D89" s="15">
        <v>4033</v>
      </c>
      <c r="E89" s="15">
        <v>75</v>
      </c>
      <c r="F89" s="15">
        <v>151</v>
      </c>
      <c r="G89" s="15">
        <v>69</v>
      </c>
      <c r="H89" s="15">
        <v>2171</v>
      </c>
      <c r="I89" s="15">
        <v>9458</v>
      </c>
      <c r="J89" s="15">
        <v>7801</v>
      </c>
      <c r="K89" s="15">
        <v>55</v>
      </c>
      <c r="L89" s="15">
        <v>102</v>
      </c>
      <c r="M89" s="15">
        <v>37</v>
      </c>
      <c r="N89" s="15">
        <v>1463</v>
      </c>
      <c r="O89" s="40">
        <v>5368</v>
      </c>
      <c r="P89" s="18">
        <f t="shared" si="0"/>
        <v>2433</v>
      </c>
      <c r="Q89" s="18">
        <f t="shared" si="1"/>
        <v>2433</v>
      </c>
      <c r="R89" s="18">
        <f t="shared" si="2"/>
        <v>9458</v>
      </c>
      <c r="S89" s="41">
        <v>413</v>
      </c>
      <c r="U89" s="42"/>
      <c r="V89" s="42"/>
    </row>
    <row r="90" spans="1:22" ht="14.4">
      <c r="A90" s="13">
        <v>21103</v>
      </c>
      <c r="B90" s="14" t="s">
        <v>105</v>
      </c>
      <c r="C90" s="15">
        <v>2308</v>
      </c>
      <c r="D90" s="15">
        <v>1938</v>
      </c>
      <c r="E90" s="15">
        <v>8</v>
      </c>
      <c r="F90" s="15">
        <v>14</v>
      </c>
      <c r="G90" s="15">
        <v>3</v>
      </c>
      <c r="H90" s="15">
        <v>345</v>
      </c>
      <c r="I90" s="15">
        <v>2998</v>
      </c>
      <c r="J90" s="15">
        <v>2470</v>
      </c>
      <c r="K90" s="15">
        <v>71</v>
      </c>
      <c r="L90" s="15">
        <v>41</v>
      </c>
      <c r="M90" s="15">
        <v>115</v>
      </c>
      <c r="N90" s="15">
        <v>301</v>
      </c>
      <c r="O90" s="40">
        <v>1431</v>
      </c>
      <c r="P90" s="18">
        <f t="shared" si="0"/>
        <v>1039</v>
      </c>
      <c r="Q90" s="18">
        <f t="shared" si="1"/>
        <v>1039</v>
      </c>
      <c r="R90" s="18">
        <f t="shared" si="2"/>
        <v>2998</v>
      </c>
      <c r="S90" s="41">
        <v>446</v>
      </c>
      <c r="U90" s="42"/>
      <c r="V90" s="42"/>
    </row>
    <row r="91" spans="1:22" ht="14.4">
      <c r="A91" s="21">
        <v>21104</v>
      </c>
      <c r="B91" s="22" t="s">
        <v>106</v>
      </c>
      <c r="C91" s="15">
        <v>9246</v>
      </c>
      <c r="D91" s="15">
        <v>4908</v>
      </c>
      <c r="E91" s="15">
        <v>69</v>
      </c>
      <c r="F91" s="15">
        <v>39</v>
      </c>
      <c r="G91" s="15">
        <v>80</v>
      </c>
      <c r="H91" s="15">
        <v>4150</v>
      </c>
      <c r="I91" s="15">
        <v>11630</v>
      </c>
      <c r="J91" s="15">
        <v>7134</v>
      </c>
      <c r="K91" s="15">
        <v>64</v>
      </c>
      <c r="L91" s="15">
        <v>188</v>
      </c>
      <c r="M91" s="15">
        <v>127</v>
      </c>
      <c r="N91" s="15">
        <v>4117</v>
      </c>
      <c r="O91" s="40">
        <v>6488</v>
      </c>
      <c r="P91" s="18">
        <f t="shared" si="0"/>
        <v>646</v>
      </c>
      <c r="Q91" s="18">
        <f t="shared" si="1"/>
        <v>646</v>
      </c>
      <c r="R91" s="18">
        <f t="shared" si="2"/>
        <v>11630</v>
      </c>
      <c r="S91" s="41">
        <v>532</v>
      </c>
      <c r="U91" s="42"/>
      <c r="V91" s="42"/>
    </row>
    <row r="92" spans="1:22" ht="14.4">
      <c r="A92" s="13">
        <v>21105</v>
      </c>
      <c r="B92" s="14" t="s">
        <v>107</v>
      </c>
      <c r="C92" s="15">
        <v>13638</v>
      </c>
      <c r="D92" s="15">
        <v>1307</v>
      </c>
      <c r="E92" s="15">
        <v>1624</v>
      </c>
      <c r="F92" s="15">
        <v>300</v>
      </c>
      <c r="G92" s="15">
        <v>1986</v>
      </c>
      <c r="H92" s="15">
        <v>8421</v>
      </c>
      <c r="I92" s="15">
        <v>18380</v>
      </c>
      <c r="J92" s="15">
        <v>13089</v>
      </c>
      <c r="K92" s="15">
        <v>131</v>
      </c>
      <c r="L92" s="15">
        <v>572</v>
      </c>
      <c r="M92" s="15">
        <v>72</v>
      </c>
      <c r="N92" s="15">
        <v>4516</v>
      </c>
      <c r="O92" s="40">
        <v>11847</v>
      </c>
      <c r="P92" s="18">
        <f t="shared" si="0"/>
        <v>1242</v>
      </c>
      <c r="Q92" s="18">
        <f t="shared" si="1"/>
        <v>1242</v>
      </c>
      <c r="R92" s="18">
        <f t="shared" si="2"/>
        <v>18380</v>
      </c>
      <c r="S92" s="41">
        <v>420</v>
      </c>
      <c r="U92" s="42"/>
      <c r="V92" s="42"/>
    </row>
    <row r="93" spans="1:22" ht="14.4">
      <c r="A93" s="21">
        <v>21201</v>
      </c>
      <c r="B93" s="22" t="s">
        <v>108</v>
      </c>
      <c r="C93" s="15">
        <v>11121</v>
      </c>
      <c r="D93" s="15">
        <v>7055</v>
      </c>
      <c r="E93" s="15">
        <v>25</v>
      </c>
      <c r="F93" s="15">
        <v>102</v>
      </c>
      <c r="G93" s="15">
        <v>166</v>
      </c>
      <c r="H93" s="15">
        <v>3773</v>
      </c>
      <c r="I93" s="15">
        <v>21459</v>
      </c>
      <c r="J93" s="15">
        <v>15390</v>
      </c>
      <c r="K93" s="15">
        <v>62</v>
      </c>
      <c r="L93" s="15">
        <v>312</v>
      </c>
      <c r="M93" s="15">
        <v>307</v>
      </c>
      <c r="N93" s="15">
        <v>5388</v>
      </c>
      <c r="O93" s="40">
        <v>28597</v>
      </c>
      <c r="P93" s="18">
        <f t="shared" si="0"/>
        <v>-13207</v>
      </c>
      <c r="Q93" s="40" t="str">
        <f t="shared" si="1"/>
        <v/>
      </c>
      <c r="R93" s="18">
        <f t="shared" si="2"/>
        <v>34666</v>
      </c>
      <c r="S93" s="41">
        <v>175</v>
      </c>
      <c r="U93" s="42"/>
      <c r="V93" s="42"/>
    </row>
    <row r="94" spans="1:22" ht="14.4">
      <c r="A94" s="13">
        <v>21202</v>
      </c>
      <c r="B94" s="14" t="s">
        <v>109</v>
      </c>
      <c r="C94" s="15">
        <v>7761</v>
      </c>
      <c r="D94" s="15">
        <v>5379</v>
      </c>
      <c r="E94" s="15">
        <v>9</v>
      </c>
      <c r="F94" s="15">
        <v>21</v>
      </c>
      <c r="G94" s="15">
        <v>51</v>
      </c>
      <c r="H94" s="15">
        <v>2301</v>
      </c>
      <c r="I94" s="15">
        <v>13613</v>
      </c>
      <c r="J94" s="15">
        <v>10527</v>
      </c>
      <c r="K94" s="15">
        <v>47</v>
      </c>
      <c r="L94" s="15">
        <v>153</v>
      </c>
      <c r="M94" s="15">
        <v>148</v>
      </c>
      <c r="N94" s="15">
        <v>2738</v>
      </c>
      <c r="O94" s="40">
        <v>8171</v>
      </c>
      <c r="P94" s="18">
        <f t="shared" si="0"/>
        <v>2356</v>
      </c>
      <c r="Q94" s="18">
        <f t="shared" si="1"/>
        <v>2356</v>
      </c>
      <c r="R94" s="18">
        <f t="shared" si="2"/>
        <v>13613</v>
      </c>
      <c r="S94" s="41">
        <v>141</v>
      </c>
      <c r="U94" s="42"/>
      <c r="V94" s="42"/>
    </row>
    <row r="95" spans="1:22" ht="14.4">
      <c r="A95" s="21">
        <v>21203</v>
      </c>
      <c r="B95" s="22" t="s">
        <v>110</v>
      </c>
      <c r="C95" s="15">
        <v>6062</v>
      </c>
      <c r="D95" s="15">
        <v>4344</v>
      </c>
      <c r="E95" s="15">
        <v>4</v>
      </c>
      <c r="F95" s="15">
        <v>12</v>
      </c>
      <c r="G95" s="15">
        <v>57</v>
      </c>
      <c r="H95" s="15">
        <v>1645</v>
      </c>
      <c r="I95" s="15">
        <v>8503</v>
      </c>
      <c r="J95" s="15">
        <v>6509</v>
      </c>
      <c r="K95" s="15">
        <v>22</v>
      </c>
      <c r="L95" s="15">
        <v>93</v>
      </c>
      <c r="M95" s="15">
        <v>63</v>
      </c>
      <c r="N95" s="15">
        <v>1816</v>
      </c>
      <c r="O95" s="40">
        <v>5010</v>
      </c>
      <c r="P95" s="18">
        <f t="shared" si="0"/>
        <v>1499</v>
      </c>
      <c r="Q95" s="18">
        <f t="shared" si="1"/>
        <v>1499</v>
      </c>
      <c r="R95" s="18">
        <f t="shared" si="2"/>
        <v>8503</v>
      </c>
      <c r="S95" s="41">
        <v>157</v>
      </c>
      <c r="U95" s="42"/>
      <c r="V95" s="42"/>
    </row>
    <row r="96" spans="1:22" ht="14.4">
      <c r="A96" s="13">
        <v>21204</v>
      </c>
      <c r="B96" s="14" t="s">
        <v>111</v>
      </c>
      <c r="C96" s="15">
        <v>2348</v>
      </c>
      <c r="D96" s="15">
        <v>1762</v>
      </c>
      <c r="E96" s="15">
        <v>4</v>
      </c>
      <c r="F96" s="15">
        <v>3</v>
      </c>
      <c r="G96" s="15">
        <v>30</v>
      </c>
      <c r="H96" s="15">
        <v>549</v>
      </c>
      <c r="I96" s="15">
        <v>3188</v>
      </c>
      <c r="J96" s="15">
        <v>2497</v>
      </c>
      <c r="K96" s="15">
        <v>6</v>
      </c>
      <c r="L96" s="15">
        <v>31</v>
      </c>
      <c r="M96" s="15">
        <v>26</v>
      </c>
      <c r="N96" s="15">
        <v>628</v>
      </c>
      <c r="O96" s="40">
        <v>0</v>
      </c>
      <c r="P96" s="18">
        <f t="shared" si="0"/>
        <v>2497</v>
      </c>
      <c r="Q96" s="18">
        <f t="shared" si="1"/>
        <v>2497</v>
      </c>
      <c r="R96" s="18">
        <f t="shared" si="2"/>
        <v>3188</v>
      </c>
      <c r="S96" s="41">
        <v>0</v>
      </c>
      <c r="U96" s="42"/>
      <c r="V96" s="42"/>
    </row>
    <row r="97" spans="1:22" ht="14.4">
      <c r="A97" s="21">
        <v>21301</v>
      </c>
      <c r="B97" s="22" t="s">
        <v>112</v>
      </c>
      <c r="C97" s="15">
        <v>9420</v>
      </c>
      <c r="D97" s="15">
        <v>6169</v>
      </c>
      <c r="E97" s="15">
        <v>20</v>
      </c>
      <c r="F97" s="15">
        <v>13</v>
      </c>
      <c r="G97" s="15">
        <v>61</v>
      </c>
      <c r="H97" s="15">
        <v>3157</v>
      </c>
      <c r="I97" s="15">
        <v>12627</v>
      </c>
      <c r="J97" s="15">
        <v>9370</v>
      </c>
      <c r="K97" s="15">
        <v>32</v>
      </c>
      <c r="L97" s="15">
        <v>94</v>
      </c>
      <c r="M97" s="15">
        <v>118</v>
      </c>
      <c r="N97" s="15">
        <v>3013</v>
      </c>
      <c r="O97" s="40">
        <v>5874</v>
      </c>
      <c r="P97" s="18">
        <f t="shared" si="0"/>
        <v>3496</v>
      </c>
      <c r="Q97" s="18">
        <f t="shared" si="1"/>
        <v>3496</v>
      </c>
      <c r="R97" s="18">
        <f t="shared" si="2"/>
        <v>12627</v>
      </c>
      <c r="S97" s="41">
        <v>123</v>
      </c>
      <c r="U97" s="42"/>
      <c r="V97" s="42"/>
    </row>
    <row r="98" spans="1:22" ht="14.4">
      <c r="A98" s="13">
        <v>21302</v>
      </c>
      <c r="B98" s="14" t="s">
        <v>113</v>
      </c>
      <c r="C98" s="15">
        <v>3249</v>
      </c>
      <c r="D98" s="15">
        <v>1814</v>
      </c>
      <c r="E98" s="15">
        <v>3</v>
      </c>
      <c r="F98" s="15">
        <v>9</v>
      </c>
      <c r="G98" s="15">
        <v>34</v>
      </c>
      <c r="H98" s="15">
        <v>1389</v>
      </c>
      <c r="I98" s="15">
        <v>3921</v>
      </c>
      <c r="J98" s="15">
        <v>2939</v>
      </c>
      <c r="K98" s="15">
        <v>6</v>
      </c>
      <c r="L98" s="15">
        <v>39</v>
      </c>
      <c r="M98" s="15">
        <v>21</v>
      </c>
      <c r="N98" s="15">
        <v>916</v>
      </c>
      <c r="O98" s="40">
        <v>2447</v>
      </c>
      <c r="P98" s="18">
        <f t="shared" si="0"/>
        <v>492</v>
      </c>
      <c r="Q98" s="18">
        <f t="shared" si="1"/>
        <v>492</v>
      </c>
      <c r="R98" s="18">
        <f t="shared" si="2"/>
        <v>3921</v>
      </c>
      <c r="S98" s="41">
        <v>56</v>
      </c>
      <c r="U98" s="42"/>
      <c r="V98" s="42"/>
    </row>
    <row r="99" spans="1:22" ht="14.4">
      <c r="A99" s="21">
        <v>21303</v>
      </c>
      <c r="B99" s="22" t="s">
        <v>114</v>
      </c>
      <c r="C99" s="15">
        <v>2823</v>
      </c>
      <c r="D99" s="15">
        <v>1618</v>
      </c>
      <c r="E99" s="15">
        <v>8</v>
      </c>
      <c r="F99" s="15">
        <v>14</v>
      </c>
      <c r="G99" s="15">
        <v>58</v>
      </c>
      <c r="H99" s="15">
        <v>1125</v>
      </c>
      <c r="I99" s="15">
        <v>4794</v>
      </c>
      <c r="J99" s="15">
        <v>3104</v>
      </c>
      <c r="K99" s="15">
        <v>11</v>
      </c>
      <c r="L99" s="15">
        <v>52</v>
      </c>
      <c r="M99" s="15">
        <v>53</v>
      </c>
      <c r="N99" s="15">
        <v>1574</v>
      </c>
      <c r="O99" s="40">
        <v>2053</v>
      </c>
      <c r="P99" s="18">
        <f t="shared" si="0"/>
        <v>1051</v>
      </c>
      <c r="Q99" s="18">
        <f t="shared" si="1"/>
        <v>1051</v>
      </c>
      <c r="R99" s="18">
        <f t="shared" si="2"/>
        <v>4794</v>
      </c>
      <c r="S99" s="41">
        <v>80</v>
      </c>
      <c r="U99" s="42"/>
      <c r="V99" s="42"/>
    </row>
    <row r="100" spans="1:22" ht="14.4">
      <c r="A100" s="13">
        <v>21304</v>
      </c>
      <c r="B100" s="14" t="s">
        <v>115</v>
      </c>
      <c r="C100" s="15">
        <v>3827</v>
      </c>
      <c r="D100" s="15">
        <v>2471</v>
      </c>
      <c r="E100" s="15">
        <v>16</v>
      </c>
      <c r="F100" s="15">
        <v>12</v>
      </c>
      <c r="G100" s="15">
        <v>56</v>
      </c>
      <c r="H100" s="15">
        <v>1272</v>
      </c>
      <c r="I100" s="15">
        <v>5467</v>
      </c>
      <c r="J100" s="15">
        <v>4308</v>
      </c>
      <c r="K100" s="15">
        <v>11</v>
      </c>
      <c r="L100" s="15">
        <v>33</v>
      </c>
      <c r="M100" s="15">
        <v>70</v>
      </c>
      <c r="N100" s="15">
        <v>1045</v>
      </c>
      <c r="O100" s="40">
        <v>3131</v>
      </c>
      <c r="P100" s="18">
        <f t="shared" si="0"/>
        <v>1177</v>
      </c>
      <c r="Q100" s="18">
        <f t="shared" si="1"/>
        <v>1177</v>
      </c>
      <c r="R100" s="18">
        <f t="shared" si="2"/>
        <v>5467</v>
      </c>
      <c r="S100" s="41">
        <v>112</v>
      </c>
      <c r="U100" s="42"/>
      <c r="V100" s="42"/>
    </row>
    <row r="101" spans="1:22" ht="14.4">
      <c r="A101" s="21">
        <v>21305</v>
      </c>
      <c r="B101" s="22" t="s">
        <v>116</v>
      </c>
      <c r="C101" s="15">
        <v>7497</v>
      </c>
      <c r="D101" s="15">
        <v>5507</v>
      </c>
      <c r="E101" s="15">
        <v>24</v>
      </c>
      <c r="F101" s="15">
        <v>10</v>
      </c>
      <c r="G101" s="15">
        <v>57</v>
      </c>
      <c r="H101" s="15">
        <v>1899</v>
      </c>
      <c r="I101" s="15">
        <v>9347</v>
      </c>
      <c r="J101" s="15">
        <v>7763</v>
      </c>
      <c r="K101" s="15">
        <v>23</v>
      </c>
      <c r="L101" s="15">
        <v>45</v>
      </c>
      <c r="M101" s="15">
        <v>77</v>
      </c>
      <c r="N101" s="15">
        <v>1439</v>
      </c>
      <c r="O101" s="40">
        <v>7201</v>
      </c>
      <c r="P101" s="18">
        <f t="shared" si="0"/>
        <v>562</v>
      </c>
      <c r="Q101" s="18">
        <f t="shared" si="1"/>
        <v>562</v>
      </c>
      <c r="R101" s="18">
        <f t="shared" si="2"/>
        <v>9347</v>
      </c>
      <c r="S101" s="41">
        <v>240</v>
      </c>
      <c r="U101" s="42"/>
      <c r="V101" s="42"/>
    </row>
    <row r="102" spans="1:22" ht="14.4">
      <c r="A102" s="13">
        <v>21306</v>
      </c>
      <c r="B102" s="14" t="s">
        <v>117</v>
      </c>
      <c r="C102" s="15">
        <v>3200</v>
      </c>
      <c r="D102" s="15">
        <v>1843</v>
      </c>
      <c r="E102" s="15">
        <v>4</v>
      </c>
      <c r="F102" s="15">
        <v>5</v>
      </c>
      <c r="G102" s="15">
        <v>55</v>
      </c>
      <c r="H102" s="15">
        <v>1293</v>
      </c>
      <c r="I102" s="15">
        <v>4480</v>
      </c>
      <c r="J102" s="15">
        <v>3240</v>
      </c>
      <c r="K102" s="15">
        <v>16</v>
      </c>
      <c r="L102" s="15">
        <v>106</v>
      </c>
      <c r="M102" s="15">
        <v>56</v>
      </c>
      <c r="N102" s="15">
        <v>1062</v>
      </c>
      <c r="O102" s="40">
        <v>2142</v>
      </c>
      <c r="P102" s="18">
        <f t="shared" si="0"/>
        <v>1098</v>
      </c>
      <c r="Q102" s="18">
        <f t="shared" si="1"/>
        <v>1098</v>
      </c>
      <c r="R102" s="18">
        <f t="shared" si="2"/>
        <v>4480</v>
      </c>
      <c r="S102" s="41">
        <v>158</v>
      </c>
      <c r="U102" s="42"/>
      <c r="V102" s="42"/>
    </row>
    <row r="103" spans="1:22" ht="14.4">
      <c r="A103" s="21">
        <v>21307</v>
      </c>
      <c r="B103" s="22" t="s">
        <v>118</v>
      </c>
      <c r="C103" s="15">
        <v>1272</v>
      </c>
      <c r="D103" s="15">
        <v>842</v>
      </c>
      <c r="E103" s="15">
        <v>3</v>
      </c>
      <c r="F103" s="15">
        <v>10</v>
      </c>
      <c r="G103" s="15">
        <v>11</v>
      </c>
      <c r="H103" s="15">
        <v>406</v>
      </c>
      <c r="I103" s="15">
        <v>1653</v>
      </c>
      <c r="J103" s="15">
        <v>1352</v>
      </c>
      <c r="K103" s="15">
        <v>4</v>
      </c>
      <c r="L103" s="15">
        <v>34</v>
      </c>
      <c r="M103" s="15">
        <v>20</v>
      </c>
      <c r="N103" s="15">
        <v>243</v>
      </c>
      <c r="O103" s="40">
        <v>656</v>
      </c>
      <c r="P103" s="18">
        <f t="shared" si="0"/>
        <v>696</v>
      </c>
      <c r="Q103" s="18">
        <f t="shared" si="1"/>
        <v>696</v>
      </c>
      <c r="R103" s="18">
        <f t="shared" si="2"/>
        <v>1653</v>
      </c>
      <c r="S103" s="41">
        <v>128</v>
      </c>
      <c r="U103" s="42"/>
      <c r="V103" s="42"/>
    </row>
    <row r="104" spans="1:22" ht="14.4">
      <c r="A104" s="13">
        <v>21401</v>
      </c>
      <c r="B104" s="14" t="s">
        <v>119</v>
      </c>
      <c r="C104" s="15">
        <v>6996</v>
      </c>
      <c r="D104" s="15">
        <v>4861</v>
      </c>
      <c r="E104" s="15">
        <v>60</v>
      </c>
      <c r="F104" s="15">
        <v>12</v>
      </c>
      <c r="G104" s="15">
        <v>130</v>
      </c>
      <c r="H104" s="15">
        <v>1933</v>
      </c>
      <c r="I104" s="15">
        <v>10376</v>
      </c>
      <c r="J104" s="15">
        <v>7872</v>
      </c>
      <c r="K104" s="15">
        <v>104</v>
      </c>
      <c r="L104" s="15">
        <v>192</v>
      </c>
      <c r="M104" s="15">
        <v>69</v>
      </c>
      <c r="N104" s="15">
        <v>2139</v>
      </c>
      <c r="O104" s="40">
        <v>6635</v>
      </c>
      <c r="P104" s="18">
        <f t="shared" si="0"/>
        <v>1237</v>
      </c>
      <c r="Q104" s="18">
        <f t="shared" si="1"/>
        <v>1237</v>
      </c>
      <c r="R104" s="18">
        <f t="shared" si="2"/>
        <v>10376</v>
      </c>
      <c r="S104" s="41">
        <v>462</v>
      </c>
      <c r="U104" s="42"/>
      <c r="V104" s="42"/>
    </row>
    <row r="105" spans="1:22" ht="14.4">
      <c r="A105" s="21">
        <v>21402</v>
      </c>
      <c r="B105" s="22" t="s">
        <v>120</v>
      </c>
      <c r="C105" s="15">
        <v>5380</v>
      </c>
      <c r="D105" s="15">
        <v>4629</v>
      </c>
      <c r="E105" s="15">
        <v>24</v>
      </c>
      <c r="F105" s="15">
        <v>16</v>
      </c>
      <c r="G105" s="15">
        <v>5</v>
      </c>
      <c r="H105" s="15">
        <v>706</v>
      </c>
      <c r="I105" s="15">
        <v>8913</v>
      </c>
      <c r="J105" s="15">
        <v>7919</v>
      </c>
      <c r="K105" s="15">
        <v>253</v>
      </c>
      <c r="L105" s="15">
        <v>51</v>
      </c>
      <c r="M105" s="15">
        <v>118</v>
      </c>
      <c r="N105" s="15">
        <v>572</v>
      </c>
      <c r="O105" s="40">
        <v>5147</v>
      </c>
      <c r="P105" s="18">
        <f t="shared" si="0"/>
        <v>2772</v>
      </c>
      <c r="Q105" s="18">
        <f t="shared" si="1"/>
        <v>2772</v>
      </c>
      <c r="R105" s="18">
        <f t="shared" si="2"/>
        <v>8913</v>
      </c>
      <c r="S105" s="41">
        <v>487</v>
      </c>
      <c r="U105" s="42"/>
      <c r="V105" s="42"/>
    </row>
    <row r="106" spans="1:22" ht="14.4">
      <c r="A106" s="13">
        <v>21501</v>
      </c>
      <c r="B106" s="14" t="s">
        <v>121</v>
      </c>
      <c r="C106" s="15">
        <v>2270</v>
      </c>
      <c r="D106" s="15">
        <v>834</v>
      </c>
      <c r="E106" s="15">
        <v>315</v>
      </c>
      <c r="F106" s="15">
        <v>49</v>
      </c>
      <c r="G106" s="15">
        <v>86</v>
      </c>
      <c r="H106" s="15">
        <v>986</v>
      </c>
      <c r="I106" s="15">
        <v>3306</v>
      </c>
      <c r="J106" s="15">
        <v>1470</v>
      </c>
      <c r="K106" s="15">
        <v>337</v>
      </c>
      <c r="L106" s="15">
        <v>353</v>
      </c>
      <c r="M106" s="15">
        <v>103</v>
      </c>
      <c r="N106" s="15">
        <v>1043</v>
      </c>
      <c r="O106" s="40">
        <v>1449</v>
      </c>
      <c r="P106" s="18">
        <f t="shared" si="0"/>
        <v>21</v>
      </c>
      <c r="Q106" s="18">
        <f t="shared" si="1"/>
        <v>21</v>
      </c>
      <c r="R106" s="18">
        <f t="shared" si="2"/>
        <v>3306</v>
      </c>
      <c r="S106" s="41">
        <v>692</v>
      </c>
      <c r="U106" s="42"/>
      <c r="V106" s="42"/>
    </row>
    <row r="107" spans="1:22" ht="14.4">
      <c r="A107" s="21">
        <v>21502</v>
      </c>
      <c r="B107" s="22" t="s">
        <v>122</v>
      </c>
      <c r="C107" s="15">
        <v>2005</v>
      </c>
      <c r="D107" s="15">
        <v>1186</v>
      </c>
      <c r="E107" s="15">
        <v>85</v>
      </c>
      <c r="F107" s="15">
        <v>37</v>
      </c>
      <c r="G107" s="15">
        <v>35</v>
      </c>
      <c r="H107" s="15">
        <v>662</v>
      </c>
      <c r="I107" s="15">
        <v>2849</v>
      </c>
      <c r="J107" s="15">
        <v>2480</v>
      </c>
      <c r="K107" s="15">
        <v>13</v>
      </c>
      <c r="L107" s="15">
        <v>20</v>
      </c>
      <c r="M107" s="15">
        <v>6</v>
      </c>
      <c r="N107" s="15">
        <v>330</v>
      </c>
      <c r="O107" s="40">
        <v>2144</v>
      </c>
      <c r="P107" s="18">
        <f t="shared" si="0"/>
        <v>336</v>
      </c>
      <c r="Q107" s="18">
        <f t="shared" si="1"/>
        <v>336</v>
      </c>
      <c r="R107" s="18">
        <f t="shared" si="2"/>
        <v>2849</v>
      </c>
      <c r="S107" s="41">
        <v>608</v>
      </c>
      <c r="U107" s="42"/>
      <c r="V107" s="42"/>
    </row>
    <row r="108" spans="1:22" ht="14.4">
      <c r="A108" s="13">
        <v>21601</v>
      </c>
      <c r="B108" s="14" t="s">
        <v>123</v>
      </c>
      <c r="C108" s="15">
        <v>3550</v>
      </c>
      <c r="D108" s="15">
        <v>1834</v>
      </c>
      <c r="E108" s="15">
        <v>27</v>
      </c>
      <c r="F108" s="15">
        <v>47</v>
      </c>
      <c r="G108" s="15">
        <v>44</v>
      </c>
      <c r="H108" s="15">
        <v>1598</v>
      </c>
      <c r="I108" s="15">
        <v>5022</v>
      </c>
      <c r="J108" s="15">
        <v>3863</v>
      </c>
      <c r="K108" s="15">
        <v>10</v>
      </c>
      <c r="L108" s="15">
        <v>49</v>
      </c>
      <c r="M108" s="15">
        <v>30</v>
      </c>
      <c r="N108" s="15">
        <v>1070</v>
      </c>
      <c r="O108" s="40">
        <v>2440</v>
      </c>
      <c r="P108" s="18">
        <f t="shared" si="0"/>
        <v>1423</v>
      </c>
      <c r="Q108" s="18">
        <f t="shared" si="1"/>
        <v>1423</v>
      </c>
      <c r="R108" s="18">
        <f t="shared" si="2"/>
        <v>5022</v>
      </c>
      <c r="S108" s="41">
        <v>125</v>
      </c>
      <c r="U108" s="42"/>
      <c r="V108" s="42"/>
    </row>
    <row r="109" spans="1:22" ht="14.4">
      <c r="A109" s="21">
        <v>21602</v>
      </c>
      <c r="B109" s="22" t="s">
        <v>124</v>
      </c>
      <c r="C109" s="15">
        <v>982</v>
      </c>
      <c r="D109" s="15">
        <v>426</v>
      </c>
      <c r="E109" s="15">
        <v>4</v>
      </c>
      <c r="F109" s="15">
        <v>37</v>
      </c>
      <c r="G109" s="15">
        <v>35</v>
      </c>
      <c r="H109" s="15">
        <v>480</v>
      </c>
      <c r="I109" s="15">
        <v>1656</v>
      </c>
      <c r="J109" s="15">
        <v>1017</v>
      </c>
      <c r="K109" s="15">
        <v>5</v>
      </c>
      <c r="L109" s="15">
        <v>77</v>
      </c>
      <c r="M109" s="15">
        <v>12</v>
      </c>
      <c r="N109" s="15">
        <v>545</v>
      </c>
      <c r="O109" s="40">
        <v>552</v>
      </c>
      <c r="P109" s="18">
        <f t="shared" si="0"/>
        <v>465</v>
      </c>
      <c r="Q109" s="18">
        <f t="shared" si="1"/>
        <v>465</v>
      </c>
      <c r="R109" s="18">
        <f t="shared" si="2"/>
        <v>1656</v>
      </c>
      <c r="S109" s="41">
        <v>135</v>
      </c>
      <c r="U109" s="42"/>
      <c r="V109" s="42"/>
    </row>
    <row r="110" spans="1:22" ht="14.4">
      <c r="A110" s="13">
        <v>21701</v>
      </c>
      <c r="B110" s="14" t="s">
        <v>125</v>
      </c>
      <c r="C110" s="15">
        <v>5144</v>
      </c>
      <c r="D110" s="15">
        <v>4068</v>
      </c>
      <c r="E110" s="15">
        <v>8</v>
      </c>
      <c r="F110" s="15">
        <v>32</v>
      </c>
      <c r="G110" s="15">
        <v>16</v>
      </c>
      <c r="H110" s="15">
        <v>1020</v>
      </c>
      <c r="I110" s="15">
        <v>6817</v>
      </c>
      <c r="J110" s="15">
        <v>5348</v>
      </c>
      <c r="K110" s="15">
        <v>11</v>
      </c>
      <c r="L110" s="15">
        <v>52</v>
      </c>
      <c r="M110" s="15">
        <v>45</v>
      </c>
      <c r="N110" s="15">
        <v>1361</v>
      </c>
      <c r="O110" s="40">
        <v>5226</v>
      </c>
      <c r="P110" s="18">
        <f t="shared" si="0"/>
        <v>122</v>
      </c>
      <c r="Q110" s="18">
        <f t="shared" si="1"/>
        <v>122</v>
      </c>
      <c r="R110" s="18">
        <f t="shared" si="2"/>
        <v>6817</v>
      </c>
      <c r="S110" s="41">
        <v>192</v>
      </c>
      <c r="U110" s="42"/>
      <c r="V110" s="42"/>
    </row>
    <row r="111" spans="1:22" ht="14.4">
      <c r="A111" s="21">
        <v>21702</v>
      </c>
      <c r="B111" s="22" t="s">
        <v>126</v>
      </c>
      <c r="C111" s="15">
        <v>2467</v>
      </c>
      <c r="D111" s="15">
        <v>1641</v>
      </c>
      <c r="E111" s="15">
        <v>3</v>
      </c>
      <c r="F111" s="15">
        <v>1</v>
      </c>
      <c r="G111" s="15">
        <v>16</v>
      </c>
      <c r="H111" s="15">
        <v>806</v>
      </c>
      <c r="I111" s="15">
        <v>3631</v>
      </c>
      <c r="J111" s="15">
        <v>2882</v>
      </c>
      <c r="K111" s="15">
        <v>4</v>
      </c>
      <c r="L111" s="15">
        <v>18</v>
      </c>
      <c r="M111" s="15">
        <v>18</v>
      </c>
      <c r="N111" s="15">
        <v>709</v>
      </c>
      <c r="O111" s="40">
        <v>1557</v>
      </c>
      <c r="P111" s="18">
        <f t="shared" si="0"/>
        <v>1325</v>
      </c>
      <c r="Q111" s="18">
        <f t="shared" si="1"/>
        <v>1325</v>
      </c>
      <c r="R111" s="18">
        <f t="shared" si="2"/>
        <v>3631</v>
      </c>
      <c r="S111" s="41">
        <v>100</v>
      </c>
      <c r="U111" s="42"/>
      <c r="V111" s="42"/>
    </row>
    <row r="112" spans="1:22" ht="14.4">
      <c r="A112" s="13">
        <v>21703</v>
      </c>
      <c r="B112" s="14" t="s">
        <v>127</v>
      </c>
      <c r="C112" s="15">
        <v>1295</v>
      </c>
      <c r="D112" s="15">
        <v>775</v>
      </c>
      <c r="E112" s="15">
        <v>1</v>
      </c>
      <c r="F112" s="15">
        <v>2</v>
      </c>
      <c r="G112" s="15">
        <v>21</v>
      </c>
      <c r="H112" s="15">
        <v>496</v>
      </c>
      <c r="I112" s="15">
        <v>1474</v>
      </c>
      <c r="J112" s="15">
        <v>1011</v>
      </c>
      <c r="K112" s="15">
        <v>2</v>
      </c>
      <c r="L112" s="15">
        <v>4</v>
      </c>
      <c r="M112" s="15">
        <v>11</v>
      </c>
      <c r="N112" s="15">
        <v>446</v>
      </c>
      <c r="O112" s="40">
        <v>514</v>
      </c>
      <c r="P112" s="18">
        <f t="shared" si="0"/>
        <v>497</v>
      </c>
      <c r="Q112" s="18">
        <f t="shared" si="1"/>
        <v>497</v>
      </c>
      <c r="R112" s="18">
        <f t="shared" si="2"/>
        <v>1474</v>
      </c>
      <c r="S112" s="41">
        <v>70.5</v>
      </c>
      <c r="U112" s="42"/>
      <c r="V112" s="42"/>
    </row>
    <row r="113" spans="1:22" ht="14.4">
      <c r="A113" s="21">
        <v>21801</v>
      </c>
      <c r="B113" s="22" t="s">
        <v>128</v>
      </c>
      <c r="C113" s="15">
        <v>2828</v>
      </c>
      <c r="D113" s="15">
        <v>1107</v>
      </c>
      <c r="E113" s="15">
        <v>3</v>
      </c>
      <c r="F113" s="15">
        <v>1</v>
      </c>
      <c r="G113" s="15">
        <v>137</v>
      </c>
      <c r="H113" s="15">
        <v>1580</v>
      </c>
      <c r="I113" s="15">
        <v>3484</v>
      </c>
      <c r="J113" s="15">
        <v>2542</v>
      </c>
      <c r="K113" s="15">
        <v>9</v>
      </c>
      <c r="L113" s="15">
        <v>23</v>
      </c>
      <c r="M113" s="15">
        <v>32</v>
      </c>
      <c r="N113" s="15">
        <v>878</v>
      </c>
      <c r="O113" s="40">
        <v>1501</v>
      </c>
      <c r="P113" s="18">
        <f t="shared" si="0"/>
        <v>1041</v>
      </c>
      <c r="Q113" s="18">
        <f t="shared" si="1"/>
        <v>1041</v>
      </c>
      <c r="R113" s="18">
        <f t="shared" si="2"/>
        <v>3484</v>
      </c>
      <c r="S113" s="41">
        <v>78</v>
      </c>
      <c r="U113" s="42"/>
      <c r="V113" s="42"/>
    </row>
    <row r="114" spans="1:22" ht="14.4">
      <c r="A114" s="13">
        <v>21802</v>
      </c>
      <c r="B114" s="14" t="s">
        <v>129</v>
      </c>
      <c r="C114" s="15">
        <v>2429</v>
      </c>
      <c r="D114" s="15">
        <v>1142</v>
      </c>
      <c r="E114" s="15">
        <v>5</v>
      </c>
      <c r="F114" s="15">
        <v>2</v>
      </c>
      <c r="G114" s="15">
        <v>63</v>
      </c>
      <c r="H114" s="15">
        <v>1217</v>
      </c>
      <c r="I114" s="15">
        <v>2888</v>
      </c>
      <c r="J114" s="15">
        <v>1970</v>
      </c>
      <c r="K114" s="15">
        <v>7</v>
      </c>
      <c r="L114" s="15">
        <v>34</v>
      </c>
      <c r="M114" s="15">
        <v>15</v>
      </c>
      <c r="N114" s="15">
        <v>862</v>
      </c>
      <c r="O114" s="40">
        <v>1343</v>
      </c>
      <c r="P114" s="18">
        <f t="shared" si="0"/>
        <v>627</v>
      </c>
      <c r="Q114" s="18">
        <f t="shared" si="1"/>
        <v>627</v>
      </c>
      <c r="R114" s="18">
        <f t="shared" si="2"/>
        <v>2888</v>
      </c>
      <c r="S114" s="41">
        <v>67</v>
      </c>
      <c r="U114" s="42"/>
      <c r="V114" s="42"/>
    </row>
    <row r="115" spans="1:22" ht="14.4">
      <c r="A115" s="21">
        <v>21803</v>
      </c>
      <c r="B115" s="22" t="s">
        <v>130</v>
      </c>
      <c r="C115" s="15">
        <v>769</v>
      </c>
      <c r="D115" s="15">
        <v>449</v>
      </c>
      <c r="E115" s="15">
        <v>1</v>
      </c>
      <c r="F115" s="15">
        <v>2</v>
      </c>
      <c r="G115" s="15">
        <v>0</v>
      </c>
      <c r="H115" s="15">
        <v>317</v>
      </c>
      <c r="I115" s="15">
        <v>881</v>
      </c>
      <c r="J115" s="15">
        <v>549</v>
      </c>
      <c r="K115" s="15">
        <v>14</v>
      </c>
      <c r="L115" s="15">
        <v>5</v>
      </c>
      <c r="M115" s="15">
        <v>0</v>
      </c>
      <c r="N115" s="15">
        <v>313</v>
      </c>
      <c r="O115" s="40">
        <v>327</v>
      </c>
      <c r="P115" s="18">
        <f t="shared" si="0"/>
        <v>222</v>
      </c>
      <c r="Q115" s="18">
        <f t="shared" si="1"/>
        <v>222</v>
      </c>
      <c r="R115" s="18">
        <f t="shared" si="2"/>
        <v>881</v>
      </c>
      <c r="S115" s="41">
        <v>63</v>
      </c>
      <c r="U115" s="42"/>
      <c r="V115" s="42"/>
    </row>
    <row r="116" spans="1:22" ht="14.4">
      <c r="A116" s="13">
        <v>21901</v>
      </c>
      <c r="B116" s="14" t="s">
        <v>131</v>
      </c>
      <c r="C116" s="15">
        <v>1830</v>
      </c>
      <c r="D116" s="15">
        <v>517</v>
      </c>
      <c r="E116" s="15">
        <v>1</v>
      </c>
      <c r="F116" s="15">
        <v>63</v>
      </c>
      <c r="G116" s="15">
        <v>185</v>
      </c>
      <c r="H116" s="15">
        <v>1064</v>
      </c>
      <c r="I116" s="15">
        <v>2956</v>
      </c>
      <c r="J116" s="15">
        <v>2180</v>
      </c>
      <c r="K116" s="15">
        <v>9</v>
      </c>
      <c r="L116" s="15">
        <v>47</v>
      </c>
      <c r="M116" s="15">
        <v>9</v>
      </c>
      <c r="N116" s="15">
        <v>711</v>
      </c>
      <c r="O116" s="40">
        <v>1695</v>
      </c>
      <c r="P116" s="18">
        <f t="shared" si="0"/>
        <v>485</v>
      </c>
      <c r="Q116" s="18">
        <f t="shared" si="1"/>
        <v>485</v>
      </c>
      <c r="R116" s="18">
        <f t="shared" si="2"/>
        <v>2956</v>
      </c>
      <c r="S116" s="41">
        <v>53</v>
      </c>
      <c r="U116" s="42"/>
      <c r="V116" s="42"/>
    </row>
    <row r="117" spans="1:22" ht="14.4">
      <c r="A117" s="21">
        <v>21902</v>
      </c>
      <c r="B117" s="22" t="s">
        <v>132</v>
      </c>
      <c r="C117" s="15">
        <v>736</v>
      </c>
      <c r="D117" s="15">
        <v>374</v>
      </c>
      <c r="E117" s="15">
        <v>0</v>
      </c>
      <c r="F117" s="15">
        <v>8</v>
      </c>
      <c r="G117" s="15">
        <v>16</v>
      </c>
      <c r="H117" s="15">
        <v>338</v>
      </c>
      <c r="I117" s="15">
        <v>1695</v>
      </c>
      <c r="J117" s="15">
        <v>1235</v>
      </c>
      <c r="K117" s="15">
        <v>7</v>
      </c>
      <c r="L117" s="15">
        <v>61</v>
      </c>
      <c r="M117" s="15">
        <v>12</v>
      </c>
      <c r="N117" s="15">
        <v>380</v>
      </c>
      <c r="O117" s="40">
        <v>284</v>
      </c>
      <c r="P117" s="18">
        <f t="shared" si="0"/>
        <v>951</v>
      </c>
      <c r="Q117" s="18">
        <f t="shared" si="1"/>
        <v>951</v>
      </c>
      <c r="R117" s="18">
        <f t="shared" si="2"/>
        <v>1695</v>
      </c>
      <c r="S117" s="41">
        <v>78</v>
      </c>
      <c r="U117" s="42"/>
      <c r="V117" s="42"/>
    </row>
    <row r="118" spans="1:22" ht="14.4">
      <c r="A118" s="13">
        <v>22001</v>
      </c>
      <c r="B118" s="14" t="s">
        <v>133</v>
      </c>
      <c r="C118" s="15">
        <v>17021</v>
      </c>
      <c r="D118" s="15">
        <v>9633</v>
      </c>
      <c r="E118" s="15">
        <v>106</v>
      </c>
      <c r="F118" s="15">
        <v>308</v>
      </c>
      <c r="G118" s="15">
        <v>171</v>
      </c>
      <c r="H118" s="15">
        <v>6803</v>
      </c>
      <c r="I118" s="15">
        <v>21081</v>
      </c>
      <c r="J118" s="15">
        <v>17101</v>
      </c>
      <c r="K118" s="15">
        <v>33</v>
      </c>
      <c r="L118" s="15">
        <v>184</v>
      </c>
      <c r="M118" s="15">
        <v>203</v>
      </c>
      <c r="N118" s="15">
        <v>3560</v>
      </c>
      <c r="O118" s="40">
        <v>14439</v>
      </c>
      <c r="P118" s="18">
        <f t="shared" si="0"/>
        <v>2662</v>
      </c>
      <c r="Q118" s="18">
        <f t="shared" si="1"/>
        <v>2662</v>
      </c>
      <c r="R118" s="18">
        <f t="shared" si="2"/>
        <v>21081</v>
      </c>
      <c r="S118" s="41">
        <v>361</v>
      </c>
      <c r="U118" s="42"/>
      <c r="V118" s="42"/>
    </row>
    <row r="119" spans="1:22" ht="14.4">
      <c r="A119" s="21">
        <v>22002</v>
      </c>
      <c r="B119" s="22" t="s">
        <v>134</v>
      </c>
      <c r="C119" s="15">
        <v>4210</v>
      </c>
      <c r="D119" s="15">
        <v>1807</v>
      </c>
      <c r="E119" s="15">
        <v>27</v>
      </c>
      <c r="F119" s="15">
        <v>32</v>
      </c>
      <c r="G119" s="15">
        <v>90</v>
      </c>
      <c r="H119" s="15">
        <v>2254</v>
      </c>
      <c r="I119" s="15">
        <v>4491</v>
      </c>
      <c r="J119" s="15">
        <v>2622</v>
      </c>
      <c r="K119" s="15">
        <v>20</v>
      </c>
      <c r="L119" s="15">
        <v>96</v>
      </c>
      <c r="M119" s="15">
        <v>26</v>
      </c>
      <c r="N119" s="15">
        <v>1727</v>
      </c>
      <c r="O119" s="40">
        <v>2232</v>
      </c>
      <c r="P119" s="18">
        <f t="shared" si="0"/>
        <v>390</v>
      </c>
      <c r="Q119" s="18">
        <f t="shared" si="1"/>
        <v>390</v>
      </c>
      <c r="R119" s="18">
        <f t="shared" si="2"/>
        <v>4491</v>
      </c>
      <c r="S119" s="41">
        <v>466.5</v>
      </c>
      <c r="U119" s="42"/>
      <c r="V119" s="42"/>
    </row>
    <row r="120" spans="1:22" ht="14.4">
      <c r="A120" s="13">
        <v>30101</v>
      </c>
      <c r="B120" s="14" t="s">
        <v>135</v>
      </c>
      <c r="C120" s="15">
        <v>177376</v>
      </c>
      <c r="D120" s="15">
        <v>169837</v>
      </c>
      <c r="E120" s="15">
        <v>299</v>
      </c>
      <c r="F120" s="15">
        <v>32</v>
      </c>
      <c r="G120" s="15">
        <v>204</v>
      </c>
      <c r="H120" s="15">
        <v>7004</v>
      </c>
      <c r="I120" s="15">
        <v>212273</v>
      </c>
      <c r="J120" s="15">
        <v>205803</v>
      </c>
      <c r="K120" s="15">
        <v>605</v>
      </c>
      <c r="L120" s="15">
        <v>807</v>
      </c>
      <c r="M120" s="15">
        <v>427</v>
      </c>
      <c r="N120" s="15">
        <v>4631</v>
      </c>
      <c r="O120" s="40">
        <v>261402</v>
      </c>
      <c r="P120" s="18">
        <f t="shared" si="0"/>
        <v>-55599</v>
      </c>
      <c r="Q120" s="40" t="str">
        <f t="shared" si="1"/>
        <v/>
      </c>
      <c r="R120" s="18">
        <f t="shared" si="2"/>
        <v>267872</v>
      </c>
      <c r="S120" s="41">
        <v>909</v>
      </c>
      <c r="U120" s="42"/>
      <c r="V120" s="42"/>
    </row>
    <row r="121" spans="1:22" ht="14.4">
      <c r="A121" s="21">
        <v>30201</v>
      </c>
      <c r="B121" s="22" t="s">
        <v>136</v>
      </c>
      <c r="C121" s="15">
        <v>6499</v>
      </c>
      <c r="D121" s="15">
        <v>3620</v>
      </c>
      <c r="E121" s="15">
        <v>35</v>
      </c>
      <c r="F121" s="15">
        <v>255</v>
      </c>
      <c r="G121" s="15">
        <v>83</v>
      </c>
      <c r="H121" s="15">
        <v>2506</v>
      </c>
      <c r="I121" s="15">
        <v>7123</v>
      </c>
      <c r="J121" s="15">
        <v>4854</v>
      </c>
      <c r="K121" s="15">
        <v>19</v>
      </c>
      <c r="L121" s="15">
        <v>727</v>
      </c>
      <c r="M121" s="15">
        <v>47</v>
      </c>
      <c r="N121" s="15">
        <v>1476</v>
      </c>
      <c r="O121" s="40">
        <v>5126</v>
      </c>
      <c r="P121" s="18">
        <f t="shared" si="0"/>
        <v>-272</v>
      </c>
      <c r="Q121" s="40" t="str">
        <f t="shared" si="1"/>
        <v/>
      </c>
      <c r="R121" s="18">
        <f t="shared" si="2"/>
        <v>7395</v>
      </c>
      <c r="S121" s="41">
        <v>434</v>
      </c>
      <c r="U121" s="42"/>
      <c r="V121" s="42"/>
    </row>
    <row r="122" spans="1:22" ht="14.4">
      <c r="A122" s="13">
        <v>30202</v>
      </c>
      <c r="B122" s="14" t="s">
        <v>137</v>
      </c>
      <c r="C122" s="15">
        <v>1537</v>
      </c>
      <c r="D122" s="15">
        <v>646</v>
      </c>
      <c r="E122" s="15">
        <v>9</v>
      </c>
      <c r="F122" s="15">
        <v>170</v>
      </c>
      <c r="G122" s="15">
        <v>12</v>
      </c>
      <c r="H122" s="15">
        <v>700</v>
      </c>
      <c r="I122" s="15">
        <v>1753</v>
      </c>
      <c r="J122" s="15">
        <v>742</v>
      </c>
      <c r="K122" s="15">
        <v>8</v>
      </c>
      <c r="L122" s="15">
        <v>470</v>
      </c>
      <c r="M122" s="15">
        <v>51</v>
      </c>
      <c r="N122" s="15">
        <v>482</v>
      </c>
      <c r="O122" s="40">
        <v>618</v>
      </c>
      <c r="P122" s="18">
        <f t="shared" si="0"/>
        <v>124</v>
      </c>
      <c r="Q122" s="18">
        <f t="shared" si="1"/>
        <v>124</v>
      </c>
      <c r="R122" s="18">
        <f t="shared" si="2"/>
        <v>1753</v>
      </c>
      <c r="S122" s="41">
        <v>355.5</v>
      </c>
      <c r="U122" s="42"/>
      <c r="V122" s="42"/>
    </row>
    <row r="123" spans="1:22" ht="14.4">
      <c r="A123" s="21">
        <v>30203</v>
      </c>
      <c r="B123" s="22" t="s">
        <v>138</v>
      </c>
      <c r="C123" s="15">
        <v>1434</v>
      </c>
      <c r="D123" s="15">
        <v>1036</v>
      </c>
      <c r="E123" s="15">
        <v>7</v>
      </c>
      <c r="F123" s="15">
        <v>38</v>
      </c>
      <c r="G123" s="15">
        <v>7</v>
      </c>
      <c r="H123" s="15">
        <v>346</v>
      </c>
      <c r="I123" s="15">
        <v>1920</v>
      </c>
      <c r="J123" s="15">
        <v>1616</v>
      </c>
      <c r="K123" s="15">
        <v>5</v>
      </c>
      <c r="L123" s="15">
        <v>95</v>
      </c>
      <c r="M123" s="15">
        <v>8</v>
      </c>
      <c r="N123" s="15">
        <v>196</v>
      </c>
      <c r="O123" s="40">
        <v>1491</v>
      </c>
      <c r="P123" s="18">
        <f t="shared" si="0"/>
        <v>125</v>
      </c>
      <c r="Q123" s="18">
        <f t="shared" si="1"/>
        <v>125</v>
      </c>
      <c r="R123" s="18">
        <f t="shared" si="2"/>
        <v>1920</v>
      </c>
      <c r="S123" s="41">
        <v>417</v>
      </c>
      <c r="U123" s="42"/>
      <c r="V123" s="42"/>
    </row>
    <row r="124" spans="1:22" ht="14.4">
      <c r="A124" s="13">
        <v>30301</v>
      </c>
      <c r="B124" s="14" t="s">
        <v>139</v>
      </c>
      <c r="C124" s="15">
        <v>7347</v>
      </c>
      <c r="D124" s="15">
        <v>3299</v>
      </c>
      <c r="E124" s="15">
        <v>35</v>
      </c>
      <c r="F124" s="15">
        <v>64</v>
      </c>
      <c r="G124" s="15">
        <v>124</v>
      </c>
      <c r="H124" s="15">
        <v>3825</v>
      </c>
      <c r="I124" s="15">
        <v>8442</v>
      </c>
      <c r="J124" s="15">
        <v>5195</v>
      </c>
      <c r="K124" s="15">
        <v>32</v>
      </c>
      <c r="L124" s="15">
        <v>718</v>
      </c>
      <c r="M124" s="15">
        <v>82</v>
      </c>
      <c r="N124" s="15">
        <v>2415</v>
      </c>
      <c r="O124" s="40">
        <v>3867</v>
      </c>
      <c r="P124" s="18">
        <f t="shared" si="0"/>
        <v>1328</v>
      </c>
      <c r="Q124" s="18">
        <f t="shared" si="1"/>
        <v>1328</v>
      </c>
      <c r="R124" s="18">
        <f t="shared" si="2"/>
        <v>8442</v>
      </c>
      <c r="S124" s="41">
        <v>80</v>
      </c>
      <c r="U124" s="42"/>
      <c r="V124" s="42"/>
    </row>
    <row r="125" spans="1:22" ht="14.4">
      <c r="A125" s="21">
        <v>30302</v>
      </c>
      <c r="B125" s="22" t="s">
        <v>140</v>
      </c>
      <c r="C125" s="15">
        <v>3936</v>
      </c>
      <c r="D125" s="15">
        <v>1572</v>
      </c>
      <c r="E125" s="15">
        <v>25</v>
      </c>
      <c r="F125" s="15">
        <v>87</v>
      </c>
      <c r="G125" s="15">
        <v>113</v>
      </c>
      <c r="H125" s="15">
        <v>2139</v>
      </c>
      <c r="I125" s="15">
        <v>5081</v>
      </c>
      <c r="J125" s="15">
        <v>2538</v>
      </c>
      <c r="K125" s="15">
        <v>9</v>
      </c>
      <c r="L125" s="15">
        <v>539</v>
      </c>
      <c r="M125" s="15">
        <v>71</v>
      </c>
      <c r="N125" s="15">
        <v>1924</v>
      </c>
      <c r="O125" s="40">
        <v>2080</v>
      </c>
      <c r="P125" s="18">
        <f t="shared" si="0"/>
        <v>458</v>
      </c>
      <c r="Q125" s="18">
        <f t="shared" si="1"/>
        <v>458</v>
      </c>
      <c r="R125" s="18">
        <f t="shared" si="2"/>
        <v>5081</v>
      </c>
      <c r="S125" s="41">
        <v>57</v>
      </c>
      <c r="U125" s="42"/>
      <c r="V125" s="42"/>
    </row>
    <row r="126" spans="1:22" ht="14.4">
      <c r="A126" s="13">
        <v>30303</v>
      </c>
      <c r="B126" s="14" t="s">
        <v>141</v>
      </c>
      <c r="C126" s="15">
        <v>4920</v>
      </c>
      <c r="D126" s="15">
        <v>1060</v>
      </c>
      <c r="E126" s="15">
        <v>30</v>
      </c>
      <c r="F126" s="15">
        <v>1272</v>
      </c>
      <c r="G126" s="15">
        <v>110</v>
      </c>
      <c r="H126" s="15">
        <v>2448</v>
      </c>
      <c r="I126" s="15">
        <v>7511</v>
      </c>
      <c r="J126" s="15">
        <v>2875</v>
      </c>
      <c r="K126" s="15">
        <v>44</v>
      </c>
      <c r="L126" s="15">
        <v>1542</v>
      </c>
      <c r="M126" s="15">
        <v>134</v>
      </c>
      <c r="N126" s="15">
        <v>2916</v>
      </c>
      <c r="O126" s="40">
        <v>2339</v>
      </c>
      <c r="P126" s="18">
        <f t="shared" si="0"/>
        <v>536</v>
      </c>
      <c r="Q126" s="18">
        <f t="shared" si="1"/>
        <v>536</v>
      </c>
      <c r="R126" s="18">
        <f t="shared" si="2"/>
        <v>7511</v>
      </c>
      <c r="S126" s="41">
        <v>111</v>
      </c>
      <c r="U126" s="42"/>
      <c r="V126" s="42"/>
    </row>
    <row r="127" spans="1:22" ht="14.4">
      <c r="A127" s="21">
        <v>30401</v>
      </c>
      <c r="B127" s="22" t="s">
        <v>142</v>
      </c>
      <c r="C127" s="15">
        <v>2593</v>
      </c>
      <c r="D127" s="15">
        <v>1827</v>
      </c>
      <c r="E127" s="15">
        <v>4</v>
      </c>
      <c r="F127" s="15">
        <v>4</v>
      </c>
      <c r="G127" s="15">
        <v>7</v>
      </c>
      <c r="H127" s="15">
        <v>751</v>
      </c>
      <c r="I127" s="15">
        <v>4030</v>
      </c>
      <c r="J127" s="15">
        <v>3031</v>
      </c>
      <c r="K127" s="15">
        <v>5</v>
      </c>
      <c r="L127" s="15">
        <v>28</v>
      </c>
      <c r="M127" s="15">
        <v>9</v>
      </c>
      <c r="N127" s="15">
        <v>957</v>
      </c>
      <c r="O127" s="40">
        <v>3019</v>
      </c>
      <c r="P127" s="18">
        <f t="shared" si="0"/>
        <v>12</v>
      </c>
      <c r="Q127" s="18">
        <f t="shared" si="1"/>
        <v>12</v>
      </c>
      <c r="R127" s="18">
        <f t="shared" si="2"/>
        <v>4030</v>
      </c>
      <c r="S127" s="41">
        <v>369</v>
      </c>
      <c r="U127" s="42"/>
      <c r="V127" s="42"/>
    </row>
    <row r="128" spans="1:22" ht="14.4">
      <c r="A128" s="13">
        <v>30402</v>
      </c>
      <c r="B128" s="14" t="s">
        <v>143</v>
      </c>
      <c r="C128" s="15">
        <v>2636</v>
      </c>
      <c r="D128" s="15">
        <v>1092</v>
      </c>
      <c r="E128" s="15">
        <v>24</v>
      </c>
      <c r="F128" s="15">
        <v>228</v>
      </c>
      <c r="G128" s="15">
        <v>25</v>
      </c>
      <c r="H128" s="15">
        <v>1267</v>
      </c>
      <c r="I128" s="15">
        <v>3362</v>
      </c>
      <c r="J128" s="15">
        <v>1805</v>
      </c>
      <c r="K128" s="15">
        <v>4</v>
      </c>
      <c r="L128" s="15">
        <v>211</v>
      </c>
      <c r="M128" s="15">
        <v>44</v>
      </c>
      <c r="N128" s="15">
        <v>1298</v>
      </c>
      <c r="O128" s="40">
        <v>1615</v>
      </c>
      <c r="P128" s="18">
        <f t="shared" si="0"/>
        <v>190</v>
      </c>
      <c r="Q128" s="18">
        <f t="shared" si="1"/>
        <v>190</v>
      </c>
      <c r="R128" s="18">
        <f t="shared" si="2"/>
        <v>3362</v>
      </c>
      <c r="S128" s="41">
        <v>84</v>
      </c>
      <c r="U128" s="42"/>
      <c r="V128" s="42"/>
    </row>
    <row r="129" spans="1:22" ht="14.4">
      <c r="A129" s="21">
        <v>30403</v>
      </c>
      <c r="B129" s="22" t="s">
        <v>144</v>
      </c>
      <c r="C129" s="15">
        <v>5532</v>
      </c>
      <c r="D129" s="15">
        <v>4137</v>
      </c>
      <c r="E129" s="15">
        <v>18</v>
      </c>
      <c r="F129" s="15">
        <v>11</v>
      </c>
      <c r="G129" s="15">
        <v>34</v>
      </c>
      <c r="H129" s="15">
        <v>1332</v>
      </c>
      <c r="I129" s="15">
        <v>10848</v>
      </c>
      <c r="J129" s="15">
        <v>7558</v>
      </c>
      <c r="K129" s="15">
        <v>37</v>
      </c>
      <c r="L129" s="15">
        <v>118</v>
      </c>
      <c r="M129" s="15">
        <v>58</v>
      </c>
      <c r="N129" s="15">
        <v>3077</v>
      </c>
      <c r="O129" s="40">
        <v>6091</v>
      </c>
      <c r="P129" s="18">
        <f t="shared" si="0"/>
        <v>1467</v>
      </c>
      <c r="Q129" s="18">
        <f t="shared" si="1"/>
        <v>1467</v>
      </c>
      <c r="R129" s="18">
        <f t="shared" si="2"/>
        <v>10848</v>
      </c>
      <c r="S129" s="41">
        <v>341</v>
      </c>
      <c r="U129" s="42"/>
      <c r="V129" s="42"/>
    </row>
    <row r="130" spans="1:22" ht="14.4">
      <c r="A130" s="13">
        <v>30404</v>
      </c>
      <c r="B130" s="14" t="s">
        <v>145</v>
      </c>
      <c r="C130" s="15">
        <v>1473</v>
      </c>
      <c r="D130" s="15">
        <v>697</v>
      </c>
      <c r="E130" s="15">
        <v>0</v>
      </c>
      <c r="F130" s="15">
        <v>2</v>
      </c>
      <c r="G130" s="15">
        <v>3</v>
      </c>
      <c r="H130" s="15">
        <v>771</v>
      </c>
      <c r="I130" s="15">
        <v>1856</v>
      </c>
      <c r="J130" s="15">
        <v>987</v>
      </c>
      <c r="K130" s="15">
        <v>1</v>
      </c>
      <c r="L130" s="15">
        <v>14</v>
      </c>
      <c r="M130" s="15">
        <v>25</v>
      </c>
      <c r="N130" s="15">
        <v>829</v>
      </c>
      <c r="O130" s="40">
        <v>803</v>
      </c>
      <c r="P130" s="18">
        <f t="shared" si="0"/>
        <v>184</v>
      </c>
      <c r="Q130" s="18">
        <f t="shared" si="1"/>
        <v>184</v>
      </c>
      <c r="R130" s="18">
        <f t="shared" si="2"/>
        <v>1856</v>
      </c>
      <c r="S130" s="41">
        <v>87</v>
      </c>
      <c r="U130" s="42"/>
      <c r="V130" s="42"/>
    </row>
    <row r="131" spans="1:22" ht="14.4">
      <c r="A131" s="21">
        <v>30501</v>
      </c>
      <c r="B131" s="22" t="s">
        <v>146</v>
      </c>
      <c r="C131" s="15">
        <v>3144</v>
      </c>
      <c r="D131" s="15">
        <v>2606</v>
      </c>
      <c r="E131" s="15">
        <v>5</v>
      </c>
      <c r="F131" s="15">
        <v>0</v>
      </c>
      <c r="G131" s="15">
        <v>4</v>
      </c>
      <c r="H131" s="15">
        <v>529</v>
      </c>
      <c r="I131" s="15">
        <v>4241</v>
      </c>
      <c r="J131" s="15">
        <v>3744</v>
      </c>
      <c r="K131" s="15">
        <v>7</v>
      </c>
      <c r="L131" s="15">
        <v>15</v>
      </c>
      <c r="M131" s="15">
        <v>14</v>
      </c>
      <c r="N131" s="15">
        <v>461</v>
      </c>
      <c r="O131" s="40">
        <v>3984</v>
      </c>
      <c r="P131" s="18">
        <f t="shared" si="0"/>
        <v>-240</v>
      </c>
      <c r="Q131" s="40" t="str">
        <f t="shared" si="1"/>
        <v/>
      </c>
      <c r="R131" s="18">
        <f t="shared" si="2"/>
        <v>4481</v>
      </c>
      <c r="S131" s="41">
        <v>345</v>
      </c>
      <c r="U131" s="42"/>
      <c r="V131" s="42"/>
    </row>
    <row r="132" spans="1:22" ht="14.4">
      <c r="A132" s="13">
        <v>30502</v>
      </c>
      <c r="B132" s="14" t="s">
        <v>147</v>
      </c>
      <c r="C132" s="15">
        <v>3202</v>
      </c>
      <c r="D132" s="15">
        <v>2033</v>
      </c>
      <c r="E132" s="15">
        <v>6</v>
      </c>
      <c r="F132" s="15">
        <v>6</v>
      </c>
      <c r="G132" s="15">
        <v>52</v>
      </c>
      <c r="H132" s="15">
        <v>1105</v>
      </c>
      <c r="I132" s="15">
        <v>3606</v>
      </c>
      <c r="J132" s="15">
        <v>2570</v>
      </c>
      <c r="K132" s="15">
        <v>7</v>
      </c>
      <c r="L132" s="15">
        <v>71</v>
      </c>
      <c r="M132" s="15">
        <v>26</v>
      </c>
      <c r="N132" s="15">
        <v>932</v>
      </c>
      <c r="O132" s="40">
        <v>2662</v>
      </c>
      <c r="P132" s="18">
        <f t="shared" si="0"/>
        <v>-92</v>
      </c>
      <c r="Q132" s="40" t="str">
        <f t="shared" si="1"/>
        <v/>
      </c>
      <c r="R132" s="18">
        <f t="shared" si="2"/>
        <v>3698</v>
      </c>
      <c r="S132" s="41">
        <v>88</v>
      </c>
      <c r="U132" s="42"/>
      <c r="V132" s="42"/>
    </row>
    <row r="133" spans="1:22" ht="14.4">
      <c r="A133" s="21">
        <v>30601</v>
      </c>
      <c r="B133" s="22" t="s">
        <v>148</v>
      </c>
      <c r="C133" s="15">
        <v>3303</v>
      </c>
      <c r="D133" s="15">
        <v>1100</v>
      </c>
      <c r="E133" s="15">
        <v>13</v>
      </c>
      <c r="F133" s="15">
        <v>101</v>
      </c>
      <c r="G133" s="15">
        <v>142</v>
      </c>
      <c r="H133" s="15">
        <v>1947</v>
      </c>
      <c r="I133" s="15">
        <v>3900</v>
      </c>
      <c r="J133" s="15">
        <v>2201</v>
      </c>
      <c r="K133" s="15">
        <v>15</v>
      </c>
      <c r="L133" s="15">
        <v>233</v>
      </c>
      <c r="M133" s="15">
        <v>42</v>
      </c>
      <c r="N133" s="15">
        <v>1409</v>
      </c>
      <c r="O133" s="40">
        <v>1567</v>
      </c>
      <c r="P133" s="18">
        <f t="shared" si="0"/>
        <v>634</v>
      </c>
      <c r="Q133" s="18">
        <f t="shared" si="1"/>
        <v>634</v>
      </c>
      <c r="R133" s="18">
        <f t="shared" si="2"/>
        <v>3900</v>
      </c>
      <c r="S133" s="41">
        <v>83</v>
      </c>
      <c r="U133" s="42"/>
      <c r="V133" s="42"/>
    </row>
    <row r="134" spans="1:22" ht="14.4">
      <c r="A134" s="13">
        <v>30602</v>
      </c>
      <c r="B134" s="14" t="s">
        <v>149</v>
      </c>
      <c r="C134" s="15">
        <v>3337</v>
      </c>
      <c r="D134" s="15">
        <v>1094</v>
      </c>
      <c r="E134" s="15">
        <v>5</v>
      </c>
      <c r="F134" s="15">
        <v>360</v>
      </c>
      <c r="G134" s="15">
        <v>55</v>
      </c>
      <c r="H134" s="15">
        <v>1823</v>
      </c>
      <c r="I134" s="15">
        <v>4226</v>
      </c>
      <c r="J134" s="15">
        <v>2615</v>
      </c>
      <c r="K134" s="15">
        <v>8</v>
      </c>
      <c r="L134" s="15">
        <v>155</v>
      </c>
      <c r="M134" s="15">
        <v>38</v>
      </c>
      <c r="N134" s="15">
        <v>1410</v>
      </c>
      <c r="O134" s="40">
        <v>1995</v>
      </c>
      <c r="P134" s="18">
        <f t="shared" si="0"/>
        <v>620</v>
      </c>
      <c r="Q134" s="18">
        <f t="shared" si="1"/>
        <v>620</v>
      </c>
      <c r="R134" s="18">
        <f t="shared" si="2"/>
        <v>4226</v>
      </c>
      <c r="S134" s="41">
        <v>41</v>
      </c>
      <c r="U134" s="42"/>
      <c r="V134" s="42"/>
    </row>
    <row r="135" spans="1:22" ht="14.4">
      <c r="A135" s="21">
        <v>30701</v>
      </c>
      <c r="B135" s="22" t="s">
        <v>150</v>
      </c>
      <c r="C135" s="15">
        <v>5928</v>
      </c>
      <c r="D135" s="15">
        <v>4279</v>
      </c>
      <c r="E135" s="15">
        <v>14</v>
      </c>
      <c r="F135" s="15">
        <v>9</v>
      </c>
      <c r="G135" s="15">
        <v>67</v>
      </c>
      <c r="H135" s="15">
        <v>1559</v>
      </c>
      <c r="I135" s="15">
        <v>6991</v>
      </c>
      <c r="J135" s="15">
        <v>5398</v>
      </c>
      <c r="K135" s="15">
        <v>39</v>
      </c>
      <c r="L135" s="15">
        <v>70</v>
      </c>
      <c r="M135" s="15">
        <v>59</v>
      </c>
      <c r="N135" s="15">
        <v>1425</v>
      </c>
      <c r="O135" s="40">
        <v>5913</v>
      </c>
      <c r="P135" s="18">
        <f t="shared" si="0"/>
        <v>-515</v>
      </c>
      <c r="Q135" s="40" t="str">
        <f t="shared" si="1"/>
        <v/>
      </c>
      <c r="R135" s="18">
        <f t="shared" si="2"/>
        <v>7506</v>
      </c>
      <c r="S135" s="41">
        <v>462</v>
      </c>
      <c r="U135" s="42"/>
      <c r="V135" s="42"/>
    </row>
    <row r="136" spans="1:22" ht="14.4">
      <c r="A136" s="13">
        <v>30702</v>
      </c>
      <c r="B136" s="14" t="s">
        <v>151</v>
      </c>
      <c r="C136" s="15">
        <v>2403</v>
      </c>
      <c r="D136" s="15">
        <v>1664</v>
      </c>
      <c r="E136" s="15">
        <v>14</v>
      </c>
      <c r="F136" s="15">
        <v>8</v>
      </c>
      <c r="G136" s="15">
        <v>9</v>
      </c>
      <c r="H136" s="15">
        <v>708</v>
      </c>
      <c r="I136" s="15">
        <v>3008</v>
      </c>
      <c r="J136" s="15">
        <v>2495</v>
      </c>
      <c r="K136" s="15">
        <v>13</v>
      </c>
      <c r="L136" s="15">
        <v>40</v>
      </c>
      <c r="M136" s="15">
        <v>29</v>
      </c>
      <c r="N136" s="15">
        <v>431</v>
      </c>
      <c r="O136" s="40">
        <v>2613</v>
      </c>
      <c r="P136" s="18">
        <f t="shared" si="0"/>
        <v>-118</v>
      </c>
      <c r="Q136" s="40" t="str">
        <f t="shared" si="1"/>
        <v/>
      </c>
      <c r="R136" s="18">
        <f t="shared" si="2"/>
        <v>3126</v>
      </c>
      <c r="S136" s="41">
        <v>426</v>
      </c>
      <c r="U136" s="42"/>
      <c r="V136" s="42"/>
    </row>
    <row r="137" spans="1:22" ht="14.4">
      <c r="A137" s="21">
        <v>30703</v>
      </c>
      <c r="B137" s="22" t="s">
        <v>152</v>
      </c>
      <c r="C137" s="15">
        <v>1083</v>
      </c>
      <c r="D137" s="15">
        <v>565</v>
      </c>
      <c r="E137" s="15">
        <v>1</v>
      </c>
      <c r="F137" s="15">
        <v>4</v>
      </c>
      <c r="G137" s="15">
        <v>3</v>
      </c>
      <c r="H137" s="15">
        <v>510</v>
      </c>
      <c r="I137" s="15">
        <v>1319</v>
      </c>
      <c r="J137" s="15">
        <v>940</v>
      </c>
      <c r="K137" s="15">
        <v>3</v>
      </c>
      <c r="L137" s="15">
        <v>43</v>
      </c>
      <c r="M137" s="15">
        <v>38</v>
      </c>
      <c r="N137" s="15">
        <v>295</v>
      </c>
      <c r="O137" s="40">
        <v>807</v>
      </c>
      <c r="P137" s="18">
        <f t="shared" si="0"/>
        <v>133</v>
      </c>
      <c r="Q137" s="18">
        <f t="shared" si="1"/>
        <v>133</v>
      </c>
      <c r="R137" s="18">
        <f t="shared" si="2"/>
        <v>1319</v>
      </c>
      <c r="S137" s="41">
        <v>300</v>
      </c>
      <c r="U137" s="42"/>
      <c r="V137" s="42"/>
    </row>
    <row r="138" spans="1:22" ht="14.4">
      <c r="A138" s="13">
        <v>30801</v>
      </c>
      <c r="B138" s="14" t="s">
        <v>153</v>
      </c>
      <c r="C138" s="15">
        <v>5960</v>
      </c>
      <c r="D138" s="15">
        <v>5575</v>
      </c>
      <c r="E138" s="15">
        <v>14</v>
      </c>
      <c r="F138" s="15">
        <v>2</v>
      </c>
      <c r="G138" s="15">
        <v>4</v>
      </c>
      <c r="H138" s="15">
        <v>365</v>
      </c>
      <c r="I138" s="15">
        <v>6338</v>
      </c>
      <c r="J138" s="15">
        <v>6152</v>
      </c>
      <c r="K138" s="15">
        <v>11</v>
      </c>
      <c r="L138" s="15">
        <v>10</v>
      </c>
      <c r="M138" s="15">
        <v>2</v>
      </c>
      <c r="N138" s="15">
        <v>163</v>
      </c>
      <c r="O138" s="40">
        <v>7512</v>
      </c>
      <c r="P138" s="18">
        <f t="shared" si="0"/>
        <v>-1360</v>
      </c>
      <c r="Q138" s="40" t="str">
        <f t="shared" si="1"/>
        <v/>
      </c>
      <c r="R138" s="18">
        <f t="shared" si="2"/>
        <v>7698</v>
      </c>
      <c r="S138" s="41">
        <v>547</v>
      </c>
      <c r="U138" s="42"/>
      <c r="V138" s="42"/>
    </row>
    <row r="139" spans="1:22" ht="14.4">
      <c r="A139" s="21">
        <v>30802</v>
      </c>
      <c r="B139" s="22" t="s">
        <v>154</v>
      </c>
      <c r="C139" s="15">
        <v>2061</v>
      </c>
      <c r="D139" s="15">
        <v>1785</v>
      </c>
      <c r="E139" s="15">
        <v>1</v>
      </c>
      <c r="F139" s="15">
        <v>3</v>
      </c>
      <c r="G139" s="15">
        <v>7</v>
      </c>
      <c r="H139" s="15">
        <v>265</v>
      </c>
      <c r="I139" s="15">
        <v>2572</v>
      </c>
      <c r="J139" s="15">
        <v>2204</v>
      </c>
      <c r="K139" s="15">
        <v>6</v>
      </c>
      <c r="L139" s="15">
        <v>15</v>
      </c>
      <c r="M139" s="15">
        <v>8</v>
      </c>
      <c r="N139" s="15">
        <v>339</v>
      </c>
      <c r="O139" s="40">
        <v>1911</v>
      </c>
      <c r="P139" s="18">
        <f t="shared" si="0"/>
        <v>293</v>
      </c>
      <c r="Q139" s="18">
        <f t="shared" si="1"/>
        <v>293</v>
      </c>
      <c r="R139" s="18">
        <f t="shared" si="2"/>
        <v>2572</v>
      </c>
      <c r="S139" s="41">
        <v>318</v>
      </c>
      <c r="U139" s="42"/>
      <c r="V139" s="42"/>
    </row>
    <row r="140" spans="1:22" ht="14.4">
      <c r="A140" s="13">
        <v>30803</v>
      </c>
      <c r="B140" s="14" t="s">
        <v>155</v>
      </c>
      <c r="C140" s="15">
        <v>1470</v>
      </c>
      <c r="D140" s="15">
        <v>1385</v>
      </c>
      <c r="E140" s="15">
        <v>0</v>
      </c>
      <c r="F140" s="15">
        <v>3</v>
      </c>
      <c r="G140" s="15">
        <v>2</v>
      </c>
      <c r="H140" s="15">
        <v>80</v>
      </c>
      <c r="I140" s="15">
        <v>2516</v>
      </c>
      <c r="J140" s="15">
        <v>1909</v>
      </c>
      <c r="K140" s="15">
        <v>13</v>
      </c>
      <c r="L140" s="15">
        <v>38</v>
      </c>
      <c r="M140" s="15">
        <v>11</v>
      </c>
      <c r="N140" s="15">
        <v>545</v>
      </c>
      <c r="O140" s="40">
        <v>2609</v>
      </c>
      <c r="P140" s="18">
        <f t="shared" si="0"/>
        <v>-700</v>
      </c>
      <c r="Q140" s="40" t="str">
        <f t="shared" si="1"/>
        <v/>
      </c>
      <c r="R140" s="18">
        <f t="shared" si="2"/>
        <v>3216</v>
      </c>
      <c r="S140" s="41">
        <v>476</v>
      </c>
      <c r="U140" s="42"/>
      <c r="V140" s="42"/>
    </row>
    <row r="141" spans="1:22" ht="14.4">
      <c r="A141" s="21">
        <v>30901</v>
      </c>
      <c r="B141" s="22" t="s">
        <v>156</v>
      </c>
      <c r="C141" s="15">
        <v>35931</v>
      </c>
      <c r="D141" s="15">
        <v>34446</v>
      </c>
      <c r="E141" s="15">
        <v>51</v>
      </c>
      <c r="F141" s="15">
        <v>57</v>
      </c>
      <c r="G141" s="15">
        <v>68</v>
      </c>
      <c r="H141" s="15">
        <v>1309</v>
      </c>
      <c r="I141" s="15">
        <v>49171</v>
      </c>
      <c r="J141" s="15">
        <v>47490</v>
      </c>
      <c r="K141" s="15">
        <v>137</v>
      </c>
      <c r="L141" s="15">
        <v>363</v>
      </c>
      <c r="M141" s="15">
        <v>103</v>
      </c>
      <c r="N141" s="15">
        <v>1078</v>
      </c>
      <c r="O141" s="40">
        <v>53736</v>
      </c>
      <c r="P141" s="18">
        <f t="shared" si="0"/>
        <v>-6246</v>
      </c>
      <c r="Q141" s="40" t="str">
        <f t="shared" si="1"/>
        <v/>
      </c>
      <c r="R141" s="18">
        <f t="shared" si="2"/>
        <v>55417</v>
      </c>
      <c r="S141" s="41">
        <v>890</v>
      </c>
      <c r="U141" s="42"/>
      <c r="V141" s="42"/>
    </row>
    <row r="142" spans="1:22" ht="14.4">
      <c r="A142" s="13">
        <v>30902</v>
      </c>
      <c r="B142" s="14" t="s">
        <v>157</v>
      </c>
      <c r="C142" s="15">
        <v>11603</v>
      </c>
      <c r="D142" s="15">
        <v>9847</v>
      </c>
      <c r="E142" s="15">
        <v>33</v>
      </c>
      <c r="F142" s="15">
        <v>20</v>
      </c>
      <c r="G142" s="15">
        <v>34</v>
      </c>
      <c r="H142" s="15">
        <v>1669</v>
      </c>
      <c r="I142" s="15">
        <v>17824</v>
      </c>
      <c r="J142" s="15">
        <v>16413</v>
      </c>
      <c r="K142" s="15">
        <v>38</v>
      </c>
      <c r="L142" s="15">
        <v>250</v>
      </c>
      <c r="M142" s="15">
        <v>43</v>
      </c>
      <c r="N142" s="15">
        <v>1080</v>
      </c>
      <c r="O142" s="40">
        <v>16199</v>
      </c>
      <c r="P142" s="18">
        <f t="shared" si="0"/>
        <v>214</v>
      </c>
      <c r="Q142" s="18">
        <f t="shared" si="1"/>
        <v>214</v>
      </c>
      <c r="R142" s="18">
        <f t="shared" si="2"/>
        <v>17824</v>
      </c>
      <c r="S142" s="41">
        <v>556</v>
      </c>
      <c r="U142" s="42"/>
      <c r="V142" s="42"/>
    </row>
    <row r="143" spans="1:22" ht="14.4">
      <c r="A143" s="21">
        <v>30903</v>
      </c>
      <c r="B143" s="22" t="s">
        <v>158</v>
      </c>
      <c r="C143" s="15">
        <v>13857</v>
      </c>
      <c r="D143" s="15">
        <v>12412</v>
      </c>
      <c r="E143" s="15">
        <v>51</v>
      </c>
      <c r="F143" s="15">
        <v>313</v>
      </c>
      <c r="G143" s="15">
        <v>50</v>
      </c>
      <c r="H143" s="15">
        <v>1031</v>
      </c>
      <c r="I143" s="15">
        <v>17932</v>
      </c>
      <c r="J143" s="15">
        <v>17051</v>
      </c>
      <c r="K143" s="15">
        <v>39</v>
      </c>
      <c r="L143" s="15">
        <v>322</v>
      </c>
      <c r="M143" s="15">
        <v>45</v>
      </c>
      <c r="N143" s="15">
        <v>475</v>
      </c>
      <c r="O143" s="40">
        <v>20812</v>
      </c>
      <c r="P143" s="18">
        <f t="shared" si="0"/>
        <v>-3761</v>
      </c>
      <c r="Q143" s="40" t="str">
        <f t="shared" si="1"/>
        <v/>
      </c>
      <c r="R143" s="18">
        <f t="shared" si="2"/>
        <v>21693</v>
      </c>
      <c r="S143" s="41">
        <v>1041</v>
      </c>
      <c r="U143" s="42"/>
      <c r="V143" s="42"/>
    </row>
    <row r="144" spans="1:22" ht="14.4">
      <c r="A144" s="13">
        <v>30904</v>
      </c>
      <c r="B144" s="14" t="s">
        <v>159</v>
      </c>
      <c r="C144" s="15">
        <v>14312</v>
      </c>
      <c r="D144" s="15">
        <v>12974</v>
      </c>
      <c r="E144" s="15">
        <v>14</v>
      </c>
      <c r="F144" s="15">
        <v>21</v>
      </c>
      <c r="G144" s="15">
        <v>22</v>
      </c>
      <c r="H144" s="15">
        <v>1281</v>
      </c>
      <c r="I144" s="15">
        <v>17058</v>
      </c>
      <c r="J144" s="15">
        <v>16448</v>
      </c>
      <c r="K144" s="15">
        <v>27</v>
      </c>
      <c r="L144" s="15">
        <v>100</v>
      </c>
      <c r="M144" s="15">
        <v>22</v>
      </c>
      <c r="N144" s="15">
        <v>461</v>
      </c>
      <c r="O144" s="40">
        <v>20596</v>
      </c>
      <c r="P144" s="18">
        <f t="shared" si="0"/>
        <v>-4148</v>
      </c>
      <c r="Q144" s="40" t="str">
        <f t="shared" si="1"/>
        <v/>
      </c>
      <c r="R144" s="18">
        <f t="shared" si="2"/>
        <v>21206</v>
      </c>
      <c r="S144" s="41">
        <v>652</v>
      </c>
      <c r="U144" s="42"/>
      <c r="V144" s="42"/>
    </row>
    <row r="145" spans="1:22" ht="14.4">
      <c r="A145" s="21">
        <v>30905</v>
      </c>
      <c r="B145" s="22" t="s">
        <v>160</v>
      </c>
      <c r="C145" s="15">
        <v>13514</v>
      </c>
      <c r="D145" s="15">
        <v>13401</v>
      </c>
      <c r="E145" s="15">
        <v>20</v>
      </c>
      <c r="F145" s="15">
        <v>3</v>
      </c>
      <c r="G145" s="15">
        <v>2</v>
      </c>
      <c r="H145" s="15">
        <v>88</v>
      </c>
      <c r="I145" s="15">
        <v>19190</v>
      </c>
      <c r="J145" s="15">
        <v>19000</v>
      </c>
      <c r="K145" s="15">
        <v>39</v>
      </c>
      <c r="L145" s="15">
        <v>48</v>
      </c>
      <c r="M145" s="15">
        <v>15</v>
      </c>
      <c r="N145" s="15">
        <v>88</v>
      </c>
      <c r="O145" s="40">
        <v>22161</v>
      </c>
      <c r="P145" s="18">
        <f t="shared" si="0"/>
        <v>-3161</v>
      </c>
      <c r="Q145" s="40" t="str">
        <f t="shared" si="1"/>
        <v/>
      </c>
      <c r="R145" s="18">
        <f t="shared" si="2"/>
        <v>22351</v>
      </c>
      <c r="S145" s="41">
        <v>1026</v>
      </c>
      <c r="U145" s="42"/>
      <c r="V145" s="42"/>
    </row>
    <row r="146" spans="1:22" ht="14.4">
      <c r="A146" s="13">
        <v>31001</v>
      </c>
      <c r="B146" s="14" t="s">
        <v>161</v>
      </c>
      <c r="C146" s="15">
        <v>47536</v>
      </c>
      <c r="D146" s="15">
        <v>42843</v>
      </c>
      <c r="E146" s="15">
        <v>128</v>
      </c>
      <c r="F146" s="15">
        <v>44</v>
      </c>
      <c r="G146" s="15">
        <v>171</v>
      </c>
      <c r="H146" s="15">
        <v>4350</v>
      </c>
      <c r="I146" s="15">
        <v>69313</v>
      </c>
      <c r="J146" s="15">
        <v>63868</v>
      </c>
      <c r="K146" s="15">
        <v>179</v>
      </c>
      <c r="L146" s="15">
        <v>378</v>
      </c>
      <c r="M146" s="15">
        <v>371</v>
      </c>
      <c r="N146" s="15">
        <v>4517</v>
      </c>
      <c r="O146" s="40">
        <v>66307</v>
      </c>
      <c r="P146" s="18">
        <f t="shared" si="0"/>
        <v>-2439</v>
      </c>
      <c r="Q146" s="40" t="str">
        <f t="shared" si="1"/>
        <v/>
      </c>
      <c r="R146" s="18">
        <f t="shared" si="2"/>
        <v>71752</v>
      </c>
      <c r="S146" s="41">
        <v>758</v>
      </c>
      <c r="U146" s="42"/>
      <c r="V146" s="42"/>
    </row>
    <row r="147" spans="1:22" ht="14.4">
      <c r="A147" s="21">
        <v>31002</v>
      </c>
      <c r="B147" s="22" t="s">
        <v>162</v>
      </c>
      <c r="C147" s="15">
        <v>6022</v>
      </c>
      <c r="D147" s="15">
        <v>3995</v>
      </c>
      <c r="E147" s="15">
        <v>32</v>
      </c>
      <c r="F147" s="15">
        <v>10</v>
      </c>
      <c r="G147" s="15">
        <v>59</v>
      </c>
      <c r="H147" s="15">
        <v>1926</v>
      </c>
      <c r="I147" s="15">
        <v>8493</v>
      </c>
      <c r="J147" s="15">
        <v>5661</v>
      </c>
      <c r="K147" s="15">
        <v>35</v>
      </c>
      <c r="L147" s="15">
        <v>244</v>
      </c>
      <c r="M147" s="15">
        <v>154</v>
      </c>
      <c r="N147" s="15">
        <v>2399</v>
      </c>
      <c r="O147" s="40">
        <v>6336</v>
      </c>
      <c r="P147" s="18">
        <f t="shared" si="0"/>
        <v>-675</v>
      </c>
      <c r="Q147" s="40" t="str">
        <f t="shared" si="1"/>
        <v/>
      </c>
      <c r="R147" s="18">
        <f t="shared" si="2"/>
        <v>9168</v>
      </c>
      <c r="S147" s="41">
        <v>284</v>
      </c>
      <c r="U147" s="42"/>
      <c r="V147" s="42"/>
    </row>
    <row r="148" spans="1:22" ht="14.4">
      <c r="A148" s="13">
        <v>31003</v>
      </c>
      <c r="B148" s="14" t="s">
        <v>163</v>
      </c>
      <c r="C148" s="15">
        <v>26725</v>
      </c>
      <c r="D148" s="15">
        <v>10645</v>
      </c>
      <c r="E148" s="15">
        <v>442</v>
      </c>
      <c r="F148" s="15">
        <v>300</v>
      </c>
      <c r="G148" s="15">
        <v>411</v>
      </c>
      <c r="H148" s="15">
        <v>14927</v>
      </c>
      <c r="I148" s="15">
        <v>41951</v>
      </c>
      <c r="J148" s="15">
        <v>25384</v>
      </c>
      <c r="K148" s="15">
        <v>145</v>
      </c>
      <c r="L148" s="15">
        <v>1053</v>
      </c>
      <c r="M148" s="15">
        <v>474</v>
      </c>
      <c r="N148" s="15">
        <v>14895</v>
      </c>
      <c r="O148" s="40">
        <v>28469</v>
      </c>
      <c r="P148" s="18">
        <f t="shared" si="0"/>
        <v>-3085</v>
      </c>
      <c r="Q148" s="40" t="str">
        <f t="shared" si="1"/>
        <v/>
      </c>
      <c r="R148" s="18">
        <f t="shared" si="2"/>
        <v>45036</v>
      </c>
      <c r="S148" s="41">
        <v>448</v>
      </c>
      <c r="U148" s="42"/>
      <c r="V148" s="42"/>
    </row>
    <row r="149" spans="1:22" ht="14.4">
      <c r="A149" s="21">
        <v>31101</v>
      </c>
      <c r="B149" s="22" t="s">
        <v>164</v>
      </c>
      <c r="C149" s="15">
        <v>8113</v>
      </c>
      <c r="D149" s="15">
        <v>2093</v>
      </c>
      <c r="E149" s="15">
        <v>29</v>
      </c>
      <c r="F149" s="15">
        <v>422</v>
      </c>
      <c r="G149" s="15">
        <v>209</v>
      </c>
      <c r="H149" s="15">
        <v>5360</v>
      </c>
      <c r="I149" s="15">
        <v>9638</v>
      </c>
      <c r="J149" s="15">
        <v>4471</v>
      </c>
      <c r="K149" s="15">
        <v>17</v>
      </c>
      <c r="L149" s="15">
        <v>745</v>
      </c>
      <c r="M149" s="15">
        <v>185</v>
      </c>
      <c r="N149" s="15">
        <v>4220</v>
      </c>
      <c r="O149" s="40">
        <v>3632</v>
      </c>
      <c r="P149" s="18">
        <f t="shared" si="0"/>
        <v>839</v>
      </c>
      <c r="Q149" s="18">
        <f t="shared" si="1"/>
        <v>839</v>
      </c>
      <c r="R149" s="18">
        <f t="shared" si="2"/>
        <v>9638</v>
      </c>
      <c r="S149" s="41">
        <v>62</v>
      </c>
      <c r="U149" s="42"/>
      <c r="V149" s="42"/>
    </row>
    <row r="150" spans="1:22" ht="14.4">
      <c r="A150" s="13">
        <v>31201</v>
      </c>
      <c r="B150" s="14" t="s">
        <v>165</v>
      </c>
      <c r="C150" s="15">
        <v>4729</v>
      </c>
      <c r="D150" s="15">
        <v>1520</v>
      </c>
      <c r="E150" s="15">
        <v>32</v>
      </c>
      <c r="F150" s="15">
        <v>448</v>
      </c>
      <c r="G150" s="15">
        <v>206</v>
      </c>
      <c r="H150" s="15">
        <v>2523</v>
      </c>
      <c r="I150" s="15">
        <v>5351</v>
      </c>
      <c r="J150" s="15">
        <v>2757</v>
      </c>
      <c r="K150" s="15">
        <v>8</v>
      </c>
      <c r="L150" s="15">
        <v>946</v>
      </c>
      <c r="M150" s="15">
        <v>58</v>
      </c>
      <c r="N150" s="15">
        <v>1582</v>
      </c>
      <c r="O150" s="40">
        <v>3859</v>
      </c>
      <c r="P150" s="18">
        <f t="shared" si="0"/>
        <v>-1102</v>
      </c>
      <c r="Q150" s="40" t="str">
        <f t="shared" si="1"/>
        <v/>
      </c>
      <c r="R150" s="18">
        <f t="shared" si="2"/>
        <v>6453</v>
      </c>
      <c r="S150" s="41">
        <v>172</v>
      </c>
      <c r="U150" s="42"/>
      <c r="V150" s="42"/>
    </row>
    <row r="151" spans="1:22" ht="14.4">
      <c r="A151" s="21">
        <v>31202</v>
      </c>
      <c r="B151" s="22" t="s">
        <v>166</v>
      </c>
      <c r="C151" s="15">
        <v>3003</v>
      </c>
      <c r="D151" s="15">
        <v>977</v>
      </c>
      <c r="E151" s="15">
        <v>18</v>
      </c>
      <c r="F151" s="15">
        <v>381</v>
      </c>
      <c r="G151" s="15">
        <v>150</v>
      </c>
      <c r="H151" s="15">
        <v>1477</v>
      </c>
      <c r="I151" s="15">
        <v>3705</v>
      </c>
      <c r="J151" s="15">
        <v>2047</v>
      </c>
      <c r="K151" s="15">
        <v>9</v>
      </c>
      <c r="L151" s="15">
        <v>296</v>
      </c>
      <c r="M151" s="15">
        <v>28</v>
      </c>
      <c r="N151" s="15">
        <v>1325</v>
      </c>
      <c r="O151" s="40">
        <v>2165</v>
      </c>
      <c r="P151" s="18">
        <f t="shared" si="0"/>
        <v>-118</v>
      </c>
      <c r="Q151" s="40" t="str">
        <f t="shared" si="1"/>
        <v/>
      </c>
      <c r="R151" s="18">
        <f t="shared" si="2"/>
        <v>3823</v>
      </c>
      <c r="S151" s="41">
        <v>293</v>
      </c>
      <c r="U151" s="42"/>
      <c r="V151" s="42"/>
    </row>
    <row r="152" spans="1:22" ht="14.4">
      <c r="A152" s="13">
        <v>31203</v>
      </c>
      <c r="B152" s="14" t="s">
        <v>167</v>
      </c>
      <c r="C152" s="15">
        <v>3544</v>
      </c>
      <c r="D152" s="15">
        <v>2301</v>
      </c>
      <c r="E152" s="15">
        <v>10</v>
      </c>
      <c r="F152" s="15">
        <v>113</v>
      </c>
      <c r="G152" s="15">
        <v>20</v>
      </c>
      <c r="H152" s="15">
        <v>1100</v>
      </c>
      <c r="I152" s="15">
        <v>4853</v>
      </c>
      <c r="J152" s="15">
        <v>3471</v>
      </c>
      <c r="K152" s="15">
        <v>14</v>
      </c>
      <c r="L152" s="15">
        <v>232</v>
      </c>
      <c r="M152" s="15">
        <v>45</v>
      </c>
      <c r="N152" s="15">
        <v>1091</v>
      </c>
      <c r="O152" s="40">
        <v>3371</v>
      </c>
      <c r="P152" s="18">
        <f t="shared" si="0"/>
        <v>100</v>
      </c>
      <c r="Q152" s="18">
        <f t="shared" si="1"/>
        <v>100</v>
      </c>
      <c r="R152" s="18">
        <f t="shared" si="2"/>
        <v>4853</v>
      </c>
      <c r="S152" s="41">
        <v>187</v>
      </c>
      <c r="U152" s="42"/>
      <c r="V152" s="42"/>
    </row>
    <row r="153" spans="1:22" ht="14.4">
      <c r="A153" s="21">
        <v>31204</v>
      </c>
      <c r="B153" s="22" t="s">
        <v>168</v>
      </c>
      <c r="C153" s="15">
        <v>7263</v>
      </c>
      <c r="D153" s="15">
        <v>3606</v>
      </c>
      <c r="E153" s="15">
        <v>205</v>
      </c>
      <c r="F153" s="15">
        <v>99</v>
      </c>
      <c r="G153" s="15">
        <v>78</v>
      </c>
      <c r="H153" s="15">
        <v>3275</v>
      </c>
      <c r="I153" s="15">
        <v>10557</v>
      </c>
      <c r="J153" s="15">
        <v>7001</v>
      </c>
      <c r="K153" s="15">
        <v>158</v>
      </c>
      <c r="L153" s="15">
        <v>166</v>
      </c>
      <c r="M153" s="15">
        <v>68</v>
      </c>
      <c r="N153" s="15">
        <v>3164</v>
      </c>
      <c r="O153" s="40">
        <v>8458</v>
      </c>
      <c r="P153" s="18">
        <f t="shared" si="0"/>
        <v>-1457</v>
      </c>
      <c r="Q153" s="40" t="str">
        <f t="shared" si="1"/>
        <v/>
      </c>
      <c r="R153" s="18">
        <f t="shared" si="2"/>
        <v>12014</v>
      </c>
      <c r="S153" s="41">
        <v>528</v>
      </c>
      <c r="U153" s="42"/>
      <c r="V153" s="42"/>
    </row>
    <row r="154" spans="1:22" ht="14.4">
      <c r="A154" s="13">
        <v>31205</v>
      </c>
      <c r="B154" s="14" t="s">
        <v>169</v>
      </c>
      <c r="C154" s="15">
        <v>16951</v>
      </c>
      <c r="D154" s="15">
        <v>9234</v>
      </c>
      <c r="E154" s="15">
        <v>179</v>
      </c>
      <c r="F154" s="15">
        <v>72</v>
      </c>
      <c r="G154" s="15">
        <v>174</v>
      </c>
      <c r="H154" s="15">
        <v>7292</v>
      </c>
      <c r="I154" s="15">
        <v>25497</v>
      </c>
      <c r="J154" s="15">
        <v>18442</v>
      </c>
      <c r="K154" s="15">
        <v>78</v>
      </c>
      <c r="L154" s="15">
        <v>183</v>
      </c>
      <c r="M154" s="15">
        <v>155</v>
      </c>
      <c r="N154" s="15">
        <v>6639</v>
      </c>
      <c r="O154" s="40">
        <v>16305</v>
      </c>
      <c r="P154" s="18">
        <f t="shared" si="0"/>
        <v>2137</v>
      </c>
      <c r="Q154" s="18">
        <f t="shared" si="1"/>
        <v>2137</v>
      </c>
      <c r="R154" s="18">
        <f t="shared" si="2"/>
        <v>25497</v>
      </c>
      <c r="S154" s="41">
        <v>617</v>
      </c>
      <c r="U154" s="42"/>
      <c r="V154" s="42"/>
    </row>
    <row r="155" spans="1:22" ht="14.4">
      <c r="A155" s="21">
        <v>31206</v>
      </c>
      <c r="B155" s="22" t="s">
        <v>170</v>
      </c>
      <c r="C155" s="15">
        <v>12475</v>
      </c>
      <c r="D155" s="15">
        <v>6067</v>
      </c>
      <c r="E155" s="15">
        <v>104</v>
      </c>
      <c r="F155" s="15">
        <v>66</v>
      </c>
      <c r="G155" s="15">
        <v>259</v>
      </c>
      <c r="H155" s="15">
        <v>5979</v>
      </c>
      <c r="I155" s="15">
        <v>18178</v>
      </c>
      <c r="J155" s="15">
        <v>12643</v>
      </c>
      <c r="K155" s="15">
        <v>56</v>
      </c>
      <c r="L155" s="15">
        <v>121</v>
      </c>
      <c r="M155" s="15">
        <v>103</v>
      </c>
      <c r="N155" s="15">
        <v>5255</v>
      </c>
      <c r="O155" s="40">
        <v>11618</v>
      </c>
      <c r="P155" s="18">
        <f t="shared" si="0"/>
        <v>1025</v>
      </c>
      <c r="Q155" s="18">
        <f t="shared" si="1"/>
        <v>1025</v>
      </c>
      <c r="R155" s="18">
        <f t="shared" si="2"/>
        <v>18178</v>
      </c>
      <c r="S155" s="41">
        <v>710</v>
      </c>
      <c r="U155" s="42"/>
      <c r="V155" s="42"/>
    </row>
    <row r="156" spans="1:22" ht="14.4">
      <c r="A156" s="13">
        <v>31301</v>
      </c>
      <c r="B156" s="14" t="s">
        <v>171</v>
      </c>
      <c r="C156" s="15">
        <v>5920</v>
      </c>
      <c r="D156" s="15">
        <v>3525</v>
      </c>
      <c r="E156" s="15">
        <v>26</v>
      </c>
      <c r="F156" s="15">
        <v>61</v>
      </c>
      <c r="G156" s="15">
        <v>129</v>
      </c>
      <c r="H156" s="15">
        <v>2179</v>
      </c>
      <c r="I156" s="15">
        <v>6879</v>
      </c>
      <c r="J156" s="15">
        <v>4929</v>
      </c>
      <c r="K156" s="15">
        <v>16</v>
      </c>
      <c r="L156" s="15">
        <v>483</v>
      </c>
      <c r="M156" s="15">
        <v>45</v>
      </c>
      <c r="N156" s="15">
        <v>1406</v>
      </c>
      <c r="O156" s="40">
        <v>5171</v>
      </c>
      <c r="P156" s="18">
        <f t="shared" si="0"/>
        <v>-242</v>
      </c>
      <c r="Q156" s="40" t="str">
        <f t="shared" si="1"/>
        <v/>
      </c>
      <c r="R156" s="18">
        <f t="shared" si="2"/>
        <v>7121</v>
      </c>
      <c r="S156" s="41">
        <v>454</v>
      </c>
      <c r="U156" s="42"/>
      <c r="V156" s="42"/>
    </row>
    <row r="157" spans="1:22" ht="14.4">
      <c r="A157" s="21">
        <v>31302</v>
      </c>
      <c r="B157" s="22" t="s">
        <v>172</v>
      </c>
      <c r="C157" s="15">
        <v>1540</v>
      </c>
      <c r="D157" s="15">
        <v>342</v>
      </c>
      <c r="E157" s="15">
        <v>23</v>
      </c>
      <c r="F157" s="15">
        <v>10</v>
      </c>
      <c r="G157" s="15">
        <v>16</v>
      </c>
      <c r="H157" s="15">
        <v>1149</v>
      </c>
      <c r="I157" s="15">
        <v>1867</v>
      </c>
      <c r="J157" s="15">
        <v>685</v>
      </c>
      <c r="K157" s="15">
        <v>1</v>
      </c>
      <c r="L157" s="15">
        <v>264</v>
      </c>
      <c r="M157" s="15">
        <v>5</v>
      </c>
      <c r="N157" s="15">
        <v>912</v>
      </c>
      <c r="O157" s="40">
        <v>527</v>
      </c>
      <c r="P157" s="18">
        <f t="shared" si="0"/>
        <v>158</v>
      </c>
      <c r="Q157" s="18">
        <f t="shared" si="1"/>
        <v>158</v>
      </c>
      <c r="R157" s="18">
        <f t="shared" si="2"/>
        <v>1867</v>
      </c>
      <c r="S157" s="41">
        <v>118</v>
      </c>
      <c r="U157" s="42"/>
      <c r="V157" s="42"/>
    </row>
    <row r="158" spans="1:22" ht="14.4">
      <c r="A158" s="13">
        <v>31303</v>
      </c>
      <c r="B158" s="14" t="s">
        <v>173</v>
      </c>
      <c r="C158" s="15">
        <v>1122</v>
      </c>
      <c r="D158" s="15">
        <v>133</v>
      </c>
      <c r="E158" s="15">
        <v>6</v>
      </c>
      <c r="F158" s="15">
        <v>5</v>
      </c>
      <c r="G158" s="15">
        <v>7</v>
      </c>
      <c r="H158" s="15">
        <v>971</v>
      </c>
      <c r="I158" s="15">
        <v>1278</v>
      </c>
      <c r="J158" s="15">
        <v>368</v>
      </c>
      <c r="K158" s="15">
        <v>6</v>
      </c>
      <c r="L158" s="15">
        <v>200</v>
      </c>
      <c r="M158" s="15">
        <v>43</v>
      </c>
      <c r="N158" s="15">
        <v>661</v>
      </c>
      <c r="O158" s="40">
        <v>325</v>
      </c>
      <c r="P158" s="18">
        <f t="shared" si="0"/>
        <v>43</v>
      </c>
      <c r="Q158" s="18">
        <f t="shared" si="1"/>
        <v>43</v>
      </c>
      <c r="R158" s="18">
        <f t="shared" si="2"/>
        <v>1278</v>
      </c>
      <c r="S158" s="41">
        <v>54</v>
      </c>
      <c r="U158" s="42"/>
      <c r="V158" s="42"/>
    </row>
    <row r="159" spans="1:22" ht="14.4">
      <c r="A159" s="21">
        <v>31304</v>
      </c>
      <c r="B159" s="22" t="s">
        <v>174</v>
      </c>
      <c r="C159" s="15">
        <v>1991</v>
      </c>
      <c r="D159" s="15">
        <v>376</v>
      </c>
      <c r="E159" s="15">
        <v>46</v>
      </c>
      <c r="F159" s="15">
        <v>16</v>
      </c>
      <c r="G159" s="15">
        <v>50</v>
      </c>
      <c r="H159" s="15">
        <v>1503</v>
      </c>
      <c r="I159" s="15">
        <v>2644</v>
      </c>
      <c r="J159" s="15">
        <v>811</v>
      </c>
      <c r="K159" s="15">
        <v>4</v>
      </c>
      <c r="L159" s="15">
        <v>195</v>
      </c>
      <c r="M159" s="15">
        <v>76</v>
      </c>
      <c r="N159" s="15">
        <v>1558</v>
      </c>
      <c r="O159" s="40">
        <v>0</v>
      </c>
      <c r="P159" s="18">
        <f t="shared" si="0"/>
        <v>811</v>
      </c>
      <c r="Q159" s="18">
        <f t="shared" si="1"/>
        <v>811</v>
      </c>
      <c r="R159" s="18">
        <f t="shared" si="2"/>
        <v>2644</v>
      </c>
      <c r="S159" s="41">
        <v>0</v>
      </c>
      <c r="U159" s="42"/>
      <c r="V159" s="42"/>
    </row>
    <row r="160" spans="1:22" ht="14.4">
      <c r="A160" s="13">
        <v>31401</v>
      </c>
      <c r="B160" s="14" t="s">
        <v>175</v>
      </c>
      <c r="C160" s="15">
        <v>8784</v>
      </c>
      <c r="D160" s="15">
        <v>8346</v>
      </c>
      <c r="E160" s="15">
        <v>15</v>
      </c>
      <c r="F160" s="15">
        <v>5</v>
      </c>
      <c r="G160" s="15">
        <v>10</v>
      </c>
      <c r="H160" s="15">
        <v>408</v>
      </c>
      <c r="I160" s="15">
        <v>11318</v>
      </c>
      <c r="J160" s="15">
        <v>10961</v>
      </c>
      <c r="K160" s="15">
        <v>15</v>
      </c>
      <c r="L160" s="15">
        <v>21</v>
      </c>
      <c r="M160" s="15">
        <v>9</v>
      </c>
      <c r="N160" s="15">
        <v>312</v>
      </c>
      <c r="O160" s="40">
        <v>11895</v>
      </c>
      <c r="P160" s="18">
        <f t="shared" si="0"/>
        <v>-934</v>
      </c>
      <c r="Q160" s="40" t="str">
        <f t="shared" si="1"/>
        <v/>
      </c>
      <c r="R160" s="18">
        <f t="shared" si="2"/>
        <v>12252</v>
      </c>
      <c r="S160" s="41">
        <v>544</v>
      </c>
      <c r="U160" s="42"/>
      <c r="V160" s="42"/>
    </row>
    <row r="161" spans="1:22" ht="14.4">
      <c r="A161" s="21">
        <v>31402</v>
      </c>
      <c r="B161" s="22" t="s">
        <v>176</v>
      </c>
      <c r="C161" s="15">
        <v>3042</v>
      </c>
      <c r="D161" s="15">
        <v>2618</v>
      </c>
      <c r="E161" s="15">
        <v>5</v>
      </c>
      <c r="F161" s="15">
        <v>3</v>
      </c>
      <c r="G161" s="15">
        <v>9</v>
      </c>
      <c r="H161" s="15">
        <v>407</v>
      </c>
      <c r="I161" s="15">
        <v>3262</v>
      </c>
      <c r="J161" s="15">
        <v>2883</v>
      </c>
      <c r="K161" s="15">
        <v>5</v>
      </c>
      <c r="L161" s="15">
        <v>13</v>
      </c>
      <c r="M161" s="15">
        <v>5</v>
      </c>
      <c r="N161" s="15">
        <v>356</v>
      </c>
      <c r="O161" s="40">
        <v>3151</v>
      </c>
      <c r="P161" s="18">
        <f t="shared" si="0"/>
        <v>-268</v>
      </c>
      <c r="Q161" s="40" t="str">
        <f t="shared" si="1"/>
        <v/>
      </c>
      <c r="R161" s="18">
        <f t="shared" si="2"/>
        <v>3530</v>
      </c>
      <c r="S161" s="41">
        <v>256</v>
      </c>
      <c r="U161" s="42"/>
      <c r="V161" s="42"/>
    </row>
    <row r="162" spans="1:22" ht="14.4">
      <c r="A162" s="13">
        <v>31403</v>
      </c>
      <c r="B162" s="14" t="s">
        <v>177</v>
      </c>
      <c r="C162" s="15">
        <v>3924</v>
      </c>
      <c r="D162" s="15">
        <v>3523</v>
      </c>
      <c r="E162" s="15">
        <v>2</v>
      </c>
      <c r="F162" s="15">
        <v>2</v>
      </c>
      <c r="G162" s="15">
        <v>17</v>
      </c>
      <c r="H162" s="15">
        <v>380</v>
      </c>
      <c r="I162" s="15">
        <v>4327</v>
      </c>
      <c r="J162" s="15">
        <v>4100</v>
      </c>
      <c r="K162" s="15">
        <v>14</v>
      </c>
      <c r="L162" s="15">
        <v>9</v>
      </c>
      <c r="M162" s="15">
        <v>10</v>
      </c>
      <c r="N162" s="15">
        <v>194</v>
      </c>
      <c r="O162" s="40">
        <v>5365</v>
      </c>
      <c r="P162" s="18">
        <f t="shared" si="0"/>
        <v>-1265</v>
      </c>
      <c r="Q162" s="40" t="str">
        <f t="shared" si="1"/>
        <v/>
      </c>
      <c r="R162" s="18">
        <f t="shared" si="2"/>
        <v>5592</v>
      </c>
      <c r="S162" s="41">
        <v>485</v>
      </c>
      <c r="U162" s="42"/>
      <c r="V162" s="42"/>
    </row>
    <row r="163" spans="1:22" ht="14.4">
      <c r="A163" s="21">
        <v>31404</v>
      </c>
      <c r="B163" s="22" t="s">
        <v>178</v>
      </c>
      <c r="C163" s="15">
        <v>359</v>
      </c>
      <c r="D163" s="15">
        <v>311</v>
      </c>
      <c r="E163" s="15">
        <v>0</v>
      </c>
      <c r="F163" s="15">
        <v>2</v>
      </c>
      <c r="G163" s="15">
        <v>2</v>
      </c>
      <c r="H163" s="15">
        <v>44</v>
      </c>
      <c r="I163" s="15">
        <v>485</v>
      </c>
      <c r="J163" s="15">
        <v>444</v>
      </c>
      <c r="K163" s="15">
        <v>4</v>
      </c>
      <c r="L163" s="15">
        <v>4</v>
      </c>
      <c r="M163" s="15">
        <v>0</v>
      </c>
      <c r="N163" s="15">
        <v>33</v>
      </c>
      <c r="O163" s="40">
        <v>378</v>
      </c>
      <c r="P163" s="18">
        <f t="shared" si="0"/>
        <v>66</v>
      </c>
      <c r="Q163" s="18">
        <f t="shared" si="1"/>
        <v>66</v>
      </c>
      <c r="R163" s="18">
        <f t="shared" si="2"/>
        <v>485</v>
      </c>
      <c r="S163" s="41">
        <v>231.5</v>
      </c>
      <c r="U163" s="42"/>
      <c r="V163" s="42"/>
    </row>
    <row r="164" spans="1:22" ht="14.4">
      <c r="A164" s="13">
        <v>31405</v>
      </c>
      <c r="B164" s="14" t="s">
        <v>179</v>
      </c>
      <c r="C164" s="15">
        <v>701</v>
      </c>
      <c r="D164" s="15">
        <v>398</v>
      </c>
      <c r="E164" s="15">
        <v>4</v>
      </c>
      <c r="F164" s="15">
        <v>1</v>
      </c>
      <c r="G164" s="15">
        <v>2</v>
      </c>
      <c r="H164" s="15">
        <v>296</v>
      </c>
      <c r="I164" s="15">
        <v>1057</v>
      </c>
      <c r="J164" s="15">
        <v>756</v>
      </c>
      <c r="K164" s="15">
        <v>6</v>
      </c>
      <c r="L164" s="15">
        <v>12</v>
      </c>
      <c r="M164" s="15">
        <v>2</v>
      </c>
      <c r="N164" s="15">
        <v>281</v>
      </c>
      <c r="O164" s="40">
        <v>0</v>
      </c>
      <c r="P164" s="18">
        <f t="shared" si="0"/>
        <v>756</v>
      </c>
      <c r="Q164" s="18">
        <f t="shared" si="1"/>
        <v>756</v>
      </c>
      <c r="R164" s="18">
        <f t="shared" si="2"/>
        <v>1057</v>
      </c>
      <c r="S164" s="41">
        <v>0</v>
      </c>
      <c r="U164" s="42"/>
      <c r="V164" s="42"/>
    </row>
    <row r="165" spans="1:22" ht="14.4">
      <c r="A165" s="21">
        <v>31501</v>
      </c>
      <c r="B165" s="22" t="s">
        <v>180</v>
      </c>
      <c r="C165" s="15">
        <v>2366</v>
      </c>
      <c r="D165" s="15">
        <v>1115</v>
      </c>
      <c r="E165" s="15">
        <v>3</v>
      </c>
      <c r="F165" s="15">
        <v>5</v>
      </c>
      <c r="G165" s="15">
        <v>33</v>
      </c>
      <c r="H165" s="15">
        <v>1210</v>
      </c>
      <c r="I165" s="15">
        <v>3211</v>
      </c>
      <c r="J165" s="15">
        <v>1948</v>
      </c>
      <c r="K165" s="15">
        <v>2</v>
      </c>
      <c r="L165" s="15">
        <v>146</v>
      </c>
      <c r="M165" s="15">
        <v>74</v>
      </c>
      <c r="N165" s="15">
        <v>1041</v>
      </c>
      <c r="O165" s="40">
        <v>1333</v>
      </c>
      <c r="P165" s="18">
        <f t="shared" si="0"/>
        <v>615</v>
      </c>
      <c r="Q165" s="18">
        <f t="shared" si="1"/>
        <v>615</v>
      </c>
      <c r="R165" s="18">
        <f t="shared" si="2"/>
        <v>3211</v>
      </c>
      <c r="S165" s="41">
        <v>54</v>
      </c>
      <c r="U165" s="42"/>
      <c r="V165" s="42"/>
    </row>
    <row r="166" spans="1:22" ht="14.4">
      <c r="A166" s="13">
        <v>31601</v>
      </c>
      <c r="B166" s="14" t="s">
        <v>181</v>
      </c>
      <c r="C166" s="15">
        <v>6496</v>
      </c>
      <c r="D166" s="15">
        <v>4684</v>
      </c>
      <c r="E166" s="15">
        <v>20</v>
      </c>
      <c r="F166" s="15">
        <v>12</v>
      </c>
      <c r="G166" s="15">
        <v>46</v>
      </c>
      <c r="H166" s="15">
        <v>1734</v>
      </c>
      <c r="I166" s="15">
        <v>6678</v>
      </c>
      <c r="J166" s="15">
        <v>5258</v>
      </c>
      <c r="K166" s="15">
        <v>14</v>
      </c>
      <c r="L166" s="15">
        <v>80</v>
      </c>
      <c r="M166" s="15">
        <v>21</v>
      </c>
      <c r="N166" s="15">
        <v>1305</v>
      </c>
      <c r="O166" s="40">
        <v>5787</v>
      </c>
      <c r="P166" s="18">
        <f t="shared" si="0"/>
        <v>-529</v>
      </c>
      <c r="Q166" s="40" t="str">
        <f t="shared" si="1"/>
        <v/>
      </c>
      <c r="R166" s="18">
        <f t="shared" si="2"/>
        <v>7207</v>
      </c>
      <c r="S166" s="41">
        <v>197</v>
      </c>
      <c r="U166" s="42"/>
      <c r="V166" s="42"/>
    </row>
    <row r="167" spans="1:22" ht="14.4">
      <c r="A167" s="21">
        <v>31602</v>
      </c>
      <c r="B167" s="22" t="s">
        <v>182</v>
      </c>
      <c r="C167" s="15">
        <v>7611</v>
      </c>
      <c r="D167" s="15">
        <v>3898</v>
      </c>
      <c r="E167" s="15">
        <v>59</v>
      </c>
      <c r="F167" s="15">
        <v>15</v>
      </c>
      <c r="G167" s="15">
        <v>120</v>
      </c>
      <c r="H167" s="15">
        <v>3519</v>
      </c>
      <c r="I167" s="15">
        <v>10431</v>
      </c>
      <c r="J167" s="15">
        <v>7156</v>
      </c>
      <c r="K167" s="15">
        <v>29</v>
      </c>
      <c r="L167" s="15">
        <v>135</v>
      </c>
      <c r="M167" s="15">
        <v>53</v>
      </c>
      <c r="N167" s="15">
        <v>3058</v>
      </c>
      <c r="O167" s="40">
        <v>6532</v>
      </c>
      <c r="P167" s="18">
        <f t="shared" si="0"/>
        <v>624</v>
      </c>
      <c r="Q167" s="18">
        <f t="shared" si="1"/>
        <v>624</v>
      </c>
      <c r="R167" s="18">
        <f t="shared" si="2"/>
        <v>10431</v>
      </c>
      <c r="S167" s="41">
        <v>765</v>
      </c>
      <c r="U167" s="42"/>
      <c r="V167" s="42"/>
    </row>
    <row r="168" spans="1:22" ht="14.4">
      <c r="A168" s="13">
        <v>40101</v>
      </c>
      <c r="B168" s="14" t="s">
        <v>183</v>
      </c>
      <c r="C168" s="15">
        <v>76724</v>
      </c>
      <c r="D168" s="15">
        <v>71178</v>
      </c>
      <c r="E168" s="15">
        <v>142</v>
      </c>
      <c r="F168" s="15">
        <v>17</v>
      </c>
      <c r="G168" s="15">
        <v>194</v>
      </c>
      <c r="H168" s="15">
        <v>5193</v>
      </c>
      <c r="I168" s="15">
        <v>96123</v>
      </c>
      <c r="J168" s="15">
        <v>92957</v>
      </c>
      <c r="K168" s="15">
        <v>344</v>
      </c>
      <c r="L168" s="15">
        <v>153</v>
      </c>
      <c r="M168" s="15">
        <v>287</v>
      </c>
      <c r="N168" s="15">
        <v>2382</v>
      </c>
      <c r="O168" s="40">
        <v>109265</v>
      </c>
      <c r="P168" s="18">
        <f t="shared" si="0"/>
        <v>-16308</v>
      </c>
      <c r="Q168" s="40" t="str">
        <f t="shared" si="1"/>
        <v/>
      </c>
      <c r="R168" s="18">
        <f t="shared" si="2"/>
        <v>112431</v>
      </c>
      <c r="S168" s="41">
        <v>609</v>
      </c>
      <c r="U168" s="42"/>
      <c r="V168" s="42"/>
    </row>
    <row r="169" spans="1:22" ht="14.4">
      <c r="A169" s="21">
        <v>40102</v>
      </c>
      <c r="B169" s="22" t="s">
        <v>184</v>
      </c>
      <c r="C169" s="15">
        <v>6690</v>
      </c>
      <c r="D169" s="15">
        <v>4658</v>
      </c>
      <c r="E169" s="15">
        <v>9</v>
      </c>
      <c r="F169" s="15">
        <v>49</v>
      </c>
      <c r="G169" s="15">
        <v>18</v>
      </c>
      <c r="H169" s="15">
        <v>1956</v>
      </c>
      <c r="I169" s="15">
        <v>7972</v>
      </c>
      <c r="J169" s="15">
        <v>6673</v>
      </c>
      <c r="K169" s="15">
        <v>34</v>
      </c>
      <c r="L169" s="15">
        <v>57</v>
      </c>
      <c r="M169" s="15">
        <v>54</v>
      </c>
      <c r="N169" s="15">
        <v>1154</v>
      </c>
      <c r="O169" s="40">
        <v>5754</v>
      </c>
      <c r="P169" s="18">
        <f t="shared" si="0"/>
        <v>919</v>
      </c>
      <c r="Q169" s="18">
        <f t="shared" si="1"/>
        <v>919</v>
      </c>
      <c r="R169" s="18">
        <f t="shared" si="2"/>
        <v>7972</v>
      </c>
      <c r="S169" s="41">
        <v>152</v>
      </c>
      <c r="U169" s="42"/>
      <c r="V169" s="42"/>
    </row>
    <row r="170" spans="1:22" ht="14.4">
      <c r="A170" s="13">
        <v>40103</v>
      </c>
      <c r="B170" s="14" t="s">
        <v>185</v>
      </c>
      <c r="C170" s="15">
        <v>3261</v>
      </c>
      <c r="D170" s="15">
        <v>336</v>
      </c>
      <c r="E170" s="15">
        <v>12</v>
      </c>
      <c r="F170" s="15">
        <v>180</v>
      </c>
      <c r="G170" s="15">
        <v>106</v>
      </c>
      <c r="H170" s="15">
        <v>2627</v>
      </c>
      <c r="I170" s="15">
        <v>3844</v>
      </c>
      <c r="J170" s="15">
        <v>740</v>
      </c>
      <c r="K170" s="15">
        <v>12</v>
      </c>
      <c r="L170" s="15">
        <v>373</v>
      </c>
      <c r="M170" s="15">
        <v>121</v>
      </c>
      <c r="N170" s="15">
        <v>2598</v>
      </c>
      <c r="O170" s="40">
        <v>627</v>
      </c>
      <c r="P170" s="18">
        <f t="shared" si="0"/>
        <v>113</v>
      </c>
      <c r="Q170" s="18">
        <f t="shared" si="1"/>
        <v>113</v>
      </c>
      <c r="R170" s="18">
        <f t="shared" si="2"/>
        <v>3844</v>
      </c>
      <c r="S170" s="41">
        <v>80</v>
      </c>
      <c r="U170" s="42"/>
      <c r="V170" s="42"/>
    </row>
    <row r="171" spans="1:22" ht="14.4">
      <c r="A171" s="21">
        <v>40104</v>
      </c>
      <c r="B171" s="22" t="s">
        <v>186</v>
      </c>
      <c r="C171" s="15">
        <v>3460</v>
      </c>
      <c r="D171" s="15">
        <v>2427</v>
      </c>
      <c r="E171" s="15">
        <v>20</v>
      </c>
      <c r="F171" s="15">
        <v>133</v>
      </c>
      <c r="G171" s="15">
        <v>61</v>
      </c>
      <c r="H171" s="15">
        <v>819</v>
      </c>
      <c r="I171" s="15">
        <v>5464</v>
      </c>
      <c r="J171" s="15">
        <v>4467</v>
      </c>
      <c r="K171" s="15">
        <v>22</v>
      </c>
      <c r="L171" s="15">
        <v>93</v>
      </c>
      <c r="M171" s="15">
        <v>39</v>
      </c>
      <c r="N171" s="15">
        <v>843</v>
      </c>
      <c r="O171" s="40">
        <v>803</v>
      </c>
      <c r="P171" s="18">
        <f t="shared" si="0"/>
        <v>3664</v>
      </c>
      <c r="Q171" s="18">
        <f t="shared" si="1"/>
        <v>3664</v>
      </c>
      <c r="R171" s="18">
        <f t="shared" si="2"/>
        <v>5464</v>
      </c>
      <c r="S171" s="41">
        <v>184</v>
      </c>
      <c r="U171" s="42"/>
      <c r="V171" s="42"/>
    </row>
    <row r="172" spans="1:22" ht="14.4">
      <c r="A172" s="13">
        <v>40201</v>
      </c>
      <c r="B172" s="14" t="s">
        <v>187</v>
      </c>
      <c r="C172" s="15">
        <v>9873</v>
      </c>
      <c r="D172" s="15">
        <v>6361</v>
      </c>
      <c r="E172" s="15">
        <v>15</v>
      </c>
      <c r="F172" s="15">
        <v>94</v>
      </c>
      <c r="G172" s="15">
        <v>115</v>
      </c>
      <c r="H172" s="15">
        <v>3288</v>
      </c>
      <c r="I172" s="15">
        <v>13543</v>
      </c>
      <c r="J172" s="15">
        <v>10703</v>
      </c>
      <c r="K172" s="15">
        <v>31</v>
      </c>
      <c r="L172" s="15">
        <v>106</v>
      </c>
      <c r="M172" s="15">
        <v>125</v>
      </c>
      <c r="N172" s="15">
        <v>2578</v>
      </c>
      <c r="O172" s="40">
        <v>9973</v>
      </c>
      <c r="P172" s="18">
        <f t="shared" si="0"/>
        <v>730</v>
      </c>
      <c r="Q172" s="18">
        <f t="shared" si="1"/>
        <v>730</v>
      </c>
      <c r="R172" s="18">
        <f t="shared" si="2"/>
        <v>13543</v>
      </c>
      <c r="S172" s="41">
        <v>196</v>
      </c>
      <c r="U172" s="42"/>
      <c r="V172" s="42"/>
    </row>
    <row r="173" spans="1:22" ht="14.4">
      <c r="A173" s="21">
        <v>40202</v>
      </c>
      <c r="B173" s="22" t="s">
        <v>188</v>
      </c>
      <c r="C173" s="15">
        <v>1555</v>
      </c>
      <c r="D173" s="15">
        <v>846</v>
      </c>
      <c r="E173" s="15">
        <v>2</v>
      </c>
      <c r="F173" s="15">
        <v>110</v>
      </c>
      <c r="G173" s="15">
        <v>19</v>
      </c>
      <c r="H173" s="15">
        <v>578</v>
      </c>
      <c r="I173" s="15">
        <v>2326</v>
      </c>
      <c r="J173" s="15">
        <v>1360</v>
      </c>
      <c r="K173" s="15">
        <v>16</v>
      </c>
      <c r="L173" s="15">
        <v>156</v>
      </c>
      <c r="M173" s="15">
        <v>35</v>
      </c>
      <c r="N173" s="15">
        <v>759</v>
      </c>
      <c r="O173" s="40">
        <v>442</v>
      </c>
      <c r="P173" s="18">
        <f t="shared" si="0"/>
        <v>918</v>
      </c>
      <c r="Q173" s="18">
        <f t="shared" si="1"/>
        <v>918</v>
      </c>
      <c r="R173" s="18">
        <f t="shared" si="2"/>
        <v>2326</v>
      </c>
      <c r="S173" s="41">
        <v>77.5</v>
      </c>
      <c r="U173" s="42"/>
      <c r="V173" s="42"/>
    </row>
    <row r="174" spans="1:22" ht="14.4">
      <c r="A174" s="13">
        <v>40301</v>
      </c>
      <c r="B174" s="14" t="s">
        <v>189</v>
      </c>
      <c r="C174" s="15">
        <v>3172</v>
      </c>
      <c r="D174" s="15">
        <v>877</v>
      </c>
      <c r="E174" s="15">
        <v>3</v>
      </c>
      <c r="F174" s="15">
        <v>466</v>
      </c>
      <c r="G174" s="15">
        <v>183</v>
      </c>
      <c r="H174" s="15">
        <v>1643</v>
      </c>
      <c r="I174" s="15">
        <v>4667</v>
      </c>
      <c r="J174" s="15">
        <v>2769</v>
      </c>
      <c r="K174" s="15">
        <v>12</v>
      </c>
      <c r="L174" s="15">
        <v>374</v>
      </c>
      <c r="M174" s="15">
        <v>61</v>
      </c>
      <c r="N174" s="15">
        <v>1451</v>
      </c>
      <c r="O174" s="40">
        <v>2306</v>
      </c>
      <c r="P174" s="18">
        <f t="shared" si="0"/>
        <v>463</v>
      </c>
      <c r="Q174" s="18">
        <f t="shared" si="1"/>
        <v>463</v>
      </c>
      <c r="R174" s="18">
        <f t="shared" si="2"/>
        <v>4667</v>
      </c>
      <c r="S174" s="41">
        <v>49</v>
      </c>
      <c r="U174" s="42"/>
      <c r="V174" s="42"/>
    </row>
    <row r="175" spans="1:22" ht="14.4">
      <c r="A175" s="21">
        <v>40302</v>
      </c>
      <c r="B175" s="22" t="s">
        <v>190</v>
      </c>
      <c r="C175" s="15">
        <v>516</v>
      </c>
      <c r="D175" s="15">
        <v>91</v>
      </c>
      <c r="E175" s="15">
        <v>4</v>
      </c>
      <c r="F175" s="15">
        <v>124</v>
      </c>
      <c r="G175" s="15">
        <v>34</v>
      </c>
      <c r="H175" s="15">
        <v>263</v>
      </c>
      <c r="I175" s="15">
        <v>671</v>
      </c>
      <c r="J175" s="15">
        <v>305</v>
      </c>
      <c r="K175" s="15">
        <v>4</v>
      </c>
      <c r="L175" s="15">
        <v>177</v>
      </c>
      <c r="M175" s="15">
        <v>17</v>
      </c>
      <c r="N175" s="15">
        <v>168</v>
      </c>
      <c r="O175" s="40">
        <v>640</v>
      </c>
      <c r="P175" s="18">
        <f t="shared" si="0"/>
        <v>-335</v>
      </c>
      <c r="Q175" s="40" t="str">
        <f t="shared" si="1"/>
        <v/>
      </c>
      <c r="R175" s="18">
        <f t="shared" si="2"/>
        <v>1006</v>
      </c>
      <c r="S175" s="41">
        <v>55</v>
      </c>
      <c r="U175" s="42"/>
      <c r="V175" s="42"/>
    </row>
    <row r="176" spans="1:22" ht="14.4">
      <c r="A176" s="13">
        <v>40401</v>
      </c>
      <c r="B176" s="14" t="s">
        <v>191</v>
      </c>
      <c r="C176" s="15">
        <v>1355</v>
      </c>
      <c r="D176" s="15">
        <v>550</v>
      </c>
      <c r="E176" s="15">
        <v>1</v>
      </c>
      <c r="F176" s="15">
        <v>295</v>
      </c>
      <c r="G176" s="15">
        <v>59</v>
      </c>
      <c r="H176" s="15">
        <v>450</v>
      </c>
      <c r="I176" s="15">
        <v>1987</v>
      </c>
      <c r="J176" s="15">
        <v>1552</v>
      </c>
      <c r="K176" s="15">
        <v>8</v>
      </c>
      <c r="L176" s="15">
        <v>60</v>
      </c>
      <c r="M176" s="15">
        <v>27</v>
      </c>
      <c r="N176" s="15">
        <v>340</v>
      </c>
      <c r="O176" s="40">
        <v>942</v>
      </c>
      <c r="P176" s="18">
        <f t="shared" si="0"/>
        <v>610</v>
      </c>
      <c r="Q176" s="18">
        <f t="shared" si="1"/>
        <v>610</v>
      </c>
      <c r="R176" s="18">
        <f t="shared" si="2"/>
        <v>1987</v>
      </c>
      <c r="S176" s="41">
        <v>85</v>
      </c>
      <c r="U176" s="42"/>
      <c r="V176" s="42"/>
    </row>
    <row r="177" spans="1:22" ht="14.4">
      <c r="A177" s="21">
        <v>40402</v>
      </c>
      <c r="B177" s="22" t="s">
        <v>192</v>
      </c>
      <c r="C177" s="15">
        <v>1556</v>
      </c>
      <c r="D177" s="15">
        <v>526</v>
      </c>
      <c r="E177" s="15">
        <v>14</v>
      </c>
      <c r="F177" s="15">
        <v>363</v>
      </c>
      <c r="G177" s="15">
        <v>37</v>
      </c>
      <c r="H177" s="15">
        <v>616</v>
      </c>
      <c r="I177" s="15">
        <v>1760</v>
      </c>
      <c r="J177" s="15">
        <v>739</v>
      </c>
      <c r="K177" s="15">
        <v>4</v>
      </c>
      <c r="L177" s="15">
        <v>267</v>
      </c>
      <c r="M177" s="15">
        <v>22</v>
      </c>
      <c r="N177" s="15">
        <v>728</v>
      </c>
      <c r="O177" s="40">
        <v>545</v>
      </c>
      <c r="P177" s="18">
        <f t="shared" si="0"/>
        <v>194</v>
      </c>
      <c r="Q177" s="18">
        <f t="shared" si="1"/>
        <v>194</v>
      </c>
      <c r="R177" s="18">
        <f t="shared" si="2"/>
        <v>1760</v>
      </c>
      <c r="S177" s="41">
        <v>70</v>
      </c>
      <c r="U177" s="42"/>
      <c r="V177" s="42"/>
    </row>
    <row r="178" spans="1:22" ht="14.4">
      <c r="A178" s="13">
        <v>40501</v>
      </c>
      <c r="B178" s="14" t="s">
        <v>193</v>
      </c>
      <c r="C178" s="15">
        <v>349</v>
      </c>
      <c r="D178" s="15">
        <v>322</v>
      </c>
      <c r="E178" s="15">
        <v>0</v>
      </c>
      <c r="F178" s="15">
        <v>0</v>
      </c>
      <c r="G178" s="15">
        <v>1</v>
      </c>
      <c r="H178" s="15">
        <v>26</v>
      </c>
      <c r="I178" s="15">
        <v>1192</v>
      </c>
      <c r="J178" s="15">
        <v>1134</v>
      </c>
      <c r="K178" s="15">
        <v>4</v>
      </c>
      <c r="L178" s="15">
        <v>8</v>
      </c>
      <c r="M178" s="15">
        <v>3</v>
      </c>
      <c r="N178" s="15">
        <v>43</v>
      </c>
      <c r="O178" s="40">
        <v>664</v>
      </c>
      <c r="P178" s="18">
        <f t="shared" si="0"/>
        <v>470</v>
      </c>
      <c r="Q178" s="18">
        <f t="shared" si="1"/>
        <v>470</v>
      </c>
      <c r="R178" s="18">
        <f t="shared" si="2"/>
        <v>1192</v>
      </c>
      <c r="S178" s="41">
        <v>116</v>
      </c>
      <c r="U178" s="42"/>
      <c r="V178" s="42"/>
    </row>
    <row r="179" spans="1:22" ht="14.4">
      <c r="A179" s="21">
        <v>40502</v>
      </c>
      <c r="B179" s="22" t="s">
        <v>194</v>
      </c>
      <c r="C179" s="15">
        <v>1082</v>
      </c>
      <c r="D179" s="15">
        <v>475</v>
      </c>
      <c r="E179" s="15">
        <v>5</v>
      </c>
      <c r="F179" s="15">
        <v>72</v>
      </c>
      <c r="G179" s="15">
        <v>3</v>
      </c>
      <c r="H179" s="15">
        <v>527</v>
      </c>
      <c r="I179" s="15">
        <v>1055</v>
      </c>
      <c r="J179" s="15">
        <v>726</v>
      </c>
      <c r="K179" s="15">
        <v>7</v>
      </c>
      <c r="L179" s="15">
        <v>78</v>
      </c>
      <c r="M179" s="15">
        <v>18</v>
      </c>
      <c r="N179" s="15">
        <v>226</v>
      </c>
      <c r="O179" s="40">
        <v>244</v>
      </c>
      <c r="P179" s="18">
        <f t="shared" si="0"/>
        <v>482</v>
      </c>
      <c r="Q179" s="18">
        <f t="shared" si="1"/>
        <v>482</v>
      </c>
      <c r="R179" s="18">
        <f t="shared" si="2"/>
        <v>1055</v>
      </c>
      <c r="S179" s="41">
        <v>63.5</v>
      </c>
      <c r="U179" s="42"/>
      <c r="V179" s="42"/>
    </row>
    <row r="180" spans="1:22" ht="14.4">
      <c r="A180" s="13">
        <v>40503</v>
      </c>
      <c r="B180" s="14" t="s">
        <v>195</v>
      </c>
      <c r="C180" s="15">
        <v>584</v>
      </c>
      <c r="D180" s="15">
        <v>254</v>
      </c>
      <c r="E180" s="15">
        <v>1</v>
      </c>
      <c r="F180" s="15">
        <v>6</v>
      </c>
      <c r="G180" s="15">
        <v>2</v>
      </c>
      <c r="H180" s="15">
        <v>321</v>
      </c>
      <c r="I180" s="15">
        <v>352</v>
      </c>
      <c r="J180" s="15">
        <v>298</v>
      </c>
      <c r="K180" s="15">
        <v>2</v>
      </c>
      <c r="L180" s="15">
        <v>15</v>
      </c>
      <c r="M180" s="15">
        <v>5</v>
      </c>
      <c r="N180" s="15">
        <v>32</v>
      </c>
      <c r="O180" s="40">
        <v>58</v>
      </c>
      <c r="P180" s="18">
        <f t="shared" si="0"/>
        <v>240</v>
      </c>
      <c r="Q180" s="18">
        <f t="shared" si="1"/>
        <v>240</v>
      </c>
      <c r="R180" s="18">
        <f t="shared" si="2"/>
        <v>352</v>
      </c>
      <c r="S180" s="41">
        <v>9.5</v>
      </c>
      <c r="U180" s="42"/>
      <c r="V180" s="42"/>
    </row>
    <row r="181" spans="1:22" ht="14.4">
      <c r="A181" s="21">
        <v>40504</v>
      </c>
      <c r="B181" s="22" t="s">
        <v>196</v>
      </c>
      <c r="C181" s="15">
        <v>169</v>
      </c>
      <c r="D181" s="15">
        <v>78</v>
      </c>
      <c r="E181" s="15">
        <v>0</v>
      </c>
      <c r="F181" s="15">
        <v>3</v>
      </c>
      <c r="G181" s="15">
        <v>0</v>
      </c>
      <c r="H181" s="15">
        <v>88</v>
      </c>
      <c r="I181" s="15">
        <v>173</v>
      </c>
      <c r="J181" s="15">
        <v>155</v>
      </c>
      <c r="K181" s="15">
        <v>1</v>
      </c>
      <c r="L181" s="15">
        <v>0</v>
      </c>
      <c r="M181" s="15">
        <v>3</v>
      </c>
      <c r="N181" s="15">
        <v>14</v>
      </c>
      <c r="O181" s="40">
        <v>64</v>
      </c>
      <c r="P181" s="18">
        <f t="shared" si="0"/>
        <v>91</v>
      </c>
      <c r="Q181" s="18">
        <f t="shared" si="1"/>
        <v>91</v>
      </c>
      <c r="R181" s="18">
        <f t="shared" si="2"/>
        <v>173</v>
      </c>
      <c r="S181" s="41">
        <v>83</v>
      </c>
      <c r="U181" s="42"/>
      <c r="V181" s="42"/>
    </row>
    <row r="182" spans="1:22" ht="14.4">
      <c r="A182" s="13">
        <v>40505</v>
      </c>
      <c r="B182" s="14" t="s">
        <v>197</v>
      </c>
      <c r="C182" s="15">
        <v>719</v>
      </c>
      <c r="D182" s="15">
        <v>497</v>
      </c>
      <c r="E182" s="15">
        <v>0</v>
      </c>
      <c r="F182" s="15">
        <v>68</v>
      </c>
      <c r="G182" s="15">
        <v>4</v>
      </c>
      <c r="H182" s="15">
        <v>150</v>
      </c>
      <c r="I182" s="15">
        <v>873</v>
      </c>
      <c r="J182" s="15">
        <v>739</v>
      </c>
      <c r="K182" s="15">
        <v>0</v>
      </c>
      <c r="L182" s="15">
        <v>40</v>
      </c>
      <c r="M182" s="15">
        <v>8</v>
      </c>
      <c r="N182" s="15">
        <v>86</v>
      </c>
      <c r="O182" s="40">
        <v>197</v>
      </c>
      <c r="P182" s="18">
        <f t="shared" si="0"/>
        <v>542</v>
      </c>
      <c r="Q182" s="18">
        <f t="shared" si="1"/>
        <v>542</v>
      </c>
      <c r="R182" s="18">
        <f t="shared" si="2"/>
        <v>873</v>
      </c>
      <c r="S182" s="41">
        <v>63</v>
      </c>
      <c r="U182" s="42"/>
      <c r="V182" s="42"/>
    </row>
    <row r="183" spans="1:22" ht="14.4">
      <c r="A183" s="21">
        <v>40601</v>
      </c>
      <c r="B183" s="22" t="s">
        <v>198</v>
      </c>
      <c r="C183" s="15">
        <v>2839</v>
      </c>
      <c r="D183" s="15">
        <v>1790</v>
      </c>
      <c r="E183" s="15">
        <v>12</v>
      </c>
      <c r="F183" s="15">
        <v>120</v>
      </c>
      <c r="G183" s="15">
        <v>17</v>
      </c>
      <c r="H183" s="15">
        <v>900</v>
      </c>
      <c r="I183" s="15">
        <v>3662</v>
      </c>
      <c r="J183" s="15">
        <v>2812</v>
      </c>
      <c r="K183" s="15">
        <v>11</v>
      </c>
      <c r="L183" s="15">
        <v>37</v>
      </c>
      <c r="M183" s="15">
        <v>43</v>
      </c>
      <c r="N183" s="15">
        <v>759</v>
      </c>
      <c r="O183" s="40">
        <v>707</v>
      </c>
      <c r="P183" s="18">
        <f t="shared" si="0"/>
        <v>2105</v>
      </c>
      <c r="Q183" s="18">
        <f t="shared" si="1"/>
        <v>2105</v>
      </c>
      <c r="R183" s="18">
        <f t="shared" si="2"/>
        <v>3662</v>
      </c>
      <c r="S183" s="41">
        <v>38</v>
      </c>
      <c r="U183" s="42"/>
      <c r="V183" s="42"/>
    </row>
    <row r="184" spans="1:22" ht="14.4">
      <c r="A184" s="13">
        <v>40602</v>
      </c>
      <c r="B184" s="14" t="s">
        <v>199</v>
      </c>
      <c r="C184" s="15">
        <v>2185</v>
      </c>
      <c r="D184" s="15">
        <v>1631</v>
      </c>
      <c r="E184" s="15">
        <v>11</v>
      </c>
      <c r="F184" s="15">
        <v>47</v>
      </c>
      <c r="G184" s="15">
        <v>21</v>
      </c>
      <c r="H184" s="15">
        <v>475</v>
      </c>
      <c r="I184" s="15">
        <v>1769</v>
      </c>
      <c r="J184" s="15">
        <v>1503</v>
      </c>
      <c r="K184" s="15">
        <v>1</v>
      </c>
      <c r="L184" s="15">
        <v>18</v>
      </c>
      <c r="M184" s="15">
        <v>5</v>
      </c>
      <c r="N184" s="15">
        <v>242</v>
      </c>
      <c r="O184" s="40">
        <v>934</v>
      </c>
      <c r="P184" s="18">
        <f t="shared" si="0"/>
        <v>569</v>
      </c>
      <c r="Q184" s="18">
        <f t="shared" si="1"/>
        <v>569</v>
      </c>
      <c r="R184" s="18">
        <f t="shared" si="2"/>
        <v>1769</v>
      </c>
      <c r="S184" s="41">
        <v>17</v>
      </c>
      <c r="U184" s="42"/>
      <c r="V184" s="42"/>
    </row>
    <row r="185" spans="1:22" ht="14.4">
      <c r="A185" s="21">
        <v>40603</v>
      </c>
      <c r="B185" s="22" t="s">
        <v>200</v>
      </c>
      <c r="C185" s="15">
        <v>1158</v>
      </c>
      <c r="D185" s="15">
        <v>924</v>
      </c>
      <c r="E185" s="15">
        <v>4</v>
      </c>
      <c r="F185" s="15">
        <v>14</v>
      </c>
      <c r="G185" s="15">
        <v>3</v>
      </c>
      <c r="H185" s="15">
        <v>213</v>
      </c>
      <c r="I185" s="15">
        <v>1450</v>
      </c>
      <c r="J185" s="15">
        <v>1268</v>
      </c>
      <c r="K185" s="15">
        <v>3</v>
      </c>
      <c r="L185" s="15">
        <v>12</v>
      </c>
      <c r="M185" s="15">
        <v>9</v>
      </c>
      <c r="N185" s="15">
        <v>158</v>
      </c>
      <c r="O185" s="40">
        <v>280</v>
      </c>
      <c r="P185" s="18">
        <f t="shared" si="0"/>
        <v>988</v>
      </c>
      <c r="Q185" s="18">
        <f t="shared" si="1"/>
        <v>988</v>
      </c>
      <c r="R185" s="18">
        <f t="shared" si="2"/>
        <v>1450</v>
      </c>
      <c r="S185" s="41">
        <v>37</v>
      </c>
      <c r="U185" s="42"/>
      <c r="V185" s="42"/>
    </row>
    <row r="186" spans="1:22" ht="14.4">
      <c r="A186" s="13">
        <v>40701</v>
      </c>
      <c r="B186" s="14" t="s">
        <v>201</v>
      </c>
      <c r="C186" s="15">
        <v>7189</v>
      </c>
      <c r="D186" s="15">
        <v>6757</v>
      </c>
      <c r="E186" s="15">
        <v>20</v>
      </c>
      <c r="F186" s="15">
        <v>11</v>
      </c>
      <c r="G186" s="15">
        <v>18</v>
      </c>
      <c r="H186" s="15">
        <v>383</v>
      </c>
      <c r="I186" s="15">
        <v>6423</v>
      </c>
      <c r="J186" s="15">
        <v>6165</v>
      </c>
      <c r="K186" s="15">
        <v>11</v>
      </c>
      <c r="L186" s="15">
        <v>24</v>
      </c>
      <c r="M186" s="15">
        <v>14</v>
      </c>
      <c r="N186" s="15">
        <v>209</v>
      </c>
      <c r="O186" s="40">
        <v>6196</v>
      </c>
      <c r="P186" s="18">
        <f t="shared" si="0"/>
        <v>-31</v>
      </c>
      <c r="Q186" s="40" t="str">
        <f t="shared" si="1"/>
        <v/>
      </c>
      <c r="R186" s="18">
        <f t="shared" si="2"/>
        <v>6454</v>
      </c>
      <c r="S186" s="41">
        <v>555</v>
      </c>
      <c r="U186" s="42"/>
      <c r="V186" s="42"/>
    </row>
    <row r="187" spans="1:22" ht="14.4">
      <c r="A187" s="21">
        <v>40702</v>
      </c>
      <c r="B187" s="22" t="s">
        <v>202</v>
      </c>
      <c r="C187" s="15">
        <v>1558</v>
      </c>
      <c r="D187" s="15">
        <v>1327</v>
      </c>
      <c r="E187" s="15">
        <v>2</v>
      </c>
      <c r="F187" s="15">
        <v>23</v>
      </c>
      <c r="G187" s="15">
        <v>21</v>
      </c>
      <c r="H187" s="15">
        <v>185</v>
      </c>
      <c r="I187" s="15">
        <v>2176</v>
      </c>
      <c r="J187" s="15">
        <v>1989</v>
      </c>
      <c r="K187" s="15">
        <v>7</v>
      </c>
      <c r="L187" s="15">
        <v>33</v>
      </c>
      <c r="M187" s="15">
        <v>13</v>
      </c>
      <c r="N187" s="15">
        <v>134</v>
      </c>
      <c r="O187" s="40">
        <v>1334</v>
      </c>
      <c r="P187" s="18">
        <f t="shared" si="0"/>
        <v>655</v>
      </c>
      <c r="Q187" s="18">
        <f t="shared" si="1"/>
        <v>655</v>
      </c>
      <c r="R187" s="18">
        <f t="shared" si="2"/>
        <v>2176</v>
      </c>
      <c r="S187" s="41">
        <v>308</v>
      </c>
      <c r="U187" s="42"/>
      <c r="V187" s="42"/>
    </row>
    <row r="188" spans="1:22" ht="14.4">
      <c r="A188" s="13">
        <v>40801</v>
      </c>
      <c r="B188" s="14" t="s">
        <v>203</v>
      </c>
      <c r="C188" s="15">
        <v>3927</v>
      </c>
      <c r="D188" s="15">
        <v>2396</v>
      </c>
      <c r="E188" s="15">
        <v>11</v>
      </c>
      <c r="F188" s="15">
        <v>109</v>
      </c>
      <c r="G188" s="15">
        <v>27</v>
      </c>
      <c r="H188" s="15">
        <v>1384</v>
      </c>
      <c r="I188" s="15">
        <v>5969</v>
      </c>
      <c r="J188" s="15">
        <v>4585</v>
      </c>
      <c r="K188" s="15">
        <v>35</v>
      </c>
      <c r="L188" s="15">
        <v>139</v>
      </c>
      <c r="M188" s="15">
        <v>54</v>
      </c>
      <c r="N188" s="15">
        <v>1156</v>
      </c>
      <c r="O188" s="40">
        <v>3166</v>
      </c>
      <c r="P188" s="18">
        <f t="shared" si="0"/>
        <v>1419</v>
      </c>
      <c r="Q188" s="18">
        <f t="shared" si="1"/>
        <v>1419</v>
      </c>
      <c r="R188" s="18">
        <f t="shared" si="2"/>
        <v>5969</v>
      </c>
      <c r="S188" s="41">
        <v>81</v>
      </c>
      <c r="U188" s="42"/>
      <c r="V188" s="42"/>
    </row>
    <row r="189" spans="1:22" ht="14.4">
      <c r="A189" s="21">
        <v>40802</v>
      </c>
      <c r="B189" s="22" t="s">
        <v>204</v>
      </c>
      <c r="C189" s="15">
        <v>1040</v>
      </c>
      <c r="D189" s="15">
        <v>573</v>
      </c>
      <c r="E189" s="15">
        <v>4</v>
      </c>
      <c r="F189" s="15">
        <v>45</v>
      </c>
      <c r="G189" s="15">
        <v>8</v>
      </c>
      <c r="H189" s="15">
        <v>410</v>
      </c>
      <c r="I189" s="15">
        <v>1275</v>
      </c>
      <c r="J189" s="15">
        <v>898</v>
      </c>
      <c r="K189" s="15">
        <v>4</v>
      </c>
      <c r="L189" s="15">
        <v>58</v>
      </c>
      <c r="M189" s="15">
        <v>8</v>
      </c>
      <c r="N189" s="15">
        <v>307</v>
      </c>
      <c r="O189" s="40">
        <v>382</v>
      </c>
      <c r="P189" s="18">
        <f t="shared" si="0"/>
        <v>516</v>
      </c>
      <c r="Q189" s="18">
        <f t="shared" si="1"/>
        <v>516</v>
      </c>
      <c r="R189" s="18">
        <f t="shared" si="2"/>
        <v>1275</v>
      </c>
      <c r="S189" s="41">
        <v>67</v>
      </c>
      <c r="U189" s="42"/>
      <c r="V189" s="42"/>
    </row>
    <row r="190" spans="1:22" ht="14.4">
      <c r="A190" s="13">
        <v>40901</v>
      </c>
      <c r="B190" s="14" t="s">
        <v>205</v>
      </c>
      <c r="C190" s="15">
        <v>2247</v>
      </c>
      <c r="D190" s="15">
        <v>1547</v>
      </c>
      <c r="E190" s="15">
        <v>6</v>
      </c>
      <c r="F190" s="15">
        <v>94</v>
      </c>
      <c r="G190" s="15">
        <v>7</v>
      </c>
      <c r="H190" s="15">
        <v>593</v>
      </c>
      <c r="I190" s="15">
        <v>3855</v>
      </c>
      <c r="J190" s="15">
        <v>3210</v>
      </c>
      <c r="K190" s="15">
        <v>21</v>
      </c>
      <c r="L190" s="15">
        <v>179</v>
      </c>
      <c r="M190" s="15">
        <v>66</v>
      </c>
      <c r="N190" s="15">
        <v>379</v>
      </c>
      <c r="O190" s="40">
        <v>1471</v>
      </c>
      <c r="P190" s="18">
        <f t="shared" si="0"/>
        <v>1739</v>
      </c>
      <c r="Q190" s="18">
        <f t="shared" si="1"/>
        <v>1739</v>
      </c>
      <c r="R190" s="18">
        <f t="shared" si="2"/>
        <v>3855</v>
      </c>
      <c r="S190" s="41">
        <v>102</v>
      </c>
      <c r="U190" s="42"/>
      <c r="V190" s="42"/>
    </row>
    <row r="191" spans="1:22" ht="14.4">
      <c r="A191" s="21">
        <v>40902</v>
      </c>
      <c r="B191" s="22" t="s">
        <v>206</v>
      </c>
      <c r="C191" s="15">
        <v>253</v>
      </c>
      <c r="D191" s="15">
        <v>196</v>
      </c>
      <c r="E191" s="15">
        <v>3</v>
      </c>
      <c r="F191" s="15">
        <v>0</v>
      </c>
      <c r="G191" s="15">
        <v>0</v>
      </c>
      <c r="H191" s="15">
        <v>54</v>
      </c>
      <c r="I191" s="15">
        <v>357</v>
      </c>
      <c r="J191" s="15">
        <v>301</v>
      </c>
      <c r="K191" s="15">
        <v>0</v>
      </c>
      <c r="L191" s="15">
        <v>19</v>
      </c>
      <c r="M191" s="15">
        <v>2</v>
      </c>
      <c r="N191" s="15">
        <v>35</v>
      </c>
      <c r="O191" s="40">
        <v>159</v>
      </c>
      <c r="P191" s="18">
        <f t="shared" si="0"/>
        <v>142</v>
      </c>
      <c r="Q191" s="18">
        <f t="shared" si="1"/>
        <v>142</v>
      </c>
      <c r="R191" s="18">
        <f t="shared" si="2"/>
        <v>357</v>
      </c>
      <c r="S191" s="41">
        <v>145</v>
      </c>
      <c r="U191" s="42"/>
      <c r="V191" s="42"/>
    </row>
    <row r="192" spans="1:22" ht="14.4">
      <c r="A192" s="13">
        <v>40903</v>
      </c>
      <c r="B192" s="14" t="s">
        <v>207</v>
      </c>
      <c r="C192" s="15">
        <v>590</v>
      </c>
      <c r="D192" s="15">
        <v>232</v>
      </c>
      <c r="E192" s="15">
        <v>0</v>
      </c>
      <c r="F192" s="15">
        <v>208</v>
      </c>
      <c r="G192" s="15">
        <v>12</v>
      </c>
      <c r="H192" s="15">
        <v>138</v>
      </c>
      <c r="I192" s="15">
        <v>1105</v>
      </c>
      <c r="J192" s="15">
        <v>463</v>
      </c>
      <c r="K192" s="15">
        <v>1</v>
      </c>
      <c r="L192" s="15">
        <v>71</v>
      </c>
      <c r="M192" s="15">
        <v>18</v>
      </c>
      <c r="N192" s="15">
        <v>552</v>
      </c>
      <c r="O192" s="40">
        <v>345</v>
      </c>
      <c r="P192" s="18">
        <f t="shared" si="0"/>
        <v>118</v>
      </c>
      <c r="Q192" s="18">
        <f t="shared" si="1"/>
        <v>118</v>
      </c>
      <c r="R192" s="18">
        <f t="shared" si="2"/>
        <v>1105</v>
      </c>
      <c r="S192" s="41">
        <v>128</v>
      </c>
      <c r="U192" s="42"/>
      <c r="V192" s="42"/>
    </row>
    <row r="193" spans="1:22" ht="14.4">
      <c r="A193" s="21">
        <v>41001</v>
      </c>
      <c r="B193" s="22" t="s">
        <v>208</v>
      </c>
      <c r="C193" s="15">
        <v>4331</v>
      </c>
      <c r="D193" s="15">
        <v>873</v>
      </c>
      <c r="E193" s="15">
        <v>9</v>
      </c>
      <c r="F193" s="15">
        <v>666</v>
      </c>
      <c r="G193" s="15">
        <v>173</v>
      </c>
      <c r="H193" s="15">
        <v>2610</v>
      </c>
      <c r="I193" s="15">
        <v>4732</v>
      </c>
      <c r="J193" s="15">
        <v>2091</v>
      </c>
      <c r="K193" s="15">
        <v>10</v>
      </c>
      <c r="L193" s="15">
        <v>329</v>
      </c>
      <c r="M193" s="15">
        <v>137</v>
      </c>
      <c r="N193" s="15">
        <v>2165</v>
      </c>
      <c r="O193" s="40">
        <v>1645</v>
      </c>
      <c r="P193" s="18">
        <f t="shared" si="0"/>
        <v>446</v>
      </c>
      <c r="Q193" s="18">
        <f t="shared" si="1"/>
        <v>446</v>
      </c>
      <c r="R193" s="18">
        <f t="shared" si="2"/>
        <v>4732</v>
      </c>
      <c r="S193" s="41">
        <v>51</v>
      </c>
      <c r="U193" s="42"/>
      <c r="V193" s="42"/>
    </row>
    <row r="194" spans="1:22" ht="14.4">
      <c r="A194" s="13">
        <v>41101</v>
      </c>
      <c r="B194" s="14" t="s">
        <v>209</v>
      </c>
      <c r="C194" s="15">
        <v>1898</v>
      </c>
      <c r="D194" s="15">
        <v>1530</v>
      </c>
      <c r="E194" s="15">
        <v>3</v>
      </c>
      <c r="F194" s="15">
        <v>5</v>
      </c>
      <c r="G194" s="15">
        <v>11</v>
      </c>
      <c r="H194" s="15">
        <v>349</v>
      </c>
      <c r="I194" s="15">
        <v>1936</v>
      </c>
      <c r="J194" s="15">
        <v>1692</v>
      </c>
      <c r="K194" s="15">
        <v>7</v>
      </c>
      <c r="L194" s="15">
        <v>8</v>
      </c>
      <c r="M194" s="15">
        <v>16</v>
      </c>
      <c r="N194" s="15">
        <v>213</v>
      </c>
      <c r="O194" s="40">
        <v>1407</v>
      </c>
      <c r="P194" s="18">
        <f t="shared" si="0"/>
        <v>285</v>
      </c>
      <c r="Q194" s="18">
        <f t="shared" si="1"/>
        <v>285</v>
      </c>
      <c r="R194" s="18">
        <f t="shared" si="2"/>
        <v>1936</v>
      </c>
      <c r="S194" s="41">
        <v>124</v>
      </c>
      <c r="U194" s="42"/>
      <c r="V194" s="42"/>
    </row>
    <row r="195" spans="1:22" ht="14.4">
      <c r="A195" s="21">
        <v>41201</v>
      </c>
      <c r="B195" s="22" t="s">
        <v>210</v>
      </c>
      <c r="C195" s="15">
        <v>1992</v>
      </c>
      <c r="D195" s="15">
        <v>741</v>
      </c>
      <c r="E195" s="15">
        <v>3</v>
      </c>
      <c r="F195" s="15">
        <v>134</v>
      </c>
      <c r="G195" s="15">
        <v>33</v>
      </c>
      <c r="H195" s="15">
        <v>1081</v>
      </c>
      <c r="I195" s="15">
        <v>2285</v>
      </c>
      <c r="J195" s="15">
        <v>1291</v>
      </c>
      <c r="K195" s="15">
        <v>1</v>
      </c>
      <c r="L195" s="15">
        <v>125</v>
      </c>
      <c r="M195" s="15">
        <v>24</v>
      </c>
      <c r="N195" s="15">
        <v>844</v>
      </c>
      <c r="O195" s="40">
        <v>1494</v>
      </c>
      <c r="P195" s="18">
        <f t="shared" si="0"/>
        <v>-203</v>
      </c>
      <c r="Q195" s="40" t="str">
        <f t="shared" si="1"/>
        <v/>
      </c>
      <c r="R195" s="18">
        <f t="shared" si="2"/>
        <v>2488</v>
      </c>
      <c r="S195" s="41">
        <v>40</v>
      </c>
      <c r="U195" s="42"/>
      <c r="V195" s="42"/>
    </row>
    <row r="196" spans="1:22" ht="14.4">
      <c r="A196" s="13">
        <v>41202</v>
      </c>
      <c r="B196" s="14" t="s">
        <v>211</v>
      </c>
      <c r="C196" s="15">
        <v>728</v>
      </c>
      <c r="D196" s="15">
        <v>422</v>
      </c>
      <c r="E196" s="15">
        <v>1</v>
      </c>
      <c r="F196" s="15">
        <v>26</v>
      </c>
      <c r="G196" s="15">
        <v>11</v>
      </c>
      <c r="H196" s="15">
        <v>268</v>
      </c>
      <c r="I196" s="15">
        <v>1099</v>
      </c>
      <c r="J196" s="15">
        <v>647</v>
      </c>
      <c r="K196" s="15">
        <v>1</v>
      </c>
      <c r="L196" s="15">
        <v>37</v>
      </c>
      <c r="M196" s="15">
        <v>14</v>
      </c>
      <c r="N196" s="15">
        <v>400</v>
      </c>
      <c r="O196" s="40">
        <v>319</v>
      </c>
      <c r="P196" s="18">
        <f t="shared" si="0"/>
        <v>328</v>
      </c>
      <c r="Q196" s="18">
        <f t="shared" si="1"/>
        <v>328</v>
      </c>
      <c r="R196" s="18">
        <f t="shared" si="2"/>
        <v>1099</v>
      </c>
      <c r="S196" s="41">
        <v>2</v>
      </c>
      <c r="U196" s="42"/>
      <c r="V196" s="42"/>
    </row>
    <row r="197" spans="1:22" ht="14.4">
      <c r="A197" s="21">
        <v>41301</v>
      </c>
      <c r="B197" s="22" t="s">
        <v>212</v>
      </c>
      <c r="C197" s="15">
        <v>1886</v>
      </c>
      <c r="D197" s="15">
        <v>448</v>
      </c>
      <c r="E197" s="15">
        <v>5</v>
      </c>
      <c r="F197" s="15">
        <v>237</v>
      </c>
      <c r="G197" s="15">
        <v>121</v>
      </c>
      <c r="H197" s="15">
        <v>1075</v>
      </c>
      <c r="I197" s="15">
        <v>2648</v>
      </c>
      <c r="J197" s="15">
        <v>1007</v>
      </c>
      <c r="K197" s="15">
        <v>4</v>
      </c>
      <c r="L197" s="15">
        <v>155</v>
      </c>
      <c r="M197" s="15">
        <v>80</v>
      </c>
      <c r="N197" s="15">
        <v>1402</v>
      </c>
      <c r="O197" s="40">
        <v>882</v>
      </c>
      <c r="P197" s="18">
        <f t="shared" si="0"/>
        <v>125</v>
      </c>
      <c r="Q197" s="18">
        <f t="shared" si="1"/>
        <v>125</v>
      </c>
      <c r="R197" s="18">
        <f t="shared" si="2"/>
        <v>2648</v>
      </c>
      <c r="S197" s="41">
        <v>70</v>
      </c>
      <c r="U197" s="42"/>
      <c r="V197" s="42"/>
    </row>
    <row r="198" spans="1:22" ht="14.4">
      <c r="A198" s="13">
        <v>41401</v>
      </c>
      <c r="B198" s="14" t="s">
        <v>213</v>
      </c>
      <c r="C198" s="15">
        <v>4302</v>
      </c>
      <c r="D198" s="15">
        <v>2395</v>
      </c>
      <c r="E198" s="15">
        <v>12</v>
      </c>
      <c r="F198" s="15">
        <v>172</v>
      </c>
      <c r="G198" s="15">
        <v>42</v>
      </c>
      <c r="H198" s="15">
        <v>1681</v>
      </c>
      <c r="I198" s="15">
        <v>4639</v>
      </c>
      <c r="J198" s="15">
        <v>3446</v>
      </c>
      <c r="K198" s="15">
        <v>11</v>
      </c>
      <c r="L198" s="15">
        <v>80</v>
      </c>
      <c r="M198" s="15">
        <v>31</v>
      </c>
      <c r="N198" s="15">
        <v>1071</v>
      </c>
      <c r="O198" s="40">
        <v>2022</v>
      </c>
      <c r="P198" s="18">
        <f t="shared" si="0"/>
        <v>1424</v>
      </c>
      <c r="Q198" s="18">
        <f t="shared" si="1"/>
        <v>1424</v>
      </c>
      <c r="R198" s="18">
        <f t="shared" si="2"/>
        <v>4639</v>
      </c>
      <c r="S198" s="41">
        <v>124</v>
      </c>
      <c r="U198" s="42"/>
      <c r="V198" s="42"/>
    </row>
    <row r="199" spans="1:22" ht="14.4">
      <c r="A199" s="21">
        <v>41501</v>
      </c>
      <c r="B199" s="22" t="s">
        <v>214</v>
      </c>
      <c r="C199" s="15">
        <v>181</v>
      </c>
      <c r="D199" s="15">
        <v>52</v>
      </c>
      <c r="E199" s="15">
        <v>0</v>
      </c>
      <c r="F199" s="15">
        <v>42</v>
      </c>
      <c r="G199" s="15">
        <v>0</v>
      </c>
      <c r="H199" s="15">
        <v>87</v>
      </c>
      <c r="I199" s="15">
        <v>283</v>
      </c>
      <c r="J199" s="15">
        <v>183</v>
      </c>
      <c r="K199" s="15">
        <v>3</v>
      </c>
      <c r="L199" s="15">
        <v>32</v>
      </c>
      <c r="M199" s="15">
        <v>5</v>
      </c>
      <c r="N199" s="15">
        <v>60</v>
      </c>
      <c r="O199" s="40">
        <v>149</v>
      </c>
      <c r="P199" s="18">
        <f t="shared" si="0"/>
        <v>34</v>
      </c>
      <c r="Q199" s="18">
        <f t="shared" si="1"/>
        <v>34</v>
      </c>
      <c r="R199" s="18">
        <f t="shared" si="2"/>
        <v>283</v>
      </c>
      <c r="S199" s="41">
        <v>141</v>
      </c>
      <c r="U199" s="42"/>
      <c r="V199" s="42"/>
    </row>
    <row r="200" spans="1:22" ht="14.4">
      <c r="A200" s="13">
        <v>41502</v>
      </c>
      <c r="B200" s="14" t="s">
        <v>215</v>
      </c>
      <c r="C200" s="15">
        <v>193</v>
      </c>
      <c r="D200" s="15">
        <v>68</v>
      </c>
      <c r="E200" s="15">
        <v>1</v>
      </c>
      <c r="F200" s="15">
        <v>21</v>
      </c>
      <c r="G200" s="15">
        <v>6</v>
      </c>
      <c r="H200" s="15">
        <v>97</v>
      </c>
      <c r="I200" s="15">
        <v>329</v>
      </c>
      <c r="J200" s="15">
        <v>246</v>
      </c>
      <c r="K200" s="15">
        <v>1</v>
      </c>
      <c r="L200" s="15">
        <v>17</v>
      </c>
      <c r="M200" s="15">
        <v>8</v>
      </c>
      <c r="N200" s="15">
        <v>57</v>
      </c>
      <c r="O200" s="40">
        <v>135</v>
      </c>
      <c r="P200" s="18">
        <f t="shared" si="0"/>
        <v>111</v>
      </c>
      <c r="Q200" s="18">
        <f t="shared" si="1"/>
        <v>111</v>
      </c>
      <c r="R200" s="18">
        <f t="shared" si="2"/>
        <v>329</v>
      </c>
      <c r="S200" s="41">
        <v>124</v>
      </c>
      <c r="U200" s="42"/>
      <c r="V200" s="42"/>
    </row>
    <row r="201" spans="1:22" ht="14.4">
      <c r="A201" s="21">
        <v>41503</v>
      </c>
      <c r="B201" s="22" t="s">
        <v>216</v>
      </c>
      <c r="C201" s="15">
        <v>245</v>
      </c>
      <c r="D201" s="15">
        <v>73</v>
      </c>
      <c r="E201" s="15">
        <v>9</v>
      </c>
      <c r="F201" s="15">
        <v>38</v>
      </c>
      <c r="G201" s="15">
        <v>12</v>
      </c>
      <c r="H201" s="15">
        <v>113</v>
      </c>
      <c r="I201" s="15">
        <v>257</v>
      </c>
      <c r="J201" s="15">
        <v>181</v>
      </c>
      <c r="K201" s="15">
        <v>5</v>
      </c>
      <c r="L201" s="15">
        <v>31</v>
      </c>
      <c r="M201" s="15">
        <v>2</v>
      </c>
      <c r="N201" s="15">
        <v>38</v>
      </c>
      <c r="O201" s="40">
        <v>812</v>
      </c>
      <c r="P201" s="18">
        <f t="shared" si="0"/>
        <v>-631</v>
      </c>
      <c r="Q201" s="40" t="str">
        <f t="shared" si="1"/>
        <v/>
      </c>
      <c r="R201" s="18">
        <f t="shared" si="2"/>
        <v>888</v>
      </c>
      <c r="S201" s="41">
        <v>78.5</v>
      </c>
      <c r="U201" s="42"/>
      <c r="V201" s="42"/>
    </row>
    <row r="202" spans="1:22" ht="14.4">
      <c r="A202" s="13">
        <v>41601</v>
      </c>
      <c r="B202" s="14" t="s">
        <v>217</v>
      </c>
      <c r="C202" s="15">
        <v>2254</v>
      </c>
      <c r="D202" s="15">
        <v>667</v>
      </c>
      <c r="E202" s="15">
        <v>7</v>
      </c>
      <c r="F202" s="15">
        <v>100</v>
      </c>
      <c r="G202" s="15">
        <v>41</v>
      </c>
      <c r="H202" s="15">
        <v>1439</v>
      </c>
      <c r="I202" s="15">
        <v>2722</v>
      </c>
      <c r="J202" s="15">
        <v>1466</v>
      </c>
      <c r="K202" s="15">
        <v>2</v>
      </c>
      <c r="L202" s="15">
        <v>63</v>
      </c>
      <c r="M202" s="15">
        <v>13</v>
      </c>
      <c r="N202" s="15">
        <v>1178</v>
      </c>
      <c r="O202" s="40">
        <v>1502</v>
      </c>
      <c r="P202" s="18">
        <f t="shared" si="0"/>
        <v>-36</v>
      </c>
      <c r="Q202" s="40" t="str">
        <f t="shared" si="1"/>
        <v/>
      </c>
      <c r="R202" s="18">
        <f t="shared" si="2"/>
        <v>2758</v>
      </c>
      <c r="S202" s="41">
        <v>51</v>
      </c>
      <c r="U202" s="42"/>
      <c r="V202" s="42"/>
    </row>
    <row r="203" spans="1:22" ht="14.4">
      <c r="A203" s="21">
        <v>50101</v>
      </c>
      <c r="B203" s="22" t="s">
        <v>218</v>
      </c>
      <c r="C203" s="15">
        <v>51606</v>
      </c>
      <c r="D203" s="15">
        <v>48667</v>
      </c>
      <c r="E203" s="15">
        <v>85</v>
      </c>
      <c r="F203" s="15">
        <v>40</v>
      </c>
      <c r="G203" s="15">
        <v>103</v>
      </c>
      <c r="H203" s="15">
        <v>2711</v>
      </c>
      <c r="I203" s="15">
        <v>67379</v>
      </c>
      <c r="J203" s="15">
        <v>63321</v>
      </c>
      <c r="K203" s="15">
        <v>380</v>
      </c>
      <c r="L203" s="15">
        <v>125</v>
      </c>
      <c r="M203" s="15">
        <v>385</v>
      </c>
      <c r="N203" s="15">
        <v>3168</v>
      </c>
      <c r="O203" s="40">
        <v>56730</v>
      </c>
      <c r="P203" s="18">
        <f t="shared" si="0"/>
        <v>6591</v>
      </c>
      <c r="Q203" s="18">
        <f t="shared" si="1"/>
        <v>6591</v>
      </c>
      <c r="R203" s="18">
        <f t="shared" si="2"/>
        <v>67379</v>
      </c>
      <c r="S203" s="41">
        <v>743</v>
      </c>
      <c r="U203" s="42"/>
      <c r="V203" s="42"/>
    </row>
    <row r="204" spans="1:22" ht="14.4">
      <c r="A204" s="13">
        <v>50102</v>
      </c>
      <c r="B204" s="14" t="s">
        <v>219</v>
      </c>
      <c r="C204" s="15">
        <v>7545</v>
      </c>
      <c r="D204" s="15">
        <v>2849</v>
      </c>
      <c r="E204" s="15">
        <v>19</v>
      </c>
      <c r="F204" s="15">
        <v>25</v>
      </c>
      <c r="G204" s="15">
        <v>77</v>
      </c>
      <c r="H204" s="15">
        <v>4575</v>
      </c>
      <c r="I204" s="15">
        <v>9796</v>
      </c>
      <c r="J204" s="15">
        <v>7270</v>
      </c>
      <c r="K204" s="15">
        <v>9</v>
      </c>
      <c r="L204" s="15">
        <v>58</v>
      </c>
      <c r="M204" s="15">
        <v>52</v>
      </c>
      <c r="N204" s="15">
        <v>2407</v>
      </c>
      <c r="O204" s="40">
        <v>3516</v>
      </c>
      <c r="P204" s="18">
        <f t="shared" si="0"/>
        <v>3754</v>
      </c>
      <c r="Q204" s="18">
        <f t="shared" si="1"/>
        <v>3754</v>
      </c>
      <c r="R204" s="18">
        <f t="shared" si="2"/>
        <v>9796</v>
      </c>
      <c r="S204" s="41">
        <v>69</v>
      </c>
      <c r="U204" s="42"/>
      <c r="V204" s="42"/>
    </row>
    <row r="205" spans="1:22" ht="14.4">
      <c r="A205" s="21">
        <v>50103</v>
      </c>
      <c r="B205" s="22" t="s">
        <v>220</v>
      </c>
      <c r="C205" s="15">
        <v>2916</v>
      </c>
      <c r="D205" s="15">
        <v>2223</v>
      </c>
      <c r="E205" s="15">
        <v>3</v>
      </c>
      <c r="F205" s="15">
        <v>4</v>
      </c>
      <c r="G205" s="15">
        <v>32</v>
      </c>
      <c r="H205" s="15">
        <v>654</v>
      </c>
      <c r="I205" s="15">
        <v>4191</v>
      </c>
      <c r="J205" s="15">
        <v>3562</v>
      </c>
      <c r="K205" s="15">
        <v>17</v>
      </c>
      <c r="L205" s="15">
        <v>40</v>
      </c>
      <c r="M205" s="15">
        <v>21</v>
      </c>
      <c r="N205" s="15">
        <v>551</v>
      </c>
      <c r="O205" s="40">
        <v>1475</v>
      </c>
      <c r="P205" s="18">
        <f t="shared" si="0"/>
        <v>2087</v>
      </c>
      <c r="Q205" s="18">
        <f t="shared" si="1"/>
        <v>2087</v>
      </c>
      <c r="R205" s="18">
        <f t="shared" si="2"/>
        <v>4191</v>
      </c>
      <c r="S205" s="41">
        <v>77</v>
      </c>
      <c r="U205" s="42"/>
      <c r="V205" s="42"/>
    </row>
    <row r="206" spans="1:22" ht="14.4">
      <c r="A206" s="13">
        <v>50104</v>
      </c>
      <c r="B206" s="14" t="s">
        <v>221</v>
      </c>
      <c r="C206" s="15">
        <v>1102</v>
      </c>
      <c r="D206" s="15">
        <v>495</v>
      </c>
      <c r="E206" s="15">
        <v>0</v>
      </c>
      <c r="F206" s="15">
        <v>21</v>
      </c>
      <c r="G206" s="15">
        <v>10</v>
      </c>
      <c r="H206" s="15">
        <v>576</v>
      </c>
      <c r="I206" s="15">
        <v>1221</v>
      </c>
      <c r="J206" s="15">
        <v>548</v>
      </c>
      <c r="K206" s="15">
        <v>1</v>
      </c>
      <c r="L206" s="15">
        <v>31</v>
      </c>
      <c r="M206" s="15">
        <v>7</v>
      </c>
      <c r="N206" s="15">
        <v>634</v>
      </c>
      <c r="O206" s="40">
        <v>326</v>
      </c>
      <c r="P206" s="18">
        <f t="shared" si="0"/>
        <v>222</v>
      </c>
      <c r="Q206" s="18">
        <f t="shared" si="1"/>
        <v>222</v>
      </c>
      <c r="R206" s="18">
        <f t="shared" si="2"/>
        <v>1221</v>
      </c>
      <c r="S206" s="41">
        <v>44</v>
      </c>
      <c r="U206" s="42"/>
      <c r="V206" s="42"/>
    </row>
    <row r="207" spans="1:22" ht="14.4">
      <c r="A207" s="21">
        <v>50201</v>
      </c>
      <c r="B207" s="22" t="s">
        <v>222</v>
      </c>
      <c r="C207" s="15">
        <v>6620</v>
      </c>
      <c r="D207" s="15">
        <v>4691</v>
      </c>
      <c r="E207" s="15">
        <v>14</v>
      </c>
      <c r="F207" s="15">
        <v>4</v>
      </c>
      <c r="G207" s="15">
        <v>18</v>
      </c>
      <c r="H207" s="15">
        <v>1893</v>
      </c>
      <c r="I207" s="15">
        <v>8437</v>
      </c>
      <c r="J207" s="15">
        <v>6677</v>
      </c>
      <c r="K207" s="15">
        <v>19</v>
      </c>
      <c r="L207" s="15">
        <v>54</v>
      </c>
      <c r="M207" s="15">
        <v>38</v>
      </c>
      <c r="N207" s="15">
        <v>1649</v>
      </c>
      <c r="O207" s="40">
        <v>5288</v>
      </c>
      <c r="P207" s="18">
        <f t="shared" si="0"/>
        <v>1389</v>
      </c>
      <c r="Q207" s="18">
        <f t="shared" si="1"/>
        <v>1389</v>
      </c>
      <c r="R207" s="18">
        <f t="shared" si="2"/>
        <v>8437</v>
      </c>
      <c r="S207" s="41">
        <v>256</v>
      </c>
      <c r="U207" s="42"/>
      <c r="V207" s="42"/>
    </row>
    <row r="208" spans="1:22" ht="14.4">
      <c r="A208" s="13">
        <v>50202</v>
      </c>
      <c r="B208" s="14" t="s">
        <v>223</v>
      </c>
      <c r="C208" s="15">
        <v>4667</v>
      </c>
      <c r="D208" s="15">
        <v>3425</v>
      </c>
      <c r="E208" s="15">
        <v>8</v>
      </c>
      <c r="F208" s="15">
        <v>8</v>
      </c>
      <c r="G208" s="15">
        <v>8</v>
      </c>
      <c r="H208" s="15">
        <v>1218</v>
      </c>
      <c r="I208" s="15">
        <v>5658</v>
      </c>
      <c r="J208" s="15">
        <v>4788</v>
      </c>
      <c r="K208" s="15">
        <v>16</v>
      </c>
      <c r="L208" s="15">
        <v>47</v>
      </c>
      <c r="M208" s="15">
        <v>16</v>
      </c>
      <c r="N208" s="15">
        <v>791</v>
      </c>
      <c r="O208" s="40">
        <v>1558</v>
      </c>
      <c r="P208" s="18">
        <f t="shared" si="0"/>
        <v>3230</v>
      </c>
      <c r="Q208" s="18">
        <f t="shared" si="1"/>
        <v>3230</v>
      </c>
      <c r="R208" s="18">
        <f t="shared" si="2"/>
        <v>5658</v>
      </c>
      <c r="S208" s="41">
        <v>88</v>
      </c>
      <c r="U208" s="42"/>
      <c r="V208" s="42"/>
    </row>
    <row r="209" spans="1:22" ht="14.4">
      <c r="A209" s="21">
        <v>50203</v>
      </c>
      <c r="B209" s="22" t="s">
        <v>224</v>
      </c>
      <c r="C209" s="15">
        <v>12409</v>
      </c>
      <c r="D209" s="15">
        <v>10422</v>
      </c>
      <c r="E209" s="15">
        <v>67</v>
      </c>
      <c r="F209" s="15">
        <v>1</v>
      </c>
      <c r="G209" s="15">
        <v>24</v>
      </c>
      <c r="H209" s="15">
        <v>1895</v>
      </c>
      <c r="I209" s="15">
        <v>16017</v>
      </c>
      <c r="J209" s="15">
        <v>14270</v>
      </c>
      <c r="K209" s="15">
        <v>78</v>
      </c>
      <c r="L209" s="15">
        <v>58</v>
      </c>
      <c r="M209" s="15">
        <v>41</v>
      </c>
      <c r="N209" s="15">
        <v>1570</v>
      </c>
      <c r="O209" s="40">
        <v>10943</v>
      </c>
      <c r="P209" s="18">
        <f t="shared" si="0"/>
        <v>3327</v>
      </c>
      <c r="Q209" s="18">
        <f t="shared" si="1"/>
        <v>3327</v>
      </c>
      <c r="R209" s="18">
        <f t="shared" si="2"/>
        <v>16017</v>
      </c>
      <c r="S209" s="41">
        <v>433</v>
      </c>
      <c r="U209" s="42"/>
      <c r="V209" s="42"/>
    </row>
    <row r="210" spans="1:22" ht="14.4">
      <c r="A210" s="13">
        <v>50204</v>
      </c>
      <c r="B210" s="14" t="s">
        <v>225</v>
      </c>
      <c r="C210" s="15">
        <v>2269</v>
      </c>
      <c r="D210" s="15">
        <v>1525</v>
      </c>
      <c r="E210" s="15">
        <v>2</v>
      </c>
      <c r="F210" s="15">
        <v>10</v>
      </c>
      <c r="G210" s="15">
        <v>2</v>
      </c>
      <c r="H210" s="15">
        <v>730</v>
      </c>
      <c r="I210" s="15">
        <v>3032</v>
      </c>
      <c r="J210" s="15">
        <v>2446</v>
      </c>
      <c r="K210" s="15">
        <v>7</v>
      </c>
      <c r="L210" s="15">
        <v>18</v>
      </c>
      <c r="M210" s="15">
        <v>14</v>
      </c>
      <c r="N210" s="15">
        <v>547</v>
      </c>
      <c r="O210" s="40">
        <v>0</v>
      </c>
      <c r="P210" s="18">
        <f t="shared" si="0"/>
        <v>2446</v>
      </c>
      <c r="Q210" s="18">
        <f t="shared" si="1"/>
        <v>2446</v>
      </c>
      <c r="R210" s="18">
        <f t="shared" si="2"/>
        <v>3032</v>
      </c>
      <c r="S210" s="41">
        <v>0</v>
      </c>
      <c r="U210" s="42"/>
      <c r="V210" s="42"/>
    </row>
    <row r="211" spans="1:22" ht="14.4">
      <c r="A211" s="21">
        <v>50301</v>
      </c>
      <c r="B211" s="22" t="s">
        <v>226</v>
      </c>
      <c r="C211" s="15">
        <v>9721</v>
      </c>
      <c r="D211" s="15">
        <v>6149</v>
      </c>
      <c r="E211" s="15">
        <v>33</v>
      </c>
      <c r="F211" s="15">
        <v>130</v>
      </c>
      <c r="G211" s="15">
        <v>431</v>
      </c>
      <c r="H211" s="15">
        <v>2978</v>
      </c>
      <c r="I211" s="15">
        <v>10921</v>
      </c>
      <c r="J211" s="15">
        <v>8439</v>
      </c>
      <c r="K211" s="15">
        <v>21</v>
      </c>
      <c r="L211" s="15">
        <v>92</v>
      </c>
      <c r="M211" s="15">
        <v>61</v>
      </c>
      <c r="N211" s="15">
        <v>2308</v>
      </c>
      <c r="O211" s="40">
        <v>7221</v>
      </c>
      <c r="P211" s="18">
        <f t="shared" si="0"/>
        <v>1218</v>
      </c>
      <c r="Q211" s="18">
        <f t="shared" si="1"/>
        <v>1218</v>
      </c>
      <c r="R211" s="18">
        <f t="shared" si="2"/>
        <v>10921</v>
      </c>
      <c r="S211" s="41">
        <v>165</v>
      </c>
      <c r="U211" s="42"/>
      <c r="V211" s="42"/>
    </row>
    <row r="212" spans="1:22" ht="14.4">
      <c r="A212" s="13">
        <v>50302</v>
      </c>
      <c r="B212" s="14" t="s">
        <v>227</v>
      </c>
      <c r="C212" s="15">
        <v>3222</v>
      </c>
      <c r="D212" s="15">
        <v>2048</v>
      </c>
      <c r="E212" s="15">
        <v>2</v>
      </c>
      <c r="F212" s="15">
        <v>52</v>
      </c>
      <c r="G212" s="15">
        <v>76</v>
      </c>
      <c r="H212" s="15">
        <v>1044</v>
      </c>
      <c r="I212" s="15">
        <v>3482</v>
      </c>
      <c r="J212" s="15">
        <v>2705</v>
      </c>
      <c r="K212" s="15">
        <v>9</v>
      </c>
      <c r="L212" s="15">
        <v>20</v>
      </c>
      <c r="M212" s="15">
        <v>16</v>
      </c>
      <c r="N212" s="15">
        <v>732</v>
      </c>
      <c r="O212" s="40">
        <v>2334</v>
      </c>
      <c r="P212" s="18">
        <f t="shared" si="0"/>
        <v>371</v>
      </c>
      <c r="Q212" s="18">
        <f t="shared" si="1"/>
        <v>371</v>
      </c>
      <c r="R212" s="18">
        <f t="shared" si="2"/>
        <v>3482</v>
      </c>
      <c r="S212" s="41">
        <v>96</v>
      </c>
      <c r="U212" s="42"/>
      <c r="V212" s="42"/>
    </row>
    <row r="213" spans="1:22" ht="14.4">
      <c r="A213" s="21">
        <v>50303</v>
      </c>
      <c r="B213" s="22" t="s">
        <v>228</v>
      </c>
      <c r="C213" s="15">
        <v>3897</v>
      </c>
      <c r="D213" s="15">
        <v>905</v>
      </c>
      <c r="E213" s="15">
        <v>13</v>
      </c>
      <c r="F213" s="15">
        <v>174</v>
      </c>
      <c r="G213" s="15">
        <v>79</v>
      </c>
      <c r="H213" s="15">
        <v>2726</v>
      </c>
      <c r="I213" s="15">
        <v>5181</v>
      </c>
      <c r="J213" s="15">
        <v>2376</v>
      </c>
      <c r="K213" s="15">
        <v>14</v>
      </c>
      <c r="L213" s="15">
        <v>603</v>
      </c>
      <c r="M213" s="15">
        <v>52</v>
      </c>
      <c r="N213" s="15">
        <v>2136</v>
      </c>
      <c r="O213" s="40">
        <v>1687</v>
      </c>
      <c r="P213" s="18">
        <f t="shared" si="0"/>
        <v>689</v>
      </c>
      <c r="Q213" s="18">
        <f t="shared" si="1"/>
        <v>689</v>
      </c>
      <c r="R213" s="18">
        <f t="shared" si="2"/>
        <v>5181</v>
      </c>
      <c r="S213" s="41">
        <v>110</v>
      </c>
      <c r="U213" s="42"/>
      <c r="V213" s="42"/>
    </row>
    <row r="214" spans="1:22" ht="14.4">
      <c r="A214" s="13">
        <v>50401</v>
      </c>
      <c r="B214" s="14" t="s">
        <v>229</v>
      </c>
      <c r="C214" s="15">
        <v>4286</v>
      </c>
      <c r="D214" s="15">
        <v>2012</v>
      </c>
      <c r="E214" s="15">
        <v>22</v>
      </c>
      <c r="F214" s="15">
        <v>108</v>
      </c>
      <c r="G214" s="15">
        <v>8</v>
      </c>
      <c r="H214" s="15">
        <v>2136</v>
      </c>
      <c r="I214" s="15">
        <v>6497</v>
      </c>
      <c r="J214" s="15">
        <v>4321</v>
      </c>
      <c r="K214" s="15">
        <v>17</v>
      </c>
      <c r="L214" s="15">
        <v>85</v>
      </c>
      <c r="M214" s="15">
        <v>16</v>
      </c>
      <c r="N214" s="15">
        <v>2058</v>
      </c>
      <c r="O214" s="40">
        <v>2552</v>
      </c>
      <c r="P214" s="18">
        <f t="shared" si="0"/>
        <v>1769</v>
      </c>
      <c r="Q214" s="18">
        <f t="shared" si="1"/>
        <v>1769</v>
      </c>
      <c r="R214" s="18">
        <f t="shared" si="2"/>
        <v>6497</v>
      </c>
      <c r="S214" s="41">
        <v>213</v>
      </c>
      <c r="U214" s="42"/>
      <c r="V214" s="42"/>
    </row>
    <row r="215" spans="1:22" ht="14.4">
      <c r="A215" s="21">
        <v>50402</v>
      </c>
      <c r="B215" s="22" t="s">
        <v>230</v>
      </c>
      <c r="C215" s="15">
        <v>6685</v>
      </c>
      <c r="D215" s="15">
        <v>1918</v>
      </c>
      <c r="E215" s="15">
        <v>57</v>
      </c>
      <c r="F215" s="15">
        <v>127</v>
      </c>
      <c r="G215" s="15">
        <v>36</v>
      </c>
      <c r="H215" s="15">
        <v>4547</v>
      </c>
      <c r="I215" s="15">
        <v>6880</v>
      </c>
      <c r="J215" s="15">
        <v>3663</v>
      </c>
      <c r="K215" s="15">
        <v>8</v>
      </c>
      <c r="L215" s="15">
        <v>532</v>
      </c>
      <c r="M215" s="15">
        <v>42</v>
      </c>
      <c r="N215" s="15">
        <v>2635</v>
      </c>
      <c r="O215" s="40">
        <v>3279</v>
      </c>
      <c r="P215" s="18">
        <f t="shared" si="0"/>
        <v>384</v>
      </c>
      <c r="Q215" s="18">
        <f t="shared" si="1"/>
        <v>384</v>
      </c>
      <c r="R215" s="18">
        <f t="shared" si="2"/>
        <v>6880</v>
      </c>
      <c r="S215" s="41">
        <v>50</v>
      </c>
      <c r="U215" s="42"/>
      <c r="V215" s="42"/>
    </row>
    <row r="216" spans="1:22" ht="14.4">
      <c r="A216" s="13">
        <v>50403</v>
      </c>
      <c r="B216" s="14" t="s">
        <v>231</v>
      </c>
      <c r="C216" s="15">
        <v>8436</v>
      </c>
      <c r="D216" s="15">
        <v>3907</v>
      </c>
      <c r="E216" s="15">
        <v>21</v>
      </c>
      <c r="F216" s="15">
        <v>23</v>
      </c>
      <c r="G216" s="15">
        <v>54</v>
      </c>
      <c r="H216" s="15">
        <v>4431</v>
      </c>
      <c r="I216" s="15">
        <v>12538</v>
      </c>
      <c r="J216" s="15">
        <v>8358</v>
      </c>
      <c r="K216" s="15">
        <v>26</v>
      </c>
      <c r="L216" s="15">
        <v>126</v>
      </c>
      <c r="M216" s="15">
        <v>107</v>
      </c>
      <c r="N216" s="15">
        <v>3921</v>
      </c>
      <c r="O216" s="40">
        <v>5066</v>
      </c>
      <c r="P216" s="18">
        <f t="shared" si="0"/>
        <v>3292</v>
      </c>
      <c r="Q216" s="18">
        <f t="shared" si="1"/>
        <v>3292</v>
      </c>
      <c r="R216" s="18">
        <f t="shared" si="2"/>
        <v>12538</v>
      </c>
      <c r="S216" s="41">
        <v>74</v>
      </c>
      <c r="U216" s="42"/>
      <c r="V216" s="42"/>
    </row>
    <row r="217" spans="1:22" ht="14.4">
      <c r="A217" s="21">
        <v>50404</v>
      </c>
      <c r="B217" s="22" t="s">
        <v>232</v>
      </c>
      <c r="C217" s="15">
        <v>5093</v>
      </c>
      <c r="D217" s="15">
        <v>1897</v>
      </c>
      <c r="E217" s="15">
        <v>58</v>
      </c>
      <c r="F217" s="15">
        <v>34</v>
      </c>
      <c r="G217" s="15">
        <v>51</v>
      </c>
      <c r="H217" s="15">
        <v>3053</v>
      </c>
      <c r="I217" s="15">
        <v>6181</v>
      </c>
      <c r="J217" s="15">
        <v>3529</v>
      </c>
      <c r="K217" s="15">
        <v>10</v>
      </c>
      <c r="L217" s="15">
        <v>147</v>
      </c>
      <c r="M217" s="15">
        <v>41</v>
      </c>
      <c r="N217" s="15">
        <v>2454</v>
      </c>
      <c r="O217" s="40">
        <v>2390</v>
      </c>
      <c r="P217" s="18">
        <f t="shared" si="0"/>
        <v>1139</v>
      </c>
      <c r="Q217" s="18">
        <f t="shared" si="1"/>
        <v>1139</v>
      </c>
      <c r="R217" s="18">
        <f t="shared" si="2"/>
        <v>6181</v>
      </c>
      <c r="S217" s="41">
        <v>58</v>
      </c>
      <c r="U217" s="42"/>
      <c r="V217" s="42"/>
    </row>
    <row r="218" spans="1:22" ht="14.4">
      <c r="A218" s="13">
        <v>50405</v>
      </c>
      <c r="B218" s="14" t="s">
        <v>233</v>
      </c>
      <c r="C218" s="15">
        <v>6364</v>
      </c>
      <c r="D218" s="15">
        <v>3707</v>
      </c>
      <c r="E218" s="15">
        <v>13</v>
      </c>
      <c r="F218" s="15">
        <v>91</v>
      </c>
      <c r="G218" s="15">
        <v>39</v>
      </c>
      <c r="H218" s="15">
        <v>2514</v>
      </c>
      <c r="I218" s="15">
        <v>8438</v>
      </c>
      <c r="J218" s="15">
        <v>5664</v>
      </c>
      <c r="K218" s="15">
        <v>12</v>
      </c>
      <c r="L218" s="15">
        <v>99</v>
      </c>
      <c r="M218" s="15">
        <v>51</v>
      </c>
      <c r="N218" s="15">
        <v>2612</v>
      </c>
      <c r="O218" s="40">
        <v>3210</v>
      </c>
      <c r="P218" s="18">
        <f t="shared" si="0"/>
        <v>2454</v>
      </c>
      <c r="Q218" s="18">
        <f t="shared" si="1"/>
        <v>2454</v>
      </c>
      <c r="R218" s="18">
        <f t="shared" si="2"/>
        <v>8438</v>
      </c>
      <c r="S218" s="41">
        <v>109</v>
      </c>
      <c r="U218" s="42"/>
      <c r="V218" s="42"/>
    </row>
    <row r="219" spans="1:22" ht="14.4">
      <c r="A219" s="21">
        <v>50501</v>
      </c>
      <c r="B219" s="22" t="s">
        <v>234</v>
      </c>
      <c r="C219" s="15">
        <v>8277</v>
      </c>
      <c r="D219" s="15">
        <v>1513</v>
      </c>
      <c r="E219" s="15">
        <v>39</v>
      </c>
      <c r="F219" s="15">
        <v>235</v>
      </c>
      <c r="G219" s="15">
        <v>63</v>
      </c>
      <c r="H219" s="15">
        <v>6427</v>
      </c>
      <c r="I219" s="15">
        <v>11303</v>
      </c>
      <c r="J219" s="15">
        <v>4565</v>
      </c>
      <c r="K219" s="15">
        <v>22</v>
      </c>
      <c r="L219" s="15">
        <v>341</v>
      </c>
      <c r="M219" s="15">
        <v>63</v>
      </c>
      <c r="N219" s="15">
        <v>6312</v>
      </c>
      <c r="O219" s="40">
        <v>4021</v>
      </c>
      <c r="P219" s="18">
        <f t="shared" si="0"/>
        <v>544</v>
      </c>
      <c r="Q219" s="18">
        <f t="shared" si="1"/>
        <v>544</v>
      </c>
      <c r="R219" s="18">
        <f t="shared" si="2"/>
        <v>11303</v>
      </c>
      <c r="S219" s="41">
        <v>53</v>
      </c>
      <c r="U219" s="42"/>
      <c r="V219" s="42"/>
    </row>
    <row r="220" spans="1:22" ht="14.4">
      <c r="A220" s="13">
        <v>50502</v>
      </c>
      <c r="B220" s="14" t="s">
        <v>235</v>
      </c>
      <c r="C220" s="15">
        <v>3511</v>
      </c>
      <c r="D220" s="15">
        <v>1019</v>
      </c>
      <c r="E220" s="15">
        <v>16</v>
      </c>
      <c r="F220" s="15">
        <v>182</v>
      </c>
      <c r="G220" s="15">
        <v>34</v>
      </c>
      <c r="H220" s="15">
        <v>2260</v>
      </c>
      <c r="I220" s="15">
        <v>4192</v>
      </c>
      <c r="J220" s="15">
        <v>1960</v>
      </c>
      <c r="K220" s="15">
        <v>5</v>
      </c>
      <c r="L220" s="15">
        <v>207</v>
      </c>
      <c r="M220" s="15">
        <v>12</v>
      </c>
      <c r="N220" s="15">
        <v>2008</v>
      </c>
      <c r="O220" s="40">
        <v>2254</v>
      </c>
      <c r="P220" s="18">
        <f t="shared" si="0"/>
        <v>-294</v>
      </c>
      <c r="Q220" s="40" t="str">
        <f t="shared" si="1"/>
        <v/>
      </c>
      <c r="R220" s="18">
        <f t="shared" si="2"/>
        <v>4486</v>
      </c>
      <c r="S220" s="41">
        <v>87</v>
      </c>
      <c r="U220" s="42"/>
      <c r="V220" s="42"/>
    </row>
    <row r="221" spans="1:22" ht="14.4">
      <c r="A221" s="21">
        <v>50601</v>
      </c>
      <c r="B221" s="22" t="s">
        <v>236</v>
      </c>
      <c r="C221" s="15">
        <v>9471</v>
      </c>
      <c r="D221" s="15">
        <v>5965</v>
      </c>
      <c r="E221" s="15">
        <v>132</v>
      </c>
      <c r="F221" s="15">
        <v>296</v>
      </c>
      <c r="G221" s="15">
        <v>9</v>
      </c>
      <c r="H221" s="15">
        <v>3069</v>
      </c>
      <c r="I221" s="15">
        <v>11224</v>
      </c>
      <c r="J221" s="15">
        <v>8436</v>
      </c>
      <c r="K221" s="15">
        <v>27</v>
      </c>
      <c r="L221" s="15">
        <v>87</v>
      </c>
      <c r="M221" s="15">
        <v>17</v>
      </c>
      <c r="N221" s="15">
        <v>2657</v>
      </c>
      <c r="O221" s="40">
        <v>5872</v>
      </c>
      <c r="P221" s="18">
        <f t="shared" si="0"/>
        <v>2564</v>
      </c>
      <c r="Q221" s="18">
        <f t="shared" si="1"/>
        <v>2564</v>
      </c>
      <c r="R221" s="18">
        <f t="shared" si="2"/>
        <v>11224</v>
      </c>
      <c r="S221" s="41">
        <v>230</v>
      </c>
      <c r="U221" s="42"/>
      <c r="V221" s="42"/>
    </row>
    <row r="222" spans="1:22" ht="14.4">
      <c r="A222" s="13">
        <v>50602</v>
      </c>
      <c r="B222" s="14" t="s">
        <v>237</v>
      </c>
      <c r="C222" s="15">
        <v>3124</v>
      </c>
      <c r="D222" s="15">
        <v>2265</v>
      </c>
      <c r="E222" s="15">
        <v>45</v>
      </c>
      <c r="F222" s="15">
        <v>13</v>
      </c>
      <c r="G222" s="15">
        <v>9</v>
      </c>
      <c r="H222" s="15">
        <v>792</v>
      </c>
      <c r="I222" s="15">
        <v>3880</v>
      </c>
      <c r="J222" s="15">
        <v>2976</v>
      </c>
      <c r="K222" s="15">
        <v>2</v>
      </c>
      <c r="L222" s="15">
        <v>22</v>
      </c>
      <c r="M222" s="15">
        <v>9</v>
      </c>
      <c r="N222" s="15">
        <v>871</v>
      </c>
      <c r="O222" s="40">
        <v>2407</v>
      </c>
      <c r="P222" s="18">
        <f t="shared" si="0"/>
        <v>569</v>
      </c>
      <c r="Q222" s="18">
        <f t="shared" si="1"/>
        <v>569</v>
      </c>
      <c r="R222" s="18">
        <f t="shared" si="2"/>
        <v>3880</v>
      </c>
      <c r="S222" s="41">
        <v>135</v>
      </c>
      <c r="U222" s="42"/>
      <c r="V222" s="42"/>
    </row>
    <row r="223" spans="1:22" ht="14.4">
      <c r="A223" s="21">
        <v>50701</v>
      </c>
      <c r="B223" s="22" t="s">
        <v>238</v>
      </c>
      <c r="C223" s="15">
        <v>5618</v>
      </c>
      <c r="D223" s="15">
        <v>3155</v>
      </c>
      <c r="E223" s="15">
        <v>24</v>
      </c>
      <c r="F223" s="15">
        <v>11</v>
      </c>
      <c r="G223" s="15">
        <v>51</v>
      </c>
      <c r="H223" s="15">
        <v>2377</v>
      </c>
      <c r="I223" s="15">
        <v>6779</v>
      </c>
      <c r="J223" s="15">
        <v>4933</v>
      </c>
      <c r="K223" s="15">
        <v>24</v>
      </c>
      <c r="L223" s="15">
        <v>96</v>
      </c>
      <c r="M223" s="15">
        <v>33</v>
      </c>
      <c r="N223" s="15">
        <v>1693</v>
      </c>
      <c r="O223" s="40">
        <v>3490</v>
      </c>
      <c r="P223" s="18">
        <f t="shared" si="0"/>
        <v>1443</v>
      </c>
      <c r="Q223" s="18">
        <f t="shared" si="1"/>
        <v>1443</v>
      </c>
      <c r="R223" s="18">
        <f t="shared" si="2"/>
        <v>6779</v>
      </c>
      <c r="S223" s="41">
        <v>83</v>
      </c>
      <c r="U223" s="42"/>
      <c r="V223" s="42"/>
    </row>
    <row r="224" spans="1:22" ht="14.4">
      <c r="A224" s="13">
        <v>50702</v>
      </c>
      <c r="B224" s="14" t="s">
        <v>239</v>
      </c>
      <c r="C224" s="15">
        <v>2741</v>
      </c>
      <c r="D224" s="15">
        <v>1246</v>
      </c>
      <c r="E224" s="15">
        <v>5</v>
      </c>
      <c r="F224" s="15">
        <v>5</v>
      </c>
      <c r="G224" s="15">
        <v>16</v>
      </c>
      <c r="H224" s="15">
        <v>1469</v>
      </c>
      <c r="I224" s="15">
        <v>3517</v>
      </c>
      <c r="J224" s="15">
        <v>2410</v>
      </c>
      <c r="K224" s="15">
        <v>7</v>
      </c>
      <c r="L224" s="15">
        <v>54</v>
      </c>
      <c r="M224" s="15">
        <v>20</v>
      </c>
      <c r="N224" s="15">
        <v>1026</v>
      </c>
      <c r="O224" s="40">
        <v>1478</v>
      </c>
      <c r="P224" s="18">
        <f t="shared" si="0"/>
        <v>932</v>
      </c>
      <c r="Q224" s="18">
        <f t="shared" si="1"/>
        <v>932</v>
      </c>
      <c r="R224" s="18">
        <f t="shared" si="2"/>
        <v>3517</v>
      </c>
      <c r="S224" s="41">
        <v>67</v>
      </c>
      <c r="U224" s="42"/>
      <c r="V224" s="42"/>
    </row>
    <row r="225" spans="1:22" ht="14.4">
      <c r="A225" s="21">
        <v>50801</v>
      </c>
      <c r="B225" s="22" t="s">
        <v>240</v>
      </c>
      <c r="C225" s="15">
        <v>13319</v>
      </c>
      <c r="D225" s="15">
        <v>10966</v>
      </c>
      <c r="E225" s="15">
        <v>111</v>
      </c>
      <c r="F225" s="15">
        <v>104</v>
      </c>
      <c r="G225" s="15">
        <v>54</v>
      </c>
      <c r="H225" s="15">
        <v>2084</v>
      </c>
      <c r="I225" s="15">
        <v>15876</v>
      </c>
      <c r="J225" s="15">
        <v>14084</v>
      </c>
      <c r="K225" s="15">
        <v>86</v>
      </c>
      <c r="L225" s="15">
        <v>162</v>
      </c>
      <c r="M225" s="15">
        <v>111</v>
      </c>
      <c r="N225" s="15">
        <v>1433</v>
      </c>
      <c r="O225" s="40">
        <v>14138</v>
      </c>
      <c r="P225" s="18">
        <f t="shared" si="0"/>
        <v>-54</v>
      </c>
      <c r="Q225" s="40" t="str">
        <f t="shared" si="1"/>
        <v/>
      </c>
      <c r="R225" s="18">
        <f t="shared" si="2"/>
        <v>15930</v>
      </c>
      <c r="S225" s="41">
        <v>520</v>
      </c>
      <c r="U225" s="42"/>
      <c r="V225" s="42"/>
    </row>
    <row r="226" spans="1:22" ht="14.4">
      <c r="A226" s="13">
        <v>50802</v>
      </c>
      <c r="B226" s="14" t="s">
        <v>241</v>
      </c>
      <c r="C226" s="15">
        <v>3576</v>
      </c>
      <c r="D226" s="15">
        <v>3182</v>
      </c>
      <c r="E226" s="15">
        <v>44</v>
      </c>
      <c r="F226" s="15">
        <v>86</v>
      </c>
      <c r="G226" s="15">
        <v>10</v>
      </c>
      <c r="H226" s="15">
        <v>254</v>
      </c>
      <c r="I226" s="15">
        <v>3751</v>
      </c>
      <c r="J226" s="15">
        <v>3374</v>
      </c>
      <c r="K226" s="15">
        <v>62</v>
      </c>
      <c r="L226" s="15">
        <v>79</v>
      </c>
      <c r="M226" s="15">
        <v>15</v>
      </c>
      <c r="N226" s="15">
        <v>221</v>
      </c>
      <c r="O226" s="40">
        <v>2977</v>
      </c>
      <c r="P226" s="18">
        <f t="shared" si="0"/>
        <v>397</v>
      </c>
      <c r="Q226" s="18">
        <f t="shared" si="1"/>
        <v>397</v>
      </c>
      <c r="R226" s="18">
        <f t="shared" si="2"/>
        <v>3751</v>
      </c>
      <c r="S226" s="41">
        <v>381</v>
      </c>
      <c r="U226" s="42"/>
      <c r="V226" s="42"/>
    </row>
    <row r="227" spans="1:22" ht="14.4">
      <c r="A227" s="21">
        <v>50901</v>
      </c>
      <c r="B227" s="22" t="s">
        <v>242</v>
      </c>
      <c r="C227" s="15">
        <v>3307</v>
      </c>
      <c r="D227" s="15">
        <v>1906</v>
      </c>
      <c r="E227" s="15">
        <v>46</v>
      </c>
      <c r="F227" s="15">
        <v>263</v>
      </c>
      <c r="G227" s="15">
        <v>215</v>
      </c>
      <c r="H227" s="15">
        <v>877</v>
      </c>
      <c r="I227" s="15">
        <v>4165</v>
      </c>
      <c r="J227" s="15">
        <v>3362</v>
      </c>
      <c r="K227" s="15">
        <v>20</v>
      </c>
      <c r="L227" s="15">
        <v>290</v>
      </c>
      <c r="M227" s="15">
        <v>47</v>
      </c>
      <c r="N227" s="15">
        <v>446</v>
      </c>
      <c r="O227" s="40">
        <v>3330</v>
      </c>
      <c r="P227" s="18">
        <f t="shared" si="0"/>
        <v>32</v>
      </c>
      <c r="Q227" s="18">
        <f t="shared" si="1"/>
        <v>32</v>
      </c>
      <c r="R227" s="18">
        <f t="shared" si="2"/>
        <v>4165</v>
      </c>
      <c r="S227" s="41">
        <v>436</v>
      </c>
      <c r="U227" s="42"/>
      <c r="V227" s="42"/>
    </row>
    <row r="228" spans="1:22" ht="14.4">
      <c r="A228" s="13">
        <v>50902</v>
      </c>
      <c r="B228" s="14" t="s">
        <v>243</v>
      </c>
      <c r="C228" s="15">
        <v>372</v>
      </c>
      <c r="D228" s="15">
        <v>187</v>
      </c>
      <c r="E228" s="15">
        <v>14</v>
      </c>
      <c r="F228" s="15">
        <v>9</v>
      </c>
      <c r="G228" s="15">
        <v>22</v>
      </c>
      <c r="H228" s="15">
        <v>140</v>
      </c>
      <c r="I228" s="15">
        <v>657</v>
      </c>
      <c r="J228" s="15">
        <v>427</v>
      </c>
      <c r="K228" s="15">
        <v>64</v>
      </c>
      <c r="L228" s="15">
        <v>35</v>
      </c>
      <c r="M228" s="15">
        <v>11</v>
      </c>
      <c r="N228" s="15">
        <v>120</v>
      </c>
      <c r="O228" s="40">
        <v>217</v>
      </c>
      <c r="P228" s="18">
        <f t="shared" si="0"/>
        <v>210</v>
      </c>
      <c r="Q228" s="18">
        <f t="shared" si="1"/>
        <v>210</v>
      </c>
      <c r="R228" s="18">
        <f t="shared" si="2"/>
        <v>657</v>
      </c>
      <c r="S228" s="41">
        <v>417</v>
      </c>
      <c r="U228" s="42"/>
      <c r="V228" s="42"/>
    </row>
    <row r="229" spans="1:22" ht="14.4">
      <c r="A229" s="21">
        <v>51001</v>
      </c>
      <c r="B229" s="22" t="s">
        <v>244</v>
      </c>
      <c r="C229" s="15">
        <v>871</v>
      </c>
      <c r="D229" s="15">
        <v>358</v>
      </c>
      <c r="E229" s="15">
        <v>7</v>
      </c>
      <c r="F229" s="15">
        <v>305</v>
      </c>
      <c r="G229" s="15">
        <v>9</v>
      </c>
      <c r="H229" s="15">
        <v>192</v>
      </c>
      <c r="I229" s="15">
        <v>1111</v>
      </c>
      <c r="J229" s="15">
        <v>347</v>
      </c>
      <c r="K229" s="15">
        <v>51</v>
      </c>
      <c r="L229" s="15">
        <v>246</v>
      </c>
      <c r="M229" s="15">
        <v>85</v>
      </c>
      <c r="N229" s="15">
        <v>382</v>
      </c>
      <c r="O229" s="40">
        <v>329</v>
      </c>
      <c r="P229" s="18">
        <f t="shared" si="0"/>
        <v>18</v>
      </c>
      <c r="Q229" s="18">
        <f t="shared" si="1"/>
        <v>18</v>
      </c>
      <c r="R229" s="18">
        <f t="shared" si="2"/>
        <v>1111</v>
      </c>
      <c r="S229" s="41">
        <v>126</v>
      </c>
      <c r="U229" s="42"/>
      <c r="V229" s="42"/>
    </row>
    <row r="230" spans="1:22" ht="14.4">
      <c r="A230" s="13">
        <v>51002</v>
      </c>
      <c r="B230" s="14" t="s">
        <v>245</v>
      </c>
      <c r="C230" s="15">
        <v>358</v>
      </c>
      <c r="D230" s="15">
        <v>74</v>
      </c>
      <c r="E230" s="15">
        <v>3</v>
      </c>
      <c r="F230" s="15">
        <v>38</v>
      </c>
      <c r="G230" s="15">
        <v>1</v>
      </c>
      <c r="H230" s="15">
        <v>242</v>
      </c>
      <c r="I230" s="15">
        <v>324</v>
      </c>
      <c r="J230" s="15">
        <v>74</v>
      </c>
      <c r="K230" s="15">
        <v>8</v>
      </c>
      <c r="L230" s="15">
        <v>29</v>
      </c>
      <c r="M230" s="15">
        <v>1</v>
      </c>
      <c r="N230" s="15">
        <v>212</v>
      </c>
      <c r="O230" s="40">
        <v>92</v>
      </c>
      <c r="P230" s="18">
        <f t="shared" si="0"/>
        <v>-18</v>
      </c>
      <c r="Q230" s="40" t="str">
        <f t="shared" si="1"/>
        <v/>
      </c>
      <c r="R230" s="18">
        <f t="shared" si="2"/>
        <v>342</v>
      </c>
      <c r="S230" s="41">
        <v>40.5</v>
      </c>
      <c r="U230" s="42"/>
      <c r="V230" s="42"/>
    </row>
    <row r="231" spans="1:22" ht="14.4">
      <c r="A231" s="21">
        <v>51003</v>
      </c>
      <c r="B231" s="22" t="s">
        <v>246</v>
      </c>
      <c r="C231" s="15">
        <v>715</v>
      </c>
      <c r="D231" s="15">
        <v>224</v>
      </c>
      <c r="E231" s="15">
        <v>2</v>
      </c>
      <c r="F231" s="15">
        <v>226</v>
      </c>
      <c r="G231" s="15">
        <v>2</v>
      </c>
      <c r="H231" s="15">
        <v>261</v>
      </c>
      <c r="I231" s="15">
        <v>690</v>
      </c>
      <c r="J231" s="15">
        <v>240</v>
      </c>
      <c r="K231" s="15">
        <v>4</v>
      </c>
      <c r="L231" s="15">
        <v>38</v>
      </c>
      <c r="M231" s="15">
        <v>0</v>
      </c>
      <c r="N231" s="15">
        <v>408</v>
      </c>
      <c r="O231" s="40">
        <v>339</v>
      </c>
      <c r="P231" s="18">
        <f t="shared" si="0"/>
        <v>-99</v>
      </c>
      <c r="Q231" s="40" t="str">
        <f t="shared" si="1"/>
        <v/>
      </c>
      <c r="R231" s="18">
        <f t="shared" si="2"/>
        <v>789</v>
      </c>
      <c r="S231" s="41">
        <v>56</v>
      </c>
      <c r="U231" s="42"/>
      <c r="V231" s="42"/>
    </row>
    <row r="232" spans="1:22" ht="14.4">
      <c r="A232" s="13">
        <v>51101</v>
      </c>
      <c r="B232" s="14" t="s">
        <v>247</v>
      </c>
      <c r="C232" s="15">
        <v>7103</v>
      </c>
      <c r="D232" s="15">
        <v>4779</v>
      </c>
      <c r="E232" s="15">
        <v>13</v>
      </c>
      <c r="F232" s="15">
        <v>23</v>
      </c>
      <c r="G232" s="15">
        <v>48</v>
      </c>
      <c r="H232" s="15">
        <v>2240</v>
      </c>
      <c r="I232" s="15">
        <v>6251</v>
      </c>
      <c r="J232" s="15">
        <v>4963</v>
      </c>
      <c r="K232" s="15">
        <v>14</v>
      </c>
      <c r="L232" s="15">
        <v>41</v>
      </c>
      <c r="M232" s="15">
        <v>32</v>
      </c>
      <c r="N232" s="15">
        <v>1201</v>
      </c>
      <c r="O232" s="40">
        <v>5565</v>
      </c>
      <c r="P232" s="18">
        <f t="shared" si="0"/>
        <v>-602</v>
      </c>
      <c r="Q232" s="40" t="str">
        <f t="shared" si="1"/>
        <v/>
      </c>
      <c r="R232" s="18">
        <f t="shared" si="2"/>
        <v>6853</v>
      </c>
      <c r="S232" s="41">
        <v>104</v>
      </c>
      <c r="U232" s="42"/>
      <c r="V232" s="42"/>
    </row>
    <row r="233" spans="1:22" ht="14.4">
      <c r="A233" s="21">
        <v>51102</v>
      </c>
      <c r="B233" s="22" t="s">
        <v>248</v>
      </c>
      <c r="C233" s="15">
        <v>3543</v>
      </c>
      <c r="D233" s="15">
        <v>2345</v>
      </c>
      <c r="E233" s="15">
        <v>11</v>
      </c>
      <c r="F233" s="15">
        <v>32</v>
      </c>
      <c r="G233" s="15">
        <v>13</v>
      </c>
      <c r="H233" s="15">
        <v>1142</v>
      </c>
      <c r="I233" s="15">
        <v>4643</v>
      </c>
      <c r="J233" s="15">
        <v>3521</v>
      </c>
      <c r="K233" s="15">
        <v>20</v>
      </c>
      <c r="L233" s="15">
        <v>67</v>
      </c>
      <c r="M233" s="15">
        <v>43</v>
      </c>
      <c r="N233" s="15">
        <v>992</v>
      </c>
      <c r="O233" s="40">
        <v>3185</v>
      </c>
      <c r="P233" s="18">
        <f t="shared" si="0"/>
        <v>336</v>
      </c>
      <c r="Q233" s="18">
        <f t="shared" si="1"/>
        <v>336</v>
      </c>
      <c r="R233" s="18">
        <f t="shared" si="2"/>
        <v>4643</v>
      </c>
      <c r="S233" s="41">
        <v>175</v>
      </c>
      <c r="U233" s="42"/>
      <c r="V233" s="42"/>
    </row>
    <row r="234" spans="1:22" ht="14.4">
      <c r="A234" s="13">
        <v>51103</v>
      </c>
      <c r="B234" s="14" t="s">
        <v>249</v>
      </c>
      <c r="C234" s="15">
        <v>3826</v>
      </c>
      <c r="D234" s="15">
        <v>1491</v>
      </c>
      <c r="E234" s="15">
        <v>8</v>
      </c>
      <c r="F234" s="15">
        <v>355</v>
      </c>
      <c r="G234" s="15">
        <v>123</v>
      </c>
      <c r="H234" s="15">
        <v>1849</v>
      </c>
      <c r="I234" s="15">
        <v>4203</v>
      </c>
      <c r="J234" s="15">
        <v>2750</v>
      </c>
      <c r="K234" s="15">
        <v>8</v>
      </c>
      <c r="L234" s="15">
        <v>98</v>
      </c>
      <c r="M234" s="15">
        <v>30</v>
      </c>
      <c r="N234" s="15">
        <v>1317</v>
      </c>
      <c r="O234" s="40">
        <v>1545</v>
      </c>
      <c r="P234" s="18">
        <f t="shared" si="0"/>
        <v>1205</v>
      </c>
      <c r="Q234" s="18">
        <f t="shared" si="1"/>
        <v>1205</v>
      </c>
      <c r="R234" s="18">
        <f t="shared" si="2"/>
        <v>4203</v>
      </c>
      <c r="S234" s="41">
        <v>61</v>
      </c>
      <c r="U234" s="42"/>
      <c r="V234" s="42"/>
    </row>
    <row r="235" spans="1:22" ht="14.4">
      <c r="A235" s="21">
        <v>51201</v>
      </c>
      <c r="B235" s="22" t="s">
        <v>250</v>
      </c>
      <c r="C235" s="15">
        <v>9597</v>
      </c>
      <c r="D235" s="15">
        <v>7458</v>
      </c>
      <c r="E235" s="15">
        <v>41</v>
      </c>
      <c r="F235" s="15">
        <v>181</v>
      </c>
      <c r="G235" s="15">
        <v>52</v>
      </c>
      <c r="H235" s="15">
        <v>1865</v>
      </c>
      <c r="I235" s="15">
        <v>13134</v>
      </c>
      <c r="J235" s="15">
        <v>11718</v>
      </c>
      <c r="K235" s="15">
        <v>37</v>
      </c>
      <c r="L235" s="15">
        <v>159</v>
      </c>
      <c r="M235" s="15">
        <v>70</v>
      </c>
      <c r="N235" s="15">
        <v>1150</v>
      </c>
      <c r="O235" s="40">
        <v>10799</v>
      </c>
      <c r="P235" s="18">
        <f t="shared" si="0"/>
        <v>919</v>
      </c>
      <c r="Q235" s="18">
        <f t="shared" si="1"/>
        <v>919</v>
      </c>
      <c r="R235" s="18">
        <f t="shared" si="2"/>
        <v>13134</v>
      </c>
      <c r="S235" s="41">
        <v>355</v>
      </c>
      <c r="U235" s="42"/>
      <c r="V235" s="42"/>
    </row>
    <row r="236" spans="1:22" ht="14.4">
      <c r="A236" s="13">
        <v>51202</v>
      </c>
      <c r="B236" s="14" t="s">
        <v>251</v>
      </c>
      <c r="C236" s="15">
        <v>3077</v>
      </c>
      <c r="D236" s="15">
        <v>1612</v>
      </c>
      <c r="E236" s="15">
        <v>29</v>
      </c>
      <c r="F236" s="15">
        <v>113</v>
      </c>
      <c r="G236" s="15">
        <v>17</v>
      </c>
      <c r="H236" s="15">
        <v>1306</v>
      </c>
      <c r="I236" s="15">
        <v>3317</v>
      </c>
      <c r="J236" s="15">
        <v>2456</v>
      </c>
      <c r="K236" s="15">
        <v>4</v>
      </c>
      <c r="L236" s="15">
        <v>112</v>
      </c>
      <c r="M236" s="15">
        <v>12</v>
      </c>
      <c r="N236" s="15">
        <v>733</v>
      </c>
      <c r="O236" s="40">
        <v>2818</v>
      </c>
      <c r="P236" s="18">
        <f t="shared" si="0"/>
        <v>-362</v>
      </c>
      <c r="Q236" s="40" t="str">
        <f t="shared" si="1"/>
        <v/>
      </c>
      <c r="R236" s="18">
        <f t="shared" si="2"/>
        <v>3679</v>
      </c>
      <c r="S236" s="41">
        <v>50</v>
      </c>
      <c r="U236" s="42"/>
      <c r="V236" s="42"/>
    </row>
    <row r="237" spans="1:22" ht="14.4">
      <c r="A237" s="21">
        <v>51203</v>
      </c>
      <c r="B237" s="22" t="s">
        <v>252</v>
      </c>
      <c r="C237" s="15">
        <v>3156</v>
      </c>
      <c r="D237" s="15">
        <v>2465</v>
      </c>
      <c r="E237" s="15">
        <v>13</v>
      </c>
      <c r="F237" s="15">
        <v>21</v>
      </c>
      <c r="G237" s="15">
        <v>38</v>
      </c>
      <c r="H237" s="15">
        <v>619</v>
      </c>
      <c r="I237" s="15">
        <v>5286</v>
      </c>
      <c r="J237" s="15">
        <v>4880</v>
      </c>
      <c r="K237" s="15">
        <v>18</v>
      </c>
      <c r="L237" s="15">
        <v>75</v>
      </c>
      <c r="M237" s="15">
        <v>8</v>
      </c>
      <c r="N237" s="15">
        <v>305</v>
      </c>
      <c r="O237" s="40">
        <v>2344</v>
      </c>
      <c r="P237" s="18">
        <f t="shared" si="0"/>
        <v>2536</v>
      </c>
      <c r="Q237" s="18">
        <f t="shared" si="1"/>
        <v>2536</v>
      </c>
      <c r="R237" s="18">
        <f t="shared" si="2"/>
        <v>5286</v>
      </c>
      <c r="S237" s="41">
        <v>505</v>
      </c>
      <c r="U237" s="42"/>
      <c r="V237" s="42"/>
    </row>
    <row r="238" spans="1:22" ht="14.4">
      <c r="A238" s="13">
        <v>51204</v>
      </c>
      <c r="B238" s="14" t="s">
        <v>253</v>
      </c>
      <c r="C238" s="15">
        <v>2139</v>
      </c>
      <c r="D238" s="15">
        <v>1369</v>
      </c>
      <c r="E238" s="15">
        <v>2</v>
      </c>
      <c r="F238" s="15">
        <v>14</v>
      </c>
      <c r="G238" s="15">
        <v>0</v>
      </c>
      <c r="H238" s="15">
        <v>754</v>
      </c>
      <c r="I238" s="15">
        <v>2607</v>
      </c>
      <c r="J238" s="15">
        <v>1942</v>
      </c>
      <c r="K238" s="15">
        <v>2</v>
      </c>
      <c r="L238" s="15">
        <v>34</v>
      </c>
      <c r="M238" s="15">
        <v>16</v>
      </c>
      <c r="N238" s="15">
        <v>613</v>
      </c>
      <c r="O238" s="40">
        <v>0</v>
      </c>
      <c r="P238" s="18">
        <f t="shared" si="0"/>
        <v>1942</v>
      </c>
      <c r="Q238" s="18">
        <f t="shared" si="1"/>
        <v>1942</v>
      </c>
      <c r="R238" s="18">
        <f t="shared" si="2"/>
        <v>2607</v>
      </c>
      <c r="S238" s="41">
        <v>0</v>
      </c>
      <c r="U238" s="42"/>
      <c r="V238" s="42"/>
    </row>
    <row r="239" spans="1:22" ht="14.4">
      <c r="A239" s="21">
        <v>51301</v>
      </c>
      <c r="B239" s="22" t="s">
        <v>254</v>
      </c>
      <c r="C239" s="15">
        <v>1298</v>
      </c>
      <c r="D239" s="15">
        <v>557</v>
      </c>
      <c r="E239" s="15">
        <v>19</v>
      </c>
      <c r="F239" s="15">
        <v>15</v>
      </c>
      <c r="G239" s="15">
        <v>0</v>
      </c>
      <c r="H239" s="15">
        <v>707</v>
      </c>
      <c r="I239" s="15">
        <v>1457</v>
      </c>
      <c r="J239" s="15">
        <v>1001</v>
      </c>
      <c r="K239" s="15">
        <v>1</v>
      </c>
      <c r="L239" s="15">
        <v>10</v>
      </c>
      <c r="M239" s="15">
        <v>6</v>
      </c>
      <c r="N239" s="15">
        <v>439</v>
      </c>
      <c r="O239" s="40">
        <v>725</v>
      </c>
      <c r="P239" s="18">
        <f t="shared" si="0"/>
        <v>276</v>
      </c>
      <c r="Q239" s="18">
        <f t="shared" si="1"/>
        <v>276</v>
      </c>
      <c r="R239" s="18">
        <f t="shared" si="2"/>
        <v>1457</v>
      </c>
      <c r="S239" s="41">
        <v>24</v>
      </c>
      <c r="U239" s="42"/>
      <c r="V239" s="42"/>
    </row>
    <row r="240" spans="1:22" ht="14.4">
      <c r="A240" s="13">
        <v>51302</v>
      </c>
      <c r="B240" s="14" t="s">
        <v>255</v>
      </c>
      <c r="C240" s="15">
        <v>1719</v>
      </c>
      <c r="D240" s="15">
        <v>1080</v>
      </c>
      <c r="E240" s="15">
        <v>3</v>
      </c>
      <c r="F240" s="15">
        <v>4</v>
      </c>
      <c r="G240" s="15">
        <v>2</v>
      </c>
      <c r="H240" s="15">
        <v>630</v>
      </c>
      <c r="I240" s="15">
        <v>1831</v>
      </c>
      <c r="J240" s="15">
        <v>1301</v>
      </c>
      <c r="K240" s="15">
        <v>2</v>
      </c>
      <c r="L240" s="15">
        <v>27</v>
      </c>
      <c r="M240" s="15">
        <v>4</v>
      </c>
      <c r="N240" s="15">
        <v>497</v>
      </c>
      <c r="O240" s="40">
        <v>1121</v>
      </c>
      <c r="P240" s="18">
        <f t="shared" si="0"/>
        <v>180</v>
      </c>
      <c r="Q240" s="18">
        <f t="shared" si="1"/>
        <v>180</v>
      </c>
      <c r="R240" s="18">
        <f t="shared" si="2"/>
        <v>1831</v>
      </c>
      <c r="S240" s="41">
        <v>75</v>
      </c>
      <c r="U240" s="42"/>
      <c r="V240" s="42"/>
    </row>
    <row r="241" spans="1:22" ht="14.4">
      <c r="A241" s="21">
        <v>51401</v>
      </c>
      <c r="B241" s="22" t="s">
        <v>256</v>
      </c>
      <c r="C241" s="15">
        <v>1504</v>
      </c>
      <c r="D241" s="15">
        <v>608</v>
      </c>
      <c r="E241" s="15">
        <v>25</v>
      </c>
      <c r="F241" s="15">
        <v>173</v>
      </c>
      <c r="G241" s="15">
        <v>18</v>
      </c>
      <c r="H241" s="15">
        <v>680</v>
      </c>
      <c r="I241" s="15">
        <v>1856</v>
      </c>
      <c r="J241" s="15">
        <v>1675</v>
      </c>
      <c r="K241" s="15">
        <v>5</v>
      </c>
      <c r="L241" s="15">
        <v>21</v>
      </c>
      <c r="M241" s="15">
        <v>11</v>
      </c>
      <c r="N241" s="15">
        <v>144</v>
      </c>
      <c r="O241" s="40">
        <v>1590</v>
      </c>
      <c r="P241" s="18">
        <f t="shared" si="0"/>
        <v>85</v>
      </c>
      <c r="Q241" s="18">
        <f t="shared" si="1"/>
        <v>85</v>
      </c>
      <c r="R241" s="18">
        <f t="shared" si="2"/>
        <v>1856</v>
      </c>
      <c r="S241" s="41">
        <v>147</v>
      </c>
      <c r="U241" s="42"/>
      <c r="V241" s="42"/>
    </row>
    <row r="242" spans="1:22" ht="14.4">
      <c r="A242" s="13">
        <v>51402</v>
      </c>
      <c r="B242" s="14" t="s">
        <v>257</v>
      </c>
      <c r="C242" s="15">
        <v>679</v>
      </c>
      <c r="D242" s="15">
        <v>471</v>
      </c>
      <c r="E242" s="15">
        <v>5</v>
      </c>
      <c r="F242" s="15">
        <v>7</v>
      </c>
      <c r="G242" s="15">
        <v>2</v>
      </c>
      <c r="H242" s="15">
        <v>194</v>
      </c>
      <c r="I242" s="15">
        <v>742</v>
      </c>
      <c r="J242" s="15">
        <v>545</v>
      </c>
      <c r="K242" s="15">
        <v>1</v>
      </c>
      <c r="L242" s="15">
        <v>9</v>
      </c>
      <c r="M242" s="15">
        <v>5</v>
      </c>
      <c r="N242" s="15">
        <v>182</v>
      </c>
      <c r="O242" s="40">
        <v>456</v>
      </c>
      <c r="P242" s="18">
        <f t="shared" si="0"/>
        <v>89</v>
      </c>
      <c r="Q242" s="18">
        <f t="shared" si="1"/>
        <v>89</v>
      </c>
      <c r="R242" s="18">
        <f t="shared" si="2"/>
        <v>742</v>
      </c>
      <c r="S242" s="41">
        <v>76.5</v>
      </c>
      <c r="U242" s="42"/>
      <c r="V242" s="42"/>
    </row>
    <row r="243" spans="1:22" ht="14.4">
      <c r="A243" s="21">
        <v>51501</v>
      </c>
      <c r="B243" s="22" t="s">
        <v>258</v>
      </c>
      <c r="C243" s="15">
        <v>12074</v>
      </c>
      <c r="D243" s="15">
        <v>10354</v>
      </c>
      <c r="E243" s="15">
        <v>60</v>
      </c>
      <c r="F243" s="15">
        <v>101</v>
      </c>
      <c r="G243" s="15">
        <v>20</v>
      </c>
      <c r="H243" s="15">
        <v>1539</v>
      </c>
      <c r="I243" s="15">
        <v>14433</v>
      </c>
      <c r="J243" s="15">
        <v>13302</v>
      </c>
      <c r="K243" s="15">
        <v>34</v>
      </c>
      <c r="L243" s="15">
        <v>63</v>
      </c>
      <c r="M243" s="15">
        <v>69</v>
      </c>
      <c r="N243" s="15">
        <v>965</v>
      </c>
      <c r="O243" s="40">
        <v>12424</v>
      </c>
      <c r="P243" s="18">
        <f t="shared" si="0"/>
        <v>878</v>
      </c>
      <c r="Q243" s="18">
        <f t="shared" si="1"/>
        <v>878</v>
      </c>
      <c r="R243" s="18">
        <f t="shared" si="2"/>
        <v>14433</v>
      </c>
      <c r="S243" s="41">
        <v>489</v>
      </c>
      <c r="U243" s="42"/>
      <c r="V243" s="42"/>
    </row>
    <row r="244" spans="1:22" ht="14.4">
      <c r="A244" s="13">
        <v>51601</v>
      </c>
      <c r="B244" s="14" t="s">
        <v>259</v>
      </c>
      <c r="C244" s="15">
        <v>489</v>
      </c>
      <c r="D244" s="15">
        <v>206</v>
      </c>
      <c r="E244" s="15">
        <v>22</v>
      </c>
      <c r="F244" s="15">
        <v>54</v>
      </c>
      <c r="G244" s="15">
        <v>30</v>
      </c>
      <c r="H244" s="15">
        <v>177</v>
      </c>
      <c r="I244" s="15">
        <v>667</v>
      </c>
      <c r="J244" s="15">
        <v>550</v>
      </c>
      <c r="K244" s="15">
        <v>3</v>
      </c>
      <c r="L244" s="15">
        <v>40</v>
      </c>
      <c r="M244" s="15">
        <v>15</v>
      </c>
      <c r="N244" s="15">
        <v>59</v>
      </c>
      <c r="O244" s="40">
        <v>507</v>
      </c>
      <c r="P244" s="18">
        <f t="shared" si="0"/>
        <v>43</v>
      </c>
      <c r="Q244" s="18">
        <f t="shared" si="1"/>
        <v>43</v>
      </c>
      <c r="R244" s="18">
        <f t="shared" si="2"/>
        <v>667</v>
      </c>
      <c r="S244" s="41">
        <v>275</v>
      </c>
      <c r="U244" s="42"/>
      <c r="V244" s="42"/>
    </row>
    <row r="245" spans="1:22" ht="14.4">
      <c r="A245" s="21">
        <v>60101</v>
      </c>
      <c r="B245" s="22" t="s">
        <v>260</v>
      </c>
      <c r="C245" s="15">
        <v>54926</v>
      </c>
      <c r="D245" s="15">
        <v>51411</v>
      </c>
      <c r="E245" s="15">
        <v>92</v>
      </c>
      <c r="F245" s="15">
        <v>115</v>
      </c>
      <c r="G245" s="15">
        <v>109</v>
      </c>
      <c r="H245" s="15">
        <v>3199</v>
      </c>
      <c r="I245" s="15">
        <v>72709</v>
      </c>
      <c r="J245" s="15">
        <v>70904</v>
      </c>
      <c r="K245" s="15">
        <v>185</v>
      </c>
      <c r="L245" s="15">
        <v>69</v>
      </c>
      <c r="M245" s="15">
        <v>222</v>
      </c>
      <c r="N245" s="15">
        <v>1329</v>
      </c>
      <c r="O245" s="40">
        <v>66115</v>
      </c>
      <c r="P245" s="18">
        <f t="shared" si="0"/>
        <v>4789</v>
      </c>
      <c r="Q245" s="18">
        <f t="shared" si="1"/>
        <v>4789</v>
      </c>
      <c r="R245" s="18">
        <f t="shared" si="2"/>
        <v>72709</v>
      </c>
      <c r="S245" s="41">
        <v>1027</v>
      </c>
      <c r="U245" s="42"/>
      <c r="V245" s="42"/>
    </row>
    <row r="246" spans="1:22" ht="14.4">
      <c r="A246" s="13">
        <v>60201</v>
      </c>
      <c r="B246" s="14" t="s">
        <v>261</v>
      </c>
      <c r="C246" s="15">
        <v>5090</v>
      </c>
      <c r="D246" s="15">
        <v>3652</v>
      </c>
      <c r="E246" s="15">
        <v>29</v>
      </c>
      <c r="F246" s="15">
        <v>564</v>
      </c>
      <c r="G246" s="15">
        <v>14</v>
      </c>
      <c r="H246" s="15">
        <v>831</v>
      </c>
      <c r="I246" s="15">
        <v>5649</v>
      </c>
      <c r="J246" s="15">
        <v>4732</v>
      </c>
      <c r="K246" s="15">
        <v>21</v>
      </c>
      <c r="L246" s="15">
        <v>173</v>
      </c>
      <c r="M246" s="15">
        <v>18</v>
      </c>
      <c r="N246" s="15">
        <v>705</v>
      </c>
      <c r="O246" s="40">
        <v>5218</v>
      </c>
      <c r="P246" s="18">
        <f t="shared" si="0"/>
        <v>-486</v>
      </c>
      <c r="Q246" s="40" t="str">
        <f t="shared" si="1"/>
        <v/>
      </c>
      <c r="R246" s="18">
        <f t="shared" si="2"/>
        <v>6135</v>
      </c>
      <c r="S246" s="41">
        <v>383.5</v>
      </c>
      <c r="U246" s="42"/>
      <c r="V246" s="42"/>
    </row>
    <row r="247" spans="1:22" ht="14.4">
      <c r="A247" s="21">
        <v>60202</v>
      </c>
      <c r="B247" s="22" t="s">
        <v>262</v>
      </c>
      <c r="C247" s="15">
        <v>9012</v>
      </c>
      <c r="D247" s="15">
        <v>8417</v>
      </c>
      <c r="E247" s="15">
        <v>13</v>
      </c>
      <c r="F247" s="15">
        <v>10</v>
      </c>
      <c r="G247" s="15">
        <v>7</v>
      </c>
      <c r="H247" s="15">
        <v>565</v>
      </c>
      <c r="I247" s="15">
        <v>10626</v>
      </c>
      <c r="J247" s="15">
        <v>10347</v>
      </c>
      <c r="K247" s="15">
        <v>24</v>
      </c>
      <c r="L247" s="15">
        <v>54</v>
      </c>
      <c r="M247" s="15">
        <v>8</v>
      </c>
      <c r="N247" s="15">
        <v>193</v>
      </c>
      <c r="O247" s="40">
        <v>9904</v>
      </c>
      <c r="P247" s="18">
        <f t="shared" si="0"/>
        <v>443</v>
      </c>
      <c r="Q247" s="18">
        <f t="shared" si="1"/>
        <v>443</v>
      </c>
      <c r="R247" s="18">
        <f t="shared" si="2"/>
        <v>10626</v>
      </c>
      <c r="S247" s="41">
        <v>1162</v>
      </c>
      <c r="U247" s="42"/>
      <c r="V247" s="42"/>
    </row>
    <row r="248" spans="1:22" ht="14.4">
      <c r="A248" s="13">
        <v>60301</v>
      </c>
      <c r="B248" s="14" t="s">
        <v>263</v>
      </c>
      <c r="C248" s="15">
        <v>22138</v>
      </c>
      <c r="D248" s="15">
        <v>20275</v>
      </c>
      <c r="E248" s="15">
        <v>381</v>
      </c>
      <c r="F248" s="15">
        <v>34</v>
      </c>
      <c r="G248" s="15">
        <v>59</v>
      </c>
      <c r="H248" s="15">
        <v>1389</v>
      </c>
      <c r="I248" s="15">
        <v>27308</v>
      </c>
      <c r="J248" s="15">
        <v>26042</v>
      </c>
      <c r="K248" s="15">
        <v>467</v>
      </c>
      <c r="L248" s="15">
        <v>137</v>
      </c>
      <c r="M248" s="15">
        <v>89</v>
      </c>
      <c r="N248" s="15">
        <v>573</v>
      </c>
      <c r="O248" s="40">
        <v>25327</v>
      </c>
      <c r="P248" s="18">
        <f t="shared" si="0"/>
        <v>715</v>
      </c>
      <c r="Q248" s="18">
        <f t="shared" si="1"/>
        <v>715</v>
      </c>
      <c r="R248" s="18">
        <f t="shared" si="2"/>
        <v>27308</v>
      </c>
      <c r="S248" s="41">
        <v>1012</v>
      </c>
      <c r="U248" s="42"/>
      <c r="V248" s="42"/>
    </row>
    <row r="249" spans="1:22" ht="14.4">
      <c r="A249" s="21">
        <v>60302</v>
      </c>
      <c r="B249" s="22" t="s">
        <v>264</v>
      </c>
      <c r="C249" s="15">
        <v>3995</v>
      </c>
      <c r="D249" s="15">
        <v>3457</v>
      </c>
      <c r="E249" s="15">
        <v>6</v>
      </c>
      <c r="F249" s="15">
        <v>14</v>
      </c>
      <c r="G249" s="15">
        <v>6</v>
      </c>
      <c r="H249" s="15">
        <v>512</v>
      </c>
      <c r="I249" s="15">
        <v>4684</v>
      </c>
      <c r="J249" s="15">
        <v>4313</v>
      </c>
      <c r="K249" s="15">
        <v>11</v>
      </c>
      <c r="L249" s="15">
        <v>20</v>
      </c>
      <c r="M249" s="15">
        <v>18</v>
      </c>
      <c r="N249" s="15">
        <v>322</v>
      </c>
      <c r="O249" s="40">
        <v>4392</v>
      </c>
      <c r="P249" s="18">
        <f t="shared" si="0"/>
        <v>-79</v>
      </c>
      <c r="Q249" s="40" t="str">
        <f t="shared" si="1"/>
        <v/>
      </c>
      <c r="R249" s="18">
        <f t="shared" si="2"/>
        <v>4763</v>
      </c>
      <c r="S249" s="41">
        <v>650</v>
      </c>
      <c r="U249" s="42"/>
      <c r="V249" s="42"/>
    </row>
    <row r="250" spans="1:22" ht="14.4">
      <c r="A250" s="13">
        <v>60303</v>
      </c>
      <c r="B250" s="14" t="s">
        <v>265</v>
      </c>
      <c r="C250" s="15">
        <v>10289</v>
      </c>
      <c r="D250" s="15">
        <v>8549</v>
      </c>
      <c r="E250" s="15">
        <v>163</v>
      </c>
      <c r="F250" s="15">
        <v>250</v>
      </c>
      <c r="G250" s="15">
        <v>76</v>
      </c>
      <c r="H250" s="15">
        <v>1251</v>
      </c>
      <c r="I250" s="15">
        <v>14040</v>
      </c>
      <c r="J250" s="15">
        <v>12593</v>
      </c>
      <c r="K250" s="15">
        <v>193</v>
      </c>
      <c r="L250" s="15">
        <v>333</v>
      </c>
      <c r="M250" s="15">
        <v>89</v>
      </c>
      <c r="N250" s="15">
        <v>832</v>
      </c>
      <c r="O250" s="40">
        <v>13201</v>
      </c>
      <c r="P250" s="18">
        <f t="shared" si="0"/>
        <v>-608</v>
      </c>
      <c r="Q250" s="40" t="str">
        <f t="shared" si="1"/>
        <v/>
      </c>
      <c r="R250" s="18">
        <f t="shared" si="2"/>
        <v>14648</v>
      </c>
      <c r="S250" s="41">
        <v>926</v>
      </c>
      <c r="U250" s="42"/>
      <c r="V250" s="42"/>
    </row>
    <row r="251" spans="1:22" ht="14.4">
      <c r="A251" s="21">
        <v>60401</v>
      </c>
      <c r="B251" s="22" t="s">
        <v>266</v>
      </c>
      <c r="C251" s="15">
        <v>4162</v>
      </c>
      <c r="D251" s="15">
        <v>3096</v>
      </c>
      <c r="E251" s="15">
        <v>24</v>
      </c>
      <c r="F251" s="15">
        <v>34</v>
      </c>
      <c r="G251" s="15">
        <v>21</v>
      </c>
      <c r="H251" s="15">
        <v>987</v>
      </c>
      <c r="I251" s="15">
        <v>4916</v>
      </c>
      <c r="J251" s="15">
        <v>4474</v>
      </c>
      <c r="K251" s="15">
        <v>10</v>
      </c>
      <c r="L251" s="15">
        <v>18</v>
      </c>
      <c r="M251" s="15">
        <v>12</v>
      </c>
      <c r="N251" s="15">
        <v>402</v>
      </c>
      <c r="O251" s="40">
        <v>4332</v>
      </c>
      <c r="P251" s="18">
        <f t="shared" si="0"/>
        <v>142</v>
      </c>
      <c r="Q251" s="18">
        <f t="shared" si="1"/>
        <v>142</v>
      </c>
      <c r="R251" s="18">
        <f t="shared" si="2"/>
        <v>4916</v>
      </c>
      <c r="S251" s="41">
        <v>545</v>
      </c>
      <c r="U251" s="42"/>
      <c r="V251" s="42"/>
    </row>
    <row r="252" spans="1:22" ht="14.4">
      <c r="A252" s="13">
        <v>60402</v>
      </c>
      <c r="B252" s="14" t="s">
        <v>267</v>
      </c>
      <c r="C252" s="15">
        <v>1484</v>
      </c>
      <c r="D252" s="15">
        <v>1032</v>
      </c>
      <c r="E252" s="15">
        <v>2</v>
      </c>
      <c r="F252" s="15">
        <v>117</v>
      </c>
      <c r="G252" s="15">
        <v>0</v>
      </c>
      <c r="H252" s="15">
        <v>333</v>
      </c>
      <c r="I252" s="15">
        <v>1530</v>
      </c>
      <c r="J252" s="15">
        <v>1364</v>
      </c>
      <c r="K252" s="15">
        <v>0</v>
      </c>
      <c r="L252" s="15">
        <v>22</v>
      </c>
      <c r="M252" s="15">
        <v>3</v>
      </c>
      <c r="N252" s="15">
        <v>141</v>
      </c>
      <c r="O252" s="40">
        <v>1356</v>
      </c>
      <c r="P252" s="18">
        <f t="shared" si="0"/>
        <v>8</v>
      </c>
      <c r="Q252" s="18">
        <f t="shared" si="1"/>
        <v>8</v>
      </c>
      <c r="R252" s="18">
        <f t="shared" si="2"/>
        <v>1530</v>
      </c>
      <c r="S252" s="41">
        <v>88.5</v>
      </c>
      <c r="U252" s="42"/>
      <c r="V252" s="42"/>
    </row>
    <row r="253" spans="1:22" ht="14.4">
      <c r="A253" s="21">
        <v>60501</v>
      </c>
      <c r="B253" s="22" t="s">
        <v>268</v>
      </c>
      <c r="C253" s="15">
        <v>6484</v>
      </c>
      <c r="D253" s="15">
        <v>4808</v>
      </c>
      <c r="E253" s="15">
        <v>24</v>
      </c>
      <c r="F253" s="15">
        <v>261</v>
      </c>
      <c r="G253" s="15">
        <v>27</v>
      </c>
      <c r="H253" s="15">
        <v>1364</v>
      </c>
      <c r="I253" s="15">
        <v>9336</v>
      </c>
      <c r="J253" s="15">
        <v>7895</v>
      </c>
      <c r="K253" s="15">
        <v>34</v>
      </c>
      <c r="L253" s="15">
        <v>279</v>
      </c>
      <c r="M253" s="15">
        <v>45</v>
      </c>
      <c r="N253" s="15">
        <v>1083</v>
      </c>
      <c r="O253" s="40">
        <v>8536</v>
      </c>
      <c r="P253" s="18">
        <f t="shared" si="0"/>
        <v>-641</v>
      </c>
      <c r="Q253" s="40" t="str">
        <f t="shared" si="1"/>
        <v/>
      </c>
      <c r="R253" s="18">
        <f t="shared" si="2"/>
        <v>9977</v>
      </c>
      <c r="S253" s="41">
        <v>591</v>
      </c>
      <c r="U253" s="42"/>
      <c r="V253" s="42"/>
    </row>
    <row r="254" spans="1:22" ht="14.4">
      <c r="A254" s="13">
        <v>60502</v>
      </c>
      <c r="B254" s="14" t="s">
        <v>269</v>
      </c>
      <c r="C254" s="15">
        <v>3253</v>
      </c>
      <c r="D254" s="15">
        <v>2523</v>
      </c>
      <c r="E254" s="15">
        <v>3</v>
      </c>
      <c r="F254" s="15">
        <v>173</v>
      </c>
      <c r="G254" s="15">
        <v>27</v>
      </c>
      <c r="H254" s="15">
        <v>527</v>
      </c>
      <c r="I254" s="15">
        <v>3240</v>
      </c>
      <c r="J254" s="15">
        <v>2935</v>
      </c>
      <c r="K254" s="15">
        <v>4</v>
      </c>
      <c r="L254" s="15">
        <v>84</v>
      </c>
      <c r="M254" s="15">
        <v>26</v>
      </c>
      <c r="N254" s="15">
        <v>191</v>
      </c>
      <c r="O254" s="40">
        <v>2952</v>
      </c>
      <c r="P254" s="18">
        <f t="shared" si="0"/>
        <v>-17</v>
      </c>
      <c r="Q254" s="40" t="str">
        <f t="shared" si="1"/>
        <v/>
      </c>
      <c r="R254" s="18">
        <f t="shared" si="2"/>
        <v>3257</v>
      </c>
      <c r="S254" s="41">
        <v>237</v>
      </c>
      <c r="U254" s="42"/>
      <c r="V254" s="42"/>
    </row>
    <row r="255" spans="1:22" ht="14.4">
      <c r="A255" s="21">
        <v>60601</v>
      </c>
      <c r="B255" s="22" t="s">
        <v>170</v>
      </c>
      <c r="C255" s="15">
        <v>5415</v>
      </c>
      <c r="D255" s="15">
        <v>3135</v>
      </c>
      <c r="E255" s="15">
        <v>154</v>
      </c>
      <c r="F255" s="15">
        <v>328</v>
      </c>
      <c r="G255" s="15">
        <v>62</v>
      </c>
      <c r="H255" s="15">
        <v>1736</v>
      </c>
      <c r="I255" s="15">
        <v>6216</v>
      </c>
      <c r="J255" s="15">
        <v>5498</v>
      </c>
      <c r="K255" s="15">
        <v>15</v>
      </c>
      <c r="L255" s="15">
        <v>74</v>
      </c>
      <c r="M255" s="15">
        <v>6</v>
      </c>
      <c r="N255" s="15">
        <v>623</v>
      </c>
      <c r="O255" s="40">
        <v>5997</v>
      </c>
      <c r="P255" s="18">
        <f t="shared" si="0"/>
        <v>-499</v>
      </c>
      <c r="Q255" s="40" t="str">
        <f t="shared" si="1"/>
        <v/>
      </c>
      <c r="R255" s="18">
        <f t="shared" si="2"/>
        <v>6715</v>
      </c>
      <c r="S255" s="41">
        <v>495</v>
      </c>
      <c r="U255" s="42"/>
      <c r="V255" s="42"/>
    </row>
    <row r="256" spans="1:22" ht="14.4">
      <c r="A256" s="13">
        <v>70101</v>
      </c>
      <c r="B256" s="14" t="s">
        <v>270</v>
      </c>
      <c r="C256" s="15">
        <v>360441</v>
      </c>
      <c r="D256" s="15">
        <v>354684</v>
      </c>
      <c r="E256" s="15">
        <v>839</v>
      </c>
      <c r="F256" s="15">
        <v>82</v>
      </c>
      <c r="G256" s="15">
        <v>757</v>
      </c>
      <c r="H256" s="15">
        <v>4079</v>
      </c>
      <c r="I256" s="15">
        <v>453158</v>
      </c>
      <c r="J256" s="15">
        <v>448041</v>
      </c>
      <c r="K256" s="15">
        <v>1756</v>
      </c>
      <c r="L256" s="15">
        <v>216</v>
      </c>
      <c r="M256" s="15">
        <v>1535</v>
      </c>
      <c r="N256" s="15">
        <v>1610</v>
      </c>
      <c r="O256" s="40">
        <v>421625</v>
      </c>
      <c r="P256" s="18">
        <f t="shared" si="0"/>
        <v>26416</v>
      </c>
      <c r="Q256" s="18">
        <f t="shared" si="1"/>
        <v>26416</v>
      </c>
      <c r="R256" s="18">
        <f t="shared" si="2"/>
        <v>453158</v>
      </c>
      <c r="S256" s="41">
        <v>2044</v>
      </c>
      <c r="U256" s="42"/>
      <c r="V256" s="42"/>
    </row>
    <row r="257" spans="1:22" ht="14.4">
      <c r="A257" s="21">
        <v>70102</v>
      </c>
      <c r="B257" s="22" t="s">
        <v>271</v>
      </c>
      <c r="C257" s="15">
        <v>12677</v>
      </c>
      <c r="D257" s="15">
        <v>11590</v>
      </c>
      <c r="E257" s="15">
        <v>69</v>
      </c>
      <c r="F257" s="15">
        <v>19</v>
      </c>
      <c r="G257" s="15">
        <v>106</v>
      </c>
      <c r="H257" s="15">
        <v>893</v>
      </c>
      <c r="I257" s="15">
        <v>27833</v>
      </c>
      <c r="J257" s="15">
        <v>26622</v>
      </c>
      <c r="K257" s="15">
        <v>96</v>
      </c>
      <c r="L257" s="15">
        <v>291</v>
      </c>
      <c r="M257" s="15">
        <v>131</v>
      </c>
      <c r="N257" s="15">
        <v>693</v>
      </c>
      <c r="O257" s="40">
        <v>23887</v>
      </c>
      <c r="P257" s="18">
        <f t="shared" si="0"/>
        <v>2735</v>
      </c>
      <c r="Q257" s="18">
        <f t="shared" si="1"/>
        <v>2735</v>
      </c>
      <c r="R257" s="18">
        <f t="shared" si="2"/>
        <v>27833</v>
      </c>
      <c r="S257" s="41">
        <v>1096</v>
      </c>
      <c r="U257" s="42"/>
      <c r="V257" s="42"/>
    </row>
    <row r="258" spans="1:22" ht="14.4">
      <c r="A258" s="13">
        <v>70103</v>
      </c>
      <c r="B258" s="14" t="s">
        <v>272</v>
      </c>
      <c r="C258" s="15">
        <v>3622</v>
      </c>
      <c r="D258" s="15">
        <v>2643</v>
      </c>
      <c r="E258" s="15">
        <v>122</v>
      </c>
      <c r="F258" s="15">
        <v>149</v>
      </c>
      <c r="G258" s="15">
        <v>43</v>
      </c>
      <c r="H258" s="15">
        <v>665</v>
      </c>
      <c r="I258" s="15">
        <v>6642</v>
      </c>
      <c r="J258" s="15">
        <v>6044</v>
      </c>
      <c r="K258" s="15">
        <v>59</v>
      </c>
      <c r="L258" s="15">
        <v>158</v>
      </c>
      <c r="M258" s="15">
        <v>18</v>
      </c>
      <c r="N258" s="15">
        <v>363</v>
      </c>
      <c r="O258" s="40">
        <v>8522</v>
      </c>
      <c r="P258" s="18">
        <f t="shared" si="0"/>
        <v>-2478</v>
      </c>
      <c r="Q258" s="40" t="str">
        <f t="shared" si="1"/>
        <v/>
      </c>
      <c r="R258" s="18">
        <f t="shared" si="2"/>
        <v>9120</v>
      </c>
      <c r="S258" s="41">
        <v>1958</v>
      </c>
      <c r="U258" s="42"/>
      <c r="V258" s="42"/>
    </row>
    <row r="259" spans="1:22" ht="14.4">
      <c r="A259" s="21">
        <v>70104</v>
      </c>
      <c r="B259" s="22" t="s">
        <v>273</v>
      </c>
      <c r="C259" s="15">
        <v>21314</v>
      </c>
      <c r="D259" s="15">
        <v>19800</v>
      </c>
      <c r="E259" s="15">
        <v>471</v>
      </c>
      <c r="F259" s="15">
        <v>20</v>
      </c>
      <c r="G259" s="15">
        <v>143</v>
      </c>
      <c r="H259" s="15">
        <v>880</v>
      </c>
      <c r="I259" s="15">
        <v>40267</v>
      </c>
      <c r="J259" s="15">
        <v>39509</v>
      </c>
      <c r="K259" s="15">
        <v>171</v>
      </c>
      <c r="L259" s="15">
        <v>64</v>
      </c>
      <c r="M259" s="15">
        <v>160</v>
      </c>
      <c r="N259" s="15">
        <v>363</v>
      </c>
      <c r="O259" s="40">
        <v>40714</v>
      </c>
      <c r="P259" s="18">
        <f t="shared" ref="P259:P346" si="3">J259-O259</f>
        <v>-1205</v>
      </c>
      <c r="Q259" s="40" t="str">
        <f t="shared" ref="Q259:Q347" si="4">IF(P259&gt;0,P259,"")</f>
        <v/>
      </c>
      <c r="R259" s="18">
        <f t="shared" ref="R259:R346" si="5">SUM(K259:N259,O259,Q259)</f>
        <v>41472</v>
      </c>
      <c r="S259" s="41">
        <v>1269</v>
      </c>
      <c r="U259" s="42"/>
      <c r="V259" s="42"/>
    </row>
    <row r="260" spans="1:22" ht="14.4">
      <c r="A260" s="13">
        <v>70105</v>
      </c>
      <c r="B260" s="14" t="s">
        <v>274</v>
      </c>
      <c r="C260" s="15">
        <v>12235</v>
      </c>
      <c r="D260" s="15">
        <v>10310</v>
      </c>
      <c r="E260" s="15">
        <v>48</v>
      </c>
      <c r="F260" s="15">
        <v>222</v>
      </c>
      <c r="G260" s="15">
        <v>111</v>
      </c>
      <c r="H260" s="15">
        <v>1544</v>
      </c>
      <c r="I260" s="15">
        <v>16612</v>
      </c>
      <c r="J260" s="15">
        <v>15466</v>
      </c>
      <c r="K260" s="15">
        <v>45</v>
      </c>
      <c r="L260" s="15">
        <v>337</v>
      </c>
      <c r="M260" s="15">
        <v>76</v>
      </c>
      <c r="N260" s="15">
        <v>688</v>
      </c>
      <c r="O260" s="40">
        <v>15568</v>
      </c>
      <c r="P260" s="18">
        <f t="shared" si="3"/>
        <v>-102</v>
      </c>
      <c r="Q260" s="40" t="str">
        <f t="shared" si="4"/>
        <v/>
      </c>
      <c r="R260" s="18">
        <f t="shared" si="5"/>
        <v>16714</v>
      </c>
      <c r="S260" s="41">
        <v>849</v>
      </c>
      <c r="U260" s="42"/>
      <c r="V260" s="42"/>
    </row>
    <row r="261" spans="1:22" ht="14.4">
      <c r="A261" s="21">
        <v>70201</v>
      </c>
      <c r="B261" s="22" t="s">
        <v>275</v>
      </c>
      <c r="C261" s="15">
        <v>23218</v>
      </c>
      <c r="D261" s="15">
        <v>21627</v>
      </c>
      <c r="E261" s="15">
        <v>75</v>
      </c>
      <c r="F261" s="15">
        <v>34</v>
      </c>
      <c r="G261" s="15">
        <v>112</v>
      </c>
      <c r="H261" s="15">
        <v>1370</v>
      </c>
      <c r="I261" s="15">
        <v>40597</v>
      </c>
      <c r="J261" s="15">
        <v>39425</v>
      </c>
      <c r="K261" s="15">
        <v>107</v>
      </c>
      <c r="L261" s="15">
        <v>144</v>
      </c>
      <c r="M261" s="15">
        <v>207</v>
      </c>
      <c r="N261" s="15">
        <v>714</v>
      </c>
      <c r="O261" s="40">
        <v>47624</v>
      </c>
      <c r="P261" s="18">
        <f t="shared" si="3"/>
        <v>-8199</v>
      </c>
      <c r="Q261" s="40" t="str">
        <f t="shared" si="4"/>
        <v/>
      </c>
      <c r="R261" s="18">
        <f t="shared" si="5"/>
        <v>48796</v>
      </c>
      <c r="S261" s="41">
        <v>1163</v>
      </c>
      <c r="U261" s="42"/>
      <c r="V261" s="42"/>
    </row>
    <row r="262" spans="1:22" ht="14.4">
      <c r="A262" s="13">
        <v>70202</v>
      </c>
      <c r="B262" s="14" t="s">
        <v>276</v>
      </c>
      <c r="C262" s="15">
        <v>2560</v>
      </c>
      <c r="D262" s="15">
        <v>2295</v>
      </c>
      <c r="E262" s="15">
        <v>14</v>
      </c>
      <c r="F262" s="15">
        <v>22</v>
      </c>
      <c r="G262" s="15">
        <v>25</v>
      </c>
      <c r="H262" s="15">
        <v>204</v>
      </c>
      <c r="I262" s="15">
        <v>2896</v>
      </c>
      <c r="J262" s="15">
        <v>2761</v>
      </c>
      <c r="K262" s="15">
        <v>25</v>
      </c>
      <c r="L262" s="15">
        <v>27</v>
      </c>
      <c r="M262" s="15">
        <v>8</v>
      </c>
      <c r="N262" s="15">
        <v>75</v>
      </c>
      <c r="O262" s="40">
        <v>2190</v>
      </c>
      <c r="P262" s="18">
        <f t="shared" si="3"/>
        <v>571</v>
      </c>
      <c r="Q262" s="18">
        <f t="shared" si="4"/>
        <v>571</v>
      </c>
      <c r="R262" s="18">
        <f t="shared" si="5"/>
        <v>2896</v>
      </c>
      <c r="S262" s="41">
        <v>1312</v>
      </c>
      <c r="U262" s="42"/>
      <c r="V262" s="42"/>
    </row>
    <row r="263" spans="1:22" ht="14.4">
      <c r="A263" s="21">
        <v>70301</v>
      </c>
      <c r="B263" s="22" t="s">
        <v>277</v>
      </c>
      <c r="C263" s="15">
        <v>10825</v>
      </c>
      <c r="D263" s="15">
        <v>6666</v>
      </c>
      <c r="E263" s="15">
        <v>666</v>
      </c>
      <c r="F263" s="15">
        <v>313</v>
      </c>
      <c r="G263" s="15">
        <v>325</v>
      </c>
      <c r="H263" s="15">
        <v>2855</v>
      </c>
      <c r="I263" s="15">
        <v>17760</v>
      </c>
      <c r="J263" s="15">
        <v>12961</v>
      </c>
      <c r="K263" s="15">
        <v>533</v>
      </c>
      <c r="L263" s="15">
        <v>1082</v>
      </c>
      <c r="M263" s="15">
        <v>422</v>
      </c>
      <c r="N263" s="15">
        <v>2762</v>
      </c>
      <c r="O263" s="40">
        <v>288</v>
      </c>
      <c r="P263" s="18">
        <f t="shared" si="3"/>
        <v>12673</v>
      </c>
      <c r="Q263" s="18">
        <f t="shared" si="4"/>
        <v>12673</v>
      </c>
      <c r="R263" s="18">
        <f t="shared" si="5"/>
        <v>17760</v>
      </c>
      <c r="S263" s="41">
        <v>851</v>
      </c>
      <c r="U263" s="42"/>
      <c r="V263" s="42"/>
    </row>
    <row r="264" spans="1:22" ht="14.4">
      <c r="A264" s="13">
        <v>70302</v>
      </c>
      <c r="B264" s="14" t="s">
        <v>278</v>
      </c>
      <c r="C264" s="15">
        <v>2582</v>
      </c>
      <c r="D264" s="15">
        <v>1287</v>
      </c>
      <c r="E264" s="15">
        <v>104</v>
      </c>
      <c r="F264" s="15">
        <v>34</v>
      </c>
      <c r="G264" s="15">
        <v>22</v>
      </c>
      <c r="H264" s="15">
        <v>1135</v>
      </c>
      <c r="I264" s="15">
        <v>4447</v>
      </c>
      <c r="J264" s="15">
        <v>2296</v>
      </c>
      <c r="K264" s="15">
        <v>261</v>
      </c>
      <c r="L264" s="15">
        <v>444</v>
      </c>
      <c r="M264" s="15">
        <v>95</v>
      </c>
      <c r="N264" s="15">
        <v>1351</v>
      </c>
      <c r="O264" s="40">
        <v>72</v>
      </c>
      <c r="P264" s="18">
        <f t="shared" si="3"/>
        <v>2224</v>
      </c>
      <c r="Q264" s="18">
        <f t="shared" si="4"/>
        <v>2224</v>
      </c>
      <c r="R264" s="18">
        <f t="shared" si="5"/>
        <v>4447</v>
      </c>
      <c r="S264" s="41">
        <v>746</v>
      </c>
      <c r="U264" s="42"/>
      <c r="V264" s="42"/>
    </row>
    <row r="265" spans="1:22" ht="14.4">
      <c r="A265" s="21">
        <v>70303</v>
      </c>
      <c r="B265" s="22" t="s">
        <v>279</v>
      </c>
      <c r="C265" s="15">
        <v>1139</v>
      </c>
      <c r="D265" s="15">
        <v>624</v>
      </c>
      <c r="E265" s="15">
        <v>79</v>
      </c>
      <c r="F265" s="15">
        <v>33</v>
      </c>
      <c r="G265" s="15">
        <v>23</v>
      </c>
      <c r="H265" s="15">
        <v>380</v>
      </c>
      <c r="I265" s="15">
        <v>2897</v>
      </c>
      <c r="J265" s="15">
        <v>1128</v>
      </c>
      <c r="K265" s="15">
        <v>169</v>
      </c>
      <c r="L265" s="15">
        <v>405</v>
      </c>
      <c r="M265" s="15">
        <v>93</v>
      </c>
      <c r="N265" s="15">
        <v>1102</v>
      </c>
      <c r="O265" s="40">
        <v>16</v>
      </c>
      <c r="P265" s="18">
        <f t="shared" si="3"/>
        <v>1112</v>
      </c>
      <c r="Q265" s="18">
        <f t="shared" si="4"/>
        <v>1112</v>
      </c>
      <c r="R265" s="18">
        <f t="shared" si="5"/>
        <v>2897</v>
      </c>
      <c r="S265" s="41">
        <v>832.5</v>
      </c>
      <c r="U265" s="42"/>
      <c r="V265" s="42"/>
    </row>
    <row r="266" spans="1:22" ht="14.4">
      <c r="A266" s="13">
        <v>70401</v>
      </c>
      <c r="B266" s="14" t="s">
        <v>280</v>
      </c>
      <c r="C266" s="15">
        <v>3171</v>
      </c>
      <c r="D266" s="15">
        <v>2359</v>
      </c>
      <c r="E266" s="15">
        <v>29</v>
      </c>
      <c r="F266" s="15">
        <v>120</v>
      </c>
      <c r="G266" s="15">
        <v>43</v>
      </c>
      <c r="H266" s="15">
        <v>620</v>
      </c>
      <c r="I266" s="15">
        <v>3776</v>
      </c>
      <c r="J266" s="15">
        <v>3416</v>
      </c>
      <c r="K266" s="15">
        <v>22</v>
      </c>
      <c r="L266" s="15">
        <v>55</v>
      </c>
      <c r="M266" s="15">
        <v>18</v>
      </c>
      <c r="N266" s="15">
        <v>265</v>
      </c>
      <c r="O266" s="40">
        <v>3948</v>
      </c>
      <c r="P266" s="18">
        <f t="shared" si="3"/>
        <v>-532</v>
      </c>
      <c r="Q266" s="40" t="str">
        <f t="shared" si="4"/>
        <v/>
      </c>
      <c r="R266" s="18">
        <f t="shared" si="5"/>
        <v>4308</v>
      </c>
      <c r="S266" s="41">
        <v>800.5</v>
      </c>
      <c r="U266" s="42"/>
      <c r="V266" s="42"/>
    </row>
    <row r="267" spans="1:22" ht="14.4">
      <c r="A267" s="21">
        <v>70402</v>
      </c>
      <c r="B267" s="22" t="s">
        <v>281</v>
      </c>
      <c r="C267" s="15">
        <v>4573</v>
      </c>
      <c r="D267" s="15">
        <v>3455</v>
      </c>
      <c r="E267" s="15">
        <v>56</v>
      </c>
      <c r="F267" s="15">
        <v>53</v>
      </c>
      <c r="G267" s="15">
        <v>63</v>
      </c>
      <c r="H267" s="15">
        <v>946</v>
      </c>
      <c r="I267" s="15">
        <v>5523</v>
      </c>
      <c r="J267" s="15">
        <v>4790</v>
      </c>
      <c r="K267" s="15">
        <v>25</v>
      </c>
      <c r="L267" s="15">
        <v>122</v>
      </c>
      <c r="M267" s="15">
        <v>35</v>
      </c>
      <c r="N267" s="15">
        <v>551</v>
      </c>
      <c r="O267" s="40">
        <v>4626</v>
      </c>
      <c r="P267" s="18">
        <f t="shared" si="3"/>
        <v>164</v>
      </c>
      <c r="Q267" s="18">
        <f t="shared" si="4"/>
        <v>164</v>
      </c>
      <c r="R267" s="18">
        <f t="shared" si="5"/>
        <v>5523</v>
      </c>
      <c r="S267" s="41">
        <v>881.5</v>
      </c>
      <c r="U267" s="42"/>
      <c r="V267" s="42"/>
    </row>
    <row r="268" spans="1:22" ht="14.4">
      <c r="A268" s="13">
        <v>70403</v>
      </c>
      <c r="B268" s="14" t="s">
        <v>282</v>
      </c>
      <c r="C268" s="15">
        <v>14775</v>
      </c>
      <c r="D268" s="15">
        <v>8215</v>
      </c>
      <c r="E268" s="15">
        <v>241</v>
      </c>
      <c r="F268" s="15">
        <v>181</v>
      </c>
      <c r="G268" s="15">
        <v>235</v>
      </c>
      <c r="H268" s="15">
        <v>5903</v>
      </c>
      <c r="I268" s="15">
        <v>20075</v>
      </c>
      <c r="J268" s="15">
        <v>13724</v>
      </c>
      <c r="K268" s="15">
        <v>84</v>
      </c>
      <c r="L268" s="15">
        <v>800</v>
      </c>
      <c r="M268" s="15">
        <v>286</v>
      </c>
      <c r="N268" s="15">
        <v>5181</v>
      </c>
      <c r="O268" s="40">
        <v>13526</v>
      </c>
      <c r="P268" s="18">
        <f t="shared" si="3"/>
        <v>198</v>
      </c>
      <c r="Q268" s="18">
        <f t="shared" si="4"/>
        <v>198</v>
      </c>
      <c r="R268" s="18">
        <f t="shared" si="5"/>
        <v>20075</v>
      </c>
      <c r="S268" s="41">
        <v>910.5</v>
      </c>
      <c r="U268" s="42"/>
      <c r="V268" s="42"/>
    </row>
    <row r="269" spans="1:22" ht="14.4">
      <c r="A269" s="21">
        <v>70404</v>
      </c>
      <c r="B269" s="22" t="s">
        <v>283</v>
      </c>
      <c r="C269" s="15">
        <v>2055</v>
      </c>
      <c r="D269" s="15">
        <v>1381</v>
      </c>
      <c r="E269" s="15">
        <v>58</v>
      </c>
      <c r="F269" s="15">
        <v>39</v>
      </c>
      <c r="G269" s="15">
        <v>24</v>
      </c>
      <c r="H269" s="15">
        <v>553</v>
      </c>
      <c r="I269" s="15">
        <v>2957</v>
      </c>
      <c r="J269" s="15">
        <v>2335</v>
      </c>
      <c r="K269" s="15">
        <v>20</v>
      </c>
      <c r="L269" s="15">
        <v>104</v>
      </c>
      <c r="M269" s="15">
        <v>51</v>
      </c>
      <c r="N269" s="15">
        <v>447</v>
      </c>
      <c r="O269" s="40">
        <v>1881</v>
      </c>
      <c r="P269" s="18">
        <f t="shared" si="3"/>
        <v>454</v>
      </c>
      <c r="Q269" s="18">
        <f t="shared" si="4"/>
        <v>454</v>
      </c>
      <c r="R269" s="18">
        <f t="shared" si="5"/>
        <v>2957</v>
      </c>
      <c r="S269" s="41">
        <v>972.5</v>
      </c>
      <c r="U269" s="42"/>
      <c r="V269" s="42"/>
    </row>
    <row r="270" spans="1:22" ht="14.4">
      <c r="A270" s="13">
        <v>70501</v>
      </c>
      <c r="B270" s="14" t="s">
        <v>284</v>
      </c>
      <c r="C270" s="15">
        <v>4566</v>
      </c>
      <c r="D270" s="15">
        <v>3536</v>
      </c>
      <c r="E270" s="15">
        <v>560</v>
      </c>
      <c r="F270" s="15">
        <v>31</v>
      </c>
      <c r="G270" s="15">
        <v>30</v>
      </c>
      <c r="H270" s="15">
        <v>409</v>
      </c>
      <c r="I270" s="15">
        <v>11607</v>
      </c>
      <c r="J270" s="15">
        <v>4597</v>
      </c>
      <c r="K270" s="15">
        <v>1521</v>
      </c>
      <c r="L270" s="15">
        <v>1467</v>
      </c>
      <c r="M270" s="15">
        <v>826</v>
      </c>
      <c r="N270" s="15">
        <v>3196</v>
      </c>
      <c r="O270" s="40">
        <v>269</v>
      </c>
      <c r="P270" s="18">
        <f t="shared" si="3"/>
        <v>4328</v>
      </c>
      <c r="Q270" s="18">
        <f t="shared" si="4"/>
        <v>4328</v>
      </c>
      <c r="R270" s="18">
        <f t="shared" si="5"/>
        <v>11607</v>
      </c>
      <c r="S270" s="41">
        <v>894</v>
      </c>
      <c r="U270" s="42"/>
      <c r="V270" s="42"/>
    </row>
    <row r="271" spans="1:22" ht="14.4">
      <c r="A271" s="21">
        <v>70502</v>
      </c>
      <c r="B271" s="22" t="s">
        <v>285</v>
      </c>
      <c r="C271" s="15">
        <v>7182</v>
      </c>
      <c r="D271" s="15">
        <v>3802</v>
      </c>
      <c r="E271" s="15">
        <v>1763</v>
      </c>
      <c r="F271" s="15">
        <v>180</v>
      </c>
      <c r="G271" s="15">
        <v>196</v>
      </c>
      <c r="H271" s="15">
        <v>1241</v>
      </c>
      <c r="I271" s="15">
        <v>12970</v>
      </c>
      <c r="J271" s="15">
        <v>7513</v>
      </c>
      <c r="K271" s="15">
        <v>2323</v>
      </c>
      <c r="L271" s="15">
        <v>1355</v>
      </c>
      <c r="M271" s="15">
        <v>312</v>
      </c>
      <c r="N271" s="15">
        <v>1467</v>
      </c>
      <c r="O271" s="40">
        <v>6504</v>
      </c>
      <c r="P271" s="18">
        <f t="shared" si="3"/>
        <v>1009</v>
      </c>
      <c r="Q271" s="18">
        <f t="shared" si="4"/>
        <v>1009</v>
      </c>
      <c r="R271" s="18">
        <f t="shared" si="5"/>
        <v>12970</v>
      </c>
      <c r="S271" s="41">
        <v>1305</v>
      </c>
      <c r="U271" s="42"/>
      <c r="V271" s="42"/>
    </row>
    <row r="272" spans="1:22" ht="14.4">
      <c r="A272" s="13">
        <v>70503</v>
      </c>
      <c r="B272" s="14" t="s">
        <v>286</v>
      </c>
      <c r="C272" s="15">
        <v>3747</v>
      </c>
      <c r="D272" s="15">
        <v>3132</v>
      </c>
      <c r="E272" s="15">
        <v>30</v>
      </c>
      <c r="F272" s="15">
        <v>70</v>
      </c>
      <c r="G272" s="15">
        <v>4</v>
      </c>
      <c r="H272" s="15">
        <v>511</v>
      </c>
      <c r="I272" s="15">
        <v>5348</v>
      </c>
      <c r="J272" s="15">
        <v>4535</v>
      </c>
      <c r="K272" s="15">
        <v>127</v>
      </c>
      <c r="L272" s="15">
        <v>246</v>
      </c>
      <c r="M272" s="15">
        <v>25</v>
      </c>
      <c r="N272" s="15">
        <v>415</v>
      </c>
      <c r="O272" s="40">
        <v>313</v>
      </c>
      <c r="P272" s="18">
        <f t="shared" si="3"/>
        <v>4222</v>
      </c>
      <c r="Q272" s="18">
        <f t="shared" si="4"/>
        <v>4222</v>
      </c>
      <c r="R272" s="18">
        <f t="shared" si="5"/>
        <v>5348</v>
      </c>
      <c r="S272" s="41">
        <v>1038</v>
      </c>
      <c r="U272" s="42"/>
      <c r="V272" s="42"/>
    </row>
    <row r="273" spans="1:22" ht="14.4">
      <c r="A273" s="21">
        <v>70601</v>
      </c>
      <c r="B273" s="22" t="s">
        <v>287</v>
      </c>
      <c r="C273" s="15">
        <v>4119</v>
      </c>
      <c r="D273" s="15">
        <v>3653</v>
      </c>
      <c r="E273" s="15">
        <v>46</v>
      </c>
      <c r="F273" s="15">
        <v>74</v>
      </c>
      <c r="G273" s="15">
        <v>37</v>
      </c>
      <c r="H273" s="15">
        <v>309</v>
      </c>
      <c r="I273" s="15">
        <v>5445</v>
      </c>
      <c r="J273" s="15">
        <v>5200</v>
      </c>
      <c r="K273" s="15">
        <v>25</v>
      </c>
      <c r="L273" s="15">
        <v>89</v>
      </c>
      <c r="M273" s="15">
        <v>35</v>
      </c>
      <c r="N273" s="15">
        <v>96</v>
      </c>
      <c r="O273" s="40">
        <v>4855</v>
      </c>
      <c r="P273" s="18">
        <f t="shared" si="3"/>
        <v>345</v>
      </c>
      <c r="Q273" s="18">
        <f t="shared" si="4"/>
        <v>345</v>
      </c>
      <c r="R273" s="18">
        <f t="shared" si="5"/>
        <v>5445</v>
      </c>
      <c r="S273" s="41">
        <v>1473</v>
      </c>
      <c r="U273" s="42"/>
      <c r="V273" s="42"/>
    </row>
    <row r="274" spans="1:22" ht="14.4">
      <c r="A274" s="13">
        <v>70602</v>
      </c>
      <c r="B274" s="14" t="s">
        <v>288</v>
      </c>
      <c r="C274" s="15">
        <v>4978</v>
      </c>
      <c r="D274" s="15">
        <v>2288</v>
      </c>
      <c r="E274" s="15">
        <v>260</v>
      </c>
      <c r="F274" s="15">
        <v>179</v>
      </c>
      <c r="G274" s="15">
        <v>274</v>
      </c>
      <c r="H274" s="15">
        <v>1977</v>
      </c>
      <c r="I274" s="15">
        <v>5957</v>
      </c>
      <c r="J274" s="15">
        <v>3909</v>
      </c>
      <c r="K274" s="15">
        <v>163</v>
      </c>
      <c r="L274" s="15">
        <v>658</v>
      </c>
      <c r="M274" s="15">
        <v>89</v>
      </c>
      <c r="N274" s="15">
        <v>1138</v>
      </c>
      <c r="O274" s="40">
        <v>3794</v>
      </c>
      <c r="P274" s="18">
        <f t="shared" si="3"/>
        <v>115</v>
      </c>
      <c r="Q274" s="18">
        <f t="shared" si="4"/>
        <v>115</v>
      </c>
      <c r="R274" s="18">
        <f t="shared" si="5"/>
        <v>5957</v>
      </c>
      <c r="S274" s="41">
        <v>813.5</v>
      </c>
      <c r="U274" s="42"/>
      <c r="V274" s="42"/>
    </row>
    <row r="275" spans="1:22" ht="14.4">
      <c r="A275" s="21">
        <v>70603</v>
      </c>
      <c r="B275" s="22" t="s">
        <v>289</v>
      </c>
      <c r="C275" s="15">
        <v>1354</v>
      </c>
      <c r="D275" s="15">
        <v>1204</v>
      </c>
      <c r="E275" s="15">
        <v>27</v>
      </c>
      <c r="F275" s="15">
        <v>16</v>
      </c>
      <c r="G275" s="15">
        <v>13</v>
      </c>
      <c r="H275" s="15">
        <v>94</v>
      </c>
      <c r="I275" s="15">
        <v>1533</v>
      </c>
      <c r="J275" s="15">
        <v>1433</v>
      </c>
      <c r="K275" s="15">
        <v>13</v>
      </c>
      <c r="L275" s="15">
        <v>29</v>
      </c>
      <c r="M275" s="15">
        <v>12</v>
      </c>
      <c r="N275" s="15">
        <v>46</v>
      </c>
      <c r="O275" s="40">
        <v>1217</v>
      </c>
      <c r="P275" s="18">
        <f t="shared" si="3"/>
        <v>216</v>
      </c>
      <c r="Q275" s="18">
        <f t="shared" si="4"/>
        <v>216</v>
      </c>
      <c r="R275" s="18">
        <f t="shared" si="5"/>
        <v>1533</v>
      </c>
      <c r="S275" s="41">
        <v>1275</v>
      </c>
      <c r="U275" s="42"/>
      <c r="V275" s="42"/>
    </row>
    <row r="276" spans="1:22" ht="14.4">
      <c r="A276" s="13">
        <v>70701</v>
      </c>
      <c r="B276" s="14" t="s">
        <v>290</v>
      </c>
      <c r="C276" s="15">
        <v>1071</v>
      </c>
      <c r="D276" s="15">
        <v>579</v>
      </c>
      <c r="E276" s="15">
        <v>16</v>
      </c>
      <c r="F276" s="15">
        <v>27</v>
      </c>
      <c r="G276" s="15">
        <v>20</v>
      </c>
      <c r="H276" s="15">
        <v>429</v>
      </c>
      <c r="I276" s="15">
        <v>1569</v>
      </c>
      <c r="J276" s="15">
        <v>1453</v>
      </c>
      <c r="K276" s="15">
        <v>2</v>
      </c>
      <c r="L276" s="15">
        <v>31</v>
      </c>
      <c r="M276" s="15">
        <v>3</v>
      </c>
      <c r="N276" s="15">
        <v>80</v>
      </c>
      <c r="O276" s="40">
        <v>174</v>
      </c>
      <c r="P276" s="18">
        <f t="shared" si="3"/>
        <v>1279</v>
      </c>
      <c r="Q276" s="18">
        <f t="shared" si="4"/>
        <v>1279</v>
      </c>
      <c r="R276" s="18">
        <f t="shared" si="5"/>
        <v>1569</v>
      </c>
      <c r="S276" s="41">
        <v>356</v>
      </c>
      <c r="U276" s="42"/>
      <c r="V276" s="42"/>
    </row>
    <row r="277" spans="1:22" ht="14.4">
      <c r="A277" s="21">
        <v>70702</v>
      </c>
      <c r="B277" s="22" t="s">
        <v>291</v>
      </c>
      <c r="C277" s="15">
        <v>6289</v>
      </c>
      <c r="D277" s="15">
        <v>1876</v>
      </c>
      <c r="E277" s="15">
        <v>853</v>
      </c>
      <c r="F277" s="15">
        <v>299</v>
      </c>
      <c r="G277" s="15">
        <v>349</v>
      </c>
      <c r="H277" s="15">
        <v>2912</v>
      </c>
      <c r="I277" s="15">
        <v>9548</v>
      </c>
      <c r="J277" s="15">
        <v>5639</v>
      </c>
      <c r="K277" s="15">
        <v>1145</v>
      </c>
      <c r="L277" s="15">
        <v>1142</v>
      </c>
      <c r="M277" s="15">
        <v>196</v>
      </c>
      <c r="N277" s="15">
        <v>1426</v>
      </c>
      <c r="O277" s="40">
        <v>1038</v>
      </c>
      <c r="P277" s="18">
        <f t="shared" si="3"/>
        <v>4601</v>
      </c>
      <c r="Q277" s="18">
        <f t="shared" si="4"/>
        <v>4601</v>
      </c>
      <c r="R277" s="18">
        <f t="shared" si="5"/>
        <v>9548</v>
      </c>
      <c r="S277" s="41">
        <v>592</v>
      </c>
      <c r="U277" s="42"/>
      <c r="V277" s="42"/>
    </row>
    <row r="278" spans="1:22" ht="14.4">
      <c r="A278" s="13">
        <v>70703</v>
      </c>
      <c r="B278" s="14" t="s">
        <v>292</v>
      </c>
      <c r="C278" s="15">
        <v>5628</v>
      </c>
      <c r="D278" s="15">
        <v>2718</v>
      </c>
      <c r="E278" s="15">
        <v>1142</v>
      </c>
      <c r="F278" s="15">
        <v>281</v>
      </c>
      <c r="G278" s="15">
        <v>255</v>
      </c>
      <c r="H278" s="15">
        <v>1232</v>
      </c>
      <c r="I278" s="15">
        <v>8291</v>
      </c>
      <c r="J278" s="15">
        <v>5024</v>
      </c>
      <c r="K278" s="15">
        <v>1253</v>
      </c>
      <c r="L278" s="15">
        <v>578</v>
      </c>
      <c r="M278" s="15">
        <v>379</v>
      </c>
      <c r="N278" s="15">
        <v>1057</v>
      </c>
      <c r="O278" s="40">
        <v>4703</v>
      </c>
      <c r="P278" s="18">
        <f t="shared" si="3"/>
        <v>321</v>
      </c>
      <c r="Q278" s="18">
        <f t="shared" si="4"/>
        <v>321</v>
      </c>
      <c r="R278" s="18">
        <f t="shared" si="5"/>
        <v>8291</v>
      </c>
      <c r="S278" s="41">
        <v>823</v>
      </c>
      <c r="U278" s="42"/>
      <c r="V278" s="42"/>
    </row>
    <row r="279" spans="1:22" ht="14.4">
      <c r="A279" s="21">
        <v>70704</v>
      </c>
      <c r="B279" s="22" t="s">
        <v>293</v>
      </c>
      <c r="C279" s="15">
        <v>1117</v>
      </c>
      <c r="D279" s="15">
        <v>692</v>
      </c>
      <c r="E279" s="15">
        <v>11</v>
      </c>
      <c r="F279" s="15">
        <v>24</v>
      </c>
      <c r="G279" s="15">
        <v>3</v>
      </c>
      <c r="H279" s="15">
        <v>387</v>
      </c>
      <c r="I279" s="15">
        <v>1261</v>
      </c>
      <c r="J279" s="15">
        <v>1124</v>
      </c>
      <c r="K279" s="15">
        <v>2</v>
      </c>
      <c r="L279" s="15">
        <v>29</v>
      </c>
      <c r="M279" s="15">
        <v>22</v>
      </c>
      <c r="N279" s="15">
        <v>84</v>
      </c>
      <c r="O279" s="40">
        <v>165</v>
      </c>
      <c r="P279" s="18">
        <f t="shared" si="3"/>
        <v>959</v>
      </c>
      <c r="Q279" s="18">
        <f t="shared" si="4"/>
        <v>959</v>
      </c>
      <c r="R279" s="18">
        <f t="shared" si="5"/>
        <v>1261</v>
      </c>
      <c r="S279" s="41">
        <v>320</v>
      </c>
      <c r="U279" s="42"/>
      <c r="V279" s="42"/>
    </row>
    <row r="280" spans="1:22" ht="14.4">
      <c r="A280" s="13">
        <v>70705</v>
      </c>
      <c r="B280" s="14" t="s">
        <v>294</v>
      </c>
      <c r="C280" s="15">
        <v>2390</v>
      </c>
      <c r="D280" s="15">
        <v>507</v>
      </c>
      <c r="E280" s="15">
        <v>101</v>
      </c>
      <c r="F280" s="15">
        <v>155</v>
      </c>
      <c r="G280" s="15">
        <v>157</v>
      </c>
      <c r="H280" s="15">
        <v>1470</v>
      </c>
      <c r="I280" s="15">
        <v>3626</v>
      </c>
      <c r="J280" s="15">
        <v>3123</v>
      </c>
      <c r="K280" s="15">
        <v>11</v>
      </c>
      <c r="L280" s="15">
        <v>100</v>
      </c>
      <c r="M280" s="15">
        <v>17</v>
      </c>
      <c r="N280" s="15">
        <v>375</v>
      </c>
      <c r="O280" s="40">
        <v>260</v>
      </c>
      <c r="P280" s="18">
        <f t="shared" si="3"/>
        <v>2863</v>
      </c>
      <c r="Q280" s="18">
        <f t="shared" si="4"/>
        <v>2863</v>
      </c>
      <c r="R280" s="18">
        <f t="shared" si="5"/>
        <v>3626</v>
      </c>
      <c r="S280" s="41">
        <v>350</v>
      </c>
      <c r="U280" s="42"/>
      <c r="V280" s="42"/>
    </row>
    <row r="281" spans="1:22" ht="14.4">
      <c r="A281" s="21">
        <v>70706</v>
      </c>
      <c r="B281" s="22" t="s">
        <v>295</v>
      </c>
      <c r="C281" s="15">
        <v>8374</v>
      </c>
      <c r="D281" s="15">
        <v>7774</v>
      </c>
      <c r="E281" s="15">
        <v>16</v>
      </c>
      <c r="F281" s="15">
        <v>4</v>
      </c>
      <c r="G281" s="15">
        <v>40</v>
      </c>
      <c r="H281" s="15">
        <v>540</v>
      </c>
      <c r="I281" s="15">
        <v>9305</v>
      </c>
      <c r="J281" s="15">
        <v>8985</v>
      </c>
      <c r="K281" s="15">
        <v>32</v>
      </c>
      <c r="L281" s="15">
        <v>15</v>
      </c>
      <c r="M281" s="15">
        <v>53</v>
      </c>
      <c r="N281" s="15">
        <v>220</v>
      </c>
      <c r="O281" s="40">
        <v>2030</v>
      </c>
      <c r="P281" s="18">
        <f t="shared" si="3"/>
        <v>6955</v>
      </c>
      <c r="Q281" s="18">
        <f t="shared" si="4"/>
        <v>6955</v>
      </c>
      <c r="R281" s="18">
        <f t="shared" si="5"/>
        <v>9305</v>
      </c>
      <c r="S281" s="41">
        <v>767</v>
      </c>
      <c r="U281" s="42"/>
      <c r="V281" s="42"/>
    </row>
    <row r="282" spans="1:22" ht="14.4">
      <c r="A282" s="13">
        <v>70707</v>
      </c>
      <c r="B282" s="14" t="s">
        <v>296</v>
      </c>
      <c r="C282" s="15">
        <v>1013</v>
      </c>
      <c r="D282" s="15">
        <v>598</v>
      </c>
      <c r="E282" s="15">
        <v>6</v>
      </c>
      <c r="F282" s="15">
        <v>32</v>
      </c>
      <c r="G282" s="15">
        <v>22</v>
      </c>
      <c r="H282" s="15">
        <v>355</v>
      </c>
      <c r="I282" s="15">
        <v>1385</v>
      </c>
      <c r="J282" s="15">
        <v>1109</v>
      </c>
      <c r="K282" s="15">
        <v>60</v>
      </c>
      <c r="L282" s="15">
        <v>37</v>
      </c>
      <c r="M282" s="15">
        <v>26</v>
      </c>
      <c r="N282" s="15">
        <v>153</v>
      </c>
      <c r="O282" s="40">
        <v>224</v>
      </c>
      <c r="P282" s="18">
        <f t="shared" si="3"/>
        <v>885</v>
      </c>
      <c r="Q282" s="18">
        <f t="shared" si="4"/>
        <v>885</v>
      </c>
      <c r="R282" s="18">
        <f t="shared" si="5"/>
        <v>1385</v>
      </c>
      <c r="S282" s="41">
        <v>464</v>
      </c>
      <c r="U282" s="42"/>
      <c r="V282" s="42"/>
    </row>
    <row r="283" spans="1:22" ht="14.4">
      <c r="A283" s="21">
        <v>70801</v>
      </c>
      <c r="B283" s="22" t="s">
        <v>297</v>
      </c>
      <c r="C283" s="15">
        <v>5275</v>
      </c>
      <c r="D283" s="15">
        <v>3545</v>
      </c>
      <c r="E283" s="15">
        <v>31</v>
      </c>
      <c r="F283" s="15">
        <v>336</v>
      </c>
      <c r="G283" s="15">
        <v>43</v>
      </c>
      <c r="H283" s="15">
        <v>1320</v>
      </c>
      <c r="I283" s="15">
        <v>6197</v>
      </c>
      <c r="J283" s="15">
        <v>5219</v>
      </c>
      <c r="K283" s="15">
        <v>9</v>
      </c>
      <c r="L283" s="15">
        <v>640</v>
      </c>
      <c r="M283" s="15">
        <v>8</v>
      </c>
      <c r="N283" s="15">
        <v>321</v>
      </c>
      <c r="O283" s="40">
        <v>442</v>
      </c>
      <c r="P283" s="18">
        <f t="shared" si="3"/>
        <v>4777</v>
      </c>
      <c r="Q283" s="18">
        <f t="shared" si="4"/>
        <v>4777</v>
      </c>
      <c r="R283" s="18">
        <f t="shared" si="5"/>
        <v>6197</v>
      </c>
      <c r="S283" s="41">
        <v>554</v>
      </c>
      <c r="U283" s="42"/>
      <c r="V283" s="42"/>
    </row>
    <row r="284" spans="1:22" ht="14.4">
      <c r="A284" s="13">
        <v>70802</v>
      </c>
      <c r="B284" s="14" t="s">
        <v>298</v>
      </c>
      <c r="C284" s="15">
        <v>576</v>
      </c>
      <c r="D284" s="15">
        <v>428</v>
      </c>
      <c r="E284" s="15">
        <v>1</v>
      </c>
      <c r="F284" s="15">
        <v>55</v>
      </c>
      <c r="G284" s="15">
        <v>7</v>
      </c>
      <c r="H284" s="15">
        <v>85</v>
      </c>
      <c r="I284" s="15">
        <v>795</v>
      </c>
      <c r="J284" s="15">
        <v>721</v>
      </c>
      <c r="K284" s="15">
        <v>2</v>
      </c>
      <c r="L284" s="15">
        <v>44</v>
      </c>
      <c r="M284" s="15">
        <v>1</v>
      </c>
      <c r="N284" s="15">
        <v>27</v>
      </c>
      <c r="O284" s="40">
        <v>48</v>
      </c>
      <c r="P284" s="18">
        <f t="shared" si="3"/>
        <v>673</v>
      </c>
      <c r="Q284" s="18">
        <f t="shared" si="4"/>
        <v>673</v>
      </c>
      <c r="R284" s="18">
        <f t="shared" si="5"/>
        <v>795</v>
      </c>
      <c r="S284" s="41">
        <v>239</v>
      </c>
      <c r="U284" s="42"/>
      <c r="V284" s="42"/>
    </row>
    <row r="285" spans="1:22" ht="14.4">
      <c r="A285" s="21">
        <v>70803</v>
      </c>
      <c r="B285" s="22" t="s">
        <v>299</v>
      </c>
      <c r="C285" s="15">
        <v>870</v>
      </c>
      <c r="D285" s="15">
        <v>394</v>
      </c>
      <c r="E285" s="15">
        <v>2</v>
      </c>
      <c r="F285" s="15">
        <v>154</v>
      </c>
      <c r="G285" s="15">
        <v>11</v>
      </c>
      <c r="H285" s="15">
        <v>309</v>
      </c>
      <c r="I285" s="15">
        <v>991</v>
      </c>
      <c r="J285" s="15">
        <v>753</v>
      </c>
      <c r="K285" s="15">
        <v>1</v>
      </c>
      <c r="L285" s="15">
        <v>145</v>
      </c>
      <c r="M285" s="15">
        <v>4</v>
      </c>
      <c r="N285" s="15">
        <v>88</v>
      </c>
      <c r="O285" s="40">
        <v>33</v>
      </c>
      <c r="P285" s="18">
        <f t="shared" si="3"/>
        <v>720</v>
      </c>
      <c r="Q285" s="18">
        <f t="shared" si="4"/>
        <v>720</v>
      </c>
      <c r="R285" s="18">
        <f t="shared" si="5"/>
        <v>991</v>
      </c>
      <c r="S285" s="41">
        <v>347</v>
      </c>
      <c r="U285" s="42"/>
      <c r="V285" s="42"/>
    </row>
    <row r="286" spans="1:22" ht="14.4">
      <c r="A286" s="13">
        <v>70804</v>
      </c>
      <c r="B286" s="14" t="s">
        <v>300</v>
      </c>
      <c r="C286" s="15">
        <v>600</v>
      </c>
      <c r="D286" s="15">
        <v>306</v>
      </c>
      <c r="E286" s="15">
        <v>1</v>
      </c>
      <c r="F286" s="15">
        <v>70</v>
      </c>
      <c r="G286" s="15">
        <v>1</v>
      </c>
      <c r="H286" s="15">
        <v>222</v>
      </c>
      <c r="I286" s="15">
        <v>606</v>
      </c>
      <c r="J286" s="15">
        <v>365</v>
      </c>
      <c r="K286" s="15">
        <v>5</v>
      </c>
      <c r="L286" s="15">
        <v>166</v>
      </c>
      <c r="M286" s="15">
        <v>2</v>
      </c>
      <c r="N286" s="15">
        <v>68</v>
      </c>
      <c r="O286" s="40">
        <v>16</v>
      </c>
      <c r="P286" s="18">
        <f t="shared" si="3"/>
        <v>349</v>
      </c>
      <c r="Q286" s="18">
        <f t="shared" si="4"/>
        <v>349</v>
      </c>
      <c r="R286" s="18">
        <f t="shared" si="5"/>
        <v>606</v>
      </c>
      <c r="S286" s="41">
        <v>49.5</v>
      </c>
      <c r="U286" s="42"/>
      <c r="V286" s="42"/>
    </row>
    <row r="287" spans="1:22" ht="14.4">
      <c r="A287" s="21">
        <v>70805</v>
      </c>
      <c r="B287" s="22" t="s">
        <v>301</v>
      </c>
      <c r="C287" s="15">
        <v>635</v>
      </c>
      <c r="D287" s="15">
        <v>283</v>
      </c>
      <c r="E287" s="15">
        <v>4</v>
      </c>
      <c r="F287" s="15">
        <v>63</v>
      </c>
      <c r="G287" s="15">
        <v>5</v>
      </c>
      <c r="H287" s="15">
        <v>280</v>
      </c>
      <c r="I287" s="15">
        <v>749</v>
      </c>
      <c r="J287" s="15">
        <v>490</v>
      </c>
      <c r="K287" s="15">
        <v>2</v>
      </c>
      <c r="L287" s="15">
        <v>172</v>
      </c>
      <c r="M287" s="15">
        <v>0</v>
      </c>
      <c r="N287" s="15">
        <v>85</v>
      </c>
      <c r="O287" s="40">
        <v>0</v>
      </c>
      <c r="P287" s="18">
        <f t="shared" si="3"/>
        <v>490</v>
      </c>
      <c r="Q287" s="18">
        <f t="shared" si="4"/>
        <v>490</v>
      </c>
      <c r="R287" s="18">
        <f t="shared" si="5"/>
        <v>749</v>
      </c>
      <c r="S287" s="41">
        <v>0</v>
      </c>
      <c r="U287" s="42"/>
      <c r="V287" s="42"/>
    </row>
    <row r="288" spans="1:22" ht="14.4">
      <c r="A288" s="13">
        <v>70901</v>
      </c>
      <c r="B288" s="14" t="s">
        <v>302</v>
      </c>
      <c r="C288" s="15">
        <v>3099</v>
      </c>
      <c r="D288" s="15">
        <v>2317</v>
      </c>
      <c r="E288" s="15">
        <v>30</v>
      </c>
      <c r="F288" s="15">
        <v>61</v>
      </c>
      <c r="G288" s="15">
        <v>20</v>
      </c>
      <c r="H288" s="15">
        <v>671</v>
      </c>
      <c r="I288" s="15">
        <v>4052</v>
      </c>
      <c r="J288" s="15">
        <v>3456</v>
      </c>
      <c r="K288" s="15">
        <v>19</v>
      </c>
      <c r="L288" s="15">
        <v>311</v>
      </c>
      <c r="M288" s="15">
        <v>10</v>
      </c>
      <c r="N288" s="15">
        <v>256</v>
      </c>
      <c r="O288" s="40">
        <v>493</v>
      </c>
      <c r="P288" s="18">
        <f t="shared" si="3"/>
        <v>2963</v>
      </c>
      <c r="Q288" s="18">
        <f t="shared" si="4"/>
        <v>2963</v>
      </c>
      <c r="R288" s="18">
        <f t="shared" si="5"/>
        <v>4052</v>
      </c>
      <c r="S288" s="41">
        <v>621</v>
      </c>
      <c r="U288" s="42"/>
      <c r="V288" s="42"/>
    </row>
    <row r="289" spans="1:22" ht="14.4">
      <c r="A289" s="21">
        <v>70902</v>
      </c>
      <c r="B289" s="22" t="s">
        <v>303</v>
      </c>
      <c r="C289" s="15">
        <v>2714</v>
      </c>
      <c r="D289" s="15">
        <v>2123</v>
      </c>
      <c r="E289" s="15">
        <v>22</v>
      </c>
      <c r="F289" s="15">
        <v>68</v>
      </c>
      <c r="G289" s="15">
        <v>4</v>
      </c>
      <c r="H289" s="15">
        <v>497</v>
      </c>
      <c r="I289" s="15">
        <v>3050</v>
      </c>
      <c r="J289" s="15">
        <v>2689</v>
      </c>
      <c r="K289" s="15">
        <v>2</v>
      </c>
      <c r="L289" s="15">
        <v>38</v>
      </c>
      <c r="M289" s="15">
        <v>25</v>
      </c>
      <c r="N289" s="15">
        <v>296</v>
      </c>
      <c r="O289" s="40">
        <v>220</v>
      </c>
      <c r="P289" s="18">
        <f t="shared" si="3"/>
        <v>2469</v>
      </c>
      <c r="Q289" s="18">
        <f t="shared" si="4"/>
        <v>2469</v>
      </c>
      <c r="R289" s="18">
        <f t="shared" si="5"/>
        <v>3050</v>
      </c>
      <c r="S289" s="41">
        <v>537</v>
      </c>
      <c r="U289" s="42"/>
      <c r="V289" s="42"/>
    </row>
    <row r="290" spans="1:22" ht="14.4">
      <c r="A290" s="13">
        <v>70903</v>
      </c>
      <c r="B290" s="14" t="s">
        <v>304</v>
      </c>
      <c r="C290" s="15">
        <v>2964</v>
      </c>
      <c r="D290" s="15">
        <v>2541</v>
      </c>
      <c r="E290" s="15">
        <v>11</v>
      </c>
      <c r="F290" s="15">
        <v>9</v>
      </c>
      <c r="G290" s="15">
        <v>8</v>
      </c>
      <c r="H290" s="15">
        <v>395</v>
      </c>
      <c r="I290" s="15">
        <v>4310</v>
      </c>
      <c r="J290" s="15">
        <v>3646</v>
      </c>
      <c r="K290" s="15">
        <v>13</v>
      </c>
      <c r="L290" s="15">
        <v>40</v>
      </c>
      <c r="M290" s="15">
        <v>25</v>
      </c>
      <c r="N290" s="15">
        <v>586</v>
      </c>
      <c r="O290" s="40">
        <v>260</v>
      </c>
      <c r="P290" s="18">
        <f t="shared" si="3"/>
        <v>3386</v>
      </c>
      <c r="Q290" s="18">
        <f t="shared" si="4"/>
        <v>3386</v>
      </c>
      <c r="R290" s="18">
        <f t="shared" si="5"/>
        <v>4310</v>
      </c>
      <c r="S290" s="41">
        <v>559</v>
      </c>
      <c r="U290" s="42"/>
      <c r="V290" s="42"/>
    </row>
    <row r="291" spans="1:22" ht="14.4">
      <c r="A291" s="21">
        <v>70904</v>
      </c>
      <c r="B291" s="22" t="s">
        <v>305</v>
      </c>
      <c r="C291" s="15">
        <v>730</v>
      </c>
      <c r="D291" s="15">
        <v>517</v>
      </c>
      <c r="E291" s="15">
        <v>5</v>
      </c>
      <c r="F291" s="15">
        <v>35</v>
      </c>
      <c r="G291" s="15">
        <v>12</v>
      </c>
      <c r="H291" s="15">
        <v>161</v>
      </c>
      <c r="I291" s="15">
        <v>787</v>
      </c>
      <c r="J291" s="15">
        <v>647</v>
      </c>
      <c r="K291" s="15">
        <v>1</v>
      </c>
      <c r="L291" s="15">
        <v>55</v>
      </c>
      <c r="M291" s="15">
        <v>1</v>
      </c>
      <c r="N291" s="15">
        <v>83</v>
      </c>
      <c r="O291" s="40">
        <v>41</v>
      </c>
      <c r="P291" s="18">
        <f t="shared" si="3"/>
        <v>606</v>
      </c>
      <c r="Q291" s="18">
        <f t="shared" si="4"/>
        <v>606</v>
      </c>
      <c r="R291" s="18">
        <f t="shared" si="5"/>
        <v>787</v>
      </c>
      <c r="S291" s="41">
        <v>385</v>
      </c>
      <c r="U291" s="42"/>
      <c r="V291" s="42"/>
    </row>
    <row r="292" spans="1:22" ht="14.4">
      <c r="A292" s="13">
        <v>71001</v>
      </c>
      <c r="B292" s="14" t="s">
        <v>306</v>
      </c>
      <c r="C292" s="15">
        <v>26343</v>
      </c>
      <c r="D292" s="15">
        <v>24524</v>
      </c>
      <c r="E292" s="15">
        <v>72</v>
      </c>
      <c r="F292" s="15">
        <v>10</v>
      </c>
      <c r="G292" s="15">
        <v>191</v>
      </c>
      <c r="H292" s="15">
        <v>1546</v>
      </c>
      <c r="I292" s="15">
        <v>33384</v>
      </c>
      <c r="J292" s="15">
        <v>32778</v>
      </c>
      <c r="K292" s="15">
        <v>90</v>
      </c>
      <c r="L292" s="15">
        <v>177</v>
      </c>
      <c r="M292" s="15">
        <v>76</v>
      </c>
      <c r="N292" s="15">
        <v>263</v>
      </c>
      <c r="O292" s="40">
        <v>32005</v>
      </c>
      <c r="P292" s="18">
        <f t="shared" si="3"/>
        <v>773</v>
      </c>
      <c r="Q292" s="18">
        <f t="shared" si="4"/>
        <v>773</v>
      </c>
      <c r="R292" s="18">
        <f t="shared" si="5"/>
        <v>33384</v>
      </c>
      <c r="S292" s="41">
        <v>1365</v>
      </c>
      <c r="U292" s="42"/>
      <c r="V292" s="42"/>
    </row>
    <row r="293" spans="1:22" ht="14.4">
      <c r="A293" s="21">
        <v>71002</v>
      </c>
      <c r="B293" s="22" t="s">
        <v>307</v>
      </c>
      <c r="C293" s="15">
        <v>3236</v>
      </c>
      <c r="D293" s="15">
        <v>2651</v>
      </c>
      <c r="E293" s="15">
        <v>32</v>
      </c>
      <c r="F293" s="15">
        <v>4</v>
      </c>
      <c r="G293" s="15">
        <v>33</v>
      </c>
      <c r="H293" s="15">
        <v>516</v>
      </c>
      <c r="I293" s="15">
        <v>4358</v>
      </c>
      <c r="J293" s="15">
        <v>4041</v>
      </c>
      <c r="K293" s="15">
        <v>29</v>
      </c>
      <c r="L293" s="15">
        <v>41</v>
      </c>
      <c r="M293" s="15">
        <v>21</v>
      </c>
      <c r="N293" s="15">
        <v>226</v>
      </c>
      <c r="O293" s="40">
        <v>3257</v>
      </c>
      <c r="P293" s="18">
        <f t="shared" si="3"/>
        <v>784</v>
      </c>
      <c r="Q293" s="18">
        <f t="shared" si="4"/>
        <v>784</v>
      </c>
      <c r="R293" s="18">
        <f t="shared" si="5"/>
        <v>4358</v>
      </c>
      <c r="S293" s="41">
        <v>943</v>
      </c>
      <c r="U293" s="42"/>
      <c r="V293" s="42"/>
    </row>
    <row r="294" spans="1:22" ht="14.4">
      <c r="A294" s="13">
        <v>71003</v>
      </c>
      <c r="B294" s="14" t="s">
        <v>308</v>
      </c>
      <c r="C294" s="15">
        <v>5327</v>
      </c>
      <c r="D294" s="15">
        <v>4651</v>
      </c>
      <c r="E294" s="15">
        <v>25</v>
      </c>
      <c r="F294" s="15">
        <v>10</v>
      </c>
      <c r="G294" s="15">
        <v>51</v>
      </c>
      <c r="H294" s="15">
        <v>590</v>
      </c>
      <c r="I294" s="15">
        <v>6194</v>
      </c>
      <c r="J294" s="15">
        <v>5859</v>
      </c>
      <c r="K294" s="15">
        <v>30</v>
      </c>
      <c r="L294" s="15">
        <v>56</v>
      </c>
      <c r="M294" s="15">
        <v>48</v>
      </c>
      <c r="N294" s="15">
        <v>201</v>
      </c>
      <c r="O294" s="40">
        <v>5322</v>
      </c>
      <c r="P294" s="18">
        <f t="shared" si="3"/>
        <v>537</v>
      </c>
      <c r="Q294" s="18">
        <f t="shared" si="4"/>
        <v>537</v>
      </c>
      <c r="R294" s="18">
        <f t="shared" si="5"/>
        <v>6194</v>
      </c>
      <c r="S294" s="41">
        <v>1118</v>
      </c>
      <c r="U294" s="42"/>
      <c r="V294" s="42"/>
    </row>
    <row r="295" spans="1:22" ht="14.4">
      <c r="A295" s="21">
        <v>71004</v>
      </c>
      <c r="B295" s="22" t="s">
        <v>309</v>
      </c>
      <c r="C295" s="15">
        <v>3163</v>
      </c>
      <c r="D295" s="15">
        <v>2525</v>
      </c>
      <c r="E295" s="15">
        <v>122</v>
      </c>
      <c r="F295" s="15">
        <v>66</v>
      </c>
      <c r="G295" s="15">
        <v>48</v>
      </c>
      <c r="H295" s="15">
        <v>402</v>
      </c>
      <c r="I295" s="15">
        <v>3438</v>
      </c>
      <c r="J295" s="15">
        <v>3100</v>
      </c>
      <c r="K295" s="15">
        <v>42</v>
      </c>
      <c r="L295" s="15">
        <v>54</v>
      </c>
      <c r="M295" s="15">
        <v>32</v>
      </c>
      <c r="N295" s="15">
        <v>210</v>
      </c>
      <c r="O295" s="40">
        <v>3045</v>
      </c>
      <c r="P295" s="18">
        <f t="shared" si="3"/>
        <v>55</v>
      </c>
      <c r="Q295" s="18">
        <f t="shared" si="4"/>
        <v>55</v>
      </c>
      <c r="R295" s="18">
        <f t="shared" si="5"/>
        <v>3438</v>
      </c>
      <c r="S295" s="41">
        <v>910</v>
      </c>
      <c r="U295" s="42"/>
      <c r="V295" s="42"/>
    </row>
    <row r="296" spans="1:22" ht="14.4">
      <c r="A296" s="13">
        <v>71005</v>
      </c>
      <c r="B296" s="14" t="s">
        <v>310</v>
      </c>
      <c r="C296" s="15">
        <v>3477</v>
      </c>
      <c r="D296" s="15">
        <v>3010</v>
      </c>
      <c r="E296" s="15">
        <v>44</v>
      </c>
      <c r="F296" s="15">
        <v>6</v>
      </c>
      <c r="G296" s="15">
        <v>28</v>
      </c>
      <c r="H296" s="15">
        <v>389</v>
      </c>
      <c r="I296" s="15">
        <v>3775</v>
      </c>
      <c r="J296" s="15">
        <v>3324</v>
      </c>
      <c r="K296" s="15">
        <v>26</v>
      </c>
      <c r="L296" s="15">
        <v>90</v>
      </c>
      <c r="M296" s="15">
        <v>26</v>
      </c>
      <c r="N296" s="15">
        <v>309</v>
      </c>
      <c r="O296" s="40">
        <v>3413</v>
      </c>
      <c r="P296" s="18">
        <f t="shared" si="3"/>
        <v>-89</v>
      </c>
      <c r="Q296" s="40" t="str">
        <f t="shared" si="4"/>
        <v/>
      </c>
      <c r="R296" s="18">
        <f t="shared" si="5"/>
        <v>3864</v>
      </c>
      <c r="S296" s="41">
        <v>971</v>
      </c>
      <c r="U296" s="42"/>
      <c r="V296" s="42"/>
    </row>
    <row r="297" spans="1:22" ht="14.4">
      <c r="A297" s="21">
        <v>71101</v>
      </c>
      <c r="B297" s="22" t="s">
        <v>311</v>
      </c>
      <c r="C297" s="15">
        <v>4261</v>
      </c>
      <c r="D297" s="15">
        <v>2107</v>
      </c>
      <c r="E297" s="15">
        <v>256</v>
      </c>
      <c r="F297" s="15">
        <v>83</v>
      </c>
      <c r="G297" s="15">
        <v>186</v>
      </c>
      <c r="H297" s="15">
        <v>1629</v>
      </c>
      <c r="I297" s="15">
        <v>9407</v>
      </c>
      <c r="J297" s="15">
        <v>5727</v>
      </c>
      <c r="K297" s="15">
        <v>164</v>
      </c>
      <c r="L297" s="15">
        <v>869</v>
      </c>
      <c r="M297" s="15">
        <v>246</v>
      </c>
      <c r="N297" s="15">
        <v>2401</v>
      </c>
      <c r="O297" s="40">
        <v>599</v>
      </c>
      <c r="P297" s="18">
        <f t="shared" si="3"/>
        <v>5128</v>
      </c>
      <c r="Q297" s="18">
        <f t="shared" si="4"/>
        <v>5128</v>
      </c>
      <c r="R297" s="18">
        <f t="shared" si="5"/>
        <v>9407</v>
      </c>
      <c r="S297" s="41">
        <v>697</v>
      </c>
      <c r="U297" s="42"/>
      <c r="V297" s="42"/>
    </row>
    <row r="298" spans="1:22" ht="14.4">
      <c r="A298" s="13">
        <v>71102</v>
      </c>
      <c r="B298" s="14" t="s">
        <v>312</v>
      </c>
      <c r="C298" s="15">
        <v>3185</v>
      </c>
      <c r="D298" s="15">
        <v>1905</v>
      </c>
      <c r="E298" s="15">
        <v>115</v>
      </c>
      <c r="F298" s="15">
        <v>168</v>
      </c>
      <c r="G298" s="15">
        <v>94</v>
      </c>
      <c r="H298" s="15">
        <v>903</v>
      </c>
      <c r="I298" s="15">
        <v>3941</v>
      </c>
      <c r="J298" s="15">
        <v>3297</v>
      </c>
      <c r="K298" s="15">
        <v>47</v>
      </c>
      <c r="L298" s="15">
        <v>290</v>
      </c>
      <c r="M298" s="15">
        <v>39</v>
      </c>
      <c r="N298" s="15">
        <v>268</v>
      </c>
      <c r="O298" s="40">
        <v>161</v>
      </c>
      <c r="P298" s="18">
        <f t="shared" si="3"/>
        <v>3136</v>
      </c>
      <c r="Q298" s="18">
        <f t="shared" si="4"/>
        <v>3136</v>
      </c>
      <c r="R298" s="18">
        <f t="shared" si="5"/>
        <v>3941</v>
      </c>
      <c r="S298" s="41">
        <v>777</v>
      </c>
      <c r="U298" s="42"/>
      <c r="V298" s="42"/>
    </row>
    <row r="299" spans="1:22" ht="14.4">
      <c r="A299" s="21">
        <v>71103</v>
      </c>
      <c r="B299" s="22" t="s">
        <v>313</v>
      </c>
      <c r="C299" s="15">
        <v>1685</v>
      </c>
      <c r="D299" s="15">
        <v>1253</v>
      </c>
      <c r="E299" s="15">
        <v>19</v>
      </c>
      <c r="F299" s="15">
        <v>16</v>
      </c>
      <c r="G299" s="15">
        <v>49</v>
      </c>
      <c r="H299" s="15">
        <v>348</v>
      </c>
      <c r="I299" s="15">
        <v>2433</v>
      </c>
      <c r="J299" s="15">
        <v>1968</v>
      </c>
      <c r="K299" s="15">
        <v>16</v>
      </c>
      <c r="L299" s="15">
        <v>152</v>
      </c>
      <c r="M299" s="15">
        <v>47</v>
      </c>
      <c r="N299" s="15">
        <v>250</v>
      </c>
      <c r="O299" s="40">
        <v>162</v>
      </c>
      <c r="P299" s="18">
        <f t="shared" si="3"/>
        <v>1806</v>
      </c>
      <c r="Q299" s="18">
        <f t="shared" si="4"/>
        <v>1806</v>
      </c>
      <c r="R299" s="18">
        <f t="shared" si="5"/>
        <v>2433</v>
      </c>
      <c r="S299" s="41">
        <v>1059.5</v>
      </c>
      <c r="U299" s="42"/>
      <c r="V299" s="42"/>
    </row>
    <row r="300" spans="1:22" ht="14.4">
      <c r="A300" s="13">
        <v>71104</v>
      </c>
      <c r="B300" s="14" t="s">
        <v>314</v>
      </c>
      <c r="C300" s="15">
        <v>12767</v>
      </c>
      <c r="D300" s="15">
        <v>6183</v>
      </c>
      <c r="E300" s="15">
        <v>605</v>
      </c>
      <c r="F300" s="15">
        <v>1207</v>
      </c>
      <c r="G300" s="15">
        <v>475</v>
      </c>
      <c r="H300" s="15">
        <v>4297</v>
      </c>
      <c r="I300" s="15">
        <v>14448</v>
      </c>
      <c r="J300" s="15">
        <v>12116</v>
      </c>
      <c r="K300" s="15">
        <v>276</v>
      </c>
      <c r="L300" s="15">
        <v>524</v>
      </c>
      <c r="M300" s="15">
        <v>147</v>
      </c>
      <c r="N300" s="15">
        <v>1385</v>
      </c>
      <c r="O300" s="40">
        <v>1517</v>
      </c>
      <c r="P300" s="18">
        <f t="shared" si="3"/>
        <v>10599</v>
      </c>
      <c r="Q300" s="18">
        <f t="shared" si="4"/>
        <v>10599</v>
      </c>
      <c r="R300" s="18">
        <f t="shared" si="5"/>
        <v>14448</v>
      </c>
      <c r="S300" s="41">
        <v>750</v>
      </c>
      <c r="U300" s="42"/>
      <c r="V300" s="42"/>
    </row>
    <row r="301" spans="1:22" ht="14.4">
      <c r="A301" s="21">
        <v>71105</v>
      </c>
      <c r="B301" s="22" t="s">
        <v>315</v>
      </c>
      <c r="C301" s="15">
        <v>1146</v>
      </c>
      <c r="D301" s="15">
        <v>882</v>
      </c>
      <c r="E301" s="15">
        <v>22</v>
      </c>
      <c r="F301" s="15">
        <v>16</v>
      </c>
      <c r="G301" s="15">
        <v>4</v>
      </c>
      <c r="H301" s="15">
        <v>222</v>
      </c>
      <c r="I301" s="15">
        <v>1475</v>
      </c>
      <c r="J301" s="15">
        <v>1348</v>
      </c>
      <c r="K301" s="15">
        <v>5</v>
      </c>
      <c r="L301" s="15">
        <v>35</v>
      </c>
      <c r="M301" s="15">
        <v>1</v>
      </c>
      <c r="N301" s="15">
        <v>86</v>
      </c>
      <c r="O301" s="40">
        <v>146</v>
      </c>
      <c r="P301" s="18">
        <f t="shared" si="3"/>
        <v>1202</v>
      </c>
      <c r="Q301" s="18">
        <f t="shared" si="4"/>
        <v>1202</v>
      </c>
      <c r="R301" s="18">
        <f t="shared" si="5"/>
        <v>1475</v>
      </c>
      <c r="S301" s="41">
        <v>474.5</v>
      </c>
      <c r="U301" s="42"/>
      <c r="V301" s="42"/>
    </row>
    <row r="302" spans="1:22" ht="14.4">
      <c r="A302" s="13">
        <v>71106</v>
      </c>
      <c r="B302" s="14" t="s">
        <v>316</v>
      </c>
      <c r="C302" s="15">
        <v>5058</v>
      </c>
      <c r="D302" s="15">
        <v>3270</v>
      </c>
      <c r="E302" s="15">
        <v>734</v>
      </c>
      <c r="F302" s="15">
        <v>131</v>
      </c>
      <c r="G302" s="15">
        <v>133</v>
      </c>
      <c r="H302" s="15">
        <v>790</v>
      </c>
      <c r="I302" s="15">
        <v>6551</v>
      </c>
      <c r="J302" s="15">
        <v>5207</v>
      </c>
      <c r="K302" s="15">
        <v>729</v>
      </c>
      <c r="L302" s="15">
        <v>151</v>
      </c>
      <c r="M302" s="15">
        <v>94</v>
      </c>
      <c r="N302" s="15">
        <v>370</v>
      </c>
      <c r="O302" s="40">
        <v>0</v>
      </c>
      <c r="P302" s="18">
        <f t="shared" si="3"/>
        <v>5207</v>
      </c>
      <c r="Q302" s="18">
        <f t="shared" si="4"/>
        <v>5207</v>
      </c>
      <c r="R302" s="18">
        <f t="shared" si="5"/>
        <v>6551</v>
      </c>
      <c r="S302" s="41">
        <v>0</v>
      </c>
      <c r="U302" s="42"/>
      <c r="V302" s="42"/>
    </row>
    <row r="303" spans="1:22" ht="14.4">
      <c r="A303" s="21">
        <v>71201</v>
      </c>
      <c r="B303" s="22" t="s">
        <v>317</v>
      </c>
      <c r="C303" s="15">
        <v>3215</v>
      </c>
      <c r="D303" s="15">
        <v>2197</v>
      </c>
      <c r="E303" s="15">
        <v>150</v>
      </c>
      <c r="F303" s="15">
        <v>88</v>
      </c>
      <c r="G303" s="15">
        <v>27</v>
      </c>
      <c r="H303" s="15">
        <v>753</v>
      </c>
      <c r="I303" s="15">
        <v>4145</v>
      </c>
      <c r="J303" s="15">
        <v>3501</v>
      </c>
      <c r="K303" s="15">
        <v>111</v>
      </c>
      <c r="L303" s="15">
        <v>169</v>
      </c>
      <c r="M303" s="15">
        <v>17</v>
      </c>
      <c r="N303" s="15">
        <v>347</v>
      </c>
      <c r="O303" s="40">
        <v>16</v>
      </c>
      <c r="P303" s="18">
        <f t="shared" si="3"/>
        <v>3485</v>
      </c>
      <c r="Q303" s="18">
        <f t="shared" si="4"/>
        <v>3485</v>
      </c>
      <c r="R303" s="18">
        <f t="shared" si="5"/>
        <v>4145</v>
      </c>
      <c r="S303" s="41">
        <v>866</v>
      </c>
      <c r="U303" s="42"/>
      <c r="V303" s="42"/>
    </row>
    <row r="304" spans="1:22" ht="14.4">
      <c r="A304" s="13">
        <v>71301</v>
      </c>
      <c r="B304" s="14" t="s">
        <v>318</v>
      </c>
      <c r="C304" s="15">
        <v>4639</v>
      </c>
      <c r="D304" s="15">
        <v>3336</v>
      </c>
      <c r="E304" s="15">
        <v>19</v>
      </c>
      <c r="F304" s="15">
        <v>275</v>
      </c>
      <c r="G304" s="15">
        <v>28</v>
      </c>
      <c r="H304" s="15">
        <v>981</v>
      </c>
      <c r="I304" s="15">
        <v>5754</v>
      </c>
      <c r="J304" s="15">
        <v>4957</v>
      </c>
      <c r="K304" s="15">
        <v>10</v>
      </c>
      <c r="L304" s="15">
        <v>192</v>
      </c>
      <c r="M304" s="15">
        <v>60</v>
      </c>
      <c r="N304" s="15">
        <v>535</v>
      </c>
      <c r="O304" s="40">
        <v>585</v>
      </c>
      <c r="P304" s="18">
        <f t="shared" si="3"/>
        <v>4372</v>
      </c>
      <c r="Q304" s="18">
        <f t="shared" si="4"/>
        <v>4372</v>
      </c>
      <c r="R304" s="18">
        <f t="shared" si="5"/>
        <v>5754</v>
      </c>
      <c r="S304" s="41">
        <v>293</v>
      </c>
      <c r="U304" s="42"/>
      <c r="V304" s="42"/>
    </row>
    <row r="305" spans="1:22" ht="14.4">
      <c r="A305" s="21">
        <v>71302</v>
      </c>
      <c r="B305" s="22" t="s">
        <v>319</v>
      </c>
      <c r="C305" s="15">
        <v>1783</v>
      </c>
      <c r="D305" s="15">
        <v>1438</v>
      </c>
      <c r="E305" s="15">
        <v>0</v>
      </c>
      <c r="F305" s="15">
        <v>39</v>
      </c>
      <c r="G305" s="15">
        <v>7</v>
      </c>
      <c r="H305" s="15">
        <v>299</v>
      </c>
      <c r="I305" s="15">
        <v>1989</v>
      </c>
      <c r="J305" s="15">
        <v>1809</v>
      </c>
      <c r="K305" s="15">
        <v>7</v>
      </c>
      <c r="L305" s="15">
        <v>53</v>
      </c>
      <c r="M305" s="15">
        <v>10</v>
      </c>
      <c r="N305" s="15">
        <v>110</v>
      </c>
      <c r="O305" s="40">
        <v>105</v>
      </c>
      <c r="P305" s="18">
        <f t="shared" si="3"/>
        <v>1704</v>
      </c>
      <c r="Q305" s="18">
        <f t="shared" si="4"/>
        <v>1704</v>
      </c>
      <c r="R305" s="18">
        <f t="shared" si="5"/>
        <v>1989</v>
      </c>
      <c r="S305" s="41">
        <v>485</v>
      </c>
      <c r="U305" s="42"/>
      <c r="V305" s="42"/>
    </row>
    <row r="306" spans="1:22" ht="14.4">
      <c r="A306" s="13">
        <v>71401</v>
      </c>
      <c r="B306" s="14" t="s">
        <v>320</v>
      </c>
      <c r="C306" s="15">
        <v>4554</v>
      </c>
      <c r="D306" s="15">
        <v>3929</v>
      </c>
      <c r="E306" s="15">
        <v>40</v>
      </c>
      <c r="F306" s="15">
        <v>15</v>
      </c>
      <c r="G306" s="15">
        <v>36</v>
      </c>
      <c r="H306" s="15">
        <v>534</v>
      </c>
      <c r="I306" s="15">
        <v>4859</v>
      </c>
      <c r="J306" s="15">
        <v>4365</v>
      </c>
      <c r="K306" s="15">
        <v>93</v>
      </c>
      <c r="L306" s="15">
        <v>72</v>
      </c>
      <c r="M306" s="15">
        <v>21</v>
      </c>
      <c r="N306" s="15">
        <v>308</v>
      </c>
      <c r="O306" s="40">
        <v>257</v>
      </c>
      <c r="P306" s="18">
        <f t="shared" si="3"/>
        <v>4108</v>
      </c>
      <c r="Q306" s="18">
        <f t="shared" si="4"/>
        <v>4108</v>
      </c>
      <c r="R306" s="18">
        <f t="shared" si="5"/>
        <v>4859</v>
      </c>
      <c r="S306" s="41">
        <v>810</v>
      </c>
      <c r="U306" s="42"/>
      <c r="V306" s="42"/>
    </row>
    <row r="307" spans="1:22" ht="14.4">
      <c r="A307" s="21">
        <v>71402</v>
      </c>
      <c r="B307" s="22" t="s">
        <v>321</v>
      </c>
      <c r="C307" s="15">
        <v>3881</v>
      </c>
      <c r="D307" s="15">
        <v>3575</v>
      </c>
      <c r="E307" s="15">
        <v>15</v>
      </c>
      <c r="F307" s="15">
        <v>3</v>
      </c>
      <c r="G307" s="15">
        <v>30</v>
      </c>
      <c r="H307" s="15">
        <v>258</v>
      </c>
      <c r="I307" s="15">
        <v>4954</v>
      </c>
      <c r="J307" s="15">
        <v>4788</v>
      </c>
      <c r="K307" s="15">
        <v>23</v>
      </c>
      <c r="L307" s="15">
        <v>15</v>
      </c>
      <c r="M307" s="15">
        <v>33</v>
      </c>
      <c r="N307" s="15">
        <v>95</v>
      </c>
      <c r="O307" s="40">
        <v>354</v>
      </c>
      <c r="P307" s="18">
        <f t="shared" si="3"/>
        <v>4434</v>
      </c>
      <c r="Q307" s="18">
        <f t="shared" si="4"/>
        <v>4434</v>
      </c>
      <c r="R307" s="18">
        <f t="shared" si="5"/>
        <v>4954</v>
      </c>
      <c r="S307" s="41">
        <v>1576</v>
      </c>
      <c r="U307" s="42"/>
      <c r="V307" s="42"/>
    </row>
    <row r="308" spans="1:22" ht="14.4">
      <c r="A308" s="13">
        <v>71403</v>
      </c>
      <c r="B308" s="14" t="s">
        <v>322</v>
      </c>
      <c r="C308" s="15">
        <v>1492</v>
      </c>
      <c r="D308" s="15">
        <v>646</v>
      </c>
      <c r="E308" s="15">
        <v>179</v>
      </c>
      <c r="F308" s="15">
        <v>79</v>
      </c>
      <c r="G308" s="15">
        <v>97</v>
      </c>
      <c r="H308" s="15">
        <v>491</v>
      </c>
      <c r="I308" s="15">
        <v>2433</v>
      </c>
      <c r="J308" s="15">
        <v>1145</v>
      </c>
      <c r="K308" s="15">
        <v>308</v>
      </c>
      <c r="L308" s="15">
        <v>391</v>
      </c>
      <c r="M308" s="15">
        <v>29</v>
      </c>
      <c r="N308" s="15">
        <v>560</v>
      </c>
      <c r="O308" s="40">
        <v>40</v>
      </c>
      <c r="P308" s="18">
        <f t="shared" si="3"/>
        <v>1105</v>
      </c>
      <c r="Q308" s="18">
        <f t="shared" si="4"/>
        <v>1105</v>
      </c>
      <c r="R308" s="18">
        <f t="shared" si="5"/>
        <v>2433</v>
      </c>
      <c r="S308" s="41">
        <v>268.5</v>
      </c>
      <c r="U308" s="42"/>
      <c r="V308" s="42"/>
    </row>
    <row r="309" spans="1:22" ht="14.4">
      <c r="A309" s="21">
        <v>71501</v>
      </c>
      <c r="B309" s="22" t="s">
        <v>323</v>
      </c>
      <c r="C309" s="15">
        <v>5521</v>
      </c>
      <c r="D309" s="15">
        <v>3927</v>
      </c>
      <c r="E309" s="15">
        <v>209</v>
      </c>
      <c r="F309" s="15">
        <v>81</v>
      </c>
      <c r="G309" s="15">
        <v>320</v>
      </c>
      <c r="H309" s="15">
        <v>984</v>
      </c>
      <c r="I309" s="15">
        <v>10803</v>
      </c>
      <c r="J309" s="15">
        <v>6852</v>
      </c>
      <c r="K309" s="15">
        <v>135</v>
      </c>
      <c r="L309" s="15">
        <v>879</v>
      </c>
      <c r="M309" s="15">
        <v>313</v>
      </c>
      <c r="N309" s="15">
        <v>2624</v>
      </c>
      <c r="O309" s="40">
        <v>632</v>
      </c>
      <c r="P309" s="18">
        <f t="shared" si="3"/>
        <v>6220</v>
      </c>
      <c r="Q309" s="18">
        <f t="shared" si="4"/>
        <v>6220</v>
      </c>
      <c r="R309" s="18">
        <f t="shared" si="5"/>
        <v>10803</v>
      </c>
      <c r="S309" s="41">
        <v>795</v>
      </c>
      <c r="U309" s="42"/>
      <c r="V309" s="42"/>
    </row>
    <row r="310" spans="1:22" ht="14.4">
      <c r="A310" s="13">
        <v>71502</v>
      </c>
      <c r="B310" s="14" t="s">
        <v>324</v>
      </c>
      <c r="C310" s="15">
        <v>1182</v>
      </c>
      <c r="D310" s="15">
        <v>887</v>
      </c>
      <c r="E310" s="15">
        <v>21</v>
      </c>
      <c r="F310" s="15">
        <v>6</v>
      </c>
      <c r="G310" s="15">
        <v>22</v>
      </c>
      <c r="H310" s="15">
        <v>246</v>
      </c>
      <c r="I310" s="15">
        <v>1640</v>
      </c>
      <c r="J310" s="15">
        <v>1266</v>
      </c>
      <c r="K310" s="15">
        <v>19</v>
      </c>
      <c r="L310" s="15">
        <v>55</v>
      </c>
      <c r="M310" s="15">
        <v>24</v>
      </c>
      <c r="N310" s="15">
        <v>276</v>
      </c>
      <c r="O310" s="40">
        <v>80</v>
      </c>
      <c r="P310" s="18">
        <f t="shared" si="3"/>
        <v>1186</v>
      </c>
      <c r="Q310" s="18">
        <f t="shared" si="4"/>
        <v>1186</v>
      </c>
      <c r="R310" s="18">
        <f t="shared" si="5"/>
        <v>1640</v>
      </c>
      <c r="S310" s="41">
        <v>561.5</v>
      </c>
      <c r="U310" s="42"/>
      <c r="V310" s="42"/>
    </row>
    <row r="311" spans="1:22" ht="14.4">
      <c r="A311" s="21">
        <v>71503</v>
      </c>
      <c r="B311" s="22" t="s">
        <v>269</v>
      </c>
      <c r="C311" s="15">
        <v>4461</v>
      </c>
      <c r="D311" s="15">
        <v>870</v>
      </c>
      <c r="E311" s="15">
        <v>320</v>
      </c>
      <c r="F311" s="15">
        <v>328</v>
      </c>
      <c r="G311" s="15">
        <v>223</v>
      </c>
      <c r="H311" s="15">
        <v>2720</v>
      </c>
      <c r="I311" s="15">
        <v>6454</v>
      </c>
      <c r="J311" s="15">
        <v>2779</v>
      </c>
      <c r="K311" s="15">
        <v>246</v>
      </c>
      <c r="L311" s="15">
        <v>989</v>
      </c>
      <c r="M311" s="15">
        <v>237</v>
      </c>
      <c r="N311" s="15">
        <v>2203</v>
      </c>
      <c r="O311" s="40">
        <v>157</v>
      </c>
      <c r="P311" s="18">
        <f t="shared" si="3"/>
        <v>2622</v>
      </c>
      <c r="Q311" s="18">
        <f t="shared" si="4"/>
        <v>2622</v>
      </c>
      <c r="R311" s="18">
        <f t="shared" si="5"/>
        <v>6454</v>
      </c>
      <c r="S311" s="41">
        <v>772</v>
      </c>
      <c r="U311" s="42"/>
      <c r="V311" s="42"/>
    </row>
    <row r="312" spans="1:22" ht="14.4">
      <c r="A312" s="13">
        <v>80101</v>
      </c>
      <c r="B312" s="14" t="s">
        <v>325</v>
      </c>
      <c r="C312" s="15">
        <v>24724</v>
      </c>
      <c r="D312" s="15">
        <v>22589</v>
      </c>
      <c r="E312" s="15">
        <v>226</v>
      </c>
      <c r="F312" s="15">
        <v>40</v>
      </c>
      <c r="G312" s="15">
        <v>333</v>
      </c>
      <c r="H312" s="15">
        <v>1536</v>
      </c>
      <c r="I312" s="15">
        <v>32445</v>
      </c>
      <c r="J312" s="15">
        <v>31294</v>
      </c>
      <c r="K312" s="15">
        <v>139</v>
      </c>
      <c r="L312" s="15">
        <v>122</v>
      </c>
      <c r="M312" s="15">
        <v>248</v>
      </c>
      <c r="N312" s="15">
        <v>642</v>
      </c>
      <c r="O312" s="40">
        <v>33095</v>
      </c>
      <c r="P312" s="18">
        <f t="shared" si="3"/>
        <v>-1801</v>
      </c>
      <c r="Q312" s="40" t="str">
        <f t="shared" si="4"/>
        <v/>
      </c>
      <c r="R312" s="18">
        <f t="shared" si="5"/>
        <v>34246</v>
      </c>
      <c r="S312" s="41">
        <v>1529</v>
      </c>
      <c r="U312" s="42"/>
      <c r="V312" s="42"/>
    </row>
    <row r="313" spans="1:22" ht="14.4">
      <c r="A313" s="21">
        <v>80102</v>
      </c>
      <c r="B313" s="22" t="s">
        <v>312</v>
      </c>
      <c r="C313" s="15">
        <v>1230</v>
      </c>
      <c r="D313" s="15">
        <v>178</v>
      </c>
      <c r="E313" s="15">
        <v>297</v>
      </c>
      <c r="F313" s="15">
        <v>144</v>
      </c>
      <c r="G313" s="15">
        <v>93</v>
      </c>
      <c r="H313" s="15">
        <v>518</v>
      </c>
      <c r="I313" s="15">
        <v>2071</v>
      </c>
      <c r="J313" s="15">
        <v>695</v>
      </c>
      <c r="K313" s="15">
        <v>299</v>
      </c>
      <c r="L313" s="15">
        <v>295</v>
      </c>
      <c r="M313" s="15">
        <v>56</v>
      </c>
      <c r="N313" s="15">
        <v>726</v>
      </c>
      <c r="O313" s="40">
        <v>402</v>
      </c>
      <c r="P313" s="18">
        <f t="shared" si="3"/>
        <v>293</v>
      </c>
      <c r="Q313" s="18">
        <f t="shared" si="4"/>
        <v>293</v>
      </c>
      <c r="R313" s="18">
        <f t="shared" si="5"/>
        <v>2071</v>
      </c>
      <c r="S313" s="41">
        <v>607.5</v>
      </c>
      <c r="U313" s="42"/>
      <c r="V313" s="42"/>
    </row>
    <row r="314" spans="1:22" ht="14.4">
      <c r="A314" s="13">
        <v>80201</v>
      </c>
      <c r="B314" s="14" t="s">
        <v>326</v>
      </c>
      <c r="C314" s="15">
        <v>19588</v>
      </c>
      <c r="D314" s="15">
        <v>16439</v>
      </c>
      <c r="E314" s="15">
        <v>386</v>
      </c>
      <c r="F314" s="15">
        <v>146</v>
      </c>
      <c r="G314" s="15">
        <v>55</v>
      </c>
      <c r="H314" s="15">
        <v>2562</v>
      </c>
      <c r="I314" s="15">
        <v>27442</v>
      </c>
      <c r="J314" s="15">
        <v>23121</v>
      </c>
      <c r="K314" s="15">
        <v>422</v>
      </c>
      <c r="L314" s="15">
        <v>692</v>
      </c>
      <c r="M314" s="15">
        <v>282</v>
      </c>
      <c r="N314" s="15">
        <v>2925</v>
      </c>
      <c r="O314" s="40">
        <v>23337</v>
      </c>
      <c r="P314" s="18">
        <f t="shared" si="3"/>
        <v>-216</v>
      </c>
      <c r="Q314" s="40" t="str">
        <f t="shared" si="4"/>
        <v/>
      </c>
      <c r="R314" s="18">
        <f t="shared" si="5"/>
        <v>27658</v>
      </c>
      <c r="S314" s="41">
        <v>803</v>
      </c>
      <c r="U314" s="42"/>
      <c r="V314" s="42"/>
    </row>
    <row r="315" spans="1:22" ht="14.4">
      <c r="A315" s="21">
        <v>80202</v>
      </c>
      <c r="B315" s="22" t="s">
        <v>327</v>
      </c>
      <c r="C315" s="15">
        <v>9261</v>
      </c>
      <c r="D315" s="15">
        <v>7996</v>
      </c>
      <c r="E315" s="15">
        <v>164</v>
      </c>
      <c r="F315" s="15">
        <v>70</v>
      </c>
      <c r="G315" s="15">
        <v>70</v>
      </c>
      <c r="H315" s="15">
        <v>961</v>
      </c>
      <c r="I315" s="15">
        <v>10891</v>
      </c>
      <c r="J315" s="15">
        <v>9420</v>
      </c>
      <c r="K315" s="15">
        <v>166</v>
      </c>
      <c r="L315" s="15">
        <v>383</v>
      </c>
      <c r="M315" s="15">
        <v>97</v>
      </c>
      <c r="N315" s="15">
        <v>825</v>
      </c>
      <c r="O315" s="40">
        <v>9284</v>
      </c>
      <c r="P315" s="18">
        <f t="shared" si="3"/>
        <v>136</v>
      </c>
      <c r="Q315" s="18">
        <f t="shared" si="4"/>
        <v>136</v>
      </c>
      <c r="R315" s="18">
        <f t="shared" si="5"/>
        <v>10891</v>
      </c>
      <c r="S315" s="41">
        <v>1294</v>
      </c>
      <c r="U315" s="42"/>
      <c r="V315" s="42"/>
    </row>
    <row r="316" spans="1:22" ht="14.4">
      <c r="A316" s="13">
        <v>80301</v>
      </c>
      <c r="B316" s="14" t="s">
        <v>328</v>
      </c>
      <c r="C316" s="15">
        <v>2962</v>
      </c>
      <c r="D316" s="15">
        <v>1645</v>
      </c>
      <c r="E316" s="15">
        <v>152</v>
      </c>
      <c r="F316" s="15">
        <v>105</v>
      </c>
      <c r="G316" s="15">
        <v>106</v>
      </c>
      <c r="H316" s="15">
        <v>954</v>
      </c>
      <c r="I316" s="15">
        <v>3417</v>
      </c>
      <c r="J316" s="15">
        <v>2353</v>
      </c>
      <c r="K316" s="15">
        <v>96</v>
      </c>
      <c r="L316" s="15">
        <v>213</v>
      </c>
      <c r="M316" s="15">
        <v>44</v>
      </c>
      <c r="N316" s="15">
        <v>711</v>
      </c>
      <c r="O316" s="40">
        <v>2213</v>
      </c>
      <c r="P316" s="18">
        <f t="shared" si="3"/>
        <v>140</v>
      </c>
      <c r="Q316" s="18">
        <f t="shared" si="4"/>
        <v>140</v>
      </c>
      <c r="R316" s="18">
        <f t="shared" si="5"/>
        <v>3417</v>
      </c>
      <c r="S316" s="41">
        <v>905</v>
      </c>
      <c r="U316" s="42"/>
      <c r="V316" s="42"/>
    </row>
    <row r="317" spans="1:22" ht="14.4">
      <c r="A317" s="21">
        <v>80302</v>
      </c>
      <c r="B317" s="22" t="s">
        <v>329</v>
      </c>
      <c r="C317" s="15">
        <v>9412</v>
      </c>
      <c r="D317" s="15">
        <v>5341</v>
      </c>
      <c r="E317" s="15">
        <v>296</v>
      </c>
      <c r="F317" s="15">
        <v>130</v>
      </c>
      <c r="G317" s="15">
        <v>179</v>
      </c>
      <c r="H317" s="15">
        <v>3466</v>
      </c>
      <c r="I317" s="15">
        <v>13051</v>
      </c>
      <c r="J317" s="15">
        <v>8088</v>
      </c>
      <c r="K317" s="15">
        <v>91</v>
      </c>
      <c r="L317" s="15">
        <v>465</v>
      </c>
      <c r="M317" s="15">
        <v>90</v>
      </c>
      <c r="N317" s="15">
        <v>4317</v>
      </c>
      <c r="O317" s="40">
        <v>8467</v>
      </c>
      <c r="P317" s="18">
        <f t="shared" si="3"/>
        <v>-379</v>
      </c>
      <c r="Q317" s="40" t="str">
        <f t="shared" si="4"/>
        <v/>
      </c>
      <c r="R317" s="18">
        <f t="shared" si="5"/>
        <v>13430</v>
      </c>
      <c r="S317" s="41">
        <v>751.5</v>
      </c>
      <c r="U317" s="42"/>
      <c r="V317" s="42"/>
    </row>
    <row r="318" spans="1:22" ht="14.4">
      <c r="A318" s="13">
        <v>80303</v>
      </c>
      <c r="B318" s="14" t="s">
        <v>330</v>
      </c>
      <c r="C318" s="15">
        <v>1976</v>
      </c>
      <c r="D318" s="15">
        <v>1231</v>
      </c>
      <c r="E318" s="15">
        <v>115</v>
      </c>
      <c r="F318" s="15">
        <v>306</v>
      </c>
      <c r="G318" s="15">
        <v>13</v>
      </c>
      <c r="H318" s="15">
        <v>311</v>
      </c>
      <c r="I318" s="15">
        <v>2755</v>
      </c>
      <c r="J318" s="15">
        <v>1728</v>
      </c>
      <c r="K318" s="15">
        <v>198</v>
      </c>
      <c r="L318" s="15">
        <v>405</v>
      </c>
      <c r="M318" s="15">
        <v>17</v>
      </c>
      <c r="N318" s="15">
        <v>407</v>
      </c>
      <c r="O318" s="40">
        <v>1913</v>
      </c>
      <c r="P318" s="18">
        <f t="shared" si="3"/>
        <v>-185</v>
      </c>
      <c r="Q318" s="40" t="str">
        <f t="shared" si="4"/>
        <v/>
      </c>
      <c r="R318" s="18">
        <f t="shared" si="5"/>
        <v>2940</v>
      </c>
      <c r="S318" s="41">
        <v>953</v>
      </c>
      <c r="U318" s="42"/>
      <c r="V318" s="42"/>
    </row>
    <row r="319" spans="1:22" ht="14.4">
      <c r="A319" s="21">
        <v>80304</v>
      </c>
      <c r="B319" s="22" t="s">
        <v>331</v>
      </c>
      <c r="C319" s="15">
        <v>4857</v>
      </c>
      <c r="D319" s="15">
        <v>3250</v>
      </c>
      <c r="E319" s="15">
        <v>184</v>
      </c>
      <c r="F319" s="15">
        <v>75</v>
      </c>
      <c r="G319" s="15">
        <v>27</v>
      </c>
      <c r="H319" s="15">
        <v>1321</v>
      </c>
      <c r="I319" s="15">
        <v>6875</v>
      </c>
      <c r="J319" s="15">
        <v>5298</v>
      </c>
      <c r="K319" s="15">
        <v>28</v>
      </c>
      <c r="L319" s="15">
        <v>110</v>
      </c>
      <c r="M319" s="15">
        <v>43</v>
      </c>
      <c r="N319" s="15">
        <v>1396</v>
      </c>
      <c r="O319" s="40">
        <v>5695</v>
      </c>
      <c r="P319" s="18">
        <f t="shared" si="3"/>
        <v>-397</v>
      </c>
      <c r="Q319" s="40" t="str">
        <f t="shared" si="4"/>
        <v/>
      </c>
      <c r="R319" s="18">
        <f t="shared" si="5"/>
        <v>7272</v>
      </c>
      <c r="S319" s="41">
        <v>732</v>
      </c>
      <c r="U319" s="42"/>
      <c r="V319" s="42"/>
    </row>
    <row r="320" spans="1:22" ht="14.4">
      <c r="A320" s="13">
        <v>80401</v>
      </c>
      <c r="B320" s="14" t="s">
        <v>332</v>
      </c>
      <c r="C320" s="15">
        <v>3430</v>
      </c>
      <c r="D320" s="15">
        <v>2468</v>
      </c>
      <c r="E320" s="15">
        <v>143</v>
      </c>
      <c r="F320" s="15">
        <v>214</v>
      </c>
      <c r="G320" s="15">
        <v>91</v>
      </c>
      <c r="H320" s="15">
        <v>514</v>
      </c>
      <c r="I320" s="15">
        <v>4295</v>
      </c>
      <c r="J320" s="15">
        <v>3173</v>
      </c>
      <c r="K320" s="15">
        <v>122</v>
      </c>
      <c r="L320" s="15">
        <v>393</v>
      </c>
      <c r="M320" s="15">
        <v>40</v>
      </c>
      <c r="N320" s="15">
        <v>567</v>
      </c>
      <c r="O320" s="40">
        <v>3233</v>
      </c>
      <c r="P320" s="18">
        <f t="shared" si="3"/>
        <v>-60</v>
      </c>
      <c r="Q320" s="40" t="str">
        <f t="shared" si="4"/>
        <v/>
      </c>
      <c r="R320" s="18">
        <f t="shared" si="5"/>
        <v>4355</v>
      </c>
      <c r="S320" s="41">
        <v>1217</v>
      </c>
      <c r="U320" s="42"/>
      <c r="V320" s="42"/>
    </row>
    <row r="321" spans="1:22" ht="14.4">
      <c r="A321" s="21">
        <v>80402</v>
      </c>
      <c r="B321" s="22" t="s">
        <v>333</v>
      </c>
      <c r="C321" s="15">
        <v>938</v>
      </c>
      <c r="D321" s="15">
        <v>192</v>
      </c>
      <c r="E321" s="15">
        <v>161</v>
      </c>
      <c r="F321" s="15">
        <v>244</v>
      </c>
      <c r="G321" s="15">
        <v>70</v>
      </c>
      <c r="H321" s="15">
        <v>271</v>
      </c>
      <c r="I321" s="15">
        <v>1455</v>
      </c>
      <c r="J321" s="15">
        <v>292</v>
      </c>
      <c r="K321" s="15">
        <v>203</v>
      </c>
      <c r="L321" s="15">
        <v>664</v>
      </c>
      <c r="M321" s="15">
        <v>23</v>
      </c>
      <c r="N321" s="15">
        <v>273</v>
      </c>
      <c r="O321" s="40">
        <v>183</v>
      </c>
      <c r="P321" s="18">
        <f t="shared" si="3"/>
        <v>109</v>
      </c>
      <c r="Q321" s="18">
        <f t="shared" si="4"/>
        <v>109</v>
      </c>
      <c r="R321" s="18">
        <f t="shared" si="5"/>
        <v>1455</v>
      </c>
      <c r="S321" s="41">
        <v>921</v>
      </c>
      <c r="U321" s="42"/>
      <c r="V321" s="42"/>
    </row>
    <row r="322" spans="1:22" ht="14.4">
      <c r="A322" s="13">
        <v>80501</v>
      </c>
      <c r="B322" s="14" t="s">
        <v>334</v>
      </c>
      <c r="C322" s="15">
        <v>4005</v>
      </c>
      <c r="D322" s="15">
        <v>2348</v>
      </c>
      <c r="E322" s="15">
        <v>231</v>
      </c>
      <c r="F322" s="15">
        <v>221</v>
      </c>
      <c r="G322" s="15">
        <v>92</v>
      </c>
      <c r="H322" s="15">
        <v>1113</v>
      </c>
      <c r="I322" s="15">
        <v>5391</v>
      </c>
      <c r="J322" s="15">
        <v>3664</v>
      </c>
      <c r="K322" s="15">
        <v>224</v>
      </c>
      <c r="L322" s="15">
        <v>606</v>
      </c>
      <c r="M322" s="15">
        <v>33</v>
      </c>
      <c r="N322" s="15">
        <v>864</v>
      </c>
      <c r="O322" s="40">
        <v>3548</v>
      </c>
      <c r="P322" s="18">
        <f t="shared" si="3"/>
        <v>116</v>
      </c>
      <c r="Q322" s="18">
        <f t="shared" si="4"/>
        <v>116</v>
      </c>
      <c r="R322" s="18">
        <f t="shared" si="5"/>
        <v>5391</v>
      </c>
      <c r="S322" s="41">
        <v>684</v>
      </c>
      <c r="U322" s="42"/>
      <c r="V322" s="42"/>
    </row>
    <row r="323" spans="1:22" ht="14.4">
      <c r="A323" s="21">
        <v>80601</v>
      </c>
      <c r="B323" s="22" t="s">
        <v>335</v>
      </c>
      <c r="C323" s="15">
        <v>864</v>
      </c>
      <c r="D323" s="15">
        <v>237</v>
      </c>
      <c r="E323" s="15">
        <v>122</v>
      </c>
      <c r="F323" s="15">
        <v>83</v>
      </c>
      <c r="G323" s="15">
        <v>74</v>
      </c>
      <c r="H323" s="15">
        <v>348</v>
      </c>
      <c r="I323" s="15">
        <v>1053</v>
      </c>
      <c r="J323" s="15">
        <v>438</v>
      </c>
      <c r="K323" s="15">
        <v>106</v>
      </c>
      <c r="L323" s="15">
        <v>239</v>
      </c>
      <c r="M323" s="15">
        <v>37</v>
      </c>
      <c r="N323" s="15">
        <v>233</v>
      </c>
      <c r="O323" s="40">
        <v>350</v>
      </c>
      <c r="P323" s="18">
        <f t="shared" si="3"/>
        <v>88</v>
      </c>
      <c r="Q323" s="18">
        <f t="shared" si="4"/>
        <v>88</v>
      </c>
      <c r="R323" s="18">
        <f t="shared" si="5"/>
        <v>1053</v>
      </c>
      <c r="S323" s="41">
        <v>809.5</v>
      </c>
      <c r="U323" s="42"/>
      <c r="V323" s="42"/>
    </row>
    <row r="324" spans="1:22" ht="14.4">
      <c r="A324" s="13">
        <v>80602</v>
      </c>
      <c r="B324" s="14" t="s">
        <v>336</v>
      </c>
      <c r="C324" s="15">
        <v>2996</v>
      </c>
      <c r="D324" s="15">
        <v>1304</v>
      </c>
      <c r="E324" s="15">
        <v>267</v>
      </c>
      <c r="F324" s="15">
        <v>129</v>
      </c>
      <c r="G324" s="15">
        <v>73</v>
      </c>
      <c r="H324" s="15">
        <v>1223</v>
      </c>
      <c r="I324" s="15">
        <v>5270</v>
      </c>
      <c r="J324" s="15">
        <v>2486</v>
      </c>
      <c r="K324" s="15">
        <v>139</v>
      </c>
      <c r="L324" s="15">
        <v>560</v>
      </c>
      <c r="M324" s="15">
        <v>197</v>
      </c>
      <c r="N324" s="15">
        <v>1888</v>
      </c>
      <c r="O324" s="40">
        <v>1332</v>
      </c>
      <c r="P324" s="18">
        <f t="shared" si="3"/>
        <v>1154</v>
      </c>
      <c r="Q324" s="18">
        <f t="shared" si="4"/>
        <v>1154</v>
      </c>
      <c r="R324" s="18">
        <f t="shared" si="5"/>
        <v>5270</v>
      </c>
      <c r="S324" s="41">
        <v>716.5</v>
      </c>
      <c r="U324" s="42"/>
      <c r="V324" s="42"/>
    </row>
    <row r="325" spans="1:22" ht="14.4">
      <c r="A325" s="21">
        <v>80701</v>
      </c>
      <c r="B325" s="22" t="s">
        <v>337</v>
      </c>
      <c r="C325" s="15">
        <v>1254</v>
      </c>
      <c r="D325" s="15">
        <v>814</v>
      </c>
      <c r="E325" s="15">
        <v>68</v>
      </c>
      <c r="F325" s="15">
        <v>153</v>
      </c>
      <c r="G325" s="15">
        <v>10</v>
      </c>
      <c r="H325" s="15">
        <v>209</v>
      </c>
      <c r="I325" s="15">
        <v>1485</v>
      </c>
      <c r="J325" s="15">
        <v>1080</v>
      </c>
      <c r="K325" s="15">
        <v>80</v>
      </c>
      <c r="L325" s="15">
        <v>130</v>
      </c>
      <c r="M325" s="15">
        <v>44</v>
      </c>
      <c r="N325" s="15">
        <v>151</v>
      </c>
      <c r="O325" s="40">
        <v>1192</v>
      </c>
      <c r="P325" s="18">
        <f t="shared" si="3"/>
        <v>-112</v>
      </c>
      <c r="Q325" s="40" t="str">
        <f t="shared" si="4"/>
        <v/>
      </c>
      <c r="R325" s="18">
        <f t="shared" si="5"/>
        <v>1597</v>
      </c>
      <c r="S325" s="41">
        <v>1195</v>
      </c>
      <c r="U325" s="42"/>
      <c r="V325" s="42"/>
    </row>
    <row r="326" spans="1:22" ht="14.4">
      <c r="A326" s="13">
        <v>80702</v>
      </c>
      <c r="B326" s="14" t="s">
        <v>313</v>
      </c>
      <c r="C326" s="15">
        <v>1160</v>
      </c>
      <c r="D326" s="15">
        <v>751</v>
      </c>
      <c r="E326" s="15">
        <v>119</v>
      </c>
      <c r="F326" s="15">
        <v>78</v>
      </c>
      <c r="G326" s="15">
        <v>4</v>
      </c>
      <c r="H326" s="15">
        <v>208</v>
      </c>
      <c r="I326" s="15">
        <v>1504</v>
      </c>
      <c r="J326" s="15">
        <v>1000</v>
      </c>
      <c r="K326" s="15">
        <v>32</v>
      </c>
      <c r="L326" s="15">
        <v>129</v>
      </c>
      <c r="M326" s="15">
        <v>64</v>
      </c>
      <c r="N326" s="15">
        <v>279</v>
      </c>
      <c r="O326" s="40">
        <v>1065</v>
      </c>
      <c r="P326" s="18">
        <f t="shared" si="3"/>
        <v>-65</v>
      </c>
      <c r="Q326" s="40" t="str">
        <f t="shared" si="4"/>
        <v/>
      </c>
      <c r="R326" s="18">
        <f t="shared" si="5"/>
        <v>1569</v>
      </c>
      <c r="S326" s="41">
        <v>1120.5</v>
      </c>
      <c r="U326" s="42"/>
      <c r="V326" s="42"/>
    </row>
    <row r="327" spans="1:22" ht="14.4">
      <c r="A327" s="21">
        <v>80703</v>
      </c>
      <c r="B327" s="22" t="s">
        <v>338</v>
      </c>
      <c r="C327" s="15">
        <v>195</v>
      </c>
      <c r="D327" s="15">
        <v>73</v>
      </c>
      <c r="E327" s="15">
        <v>24</v>
      </c>
      <c r="F327" s="15">
        <v>33</v>
      </c>
      <c r="G327" s="15">
        <v>10</v>
      </c>
      <c r="H327" s="15">
        <v>55</v>
      </c>
      <c r="I327" s="15">
        <v>305</v>
      </c>
      <c r="J327" s="15">
        <v>187</v>
      </c>
      <c r="K327" s="15">
        <v>22</v>
      </c>
      <c r="L327" s="15">
        <v>67</v>
      </c>
      <c r="M327" s="15">
        <v>6</v>
      </c>
      <c r="N327" s="15">
        <v>23</v>
      </c>
      <c r="O327" s="40">
        <v>0</v>
      </c>
      <c r="P327" s="18">
        <f t="shared" si="3"/>
        <v>187</v>
      </c>
      <c r="Q327" s="18">
        <f t="shared" si="4"/>
        <v>187</v>
      </c>
      <c r="R327" s="18">
        <f t="shared" si="5"/>
        <v>305</v>
      </c>
      <c r="S327" s="41">
        <v>0</v>
      </c>
      <c r="U327" s="42"/>
      <c r="V327" s="42"/>
    </row>
    <row r="328" spans="1:22" ht="14.4">
      <c r="A328" s="13">
        <v>80801</v>
      </c>
      <c r="B328" s="14" t="s">
        <v>339</v>
      </c>
      <c r="C328" s="15">
        <v>2232</v>
      </c>
      <c r="D328" s="15">
        <v>1694</v>
      </c>
      <c r="E328" s="15">
        <v>117</v>
      </c>
      <c r="F328" s="15">
        <v>117</v>
      </c>
      <c r="G328" s="15">
        <v>33</v>
      </c>
      <c r="H328" s="15">
        <v>271</v>
      </c>
      <c r="I328" s="15">
        <v>2959</v>
      </c>
      <c r="J328" s="15">
        <v>2348</v>
      </c>
      <c r="K328" s="15">
        <v>115</v>
      </c>
      <c r="L328" s="15">
        <v>242</v>
      </c>
      <c r="M328" s="15">
        <v>61</v>
      </c>
      <c r="N328" s="15">
        <v>193</v>
      </c>
      <c r="O328" s="40">
        <v>2366</v>
      </c>
      <c r="P328" s="18">
        <f t="shared" si="3"/>
        <v>-18</v>
      </c>
      <c r="Q328" s="40" t="str">
        <f t="shared" si="4"/>
        <v/>
      </c>
      <c r="R328" s="18">
        <f t="shared" si="5"/>
        <v>2977</v>
      </c>
      <c r="S328" s="41">
        <v>891.5</v>
      </c>
      <c r="U328" s="42"/>
      <c r="V328" s="42"/>
    </row>
    <row r="329" spans="1:22" ht="14.4">
      <c r="A329" s="21">
        <v>80802</v>
      </c>
      <c r="B329" s="22" t="s">
        <v>340</v>
      </c>
      <c r="C329" s="15">
        <v>1356</v>
      </c>
      <c r="D329" s="15">
        <v>638</v>
      </c>
      <c r="E329" s="15">
        <v>161</v>
      </c>
      <c r="F329" s="15">
        <v>86</v>
      </c>
      <c r="G329" s="15">
        <v>155</v>
      </c>
      <c r="H329" s="15">
        <v>316</v>
      </c>
      <c r="I329" s="15">
        <v>2064</v>
      </c>
      <c r="J329" s="15">
        <v>1184</v>
      </c>
      <c r="K329" s="15">
        <v>78</v>
      </c>
      <c r="L329" s="15">
        <v>362</v>
      </c>
      <c r="M329" s="15">
        <v>121</v>
      </c>
      <c r="N329" s="15">
        <v>319</v>
      </c>
      <c r="O329" s="40">
        <v>1149</v>
      </c>
      <c r="P329" s="18">
        <f t="shared" si="3"/>
        <v>35</v>
      </c>
      <c r="Q329" s="18">
        <f t="shared" si="4"/>
        <v>35</v>
      </c>
      <c r="R329" s="18">
        <f t="shared" si="5"/>
        <v>2064</v>
      </c>
      <c r="S329" s="41">
        <v>824</v>
      </c>
      <c r="U329" s="42"/>
      <c r="V329" s="42"/>
    </row>
    <row r="330" spans="1:22" ht="14.4">
      <c r="A330" s="13">
        <v>80803</v>
      </c>
      <c r="B330" s="14" t="s">
        <v>341</v>
      </c>
      <c r="C330" s="15">
        <v>819</v>
      </c>
      <c r="D330" s="15">
        <v>602</v>
      </c>
      <c r="E330" s="15">
        <v>49</v>
      </c>
      <c r="F330" s="15">
        <v>49</v>
      </c>
      <c r="G330" s="15">
        <v>3</v>
      </c>
      <c r="H330" s="15">
        <v>116</v>
      </c>
      <c r="I330" s="15">
        <v>1018</v>
      </c>
      <c r="J330" s="15">
        <v>834</v>
      </c>
      <c r="K330" s="15">
        <v>35</v>
      </c>
      <c r="L330" s="15">
        <v>88</v>
      </c>
      <c r="M330" s="15">
        <v>3</v>
      </c>
      <c r="N330" s="15">
        <v>58</v>
      </c>
      <c r="O330" s="40">
        <v>834</v>
      </c>
      <c r="P330" s="18">
        <f t="shared" si="3"/>
        <v>0</v>
      </c>
      <c r="Q330" s="40" t="str">
        <f t="shared" si="4"/>
        <v/>
      </c>
      <c r="R330" s="18">
        <f t="shared" si="5"/>
        <v>1018</v>
      </c>
      <c r="S330" s="41">
        <v>715.5</v>
      </c>
      <c r="U330" s="4"/>
      <c r="V330" s="4"/>
    </row>
    <row r="331" spans="1:22" ht="14.4">
      <c r="A331" s="21">
        <v>80901</v>
      </c>
      <c r="B331" s="22" t="s">
        <v>342</v>
      </c>
      <c r="C331" s="15">
        <v>631</v>
      </c>
      <c r="D331" s="15">
        <v>178</v>
      </c>
      <c r="E331" s="15">
        <v>39</v>
      </c>
      <c r="F331" s="15">
        <v>29</v>
      </c>
      <c r="G331" s="15">
        <v>26</v>
      </c>
      <c r="H331" s="15">
        <v>359</v>
      </c>
      <c r="I331" s="15">
        <v>922</v>
      </c>
      <c r="J331" s="15">
        <v>481</v>
      </c>
      <c r="K331" s="15">
        <v>10</v>
      </c>
      <c r="L331" s="15">
        <v>119</v>
      </c>
      <c r="M331" s="15">
        <v>2</v>
      </c>
      <c r="N331" s="15">
        <v>310</v>
      </c>
      <c r="O331" s="40">
        <v>0</v>
      </c>
      <c r="P331" s="18">
        <f t="shared" si="3"/>
        <v>481</v>
      </c>
      <c r="Q331" s="18">
        <f t="shared" si="4"/>
        <v>481</v>
      </c>
      <c r="R331" s="18">
        <f t="shared" si="5"/>
        <v>922</v>
      </c>
      <c r="S331" s="41">
        <v>0</v>
      </c>
      <c r="U331" s="4"/>
      <c r="V331" s="4"/>
    </row>
    <row r="332" spans="1:22" ht="14.4">
      <c r="A332" s="13">
        <v>90101</v>
      </c>
      <c r="B332" s="14" t="s">
        <v>343</v>
      </c>
      <c r="C332" s="15">
        <v>12304</v>
      </c>
      <c r="D332" s="15">
        <v>10982</v>
      </c>
      <c r="E332" s="15">
        <v>164</v>
      </c>
      <c r="F332" s="15">
        <v>77</v>
      </c>
      <c r="G332" s="15">
        <v>63</v>
      </c>
      <c r="H332" s="15">
        <v>1018</v>
      </c>
      <c r="I332" s="15">
        <v>15564</v>
      </c>
      <c r="J332" s="15">
        <v>14921</v>
      </c>
      <c r="K332" s="15">
        <v>50</v>
      </c>
      <c r="L332" s="15">
        <v>153</v>
      </c>
      <c r="M332" s="15">
        <v>45</v>
      </c>
      <c r="N332" s="15">
        <v>395</v>
      </c>
      <c r="O332" s="40">
        <v>15132</v>
      </c>
      <c r="P332" s="18">
        <f t="shared" si="3"/>
        <v>-211</v>
      </c>
      <c r="Q332" s="40" t="str">
        <f t="shared" si="4"/>
        <v/>
      </c>
      <c r="R332" s="18">
        <f t="shared" si="5"/>
        <v>15775</v>
      </c>
      <c r="S332" s="41">
        <v>1366</v>
      </c>
      <c r="U332" s="4"/>
      <c r="V332" s="4"/>
    </row>
    <row r="333" spans="1:22" ht="14.4">
      <c r="A333" s="21">
        <v>90102</v>
      </c>
      <c r="B333" s="22" t="s">
        <v>344</v>
      </c>
      <c r="C333" s="15">
        <v>1655</v>
      </c>
      <c r="D333" s="15">
        <v>1027</v>
      </c>
      <c r="E333" s="15">
        <v>76</v>
      </c>
      <c r="F333" s="15">
        <v>110</v>
      </c>
      <c r="G333" s="15">
        <v>52</v>
      </c>
      <c r="H333" s="15">
        <v>390</v>
      </c>
      <c r="I333" s="15">
        <v>2230</v>
      </c>
      <c r="J333" s="15">
        <v>1800</v>
      </c>
      <c r="K333" s="15">
        <v>61</v>
      </c>
      <c r="L333" s="15">
        <v>121</v>
      </c>
      <c r="M333" s="15">
        <v>35</v>
      </c>
      <c r="N333" s="15">
        <v>213</v>
      </c>
      <c r="O333" s="40">
        <v>1358</v>
      </c>
      <c r="P333" s="18">
        <f t="shared" si="3"/>
        <v>442</v>
      </c>
      <c r="Q333" s="18">
        <f t="shared" si="4"/>
        <v>442</v>
      </c>
      <c r="R333" s="18">
        <f t="shared" si="5"/>
        <v>2230</v>
      </c>
      <c r="S333" s="41">
        <v>846.5</v>
      </c>
      <c r="U333" s="4"/>
      <c r="V333" s="4"/>
    </row>
    <row r="334" spans="1:22" ht="14.4">
      <c r="A334" s="13">
        <v>90103</v>
      </c>
      <c r="B334" s="14" t="s">
        <v>345</v>
      </c>
      <c r="C334" s="15">
        <v>545</v>
      </c>
      <c r="D334" s="15">
        <v>29</v>
      </c>
      <c r="E334" s="15">
        <v>71</v>
      </c>
      <c r="F334" s="15">
        <v>105</v>
      </c>
      <c r="G334" s="15">
        <v>36</v>
      </c>
      <c r="H334" s="15">
        <v>304</v>
      </c>
      <c r="I334" s="15">
        <v>802</v>
      </c>
      <c r="J334" s="15">
        <v>156</v>
      </c>
      <c r="K334" s="15">
        <v>160</v>
      </c>
      <c r="L334" s="15">
        <v>216</v>
      </c>
      <c r="M334" s="15">
        <v>17</v>
      </c>
      <c r="N334" s="15">
        <v>253</v>
      </c>
      <c r="O334" s="40">
        <v>0</v>
      </c>
      <c r="P334" s="18">
        <f t="shared" si="3"/>
        <v>156</v>
      </c>
      <c r="Q334" s="18">
        <f t="shared" si="4"/>
        <v>156</v>
      </c>
      <c r="R334" s="18">
        <f t="shared" si="5"/>
        <v>802</v>
      </c>
      <c r="S334" s="41">
        <v>0</v>
      </c>
      <c r="U334" s="4"/>
      <c r="V334" s="4"/>
    </row>
    <row r="335" spans="1:22" ht="14.4">
      <c r="A335" s="21">
        <v>90104</v>
      </c>
      <c r="B335" s="22" t="s">
        <v>346</v>
      </c>
      <c r="C335" s="15">
        <v>944</v>
      </c>
      <c r="D335" s="15">
        <v>50</v>
      </c>
      <c r="E335" s="15">
        <v>162</v>
      </c>
      <c r="F335" s="15">
        <v>134</v>
      </c>
      <c r="G335" s="15">
        <v>179</v>
      </c>
      <c r="H335" s="15">
        <v>419</v>
      </c>
      <c r="I335" s="15">
        <v>1235</v>
      </c>
      <c r="J335" s="15">
        <v>569</v>
      </c>
      <c r="K335" s="15">
        <v>67</v>
      </c>
      <c r="L335" s="15">
        <v>160</v>
      </c>
      <c r="M335" s="15">
        <v>88</v>
      </c>
      <c r="N335" s="15">
        <v>351</v>
      </c>
      <c r="O335" s="40">
        <v>437</v>
      </c>
      <c r="P335" s="18">
        <f t="shared" si="3"/>
        <v>132</v>
      </c>
      <c r="Q335" s="18">
        <f t="shared" si="4"/>
        <v>132</v>
      </c>
      <c r="R335" s="18">
        <f t="shared" si="5"/>
        <v>1235</v>
      </c>
      <c r="S335" s="41">
        <v>998</v>
      </c>
      <c r="U335" s="4"/>
      <c r="V335" s="4"/>
    </row>
    <row r="336" spans="1:22" ht="14.4">
      <c r="A336" s="13">
        <v>90201</v>
      </c>
      <c r="B336" s="14" t="s">
        <v>347</v>
      </c>
      <c r="C336" s="15">
        <v>1382</v>
      </c>
      <c r="D336" s="15">
        <v>493</v>
      </c>
      <c r="E336" s="15">
        <v>321</v>
      </c>
      <c r="F336" s="15">
        <v>59</v>
      </c>
      <c r="G336" s="15">
        <v>52</v>
      </c>
      <c r="H336" s="15">
        <v>457</v>
      </c>
      <c r="I336" s="15">
        <v>1989</v>
      </c>
      <c r="J336" s="15">
        <v>1344</v>
      </c>
      <c r="K336" s="15">
        <v>233</v>
      </c>
      <c r="L336" s="15">
        <v>67</v>
      </c>
      <c r="M336" s="15">
        <v>20</v>
      </c>
      <c r="N336" s="15">
        <v>325</v>
      </c>
      <c r="O336" s="40">
        <v>1247</v>
      </c>
      <c r="P336" s="18">
        <f t="shared" si="3"/>
        <v>97</v>
      </c>
      <c r="Q336" s="18">
        <f t="shared" si="4"/>
        <v>97</v>
      </c>
      <c r="R336" s="18">
        <f t="shared" si="5"/>
        <v>1989</v>
      </c>
      <c r="S336" s="41">
        <v>695</v>
      </c>
      <c r="U336" s="4"/>
      <c r="V336" s="4"/>
    </row>
    <row r="337" spans="1:22" ht="14.4">
      <c r="A337" s="21">
        <v>90202</v>
      </c>
      <c r="B337" s="22" t="s">
        <v>310</v>
      </c>
      <c r="C337" s="15">
        <v>611</v>
      </c>
      <c r="D337" s="15">
        <v>2</v>
      </c>
      <c r="E337" s="15">
        <v>45</v>
      </c>
      <c r="F337" s="15">
        <v>53</v>
      </c>
      <c r="G337" s="15">
        <v>74</v>
      </c>
      <c r="H337" s="15">
        <v>437</v>
      </c>
      <c r="I337" s="15">
        <v>612</v>
      </c>
      <c r="J337" s="15">
        <v>2</v>
      </c>
      <c r="K337" s="15">
        <v>136</v>
      </c>
      <c r="L337" s="15">
        <v>84</v>
      </c>
      <c r="M337" s="15">
        <v>21</v>
      </c>
      <c r="N337" s="15">
        <v>369</v>
      </c>
      <c r="O337" s="40">
        <v>155</v>
      </c>
      <c r="P337" s="18">
        <f t="shared" si="3"/>
        <v>-153</v>
      </c>
      <c r="Q337" s="40" t="str">
        <f t="shared" si="4"/>
        <v/>
      </c>
      <c r="R337" s="18">
        <f t="shared" si="5"/>
        <v>765</v>
      </c>
      <c r="S337" s="41">
        <v>802</v>
      </c>
      <c r="U337" s="4"/>
      <c r="V337" s="4"/>
    </row>
    <row r="338" spans="1:22" ht="14.4">
      <c r="A338" s="13">
        <v>90203</v>
      </c>
      <c r="B338" s="14" t="s">
        <v>348</v>
      </c>
      <c r="C338" s="15">
        <v>1427</v>
      </c>
      <c r="D338" s="15">
        <v>362</v>
      </c>
      <c r="E338" s="15">
        <v>297</v>
      </c>
      <c r="F338" s="15">
        <v>52</v>
      </c>
      <c r="G338" s="15">
        <v>71</v>
      </c>
      <c r="H338" s="15">
        <v>645</v>
      </c>
      <c r="I338" s="15">
        <v>2514</v>
      </c>
      <c r="J338" s="15">
        <v>1312</v>
      </c>
      <c r="K338" s="15">
        <v>334</v>
      </c>
      <c r="L338" s="15">
        <v>240</v>
      </c>
      <c r="M338" s="15">
        <v>34</v>
      </c>
      <c r="N338" s="15">
        <v>594</v>
      </c>
      <c r="O338" s="40">
        <v>1104</v>
      </c>
      <c r="P338" s="18">
        <f t="shared" si="3"/>
        <v>208</v>
      </c>
      <c r="Q338" s="18">
        <f t="shared" si="4"/>
        <v>208</v>
      </c>
      <c r="R338" s="18">
        <f t="shared" si="5"/>
        <v>2514</v>
      </c>
      <c r="S338" s="41">
        <v>655.5</v>
      </c>
      <c r="U338" s="4"/>
      <c r="V338" s="4"/>
    </row>
    <row r="339" spans="1:22" ht="14.4">
      <c r="A339" s="21">
        <v>90301</v>
      </c>
      <c r="B339" s="22" t="s">
        <v>349</v>
      </c>
      <c r="C339" s="15">
        <v>1026</v>
      </c>
      <c r="D339" s="15">
        <v>506</v>
      </c>
      <c r="E339" s="15">
        <v>27</v>
      </c>
      <c r="F339" s="15">
        <v>94</v>
      </c>
      <c r="G339" s="15">
        <v>29</v>
      </c>
      <c r="H339" s="15">
        <v>370</v>
      </c>
      <c r="I339" s="15">
        <v>1965</v>
      </c>
      <c r="J339" s="15">
        <v>1385</v>
      </c>
      <c r="K339" s="15">
        <v>48</v>
      </c>
      <c r="L339" s="15">
        <v>58</v>
      </c>
      <c r="M339" s="15">
        <v>126</v>
      </c>
      <c r="N339" s="15">
        <v>348</v>
      </c>
      <c r="O339" s="40">
        <v>0</v>
      </c>
      <c r="P339" s="18">
        <f t="shared" si="3"/>
        <v>1385</v>
      </c>
      <c r="Q339" s="18">
        <f t="shared" si="4"/>
        <v>1385</v>
      </c>
      <c r="R339" s="18">
        <f t="shared" si="5"/>
        <v>1965</v>
      </c>
      <c r="S339" s="41">
        <v>0</v>
      </c>
      <c r="U339" s="4"/>
      <c r="V339" s="4"/>
    </row>
    <row r="340" spans="1:22" ht="14.4">
      <c r="A340" s="13">
        <v>90302</v>
      </c>
      <c r="B340" s="14" t="s">
        <v>350</v>
      </c>
      <c r="C340" s="15">
        <v>1342</v>
      </c>
      <c r="D340" s="15">
        <v>574</v>
      </c>
      <c r="E340" s="15">
        <v>155</v>
      </c>
      <c r="F340" s="15">
        <v>20</v>
      </c>
      <c r="G340" s="15">
        <v>17</v>
      </c>
      <c r="H340" s="15">
        <v>576</v>
      </c>
      <c r="I340" s="15">
        <v>1850</v>
      </c>
      <c r="J340" s="15">
        <v>1288</v>
      </c>
      <c r="K340" s="15">
        <v>177</v>
      </c>
      <c r="L340" s="15">
        <v>29</v>
      </c>
      <c r="M340" s="15">
        <v>54</v>
      </c>
      <c r="N340" s="15">
        <v>302</v>
      </c>
      <c r="O340" s="40">
        <v>833</v>
      </c>
      <c r="P340" s="18">
        <f t="shared" si="3"/>
        <v>455</v>
      </c>
      <c r="Q340" s="18">
        <f t="shared" si="4"/>
        <v>455</v>
      </c>
      <c r="R340" s="18">
        <f t="shared" si="5"/>
        <v>1850</v>
      </c>
      <c r="S340" s="41">
        <v>459</v>
      </c>
      <c r="U340" s="4"/>
      <c r="V340" s="4"/>
    </row>
    <row r="341" spans="1:22" ht="14.4">
      <c r="A341" s="21">
        <v>90303</v>
      </c>
      <c r="B341" s="22" t="s">
        <v>351</v>
      </c>
      <c r="C341" s="15">
        <v>1653</v>
      </c>
      <c r="D341" s="15">
        <v>61</v>
      </c>
      <c r="E341" s="15">
        <v>135</v>
      </c>
      <c r="F341" s="15">
        <v>25</v>
      </c>
      <c r="G341" s="15">
        <v>11</v>
      </c>
      <c r="H341" s="15">
        <v>1421</v>
      </c>
      <c r="I341" s="15">
        <v>2875</v>
      </c>
      <c r="J341" s="15">
        <v>1120</v>
      </c>
      <c r="K341" s="15">
        <v>425</v>
      </c>
      <c r="L341" s="15">
        <v>170</v>
      </c>
      <c r="M341" s="15">
        <v>87</v>
      </c>
      <c r="N341" s="15">
        <v>1073</v>
      </c>
      <c r="O341" s="40">
        <v>1101</v>
      </c>
      <c r="P341" s="18">
        <f t="shared" si="3"/>
        <v>19</v>
      </c>
      <c r="Q341" s="18">
        <f t="shared" si="4"/>
        <v>19</v>
      </c>
      <c r="R341" s="18">
        <f t="shared" si="5"/>
        <v>2875</v>
      </c>
      <c r="S341" s="41">
        <v>681</v>
      </c>
      <c r="U341" s="4"/>
      <c r="V341" s="4"/>
    </row>
    <row r="342" spans="1:22" ht="14.4">
      <c r="A342" s="13">
        <v>90401</v>
      </c>
      <c r="B342" s="14" t="s">
        <v>352</v>
      </c>
      <c r="C342" s="15">
        <v>611</v>
      </c>
      <c r="D342" s="15">
        <v>340</v>
      </c>
      <c r="E342" s="15">
        <v>47</v>
      </c>
      <c r="F342" s="15">
        <v>11</v>
      </c>
      <c r="G342" s="15">
        <v>7</v>
      </c>
      <c r="H342" s="15">
        <v>206</v>
      </c>
      <c r="I342" s="15">
        <v>860</v>
      </c>
      <c r="J342" s="15">
        <v>568</v>
      </c>
      <c r="K342" s="15">
        <v>85</v>
      </c>
      <c r="L342" s="15">
        <v>19</v>
      </c>
      <c r="M342" s="15">
        <v>39</v>
      </c>
      <c r="N342" s="15">
        <v>149</v>
      </c>
      <c r="O342" s="40">
        <v>476</v>
      </c>
      <c r="P342" s="18">
        <f t="shared" si="3"/>
        <v>92</v>
      </c>
      <c r="Q342" s="18">
        <f t="shared" si="4"/>
        <v>92</v>
      </c>
      <c r="R342" s="18">
        <f t="shared" si="5"/>
        <v>860</v>
      </c>
      <c r="S342" s="41">
        <v>572.5</v>
      </c>
      <c r="U342" s="4"/>
      <c r="V342" s="4"/>
    </row>
    <row r="343" spans="1:22" ht="14.4">
      <c r="A343" s="21">
        <v>90402</v>
      </c>
      <c r="B343" s="22" t="s">
        <v>353</v>
      </c>
      <c r="C343" s="15">
        <v>344</v>
      </c>
      <c r="D343" s="15">
        <v>137</v>
      </c>
      <c r="E343" s="15">
        <v>20</v>
      </c>
      <c r="F343" s="15">
        <v>11</v>
      </c>
      <c r="G343" s="15">
        <v>42</v>
      </c>
      <c r="H343" s="15">
        <v>134</v>
      </c>
      <c r="I343" s="15">
        <v>649</v>
      </c>
      <c r="J343" s="15">
        <v>113</v>
      </c>
      <c r="K343" s="15">
        <v>161</v>
      </c>
      <c r="L343" s="15">
        <v>89</v>
      </c>
      <c r="M343" s="15">
        <v>25</v>
      </c>
      <c r="N343" s="15">
        <v>261</v>
      </c>
      <c r="O343" s="40">
        <v>0</v>
      </c>
      <c r="P343" s="18">
        <f t="shared" si="3"/>
        <v>113</v>
      </c>
      <c r="Q343" s="18">
        <f t="shared" si="4"/>
        <v>113</v>
      </c>
      <c r="R343" s="18">
        <f t="shared" si="5"/>
        <v>649</v>
      </c>
      <c r="S343" s="41">
        <v>0</v>
      </c>
      <c r="U343" s="4"/>
      <c r="V343" s="4"/>
    </row>
    <row r="344" spans="1:22" ht="14.4">
      <c r="A344" s="13">
        <v>90501</v>
      </c>
      <c r="B344" s="14" t="s">
        <v>354</v>
      </c>
      <c r="C344" s="15">
        <v>466</v>
      </c>
      <c r="D344" s="15">
        <v>90</v>
      </c>
      <c r="E344" s="15">
        <v>92</v>
      </c>
      <c r="F344" s="15">
        <v>29</v>
      </c>
      <c r="G344" s="15">
        <v>14</v>
      </c>
      <c r="H344" s="15">
        <v>241</v>
      </c>
      <c r="I344" s="15">
        <v>489</v>
      </c>
      <c r="J344" s="15">
        <v>71</v>
      </c>
      <c r="K344" s="15">
        <v>190</v>
      </c>
      <c r="L344" s="15">
        <v>59</v>
      </c>
      <c r="M344" s="15">
        <v>18</v>
      </c>
      <c r="N344" s="15">
        <v>151</v>
      </c>
      <c r="O344" s="40">
        <v>0</v>
      </c>
      <c r="P344" s="18">
        <f t="shared" si="3"/>
        <v>71</v>
      </c>
      <c r="Q344" s="18">
        <f t="shared" si="4"/>
        <v>71</v>
      </c>
      <c r="R344" s="18">
        <f t="shared" si="5"/>
        <v>489</v>
      </c>
      <c r="S344" s="41">
        <v>0</v>
      </c>
      <c r="U344" s="4"/>
      <c r="V344" s="4"/>
    </row>
    <row r="345" spans="1:22" ht="14.4">
      <c r="A345" s="21">
        <v>90502</v>
      </c>
      <c r="B345" s="22" t="s">
        <v>355</v>
      </c>
      <c r="C345" s="15">
        <v>589</v>
      </c>
      <c r="D345" s="15">
        <v>186</v>
      </c>
      <c r="E345" s="15">
        <v>105</v>
      </c>
      <c r="F345" s="15">
        <v>25</v>
      </c>
      <c r="G345" s="15">
        <v>16</v>
      </c>
      <c r="H345" s="15">
        <v>257</v>
      </c>
      <c r="I345" s="15">
        <v>708</v>
      </c>
      <c r="J345" s="15">
        <v>274</v>
      </c>
      <c r="K345" s="15">
        <v>110</v>
      </c>
      <c r="L345" s="15">
        <v>84</v>
      </c>
      <c r="M345" s="15">
        <v>27</v>
      </c>
      <c r="N345" s="15">
        <v>213</v>
      </c>
      <c r="O345" s="40">
        <v>0</v>
      </c>
      <c r="P345" s="18">
        <f t="shared" si="3"/>
        <v>274</v>
      </c>
      <c r="Q345" s="18">
        <f t="shared" si="4"/>
        <v>274</v>
      </c>
      <c r="R345" s="18">
        <f t="shared" si="5"/>
        <v>708</v>
      </c>
      <c r="S345" s="41">
        <v>0</v>
      </c>
      <c r="U345" s="4"/>
      <c r="V345" s="4"/>
    </row>
    <row r="346" spans="1:22" ht="14.4">
      <c r="A346" s="13">
        <v>90503</v>
      </c>
      <c r="B346" s="14" t="s">
        <v>356</v>
      </c>
      <c r="C346" s="15">
        <v>466</v>
      </c>
      <c r="D346" s="15">
        <v>66</v>
      </c>
      <c r="E346" s="15">
        <v>106</v>
      </c>
      <c r="F346" s="15">
        <v>43</v>
      </c>
      <c r="G346" s="15">
        <v>18</v>
      </c>
      <c r="H346" s="15">
        <v>233</v>
      </c>
      <c r="I346" s="15">
        <v>601</v>
      </c>
      <c r="J346" s="15">
        <v>188</v>
      </c>
      <c r="K346" s="15">
        <v>107</v>
      </c>
      <c r="L346" s="15">
        <v>48</v>
      </c>
      <c r="M346" s="15">
        <v>50</v>
      </c>
      <c r="N346" s="15">
        <v>208</v>
      </c>
      <c r="O346" s="40">
        <v>0</v>
      </c>
      <c r="P346" s="18">
        <f t="shared" si="3"/>
        <v>188</v>
      </c>
      <c r="Q346" s="18">
        <f t="shared" si="4"/>
        <v>188</v>
      </c>
      <c r="R346" s="18">
        <f t="shared" si="5"/>
        <v>601</v>
      </c>
      <c r="S346" s="41">
        <v>0</v>
      </c>
      <c r="U346" s="4"/>
      <c r="V346" s="4"/>
    </row>
    <row r="347" spans="1:22" ht="14.4">
      <c r="A347" s="26"/>
      <c r="B347" s="27"/>
      <c r="C347" s="28">
        <f t="shared" ref="C347:D347" si="6">SUM(C4:C346)</f>
        <v>2803982</v>
      </c>
      <c r="D347" s="29">
        <f t="shared" si="6"/>
        <v>2225608</v>
      </c>
      <c r="E347" s="27"/>
      <c r="F347" s="27"/>
      <c r="G347" s="27"/>
      <c r="H347" s="27"/>
      <c r="I347" s="28">
        <f t="shared" ref="I347:J347" si="7">SUM(I4:I346)</f>
        <v>3623711</v>
      </c>
      <c r="J347" s="29">
        <f t="shared" si="7"/>
        <v>3130729</v>
      </c>
      <c r="K347" s="30"/>
      <c r="L347" s="30"/>
      <c r="M347" s="27"/>
      <c r="N347" s="27"/>
      <c r="O347" s="20">
        <v>3027350</v>
      </c>
      <c r="P347" s="40"/>
      <c r="Q347" s="40" t="str">
        <f t="shared" si="4"/>
        <v/>
      </c>
      <c r="R347" s="18">
        <f>SUM(R3:R346)</f>
        <v>3863382</v>
      </c>
      <c r="S347" s="3">
        <v>776</v>
      </c>
      <c r="U347" s="4"/>
      <c r="V347" s="4"/>
    </row>
    <row r="348" spans="1:22" ht="14.4">
      <c r="A348" s="34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41"/>
      <c r="P348" s="41"/>
      <c r="Q348" s="41"/>
      <c r="R348" s="41"/>
      <c r="S348" s="41"/>
      <c r="U348" s="4"/>
      <c r="V348" s="4"/>
    </row>
    <row r="349" spans="1:22" ht="14.4">
      <c r="A349" s="34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41"/>
      <c r="P349" s="41"/>
      <c r="Q349" s="41"/>
      <c r="R349" s="41"/>
      <c r="S349" s="41"/>
      <c r="U349" s="4"/>
      <c r="V349" s="4"/>
    </row>
    <row r="350" spans="1:22" ht="14.4">
      <c r="A350" s="34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41"/>
      <c r="P350" s="41"/>
      <c r="Q350" s="41"/>
      <c r="R350" s="41"/>
      <c r="S350" s="41"/>
      <c r="U350" s="4"/>
      <c r="V350" s="4"/>
    </row>
    <row r="351" spans="1:22" ht="14.4">
      <c r="A351" s="34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41"/>
      <c r="P351" s="41"/>
      <c r="Q351" s="41"/>
      <c r="R351" s="41"/>
      <c r="S351" s="41"/>
      <c r="U351" s="4"/>
      <c r="V351" s="4"/>
    </row>
    <row r="352" spans="1:22" ht="14.4">
      <c r="A352" s="34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41"/>
      <c r="P352" s="41"/>
      <c r="Q352" s="41"/>
      <c r="R352" s="41"/>
      <c r="S352" s="41"/>
      <c r="U352" s="4"/>
      <c r="V352" s="4"/>
    </row>
    <row r="353" spans="1:22" ht="14.4">
      <c r="A353" s="34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41"/>
      <c r="P353" s="41"/>
      <c r="Q353" s="41"/>
      <c r="R353" s="41"/>
      <c r="S353" s="41"/>
      <c r="U353" s="4"/>
      <c r="V353" s="4"/>
    </row>
    <row r="354" spans="1:22" ht="14.4">
      <c r="A354" s="34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41"/>
      <c r="P354" s="41"/>
      <c r="Q354" s="41"/>
      <c r="R354" s="41"/>
      <c r="S354" s="41"/>
      <c r="U354" s="4"/>
      <c r="V354" s="4"/>
    </row>
    <row r="355" spans="1:22" ht="14.4">
      <c r="A355" s="34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41"/>
      <c r="P355" s="41"/>
      <c r="Q355" s="41"/>
      <c r="R355" s="41"/>
      <c r="S355" s="41"/>
      <c r="U355" s="4"/>
      <c r="V355" s="4"/>
    </row>
    <row r="356" spans="1:22" ht="14.4">
      <c r="A356" s="34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41"/>
      <c r="P356" s="41"/>
      <c r="Q356" s="41"/>
      <c r="R356" s="41"/>
      <c r="S356" s="41"/>
      <c r="U356" s="4"/>
      <c r="V356" s="4"/>
    </row>
    <row r="357" spans="1:22" ht="14.4">
      <c r="A357" s="3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41"/>
      <c r="P357" s="41"/>
      <c r="Q357" s="41"/>
      <c r="R357" s="41"/>
      <c r="S357" s="41"/>
      <c r="U357" s="4"/>
      <c r="V357" s="4"/>
    </row>
    <row r="358" spans="1:22" ht="14.4">
      <c r="A358" s="34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41"/>
      <c r="P358" s="41"/>
      <c r="Q358" s="41"/>
      <c r="R358" s="41"/>
      <c r="S358" s="41"/>
      <c r="U358" s="4"/>
      <c r="V358" s="4"/>
    </row>
    <row r="359" spans="1:22" ht="14.4">
      <c r="A359" s="34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41"/>
      <c r="P359" s="41"/>
      <c r="Q359" s="41"/>
      <c r="R359" s="41"/>
      <c r="S359" s="41"/>
      <c r="U359" s="4"/>
      <c r="V359" s="4"/>
    </row>
    <row r="360" spans="1:22" ht="14.4">
      <c r="A360" s="34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41"/>
      <c r="P360" s="41"/>
      <c r="Q360" s="41"/>
      <c r="R360" s="41"/>
      <c r="S360" s="41"/>
      <c r="U360" s="4"/>
      <c r="V360" s="4"/>
    </row>
    <row r="361" spans="1:22" ht="14.4">
      <c r="A361" s="34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41"/>
      <c r="P361" s="41"/>
      <c r="Q361" s="41"/>
      <c r="R361" s="41"/>
      <c r="S361" s="41"/>
      <c r="U361" s="4"/>
      <c r="V361" s="4"/>
    </row>
    <row r="362" spans="1:22" ht="14.4">
      <c r="A362" s="34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41"/>
      <c r="P362" s="41"/>
      <c r="Q362" s="41"/>
      <c r="R362" s="41"/>
      <c r="S362" s="41"/>
      <c r="U362" s="4"/>
      <c r="V362" s="4"/>
    </row>
    <row r="363" spans="1:22" ht="14.4">
      <c r="A363" s="34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41"/>
      <c r="P363" s="41"/>
      <c r="Q363" s="41"/>
      <c r="R363" s="41"/>
      <c r="S363" s="41"/>
      <c r="U363" s="4"/>
      <c r="V363" s="4"/>
    </row>
    <row r="364" spans="1:22" ht="14.4">
      <c r="A364" s="34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41"/>
      <c r="P364" s="41"/>
      <c r="Q364" s="41"/>
      <c r="R364" s="41"/>
      <c r="S364" s="41"/>
      <c r="U364" s="4"/>
      <c r="V364" s="4"/>
    </row>
    <row r="365" spans="1:22" ht="14.4">
      <c r="A365" s="34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41"/>
      <c r="P365" s="41"/>
      <c r="Q365" s="41"/>
      <c r="R365" s="41"/>
      <c r="S365" s="41"/>
      <c r="U365" s="4"/>
      <c r="V365" s="4"/>
    </row>
    <row r="366" spans="1:22" ht="14.4">
      <c r="A366" s="34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41"/>
      <c r="P366" s="41"/>
      <c r="Q366" s="41"/>
      <c r="R366" s="41"/>
      <c r="S366" s="41"/>
      <c r="U366" s="4"/>
      <c r="V366" s="4"/>
    </row>
    <row r="367" spans="1:22" ht="14.4">
      <c r="A367" s="34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41"/>
      <c r="P367" s="41"/>
      <c r="Q367" s="41"/>
      <c r="R367" s="41"/>
      <c r="S367" s="41"/>
      <c r="U367" s="4"/>
      <c r="V367" s="4"/>
    </row>
    <row r="368" spans="1:22" ht="14.4">
      <c r="A368" s="34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41"/>
      <c r="P368" s="41"/>
      <c r="Q368" s="41"/>
      <c r="R368" s="41"/>
      <c r="S368" s="41"/>
      <c r="U368" s="4"/>
      <c r="V368" s="4"/>
    </row>
    <row r="369" spans="1:22" ht="14.4">
      <c r="A369" s="34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41"/>
      <c r="P369" s="41"/>
      <c r="Q369" s="41"/>
      <c r="R369" s="41"/>
      <c r="S369" s="41"/>
      <c r="U369" s="4"/>
      <c r="V369" s="4"/>
    </row>
    <row r="370" spans="1:22" ht="14.4">
      <c r="A370" s="34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41"/>
      <c r="P370" s="41"/>
      <c r="Q370" s="41"/>
      <c r="R370" s="41"/>
      <c r="S370" s="41"/>
      <c r="U370" s="4"/>
      <c r="V370" s="4"/>
    </row>
    <row r="371" spans="1:22" ht="14.4">
      <c r="A371" s="34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41"/>
      <c r="P371" s="41"/>
      <c r="Q371" s="41"/>
      <c r="R371" s="41"/>
      <c r="S371" s="41"/>
      <c r="U371" s="4"/>
      <c r="V371" s="4"/>
    </row>
    <row r="372" spans="1:22" ht="14.4">
      <c r="A372" s="34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41"/>
      <c r="P372" s="41"/>
      <c r="Q372" s="41"/>
      <c r="R372" s="41"/>
      <c r="S372" s="41"/>
      <c r="U372" s="4"/>
      <c r="V372" s="4"/>
    </row>
    <row r="373" spans="1:22" ht="14.4">
      <c r="A373" s="34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41"/>
      <c r="P373" s="41"/>
      <c r="Q373" s="41"/>
      <c r="R373" s="41"/>
      <c r="S373" s="41"/>
      <c r="U373" s="4"/>
      <c r="V373" s="4"/>
    </row>
    <row r="374" spans="1:22" ht="14.4">
      <c r="A374" s="34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41"/>
      <c r="P374" s="41"/>
      <c r="Q374" s="41"/>
      <c r="R374" s="41"/>
      <c r="S374" s="41"/>
      <c r="U374" s="4"/>
      <c r="V374" s="4"/>
    </row>
    <row r="375" spans="1:22" ht="14.4">
      <c r="A375" s="34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41"/>
      <c r="P375" s="41"/>
      <c r="Q375" s="41"/>
      <c r="R375" s="41"/>
      <c r="S375" s="41"/>
      <c r="U375" s="4"/>
      <c r="V375" s="4"/>
    </row>
    <row r="376" spans="1:22" ht="14.4">
      <c r="A376" s="34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41"/>
      <c r="P376" s="41"/>
      <c r="Q376" s="41"/>
      <c r="R376" s="41"/>
      <c r="S376" s="41"/>
      <c r="U376" s="4"/>
      <c r="V376" s="4"/>
    </row>
    <row r="377" spans="1:22" ht="14.4">
      <c r="A377" s="34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41"/>
      <c r="P377" s="41"/>
      <c r="Q377" s="41"/>
      <c r="R377" s="41"/>
      <c r="S377" s="41"/>
      <c r="U377" s="4"/>
      <c r="V377" s="4"/>
    </row>
    <row r="378" spans="1:22" ht="14.4">
      <c r="A378" s="34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41"/>
      <c r="P378" s="41"/>
      <c r="Q378" s="41"/>
      <c r="R378" s="41"/>
      <c r="S378" s="41"/>
      <c r="U378" s="4"/>
      <c r="V378" s="4"/>
    </row>
    <row r="379" spans="1:22" ht="14.4">
      <c r="A379" s="34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41"/>
      <c r="P379" s="41"/>
      <c r="Q379" s="41"/>
      <c r="R379" s="41"/>
      <c r="S379" s="41"/>
      <c r="U379" s="4"/>
      <c r="V379" s="4"/>
    </row>
    <row r="380" spans="1:22" ht="14.4">
      <c r="A380" s="34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41"/>
      <c r="P380" s="41"/>
      <c r="Q380" s="41"/>
      <c r="R380" s="41"/>
      <c r="S380" s="41"/>
      <c r="U380" s="4"/>
      <c r="V380" s="4"/>
    </row>
    <row r="381" spans="1:22" ht="14.4">
      <c r="A381" s="34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41"/>
      <c r="P381" s="41"/>
      <c r="Q381" s="41"/>
      <c r="R381" s="41"/>
      <c r="S381" s="41"/>
      <c r="U381" s="4"/>
      <c r="V381" s="4"/>
    </row>
    <row r="382" spans="1:22" ht="14.4">
      <c r="A382" s="34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41"/>
      <c r="P382" s="41"/>
      <c r="Q382" s="41"/>
      <c r="R382" s="41"/>
      <c r="S382" s="41"/>
      <c r="U382" s="4"/>
      <c r="V382" s="4"/>
    </row>
    <row r="383" spans="1:22" ht="14.4">
      <c r="A383" s="34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41"/>
      <c r="P383" s="41"/>
      <c r="Q383" s="41"/>
      <c r="R383" s="41"/>
      <c r="S383" s="41"/>
      <c r="U383" s="4"/>
      <c r="V383" s="4"/>
    </row>
    <row r="384" spans="1:22" ht="14.4">
      <c r="A384" s="34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41"/>
      <c r="P384" s="41"/>
      <c r="Q384" s="41"/>
      <c r="R384" s="41"/>
      <c r="S384" s="41"/>
      <c r="U384" s="4"/>
      <c r="V384" s="4"/>
    </row>
    <row r="385" spans="1:22" ht="14.4">
      <c r="A385" s="34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41"/>
      <c r="P385" s="41"/>
      <c r="Q385" s="41"/>
      <c r="R385" s="41"/>
      <c r="S385" s="41"/>
      <c r="U385" s="4"/>
      <c r="V385" s="4"/>
    </row>
    <row r="386" spans="1:22" ht="14.4">
      <c r="A386" s="34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41"/>
      <c r="P386" s="41"/>
      <c r="Q386" s="41"/>
      <c r="R386" s="41"/>
      <c r="S386" s="41"/>
      <c r="U386" s="4"/>
      <c r="V386" s="4"/>
    </row>
    <row r="387" spans="1:22" ht="14.4">
      <c r="A387" s="34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41"/>
      <c r="P387" s="41"/>
      <c r="Q387" s="41"/>
      <c r="R387" s="41"/>
      <c r="S387" s="41"/>
      <c r="U387" s="4"/>
      <c r="V387" s="4"/>
    </row>
    <row r="388" spans="1:22" ht="14.4">
      <c r="A388" s="34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41"/>
      <c r="P388" s="41"/>
      <c r="Q388" s="41"/>
      <c r="R388" s="41"/>
      <c r="S388" s="41"/>
      <c r="U388" s="4"/>
      <c r="V388" s="4"/>
    </row>
    <row r="389" spans="1:22" ht="14.4">
      <c r="A389" s="34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41"/>
      <c r="P389" s="41"/>
      <c r="Q389" s="41"/>
      <c r="R389" s="41"/>
      <c r="S389" s="41"/>
      <c r="U389" s="4"/>
      <c r="V389" s="4"/>
    </row>
    <row r="390" spans="1:22" ht="14.4">
      <c r="A390" s="34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41"/>
      <c r="P390" s="41"/>
      <c r="Q390" s="41"/>
      <c r="R390" s="41"/>
      <c r="S390" s="41"/>
      <c r="U390" s="4"/>
      <c r="V390" s="4"/>
    </row>
    <row r="391" spans="1:22" ht="14.4">
      <c r="A391" s="34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41"/>
      <c r="P391" s="41"/>
      <c r="Q391" s="41"/>
      <c r="R391" s="41"/>
      <c r="S391" s="41"/>
      <c r="U391" s="4"/>
      <c r="V391" s="4"/>
    </row>
    <row r="392" spans="1:22" ht="14.4">
      <c r="A392" s="34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41"/>
      <c r="P392" s="41"/>
      <c r="Q392" s="41"/>
      <c r="R392" s="41"/>
      <c r="S392" s="41"/>
      <c r="U392" s="4"/>
      <c r="V392" s="4"/>
    </row>
    <row r="393" spans="1:22" ht="14.4">
      <c r="A393" s="34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41"/>
      <c r="P393" s="41"/>
      <c r="Q393" s="41"/>
      <c r="R393" s="41"/>
      <c r="S393" s="41"/>
      <c r="U393" s="4"/>
      <c r="V393" s="4"/>
    </row>
    <row r="394" spans="1:22" ht="14.4">
      <c r="A394" s="34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41"/>
      <c r="P394" s="41"/>
      <c r="Q394" s="41"/>
      <c r="R394" s="41"/>
      <c r="S394" s="41"/>
      <c r="U394" s="4"/>
      <c r="V394" s="4"/>
    </row>
    <row r="395" spans="1:22" ht="14.4">
      <c r="A395" s="34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41"/>
      <c r="P395" s="41"/>
      <c r="Q395" s="41"/>
      <c r="R395" s="41"/>
      <c r="S395" s="41"/>
      <c r="U395" s="4"/>
      <c r="V395" s="4"/>
    </row>
    <row r="396" spans="1:22" ht="14.4">
      <c r="A396" s="34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41"/>
      <c r="P396" s="41"/>
      <c r="Q396" s="41"/>
      <c r="R396" s="41"/>
      <c r="S396" s="41"/>
      <c r="U396" s="4"/>
      <c r="V396" s="4"/>
    </row>
    <row r="397" spans="1:22" ht="14.4">
      <c r="A397" s="34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41"/>
      <c r="P397" s="41"/>
      <c r="Q397" s="41"/>
      <c r="R397" s="41"/>
      <c r="S397" s="41"/>
      <c r="U397" s="4"/>
      <c r="V397" s="4"/>
    </row>
    <row r="398" spans="1:22" ht="14.4">
      <c r="A398" s="34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41"/>
      <c r="P398" s="41"/>
      <c r="Q398" s="41"/>
      <c r="R398" s="41"/>
      <c r="S398" s="41"/>
      <c r="U398" s="4"/>
      <c r="V398" s="4"/>
    </row>
    <row r="399" spans="1:22" ht="14.4">
      <c r="A399" s="34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41"/>
      <c r="P399" s="41"/>
      <c r="Q399" s="41"/>
      <c r="R399" s="41"/>
      <c r="S399" s="41"/>
      <c r="U399" s="4"/>
      <c r="V399" s="4"/>
    </row>
    <row r="400" spans="1:22" ht="14.4">
      <c r="A400" s="34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41"/>
      <c r="P400" s="41"/>
      <c r="Q400" s="41"/>
      <c r="R400" s="41"/>
      <c r="S400" s="41"/>
      <c r="U400" s="4"/>
      <c r="V400" s="4"/>
    </row>
    <row r="401" spans="1:22" ht="14.4">
      <c r="A401" s="34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41"/>
      <c r="P401" s="41"/>
      <c r="Q401" s="41"/>
      <c r="R401" s="41"/>
      <c r="S401" s="41"/>
      <c r="U401" s="4"/>
      <c r="V401" s="4"/>
    </row>
    <row r="402" spans="1:22" ht="14.4">
      <c r="A402" s="3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41"/>
      <c r="P402" s="41"/>
      <c r="Q402" s="41"/>
      <c r="R402" s="41"/>
      <c r="S402" s="41"/>
      <c r="U402" s="4"/>
      <c r="V402" s="4"/>
    </row>
    <row r="403" spans="1:22" ht="14.4">
      <c r="A403" s="3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41"/>
      <c r="P403" s="41"/>
      <c r="Q403" s="41"/>
      <c r="R403" s="41"/>
      <c r="S403" s="41"/>
      <c r="U403" s="4"/>
      <c r="V403" s="4"/>
    </row>
    <row r="404" spans="1:22" ht="14.4">
      <c r="A404" s="3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41"/>
      <c r="P404" s="41"/>
      <c r="Q404" s="41"/>
      <c r="R404" s="41"/>
      <c r="S404" s="41"/>
      <c r="U404" s="4"/>
      <c r="V404" s="4"/>
    </row>
    <row r="405" spans="1:22" ht="14.4">
      <c r="A405" s="3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41"/>
      <c r="P405" s="41"/>
      <c r="Q405" s="41"/>
      <c r="R405" s="41"/>
      <c r="S405" s="41"/>
      <c r="U405" s="4"/>
      <c r="V405" s="4"/>
    </row>
    <row r="406" spans="1:22" ht="14.4">
      <c r="A406" s="3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41"/>
      <c r="P406" s="41"/>
      <c r="Q406" s="41"/>
      <c r="R406" s="41"/>
      <c r="S406" s="41"/>
      <c r="U406" s="4"/>
      <c r="V406" s="4"/>
    </row>
    <row r="407" spans="1:22" ht="14.4">
      <c r="A407" s="3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41"/>
      <c r="P407" s="41"/>
      <c r="Q407" s="41"/>
      <c r="R407" s="41"/>
      <c r="S407" s="41"/>
      <c r="U407" s="4"/>
      <c r="V407" s="4"/>
    </row>
    <row r="408" spans="1:22" ht="14.4">
      <c r="A408" s="3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41"/>
      <c r="P408" s="41"/>
      <c r="Q408" s="41"/>
      <c r="R408" s="41"/>
      <c r="S408" s="41"/>
      <c r="U408" s="4"/>
      <c r="V408" s="4"/>
    </row>
    <row r="409" spans="1:22" ht="14.4">
      <c r="A409" s="3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41"/>
      <c r="P409" s="41"/>
      <c r="Q409" s="41"/>
      <c r="R409" s="41"/>
      <c r="S409" s="41"/>
      <c r="U409" s="4"/>
      <c r="V409" s="4"/>
    </row>
    <row r="410" spans="1:22" ht="14.4">
      <c r="A410" s="3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41"/>
      <c r="P410" s="41"/>
      <c r="Q410" s="41"/>
      <c r="R410" s="41"/>
      <c r="S410" s="41"/>
      <c r="U410" s="4"/>
      <c r="V410" s="4"/>
    </row>
    <row r="411" spans="1:22" ht="14.4">
      <c r="A411" s="3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41"/>
      <c r="P411" s="41"/>
      <c r="Q411" s="41"/>
      <c r="R411" s="41"/>
      <c r="S411" s="41"/>
      <c r="U411" s="4"/>
      <c r="V411" s="4"/>
    </row>
    <row r="412" spans="1:22" ht="14.4">
      <c r="A412" s="3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41"/>
      <c r="P412" s="41"/>
      <c r="Q412" s="41"/>
      <c r="R412" s="41"/>
      <c r="S412" s="41"/>
      <c r="U412" s="4"/>
      <c r="V412" s="4"/>
    </row>
    <row r="413" spans="1:22" ht="14.4">
      <c r="A413" s="3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41"/>
      <c r="P413" s="41"/>
      <c r="Q413" s="41"/>
      <c r="R413" s="41"/>
      <c r="S413" s="41"/>
      <c r="U413" s="4"/>
      <c r="V413" s="4"/>
    </row>
    <row r="414" spans="1:22" ht="14.4">
      <c r="A414" s="3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41"/>
      <c r="P414" s="41"/>
      <c r="Q414" s="41"/>
      <c r="R414" s="41"/>
      <c r="S414" s="41"/>
      <c r="U414" s="4"/>
      <c r="V414" s="4"/>
    </row>
    <row r="415" spans="1:22" ht="14.4">
      <c r="A415" s="3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41"/>
      <c r="P415" s="41"/>
      <c r="Q415" s="41"/>
      <c r="R415" s="41"/>
      <c r="S415" s="41"/>
      <c r="U415" s="4"/>
      <c r="V415" s="4"/>
    </row>
    <row r="416" spans="1:22" ht="14.4">
      <c r="A416" s="3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41"/>
      <c r="P416" s="41"/>
      <c r="Q416" s="41"/>
      <c r="R416" s="41"/>
      <c r="S416" s="41"/>
      <c r="U416" s="4"/>
      <c r="V416" s="4"/>
    </row>
    <row r="417" spans="1:22" ht="14.4">
      <c r="A417" s="3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41"/>
      <c r="P417" s="41"/>
      <c r="Q417" s="41"/>
      <c r="R417" s="41"/>
      <c r="S417" s="41"/>
      <c r="U417" s="4"/>
      <c r="V417" s="4"/>
    </row>
    <row r="418" spans="1:22" ht="14.4">
      <c r="A418" s="3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41"/>
      <c r="P418" s="41"/>
      <c r="Q418" s="41"/>
      <c r="R418" s="41"/>
      <c r="S418" s="41"/>
      <c r="U418" s="4"/>
      <c r="V418" s="4"/>
    </row>
    <row r="419" spans="1:22" ht="14.4">
      <c r="A419" s="3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41"/>
      <c r="P419" s="41"/>
      <c r="Q419" s="41"/>
      <c r="R419" s="41"/>
      <c r="S419" s="41"/>
      <c r="U419" s="4"/>
      <c r="V419" s="4"/>
    </row>
    <row r="420" spans="1:22" ht="14.4">
      <c r="A420" s="3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41"/>
      <c r="P420" s="41"/>
      <c r="Q420" s="41"/>
      <c r="R420" s="41"/>
      <c r="S420" s="41"/>
      <c r="U420" s="4"/>
      <c r="V420" s="4"/>
    </row>
    <row r="421" spans="1:22" ht="14.4">
      <c r="A421" s="3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41"/>
      <c r="P421" s="41"/>
      <c r="Q421" s="41"/>
      <c r="R421" s="41"/>
      <c r="S421" s="41"/>
      <c r="U421" s="4"/>
      <c r="V421" s="4"/>
    </row>
    <row r="422" spans="1:22" ht="14.4">
      <c r="A422" s="3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41"/>
      <c r="P422" s="41"/>
      <c r="Q422" s="41"/>
      <c r="R422" s="41"/>
      <c r="S422" s="41"/>
      <c r="U422" s="4"/>
      <c r="V422" s="4"/>
    </row>
    <row r="423" spans="1:22" ht="14.4">
      <c r="A423" s="3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41"/>
      <c r="P423" s="41"/>
      <c r="Q423" s="41"/>
      <c r="R423" s="41"/>
      <c r="S423" s="41"/>
      <c r="U423" s="4"/>
      <c r="V423" s="4"/>
    </row>
    <row r="424" spans="1:22" ht="14.4">
      <c r="A424" s="3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41"/>
      <c r="P424" s="41"/>
      <c r="Q424" s="41"/>
      <c r="R424" s="41"/>
      <c r="S424" s="41"/>
      <c r="U424" s="4"/>
      <c r="V424" s="4"/>
    </row>
    <row r="425" spans="1:22" ht="14.4">
      <c r="A425" s="3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41"/>
      <c r="P425" s="41"/>
      <c r="Q425" s="41"/>
      <c r="R425" s="41"/>
      <c r="S425" s="41"/>
      <c r="U425" s="4"/>
      <c r="V425" s="4"/>
    </row>
    <row r="426" spans="1:22" ht="14.4">
      <c r="A426" s="3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41"/>
      <c r="P426" s="41"/>
      <c r="Q426" s="41"/>
      <c r="R426" s="41"/>
      <c r="S426" s="41"/>
      <c r="U426" s="4"/>
      <c r="V426" s="4"/>
    </row>
    <row r="427" spans="1:22" ht="14.4">
      <c r="A427" s="34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41"/>
      <c r="P427" s="41"/>
      <c r="Q427" s="41"/>
      <c r="R427" s="41"/>
      <c r="S427" s="41"/>
      <c r="U427" s="4"/>
      <c r="V427" s="4"/>
    </row>
    <row r="428" spans="1:22" ht="14.4">
      <c r="A428" s="34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41"/>
      <c r="P428" s="41"/>
      <c r="Q428" s="41"/>
      <c r="R428" s="41"/>
      <c r="S428" s="41"/>
      <c r="U428" s="4"/>
      <c r="V428" s="4"/>
    </row>
    <row r="429" spans="1:22" ht="14.4">
      <c r="A429" s="34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41"/>
      <c r="P429" s="41"/>
      <c r="Q429" s="41"/>
      <c r="R429" s="41"/>
      <c r="S429" s="41"/>
      <c r="U429" s="4"/>
      <c r="V429" s="4"/>
    </row>
    <row r="430" spans="1:22" ht="14.4">
      <c r="A430" s="34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41"/>
      <c r="P430" s="41"/>
      <c r="Q430" s="41"/>
      <c r="R430" s="41"/>
      <c r="S430" s="41"/>
      <c r="U430" s="4"/>
      <c r="V430" s="4"/>
    </row>
    <row r="431" spans="1:22" ht="14.4">
      <c r="A431" s="34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41"/>
      <c r="P431" s="41"/>
      <c r="Q431" s="41"/>
      <c r="R431" s="41"/>
      <c r="S431" s="41"/>
      <c r="U431" s="4"/>
      <c r="V431" s="4"/>
    </row>
    <row r="432" spans="1:22" ht="14.4">
      <c r="A432" s="34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41"/>
      <c r="P432" s="41"/>
      <c r="Q432" s="41"/>
      <c r="R432" s="41"/>
      <c r="S432" s="41"/>
      <c r="U432" s="4"/>
      <c r="V432" s="4"/>
    </row>
    <row r="433" spans="1:22" ht="14.4">
      <c r="A433" s="34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41"/>
      <c r="P433" s="41"/>
      <c r="Q433" s="41"/>
      <c r="R433" s="41"/>
      <c r="S433" s="41"/>
      <c r="U433" s="4"/>
      <c r="V433" s="4"/>
    </row>
    <row r="434" spans="1:22" ht="14.4">
      <c r="A434" s="34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41"/>
      <c r="P434" s="41"/>
      <c r="Q434" s="41"/>
      <c r="R434" s="41"/>
      <c r="S434" s="41"/>
      <c r="U434" s="4"/>
      <c r="V434" s="4"/>
    </row>
    <row r="435" spans="1:22" ht="14.4">
      <c r="A435" s="34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41"/>
      <c r="P435" s="41"/>
      <c r="Q435" s="41"/>
      <c r="R435" s="41"/>
      <c r="S435" s="41"/>
      <c r="U435" s="4"/>
      <c r="V435" s="4"/>
    </row>
    <row r="436" spans="1:22" ht="14.4">
      <c r="A436" s="34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41"/>
      <c r="P436" s="41"/>
      <c r="Q436" s="41"/>
      <c r="R436" s="41"/>
      <c r="S436" s="41"/>
      <c r="U436" s="4"/>
      <c r="V436" s="4"/>
    </row>
    <row r="437" spans="1:22" ht="14.4">
      <c r="A437" s="34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41"/>
      <c r="P437" s="41"/>
      <c r="Q437" s="41"/>
      <c r="R437" s="41"/>
      <c r="S437" s="41"/>
      <c r="U437" s="4"/>
      <c r="V437" s="4"/>
    </row>
    <row r="438" spans="1:22" ht="14.4">
      <c r="A438" s="34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41"/>
      <c r="P438" s="41"/>
      <c r="Q438" s="41"/>
      <c r="R438" s="41"/>
      <c r="S438" s="41"/>
      <c r="U438" s="4"/>
      <c r="V438" s="4"/>
    </row>
    <row r="439" spans="1:22" ht="14.4">
      <c r="A439" s="34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41"/>
      <c r="P439" s="41"/>
      <c r="Q439" s="41"/>
      <c r="R439" s="41"/>
      <c r="S439" s="41"/>
      <c r="U439" s="4"/>
      <c r="V439" s="4"/>
    </row>
    <row r="440" spans="1:22" ht="14.4">
      <c r="A440" s="34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41"/>
      <c r="P440" s="41"/>
      <c r="Q440" s="41"/>
      <c r="R440" s="41"/>
      <c r="S440" s="41"/>
      <c r="U440" s="4"/>
      <c r="V440" s="4"/>
    </row>
    <row r="441" spans="1:22" ht="14.4">
      <c r="A441" s="34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41"/>
      <c r="P441" s="41"/>
      <c r="Q441" s="41"/>
      <c r="R441" s="41"/>
      <c r="S441" s="41"/>
      <c r="U441" s="4"/>
      <c r="V441" s="4"/>
    </row>
    <row r="442" spans="1:22" ht="14.4">
      <c r="A442" s="34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41"/>
      <c r="P442" s="41"/>
      <c r="Q442" s="41"/>
      <c r="R442" s="41"/>
      <c r="S442" s="41"/>
      <c r="U442" s="4"/>
      <c r="V442" s="4"/>
    </row>
    <row r="443" spans="1:22" ht="14.4">
      <c r="A443" s="34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41"/>
      <c r="P443" s="41"/>
      <c r="Q443" s="41"/>
      <c r="R443" s="41"/>
      <c r="S443" s="41"/>
      <c r="U443" s="4"/>
      <c r="V443" s="4"/>
    </row>
    <row r="444" spans="1:22" ht="14.4">
      <c r="A444" s="34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41"/>
      <c r="P444" s="41"/>
      <c r="Q444" s="41"/>
      <c r="R444" s="41"/>
      <c r="S444" s="41"/>
      <c r="U444" s="4"/>
      <c r="V444" s="4"/>
    </row>
    <row r="445" spans="1:22" ht="14.4">
      <c r="A445" s="34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41"/>
      <c r="P445" s="41"/>
      <c r="Q445" s="41"/>
      <c r="R445" s="41"/>
      <c r="S445" s="41"/>
      <c r="U445" s="4"/>
      <c r="V445" s="4"/>
    </row>
    <row r="446" spans="1:22" ht="14.4">
      <c r="A446" s="34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41"/>
      <c r="P446" s="41"/>
      <c r="Q446" s="41"/>
      <c r="R446" s="41"/>
      <c r="S446" s="41"/>
      <c r="U446" s="4"/>
      <c r="V446" s="4"/>
    </row>
    <row r="447" spans="1:22" ht="14.4">
      <c r="A447" s="34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41"/>
      <c r="P447" s="41"/>
      <c r="Q447" s="41"/>
      <c r="R447" s="41"/>
      <c r="S447" s="41"/>
      <c r="U447" s="4"/>
      <c r="V447" s="4"/>
    </row>
    <row r="448" spans="1:22" ht="14.4">
      <c r="A448" s="34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41"/>
      <c r="P448" s="41"/>
      <c r="Q448" s="41"/>
      <c r="R448" s="41"/>
      <c r="S448" s="41"/>
      <c r="U448" s="4"/>
      <c r="V448" s="4"/>
    </row>
    <row r="449" spans="1:22" ht="14.4">
      <c r="A449" s="34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41"/>
      <c r="P449" s="41"/>
      <c r="Q449" s="41"/>
      <c r="R449" s="41"/>
      <c r="S449" s="41"/>
      <c r="U449" s="4"/>
      <c r="V449" s="4"/>
    </row>
    <row r="450" spans="1:22" ht="14.4">
      <c r="A450" s="34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41"/>
      <c r="P450" s="41"/>
      <c r="Q450" s="41"/>
      <c r="R450" s="41"/>
      <c r="S450" s="41"/>
      <c r="U450" s="4"/>
      <c r="V450" s="4"/>
    </row>
    <row r="451" spans="1:22" ht="14.4">
      <c r="A451" s="34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41"/>
      <c r="P451" s="41"/>
      <c r="Q451" s="41"/>
      <c r="R451" s="41"/>
      <c r="S451" s="41"/>
      <c r="U451" s="4"/>
      <c r="V451" s="4"/>
    </row>
    <row r="452" spans="1:22" ht="14.4">
      <c r="A452" s="34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41"/>
      <c r="P452" s="41"/>
      <c r="Q452" s="41"/>
      <c r="R452" s="41"/>
      <c r="S452" s="41"/>
      <c r="U452" s="4"/>
      <c r="V452" s="4"/>
    </row>
    <row r="453" spans="1:22" ht="14.4">
      <c r="A453" s="34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41"/>
      <c r="P453" s="41"/>
      <c r="Q453" s="41"/>
      <c r="R453" s="41"/>
      <c r="S453" s="41"/>
      <c r="U453" s="4"/>
      <c r="V453" s="4"/>
    </row>
    <row r="454" spans="1:22" ht="14.4">
      <c r="A454" s="34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41"/>
      <c r="P454" s="41"/>
      <c r="Q454" s="41"/>
      <c r="R454" s="41"/>
      <c r="S454" s="41"/>
      <c r="U454" s="4"/>
      <c r="V454" s="4"/>
    </row>
    <row r="455" spans="1:22" ht="14.4">
      <c r="A455" s="34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41"/>
      <c r="P455" s="41"/>
      <c r="Q455" s="41"/>
      <c r="R455" s="41"/>
      <c r="S455" s="41"/>
      <c r="U455" s="4"/>
      <c r="V455" s="4"/>
    </row>
    <row r="456" spans="1:22" ht="14.4">
      <c r="A456" s="34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41"/>
      <c r="P456" s="41"/>
      <c r="Q456" s="41"/>
      <c r="R456" s="41"/>
      <c r="S456" s="41"/>
      <c r="U456" s="4"/>
      <c r="V456" s="4"/>
    </row>
    <row r="457" spans="1:22" ht="14.4">
      <c r="A457" s="34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41"/>
      <c r="P457" s="41"/>
      <c r="Q457" s="41"/>
      <c r="R457" s="41"/>
      <c r="S457" s="41"/>
      <c r="U457" s="4"/>
      <c r="V457" s="4"/>
    </row>
    <row r="458" spans="1:22" ht="14.4">
      <c r="A458" s="34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41"/>
      <c r="P458" s="41"/>
      <c r="Q458" s="41"/>
      <c r="R458" s="41"/>
      <c r="S458" s="41"/>
      <c r="U458" s="4"/>
      <c r="V458" s="4"/>
    </row>
    <row r="459" spans="1:22" ht="14.4">
      <c r="A459" s="34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41"/>
      <c r="P459" s="41"/>
      <c r="Q459" s="41"/>
      <c r="R459" s="41"/>
      <c r="S459" s="41"/>
      <c r="U459" s="4"/>
      <c r="V459" s="4"/>
    </row>
    <row r="460" spans="1:22" ht="14.4">
      <c r="A460" s="34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41"/>
      <c r="P460" s="41"/>
      <c r="Q460" s="41"/>
      <c r="R460" s="41"/>
      <c r="S460" s="41"/>
      <c r="U460" s="4"/>
      <c r="V460" s="4"/>
    </row>
    <row r="461" spans="1:22" ht="14.4">
      <c r="A461" s="34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41"/>
      <c r="P461" s="41"/>
      <c r="Q461" s="41"/>
      <c r="R461" s="41"/>
      <c r="S461" s="41"/>
      <c r="U461" s="4"/>
      <c r="V461" s="4"/>
    </row>
    <row r="462" spans="1:22" ht="14.4">
      <c r="A462" s="34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41"/>
      <c r="P462" s="41"/>
      <c r="Q462" s="41"/>
      <c r="R462" s="41"/>
      <c r="S462" s="41"/>
      <c r="U462" s="4"/>
      <c r="V462" s="4"/>
    </row>
    <row r="463" spans="1:22" ht="14.4">
      <c r="A463" s="34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41"/>
      <c r="P463" s="41"/>
      <c r="Q463" s="41"/>
      <c r="R463" s="41"/>
      <c r="S463" s="41"/>
      <c r="U463" s="4"/>
      <c r="V463" s="4"/>
    </row>
    <row r="464" spans="1:22" ht="14.4">
      <c r="A464" s="34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41"/>
      <c r="P464" s="41"/>
      <c r="Q464" s="41"/>
      <c r="R464" s="41"/>
      <c r="S464" s="41"/>
      <c r="U464" s="4"/>
      <c r="V464" s="4"/>
    </row>
    <row r="465" spans="1:22" ht="14.4">
      <c r="A465" s="34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41"/>
      <c r="P465" s="41"/>
      <c r="Q465" s="41"/>
      <c r="R465" s="41"/>
      <c r="S465" s="41"/>
      <c r="U465" s="4"/>
      <c r="V465" s="4"/>
    </row>
    <row r="466" spans="1:22" ht="14.4">
      <c r="A466" s="34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41"/>
      <c r="P466" s="41"/>
      <c r="Q466" s="41"/>
      <c r="R466" s="41"/>
      <c r="S466" s="41"/>
      <c r="U466" s="4"/>
      <c r="V466" s="4"/>
    </row>
    <row r="467" spans="1:22" ht="14.4">
      <c r="A467" s="34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41"/>
      <c r="P467" s="41"/>
      <c r="Q467" s="41"/>
      <c r="R467" s="41"/>
      <c r="S467" s="41"/>
      <c r="U467" s="4"/>
      <c r="V467" s="4"/>
    </row>
    <row r="468" spans="1:22" ht="14.4">
      <c r="A468" s="34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41"/>
      <c r="P468" s="41"/>
      <c r="Q468" s="41"/>
      <c r="R468" s="41"/>
      <c r="S468" s="41"/>
      <c r="U468" s="4"/>
      <c r="V468" s="4"/>
    </row>
    <row r="469" spans="1:22" ht="14.4">
      <c r="A469" s="34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41"/>
      <c r="P469" s="41"/>
      <c r="Q469" s="41"/>
      <c r="R469" s="41"/>
      <c r="S469" s="41"/>
      <c r="U469" s="4"/>
      <c r="V469" s="4"/>
    </row>
    <row r="470" spans="1:22" ht="14.4">
      <c r="A470" s="34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41"/>
      <c r="P470" s="41"/>
      <c r="Q470" s="41"/>
      <c r="R470" s="41"/>
      <c r="S470" s="41"/>
      <c r="U470" s="4"/>
      <c r="V470" s="4"/>
    </row>
    <row r="471" spans="1:22" ht="14.4">
      <c r="A471" s="34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41"/>
      <c r="P471" s="41"/>
      <c r="Q471" s="41"/>
      <c r="R471" s="41"/>
      <c r="S471" s="41"/>
      <c r="U471" s="4"/>
      <c r="V471" s="4"/>
    </row>
    <row r="472" spans="1:22" ht="14.4">
      <c r="A472" s="34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41"/>
      <c r="P472" s="41"/>
      <c r="Q472" s="41"/>
      <c r="R472" s="41"/>
      <c r="S472" s="41"/>
      <c r="U472" s="4"/>
      <c r="V472" s="4"/>
    </row>
    <row r="473" spans="1:22" ht="14.4">
      <c r="A473" s="34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41"/>
      <c r="P473" s="41"/>
      <c r="Q473" s="41"/>
      <c r="R473" s="41"/>
      <c r="S473" s="41"/>
      <c r="U473" s="4"/>
      <c r="V473" s="4"/>
    </row>
    <row r="474" spans="1:22" ht="14.4">
      <c r="A474" s="34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41"/>
      <c r="P474" s="41"/>
      <c r="Q474" s="41"/>
      <c r="R474" s="41"/>
      <c r="S474" s="41"/>
      <c r="U474" s="4"/>
      <c r="V474" s="4"/>
    </row>
    <row r="475" spans="1:22" ht="14.4">
      <c r="A475" s="34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41"/>
      <c r="P475" s="41"/>
      <c r="Q475" s="41"/>
      <c r="R475" s="41"/>
      <c r="S475" s="41"/>
      <c r="U475" s="4"/>
      <c r="V475" s="4"/>
    </row>
    <row r="476" spans="1:22" ht="14.4">
      <c r="A476" s="34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41"/>
      <c r="P476" s="41"/>
      <c r="Q476" s="41"/>
      <c r="R476" s="41"/>
      <c r="S476" s="41"/>
      <c r="U476" s="4"/>
      <c r="V476" s="4"/>
    </row>
    <row r="477" spans="1:22" ht="14.4">
      <c r="A477" s="34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41"/>
      <c r="P477" s="41"/>
      <c r="Q477" s="41"/>
      <c r="R477" s="41"/>
      <c r="S477" s="41"/>
      <c r="U477" s="4"/>
      <c r="V477" s="4"/>
    </row>
    <row r="478" spans="1:22" ht="14.4">
      <c r="A478" s="34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41"/>
      <c r="P478" s="41"/>
      <c r="Q478" s="41"/>
      <c r="R478" s="41"/>
      <c r="S478" s="41"/>
      <c r="U478" s="4"/>
      <c r="V478" s="4"/>
    </row>
    <row r="479" spans="1:22" ht="14.4">
      <c r="A479" s="34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41"/>
      <c r="P479" s="41"/>
      <c r="Q479" s="41"/>
      <c r="R479" s="41"/>
      <c r="S479" s="41"/>
      <c r="U479" s="4"/>
      <c r="V479" s="4"/>
    </row>
    <row r="480" spans="1:22" ht="14.4">
      <c r="A480" s="34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41"/>
      <c r="P480" s="41"/>
      <c r="Q480" s="41"/>
      <c r="R480" s="41"/>
      <c r="S480" s="41"/>
      <c r="U480" s="4"/>
      <c r="V480" s="4"/>
    </row>
    <row r="481" spans="1:22" ht="14.4">
      <c r="A481" s="34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41"/>
      <c r="P481" s="41"/>
      <c r="Q481" s="41"/>
      <c r="R481" s="41"/>
      <c r="S481" s="41"/>
      <c r="U481" s="4"/>
      <c r="V481" s="4"/>
    </row>
    <row r="482" spans="1:22" ht="14.4">
      <c r="A482" s="34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41"/>
      <c r="P482" s="41"/>
      <c r="Q482" s="41"/>
      <c r="R482" s="41"/>
      <c r="S482" s="41"/>
      <c r="U482" s="4"/>
      <c r="V482" s="4"/>
    </row>
    <row r="483" spans="1:22" ht="14.4">
      <c r="A483" s="34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41"/>
      <c r="P483" s="41"/>
      <c r="Q483" s="41"/>
      <c r="R483" s="41"/>
      <c r="S483" s="41"/>
      <c r="U483" s="4"/>
      <c r="V483" s="4"/>
    </row>
    <row r="484" spans="1:22" ht="14.4">
      <c r="A484" s="34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41"/>
      <c r="P484" s="41"/>
      <c r="Q484" s="41"/>
      <c r="R484" s="41"/>
      <c r="S484" s="41"/>
      <c r="U484" s="4"/>
      <c r="V484" s="4"/>
    </row>
    <row r="485" spans="1:22" ht="14.4">
      <c r="A485" s="34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41"/>
      <c r="P485" s="41"/>
      <c r="Q485" s="41"/>
      <c r="R485" s="41"/>
      <c r="S485" s="41"/>
      <c r="U485" s="4"/>
      <c r="V485" s="4"/>
    </row>
    <row r="486" spans="1:22" ht="14.4">
      <c r="A486" s="34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41"/>
      <c r="P486" s="41"/>
      <c r="Q486" s="41"/>
      <c r="R486" s="41"/>
      <c r="S486" s="41"/>
      <c r="U486" s="4"/>
      <c r="V486" s="4"/>
    </row>
    <row r="487" spans="1:22" ht="14.4">
      <c r="A487" s="34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41"/>
      <c r="P487" s="41"/>
      <c r="Q487" s="41"/>
      <c r="R487" s="41"/>
      <c r="S487" s="41"/>
      <c r="U487" s="4"/>
      <c r="V487" s="4"/>
    </row>
    <row r="488" spans="1:22" ht="14.4">
      <c r="A488" s="34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41"/>
      <c r="P488" s="41"/>
      <c r="Q488" s="41"/>
      <c r="R488" s="41"/>
      <c r="S488" s="41"/>
      <c r="U488" s="4"/>
      <c r="V488" s="4"/>
    </row>
    <row r="489" spans="1:22" ht="14.4">
      <c r="A489" s="34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41"/>
      <c r="P489" s="41"/>
      <c r="Q489" s="41"/>
      <c r="R489" s="41"/>
      <c r="S489" s="41"/>
      <c r="U489" s="4"/>
      <c r="V489" s="4"/>
    </row>
    <row r="490" spans="1:22" ht="14.4">
      <c r="A490" s="34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41"/>
      <c r="P490" s="41"/>
      <c r="Q490" s="41"/>
      <c r="R490" s="41"/>
      <c r="S490" s="41"/>
      <c r="U490" s="4"/>
      <c r="V490" s="4"/>
    </row>
    <row r="491" spans="1:22" ht="14.4">
      <c r="A491" s="34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41"/>
      <c r="P491" s="41"/>
      <c r="Q491" s="41"/>
      <c r="R491" s="41"/>
      <c r="S491" s="41"/>
      <c r="U491" s="4"/>
      <c r="V491" s="4"/>
    </row>
    <row r="492" spans="1:22" ht="14.4">
      <c r="A492" s="34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41"/>
      <c r="P492" s="41"/>
      <c r="Q492" s="41"/>
      <c r="R492" s="41"/>
      <c r="S492" s="41"/>
      <c r="U492" s="4"/>
      <c r="V492" s="4"/>
    </row>
    <row r="493" spans="1:22" ht="14.4">
      <c r="A493" s="34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41"/>
      <c r="P493" s="41"/>
      <c r="Q493" s="41"/>
      <c r="R493" s="41"/>
      <c r="S493" s="41"/>
      <c r="U493" s="4"/>
      <c r="V493" s="4"/>
    </row>
    <row r="494" spans="1:22" ht="14.4">
      <c r="A494" s="34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41"/>
      <c r="P494" s="41"/>
      <c r="Q494" s="41"/>
      <c r="R494" s="41"/>
      <c r="S494" s="41"/>
      <c r="U494" s="4"/>
      <c r="V494" s="4"/>
    </row>
    <row r="495" spans="1:22" ht="14.4">
      <c r="A495" s="34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41"/>
      <c r="P495" s="41"/>
      <c r="Q495" s="41"/>
      <c r="R495" s="41"/>
      <c r="S495" s="41"/>
      <c r="U495" s="4"/>
      <c r="V495" s="4"/>
    </row>
    <row r="496" spans="1:22" ht="14.4">
      <c r="A496" s="34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41"/>
      <c r="P496" s="41"/>
      <c r="Q496" s="41"/>
      <c r="R496" s="41"/>
      <c r="S496" s="41"/>
      <c r="U496" s="4"/>
      <c r="V496" s="4"/>
    </row>
    <row r="497" spans="1:22" ht="14.4">
      <c r="A497" s="34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41"/>
      <c r="P497" s="41"/>
      <c r="Q497" s="41"/>
      <c r="R497" s="41"/>
      <c r="S497" s="41"/>
      <c r="U497" s="4"/>
      <c r="V497" s="4"/>
    </row>
    <row r="498" spans="1:22" ht="14.4">
      <c r="A498" s="34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41"/>
      <c r="P498" s="41"/>
      <c r="Q498" s="41"/>
      <c r="R498" s="41"/>
      <c r="S498" s="41"/>
      <c r="U498" s="4"/>
      <c r="V498" s="4"/>
    </row>
    <row r="499" spans="1:22" ht="14.4">
      <c r="A499" s="34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41"/>
      <c r="P499" s="41"/>
      <c r="Q499" s="41"/>
      <c r="R499" s="41"/>
      <c r="S499" s="41"/>
      <c r="U499" s="4"/>
      <c r="V499" s="4"/>
    </row>
    <row r="500" spans="1:22" ht="14.4">
      <c r="A500" s="34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41"/>
      <c r="P500" s="41"/>
      <c r="Q500" s="41"/>
      <c r="R500" s="41"/>
      <c r="S500" s="41"/>
      <c r="U500" s="4"/>
      <c r="V500" s="4"/>
    </row>
    <row r="501" spans="1:22" ht="14.4">
      <c r="A501" s="34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41"/>
      <c r="P501" s="41"/>
      <c r="Q501" s="41"/>
      <c r="R501" s="41"/>
      <c r="S501" s="41"/>
      <c r="U501" s="4"/>
      <c r="V501" s="4"/>
    </row>
    <row r="502" spans="1:22" ht="14.4">
      <c r="A502" s="34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41"/>
      <c r="P502" s="41"/>
      <c r="Q502" s="41"/>
      <c r="R502" s="41"/>
      <c r="S502" s="41"/>
      <c r="U502" s="4"/>
      <c r="V502" s="4"/>
    </row>
    <row r="503" spans="1:22" ht="14.4">
      <c r="A503" s="34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41"/>
      <c r="P503" s="41"/>
      <c r="Q503" s="41"/>
      <c r="R503" s="41"/>
      <c r="S503" s="41"/>
      <c r="U503" s="4"/>
      <c r="V503" s="4"/>
    </row>
    <row r="504" spans="1:22" ht="14.4">
      <c r="A504" s="34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41"/>
      <c r="P504" s="41"/>
      <c r="Q504" s="41"/>
      <c r="R504" s="41"/>
      <c r="S504" s="41"/>
      <c r="U504" s="4"/>
      <c r="V504" s="4"/>
    </row>
    <row r="505" spans="1:22" ht="14.4">
      <c r="A505" s="34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41"/>
      <c r="P505" s="41"/>
      <c r="Q505" s="41"/>
      <c r="R505" s="41"/>
      <c r="S505" s="41"/>
      <c r="U505" s="4"/>
      <c r="V505" s="4"/>
    </row>
    <row r="506" spans="1:22" ht="14.4">
      <c r="A506" s="34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41"/>
      <c r="P506" s="41"/>
      <c r="Q506" s="41"/>
      <c r="R506" s="41"/>
      <c r="S506" s="41"/>
      <c r="U506" s="4"/>
      <c r="V506" s="4"/>
    </row>
    <row r="507" spans="1:22" ht="14.4">
      <c r="A507" s="34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41"/>
      <c r="P507" s="41"/>
      <c r="Q507" s="41"/>
      <c r="R507" s="41"/>
      <c r="S507" s="41"/>
      <c r="U507" s="4"/>
      <c r="V507" s="4"/>
    </row>
    <row r="508" spans="1:22" ht="14.4">
      <c r="A508" s="34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41"/>
      <c r="P508" s="41"/>
      <c r="Q508" s="41"/>
      <c r="R508" s="41"/>
      <c r="S508" s="41"/>
      <c r="U508" s="4"/>
      <c r="V508" s="4"/>
    </row>
    <row r="509" spans="1:22" ht="14.4">
      <c r="A509" s="34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41"/>
      <c r="P509" s="41"/>
      <c r="Q509" s="41"/>
      <c r="R509" s="41"/>
      <c r="S509" s="41"/>
      <c r="U509" s="4"/>
      <c r="V509" s="4"/>
    </row>
    <row r="510" spans="1:22" ht="14.4">
      <c r="A510" s="34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41"/>
      <c r="P510" s="41"/>
      <c r="Q510" s="41"/>
      <c r="R510" s="41"/>
      <c r="S510" s="41"/>
      <c r="U510" s="4"/>
      <c r="V510" s="4"/>
    </row>
    <row r="511" spans="1:22" ht="14.4">
      <c r="A511" s="34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41"/>
      <c r="P511" s="41"/>
      <c r="Q511" s="41"/>
      <c r="R511" s="41"/>
      <c r="S511" s="41"/>
      <c r="U511" s="4"/>
      <c r="V511" s="4"/>
    </row>
    <row r="512" spans="1:22" ht="14.4">
      <c r="A512" s="34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41"/>
      <c r="P512" s="41"/>
      <c r="Q512" s="41"/>
      <c r="R512" s="41"/>
      <c r="S512" s="41"/>
      <c r="U512" s="4"/>
      <c r="V512" s="4"/>
    </row>
    <row r="513" spans="1:22" ht="14.4">
      <c r="A513" s="34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41"/>
      <c r="P513" s="41"/>
      <c r="Q513" s="41"/>
      <c r="R513" s="41"/>
      <c r="S513" s="41"/>
      <c r="U513" s="4"/>
      <c r="V513" s="4"/>
    </row>
    <row r="514" spans="1:22" ht="14.4">
      <c r="A514" s="34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41"/>
      <c r="P514" s="41"/>
      <c r="Q514" s="41"/>
      <c r="R514" s="41"/>
      <c r="S514" s="41"/>
      <c r="U514" s="4"/>
      <c r="V514" s="4"/>
    </row>
    <row r="515" spans="1:22" ht="14.4">
      <c r="A515" s="34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41"/>
      <c r="P515" s="41"/>
      <c r="Q515" s="41"/>
      <c r="R515" s="41"/>
      <c r="S515" s="41"/>
      <c r="U515" s="4"/>
      <c r="V515" s="4"/>
    </row>
    <row r="516" spans="1:22" ht="14.4">
      <c r="A516" s="34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41"/>
      <c r="P516" s="41"/>
      <c r="Q516" s="41"/>
      <c r="R516" s="41"/>
      <c r="S516" s="41"/>
      <c r="U516" s="4"/>
      <c r="V516" s="4"/>
    </row>
    <row r="517" spans="1:22" ht="14.4">
      <c r="A517" s="34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41"/>
      <c r="P517" s="41"/>
      <c r="Q517" s="41"/>
      <c r="R517" s="41"/>
      <c r="S517" s="41"/>
      <c r="U517" s="4"/>
      <c r="V517" s="4"/>
    </row>
    <row r="518" spans="1:22" ht="14.4">
      <c r="A518" s="34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41"/>
      <c r="P518" s="41"/>
      <c r="Q518" s="41"/>
      <c r="R518" s="41"/>
      <c r="S518" s="41"/>
      <c r="U518" s="4"/>
      <c r="V518" s="4"/>
    </row>
    <row r="519" spans="1:22" ht="14.4">
      <c r="A519" s="34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41"/>
      <c r="P519" s="41"/>
      <c r="Q519" s="41"/>
      <c r="R519" s="41"/>
      <c r="S519" s="41"/>
      <c r="U519" s="4"/>
      <c r="V519" s="4"/>
    </row>
    <row r="520" spans="1:22" ht="14.4">
      <c r="A520" s="34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41"/>
      <c r="P520" s="41"/>
      <c r="Q520" s="41"/>
      <c r="R520" s="41"/>
      <c r="S520" s="41"/>
      <c r="U520" s="4"/>
      <c r="V520" s="4"/>
    </row>
    <row r="521" spans="1:22" ht="14.4">
      <c r="A521" s="34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41"/>
      <c r="P521" s="41"/>
      <c r="Q521" s="41"/>
      <c r="R521" s="41"/>
      <c r="S521" s="41"/>
      <c r="U521" s="4"/>
      <c r="V521" s="4"/>
    </row>
    <row r="522" spans="1:22" ht="14.4">
      <c r="A522" s="34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41"/>
      <c r="P522" s="41"/>
      <c r="Q522" s="41"/>
      <c r="R522" s="41"/>
      <c r="S522" s="41"/>
      <c r="U522" s="4"/>
      <c r="V522" s="4"/>
    </row>
    <row r="523" spans="1:22" ht="14.4">
      <c r="A523" s="34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41"/>
      <c r="P523" s="41"/>
      <c r="Q523" s="41"/>
      <c r="R523" s="41"/>
      <c r="S523" s="41"/>
      <c r="U523" s="4"/>
      <c r="V523" s="4"/>
    </row>
    <row r="524" spans="1:22" ht="14.4">
      <c r="A524" s="34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41"/>
      <c r="P524" s="41"/>
      <c r="Q524" s="41"/>
      <c r="R524" s="41"/>
      <c r="S524" s="41"/>
      <c r="U524" s="4"/>
      <c r="V524" s="4"/>
    </row>
    <row r="525" spans="1:22" ht="14.4">
      <c r="A525" s="34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41"/>
      <c r="P525" s="41"/>
      <c r="Q525" s="41"/>
      <c r="R525" s="41"/>
      <c r="S525" s="41"/>
      <c r="U525" s="4"/>
      <c r="V525" s="4"/>
    </row>
    <row r="526" spans="1:22" ht="14.4">
      <c r="A526" s="34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41"/>
      <c r="P526" s="41"/>
      <c r="Q526" s="41"/>
      <c r="R526" s="41"/>
      <c r="S526" s="41"/>
      <c r="U526" s="4"/>
      <c r="V526" s="4"/>
    </row>
    <row r="527" spans="1:22" ht="14.4">
      <c r="A527" s="34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41"/>
      <c r="P527" s="41"/>
      <c r="Q527" s="41"/>
      <c r="R527" s="41"/>
      <c r="S527" s="41"/>
      <c r="U527" s="4"/>
      <c r="V527" s="4"/>
    </row>
    <row r="528" spans="1:22" ht="14.4">
      <c r="A528" s="34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41"/>
      <c r="P528" s="41"/>
      <c r="Q528" s="41"/>
      <c r="R528" s="41"/>
      <c r="S528" s="41"/>
      <c r="U528" s="4"/>
      <c r="V528" s="4"/>
    </row>
    <row r="529" spans="1:22" ht="14.4">
      <c r="A529" s="34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41"/>
      <c r="P529" s="41"/>
      <c r="Q529" s="41"/>
      <c r="R529" s="41"/>
      <c r="S529" s="41"/>
      <c r="U529" s="4"/>
      <c r="V529" s="4"/>
    </row>
    <row r="530" spans="1:22" ht="14.4">
      <c r="A530" s="34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41"/>
      <c r="P530" s="41"/>
      <c r="Q530" s="41"/>
      <c r="R530" s="41"/>
      <c r="S530" s="41"/>
      <c r="U530" s="4"/>
      <c r="V530" s="4"/>
    </row>
    <row r="531" spans="1:22" ht="14.4">
      <c r="A531" s="34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41"/>
      <c r="P531" s="41"/>
      <c r="Q531" s="41"/>
      <c r="R531" s="41"/>
      <c r="S531" s="41"/>
      <c r="U531" s="4"/>
      <c r="V531" s="4"/>
    </row>
    <row r="532" spans="1:22" ht="14.4">
      <c r="A532" s="34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41"/>
      <c r="P532" s="41"/>
      <c r="Q532" s="41"/>
      <c r="R532" s="41"/>
      <c r="S532" s="41"/>
      <c r="U532" s="4"/>
      <c r="V532" s="4"/>
    </row>
    <row r="533" spans="1:22" ht="14.4">
      <c r="A533" s="34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41"/>
      <c r="P533" s="41"/>
      <c r="Q533" s="41"/>
      <c r="R533" s="41"/>
      <c r="S533" s="41"/>
      <c r="U533" s="4"/>
      <c r="V533" s="4"/>
    </row>
    <row r="534" spans="1:22" ht="14.4">
      <c r="A534" s="34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41"/>
      <c r="P534" s="41"/>
      <c r="Q534" s="41"/>
      <c r="R534" s="41"/>
      <c r="S534" s="41"/>
      <c r="U534" s="4"/>
      <c r="V534" s="4"/>
    </row>
    <row r="535" spans="1:22" ht="14.4">
      <c r="A535" s="34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41"/>
      <c r="P535" s="41"/>
      <c r="Q535" s="41"/>
      <c r="R535" s="41"/>
      <c r="S535" s="41"/>
      <c r="U535" s="4"/>
      <c r="V535" s="4"/>
    </row>
    <row r="536" spans="1:22" ht="14.4">
      <c r="A536" s="34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41"/>
      <c r="P536" s="41"/>
      <c r="Q536" s="41"/>
      <c r="R536" s="41"/>
      <c r="S536" s="41"/>
      <c r="U536" s="4"/>
      <c r="V536" s="4"/>
    </row>
    <row r="537" spans="1:22" ht="14.4">
      <c r="A537" s="34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41"/>
      <c r="P537" s="41"/>
      <c r="Q537" s="41"/>
      <c r="R537" s="41"/>
      <c r="S537" s="41"/>
      <c r="U537" s="4"/>
      <c r="V537" s="4"/>
    </row>
    <row r="538" spans="1:22" ht="14.4">
      <c r="A538" s="34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41"/>
      <c r="P538" s="41"/>
      <c r="Q538" s="41"/>
      <c r="R538" s="41"/>
      <c r="S538" s="41"/>
      <c r="U538" s="4"/>
      <c r="V538" s="4"/>
    </row>
    <row r="539" spans="1:22" ht="14.4">
      <c r="A539" s="34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41"/>
      <c r="P539" s="41"/>
      <c r="Q539" s="41"/>
      <c r="R539" s="41"/>
      <c r="S539" s="41"/>
      <c r="U539" s="4"/>
      <c r="V539" s="4"/>
    </row>
    <row r="540" spans="1:22" ht="14.4">
      <c r="A540" s="34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41"/>
      <c r="P540" s="41"/>
      <c r="Q540" s="41"/>
      <c r="R540" s="41"/>
      <c r="S540" s="41"/>
      <c r="U540" s="4"/>
      <c r="V540" s="4"/>
    </row>
    <row r="541" spans="1:22" ht="14.4">
      <c r="A541" s="34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41"/>
      <c r="P541" s="41"/>
      <c r="Q541" s="41"/>
      <c r="R541" s="41"/>
      <c r="S541" s="41"/>
      <c r="U541" s="4"/>
      <c r="V541" s="4"/>
    </row>
    <row r="542" spans="1:22" ht="14.4">
      <c r="A542" s="34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41"/>
      <c r="P542" s="41"/>
      <c r="Q542" s="41"/>
      <c r="R542" s="41"/>
      <c r="S542" s="41"/>
      <c r="U542" s="4"/>
      <c r="V542" s="4"/>
    </row>
    <row r="543" spans="1:22" ht="14.4">
      <c r="A543" s="34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41"/>
      <c r="P543" s="41"/>
      <c r="Q543" s="41"/>
      <c r="R543" s="41"/>
      <c r="S543" s="41"/>
      <c r="U543" s="4"/>
      <c r="V543" s="4"/>
    </row>
    <row r="544" spans="1:22" ht="14.4">
      <c r="A544" s="34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41"/>
      <c r="P544" s="41"/>
      <c r="Q544" s="41"/>
      <c r="R544" s="41"/>
      <c r="S544" s="41"/>
      <c r="U544" s="4"/>
      <c r="V544" s="4"/>
    </row>
    <row r="545" spans="1:22" ht="14.4">
      <c r="A545" s="34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41"/>
      <c r="P545" s="41"/>
      <c r="Q545" s="41"/>
      <c r="R545" s="41"/>
      <c r="S545" s="41"/>
      <c r="U545" s="4"/>
      <c r="V545" s="4"/>
    </row>
    <row r="546" spans="1:22" ht="14.4">
      <c r="A546" s="34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41"/>
      <c r="P546" s="41"/>
      <c r="Q546" s="41"/>
      <c r="R546" s="41"/>
      <c r="S546" s="41"/>
      <c r="U546" s="4"/>
      <c r="V546" s="4"/>
    </row>
    <row r="547" spans="1:22" ht="14.4">
      <c r="A547" s="34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41"/>
      <c r="P547" s="41"/>
      <c r="Q547" s="41"/>
      <c r="R547" s="41"/>
      <c r="S547" s="41"/>
      <c r="U547" s="4"/>
      <c r="V547" s="4"/>
    </row>
    <row r="548" spans="1:22" ht="14.4">
      <c r="A548" s="34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41"/>
      <c r="P548" s="41"/>
      <c r="Q548" s="41"/>
      <c r="R548" s="41"/>
      <c r="S548" s="41"/>
      <c r="U548" s="4"/>
      <c r="V548" s="4"/>
    </row>
    <row r="549" spans="1:22" ht="14.4">
      <c r="A549" s="34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41"/>
      <c r="P549" s="41"/>
      <c r="Q549" s="41"/>
      <c r="R549" s="41"/>
      <c r="S549" s="41"/>
      <c r="U549" s="4"/>
      <c r="V549" s="4"/>
    </row>
    <row r="550" spans="1:22" ht="14.4">
      <c r="A550" s="34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41"/>
      <c r="P550" s="41"/>
      <c r="Q550" s="41"/>
      <c r="R550" s="41"/>
      <c r="S550" s="41"/>
      <c r="U550" s="4"/>
      <c r="V550" s="4"/>
    </row>
    <row r="551" spans="1:22" ht="14.4">
      <c r="A551" s="34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41"/>
      <c r="P551" s="41"/>
      <c r="Q551" s="41"/>
      <c r="R551" s="41"/>
      <c r="S551" s="41"/>
      <c r="U551" s="4"/>
      <c r="V551" s="4"/>
    </row>
    <row r="552" spans="1:22" ht="14.4">
      <c r="A552" s="34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41"/>
      <c r="P552" s="41"/>
      <c r="Q552" s="41"/>
      <c r="R552" s="41"/>
      <c r="S552" s="41"/>
      <c r="U552" s="4"/>
      <c r="V552" s="4"/>
    </row>
    <row r="553" spans="1:22" ht="14.4">
      <c r="A553" s="34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41"/>
      <c r="P553" s="41"/>
      <c r="Q553" s="41"/>
      <c r="R553" s="41"/>
      <c r="S553" s="41"/>
      <c r="U553" s="4"/>
      <c r="V553" s="4"/>
    </row>
    <row r="554" spans="1:22" ht="14.4">
      <c r="A554" s="34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41"/>
      <c r="P554" s="41"/>
      <c r="Q554" s="41"/>
      <c r="R554" s="41"/>
      <c r="S554" s="41"/>
      <c r="U554" s="4"/>
      <c r="V554" s="4"/>
    </row>
    <row r="555" spans="1:22" ht="14.4">
      <c r="A555" s="34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41"/>
      <c r="P555" s="41"/>
      <c r="Q555" s="41"/>
      <c r="R555" s="41"/>
      <c r="S555" s="41"/>
      <c r="U555" s="4"/>
      <c r="V555" s="4"/>
    </row>
    <row r="556" spans="1:22" ht="14.4">
      <c r="A556" s="34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41"/>
      <c r="P556" s="41"/>
      <c r="Q556" s="41"/>
      <c r="R556" s="41"/>
      <c r="S556" s="41"/>
      <c r="U556" s="4"/>
      <c r="V556" s="4"/>
    </row>
    <row r="557" spans="1:22" ht="14.4">
      <c r="A557" s="34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41"/>
      <c r="P557" s="41"/>
      <c r="Q557" s="41"/>
      <c r="R557" s="41"/>
      <c r="S557" s="41"/>
      <c r="U557" s="4"/>
      <c r="V557" s="4"/>
    </row>
    <row r="558" spans="1:22" ht="14.4">
      <c r="A558" s="34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41"/>
      <c r="P558" s="41"/>
      <c r="Q558" s="41"/>
      <c r="R558" s="41"/>
      <c r="S558" s="41"/>
      <c r="U558" s="4"/>
      <c r="V558" s="4"/>
    </row>
    <row r="559" spans="1:22" ht="14.4">
      <c r="A559" s="34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41"/>
      <c r="P559" s="41"/>
      <c r="Q559" s="41"/>
      <c r="R559" s="41"/>
      <c r="S559" s="41"/>
      <c r="U559" s="4"/>
      <c r="V559" s="4"/>
    </row>
    <row r="560" spans="1:22" ht="14.4">
      <c r="A560" s="34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41"/>
      <c r="P560" s="41"/>
      <c r="Q560" s="41"/>
      <c r="R560" s="41"/>
      <c r="S560" s="41"/>
      <c r="U560" s="4"/>
      <c r="V560" s="4"/>
    </row>
    <row r="561" spans="1:22" ht="14.4">
      <c r="A561" s="34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41"/>
      <c r="P561" s="41"/>
      <c r="Q561" s="41"/>
      <c r="R561" s="41"/>
      <c r="S561" s="41"/>
      <c r="U561" s="4"/>
      <c r="V561" s="4"/>
    </row>
    <row r="562" spans="1:22" ht="14.4">
      <c r="A562" s="34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41"/>
      <c r="P562" s="41"/>
      <c r="Q562" s="41"/>
      <c r="R562" s="41"/>
      <c r="S562" s="41"/>
      <c r="U562" s="4"/>
      <c r="V562" s="4"/>
    </row>
    <row r="563" spans="1:22" ht="14.4">
      <c r="A563" s="34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41"/>
      <c r="P563" s="41"/>
      <c r="Q563" s="41"/>
      <c r="R563" s="41"/>
      <c r="S563" s="41"/>
      <c r="U563" s="4"/>
      <c r="V563" s="4"/>
    </row>
    <row r="564" spans="1:22" ht="14.4">
      <c r="A564" s="34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41"/>
      <c r="P564" s="41"/>
      <c r="Q564" s="41"/>
      <c r="R564" s="41"/>
      <c r="S564" s="41"/>
      <c r="U564" s="4"/>
      <c r="V564" s="4"/>
    </row>
    <row r="565" spans="1:22" ht="14.4">
      <c r="A565" s="34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41"/>
      <c r="P565" s="41"/>
      <c r="Q565" s="41"/>
      <c r="R565" s="41"/>
      <c r="S565" s="41"/>
      <c r="U565" s="4"/>
      <c r="V565" s="4"/>
    </row>
    <row r="566" spans="1:22" ht="14.4">
      <c r="A566" s="34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41"/>
      <c r="P566" s="41"/>
      <c r="Q566" s="41"/>
      <c r="R566" s="41"/>
      <c r="S566" s="41"/>
      <c r="U566" s="4"/>
      <c r="V566" s="4"/>
    </row>
    <row r="567" spans="1:22" ht="14.4">
      <c r="A567" s="34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41"/>
      <c r="P567" s="41"/>
      <c r="Q567" s="41"/>
      <c r="R567" s="41"/>
      <c r="S567" s="41"/>
      <c r="U567" s="4"/>
      <c r="V567" s="4"/>
    </row>
    <row r="568" spans="1:22" ht="14.4">
      <c r="A568" s="34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41"/>
      <c r="P568" s="41"/>
      <c r="Q568" s="41"/>
      <c r="R568" s="41"/>
      <c r="S568" s="41"/>
      <c r="U568" s="4"/>
      <c r="V568" s="4"/>
    </row>
    <row r="569" spans="1:22" ht="14.4">
      <c r="A569" s="34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41"/>
      <c r="P569" s="41"/>
      <c r="Q569" s="41"/>
      <c r="R569" s="41"/>
      <c r="S569" s="41"/>
      <c r="U569" s="4"/>
      <c r="V569" s="4"/>
    </row>
    <row r="570" spans="1:22" ht="14.4">
      <c r="A570" s="34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41"/>
      <c r="P570" s="41"/>
      <c r="Q570" s="41"/>
      <c r="R570" s="41"/>
      <c r="S570" s="41"/>
      <c r="U570" s="4"/>
      <c r="V570" s="4"/>
    </row>
    <row r="571" spans="1:22" ht="14.4">
      <c r="A571" s="34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41"/>
      <c r="P571" s="41"/>
      <c r="Q571" s="41"/>
      <c r="R571" s="41"/>
      <c r="S571" s="41"/>
      <c r="U571" s="4"/>
      <c r="V571" s="4"/>
    </row>
    <row r="572" spans="1:22" ht="14.4">
      <c r="A572" s="34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41"/>
      <c r="P572" s="41"/>
      <c r="Q572" s="41"/>
      <c r="R572" s="41"/>
      <c r="S572" s="41"/>
      <c r="U572" s="4"/>
      <c r="V572" s="4"/>
    </row>
    <row r="573" spans="1:22" ht="14.4">
      <c r="A573" s="34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41"/>
      <c r="P573" s="41"/>
      <c r="Q573" s="41"/>
      <c r="R573" s="41"/>
      <c r="S573" s="41"/>
      <c r="U573" s="4"/>
      <c r="V573" s="4"/>
    </row>
    <row r="574" spans="1:22" ht="14.4">
      <c r="A574" s="34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41"/>
      <c r="P574" s="41"/>
      <c r="Q574" s="41"/>
      <c r="R574" s="41"/>
      <c r="S574" s="41"/>
      <c r="U574" s="4"/>
      <c r="V574" s="4"/>
    </row>
    <row r="575" spans="1:22" ht="14.4">
      <c r="A575" s="34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41"/>
      <c r="P575" s="41"/>
      <c r="Q575" s="41"/>
      <c r="R575" s="41"/>
      <c r="S575" s="41"/>
      <c r="U575" s="4"/>
      <c r="V575" s="4"/>
    </row>
    <row r="576" spans="1:22" ht="14.4">
      <c r="A576" s="34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41"/>
      <c r="P576" s="41"/>
      <c r="Q576" s="41"/>
      <c r="R576" s="41"/>
      <c r="S576" s="41"/>
      <c r="U576" s="4"/>
      <c r="V576" s="4"/>
    </row>
    <row r="577" spans="1:22" ht="14.4">
      <c r="A577" s="34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41"/>
      <c r="P577" s="41"/>
      <c r="Q577" s="41"/>
      <c r="R577" s="41"/>
      <c r="S577" s="41"/>
      <c r="U577" s="4"/>
      <c r="V577" s="4"/>
    </row>
    <row r="578" spans="1:22" ht="14.4">
      <c r="A578" s="34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41"/>
      <c r="P578" s="41"/>
      <c r="Q578" s="41"/>
      <c r="R578" s="41"/>
      <c r="S578" s="41"/>
      <c r="U578" s="4"/>
      <c r="V578" s="4"/>
    </row>
    <row r="579" spans="1:22" ht="14.4">
      <c r="A579" s="34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41"/>
      <c r="P579" s="41"/>
      <c r="Q579" s="41"/>
      <c r="R579" s="41"/>
      <c r="S579" s="41"/>
      <c r="U579" s="4"/>
      <c r="V579" s="4"/>
    </row>
    <row r="580" spans="1:22" ht="14.4">
      <c r="A580" s="34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41"/>
      <c r="P580" s="41"/>
      <c r="Q580" s="41"/>
      <c r="R580" s="41"/>
      <c r="S580" s="41"/>
      <c r="U580" s="4"/>
      <c r="V580" s="4"/>
    </row>
    <row r="581" spans="1:22" ht="14.4">
      <c r="A581" s="34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41"/>
      <c r="P581" s="41"/>
      <c r="Q581" s="41"/>
      <c r="R581" s="41"/>
      <c r="S581" s="41"/>
      <c r="U581" s="4"/>
      <c r="V581" s="4"/>
    </row>
    <row r="582" spans="1:22" ht="14.4">
      <c r="A582" s="34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41"/>
      <c r="P582" s="41"/>
      <c r="Q582" s="41"/>
      <c r="R582" s="41"/>
      <c r="S582" s="41"/>
      <c r="U582" s="4"/>
      <c r="V582" s="4"/>
    </row>
    <row r="583" spans="1:22" ht="14.4">
      <c r="A583" s="34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41"/>
      <c r="P583" s="41"/>
      <c r="Q583" s="41"/>
      <c r="R583" s="41"/>
      <c r="S583" s="41"/>
      <c r="U583" s="4"/>
      <c r="V583" s="4"/>
    </row>
    <row r="584" spans="1:22" ht="14.4">
      <c r="A584" s="34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41"/>
      <c r="P584" s="41"/>
      <c r="Q584" s="41"/>
      <c r="R584" s="41"/>
      <c r="S584" s="41"/>
      <c r="U584" s="4"/>
      <c r="V584" s="4"/>
    </row>
    <row r="585" spans="1:22" ht="14.4">
      <c r="A585" s="34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41"/>
      <c r="P585" s="41"/>
      <c r="Q585" s="41"/>
      <c r="R585" s="41"/>
      <c r="S585" s="41"/>
      <c r="U585" s="4"/>
      <c r="V585" s="4"/>
    </row>
    <row r="586" spans="1:22" ht="14.4">
      <c r="A586" s="34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41"/>
      <c r="P586" s="41"/>
      <c r="Q586" s="41"/>
      <c r="R586" s="41"/>
      <c r="S586" s="41"/>
      <c r="U586" s="4"/>
      <c r="V586" s="4"/>
    </row>
    <row r="587" spans="1:22" ht="14.4">
      <c r="A587" s="34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41"/>
      <c r="P587" s="41"/>
      <c r="Q587" s="41"/>
      <c r="R587" s="41"/>
      <c r="S587" s="41"/>
      <c r="U587" s="4"/>
      <c r="V587" s="4"/>
    </row>
    <row r="588" spans="1:22" ht="14.4">
      <c r="A588" s="34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41"/>
      <c r="P588" s="41"/>
      <c r="Q588" s="41"/>
      <c r="R588" s="41"/>
      <c r="S588" s="41"/>
      <c r="U588" s="4"/>
      <c r="V588" s="4"/>
    </row>
    <row r="589" spans="1:22" ht="14.4">
      <c r="A589" s="34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41"/>
      <c r="P589" s="41"/>
      <c r="Q589" s="41"/>
      <c r="R589" s="41"/>
      <c r="S589" s="41"/>
      <c r="U589" s="4"/>
      <c r="V589" s="4"/>
    </row>
    <row r="590" spans="1:22" ht="14.4">
      <c r="A590" s="34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41"/>
      <c r="P590" s="41"/>
      <c r="Q590" s="41"/>
      <c r="R590" s="41"/>
      <c r="S590" s="41"/>
      <c r="U590" s="4"/>
      <c r="V590" s="4"/>
    </row>
    <row r="591" spans="1:22" ht="14.4">
      <c r="A591" s="34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41"/>
      <c r="P591" s="41"/>
      <c r="Q591" s="41"/>
      <c r="R591" s="41"/>
      <c r="S591" s="41"/>
      <c r="U591" s="4"/>
      <c r="V591" s="4"/>
    </row>
    <row r="592" spans="1:22" ht="14.4">
      <c r="A592" s="34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41"/>
      <c r="P592" s="41"/>
      <c r="Q592" s="41"/>
      <c r="R592" s="41"/>
      <c r="S592" s="41"/>
      <c r="U592" s="4"/>
      <c r="V592" s="4"/>
    </row>
    <row r="593" spans="1:22" ht="14.4">
      <c r="A593" s="34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41"/>
      <c r="P593" s="41"/>
      <c r="Q593" s="41"/>
      <c r="R593" s="41"/>
      <c r="S593" s="41"/>
      <c r="U593" s="4"/>
      <c r="V593" s="4"/>
    </row>
    <row r="594" spans="1:22" ht="14.4">
      <c r="A594" s="34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41"/>
      <c r="P594" s="41"/>
      <c r="Q594" s="41"/>
      <c r="R594" s="41"/>
      <c r="S594" s="41"/>
      <c r="U594" s="4"/>
      <c r="V594" s="4"/>
    </row>
    <row r="595" spans="1:22" ht="14.4">
      <c r="A595" s="34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41"/>
      <c r="P595" s="41"/>
      <c r="Q595" s="41"/>
      <c r="R595" s="41"/>
      <c r="S595" s="41"/>
      <c r="U595" s="4"/>
      <c r="V595" s="4"/>
    </row>
    <row r="596" spans="1:22" ht="14.4">
      <c r="A596" s="34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41"/>
      <c r="P596" s="41"/>
      <c r="Q596" s="41"/>
      <c r="R596" s="41"/>
      <c r="S596" s="41"/>
      <c r="U596" s="4"/>
      <c r="V596" s="4"/>
    </row>
    <row r="597" spans="1:22" ht="14.4">
      <c r="A597" s="34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41"/>
      <c r="P597" s="41"/>
      <c r="Q597" s="41"/>
      <c r="R597" s="41"/>
      <c r="S597" s="41"/>
      <c r="U597" s="4"/>
      <c r="V597" s="4"/>
    </row>
    <row r="598" spans="1:22" ht="14.4">
      <c r="A598" s="34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41"/>
      <c r="P598" s="41"/>
      <c r="Q598" s="41"/>
      <c r="R598" s="41"/>
      <c r="S598" s="41"/>
      <c r="U598" s="4"/>
      <c r="V598" s="4"/>
    </row>
    <row r="599" spans="1:22" ht="14.4">
      <c r="A599" s="34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41"/>
      <c r="P599" s="41"/>
      <c r="Q599" s="41"/>
      <c r="R599" s="41"/>
      <c r="S599" s="41"/>
      <c r="U599" s="4"/>
      <c r="V599" s="4"/>
    </row>
    <row r="600" spans="1:22" ht="14.4">
      <c r="A600" s="34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41"/>
      <c r="P600" s="41"/>
      <c r="Q600" s="41"/>
      <c r="R600" s="41"/>
      <c r="S600" s="41"/>
      <c r="U600" s="4"/>
      <c r="V600" s="4"/>
    </row>
    <row r="601" spans="1:22" ht="14.4">
      <c r="A601" s="34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41"/>
      <c r="P601" s="41"/>
      <c r="Q601" s="41"/>
      <c r="R601" s="41"/>
      <c r="S601" s="41"/>
      <c r="U601" s="4"/>
      <c r="V601" s="4"/>
    </row>
    <row r="602" spans="1:22" ht="14.4">
      <c r="A602" s="34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41"/>
      <c r="P602" s="41"/>
      <c r="Q602" s="41"/>
      <c r="R602" s="41"/>
      <c r="S602" s="41"/>
      <c r="U602" s="4"/>
      <c r="V602" s="4"/>
    </row>
    <row r="603" spans="1:22" ht="14.4">
      <c r="A603" s="34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41"/>
      <c r="P603" s="41"/>
      <c r="Q603" s="41"/>
      <c r="R603" s="41"/>
      <c r="S603" s="41"/>
      <c r="U603" s="4"/>
      <c r="V603" s="4"/>
    </row>
    <row r="604" spans="1:22" ht="14.4">
      <c r="A604" s="34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41"/>
      <c r="P604" s="41"/>
      <c r="Q604" s="41"/>
      <c r="R604" s="41"/>
      <c r="S604" s="41"/>
      <c r="U604" s="4"/>
      <c r="V604" s="4"/>
    </row>
    <row r="605" spans="1:22" ht="14.4">
      <c r="A605" s="34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41"/>
      <c r="P605" s="41"/>
      <c r="Q605" s="41"/>
      <c r="R605" s="41"/>
      <c r="S605" s="41"/>
      <c r="U605" s="4"/>
      <c r="V605" s="4"/>
    </row>
    <row r="606" spans="1:22" ht="14.4">
      <c r="A606" s="34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41"/>
      <c r="P606" s="41"/>
      <c r="Q606" s="41"/>
      <c r="R606" s="41"/>
      <c r="S606" s="41"/>
      <c r="U606" s="4"/>
      <c r="V606" s="4"/>
    </row>
    <row r="607" spans="1:22" ht="14.4">
      <c r="A607" s="34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41"/>
      <c r="P607" s="41"/>
      <c r="Q607" s="41"/>
      <c r="R607" s="41"/>
      <c r="S607" s="41"/>
      <c r="U607" s="4"/>
      <c r="V607" s="4"/>
    </row>
    <row r="608" spans="1:22" ht="14.4">
      <c r="A608" s="34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41"/>
      <c r="P608" s="41"/>
      <c r="Q608" s="41"/>
      <c r="R608" s="41"/>
      <c r="S608" s="41"/>
      <c r="U608" s="4"/>
      <c r="V608" s="4"/>
    </row>
    <row r="609" spans="1:22" ht="14.4">
      <c r="A609" s="34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41"/>
      <c r="P609" s="41"/>
      <c r="Q609" s="41"/>
      <c r="R609" s="41"/>
      <c r="S609" s="41"/>
      <c r="U609" s="4"/>
      <c r="V609" s="4"/>
    </row>
    <row r="610" spans="1:22" ht="14.4">
      <c r="A610" s="34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41"/>
      <c r="P610" s="41"/>
      <c r="Q610" s="41"/>
      <c r="R610" s="41"/>
      <c r="S610" s="41"/>
      <c r="U610" s="4"/>
      <c r="V610" s="4"/>
    </row>
    <row r="611" spans="1:22" ht="14.4">
      <c r="A611" s="34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41"/>
      <c r="P611" s="41"/>
      <c r="Q611" s="41"/>
      <c r="R611" s="41"/>
      <c r="S611" s="41"/>
      <c r="U611" s="4"/>
      <c r="V611" s="4"/>
    </row>
    <row r="612" spans="1:22" ht="14.4">
      <c r="A612" s="34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41"/>
      <c r="P612" s="41"/>
      <c r="Q612" s="41"/>
      <c r="R612" s="41"/>
      <c r="S612" s="41"/>
      <c r="U612" s="4"/>
      <c r="V612" s="4"/>
    </row>
    <row r="613" spans="1:22" ht="14.4">
      <c r="A613" s="34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41"/>
      <c r="P613" s="41"/>
      <c r="Q613" s="41"/>
      <c r="R613" s="41"/>
      <c r="S613" s="41"/>
      <c r="U613" s="4"/>
      <c r="V613" s="4"/>
    </row>
    <row r="614" spans="1:22" ht="14.4">
      <c r="A614" s="34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41"/>
      <c r="P614" s="41"/>
      <c r="Q614" s="41"/>
      <c r="R614" s="41"/>
      <c r="S614" s="41"/>
      <c r="U614" s="4"/>
      <c r="V614" s="4"/>
    </row>
    <row r="615" spans="1:22" ht="14.4">
      <c r="A615" s="34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41"/>
      <c r="P615" s="41"/>
      <c r="Q615" s="41"/>
      <c r="R615" s="41"/>
      <c r="S615" s="41"/>
      <c r="U615" s="4"/>
      <c r="V615" s="4"/>
    </row>
    <row r="616" spans="1:22" ht="14.4">
      <c r="A616" s="34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41"/>
      <c r="P616" s="41"/>
      <c r="Q616" s="41"/>
      <c r="R616" s="41"/>
      <c r="S616" s="41"/>
      <c r="U616" s="4"/>
      <c r="V616" s="4"/>
    </row>
    <row r="617" spans="1:22" ht="14.4">
      <c r="A617" s="34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41"/>
      <c r="P617" s="41"/>
      <c r="Q617" s="41"/>
      <c r="R617" s="41"/>
      <c r="S617" s="41"/>
      <c r="U617" s="4"/>
      <c r="V617" s="4"/>
    </row>
    <row r="618" spans="1:22" ht="14.4">
      <c r="A618" s="34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41"/>
      <c r="P618" s="41"/>
      <c r="Q618" s="41"/>
      <c r="R618" s="41"/>
      <c r="S618" s="41"/>
      <c r="U618" s="4"/>
      <c r="V618" s="4"/>
    </row>
    <row r="619" spans="1:22" ht="14.4">
      <c r="A619" s="34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41"/>
      <c r="P619" s="41"/>
      <c r="Q619" s="41"/>
      <c r="R619" s="41"/>
      <c r="S619" s="41"/>
      <c r="U619" s="4"/>
      <c r="V619" s="4"/>
    </row>
    <row r="620" spans="1:22" ht="14.4">
      <c r="A620" s="34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41"/>
      <c r="P620" s="41"/>
      <c r="Q620" s="41"/>
      <c r="R620" s="41"/>
      <c r="S620" s="41"/>
      <c r="U620" s="4"/>
      <c r="V620" s="4"/>
    </row>
    <row r="621" spans="1:22" ht="14.4">
      <c r="A621" s="34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41"/>
      <c r="P621" s="41"/>
      <c r="Q621" s="41"/>
      <c r="R621" s="41"/>
      <c r="S621" s="41"/>
      <c r="U621" s="4"/>
      <c r="V621" s="4"/>
    </row>
    <row r="622" spans="1:22" ht="14.4">
      <c r="A622" s="34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41"/>
      <c r="P622" s="41"/>
      <c r="Q622" s="41"/>
      <c r="R622" s="41"/>
      <c r="S622" s="41"/>
      <c r="U622" s="4"/>
      <c r="V622" s="4"/>
    </row>
    <row r="623" spans="1:22" ht="14.4">
      <c r="A623" s="34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41"/>
      <c r="P623" s="41"/>
      <c r="Q623" s="41"/>
      <c r="R623" s="41"/>
      <c r="S623" s="41"/>
      <c r="U623" s="4"/>
      <c r="V623" s="4"/>
    </row>
    <row r="624" spans="1:22" ht="14.4">
      <c r="A624" s="34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41"/>
      <c r="P624" s="41"/>
      <c r="Q624" s="41"/>
      <c r="R624" s="41"/>
      <c r="S624" s="41"/>
      <c r="U624" s="4"/>
      <c r="V624" s="4"/>
    </row>
    <row r="625" spans="1:22" ht="14.4">
      <c r="A625" s="34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41"/>
      <c r="P625" s="41"/>
      <c r="Q625" s="41"/>
      <c r="R625" s="41"/>
      <c r="S625" s="41"/>
      <c r="U625" s="4"/>
      <c r="V625" s="4"/>
    </row>
    <row r="626" spans="1:22" ht="14.4">
      <c r="A626" s="34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41"/>
      <c r="P626" s="41"/>
      <c r="Q626" s="41"/>
      <c r="R626" s="41"/>
      <c r="S626" s="41"/>
      <c r="U626" s="4"/>
      <c r="V626" s="4"/>
    </row>
    <row r="627" spans="1:22" ht="14.4">
      <c r="A627" s="34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41"/>
      <c r="P627" s="41"/>
      <c r="Q627" s="41"/>
      <c r="R627" s="41"/>
      <c r="S627" s="41"/>
      <c r="U627" s="4"/>
      <c r="V627" s="4"/>
    </row>
    <row r="628" spans="1:22" ht="14.4">
      <c r="A628" s="34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41"/>
      <c r="P628" s="41"/>
      <c r="Q628" s="41"/>
      <c r="R628" s="41"/>
      <c r="S628" s="41"/>
      <c r="U628" s="4"/>
      <c r="V628" s="4"/>
    </row>
    <row r="629" spans="1:22" ht="14.4">
      <c r="A629" s="34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41"/>
      <c r="P629" s="41"/>
      <c r="Q629" s="41"/>
      <c r="R629" s="41"/>
      <c r="S629" s="41"/>
      <c r="U629" s="4"/>
      <c r="V629" s="4"/>
    </row>
    <row r="630" spans="1:22" ht="14.4">
      <c r="A630" s="34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41"/>
      <c r="P630" s="41"/>
      <c r="Q630" s="41"/>
      <c r="R630" s="41"/>
      <c r="S630" s="41"/>
      <c r="U630" s="4"/>
      <c r="V630" s="4"/>
    </row>
    <row r="631" spans="1:22" ht="14.4">
      <c r="A631" s="34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41"/>
      <c r="P631" s="41"/>
      <c r="Q631" s="41"/>
      <c r="R631" s="41"/>
      <c r="S631" s="41"/>
      <c r="U631" s="4"/>
      <c r="V631" s="4"/>
    </row>
    <row r="632" spans="1:22" ht="14.4">
      <c r="A632" s="34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41"/>
      <c r="P632" s="41"/>
      <c r="Q632" s="41"/>
      <c r="R632" s="41"/>
      <c r="S632" s="41"/>
      <c r="U632" s="4"/>
      <c r="V632" s="4"/>
    </row>
    <row r="633" spans="1:22" ht="14.4">
      <c r="A633" s="34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41"/>
      <c r="P633" s="41"/>
      <c r="Q633" s="41"/>
      <c r="R633" s="41"/>
      <c r="S633" s="41"/>
      <c r="U633" s="4"/>
      <c r="V633" s="4"/>
    </row>
    <row r="634" spans="1:22" ht="14.4">
      <c r="A634" s="34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41"/>
      <c r="P634" s="41"/>
      <c r="Q634" s="41"/>
      <c r="R634" s="41"/>
      <c r="S634" s="41"/>
      <c r="U634" s="4"/>
      <c r="V634" s="4"/>
    </row>
    <row r="635" spans="1:22" ht="14.4">
      <c r="A635" s="34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41"/>
      <c r="P635" s="41"/>
      <c r="Q635" s="41"/>
      <c r="R635" s="41"/>
      <c r="S635" s="41"/>
      <c r="U635" s="4"/>
      <c r="V635" s="4"/>
    </row>
    <row r="636" spans="1:22" ht="14.4">
      <c r="A636" s="34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41"/>
      <c r="P636" s="41"/>
      <c r="Q636" s="41"/>
      <c r="R636" s="41"/>
      <c r="S636" s="41"/>
      <c r="U636" s="4"/>
      <c r="V636" s="4"/>
    </row>
    <row r="637" spans="1:22" ht="14.4">
      <c r="A637" s="34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41"/>
      <c r="P637" s="41"/>
      <c r="Q637" s="41"/>
      <c r="R637" s="41"/>
      <c r="S637" s="41"/>
      <c r="U637" s="4"/>
      <c r="V637" s="4"/>
    </row>
    <row r="638" spans="1:22" ht="14.4">
      <c r="A638" s="34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41"/>
      <c r="P638" s="41"/>
      <c r="Q638" s="41"/>
      <c r="R638" s="41"/>
      <c r="S638" s="41"/>
      <c r="U638" s="4"/>
      <c r="V638" s="4"/>
    </row>
    <row r="639" spans="1:22" ht="14.4">
      <c r="A639" s="34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41"/>
      <c r="P639" s="41"/>
      <c r="Q639" s="41"/>
      <c r="R639" s="41"/>
      <c r="S639" s="41"/>
      <c r="U639" s="4"/>
      <c r="V639" s="4"/>
    </row>
    <row r="640" spans="1:22" ht="14.4">
      <c r="A640" s="34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41"/>
      <c r="P640" s="41"/>
      <c r="Q640" s="41"/>
      <c r="R640" s="41"/>
      <c r="S640" s="41"/>
      <c r="U640" s="4"/>
      <c r="V640" s="4"/>
    </row>
    <row r="641" spans="1:22" ht="14.4">
      <c r="A641" s="34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41"/>
      <c r="P641" s="41"/>
      <c r="Q641" s="41"/>
      <c r="R641" s="41"/>
      <c r="S641" s="41"/>
      <c r="U641" s="4"/>
      <c r="V641" s="4"/>
    </row>
    <row r="642" spans="1:22" ht="14.4">
      <c r="A642" s="34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41"/>
      <c r="P642" s="41"/>
      <c r="Q642" s="41"/>
      <c r="R642" s="41"/>
      <c r="S642" s="41"/>
      <c r="U642" s="4"/>
      <c r="V642" s="4"/>
    </row>
    <row r="643" spans="1:22" ht="14.4">
      <c r="A643" s="34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41"/>
      <c r="P643" s="41"/>
      <c r="Q643" s="41"/>
      <c r="R643" s="41"/>
      <c r="S643" s="41"/>
      <c r="U643" s="4"/>
      <c r="V643" s="4"/>
    </row>
    <row r="644" spans="1:22" ht="14.4">
      <c r="A644" s="34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41"/>
      <c r="P644" s="41"/>
      <c r="Q644" s="41"/>
      <c r="R644" s="41"/>
      <c r="S644" s="41"/>
      <c r="U644" s="4"/>
      <c r="V644" s="4"/>
    </row>
    <row r="645" spans="1:22" ht="14.4">
      <c r="A645" s="34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41"/>
      <c r="P645" s="41"/>
      <c r="Q645" s="41"/>
      <c r="R645" s="41"/>
      <c r="S645" s="41"/>
      <c r="U645" s="4"/>
      <c r="V645" s="4"/>
    </row>
    <row r="646" spans="1:22" ht="14.4">
      <c r="A646" s="34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41"/>
      <c r="P646" s="41"/>
      <c r="Q646" s="41"/>
      <c r="R646" s="41"/>
      <c r="S646" s="41"/>
      <c r="U646" s="4"/>
      <c r="V646" s="4"/>
    </row>
    <row r="647" spans="1:22" ht="14.4">
      <c r="A647" s="34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41"/>
      <c r="P647" s="41"/>
      <c r="Q647" s="41"/>
      <c r="R647" s="41"/>
      <c r="S647" s="41"/>
      <c r="U647" s="4"/>
      <c r="V647" s="4"/>
    </row>
    <row r="648" spans="1:22" ht="14.4">
      <c r="A648" s="34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41"/>
      <c r="P648" s="41"/>
      <c r="Q648" s="41"/>
      <c r="R648" s="41"/>
      <c r="S648" s="41"/>
      <c r="U648" s="4"/>
      <c r="V648" s="4"/>
    </row>
    <row r="649" spans="1:22" ht="14.4">
      <c r="A649" s="34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41"/>
      <c r="P649" s="41"/>
      <c r="Q649" s="41"/>
      <c r="R649" s="41"/>
      <c r="S649" s="41"/>
      <c r="U649" s="4"/>
      <c r="V649" s="4"/>
    </row>
    <row r="650" spans="1:22" ht="14.4">
      <c r="A650" s="34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41"/>
      <c r="P650" s="41"/>
      <c r="Q650" s="41"/>
      <c r="R650" s="41"/>
      <c r="S650" s="41"/>
      <c r="U650" s="4"/>
      <c r="V650" s="4"/>
    </row>
    <row r="651" spans="1:22" ht="14.4">
      <c r="A651" s="34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41"/>
      <c r="P651" s="41"/>
      <c r="Q651" s="41"/>
      <c r="R651" s="41"/>
      <c r="S651" s="41"/>
      <c r="U651" s="4"/>
      <c r="V651" s="4"/>
    </row>
    <row r="652" spans="1:22" ht="14.4">
      <c r="A652" s="34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41"/>
      <c r="P652" s="41"/>
      <c r="Q652" s="41"/>
      <c r="R652" s="41"/>
      <c r="S652" s="41"/>
      <c r="U652" s="4"/>
      <c r="V652" s="4"/>
    </row>
    <row r="653" spans="1:22" ht="14.4">
      <c r="A653" s="34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41"/>
      <c r="P653" s="41"/>
      <c r="Q653" s="41"/>
      <c r="R653" s="41"/>
      <c r="S653" s="41"/>
      <c r="U653" s="4"/>
      <c r="V653" s="4"/>
    </row>
    <row r="654" spans="1:22" ht="14.4">
      <c r="A654" s="34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41"/>
      <c r="P654" s="41"/>
      <c r="Q654" s="41"/>
      <c r="R654" s="41"/>
      <c r="S654" s="41"/>
      <c r="U654" s="4"/>
      <c r="V654" s="4"/>
    </row>
    <row r="655" spans="1:22" ht="14.4">
      <c r="A655" s="34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41"/>
      <c r="P655" s="41"/>
      <c r="Q655" s="41"/>
      <c r="R655" s="41"/>
      <c r="S655" s="41"/>
      <c r="U655" s="4"/>
      <c r="V655" s="4"/>
    </row>
    <row r="656" spans="1:22" ht="14.4">
      <c r="A656" s="34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41"/>
      <c r="P656" s="41"/>
      <c r="Q656" s="41"/>
      <c r="R656" s="41"/>
      <c r="S656" s="41"/>
      <c r="U656" s="4"/>
      <c r="V656" s="4"/>
    </row>
    <row r="657" spans="1:22" ht="14.4">
      <c r="A657" s="34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41"/>
      <c r="P657" s="41"/>
      <c r="Q657" s="41"/>
      <c r="R657" s="41"/>
      <c r="S657" s="41"/>
      <c r="U657" s="4"/>
      <c r="V657" s="4"/>
    </row>
    <row r="658" spans="1:22" ht="14.4">
      <c r="A658" s="34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41"/>
      <c r="P658" s="41"/>
      <c r="Q658" s="41"/>
      <c r="R658" s="41"/>
      <c r="S658" s="41"/>
      <c r="U658" s="4"/>
      <c r="V658" s="4"/>
    </row>
    <row r="659" spans="1:22" ht="14.4">
      <c r="A659" s="34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41"/>
      <c r="P659" s="41"/>
      <c r="Q659" s="41"/>
      <c r="R659" s="41"/>
      <c r="S659" s="41"/>
      <c r="U659" s="4"/>
      <c r="V659" s="4"/>
    </row>
    <row r="660" spans="1:22" ht="14.4">
      <c r="A660" s="34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41"/>
      <c r="P660" s="41"/>
      <c r="Q660" s="41"/>
      <c r="R660" s="41"/>
      <c r="S660" s="41"/>
      <c r="U660" s="4"/>
      <c r="V660" s="4"/>
    </row>
    <row r="661" spans="1:22" ht="14.4">
      <c r="A661" s="34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41"/>
      <c r="P661" s="41"/>
      <c r="Q661" s="41"/>
      <c r="R661" s="41"/>
      <c r="S661" s="41"/>
      <c r="U661" s="4"/>
      <c r="V661" s="4"/>
    </row>
    <row r="662" spans="1:22" ht="14.4">
      <c r="A662" s="34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41"/>
      <c r="P662" s="41"/>
      <c r="Q662" s="41"/>
      <c r="R662" s="41"/>
      <c r="S662" s="41"/>
      <c r="U662" s="4"/>
      <c r="V662" s="4"/>
    </row>
    <row r="663" spans="1:22" ht="14.4">
      <c r="A663" s="34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41"/>
      <c r="P663" s="41"/>
      <c r="Q663" s="41"/>
      <c r="R663" s="41"/>
      <c r="S663" s="41"/>
      <c r="U663" s="4"/>
      <c r="V663" s="4"/>
    </row>
    <row r="664" spans="1:22" ht="14.4">
      <c r="A664" s="34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41"/>
      <c r="P664" s="41"/>
      <c r="Q664" s="41"/>
      <c r="R664" s="41"/>
      <c r="S664" s="41"/>
      <c r="U664" s="4"/>
      <c r="V664" s="4"/>
    </row>
    <row r="665" spans="1:22" ht="14.4">
      <c r="A665" s="34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41"/>
      <c r="P665" s="41"/>
      <c r="Q665" s="41"/>
      <c r="R665" s="41"/>
      <c r="S665" s="41"/>
      <c r="U665" s="4"/>
      <c r="V665" s="4"/>
    </row>
    <row r="666" spans="1:22" ht="14.4">
      <c r="A666" s="34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41"/>
      <c r="P666" s="41"/>
      <c r="Q666" s="41"/>
      <c r="R666" s="41"/>
      <c r="S666" s="41"/>
      <c r="U666" s="4"/>
      <c r="V666" s="4"/>
    </row>
    <row r="667" spans="1:22" ht="14.4">
      <c r="A667" s="34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41"/>
      <c r="P667" s="41"/>
      <c r="Q667" s="41"/>
      <c r="R667" s="41"/>
      <c r="S667" s="41"/>
      <c r="U667" s="4"/>
      <c r="V667" s="4"/>
    </row>
    <row r="668" spans="1:22" ht="14.4">
      <c r="A668" s="34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41"/>
      <c r="P668" s="41"/>
      <c r="Q668" s="41"/>
      <c r="R668" s="41"/>
      <c r="S668" s="41"/>
      <c r="U668" s="4"/>
      <c r="V668" s="4"/>
    </row>
    <row r="669" spans="1:22" ht="14.4">
      <c r="A669" s="34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41"/>
      <c r="P669" s="41"/>
      <c r="Q669" s="41"/>
      <c r="R669" s="41"/>
      <c r="S669" s="41"/>
      <c r="U669" s="4"/>
      <c r="V669" s="4"/>
    </row>
    <row r="670" spans="1:22" ht="14.4">
      <c r="A670" s="34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41"/>
      <c r="P670" s="41"/>
      <c r="Q670" s="41"/>
      <c r="R670" s="41"/>
      <c r="S670" s="41"/>
      <c r="U670" s="4"/>
      <c r="V670" s="4"/>
    </row>
    <row r="671" spans="1:22" ht="14.4">
      <c r="A671" s="34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41"/>
      <c r="P671" s="41"/>
      <c r="Q671" s="41"/>
      <c r="R671" s="41"/>
      <c r="S671" s="41"/>
      <c r="U671" s="4"/>
      <c r="V671" s="4"/>
    </row>
    <row r="672" spans="1:22" ht="14.4">
      <c r="A672" s="34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41"/>
      <c r="P672" s="41"/>
      <c r="Q672" s="41"/>
      <c r="R672" s="41"/>
      <c r="S672" s="41"/>
      <c r="U672" s="4"/>
      <c r="V672" s="4"/>
    </row>
    <row r="673" spans="1:22" ht="14.4">
      <c r="A673" s="34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41"/>
      <c r="P673" s="41"/>
      <c r="Q673" s="41"/>
      <c r="R673" s="41"/>
      <c r="S673" s="41"/>
      <c r="U673" s="4"/>
      <c r="V673" s="4"/>
    </row>
    <row r="674" spans="1:22" ht="14.4">
      <c r="A674" s="34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41"/>
      <c r="P674" s="41"/>
      <c r="Q674" s="41"/>
      <c r="R674" s="41"/>
      <c r="S674" s="41"/>
      <c r="U674" s="4"/>
      <c r="V674" s="4"/>
    </row>
    <row r="675" spans="1:22" ht="14.4">
      <c r="A675" s="34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41"/>
      <c r="P675" s="41"/>
      <c r="Q675" s="41"/>
      <c r="R675" s="41"/>
      <c r="S675" s="41"/>
      <c r="U675" s="4"/>
      <c r="V675" s="4"/>
    </row>
    <row r="676" spans="1:22" ht="14.4">
      <c r="A676" s="34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41"/>
      <c r="P676" s="41"/>
      <c r="Q676" s="41"/>
      <c r="R676" s="41"/>
      <c r="S676" s="41"/>
      <c r="U676" s="4"/>
      <c r="V676" s="4"/>
    </row>
    <row r="677" spans="1:22" ht="14.4">
      <c r="A677" s="34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41"/>
      <c r="P677" s="41"/>
      <c r="Q677" s="41"/>
      <c r="R677" s="41"/>
      <c r="S677" s="41"/>
      <c r="U677" s="4"/>
      <c r="V677" s="4"/>
    </row>
    <row r="678" spans="1:22" ht="14.4">
      <c r="A678" s="34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41"/>
      <c r="P678" s="41"/>
      <c r="Q678" s="41"/>
      <c r="R678" s="41"/>
      <c r="S678" s="41"/>
      <c r="U678" s="4"/>
      <c r="V678" s="4"/>
    </row>
    <row r="679" spans="1:22" ht="14.4">
      <c r="A679" s="34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41"/>
      <c r="P679" s="41"/>
      <c r="Q679" s="41"/>
      <c r="R679" s="41"/>
      <c r="S679" s="41"/>
      <c r="U679" s="4"/>
      <c r="V679" s="4"/>
    </row>
    <row r="680" spans="1:22" ht="14.4">
      <c r="A680" s="34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41"/>
      <c r="P680" s="41"/>
      <c r="Q680" s="41"/>
      <c r="R680" s="41"/>
      <c r="S680" s="41"/>
      <c r="U680" s="4"/>
      <c r="V680" s="4"/>
    </row>
    <row r="681" spans="1:22" ht="14.4">
      <c r="A681" s="34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41"/>
      <c r="P681" s="41"/>
      <c r="Q681" s="41"/>
      <c r="R681" s="41"/>
      <c r="S681" s="41"/>
      <c r="U681" s="4"/>
      <c r="V681" s="4"/>
    </row>
    <row r="682" spans="1:22" ht="14.4">
      <c r="A682" s="34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41"/>
      <c r="P682" s="41"/>
      <c r="Q682" s="41"/>
      <c r="R682" s="41"/>
      <c r="S682" s="41"/>
      <c r="U682" s="4"/>
      <c r="V682" s="4"/>
    </row>
    <row r="683" spans="1:22" ht="14.4">
      <c r="A683" s="34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41"/>
      <c r="P683" s="41"/>
      <c r="Q683" s="41"/>
      <c r="R683" s="41"/>
      <c r="S683" s="41"/>
      <c r="U683" s="4"/>
      <c r="V683" s="4"/>
    </row>
    <row r="684" spans="1:22" ht="14.4">
      <c r="A684" s="34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41"/>
      <c r="P684" s="41"/>
      <c r="Q684" s="41"/>
      <c r="R684" s="41"/>
      <c r="S684" s="41"/>
      <c r="U684" s="4"/>
      <c r="V684" s="4"/>
    </row>
    <row r="685" spans="1:22" ht="14.4">
      <c r="A685" s="34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41"/>
      <c r="P685" s="41"/>
      <c r="Q685" s="41"/>
      <c r="R685" s="41"/>
      <c r="S685" s="41"/>
      <c r="U685" s="4"/>
      <c r="V685" s="4"/>
    </row>
    <row r="686" spans="1:22" ht="14.4">
      <c r="A686" s="34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41"/>
      <c r="P686" s="41"/>
      <c r="Q686" s="41"/>
      <c r="R686" s="41"/>
      <c r="S686" s="41"/>
      <c r="U686" s="4"/>
      <c r="V686" s="4"/>
    </row>
    <row r="687" spans="1:22" ht="14.4">
      <c r="A687" s="34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41"/>
      <c r="P687" s="41"/>
      <c r="Q687" s="41"/>
      <c r="R687" s="41"/>
      <c r="S687" s="41"/>
      <c r="U687" s="4"/>
      <c r="V687" s="4"/>
    </row>
    <row r="688" spans="1:22" ht="14.4">
      <c r="A688" s="34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41"/>
      <c r="P688" s="41"/>
      <c r="Q688" s="41"/>
      <c r="R688" s="41"/>
      <c r="S688" s="41"/>
      <c r="U688" s="4"/>
      <c r="V688" s="4"/>
    </row>
    <row r="689" spans="1:22" ht="14.4">
      <c r="A689" s="34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41"/>
      <c r="P689" s="41"/>
      <c r="Q689" s="41"/>
      <c r="R689" s="41"/>
      <c r="S689" s="41"/>
      <c r="U689" s="4"/>
      <c r="V689" s="4"/>
    </row>
    <row r="690" spans="1:22" ht="14.4">
      <c r="A690" s="34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41"/>
      <c r="P690" s="41"/>
      <c r="Q690" s="41"/>
      <c r="R690" s="41"/>
      <c r="S690" s="41"/>
      <c r="U690" s="4"/>
      <c r="V690" s="4"/>
    </row>
    <row r="691" spans="1:22" ht="14.4">
      <c r="A691" s="34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41"/>
      <c r="P691" s="41"/>
      <c r="Q691" s="41"/>
      <c r="R691" s="41"/>
      <c r="S691" s="41"/>
      <c r="U691" s="4"/>
      <c r="V691" s="4"/>
    </row>
    <row r="692" spans="1:22" ht="14.4">
      <c r="A692" s="34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41"/>
      <c r="P692" s="41"/>
      <c r="Q692" s="41"/>
      <c r="R692" s="41"/>
      <c r="S692" s="41"/>
      <c r="U692" s="4"/>
      <c r="V692" s="4"/>
    </row>
    <row r="693" spans="1:22" ht="14.4">
      <c r="A693" s="34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41"/>
      <c r="P693" s="41"/>
      <c r="Q693" s="41"/>
      <c r="R693" s="41"/>
      <c r="S693" s="41"/>
      <c r="U693" s="4"/>
      <c r="V693" s="4"/>
    </row>
    <row r="694" spans="1:22" ht="14.4">
      <c r="A694" s="34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41"/>
      <c r="P694" s="41"/>
      <c r="Q694" s="41"/>
      <c r="R694" s="41"/>
      <c r="S694" s="41"/>
      <c r="U694" s="4"/>
      <c r="V694" s="4"/>
    </row>
    <row r="695" spans="1:22" ht="14.4">
      <c r="A695" s="34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41"/>
      <c r="P695" s="41"/>
      <c r="Q695" s="41"/>
      <c r="R695" s="41"/>
      <c r="S695" s="41"/>
      <c r="U695" s="4"/>
      <c r="V695" s="4"/>
    </row>
    <row r="696" spans="1:22" ht="14.4">
      <c r="A696" s="34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41"/>
      <c r="P696" s="41"/>
      <c r="Q696" s="41"/>
      <c r="R696" s="41"/>
      <c r="S696" s="41"/>
      <c r="U696" s="4"/>
      <c r="V696" s="4"/>
    </row>
    <row r="697" spans="1:22" ht="14.4">
      <c r="A697" s="34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41"/>
      <c r="P697" s="41"/>
      <c r="Q697" s="41"/>
      <c r="R697" s="41"/>
      <c r="S697" s="41"/>
      <c r="U697" s="4"/>
      <c r="V697" s="4"/>
    </row>
    <row r="698" spans="1:22" ht="14.4">
      <c r="A698" s="34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41"/>
      <c r="P698" s="41"/>
      <c r="Q698" s="41"/>
      <c r="R698" s="41"/>
      <c r="S698" s="41"/>
      <c r="U698" s="4"/>
      <c r="V698" s="4"/>
    </row>
    <row r="699" spans="1:22" ht="14.4">
      <c r="A699" s="34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41"/>
      <c r="P699" s="41"/>
      <c r="Q699" s="41"/>
      <c r="R699" s="41"/>
      <c r="S699" s="41"/>
      <c r="U699" s="4"/>
      <c r="V699" s="4"/>
    </row>
    <row r="700" spans="1:22" ht="14.4">
      <c r="A700" s="34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41"/>
      <c r="P700" s="41"/>
      <c r="Q700" s="41"/>
      <c r="R700" s="41"/>
      <c r="S700" s="41"/>
      <c r="U700" s="4"/>
      <c r="V700" s="4"/>
    </row>
    <row r="701" spans="1:22" ht="14.4">
      <c r="A701" s="34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41"/>
      <c r="P701" s="41"/>
      <c r="Q701" s="41"/>
      <c r="R701" s="41"/>
      <c r="S701" s="41"/>
      <c r="U701" s="4"/>
      <c r="V701" s="4"/>
    </row>
    <row r="702" spans="1:22" ht="14.4">
      <c r="A702" s="34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41"/>
      <c r="P702" s="41"/>
      <c r="Q702" s="41"/>
      <c r="R702" s="41"/>
      <c r="S702" s="41"/>
      <c r="U702" s="4"/>
      <c r="V702" s="4"/>
    </row>
    <row r="703" spans="1:22" ht="14.4">
      <c r="A703" s="34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41"/>
      <c r="P703" s="41"/>
      <c r="Q703" s="41"/>
      <c r="R703" s="41"/>
      <c r="S703" s="41"/>
      <c r="U703" s="4"/>
      <c r="V703" s="4"/>
    </row>
    <row r="704" spans="1:22" ht="14.4">
      <c r="A704" s="34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41"/>
      <c r="P704" s="41"/>
      <c r="Q704" s="41"/>
      <c r="R704" s="41"/>
      <c r="S704" s="41"/>
      <c r="U704" s="4"/>
      <c r="V704" s="4"/>
    </row>
    <row r="705" spans="1:22" ht="14.4">
      <c r="A705" s="34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41"/>
      <c r="P705" s="41"/>
      <c r="Q705" s="41"/>
      <c r="R705" s="41"/>
      <c r="S705" s="41"/>
      <c r="U705" s="4"/>
      <c r="V705" s="4"/>
    </row>
    <row r="706" spans="1:22" ht="14.4">
      <c r="A706" s="34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41"/>
      <c r="P706" s="41"/>
      <c r="Q706" s="41"/>
      <c r="R706" s="41"/>
      <c r="S706" s="41"/>
      <c r="U706" s="4"/>
      <c r="V706" s="4"/>
    </row>
    <row r="707" spans="1:22" ht="14.4">
      <c r="A707" s="34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41"/>
      <c r="P707" s="41"/>
      <c r="Q707" s="41"/>
      <c r="R707" s="41"/>
      <c r="S707" s="41"/>
      <c r="U707" s="4"/>
      <c r="V707" s="4"/>
    </row>
    <row r="708" spans="1:22" ht="14.4">
      <c r="A708" s="34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41"/>
      <c r="P708" s="41"/>
      <c r="Q708" s="41"/>
      <c r="R708" s="41"/>
      <c r="S708" s="41"/>
      <c r="U708" s="4"/>
      <c r="V708" s="4"/>
    </row>
    <row r="709" spans="1:22" ht="14.4">
      <c r="A709" s="34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41"/>
      <c r="P709" s="41"/>
      <c r="Q709" s="41"/>
      <c r="R709" s="41"/>
      <c r="S709" s="41"/>
      <c r="U709" s="4"/>
      <c r="V709" s="4"/>
    </row>
    <row r="710" spans="1:22" ht="14.4">
      <c r="A710" s="34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41"/>
      <c r="P710" s="41"/>
      <c r="Q710" s="41"/>
      <c r="R710" s="41"/>
      <c r="S710" s="41"/>
      <c r="U710" s="4"/>
      <c r="V710" s="4"/>
    </row>
    <row r="711" spans="1:22" ht="14.4">
      <c r="A711" s="34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41"/>
      <c r="P711" s="41"/>
      <c r="Q711" s="41"/>
      <c r="R711" s="41"/>
      <c r="S711" s="41"/>
      <c r="U711" s="4"/>
      <c r="V711" s="4"/>
    </row>
    <row r="712" spans="1:22" ht="14.4">
      <c r="A712" s="34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41"/>
      <c r="P712" s="41"/>
      <c r="Q712" s="41"/>
      <c r="R712" s="41"/>
      <c r="S712" s="41"/>
      <c r="U712" s="4"/>
      <c r="V712" s="4"/>
    </row>
    <row r="713" spans="1:22" ht="14.4">
      <c r="A713" s="34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41"/>
      <c r="P713" s="41"/>
      <c r="Q713" s="41"/>
      <c r="R713" s="41"/>
      <c r="S713" s="41"/>
      <c r="U713" s="4"/>
      <c r="V713" s="4"/>
    </row>
    <row r="714" spans="1:22" ht="14.4">
      <c r="A714" s="34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41"/>
      <c r="P714" s="41"/>
      <c r="Q714" s="41"/>
      <c r="R714" s="41"/>
      <c r="S714" s="41"/>
      <c r="U714" s="4"/>
      <c r="V714" s="4"/>
    </row>
    <row r="715" spans="1:22" ht="14.4">
      <c r="A715" s="34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41"/>
      <c r="P715" s="41"/>
      <c r="Q715" s="41"/>
      <c r="R715" s="41"/>
      <c r="S715" s="41"/>
      <c r="U715" s="4"/>
      <c r="V715" s="4"/>
    </row>
    <row r="716" spans="1:22" ht="14.4">
      <c r="A716" s="34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41"/>
      <c r="P716" s="41"/>
      <c r="Q716" s="41"/>
      <c r="R716" s="41"/>
      <c r="S716" s="41"/>
      <c r="U716" s="4"/>
      <c r="V716" s="4"/>
    </row>
    <row r="717" spans="1:22" ht="14.4">
      <c r="A717" s="34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41"/>
      <c r="P717" s="41"/>
      <c r="Q717" s="41"/>
      <c r="R717" s="41"/>
      <c r="S717" s="41"/>
      <c r="U717" s="4"/>
      <c r="V717" s="4"/>
    </row>
    <row r="718" spans="1:22" ht="14.4">
      <c r="A718" s="34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41"/>
      <c r="P718" s="41"/>
      <c r="Q718" s="41"/>
      <c r="R718" s="41"/>
      <c r="S718" s="41"/>
      <c r="U718" s="4"/>
      <c r="V718" s="4"/>
    </row>
    <row r="719" spans="1:22" ht="14.4">
      <c r="A719" s="34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41"/>
      <c r="P719" s="41"/>
      <c r="Q719" s="41"/>
      <c r="R719" s="41"/>
      <c r="S719" s="41"/>
      <c r="U719" s="4"/>
      <c r="V719" s="4"/>
    </row>
    <row r="720" spans="1:22" ht="14.4">
      <c r="A720" s="34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41"/>
      <c r="P720" s="41"/>
      <c r="Q720" s="41"/>
      <c r="R720" s="41"/>
      <c r="S720" s="41"/>
      <c r="U720" s="4"/>
      <c r="V720" s="4"/>
    </row>
    <row r="721" spans="1:22" ht="14.4">
      <c r="A721" s="34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41"/>
      <c r="P721" s="41"/>
      <c r="Q721" s="41"/>
      <c r="R721" s="41"/>
      <c r="S721" s="41"/>
      <c r="U721" s="4"/>
      <c r="V721" s="4"/>
    </row>
    <row r="722" spans="1:22" ht="14.4">
      <c r="A722" s="34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41"/>
      <c r="P722" s="41"/>
      <c r="Q722" s="41"/>
      <c r="R722" s="41"/>
      <c r="S722" s="41"/>
      <c r="U722" s="4"/>
      <c r="V722" s="4"/>
    </row>
    <row r="723" spans="1:22" ht="14.4">
      <c r="A723" s="34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41"/>
      <c r="P723" s="41"/>
      <c r="Q723" s="41"/>
      <c r="R723" s="41"/>
      <c r="S723" s="41"/>
      <c r="U723" s="4"/>
      <c r="V723" s="4"/>
    </row>
    <row r="724" spans="1:22" ht="14.4">
      <c r="A724" s="34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41"/>
      <c r="P724" s="41"/>
      <c r="Q724" s="41"/>
      <c r="R724" s="41"/>
      <c r="S724" s="41"/>
      <c r="U724" s="4"/>
      <c r="V724" s="4"/>
    </row>
    <row r="725" spans="1:22" ht="14.4">
      <c r="A725" s="34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41"/>
      <c r="P725" s="41"/>
      <c r="Q725" s="41"/>
      <c r="R725" s="41"/>
      <c r="S725" s="41"/>
      <c r="U725" s="4"/>
      <c r="V725" s="4"/>
    </row>
    <row r="726" spans="1:22" ht="14.4">
      <c r="A726" s="34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41"/>
      <c r="P726" s="41"/>
      <c r="Q726" s="41"/>
      <c r="R726" s="41"/>
      <c r="S726" s="41"/>
      <c r="U726" s="4"/>
      <c r="V726" s="4"/>
    </row>
    <row r="727" spans="1:22" ht="14.4">
      <c r="A727" s="34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41"/>
      <c r="P727" s="41"/>
      <c r="Q727" s="41"/>
      <c r="R727" s="41"/>
      <c r="S727" s="41"/>
      <c r="U727" s="4"/>
      <c r="V727" s="4"/>
    </row>
    <row r="728" spans="1:22" ht="14.4">
      <c r="A728" s="34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41"/>
      <c r="P728" s="41"/>
      <c r="Q728" s="41"/>
      <c r="R728" s="41"/>
      <c r="S728" s="41"/>
      <c r="U728" s="4"/>
      <c r="V728" s="4"/>
    </row>
    <row r="729" spans="1:22" ht="14.4">
      <c r="A729" s="34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41"/>
      <c r="P729" s="41"/>
      <c r="Q729" s="41"/>
      <c r="R729" s="41"/>
      <c r="S729" s="41"/>
      <c r="U729" s="4"/>
      <c r="V729" s="4"/>
    </row>
    <row r="730" spans="1:22" ht="14.4">
      <c r="A730" s="34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41"/>
      <c r="P730" s="41"/>
      <c r="Q730" s="41"/>
      <c r="R730" s="41"/>
      <c r="S730" s="41"/>
      <c r="U730" s="4"/>
      <c r="V730" s="4"/>
    </row>
    <row r="731" spans="1:22" ht="14.4">
      <c r="A731" s="34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41"/>
      <c r="P731" s="41"/>
      <c r="Q731" s="41"/>
      <c r="R731" s="41"/>
      <c r="S731" s="41"/>
      <c r="U731" s="4"/>
      <c r="V731" s="4"/>
    </row>
    <row r="732" spans="1:22" ht="14.4">
      <c r="A732" s="34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41"/>
      <c r="P732" s="41"/>
      <c r="Q732" s="41"/>
      <c r="R732" s="41"/>
      <c r="S732" s="41"/>
      <c r="U732" s="4"/>
      <c r="V732" s="4"/>
    </row>
    <row r="733" spans="1:22" ht="14.4">
      <c r="A733" s="34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41"/>
      <c r="P733" s="41"/>
      <c r="Q733" s="41"/>
      <c r="R733" s="41"/>
      <c r="S733" s="41"/>
      <c r="U733" s="4"/>
      <c r="V733" s="4"/>
    </row>
    <row r="734" spans="1:22" ht="14.4">
      <c r="A734" s="34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41"/>
      <c r="P734" s="41"/>
      <c r="Q734" s="41"/>
      <c r="R734" s="41"/>
      <c r="S734" s="41"/>
      <c r="U734" s="4"/>
      <c r="V734" s="4"/>
    </row>
    <row r="735" spans="1:22" ht="14.4">
      <c r="A735" s="34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41"/>
      <c r="P735" s="41"/>
      <c r="Q735" s="41"/>
      <c r="R735" s="41"/>
      <c r="S735" s="41"/>
      <c r="U735" s="4"/>
      <c r="V735" s="4"/>
    </row>
    <row r="736" spans="1:22" ht="14.4">
      <c r="A736" s="34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41"/>
      <c r="P736" s="41"/>
      <c r="Q736" s="41"/>
      <c r="R736" s="41"/>
      <c r="S736" s="41"/>
      <c r="U736" s="4"/>
      <c r="V736" s="4"/>
    </row>
    <row r="737" spans="1:22" ht="14.4">
      <c r="A737" s="34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41"/>
      <c r="P737" s="41"/>
      <c r="Q737" s="41"/>
      <c r="R737" s="41"/>
      <c r="S737" s="41"/>
      <c r="U737" s="4"/>
      <c r="V737" s="4"/>
    </row>
    <row r="738" spans="1:22" ht="14.4">
      <c r="A738" s="34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41"/>
      <c r="P738" s="41"/>
      <c r="Q738" s="41"/>
      <c r="R738" s="41"/>
      <c r="S738" s="41"/>
      <c r="U738" s="4"/>
      <c r="V738" s="4"/>
    </row>
    <row r="739" spans="1:22" ht="14.4">
      <c r="A739" s="34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41"/>
      <c r="P739" s="41"/>
      <c r="Q739" s="41"/>
      <c r="R739" s="41"/>
      <c r="S739" s="41"/>
      <c r="U739" s="4"/>
      <c r="V739" s="4"/>
    </row>
    <row r="740" spans="1:22" ht="14.4">
      <c r="A740" s="34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41"/>
      <c r="P740" s="41"/>
      <c r="Q740" s="41"/>
      <c r="R740" s="41"/>
      <c r="S740" s="41"/>
      <c r="U740" s="4"/>
      <c r="V740" s="4"/>
    </row>
    <row r="741" spans="1:22" ht="14.4">
      <c r="A741" s="34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41"/>
      <c r="P741" s="41"/>
      <c r="Q741" s="41"/>
      <c r="R741" s="41"/>
      <c r="S741" s="41"/>
      <c r="U741" s="4"/>
      <c r="V741" s="4"/>
    </row>
    <row r="742" spans="1:22" ht="14.4">
      <c r="A742" s="34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41"/>
      <c r="P742" s="41"/>
      <c r="Q742" s="41"/>
      <c r="R742" s="41"/>
      <c r="S742" s="41"/>
      <c r="U742" s="4"/>
      <c r="V742" s="4"/>
    </row>
    <row r="743" spans="1:22" ht="14.4">
      <c r="A743" s="34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41"/>
      <c r="P743" s="41"/>
      <c r="Q743" s="41"/>
      <c r="R743" s="41"/>
      <c r="S743" s="41"/>
      <c r="U743" s="4"/>
      <c r="V743" s="4"/>
    </row>
    <row r="744" spans="1:22" ht="14.4">
      <c r="A744" s="34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41"/>
      <c r="P744" s="41"/>
      <c r="Q744" s="41"/>
      <c r="R744" s="41"/>
      <c r="S744" s="41"/>
      <c r="U744" s="4"/>
      <c r="V744" s="4"/>
    </row>
    <row r="745" spans="1:22" ht="14.4">
      <c r="A745" s="34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41"/>
      <c r="P745" s="41"/>
      <c r="Q745" s="41"/>
      <c r="R745" s="41"/>
      <c r="S745" s="41"/>
      <c r="U745" s="4"/>
      <c r="V745" s="4"/>
    </row>
    <row r="746" spans="1:22" ht="14.4">
      <c r="A746" s="34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41"/>
      <c r="P746" s="41"/>
      <c r="Q746" s="41"/>
      <c r="R746" s="41"/>
      <c r="S746" s="41"/>
      <c r="U746" s="4"/>
      <c r="V746" s="4"/>
    </row>
    <row r="747" spans="1:22" ht="14.4">
      <c r="A747" s="34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41"/>
      <c r="P747" s="41"/>
      <c r="Q747" s="41"/>
      <c r="R747" s="41"/>
      <c r="S747" s="41"/>
      <c r="U747" s="4"/>
      <c r="V747" s="4"/>
    </row>
    <row r="748" spans="1:22" ht="14.4">
      <c r="A748" s="34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41"/>
      <c r="P748" s="41"/>
      <c r="Q748" s="41"/>
      <c r="R748" s="41"/>
      <c r="S748" s="41"/>
      <c r="U748" s="4"/>
      <c r="V748" s="4"/>
    </row>
    <row r="749" spans="1:22" ht="14.4">
      <c r="A749" s="34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41"/>
      <c r="P749" s="41"/>
      <c r="Q749" s="41"/>
      <c r="R749" s="41"/>
      <c r="S749" s="41"/>
      <c r="U749" s="4"/>
      <c r="V749" s="4"/>
    </row>
    <row r="750" spans="1:22" ht="14.4">
      <c r="A750" s="34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41"/>
      <c r="P750" s="41"/>
      <c r="Q750" s="41"/>
      <c r="R750" s="41"/>
      <c r="S750" s="41"/>
      <c r="U750" s="4"/>
      <c r="V750" s="4"/>
    </row>
    <row r="751" spans="1:22" ht="14.4">
      <c r="A751" s="34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41"/>
      <c r="P751" s="41"/>
      <c r="Q751" s="41"/>
      <c r="R751" s="41"/>
      <c r="S751" s="41"/>
      <c r="U751" s="4"/>
      <c r="V751" s="4"/>
    </row>
    <row r="752" spans="1:22" ht="14.4">
      <c r="A752" s="34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41"/>
      <c r="P752" s="41"/>
      <c r="Q752" s="41"/>
      <c r="R752" s="41"/>
      <c r="S752" s="41"/>
      <c r="U752" s="4"/>
      <c r="V752" s="4"/>
    </row>
    <row r="753" spans="1:22" ht="14.4">
      <c r="A753" s="34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41"/>
      <c r="P753" s="41"/>
      <c r="Q753" s="41"/>
      <c r="R753" s="41"/>
      <c r="S753" s="41"/>
      <c r="U753" s="4"/>
      <c r="V753" s="4"/>
    </row>
    <row r="754" spans="1:22" ht="14.4">
      <c r="A754" s="34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41"/>
      <c r="P754" s="41"/>
      <c r="Q754" s="41"/>
      <c r="R754" s="41"/>
      <c r="S754" s="41"/>
      <c r="U754" s="4"/>
      <c r="V754" s="4"/>
    </row>
    <row r="755" spans="1:22" ht="14.4">
      <c r="A755" s="34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41"/>
      <c r="P755" s="41"/>
      <c r="Q755" s="41"/>
      <c r="R755" s="41"/>
      <c r="S755" s="41"/>
      <c r="U755" s="4"/>
      <c r="V755" s="4"/>
    </row>
    <row r="756" spans="1:22" ht="14.4">
      <c r="A756" s="34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41"/>
      <c r="P756" s="41"/>
      <c r="Q756" s="41"/>
      <c r="R756" s="41"/>
      <c r="S756" s="41"/>
      <c r="U756" s="4"/>
      <c r="V756" s="4"/>
    </row>
    <row r="757" spans="1:22" ht="14.4">
      <c r="A757" s="34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41"/>
      <c r="P757" s="41"/>
      <c r="Q757" s="41"/>
      <c r="R757" s="41"/>
      <c r="S757" s="41"/>
      <c r="U757" s="4"/>
      <c r="V757" s="4"/>
    </row>
    <row r="758" spans="1:22" ht="14.4">
      <c r="A758" s="34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41"/>
      <c r="P758" s="41"/>
      <c r="Q758" s="41"/>
      <c r="R758" s="41"/>
      <c r="S758" s="41"/>
      <c r="U758" s="4"/>
      <c r="V758" s="4"/>
    </row>
    <row r="759" spans="1:22" ht="14.4">
      <c r="A759" s="34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41"/>
      <c r="P759" s="41"/>
      <c r="Q759" s="41"/>
      <c r="R759" s="41"/>
      <c r="S759" s="41"/>
      <c r="U759" s="4"/>
      <c r="V759" s="4"/>
    </row>
    <row r="760" spans="1:22" ht="14.4">
      <c r="A760" s="34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41"/>
      <c r="P760" s="41"/>
      <c r="Q760" s="41"/>
      <c r="R760" s="41"/>
      <c r="S760" s="41"/>
      <c r="U760" s="4"/>
      <c r="V760" s="4"/>
    </row>
    <row r="761" spans="1:22" ht="14.4">
      <c r="A761" s="34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41"/>
      <c r="P761" s="41"/>
      <c r="Q761" s="41"/>
      <c r="R761" s="41"/>
      <c r="S761" s="41"/>
      <c r="U761" s="4"/>
      <c r="V761" s="4"/>
    </row>
    <row r="762" spans="1:22" ht="14.4">
      <c r="A762" s="34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41"/>
      <c r="P762" s="41"/>
      <c r="Q762" s="41"/>
      <c r="R762" s="41"/>
      <c r="S762" s="41"/>
      <c r="U762" s="4"/>
      <c r="V762" s="4"/>
    </row>
    <row r="763" spans="1:22" ht="14.4">
      <c r="A763" s="34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41"/>
      <c r="P763" s="41"/>
      <c r="Q763" s="41"/>
      <c r="R763" s="41"/>
      <c r="S763" s="41"/>
      <c r="U763" s="4"/>
      <c r="V763" s="4"/>
    </row>
    <row r="764" spans="1:22" ht="14.4">
      <c r="A764" s="34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41"/>
      <c r="P764" s="41"/>
      <c r="Q764" s="41"/>
      <c r="R764" s="41"/>
      <c r="S764" s="41"/>
      <c r="U764" s="4"/>
      <c r="V764" s="4"/>
    </row>
    <row r="765" spans="1:22" ht="14.4">
      <c r="A765" s="34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41"/>
      <c r="P765" s="41"/>
      <c r="Q765" s="41"/>
      <c r="R765" s="41"/>
      <c r="S765" s="41"/>
      <c r="U765" s="4"/>
      <c r="V765" s="4"/>
    </row>
    <row r="766" spans="1:22" ht="14.4">
      <c r="A766" s="34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41"/>
      <c r="P766" s="41"/>
      <c r="Q766" s="41"/>
      <c r="R766" s="41"/>
      <c r="S766" s="41"/>
      <c r="U766" s="4"/>
      <c r="V766" s="4"/>
    </row>
    <row r="767" spans="1:22" ht="14.4">
      <c r="A767" s="34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41"/>
      <c r="P767" s="41"/>
      <c r="Q767" s="41"/>
      <c r="R767" s="41"/>
      <c r="S767" s="41"/>
      <c r="U767" s="4"/>
      <c r="V767" s="4"/>
    </row>
    <row r="768" spans="1:22" ht="14.4">
      <c r="A768" s="34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41"/>
      <c r="P768" s="41"/>
      <c r="Q768" s="41"/>
      <c r="R768" s="41"/>
      <c r="S768" s="41"/>
      <c r="U768" s="4"/>
      <c r="V768" s="4"/>
    </row>
    <row r="769" spans="1:22" ht="14.4">
      <c r="A769" s="34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41"/>
      <c r="P769" s="41"/>
      <c r="Q769" s="41"/>
      <c r="R769" s="41"/>
      <c r="S769" s="41"/>
      <c r="U769" s="4"/>
      <c r="V769" s="4"/>
    </row>
    <row r="770" spans="1:22" ht="14.4">
      <c r="A770" s="34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41"/>
      <c r="P770" s="41"/>
      <c r="Q770" s="41"/>
      <c r="R770" s="41"/>
      <c r="S770" s="41"/>
      <c r="U770" s="4"/>
      <c r="V770" s="4"/>
    </row>
    <row r="771" spans="1:22" ht="14.4">
      <c r="A771" s="34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41"/>
      <c r="P771" s="41"/>
      <c r="Q771" s="41"/>
      <c r="R771" s="41"/>
      <c r="S771" s="41"/>
      <c r="U771" s="4"/>
      <c r="V771" s="4"/>
    </row>
    <row r="772" spans="1:22" ht="14.4">
      <c r="A772" s="34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41"/>
      <c r="P772" s="41"/>
      <c r="Q772" s="41"/>
      <c r="R772" s="41"/>
      <c r="S772" s="41"/>
      <c r="U772" s="4"/>
      <c r="V772" s="4"/>
    </row>
    <row r="773" spans="1:22" ht="14.4">
      <c r="A773" s="34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41"/>
      <c r="P773" s="41"/>
      <c r="Q773" s="41"/>
      <c r="R773" s="41"/>
      <c r="S773" s="41"/>
      <c r="U773" s="4"/>
      <c r="V773" s="4"/>
    </row>
    <row r="774" spans="1:22" ht="14.4">
      <c r="A774" s="34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41"/>
      <c r="P774" s="41"/>
      <c r="Q774" s="41"/>
      <c r="R774" s="41"/>
      <c r="S774" s="41"/>
      <c r="U774" s="4"/>
      <c r="V774" s="4"/>
    </row>
    <row r="775" spans="1:22" ht="14.4">
      <c r="A775" s="34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41"/>
      <c r="P775" s="41"/>
      <c r="Q775" s="41"/>
      <c r="R775" s="41"/>
      <c r="S775" s="41"/>
      <c r="U775" s="4"/>
      <c r="V775" s="4"/>
    </row>
    <row r="776" spans="1:22" ht="14.4">
      <c r="A776" s="34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41"/>
      <c r="P776" s="41"/>
      <c r="Q776" s="41"/>
      <c r="R776" s="41"/>
      <c r="S776" s="41"/>
      <c r="U776" s="4"/>
      <c r="V776" s="4"/>
    </row>
    <row r="777" spans="1:22" ht="14.4">
      <c r="A777" s="34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41"/>
      <c r="P777" s="41"/>
      <c r="Q777" s="41"/>
      <c r="R777" s="41"/>
      <c r="S777" s="41"/>
      <c r="U777" s="4"/>
      <c r="V777" s="4"/>
    </row>
    <row r="778" spans="1:22" ht="14.4">
      <c r="A778" s="34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41"/>
      <c r="P778" s="41"/>
      <c r="Q778" s="41"/>
      <c r="R778" s="41"/>
      <c r="S778" s="41"/>
      <c r="U778" s="4"/>
      <c r="V778" s="4"/>
    </row>
    <row r="779" spans="1:22" ht="14.4">
      <c r="A779" s="34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41"/>
      <c r="P779" s="41"/>
      <c r="Q779" s="41"/>
      <c r="R779" s="41"/>
      <c r="S779" s="41"/>
      <c r="U779" s="4"/>
      <c r="V779" s="4"/>
    </row>
    <row r="780" spans="1:22" ht="14.4">
      <c r="A780" s="34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41"/>
      <c r="P780" s="41"/>
      <c r="Q780" s="41"/>
      <c r="R780" s="41"/>
      <c r="S780" s="41"/>
      <c r="U780" s="4"/>
      <c r="V780" s="4"/>
    </row>
    <row r="781" spans="1:22" ht="14.4">
      <c r="A781" s="34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41"/>
      <c r="P781" s="41"/>
      <c r="Q781" s="41"/>
      <c r="R781" s="41"/>
      <c r="S781" s="41"/>
      <c r="U781" s="4"/>
      <c r="V781" s="4"/>
    </row>
    <row r="782" spans="1:22" ht="14.4">
      <c r="A782" s="34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41"/>
      <c r="P782" s="41"/>
      <c r="Q782" s="41"/>
      <c r="R782" s="41"/>
      <c r="S782" s="41"/>
      <c r="U782" s="4"/>
      <c r="V782" s="4"/>
    </row>
    <row r="783" spans="1:22" ht="14.4">
      <c r="A783" s="34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41"/>
      <c r="P783" s="41"/>
      <c r="Q783" s="41"/>
      <c r="R783" s="41"/>
      <c r="S783" s="41"/>
      <c r="U783" s="4"/>
      <c r="V783" s="4"/>
    </row>
    <row r="784" spans="1:22" ht="14.4">
      <c r="A784" s="34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41"/>
      <c r="P784" s="41"/>
      <c r="Q784" s="41"/>
      <c r="R784" s="41"/>
      <c r="S784" s="41"/>
      <c r="U784" s="4"/>
      <c r="V784" s="4"/>
    </row>
    <row r="785" spans="1:22" ht="14.4">
      <c r="A785" s="34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41"/>
      <c r="P785" s="41"/>
      <c r="Q785" s="41"/>
      <c r="R785" s="41"/>
      <c r="S785" s="41"/>
      <c r="U785" s="4"/>
      <c r="V785" s="4"/>
    </row>
    <row r="786" spans="1:22" ht="14.4">
      <c r="A786" s="34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41"/>
      <c r="P786" s="41"/>
      <c r="Q786" s="41"/>
      <c r="R786" s="41"/>
      <c r="S786" s="41"/>
      <c r="U786" s="4"/>
      <c r="V786" s="4"/>
    </row>
    <row r="787" spans="1:22" ht="14.4">
      <c r="A787" s="34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41"/>
      <c r="P787" s="41"/>
      <c r="Q787" s="41"/>
      <c r="R787" s="41"/>
      <c r="S787" s="41"/>
      <c r="U787" s="4"/>
      <c r="V787" s="4"/>
    </row>
    <row r="788" spans="1:22" ht="14.4">
      <c r="A788" s="34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41"/>
      <c r="P788" s="41"/>
      <c r="Q788" s="41"/>
      <c r="R788" s="41"/>
      <c r="S788" s="41"/>
      <c r="U788" s="4"/>
      <c r="V788" s="4"/>
    </row>
    <row r="789" spans="1:22" ht="14.4">
      <c r="A789" s="34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41"/>
      <c r="P789" s="41"/>
      <c r="Q789" s="41"/>
      <c r="R789" s="41"/>
      <c r="S789" s="41"/>
      <c r="U789" s="4"/>
      <c r="V789" s="4"/>
    </row>
    <row r="790" spans="1:22" ht="14.4">
      <c r="A790" s="34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41"/>
      <c r="P790" s="41"/>
      <c r="Q790" s="41"/>
      <c r="R790" s="41"/>
      <c r="S790" s="41"/>
      <c r="U790" s="4"/>
      <c r="V790" s="4"/>
    </row>
    <row r="791" spans="1:22" ht="14.4">
      <c r="A791" s="34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41"/>
      <c r="P791" s="41"/>
      <c r="Q791" s="41"/>
      <c r="R791" s="41"/>
      <c r="S791" s="41"/>
      <c r="U791" s="4"/>
      <c r="V791" s="4"/>
    </row>
    <row r="792" spans="1:22" ht="14.4">
      <c r="A792" s="34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41"/>
      <c r="P792" s="41"/>
      <c r="Q792" s="41"/>
      <c r="R792" s="41"/>
      <c r="S792" s="41"/>
      <c r="U792" s="4"/>
      <c r="V792" s="4"/>
    </row>
    <row r="793" spans="1:22" ht="14.4">
      <c r="A793" s="34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41"/>
      <c r="P793" s="41"/>
      <c r="Q793" s="41"/>
      <c r="R793" s="41"/>
      <c r="S793" s="41"/>
      <c r="U793" s="4"/>
      <c r="V793" s="4"/>
    </row>
    <row r="794" spans="1:22" ht="14.4">
      <c r="A794" s="34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41"/>
      <c r="P794" s="41"/>
      <c r="Q794" s="41"/>
      <c r="R794" s="41"/>
      <c r="S794" s="41"/>
      <c r="U794" s="4"/>
      <c r="V794" s="4"/>
    </row>
    <row r="795" spans="1:22" ht="14.4">
      <c r="A795" s="34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41"/>
      <c r="P795" s="41"/>
      <c r="Q795" s="41"/>
      <c r="R795" s="41"/>
      <c r="S795" s="41"/>
      <c r="U795" s="4"/>
      <c r="V795" s="4"/>
    </row>
    <row r="796" spans="1:22" ht="14.4">
      <c r="A796" s="34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41"/>
      <c r="P796" s="41"/>
      <c r="Q796" s="41"/>
      <c r="R796" s="41"/>
      <c r="S796" s="41"/>
      <c r="U796" s="4"/>
      <c r="V796" s="4"/>
    </row>
    <row r="797" spans="1:22" ht="14.4">
      <c r="A797" s="34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41"/>
      <c r="P797" s="41"/>
      <c r="Q797" s="41"/>
      <c r="R797" s="41"/>
      <c r="S797" s="41"/>
      <c r="U797" s="4"/>
      <c r="V797" s="4"/>
    </row>
    <row r="798" spans="1:22" ht="14.4">
      <c r="A798" s="34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41"/>
      <c r="P798" s="41"/>
      <c r="Q798" s="41"/>
      <c r="R798" s="41"/>
      <c r="S798" s="41"/>
      <c r="U798" s="4"/>
      <c r="V798" s="4"/>
    </row>
    <row r="799" spans="1:22" ht="14.4">
      <c r="A799" s="34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41"/>
      <c r="P799" s="41"/>
      <c r="Q799" s="41"/>
      <c r="R799" s="41"/>
      <c r="S799" s="41"/>
      <c r="U799" s="4"/>
      <c r="V799" s="4"/>
    </row>
    <row r="800" spans="1:22" ht="14.4">
      <c r="A800" s="34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41"/>
      <c r="P800" s="41"/>
      <c r="Q800" s="41"/>
      <c r="R800" s="41"/>
      <c r="S800" s="41"/>
      <c r="U800" s="4"/>
      <c r="V800" s="4"/>
    </row>
    <row r="801" spans="1:22" ht="14.4">
      <c r="A801" s="34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41"/>
      <c r="P801" s="41"/>
      <c r="Q801" s="41"/>
      <c r="R801" s="41"/>
      <c r="S801" s="41"/>
      <c r="U801" s="4"/>
      <c r="V801" s="4"/>
    </row>
    <row r="802" spans="1:22" ht="14.4">
      <c r="A802" s="34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41"/>
      <c r="P802" s="41"/>
      <c r="Q802" s="41"/>
      <c r="R802" s="41"/>
      <c r="S802" s="41"/>
      <c r="U802" s="4"/>
      <c r="V802" s="4"/>
    </row>
    <row r="803" spans="1:22" ht="14.4">
      <c r="A803" s="34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41"/>
      <c r="P803" s="41"/>
      <c r="Q803" s="41"/>
      <c r="R803" s="41"/>
      <c r="S803" s="41"/>
      <c r="U803" s="4"/>
      <c r="V803" s="4"/>
    </row>
    <row r="804" spans="1:22" ht="14.4">
      <c r="A804" s="34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41"/>
      <c r="P804" s="41"/>
      <c r="Q804" s="41"/>
      <c r="R804" s="41"/>
      <c r="S804" s="41"/>
      <c r="U804" s="4"/>
      <c r="V804" s="4"/>
    </row>
    <row r="805" spans="1:22" ht="14.4">
      <c r="A805" s="34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41"/>
      <c r="P805" s="41"/>
      <c r="Q805" s="41"/>
      <c r="R805" s="41"/>
      <c r="S805" s="41"/>
      <c r="U805" s="4"/>
      <c r="V805" s="4"/>
    </row>
    <row r="806" spans="1:22" ht="14.4">
      <c r="A806" s="34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41"/>
      <c r="P806" s="41"/>
      <c r="Q806" s="41"/>
      <c r="R806" s="41"/>
      <c r="S806" s="41"/>
      <c r="U806" s="4"/>
      <c r="V806" s="4"/>
    </row>
    <row r="807" spans="1:22" ht="14.4">
      <c r="A807" s="34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41"/>
      <c r="P807" s="41"/>
      <c r="Q807" s="41"/>
      <c r="R807" s="41"/>
      <c r="S807" s="41"/>
      <c r="U807" s="4"/>
      <c r="V807" s="4"/>
    </row>
    <row r="808" spans="1:22" ht="14.4">
      <c r="A808" s="34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41"/>
      <c r="P808" s="41"/>
      <c r="Q808" s="41"/>
      <c r="R808" s="41"/>
      <c r="S808" s="41"/>
      <c r="U808" s="4"/>
      <c r="V808" s="4"/>
    </row>
    <row r="809" spans="1:22" ht="14.4">
      <c r="A809" s="34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41"/>
      <c r="P809" s="41"/>
      <c r="Q809" s="41"/>
      <c r="R809" s="41"/>
      <c r="S809" s="41"/>
      <c r="U809" s="4"/>
      <c r="V809" s="4"/>
    </row>
    <row r="810" spans="1:22" ht="14.4">
      <c r="A810" s="34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41"/>
      <c r="P810" s="41"/>
      <c r="Q810" s="41"/>
      <c r="R810" s="41"/>
      <c r="S810" s="41"/>
      <c r="U810" s="4"/>
      <c r="V810" s="4"/>
    </row>
    <row r="811" spans="1:22" ht="14.4">
      <c r="A811" s="34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41"/>
      <c r="P811" s="41"/>
      <c r="Q811" s="41"/>
      <c r="R811" s="41"/>
      <c r="S811" s="41"/>
      <c r="U811" s="4"/>
      <c r="V811" s="4"/>
    </row>
    <row r="812" spans="1:22" ht="14.4">
      <c r="A812" s="34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41"/>
      <c r="P812" s="41"/>
      <c r="Q812" s="41"/>
      <c r="R812" s="41"/>
      <c r="S812" s="41"/>
      <c r="U812" s="4"/>
      <c r="V812" s="4"/>
    </row>
    <row r="813" spans="1:22" ht="14.4">
      <c r="A813" s="34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41"/>
      <c r="P813" s="41"/>
      <c r="Q813" s="41"/>
      <c r="R813" s="41"/>
      <c r="S813" s="41"/>
      <c r="U813" s="4"/>
      <c r="V813" s="4"/>
    </row>
    <row r="814" spans="1:22" ht="14.4">
      <c r="A814" s="34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41"/>
      <c r="P814" s="41"/>
      <c r="Q814" s="41"/>
      <c r="R814" s="41"/>
      <c r="S814" s="41"/>
      <c r="U814" s="4"/>
      <c r="V814" s="4"/>
    </row>
    <row r="815" spans="1:22" ht="14.4">
      <c r="A815" s="34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41"/>
      <c r="P815" s="41"/>
      <c r="Q815" s="41"/>
      <c r="R815" s="41"/>
      <c r="S815" s="41"/>
      <c r="U815" s="4"/>
      <c r="V815" s="4"/>
    </row>
    <row r="816" spans="1:22" ht="14.4">
      <c r="A816" s="34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41"/>
      <c r="P816" s="41"/>
      <c r="Q816" s="41"/>
      <c r="R816" s="41"/>
      <c r="S816" s="41"/>
      <c r="U816" s="4"/>
      <c r="V816" s="4"/>
    </row>
    <row r="817" spans="1:22" ht="14.4">
      <c r="A817" s="34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41"/>
      <c r="P817" s="41"/>
      <c r="Q817" s="41"/>
      <c r="R817" s="41"/>
      <c r="S817" s="41"/>
      <c r="U817" s="4"/>
      <c r="V817" s="4"/>
    </row>
    <row r="818" spans="1:22" ht="14.4">
      <c r="A818" s="34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41"/>
      <c r="P818" s="41"/>
      <c r="Q818" s="41"/>
      <c r="R818" s="41"/>
      <c r="S818" s="41"/>
      <c r="U818" s="4"/>
      <c r="V818" s="4"/>
    </row>
    <row r="819" spans="1:22" ht="14.4">
      <c r="A819" s="34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41"/>
      <c r="P819" s="41"/>
      <c r="Q819" s="41"/>
      <c r="R819" s="41"/>
      <c r="S819" s="41"/>
      <c r="U819" s="4"/>
      <c r="V819" s="4"/>
    </row>
    <row r="820" spans="1:22" ht="14.4">
      <c r="A820" s="34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41"/>
      <c r="P820" s="41"/>
      <c r="Q820" s="41"/>
      <c r="R820" s="41"/>
      <c r="S820" s="41"/>
      <c r="U820" s="4"/>
      <c r="V820" s="4"/>
    </row>
    <row r="821" spans="1:22" ht="14.4">
      <c r="A821" s="34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41"/>
      <c r="P821" s="41"/>
      <c r="Q821" s="41"/>
      <c r="R821" s="41"/>
      <c r="S821" s="41"/>
      <c r="U821" s="4"/>
      <c r="V821" s="4"/>
    </row>
    <row r="822" spans="1:22" ht="14.4">
      <c r="A822" s="34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41"/>
      <c r="P822" s="41"/>
      <c r="Q822" s="41"/>
      <c r="R822" s="41"/>
      <c r="S822" s="41"/>
      <c r="U822" s="4"/>
      <c r="V822" s="4"/>
    </row>
    <row r="823" spans="1:22" ht="14.4">
      <c r="A823" s="34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41"/>
      <c r="P823" s="41"/>
      <c r="Q823" s="41"/>
      <c r="R823" s="41"/>
      <c r="S823" s="41"/>
      <c r="U823" s="4"/>
      <c r="V823" s="4"/>
    </row>
    <row r="824" spans="1:22" ht="14.4">
      <c r="A824" s="34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41"/>
      <c r="P824" s="41"/>
      <c r="Q824" s="41"/>
      <c r="R824" s="41"/>
      <c r="S824" s="41"/>
      <c r="U824" s="4"/>
      <c r="V824" s="4"/>
    </row>
    <row r="825" spans="1:22" ht="14.4">
      <c r="A825" s="34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41"/>
      <c r="P825" s="41"/>
      <c r="Q825" s="41"/>
      <c r="R825" s="41"/>
      <c r="S825" s="41"/>
      <c r="U825" s="4"/>
      <c r="V825" s="4"/>
    </row>
    <row r="826" spans="1:22" ht="14.4">
      <c r="A826" s="34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41"/>
      <c r="P826" s="41"/>
      <c r="Q826" s="41"/>
      <c r="R826" s="41"/>
      <c r="S826" s="41"/>
      <c r="U826" s="4"/>
      <c r="V826" s="4"/>
    </row>
    <row r="827" spans="1:22" ht="14.4">
      <c r="A827" s="34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41"/>
      <c r="P827" s="41"/>
      <c r="Q827" s="41"/>
      <c r="R827" s="41"/>
      <c r="S827" s="41"/>
      <c r="U827" s="4"/>
      <c r="V827" s="4"/>
    </row>
    <row r="828" spans="1:22" ht="14.4">
      <c r="A828" s="34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41"/>
      <c r="P828" s="41"/>
      <c r="Q828" s="41"/>
      <c r="R828" s="41"/>
      <c r="S828" s="41"/>
      <c r="U828" s="4"/>
      <c r="V828" s="4"/>
    </row>
    <row r="829" spans="1:22" ht="14.4">
      <c r="A829" s="34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41"/>
      <c r="P829" s="41"/>
      <c r="Q829" s="41"/>
      <c r="R829" s="41"/>
      <c r="S829" s="41"/>
      <c r="U829" s="4"/>
      <c r="V829" s="4"/>
    </row>
    <row r="830" spans="1:22" ht="14.4">
      <c r="A830" s="34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41"/>
      <c r="P830" s="41"/>
      <c r="Q830" s="41"/>
      <c r="R830" s="41"/>
      <c r="S830" s="41"/>
      <c r="U830" s="4"/>
      <c r="V830" s="4"/>
    </row>
    <row r="831" spans="1:22" ht="14.4">
      <c r="A831" s="34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41"/>
      <c r="P831" s="41"/>
      <c r="Q831" s="41"/>
      <c r="R831" s="41"/>
      <c r="S831" s="41"/>
      <c r="U831" s="4"/>
      <c r="V831" s="4"/>
    </row>
    <row r="832" spans="1:22" ht="14.4">
      <c r="A832" s="34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41"/>
      <c r="P832" s="41"/>
      <c r="Q832" s="41"/>
      <c r="R832" s="41"/>
      <c r="S832" s="41"/>
      <c r="U832" s="4"/>
      <c r="V832" s="4"/>
    </row>
    <row r="833" spans="1:22" ht="14.4">
      <c r="A833" s="34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41"/>
      <c r="P833" s="41"/>
      <c r="Q833" s="41"/>
      <c r="R833" s="41"/>
      <c r="S833" s="41"/>
      <c r="U833" s="4"/>
      <c r="V833" s="4"/>
    </row>
    <row r="834" spans="1:22" ht="14.4">
      <c r="A834" s="34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41"/>
      <c r="P834" s="41"/>
      <c r="Q834" s="41"/>
      <c r="R834" s="41"/>
      <c r="S834" s="41"/>
      <c r="U834" s="4"/>
      <c r="V834" s="4"/>
    </row>
    <row r="835" spans="1:22" ht="14.4">
      <c r="A835" s="34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41"/>
      <c r="P835" s="41"/>
      <c r="Q835" s="41"/>
      <c r="R835" s="41"/>
      <c r="S835" s="41"/>
      <c r="U835" s="4"/>
      <c r="V835" s="4"/>
    </row>
    <row r="836" spans="1:22" ht="14.4">
      <c r="A836" s="34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41"/>
      <c r="P836" s="41"/>
      <c r="Q836" s="41"/>
      <c r="R836" s="41"/>
      <c r="S836" s="41"/>
      <c r="U836" s="4"/>
      <c r="V836" s="4"/>
    </row>
    <row r="837" spans="1:22" ht="14.4">
      <c r="A837" s="34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41"/>
      <c r="P837" s="41"/>
      <c r="Q837" s="41"/>
      <c r="R837" s="41"/>
      <c r="S837" s="41"/>
      <c r="U837" s="4"/>
      <c r="V837" s="4"/>
    </row>
    <row r="838" spans="1:22" ht="14.4">
      <c r="A838" s="34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41"/>
      <c r="P838" s="41"/>
      <c r="Q838" s="41"/>
      <c r="R838" s="41"/>
      <c r="S838" s="41"/>
      <c r="U838" s="4"/>
      <c r="V838" s="4"/>
    </row>
    <row r="839" spans="1:22" ht="14.4">
      <c r="A839" s="34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41"/>
      <c r="P839" s="41"/>
      <c r="Q839" s="41"/>
      <c r="R839" s="41"/>
      <c r="S839" s="41"/>
      <c r="U839" s="4"/>
      <c r="V839" s="4"/>
    </row>
    <row r="840" spans="1:22" ht="14.4">
      <c r="A840" s="34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41"/>
      <c r="P840" s="41"/>
      <c r="Q840" s="41"/>
      <c r="R840" s="41"/>
      <c r="S840" s="41"/>
      <c r="U840" s="4"/>
      <c r="V840" s="4"/>
    </row>
    <row r="841" spans="1:22" ht="14.4">
      <c r="A841" s="34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41"/>
      <c r="P841" s="41"/>
      <c r="Q841" s="41"/>
      <c r="R841" s="41"/>
      <c r="S841" s="41"/>
      <c r="U841" s="4"/>
      <c r="V841" s="4"/>
    </row>
    <row r="842" spans="1:22" ht="14.4">
      <c r="A842" s="34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41"/>
      <c r="P842" s="41"/>
      <c r="Q842" s="41"/>
      <c r="R842" s="41"/>
      <c r="S842" s="41"/>
      <c r="U842" s="4"/>
      <c r="V842" s="4"/>
    </row>
    <row r="843" spans="1:22" ht="14.4">
      <c r="A843" s="34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41"/>
      <c r="P843" s="41"/>
      <c r="Q843" s="41"/>
      <c r="R843" s="41"/>
      <c r="S843" s="41"/>
      <c r="U843" s="4"/>
      <c r="V843" s="4"/>
    </row>
    <row r="844" spans="1:22" ht="14.4">
      <c r="A844" s="34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41"/>
      <c r="P844" s="41"/>
      <c r="Q844" s="41"/>
      <c r="R844" s="41"/>
      <c r="S844" s="41"/>
      <c r="U844" s="4"/>
      <c r="V844" s="4"/>
    </row>
    <row r="845" spans="1:22" ht="14.4">
      <c r="A845" s="34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41"/>
      <c r="P845" s="41"/>
      <c r="Q845" s="41"/>
      <c r="R845" s="41"/>
      <c r="S845" s="41"/>
      <c r="U845" s="4"/>
      <c r="V845" s="4"/>
    </row>
    <row r="846" spans="1:22" ht="14.4">
      <c r="A846" s="34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41"/>
      <c r="P846" s="41"/>
      <c r="Q846" s="41"/>
      <c r="R846" s="41"/>
      <c r="S846" s="41"/>
      <c r="U846" s="4"/>
      <c r="V846" s="4"/>
    </row>
    <row r="847" spans="1:22" ht="14.4">
      <c r="A847" s="34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41"/>
      <c r="P847" s="41"/>
      <c r="Q847" s="41"/>
      <c r="R847" s="41"/>
      <c r="S847" s="41"/>
      <c r="U847" s="4"/>
      <c r="V847" s="4"/>
    </row>
    <row r="848" spans="1:22" ht="14.4">
      <c r="A848" s="34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41"/>
      <c r="P848" s="41"/>
      <c r="Q848" s="41"/>
      <c r="R848" s="41"/>
      <c r="S848" s="41"/>
      <c r="U848" s="4"/>
      <c r="V848" s="4"/>
    </row>
    <row r="849" spans="1:22" ht="14.4">
      <c r="A849" s="34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41"/>
      <c r="P849" s="41"/>
      <c r="Q849" s="41"/>
      <c r="R849" s="41"/>
      <c r="S849" s="41"/>
      <c r="U849" s="4"/>
      <c r="V849" s="4"/>
    </row>
    <row r="850" spans="1:22" ht="14.4">
      <c r="A850" s="34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41"/>
      <c r="P850" s="41"/>
      <c r="Q850" s="41"/>
      <c r="R850" s="41"/>
      <c r="S850" s="41"/>
      <c r="U850" s="4"/>
      <c r="V850" s="4"/>
    </row>
    <row r="851" spans="1:22" ht="14.4">
      <c r="A851" s="34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41"/>
      <c r="P851" s="41"/>
      <c r="Q851" s="41"/>
      <c r="R851" s="41"/>
      <c r="S851" s="41"/>
      <c r="U851" s="4"/>
      <c r="V851" s="4"/>
    </row>
    <row r="852" spans="1:22" ht="14.4">
      <c r="A852" s="34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41"/>
      <c r="P852" s="41"/>
      <c r="Q852" s="41"/>
      <c r="R852" s="41"/>
      <c r="S852" s="41"/>
      <c r="U852" s="4"/>
      <c r="V852" s="4"/>
    </row>
    <row r="853" spans="1:22" ht="14.4">
      <c r="A853" s="34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41"/>
      <c r="P853" s="41"/>
      <c r="Q853" s="41"/>
      <c r="R853" s="41"/>
      <c r="S853" s="41"/>
      <c r="U853" s="4"/>
      <c r="V853" s="4"/>
    </row>
    <row r="854" spans="1:22" ht="14.4">
      <c r="A854" s="34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41"/>
      <c r="P854" s="41"/>
      <c r="Q854" s="41"/>
      <c r="R854" s="41"/>
      <c r="S854" s="41"/>
      <c r="U854" s="4"/>
      <c r="V854" s="4"/>
    </row>
    <row r="855" spans="1:22" ht="14.4">
      <c r="A855" s="34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41"/>
      <c r="P855" s="41"/>
      <c r="Q855" s="41"/>
      <c r="R855" s="41"/>
      <c r="S855" s="41"/>
      <c r="U855" s="4"/>
      <c r="V855" s="4"/>
    </row>
    <row r="856" spans="1:22" ht="14.4">
      <c r="A856" s="34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41"/>
      <c r="P856" s="41"/>
      <c r="Q856" s="41"/>
      <c r="R856" s="41"/>
      <c r="S856" s="41"/>
      <c r="U856" s="4"/>
      <c r="V856" s="4"/>
    </row>
    <row r="857" spans="1:22" ht="14.4">
      <c r="A857" s="34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41"/>
      <c r="P857" s="41"/>
      <c r="Q857" s="41"/>
      <c r="R857" s="41"/>
      <c r="S857" s="41"/>
      <c r="U857" s="4"/>
      <c r="V857" s="4"/>
    </row>
    <row r="858" spans="1:22" ht="14.4">
      <c r="A858" s="34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41"/>
      <c r="P858" s="41"/>
      <c r="Q858" s="41"/>
      <c r="R858" s="41"/>
      <c r="S858" s="41"/>
      <c r="U858" s="4"/>
      <c r="V858" s="4"/>
    </row>
    <row r="859" spans="1:22" ht="14.4">
      <c r="A859" s="34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41"/>
      <c r="P859" s="41"/>
      <c r="Q859" s="41"/>
      <c r="R859" s="41"/>
      <c r="S859" s="41"/>
      <c r="U859" s="4"/>
      <c r="V859" s="4"/>
    </row>
    <row r="860" spans="1:22" ht="14.4">
      <c r="A860" s="34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41"/>
      <c r="P860" s="41"/>
      <c r="Q860" s="41"/>
      <c r="R860" s="41"/>
      <c r="S860" s="41"/>
      <c r="U860" s="4"/>
      <c r="V860" s="4"/>
    </row>
    <row r="861" spans="1:22" ht="14.4">
      <c r="A861" s="34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41"/>
      <c r="P861" s="41"/>
      <c r="Q861" s="41"/>
      <c r="R861" s="41"/>
      <c r="S861" s="41"/>
      <c r="U861" s="4"/>
      <c r="V861" s="4"/>
    </row>
    <row r="862" spans="1:22" ht="14.4">
      <c r="A862" s="34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41"/>
      <c r="P862" s="41"/>
      <c r="Q862" s="41"/>
      <c r="R862" s="41"/>
      <c r="S862" s="41"/>
      <c r="U862" s="4"/>
      <c r="V862" s="4"/>
    </row>
    <row r="863" spans="1:22" ht="14.4">
      <c r="A863" s="34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41"/>
      <c r="P863" s="41"/>
      <c r="Q863" s="41"/>
      <c r="R863" s="41"/>
      <c r="S863" s="41"/>
      <c r="U863" s="4"/>
      <c r="V863" s="4"/>
    </row>
    <row r="864" spans="1:22" ht="14.4">
      <c r="A864" s="34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41"/>
      <c r="P864" s="41"/>
      <c r="Q864" s="41"/>
      <c r="R864" s="41"/>
      <c r="S864" s="41"/>
      <c r="U864" s="4"/>
      <c r="V864" s="4"/>
    </row>
    <row r="865" spans="1:22" ht="14.4">
      <c r="A865" s="34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41"/>
      <c r="P865" s="41"/>
      <c r="Q865" s="41"/>
      <c r="R865" s="41"/>
      <c r="S865" s="41"/>
      <c r="U865" s="4"/>
      <c r="V865" s="4"/>
    </row>
    <row r="866" spans="1:22" ht="14.4">
      <c r="A866" s="34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41"/>
      <c r="P866" s="41"/>
      <c r="Q866" s="41"/>
      <c r="R866" s="41"/>
      <c r="S866" s="41"/>
      <c r="U866" s="4"/>
      <c r="V866" s="4"/>
    </row>
    <row r="867" spans="1:22" ht="14.4">
      <c r="A867" s="34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41"/>
      <c r="P867" s="41"/>
      <c r="Q867" s="41"/>
      <c r="R867" s="41"/>
      <c r="S867" s="41"/>
      <c r="U867" s="4"/>
      <c r="V867" s="4"/>
    </row>
    <row r="868" spans="1:22" ht="14.4">
      <c r="A868" s="34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41"/>
      <c r="P868" s="41"/>
      <c r="Q868" s="41"/>
      <c r="R868" s="41"/>
      <c r="S868" s="41"/>
      <c r="U868" s="4"/>
      <c r="V868" s="4"/>
    </row>
    <row r="869" spans="1:22" ht="14.4">
      <c r="A869" s="34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41"/>
      <c r="P869" s="41"/>
      <c r="Q869" s="41"/>
      <c r="R869" s="41"/>
      <c r="S869" s="41"/>
      <c r="U869" s="4"/>
      <c r="V869" s="4"/>
    </row>
    <row r="870" spans="1:22" ht="14.4">
      <c r="A870" s="34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41"/>
      <c r="P870" s="41"/>
      <c r="Q870" s="41"/>
      <c r="R870" s="41"/>
      <c r="S870" s="41"/>
      <c r="U870" s="4"/>
      <c r="V870" s="4"/>
    </row>
    <row r="871" spans="1:22" ht="14.4">
      <c r="A871" s="34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41"/>
      <c r="P871" s="41"/>
      <c r="Q871" s="41"/>
      <c r="R871" s="41"/>
      <c r="S871" s="41"/>
      <c r="U871" s="4"/>
      <c r="V871" s="4"/>
    </row>
    <row r="872" spans="1:22" ht="14.4">
      <c r="A872" s="34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41"/>
      <c r="P872" s="41"/>
      <c r="Q872" s="41"/>
      <c r="R872" s="41"/>
      <c r="S872" s="41"/>
      <c r="U872" s="4"/>
      <c r="V872" s="4"/>
    </row>
    <row r="873" spans="1:22" ht="14.4">
      <c r="A873" s="34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41"/>
      <c r="P873" s="41"/>
      <c r="Q873" s="41"/>
      <c r="R873" s="41"/>
      <c r="S873" s="41"/>
      <c r="U873" s="4"/>
      <c r="V873" s="4"/>
    </row>
    <row r="874" spans="1:22" ht="14.4">
      <c r="A874" s="34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41"/>
      <c r="P874" s="41"/>
      <c r="Q874" s="41"/>
      <c r="R874" s="41"/>
      <c r="S874" s="41"/>
      <c r="U874" s="4"/>
      <c r="V874" s="4"/>
    </row>
    <row r="875" spans="1:22" ht="14.4">
      <c r="A875" s="34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41"/>
      <c r="P875" s="41"/>
      <c r="Q875" s="41"/>
      <c r="R875" s="41"/>
      <c r="S875" s="41"/>
      <c r="U875" s="4"/>
      <c r="V875" s="4"/>
    </row>
    <row r="876" spans="1:22" ht="14.4">
      <c r="A876" s="34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41"/>
      <c r="P876" s="41"/>
      <c r="Q876" s="41"/>
      <c r="R876" s="41"/>
      <c r="S876" s="41"/>
      <c r="U876" s="4"/>
      <c r="V876" s="4"/>
    </row>
    <row r="877" spans="1:22" ht="14.4">
      <c r="A877" s="34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41"/>
      <c r="P877" s="41"/>
      <c r="Q877" s="41"/>
      <c r="R877" s="41"/>
      <c r="S877" s="41"/>
      <c r="U877" s="4"/>
      <c r="V877" s="4"/>
    </row>
    <row r="878" spans="1:22" ht="14.4">
      <c r="A878" s="34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41"/>
      <c r="P878" s="41"/>
      <c r="Q878" s="41"/>
      <c r="R878" s="41"/>
      <c r="S878" s="41"/>
      <c r="U878" s="4"/>
      <c r="V878" s="4"/>
    </row>
    <row r="879" spans="1:22" ht="14.4">
      <c r="A879" s="34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41"/>
      <c r="P879" s="41"/>
      <c r="Q879" s="41"/>
      <c r="R879" s="41"/>
      <c r="S879" s="41"/>
      <c r="U879" s="4"/>
      <c r="V879" s="4"/>
    </row>
    <row r="880" spans="1:22" ht="14.4">
      <c r="A880" s="34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41"/>
      <c r="P880" s="41"/>
      <c r="Q880" s="41"/>
      <c r="R880" s="41"/>
      <c r="S880" s="41"/>
      <c r="U880" s="4"/>
      <c r="V880" s="4"/>
    </row>
    <row r="881" spans="1:22" ht="14.4">
      <c r="A881" s="34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41"/>
      <c r="P881" s="41"/>
      <c r="Q881" s="41"/>
      <c r="R881" s="41"/>
      <c r="S881" s="41"/>
      <c r="U881" s="4"/>
      <c r="V881" s="4"/>
    </row>
    <row r="882" spans="1:22" ht="14.4">
      <c r="A882" s="34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41"/>
      <c r="P882" s="41"/>
      <c r="Q882" s="41"/>
      <c r="R882" s="41"/>
      <c r="S882" s="41"/>
      <c r="U882" s="4"/>
      <c r="V882" s="4"/>
    </row>
    <row r="883" spans="1:22" ht="14.4">
      <c r="A883" s="34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41"/>
      <c r="P883" s="41"/>
      <c r="Q883" s="41"/>
      <c r="R883" s="41"/>
      <c r="S883" s="41"/>
      <c r="U883" s="4"/>
      <c r="V883" s="4"/>
    </row>
    <row r="884" spans="1:22" ht="14.4">
      <c r="A884" s="34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41"/>
      <c r="P884" s="41"/>
      <c r="Q884" s="41"/>
      <c r="R884" s="41"/>
      <c r="S884" s="41"/>
      <c r="U884" s="4"/>
      <c r="V884" s="4"/>
    </row>
    <row r="885" spans="1:22" ht="14.4">
      <c r="A885" s="34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41"/>
      <c r="P885" s="41"/>
      <c r="Q885" s="41"/>
      <c r="R885" s="41"/>
      <c r="S885" s="41"/>
      <c r="U885" s="4"/>
      <c r="V885" s="4"/>
    </row>
    <row r="886" spans="1:22" ht="14.4">
      <c r="A886" s="34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41"/>
      <c r="P886" s="41"/>
      <c r="Q886" s="41"/>
      <c r="R886" s="41"/>
      <c r="S886" s="41"/>
      <c r="U886" s="4"/>
      <c r="V886" s="4"/>
    </row>
    <row r="887" spans="1:22" ht="14.4">
      <c r="A887" s="34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41"/>
      <c r="P887" s="41"/>
      <c r="Q887" s="41"/>
      <c r="R887" s="41"/>
      <c r="S887" s="41"/>
      <c r="U887" s="4"/>
      <c r="V887" s="4"/>
    </row>
    <row r="888" spans="1:22" ht="14.4">
      <c r="A888" s="34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41"/>
      <c r="P888" s="41"/>
      <c r="Q888" s="41"/>
      <c r="R888" s="41"/>
      <c r="S888" s="41"/>
      <c r="U888" s="4"/>
      <c r="V888" s="4"/>
    </row>
    <row r="889" spans="1:22" ht="14.4">
      <c r="A889" s="34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41"/>
      <c r="P889" s="41"/>
      <c r="Q889" s="41"/>
      <c r="R889" s="41"/>
      <c r="S889" s="41"/>
      <c r="U889" s="4"/>
      <c r="V889" s="4"/>
    </row>
    <row r="890" spans="1:22" ht="14.4">
      <c r="A890" s="34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41"/>
      <c r="P890" s="41"/>
      <c r="Q890" s="41"/>
      <c r="R890" s="41"/>
      <c r="S890" s="41"/>
      <c r="U890" s="4"/>
      <c r="V890" s="4"/>
    </row>
    <row r="891" spans="1:22" ht="14.4">
      <c r="A891" s="34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41"/>
      <c r="P891" s="41"/>
      <c r="Q891" s="41"/>
      <c r="R891" s="41"/>
      <c r="S891" s="41"/>
      <c r="U891" s="4"/>
      <c r="V891" s="4"/>
    </row>
    <row r="892" spans="1:22" ht="14.4">
      <c r="A892" s="34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41"/>
      <c r="P892" s="41"/>
      <c r="Q892" s="41"/>
      <c r="R892" s="41"/>
      <c r="S892" s="41"/>
      <c r="U892" s="4"/>
      <c r="V892" s="4"/>
    </row>
    <row r="893" spans="1:22" ht="14.4">
      <c r="A893" s="34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41"/>
      <c r="P893" s="41"/>
      <c r="Q893" s="41"/>
      <c r="R893" s="41"/>
      <c r="S893" s="41"/>
      <c r="U893" s="4"/>
      <c r="V893" s="4"/>
    </row>
    <row r="894" spans="1:22" ht="14.4">
      <c r="A894" s="34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41"/>
      <c r="P894" s="41"/>
      <c r="Q894" s="41"/>
      <c r="R894" s="41"/>
      <c r="S894" s="41"/>
      <c r="U894" s="4"/>
      <c r="V894" s="4"/>
    </row>
    <row r="895" spans="1:22" ht="14.4">
      <c r="A895" s="34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41"/>
      <c r="P895" s="41"/>
      <c r="Q895" s="41"/>
      <c r="R895" s="41"/>
      <c r="S895" s="41"/>
      <c r="U895" s="4"/>
      <c r="V895" s="4"/>
    </row>
    <row r="896" spans="1:22" ht="14.4">
      <c r="A896" s="34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41"/>
      <c r="P896" s="41"/>
      <c r="Q896" s="41"/>
      <c r="R896" s="41"/>
      <c r="S896" s="41"/>
      <c r="U896" s="4"/>
      <c r="V896" s="4"/>
    </row>
    <row r="897" spans="1:22" ht="14.4">
      <c r="A897" s="34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41"/>
      <c r="P897" s="41"/>
      <c r="Q897" s="41"/>
      <c r="R897" s="41"/>
      <c r="S897" s="41"/>
      <c r="U897" s="4"/>
      <c r="V897" s="4"/>
    </row>
    <row r="898" spans="1:22" ht="14.4">
      <c r="A898" s="34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41"/>
      <c r="P898" s="41"/>
      <c r="Q898" s="41"/>
      <c r="R898" s="41"/>
      <c r="S898" s="41"/>
      <c r="U898" s="4"/>
      <c r="V898" s="4"/>
    </row>
    <row r="899" spans="1:22" ht="14.4">
      <c r="A899" s="34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41"/>
      <c r="P899" s="41"/>
      <c r="Q899" s="41"/>
      <c r="R899" s="41"/>
      <c r="S899" s="41"/>
      <c r="U899" s="4"/>
      <c r="V899" s="4"/>
    </row>
    <row r="900" spans="1:22" ht="14.4">
      <c r="A900" s="34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41"/>
      <c r="P900" s="41"/>
      <c r="Q900" s="41"/>
      <c r="R900" s="41"/>
      <c r="S900" s="41"/>
      <c r="U900" s="4"/>
      <c r="V900" s="4"/>
    </row>
    <row r="901" spans="1:22" ht="14.4">
      <c r="A901" s="34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41"/>
      <c r="P901" s="41"/>
      <c r="Q901" s="41"/>
      <c r="R901" s="41"/>
      <c r="S901" s="41"/>
      <c r="U901" s="4"/>
      <c r="V901" s="4"/>
    </row>
    <row r="902" spans="1:22" ht="14.4">
      <c r="A902" s="34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41"/>
      <c r="P902" s="41"/>
      <c r="Q902" s="41"/>
      <c r="R902" s="41"/>
      <c r="S902" s="41"/>
      <c r="U902" s="4"/>
      <c r="V902" s="4"/>
    </row>
    <row r="903" spans="1:22" ht="14.4">
      <c r="A903" s="34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41"/>
      <c r="P903" s="41"/>
      <c r="Q903" s="41"/>
      <c r="R903" s="41"/>
      <c r="S903" s="41"/>
      <c r="U903" s="4"/>
      <c r="V903" s="4"/>
    </row>
    <row r="904" spans="1:22" ht="14.4">
      <c r="A904" s="34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41"/>
      <c r="P904" s="41"/>
      <c r="Q904" s="41"/>
      <c r="R904" s="41"/>
      <c r="S904" s="41"/>
      <c r="U904" s="4"/>
      <c r="V904" s="4"/>
    </row>
    <row r="905" spans="1:22" ht="14.4">
      <c r="A905" s="34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41"/>
      <c r="P905" s="41"/>
      <c r="Q905" s="41"/>
      <c r="R905" s="41"/>
      <c r="S905" s="41"/>
      <c r="U905" s="4"/>
      <c r="V905" s="4"/>
    </row>
    <row r="906" spans="1:22" ht="14.4">
      <c r="A906" s="34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41"/>
      <c r="P906" s="41"/>
      <c r="Q906" s="41"/>
      <c r="R906" s="41"/>
      <c r="S906" s="41"/>
      <c r="U906" s="4"/>
      <c r="V906" s="4"/>
    </row>
    <row r="907" spans="1:22" ht="14.4">
      <c r="A907" s="34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41"/>
      <c r="P907" s="41"/>
      <c r="Q907" s="41"/>
      <c r="R907" s="41"/>
      <c r="S907" s="41"/>
      <c r="U907" s="4"/>
      <c r="V907" s="4"/>
    </row>
    <row r="908" spans="1:22" ht="14.4">
      <c r="A908" s="34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41"/>
      <c r="P908" s="41"/>
      <c r="Q908" s="41"/>
      <c r="R908" s="41"/>
      <c r="S908" s="41"/>
      <c r="U908" s="4"/>
      <c r="V908" s="4"/>
    </row>
    <row r="909" spans="1:22" ht="14.4">
      <c r="A909" s="34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41"/>
      <c r="P909" s="41"/>
      <c r="Q909" s="41"/>
      <c r="R909" s="41"/>
      <c r="S909" s="41"/>
      <c r="U909" s="4"/>
      <c r="V909" s="4"/>
    </row>
    <row r="910" spans="1:22" ht="14.4">
      <c r="A910" s="34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41"/>
      <c r="P910" s="41"/>
      <c r="Q910" s="41"/>
      <c r="R910" s="41"/>
      <c r="S910" s="41"/>
      <c r="U910" s="4"/>
      <c r="V910" s="4"/>
    </row>
    <row r="911" spans="1:22" ht="14.4">
      <c r="A911" s="34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41"/>
      <c r="P911" s="41"/>
      <c r="Q911" s="41"/>
      <c r="R911" s="41"/>
      <c r="S911" s="41"/>
      <c r="U911" s="4"/>
      <c r="V911" s="4"/>
    </row>
    <row r="912" spans="1:22" ht="14.4">
      <c r="A912" s="34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41"/>
      <c r="P912" s="41"/>
      <c r="Q912" s="41"/>
      <c r="R912" s="41"/>
      <c r="S912" s="41"/>
      <c r="U912" s="4"/>
      <c r="V912" s="4"/>
    </row>
    <row r="913" spans="1:22" ht="14.4">
      <c r="A913" s="34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41"/>
      <c r="P913" s="41"/>
      <c r="Q913" s="41"/>
      <c r="R913" s="41"/>
      <c r="S913" s="41"/>
      <c r="U913" s="4"/>
      <c r="V913" s="4"/>
    </row>
    <row r="914" spans="1:22" ht="14.4">
      <c r="A914" s="34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41"/>
      <c r="P914" s="41"/>
      <c r="Q914" s="41"/>
      <c r="R914" s="41"/>
      <c r="S914" s="41"/>
      <c r="U914" s="4"/>
      <c r="V914" s="4"/>
    </row>
    <row r="915" spans="1:22" ht="14.4">
      <c r="A915" s="34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41"/>
      <c r="P915" s="41"/>
      <c r="Q915" s="41"/>
      <c r="R915" s="41"/>
      <c r="S915" s="41"/>
      <c r="U915" s="4"/>
      <c r="V915" s="4"/>
    </row>
    <row r="916" spans="1:22" ht="14.4">
      <c r="A916" s="34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41"/>
      <c r="P916" s="41"/>
      <c r="Q916" s="41"/>
      <c r="R916" s="41"/>
      <c r="S916" s="41"/>
      <c r="U916" s="4"/>
      <c r="V916" s="4"/>
    </row>
    <row r="917" spans="1:22" ht="14.4">
      <c r="A917" s="34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41"/>
      <c r="P917" s="41"/>
      <c r="Q917" s="41"/>
      <c r="R917" s="41"/>
      <c r="S917" s="41"/>
      <c r="U917" s="4"/>
      <c r="V917" s="4"/>
    </row>
    <row r="918" spans="1:22" ht="14.4">
      <c r="A918" s="34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41"/>
      <c r="P918" s="41"/>
      <c r="Q918" s="41"/>
      <c r="R918" s="41"/>
      <c r="S918" s="41"/>
      <c r="U918" s="4"/>
      <c r="V918" s="4"/>
    </row>
    <row r="919" spans="1:22" ht="14.4">
      <c r="A919" s="34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41"/>
      <c r="P919" s="41"/>
      <c r="Q919" s="41"/>
      <c r="R919" s="41"/>
      <c r="S919" s="41"/>
      <c r="U919" s="4"/>
      <c r="V919" s="4"/>
    </row>
    <row r="920" spans="1:22" ht="14.4">
      <c r="A920" s="34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41"/>
      <c r="P920" s="41"/>
      <c r="Q920" s="41"/>
      <c r="R920" s="41"/>
      <c r="S920" s="41"/>
      <c r="U920" s="4"/>
      <c r="V920" s="4"/>
    </row>
    <row r="921" spans="1:22" ht="14.4">
      <c r="A921" s="34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41"/>
      <c r="P921" s="41"/>
      <c r="Q921" s="41"/>
      <c r="R921" s="41"/>
      <c r="S921" s="41"/>
      <c r="U921" s="4"/>
      <c r="V921" s="4"/>
    </row>
    <row r="922" spans="1:22" ht="14.4">
      <c r="A922" s="34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41"/>
      <c r="P922" s="41"/>
      <c r="Q922" s="41"/>
      <c r="R922" s="41"/>
      <c r="S922" s="41"/>
      <c r="U922" s="4"/>
      <c r="V922" s="4"/>
    </row>
    <row r="923" spans="1:22" ht="14.4">
      <c r="A923" s="34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41"/>
      <c r="P923" s="41"/>
      <c r="Q923" s="41"/>
      <c r="R923" s="41"/>
      <c r="S923" s="41"/>
      <c r="U923" s="4"/>
      <c r="V923" s="4"/>
    </row>
    <row r="924" spans="1:22" ht="14.4">
      <c r="A924" s="34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41"/>
      <c r="P924" s="41"/>
      <c r="Q924" s="41"/>
      <c r="R924" s="41"/>
      <c r="S924" s="41"/>
      <c r="U924" s="4"/>
      <c r="V924" s="4"/>
    </row>
    <row r="925" spans="1:22" ht="14.4">
      <c r="A925" s="34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41"/>
      <c r="P925" s="41"/>
      <c r="Q925" s="41"/>
      <c r="R925" s="41"/>
      <c r="S925" s="41"/>
      <c r="U925" s="4"/>
      <c r="V925" s="4"/>
    </row>
    <row r="926" spans="1:22" ht="14.4">
      <c r="A926" s="34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41"/>
      <c r="P926" s="41"/>
      <c r="Q926" s="41"/>
      <c r="R926" s="41"/>
      <c r="S926" s="41"/>
      <c r="U926" s="4"/>
      <c r="V926" s="4"/>
    </row>
    <row r="927" spans="1:22" ht="14.4">
      <c r="A927" s="34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41"/>
      <c r="P927" s="41"/>
      <c r="Q927" s="41"/>
      <c r="R927" s="41"/>
      <c r="S927" s="41"/>
      <c r="U927" s="4"/>
      <c r="V927" s="4"/>
    </row>
    <row r="928" spans="1:22" ht="14.4">
      <c r="A928" s="34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41"/>
      <c r="P928" s="41"/>
      <c r="Q928" s="41"/>
      <c r="R928" s="41"/>
      <c r="S928" s="41"/>
      <c r="U928" s="4"/>
      <c r="V928" s="4"/>
    </row>
    <row r="929" spans="1:22" ht="14.4">
      <c r="A929" s="34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41"/>
      <c r="P929" s="41"/>
      <c r="Q929" s="41"/>
      <c r="R929" s="41"/>
      <c r="S929" s="41"/>
      <c r="U929" s="4"/>
      <c r="V929" s="4"/>
    </row>
    <row r="930" spans="1:22" ht="14.4">
      <c r="A930" s="34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41"/>
      <c r="P930" s="41"/>
      <c r="Q930" s="41"/>
      <c r="R930" s="41"/>
      <c r="S930" s="41"/>
      <c r="U930" s="4"/>
      <c r="V930" s="4"/>
    </row>
    <row r="931" spans="1:22" ht="14.4">
      <c r="A931" s="34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41"/>
      <c r="P931" s="41"/>
      <c r="Q931" s="41"/>
      <c r="R931" s="41"/>
      <c r="S931" s="41"/>
      <c r="U931" s="4"/>
      <c r="V931" s="4"/>
    </row>
    <row r="932" spans="1:22" ht="14.4">
      <c r="A932" s="34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41"/>
      <c r="P932" s="41"/>
      <c r="Q932" s="41"/>
      <c r="R932" s="41"/>
      <c r="S932" s="41"/>
      <c r="U932" s="4"/>
      <c r="V932" s="4"/>
    </row>
    <row r="933" spans="1:22" ht="14.4">
      <c r="A933" s="34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41"/>
      <c r="P933" s="41"/>
      <c r="Q933" s="41"/>
      <c r="R933" s="41"/>
      <c r="S933" s="41"/>
      <c r="U933" s="4"/>
      <c r="V933" s="4"/>
    </row>
    <row r="934" spans="1:22" ht="14.4">
      <c r="A934" s="34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41"/>
      <c r="P934" s="41"/>
      <c r="Q934" s="41"/>
      <c r="R934" s="41"/>
      <c r="S934" s="41"/>
      <c r="U934" s="4"/>
      <c r="V934" s="4"/>
    </row>
    <row r="935" spans="1:22" ht="14.4">
      <c r="A935" s="34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41"/>
      <c r="P935" s="41"/>
      <c r="Q935" s="41"/>
      <c r="R935" s="41"/>
      <c r="S935" s="41"/>
      <c r="U935" s="4"/>
      <c r="V935" s="4"/>
    </row>
    <row r="936" spans="1:22" ht="14.4">
      <c r="A936" s="34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41"/>
      <c r="P936" s="41"/>
      <c r="Q936" s="41"/>
      <c r="R936" s="41"/>
      <c r="S936" s="41"/>
      <c r="U936" s="4"/>
      <c r="V936" s="4"/>
    </row>
    <row r="937" spans="1:22" ht="14.4">
      <c r="A937" s="34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41"/>
      <c r="P937" s="41"/>
      <c r="Q937" s="41"/>
      <c r="R937" s="41"/>
      <c r="S937" s="41"/>
      <c r="U937" s="4"/>
      <c r="V937" s="4"/>
    </row>
    <row r="938" spans="1:22" ht="14.4">
      <c r="A938" s="34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41"/>
      <c r="P938" s="41"/>
      <c r="Q938" s="41"/>
      <c r="R938" s="41"/>
      <c r="S938" s="41"/>
      <c r="U938" s="4"/>
      <c r="V938" s="4"/>
    </row>
    <row r="939" spans="1:22" ht="14.4">
      <c r="A939" s="34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41"/>
      <c r="P939" s="41"/>
      <c r="Q939" s="41"/>
      <c r="R939" s="41"/>
      <c r="S939" s="41"/>
      <c r="U939" s="4"/>
      <c r="V939" s="4"/>
    </row>
    <row r="940" spans="1:22" ht="14.4">
      <c r="A940" s="34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41"/>
      <c r="P940" s="41"/>
      <c r="Q940" s="41"/>
      <c r="R940" s="41"/>
      <c r="S940" s="41"/>
      <c r="U940" s="4"/>
      <c r="V940" s="4"/>
    </row>
    <row r="941" spans="1:22" ht="14.4">
      <c r="A941" s="34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41"/>
      <c r="P941" s="41"/>
      <c r="Q941" s="41"/>
      <c r="R941" s="41"/>
      <c r="S941" s="41"/>
      <c r="U941" s="4"/>
      <c r="V941" s="4"/>
    </row>
    <row r="942" spans="1:22" ht="14.4">
      <c r="A942" s="34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41"/>
      <c r="P942" s="41"/>
      <c r="Q942" s="41"/>
      <c r="R942" s="41"/>
      <c r="S942" s="41"/>
      <c r="U942" s="4"/>
      <c r="V942" s="4"/>
    </row>
    <row r="943" spans="1:22" ht="14.4">
      <c r="A943" s="34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41"/>
      <c r="P943" s="41"/>
      <c r="Q943" s="41"/>
      <c r="R943" s="41"/>
      <c r="S943" s="41"/>
      <c r="U943" s="4"/>
      <c r="V943" s="4"/>
    </row>
    <row r="944" spans="1:22" ht="14.4">
      <c r="A944" s="34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41"/>
      <c r="P944" s="41"/>
      <c r="Q944" s="41"/>
      <c r="R944" s="41"/>
      <c r="S944" s="41"/>
      <c r="U944" s="4"/>
      <c r="V944" s="4"/>
    </row>
    <row r="945" spans="1:22" ht="14.4">
      <c r="A945" s="34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41"/>
      <c r="P945" s="41"/>
      <c r="Q945" s="41"/>
      <c r="R945" s="41"/>
      <c r="S945" s="41"/>
      <c r="U945" s="4"/>
      <c r="V945" s="4"/>
    </row>
    <row r="946" spans="1:22" ht="14.4">
      <c r="A946" s="34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41"/>
      <c r="P946" s="41"/>
      <c r="Q946" s="41"/>
      <c r="R946" s="41"/>
      <c r="S946" s="41"/>
      <c r="U946" s="4"/>
      <c r="V946" s="4"/>
    </row>
    <row r="947" spans="1:22" ht="14.4">
      <c r="A947" s="34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41"/>
      <c r="P947" s="41"/>
      <c r="Q947" s="41"/>
      <c r="R947" s="41"/>
      <c r="S947" s="41"/>
      <c r="U947" s="4"/>
      <c r="V947" s="4"/>
    </row>
    <row r="948" spans="1:22" ht="14.4">
      <c r="A948" s="34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41"/>
      <c r="P948" s="41"/>
      <c r="Q948" s="41"/>
      <c r="R948" s="41"/>
      <c r="S948" s="41"/>
      <c r="U948" s="4"/>
      <c r="V948" s="4"/>
    </row>
    <row r="949" spans="1:22" ht="14.4">
      <c r="A949" s="34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41"/>
      <c r="P949" s="41"/>
      <c r="Q949" s="41"/>
      <c r="R949" s="41"/>
      <c r="S949" s="41"/>
      <c r="U949" s="4"/>
      <c r="V949" s="4"/>
    </row>
    <row r="950" spans="1:22" ht="14.4">
      <c r="A950" s="34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41"/>
      <c r="P950" s="41"/>
      <c r="Q950" s="41"/>
      <c r="R950" s="41"/>
      <c r="S950" s="41"/>
      <c r="U950" s="4"/>
      <c r="V950" s="4"/>
    </row>
    <row r="951" spans="1:22" ht="14.4">
      <c r="A951" s="34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41"/>
      <c r="P951" s="41"/>
      <c r="Q951" s="41"/>
      <c r="R951" s="41"/>
      <c r="S951" s="41"/>
      <c r="U951" s="4"/>
      <c r="V951" s="4"/>
    </row>
    <row r="952" spans="1:22" ht="14.4">
      <c r="A952" s="34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41"/>
      <c r="P952" s="41"/>
      <c r="Q952" s="41"/>
      <c r="R952" s="41"/>
      <c r="S952" s="41"/>
      <c r="U952" s="4"/>
      <c r="V952" s="4"/>
    </row>
    <row r="953" spans="1:22" ht="14.4">
      <c r="A953" s="34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41"/>
      <c r="P953" s="41"/>
      <c r="Q953" s="41"/>
      <c r="R953" s="41"/>
      <c r="S953" s="41"/>
      <c r="U953" s="4"/>
      <c r="V953" s="4"/>
    </row>
    <row r="954" spans="1:22" ht="14.4">
      <c r="A954" s="34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41"/>
      <c r="P954" s="41"/>
      <c r="Q954" s="41"/>
      <c r="R954" s="41"/>
      <c r="S954" s="41"/>
      <c r="U954" s="4"/>
      <c r="V954" s="4"/>
    </row>
    <row r="955" spans="1:22" ht="14.4">
      <c r="A955" s="34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41"/>
      <c r="P955" s="41"/>
      <c r="Q955" s="41"/>
      <c r="R955" s="41"/>
      <c r="S955" s="41"/>
      <c r="U955" s="4"/>
      <c r="V955" s="4"/>
    </row>
    <row r="956" spans="1:22" ht="14.4">
      <c r="A956" s="34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41"/>
      <c r="P956" s="41"/>
      <c r="Q956" s="41"/>
      <c r="R956" s="41"/>
      <c r="S956" s="41"/>
      <c r="U956" s="4"/>
      <c r="V956" s="4"/>
    </row>
    <row r="957" spans="1:22" ht="14.4">
      <c r="A957" s="34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41"/>
      <c r="P957" s="41"/>
      <c r="Q957" s="41"/>
      <c r="R957" s="41"/>
      <c r="S957" s="41"/>
      <c r="U957" s="4"/>
      <c r="V957" s="4"/>
    </row>
    <row r="958" spans="1:22" ht="14.4">
      <c r="A958" s="34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41"/>
      <c r="P958" s="41"/>
      <c r="Q958" s="41"/>
      <c r="R958" s="41"/>
      <c r="S958" s="41"/>
      <c r="U958" s="4"/>
      <c r="V958" s="4"/>
    </row>
    <row r="959" spans="1:22" ht="14.4">
      <c r="A959" s="34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41"/>
      <c r="P959" s="41"/>
      <c r="Q959" s="41"/>
      <c r="R959" s="41"/>
      <c r="S959" s="41"/>
      <c r="U959" s="4"/>
      <c r="V959" s="4"/>
    </row>
    <row r="960" spans="1:22" ht="14.4">
      <c r="A960" s="34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41"/>
      <c r="P960" s="41"/>
      <c r="Q960" s="41"/>
      <c r="R960" s="41"/>
      <c r="S960" s="41"/>
      <c r="U960" s="4"/>
      <c r="V960" s="4"/>
    </row>
    <row r="961" spans="1:22" ht="14.4">
      <c r="A961" s="34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41"/>
      <c r="P961" s="41"/>
      <c r="Q961" s="41"/>
      <c r="R961" s="41"/>
      <c r="S961" s="41"/>
      <c r="U961" s="4"/>
      <c r="V961" s="4"/>
    </row>
    <row r="962" spans="1:22" ht="14.4">
      <c r="A962" s="34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41"/>
      <c r="P962" s="41"/>
      <c r="Q962" s="41"/>
      <c r="R962" s="41"/>
      <c r="S962" s="41"/>
      <c r="U962" s="4"/>
      <c r="V962" s="4"/>
    </row>
    <row r="963" spans="1:22" ht="14.4">
      <c r="A963" s="34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41"/>
      <c r="P963" s="41"/>
      <c r="Q963" s="41"/>
      <c r="R963" s="41"/>
      <c r="S963" s="41"/>
      <c r="U963" s="4"/>
      <c r="V963" s="4"/>
    </row>
    <row r="964" spans="1:22" ht="14.4">
      <c r="A964" s="34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41"/>
      <c r="P964" s="41"/>
      <c r="Q964" s="41"/>
      <c r="R964" s="41"/>
      <c r="S964" s="41"/>
      <c r="U964" s="4"/>
      <c r="V964" s="4"/>
    </row>
    <row r="965" spans="1:22" ht="14.4">
      <c r="A965" s="34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41"/>
      <c r="P965" s="41"/>
      <c r="Q965" s="41"/>
      <c r="R965" s="41"/>
      <c r="S965" s="41"/>
      <c r="U965" s="4"/>
      <c r="V965" s="4"/>
    </row>
    <row r="966" spans="1:22" ht="14.4">
      <c r="A966" s="34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41"/>
      <c r="P966" s="41"/>
      <c r="Q966" s="41"/>
      <c r="R966" s="41"/>
      <c r="S966" s="41"/>
      <c r="U966" s="4"/>
      <c r="V966" s="4"/>
    </row>
    <row r="967" spans="1:22" ht="14.4">
      <c r="A967" s="34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41"/>
      <c r="P967" s="41"/>
      <c r="Q967" s="41"/>
      <c r="R967" s="41"/>
      <c r="S967" s="41"/>
      <c r="U967" s="4"/>
      <c r="V967" s="4"/>
    </row>
    <row r="968" spans="1:22" ht="14.4">
      <c r="A968" s="34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41"/>
      <c r="P968" s="41"/>
      <c r="Q968" s="41"/>
      <c r="R968" s="41"/>
      <c r="S968" s="41"/>
      <c r="U968" s="4"/>
      <c r="V968" s="4"/>
    </row>
    <row r="969" spans="1:22" ht="14.4">
      <c r="A969" s="34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41"/>
      <c r="P969" s="41"/>
      <c r="Q969" s="41"/>
      <c r="R969" s="41"/>
      <c r="S969" s="41"/>
      <c r="U969" s="4"/>
      <c r="V969" s="4"/>
    </row>
    <row r="970" spans="1:22" ht="14.4">
      <c r="A970" s="34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41"/>
      <c r="P970" s="41"/>
      <c r="Q970" s="41"/>
      <c r="R970" s="41"/>
      <c r="S970" s="41"/>
      <c r="U970" s="4"/>
      <c r="V970" s="4"/>
    </row>
    <row r="971" spans="1:22" ht="14.4">
      <c r="A971" s="34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41"/>
      <c r="P971" s="41"/>
      <c r="Q971" s="41"/>
      <c r="R971" s="41"/>
      <c r="S971" s="41"/>
      <c r="U971" s="4"/>
      <c r="V971" s="4"/>
    </row>
    <row r="972" spans="1:22" ht="14.4">
      <c r="A972" s="34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41"/>
      <c r="P972" s="41"/>
      <c r="Q972" s="41"/>
      <c r="R972" s="41"/>
      <c r="S972" s="41"/>
      <c r="U972" s="4"/>
      <c r="V972" s="4"/>
    </row>
    <row r="973" spans="1:22" ht="14.4">
      <c r="A973" s="34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41"/>
      <c r="P973" s="41"/>
      <c r="Q973" s="41"/>
      <c r="R973" s="41"/>
      <c r="S973" s="41"/>
      <c r="U973" s="4"/>
      <c r="V973" s="4"/>
    </row>
    <row r="974" spans="1:22" ht="14.4">
      <c r="A974" s="34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41"/>
      <c r="P974" s="41"/>
      <c r="Q974" s="41"/>
      <c r="R974" s="41"/>
      <c r="S974" s="41"/>
      <c r="U974" s="4"/>
      <c r="V974" s="4"/>
    </row>
    <row r="975" spans="1:22" ht="14.4">
      <c r="A975" s="34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41"/>
      <c r="P975" s="41"/>
      <c r="Q975" s="41"/>
      <c r="R975" s="41"/>
      <c r="S975" s="41"/>
      <c r="U975" s="4"/>
      <c r="V975" s="4"/>
    </row>
    <row r="976" spans="1:22" ht="14.4">
      <c r="A976" s="34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41"/>
      <c r="P976" s="41"/>
      <c r="Q976" s="41"/>
      <c r="R976" s="41"/>
      <c r="S976" s="41"/>
      <c r="U976" s="4"/>
      <c r="V976" s="4"/>
    </row>
    <row r="977" spans="1:22" ht="14.4">
      <c r="A977" s="34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41"/>
      <c r="P977" s="41"/>
      <c r="Q977" s="41"/>
      <c r="R977" s="41"/>
      <c r="S977" s="41"/>
      <c r="U977" s="4"/>
      <c r="V977" s="4"/>
    </row>
    <row r="978" spans="1:22" ht="14.4">
      <c r="A978" s="34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41"/>
      <c r="P978" s="41"/>
      <c r="Q978" s="41"/>
      <c r="R978" s="41"/>
      <c r="S978" s="41"/>
      <c r="U978" s="4"/>
      <c r="V978" s="4"/>
    </row>
    <row r="979" spans="1:22" ht="14.4">
      <c r="A979" s="34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41"/>
      <c r="P979" s="41"/>
      <c r="Q979" s="41"/>
      <c r="R979" s="41"/>
      <c r="S979" s="41"/>
      <c r="U979" s="4"/>
      <c r="V979" s="4"/>
    </row>
    <row r="980" spans="1:22" ht="14.4">
      <c r="A980" s="34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41"/>
      <c r="P980" s="41"/>
      <c r="Q980" s="41"/>
      <c r="R980" s="41"/>
      <c r="S980" s="41"/>
      <c r="U980" s="4"/>
      <c r="V980" s="4"/>
    </row>
    <row r="981" spans="1:22" ht="14.4">
      <c r="A981" s="34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41"/>
      <c r="P981" s="41"/>
      <c r="Q981" s="41"/>
      <c r="R981" s="41"/>
      <c r="S981" s="41"/>
      <c r="U981" s="4"/>
      <c r="V981" s="4"/>
    </row>
    <row r="982" spans="1:22" ht="14.4">
      <c r="A982" s="34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41"/>
      <c r="P982" s="41"/>
      <c r="Q982" s="41"/>
      <c r="R982" s="41"/>
      <c r="S982" s="41"/>
      <c r="U982" s="4"/>
      <c r="V982" s="4"/>
    </row>
    <row r="983" spans="1:22" ht="14.4">
      <c r="A983" s="34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41"/>
      <c r="P983" s="41"/>
      <c r="Q983" s="41"/>
      <c r="R983" s="41"/>
      <c r="S983" s="41"/>
      <c r="U983" s="4"/>
      <c r="V983" s="4"/>
    </row>
    <row r="984" spans="1:22" ht="14.4">
      <c r="A984" s="34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41"/>
      <c r="P984" s="41"/>
      <c r="Q984" s="41"/>
      <c r="R984" s="41"/>
      <c r="S984" s="41"/>
      <c r="U984" s="4"/>
      <c r="V984" s="4"/>
    </row>
    <row r="985" spans="1:22" ht="14.4">
      <c r="A985" s="34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41"/>
      <c r="P985" s="41"/>
      <c r="Q985" s="41"/>
      <c r="R985" s="41"/>
      <c r="S985" s="41"/>
      <c r="U985" s="4"/>
      <c r="V985" s="4"/>
    </row>
    <row r="986" spans="1:22" ht="14.4">
      <c r="A986" s="34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41"/>
      <c r="P986" s="41"/>
      <c r="Q986" s="41"/>
      <c r="R986" s="41"/>
      <c r="S986" s="41"/>
      <c r="U986" s="4"/>
      <c r="V986" s="4"/>
    </row>
    <row r="987" spans="1:22" ht="14.4">
      <c r="A987" s="34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41"/>
      <c r="P987" s="41"/>
      <c r="Q987" s="41"/>
      <c r="R987" s="41"/>
      <c r="S987" s="41"/>
      <c r="U987" s="4"/>
      <c r="V987" s="4"/>
    </row>
    <row r="988" spans="1:22" ht="14.4">
      <c r="A988" s="34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41"/>
      <c r="P988" s="41"/>
      <c r="Q988" s="41"/>
      <c r="R988" s="41"/>
      <c r="S988" s="41"/>
      <c r="U988" s="4"/>
      <c r="V988" s="4"/>
    </row>
    <row r="989" spans="1:22" ht="14.4">
      <c r="A989" s="34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41"/>
      <c r="P989" s="41"/>
      <c r="Q989" s="41"/>
      <c r="R989" s="41"/>
      <c r="S989" s="41"/>
      <c r="U989" s="4"/>
      <c r="V989" s="4"/>
    </row>
    <row r="990" spans="1:22" ht="14.4">
      <c r="A990" s="34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41"/>
      <c r="P990" s="41"/>
      <c r="Q990" s="41"/>
      <c r="R990" s="41"/>
      <c r="S990" s="41"/>
      <c r="U990" s="4"/>
      <c r="V990" s="4"/>
    </row>
    <row r="991" spans="1:22" ht="14.4">
      <c r="A991" s="34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41"/>
      <c r="P991" s="41"/>
      <c r="Q991" s="41"/>
      <c r="R991" s="41"/>
      <c r="S991" s="41"/>
      <c r="U991" s="4"/>
      <c r="V991" s="4"/>
    </row>
    <row r="992" spans="1:22" ht="14.4">
      <c r="A992" s="34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41"/>
      <c r="P992" s="41"/>
      <c r="Q992" s="41"/>
      <c r="R992" s="41"/>
      <c r="S992" s="41"/>
      <c r="U992" s="4"/>
      <c r="V992" s="4"/>
    </row>
    <row r="993" spans="1:22" ht="14.4">
      <c r="A993" s="34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41"/>
      <c r="P993" s="41"/>
      <c r="Q993" s="41"/>
      <c r="R993" s="41"/>
      <c r="S993" s="41"/>
      <c r="U993" s="4"/>
      <c r="V993" s="4"/>
    </row>
    <row r="994" spans="1:22" ht="14.4">
      <c r="A994" s="34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41"/>
      <c r="P994" s="41"/>
      <c r="Q994" s="41"/>
      <c r="R994" s="41"/>
      <c r="S994" s="41"/>
      <c r="U994" s="4"/>
      <c r="V994" s="4"/>
    </row>
    <row r="995" spans="1:22" ht="14.4">
      <c r="A995" s="34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41"/>
      <c r="P995" s="41"/>
      <c r="Q995" s="41"/>
      <c r="R995" s="41"/>
      <c r="S995" s="41"/>
      <c r="U995" s="4"/>
      <c r="V995" s="4"/>
    </row>
    <row r="996" spans="1:22" ht="14.4">
      <c r="A996" s="34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41"/>
      <c r="P996" s="41"/>
      <c r="Q996" s="41"/>
      <c r="R996" s="41"/>
      <c r="S996" s="41"/>
      <c r="U996" s="4"/>
      <c r="V996" s="4"/>
    </row>
    <row r="997" spans="1:22" ht="14.4">
      <c r="A997" s="34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41"/>
      <c r="P997" s="41"/>
      <c r="Q997" s="41"/>
      <c r="R997" s="41"/>
      <c r="S997" s="41"/>
      <c r="U997" s="4"/>
      <c r="V997" s="4"/>
    </row>
    <row r="998" spans="1:22" ht="14.4">
      <c r="A998" s="34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41"/>
      <c r="P998" s="41"/>
      <c r="Q998" s="41"/>
      <c r="R998" s="41"/>
      <c r="S998" s="41"/>
      <c r="U998" s="4"/>
      <c r="V998" s="4"/>
    </row>
    <row r="999" spans="1:22" ht="14.4">
      <c r="A999" s="34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41"/>
      <c r="P999" s="41"/>
      <c r="Q999" s="41"/>
      <c r="R999" s="41"/>
      <c r="S999" s="41"/>
      <c r="U999" s="4"/>
      <c r="V999" s="4"/>
    </row>
    <row r="1000" spans="1:22" ht="14.4">
      <c r="A1000" s="34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41"/>
      <c r="P1000" s="41"/>
      <c r="Q1000" s="41"/>
      <c r="R1000" s="41"/>
      <c r="S1000" s="41"/>
      <c r="U1000" s="4"/>
      <c r="V1000" s="4"/>
    </row>
    <row r="1001" spans="1:22" ht="14.4">
      <c r="A1001" s="34"/>
      <c r="B1001" s="35"/>
      <c r="C1001" s="35"/>
      <c r="D1001" s="35"/>
      <c r="E1001" s="35"/>
      <c r="F1001" s="35"/>
      <c r="G1001" s="35"/>
      <c r="H1001" s="35"/>
      <c r="I1001" s="35"/>
      <c r="J1001" s="35"/>
      <c r="K1001" s="35"/>
      <c r="L1001" s="35"/>
      <c r="M1001" s="35"/>
      <c r="N1001" s="35"/>
      <c r="O1001" s="41"/>
      <c r="P1001" s="41"/>
      <c r="Q1001" s="41"/>
      <c r="R1001" s="41"/>
      <c r="S1001" s="41"/>
      <c r="U1001" s="4"/>
      <c r="V1001" s="4"/>
    </row>
    <row r="1002" spans="1:22" ht="14.4">
      <c r="A1002" s="34"/>
      <c r="B1002" s="35"/>
      <c r="C1002" s="35"/>
      <c r="D1002" s="35"/>
      <c r="E1002" s="35"/>
      <c r="F1002" s="35"/>
      <c r="G1002" s="35"/>
      <c r="H1002" s="35"/>
      <c r="I1002" s="35"/>
      <c r="J1002" s="35"/>
      <c r="K1002" s="35"/>
      <c r="L1002" s="35"/>
      <c r="M1002" s="35"/>
      <c r="N1002" s="35"/>
      <c r="O1002" s="41"/>
      <c r="P1002" s="41"/>
      <c r="Q1002" s="41"/>
      <c r="R1002" s="41"/>
      <c r="S1002" s="41"/>
      <c r="U1002" s="4"/>
      <c r="V1002" s="4"/>
    </row>
    <row r="1003" spans="1:22" ht="13.2">
      <c r="A1003" s="34"/>
      <c r="B1003" s="35"/>
      <c r="C1003" s="35"/>
      <c r="D1003" s="35"/>
      <c r="E1003" s="35"/>
      <c r="F1003" s="35"/>
      <c r="G1003" s="35"/>
      <c r="H1003" s="35"/>
      <c r="I1003" s="35"/>
      <c r="J1003" s="35"/>
      <c r="K1003" s="35"/>
      <c r="L1003" s="35"/>
      <c r="M1003" s="35"/>
      <c r="N1003" s="35"/>
      <c r="O1003" s="41"/>
      <c r="P1003" s="41"/>
      <c r="Q1003" s="41"/>
      <c r="R1003" s="41"/>
      <c r="S1003" s="41"/>
    </row>
    <row r="1004" spans="1:22" ht="13.2">
      <c r="A1004" s="34"/>
      <c r="B1004" s="35"/>
      <c r="C1004" s="35"/>
      <c r="D1004" s="35"/>
      <c r="E1004" s="35"/>
      <c r="F1004" s="35"/>
      <c r="G1004" s="35"/>
      <c r="H1004" s="35"/>
      <c r="I1004" s="35"/>
      <c r="J1004" s="35"/>
      <c r="K1004" s="35"/>
      <c r="L1004" s="35"/>
      <c r="M1004" s="35"/>
      <c r="N1004" s="35"/>
      <c r="O1004" s="41"/>
      <c r="P1004" s="41"/>
      <c r="Q1004" s="41"/>
      <c r="R1004" s="41"/>
      <c r="S1004" s="41"/>
    </row>
    <row r="1005" spans="1:22" ht="13.2">
      <c r="A1005" s="34"/>
      <c r="B1005" s="35"/>
      <c r="C1005" s="35"/>
      <c r="D1005" s="35"/>
      <c r="E1005" s="35"/>
      <c r="F1005" s="35"/>
      <c r="G1005" s="35"/>
      <c r="H1005" s="35"/>
      <c r="I1005" s="35"/>
      <c r="J1005" s="35"/>
      <c r="K1005" s="35"/>
      <c r="L1005" s="35"/>
      <c r="M1005" s="35"/>
      <c r="N1005" s="35"/>
      <c r="O1005" s="41"/>
      <c r="P1005" s="41"/>
      <c r="Q1005" s="41"/>
      <c r="R1005" s="41"/>
      <c r="S1005" s="41"/>
    </row>
    <row r="1006" spans="1:22" ht="13.2">
      <c r="A1006" s="34"/>
      <c r="B1006" s="35"/>
      <c r="C1006" s="35"/>
      <c r="D1006" s="35"/>
      <c r="E1006" s="35"/>
      <c r="F1006" s="35"/>
      <c r="G1006" s="35"/>
      <c r="H1006" s="35"/>
      <c r="I1006" s="35"/>
      <c r="J1006" s="35"/>
      <c r="K1006" s="35"/>
      <c r="L1006" s="35"/>
      <c r="M1006" s="35"/>
      <c r="N1006" s="35"/>
      <c r="O1006" s="41"/>
      <c r="P1006" s="41"/>
      <c r="Q1006" s="41"/>
      <c r="R1006" s="41"/>
      <c r="S1006" s="41"/>
    </row>
  </sheetData>
  <mergeCells count="7">
    <mergeCell ref="C1:N1"/>
    <mergeCell ref="O1:R1"/>
    <mergeCell ref="S1:S3"/>
    <mergeCell ref="A2:A3"/>
    <mergeCell ref="B2:B3"/>
    <mergeCell ref="C2:H2"/>
    <mergeCell ref="I2:N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E1015"/>
  <sheetViews>
    <sheetView workbookViewId="0"/>
  </sheetViews>
  <sheetFormatPr baseColWidth="10" defaultColWidth="12.6640625" defaultRowHeight="15.75" customHeight="1"/>
  <sheetData>
    <row r="1" spans="1:31" ht="15.75" customHeight="1">
      <c r="A1" s="43" t="s">
        <v>361</v>
      </c>
      <c r="B1" s="43" t="s">
        <v>6</v>
      </c>
      <c r="C1" s="44" t="s">
        <v>362</v>
      </c>
      <c r="D1" s="45" t="s">
        <v>363</v>
      </c>
      <c r="E1" s="46" t="s">
        <v>364</v>
      </c>
      <c r="F1" s="47" t="s">
        <v>365</v>
      </c>
      <c r="G1" s="45" t="s">
        <v>366</v>
      </c>
      <c r="H1" s="46" t="s">
        <v>367</v>
      </c>
      <c r="I1" s="47" t="s">
        <v>368</v>
      </c>
      <c r="J1" s="48"/>
      <c r="K1" s="49"/>
      <c r="L1" s="4"/>
      <c r="M1" s="82"/>
      <c r="N1" s="83" t="s">
        <v>396</v>
      </c>
      <c r="O1" s="84"/>
      <c r="P1" s="84"/>
      <c r="Q1" s="85"/>
      <c r="R1" s="47" t="s">
        <v>365</v>
      </c>
      <c r="S1" s="47" t="s">
        <v>368</v>
      </c>
      <c r="T1" s="50"/>
      <c r="U1" s="50"/>
      <c r="V1" s="4"/>
      <c r="W1" s="4"/>
      <c r="X1" s="4"/>
      <c r="Y1" s="4"/>
      <c r="Z1" s="4"/>
      <c r="AA1" s="4"/>
      <c r="AB1" s="4"/>
      <c r="AC1" s="4"/>
      <c r="AD1" s="4"/>
      <c r="AE1" s="4"/>
    </row>
    <row r="2" spans="1:31" ht="15.75" customHeight="1">
      <c r="A2" s="51">
        <v>10101</v>
      </c>
      <c r="B2" s="52" t="s">
        <v>19</v>
      </c>
      <c r="C2" s="51" t="s">
        <v>369</v>
      </c>
      <c r="D2" s="53">
        <v>273330</v>
      </c>
      <c r="E2" s="53">
        <v>87218811.031639099</v>
      </c>
      <c r="F2" s="54">
        <f t="shared" ref="F2:F256" si="0">E2/D2</f>
        <v>319.09710251944205</v>
      </c>
      <c r="G2" s="53">
        <v>296746</v>
      </c>
      <c r="H2" s="53">
        <v>104251594.00765991</v>
      </c>
      <c r="I2" s="54">
        <f t="shared" ref="I2:I256" si="1">H2/G2</f>
        <v>351.31592003821419</v>
      </c>
      <c r="J2" s="55"/>
      <c r="K2" s="37"/>
      <c r="L2" s="42"/>
      <c r="M2" s="83" t="s">
        <v>362</v>
      </c>
      <c r="N2" s="82" t="s">
        <v>397</v>
      </c>
      <c r="O2" s="86" t="s">
        <v>398</v>
      </c>
      <c r="P2" s="86" t="s">
        <v>399</v>
      </c>
      <c r="Q2" s="87" t="s">
        <v>400</v>
      </c>
      <c r="R2" s="52" t="e">
        <f t="shared" ref="R2:S2" si="2">N2/P2</f>
        <v>#VALUE!</v>
      </c>
      <c r="S2" s="52" t="e">
        <f t="shared" si="2"/>
        <v>#VALUE!</v>
      </c>
      <c r="T2" s="50"/>
      <c r="U2" s="50"/>
      <c r="V2" s="4"/>
      <c r="W2" s="4"/>
      <c r="X2" s="4"/>
      <c r="Y2" s="4"/>
      <c r="Z2" s="4"/>
      <c r="AA2" s="4"/>
      <c r="AB2" s="4"/>
      <c r="AC2" s="4"/>
      <c r="AD2" s="4"/>
      <c r="AE2" s="4"/>
    </row>
    <row r="3" spans="1:31" ht="15.75" customHeight="1">
      <c r="A3" s="51">
        <v>10102</v>
      </c>
      <c r="B3" s="52" t="s">
        <v>20</v>
      </c>
      <c r="C3" s="51" t="s">
        <v>369</v>
      </c>
      <c r="D3" s="53">
        <v>9393</v>
      </c>
      <c r="E3" s="53">
        <v>1514645.0007061008</v>
      </c>
      <c r="F3" s="54">
        <f t="shared" si="0"/>
        <v>161.2525285538274</v>
      </c>
      <c r="G3" s="53">
        <v>9256</v>
      </c>
      <c r="H3" s="53">
        <v>1992966.9989318848</v>
      </c>
      <c r="I3" s="54">
        <f t="shared" si="1"/>
        <v>215.31622719661675</v>
      </c>
      <c r="J3" s="55"/>
      <c r="K3" s="37"/>
      <c r="L3" s="42"/>
      <c r="M3" s="88" t="s">
        <v>370</v>
      </c>
      <c r="N3" s="108">
        <v>110463879.01405314</v>
      </c>
      <c r="O3" s="109">
        <v>204766793.99804688</v>
      </c>
      <c r="P3" s="109">
        <v>444092.66666669998</v>
      </c>
      <c r="Q3" s="110">
        <v>488260</v>
      </c>
      <c r="R3" s="52">
        <f t="shared" ref="R3:S3" si="3">N3/P3</f>
        <v>248.74060597122713</v>
      </c>
      <c r="S3" s="52">
        <f t="shared" si="3"/>
        <v>419.38064555369448</v>
      </c>
      <c r="T3" s="50"/>
      <c r="U3" s="50"/>
      <c r="V3" s="4"/>
      <c r="W3" s="4"/>
      <c r="X3" s="4"/>
      <c r="Y3" s="4"/>
      <c r="Z3" s="4"/>
      <c r="AA3" s="4"/>
      <c r="AB3" s="4"/>
      <c r="AC3" s="4"/>
      <c r="AD3" s="4"/>
      <c r="AE3" s="4"/>
    </row>
    <row r="4" spans="1:31" ht="15.75" customHeight="1">
      <c r="A4" s="51">
        <v>10103</v>
      </c>
      <c r="B4" s="52" t="s">
        <v>21</v>
      </c>
      <c r="C4" s="51" t="s">
        <v>369</v>
      </c>
      <c r="D4" s="53">
        <v>15571</v>
      </c>
      <c r="E4" s="53">
        <v>164048.00001277123</v>
      </c>
      <c r="F4" s="54">
        <f t="shared" si="0"/>
        <v>10.535482628782431</v>
      </c>
      <c r="G4" s="53">
        <v>13649</v>
      </c>
      <c r="H4" s="53">
        <v>414412.00005340576</v>
      </c>
      <c r="I4" s="54">
        <f t="shared" si="1"/>
        <v>30.36207781181081</v>
      </c>
      <c r="J4" s="55"/>
      <c r="K4" s="37"/>
      <c r="L4" s="42"/>
      <c r="M4" s="89" t="s">
        <v>371</v>
      </c>
      <c r="N4" s="111">
        <v>3233373110.035706</v>
      </c>
      <c r="O4" s="112">
        <v>4033077520.5780029</v>
      </c>
      <c r="P4" s="112">
        <v>10495009.000000002</v>
      </c>
      <c r="Q4" s="113">
        <v>11365333</v>
      </c>
      <c r="R4" s="52">
        <f t="shared" ref="R4:S4" si="4">N4/P4</f>
        <v>308.08674009099997</v>
      </c>
      <c r="S4" s="52">
        <f t="shared" si="4"/>
        <v>354.85784011590357</v>
      </c>
      <c r="T4" s="50"/>
      <c r="U4" s="50"/>
      <c r="V4" s="4"/>
      <c r="W4" s="4"/>
      <c r="X4" s="4"/>
      <c r="Y4" s="4"/>
      <c r="Z4" s="4"/>
      <c r="AA4" s="4"/>
      <c r="AB4" s="4"/>
      <c r="AC4" s="4"/>
      <c r="AD4" s="4"/>
      <c r="AE4" s="4"/>
    </row>
    <row r="5" spans="1:31" ht="15.75" customHeight="1">
      <c r="A5" s="51">
        <v>10201</v>
      </c>
      <c r="B5" s="52" t="s">
        <v>22</v>
      </c>
      <c r="C5" s="51" t="s">
        <v>369</v>
      </c>
      <c r="D5" s="53">
        <v>9736</v>
      </c>
      <c r="E5" s="53">
        <v>332622.99985741545</v>
      </c>
      <c r="F5" s="54">
        <f t="shared" si="0"/>
        <v>34.164235811156061</v>
      </c>
      <c r="G5" s="53">
        <v>7903</v>
      </c>
      <c r="H5" s="53">
        <v>459137.99989318848</v>
      </c>
      <c r="I5" s="54">
        <f t="shared" si="1"/>
        <v>58.096672136301208</v>
      </c>
      <c r="J5" s="55"/>
      <c r="K5" s="37"/>
      <c r="L5" s="42"/>
      <c r="M5" s="89" t="s">
        <v>369</v>
      </c>
      <c r="N5" s="111">
        <v>106956167.16296129</v>
      </c>
      <c r="O5" s="112">
        <v>133651292.00892639</v>
      </c>
      <c r="P5" s="112">
        <v>589289</v>
      </c>
      <c r="Q5" s="113">
        <v>606027</v>
      </c>
      <c r="R5" s="52">
        <f t="shared" ref="R5:S5" si="5">N5/P5</f>
        <v>181.50036257754903</v>
      </c>
      <c r="S5" s="52">
        <f t="shared" si="5"/>
        <v>220.53686058364792</v>
      </c>
      <c r="T5" s="50"/>
      <c r="U5" s="50"/>
      <c r="V5" s="4"/>
      <c r="W5" s="4"/>
      <c r="X5" s="4"/>
      <c r="Y5" s="4"/>
      <c r="Z5" s="4"/>
      <c r="AA5" s="4"/>
      <c r="AB5" s="4"/>
      <c r="AC5" s="4"/>
      <c r="AD5" s="4"/>
      <c r="AE5" s="4"/>
    </row>
    <row r="6" spans="1:31" ht="15.75" customHeight="1">
      <c r="A6" s="51">
        <v>10202</v>
      </c>
      <c r="B6" s="52" t="s">
        <v>23</v>
      </c>
      <c r="C6" s="51" t="s">
        <v>369</v>
      </c>
      <c r="D6" s="53">
        <v>15111</v>
      </c>
      <c r="E6" s="53">
        <v>368937.9999489747</v>
      </c>
      <c r="F6" s="54">
        <f t="shared" si="0"/>
        <v>24.415194225992636</v>
      </c>
      <c r="G6" s="53">
        <v>16812</v>
      </c>
      <c r="H6" s="53">
        <v>516629.00005340576</v>
      </c>
      <c r="I6" s="54">
        <f t="shared" si="1"/>
        <v>30.729776353402674</v>
      </c>
      <c r="J6" s="55"/>
      <c r="K6" s="37"/>
      <c r="L6" s="42"/>
      <c r="M6" s="89" t="s">
        <v>372</v>
      </c>
      <c r="N6" s="111">
        <v>520423561.00495142</v>
      </c>
      <c r="O6" s="112">
        <v>643797564.53366089</v>
      </c>
      <c r="P6" s="112">
        <v>1847293</v>
      </c>
      <c r="Q6" s="113">
        <v>2016357</v>
      </c>
      <c r="R6" s="52">
        <f t="shared" ref="R6:S6" si="6">N6/P6</f>
        <v>281.72226117077878</v>
      </c>
      <c r="S6" s="52">
        <f t="shared" si="6"/>
        <v>319.28748953367926</v>
      </c>
      <c r="T6" s="50"/>
      <c r="U6" s="50"/>
      <c r="V6" s="4"/>
      <c r="W6" s="4"/>
      <c r="X6" s="4"/>
      <c r="Y6" s="4"/>
      <c r="Z6" s="4"/>
      <c r="AA6" s="4"/>
      <c r="AB6" s="4"/>
      <c r="AC6" s="4"/>
      <c r="AD6" s="4"/>
      <c r="AE6" s="4"/>
    </row>
    <row r="7" spans="1:31" ht="15.75" customHeight="1">
      <c r="A7" s="51">
        <v>10301</v>
      </c>
      <c r="B7" s="52" t="s">
        <v>24</v>
      </c>
      <c r="C7" s="51" t="s">
        <v>369</v>
      </c>
      <c r="D7" s="53">
        <v>12139</v>
      </c>
      <c r="E7" s="53">
        <v>547490.00115629658</v>
      </c>
      <c r="F7" s="54">
        <f t="shared" si="0"/>
        <v>45.101738294447365</v>
      </c>
      <c r="G7" s="53">
        <v>13694</v>
      </c>
      <c r="H7" s="53">
        <v>78013</v>
      </c>
      <c r="I7" s="54">
        <f t="shared" si="1"/>
        <v>5.6968745435957358</v>
      </c>
      <c r="J7" s="55"/>
      <c r="K7" s="37"/>
      <c r="L7" s="42"/>
      <c r="M7" s="89" t="s">
        <v>373</v>
      </c>
      <c r="N7" s="111">
        <v>15318677.331370862</v>
      </c>
      <c r="O7" s="112">
        <v>18920485.333658855</v>
      </c>
      <c r="P7" s="112">
        <v>50468.666666666664</v>
      </c>
      <c r="Q7" s="113">
        <v>53088</v>
      </c>
      <c r="R7" s="52">
        <f t="shared" ref="R7:S7" si="7">N7/P7</f>
        <v>303.52847307314499</v>
      </c>
      <c r="S7" s="52">
        <f t="shared" si="7"/>
        <v>356.39853325909536</v>
      </c>
      <c r="T7" s="50"/>
      <c r="U7" s="50"/>
      <c r="V7" s="4"/>
      <c r="W7" s="4"/>
      <c r="X7" s="4"/>
      <c r="Y7" s="4"/>
      <c r="Z7" s="4"/>
      <c r="AA7" s="4"/>
      <c r="AB7" s="4"/>
      <c r="AC7" s="4"/>
      <c r="AD7" s="4"/>
      <c r="AE7" s="4"/>
    </row>
    <row r="8" spans="1:31" ht="15.75" customHeight="1">
      <c r="A8" s="51">
        <v>10302</v>
      </c>
      <c r="B8" s="52" t="s">
        <v>25</v>
      </c>
      <c r="C8" s="51" t="s">
        <v>369</v>
      </c>
      <c r="D8" s="53">
        <v>12436</v>
      </c>
      <c r="E8" s="53">
        <v>301381.99968357757</v>
      </c>
      <c r="F8" s="54">
        <f t="shared" si="0"/>
        <v>24.234641338338498</v>
      </c>
      <c r="G8" s="53">
        <v>12539</v>
      </c>
      <c r="H8" s="53">
        <v>788514.99994659424</v>
      </c>
      <c r="I8" s="54">
        <f t="shared" si="1"/>
        <v>62.88499879947318</v>
      </c>
      <c r="J8" s="55"/>
      <c r="K8" s="37"/>
      <c r="L8" s="42"/>
      <c r="M8" s="89" t="s">
        <v>48</v>
      </c>
      <c r="N8" s="111">
        <v>777759553.32296205</v>
      </c>
      <c r="O8" s="112">
        <v>895794054.5089798</v>
      </c>
      <c r="P8" s="112">
        <v>2823196.3333330001</v>
      </c>
      <c r="Q8" s="113">
        <v>3030917</v>
      </c>
      <c r="R8" s="52">
        <f t="shared" ref="R8:S8" si="8">N8/P8</f>
        <v>275.48900660577056</v>
      </c>
      <c r="S8" s="52">
        <f t="shared" si="8"/>
        <v>295.55215616560264</v>
      </c>
      <c r="T8" s="50"/>
      <c r="U8" s="50"/>
      <c r="V8" s="4"/>
      <c r="W8" s="4"/>
      <c r="X8" s="4"/>
      <c r="Y8" s="4"/>
      <c r="Z8" s="4"/>
      <c r="AA8" s="4"/>
      <c r="AB8" s="4"/>
      <c r="AC8" s="4"/>
      <c r="AD8" s="4"/>
      <c r="AE8" s="4"/>
    </row>
    <row r="9" spans="1:31" ht="15.75" customHeight="1">
      <c r="A9" s="51">
        <v>10303</v>
      </c>
      <c r="B9" s="52" t="s">
        <v>26</v>
      </c>
      <c r="C9" s="51" t="s">
        <v>369</v>
      </c>
      <c r="D9" s="53">
        <v>8397</v>
      </c>
      <c r="E9" s="53">
        <v>477168.00076066051</v>
      </c>
      <c r="F9" s="54">
        <f t="shared" si="0"/>
        <v>56.826009379618974</v>
      </c>
      <c r="G9" s="53">
        <v>9055</v>
      </c>
      <c r="H9" s="53">
        <v>646082.00021362305</v>
      </c>
      <c r="I9" s="54">
        <f t="shared" si="1"/>
        <v>71.350855904320596</v>
      </c>
      <c r="J9" s="55"/>
      <c r="K9" s="37"/>
      <c r="L9" s="42"/>
      <c r="M9" s="89" t="s">
        <v>183</v>
      </c>
      <c r="N9" s="111">
        <v>98751131.003827915</v>
      </c>
      <c r="O9" s="112">
        <v>112015657.00138092</v>
      </c>
      <c r="P9" s="112">
        <v>520216.0000003</v>
      </c>
      <c r="Q9" s="113">
        <v>571471</v>
      </c>
      <c r="R9" s="52">
        <f t="shared" ref="R9:S9" si="9">N9/P9</f>
        <v>189.82716987514988</v>
      </c>
      <c r="S9" s="52">
        <f t="shared" si="9"/>
        <v>196.01284579861607</v>
      </c>
      <c r="T9" s="50"/>
      <c r="U9" s="50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ht="15.75" customHeight="1">
      <c r="A10" s="51">
        <v>10304</v>
      </c>
      <c r="B10" s="52" t="s">
        <v>27</v>
      </c>
      <c r="C10" s="51" t="s">
        <v>369</v>
      </c>
      <c r="D10" s="53">
        <v>8234</v>
      </c>
      <c r="E10" s="53">
        <v>292426.00066685956</v>
      </c>
      <c r="F10" s="54">
        <f t="shared" si="0"/>
        <v>35.514452352059699</v>
      </c>
      <c r="G10" s="53">
        <v>9155</v>
      </c>
      <c r="H10" s="53">
        <v>404900.0002822876</v>
      </c>
      <c r="I10" s="54">
        <f t="shared" si="1"/>
        <v>44.227198283155388</v>
      </c>
      <c r="J10" s="55"/>
      <c r="K10" s="37"/>
      <c r="L10" s="42"/>
      <c r="M10" s="89" t="s">
        <v>374</v>
      </c>
      <c r="N10" s="111">
        <v>28580975.526221924</v>
      </c>
      <c r="O10" s="112">
        <v>48564074.002655029</v>
      </c>
      <c r="P10" s="112">
        <v>118356</v>
      </c>
      <c r="Q10" s="113">
        <v>134194</v>
      </c>
      <c r="R10" s="52">
        <f t="shared" ref="R10:S10" si="10">N10/P10</f>
        <v>241.48311472356215</v>
      </c>
      <c r="S10" s="52">
        <f t="shared" si="10"/>
        <v>361.89452585551538</v>
      </c>
      <c r="T10" s="50"/>
      <c r="U10" s="50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 spans="1:31" ht="15.75" customHeight="1">
      <c r="A11" s="51">
        <v>10401</v>
      </c>
      <c r="B11" s="52" t="s">
        <v>28</v>
      </c>
      <c r="C11" s="51" t="s">
        <v>369</v>
      </c>
      <c r="D11" s="53">
        <v>9986</v>
      </c>
      <c r="E11" s="53">
        <v>1085138.9987377161</v>
      </c>
      <c r="F11" s="54">
        <f t="shared" si="0"/>
        <v>108.66603231901824</v>
      </c>
      <c r="G11" s="53">
        <v>9192</v>
      </c>
      <c r="H11" s="53">
        <v>1423640.9997024536</v>
      </c>
      <c r="I11" s="54">
        <f t="shared" si="1"/>
        <v>154.87826367520165</v>
      </c>
      <c r="J11" s="55"/>
      <c r="K11" s="37"/>
      <c r="L11" s="42"/>
      <c r="M11" s="89" t="s">
        <v>218</v>
      </c>
      <c r="N11" s="111">
        <v>88122143.073027775</v>
      </c>
      <c r="O11" s="112">
        <v>112127154.50502014</v>
      </c>
      <c r="P11" s="112">
        <v>839442</v>
      </c>
      <c r="Q11" s="113">
        <v>861292</v>
      </c>
      <c r="R11" s="52">
        <f t="shared" ref="R11:S11" si="11">N11/P11</f>
        <v>104.97704793544733</v>
      </c>
      <c r="S11" s="52">
        <f t="shared" si="11"/>
        <v>130.18483221139886</v>
      </c>
      <c r="T11" s="50"/>
      <c r="U11" s="50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 spans="1:31" ht="15.75" customHeight="1">
      <c r="A12" s="51">
        <v>10402</v>
      </c>
      <c r="B12" s="52" t="s">
        <v>29</v>
      </c>
      <c r="C12" s="51" t="s">
        <v>369</v>
      </c>
      <c r="D12" s="53">
        <v>8499</v>
      </c>
      <c r="E12" s="53">
        <v>594318.99941323791</v>
      </c>
      <c r="F12" s="54">
        <f t="shared" si="0"/>
        <v>69.928109120277441</v>
      </c>
      <c r="G12" s="53">
        <v>8509</v>
      </c>
      <c r="H12" s="53">
        <v>791278.00005340576</v>
      </c>
      <c r="I12" s="54">
        <f t="shared" si="1"/>
        <v>92.993066171513192</v>
      </c>
      <c r="J12" s="55"/>
      <c r="K12" s="37"/>
      <c r="L12" s="42"/>
      <c r="M12" s="89" t="s">
        <v>375</v>
      </c>
      <c r="N12" s="111">
        <v>1359217794.9520559</v>
      </c>
      <c r="O12" s="112">
        <v>1706772251.0161591</v>
      </c>
      <c r="P12" s="112">
        <v>2812708</v>
      </c>
      <c r="Q12" s="113">
        <v>3122605</v>
      </c>
      <c r="R12" s="52">
        <f t="shared" ref="R12:S12" si="12">N12/P12</f>
        <v>483.24169979679937</v>
      </c>
      <c r="S12" s="52">
        <f t="shared" si="12"/>
        <v>546.58602385385245</v>
      </c>
      <c r="T12" s="50"/>
      <c r="U12" s="50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 spans="1:31" ht="15.75" customHeight="1">
      <c r="A13" s="51">
        <v>10403</v>
      </c>
      <c r="B13" s="52" t="s">
        <v>30</v>
      </c>
      <c r="C13" s="51" t="s">
        <v>369</v>
      </c>
      <c r="D13" s="53">
        <v>7189</v>
      </c>
      <c r="E13" s="53">
        <v>409769.99941051099</v>
      </c>
      <c r="F13" s="54">
        <f t="shared" si="0"/>
        <v>56.99958261378648</v>
      </c>
      <c r="G13" s="53">
        <v>6942</v>
      </c>
      <c r="H13" s="53">
        <v>569414</v>
      </c>
      <c r="I13" s="54">
        <f t="shared" si="1"/>
        <v>82.024488619994244</v>
      </c>
      <c r="J13" s="55"/>
      <c r="K13" s="37"/>
      <c r="L13" s="42"/>
      <c r="M13" s="89" t="s">
        <v>260</v>
      </c>
      <c r="N13" s="111">
        <v>143097904.97564501</v>
      </c>
      <c r="O13" s="112">
        <v>175588679.00317383</v>
      </c>
      <c r="P13" s="112">
        <v>500416</v>
      </c>
      <c r="Q13" s="113">
        <v>534210</v>
      </c>
      <c r="R13" s="4"/>
      <c r="S13" s="4"/>
      <c r="T13" s="50"/>
      <c r="U13" s="50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 spans="1:31" ht="15.75" customHeight="1">
      <c r="A14" s="51">
        <v>10404</v>
      </c>
      <c r="B14" s="52" t="s">
        <v>31</v>
      </c>
      <c r="C14" s="51" t="s">
        <v>369</v>
      </c>
      <c r="D14" s="53">
        <v>4524</v>
      </c>
      <c r="E14" s="53">
        <v>240179.00059062708</v>
      </c>
      <c r="F14" s="54">
        <f t="shared" si="0"/>
        <v>53.089964763622255</v>
      </c>
      <c r="G14" s="53">
        <v>3768</v>
      </c>
      <c r="H14" s="53">
        <v>345372.00030517578</v>
      </c>
      <c r="I14" s="54">
        <f t="shared" si="1"/>
        <v>91.65923574978126</v>
      </c>
      <c r="J14" s="55"/>
      <c r="K14" s="37"/>
      <c r="L14" s="42"/>
      <c r="M14" s="90" t="s">
        <v>401</v>
      </c>
      <c r="N14" s="114">
        <v>6482064897.4027843</v>
      </c>
      <c r="O14" s="115">
        <v>8085075526.489665</v>
      </c>
      <c r="P14" s="115">
        <v>21040486.666666668</v>
      </c>
      <c r="Q14" s="116">
        <v>22783754</v>
      </c>
      <c r="R14" s="4"/>
      <c r="S14" s="4"/>
      <c r="T14" s="50"/>
      <c r="U14" s="50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 spans="1:31" ht="15.75" customHeight="1">
      <c r="A15" s="51">
        <v>10405</v>
      </c>
      <c r="B15" s="52" t="s">
        <v>32</v>
      </c>
      <c r="C15" s="51" t="s">
        <v>369</v>
      </c>
      <c r="D15" s="53">
        <v>4861</v>
      </c>
      <c r="E15" s="53">
        <v>220819.99998136982</v>
      </c>
      <c r="F15" s="54">
        <f t="shared" si="0"/>
        <v>45.426866895982272</v>
      </c>
      <c r="G15" s="53">
        <v>5654</v>
      </c>
      <c r="H15" s="53">
        <v>357923.0001449585</v>
      </c>
      <c r="I15" s="54">
        <f t="shared" si="1"/>
        <v>63.304386300841614</v>
      </c>
      <c r="J15" s="55"/>
      <c r="K15" s="37"/>
      <c r="L15" s="42"/>
      <c r="M15" s="50"/>
      <c r="N15" s="56"/>
      <c r="O15" s="56"/>
      <c r="P15" s="50"/>
      <c r="Q15" s="56"/>
      <c r="S15" s="50"/>
      <c r="T15" s="50"/>
      <c r="U15" s="50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 spans="1:31" ht="15.75" customHeight="1">
      <c r="A16" s="51">
        <v>10501</v>
      </c>
      <c r="B16" s="52" t="s">
        <v>33</v>
      </c>
      <c r="C16" s="51" t="s">
        <v>369</v>
      </c>
      <c r="D16" s="53">
        <v>24384</v>
      </c>
      <c r="E16" s="53">
        <v>3844243.0018868167</v>
      </c>
      <c r="F16" s="54">
        <f t="shared" si="0"/>
        <v>157.65432258394097</v>
      </c>
      <c r="G16" s="53">
        <v>24546</v>
      </c>
      <c r="H16" s="53">
        <v>5186557.9999542236</v>
      </c>
      <c r="I16" s="54">
        <f t="shared" si="1"/>
        <v>211.29951926807723</v>
      </c>
      <c r="J16" s="55"/>
      <c r="K16" s="37"/>
      <c r="L16" s="42"/>
      <c r="M16" s="52" t="s">
        <v>376</v>
      </c>
      <c r="N16" s="45" t="s">
        <v>362</v>
      </c>
      <c r="O16" s="46" t="s">
        <v>377</v>
      </c>
      <c r="P16" s="45" t="s">
        <v>363</v>
      </c>
      <c r="Q16" s="47" t="s">
        <v>365</v>
      </c>
      <c r="R16" s="46" t="s">
        <v>367</v>
      </c>
      <c r="S16" s="45" t="s">
        <v>366</v>
      </c>
      <c r="T16" s="47" t="s">
        <v>368</v>
      </c>
      <c r="U16" s="50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 spans="1:31" ht="15.75" customHeight="1">
      <c r="A17" s="51">
        <v>10502</v>
      </c>
      <c r="B17" s="52" t="s">
        <v>34</v>
      </c>
      <c r="C17" s="51" t="s">
        <v>369</v>
      </c>
      <c r="D17" s="53">
        <v>7966</v>
      </c>
      <c r="E17" s="53">
        <v>696201.99984346423</v>
      </c>
      <c r="F17" s="54">
        <f t="shared" si="0"/>
        <v>87.396685895488858</v>
      </c>
      <c r="G17" s="53">
        <v>7200</v>
      </c>
      <c r="H17" s="53">
        <v>1111469.0001983643</v>
      </c>
      <c r="I17" s="54">
        <f t="shared" si="1"/>
        <v>154.37069447199502</v>
      </c>
      <c r="J17" s="55"/>
      <c r="K17" s="37"/>
      <c r="L17" s="42"/>
      <c r="M17" s="57">
        <v>1</v>
      </c>
      <c r="N17" s="43" t="s">
        <v>369</v>
      </c>
      <c r="O17" s="45">
        <f t="shared" ref="O17:O27" si="13">VLOOKUP(N17,$M$2:S12,2,FALSE)</f>
        <v>106956167.16296129</v>
      </c>
      <c r="P17" s="45">
        <f t="shared" ref="P17:P27" si="14">VLOOKUP(N17,$M$2:T12,4,FALSE)</f>
        <v>589289</v>
      </c>
      <c r="Q17" s="52">
        <f t="shared" ref="Q17:Q27" si="15">VLOOKUP($N17,$M$2:U12,6,FALSE)</f>
        <v>181.50036257754903</v>
      </c>
      <c r="R17" s="45">
        <f t="shared" ref="R17:R27" si="16">VLOOKUP($N17,$M$2:V12,3,FALSE)</f>
        <v>133651292.00892639</v>
      </c>
      <c r="S17" s="45">
        <f t="shared" ref="S17:S27" si="17">VLOOKUP($N17,$M$2:W12,5,FALSE)</f>
        <v>606027</v>
      </c>
      <c r="T17" s="52">
        <f t="shared" ref="T17:T27" si="18">VLOOKUP($N17,$M$2:X12,7,FALSE)</f>
        <v>220.53686058364792</v>
      </c>
      <c r="U17" s="50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 spans="1:31" ht="15.75" customHeight="1">
      <c r="A18" s="51">
        <v>10601</v>
      </c>
      <c r="B18" s="52" t="s">
        <v>35</v>
      </c>
      <c r="C18" s="51" t="s">
        <v>369</v>
      </c>
      <c r="D18" s="53">
        <v>15737</v>
      </c>
      <c r="E18" s="53">
        <v>667795.00024002325</v>
      </c>
      <c r="F18" s="54">
        <f t="shared" si="0"/>
        <v>42.43470802821524</v>
      </c>
      <c r="G18" s="53">
        <v>13323</v>
      </c>
      <c r="H18" s="53">
        <v>841465.0002822876</v>
      </c>
      <c r="I18" s="54">
        <f t="shared" si="1"/>
        <v>63.158823109081105</v>
      </c>
      <c r="J18" s="55"/>
      <c r="K18" s="37"/>
      <c r="L18" s="42"/>
      <c r="M18" s="57">
        <v>2</v>
      </c>
      <c r="N18" s="43" t="s">
        <v>48</v>
      </c>
      <c r="O18" s="45">
        <f t="shared" si="13"/>
        <v>777759553.32296205</v>
      </c>
      <c r="P18" s="45">
        <f t="shared" si="14"/>
        <v>2823196.3333330001</v>
      </c>
      <c r="Q18" s="52">
        <f t="shared" si="15"/>
        <v>275.48900660577056</v>
      </c>
      <c r="R18" s="45">
        <f t="shared" si="16"/>
        <v>895794054.5089798</v>
      </c>
      <c r="S18" s="45">
        <f t="shared" si="17"/>
        <v>3030917</v>
      </c>
      <c r="T18" s="52">
        <f t="shared" si="18"/>
        <v>295.55215616560264</v>
      </c>
      <c r="U18" s="50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 spans="1:31" ht="15.75" customHeight="1">
      <c r="A19" s="51">
        <v>10602</v>
      </c>
      <c r="B19" s="52" t="s">
        <v>36</v>
      </c>
      <c r="C19" s="51" t="s">
        <v>369</v>
      </c>
      <c r="D19" s="53">
        <v>9567</v>
      </c>
      <c r="E19" s="53">
        <v>428958.99925098289</v>
      </c>
      <c r="F19" s="54">
        <f t="shared" si="0"/>
        <v>44.837357505067722</v>
      </c>
      <c r="G19" s="53">
        <v>8480</v>
      </c>
      <c r="H19" s="53">
        <v>572712.00017547607</v>
      </c>
      <c r="I19" s="54">
        <f t="shared" si="1"/>
        <v>67.536792473523121</v>
      </c>
      <c r="J19" s="55"/>
      <c r="K19" s="37"/>
      <c r="L19" s="42"/>
      <c r="M19" s="57">
        <v>3</v>
      </c>
      <c r="N19" s="43" t="s">
        <v>372</v>
      </c>
      <c r="O19" s="45">
        <f t="shared" si="13"/>
        <v>520423561.00495142</v>
      </c>
      <c r="P19" s="45">
        <f t="shared" si="14"/>
        <v>1847293</v>
      </c>
      <c r="Q19" s="52">
        <f t="shared" si="15"/>
        <v>281.72226117077878</v>
      </c>
      <c r="R19" s="45">
        <f t="shared" si="16"/>
        <v>643797564.53366089</v>
      </c>
      <c r="S19" s="45">
        <f t="shared" si="17"/>
        <v>2016357</v>
      </c>
      <c r="T19" s="52">
        <f t="shared" si="18"/>
        <v>319.28748953367926</v>
      </c>
      <c r="U19" s="50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 spans="1:31" ht="15.75" customHeight="1">
      <c r="A20" s="51">
        <v>10701</v>
      </c>
      <c r="B20" s="52" t="s">
        <v>37</v>
      </c>
      <c r="C20" s="51" t="s">
        <v>369</v>
      </c>
      <c r="D20" s="53">
        <v>15334</v>
      </c>
      <c r="E20" s="53">
        <v>1637008.8285805145</v>
      </c>
      <c r="F20" s="54">
        <f t="shared" si="0"/>
        <v>106.75680374204477</v>
      </c>
      <c r="G20" s="53">
        <v>14713</v>
      </c>
      <c r="H20" s="53">
        <v>2073499.0000305176</v>
      </c>
      <c r="I20" s="54">
        <f t="shared" si="1"/>
        <v>140.92972201661914</v>
      </c>
      <c r="J20" s="55"/>
      <c r="K20" s="37"/>
      <c r="L20" s="42"/>
      <c r="M20" s="57">
        <v>4</v>
      </c>
      <c r="N20" s="43" t="s">
        <v>183</v>
      </c>
      <c r="O20" s="45">
        <f t="shared" si="13"/>
        <v>98751131.003827915</v>
      </c>
      <c r="P20" s="45">
        <f t="shared" si="14"/>
        <v>520216.0000003</v>
      </c>
      <c r="Q20" s="52">
        <f t="shared" si="15"/>
        <v>189.82716987514988</v>
      </c>
      <c r="R20" s="45">
        <f t="shared" si="16"/>
        <v>112015657.00138092</v>
      </c>
      <c r="S20" s="45">
        <f t="shared" si="17"/>
        <v>571471</v>
      </c>
      <c r="T20" s="52">
        <f t="shared" si="18"/>
        <v>196.01284579861607</v>
      </c>
      <c r="U20" s="50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 spans="1:31" ht="15.75" customHeight="1">
      <c r="A21" s="51">
        <v>10702</v>
      </c>
      <c r="B21" s="52" t="s">
        <v>38</v>
      </c>
      <c r="C21" s="51" t="s">
        <v>369</v>
      </c>
      <c r="D21" s="53">
        <v>30585</v>
      </c>
      <c r="E21" s="53">
        <v>1066175.0014413195</v>
      </c>
      <c r="F21" s="54">
        <f t="shared" si="0"/>
        <v>34.859408253762282</v>
      </c>
      <c r="G21" s="53">
        <v>26715</v>
      </c>
      <c r="H21" s="53">
        <v>1497780.0003509521</v>
      </c>
      <c r="I21" s="54">
        <f t="shared" si="1"/>
        <v>56.065131961480525</v>
      </c>
      <c r="J21" s="55"/>
      <c r="K21" s="37"/>
      <c r="L21" s="42"/>
      <c r="M21" s="57">
        <v>5</v>
      </c>
      <c r="N21" s="43" t="s">
        <v>218</v>
      </c>
      <c r="O21" s="45">
        <f t="shared" si="13"/>
        <v>88122143.073027775</v>
      </c>
      <c r="P21" s="45">
        <f t="shared" si="14"/>
        <v>839442</v>
      </c>
      <c r="Q21" s="52">
        <f t="shared" si="15"/>
        <v>104.97704793544733</v>
      </c>
      <c r="R21" s="45">
        <f t="shared" si="16"/>
        <v>112127154.50502014</v>
      </c>
      <c r="S21" s="45">
        <f t="shared" si="17"/>
        <v>861292</v>
      </c>
      <c r="T21" s="52">
        <f t="shared" si="18"/>
        <v>130.18483221139886</v>
      </c>
      <c r="U21" s="50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 spans="1:31" ht="15.75" customHeight="1">
      <c r="A22" s="51">
        <v>10703</v>
      </c>
      <c r="B22" s="52" t="s">
        <v>39</v>
      </c>
      <c r="C22" s="51" t="s">
        <v>369</v>
      </c>
      <c r="D22" s="53">
        <v>14199</v>
      </c>
      <c r="E22" s="53">
        <v>315024.60073935892</v>
      </c>
      <c r="F22" s="54">
        <f t="shared" si="0"/>
        <v>22.186393460057676</v>
      </c>
      <c r="G22" s="53">
        <v>16484</v>
      </c>
      <c r="H22" s="53">
        <v>426205</v>
      </c>
      <c r="I22" s="54">
        <f t="shared" si="1"/>
        <v>25.855678233438486</v>
      </c>
      <c r="J22" s="55"/>
      <c r="K22" s="37"/>
      <c r="L22" s="42"/>
      <c r="M22" s="57">
        <v>6</v>
      </c>
      <c r="N22" s="43" t="s">
        <v>260</v>
      </c>
      <c r="O22" s="45">
        <f t="shared" si="13"/>
        <v>143097904.97564501</v>
      </c>
      <c r="P22" s="45">
        <f t="shared" si="14"/>
        <v>500416</v>
      </c>
      <c r="Q22" s="52">
        <f t="shared" si="15"/>
        <v>0</v>
      </c>
      <c r="R22" s="45">
        <f t="shared" si="16"/>
        <v>175588679.00317383</v>
      </c>
      <c r="S22" s="45">
        <f t="shared" si="17"/>
        <v>534210</v>
      </c>
      <c r="T22" s="52">
        <f t="shared" si="18"/>
        <v>0</v>
      </c>
      <c r="U22" s="50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 spans="1:31" ht="15.75" customHeight="1">
      <c r="A23" s="51">
        <v>10704</v>
      </c>
      <c r="B23" s="52" t="s">
        <v>40</v>
      </c>
      <c r="C23" s="51" t="s">
        <v>369</v>
      </c>
      <c r="D23" s="53">
        <v>15527</v>
      </c>
      <c r="E23" s="53">
        <v>480408.32970217895</v>
      </c>
      <c r="F23" s="54">
        <f t="shared" si="0"/>
        <v>30.940189972446639</v>
      </c>
      <c r="G23" s="53">
        <v>14282</v>
      </c>
      <c r="H23" s="53">
        <v>665573.00020599365</v>
      </c>
      <c r="I23" s="54">
        <f t="shared" si="1"/>
        <v>46.602226593333825</v>
      </c>
      <c r="J23" s="55"/>
      <c r="K23" s="37"/>
      <c r="L23" s="42"/>
      <c r="M23" s="57">
        <v>7</v>
      </c>
      <c r="N23" s="43" t="s">
        <v>375</v>
      </c>
      <c r="O23" s="45">
        <f t="shared" si="13"/>
        <v>1359217794.9520559</v>
      </c>
      <c r="P23" s="45">
        <f t="shared" si="14"/>
        <v>2812708</v>
      </c>
      <c r="Q23" s="52">
        <f t="shared" si="15"/>
        <v>483.24169979679937</v>
      </c>
      <c r="R23" s="45">
        <f t="shared" si="16"/>
        <v>1706772251.0161591</v>
      </c>
      <c r="S23" s="45">
        <f t="shared" si="17"/>
        <v>3122605</v>
      </c>
      <c r="T23" s="52">
        <f t="shared" si="18"/>
        <v>546.58602385385245</v>
      </c>
      <c r="U23" s="50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 spans="1:31" ht="15.75" customHeight="1">
      <c r="A24" s="51">
        <v>10801</v>
      </c>
      <c r="B24" s="52" t="s">
        <v>41</v>
      </c>
      <c r="C24" s="51" t="s">
        <v>369</v>
      </c>
      <c r="D24" s="53">
        <v>10476</v>
      </c>
      <c r="E24" s="53">
        <v>952519.00070814323</v>
      </c>
      <c r="F24" s="54">
        <f t="shared" si="0"/>
        <v>90.923921411621151</v>
      </c>
      <c r="G24" s="53">
        <v>9107</v>
      </c>
      <c r="H24" s="53">
        <v>1334275.0001907349</v>
      </c>
      <c r="I24" s="54">
        <f t="shared" si="1"/>
        <v>146.51092568252278</v>
      </c>
      <c r="J24" s="55"/>
      <c r="K24" s="37"/>
      <c r="L24" s="42"/>
      <c r="M24" s="57">
        <v>8</v>
      </c>
      <c r="N24" s="43" t="s">
        <v>370</v>
      </c>
      <c r="O24" s="45">
        <f t="shared" si="13"/>
        <v>110463879.01405314</v>
      </c>
      <c r="P24" s="45">
        <f t="shared" si="14"/>
        <v>444092.66666669998</v>
      </c>
      <c r="Q24" s="52">
        <f t="shared" si="15"/>
        <v>248.74060597122713</v>
      </c>
      <c r="R24" s="45">
        <f t="shared" si="16"/>
        <v>204766793.99804688</v>
      </c>
      <c r="S24" s="45">
        <f t="shared" si="17"/>
        <v>488260</v>
      </c>
      <c r="T24" s="52">
        <f t="shared" si="18"/>
        <v>419.38064555369448</v>
      </c>
      <c r="U24" s="50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 spans="1:31" ht="15.75" customHeight="1">
      <c r="A25" s="51">
        <v>10901</v>
      </c>
      <c r="B25" s="52" t="s">
        <v>42</v>
      </c>
      <c r="C25" s="51" t="s">
        <v>369</v>
      </c>
      <c r="D25" s="53">
        <v>4134</v>
      </c>
      <c r="E25" s="53">
        <v>226172.50034896377</v>
      </c>
      <c r="F25" s="54">
        <f t="shared" si="0"/>
        <v>54.710329063610011</v>
      </c>
      <c r="G25" s="53">
        <v>5375</v>
      </c>
      <c r="H25" s="53">
        <v>350558.00006866455</v>
      </c>
      <c r="I25" s="54">
        <f t="shared" si="1"/>
        <v>65.220093036030619</v>
      </c>
      <c r="J25" s="55"/>
      <c r="K25" s="37"/>
      <c r="L25" s="42"/>
      <c r="M25" s="57">
        <v>9</v>
      </c>
      <c r="N25" s="43" t="s">
        <v>374</v>
      </c>
      <c r="O25" s="45">
        <f t="shared" si="13"/>
        <v>28580975.526221924</v>
      </c>
      <c r="P25" s="45">
        <f t="shared" si="14"/>
        <v>118356</v>
      </c>
      <c r="Q25" s="52">
        <f t="shared" si="15"/>
        <v>241.48311472356215</v>
      </c>
      <c r="R25" s="45">
        <f t="shared" si="16"/>
        <v>48564074.002655029</v>
      </c>
      <c r="S25" s="45">
        <f t="shared" si="17"/>
        <v>134194</v>
      </c>
      <c r="T25" s="52">
        <f t="shared" si="18"/>
        <v>361.89452585551538</v>
      </c>
      <c r="U25" s="50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 spans="1:31" ht="15.75" customHeight="1">
      <c r="A26" s="51">
        <v>10902</v>
      </c>
      <c r="B26" s="52" t="s">
        <v>43</v>
      </c>
      <c r="C26" s="51" t="s">
        <v>369</v>
      </c>
      <c r="D26" s="53">
        <v>16770</v>
      </c>
      <c r="E26" s="53">
        <v>783372.36893754546</v>
      </c>
      <c r="F26" s="54">
        <f t="shared" si="0"/>
        <v>46.712723252089773</v>
      </c>
      <c r="G26" s="53">
        <v>14848</v>
      </c>
      <c r="H26" s="53">
        <v>1010910.0001220703</v>
      </c>
      <c r="I26" s="54">
        <f t="shared" si="1"/>
        <v>68.083917034083399</v>
      </c>
      <c r="J26" s="55"/>
      <c r="K26" s="37"/>
      <c r="L26" s="42"/>
      <c r="M26" s="57">
        <v>10</v>
      </c>
      <c r="N26" s="43" t="s">
        <v>373</v>
      </c>
      <c r="O26" s="45">
        <f t="shared" si="13"/>
        <v>15318677.331370862</v>
      </c>
      <c r="P26" s="45">
        <f t="shared" si="14"/>
        <v>50468.666666666664</v>
      </c>
      <c r="Q26" s="52">
        <f t="shared" si="15"/>
        <v>303.52847307314499</v>
      </c>
      <c r="R26" s="45">
        <f t="shared" si="16"/>
        <v>18920485.333658855</v>
      </c>
      <c r="S26" s="45">
        <f t="shared" si="17"/>
        <v>53088</v>
      </c>
      <c r="T26" s="52">
        <f t="shared" si="18"/>
        <v>356.39853325909536</v>
      </c>
      <c r="U26" s="50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 spans="1:31" ht="15.75" customHeight="1">
      <c r="A27" s="51">
        <v>10903</v>
      </c>
      <c r="B27" s="52" t="s">
        <v>44</v>
      </c>
      <c r="C27" s="51" t="s">
        <v>369</v>
      </c>
      <c r="D27" s="53">
        <v>4397</v>
      </c>
      <c r="E27" s="53">
        <v>264995.4998532217</v>
      </c>
      <c r="F27" s="54">
        <f t="shared" si="0"/>
        <v>60.267341335733839</v>
      </c>
      <c r="G27" s="53">
        <v>5016</v>
      </c>
      <c r="H27" s="53">
        <v>363616.00018310547</v>
      </c>
      <c r="I27" s="54">
        <f t="shared" si="1"/>
        <v>72.491228106679714</v>
      </c>
      <c r="J27" s="55"/>
      <c r="K27" s="37"/>
      <c r="L27" s="42"/>
      <c r="M27" s="57">
        <v>11</v>
      </c>
      <c r="N27" s="43" t="s">
        <v>371</v>
      </c>
      <c r="O27" s="45">
        <f t="shared" si="13"/>
        <v>3233373110.035706</v>
      </c>
      <c r="P27" s="45">
        <f t="shared" si="14"/>
        <v>10495009.000000002</v>
      </c>
      <c r="Q27" s="52">
        <f t="shared" si="15"/>
        <v>308.08674009099997</v>
      </c>
      <c r="R27" s="45">
        <f t="shared" si="16"/>
        <v>4033077520.5780029</v>
      </c>
      <c r="S27" s="45">
        <f t="shared" si="17"/>
        <v>11365333</v>
      </c>
      <c r="T27" s="52">
        <f t="shared" si="18"/>
        <v>354.85784011590357</v>
      </c>
      <c r="U27" s="50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 spans="1:31" ht="15.75" customHeight="1">
      <c r="A28" s="51">
        <v>11001</v>
      </c>
      <c r="B28" s="52" t="s">
        <v>45</v>
      </c>
      <c r="C28" s="51" t="s">
        <v>369</v>
      </c>
      <c r="D28" s="53">
        <v>10907</v>
      </c>
      <c r="E28" s="53">
        <v>731736.99937649257</v>
      </c>
      <c r="F28" s="54">
        <f t="shared" si="0"/>
        <v>67.088750286650097</v>
      </c>
      <c r="G28" s="53">
        <v>13282</v>
      </c>
      <c r="H28" s="53">
        <v>1845489.0000991821</v>
      </c>
      <c r="I28" s="54">
        <f t="shared" si="1"/>
        <v>138.94661949248473</v>
      </c>
      <c r="J28" s="55"/>
      <c r="K28" s="37"/>
      <c r="L28" s="42"/>
      <c r="M28" s="4"/>
      <c r="N28" s="4"/>
      <c r="O28" s="4"/>
      <c r="P28" s="4"/>
      <c r="Q28" s="4"/>
      <c r="R28" s="4"/>
      <c r="S28" s="4"/>
      <c r="T28" s="50"/>
      <c r="U28" s="50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 spans="1:31" ht="15.75" customHeight="1">
      <c r="A29" s="51">
        <v>11002</v>
      </c>
      <c r="B29" s="52" t="s">
        <v>46</v>
      </c>
      <c r="C29" s="51" t="s">
        <v>369</v>
      </c>
      <c r="D29" s="53">
        <v>2543</v>
      </c>
      <c r="E29" s="53">
        <v>188970.00016951282</v>
      </c>
      <c r="F29" s="54">
        <f t="shared" si="0"/>
        <v>74.309870298668031</v>
      </c>
      <c r="G29" s="53">
        <v>2547</v>
      </c>
      <c r="H29" s="53">
        <v>87905</v>
      </c>
      <c r="I29" s="54">
        <f t="shared" si="1"/>
        <v>34.513152728700433</v>
      </c>
      <c r="J29" s="55"/>
      <c r="K29" s="37"/>
      <c r="L29" s="42"/>
      <c r="M29" s="4"/>
      <c r="N29" s="4"/>
      <c r="O29" s="4"/>
      <c r="P29" s="4"/>
      <c r="Q29" s="4"/>
      <c r="R29" s="4"/>
      <c r="S29" s="4"/>
      <c r="T29" s="50"/>
      <c r="U29" s="50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 spans="1:31" ht="15.75" customHeight="1">
      <c r="A30" s="51">
        <v>11003</v>
      </c>
      <c r="B30" s="52" t="s">
        <v>47</v>
      </c>
      <c r="C30" s="51" t="s">
        <v>369</v>
      </c>
      <c r="D30" s="53">
        <v>7357</v>
      </c>
      <c r="E30" s="53">
        <v>904826.99931750819</v>
      </c>
      <c r="F30" s="54">
        <f t="shared" si="0"/>
        <v>122.98858220980131</v>
      </c>
      <c r="G30" s="53">
        <v>7235</v>
      </c>
      <c r="H30" s="53">
        <v>3243399.9998245239</v>
      </c>
      <c r="I30" s="54">
        <f t="shared" si="1"/>
        <v>448.29302001721135</v>
      </c>
      <c r="J30" s="55"/>
      <c r="K30" s="37"/>
      <c r="L30" s="42"/>
      <c r="M30" s="4" t="s">
        <v>378</v>
      </c>
      <c r="N30" s="50">
        <f>AVERAGE(F2:F344)</f>
        <v>111.41841554138522</v>
      </c>
      <c r="O30" s="4"/>
      <c r="P30" s="4"/>
      <c r="Q30" s="4"/>
      <c r="R30" s="4"/>
      <c r="S30" s="4"/>
      <c r="T30" s="50"/>
      <c r="U30" s="50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 spans="1:31" ht="14.4">
      <c r="A31" s="51">
        <v>20101</v>
      </c>
      <c r="B31" s="52" t="s">
        <v>48</v>
      </c>
      <c r="C31" s="51" t="s">
        <v>48</v>
      </c>
      <c r="D31" s="53">
        <v>763456</v>
      </c>
      <c r="E31" s="53">
        <v>440190856.31290305</v>
      </c>
      <c r="F31" s="54">
        <f t="shared" si="0"/>
        <v>576.57658897553108</v>
      </c>
      <c r="G31" s="53">
        <v>757431</v>
      </c>
      <c r="H31" s="53">
        <v>429434468.00863647</v>
      </c>
      <c r="I31" s="54">
        <f t="shared" si="1"/>
        <v>566.9618328384189</v>
      </c>
      <c r="J31" s="55"/>
      <c r="K31" s="37"/>
      <c r="L31" s="42"/>
      <c r="M31" s="4" t="s">
        <v>379</v>
      </c>
      <c r="N31" s="50">
        <f>0.5*STDEV(F2:F344)</f>
        <v>59.656381507636567</v>
      </c>
      <c r="O31" s="4"/>
      <c r="P31" s="4"/>
      <c r="Q31" s="4"/>
      <c r="R31" s="4"/>
      <c r="S31" s="4"/>
      <c r="T31" s="50"/>
      <c r="U31" s="50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 spans="1:31" ht="14.4">
      <c r="A32" s="51">
        <v>20102</v>
      </c>
      <c r="B32" s="52" t="s">
        <v>49</v>
      </c>
      <c r="C32" s="51" t="s">
        <v>48</v>
      </c>
      <c r="D32" s="53">
        <v>18324</v>
      </c>
      <c r="E32" s="53">
        <v>1263825.0007162951</v>
      </c>
      <c r="F32" s="54">
        <f t="shared" si="0"/>
        <v>68.97102165009251</v>
      </c>
      <c r="G32" s="53">
        <v>21729</v>
      </c>
      <c r="H32" s="53">
        <v>2007219.9990844727</v>
      </c>
      <c r="I32" s="54">
        <f t="shared" si="1"/>
        <v>92.375166785607831</v>
      </c>
      <c r="J32" s="55"/>
      <c r="K32" s="37"/>
      <c r="L32" s="42"/>
      <c r="M32" s="4"/>
      <c r="N32" s="4"/>
      <c r="O32" s="4"/>
      <c r="P32" s="4"/>
      <c r="Q32" s="4"/>
      <c r="R32" s="4"/>
      <c r="S32" s="4"/>
      <c r="T32" s="50"/>
      <c r="U32" s="50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 spans="1:31" ht="14.4">
      <c r="A33" s="51">
        <v>20103</v>
      </c>
      <c r="B33" s="52" t="s">
        <v>50</v>
      </c>
      <c r="C33" s="51" t="s">
        <v>48</v>
      </c>
      <c r="D33" s="53">
        <v>17371</v>
      </c>
      <c r="E33" s="53">
        <v>3261487.0010111388</v>
      </c>
      <c r="F33" s="54">
        <f t="shared" si="0"/>
        <v>187.75470617760283</v>
      </c>
      <c r="G33" s="53">
        <v>20446</v>
      </c>
      <c r="H33" s="53">
        <v>7136473.9996337891</v>
      </c>
      <c r="I33" s="54">
        <f t="shared" si="1"/>
        <v>349.04010562622466</v>
      </c>
      <c r="J33" s="55"/>
      <c r="K33" s="37"/>
      <c r="L33" s="42"/>
      <c r="M33" s="4"/>
      <c r="N33" s="50">
        <f>N30-N31</f>
        <v>51.762034033748648</v>
      </c>
      <c r="O33" s="4"/>
      <c r="P33" s="4"/>
      <c r="Q33" s="4"/>
      <c r="R33" s="4"/>
      <c r="S33" s="4"/>
      <c r="T33" s="50"/>
      <c r="U33" s="50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 spans="1:31" ht="14.4">
      <c r="A34" s="51">
        <v>20104</v>
      </c>
      <c r="B34" s="52" t="s">
        <v>51</v>
      </c>
      <c r="C34" s="51" t="s">
        <v>48</v>
      </c>
      <c r="D34" s="53">
        <v>30350</v>
      </c>
      <c r="E34" s="53">
        <v>3315720.0051131174</v>
      </c>
      <c r="F34" s="54">
        <f t="shared" si="0"/>
        <v>109.24942356221145</v>
      </c>
      <c r="G34" s="53">
        <v>46188</v>
      </c>
      <c r="H34" s="53">
        <v>6604605.0002593994</v>
      </c>
      <c r="I34" s="54">
        <f t="shared" si="1"/>
        <v>142.99395947560836</v>
      </c>
      <c r="J34" s="55"/>
      <c r="K34" s="37"/>
      <c r="L34" s="42"/>
      <c r="M34" s="4"/>
      <c r="N34" s="50">
        <f>N30</f>
        <v>111.41841554138522</v>
      </c>
      <c r="O34" s="4"/>
      <c r="P34" s="4"/>
      <c r="Q34" s="4"/>
      <c r="R34" s="4"/>
      <c r="S34" s="4"/>
      <c r="T34" s="50"/>
      <c r="U34" s="50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 spans="1:31" ht="14.4">
      <c r="A35" s="51">
        <v>20105</v>
      </c>
      <c r="B35" s="52" t="s">
        <v>52</v>
      </c>
      <c r="C35" s="51" t="s">
        <v>48</v>
      </c>
      <c r="D35" s="53">
        <v>860910</v>
      </c>
      <c r="E35" s="53">
        <v>244246675.99197575</v>
      </c>
      <c r="F35" s="54">
        <f t="shared" si="0"/>
        <v>283.707560595156</v>
      </c>
      <c r="G35" s="53">
        <v>885825</v>
      </c>
      <c r="H35" s="53">
        <v>298946404.00306702</v>
      </c>
      <c r="I35" s="54">
        <f t="shared" si="1"/>
        <v>337.47794880824881</v>
      </c>
      <c r="J35" s="55"/>
      <c r="K35" s="37"/>
      <c r="L35" s="42"/>
      <c r="M35" s="4"/>
      <c r="N35" s="50">
        <f>N30+N31</f>
        <v>171.07479704902178</v>
      </c>
      <c r="O35" s="4"/>
      <c r="P35" s="4"/>
      <c r="Q35" s="4"/>
      <c r="R35" s="4"/>
      <c r="S35" s="4"/>
      <c r="T35" s="50"/>
      <c r="U35" s="50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 spans="1:31" ht="14.4">
      <c r="A36" s="51">
        <v>20201</v>
      </c>
      <c r="B36" s="52" t="s">
        <v>53</v>
      </c>
      <c r="C36" s="51" t="s">
        <v>48</v>
      </c>
      <c r="D36" s="53">
        <v>46458</v>
      </c>
      <c r="E36" s="53">
        <v>3804495.9990419671</v>
      </c>
      <c r="F36" s="54">
        <f t="shared" si="0"/>
        <v>81.891084399715169</v>
      </c>
      <c r="G36" s="53">
        <v>47257</v>
      </c>
      <c r="H36" s="53">
        <v>3802112.0003814697</v>
      </c>
      <c r="I36" s="54">
        <f t="shared" si="1"/>
        <v>80.456059427840742</v>
      </c>
      <c r="J36" s="55"/>
      <c r="K36" s="37"/>
      <c r="L36" s="42"/>
      <c r="M36" s="4"/>
      <c r="N36" s="4"/>
      <c r="O36" s="4"/>
      <c r="P36" s="4"/>
      <c r="Q36" s="4"/>
      <c r="R36" s="4"/>
      <c r="S36" s="4"/>
      <c r="T36" s="50"/>
      <c r="U36" s="50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 spans="1:31" ht="14.4">
      <c r="A37" s="51">
        <v>20202</v>
      </c>
      <c r="B37" s="52" t="s">
        <v>54</v>
      </c>
      <c r="C37" s="51" t="s">
        <v>48</v>
      </c>
      <c r="D37" s="53">
        <v>14408</v>
      </c>
      <c r="E37" s="53">
        <v>606002.99906323198</v>
      </c>
      <c r="F37" s="54">
        <f t="shared" si="0"/>
        <v>42.060174837814543</v>
      </c>
      <c r="G37" s="53">
        <v>16953</v>
      </c>
      <c r="H37" s="53">
        <v>471038.99991607666</v>
      </c>
      <c r="I37" s="54">
        <f t="shared" si="1"/>
        <v>27.784993801455592</v>
      </c>
      <c r="J37" s="55"/>
      <c r="K37" s="37"/>
      <c r="L37" s="42"/>
      <c r="M37" s="4" t="s">
        <v>380</v>
      </c>
      <c r="N37" s="50">
        <f>MAX(F2:F344)</f>
        <v>944.11428556474232</v>
      </c>
      <c r="O37" s="50">
        <f>MAX(I2:I346)</f>
        <v>1635.4550287266004</v>
      </c>
      <c r="P37" s="4"/>
      <c r="Q37" s="4"/>
      <c r="R37" s="4"/>
      <c r="S37" s="4"/>
      <c r="T37" s="50"/>
      <c r="U37" s="50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 spans="1:31" ht="14.4">
      <c r="A38" s="51">
        <v>20203</v>
      </c>
      <c r="B38" s="52" t="s">
        <v>55</v>
      </c>
      <c r="C38" s="51" t="s">
        <v>48</v>
      </c>
      <c r="D38" s="53">
        <v>5744</v>
      </c>
      <c r="E38" s="53">
        <v>361336.99995006341</v>
      </c>
      <c r="F38" s="54">
        <f t="shared" si="0"/>
        <v>62.90685932278263</v>
      </c>
      <c r="G38" s="53">
        <v>8679</v>
      </c>
      <c r="H38" s="53">
        <v>342661.99996185303</v>
      </c>
      <c r="I38" s="54">
        <f t="shared" si="1"/>
        <v>39.481737522969588</v>
      </c>
      <c r="J38" s="55"/>
      <c r="K38" s="37"/>
      <c r="L38" s="42"/>
      <c r="M38" s="4" t="s">
        <v>381</v>
      </c>
      <c r="N38" s="50">
        <f>MIN(F2:F344)</f>
        <v>0</v>
      </c>
      <c r="O38" s="50">
        <f>MIN(I3:I347)</f>
        <v>0</v>
      </c>
      <c r="P38" s="4"/>
      <c r="Q38" s="4"/>
      <c r="R38" s="4"/>
      <c r="S38" s="4"/>
      <c r="T38" s="50"/>
      <c r="U38" s="50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 spans="1:31" ht="14.4">
      <c r="A39" s="51">
        <v>20204</v>
      </c>
      <c r="B39" s="52" t="s">
        <v>56</v>
      </c>
      <c r="C39" s="51" t="s">
        <v>48</v>
      </c>
      <c r="D39" s="53">
        <v>8192</v>
      </c>
      <c r="E39" s="53">
        <v>507928.00041944161</v>
      </c>
      <c r="F39" s="54">
        <f t="shared" si="0"/>
        <v>62.002929738701368</v>
      </c>
      <c r="G39" s="53">
        <v>9287</v>
      </c>
      <c r="H39" s="53">
        <v>515176.00009155273</v>
      </c>
      <c r="I39" s="54">
        <f t="shared" si="1"/>
        <v>55.472811466733361</v>
      </c>
      <c r="J39" s="55"/>
      <c r="K39" s="37"/>
      <c r="L39" s="42"/>
      <c r="M39" s="4"/>
      <c r="N39" s="4"/>
      <c r="O39" s="4"/>
      <c r="P39" s="4"/>
      <c r="Q39" s="4"/>
      <c r="R39" s="4"/>
      <c r="S39" s="4"/>
      <c r="T39" s="50"/>
      <c r="U39" s="50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 spans="1:31" ht="14.4">
      <c r="A40" s="51">
        <v>20205</v>
      </c>
      <c r="B40" s="52" t="s">
        <v>57</v>
      </c>
      <c r="C40" s="51" t="s">
        <v>48</v>
      </c>
      <c r="D40" s="53">
        <v>8804</v>
      </c>
      <c r="E40" s="53">
        <v>396459.99974527024</v>
      </c>
      <c r="F40" s="54">
        <f t="shared" si="0"/>
        <v>45.031803696645866</v>
      </c>
      <c r="G40" s="53">
        <v>5118</v>
      </c>
      <c r="H40" s="53">
        <v>438681.00012969971</v>
      </c>
      <c r="I40" s="54">
        <f t="shared" si="1"/>
        <v>85.713364620887006</v>
      </c>
      <c r="J40" s="55"/>
      <c r="K40" s="37"/>
      <c r="L40" s="42"/>
      <c r="M40" s="106" t="s">
        <v>382</v>
      </c>
      <c r="N40" s="4">
        <v>944</v>
      </c>
      <c r="O40" s="50">
        <f>AVERAGE(N40:N44)</f>
        <v>631.4</v>
      </c>
      <c r="P40" s="4"/>
      <c r="Q40" s="4"/>
      <c r="R40" s="4"/>
      <c r="S40" s="4"/>
      <c r="T40" s="50"/>
      <c r="U40" s="50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 spans="1:31" ht="14.4">
      <c r="A41" s="51">
        <v>20206</v>
      </c>
      <c r="B41" s="52" t="s">
        <v>58</v>
      </c>
      <c r="C41" s="51" t="s">
        <v>48</v>
      </c>
      <c r="D41" s="53">
        <v>4324</v>
      </c>
      <c r="E41" s="53">
        <v>189293.9998116903</v>
      </c>
      <c r="F41" s="54">
        <f t="shared" si="0"/>
        <v>43.777520770511167</v>
      </c>
      <c r="G41" s="53">
        <v>7226</v>
      </c>
      <c r="H41" s="53">
        <v>262075.99987030029</v>
      </c>
      <c r="I41" s="54">
        <f t="shared" si="1"/>
        <v>36.268474933614762</v>
      </c>
      <c r="J41" s="55"/>
      <c r="K41" s="37"/>
      <c r="L41" s="42"/>
      <c r="M41" s="107"/>
      <c r="N41" s="4">
        <v>650</v>
      </c>
      <c r="O41" s="4"/>
      <c r="P41" s="4"/>
      <c r="Q41" s="4"/>
      <c r="R41" s="4"/>
      <c r="S41" s="4"/>
      <c r="T41" s="50"/>
      <c r="U41" s="50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 spans="1:31" ht="14.4">
      <c r="A42" s="51">
        <v>20301</v>
      </c>
      <c r="B42" s="52" t="s">
        <v>59</v>
      </c>
      <c r="C42" s="51" t="s">
        <v>48</v>
      </c>
      <c r="D42" s="53">
        <v>11615</v>
      </c>
      <c r="E42" s="53">
        <v>587096.99933954421</v>
      </c>
      <c r="F42" s="54">
        <f t="shared" si="0"/>
        <v>50.546448501036956</v>
      </c>
      <c r="G42" s="53">
        <v>13551</v>
      </c>
      <c r="H42" s="53">
        <v>572989.99983215332</v>
      </c>
      <c r="I42" s="54">
        <f t="shared" si="1"/>
        <v>42.283964270692444</v>
      </c>
      <c r="J42" s="55"/>
      <c r="K42" s="37"/>
      <c r="L42" s="42"/>
      <c r="M42" s="107"/>
      <c r="N42" s="4">
        <v>577</v>
      </c>
      <c r="O42" s="4"/>
      <c r="P42" s="4"/>
      <c r="Q42" s="4"/>
      <c r="R42" s="4"/>
      <c r="S42" s="4"/>
      <c r="T42" s="50"/>
      <c r="U42" s="50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 spans="1:31" ht="14.4">
      <c r="A43" s="51">
        <v>20302</v>
      </c>
      <c r="B43" s="52" t="s">
        <v>60</v>
      </c>
      <c r="C43" s="51" t="s">
        <v>48</v>
      </c>
      <c r="D43" s="53">
        <v>14981</v>
      </c>
      <c r="E43" s="53">
        <v>338323.00042964052</v>
      </c>
      <c r="F43" s="54">
        <f t="shared" si="0"/>
        <v>22.5834724270503</v>
      </c>
      <c r="G43" s="53">
        <v>15570</v>
      </c>
      <c r="H43" s="53">
        <v>341835.00004577637</v>
      </c>
      <c r="I43" s="54">
        <f t="shared" si="1"/>
        <v>21.954720619510365</v>
      </c>
      <c r="J43" s="55"/>
      <c r="K43" s="37"/>
      <c r="L43" s="42"/>
      <c r="M43" s="107"/>
      <c r="N43" s="4">
        <v>503</v>
      </c>
      <c r="O43" s="4"/>
      <c r="P43" s="4"/>
      <c r="Q43" s="4"/>
      <c r="R43" s="4"/>
      <c r="S43" s="4"/>
      <c r="T43" s="50"/>
      <c r="U43" s="50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 spans="1:31" ht="14.4">
      <c r="A44" s="51">
        <v>20303</v>
      </c>
      <c r="B44" s="52" t="s">
        <v>61</v>
      </c>
      <c r="C44" s="51" t="s">
        <v>48</v>
      </c>
      <c r="D44" s="53">
        <v>10659</v>
      </c>
      <c r="E44" s="53">
        <v>133297.00011182483</v>
      </c>
      <c r="F44" s="54">
        <f t="shared" si="0"/>
        <v>12.505582147652204</v>
      </c>
      <c r="G44" s="53">
        <v>12219</v>
      </c>
      <c r="H44" s="53">
        <v>157014</v>
      </c>
      <c r="I44" s="54">
        <f t="shared" si="1"/>
        <v>12.849987724036337</v>
      </c>
      <c r="J44" s="55"/>
      <c r="K44" s="37"/>
      <c r="L44" s="42"/>
      <c r="M44" s="107"/>
      <c r="N44" s="4">
        <v>483</v>
      </c>
      <c r="O44" s="4"/>
      <c r="P44" s="4"/>
      <c r="Q44" s="4"/>
      <c r="R44" s="4"/>
      <c r="S44" s="4"/>
      <c r="T44" s="50"/>
      <c r="U44" s="50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 spans="1:31" ht="14.4">
      <c r="A45" s="51">
        <v>20304</v>
      </c>
      <c r="B45" s="52" t="s">
        <v>62</v>
      </c>
      <c r="C45" s="51" t="s">
        <v>48</v>
      </c>
      <c r="D45" s="53">
        <v>4333</v>
      </c>
      <c r="E45" s="53">
        <v>130819.99970084522</v>
      </c>
      <c r="F45" s="54">
        <f t="shared" si="0"/>
        <v>30.191553127358695</v>
      </c>
      <c r="G45" s="53">
        <v>5238</v>
      </c>
      <c r="H45" s="53">
        <v>156003.99995422363</v>
      </c>
      <c r="I45" s="54">
        <f t="shared" si="1"/>
        <v>29.783123320775797</v>
      </c>
      <c r="J45" s="55"/>
      <c r="K45" s="37"/>
      <c r="L45" s="42"/>
      <c r="M45" s="4"/>
      <c r="N45" s="4"/>
      <c r="O45" s="4"/>
      <c r="P45" s="4"/>
      <c r="Q45" s="4"/>
      <c r="R45" s="4"/>
      <c r="S45" s="4"/>
      <c r="T45" s="50"/>
      <c r="U45" s="50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 spans="1:31" ht="14.4">
      <c r="A46" s="51">
        <v>20305</v>
      </c>
      <c r="B46" s="52" t="s">
        <v>63</v>
      </c>
      <c r="C46" s="51" t="s">
        <v>48</v>
      </c>
      <c r="D46" s="53">
        <v>3571</v>
      </c>
      <c r="E46" s="53">
        <v>116293.99996375386</v>
      </c>
      <c r="F46" s="54">
        <f t="shared" si="0"/>
        <v>32.566227937203543</v>
      </c>
      <c r="G46" s="53">
        <v>4221</v>
      </c>
      <c r="H46" s="53">
        <v>440725</v>
      </c>
      <c r="I46" s="54">
        <f t="shared" si="1"/>
        <v>104.41246150201374</v>
      </c>
      <c r="J46" s="55"/>
      <c r="K46" s="37"/>
      <c r="L46" s="42"/>
      <c r="M46" s="4" t="s">
        <v>383</v>
      </c>
      <c r="N46" s="4">
        <f>PERCENTILE(F2:F344, 0.025)</f>
        <v>0</v>
      </c>
      <c r="O46" s="4"/>
      <c r="P46" s="4"/>
      <c r="Q46" s="4"/>
      <c r="R46" s="4"/>
      <c r="S46" s="4"/>
      <c r="T46" s="50"/>
      <c r="U46" s="50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 spans="1:31" ht="14.4">
      <c r="A47" s="51">
        <v>20306</v>
      </c>
      <c r="B47" s="52" t="s">
        <v>64</v>
      </c>
      <c r="C47" s="51" t="s">
        <v>48</v>
      </c>
      <c r="D47" s="53">
        <v>5527</v>
      </c>
      <c r="E47" s="53">
        <v>55771.000225943513</v>
      </c>
      <c r="F47" s="54">
        <f t="shared" si="0"/>
        <v>10.090645960908905</v>
      </c>
      <c r="G47" s="53">
        <v>6442</v>
      </c>
      <c r="H47" s="53">
        <v>0</v>
      </c>
      <c r="I47" s="54">
        <f t="shared" si="1"/>
        <v>0</v>
      </c>
      <c r="J47" s="55"/>
      <c r="K47" s="37"/>
      <c r="L47" s="42"/>
      <c r="M47" s="4"/>
      <c r="N47" s="4"/>
      <c r="O47" s="4"/>
      <c r="P47" s="4"/>
      <c r="Q47" s="4"/>
      <c r="R47" s="4"/>
      <c r="S47" s="4"/>
      <c r="T47" s="50"/>
      <c r="U47" s="50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ht="14.4">
      <c r="A48" s="51">
        <v>20307</v>
      </c>
      <c r="B48" s="52" t="s">
        <v>65</v>
      </c>
      <c r="C48" s="51" t="s">
        <v>48</v>
      </c>
      <c r="D48" s="53">
        <v>1753.333333</v>
      </c>
      <c r="E48" s="53">
        <v>10263.9999772273</v>
      </c>
      <c r="F48" s="54">
        <f t="shared" si="0"/>
        <v>5.8539923835619572</v>
      </c>
      <c r="G48" s="53">
        <v>4022</v>
      </c>
      <c r="H48" s="53">
        <v>33409</v>
      </c>
      <c r="I48" s="54">
        <f t="shared" si="1"/>
        <v>8.3065638985579309</v>
      </c>
      <c r="J48" s="55"/>
      <c r="K48" s="37"/>
      <c r="L48" s="42"/>
      <c r="M48" s="4"/>
      <c r="N48" s="4"/>
      <c r="O48" s="4"/>
      <c r="P48" s="4"/>
      <c r="Q48" s="4"/>
      <c r="R48" s="4"/>
      <c r="S48" s="4"/>
      <c r="T48" s="50"/>
      <c r="U48" s="50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 spans="1:31" ht="14.4">
      <c r="A49" s="51">
        <v>20308</v>
      </c>
      <c r="B49" s="52" t="s">
        <v>66</v>
      </c>
      <c r="C49" s="51" t="s">
        <v>48</v>
      </c>
      <c r="D49" s="53">
        <v>7538</v>
      </c>
      <c r="E49" s="53">
        <v>94520.000093742274</v>
      </c>
      <c r="F49" s="54">
        <f t="shared" si="0"/>
        <v>12.539135061520598</v>
      </c>
      <c r="G49" s="53">
        <v>8037</v>
      </c>
      <c r="H49" s="53">
        <v>106318.00005340576</v>
      </c>
      <c r="I49" s="54">
        <f t="shared" si="1"/>
        <v>13.228567880229658</v>
      </c>
      <c r="J49" s="55"/>
      <c r="K49" s="37"/>
      <c r="L49" s="42"/>
      <c r="M49" s="4"/>
      <c r="N49" s="4"/>
      <c r="O49" s="4"/>
      <c r="P49" s="4"/>
      <c r="Q49" s="4"/>
      <c r="R49" s="4"/>
      <c r="S49" s="4"/>
      <c r="T49" s="50"/>
      <c r="U49" s="50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 spans="1:31" ht="14.4">
      <c r="A50" s="51">
        <v>20401</v>
      </c>
      <c r="B50" s="52" t="s">
        <v>67</v>
      </c>
      <c r="C50" s="51" t="s">
        <v>48</v>
      </c>
      <c r="D50" s="53">
        <v>12197</v>
      </c>
      <c r="E50" s="53">
        <v>438529.00023279153</v>
      </c>
      <c r="F50" s="54">
        <f t="shared" si="0"/>
        <v>35.953841127555265</v>
      </c>
      <c r="G50" s="53">
        <v>14012</v>
      </c>
      <c r="H50" s="53">
        <v>496802.00009155273</v>
      </c>
      <c r="I50" s="54">
        <f t="shared" si="1"/>
        <v>35.455466749325772</v>
      </c>
      <c r="J50" s="55"/>
      <c r="K50" s="37"/>
      <c r="L50" s="42"/>
      <c r="M50" s="4"/>
      <c r="N50" s="4"/>
      <c r="O50" s="4"/>
      <c r="P50" s="4"/>
      <c r="Q50" s="4"/>
      <c r="R50" s="4"/>
      <c r="S50" s="4"/>
      <c r="T50" s="50"/>
      <c r="U50" s="50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 spans="1:31" ht="14.4">
      <c r="A51" s="51">
        <v>20402</v>
      </c>
      <c r="B51" s="52" t="s">
        <v>68</v>
      </c>
      <c r="C51" s="51" t="s">
        <v>48</v>
      </c>
      <c r="D51" s="53">
        <v>16380</v>
      </c>
      <c r="E51" s="53">
        <v>439120.00033887848</v>
      </c>
      <c r="F51" s="54">
        <f t="shared" si="0"/>
        <v>26.808302828991362</v>
      </c>
      <c r="G51" s="53">
        <v>17811</v>
      </c>
      <c r="H51" s="53">
        <v>387883.00008392334</v>
      </c>
      <c r="I51" s="54">
        <f t="shared" si="1"/>
        <v>21.777721637410778</v>
      </c>
      <c r="J51" s="55"/>
      <c r="K51" s="37"/>
      <c r="L51" s="42"/>
      <c r="M51" s="4"/>
      <c r="N51" s="4"/>
      <c r="O51" s="4"/>
      <c r="P51" s="4"/>
      <c r="Q51" s="4"/>
      <c r="R51" s="4"/>
      <c r="S51" s="4"/>
      <c r="T51" s="50"/>
      <c r="U51" s="50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 spans="1:31" ht="14.4">
      <c r="A52" s="51">
        <v>20403</v>
      </c>
      <c r="B52" s="52" t="s">
        <v>69</v>
      </c>
      <c r="C52" s="51" t="s">
        <v>48</v>
      </c>
      <c r="D52" s="53">
        <v>15505</v>
      </c>
      <c r="E52" s="53">
        <v>628261.00088638719</v>
      </c>
      <c r="F52" s="54">
        <f t="shared" si="0"/>
        <v>40.51989686464929</v>
      </c>
      <c r="G52" s="53">
        <v>17336</v>
      </c>
      <c r="H52" s="53">
        <v>673681.00023651123</v>
      </c>
      <c r="I52" s="54">
        <f t="shared" si="1"/>
        <v>38.860233054713383</v>
      </c>
      <c r="J52" s="55"/>
      <c r="K52" s="37"/>
      <c r="L52" s="42"/>
      <c r="M52" s="4"/>
      <c r="N52" s="4"/>
      <c r="O52" s="4"/>
      <c r="P52" s="4"/>
      <c r="Q52" s="4"/>
      <c r="R52" s="4"/>
      <c r="S52" s="4"/>
      <c r="T52" s="50"/>
      <c r="U52" s="50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 spans="1:31" ht="14.4">
      <c r="A53" s="51">
        <v>20404</v>
      </c>
      <c r="B53" s="52" t="s">
        <v>70</v>
      </c>
      <c r="C53" s="51" t="s">
        <v>48</v>
      </c>
      <c r="D53" s="53">
        <v>5447</v>
      </c>
      <c r="E53" s="53">
        <v>149952.00008942094</v>
      </c>
      <c r="F53" s="54">
        <f t="shared" si="0"/>
        <v>27.529282190090129</v>
      </c>
      <c r="G53" s="53">
        <v>5658</v>
      </c>
      <c r="H53" s="53">
        <v>138693.00000762939</v>
      </c>
      <c r="I53" s="54">
        <f t="shared" si="1"/>
        <v>24.512725345993175</v>
      </c>
      <c r="J53" s="55"/>
      <c r="K53" s="37"/>
      <c r="L53" s="42"/>
      <c r="M53" s="4"/>
      <c r="N53" s="4"/>
      <c r="O53" s="4"/>
      <c r="P53" s="4"/>
      <c r="Q53" s="4"/>
      <c r="R53" s="4"/>
      <c r="S53" s="4"/>
      <c r="T53" s="50"/>
      <c r="U53" s="50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 spans="1:31" ht="14.4">
      <c r="A54" s="51">
        <v>20405</v>
      </c>
      <c r="B54" s="52" t="s">
        <v>71</v>
      </c>
      <c r="C54" s="51" t="s">
        <v>48</v>
      </c>
      <c r="D54" s="53">
        <v>7736</v>
      </c>
      <c r="E54" s="53">
        <v>295706.00018877909</v>
      </c>
      <c r="F54" s="54">
        <f t="shared" si="0"/>
        <v>38.224663933399569</v>
      </c>
      <c r="G54" s="53">
        <v>8837</v>
      </c>
      <c r="H54" s="53">
        <v>411464.99990081787</v>
      </c>
      <c r="I54" s="54">
        <f t="shared" si="1"/>
        <v>46.561615921785432</v>
      </c>
      <c r="J54" s="55"/>
      <c r="K54" s="37"/>
      <c r="L54" s="42"/>
      <c r="M54" s="4"/>
      <c r="N54" s="4"/>
      <c r="O54" s="4"/>
      <c r="P54" s="4"/>
      <c r="Q54" s="4"/>
      <c r="R54" s="4"/>
      <c r="S54" s="4"/>
      <c r="T54" s="50"/>
      <c r="U54" s="50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 spans="1:31" ht="14.4">
      <c r="A55" s="51">
        <v>20501</v>
      </c>
      <c r="B55" s="52" t="s">
        <v>72</v>
      </c>
      <c r="C55" s="51" t="s">
        <v>48</v>
      </c>
      <c r="D55" s="53">
        <v>13592</v>
      </c>
      <c r="E55" s="53">
        <v>434830.00013817567</v>
      </c>
      <c r="F55" s="54">
        <f t="shared" si="0"/>
        <v>31.991612723526757</v>
      </c>
      <c r="G55" s="53">
        <v>17830</v>
      </c>
      <c r="H55" s="53">
        <v>541776.99999237061</v>
      </c>
      <c r="I55" s="54">
        <f t="shared" si="1"/>
        <v>30.385698260929367</v>
      </c>
      <c r="J55" s="55"/>
      <c r="K55" s="37"/>
      <c r="L55" s="42"/>
      <c r="M55" s="4"/>
      <c r="N55" s="4"/>
      <c r="O55" s="4"/>
      <c r="P55" s="4"/>
      <c r="Q55" s="4"/>
      <c r="R55" s="4"/>
      <c r="S55" s="4"/>
      <c r="T55" s="50"/>
      <c r="U55" s="50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 spans="1:31" ht="14.4">
      <c r="A56" s="51">
        <v>20502</v>
      </c>
      <c r="B56" s="52" t="s">
        <v>73</v>
      </c>
      <c r="C56" s="51" t="s">
        <v>48</v>
      </c>
      <c r="D56" s="53">
        <v>8616</v>
      </c>
      <c r="E56" s="53">
        <v>280883.9999154266</v>
      </c>
      <c r="F56" s="54">
        <f t="shared" si="0"/>
        <v>32.600278541716179</v>
      </c>
      <c r="G56" s="53">
        <v>9029</v>
      </c>
      <c r="H56" s="53">
        <v>267015</v>
      </c>
      <c r="I56" s="54">
        <f t="shared" si="1"/>
        <v>29.573042418872522</v>
      </c>
      <c r="J56" s="55"/>
      <c r="K56" s="37"/>
      <c r="L56" s="42"/>
      <c r="M56" s="4"/>
      <c r="N56" s="4"/>
      <c r="O56" s="4"/>
      <c r="P56" s="4"/>
      <c r="Q56" s="4"/>
      <c r="R56" s="4"/>
      <c r="S56" s="4"/>
      <c r="T56" s="50"/>
      <c r="U56" s="50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 spans="1:31" ht="14.4">
      <c r="A57" s="51">
        <v>20503</v>
      </c>
      <c r="B57" s="52" t="s">
        <v>74</v>
      </c>
      <c r="C57" s="51" t="s">
        <v>48</v>
      </c>
      <c r="D57" s="53">
        <v>5904</v>
      </c>
      <c r="E57" s="53">
        <v>235743.00011892244</v>
      </c>
      <c r="F57" s="54">
        <f t="shared" si="0"/>
        <v>39.92936993884188</v>
      </c>
      <c r="G57" s="53">
        <v>6721</v>
      </c>
      <c r="H57" s="53">
        <v>657724.99632263184</v>
      </c>
      <c r="I57" s="54">
        <f t="shared" si="1"/>
        <v>97.861180824673681</v>
      </c>
      <c r="J57" s="55"/>
      <c r="K57" s="37"/>
      <c r="L57" s="42"/>
      <c r="M57" s="4"/>
      <c r="N57" s="4"/>
      <c r="O57" s="4"/>
      <c r="P57" s="4"/>
      <c r="Q57" s="4"/>
      <c r="R57" s="4"/>
      <c r="S57" s="4"/>
      <c r="T57" s="50"/>
      <c r="U57" s="50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 spans="1:31" ht="14.4">
      <c r="A58" s="51">
        <v>20601</v>
      </c>
      <c r="B58" s="52" t="s">
        <v>75</v>
      </c>
      <c r="C58" s="51" t="s">
        <v>48</v>
      </c>
      <c r="D58" s="53">
        <v>25702</v>
      </c>
      <c r="E58" s="53">
        <v>1826242.0011776965</v>
      </c>
      <c r="F58" s="54">
        <f t="shared" si="0"/>
        <v>71.054470515045381</v>
      </c>
      <c r="G58" s="53">
        <v>30083</v>
      </c>
      <c r="H58" s="53">
        <v>2985638.9999694824</v>
      </c>
      <c r="I58" s="54">
        <f t="shared" si="1"/>
        <v>99.246717414136967</v>
      </c>
      <c r="J58" s="55"/>
      <c r="K58" s="37"/>
      <c r="L58" s="42"/>
      <c r="M58" s="4"/>
      <c r="N58" s="4"/>
      <c r="O58" s="4"/>
      <c r="P58" s="4"/>
      <c r="Q58" s="4"/>
      <c r="R58" s="4"/>
      <c r="S58" s="4"/>
      <c r="T58" s="50"/>
      <c r="U58" s="50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 spans="1:31" ht="14.4">
      <c r="A59" s="51">
        <v>20602</v>
      </c>
      <c r="B59" s="52" t="s">
        <v>76</v>
      </c>
      <c r="C59" s="51" t="s">
        <v>48</v>
      </c>
      <c r="D59" s="53">
        <v>15321</v>
      </c>
      <c r="E59" s="53">
        <v>2661360.9978773417</v>
      </c>
      <c r="F59" s="54">
        <f t="shared" si="0"/>
        <v>173.70674224119455</v>
      </c>
      <c r="G59" s="53">
        <v>16386</v>
      </c>
      <c r="H59" s="53">
        <v>5694304.9990997314</v>
      </c>
      <c r="I59" s="54">
        <f t="shared" si="1"/>
        <v>347.51037465517709</v>
      </c>
      <c r="J59" s="55"/>
      <c r="K59" s="37"/>
      <c r="L59" s="42"/>
      <c r="M59" s="4"/>
      <c r="N59" s="4"/>
      <c r="O59" s="4"/>
      <c r="P59" s="4"/>
      <c r="Q59" s="4"/>
      <c r="R59" s="4"/>
      <c r="S59" s="4"/>
      <c r="T59" s="50"/>
      <c r="U59" s="50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 spans="1:31" ht="14.4">
      <c r="A60" s="51">
        <v>20603</v>
      </c>
      <c r="B60" s="52" t="s">
        <v>77</v>
      </c>
      <c r="C60" s="51" t="s">
        <v>48</v>
      </c>
      <c r="D60" s="53">
        <v>8708</v>
      </c>
      <c r="E60" s="53">
        <v>692744.00159579422</v>
      </c>
      <c r="F60" s="54">
        <f t="shared" si="0"/>
        <v>79.552595497909309</v>
      </c>
      <c r="G60" s="53">
        <v>9761</v>
      </c>
      <c r="H60" s="53">
        <v>1116845.0003814697</v>
      </c>
      <c r="I60" s="54">
        <f t="shared" si="1"/>
        <v>114.41911693284189</v>
      </c>
      <c r="J60" s="55"/>
      <c r="K60" s="37"/>
      <c r="L60" s="42"/>
      <c r="M60" s="4"/>
      <c r="N60" s="4"/>
      <c r="O60" s="4"/>
      <c r="P60" s="4"/>
      <c r="Q60" s="4"/>
      <c r="R60" s="4"/>
      <c r="S60" s="4"/>
      <c r="T60" s="50"/>
      <c r="U60" s="50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 spans="1:31" ht="14.4">
      <c r="A61" s="51">
        <v>20604</v>
      </c>
      <c r="B61" s="52" t="s">
        <v>78</v>
      </c>
      <c r="C61" s="51" t="s">
        <v>48</v>
      </c>
      <c r="D61" s="53">
        <v>3197</v>
      </c>
      <c r="E61" s="53">
        <v>168873.99971847702</v>
      </c>
      <c r="F61" s="54">
        <f t="shared" si="0"/>
        <v>52.822646142782929</v>
      </c>
      <c r="G61" s="53">
        <v>4224</v>
      </c>
      <c r="H61" s="53">
        <v>226132.99994659424</v>
      </c>
      <c r="I61" s="54">
        <f t="shared" si="1"/>
        <v>53.535274608568713</v>
      </c>
      <c r="J61" s="55"/>
      <c r="K61" s="37"/>
      <c r="L61" s="42"/>
      <c r="M61" s="4"/>
      <c r="N61" s="4"/>
      <c r="O61" s="4"/>
      <c r="P61" s="4"/>
      <c r="Q61" s="4"/>
      <c r="R61" s="4"/>
      <c r="S61" s="4"/>
      <c r="T61" s="50"/>
      <c r="U61" s="50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 spans="1:31" ht="14.4">
      <c r="A62" s="51">
        <v>20605</v>
      </c>
      <c r="B62" s="52" t="s">
        <v>79</v>
      </c>
      <c r="C62" s="51" t="s">
        <v>48</v>
      </c>
      <c r="D62" s="53">
        <v>3664</v>
      </c>
      <c r="E62" s="53">
        <v>104777.99965818971</v>
      </c>
      <c r="F62" s="54">
        <f t="shared" si="0"/>
        <v>28.596615627235185</v>
      </c>
      <c r="G62" s="53">
        <v>3529</v>
      </c>
      <c r="H62" s="53">
        <v>90994.000007629395</v>
      </c>
      <c r="I62" s="54">
        <f t="shared" si="1"/>
        <v>25.78464154367509</v>
      </c>
      <c r="J62" s="55"/>
      <c r="K62" s="37"/>
      <c r="L62" s="42"/>
      <c r="M62" s="4"/>
      <c r="N62" s="4"/>
      <c r="O62" s="4"/>
      <c r="P62" s="4"/>
      <c r="Q62" s="4"/>
      <c r="R62" s="4"/>
      <c r="S62" s="4"/>
      <c r="T62" s="50"/>
      <c r="U62" s="50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 spans="1:31" ht="14.4">
      <c r="A63" s="51">
        <v>20606</v>
      </c>
      <c r="B63" s="52" t="s">
        <v>80</v>
      </c>
      <c r="C63" s="51" t="s">
        <v>48</v>
      </c>
      <c r="D63" s="53">
        <v>9229</v>
      </c>
      <c r="E63" s="53">
        <v>1456717.0011001406</v>
      </c>
      <c r="F63" s="54">
        <f t="shared" si="0"/>
        <v>157.84126136094275</v>
      </c>
      <c r="G63" s="53">
        <v>7716</v>
      </c>
      <c r="H63" s="53">
        <v>2618249.0001525879</v>
      </c>
      <c r="I63" s="54">
        <f t="shared" si="1"/>
        <v>339.32724211412494</v>
      </c>
      <c r="J63" s="55"/>
      <c r="K63" s="37"/>
      <c r="L63" s="42"/>
      <c r="M63" s="4"/>
      <c r="N63" s="4"/>
      <c r="O63" s="4"/>
      <c r="P63" s="4"/>
      <c r="Q63" s="4"/>
      <c r="R63" s="4"/>
      <c r="S63" s="4"/>
      <c r="T63" s="50"/>
      <c r="U63" s="50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 spans="1:31" ht="14.4">
      <c r="A64" s="51">
        <v>20607</v>
      </c>
      <c r="B64" s="52" t="s">
        <v>81</v>
      </c>
      <c r="C64" s="51" t="s">
        <v>48</v>
      </c>
      <c r="D64" s="53">
        <v>16542</v>
      </c>
      <c r="E64" s="53">
        <v>1516831.001722943</v>
      </c>
      <c r="F64" s="54">
        <f t="shared" si="0"/>
        <v>91.695744270520066</v>
      </c>
      <c r="G64" s="53">
        <v>21843</v>
      </c>
      <c r="H64" s="53">
        <v>9565757.9987792969</v>
      </c>
      <c r="I64" s="54">
        <f t="shared" si="1"/>
        <v>437.93242680855639</v>
      </c>
      <c r="J64" s="55"/>
      <c r="K64" s="37"/>
      <c r="L64" s="42"/>
      <c r="M64" s="4"/>
      <c r="N64" s="4"/>
      <c r="O64" s="4"/>
      <c r="P64" s="4"/>
      <c r="Q64" s="4"/>
      <c r="R64" s="4"/>
      <c r="S64" s="4"/>
      <c r="T64" s="50"/>
      <c r="U64" s="50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 spans="1:31" ht="14.4">
      <c r="A65" s="51">
        <v>20608</v>
      </c>
      <c r="B65" s="52" t="s">
        <v>82</v>
      </c>
      <c r="C65" s="51" t="s">
        <v>48</v>
      </c>
      <c r="D65" s="53">
        <v>10692</v>
      </c>
      <c r="E65" s="53">
        <v>1220453.9986649882</v>
      </c>
      <c r="F65" s="54">
        <f t="shared" si="0"/>
        <v>114.14646452160383</v>
      </c>
      <c r="G65" s="53">
        <v>13379</v>
      </c>
      <c r="H65" s="53">
        <v>5031421.998626709</v>
      </c>
      <c r="I65" s="54">
        <f t="shared" si="1"/>
        <v>376.06861489100152</v>
      </c>
      <c r="J65" s="55"/>
      <c r="K65" s="37"/>
      <c r="L65" s="42"/>
      <c r="M65" s="4"/>
      <c r="N65" s="4"/>
      <c r="O65" s="4"/>
      <c r="P65" s="4"/>
      <c r="Q65" s="4"/>
      <c r="R65" s="4"/>
      <c r="S65" s="4"/>
      <c r="T65" s="50"/>
      <c r="U65" s="50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 spans="1:31" ht="14.4">
      <c r="A66" s="51">
        <v>20701</v>
      </c>
      <c r="B66" s="52" t="s">
        <v>83</v>
      </c>
      <c r="C66" s="51" t="s">
        <v>48</v>
      </c>
      <c r="D66" s="53">
        <v>19924</v>
      </c>
      <c r="E66" s="53">
        <v>1071545.0009628003</v>
      </c>
      <c r="F66" s="54">
        <f t="shared" si="0"/>
        <v>53.78162020491871</v>
      </c>
      <c r="G66" s="53">
        <v>19156</v>
      </c>
      <c r="H66" s="53">
        <v>2757229.0000686646</v>
      </c>
      <c r="I66" s="54">
        <f t="shared" si="1"/>
        <v>143.93552934165089</v>
      </c>
      <c r="J66" s="55"/>
      <c r="K66" s="37"/>
      <c r="L66" s="42"/>
      <c r="M66" s="4"/>
      <c r="N66" s="4"/>
      <c r="O66" s="4"/>
      <c r="P66" s="4"/>
      <c r="Q66" s="4"/>
      <c r="R66" s="4"/>
      <c r="S66" s="4"/>
      <c r="T66" s="50"/>
      <c r="U66" s="50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 spans="1:31" ht="14.4">
      <c r="A67" s="51">
        <v>20702</v>
      </c>
      <c r="B67" s="52" t="s">
        <v>84</v>
      </c>
      <c r="C67" s="51" t="s">
        <v>48</v>
      </c>
      <c r="D67" s="53">
        <v>7540</v>
      </c>
      <c r="E67" s="53">
        <v>422709.99938289635</v>
      </c>
      <c r="F67" s="54">
        <f t="shared" si="0"/>
        <v>56.062334135662645</v>
      </c>
      <c r="G67" s="53">
        <v>9060</v>
      </c>
      <c r="H67" s="53">
        <v>615826.00019836426</v>
      </c>
      <c r="I67" s="54">
        <f t="shared" si="1"/>
        <v>67.971964701806215</v>
      </c>
      <c r="J67" s="55"/>
      <c r="K67" s="37"/>
      <c r="L67" s="42"/>
      <c r="M67" s="4"/>
      <c r="N67" s="4"/>
      <c r="O67" s="4"/>
      <c r="P67" s="4"/>
      <c r="Q67" s="4"/>
      <c r="R67" s="4"/>
      <c r="S67" s="4"/>
      <c r="T67" s="50"/>
      <c r="U67" s="50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 spans="1:31" ht="14.4">
      <c r="A68" s="51">
        <v>20801</v>
      </c>
      <c r="B68" s="52" t="s">
        <v>85</v>
      </c>
      <c r="C68" s="51" t="s">
        <v>48</v>
      </c>
      <c r="D68" s="53">
        <v>91667</v>
      </c>
      <c r="E68" s="53">
        <v>15409294.005469613</v>
      </c>
      <c r="F68" s="54">
        <f t="shared" si="0"/>
        <v>168.10077787502169</v>
      </c>
      <c r="G68" s="53">
        <v>113554</v>
      </c>
      <c r="H68" s="53">
        <v>22984970.002464294</v>
      </c>
      <c r="I68" s="54">
        <f t="shared" si="1"/>
        <v>202.41444601215539</v>
      </c>
      <c r="J68" s="55"/>
      <c r="K68" s="37"/>
      <c r="L68" s="42"/>
      <c r="M68" s="4"/>
      <c r="N68" s="4"/>
      <c r="O68" s="4"/>
      <c r="P68" s="4"/>
      <c r="Q68" s="4"/>
      <c r="R68" s="4"/>
      <c r="S68" s="4"/>
      <c r="T68" s="50"/>
      <c r="U68" s="50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 spans="1:31" ht="14.4">
      <c r="A69" s="51">
        <v>20802</v>
      </c>
      <c r="B69" s="52" t="s">
        <v>86</v>
      </c>
      <c r="C69" s="51" t="s">
        <v>48</v>
      </c>
      <c r="D69" s="53">
        <v>7716</v>
      </c>
      <c r="E69" s="53">
        <v>578625.00139135402</v>
      </c>
      <c r="F69" s="54">
        <f t="shared" si="0"/>
        <v>74.990280118112238</v>
      </c>
      <c r="G69" s="53">
        <v>8592</v>
      </c>
      <c r="H69" s="53">
        <v>661035.99988555908</v>
      </c>
      <c r="I69" s="54">
        <f t="shared" si="1"/>
        <v>76.93621972597289</v>
      </c>
      <c r="J69" s="55"/>
      <c r="K69" s="37"/>
      <c r="L69" s="42"/>
      <c r="M69" s="4"/>
      <c r="N69" s="4"/>
      <c r="O69" s="4"/>
      <c r="P69" s="4"/>
      <c r="Q69" s="4"/>
      <c r="R69" s="4"/>
      <c r="S69" s="4"/>
      <c r="T69" s="50"/>
      <c r="U69" s="50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 spans="1:31" ht="14.4">
      <c r="A70" s="51">
        <v>20803</v>
      </c>
      <c r="B70" s="52" t="s">
        <v>87</v>
      </c>
      <c r="C70" s="51" t="s">
        <v>48</v>
      </c>
      <c r="D70" s="53">
        <v>12675</v>
      </c>
      <c r="E70" s="53">
        <v>646290.00039241184</v>
      </c>
      <c r="F70" s="54">
        <f t="shared" si="0"/>
        <v>50.989349143385546</v>
      </c>
      <c r="G70" s="53">
        <v>13648</v>
      </c>
      <c r="H70" s="53">
        <v>833757.99977874756</v>
      </c>
      <c r="I70" s="54">
        <f t="shared" si="1"/>
        <v>61.090123078747624</v>
      </c>
      <c r="J70" s="55"/>
      <c r="K70" s="37"/>
      <c r="L70" s="42"/>
      <c r="M70" s="4"/>
      <c r="N70" s="4"/>
      <c r="O70" s="4"/>
      <c r="P70" s="4"/>
      <c r="Q70" s="4"/>
      <c r="R70" s="4"/>
      <c r="S70" s="4"/>
      <c r="T70" s="50"/>
      <c r="U70" s="50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 spans="1:31" ht="14.4">
      <c r="A71" s="51">
        <v>20804</v>
      </c>
      <c r="B71" s="52" t="s">
        <v>88</v>
      </c>
      <c r="C71" s="51" t="s">
        <v>48</v>
      </c>
      <c r="D71" s="53">
        <v>7290</v>
      </c>
      <c r="E71" s="53">
        <v>834517.00087144785</v>
      </c>
      <c r="F71" s="54">
        <f t="shared" si="0"/>
        <v>114.47421136782549</v>
      </c>
      <c r="G71" s="53">
        <v>7897</v>
      </c>
      <c r="H71" s="53">
        <v>1075695.0004119873</v>
      </c>
      <c r="I71" s="54">
        <f t="shared" si="1"/>
        <v>136.21565156540296</v>
      </c>
      <c r="J71" s="55"/>
      <c r="K71" s="37"/>
      <c r="L71" s="42"/>
      <c r="M71" s="4"/>
      <c r="N71" s="4"/>
      <c r="O71" s="4"/>
      <c r="P71" s="4"/>
      <c r="Q71" s="4"/>
      <c r="R71" s="4"/>
      <c r="S71" s="4"/>
      <c r="T71" s="50"/>
      <c r="U71" s="50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 spans="1:31" ht="14.4">
      <c r="A72" s="51">
        <v>20805</v>
      </c>
      <c r="B72" s="52" t="s">
        <v>89</v>
      </c>
      <c r="C72" s="51" t="s">
        <v>48</v>
      </c>
      <c r="D72" s="53">
        <v>6742</v>
      </c>
      <c r="E72" s="53">
        <v>167805.99942589179</v>
      </c>
      <c r="F72" s="54">
        <f t="shared" si="0"/>
        <v>24.889646903870037</v>
      </c>
      <c r="G72" s="53">
        <v>7936</v>
      </c>
      <c r="H72" s="53">
        <v>0</v>
      </c>
      <c r="I72" s="54">
        <f t="shared" si="1"/>
        <v>0</v>
      </c>
      <c r="J72" s="55"/>
      <c r="K72" s="37"/>
      <c r="L72" s="42"/>
      <c r="M72" s="4"/>
      <c r="N72" s="4"/>
      <c r="O72" s="4"/>
      <c r="P72" s="4"/>
      <c r="Q72" s="4"/>
      <c r="R72" s="4"/>
      <c r="S72" s="4"/>
      <c r="T72" s="50"/>
      <c r="U72" s="50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 spans="1:31" ht="14.4">
      <c r="A73" s="51">
        <v>20806</v>
      </c>
      <c r="B73" s="52" t="s">
        <v>90</v>
      </c>
      <c r="C73" s="51" t="s">
        <v>48</v>
      </c>
      <c r="D73" s="53">
        <v>15698</v>
      </c>
      <c r="E73" s="53">
        <v>401394.00030966848</v>
      </c>
      <c r="F73" s="54">
        <f t="shared" si="0"/>
        <v>25.569754128530288</v>
      </c>
      <c r="G73" s="53">
        <v>17016</v>
      </c>
      <c r="H73" s="53">
        <v>0</v>
      </c>
      <c r="I73" s="54">
        <f t="shared" si="1"/>
        <v>0</v>
      </c>
      <c r="J73" s="55"/>
      <c r="K73" s="37"/>
      <c r="L73" s="42"/>
      <c r="M73" s="4"/>
      <c r="N73" s="4"/>
      <c r="O73" s="4"/>
      <c r="P73" s="4"/>
      <c r="Q73" s="4"/>
      <c r="R73" s="4"/>
      <c r="S73" s="4"/>
      <c r="T73" s="50"/>
      <c r="U73" s="50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 spans="1:31" ht="14.4">
      <c r="A74" s="51">
        <v>20807</v>
      </c>
      <c r="B74" s="52" t="s">
        <v>91</v>
      </c>
      <c r="C74" s="51" t="s">
        <v>48</v>
      </c>
      <c r="D74" s="53">
        <v>6915</v>
      </c>
      <c r="E74" s="53">
        <v>252396.00021193922</v>
      </c>
      <c r="F74" s="54">
        <f t="shared" si="0"/>
        <v>36.499783110909505</v>
      </c>
      <c r="G74" s="53">
        <v>7540</v>
      </c>
      <c r="H74" s="53">
        <v>280576.00000762939</v>
      </c>
      <c r="I74" s="54">
        <f t="shared" si="1"/>
        <v>37.21167108854501</v>
      </c>
      <c r="J74" s="55"/>
      <c r="K74" s="37"/>
      <c r="L74" s="42"/>
      <c r="M74" s="4"/>
      <c r="N74" s="4"/>
      <c r="O74" s="4"/>
      <c r="P74" s="4"/>
      <c r="Q74" s="4"/>
      <c r="R74" s="4"/>
      <c r="S74" s="4"/>
      <c r="T74" s="50"/>
      <c r="U74" s="50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 spans="1:31" ht="14.4">
      <c r="A75" s="51">
        <v>20901</v>
      </c>
      <c r="B75" s="52" t="s">
        <v>92</v>
      </c>
      <c r="C75" s="51" t="s">
        <v>48</v>
      </c>
      <c r="D75" s="53">
        <v>10994</v>
      </c>
      <c r="E75" s="53">
        <v>648981.00037599262</v>
      </c>
      <c r="F75" s="54">
        <f t="shared" si="0"/>
        <v>59.0304712002904</v>
      </c>
      <c r="G75" s="53">
        <v>10703</v>
      </c>
      <c r="H75" s="53">
        <v>903516.9998550415</v>
      </c>
      <c r="I75" s="54">
        <f t="shared" si="1"/>
        <v>84.41717274175852</v>
      </c>
      <c r="J75" s="55"/>
      <c r="K75" s="37"/>
      <c r="L75" s="42"/>
      <c r="M75" s="4"/>
      <c r="N75" s="4"/>
      <c r="O75" s="4"/>
      <c r="P75" s="4"/>
      <c r="Q75" s="4"/>
      <c r="R75" s="4"/>
      <c r="S75" s="4"/>
      <c r="T75" s="50"/>
      <c r="U75" s="50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 spans="1:31" ht="14.4">
      <c r="A76" s="51">
        <v>20902</v>
      </c>
      <c r="B76" s="52" t="s">
        <v>93</v>
      </c>
      <c r="C76" s="51" t="s">
        <v>48</v>
      </c>
      <c r="D76" s="53">
        <v>13822</v>
      </c>
      <c r="E76" s="53">
        <v>804514.00001760852</v>
      </c>
      <c r="F76" s="54">
        <f t="shared" si="0"/>
        <v>58.205324845724824</v>
      </c>
      <c r="G76" s="53">
        <v>16497</v>
      </c>
      <c r="H76" s="53">
        <v>1008846.000038147</v>
      </c>
      <c r="I76" s="54">
        <f t="shared" si="1"/>
        <v>61.153300602421467</v>
      </c>
      <c r="J76" s="55"/>
      <c r="K76" s="37"/>
      <c r="L76" s="42"/>
      <c r="M76" s="4"/>
      <c r="N76" s="4"/>
      <c r="O76" s="4"/>
      <c r="P76" s="4"/>
      <c r="Q76" s="4"/>
      <c r="R76" s="4"/>
      <c r="S76" s="4"/>
      <c r="T76" s="50"/>
      <c r="U76" s="50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 spans="1:31" ht="14.4">
      <c r="A77" s="51">
        <v>20903</v>
      </c>
      <c r="B77" s="52" t="s">
        <v>94</v>
      </c>
      <c r="C77" s="51" t="s">
        <v>48</v>
      </c>
      <c r="D77" s="53">
        <v>8975</v>
      </c>
      <c r="E77" s="53">
        <v>241683.00101705827</v>
      </c>
      <c r="F77" s="54">
        <f t="shared" si="0"/>
        <v>26.928468079895072</v>
      </c>
      <c r="G77" s="53">
        <v>12296</v>
      </c>
      <c r="H77" s="53">
        <v>234704.99992370605</v>
      </c>
      <c r="I77" s="54">
        <f t="shared" si="1"/>
        <v>19.0879147628258</v>
      </c>
      <c r="J77" s="55"/>
      <c r="K77" s="37"/>
      <c r="L77" s="42"/>
      <c r="M77" s="4"/>
      <c r="N77" s="4"/>
      <c r="O77" s="4"/>
      <c r="P77" s="4"/>
      <c r="Q77" s="4"/>
      <c r="R77" s="4"/>
      <c r="S77" s="4"/>
      <c r="T77" s="50"/>
      <c r="U77" s="50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 spans="1:31" ht="14.4">
      <c r="A78" s="51">
        <v>20904</v>
      </c>
      <c r="B78" s="52" t="s">
        <v>95</v>
      </c>
      <c r="C78" s="51" t="s">
        <v>48</v>
      </c>
      <c r="D78" s="53">
        <v>5219</v>
      </c>
      <c r="E78" s="53">
        <v>58290.999958529137</v>
      </c>
      <c r="F78" s="54">
        <f t="shared" si="0"/>
        <v>11.168997884370404</v>
      </c>
      <c r="G78" s="53">
        <v>5297</v>
      </c>
      <c r="H78" s="53">
        <v>76229.000038146973</v>
      </c>
      <c r="I78" s="54">
        <f t="shared" si="1"/>
        <v>14.39097603136624</v>
      </c>
      <c r="J78" s="55"/>
      <c r="K78" s="37"/>
      <c r="L78" s="42"/>
      <c r="M78" s="4"/>
      <c r="N78" s="4"/>
      <c r="O78" s="4"/>
      <c r="P78" s="4"/>
      <c r="Q78" s="4"/>
      <c r="R78" s="4"/>
      <c r="S78" s="4"/>
      <c r="T78" s="50"/>
      <c r="U78" s="50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 spans="1:31" ht="14.4">
      <c r="A79" s="51">
        <v>20905</v>
      </c>
      <c r="B79" s="52" t="s">
        <v>96</v>
      </c>
      <c r="C79" s="51" t="s">
        <v>48</v>
      </c>
      <c r="D79" s="53">
        <v>12103</v>
      </c>
      <c r="E79" s="53">
        <v>579867.99959340133</v>
      </c>
      <c r="F79" s="54">
        <f t="shared" si="0"/>
        <v>47.911096388779754</v>
      </c>
      <c r="G79" s="53">
        <v>13598</v>
      </c>
      <c r="H79" s="53">
        <v>839524.00022888184</v>
      </c>
      <c r="I79" s="54">
        <f t="shared" si="1"/>
        <v>61.738785132290175</v>
      </c>
      <c r="J79" s="55"/>
      <c r="K79" s="37"/>
      <c r="L79" s="42"/>
      <c r="M79" s="4"/>
      <c r="N79" s="4"/>
      <c r="O79" s="4"/>
      <c r="P79" s="4"/>
      <c r="Q79" s="4"/>
      <c r="R79" s="4"/>
      <c r="S79" s="4"/>
      <c r="T79" s="50"/>
      <c r="U79" s="50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 spans="1:31" ht="14.4">
      <c r="A80" s="51">
        <v>21001</v>
      </c>
      <c r="B80" s="52" t="s">
        <v>97</v>
      </c>
      <c r="C80" s="51" t="s">
        <v>48</v>
      </c>
      <c r="D80" s="53">
        <v>16038</v>
      </c>
      <c r="E80" s="53">
        <v>458955.00023799017</v>
      </c>
      <c r="F80" s="54">
        <f t="shared" si="0"/>
        <v>28.616722798228594</v>
      </c>
      <c r="G80" s="53">
        <v>18679</v>
      </c>
      <c r="H80" s="53">
        <v>685609.99987792969</v>
      </c>
      <c r="I80" s="54">
        <f t="shared" si="1"/>
        <v>36.704855713792476</v>
      </c>
      <c r="J80" s="55"/>
      <c r="K80" s="37"/>
      <c r="L80" s="42"/>
      <c r="M80" s="4"/>
      <c r="N80" s="4"/>
      <c r="O80" s="4"/>
      <c r="P80" s="4"/>
      <c r="Q80" s="4"/>
      <c r="R80" s="4"/>
      <c r="S80" s="4"/>
      <c r="T80" s="50"/>
      <c r="U80" s="50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 spans="1:31" ht="14.4">
      <c r="A81" s="51">
        <v>21002</v>
      </c>
      <c r="B81" s="52" t="s">
        <v>98</v>
      </c>
      <c r="C81" s="51" t="s">
        <v>48</v>
      </c>
      <c r="D81" s="53">
        <v>9140</v>
      </c>
      <c r="E81" s="53">
        <v>702049.00114243664</v>
      </c>
      <c r="F81" s="54">
        <f t="shared" si="0"/>
        <v>76.810612816459155</v>
      </c>
      <c r="G81" s="53">
        <v>10887</v>
      </c>
      <c r="H81" s="53">
        <v>1277700.5000534058</v>
      </c>
      <c r="I81" s="54">
        <f t="shared" si="1"/>
        <v>117.3602002437224</v>
      </c>
      <c r="J81" s="55"/>
      <c r="K81" s="37"/>
      <c r="L81" s="42"/>
      <c r="M81" s="4"/>
      <c r="N81" s="4"/>
      <c r="O81" s="4"/>
      <c r="P81" s="4"/>
      <c r="Q81" s="4"/>
      <c r="R81" s="4"/>
      <c r="S81" s="4"/>
      <c r="T81" s="50"/>
      <c r="U81" s="50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 spans="1:31" ht="14.4">
      <c r="A82" s="51">
        <v>21003</v>
      </c>
      <c r="B82" s="52" t="s">
        <v>99</v>
      </c>
      <c r="C82" s="51" t="s">
        <v>48</v>
      </c>
      <c r="D82" s="53">
        <v>12160</v>
      </c>
      <c r="E82" s="53">
        <v>1815846.9982537581</v>
      </c>
      <c r="F82" s="54">
        <f t="shared" si="0"/>
        <v>149.32952288271036</v>
      </c>
      <c r="G82" s="53">
        <v>15565</v>
      </c>
      <c r="H82" s="53">
        <v>2356197</v>
      </c>
      <c r="I82" s="54">
        <f t="shared" si="1"/>
        <v>151.37789913266946</v>
      </c>
      <c r="J82" s="55"/>
      <c r="K82" s="37"/>
      <c r="L82" s="42"/>
      <c r="M82" s="4"/>
      <c r="N82" s="4"/>
      <c r="O82" s="4"/>
      <c r="P82" s="4"/>
      <c r="Q82" s="4"/>
      <c r="R82" s="4"/>
      <c r="S82" s="4"/>
      <c r="T82" s="50"/>
      <c r="U82" s="50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 spans="1:31" ht="14.4">
      <c r="A83" s="51">
        <v>21004</v>
      </c>
      <c r="B83" s="52" t="s">
        <v>100</v>
      </c>
      <c r="C83" s="51" t="s">
        <v>48</v>
      </c>
      <c r="D83" s="53">
        <v>20915</v>
      </c>
      <c r="E83" s="53">
        <v>309460.00009526126</v>
      </c>
      <c r="F83" s="54">
        <f t="shared" si="0"/>
        <v>14.7960793734287</v>
      </c>
      <c r="G83" s="53">
        <v>23505</v>
      </c>
      <c r="H83" s="53">
        <v>294485.00011444092</v>
      </c>
      <c r="I83" s="54">
        <f t="shared" si="1"/>
        <v>12.528610938712653</v>
      </c>
      <c r="J83" s="55"/>
      <c r="K83" s="37"/>
      <c r="L83" s="42"/>
      <c r="M83" s="4"/>
      <c r="N83" s="4"/>
      <c r="O83" s="4"/>
      <c r="P83" s="4"/>
      <c r="Q83" s="4"/>
      <c r="R83" s="4"/>
      <c r="S83" s="4"/>
      <c r="T83" s="50"/>
      <c r="U83" s="50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 spans="1:31" ht="14.4">
      <c r="A84" s="51">
        <v>21005</v>
      </c>
      <c r="B84" s="52" t="s">
        <v>101</v>
      </c>
      <c r="C84" s="51" t="s">
        <v>48</v>
      </c>
      <c r="D84" s="53">
        <v>8459</v>
      </c>
      <c r="E84" s="53">
        <v>147730.00028283335</v>
      </c>
      <c r="F84" s="54">
        <f t="shared" si="0"/>
        <v>17.464239305217326</v>
      </c>
      <c r="G84" s="53">
        <v>9552</v>
      </c>
      <c r="H84" s="53">
        <v>165399.00004577637</v>
      </c>
      <c r="I84" s="54">
        <f t="shared" si="1"/>
        <v>17.315640708309921</v>
      </c>
      <c r="J84" s="55"/>
      <c r="K84" s="37"/>
      <c r="L84" s="42"/>
      <c r="M84" s="4"/>
      <c r="N84" s="4"/>
      <c r="O84" s="4"/>
      <c r="P84" s="4"/>
      <c r="Q84" s="4"/>
      <c r="R84" s="4"/>
      <c r="S84" s="4"/>
      <c r="T84" s="50"/>
      <c r="U84" s="50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 spans="1:31" ht="14.4">
      <c r="A85" s="51">
        <v>21006</v>
      </c>
      <c r="B85" s="52" t="s">
        <v>102</v>
      </c>
      <c r="C85" s="51" t="s">
        <v>48</v>
      </c>
      <c r="D85" s="53">
        <v>6284</v>
      </c>
      <c r="E85" s="53">
        <v>215762.9998341864</v>
      </c>
      <c r="F85" s="54">
        <f t="shared" si="0"/>
        <v>34.33529596342877</v>
      </c>
      <c r="G85" s="53">
        <v>7877</v>
      </c>
      <c r="H85" s="53">
        <v>426309.00010681152</v>
      </c>
      <c r="I85" s="54">
        <f t="shared" si="1"/>
        <v>54.120731256418878</v>
      </c>
      <c r="J85" s="55"/>
      <c r="K85" s="37"/>
      <c r="L85" s="42"/>
      <c r="M85" s="4"/>
      <c r="N85" s="4"/>
      <c r="O85" s="4"/>
      <c r="P85" s="4"/>
      <c r="Q85" s="4"/>
      <c r="R85" s="4"/>
      <c r="S85" s="4"/>
      <c r="T85" s="50"/>
      <c r="U85" s="50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 spans="1:31" ht="14.4">
      <c r="A86" s="51">
        <v>21101</v>
      </c>
      <c r="B86" s="52" t="s">
        <v>103</v>
      </c>
      <c r="C86" s="51" t="s">
        <v>48</v>
      </c>
      <c r="D86" s="53">
        <v>17983</v>
      </c>
      <c r="E86" s="53">
        <v>2795163.9999010786</v>
      </c>
      <c r="F86" s="54">
        <f t="shared" si="0"/>
        <v>155.43368736590551</v>
      </c>
      <c r="G86" s="53">
        <v>18303</v>
      </c>
      <c r="H86" s="53">
        <v>4344043.0002593994</v>
      </c>
      <c r="I86" s="54">
        <f t="shared" si="1"/>
        <v>237.34049064412389</v>
      </c>
      <c r="J86" s="55"/>
      <c r="K86" s="37"/>
      <c r="L86" s="42"/>
      <c r="M86" s="4"/>
      <c r="N86" s="4"/>
      <c r="O86" s="4"/>
      <c r="P86" s="4"/>
      <c r="Q86" s="4"/>
      <c r="R86" s="4"/>
      <c r="S86" s="4"/>
      <c r="T86" s="50"/>
      <c r="U86" s="50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 spans="1:31" ht="14.4">
      <c r="A87" s="51">
        <v>21102</v>
      </c>
      <c r="B87" s="52" t="s">
        <v>104</v>
      </c>
      <c r="C87" s="51" t="s">
        <v>48</v>
      </c>
      <c r="D87" s="53">
        <v>19277</v>
      </c>
      <c r="E87" s="53">
        <v>1962885.0002256362</v>
      </c>
      <c r="F87" s="54">
        <f t="shared" si="0"/>
        <v>101.82523215363574</v>
      </c>
      <c r="G87" s="53">
        <v>23279</v>
      </c>
      <c r="H87" s="53">
        <v>3436808.0001907349</v>
      </c>
      <c r="I87" s="54">
        <f t="shared" si="1"/>
        <v>147.6355513634922</v>
      </c>
      <c r="J87" s="55"/>
      <c r="K87" s="37"/>
      <c r="L87" s="42"/>
      <c r="M87" s="4"/>
      <c r="N87" s="4"/>
      <c r="O87" s="4"/>
      <c r="P87" s="4"/>
      <c r="Q87" s="4"/>
      <c r="R87" s="4"/>
      <c r="S87" s="4"/>
      <c r="T87" s="50"/>
      <c r="U87" s="50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 spans="1:31" ht="14.4">
      <c r="A88" s="51">
        <v>21103</v>
      </c>
      <c r="B88" s="52" t="s">
        <v>105</v>
      </c>
      <c r="C88" s="51" t="s">
        <v>48</v>
      </c>
      <c r="D88" s="53">
        <v>6818</v>
      </c>
      <c r="E88" s="53">
        <v>769276.99945401866</v>
      </c>
      <c r="F88" s="54">
        <f t="shared" si="0"/>
        <v>112.83030206131104</v>
      </c>
      <c r="G88" s="53">
        <v>7615</v>
      </c>
      <c r="H88" s="53">
        <v>1087012.0001068115</v>
      </c>
      <c r="I88" s="54">
        <f t="shared" si="1"/>
        <v>142.74615891094044</v>
      </c>
      <c r="J88" s="55"/>
      <c r="K88" s="37"/>
      <c r="L88" s="42"/>
      <c r="M88" s="4"/>
      <c r="N88" s="4"/>
      <c r="O88" s="4"/>
      <c r="P88" s="4"/>
      <c r="Q88" s="4"/>
      <c r="R88" s="4"/>
      <c r="S88" s="4"/>
      <c r="T88" s="50"/>
      <c r="U88" s="50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 spans="1:31" ht="14.4">
      <c r="A89" s="51">
        <v>21104</v>
      </c>
      <c r="B89" s="52" t="s">
        <v>106</v>
      </c>
      <c r="C89" s="51" t="s">
        <v>48</v>
      </c>
      <c r="D89" s="53">
        <v>25533</v>
      </c>
      <c r="E89" s="53">
        <v>2627562.0000553485</v>
      </c>
      <c r="F89" s="54">
        <f t="shared" si="0"/>
        <v>102.90847139213365</v>
      </c>
      <c r="G89" s="53">
        <v>27137</v>
      </c>
      <c r="H89" s="53">
        <v>4941014.9998703003</v>
      </c>
      <c r="I89" s="54">
        <f t="shared" si="1"/>
        <v>182.07668496408226</v>
      </c>
      <c r="J89" s="55"/>
      <c r="K89" s="37"/>
      <c r="L89" s="42"/>
      <c r="M89" s="4"/>
      <c r="N89" s="4"/>
      <c r="O89" s="4"/>
      <c r="P89" s="4"/>
      <c r="Q89" s="4"/>
      <c r="R89" s="4"/>
      <c r="S89" s="4"/>
      <c r="T89" s="50"/>
      <c r="U89" s="50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 spans="1:31" ht="14.4">
      <c r="A90" s="51">
        <v>21105</v>
      </c>
      <c r="B90" s="52" t="s">
        <v>107</v>
      </c>
      <c r="C90" s="51" t="s">
        <v>48</v>
      </c>
      <c r="D90" s="53">
        <v>41981</v>
      </c>
      <c r="E90" s="53">
        <v>3913222.0006976882</v>
      </c>
      <c r="F90" s="54">
        <f t="shared" si="0"/>
        <v>93.214120690257218</v>
      </c>
      <c r="G90" s="53">
        <v>45587</v>
      </c>
      <c r="H90" s="53">
        <v>9305408.0009994507</v>
      </c>
      <c r="I90" s="54">
        <f t="shared" si="1"/>
        <v>204.12415822492051</v>
      </c>
      <c r="J90" s="55"/>
      <c r="K90" s="37"/>
      <c r="L90" s="42"/>
      <c r="M90" s="4"/>
      <c r="N90" s="4"/>
      <c r="O90" s="4"/>
      <c r="P90" s="4"/>
      <c r="Q90" s="4"/>
      <c r="R90" s="4"/>
      <c r="S90" s="4"/>
      <c r="T90" s="50"/>
      <c r="U90" s="50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 spans="1:31" ht="14.4">
      <c r="A91" s="51">
        <v>21201</v>
      </c>
      <c r="B91" s="52" t="s">
        <v>108</v>
      </c>
      <c r="C91" s="51" t="s">
        <v>48</v>
      </c>
      <c r="D91" s="53">
        <v>36699</v>
      </c>
      <c r="E91" s="53">
        <v>1806873.0000927849</v>
      </c>
      <c r="F91" s="54">
        <f t="shared" si="0"/>
        <v>49.234938284225315</v>
      </c>
      <c r="G91" s="53">
        <v>49850</v>
      </c>
      <c r="H91" s="53">
        <v>11708230.00012207</v>
      </c>
      <c r="I91" s="54">
        <f t="shared" si="1"/>
        <v>234.86920762531736</v>
      </c>
      <c r="J91" s="55"/>
      <c r="K91" s="37"/>
      <c r="L91" s="42"/>
      <c r="M91" s="4"/>
      <c r="N91" s="4"/>
      <c r="O91" s="4"/>
      <c r="P91" s="4"/>
      <c r="Q91" s="4"/>
      <c r="R91" s="4"/>
      <c r="S91" s="4"/>
      <c r="T91" s="50"/>
      <c r="U91" s="50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 spans="1:31" ht="14.4">
      <c r="A92" s="51">
        <v>21202</v>
      </c>
      <c r="B92" s="52" t="s">
        <v>109</v>
      </c>
      <c r="C92" s="51" t="s">
        <v>48</v>
      </c>
      <c r="D92" s="53">
        <v>29238</v>
      </c>
      <c r="E92" s="53">
        <v>1685275.9989302466</v>
      </c>
      <c r="F92" s="54">
        <f t="shared" si="0"/>
        <v>57.639920614619555</v>
      </c>
      <c r="G92" s="53">
        <v>38652</v>
      </c>
      <c r="H92" s="53">
        <v>2771224.0005111694</v>
      </c>
      <c r="I92" s="54">
        <f t="shared" si="1"/>
        <v>71.696781551049611</v>
      </c>
      <c r="J92" s="55"/>
      <c r="K92" s="37"/>
      <c r="L92" s="42"/>
      <c r="M92" s="4"/>
      <c r="N92" s="4"/>
      <c r="O92" s="4"/>
      <c r="P92" s="4"/>
      <c r="Q92" s="4"/>
      <c r="R92" s="4"/>
      <c r="S92" s="4"/>
      <c r="T92" s="50"/>
      <c r="U92" s="50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 spans="1:31" ht="14.4">
      <c r="A93" s="51">
        <v>21203</v>
      </c>
      <c r="B93" s="52" t="s">
        <v>110</v>
      </c>
      <c r="C93" s="51" t="s">
        <v>48</v>
      </c>
      <c r="D93" s="53">
        <v>18486</v>
      </c>
      <c r="E93" s="53">
        <v>1501055.0010192171</v>
      </c>
      <c r="F93" s="54">
        <f t="shared" si="0"/>
        <v>81.199556476209949</v>
      </c>
      <c r="G93" s="53">
        <v>20607</v>
      </c>
      <c r="H93" s="53">
        <v>1643978.9997711182</v>
      </c>
      <c r="I93" s="54">
        <f t="shared" si="1"/>
        <v>79.777696888004954</v>
      </c>
      <c r="J93" s="55"/>
      <c r="K93" s="37"/>
      <c r="L93" s="42"/>
      <c r="M93" s="4"/>
      <c r="N93" s="4"/>
      <c r="O93" s="4"/>
      <c r="P93" s="4"/>
      <c r="Q93" s="4"/>
      <c r="R93" s="4"/>
      <c r="S93" s="4"/>
      <c r="T93" s="50"/>
      <c r="U93" s="50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 spans="1:31" ht="14.4">
      <c r="A94" s="51">
        <v>21204</v>
      </c>
      <c r="B94" s="52" t="s">
        <v>111</v>
      </c>
      <c r="C94" s="51" t="s">
        <v>48</v>
      </c>
      <c r="D94" s="53">
        <v>6965</v>
      </c>
      <c r="E94" s="53">
        <v>370191.99920715764</v>
      </c>
      <c r="F94" s="54">
        <f t="shared" si="0"/>
        <v>53.150322929958023</v>
      </c>
      <c r="G94" s="53">
        <v>7900</v>
      </c>
      <c r="H94" s="53">
        <v>0</v>
      </c>
      <c r="I94" s="54">
        <f t="shared" si="1"/>
        <v>0</v>
      </c>
      <c r="J94" s="55"/>
      <c r="K94" s="37"/>
      <c r="L94" s="42"/>
      <c r="M94" s="4"/>
      <c r="N94" s="4"/>
      <c r="O94" s="4"/>
      <c r="P94" s="4"/>
      <c r="Q94" s="4"/>
      <c r="R94" s="4"/>
      <c r="S94" s="4"/>
      <c r="T94" s="50"/>
      <c r="U94" s="50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 spans="1:31" ht="14.4">
      <c r="A95" s="51">
        <v>21301</v>
      </c>
      <c r="B95" s="52" t="s">
        <v>112</v>
      </c>
      <c r="C95" s="51" t="s">
        <v>48</v>
      </c>
      <c r="D95" s="53">
        <v>32170</v>
      </c>
      <c r="E95" s="53">
        <v>1336496.0024705194</v>
      </c>
      <c r="F95" s="54">
        <f t="shared" si="0"/>
        <v>41.544793362465633</v>
      </c>
      <c r="G95" s="53">
        <v>33885</v>
      </c>
      <c r="H95" s="53">
        <v>1552734.9997406006</v>
      </c>
      <c r="I95" s="54">
        <f t="shared" si="1"/>
        <v>45.823668282148461</v>
      </c>
      <c r="J95" s="55"/>
      <c r="K95" s="37"/>
      <c r="L95" s="42"/>
      <c r="M95" s="4"/>
      <c r="N95" s="4"/>
      <c r="O95" s="4"/>
      <c r="P95" s="4"/>
      <c r="Q95" s="4"/>
      <c r="R95" s="4"/>
      <c r="S95" s="4"/>
      <c r="T95" s="50"/>
      <c r="U95" s="50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 spans="1:31" ht="14.4">
      <c r="A96" s="51">
        <v>21302</v>
      </c>
      <c r="B96" s="52" t="s">
        <v>113</v>
      </c>
      <c r="C96" s="51" t="s">
        <v>48</v>
      </c>
      <c r="D96" s="53">
        <v>8969</v>
      </c>
      <c r="E96" s="53">
        <v>339288.00040807296</v>
      </c>
      <c r="F96" s="54">
        <f t="shared" si="0"/>
        <v>37.828966485458018</v>
      </c>
      <c r="G96" s="53">
        <v>9102</v>
      </c>
      <c r="H96" s="53">
        <v>340995.99991607666</v>
      </c>
      <c r="I96" s="54">
        <f t="shared" si="1"/>
        <v>37.463854088780124</v>
      </c>
      <c r="J96" s="55"/>
      <c r="K96" s="37"/>
      <c r="L96" s="42"/>
      <c r="M96" s="4"/>
      <c r="N96" s="4"/>
      <c r="O96" s="4"/>
      <c r="P96" s="4"/>
      <c r="Q96" s="4"/>
      <c r="R96" s="4"/>
      <c r="S96" s="4"/>
      <c r="T96" s="50"/>
      <c r="U96" s="50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 spans="1:31" ht="14.4">
      <c r="A97" s="51">
        <v>21303</v>
      </c>
      <c r="B97" s="52" t="s">
        <v>114</v>
      </c>
      <c r="C97" s="51" t="s">
        <v>48</v>
      </c>
      <c r="D97" s="53">
        <v>8951</v>
      </c>
      <c r="E97" s="53">
        <v>344290.99988170806</v>
      </c>
      <c r="F97" s="54">
        <f t="shared" si="0"/>
        <v>38.463970492873209</v>
      </c>
      <c r="G97" s="53">
        <v>11258</v>
      </c>
      <c r="H97" s="53">
        <v>412383.99991607666</v>
      </c>
      <c r="I97" s="54">
        <f t="shared" si="1"/>
        <v>36.630307329550249</v>
      </c>
      <c r="J97" s="55"/>
      <c r="K97" s="37"/>
      <c r="L97" s="42"/>
      <c r="M97" s="4"/>
      <c r="N97" s="4"/>
      <c r="O97" s="4"/>
      <c r="P97" s="4"/>
      <c r="Q97" s="4"/>
      <c r="R97" s="4"/>
      <c r="S97" s="4"/>
      <c r="T97" s="50"/>
      <c r="U97" s="50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 spans="1:31" ht="14.4">
      <c r="A98" s="51">
        <v>21304</v>
      </c>
      <c r="B98" s="52" t="s">
        <v>115</v>
      </c>
      <c r="C98" s="51" t="s">
        <v>48</v>
      </c>
      <c r="D98" s="53">
        <v>13384</v>
      </c>
      <c r="E98" s="53">
        <v>638846.9997758558</v>
      </c>
      <c r="F98" s="54">
        <f t="shared" si="0"/>
        <v>47.732142840395682</v>
      </c>
      <c r="G98" s="53">
        <v>15327</v>
      </c>
      <c r="H98" s="53">
        <v>789331.00008392334</v>
      </c>
      <c r="I98" s="54">
        <f t="shared" si="1"/>
        <v>51.499380184245013</v>
      </c>
      <c r="J98" s="55"/>
      <c r="K98" s="37"/>
      <c r="L98" s="42"/>
      <c r="M98" s="4"/>
      <c r="N98" s="4"/>
      <c r="O98" s="4"/>
      <c r="P98" s="4"/>
      <c r="Q98" s="4"/>
      <c r="R98" s="4"/>
      <c r="S98" s="4"/>
      <c r="T98" s="50"/>
      <c r="U98" s="50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 spans="1:31" ht="14.4">
      <c r="A99" s="51">
        <v>21305</v>
      </c>
      <c r="B99" s="52" t="s">
        <v>116</v>
      </c>
      <c r="C99" s="51" t="s">
        <v>48</v>
      </c>
      <c r="D99" s="53">
        <v>23621</v>
      </c>
      <c r="E99" s="53">
        <v>2477796.0002241656</v>
      </c>
      <c r="F99" s="54">
        <f t="shared" si="0"/>
        <v>104.89801448813199</v>
      </c>
      <c r="G99" s="53">
        <v>25148</v>
      </c>
      <c r="H99" s="53">
        <v>3253823.9994125366</v>
      </c>
      <c r="I99" s="54">
        <f t="shared" si="1"/>
        <v>129.38698900161191</v>
      </c>
      <c r="J99" s="55"/>
      <c r="K99" s="37"/>
      <c r="L99" s="42"/>
      <c r="M99" s="4"/>
      <c r="N99" s="4"/>
      <c r="O99" s="4"/>
      <c r="P99" s="4"/>
      <c r="Q99" s="4"/>
      <c r="R99" s="4"/>
      <c r="S99" s="4"/>
      <c r="T99" s="50"/>
      <c r="U99" s="50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 spans="1:31" ht="14.4">
      <c r="A100" s="51">
        <v>21306</v>
      </c>
      <c r="B100" s="52" t="s">
        <v>117</v>
      </c>
      <c r="C100" s="51" t="s">
        <v>48</v>
      </c>
      <c r="D100" s="53">
        <v>10749</v>
      </c>
      <c r="E100" s="53">
        <v>513844.99931334145</v>
      </c>
      <c r="F100" s="54">
        <f t="shared" si="0"/>
        <v>47.803981701864494</v>
      </c>
      <c r="G100" s="53">
        <v>12490</v>
      </c>
      <c r="H100" s="53">
        <v>564564.99980926514</v>
      </c>
      <c r="I100" s="54">
        <f t="shared" si="1"/>
        <v>45.20136107360009</v>
      </c>
      <c r="J100" s="55"/>
      <c r="K100" s="37"/>
      <c r="L100" s="42"/>
      <c r="M100" s="4"/>
      <c r="N100" s="4"/>
      <c r="O100" s="4"/>
      <c r="P100" s="4"/>
      <c r="Q100" s="4"/>
      <c r="R100" s="4"/>
      <c r="S100" s="4"/>
      <c r="T100" s="50"/>
      <c r="U100" s="50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 spans="1:31" ht="14.4">
      <c r="A101" s="51">
        <v>21307</v>
      </c>
      <c r="B101" s="52" t="s">
        <v>118</v>
      </c>
      <c r="C101" s="51" t="s">
        <v>48</v>
      </c>
      <c r="D101" s="53">
        <v>5203</v>
      </c>
      <c r="E101" s="53">
        <v>134630.00010117423</v>
      </c>
      <c r="F101" s="54">
        <f t="shared" si="0"/>
        <v>25.875456486868003</v>
      </c>
      <c r="G101" s="53">
        <v>5526</v>
      </c>
      <c r="H101" s="53">
        <v>173404.99999237061</v>
      </c>
      <c r="I101" s="54">
        <f t="shared" si="1"/>
        <v>31.379840751424286</v>
      </c>
      <c r="J101" s="55"/>
      <c r="K101" s="37"/>
      <c r="L101" s="42"/>
      <c r="M101" s="4"/>
      <c r="N101" s="4"/>
      <c r="O101" s="4"/>
      <c r="P101" s="4"/>
      <c r="Q101" s="4"/>
      <c r="R101" s="4"/>
      <c r="S101" s="4"/>
      <c r="T101" s="50"/>
      <c r="U101" s="50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 spans="1:31" ht="14.4">
      <c r="A102" s="51">
        <v>21401</v>
      </c>
      <c r="B102" s="52" t="s">
        <v>119</v>
      </c>
      <c r="C102" s="51" t="s">
        <v>48</v>
      </c>
      <c r="D102" s="53">
        <v>22168</v>
      </c>
      <c r="E102" s="53">
        <v>2586713.0004410893</v>
      </c>
      <c r="F102" s="54">
        <f t="shared" si="0"/>
        <v>116.68680081383478</v>
      </c>
      <c r="G102" s="53">
        <v>27711</v>
      </c>
      <c r="H102" s="53">
        <v>5043189.0000610352</v>
      </c>
      <c r="I102" s="54">
        <f t="shared" si="1"/>
        <v>181.99231352390873</v>
      </c>
      <c r="J102" s="55"/>
      <c r="K102" s="37"/>
      <c r="L102" s="42"/>
      <c r="M102" s="4"/>
      <c r="N102" s="4"/>
      <c r="O102" s="4"/>
      <c r="P102" s="4"/>
      <c r="Q102" s="4"/>
      <c r="R102" s="4"/>
      <c r="S102" s="4"/>
      <c r="T102" s="50"/>
      <c r="U102" s="50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 spans="1:31" ht="14.4">
      <c r="A103" s="51">
        <v>21402</v>
      </c>
      <c r="B103" s="52" t="s">
        <v>120</v>
      </c>
      <c r="C103" s="51" t="s">
        <v>48</v>
      </c>
      <c r="D103" s="53">
        <v>19130</v>
      </c>
      <c r="E103" s="53">
        <v>3164111.000326247</v>
      </c>
      <c r="F103" s="54">
        <f t="shared" si="0"/>
        <v>165.40047048229206</v>
      </c>
      <c r="G103" s="53">
        <v>23530</v>
      </c>
      <c r="H103" s="53">
        <v>3620872.0004730225</v>
      </c>
      <c r="I103" s="54">
        <f t="shared" si="1"/>
        <v>153.88321293977995</v>
      </c>
      <c r="J103" s="55"/>
      <c r="K103" s="37"/>
      <c r="L103" s="42"/>
      <c r="M103" s="4"/>
      <c r="N103" s="4"/>
      <c r="O103" s="4"/>
      <c r="P103" s="4"/>
      <c r="Q103" s="4"/>
      <c r="R103" s="4"/>
      <c r="S103" s="4"/>
      <c r="T103" s="50"/>
      <c r="U103" s="50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 spans="1:31" ht="14.4">
      <c r="A104" s="51">
        <v>21501</v>
      </c>
      <c r="B104" s="52" t="s">
        <v>121</v>
      </c>
      <c r="C104" s="51" t="s">
        <v>48</v>
      </c>
      <c r="D104" s="53">
        <v>10440</v>
      </c>
      <c r="E104" s="53">
        <v>1028598.9999556551</v>
      </c>
      <c r="F104" s="54">
        <f t="shared" si="0"/>
        <v>98.524808424871182</v>
      </c>
      <c r="G104" s="53">
        <v>12595</v>
      </c>
      <c r="H104" s="53">
        <v>1987538.9997558594</v>
      </c>
      <c r="I104" s="54">
        <f t="shared" si="1"/>
        <v>157.80381101674152</v>
      </c>
      <c r="J104" s="55"/>
      <c r="K104" s="37"/>
      <c r="L104" s="42"/>
      <c r="M104" s="4"/>
      <c r="N104" s="4"/>
      <c r="O104" s="4"/>
      <c r="P104" s="4"/>
      <c r="Q104" s="4"/>
      <c r="R104" s="4"/>
      <c r="S104" s="4"/>
      <c r="T104" s="50"/>
      <c r="U104" s="50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 spans="1:31" ht="14.4">
      <c r="A105" s="51">
        <v>21502</v>
      </c>
      <c r="B105" s="52" t="s">
        <v>122</v>
      </c>
      <c r="C105" s="51" t="s">
        <v>48</v>
      </c>
      <c r="D105" s="53">
        <v>9176</v>
      </c>
      <c r="E105" s="53">
        <v>1035885.0001133084</v>
      </c>
      <c r="F105" s="54">
        <f t="shared" si="0"/>
        <v>112.89069312481566</v>
      </c>
      <c r="G105" s="53">
        <v>10105</v>
      </c>
      <c r="H105" s="53">
        <v>1913410.0006408691</v>
      </c>
      <c r="I105" s="54">
        <f t="shared" si="1"/>
        <v>189.35279570914093</v>
      </c>
      <c r="J105" s="55"/>
      <c r="K105" s="37"/>
      <c r="L105" s="42"/>
      <c r="M105" s="4"/>
      <c r="N105" s="4"/>
      <c r="O105" s="4"/>
      <c r="P105" s="4"/>
      <c r="Q105" s="4"/>
      <c r="R105" s="4"/>
      <c r="S105" s="4"/>
      <c r="T105" s="50"/>
      <c r="U105" s="50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 spans="1:31" ht="14.4">
      <c r="A106" s="51">
        <v>21601</v>
      </c>
      <c r="B106" s="52" t="s">
        <v>123</v>
      </c>
      <c r="C106" s="51" t="s">
        <v>48</v>
      </c>
      <c r="D106" s="53">
        <v>13936</v>
      </c>
      <c r="E106" s="53">
        <v>301051.00005773269</v>
      </c>
      <c r="F106" s="54">
        <f t="shared" si="0"/>
        <v>21.602396674636388</v>
      </c>
      <c r="G106" s="53">
        <v>15763</v>
      </c>
      <c r="H106" s="53">
        <v>586770.99982452393</v>
      </c>
      <c r="I106" s="54">
        <f t="shared" si="1"/>
        <v>37.224576528866585</v>
      </c>
      <c r="J106" s="55"/>
      <c r="K106" s="37"/>
      <c r="L106" s="42"/>
      <c r="M106" s="4"/>
      <c r="N106" s="4"/>
      <c r="O106" s="4"/>
      <c r="P106" s="4"/>
      <c r="Q106" s="4"/>
      <c r="R106" s="4"/>
      <c r="S106" s="4"/>
      <c r="T106" s="50"/>
      <c r="U106" s="50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 spans="1:31" ht="14.4">
      <c r="A107" s="51">
        <v>21602</v>
      </c>
      <c r="B107" s="52" t="s">
        <v>124</v>
      </c>
      <c r="C107" s="51" t="s">
        <v>48</v>
      </c>
      <c r="D107" s="53">
        <v>4394</v>
      </c>
      <c r="E107" s="53">
        <v>48999.999834581278</v>
      </c>
      <c r="F107" s="54">
        <f t="shared" si="0"/>
        <v>11.151570285521457</v>
      </c>
      <c r="G107" s="53">
        <v>6611</v>
      </c>
      <c r="H107" s="53">
        <v>149167.00003051758</v>
      </c>
      <c r="I107" s="54">
        <f t="shared" si="1"/>
        <v>22.56345485259682</v>
      </c>
      <c r="J107" s="55"/>
      <c r="K107" s="37"/>
      <c r="L107" s="42"/>
      <c r="M107" s="4"/>
      <c r="N107" s="4"/>
      <c r="O107" s="4"/>
      <c r="P107" s="4"/>
      <c r="Q107" s="4"/>
      <c r="R107" s="4"/>
      <c r="S107" s="4"/>
      <c r="T107" s="50"/>
      <c r="U107" s="50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 spans="1:31" ht="14.4">
      <c r="A108" s="51">
        <v>21701</v>
      </c>
      <c r="B108" s="52" t="s">
        <v>125</v>
      </c>
      <c r="C108" s="51" t="s">
        <v>48</v>
      </c>
      <c r="D108" s="53">
        <v>15775</v>
      </c>
      <c r="E108" s="53">
        <v>2115474.9984045075</v>
      </c>
      <c r="F108" s="54">
        <f t="shared" si="0"/>
        <v>134.10301099236182</v>
      </c>
      <c r="G108" s="53">
        <v>17463</v>
      </c>
      <c r="H108" s="53">
        <v>2051569.0001373291</v>
      </c>
      <c r="I108" s="54">
        <f t="shared" si="1"/>
        <v>117.48090248739214</v>
      </c>
      <c r="J108" s="55"/>
      <c r="K108" s="37"/>
      <c r="L108" s="42"/>
      <c r="M108" s="4"/>
      <c r="N108" s="4"/>
      <c r="O108" s="4"/>
      <c r="P108" s="4"/>
      <c r="Q108" s="4"/>
      <c r="R108" s="4"/>
      <c r="S108" s="4"/>
      <c r="T108" s="50"/>
      <c r="U108" s="50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 spans="1:31" ht="14.4">
      <c r="A109" s="51">
        <v>21702</v>
      </c>
      <c r="B109" s="52" t="s">
        <v>126</v>
      </c>
      <c r="C109" s="51" t="s">
        <v>48</v>
      </c>
      <c r="D109" s="53">
        <v>7089</v>
      </c>
      <c r="E109" s="53">
        <v>474047.00117108319</v>
      </c>
      <c r="F109" s="54">
        <f t="shared" si="0"/>
        <v>66.870785889558917</v>
      </c>
      <c r="G109" s="53">
        <v>9164</v>
      </c>
      <c r="H109" s="53">
        <v>376368.99996948242</v>
      </c>
      <c r="I109" s="54">
        <f t="shared" si="1"/>
        <v>41.070384108411439</v>
      </c>
      <c r="J109" s="55"/>
      <c r="K109" s="37"/>
      <c r="L109" s="42"/>
      <c r="M109" s="4"/>
      <c r="N109" s="4"/>
      <c r="O109" s="4"/>
      <c r="P109" s="4"/>
      <c r="Q109" s="4"/>
      <c r="R109" s="4"/>
      <c r="S109" s="4"/>
      <c r="T109" s="50"/>
      <c r="U109" s="50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 spans="1:31" ht="14.4">
      <c r="A110" s="51">
        <v>21703</v>
      </c>
      <c r="B110" s="52" t="s">
        <v>127</v>
      </c>
      <c r="C110" s="51" t="s">
        <v>48</v>
      </c>
      <c r="D110" s="53">
        <v>6682</v>
      </c>
      <c r="E110" s="53">
        <v>80069.000014765188</v>
      </c>
      <c r="F110" s="54">
        <f t="shared" si="0"/>
        <v>11.982789586166595</v>
      </c>
      <c r="G110" s="53">
        <v>7525</v>
      </c>
      <c r="H110" s="53">
        <v>111727.00010681152</v>
      </c>
      <c r="I110" s="54">
        <f t="shared" si="1"/>
        <v>14.847441874659339</v>
      </c>
      <c r="J110" s="55"/>
      <c r="K110" s="37"/>
      <c r="L110" s="42"/>
      <c r="M110" s="4"/>
      <c r="N110" s="4"/>
      <c r="O110" s="4"/>
      <c r="P110" s="4"/>
      <c r="Q110" s="4"/>
      <c r="R110" s="4"/>
      <c r="S110" s="4"/>
      <c r="T110" s="50"/>
      <c r="U110" s="50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 spans="1:31" ht="14.4">
      <c r="A111" s="51">
        <v>21801</v>
      </c>
      <c r="B111" s="52" t="s">
        <v>128</v>
      </c>
      <c r="C111" s="51" t="s">
        <v>48</v>
      </c>
      <c r="D111" s="53">
        <v>8978</v>
      </c>
      <c r="E111" s="53">
        <v>33261.000085156411</v>
      </c>
      <c r="F111" s="54">
        <f t="shared" si="0"/>
        <v>3.7047226648648262</v>
      </c>
      <c r="G111" s="53">
        <v>9217</v>
      </c>
      <c r="H111" s="53">
        <v>249310</v>
      </c>
      <c r="I111" s="54">
        <f t="shared" si="1"/>
        <v>27.048931322556147</v>
      </c>
      <c r="J111" s="55"/>
      <c r="K111" s="37"/>
      <c r="L111" s="42"/>
      <c r="M111" s="4"/>
      <c r="N111" s="4"/>
      <c r="O111" s="4"/>
      <c r="P111" s="4"/>
      <c r="Q111" s="4"/>
      <c r="R111" s="4"/>
      <c r="S111" s="4"/>
      <c r="T111" s="50"/>
      <c r="U111" s="50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 spans="1:31" ht="14.4">
      <c r="A112" s="51">
        <v>21802</v>
      </c>
      <c r="B112" s="52" t="s">
        <v>129</v>
      </c>
      <c r="C112" s="51" t="s">
        <v>48</v>
      </c>
      <c r="D112" s="53">
        <v>6885</v>
      </c>
      <c r="E112" s="53">
        <v>14979.000057975762</v>
      </c>
      <c r="F112" s="54">
        <f t="shared" si="0"/>
        <v>2.1755991369608951</v>
      </c>
      <c r="G112" s="53">
        <v>6649</v>
      </c>
      <c r="H112" s="53">
        <v>188381.99991607666</v>
      </c>
      <c r="I112" s="54">
        <f t="shared" si="1"/>
        <v>28.332380796522283</v>
      </c>
      <c r="J112" s="55"/>
      <c r="K112" s="37"/>
      <c r="L112" s="42"/>
      <c r="M112" s="4"/>
      <c r="N112" s="4"/>
      <c r="O112" s="4"/>
      <c r="P112" s="4"/>
      <c r="Q112" s="4"/>
      <c r="R112" s="4"/>
      <c r="S112" s="4"/>
      <c r="T112" s="50"/>
      <c r="U112" s="50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 spans="1:31" ht="14.4">
      <c r="A113" s="51">
        <v>21803</v>
      </c>
      <c r="B113" s="52" t="s">
        <v>130</v>
      </c>
      <c r="C113" s="51" t="s">
        <v>48</v>
      </c>
      <c r="D113" s="53">
        <v>2020</v>
      </c>
      <c r="E113" s="53">
        <v>38561.000159303658</v>
      </c>
      <c r="F113" s="54">
        <f t="shared" si="0"/>
        <v>19.089604039259235</v>
      </c>
      <c r="G113" s="53">
        <v>2052</v>
      </c>
      <c r="H113" s="53">
        <v>53932.000030517578</v>
      </c>
      <c r="I113" s="54">
        <f t="shared" si="1"/>
        <v>26.282651086996871</v>
      </c>
      <c r="J113" s="55"/>
      <c r="K113" s="37"/>
      <c r="L113" s="42"/>
      <c r="M113" s="4"/>
      <c r="N113" s="4"/>
      <c r="O113" s="4"/>
      <c r="P113" s="4"/>
      <c r="Q113" s="4"/>
      <c r="R113" s="4"/>
      <c r="S113" s="4"/>
      <c r="T113" s="50"/>
      <c r="U113" s="50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 spans="1:31" ht="14.4">
      <c r="A114" s="51">
        <v>21901</v>
      </c>
      <c r="B114" s="52" t="s">
        <v>131</v>
      </c>
      <c r="C114" s="51" t="s">
        <v>48</v>
      </c>
      <c r="D114" s="53">
        <v>5330</v>
      </c>
      <c r="E114" s="53">
        <v>141640.0003090566</v>
      </c>
      <c r="F114" s="54">
        <f t="shared" si="0"/>
        <v>26.574108875995609</v>
      </c>
      <c r="G114" s="53">
        <v>6805</v>
      </c>
      <c r="H114" s="53">
        <v>221964.00012207031</v>
      </c>
      <c r="I114" s="54">
        <f t="shared" si="1"/>
        <v>32.617781061288802</v>
      </c>
      <c r="J114" s="55"/>
      <c r="K114" s="37"/>
      <c r="L114" s="42"/>
      <c r="M114" s="4"/>
      <c r="N114" s="4"/>
      <c r="O114" s="4"/>
      <c r="P114" s="4"/>
      <c r="Q114" s="4"/>
      <c r="R114" s="4"/>
      <c r="S114" s="4"/>
      <c r="T114" s="50"/>
      <c r="U114" s="50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 spans="1:31" ht="14.4">
      <c r="A115" s="51">
        <v>21902</v>
      </c>
      <c r="B115" s="52" t="s">
        <v>132</v>
      </c>
      <c r="C115" s="51" t="s">
        <v>48</v>
      </c>
      <c r="D115" s="53">
        <v>3704</v>
      </c>
      <c r="E115" s="53">
        <v>31080.999877316877</v>
      </c>
      <c r="F115" s="54">
        <f t="shared" si="0"/>
        <v>8.3911986709818791</v>
      </c>
      <c r="G115" s="53">
        <v>5351</v>
      </c>
      <c r="H115" s="53">
        <v>51887</v>
      </c>
      <c r="I115" s="54">
        <f t="shared" si="1"/>
        <v>9.6966922070640997</v>
      </c>
      <c r="J115" s="55"/>
      <c r="K115" s="37"/>
      <c r="L115" s="42"/>
      <c r="M115" s="4"/>
      <c r="N115" s="4"/>
      <c r="O115" s="4"/>
      <c r="P115" s="4"/>
      <c r="Q115" s="4"/>
      <c r="R115" s="4"/>
      <c r="S115" s="4"/>
      <c r="T115" s="50"/>
      <c r="U115" s="50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 spans="1:31" ht="14.4">
      <c r="A116" s="51">
        <v>22001</v>
      </c>
      <c r="B116" s="52" t="s">
        <v>133</v>
      </c>
      <c r="C116" s="51" t="s">
        <v>48</v>
      </c>
      <c r="D116" s="53">
        <v>53445</v>
      </c>
      <c r="E116" s="53">
        <v>4812211.9983158763</v>
      </c>
      <c r="F116" s="54">
        <f t="shared" si="0"/>
        <v>90.040452770434584</v>
      </c>
      <c r="G116" s="53">
        <v>59676</v>
      </c>
      <c r="H116" s="53">
        <v>10714523.99912262</v>
      </c>
      <c r="I116" s="54">
        <f t="shared" si="1"/>
        <v>179.54494267582646</v>
      </c>
      <c r="J116" s="55"/>
      <c r="K116" s="37"/>
      <c r="L116" s="42"/>
      <c r="M116" s="4"/>
      <c r="N116" s="4"/>
      <c r="O116" s="4"/>
      <c r="P116" s="4"/>
      <c r="Q116" s="4"/>
      <c r="R116" s="4"/>
      <c r="S116" s="4"/>
      <c r="T116" s="50"/>
      <c r="U116" s="50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 spans="1:31" ht="14.4">
      <c r="A117" s="51">
        <v>22002</v>
      </c>
      <c r="B117" s="52" t="s">
        <v>134</v>
      </c>
      <c r="C117" s="51" t="s">
        <v>48</v>
      </c>
      <c r="D117" s="53">
        <v>10991</v>
      </c>
      <c r="E117" s="53">
        <v>706957.99983537383</v>
      </c>
      <c r="F117" s="54">
        <f t="shared" si="0"/>
        <v>64.321535787041569</v>
      </c>
      <c r="G117" s="53">
        <v>10585</v>
      </c>
      <c r="H117" s="53">
        <v>1997274.0004730225</v>
      </c>
      <c r="I117" s="54">
        <f t="shared" si="1"/>
        <v>188.68908837723404</v>
      </c>
      <c r="J117" s="55"/>
      <c r="K117" s="37"/>
      <c r="L117" s="42"/>
      <c r="M117" s="4"/>
      <c r="N117" s="4"/>
      <c r="O117" s="4"/>
      <c r="P117" s="4"/>
      <c r="Q117" s="4"/>
      <c r="R117" s="4"/>
      <c r="S117" s="4"/>
      <c r="T117" s="50"/>
      <c r="U117" s="50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 spans="1:31" ht="14.4">
      <c r="A118" s="51">
        <v>30101</v>
      </c>
      <c r="B118" s="52" t="s">
        <v>135</v>
      </c>
      <c r="C118" s="51" t="s">
        <v>372</v>
      </c>
      <c r="D118" s="53">
        <v>643177</v>
      </c>
      <c r="E118" s="53">
        <v>278891186.00436312</v>
      </c>
      <c r="F118" s="54">
        <f t="shared" si="0"/>
        <v>433.61498623918942</v>
      </c>
      <c r="G118" s="53">
        <v>665505</v>
      </c>
      <c r="H118" s="53">
        <v>636147068.53361511</v>
      </c>
      <c r="I118" s="54">
        <f t="shared" si="1"/>
        <v>955.88623456415075</v>
      </c>
      <c r="J118" s="55"/>
      <c r="K118" s="37"/>
      <c r="L118" s="42"/>
      <c r="M118" s="4"/>
      <c r="N118" s="4"/>
      <c r="O118" s="4"/>
      <c r="P118" s="4"/>
      <c r="Q118" s="4"/>
      <c r="R118" s="4"/>
      <c r="S118" s="4"/>
      <c r="T118" s="50"/>
      <c r="U118" s="50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 spans="1:31" ht="14.4">
      <c r="A119" s="51">
        <v>30201</v>
      </c>
      <c r="B119" s="52" t="s">
        <v>136</v>
      </c>
      <c r="C119" s="51" t="s">
        <v>372</v>
      </c>
      <c r="D119" s="53">
        <v>23219</v>
      </c>
      <c r="E119" s="53">
        <v>2559556.0005089147</v>
      </c>
      <c r="F119" s="54">
        <f t="shared" si="0"/>
        <v>110.235410676985</v>
      </c>
      <c r="G119" s="53">
        <v>23123</v>
      </c>
      <c r="H119" s="53">
        <v>419802.00006103516</v>
      </c>
      <c r="I119" s="54">
        <f t="shared" si="1"/>
        <v>18.15517017951975</v>
      </c>
      <c r="J119" s="55"/>
      <c r="K119" s="37"/>
      <c r="L119" s="42"/>
      <c r="M119" s="4"/>
      <c r="N119" s="4"/>
      <c r="O119" s="4"/>
      <c r="P119" s="4"/>
      <c r="Q119" s="4"/>
      <c r="R119" s="4"/>
      <c r="S119" s="4"/>
      <c r="T119" s="50"/>
      <c r="U119" s="50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 spans="1:31" ht="14.4">
      <c r="A120" s="51">
        <v>30202</v>
      </c>
      <c r="B120" s="52" t="s">
        <v>137</v>
      </c>
      <c r="C120" s="51" t="s">
        <v>372</v>
      </c>
      <c r="D120" s="53">
        <v>6727</v>
      </c>
      <c r="E120" s="53">
        <v>254207.00010619871</v>
      </c>
      <c r="F120" s="54">
        <f t="shared" si="0"/>
        <v>37.789059031692986</v>
      </c>
      <c r="G120" s="53">
        <v>6475</v>
      </c>
      <c r="H120" s="53">
        <v>1880595</v>
      </c>
      <c r="I120" s="54">
        <f t="shared" si="1"/>
        <v>290.43938223938221</v>
      </c>
      <c r="J120" s="55"/>
      <c r="K120" s="37"/>
      <c r="L120" s="42"/>
      <c r="M120" s="4"/>
      <c r="N120" s="4"/>
      <c r="O120" s="4"/>
      <c r="P120" s="4"/>
      <c r="Q120" s="4"/>
      <c r="R120" s="4"/>
      <c r="S120" s="4"/>
      <c r="T120" s="50"/>
      <c r="U120" s="50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 spans="1:31" ht="14.4">
      <c r="A121" s="51">
        <v>30203</v>
      </c>
      <c r="B121" s="52" t="s">
        <v>138</v>
      </c>
      <c r="C121" s="51" t="s">
        <v>372</v>
      </c>
      <c r="D121" s="53">
        <v>5995</v>
      </c>
      <c r="E121" s="53">
        <v>614123.00001027528</v>
      </c>
      <c r="F121" s="54">
        <f t="shared" si="0"/>
        <v>102.43919933449129</v>
      </c>
      <c r="G121" s="53">
        <v>6700</v>
      </c>
      <c r="H121" s="53">
        <v>45036</v>
      </c>
      <c r="I121" s="54">
        <f t="shared" si="1"/>
        <v>6.7217910447761193</v>
      </c>
      <c r="J121" s="55"/>
      <c r="K121" s="37"/>
      <c r="L121" s="42"/>
      <c r="M121" s="4"/>
      <c r="N121" s="4"/>
      <c r="O121" s="4"/>
      <c r="P121" s="4"/>
      <c r="Q121" s="4"/>
      <c r="R121" s="4"/>
      <c r="S121" s="4"/>
      <c r="T121" s="50"/>
      <c r="U121" s="50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 spans="1:31" ht="14.4">
      <c r="A122" s="51">
        <v>30301</v>
      </c>
      <c r="B122" s="52" t="s">
        <v>139</v>
      </c>
      <c r="C122" s="51" t="s">
        <v>372</v>
      </c>
      <c r="D122" s="53">
        <v>23044</v>
      </c>
      <c r="E122" s="53">
        <v>598887.0002952544</v>
      </c>
      <c r="F122" s="54">
        <f t="shared" si="0"/>
        <v>25.988847435135149</v>
      </c>
      <c r="G122" s="53">
        <v>21815</v>
      </c>
      <c r="H122" s="53">
        <v>135504.99996948242</v>
      </c>
      <c r="I122" s="54">
        <f t="shared" si="1"/>
        <v>6.2115516832217477</v>
      </c>
      <c r="J122" s="55"/>
      <c r="K122" s="37"/>
      <c r="L122" s="42"/>
      <c r="M122" s="4"/>
      <c r="N122" s="4"/>
      <c r="O122" s="4"/>
      <c r="P122" s="4"/>
      <c r="Q122" s="4"/>
      <c r="R122" s="4"/>
      <c r="S122" s="4"/>
      <c r="T122" s="50"/>
      <c r="U122" s="50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 spans="1:31" ht="14.4">
      <c r="A123" s="51">
        <v>30302</v>
      </c>
      <c r="B123" s="52" t="s">
        <v>140</v>
      </c>
      <c r="C123" s="51" t="s">
        <v>372</v>
      </c>
      <c r="D123" s="53">
        <v>13438</v>
      </c>
      <c r="E123" s="53">
        <v>304985.0004417235</v>
      </c>
      <c r="F123" s="54">
        <f t="shared" si="0"/>
        <v>22.695713680735491</v>
      </c>
      <c r="G123" s="53">
        <v>14720</v>
      </c>
      <c r="H123" s="53">
        <v>35283</v>
      </c>
      <c r="I123" s="54">
        <f t="shared" si="1"/>
        <v>2.3969429347826088</v>
      </c>
      <c r="J123" s="55"/>
      <c r="K123" s="37"/>
      <c r="L123" s="42"/>
      <c r="M123" s="4"/>
      <c r="N123" s="4"/>
      <c r="O123" s="4"/>
      <c r="P123" s="4"/>
      <c r="Q123" s="4"/>
      <c r="R123" s="4"/>
      <c r="S123" s="4"/>
      <c r="T123" s="50"/>
      <c r="U123" s="50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 spans="1:31" ht="14.4">
      <c r="A124" s="51">
        <v>30303</v>
      </c>
      <c r="B124" s="52" t="s">
        <v>141</v>
      </c>
      <c r="C124" s="51" t="s">
        <v>372</v>
      </c>
      <c r="D124" s="53">
        <v>18587</v>
      </c>
      <c r="E124" s="53">
        <v>396558.99975835811</v>
      </c>
      <c r="F124" s="54">
        <f t="shared" si="0"/>
        <v>21.335288091588644</v>
      </c>
      <c r="G124" s="53">
        <v>19608</v>
      </c>
      <c r="H124" s="53">
        <v>247495.00001525879</v>
      </c>
      <c r="I124" s="54">
        <f t="shared" si="1"/>
        <v>12.62214402362601</v>
      </c>
      <c r="J124" s="55"/>
      <c r="K124" s="37"/>
      <c r="L124" s="42"/>
      <c r="M124" s="4"/>
      <c r="N124" s="4"/>
      <c r="O124" s="4"/>
      <c r="P124" s="4"/>
      <c r="Q124" s="4"/>
      <c r="R124" s="4"/>
      <c r="S124" s="4"/>
      <c r="T124" s="50"/>
      <c r="U124" s="50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 spans="1:31" ht="14.4">
      <c r="A125" s="51">
        <v>30401</v>
      </c>
      <c r="B125" s="52" t="s">
        <v>142</v>
      </c>
      <c r="C125" s="51" t="s">
        <v>372</v>
      </c>
      <c r="D125" s="53">
        <v>9252</v>
      </c>
      <c r="E125" s="53">
        <v>1520142.0003358908</v>
      </c>
      <c r="F125" s="54">
        <f t="shared" si="0"/>
        <v>164.30415049026058</v>
      </c>
      <c r="G125" s="53">
        <v>11273</v>
      </c>
      <c r="H125" s="53">
        <v>15498</v>
      </c>
      <c r="I125" s="54">
        <f t="shared" si="1"/>
        <v>1.3747893196132353</v>
      </c>
      <c r="J125" s="55"/>
      <c r="K125" s="37"/>
      <c r="L125" s="42"/>
      <c r="M125" s="4"/>
      <c r="N125" s="4"/>
      <c r="O125" s="4"/>
      <c r="P125" s="4"/>
      <c r="Q125" s="4"/>
      <c r="R125" s="4"/>
      <c r="S125" s="4"/>
      <c r="T125" s="50"/>
      <c r="U125" s="50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 spans="1:31" ht="14.4">
      <c r="A126" s="51">
        <v>30402</v>
      </c>
      <c r="B126" s="52" t="s">
        <v>143</v>
      </c>
      <c r="C126" s="51" t="s">
        <v>372</v>
      </c>
      <c r="D126" s="53">
        <v>7240</v>
      </c>
      <c r="E126" s="53">
        <v>271436.00045514293</v>
      </c>
      <c r="F126" s="54">
        <f t="shared" si="0"/>
        <v>37.491160283859521</v>
      </c>
      <c r="G126" s="53">
        <v>7335</v>
      </c>
      <c r="H126" s="53">
        <v>21756</v>
      </c>
      <c r="I126" s="54">
        <f t="shared" si="1"/>
        <v>2.9660531697341512</v>
      </c>
      <c r="J126" s="55"/>
      <c r="K126" s="37"/>
      <c r="L126" s="42"/>
      <c r="M126" s="4"/>
      <c r="N126" s="4"/>
      <c r="O126" s="4"/>
      <c r="P126" s="4"/>
      <c r="Q126" s="4"/>
      <c r="R126" s="4"/>
      <c r="S126" s="4"/>
      <c r="T126" s="50"/>
      <c r="U126" s="50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 spans="1:31" ht="14.4">
      <c r="A127" s="51">
        <v>30403</v>
      </c>
      <c r="B127" s="52" t="s">
        <v>144</v>
      </c>
      <c r="C127" s="51" t="s">
        <v>372</v>
      </c>
      <c r="D127" s="53">
        <v>21422</v>
      </c>
      <c r="E127" s="53">
        <v>2516753.4982146639</v>
      </c>
      <c r="F127" s="54">
        <f t="shared" si="0"/>
        <v>117.48452517107012</v>
      </c>
      <c r="G127" s="53">
        <v>29375</v>
      </c>
      <c r="H127" s="53">
        <v>72633</v>
      </c>
      <c r="I127" s="54">
        <f t="shared" si="1"/>
        <v>2.4726127659574466</v>
      </c>
      <c r="J127" s="55"/>
      <c r="K127" s="37"/>
      <c r="L127" s="42"/>
      <c r="M127" s="4"/>
      <c r="N127" s="4"/>
      <c r="O127" s="4"/>
      <c r="P127" s="4"/>
      <c r="Q127" s="4"/>
      <c r="R127" s="4"/>
      <c r="S127" s="4"/>
      <c r="T127" s="50"/>
      <c r="U127" s="50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 spans="1:31" ht="14.4">
      <c r="A128" s="51">
        <v>30404</v>
      </c>
      <c r="B128" s="52" t="s">
        <v>145</v>
      </c>
      <c r="C128" s="51" t="s">
        <v>372</v>
      </c>
      <c r="D128" s="53">
        <v>4573</v>
      </c>
      <c r="E128" s="53">
        <v>224107.00050216634</v>
      </c>
      <c r="F128" s="54">
        <f t="shared" si="0"/>
        <v>49.00656035472695</v>
      </c>
      <c r="G128" s="53">
        <v>4987</v>
      </c>
      <c r="H128" s="53">
        <v>3480</v>
      </c>
      <c r="I128" s="54">
        <f t="shared" si="1"/>
        <v>0.69781431722478449</v>
      </c>
      <c r="J128" s="55"/>
      <c r="K128" s="37"/>
      <c r="L128" s="42"/>
      <c r="M128" s="4"/>
      <c r="N128" s="4"/>
      <c r="O128" s="4"/>
      <c r="P128" s="4"/>
      <c r="Q128" s="4"/>
      <c r="R128" s="4"/>
      <c r="S128" s="4"/>
      <c r="T128" s="50"/>
      <c r="U128" s="50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 spans="1:31" ht="14.4">
      <c r="A129" s="51">
        <v>30501</v>
      </c>
      <c r="B129" s="52" t="s">
        <v>146</v>
      </c>
      <c r="C129" s="51" t="s">
        <v>372</v>
      </c>
      <c r="D129" s="53">
        <v>10064</v>
      </c>
      <c r="E129" s="53">
        <v>1907851.4979518848</v>
      </c>
      <c r="F129" s="54">
        <f t="shared" si="0"/>
        <v>189.57188970110141</v>
      </c>
      <c r="G129" s="53">
        <v>11183</v>
      </c>
      <c r="H129" s="53">
        <v>12420</v>
      </c>
      <c r="I129" s="54">
        <f t="shared" si="1"/>
        <v>1.1106143253152105</v>
      </c>
      <c r="J129" s="55"/>
      <c r="K129" s="37"/>
      <c r="L129" s="42"/>
      <c r="M129" s="4"/>
      <c r="N129" s="4"/>
      <c r="O129" s="4"/>
      <c r="P129" s="4"/>
      <c r="Q129" s="4"/>
      <c r="R129" s="4"/>
      <c r="S129" s="4"/>
      <c r="T129" s="50"/>
      <c r="U129" s="50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 spans="1:31" ht="14.4">
      <c r="A130" s="51">
        <v>30502</v>
      </c>
      <c r="B130" s="52" t="s">
        <v>147</v>
      </c>
      <c r="C130" s="51" t="s">
        <v>372</v>
      </c>
      <c r="D130" s="53">
        <v>8763</v>
      </c>
      <c r="E130" s="53">
        <v>302223.00025526714</v>
      </c>
      <c r="F130" s="54">
        <f t="shared" si="0"/>
        <v>34.488531354018846</v>
      </c>
      <c r="G130" s="53">
        <v>8409</v>
      </c>
      <c r="H130" s="53">
        <v>9152</v>
      </c>
      <c r="I130" s="54">
        <f t="shared" si="1"/>
        <v>1.0883577119752645</v>
      </c>
      <c r="J130" s="55"/>
      <c r="K130" s="37"/>
      <c r="L130" s="42"/>
      <c r="M130" s="4"/>
      <c r="N130" s="4"/>
      <c r="O130" s="4"/>
      <c r="P130" s="4"/>
      <c r="Q130" s="4"/>
      <c r="R130" s="4"/>
      <c r="S130" s="4"/>
      <c r="T130" s="50"/>
      <c r="U130" s="50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 spans="1:31" ht="14.4">
      <c r="A131" s="51">
        <v>30601</v>
      </c>
      <c r="B131" s="52" t="s">
        <v>148</v>
      </c>
      <c r="C131" s="51" t="s">
        <v>372</v>
      </c>
      <c r="D131" s="53">
        <v>10609</v>
      </c>
      <c r="E131" s="53">
        <v>206101.00002764445</v>
      </c>
      <c r="F131" s="54">
        <f t="shared" si="0"/>
        <v>19.426995949443345</v>
      </c>
      <c r="G131" s="53">
        <v>10632</v>
      </c>
      <c r="H131" s="53">
        <v>24070</v>
      </c>
      <c r="I131" s="54">
        <f t="shared" si="1"/>
        <v>2.2639202407825434</v>
      </c>
      <c r="J131" s="55"/>
      <c r="K131" s="37"/>
      <c r="L131" s="42"/>
      <c r="M131" s="4"/>
      <c r="N131" s="4"/>
      <c r="O131" s="4"/>
      <c r="P131" s="4"/>
      <c r="Q131" s="4"/>
      <c r="R131" s="4"/>
      <c r="S131" s="4"/>
      <c r="T131" s="50"/>
      <c r="U131" s="50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 spans="1:31" ht="14.4">
      <c r="A132" s="51">
        <v>30602</v>
      </c>
      <c r="B132" s="52" t="s">
        <v>149</v>
      </c>
      <c r="C132" s="51" t="s">
        <v>372</v>
      </c>
      <c r="D132" s="53">
        <v>10419</v>
      </c>
      <c r="E132" s="53">
        <v>148420.00007542409</v>
      </c>
      <c r="F132" s="54">
        <f t="shared" si="0"/>
        <v>14.245129098322689</v>
      </c>
      <c r="G132" s="53">
        <v>10750</v>
      </c>
      <c r="H132" s="53">
        <v>8241</v>
      </c>
      <c r="I132" s="54">
        <f t="shared" si="1"/>
        <v>0.76660465116279075</v>
      </c>
      <c r="J132" s="55"/>
      <c r="K132" s="37"/>
      <c r="L132" s="42"/>
      <c r="M132" s="4"/>
      <c r="N132" s="4"/>
      <c r="O132" s="4"/>
      <c r="P132" s="4"/>
      <c r="Q132" s="4"/>
      <c r="R132" s="4"/>
      <c r="S132" s="4"/>
      <c r="T132" s="50"/>
      <c r="U132" s="50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 spans="1:31" ht="14.4">
      <c r="A133" s="51">
        <v>30701</v>
      </c>
      <c r="B133" s="52" t="s">
        <v>150</v>
      </c>
      <c r="C133" s="51" t="s">
        <v>372</v>
      </c>
      <c r="D133" s="53">
        <v>19460</v>
      </c>
      <c r="E133" s="53">
        <v>3478721.0017391667</v>
      </c>
      <c r="F133" s="54">
        <f t="shared" si="0"/>
        <v>178.76264140489036</v>
      </c>
      <c r="G133" s="53">
        <v>19427</v>
      </c>
      <c r="H133" s="53">
        <v>77970</v>
      </c>
      <c r="I133" s="54">
        <f t="shared" si="1"/>
        <v>4.0134863849281928</v>
      </c>
      <c r="J133" s="55"/>
      <c r="K133" s="37"/>
      <c r="L133" s="42"/>
      <c r="M133" s="4"/>
      <c r="N133" s="4"/>
      <c r="O133" s="4"/>
      <c r="P133" s="4"/>
      <c r="Q133" s="4"/>
      <c r="R133" s="4"/>
      <c r="S133" s="4"/>
      <c r="T133" s="50"/>
      <c r="U133" s="50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 spans="1:31" ht="14.4">
      <c r="A134" s="51">
        <v>30702</v>
      </c>
      <c r="B134" s="52" t="s">
        <v>151</v>
      </c>
      <c r="C134" s="51" t="s">
        <v>372</v>
      </c>
      <c r="D134" s="53">
        <v>6998</v>
      </c>
      <c r="E134" s="53">
        <v>1135769.0000126967</v>
      </c>
      <c r="F134" s="54">
        <f t="shared" si="0"/>
        <v>162.29908545480092</v>
      </c>
      <c r="G134" s="53">
        <v>7940</v>
      </c>
      <c r="H134" s="53">
        <v>34932</v>
      </c>
      <c r="I134" s="54">
        <f t="shared" si="1"/>
        <v>4.3994962216624689</v>
      </c>
      <c r="J134" s="55"/>
      <c r="K134" s="37"/>
      <c r="L134" s="42"/>
      <c r="M134" s="4"/>
      <c r="N134" s="4"/>
      <c r="O134" s="4"/>
      <c r="P134" s="4"/>
      <c r="Q134" s="4"/>
      <c r="R134" s="4"/>
      <c r="S134" s="4"/>
      <c r="T134" s="50"/>
      <c r="U134" s="50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 spans="1:31" ht="14.4">
      <c r="A135" s="51">
        <v>30703</v>
      </c>
      <c r="B135" s="52" t="s">
        <v>152</v>
      </c>
      <c r="C135" s="51" t="s">
        <v>372</v>
      </c>
      <c r="D135" s="53">
        <v>3820</v>
      </c>
      <c r="E135" s="53">
        <v>208101.00007884763</v>
      </c>
      <c r="F135" s="54">
        <f t="shared" si="0"/>
        <v>54.476701591321373</v>
      </c>
      <c r="G135" s="53">
        <v>3980</v>
      </c>
      <c r="H135" s="53">
        <v>25200</v>
      </c>
      <c r="I135" s="54">
        <f t="shared" si="1"/>
        <v>6.3316582914572868</v>
      </c>
      <c r="J135" s="55"/>
      <c r="K135" s="37"/>
      <c r="L135" s="42"/>
      <c r="M135" s="4"/>
      <c r="N135" s="4"/>
      <c r="O135" s="4"/>
      <c r="P135" s="4"/>
      <c r="Q135" s="4"/>
      <c r="R135" s="4"/>
      <c r="S135" s="4"/>
      <c r="T135" s="50"/>
      <c r="U135" s="50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 spans="1:31" ht="14.4">
      <c r="A136" s="51">
        <v>30801</v>
      </c>
      <c r="B136" s="52" t="s">
        <v>153</v>
      </c>
      <c r="C136" s="51" t="s">
        <v>372</v>
      </c>
      <c r="D136" s="53">
        <v>21651</v>
      </c>
      <c r="E136" s="53">
        <v>4846450.9983634409</v>
      </c>
      <c r="F136" s="54">
        <f t="shared" si="0"/>
        <v>223.84421035349132</v>
      </c>
      <c r="G136" s="53">
        <v>21155</v>
      </c>
      <c r="H136" s="53">
        <v>12581</v>
      </c>
      <c r="I136" s="54">
        <f t="shared" si="1"/>
        <v>0.59470574332309145</v>
      </c>
      <c r="J136" s="55"/>
      <c r="K136" s="37"/>
      <c r="L136" s="42"/>
      <c r="M136" s="4"/>
      <c r="N136" s="4"/>
      <c r="O136" s="4"/>
      <c r="P136" s="4"/>
      <c r="Q136" s="4"/>
      <c r="R136" s="4"/>
      <c r="S136" s="4"/>
      <c r="T136" s="50"/>
      <c r="U136" s="50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 spans="1:31" ht="14.4">
      <c r="A137" s="51">
        <v>30802</v>
      </c>
      <c r="B137" s="52" t="s">
        <v>154</v>
      </c>
      <c r="C137" s="51" t="s">
        <v>372</v>
      </c>
      <c r="D137" s="53">
        <v>7165</v>
      </c>
      <c r="E137" s="53">
        <v>733240.50001643598</v>
      </c>
      <c r="F137" s="54">
        <f t="shared" si="0"/>
        <v>102.33642707835813</v>
      </c>
      <c r="G137" s="53">
        <v>7382</v>
      </c>
      <c r="H137" s="53">
        <v>9222</v>
      </c>
      <c r="I137" s="54">
        <f t="shared" si="1"/>
        <v>1.249254944459496</v>
      </c>
      <c r="J137" s="55"/>
      <c r="K137" s="37"/>
      <c r="L137" s="42"/>
      <c r="M137" s="4"/>
      <c r="N137" s="4"/>
      <c r="O137" s="4"/>
      <c r="P137" s="4"/>
      <c r="Q137" s="4"/>
      <c r="R137" s="4"/>
      <c r="S137" s="4"/>
      <c r="T137" s="50"/>
      <c r="U137" s="50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 spans="1:31" ht="14.4">
      <c r="A138" s="51">
        <v>30803</v>
      </c>
      <c r="B138" s="52" t="s">
        <v>155</v>
      </c>
      <c r="C138" s="51" t="s">
        <v>372</v>
      </c>
      <c r="D138" s="53">
        <v>6590</v>
      </c>
      <c r="E138" s="53">
        <v>1593179.9992441107</v>
      </c>
      <c r="F138" s="54">
        <f t="shared" si="0"/>
        <v>241.75720777604107</v>
      </c>
      <c r="G138" s="53">
        <v>8687</v>
      </c>
      <c r="H138" s="53">
        <v>29512</v>
      </c>
      <c r="I138" s="54">
        <f t="shared" si="1"/>
        <v>3.3972602739726026</v>
      </c>
      <c r="J138" s="55"/>
      <c r="K138" s="37"/>
      <c r="L138" s="42"/>
      <c r="M138" s="4"/>
      <c r="N138" s="4"/>
      <c r="O138" s="4"/>
      <c r="P138" s="4"/>
      <c r="Q138" s="4"/>
      <c r="R138" s="4"/>
      <c r="S138" s="4"/>
      <c r="T138" s="50"/>
      <c r="U138" s="50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 spans="1:31" ht="14.4">
      <c r="A139" s="51">
        <v>30901</v>
      </c>
      <c r="B139" s="52" t="s">
        <v>156</v>
      </c>
      <c r="C139" s="51" t="s">
        <v>372</v>
      </c>
      <c r="D139" s="53">
        <v>147035</v>
      </c>
      <c r="E139" s="53">
        <v>48729985.997995175</v>
      </c>
      <c r="F139" s="54">
        <f t="shared" si="0"/>
        <v>331.41759443666592</v>
      </c>
      <c r="G139" s="53">
        <v>166741</v>
      </c>
      <c r="H139" s="53">
        <v>536670</v>
      </c>
      <c r="I139" s="54">
        <f t="shared" si="1"/>
        <v>3.2185845113079568</v>
      </c>
      <c r="J139" s="55"/>
      <c r="K139" s="37"/>
      <c r="L139" s="42"/>
      <c r="M139" s="4"/>
      <c r="N139" s="4"/>
      <c r="O139" s="4"/>
      <c r="P139" s="4"/>
      <c r="Q139" s="4"/>
      <c r="R139" s="4"/>
      <c r="S139" s="4"/>
      <c r="T139" s="50"/>
      <c r="U139" s="50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 spans="1:31" ht="14.4">
      <c r="A140" s="51">
        <v>30902</v>
      </c>
      <c r="B140" s="52" t="s">
        <v>157</v>
      </c>
      <c r="C140" s="51" t="s">
        <v>372</v>
      </c>
      <c r="D140" s="53">
        <v>46350</v>
      </c>
      <c r="E140" s="53">
        <v>9111536.5041589402</v>
      </c>
      <c r="F140" s="54">
        <f t="shared" si="0"/>
        <v>196.58115435078619</v>
      </c>
      <c r="G140" s="53">
        <v>55908</v>
      </c>
      <c r="H140" s="53">
        <v>184036</v>
      </c>
      <c r="I140" s="54">
        <f t="shared" si="1"/>
        <v>3.2917650425699363</v>
      </c>
      <c r="J140" s="55"/>
      <c r="K140" s="37"/>
      <c r="L140" s="42"/>
      <c r="M140" s="4"/>
      <c r="N140" s="4"/>
      <c r="O140" s="4"/>
      <c r="P140" s="4"/>
      <c r="Q140" s="4"/>
      <c r="R140" s="4"/>
      <c r="S140" s="4"/>
      <c r="T140" s="50"/>
      <c r="U140" s="50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 spans="1:31" ht="14.4">
      <c r="A141" s="51">
        <v>30903</v>
      </c>
      <c r="B141" s="52" t="s">
        <v>158</v>
      </c>
      <c r="C141" s="51" t="s">
        <v>372</v>
      </c>
      <c r="D141" s="53">
        <v>56549</v>
      </c>
      <c r="E141" s="53">
        <v>21068057.00849795</v>
      </c>
      <c r="F141" s="54">
        <f t="shared" si="0"/>
        <v>372.56285714155774</v>
      </c>
      <c r="G141" s="53">
        <v>61840</v>
      </c>
      <c r="H141" s="53">
        <v>422646</v>
      </c>
      <c r="I141" s="54">
        <f t="shared" si="1"/>
        <v>6.8345084087968955</v>
      </c>
      <c r="J141" s="55"/>
      <c r="K141" s="37"/>
      <c r="L141" s="42"/>
      <c r="M141" s="4"/>
      <c r="N141" s="4"/>
      <c r="O141" s="4"/>
      <c r="P141" s="4"/>
      <c r="Q141" s="4"/>
      <c r="R141" s="4"/>
      <c r="S141" s="4"/>
      <c r="T141" s="50"/>
      <c r="U141" s="50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 spans="1:31" ht="14.4">
      <c r="A142" s="51">
        <v>30904</v>
      </c>
      <c r="B142" s="52" t="s">
        <v>159</v>
      </c>
      <c r="C142" s="51" t="s">
        <v>372</v>
      </c>
      <c r="D142" s="53">
        <v>53333</v>
      </c>
      <c r="E142" s="53">
        <v>12661829.999839395</v>
      </c>
      <c r="F142" s="54">
        <f t="shared" si="0"/>
        <v>237.41079631446561</v>
      </c>
      <c r="G142" s="53">
        <v>56064</v>
      </c>
      <c r="H142" s="53">
        <v>97148</v>
      </c>
      <c r="I142" s="54">
        <f t="shared" si="1"/>
        <v>1.7328053652968036</v>
      </c>
      <c r="J142" s="55"/>
      <c r="K142" s="37"/>
      <c r="L142" s="42"/>
      <c r="M142" s="4"/>
      <c r="N142" s="4"/>
      <c r="O142" s="4"/>
      <c r="P142" s="4"/>
      <c r="Q142" s="4"/>
      <c r="R142" s="4"/>
      <c r="S142" s="4"/>
      <c r="T142" s="50"/>
      <c r="U142" s="50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 spans="1:31" ht="14.4">
      <c r="A143" s="51">
        <v>30905</v>
      </c>
      <c r="B143" s="52" t="s">
        <v>160</v>
      </c>
      <c r="C143" s="51" t="s">
        <v>372</v>
      </c>
      <c r="D143" s="53">
        <v>56828</v>
      </c>
      <c r="E143" s="53">
        <v>21099607.995722361</v>
      </c>
      <c r="F143" s="54">
        <f t="shared" si="0"/>
        <v>371.28894199553673</v>
      </c>
      <c r="G143" s="53">
        <v>66505</v>
      </c>
      <c r="H143" s="53">
        <v>104652</v>
      </c>
      <c r="I143" s="54">
        <f t="shared" si="1"/>
        <v>1.5735959702278024</v>
      </c>
      <c r="J143" s="55"/>
      <c r="K143" s="37"/>
      <c r="L143" s="42"/>
      <c r="M143" s="4"/>
      <c r="N143" s="4"/>
      <c r="O143" s="4"/>
      <c r="P143" s="4"/>
      <c r="Q143" s="4"/>
      <c r="R143" s="4"/>
      <c r="S143" s="4"/>
      <c r="T143" s="50"/>
      <c r="U143" s="50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 spans="1:31" ht="14.4">
      <c r="A144" s="51">
        <v>31001</v>
      </c>
      <c r="B144" s="52" t="s">
        <v>161</v>
      </c>
      <c r="C144" s="51" t="s">
        <v>372</v>
      </c>
      <c r="D144" s="53">
        <v>188008</v>
      </c>
      <c r="E144" s="53">
        <v>50168160.485634565</v>
      </c>
      <c r="F144" s="54">
        <f t="shared" si="0"/>
        <v>266.84056255922388</v>
      </c>
      <c r="G144" s="53">
        <v>219092</v>
      </c>
      <c r="H144" s="53">
        <v>703424</v>
      </c>
      <c r="I144" s="54">
        <f t="shared" si="1"/>
        <v>3.2106329761013637</v>
      </c>
      <c r="J144" s="55"/>
      <c r="K144" s="37"/>
      <c r="L144" s="42"/>
      <c r="M144" s="4"/>
      <c r="N144" s="4"/>
      <c r="O144" s="4"/>
      <c r="P144" s="4"/>
      <c r="Q144" s="4"/>
      <c r="R144" s="4"/>
      <c r="S144" s="4"/>
      <c r="T144" s="50"/>
      <c r="U144" s="50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 spans="1:31" ht="14.4">
      <c r="A145" s="51">
        <v>31002</v>
      </c>
      <c r="B145" s="52" t="s">
        <v>162</v>
      </c>
      <c r="C145" s="51" t="s">
        <v>372</v>
      </c>
      <c r="D145" s="53">
        <v>20139</v>
      </c>
      <c r="E145" s="53">
        <v>2433604.998180435</v>
      </c>
      <c r="F145" s="54">
        <f t="shared" si="0"/>
        <v>120.84040906601297</v>
      </c>
      <c r="G145" s="53">
        <v>21846</v>
      </c>
      <c r="H145" s="53">
        <v>122972</v>
      </c>
      <c r="I145" s="54">
        <f t="shared" si="1"/>
        <v>5.6290396411242334</v>
      </c>
      <c r="J145" s="55"/>
      <c r="K145" s="37"/>
      <c r="L145" s="42"/>
      <c r="M145" s="4"/>
      <c r="N145" s="4"/>
      <c r="O145" s="4"/>
      <c r="P145" s="4"/>
      <c r="Q145" s="4"/>
      <c r="R145" s="4"/>
      <c r="S145" s="4"/>
      <c r="T145" s="50"/>
      <c r="U145" s="50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 spans="1:31" ht="14.4">
      <c r="A146" s="51">
        <v>31003</v>
      </c>
      <c r="B146" s="52" t="s">
        <v>163</v>
      </c>
      <c r="C146" s="51" t="s">
        <v>372</v>
      </c>
      <c r="D146" s="53">
        <v>78840</v>
      </c>
      <c r="E146" s="53">
        <v>10361196.500695225</v>
      </c>
      <c r="F146" s="54">
        <f t="shared" si="0"/>
        <v>131.42055429598204</v>
      </c>
      <c r="G146" s="53">
        <v>93747</v>
      </c>
      <c r="H146" s="53">
        <v>749056</v>
      </c>
      <c r="I146" s="54">
        <f t="shared" si="1"/>
        <v>7.9901863526299506</v>
      </c>
      <c r="J146" s="55"/>
      <c r="K146" s="37"/>
      <c r="L146" s="42"/>
      <c r="M146" s="4"/>
      <c r="N146" s="4"/>
      <c r="O146" s="4"/>
      <c r="P146" s="4"/>
      <c r="Q146" s="4"/>
      <c r="R146" s="4"/>
      <c r="S146" s="4"/>
      <c r="T146" s="50"/>
      <c r="U146" s="50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 spans="1:31" ht="14.4">
      <c r="A147" s="51">
        <v>31101</v>
      </c>
      <c r="B147" s="52" t="s">
        <v>164</v>
      </c>
      <c r="C147" s="51" t="s">
        <v>372</v>
      </c>
      <c r="D147" s="53">
        <v>24639</v>
      </c>
      <c r="E147" s="53">
        <v>553993.0000124732</v>
      </c>
      <c r="F147" s="54">
        <f t="shared" si="0"/>
        <v>22.484394659380381</v>
      </c>
      <c r="G147" s="53">
        <v>24666</v>
      </c>
      <c r="H147" s="53">
        <v>58714</v>
      </c>
      <c r="I147" s="54">
        <f t="shared" si="1"/>
        <v>2.3803616313954432</v>
      </c>
      <c r="J147" s="55"/>
      <c r="K147" s="37"/>
      <c r="L147" s="42"/>
      <c r="M147" s="4"/>
      <c r="N147" s="4"/>
      <c r="O147" s="4"/>
      <c r="P147" s="4"/>
      <c r="Q147" s="4"/>
      <c r="R147" s="4"/>
      <c r="S147" s="4"/>
      <c r="T147" s="50"/>
      <c r="U147" s="50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 spans="1:31" ht="14.4">
      <c r="A148" s="51">
        <v>31201</v>
      </c>
      <c r="B148" s="52" t="s">
        <v>165</v>
      </c>
      <c r="C148" s="51" t="s">
        <v>372</v>
      </c>
      <c r="D148" s="53">
        <v>14717</v>
      </c>
      <c r="E148" s="53">
        <v>817274.00021295995</v>
      </c>
      <c r="F148" s="54">
        <f t="shared" si="0"/>
        <v>55.532649331586597</v>
      </c>
      <c r="G148" s="53">
        <v>14821</v>
      </c>
      <c r="H148" s="53">
        <v>174064</v>
      </c>
      <c r="I148" s="54">
        <f t="shared" si="1"/>
        <v>11.744416706025234</v>
      </c>
      <c r="J148" s="55"/>
      <c r="K148" s="37"/>
      <c r="L148" s="42"/>
      <c r="M148" s="4"/>
      <c r="N148" s="4"/>
      <c r="O148" s="4"/>
      <c r="P148" s="4"/>
      <c r="Q148" s="4"/>
      <c r="R148" s="4"/>
      <c r="S148" s="4"/>
      <c r="T148" s="50"/>
      <c r="U148" s="50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 spans="1:31" ht="14.4">
      <c r="A149" s="51">
        <v>31202</v>
      </c>
      <c r="B149" s="52" t="s">
        <v>166</v>
      </c>
      <c r="C149" s="51" t="s">
        <v>372</v>
      </c>
      <c r="D149" s="53">
        <v>10726</v>
      </c>
      <c r="E149" s="53">
        <v>709660.00027702469</v>
      </c>
      <c r="F149" s="54">
        <f t="shared" si="0"/>
        <v>66.162595588012749</v>
      </c>
      <c r="G149" s="53">
        <v>11865</v>
      </c>
      <c r="H149" s="53">
        <v>97569</v>
      </c>
      <c r="I149" s="54">
        <f t="shared" si="1"/>
        <v>8.223261694058154</v>
      </c>
      <c r="J149" s="55"/>
      <c r="K149" s="37"/>
      <c r="L149" s="42"/>
      <c r="M149" s="4"/>
      <c r="N149" s="4"/>
      <c r="O149" s="4"/>
      <c r="P149" s="4"/>
      <c r="Q149" s="4"/>
      <c r="R149" s="4"/>
      <c r="S149" s="4"/>
      <c r="T149" s="50"/>
      <c r="U149" s="50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 spans="1:31" ht="14.4">
      <c r="A150" s="51">
        <v>31203</v>
      </c>
      <c r="B150" s="52" t="s">
        <v>167</v>
      </c>
      <c r="C150" s="51" t="s">
        <v>372</v>
      </c>
      <c r="D150" s="53">
        <v>11253</v>
      </c>
      <c r="E150" s="53">
        <v>917127.99910863675</v>
      </c>
      <c r="F150" s="54">
        <f t="shared" si="0"/>
        <v>81.500755274916628</v>
      </c>
      <c r="G150" s="53">
        <v>12258</v>
      </c>
      <c r="H150" s="53">
        <v>54417</v>
      </c>
      <c r="I150" s="54">
        <f t="shared" si="1"/>
        <v>4.4393049437102299</v>
      </c>
      <c r="J150" s="55"/>
      <c r="K150" s="37"/>
      <c r="L150" s="42"/>
      <c r="M150" s="4"/>
      <c r="N150" s="4"/>
      <c r="O150" s="4"/>
      <c r="P150" s="4"/>
      <c r="Q150" s="4"/>
      <c r="R150" s="4"/>
      <c r="S150" s="4"/>
      <c r="T150" s="50"/>
      <c r="U150" s="50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 spans="1:31" ht="14.4">
      <c r="A151" s="51">
        <v>31204</v>
      </c>
      <c r="B151" s="52" t="s">
        <v>168</v>
      </c>
      <c r="C151" s="51" t="s">
        <v>372</v>
      </c>
      <c r="D151" s="53">
        <v>23664</v>
      </c>
      <c r="E151" s="53">
        <v>3801190.9987878799</v>
      </c>
      <c r="F151" s="54">
        <f t="shared" si="0"/>
        <v>160.63180353228026</v>
      </c>
      <c r="G151" s="53">
        <v>27521</v>
      </c>
      <c r="H151" s="53">
        <v>206976</v>
      </c>
      <c r="I151" s="54">
        <f t="shared" si="1"/>
        <v>7.5206569528723524</v>
      </c>
      <c r="J151" s="55"/>
      <c r="K151" s="37"/>
      <c r="L151" s="42"/>
      <c r="M151" s="4"/>
      <c r="N151" s="4"/>
      <c r="O151" s="4"/>
      <c r="P151" s="4"/>
      <c r="Q151" s="4"/>
      <c r="R151" s="4"/>
      <c r="S151" s="4"/>
      <c r="T151" s="50"/>
      <c r="U151" s="50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 spans="1:31" ht="14.4">
      <c r="A152" s="51">
        <v>31205</v>
      </c>
      <c r="B152" s="52" t="s">
        <v>169</v>
      </c>
      <c r="C152" s="51" t="s">
        <v>372</v>
      </c>
      <c r="D152" s="53">
        <v>52616</v>
      </c>
      <c r="E152" s="53">
        <v>8649165.0039961934</v>
      </c>
      <c r="F152" s="54">
        <f t="shared" si="0"/>
        <v>164.3827923824729</v>
      </c>
      <c r="G152" s="53">
        <v>64595</v>
      </c>
      <c r="H152" s="53">
        <v>256672</v>
      </c>
      <c r="I152" s="54">
        <f t="shared" si="1"/>
        <v>3.9735583249477515</v>
      </c>
      <c r="J152" s="55"/>
      <c r="K152" s="37"/>
      <c r="L152" s="42"/>
      <c r="M152" s="4"/>
      <c r="N152" s="4"/>
      <c r="O152" s="4"/>
      <c r="P152" s="4"/>
      <c r="Q152" s="4"/>
      <c r="R152" s="4"/>
      <c r="S152" s="4"/>
      <c r="T152" s="50"/>
      <c r="U152" s="50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 spans="1:31" ht="14.4">
      <c r="A153" s="51">
        <v>31206</v>
      </c>
      <c r="B153" s="52" t="s">
        <v>170</v>
      </c>
      <c r="C153" s="51" t="s">
        <v>372</v>
      </c>
      <c r="D153" s="53">
        <v>36293</v>
      </c>
      <c r="E153" s="53">
        <v>6999093.0015368816</v>
      </c>
      <c r="F153" s="54">
        <f t="shared" si="0"/>
        <v>192.84966802239774</v>
      </c>
      <c r="G153" s="53">
        <v>45780</v>
      </c>
      <c r="H153" s="53">
        <v>198800</v>
      </c>
      <c r="I153" s="54">
        <f t="shared" si="1"/>
        <v>4.3425076452599392</v>
      </c>
      <c r="J153" s="55"/>
      <c r="K153" s="37"/>
      <c r="L153" s="42"/>
      <c r="M153" s="4"/>
      <c r="N153" s="4"/>
      <c r="O153" s="4"/>
      <c r="P153" s="4"/>
      <c r="Q153" s="4"/>
      <c r="R153" s="4"/>
      <c r="S153" s="4"/>
      <c r="T153" s="50"/>
      <c r="U153" s="50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 spans="1:31" ht="14.4">
      <c r="A154" s="51">
        <v>31301</v>
      </c>
      <c r="B154" s="52" t="s">
        <v>171</v>
      </c>
      <c r="C154" s="51" t="s">
        <v>372</v>
      </c>
      <c r="D154" s="53">
        <v>19875</v>
      </c>
      <c r="E154" s="53">
        <v>2523402.5001531187</v>
      </c>
      <c r="F154" s="54">
        <f t="shared" si="0"/>
        <v>126.96364780644623</v>
      </c>
      <c r="G154" s="53">
        <v>19896</v>
      </c>
      <c r="H154" s="53">
        <v>246976</v>
      </c>
      <c r="I154" s="54">
        <f t="shared" si="1"/>
        <v>12.413349416968234</v>
      </c>
      <c r="J154" s="55"/>
      <c r="K154" s="37"/>
      <c r="L154" s="42"/>
      <c r="M154" s="4"/>
      <c r="N154" s="4"/>
      <c r="O154" s="4"/>
      <c r="P154" s="4"/>
      <c r="Q154" s="4"/>
      <c r="R154" s="4"/>
      <c r="S154" s="4"/>
      <c r="T154" s="50"/>
      <c r="U154" s="50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 spans="1:31" ht="14.4">
      <c r="A155" s="51">
        <v>31302</v>
      </c>
      <c r="B155" s="52" t="s">
        <v>172</v>
      </c>
      <c r="C155" s="51" t="s">
        <v>372</v>
      </c>
      <c r="D155" s="53">
        <v>5387</v>
      </c>
      <c r="E155" s="53">
        <v>109365.00006354973</v>
      </c>
      <c r="F155" s="54">
        <f t="shared" si="0"/>
        <v>20.301652137284151</v>
      </c>
      <c r="G155" s="53">
        <v>5244</v>
      </c>
      <c r="H155" s="53">
        <v>36334</v>
      </c>
      <c r="I155" s="54">
        <f t="shared" si="1"/>
        <v>6.9286803966437835</v>
      </c>
      <c r="J155" s="55"/>
      <c r="K155" s="37"/>
      <c r="L155" s="42"/>
      <c r="M155" s="4"/>
      <c r="N155" s="4"/>
      <c r="O155" s="4"/>
      <c r="P155" s="4"/>
      <c r="Q155" s="4"/>
      <c r="R155" s="4"/>
      <c r="S155" s="4"/>
      <c r="T155" s="50"/>
      <c r="U155" s="50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 spans="1:31" ht="14.4">
      <c r="A156" s="51">
        <v>31303</v>
      </c>
      <c r="B156" s="52" t="s">
        <v>173</v>
      </c>
      <c r="C156" s="51" t="s">
        <v>372</v>
      </c>
      <c r="D156" s="53">
        <v>3469</v>
      </c>
      <c r="E156" s="53">
        <v>57372.500066552311</v>
      </c>
      <c r="F156" s="54">
        <f t="shared" si="0"/>
        <v>16.538627865826552</v>
      </c>
      <c r="G156" s="53">
        <v>3512</v>
      </c>
      <c r="H156" s="53">
        <v>13446</v>
      </c>
      <c r="I156" s="54">
        <f t="shared" si="1"/>
        <v>3.8285876993166288</v>
      </c>
      <c r="J156" s="55"/>
      <c r="K156" s="37"/>
      <c r="L156" s="42"/>
      <c r="M156" s="4"/>
      <c r="N156" s="4"/>
      <c r="O156" s="4"/>
      <c r="P156" s="4"/>
      <c r="Q156" s="4"/>
      <c r="R156" s="4"/>
      <c r="S156" s="4"/>
      <c r="T156" s="50"/>
      <c r="U156" s="50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 spans="1:31" ht="14.4">
      <c r="A157" s="51">
        <v>31304</v>
      </c>
      <c r="B157" s="52" t="s">
        <v>174</v>
      </c>
      <c r="C157" s="51" t="s">
        <v>372</v>
      </c>
      <c r="D157" s="53">
        <v>7376</v>
      </c>
      <c r="E157" s="53">
        <v>0</v>
      </c>
      <c r="F157" s="54">
        <f t="shared" si="0"/>
        <v>0</v>
      </c>
      <c r="G157" s="53">
        <v>8056</v>
      </c>
      <c r="H157" s="53">
        <v>0</v>
      </c>
      <c r="I157" s="54">
        <f t="shared" si="1"/>
        <v>0</v>
      </c>
      <c r="J157" s="55"/>
      <c r="K157" s="37"/>
      <c r="L157" s="42"/>
      <c r="M157" s="4"/>
      <c r="N157" s="4"/>
      <c r="O157" s="4"/>
      <c r="P157" s="4"/>
      <c r="Q157" s="4"/>
      <c r="R157" s="4"/>
      <c r="S157" s="4"/>
      <c r="T157" s="50"/>
      <c r="U157" s="50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 spans="1:31" ht="14.4">
      <c r="A158" s="51">
        <v>31401</v>
      </c>
      <c r="B158" s="52" t="s">
        <v>175</v>
      </c>
      <c r="C158" s="51" t="s">
        <v>372</v>
      </c>
      <c r="D158" s="53">
        <v>31007</v>
      </c>
      <c r="E158" s="53">
        <v>7175862.502895114</v>
      </c>
      <c r="F158" s="54">
        <f t="shared" si="0"/>
        <v>231.42717782742974</v>
      </c>
      <c r="G158" s="53">
        <v>35248</v>
      </c>
      <c r="H158" s="53">
        <v>24480</v>
      </c>
      <c r="I158" s="54">
        <f t="shared" si="1"/>
        <v>0.69450748978665455</v>
      </c>
      <c r="J158" s="55"/>
      <c r="K158" s="37"/>
      <c r="L158" s="42"/>
      <c r="M158" s="4"/>
      <c r="N158" s="4"/>
      <c r="O158" s="4"/>
      <c r="P158" s="4"/>
      <c r="Q158" s="4"/>
      <c r="R158" s="4"/>
      <c r="S158" s="4"/>
      <c r="T158" s="50"/>
      <c r="U158" s="50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 spans="1:31" ht="14.4">
      <c r="A159" s="51">
        <v>31402</v>
      </c>
      <c r="B159" s="52" t="s">
        <v>176</v>
      </c>
      <c r="C159" s="51" t="s">
        <v>372</v>
      </c>
      <c r="D159" s="53">
        <v>8290</v>
      </c>
      <c r="E159" s="53">
        <v>1034120.000390321</v>
      </c>
      <c r="F159" s="54">
        <f t="shared" si="0"/>
        <v>124.7430639795321</v>
      </c>
      <c r="G159" s="53">
        <v>8599</v>
      </c>
      <c r="H159" s="53">
        <v>5888</v>
      </c>
      <c r="I159" s="54">
        <f t="shared" si="1"/>
        <v>0.68473078264914522</v>
      </c>
      <c r="J159" s="55"/>
      <c r="K159" s="37"/>
      <c r="L159" s="42"/>
      <c r="M159" s="4"/>
      <c r="N159" s="4"/>
      <c r="O159" s="4"/>
      <c r="P159" s="4"/>
      <c r="Q159" s="4"/>
      <c r="R159" s="4"/>
      <c r="S159" s="4"/>
      <c r="T159" s="50"/>
      <c r="U159" s="50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 spans="1:31" ht="14.4">
      <c r="A160" s="51">
        <v>31403</v>
      </c>
      <c r="B160" s="52" t="s">
        <v>177</v>
      </c>
      <c r="C160" s="51" t="s">
        <v>372</v>
      </c>
      <c r="D160" s="53">
        <v>13393</v>
      </c>
      <c r="E160" s="53">
        <v>3110593.5015466763</v>
      </c>
      <c r="F160" s="54">
        <f t="shared" si="0"/>
        <v>232.25517072699742</v>
      </c>
      <c r="G160" s="53">
        <v>13054</v>
      </c>
      <c r="H160" s="53">
        <v>16005</v>
      </c>
      <c r="I160" s="54">
        <f t="shared" si="1"/>
        <v>1.2260609774781677</v>
      </c>
      <c r="J160" s="55"/>
      <c r="K160" s="37"/>
      <c r="L160" s="42"/>
      <c r="M160" s="4"/>
      <c r="N160" s="4"/>
      <c r="O160" s="4"/>
      <c r="P160" s="4"/>
      <c r="Q160" s="4"/>
      <c r="R160" s="4"/>
      <c r="S160" s="4"/>
      <c r="T160" s="50"/>
      <c r="U160" s="50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 spans="1:31" ht="14.4">
      <c r="A161" s="51">
        <v>31404</v>
      </c>
      <c r="B161" s="52" t="s">
        <v>178</v>
      </c>
      <c r="C161" s="51" t="s">
        <v>372</v>
      </c>
      <c r="D161" s="53">
        <v>1298</v>
      </c>
      <c r="E161" s="53">
        <v>88303.999925232492</v>
      </c>
      <c r="F161" s="54">
        <f t="shared" si="0"/>
        <v>68.030816583384052</v>
      </c>
      <c r="G161" s="53">
        <v>1287</v>
      </c>
      <c r="H161" s="53">
        <v>18520</v>
      </c>
      <c r="I161" s="54">
        <f t="shared" si="1"/>
        <v>14.39005439005439</v>
      </c>
      <c r="J161" s="55"/>
      <c r="K161" s="37"/>
      <c r="L161" s="42"/>
      <c r="M161" s="4"/>
      <c r="N161" s="4"/>
      <c r="O161" s="4"/>
      <c r="P161" s="4"/>
      <c r="Q161" s="4"/>
      <c r="R161" s="4"/>
      <c r="S161" s="4"/>
      <c r="T161" s="50"/>
      <c r="U161" s="50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 spans="1:31" ht="14.4">
      <c r="A162" s="51">
        <v>31405</v>
      </c>
      <c r="B162" s="52" t="s">
        <v>179</v>
      </c>
      <c r="C162" s="51" t="s">
        <v>372</v>
      </c>
      <c r="D162" s="53">
        <v>3119</v>
      </c>
      <c r="E162" s="53">
        <v>0</v>
      </c>
      <c r="F162" s="54">
        <f t="shared" si="0"/>
        <v>0</v>
      </c>
      <c r="G162" s="53">
        <v>3822</v>
      </c>
      <c r="H162" s="53">
        <v>0</v>
      </c>
      <c r="I162" s="54">
        <f t="shared" si="1"/>
        <v>0</v>
      </c>
      <c r="J162" s="55"/>
      <c r="K162" s="37"/>
      <c r="L162" s="42"/>
      <c r="M162" s="4"/>
      <c r="N162" s="4"/>
      <c r="O162" s="4"/>
      <c r="P162" s="4"/>
      <c r="Q162" s="4"/>
      <c r="R162" s="4"/>
      <c r="S162" s="4"/>
      <c r="T162" s="50"/>
      <c r="U162" s="50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 spans="1:31" ht="14.4">
      <c r="A163" s="51">
        <v>31501</v>
      </c>
      <c r="B163" s="52" t="s">
        <v>180</v>
      </c>
      <c r="C163" s="51" t="s">
        <v>372</v>
      </c>
      <c r="D163" s="53">
        <v>7613</v>
      </c>
      <c r="E163" s="53">
        <v>170061.00025380962</v>
      </c>
      <c r="F163" s="54">
        <f t="shared" si="0"/>
        <v>22.338237259136953</v>
      </c>
      <c r="G163" s="53">
        <v>8282</v>
      </c>
      <c r="H163" s="53">
        <v>11988</v>
      </c>
      <c r="I163" s="54">
        <f t="shared" si="1"/>
        <v>1.4474764549625694</v>
      </c>
      <c r="J163" s="55"/>
      <c r="K163" s="37"/>
      <c r="L163" s="42"/>
      <c r="M163" s="4"/>
      <c r="N163" s="4"/>
      <c r="O163" s="4"/>
      <c r="P163" s="4"/>
      <c r="Q163" s="4"/>
      <c r="R163" s="4"/>
      <c r="S163" s="4"/>
      <c r="T163" s="50"/>
      <c r="U163" s="50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 spans="1:31" ht="14.4">
      <c r="A164" s="51">
        <v>31601</v>
      </c>
      <c r="B164" s="52" t="s">
        <v>181</v>
      </c>
      <c r="C164" s="51" t="s">
        <v>372</v>
      </c>
      <c r="D164" s="53">
        <v>20312</v>
      </c>
      <c r="E164" s="53">
        <v>1775845.9994051699</v>
      </c>
      <c r="F164" s="54">
        <f t="shared" si="0"/>
        <v>87.428416670203319</v>
      </c>
      <c r="G164" s="53">
        <v>18475</v>
      </c>
      <c r="H164" s="53">
        <v>22655</v>
      </c>
      <c r="I164" s="54">
        <f t="shared" si="1"/>
        <v>1.2262516914749662</v>
      </c>
      <c r="J164" s="55"/>
      <c r="K164" s="37"/>
      <c r="L164" s="42"/>
      <c r="M164" s="4"/>
      <c r="N164" s="4"/>
      <c r="O164" s="4"/>
      <c r="P164" s="4"/>
      <c r="Q164" s="4"/>
      <c r="R164" s="4"/>
      <c r="S164" s="4"/>
      <c r="T164" s="50"/>
      <c r="U164" s="50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 spans="1:31" ht="14.4">
      <c r="A165" s="51">
        <v>31602</v>
      </c>
      <c r="B165" s="52" t="s">
        <v>182</v>
      </c>
      <c r="C165" s="51" t="s">
        <v>372</v>
      </c>
      <c r="D165" s="53">
        <v>22951</v>
      </c>
      <c r="E165" s="53">
        <v>3585151.0028390633</v>
      </c>
      <c r="F165" s="54">
        <f t="shared" si="0"/>
        <v>156.2089234821604</v>
      </c>
      <c r="G165" s="53">
        <v>27172</v>
      </c>
      <c r="H165" s="53">
        <v>166005</v>
      </c>
      <c r="I165" s="54">
        <f t="shared" si="1"/>
        <v>6.1094141027528339</v>
      </c>
      <c r="J165" s="55"/>
      <c r="K165" s="37"/>
      <c r="L165" s="42"/>
      <c r="M165" s="4"/>
      <c r="N165" s="4"/>
      <c r="O165" s="4"/>
      <c r="P165" s="4"/>
      <c r="Q165" s="4"/>
      <c r="R165" s="4"/>
      <c r="S165" s="4"/>
      <c r="T165" s="50"/>
      <c r="U165" s="50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 spans="1:31" ht="14.4">
      <c r="A166" s="51">
        <v>40101</v>
      </c>
      <c r="B166" s="52" t="s">
        <v>183</v>
      </c>
      <c r="C166" s="51" t="s">
        <v>183</v>
      </c>
      <c r="D166" s="53">
        <v>276079</v>
      </c>
      <c r="E166" s="53">
        <v>85408163.002524048</v>
      </c>
      <c r="F166" s="54">
        <f t="shared" si="0"/>
        <v>309.36131687858926</v>
      </c>
      <c r="G166" s="53">
        <v>298350</v>
      </c>
      <c r="H166" s="53">
        <v>95711561.999534607</v>
      </c>
      <c r="I166" s="54">
        <f t="shared" si="1"/>
        <v>320.80295625786698</v>
      </c>
      <c r="J166" s="55"/>
      <c r="K166" s="37"/>
      <c r="L166" s="42"/>
      <c r="M166" s="4"/>
      <c r="N166" s="4"/>
      <c r="O166" s="4"/>
      <c r="P166" s="4"/>
      <c r="Q166" s="4"/>
      <c r="R166" s="4"/>
      <c r="S166" s="4"/>
      <c r="T166" s="50"/>
      <c r="U166" s="50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 spans="1:31" ht="14.4">
      <c r="A167" s="51">
        <v>40102</v>
      </c>
      <c r="B167" s="52" t="s">
        <v>184</v>
      </c>
      <c r="C167" s="51" t="s">
        <v>183</v>
      </c>
      <c r="D167" s="53">
        <v>23027</v>
      </c>
      <c r="E167" s="53">
        <v>1257855.0008685244</v>
      </c>
      <c r="F167" s="54">
        <f t="shared" si="0"/>
        <v>54.625222602532872</v>
      </c>
      <c r="G167" s="53">
        <v>22850</v>
      </c>
      <c r="H167" s="53">
        <v>1764913.0001678467</v>
      </c>
      <c r="I167" s="54">
        <f t="shared" si="1"/>
        <v>77.23908097014646</v>
      </c>
      <c r="J167" s="55"/>
      <c r="K167" s="37"/>
      <c r="L167" s="42"/>
      <c r="M167" s="4"/>
      <c r="N167" s="4"/>
      <c r="O167" s="4"/>
      <c r="P167" s="4"/>
      <c r="Q167" s="4"/>
      <c r="R167" s="4"/>
      <c r="S167" s="4"/>
      <c r="T167" s="50"/>
      <c r="U167" s="50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 spans="1:31" ht="14.4">
      <c r="A168" s="51">
        <v>40103</v>
      </c>
      <c r="B168" s="52" t="s">
        <v>185</v>
      </c>
      <c r="C168" s="51" t="s">
        <v>183</v>
      </c>
      <c r="D168" s="53">
        <v>9149</v>
      </c>
      <c r="E168" s="53">
        <v>81553.999362304807</v>
      </c>
      <c r="F168" s="54">
        <f t="shared" si="0"/>
        <v>8.913979600208199</v>
      </c>
      <c r="G168" s="53">
        <v>9997</v>
      </c>
      <c r="H168" s="53">
        <v>147931.00008392334</v>
      </c>
      <c r="I168" s="54">
        <f t="shared" si="1"/>
        <v>14.797539270173386</v>
      </c>
      <c r="J168" s="55"/>
      <c r="K168" s="37"/>
      <c r="L168" s="42"/>
      <c r="M168" s="4"/>
      <c r="N168" s="4"/>
      <c r="O168" s="4"/>
      <c r="P168" s="4"/>
      <c r="Q168" s="4"/>
      <c r="R168" s="4"/>
      <c r="S168" s="4"/>
      <c r="T168" s="50"/>
      <c r="U168" s="50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 spans="1:31" ht="14.4">
      <c r="A169" s="51">
        <v>40104</v>
      </c>
      <c r="B169" s="52" t="s">
        <v>186</v>
      </c>
      <c r="C169" s="51" t="s">
        <v>183</v>
      </c>
      <c r="D169" s="53">
        <v>13819</v>
      </c>
      <c r="E169" s="53">
        <v>519538.99997155182</v>
      </c>
      <c r="F169" s="54">
        <f t="shared" si="0"/>
        <v>37.595991024788468</v>
      </c>
      <c r="G169" s="53">
        <v>15764</v>
      </c>
      <c r="H169" s="53">
        <v>691314.99993133545</v>
      </c>
      <c r="I169" s="54">
        <f t="shared" si="1"/>
        <v>43.854034504652084</v>
      </c>
      <c r="J169" s="55"/>
      <c r="K169" s="37"/>
      <c r="L169" s="42"/>
      <c r="M169" s="4"/>
      <c r="N169" s="4"/>
      <c r="O169" s="4"/>
      <c r="P169" s="4"/>
      <c r="Q169" s="4"/>
      <c r="R169" s="4"/>
      <c r="S169" s="4"/>
      <c r="T169" s="50"/>
      <c r="U169" s="50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 spans="1:31" ht="14.4">
      <c r="A170" s="51">
        <v>40201</v>
      </c>
      <c r="B170" s="52" t="s">
        <v>187</v>
      </c>
      <c r="C170" s="51" t="s">
        <v>183</v>
      </c>
      <c r="D170" s="53">
        <v>31088</v>
      </c>
      <c r="E170" s="53">
        <v>2504958.0007918514</v>
      </c>
      <c r="F170" s="54">
        <f t="shared" si="0"/>
        <v>80.576363895774946</v>
      </c>
      <c r="G170" s="53">
        <v>35427</v>
      </c>
      <c r="H170" s="53">
        <v>3477756.0000991821</v>
      </c>
      <c r="I170" s="54">
        <f t="shared" si="1"/>
        <v>98.166821918287809</v>
      </c>
      <c r="J170" s="55"/>
      <c r="K170" s="37"/>
      <c r="L170" s="42"/>
      <c r="M170" s="4"/>
      <c r="N170" s="4"/>
      <c r="O170" s="4"/>
      <c r="P170" s="4"/>
      <c r="Q170" s="4"/>
      <c r="R170" s="4"/>
      <c r="S170" s="4"/>
      <c r="T170" s="50"/>
      <c r="U170" s="50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 spans="1:31" ht="14.4">
      <c r="A171" s="51">
        <v>40202</v>
      </c>
      <c r="B171" s="52" t="s">
        <v>188</v>
      </c>
      <c r="C171" s="51" t="s">
        <v>183</v>
      </c>
      <c r="D171" s="53">
        <v>4421</v>
      </c>
      <c r="E171" s="53">
        <v>62790.000042031519</v>
      </c>
      <c r="F171" s="54">
        <f t="shared" si="0"/>
        <v>14.202669088901045</v>
      </c>
      <c r="G171" s="53">
        <v>5161</v>
      </c>
      <c r="H171" s="53">
        <v>230249.00002288818</v>
      </c>
      <c r="I171" s="54">
        <f t="shared" si="1"/>
        <v>44.613253249929897</v>
      </c>
      <c r="J171" s="55"/>
      <c r="K171" s="37"/>
      <c r="L171" s="42"/>
      <c r="M171" s="4"/>
      <c r="N171" s="4"/>
      <c r="O171" s="4"/>
      <c r="P171" s="4"/>
      <c r="Q171" s="4"/>
      <c r="R171" s="4"/>
      <c r="S171" s="4"/>
      <c r="T171" s="50"/>
      <c r="U171" s="50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 spans="1:31" ht="14.4">
      <c r="A172" s="51">
        <v>40301</v>
      </c>
      <c r="B172" s="52" t="s">
        <v>189</v>
      </c>
      <c r="C172" s="51" t="s">
        <v>183</v>
      </c>
      <c r="D172" s="53">
        <v>11514</v>
      </c>
      <c r="E172" s="53">
        <v>264297.99965532776</v>
      </c>
      <c r="F172" s="54">
        <f t="shared" si="0"/>
        <v>22.954490155925633</v>
      </c>
      <c r="G172" s="53">
        <v>16101</v>
      </c>
      <c r="H172" s="53">
        <v>362450.99998474121</v>
      </c>
      <c r="I172" s="54">
        <f t="shared" si="1"/>
        <v>22.511086266985977</v>
      </c>
      <c r="J172" s="55"/>
      <c r="K172" s="37"/>
      <c r="L172" s="42"/>
      <c r="M172" s="4"/>
      <c r="N172" s="4"/>
      <c r="O172" s="4"/>
      <c r="P172" s="4"/>
      <c r="Q172" s="4"/>
      <c r="R172" s="4"/>
      <c r="S172" s="4"/>
      <c r="T172" s="50"/>
      <c r="U172" s="50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 spans="1:31" ht="14.4">
      <c r="A173" s="51">
        <v>40302</v>
      </c>
      <c r="B173" s="52" t="s">
        <v>190</v>
      </c>
      <c r="C173" s="51" t="s">
        <v>183</v>
      </c>
      <c r="D173" s="53">
        <v>2068</v>
      </c>
      <c r="E173" s="53">
        <v>47246.999916911125</v>
      </c>
      <c r="F173" s="54">
        <f t="shared" si="0"/>
        <v>22.846711758661087</v>
      </c>
      <c r="G173" s="53">
        <v>2504</v>
      </c>
      <c r="H173" s="53">
        <v>91991.999923706055</v>
      </c>
      <c r="I173" s="54">
        <f t="shared" si="1"/>
        <v>36.738019138860246</v>
      </c>
      <c r="J173" s="55"/>
      <c r="K173" s="37"/>
      <c r="L173" s="42"/>
      <c r="M173" s="4"/>
      <c r="N173" s="4"/>
      <c r="O173" s="4"/>
      <c r="P173" s="4"/>
      <c r="Q173" s="4"/>
      <c r="R173" s="4"/>
      <c r="S173" s="4"/>
      <c r="T173" s="50"/>
      <c r="U173" s="50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 spans="1:31" ht="14.4">
      <c r="A174" s="51">
        <v>40401</v>
      </c>
      <c r="B174" s="52" t="s">
        <v>191</v>
      </c>
      <c r="C174" s="51" t="s">
        <v>183</v>
      </c>
      <c r="D174" s="53">
        <v>5017</v>
      </c>
      <c r="E174" s="53">
        <v>143756.00008965842</v>
      </c>
      <c r="F174" s="54">
        <f t="shared" si="0"/>
        <v>28.653777175534866</v>
      </c>
      <c r="G174" s="53">
        <v>6683</v>
      </c>
      <c r="H174" s="53">
        <v>181751.99990081787</v>
      </c>
      <c r="I174" s="54">
        <f t="shared" si="1"/>
        <v>27.196169370165773</v>
      </c>
      <c r="J174" s="55"/>
      <c r="K174" s="37"/>
      <c r="L174" s="42"/>
      <c r="M174" s="4"/>
      <c r="N174" s="4"/>
      <c r="O174" s="4"/>
      <c r="P174" s="4"/>
      <c r="Q174" s="4"/>
      <c r="R174" s="4"/>
      <c r="S174" s="4"/>
      <c r="T174" s="50"/>
      <c r="U174" s="50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 spans="1:31" ht="14.4">
      <c r="A175" s="51">
        <v>40402</v>
      </c>
      <c r="B175" s="52" t="s">
        <v>192</v>
      </c>
      <c r="C175" s="51" t="s">
        <v>183</v>
      </c>
      <c r="D175" s="53">
        <v>5406</v>
      </c>
      <c r="E175" s="53">
        <v>117855.00018742308</v>
      </c>
      <c r="F175" s="54">
        <f t="shared" si="0"/>
        <v>21.800776949208856</v>
      </c>
      <c r="G175" s="53">
        <v>5803</v>
      </c>
      <c r="H175" s="53">
        <v>122664.00001525879</v>
      </c>
      <c r="I175" s="54">
        <f t="shared" si="1"/>
        <v>21.138032055016161</v>
      </c>
      <c r="J175" s="55"/>
      <c r="K175" s="37"/>
      <c r="L175" s="42"/>
      <c r="M175" s="4"/>
      <c r="N175" s="4"/>
      <c r="O175" s="4"/>
      <c r="P175" s="4"/>
      <c r="Q175" s="4"/>
      <c r="R175" s="4"/>
      <c r="S175" s="4"/>
      <c r="T175" s="50"/>
      <c r="U175" s="50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 spans="1:31" ht="14.4">
      <c r="A176" s="51">
        <v>40501</v>
      </c>
      <c r="B176" s="52" t="s">
        <v>193</v>
      </c>
      <c r="C176" s="51" t="s">
        <v>183</v>
      </c>
      <c r="D176" s="53">
        <v>2006</v>
      </c>
      <c r="E176" s="53">
        <v>183777.00013738032</v>
      </c>
      <c r="F176" s="54">
        <f t="shared" si="0"/>
        <v>91.613659091415911</v>
      </c>
      <c r="G176" s="53">
        <v>4011</v>
      </c>
      <c r="H176" s="53">
        <v>173824.99980926514</v>
      </c>
      <c r="I176" s="54">
        <f t="shared" si="1"/>
        <v>43.33707300156199</v>
      </c>
      <c r="J176" s="55"/>
      <c r="K176" s="37"/>
      <c r="L176" s="42"/>
      <c r="M176" s="4"/>
      <c r="N176" s="4"/>
      <c r="O176" s="4"/>
      <c r="P176" s="4"/>
      <c r="Q176" s="4"/>
      <c r="R176" s="4"/>
      <c r="S176" s="4"/>
      <c r="T176" s="50"/>
      <c r="U176" s="50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 spans="1:31" ht="14.4">
      <c r="A177" s="51">
        <v>40502</v>
      </c>
      <c r="B177" s="52" t="s">
        <v>194</v>
      </c>
      <c r="C177" s="51" t="s">
        <v>183</v>
      </c>
      <c r="D177" s="53">
        <v>4226</v>
      </c>
      <c r="E177" s="53">
        <v>8289.999977324158</v>
      </c>
      <c r="F177" s="54">
        <f t="shared" si="0"/>
        <v>1.961665872532929</v>
      </c>
      <c r="G177" s="53">
        <v>4231</v>
      </c>
      <c r="H177" s="53">
        <v>105901.99996948242</v>
      </c>
      <c r="I177" s="54">
        <f t="shared" si="1"/>
        <v>25.030016537339264</v>
      </c>
      <c r="J177" s="55"/>
      <c r="K177" s="37"/>
      <c r="L177" s="42"/>
      <c r="M177" s="4"/>
      <c r="N177" s="4"/>
      <c r="O177" s="4"/>
      <c r="P177" s="4"/>
      <c r="Q177" s="4"/>
      <c r="R177" s="4"/>
      <c r="S177" s="4"/>
      <c r="T177" s="50"/>
      <c r="U177" s="50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 spans="1:31" ht="14.4">
      <c r="A178" s="51">
        <v>40503</v>
      </c>
      <c r="B178" s="52" t="s">
        <v>195</v>
      </c>
      <c r="C178" s="51" t="s">
        <v>183</v>
      </c>
      <c r="D178" s="53">
        <v>1817</v>
      </c>
      <c r="E178" s="53">
        <v>14427.00036949385</v>
      </c>
      <c r="F178" s="54">
        <f t="shared" si="0"/>
        <v>7.9400112105084482</v>
      </c>
      <c r="G178" s="53">
        <v>1517</v>
      </c>
      <c r="H178" s="53">
        <v>4261</v>
      </c>
      <c r="I178" s="54">
        <f t="shared" si="1"/>
        <v>2.8088332234673699</v>
      </c>
      <c r="J178" s="55"/>
      <c r="K178" s="37"/>
      <c r="L178" s="42"/>
      <c r="M178" s="4"/>
      <c r="N178" s="4"/>
      <c r="O178" s="4"/>
      <c r="P178" s="4"/>
      <c r="Q178" s="4"/>
      <c r="R178" s="4"/>
      <c r="S178" s="4"/>
      <c r="T178" s="50"/>
      <c r="U178" s="50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 spans="1:31" ht="14.4">
      <c r="A179" s="51">
        <v>40504</v>
      </c>
      <c r="B179" s="52" t="s">
        <v>196</v>
      </c>
      <c r="C179" s="51" t="s">
        <v>183</v>
      </c>
      <c r="D179" s="53">
        <v>634.33333330000005</v>
      </c>
      <c r="E179" s="53">
        <v>10825.999946177006</v>
      </c>
      <c r="F179" s="54">
        <f t="shared" si="0"/>
        <v>17.066736647523747</v>
      </c>
      <c r="G179" s="53">
        <v>875</v>
      </c>
      <c r="H179" s="53">
        <v>10000</v>
      </c>
      <c r="I179" s="54">
        <f t="shared" si="1"/>
        <v>11.428571428571429</v>
      </c>
      <c r="J179" s="55"/>
      <c r="K179" s="37"/>
      <c r="L179" s="42"/>
      <c r="M179" s="4"/>
      <c r="N179" s="4"/>
      <c r="O179" s="4"/>
      <c r="P179" s="4"/>
      <c r="Q179" s="4"/>
      <c r="R179" s="4"/>
      <c r="S179" s="4"/>
      <c r="T179" s="50"/>
      <c r="U179" s="50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 spans="1:31" ht="14.4">
      <c r="A180" s="51">
        <v>40505</v>
      </c>
      <c r="B180" s="52" t="s">
        <v>197</v>
      </c>
      <c r="C180" s="51" t="s">
        <v>183</v>
      </c>
      <c r="D180" s="53">
        <v>3095</v>
      </c>
      <c r="E180" s="53">
        <v>12500.00010740757</v>
      </c>
      <c r="F180" s="54">
        <f t="shared" si="0"/>
        <v>4.0387722479507495</v>
      </c>
      <c r="G180" s="53">
        <v>3882</v>
      </c>
      <c r="H180" s="53">
        <v>35925</v>
      </c>
      <c r="I180" s="54">
        <f t="shared" si="1"/>
        <v>9.2542503863987644</v>
      </c>
      <c r="J180" s="55"/>
      <c r="K180" s="37"/>
      <c r="L180" s="42"/>
      <c r="M180" s="4"/>
      <c r="N180" s="4"/>
      <c r="O180" s="4"/>
      <c r="P180" s="4"/>
      <c r="Q180" s="4"/>
      <c r="R180" s="4"/>
      <c r="S180" s="4"/>
      <c r="T180" s="50"/>
      <c r="U180" s="50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 spans="1:31" ht="14.4">
      <c r="A181" s="51">
        <v>40601</v>
      </c>
      <c r="B181" s="52" t="s">
        <v>198</v>
      </c>
      <c r="C181" s="51" t="s">
        <v>183</v>
      </c>
      <c r="D181" s="53">
        <v>8121</v>
      </c>
      <c r="E181" s="53">
        <v>13669.00004781317</v>
      </c>
      <c r="F181" s="54">
        <f t="shared" si="0"/>
        <v>1.6831671035356692</v>
      </c>
      <c r="G181" s="53">
        <v>9189</v>
      </c>
      <c r="H181" s="53">
        <v>105137.00006866455</v>
      </c>
      <c r="I181" s="54">
        <f t="shared" si="1"/>
        <v>11.441614981898416</v>
      </c>
      <c r="J181" s="55"/>
      <c r="K181" s="37"/>
      <c r="L181" s="42"/>
      <c r="M181" s="4"/>
      <c r="N181" s="4"/>
      <c r="O181" s="4"/>
      <c r="P181" s="4"/>
      <c r="Q181" s="4"/>
      <c r="R181" s="4"/>
      <c r="S181" s="4"/>
      <c r="T181" s="50"/>
      <c r="U181" s="50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 spans="1:31" ht="14.4">
      <c r="A182" s="51">
        <v>40602</v>
      </c>
      <c r="B182" s="52" t="s">
        <v>199</v>
      </c>
      <c r="C182" s="51" t="s">
        <v>183</v>
      </c>
      <c r="D182" s="53">
        <v>5387</v>
      </c>
      <c r="E182" s="53">
        <v>195530.00022124499</v>
      </c>
      <c r="F182" s="54">
        <f t="shared" si="0"/>
        <v>36.29664010047243</v>
      </c>
      <c r="G182" s="53">
        <v>4251</v>
      </c>
      <c r="H182" s="53">
        <v>147914.00004577637</v>
      </c>
      <c r="I182" s="54">
        <f t="shared" si="1"/>
        <v>34.795107044407523</v>
      </c>
      <c r="J182" s="55"/>
      <c r="K182" s="37"/>
      <c r="L182" s="42"/>
      <c r="M182" s="4"/>
      <c r="N182" s="4"/>
      <c r="O182" s="4"/>
      <c r="P182" s="4"/>
      <c r="Q182" s="4"/>
      <c r="R182" s="4"/>
      <c r="S182" s="4"/>
      <c r="T182" s="50"/>
      <c r="U182" s="50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 spans="1:31" ht="14.4">
      <c r="A183" s="51">
        <v>40603</v>
      </c>
      <c r="B183" s="52" t="s">
        <v>200</v>
      </c>
      <c r="C183" s="51" t="s">
        <v>183</v>
      </c>
      <c r="D183" s="53">
        <v>3398</v>
      </c>
      <c r="E183" s="53">
        <v>2514.0000056922436</v>
      </c>
      <c r="F183" s="54">
        <f t="shared" si="0"/>
        <v>0.73984697048035419</v>
      </c>
      <c r="G183" s="53">
        <v>3666</v>
      </c>
      <c r="H183" s="53">
        <v>31543</v>
      </c>
      <c r="I183" s="54">
        <f t="shared" si="1"/>
        <v>8.604200763775232</v>
      </c>
      <c r="J183" s="55"/>
      <c r="K183" s="37"/>
      <c r="L183" s="42"/>
      <c r="M183" s="4"/>
      <c r="N183" s="4"/>
      <c r="O183" s="4"/>
      <c r="P183" s="4"/>
      <c r="Q183" s="4"/>
      <c r="R183" s="4"/>
      <c r="S183" s="4"/>
      <c r="T183" s="50"/>
      <c r="U183" s="50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 spans="1:31" ht="14.4">
      <c r="A184" s="51">
        <v>40701</v>
      </c>
      <c r="B184" s="52" t="s">
        <v>201</v>
      </c>
      <c r="C184" s="51" t="s">
        <v>183</v>
      </c>
      <c r="D184" s="53">
        <v>23157</v>
      </c>
      <c r="E184" s="53">
        <v>5055554.9992636917</v>
      </c>
      <c r="F184" s="54">
        <f t="shared" si="0"/>
        <v>218.31649174174945</v>
      </c>
      <c r="G184" s="53">
        <v>20118</v>
      </c>
      <c r="H184" s="53">
        <v>4648743.0012207031</v>
      </c>
      <c r="I184" s="54">
        <f t="shared" si="1"/>
        <v>231.07381455515971</v>
      </c>
      <c r="J184" s="55"/>
      <c r="K184" s="37"/>
      <c r="L184" s="42"/>
      <c r="M184" s="4"/>
      <c r="N184" s="4"/>
      <c r="O184" s="4"/>
      <c r="P184" s="4"/>
      <c r="Q184" s="4"/>
      <c r="R184" s="4"/>
      <c r="S184" s="4"/>
      <c r="T184" s="50"/>
      <c r="U184" s="50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 spans="1:31" ht="14.4">
      <c r="A185" s="51">
        <v>40702</v>
      </c>
      <c r="B185" s="52" t="s">
        <v>202</v>
      </c>
      <c r="C185" s="51" t="s">
        <v>183</v>
      </c>
      <c r="D185" s="53">
        <v>5253</v>
      </c>
      <c r="E185" s="53">
        <v>530641.00029431004</v>
      </c>
      <c r="F185" s="54">
        <f t="shared" si="0"/>
        <v>101.0167523880278</v>
      </c>
      <c r="G185" s="53">
        <v>6120</v>
      </c>
      <c r="H185" s="53">
        <v>641742.99995422363</v>
      </c>
      <c r="I185" s="54">
        <f t="shared" si="1"/>
        <v>104.85996731278163</v>
      </c>
      <c r="J185" s="55"/>
      <c r="K185" s="37"/>
      <c r="L185" s="42"/>
      <c r="M185" s="4"/>
      <c r="N185" s="4"/>
      <c r="O185" s="4"/>
      <c r="P185" s="4"/>
      <c r="Q185" s="4"/>
      <c r="R185" s="4"/>
      <c r="S185" s="4"/>
      <c r="T185" s="50"/>
      <c r="U185" s="50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 spans="1:31" ht="14.4">
      <c r="A186" s="51">
        <v>40801</v>
      </c>
      <c r="B186" s="52" t="s">
        <v>203</v>
      </c>
      <c r="C186" s="51" t="s">
        <v>183</v>
      </c>
      <c r="D186" s="53">
        <v>13230</v>
      </c>
      <c r="E186" s="53">
        <v>677831.00080566574</v>
      </c>
      <c r="F186" s="54">
        <f t="shared" si="0"/>
        <v>51.234391595288415</v>
      </c>
      <c r="G186" s="53">
        <v>15934</v>
      </c>
      <c r="H186" s="53">
        <v>558529.00012207031</v>
      </c>
      <c r="I186" s="54">
        <f t="shared" si="1"/>
        <v>35.052654708301134</v>
      </c>
      <c r="J186" s="55"/>
      <c r="K186" s="37"/>
      <c r="L186" s="42"/>
      <c r="M186" s="4"/>
      <c r="N186" s="4"/>
      <c r="O186" s="4"/>
      <c r="P186" s="4"/>
      <c r="Q186" s="4"/>
      <c r="R186" s="4"/>
      <c r="S186" s="4"/>
      <c r="T186" s="50"/>
      <c r="U186" s="50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 spans="1:31" ht="14.4">
      <c r="A187" s="51">
        <v>40802</v>
      </c>
      <c r="B187" s="52" t="s">
        <v>204</v>
      </c>
      <c r="C187" s="51" t="s">
        <v>183</v>
      </c>
      <c r="D187" s="53">
        <v>3048</v>
      </c>
      <c r="E187" s="53">
        <v>47059.999953903258</v>
      </c>
      <c r="F187" s="54">
        <f t="shared" si="0"/>
        <v>15.439632530808156</v>
      </c>
      <c r="G187" s="53">
        <v>3197</v>
      </c>
      <c r="H187" s="53">
        <v>54897.000022888184</v>
      </c>
      <c r="I187" s="54">
        <f t="shared" si="1"/>
        <v>17.171410704688203</v>
      </c>
      <c r="J187" s="55"/>
      <c r="K187" s="37"/>
      <c r="L187" s="42"/>
      <c r="M187" s="4"/>
      <c r="N187" s="4"/>
      <c r="O187" s="4"/>
      <c r="P187" s="4"/>
      <c r="Q187" s="4"/>
      <c r="R187" s="4"/>
      <c r="S187" s="4"/>
      <c r="T187" s="50"/>
      <c r="U187" s="50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 spans="1:31" ht="14.4">
      <c r="A188" s="51">
        <v>40901</v>
      </c>
      <c r="B188" s="52" t="s">
        <v>205</v>
      </c>
      <c r="C188" s="51" t="s">
        <v>183</v>
      </c>
      <c r="D188" s="53">
        <v>10513</v>
      </c>
      <c r="E188" s="53">
        <v>327032.99952238798</v>
      </c>
      <c r="F188" s="54">
        <f t="shared" si="0"/>
        <v>31.107485924321125</v>
      </c>
      <c r="G188" s="53">
        <v>15504</v>
      </c>
      <c r="H188" s="53">
        <v>632862.00011444092</v>
      </c>
      <c r="I188" s="54">
        <f t="shared" si="1"/>
        <v>40.819272453201812</v>
      </c>
      <c r="J188" s="55"/>
      <c r="K188" s="37"/>
      <c r="L188" s="42"/>
      <c r="M188" s="4"/>
      <c r="N188" s="4"/>
      <c r="O188" s="4"/>
      <c r="P188" s="4"/>
      <c r="Q188" s="4"/>
      <c r="R188" s="4"/>
      <c r="S188" s="4"/>
      <c r="T188" s="50"/>
      <c r="U188" s="50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 spans="1:31" ht="14.4">
      <c r="A189" s="51">
        <v>40902</v>
      </c>
      <c r="B189" s="52" t="s">
        <v>206</v>
      </c>
      <c r="C189" s="51" t="s">
        <v>183</v>
      </c>
      <c r="D189" s="53">
        <v>1070.666667</v>
      </c>
      <c r="E189" s="53">
        <v>82661.000243097544</v>
      </c>
      <c r="F189" s="54">
        <f t="shared" si="0"/>
        <v>77.205168322567701</v>
      </c>
      <c r="G189" s="53">
        <v>1406</v>
      </c>
      <c r="H189" s="53">
        <v>52390</v>
      </c>
      <c r="I189" s="54">
        <f t="shared" si="1"/>
        <v>37.261735419630156</v>
      </c>
      <c r="J189" s="55"/>
      <c r="K189" s="37"/>
      <c r="L189" s="42"/>
      <c r="M189" s="4"/>
      <c r="N189" s="4"/>
      <c r="O189" s="4"/>
      <c r="P189" s="4"/>
      <c r="Q189" s="4"/>
      <c r="R189" s="4"/>
      <c r="S189" s="4"/>
      <c r="T189" s="50"/>
      <c r="U189" s="50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 spans="1:31" ht="14.4">
      <c r="A190" s="51">
        <v>40903</v>
      </c>
      <c r="B190" s="52" t="s">
        <v>207</v>
      </c>
      <c r="C190" s="51" t="s">
        <v>183</v>
      </c>
      <c r="D190" s="53">
        <v>2120</v>
      </c>
      <c r="E190" s="53">
        <v>84576.000030775554</v>
      </c>
      <c r="F190" s="54">
        <f t="shared" si="0"/>
        <v>39.894339637158282</v>
      </c>
      <c r="G190" s="53">
        <v>2355</v>
      </c>
      <c r="H190" s="53">
        <v>84476.000038146973</v>
      </c>
      <c r="I190" s="54">
        <f t="shared" si="1"/>
        <v>35.870912967366017</v>
      </c>
      <c r="J190" s="55"/>
      <c r="K190" s="37"/>
      <c r="L190" s="42"/>
      <c r="M190" s="4"/>
      <c r="N190" s="4"/>
      <c r="O190" s="4"/>
      <c r="P190" s="4"/>
      <c r="Q190" s="4"/>
      <c r="R190" s="4"/>
      <c r="S190" s="4"/>
      <c r="T190" s="50"/>
      <c r="U190" s="50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 spans="1:31" ht="14.4">
      <c r="A191" s="51">
        <v>41001</v>
      </c>
      <c r="B191" s="52" t="s">
        <v>208</v>
      </c>
      <c r="C191" s="51" t="s">
        <v>183</v>
      </c>
      <c r="D191" s="53">
        <v>10833</v>
      </c>
      <c r="E191" s="53">
        <v>203753.00030716695</v>
      </c>
      <c r="F191" s="54">
        <f t="shared" si="0"/>
        <v>18.808547983676448</v>
      </c>
      <c r="G191" s="53">
        <v>12202</v>
      </c>
      <c r="H191" s="53">
        <v>257120.99993133545</v>
      </c>
      <c r="I191" s="54">
        <f t="shared" si="1"/>
        <v>21.072037365295479</v>
      </c>
      <c r="J191" s="55"/>
      <c r="K191" s="37"/>
      <c r="L191" s="42"/>
      <c r="M191" s="4"/>
      <c r="N191" s="4"/>
      <c r="O191" s="4"/>
      <c r="P191" s="4"/>
      <c r="Q191" s="4"/>
      <c r="R191" s="4"/>
      <c r="S191" s="4"/>
      <c r="T191" s="50"/>
      <c r="U191" s="50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 spans="1:31" ht="14.4">
      <c r="A192" s="51">
        <v>41101</v>
      </c>
      <c r="B192" s="52" t="s">
        <v>209</v>
      </c>
      <c r="C192" s="51" t="s">
        <v>183</v>
      </c>
      <c r="D192" s="53">
        <v>5290</v>
      </c>
      <c r="E192" s="53">
        <v>45323.000228848308</v>
      </c>
      <c r="F192" s="54">
        <f t="shared" si="0"/>
        <v>8.5676749014836115</v>
      </c>
      <c r="G192" s="53">
        <v>5335</v>
      </c>
      <c r="H192" s="53">
        <v>298861.99994659424</v>
      </c>
      <c r="I192" s="54">
        <f t="shared" si="1"/>
        <v>56.019119015294137</v>
      </c>
      <c r="J192" s="55"/>
      <c r="K192" s="37"/>
      <c r="L192" s="42"/>
      <c r="M192" s="4"/>
      <c r="N192" s="4"/>
      <c r="O192" s="4"/>
      <c r="P192" s="4"/>
      <c r="Q192" s="4"/>
      <c r="R192" s="4"/>
      <c r="S192" s="4"/>
      <c r="T192" s="50"/>
      <c r="U192" s="50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 spans="1:31" ht="14.4">
      <c r="A193" s="51">
        <v>41201</v>
      </c>
      <c r="B193" s="52" t="s">
        <v>210</v>
      </c>
      <c r="C193" s="51" t="s">
        <v>183</v>
      </c>
      <c r="D193" s="53">
        <v>5581</v>
      </c>
      <c r="E193" s="53">
        <v>191195.99976795819</v>
      </c>
      <c r="F193" s="54">
        <f t="shared" si="0"/>
        <v>34.258376593434541</v>
      </c>
      <c r="G193" s="53">
        <v>6311</v>
      </c>
      <c r="H193" s="53">
        <v>183901.99999237061</v>
      </c>
      <c r="I193" s="54">
        <f t="shared" si="1"/>
        <v>29.139914433904391</v>
      </c>
      <c r="J193" s="55"/>
      <c r="K193" s="37"/>
      <c r="L193" s="42"/>
      <c r="M193" s="4"/>
      <c r="N193" s="4"/>
      <c r="O193" s="4"/>
      <c r="P193" s="4"/>
      <c r="Q193" s="4"/>
      <c r="R193" s="4"/>
      <c r="S193" s="4"/>
      <c r="T193" s="50"/>
      <c r="U193" s="50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 spans="1:31" ht="14.4">
      <c r="A194" s="51">
        <v>41202</v>
      </c>
      <c r="B194" s="52" t="s">
        <v>211</v>
      </c>
      <c r="C194" s="51" t="s">
        <v>183</v>
      </c>
      <c r="D194" s="53">
        <v>2364</v>
      </c>
      <c r="E194" s="53">
        <v>49112.000131868757</v>
      </c>
      <c r="F194" s="54">
        <f t="shared" si="0"/>
        <v>20.774957754597612</v>
      </c>
      <c r="G194" s="53">
        <v>3061</v>
      </c>
      <c r="H194" s="53">
        <v>2862</v>
      </c>
      <c r="I194" s="54">
        <f t="shared" si="1"/>
        <v>0.9349885658281607</v>
      </c>
      <c r="J194" s="55"/>
      <c r="K194" s="37"/>
      <c r="L194" s="42"/>
      <c r="M194" s="4"/>
      <c r="N194" s="4"/>
      <c r="O194" s="4"/>
      <c r="P194" s="4"/>
      <c r="Q194" s="4"/>
      <c r="R194" s="4"/>
      <c r="S194" s="4"/>
      <c r="T194" s="50"/>
      <c r="U194" s="50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 spans="1:31" ht="14.4">
      <c r="A195" s="51">
        <v>41301</v>
      </c>
      <c r="B195" s="52" t="s">
        <v>212</v>
      </c>
      <c r="C195" s="51" t="s">
        <v>183</v>
      </c>
      <c r="D195" s="53">
        <v>5900</v>
      </c>
      <c r="E195" s="53">
        <v>15607.000008354895</v>
      </c>
      <c r="F195" s="54">
        <f t="shared" si="0"/>
        <v>2.6452542387042195</v>
      </c>
      <c r="G195" s="53">
        <v>6637</v>
      </c>
      <c r="H195" s="53">
        <v>132936.99999237061</v>
      </c>
      <c r="I195" s="54">
        <f t="shared" si="1"/>
        <v>20.02968208412997</v>
      </c>
      <c r="J195" s="55"/>
      <c r="K195" s="37"/>
      <c r="L195" s="42"/>
      <c r="M195" s="4"/>
      <c r="N195" s="4"/>
      <c r="O195" s="4"/>
      <c r="P195" s="4"/>
      <c r="Q195" s="4"/>
      <c r="R195" s="4"/>
      <c r="S195" s="4"/>
      <c r="T195" s="50"/>
      <c r="U195" s="50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 spans="1:31" ht="14.4">
      <c r="A196" s="51">
        <v>41401</v>
      </c>
      <c r="B196" s="52" t="s">
        <v>213</v>
      </c>
      <c r="C196" s="51" t="s">
        <v>183</v>
      </c>
      <c r="D196" s="53">
        <v>13356</v>
      </c>
      <c r="E196" s="53">
        <v>542637.99907276873</v>
      </c>
      <c r="F196" s="54">
        <f t="shared" si="0"/>
        <v>40.628781002752973</v>
      </c>
      <c r="G196" s="53">
        <v>13502</v>
      </c>
      <c r="H196" s="53">
        <v>581877.00003051758</v>
      </c>
      <c r="I196" s="54">
        <f t="shared" si="1"/>
        <v>43.095615466635877</v>
      </c>
      <c r="J196" s="55"/>
      <c r="K196" s="37"/>
      <c r="L196" s="42"/>
      <c r="M196" s="4"/>
      <c r="N196" s="4"/>
      <c r="O196" s="4"/>
      <c r="P196" s="4"/>
      <c r="Q196" s="4"/>
      <c r="R196" s="4"/>
      <c r="S196" s="4"/>
      <c r="T196" s="50"/>
      <c r="U196" s="50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 spans="1:31" ht="14.4">
      <c r="A197" s="51">
        <v>41501</v>
      </c>
      <c r="B197" s="52" t="s">
        <v>214</v>
      </c>
      <c r="C197" s="51" t="s">
        <v>183</v>
      </c>
      <c r="D197" s="53">
        <v>760</v>
      </c>
      <c r="E197" s="53">
        <v>8289.0000127125531</v>
      </c>
      <c r="F197" s="54">
        <f t="shared" si="0"/>
        <v>10.906578964095464</v>
      </c>
      <c r="G197" s="53">
        <v>1262</v>
      </c>
      <c r="H197" s="53">
        <v>46626.999954223633</v>
      </c>
      <c r="I197" s="54">
        <f t="shared" si="1"/>
        <v>36.946909630922057</v>
      </c>
      <c r="J197" s="55"/>
      <c r="K197" s="37"/>
      <c r="L197" s="42"/>
      <c r="M197" s="4"/>
      <c r="N197" s="4"/>
      <c r="O197" s="4"/>
      <c r="P197" s="4"/>
      <c r="Q197" s="4"/>
      <c r="R197" s="4"/>
      <c r="S197" s="4"/>
      <c r="T197" s="50"/>
      <c r="U197" s="50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 spans="1:31" ht="14.4">
      <c r="A198" s="51">
        <v>41502</v>
      </c>
      <c r="B198" s="52" t="s">
        <v>215</v>
      </c>
      <c r="C198" s="51" t="s">
        <v>183</v>
      </c>
      <c r="D198" s="53">
        <v>864.66666669999995</v>
      </c>
      <c r="E198" s="53">
        <v>5425.9999998407438</v>
      </c>
      <c r="F198" s="54">
        <f t="shared" si="0"/>
        <v>6.2752505778314216</v>
      </c>
      <c r="G198" s="53">
        <v>1140</v>
      </c>
      <c r="H198" s="53">
        <v>36699.000053405762</v>
      </c>
      <c r="I198" s="54">
        <f t="shared" si="1"/>
        <v>32.192105310005054</v>
      </c>
      <c r="J198" s="55"/>
      <c r="K198" s="37"/>
      <c r="L198" s="42"/>
      <c r="M198" s="4"/>
      <c r="N198" s="4"/>
      <c r="O198" s="4"/>
      <c r="P198" s="4"/>
      <c r="Q198" s="4"/>
      <c r="R198" s="4"/>
      <c r="S198" s="4"/>
      <c r="T198" s="50"/>
      <c r="U198" s="50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 spans="1:31" ht="14.4">
      <c r="A199" s="51">
        <v>41503</v>
      </c>
      <c r="B199" s="52" t="s">
        <v>216</v>
      </c>
      <c r="C199" s="51" t="s">
        <v>183</v>
      </c>
      <c r="D199" s="53">
        <v>936.33333330000005</v>
      </c>
      <c r="E199" s="53">
        <v>4779.0000588875264</v>
      </c>
      <c r="F199" s="54">
        <f t="shared" si="0"/>
        <v>5.1039516472669897</v>
      </c>
      <c r="G199" s="53">
        <v>1129</v>
      </c>
      <c r="H199" s="53">
        <v>231241.00029754639</v>
      </c>
      <c r="I199" s="54">
        <f t="shared" si="1"/>
        <v>204.81930938666642</v>
      </c>
      <c r="J199" s="55"/>
      <c r="K199" s="37"/>
      <c r="L199" s="42"/>
      <c r="M199" s="4"/>
      <c r="N199" s="4"/>
      <c r="O199" s="4"/>
      <c r="P199" s="4"/>
      <c r="Q199" s="4"/>
      <c r="R199" s="4"/>
      <c r="S199" s="4"/>
      <c r="T199" s="50"/>
      <c r="U199" s="50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 spans="1:31" ht="14.4">
      <c r="A200" s="51">
        <v>41601</v>
      </c>
      <c r="B200" s="52" t="s">
        <v>217</v>
      </c>
      <c r="C200" s="51" t="s">
        <v>183</v>
      </c>
      <c r="D200" s="53">
        <v>5667</v>
      </c>
      <c r="E200" s="53">
        <v>30102.999903494492</v>
      </c>
      <c r="F200" s="54">
        <f t="shared" si="0"/>
        <v>5.3119816311089627</v>
      </c>
      <c r="G200" s="53">
        <v>5996</v>
      </c>
      <c r="H200" s="53">
        <v>172797.00015258789</v>
      </c>
      <c r="I200" s="54">
        <f t="shared" si="1"/>
        <v>28.818712500431602</v>
      </c>
      <c r="J200" s="55"/>
      <c r="K200" s="37"/>
      <c r="L200" s="42"/>
      <c r="M200" s="4"/>
      <c r="N200" s="4"/>
      <c r="O200" s="4"/>
      <c r="P200" s="4"/>
      <c r="Q200" s="4"/>
      <c r="R200" s="4"/>
      <c r="S200" s="4"/>
      <c r="T200" s="50"/>
      <c r="U200" s="50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 spans="1:31" ht="14.4">
      <c r="A201" s="51">
        <v>50101</v>
      </c>
      <c r="B201" s="52" t="s">
        <v>218</v>
      </c>
      <c r="C201" s="51" t="s">
        <v>218</v>
      </c>
      <c r="D201" s="53">
        <v>200435</v>
      </c>
      <c r="E201" s="53">
        <v>43377517.001405783</v>
      </c>
      <c r="F201" s="54">
        <f t="shared" si="0"/>
        <v>216.41687829673353</v>
      </c>
      <c r="G201" s="53">
        <v>218702</v>
      </c>
      <c r="H201" s="53">
        <v>56084410.002746582</v>
      </c>
      <c r="I201" s="54">
        <f t="shared" si="1"/>
        <v>256.44214503180848</v>
      </c>
      <c r="J201" s="55"/>
      <c r="K201" s="37"/>
      <c r="L201" s="42"/>
      <c r="M201" s="4"/>
      <c r="N201" s="4"/>
      <c r="O201" s="4"/>
      <c r="P201" s="4"/>
      <c r="Q201" s="4"/>
      <c r="R201" s="4"/>
      <c r="S201" s="4"/>
      <c r="T201" s="50"/>
      <c r="U201" s="50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 spans="1:31" ht="14.4">
      <c r="A202" s="51">
        <v>50102</v>
      </c>
      <c r="B202" s="52" t="s">
        <v>219</v>
      </c>
      <c r="C202" s="51" t="s">
        <v>218</v>
      </c>
      <c r="D202" s="53">
        <v>27781</v>
      </c>
      <c r="E202" s="53">
        <v>397256.00032300316</v>
      </c>
      <c r="F202" s="54">
        <f t="shared" si="0"/>
        <v>14.299557262985607</v>
      </c>
      <c r="G202" s="53">
        <v>28942</v>
      </c>
      <c r="H202" s="53">
        <v>481511.9998626709</v>
      </c>
      <c r="I202" s="54">
        <f t="shared" si="1"/>
        <v>16.63713633690384</v>
      </c>
      <c r="J202" s="55"/>
      <c r="K202" s="37"/>
      <c r="L202" s="42"/>
      <c r="M202" s="4"/>
      <c r="N202" s="4"/>
      <c r="O202" s="4"/>
      <c r="P202" s="4"/>
      <c r="Q202" s="4"/>
      <c r="R202" s="4"/>
      <c r="S202" s="4"/>
      <c r="T202" s="50"/>
      <c r="U202" s="50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 spans="1:31" ht="14.4">
      <c r="A203" s="51">
        <v>50103</v>
      </c>
      <c r="B203" s="52" t="s">
        <v>220</v>
      </c>
      <c r="C203" s="51" t="s">
        <v>218</v>
      </c>
      <c r="D203" s="53">
        <v>10070</v>
      </c>
      <c r="E203" s="53">
        <v>307584.999970451</v>
      </c>
      <c r="F203" s="54">
        <f t="shared" si="0"/>
        <v>30.544687186737935</v>
      </c>
      <c r="G203" s="53">
        <v>12253</v>
      </c>
      <c r="H203" s="53">
        <v>295977.99995422363</v>
      </c>
      <c r="I203" s="54">
        <f t="shared" si="1"/>
        <v>24.155553738204819</v>
      </c>
      <c r="J203" s="55"/>
      <c r="K203" s="37"/>
      <c r="L203" s="42"/>
      <c r="M203" s="4"/>
      <c r="N203" s="4"/>
      <c r="O203" s="4"/>
      <c r="P203" s="4"/>
      <c r="Q203" s="4"/>
      <c r="R203" s="4"/>
      <c r="S203" s="4"/>
      <c r="T203" s="50"/>
      <c r="U203" s="50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 spans="1:31" ht="14.4">
      <c r="A204" s="51">
        <v>50104</v>
      </c>
      <c r="B204" s="52" t="s">
        <v>221</v>
      </c>
      <c r="C204" s="51" t="s">
        <v>218</v>
      </c>
      <c r="D204" s="53">
        <v>2880</v>
      </c>
      <c r="E204" s="53">
        <v>36874.999912686646</v>
      </c>
      <c r="F204" s="54">
        <f t="shared" si="0"/>
        <v>12.803819414127307</v>
      </c>
      <c r="G204" s="53">
        <v>3121</v>
      </c>
      <c r="H204" s="53">
        <v>35223.999992370605</v>
      </c>
      <c r="I204" s="54">
        <f t="shared" si="1"/>
        <v>11.286126239144698</v>
      </c>
      <c r="J204" s="55"/>
      <c r="K204" s="37"/>
      <c r="L204" s="42"/>
      <c r="M204" s="4"/>
      <c r="N204" s="4"/>
      <c r="O204" s="4"/>
      <c r="P204" s="4"/>
      <c r="Q204" s="4"/>
      <c r="R204" s="4"/>
      <c r="S204" s="4"/>
      <c r="T204" s="50"/>
      <c r="U204" s="50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 spans="1:31" ht="14.4">
      <c r="A205" s="51">
        <v>50201</v>
      </c>
      <c r="B205" s="52" t="s">
        <v>222</v>
      </c>
      <c r="C205" s="51" t="s">
        <v>218</v>
      </c>
      <c r="D205" s="53">
        <v>22269</v>
      </c>
      <c r="E205" s="53">
        <v>1426072.0009021321</v>
      </c>
      <c r="F205" s="54">
        <f t="shared" si="0"/>
        <v>64.038439126235218</v>
      </c>
      <c r="G205" s="53">
        <v>22768</v>
      </c>
      <c r="H205" s="53">
        <v>2220178.0000228882</v>
      </c>
      <c r="I205" s="54">
        <f t="shared" si="1"/>
        <v>97.513088546332057</v>
      </c>
      <c r="J205" s="55"/>
      <c r="K205" s="37"/>
      <c r="L205" s="42"/>
      <c r="M205" s="4"/>
      <c r="N205" s="4"/>
      <c r="O205" s="4"/>
      <c r="P205" s="4"/>
      <c r="Q205" s="4"/>
      <c r="R205" s="4"/>
      <c r="S205" s="4"/>
      <c r="T205" s="50"/>
      <c r="U205" s="50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 spans="1:31" ht="14.4">
      <c r="A206" s="51">
        <v>50202</v>
      </c>
      <c r="B206" s="52" t="s">
        <v>223</v>
      </c>
      <c r="C206" s="51" t="s">
        <v>218</v>
      </c>
      <c r="D206" s="53">
        <v>16093</v>
      </c>
      <c r="E206" s="53">
        <v>191135.00024271663</v>
      </c>
      <c r="F206" s="54">
        <f t="shared" si="0"/>
        <v>11.87690301638704</v>
      </c>
      <c r="G206" s="53">
        <v>16021</v>
      </c>
      <c r="H206" s="53">
        <v>210661.00006103516</v>
      </c>
      <c r="I206" s="54">
        <f t="shared" si="1"/>
        <v>13.149054369954133</v>
      </c>
      <c r="J206" s="55"/>
      <c r="K206" s="37"/>
      <c r="L206" s="42"/>
      <c r="M206" s="4"/>
      <c r="N206" s="4"/>
      <c r="O206" s="4"/>
      <c r="P206" s="4"/>
      <c r="Q206" s="4"/>
      <c r="R206" s="4"/>
      <c r="S206" s="4"/>
      <c r="T206" s="50"/>
      <c r="U206" s="50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 spans="1:31" ht="14.4">
      <c r="A207" s="51">
        <v>50203</v>
      </c>
      <c r="B207" s="52" t="s">
        <v>224</v>
      </c>
      <c r="C207" s="51" t="s">
        <v>218</v>
      </c>
      <c r="D207" s="53">
        <v>41298</v>
      </c>
      <c r="E207" s="53">
        <v>5060579.0013202317</v>
      </c>
      <c r="F207" s="54">
        <f t="shared" si="0"/>
        <v>122.53811325779049</v>
      </c>
      <c r="G207" s="53">
        <v>41686</v>
      </c>
      <c r="H207" s="53">
        <v>6760114.4989395142</v>
      </c>
      <c r="I207" s="54">
        <f t="shared" si="1"/>
        <v>162.1675022535027</v>
      </c>
      <c r="J207" s="55"/>
      <c r="K207" s="37"/>
      <c r="L207" s="42"/>
      <c r="M207" s="4"/>
      <c r="N207" s="4"/>
      <c r="O207" s="4"/>
      <c r="P207" s="4"/>
      <c r="Q207" s="4"/>
      <c r="R207" s="4"/>
      <c r="S207" s="4"/>
      <c r="T207" s="50"/>
      <c r="U207" s="50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 spans="1:31" ht="14.4">
      <c r="A208" s="51">
        <v>50204</v>
      </c>
      <c r="B208" s="52" t="s">
        <v>225</v>
      </c>
      <c r="C208" s="51" t="s">
        <v>218</v>
      </c>
      <c r="D208" s="53">
        <v>8086</v>
      </c>
      <c r="E208" s="53">
        <v>0</v>
      </c>
      <c r="F208" s="54">
        <f t="shared" si="0"/>
        <v>0</v>
      </c>
      <c r="G208" s="53">
        <v>8220</v>
      </c>
      <c r="H208" s="53">
        <v>34120.999992370605</v>
      </c>
      <c r="I208" s="54">
        <f t="shared" si="1"/>
        <v>4.1509732350815822</v>
      </c>
      <c r="J208" s="55"/>
      <c r="K208" s="37"/>
      <c r="L208" s="42"/>
      <c r="M208" s="4"/>
      <c r="N208" s="4"/>
      <c r="O208" s="4"/>
      <c r="P208" s="4"/>
      <c r="Q208" s="4"/>
      <c r="R208" s="4"/>
      <c r="S208" s="4"/>
      <c r="T208" s="50"/>
      <c r="U208" s="50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 spans="1:31" ht="14.4">
      <c r="A209" s="51">
        <v>50301</v>
      </c>
      <c r="B209" s="52" t="s">
        <v>226</v>
      </c>
      <c r="C209" s="51" t="s">
        <v>218</v>
      </c>
      <c r="D209" s="53">
        <v>33249</v>
      </c>
      <c r="E209" s="53">
        <v>2070967.9996444788</v>
      </c>
      <c r="F209" s="54">
        <f t="shared" si="0"/>
        <v>62.286625150966309</v>
      </c>
      <c r="G209" s="53">
        <v>31904</v>
      </c>
      <c r="H209" s="53">
        <v>2458583.00050354</v>
      </c>
      <c r="I209" s="54">
        <f t="shared" si="1"/>
        <v>77.061904479173151</v>
      </c>
      <c r="J209" s="55"/>
      <c r="K209" s="37"/>
      <c r="L209" s="42"/>
      <c r="M209" s="4"/>
      <c r="N209" s="4"/>
      <c r="O209" s="4"/>
      <c r="P209" s="4"/>
      <c r="Q209" s="4"/>
      <c r="R209" s="4"/>
      <c r="S209" s="4"/>
      <c r="T209" s="50"/>
      <c r="U209" s="50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 spans="1:31" ht="14.4">
      <c r="A210" s="51">
        <v>50302</v>
      </c>
      <c r="B210" s="52" t="s">
        <v>227</v>
      </c>
      <c r="C210" s="51" t="s">
        <v>218</v>
      </c>
      <c r="D210" s="53">
        <v>9702</v>
      </c>
      <c r="E210" s="53">
        <v>578104.00001150556</v>
      </c>
      <c r="F210" s="54">
        <f t="shared" si="0"/>
        <v>59.586064730107765</v>
      </c>
      <c r="G210" s="53">
        <v>9285</v>
      </c>
      <c r="H210" s="53">
        <v>522848.99994659424</v>
      </c>
      <c r="I210" s="54">
        <f t="shared" si="1"/>
        <v>56.311147005556727</v>
      </c>
      <c r="J210" s="55"/>
      <c r="K210" s="37"/>
      <c r="L210" s="42"/>
      <c r="M210" s="4"/>
      <c r="N210" s="4"/>
      <c r="O210" s="4"/>
      <c r="P210" s="4"/>
      <c r="Q210" s="4"/>
      <c r="R210" s="4"/>
      <c r="S210" s="4"/>
      <c r="T210" s="50"/>
      <c r="U210" s="50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 spans="1:31" ht="14.4">
      <c r="A211" s="51">
        <v>50303</v>
      </c>
      <c r="B211" s="52" t="s">
        <v>228</v>
      </c>
      <c r="C211" s="51" t="s">
        <v>218</v>
      </c>
      <c r="D211" s="53">
        <v>12679</v>
      </c>
      <c r="E211" s="53">
        <v>261834.00023239665</v>
      </c>
      <c r="F211" s="54">
        <f t="shared" si="0"/>
        <v>20.650997731082629</v>
      </c>
      <c r="G211" s="53">
        <v>14366</v>
      </c>
      <c r="H211" s="53">
        <v>380404.00025177002</v>
      </c>
      <c r="I211" s="54">
        <f t="shared" si="1"/>
        <v>26.479465421952529</v>
      </c>
      <c r="J211" s="55"/>
      <c r="K211" s="37"/>
      <c r="L211" s="42"/>
      <c r="M211" s="4"/>
      <c r="N211" s="4"/>
      <c r="O211" s="4"/>
      <c r="P211" s="4"/>
      <c r="Q211" s="4"/>
      <c r="R211" s="4"/>
      <c r="S211" s="4"/>
      <c r="T211" s="50"/>
      <c r="U211" s="50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 spans="1:31" ht="14.4">
      <c r="A212" s="51">
        <v>50401</v>
      </c>
      <c r="B212" s="52" t="s">
        <v>229</v>
      </c>
      <c r="C212" s="51" t="s">
        <v>218</v>
      </c>
      <c r="D212" s="53">
        <v>15628</v>
      </c>
      <c r="E212" s="53">
        <v>1256872.5027173702</v>
      </c>
      <c r="F212" s="54">
        <f t="shared" si="0"/>
        <v>80.424398689363329</v>
      </c>
      <c r="G212" s="53">
        <v>16363</v>
      </c>
      <c r="H212" s="53">
        <v>923351.00004577637</v>
      </c>
      <c r="I212" s="54">
        <f t="shared" si="1"/>
        <v>56.429200027242949</v>
      </c>
      <c r="J212" s="55"/>
      <c r="K212" s="37"/>
      <c r="L212" s="42"/>
      <c r="M212" s="4"/>
      <c r="N212" s="4"/>
      <c r="O212" s="4"/>
      <c r="P212" s="4"/>
      <c r="Q212" s="4"/>
      <c r="R212" s="4"/>
      <c r="S212" s="4"/>
      <c r="T212" s="50"/>
      <c r="U212" s="50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 spans="1:31" ht="14.4">
      <c r="A213" s="51">
        <v>50402</v>
      </c>
      <c r="B213" s="52" t="s">
        <v>230</v>
      </c>
      <c r="C213" s="51" t="s">
        <v>218</v>
      </c>
      <c r="D213" s="53">
        <v>19778</v>
      </c>
      <c r="E213" s="53">
        <v>435560.00046448316</v>
      </c>
      <c r="F213" s="54">
        <f t="shared" si="0"/>
        <v>22.022449209449043</v>
      </c>
      <c r="G213" s="53">
        <v>16909</v>
      </c>
      <c r="H213" s="53">
        <v>427380.99987030029</v>
      </c>
      <c r="I213" s="54">
        <f t="shared" si="1"/>
        <v>25.275356311449542</v>
      </c>
      <c r="J213" s="55"/>
      <c r="K213" s="37"/>
      <c r="L213" s="42"/>
      <c r="M213" s="4"/>
      <c r="N213" s="4"/>
      <c r="O213" s="4"/>
      <c r="P213" s="4"/>
      <c r="Q213" s="4"/>
      <c r="R213" s="4"/>
      <c r="S213" s="4"/>
      <c r="T213" s="50"/>
      <c r="U213" s="50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 spans="1:31" ht="14.4">
      <c r="A214" s="51">
        <v>50403</v>
      </c>
      <c r="B214" s="52" t="s">
        <v>231</v>
      </c>
      <c r="C214" s="51" t="s">
        <v>218</v>
      </c>
      <c r="D214" s="53">
        <v>28434</v>
      </c>
      <c r="E214" s="53">
        <v>850680.49943088833</v>
      </c>
      <c r="F214" s="54">
        <f t="shared" si="0"/>
        <v>29.917721721561804</v>
      </c>
      <c r="G214" s="53">
        <v>32641</v>
      </c>
      <c r="H214" s="53">
        <v>796979.99993896484</v>
      </c>
      <c r="I214" s="54">
        <f t="shared" si="1"/>
        <v>24.416531354399829</v>
      </c>
      <c r="J214" s="55"/>
      <c r="K214" s="37"/>
      <c r="L214" s="42"/>
      <c r="M214" s="4"/>
      <c r="N214" s="4"/>
      <c r="O214" s="4"/>
      <c r="P214" s="4"/>
      <c r="Q214" s="4"/>
      <c r="R214" s="4"/>
      <c r="S214" s="4"/>
      <c r="T214" s="50"/>
      <c r="U214" s="50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 spans="1:31" ht="14.4">
      <c r="A215" s="51">
        <v>50404</v>
      </c>
      <c r="B215" s="52" t="s">
        <v>232</v>
      </c>
      <c r="C215" s="51" t="s">
        <v>218</v>
      </c>
      <c r="D215" s="53">
        <v>15589</v>
      </c>
      <c r="E215" s="53">
        <v>292788.00035427418</v>
      </c>
      <c r="F215" s="54">
        <f t="shared" si="0"/>
        <v>18.781705071157493</v>
      </c>
      <c r="G215" s="53">
        <v>14532</v>
      </c>
      <c r="H215" s="53">
        <v>331317.00007629395</v>
      </c>
      <c r="I215" s="54">
        <f t="shared" si="1"/>
        <v>22.799132953226945</v>
      </c>
      <c r="J215" s="55"/>
      <c r="K215" s="37"/>
      <c r="L215" s="42"/>
      <c r="M215" s="4"/>
      <c r="N215" s="4"/>
      <c r="O215" s="4"/>
      <c r="P215" s="4"/>
      <c r="Q215" s="4"/>
      <c r="R215" s="4"/>
      <c r="S215" s="4"/>
      <c r="T215" s="50"/>
      <c r="U215" s="50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 spans="1:31" ht="14.4">
      <c r="A216" s="51">
        <v>50405</v>
      </c>
      <c r="B216" s="52" t="s">
        <v>233</v>
      </c>
      <c r="C216" s="51" t="s">
        <v>218</v>
      </c>
      <c r="D216" s="53">
        <v>20296</v>
      </c>
      <c r="E216" s="53">
        <v>0</v>
      </c>
      <c r="F216" s="54">
        <f t="shared" si="0"/>
        <v>0</v>
      </c>
      <c r="G216" s="53">
        <v>21011</v>
      </c>
      <c r="H216" s="53">
        <v>609190.00006103516</v>
      </c>
      <c r="I216" s="54">
        <f t="shared" si="1"/>
        <v>28.993860361764558</v>
      </c>
      <c r="J216" s="55"/>
      <c r="K216" s="37"/>
      <c r="L216" s="42"/>
      <c r="M216" s="4"/>
      <c r="N216" s="4"/>
      <c r="O216" s="4"/>
      <c r="P216" s="4"/>
      <c r="Q216" s="4"/>
      <c r="R216" s="4"/>
      <c r="S216" s="4"/>
      <c r="T216" s="50"/>
      <c r="U216" s="50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 spans="1:31" ht="14.4">
      <c r="A217" s="51">
        <v>50501</v>
      </c>
      <c r="B217" s="52" t="s">
        <v>234</v>
      </c>
      <c r="C217" s="51" t="s">
        <v>218</v>
      </c>
      <c r="D217" s="53">
        <v>29480</v>
      </c>
      <c r="E217" s="53">
        <v>411384.00039204676</v>
      </c>
      <c r="F217" s="54">
        <f t="shared" si="0"/>
        <v>13.954681153054503</v>
      </c>
      <c r="G217" s="53">
        <v>28416</v>
      </c>
      <c r="H217" s="53">
        <v>678357.00019073486</v>
      </c>
      <c r="I217" s="54">
        <f t="shared" si="1"/>
        <v>23.872360648604126</v>
      </c>
      <c r="J217" s="55"/>
      <c r="K217" s="37"/>
      <c r="L217" s="42"/>
      <c r="M217" s="4"/>
      <c r="N217" s="4"/>
      <c r="O217" s="4"/>
      <c r="P217" s="4"/>
      <c r="Q217" s="4"/>
      <c r="R217" s="4"/>
      <c r="S217" s="4"/>
      <c r="T217" s="50"/>
      <c r="U217" s="50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 spans="1:31" ht="14.4">
      <c r="A218" s="51">
        <v>50502</v>
      </c>
      <c r="B218" s="52" t="s">
        <v>235</v>
      </c>
      <c r="C218" s="51" t="s">
        <v>218</v>
      </c>
      <c r="D218" s="53">
        <v>10818</v>
      </c>
      <c r="E218" s="53">
        <v>360519.0002337331</v>
      </c>
      <c r="F218" s="54">
        <f t="shared" si="0"/>
        <v>33.325845834140608</v>
      </c>
      <c r="G218" s="53">
        <v>10714</v>
      </c>
      <c r="H218" s="53">
        <v>704108.99996948242</v>
      </c>
      <c r="I218" s="54">
        <f t="shared" si="1"/>
        <v>65.718592492951501</v>
      </c>
      <c r="J218" s="55"/>
      <c r="K218" s="37"/>
      <c r="L218" s="42"/>
      <c r="M218" s="4"/>
      <c r="N218" s="4"/>
      <c r="O218" s="4"/>
      <c r="P218" s="4"/>
      <c r="Q218" s="4"/>
      <c r="R218" s="4"/>
      <c r="S218" s="4"/>
      <c r="T218" s="50"/>
      <c r="U218" s="50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 spans="1:31" ht="14.4">
      <c r="A219" s="51">
        <v>50601</v>
      </c>
      <c r="B219" s="52" t="s">
        <v>236</v>
      </c>
      <c r="C219" s="51" t="s">
        <v>218</v>
      </c>
      <c r="D219" s="53">
        <v>30941</v>
      </c>
      <c r="E219" s="53">
        <v>1886947.2697542673</v>
      </c>
      <c r="F219" s="54">
        <f t="shared" si="0"/>
        <v>60.985335630854443</v>
      </c>
      <c r="G219" s="53">
        <v>29221</v>
      </c>
      <c r="H219" s="53">
        <v>2246474.9997253418</v>
      </c>
      <c r="I219" s="54">
        <f t="shared" si="1"/>
        <v>76.878785795330131</v>
      </c>
      <c r="J219" s="55"/>
      <c r="K219" s="37"/>
      <c r="L219" s="42"/>
      <c r="M219" s="4"/>
      <c r="N219" s="4"/>
      <c r="O219" s="4"/>
      <c r="P219" s="4"/>
      <c r="Q219" s="4"/>
      <c r="R219" s="4"/>
      <c r="S219" s="4"/>
      <c r="T219" s="50"/>
      <c r="U219" s="50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 spans="1:31" ht="14.4">
      <c r="A220" s="51">
        <v>50602</v>
      </c>
      <c r="B220" s="52" t="s">
        <v>237</v>
      </c>
      <c r="C220" s="51" t="s">
        <v>218</v>
      </c>
      <c r="D220" s="53">
        <v>10492</v>
      </c>
      <c r="E220" s="53">
        <v>503846.99957620818</v>
      </c>
      <c r="F220" s="54">
        <f t="shared" si="0"/>
        <v>48.022016734293572</v>
      </c>
      <c r="G220" s="53">
        <v>10184</v>
      </c>
      <c r="H220" s="53">
        <v>585248.99984741211</v>
      </c>
      <c r="I220" s="54">
        <f t="shared" si="1"/>
        <v>57.467498021152011</v>
      </c>
      <c r="J220" s="55"/>
      <c r="K220" s="37"/>
      <c r="L220" s="42"/>
      <c r="M220" s="4"/>
      <c r="N220" s="4"/>
      <c r="O220" s="4"/>
      <c r="P220" s="4"/>
      <c r="Q220" s="4"/>
      <c r="R220" s="4"/>
      <c r="S220" s="4"/>
      <c r="T220" s="50"/>
      <c r="U220" s="50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 spans="1:31" ht="14.4">
      <c r="A221" s="51">
        <v>50701</v>
      </c>
      <c r="B221" s="52" t="s">
        <v>238</v>
      </c>
      <c r="C221" s="51" t="s">
        <v>218</v>
      </c>
      <c r="D221" s="53">
        <v>18809</v>
      </c>
      <c r="E221" s="53">
        <v>574275.00016133487</v>
      </c>
      <c r="F221" s="54">
        <f t="shared" si="0"/>
        <v>30.531926214117437</v>
      </c>
      <c r="G221" s="53">
        <v>17205</v>
      </c>
      <c r="H221" s="53">
        <v>574276.99995422363</v>
      </c>
      <c r="I221" s="54">
        <f t="shared" si="1"/>
        <v>33.378494620995269</v>
      </c>
      <c r="J221" s="55"/>
      <c r="K221" s="37"/>
      <c r="L221" s="42"/>
      <c r="M221" s="4"/>
      <c r="N221" s="4"/>
      <c r="O221" s="4"/>
      <c r="P221" s="4"/>
      <c r="Q221" s="4"/>
      <c r="R221" s="4"/>
      <c r="S221" s="4"/>
      <c r="T221" s="50"/>
      <c r="U221" s="50"/>
      <c r="V221" s="4"/>
      <c r="W221" s="4"/>
      <c r="X221" s="4"/>
      <c r="Y221" s="4"/>
      <c r="Z221" s="4"/>
      <c r="AA221" s="4"/>
      <c r="AB221" s="4"/>
      <c r="AC221" s="4"/>
      <c r="AD221" s="4"/>
      <c r="AE221" s="4"/>
    </row>
    <row r="222" spans="1:31" ht="14.4">
      <c r="A222" s="51">
        <v>50702</v>
      </c>
      <c r="B222" s="52" t="s">
        <v>239</v>
      </c>
      <c r="C222" s="51" t="s">
        <v>218</v>
      </c>
      <c r="D222" s="53">
        <v>8622</v>
      </c>
      <c r="E222" s="53">
        <v>206720.00022223126</v>
      </c>
      <c r="F222" s="54">
        <f t="shared" si="0"/>
        <v>23.97587569267354</v>
      </c>
      <c r="G222" s="53">
        <v>8458</v>
      </c>
      <c r="H222" s="53">
        <v>169965.99999237061</v>
      </c>
      <c r="I222" s="54">
        <f t="shared" si="1"/>
        <v>20.095294394936225</v>
      </c>
      <c r="J222" s="55"/>
      <c r="K222" s="37"/>
      <c r="L222" s="42"/>
      <c r="M222" s="4"/>
      <c r="N222" s="4"/>
      <c r="O222" s="4"/>
      <c r="P222" s="4"/>
      <c r="Q222" s="4"/>
      <c r="R222" s="4"/>
      <c r="S222" s="4"/>
      <c r="T222" s="50"/>
      <c r="U222" s="50"/>
      <c r="V222" s="4"/>
      <c r="W222" s="4"/>
      <c r="X222" s="4"/>
      <c r="Y222" s="4"/>
      <c r="Z222" s="4"/>
      <c r="AA222" s="4"/>
      <c r="AB222" s="4"/>
      <c r="AC222" s="4"/>
      <c r="AD222" s="4"/>
      <c r="AE222" s="4"/>
    </row>
    <row r="223" spans="1:31" ht="14.4">
      <c r="A223" s="51">
        <v>50801</v>
      </c>
      <c r="B223" s="52" t="s">
        <v>240</v>
      </c>
      <c r="C223" s="51" t="s">
        <v>218</v>
      </c>
      <c r="D223" s="53">
        <v>45073</v>
      </c>
      <c r="E223" s="53">
        <v>7749116.9992357763</v>
      </c>
      <c r="F223" s="54">
        <f t="shared" si="0"/>
        <v>171.92370153386233</v>
      </c>
      <c r="G223" s="53">
        <v>45590</v>
      </c>
      <c r="H223" s="53">
        <v>9660578.0009307861</v>
      </c>
      <c r="I223" s="54">
        <f t="shared" si="1"/>
        <v>211.90125029459938</v>
      </c>
      <c r="J223" s="55"/>
      <c r="K223" s="37"/>
      <c r="L223" s="42"/>
      <c r="M223" s="4"/>
      <c r="N223" s="4"/>
      <c r="O223" s="4"/>
      <c r="P223" s="4"/>
      <c r="Q223" s="4"/>
      <c r="R223" s="4"/>
      <c r="S223" s="4"/>
      <c r="T223" s="50"/>
      <c r="U223" s="50"/>
      <c r="V223" s="4"/>
      <c r="W223" s="4"/>
      <c r="X223" s="4"/>
      <c r="Y223" s="4"/>
      <c r="Z223" s="4"/>
      <c r="AA223" s="4"/>
      <c r="AB223" s="4"/>
      <c r="AC223" s="4"/>
      <c r="AD223" s="4"/>
      <c r="AE223" s="4"/>
    </row>
    <row r="224" spans="1:31" ht="14.4">
      <c r="A224" s="51">
        <v>50802</v>
      </c>
      <c r="B224" s="52" t="s">
        <v>241</v>
      </c>
      <c r="C224" s="51" t="s">
        <v>218</v>
      </c>
      <c r="D224" s="53">
        <v>10693</v>
      </c>
      <c r="E224" s="53">
        <v>1554925.9997890517</v>
      </c>
      <c r="F224" s="54">
        <f t="shared" si="0"/>
        <v>145.41531841289176</v>
      </c>
      <c r="G224" s="53">
        <v>9610</v>
      </c>
      <c r="H224" s="53">
        <v>1551002.0003128052</v>
      </c>
      <c r="I224" s="54">
        <f t="shared" si="1"/>
        <v>161.39458900237307</v>
      </c>
      <c r="J224" s="55"/>
      <c r="K224" s="37"/>
      <c r="L224" s="42"/>
      <c r="M224" s="4"/>
      <c r="N224" s="4"/>
      <c r="O224" s="4"/>
      <c r="P224" s="4"/>
      <c r="Q224" s="4"/>
      <c r="R224" s="4"/>
      <c r="S224" s="4"/>
      <c r="T224" s="50"/>
      <c r="U224" s="50"/>
      <c r="V224" s="4"/>
      <c r="W224" s="4"/>
      <c r="X224" s="4"/>
      <c r="Y224" s="4"/>
      <c r="Z224" s="4"/>
      <c r="AA224" s="4"/>
      <c r="AB224" s="4"/>
      <c r="AC224" s="4"/>
      <c r="AD224" s="4"/>
      <c r="AE224" s="4"/>
    </row>
    <row r="225" spans="1:31" ht="14.4">
      <c r="A225" s="51">
        <v>50901</v>
      </c>
      <c r="B225" s="52" t="s">
        <v>242</v>
      </c>
      <c r="C225" s="51" t="s">
        <v>218</v>
      </c>
      <c r="D225" s="53">
        <v>12911</v>
      </c>
      <c r="E225" s="53">
        <v>941276.00215344969</v>
      </c>
      <c r="F225" s="54">
        <f t="shared" si="0"/>
        <v>72.904964925524723</v>
      </c>
      <c r="G225" s="53">
        <v>12740</v>
      </c>
      <c r="H225" s="53">
        <v>2740239.9999542236</v>
      </c>
      <c r="I225" s="54">
        <f t="shared" si="1"/>
        <v>215.08948194303167</v>
      </c>
      <c r="J225" s="55"/>
      <c r="K225" s="37"/>
      <c r="L225" s="42"/>
      <c r="M225" s="4"/>
      <c r="N225" s="4"/>
      <c r="O225" s="4"/>
      <c r="P225" s="4"/>
      <c r="Q225" s="4"/>
      <c r="R225" s="4"/>
      <c r="S225" s="4"/>
      <c r="T225" s="50"/>
      <c r="U225" s="50"/>
      <c r="V225" s="4"/>
      <c r="W225" s="4"/>
      <c r="X225" s="4"/>
      <c r="Y225" s="4"/>
      <c r="Z225" s="4"/>
      <c r="AA225" s="4"/>
      <c r="AB225" s="4"/>
      <c r="AC225" s="4"/>
      <c r="AD225" s="4"/>
      <c r="AE225" s="4"/>
    </row>
    <row r="226" spans="1:31" ht="14.4">
      <c r="A226" s="51">
        <v>50902</v>
      </c>
      <c r="B226" s="52" t="s">
        <v>243</v>
      </c>
      <c r="C226" s="51" t="s">
        <v>218</v>
      </c>
      <c r="D226" s="53">
        <v>1247</v>
      </c>
      <c r="E226" s="53">
        <v>167378.99982671533</v>
      </c>
      <c r="F226" s="54">
        <f t="shared" si="0"/>
        <v>134.22534067900187</v>
      </c>
      <c r="G226" s="53">
        <v>1621</v>
      </c>
      <c r="H226" s="53">
        <v>218578.00009155273</v>
      </c>
      <c r="I226" s="54">
        <f t="shared" si="1"/>
        <v>134.84145594790422</v>
      </c>
      <c r="J226" s="55"/>
      <c r="K226" s="37"/>
      <c r="L226" s="42"/>
      <c r="M226" s="4"/>
      <c r="N226" s="4"/>
      <c r="O226" s="4"/>
      <c r="P226" s="4"/>
      <c r="Q226" s="4"/>
      <c r="R226" s="4"/>
      <c r="S226" s="4"/>
      <c r="T226" s="50"/>
      <c r="U226" s="50"/>
      <c r="V226" s="4"/>
      <c r="W226" s="4"/>
      <c r="X226" s="4"/>
      <c r="Y226" s="4"/>
      <c r="Z226" s="4"/>
      <c r="AA226" s="4"/>
      <c r="AB226" s="4"/>
      <c r="AC226" s="4"/>
      <c r="AD226" s="4"/>
      <c r="AE226" s="4"/>
    </row>
    <row r="227" spans="1:31" ht="14.4">
      <c r="A227" s="51">
        <v>51001</v>
      </c>
      <c r="B227" s="52" t="s">
        <v>244</v>
      </c>
      <c r="C227" s="51" t="s">
        <v>218</v>
      </c>
      <c r="D227" s="53">
        <v>3297</v>
      </c>
      <c r="E227" s="53">
        <v>224970.99975832459</v>
      </c>
      <c r="F227" s="54">
        <f t="shared" si="0"/>
        <v>68.235062104435727</v>
      </c>
      <c r="G227" s="53">
        <v>3150</v>
      </c>
      <c r="H227" s="53">
        <v>134546.99993896484</v>
      </c>
      <c r="I227" s="54">
        <f t="shared" si="1"/>
        <v>42.713333313957094</v>
      </c>
      <c r="J227" s="55"/>
      <c r="K227" s="37"/>
      <c r="L227" s="42"/>
      <c r="M227" s="4"/>
      <c r="N227" s="4"/>
      <c r="O227" s="4"/>
      <c r="P227" s="4"/>
      <c r="Q227" s="4"/>
      <c r="R227" s="4"/>
      <c r="S227" s="4"/>
      <c r="T227" s="50"/>
      <c r="U227" s="50"/>
      <c r="V227" s="4"/>
      <c r="W227" s="4"/>
      <c r="X227" s="4"/>
      <c r="Y227" s="4"/>
      <c r="Z227" s="4"/>
      <c r="AA227" s="4"/>
      <c r="AB227" s="4"/>
      <c r="AC227" s="4"/>
      <c r="AD227" s="4"/>
      <c r="AE227" s="4"/>
    </row>
    <row r="228" spans="1:31" ht="14.4">
      <c r="A228" s="51">
        <v>51002</v>
      </c>
      <c r="B228" s="52" t="s">
        <v>245</v>
      </c>
      <c r="C228" s="51" t="s">
        <v>218</v>
      </c>
      <c r="D228" s="53">
        <v>1128</v>
      </c>
      <c r="E228" s="53">
        <v>0</v>
      </c>
      <c r="F228" s="54">
        <f t="shared" si="0"/>
        <v>0</v>
      </c>
      <c r="G228" s="53">
        <v>1025</v>
      </c>
      <c r="H228" s="53">
        <v>34942.000061035156</v>
      </c>
      <c r="I228" s="54">
        <f t="shared" si="1"/>
        <v>34.089756157107466</v>
      </c>
      <c r="J228" s="55"/>
      <c r="K228" s="37"/>
      <c r="L228" s="42"/>
      <c r="M228" s="4"/>
      <c r="N228" s="4"/>
      <c r="O228" s="4"/>
      <c r="P228" s="4"/>
      <c r="Q228" s="4"/>
      <c r="R228" s="4"/>
      <c r="S228" s="4"/>
      <c r="T228" s="50"/>
      <c r="U228" s="50"/>
      <c r="V228" s="4"/>
      <c r="W228" s="4"/>
      <c r="X228" s="4"/>
      <c r="Y228" s="4"/>
      <c r="Z228" s="4"/>
      <c r="AA228" s="4"/>
      <c r="AB228" s="4"/>
      <c r="AC228" s="4"/>
      <c r="AD228" s="4"/>
      <c r="AE228" s="4"/>
    </row>
    <row r="229" spans="1:31" ht="14.4">
      <c r="A229" s="51">
        <v>51003</v>
      </c>
      <c r="B229" s="52" t="s">
        <v>246</v>
      </c>
      <c r="C229" s="51" t="s">
        <v>218</v>
      </c>
      <c r="D229" s="53">
        <v>2168</v>
      </c>
      <c r="E229" s="53">
        <v>85395.999733299017</v>
      </c>
      <c r="F229" s="54">
        <f t="shared" si="0"/>
        <v>39.389298769971873</v>
      </c>
      <c r="G229" s="53">
        <v>1936</v>
      </c>
      <c r="H229" s="53">
        <v>79425.000007629395</v>
      </c>
      <c r="I229" s="54">
        <f t="shared" si="1"/>
        <v>41.025309921296177</v>
      </c>
      <c r="J229" s="55"/>
      <c r="K229" s="37"/>
      <c r="L229" s="42"/>
      <c r="M229" s="4"/>
      <c r="N229" s="4"/>
      <c r="O229" s="4"/>
      <c r="P229" s="4"/>
      <c r="Q229" s="4"/>
      <c r="R229" s="4"/>
      <c r="S229" s="4"/>
      <c r="T229" s="50"/>
      <c r="U229" s="50"/>
      <c r="V229" s="4"/>
      <c r="W229" s="4"/>
      <c r="X229" s="4"/>
      <c r="Y229" s="4"/>
      <c r="Z229" s="4"/>
      <c r="AA229" s="4"/>
      <c r="AB229" s="4"/>
      <c r="AC229" s="4"/>
      <c r="AD229" s="4"/>
      <c r="AE229" s="4"/>
    </row>
    <row r="230" spans="1:31" ht="14.4">
      <c r="A230" s="51">
        <v>51101</v>
      </c>
      <c r="B230" s="52" t="s">
        <v>247</v>
      </c>
      <c r="C230" s="51" t="s">
        <v>218</v>
      </c>
      <c r="D230" s="53">
        <v>20074</v>
      </c>
      <c r="E230" s="53">
        <v>1215403.9990719175</v>
      </c>
      <c r="F230" s="54">
        <f t="shared" si="0"/>
        <v>60.546179090959328</v>
      </c>
      <c r="G230" s="53">
        <v>16389</v>
      </c>
      <c r="H230" s="53">
        <v>1214809.0001296997</v>
      </c>
      <c r="I230" s="54">
        <f t="shared" si="1"/>
        <v>74.123436459192121</v>
      </c>
      <c r="J230" s="55"/>
      <c r="K230" s="37"/>
      <c r="L230" s="42"/>
      <c r="M230" s="4"/>
      <c r="N230" s="4"/>
      <c r="O230" s="4"/>
      <c r="P230" s="4"/>
      <c r="Q230" s="4"/>
      <c r="R230" s="4"/>
      <c r="S230" s="4"/>
      <c r="T230" s="50"/>
      <c r="U230" s="50"/>
      <c r="V230" s="4"/>
      <c r="W230" s="4"/>
      <c r="X230" s="4"/>
      <c r="Y230" s="4"/>
      <c r="Z230" s="4"/>
      <c r="AA230" s="4"/>
      <c r="AB230" s="4"/>
      <c r="AC230" s="4"/>
      <c r="AD230" s="4"/>
      <c r="AE230" s="4"/>
    </row>
    <row r="231" spans="1:31" ht="14.4">
      <c r="A231" s="51">
        <v>51102</v>
      </c>
      <c r="B231" s="52" t="s">
        <v>248</v>
      </c>
      <c r="C231" s="51" t="s">
        <v>218</v>
      </c>
      <c r="D231" s="53">
        <v>12378</v>
      </c>
      <c r="E231" s="53">
        <v>782980.00024758931</v>
      </c>
      <c r="F231" s="54">
        <f t="shared" si="0"/>
        <v>63.255776397446219</v>
      </c>
      <c r="G231" s="53">
        <v>12999</v>
      </c>
      <c r="H231" s="53">
        <v>1059734.999710083</v>
      </c>
      <c r="I231" s="54">
        <f t="shared" si="1"/>
        <v>81.524348004468266</v>
      </c>
      <c r="J231" s="55"/>
      <c r="K231" s="37"/>
      <c r="L231" s="42"/>
      <c r="M231" s="4"/>
      <c r="N231" s="4"/>
      <c r="O231" s="4"/>
      <c r="P231" s="4"/>
      <c r="Q231" s="4"/>
      <c r="R231" s="4"/>
      <c r="S231" s="4"/>
      <c r="T231" s="50"/>
      <c r="U231" s="50"/>
      <c r="V231" s="4"/>
      <c r="W231" s="4"/>
      <c r="X231" s="4"/>
      <c r="Y231" s="4"/>
      <c r="Z231" s="4"/>
      <c r="AA231" s="4"/>
      <c r="AB231" s="4"/>
      <c r="AC231" s="4"/>
      <c r="AD231" s="4"/>
      <c r="AE231" s="4"/>
    </row>
    <row r="232" spans="1:31" ht="14.4">
      <c r="A232" s="51">
        <v>51103</v>
      </c>
      <c r="B232" s="52" t="s">
        <v>249</v>
      </c>
      <c r="C232" s="51" t="s">
        <v>218</v>
      </c>
      <c r="D232" s="53">
        <v>15321</v>
      </c>
      <c r="E232" s="53">
        <v>218936.00005751196</v>
      </c>
      <c r="F232" s="54">
        <f t="shared" si="0"/>
        <v>14.28992885957261</v>
      </c>
      <c r="G232" s="53">
        <v>14338</v>
      </c>
      <c r="H232" s="53">
        <v>205271.99998474121</v>
      </c>
      <c r="I232" s="54">
        <f t="shared" si="1"/>
        <v>14.316641092533214</v>
      </c>
      <c r="J232" s="55"/>
      <c r="K232" s="37"/>
      <c r="L232" s="42"/>
      <c r="M232" s="4"/>
      <c r="N232" s="4"/>
      <c r="O232" s="4"/>
      <c r="P232" s="4"/>
      <c r="Q232" s="4"/>
      <c r="R232" s="4"/>
      <c r="S232" s="4"/>
      <c r="T232" s="50"/>
      <c r="U232" s="50"/>
      <c r="V232" s="4"/>
      <c r="W232" s="4"/>
      <c r="X232" s="4"/>
      <c r="Y232" s="4"/>
      <c r="Z232" s="4"/>
      <c r="AA232" s="4"/>
      <c r="AB232" s="4"/>
      <c r="AC232" s="4"/>
      <c r="AD232" s="4"/>
      <c r="AE232" s="4"/>
    </row>
    <row r="233" spans="1:31" ht="14.4">
      <c r="A233" s="51">
        <v>51201</v>
      </c>
      <c r="B233" s="52" t="s">
        <v>250</v>
      </c>
      <c r="C233" s="51" t="s">
        <v>218</v>
      </c>
      <c r="D233" s="53">
        <v>31554</v>
      </c>
      <c r="E233" s="53">
        <v>5743515.7908568121</v>
      </c>
      <c r="F233" s="54">
        <f t="shared" si="0"/>
        <v>182.02179726363732</v>
      </c>
      <c r="G233" s="53">
        <v>35318</v>
      </c>
      <c r="H233" s="53">
        <v>6184928.0001907349</v>
      </c>
      <c r="I233" s="54">
        <f t="shared" si="1"/>
        <v>175.12112804209568</v>
      </c>
      <c r="J233" s="55"/>
      <c r="K233" s="37"/>
      <c r="L233" s="42"/>
      <c r="M233" s="4"/>
      <c r="N233" s="4"/>
      <c r="O233" s="4"/>
      <c r="P233" s="4"/>
      <c r="Q233" s="4"/>
      <c r="R233" s="4"/>
      <c r="S233" s="4"/>
      <c r="T233" s="50"/>
      <c r="U233" s="50"/>
      <c r="V233" s="4"/>
      <c r="W233" s="4"/>
      <c r="X233" s="4"/>
      <c r="Y233" s="4"/>
      <c r="Z233" s="4"/>
      <c r="AA233" s="4"/>
      <c r="AB233" s="4"/>
      <c r="AC233" s="4"/>
      <c r="AD233" s="4"/>
      <c r="AE233" s="4"/>
    </row>
    <row r="234" spans="1:31" ht="14.4">
      <c r="A234" s="51">
        <v>51202</v>
      </c>
      <c r="B234" s="52" t="s">
        <v>251</v>
      </c>
      <c r="C234" s="51" t="s">
        <v>218</v>
      </c>
      <c r="D234" s="53">
        <v>8518</v>
      </c>
      <c r="E234" s="53">
        <v>390067.00049120001</v>
      </c>
      <c r="F234" s="54">
        <f t="shared" si="0"/>
        <v>45.793261386616578</v>
      </c>
      <c r="G234" s="53">
        <v>7845</v>
      </c>
      <c r="H234" s="53">
        <v>400953.00022125244</v>
      </c>
      <c r="I234" s="54">
        <f t="shared" si="1"/>
        <v>51.109369053059588</v>
      </c>
      <c r="J234" s="55"/>
      <c r="K234" s="37"/>
      <c r="L234" s="42"/>
      <c r="M234" s="4"/>
      <c r="N234" s="4"/>
      <c r="O234" s="4"/>
      <c r="P234" s="4"/>
      <c r="Q234" s="4"/>
      <c r="R234" s="4"/>
      <c r="S234" s="4"/>
      <c r="T234" s="50"/>
      <c r="U234" s="50"/>
      <c r="V234" s="4"/>
      <c r="W234" s="4"/>
      <c r="X234" s="4"/>
      <c r="Y234" s="4"/>
      <c r="Z234" s="4"/>
      <c r="AA234" s="4"/>
      <c r="AB234" s="4"/>
      <c r="AC234" s="4"/>
      <c r="AD234" s="4"/>
      <c r="AE234" s="4"/>
    </row>
    <row r="235" spans="1:31" ht="14.4">
      <c r="A235" s="51">
        <v>51203</v>
      </c>
      <c r="B235" s="52" t="s">
        <v>252</v>
      </c>
      <c r="C235" s="51" t="s">
        <v>218</v>
      </c>
      <c r="D235" s="53">
        <v>12129</v>
      </c>
      <c r="E235" s="53">
        <v>1388611.0015958818</v>
      </c>
      <c r="F235" s="54">
        <f t="shared" si="0"/>
        <v>114.48684983064406</v>
      </c>
      <c r="G235" s="53">
        <v>14654</v>
      </c>
      <c r="H235" s="53">
        <v>1799144.0006713867</v>
      </c>
      <c r="I235" s="54">
        <f t="shared" si="1"/>
        <v>122.77494204117556</v>
      </c>
      <c r="J235" s="55"/>
      <c r="K235" s="37"/>
      <c r="L235" s="42"/>
      <c r="M235" s="4"/>
      <c r="N235" s="4"/>
      <c r="O235" s="4"/>
      <c r="P235" s="4"/>
      <c r="Q235" s="4"/>
      <c r="R235" s="4"/>
      <c r="S235" s="4"/>
      <c r="T235" s="50"/>
      <c r="U235" s="50"/>
      <c r="V235" s="4"/>
      <c r="W235" s="4"/>
      <c r="X235" s="4"/>
      <c r="Y235" s="4"/>
      <c r="Z235" s="4"/>
      <c r="AA235" s="4"/>
      <c r="AB235" s="4"/>
      <c r="AC235" s="4"/>
      <c r="AD235" s="4"/>
      <c r="AE235" s="4"/>
    </row>
    <row r="236" spans="1:31" ht="14.4">
      <c r="A236" s="51">
        <v>51204</v>
      </c>
      <c r="B236" s="52" t="s">
        <v>253</v>
      </c>
      <c r="C236" s="51" t="s">
        <v>218</v>
      </c>
      <c r="D236" s="53">
        <v>5896</v>
      </c>
      <c r="E236" s="53">
        <v>0</v>
      </c>
      <c r="F236" s="54">
        <f t="shared" si="0"/>
        <v>0</v>
      </c>
      <c r="G236" s="53">
        <v>5819</v>
      </c>
      <c r="H236" s="53">
        <v>0</v>
      </c>
      <c r="I236" s="54">
        <f t="shared" si="1"/>
        <v>0</v>
      </c>
      <c r="J236" s="55"/>
      <c r="K236" s="37"/>
      <c r="L236" s="42"/>
      <c r="M236" s="4"/>
      <c r="N236" s="4"/>
      <c r="O236" s="4"/>
      <c r="P236" s="4"/>
      <c r="Q236" s="4"/>
      <c r="R236" s="4"/>
      <c r="S236" s="4"/>
      <c r="T236" s="50"/>
      <c r="U236" s="50"/>
      <c r="V236" s="4"/>
      <c r="W236" s="4"/>
      <c r="X236" s="4"/>
      <c r="Y236" s="4"/>
      <c r="Z236" s="4"/>
      <c r="AA236" s="4"/>
      <c r="AB236" s="4"/>
      <c r="AC236" s="4"/>
      <c r="AD236" s="4"/>
      <c r="AE236" s="4"/>
    </row>
    <row r="237" spans="1:31" ht="14.4">
      <c r="A237" s="51">
        <v>51301</v>
      </c>
      <c r="B237" s="52" t="s">
        <v>254</v>
      </c>
      <c r="C237" s="51" t="s">
        <v>218</v>
      </c>
      <c r="D237" s="53">
        <v>4002</v>
      </c>
      <c r="E237" s="53">
        <v>103547.00015135575</v>
      </c>
      <c r="F237" s="54">
        <f t="shared" si="0"/>
        <v>25.873813131273302</v>
      </c>
      <c r="G237" s="53">
        <v>3666</v>
      </c>
      <c r="H237" s="53">
        <v>94049.999908447266</v>
      </c>
      <c r="I237" s="54">
        <f t="shared" si="1"/>
        <v>25.654664459478251</v>
      </c>
      <c r="J237" s="55"/>
      <c r="K237" s="37"/>
      <c r="L237" s="42"/>
      <c r="M237" s="4"/>
      <c r="N237" s="4"/>
      <c r="O237" s="4"/>
      <c r="P237" s="4"/>
      <c r="Q237" s="4"/>
      <c r="R237" s="4"/>
      <c r="S237" s="4"/>
      <c r="T237" s="50"/>
      <c r="U237" s="50"/>
      <c r="V237" s="4"/>
      <c r="W237" s="4"/>
      <c r="X237" s="4"/>
      <c r="Y237" s="4"/>
      <c r="Z237" s="4"/>
      <c r="AA237" s="4"/>
      <c r="AB237" s="4"/>
      <c r="AC237" s="4"/>
      <c r="AD237" s="4"/>
      <c r="AE237" s="4"/>
    </row>
    <row r="238" spans="1:31" ht="14.4">
      <c r="A238" s="51">
        <v>51302</v>
      </c>
      <c r="B238" s="52" t="s">
        <v>255</v>
      </c>
      <c r="C238" s="51" t="s">
        <v>218</v>
      </c>
      <c r="D238" s="53">
        <v>5598</v>
      </c>
      <c r="E238" s="53">
        <v>160743.99969359487</v>
      </c>
      <c r="F238" s="54">
        <f t="shared" si="0"/>
        <v>28.714540852732203</v>
      </c>
      <c r="G238" s="53">
        <v>4471</v>
      </c>
      <c r="H238" s="53">
        <v>188712.00003051758</v>
      </c>
      <c r="I238" s="54">
        <f t="shared" si="1"/>
        <v>42.208007164061186</v>
      </c>
      <c r="J238" s="55"/>
      <c r="K238" s="37"/>
      <c r="L238" s="42"/>
      <c r="M238" s="4"/>
      <c r="N238" s="4"/>
      <c r="O238" s="4"/>
      <c r="P238" s="4"/>
      <c r="Q238" s="4"/>
      <c r="R238" s="4"/>
      <c r="S238" s="4"/>
      <c r="T238" s="50"/>
      <c r="U238" s="50"/>
      <c r="V238" s="4"/>
      <c r="W238" s="4"/>
      <c r="X238" s="4"/>
      <c r="Y238" s="4"/>
      <c r="Z238" s="4"/>
      <c r="AA238" s="4"/>
      <c r="AB238" s="4"/>
      <c r="AC238" s="4"/>
      <c r="AD238" s="4"/>
      <c r="AE238" s="4"/>
    </row>
    <row r="239" spans="1:31" ht="14.4">
      <c r="A239" s="51">
        <v>51401</v>
      </c>
      <c r="B239" s="52" t="s">
        <v>256</v>
      </c>
      <c r="C239" s="51" t="s">
        <v>218</v>
      </c>
      <c r="D239" s="53">
        <v>4162</v>
      </c>
      <c r="E239" s="53">
        <v>421723.00037407782</v>
      </c>
      <c r="F239" s="54">
        <f t="shared" si="0"/>
        <v>101.32700633687598</v>
      </c>
      <c r="G239" s="53">
        <v>4187</v>
      </c>
      <c r="H239" s="53">
        <v>541037.00034332275</v>
      </c>
      <c r="I239" s="54">
        <f t="shared" si="1"/>
        <v>129.21829480375513</v>
      </c>
      <c r="J239" s="55"/>
      <c r="K239" s="37"/>
      <c r="L239" s="42"/>
      <c r="M239" s="4"/>
      <c r="N239" s="4"/>
      <c r="O239" s="4"/>
      <c r="P239" s="4"/>
      <c r="Q239" s="4"/>
      <c r="R239" s="4"/>
      <c r="S239" s="4"/>
      <c r="T239" s="50"/>
      <c r="U239" s="50"/>
      <c r="V239" s="4"/>
      <c r="W239" s="4"/>
      <c r="X239" s="4"/>
      <c r="Y239" s="4"/>
      <c r="Z239" s="4"/>
      <c r="AA239" s="4"/>
      <c r="AB239" s="4"/>
      <c r="AC239" s="4"/>
      <c r="AD239" s="4"/>
      <c r="AE239" s="4"/>
    </row>
    <row r="240" spans="1:31" ht="14.4">
      <c r="A240" s="51">
        <v>51402</v>
      </c>
      <c r="B240" s="52" t="s">
        <v>257</v>
      </c>
      <c r="C240" s="51" t="s">
        <v>218</v>
      </c>
      <c r="D240" s="53">
        <v>1649</v>
      </c>
      <c r="E240" s="53">
        <v>85354.000227549113</v>
      </c>
      <c r="F240" s="54">
        <f t="shared" si="0"/>
        <v>51.76106745151553</v>
      </c>
      <c r="G240" s="53">
        <v>1546</v>
      </c>
      <c r="H240" s="53">
        <v>111310.00000762939</v>
      </c>
      <c r="I240" s="54">
        <f t="shared" si="1"/>
        <v>71.998706343874119</v>
      </c>
      <c r="J240" s="55"/>
      <c r="K240" s="37"/>
      <c r="L240" s="42"/>
      <c r="M240" s="4"/>
      <c r="N240" s="4"/>
      <c r="O240" s="4"/>
      <c r="P240" s="4"/>
      <c r="Q240" s="4"/>
      <c r="R240" s="4"/>
      <c r="S240" s="4"/>
      <c r="T240" s="50"/>
      <c r="U240" s="50"/>
      <c r="V240" s="4"/>
      <c r="W240" s="4"/>
      <c r="X240" s="4"/>
      <c r="Y240" s="4"/>
      <c r="Z240" s="4"/>
      <c r="AA240" s="4"/>
      <c r="AB240" s="4"/>
      <c r="AC240" s="4"/>
      <c r="AD240" s="4"/>
      <c r="AE240" s="4"/>
    </row>
    <row r="241" spans="1:31" ht="14.4">
      <c r="A241" s="51">
        <v>51501</v>
      </c>
      <c r="B241" s="52" t="s">
        <v>258</v>
      </c>
      <c r="C241" s="51" t="s">
        <v>218</v>
      </c>
      <c r="D241" s="53">
        <v>46384</v>
      </c>
      <c r="E241" s="53">
        <v>6258757.0028273156</v>
      </c>
      <c r="F241" s="54">
        <f t="shared" si="0"/>
        <v>134.93353317582174</v>
      </c>
      <c r="G241" s="53">
        <v>49340</v>
      </c>
      <c r="H241" s="53">
        <v>8111311.0003738403</v>
      </c>
      <c r="I241" s="54">
        <f t="shared" si="1"/>
        <v>164.39625051426512</v>
      </c>
      <c r="J241" s="55"/>
      <c r="K241" s="37"/>
      <c r="L241" s="42"/>
      <c r="M241" s="4"/>
      <c r="N241" s="4"/>
      <c r="O241" s="4"/>
      <c r="P241" s="4"/>
      <c r="Q241" s="4"/>
      <c r="R241" s="4"/>
      <c r="S241" s="4"/>
      <c r="T241" s="50"/>
      <c r="U241" s="50"/>
      <c r="V241" s="4"/>
      <c r="W241" s="4"/>
      <c r="X241" s="4"/>
      <c r="Y241" s="4"/>
      <c r="Z241" s="4"/>
      <c r="AA241" s="4"/>
      <c r="AB241" s="4"/>
      <c r="AC241" s="4"/>
      <c r="AD241" s="4"/>
      <c r="AE241" s="4"/>
    </row>
    <row r="242" spans="1:31" ht="14.4">
      <c r="A242" s="51">
        <v>51601</v>
      </c>
      <c r="B242" s="52" t="s">
        <v>259</v>
      </c>
      <c r="C242" s="51" t="s">
        <v>218</v>
      </c>
      <c r="D242" s="53">
        <v>1831</v>
      </c>
      <c r="E242" s="53">
        <v>141920.99966413341</v>
      </c>
      <c r="F242" s="54">
        <f t="shared" si="0"/>
        <v>77.510103584999129</v>
      </c>
      <c r="G242" s="53">
        <v>2126</v>
      </c>
      <c r="H242" s="53">
        <v>265895.00020599365</v>
      </c>
      <c r="I242" s="54">
        <f t="shared" si="1"/>
        <v>125.06820329538742</v>
      </c>
      <c r="J242" s="55"/>
      <c r="K242" s="37"/>
      <c r="L242" s="42"/>
      <c r="M242" s="4"/>
      <c r="N242" s="4"/>
      <c r="O242" s="4"/>
      <c r="P242" s="4"/>
      <c r="Q242" s="4"/>
      <c r="R242" s="4"/>
      <c r="S242" s="4"/>
      <c r="T242" s="50"/>
      <c r="U242" s="50"/>
      <c r="V242" s="4"/>
      <c r="W242" s="4"/>
      <c r="X242" s="4"/>
      <c r="Y242" s="4"/>
      <c r="Z242" s="4"/>
      <c r="AA242" s="4"/>
      <c r="AB242" s="4"/>
      <c r="AC242" s="4"/>
      <c r="AD242" s="4"/>
      <c r="AE242" s="4"/>
    </row>
    <row r="243" spans="1:31" ht="14.4">
      <c r="A243" s="51">
        <v>60101</v>
      </c>
      <c r="B243" s="52" t="s">
        <v>260</v>
      </c>
      <c r="C243" s="51" t="s">
        <v>260</v>
      </c>
      <c r="D243" s="53">
        <v>216500</v>
      </c>
      <c r="E243" s="53">
        <v>72758235.979072541</v>
      </c>
      <c r="F243" s="54">
        <f t="shared" si="0"/>
        <v>336.06575509964222</v>
      </c>
      <c r="G243" s="53">
        <v>238749</v>
      </c>
      <c r="H243" s="53">
        <v>84565513.003036499</v>
      </c>
      <c r="I243" s="54">
        <f t="shared" si="1"/>
        <v>354.20258515443624</v>
      </c>
      <c r="J243" s="55"/>
      <c r="K243" s="37"/>
      <c r="L243" s="42"/>
      <c r="M243" s="4"/>
      <c r="N243" s="4"/>
      <c r="O243" s="4"/>
      <c r="P243" s="4"/>
      <c r="Q243" s="4"/>
      <c r="R243" s="4"/>
      <c r="S243" s="4"/>
      <c r="T243" s="50"/>
      <c r="U243" s="50"/>
      <c r="V243" s="4"/>
      <c r="W243" s="4"/>
      <c r="X243" s="4"/>
      <c r="Y243" s="4"/>
      <c r="Z243" s="4"/>
      <c r="AA243" s="4"/>
      <c r="AB243" s="4"/>
      <c r="AC243" s="4"/>
      <c r="AD243" s="4"/>
      <c r="AE243" s="4"/>
    </row>
    <row r="244" spans="1:31" ht="14.4">
      <c r="A244" s="51">
        <v>60201</v>
      </c>
      <c r="B244" s="52" t="s">
        <v>261</v>
      </c>
      <c r="C244" s="51" t="s">
        <v>260</v>
      </c>
      <c r="D244" s="53">
        <v>18393</v>
      </c>
      <c r="E244" s="53">
        <v>2216052.0012944005</v>
      </c>
      <c r="F244" s="54">
        <f t="shared" si="0"/>
        <v>120.48344485915297</v>
      </c>
      <c r="G244" s="53">
        <v>17817</v>
      </c>
      <c r="H244" s="53">
        <v>3614576.9999694824</v>
      </c>
      <c r="I244" s="54">
        <f t="shared" si="1"/>
        <v>202.87236908399183</v>
      </c>
      <c r="J244" s="55"/>
      <c r="K244" s="37"/>
      <c r="L244" s="42"/>
      <c r="M244" s="4"/>
      <c r="N244" s="4"/>
      <c r="O244" s="4"/>
      <c r="P244" s="4"/>
      <c r="Q244" s="4"/>
      <c r="R244" s="4"/>
      <c r="S244" s="4"/>
      <c r="T244" s="50"/>
      <c r="U244" s="50"/>
      <c r="V244" s="4"/>
      <c r="W244" s="4"/>
      <c r="X244" s="4"/>
      <c r="Y244" s="4"/>
      <c r="Z244" s="4"/>
      <c r="AA244" s="4"/>
      <c r="AB244" s="4"/>
      <c r="AC244" s="4"/>
      <c r="AD244" s="4"/>
      <c r="AE244" s="4"/>
    </row>
    <row r="245" spans="1:31" ht="14.4">
      <c r="A245" s="51">
        <v>60202</v>
      </c>
      <c r="B245" s="52" t="s">
        <v>262</v>
      </c>
      <c r="C245" s="51" t="s">
        <v>260</v>
      </c>
      <c r="D245" s="53">
        <v>35327</v>
      </c>
      <c r="E245" s="53">
        <v>10859125.997742966</v>
      </c>
      <c r="F245" s="54">
        <f t="shared" si="0"/>
        <v>307.3888526549938</v>
      </c>
      <c r="G245" s="53">
        <v>36970</v>
      </c>
      <c r="H245" s="53">
        <v>14963420.000335693</v>
      </c>
      <c r="I245" s="54">
        <f t="shared" si="1"/>
        <v>404.74492832933981</v>
      </c>
      <c r="J245" s="55"/>
      <c r="K245" s="37"/>
      <c r="L245" s="42"/>
      <c r="M245" s="4"/>
      <c r="N245" s="4"/>
      <c r="O245" s="4"/>
      <c r="P245" s="4"/>
      <c r="Q245" s="4"/>
      <c r="R245" s="4"/>
      <c r="S245" s="4"/>
      <c r="T245" s="50"/>
      <c r="U245" s="50"/>
      <c r="V245" s="4"/>
      <c r="W245" s="4"/>
      <c r="X245" s="4"/>
      <c r="Y245" s="4"/>
      <c r="Z245" s="4"/>
      <c r="AA245" s="4"/>
      <c r="AB245" s="4"/>
      <c r="AC245" s="4"/>
      <c r="AD245" s="4"/>
      <c r="AE245" s="4"/>
    </row>
    <row r="246" spans="1:31" ht="14.4">
      <c r="A246" s="51">
        <v>60301</v>
      </c>
      <c r="B246" s="52" t="s">
        <v>263</v>
      </c>
      <c r="C246" s="51" t="s">
        <v>260</v>
      </c>
      <c r="D246" s="53">
        <v>94041</v>
      </c>
      <c r="E246" s="53">
        <v>27599333.002010867</v>
      </c>
      <c r="F246" s="54">
        <f t="shared" si="0"/>
        <v>293.48191748291561</v>
      </c>
      <c r="G246" s="53">
        <v>97634</v>
      </c>
      <c r="H246" s="53">
        <v>35545626.001472473</v>
      </c>
      <c r="I246" s="54">
        <f t="shared" si="1"/>
        <v>364.07016000033258</v>
      </c>
      <c r="J246" s="55"/>
      <c r="K246" s="37"/>
      <c r="L246" s="42"/>
      <c r="M246" s="4"/>
      <c r="N246" s="4"/>
      <c r="O246" s="4"/>
      <c r="P246" s="4"/>
      <c r="Q246" s="4"/>
      <c r="R246" s="4"/>
      <c r="S246" s="4"/>
      <c r="T246" s="50"/>
      <c r="U246" s="50"/>
      <c r="V246" s="4"/>
      <c r="W246" s="4"/>
      <c r="X246" s="4"/>
      <c r="Y246" s="4"/>
      <c r="Z246" s="4"/>
      <c r="AA246" s="4"/>
      <c r="AB246" s="4"/>
      <c r="AC246" s="4"/>
      <c r="AD246" s="4"/>
      <c r="AE246" s="4"/>
    </row>
    <row r="247" spans="1:31" ht="14.4">
      <c r="A247" s="51">
        <v>60302</v>
      </c>
      <c r="B247" s="52" t="s">
        <v>264</v>
      </c>
      <c r="C247" s="51" t="s">
        <v>260</v>
      </c>
      <c r="D247" s="53">
        <v>15430</v>
      </c>
      <c r="E247" s="53">
        <v>3270193.0006595375</v>
      </c>
      <c r="F247" s="54">
        <f t="shared" si="0"/>
        <v>211.93732991960709</v>
      </c>
      <c r="G247" s="53">
        <v>15559</v>
      </c>
      <c r="H247" s="53">
        <v>3603740.0003814697</v>
      </c>
      <c r="I247" s="54">
        <f t="shared" si="1"/>
        <v>231.61771324516164</v>
      </c>
      <c r="J247" s="55"/>
      <c r="K247" s="37"/>
      <c r="L247" s="42"/>
      <c r="M247" s="4"/>
      <c r="N247" s="4"/>
      <c r="O247" s="4"/>
      <c r="P247" s="4"/>
      <c r="Q247" s="4"/>
      <c r="R247" s="4"/>
      <c r="S247" s="4"/>
      <c r="T247" s="50"/>
      <c r="U247" s="50"/>
      <c r="V247" s="4"/>
      <c r="W247" s="4"/>
      <c r="X247" s="4"/>
      <c r="Y247" s="4"/>
      <c r="Z247" s="4"/>
      <c r="AA247" s="4"/>
      <c r="AB247" s="4"/>
      <c r="AC247" s="4"/>
      <c r="AD247" s="4"/>
      <c r="AE247" s="4"/>
    </row>
    <row r="248" spans="1:31" ht="14.4">
      <c r="A248" s="51">
        <v>60303</v>
      </c>
      <c r="B248" s="52" t="s">
        <v>265</v>
      </c>
      <c r="C248" s="51" t="s">
        <v>260</v>
      </c>
      <c r="D248" s="53">
        <v>41935</v>
      </c>
      <c r="E248" s="53">
        <v>15086505.991442185</v>
      </c>
      <c r="F248" s="54">
        <f t="shared" si="0"/>
        <v>359.75929394162836</v>
      </c>
      <c r="G248" s="53">
        <v>46071</v>
      </c>
      <c r="H248" s="53">
        <v>17612089.99912262</v>
      </c>
      <c r="I248" s="54">
        <f t="shared" si="1"/>
        <v>382.28147856835363</v>
      </c>
      <c r="J248" s="55"/>
      <c r="K248" s="37"/>
      <c r="L248" s="42"/>
      <c r="M248" s="4"/>
      <c r="N248" s="4"/>
      <c r="O248" s="4"/>
      <c r="P248" s="4"/>
      <c r="Q248" s="4"/>
      <c r="R248" s="4"/>
      <c r="S248" s="4"/>
      <c r="T248" s="50"/>
      <c r="U248" s="50"/>
      <c r="V248" s="4"/>
      <c r="W248" s="4"/>
      <c r="X248" s="4"/>
      <c r="Y248" s="4"/>
      <c r="Z248" s="4"/>
      <c r="AA248" s="4"/>
      <c r="AB248" s="4"/>
      <c r="AC248" s="4"/>
      <c r="AD248" s="4"/>
      <c r="AE248" s="4"/>
    </row>
    <row r="249" spans="1:31" ht="14.4">
      <c r="A249" s="51">
        <v>60401</v>
      </c>
      <c r="B249" s="52" t="s">
        <v>266</v>
      </c>
      <c r="C249" s="51" t="s">
        <v>260</v>
      </c>
      <c r="D249" s="53">
        <v>15162</v>
      </c>
      <c r="E249" s="53">
        <v>2445990.9998423895</v>
      </c>
      <c r="F249" s="54">
        <f t="shared" si="0"/>
        <v>161.32376994079868</v>
      </c>
      <c r="G249" s="53">
        <v>15923</v>
      </c>
      <c r="H249" s="53">
        <v>3130266.9995040894</v>
      </c>
      <c r="I249" s="54">
        <f t="shared" si="1"/>
        <v>196.58776609332975</v>
      </c>
      <c r="J249" s="55"/>
      <c r="K249" s="37"/>
      <c r="L249" s="42"/>
      <c r="M249" s="4"/>
      <c r="N249" s="4"/>
      <c r="O249" s="4"/>
      <c r="P249" s="4"/>
      <c r="Q249" s="4"/>
      <c r="R249" s="4"/>
      <c r="S249" s="4"/>
      <c r="T249" s="50"/>
      <c r="U249" s="50"/>
      <c r="V249" s="4"/>
      <c r="W249" s="4"/>
      <c r="X249" s="4"/>
      <c r="Y249" s="4"/>
      <c r="Z249" s="4"/>
      <c r="AA249" s="4"/>
      <c r="AB249" s="4"/>
      <c r="AC249" s="4"/>
      <c r="AD249" s="4"/>
      <c r="AE249" s="4"/>
    </row>
    <row r="250" spans="1:31" ht="14.4">
      <c r="A250" s="51">
        <v>60402</v>
      </c>
      <c r="B250" s="52" t="s">
        <v>267</v>
      </c>
      <c r="C250" s="51" t="s">
        <v>260</v>
      </c>
      <c r="D250" s="53">
        <v>5245</v>
      </c>
      <c r="E250" s="53">
        <v>153720.00002265163</v>
      </c>
      <c r="F250" s="54">
        <f t="shared" si="0"/>
        <v>29.307912301744828</v>
      </c>
      <c r="G250" s="53">
        <v>4754</v>
      </c>
      <c r="H250" s="53">
        <v>299665.99999237061</v>
      </c>
      <c r="I250" s="54">
        <f t="shared" si="1"/>
        <v>63.034497263855826</v>
      </c>
      <c r="J250" s="55"/>
      <c r="K250" s="37"/>
      <c r="L250" s="42"/>
      <c r="M250" s="4"/>
      <c r="N250" s="4"/>
      <c r="O250" s="4"/>
      <c r="P250" s="4"/>
      <c r="Q250" s="4"/>
      <c r="R250" s="4"/>
      <c r="S250" s="4"/>
      <c r="T250" s="50"/>
      <c r="U250" s="50"/>
      <c r="V250" s="4"/>
      <c r="W250" s="4"/>
      <c r="X250" s="4"/>
      <c r="Y250" s="4"/>
      <c r="Z250" s="4"/>
      <c r="AA250" s="4"/>
      <c r="AB250" s="4"/>
      <c r="AC250" s="4"/>
      <c r="AD250" s="4"/>
      <c r="AE250" s="4"/>
    </row>
    <row r="251" spans="1:31" ht="14.4">
      <c r="A251" s="51">
        <v>60501</v>
      </c>
      <c r="B251" s="52" t="s">
        <v>268</v>
      </c>
      <c r="C251" s="51" t="s">
        <v>260</v>
      </c>
      <c r="D251" s="53">
        <v>26024</v>
      </c>
      <c r="E251" s="53">
        <v>4947866.0012905616</v>
      </c>
      <c r="F251" s="54">
        <f t="shared" si="0"/>
        <v>190.12703663120817</v>
      </c>
      <c r="G251" s="53">
        <v>30346</v>
      </c>
      <c r="H251" s="53">
        <v>7137820.999382019</v>
      </c>
      <c r="I251" s="54">
        <f t="shared" si="1"/>
        <v>235.21455873531994</v>
      </c>
      <c r="J251" s="55"/>
      <c r="K251" s="37"/>
      <c r="L251" s="42"/>
      <c r="M251" s="4"/>
      <c r="N251" s="4"/>
      <c r="O251" s="4"/>
      <c r="P251" s="4"/>
      <c r="Q251" s="4"/>
      <c r="R251" s="4"/>
      <c r="S251" s="4"/>
      <c r="T251" s="50"/>
      <c r="U251" s="50"/>
      <c r="V251" s="4"/>
      <c r="W251" s="4"/>
      <c r="X251" s="4"/>
      <c r="Y251" s="4"/>
      <c r="Z251" s="4"/>
      <c r="AA251" s="4"/>
      <c r="AB251" s="4"/>
      <c r="AC251" s="4"/>
      <c r="AD251" s="4"/>
      <c r="AE251" s="4"/>
    </row>
    <row r="252" spans="1:31" ht="14.4">
      <c r="A252" s="51">
        <v>60502</v>
      </c>
      <c r="B252" s="52" t="s">
        <v>269</v>
      </c>
      <c r="C252" s="51" t="s">
        <v>260</v>
      </c>
      <c r="D252" s="53">
        <v>10744</v>
      </c>
      <c r="E252" s="53">
        <v>806355.0003722664</v>
      </c>
      <c r="F252" s="54">
        <f t="shared" si="0"/>
        <v>75.051656773293601</v>
      </c>
      <c r="G252" s="53">
        <v>9523</v>
      </c>
      <c r="H252" s="53">
        <v>1188905.9999847412</v>
      </c>
      <c r="I252" s="54">
        <f t="shared" si="1"/>
        <v>124.84574188645817</v>
      </c>
      <c r="J252" s="55"/>
      <c r="K252" s="37"/>
      <c r="L252" s="42"/>
      <c r="M252" s="4"/>
      <c r="N252" s="4"/>
      <c r="O252" s="4"/>
      <c r="P252" s="4"/>
      <c r="Q252" s="4"/>
      <c r="R252" s="4"/>
      <c r="S252" s="4"/>
      <c r="T252" s="50"/>
      <c r="U252" s="50"/>
      <c r="V252" s="4"/>
      <c r="W252" s="4"/>
      <c r="X252" s="4"/>
      <c r="Y252" s="4"/>
      <c r="Z252" s="4"/>
      <c r="AA252" s="4"/>
      <c r="AB252" s="4"/>
      <c r="AC252" s="4"/>
      <c r="AD252" s="4"/>
      <c r="AE252" s="4"/>
    </row>
    <row r="253" spans="1:31" ht="14.4">
      <c r="A253" s="51">
        <v>60601</v>
      </c>
      <c r="B253" s="52" t="s">
        <v>170</v>
      </c>
      <c r="C253" s="51" t="s">
        <v>260</v>
      </c>
      <c r="D253" s="53">
        <v>21615</v>
      </c>
      <c r="E253" s="53">
        <v>2954527.0018946528</v>
      </c>
      <c r="F253" s="54">
        <f t="shared" si="0"/>
        <v>136.68873476264875</v>
      </c>
      <c r="G253" s="53">
        <v>20864</v>
      </c>
      <c r="H253" s="53">
        <v>3927052.9999923706</v>
      </c>
      <c r="I253" s="54">
        <f t="shared" si="1"/>
        <v>188.22148197816193</v>
      </c>
      <c r="J253" s="55"/>
      <c r="K253" s="37"/>
      <c r="L253" s="42"/>
      <c r="M253" s="4"/>
      <c r="N253" s="4"/>
      <c r="O253" s="4"/>
      <c r="P253" s="4"/>
      <c r="Q253" s="4"/>
      <c r="R253" s="4"/>
      <c r="S253" s="4"/>
      <c r="T253" s="50"/>
      <c r="U253" s="50"/>
      <c r="V253" s="4"/>
      <c r="W253" s="4"/>
      <c r="X253" s="4"/>
      <c r="Y253" s="4"/>
      <c r="Z253" s="4"/>
      <c r="AA253" s="4"/>
      <c r="AB253" s="4"/>
      <c r="AC253" s="4"/>
      <c r="AD253" s="4"/>
      <c r="AE253" s="4"/>
    </row>
    <row r="254" spans="1:31" ht="14.4">
      <c r="A254" s="51">
        <v>70101</v>
      </c>
      <c r="B254" s="52" t="s">
        <v>270</v>
      </c>
      <c r="C254" s="51" t="s">
        <v>375</v>
      </c>
      <c r="D254" s="53">
        <v>1499944</v>
      </c>
      <c r="E254" s="53">
        <v>974738204.92075646</v>
      </c>
      <c r="F254" s="54">
        <f t="shared" si="0"/>
        <v>649.84973100379511</v>
      </c>
      <c r="G254" s="53">
        <v>1610982</v>
      </c>
      <c r="H254" s="53">
        <v>1233243908.0282822</v>
      </c>
      <c r="I254" s="54">
        <f t="shared" si="1"/>
        <v>765.52308345362155</v>
      </c>
      <c r="J254" s="55"/>
      <c r="K254" s="37"/>
      <c r="L254" s="42"/>
      <c r="M254" s="4"/>
      <c r="N254" s="4"/>
      <c r="O254" s="4"/>
      <c r="P254" s="4"/>
      <c r="Q254" s="4"/>
      <c r="R254" s="4"/>
      <c r="S254" s="4"/>
      <c r="T254" s="50"/>
      <c r="U254" s="50"/>
      <c r="V254" s="4"/>
      <c r="W254" s="4"/>
      <c r="X254" s="4"/>
      <c r="Y254" s="4"/>
      <c r="Z254" s="4"/>
      <c r="AA254" s="4"/>
      <c r="AB254" s="4"/>
      <c r="AC254" s="4"/>
      <c r="AD254" s="4"/>
      <c r="AE254" s="4"/>
    </row>
    <row r="255" spans="1:31" ht="14.4">
      <c r="A255" s="51">
        <v>70102</v>
      </c>
      <c r="B255" s="52" t="s">
        <v>271</v>
      </c>
      <c r="C255" s="51" t="s">
        <v>375</v>
      </c>
      <c r="D255" s="53">
        <v>72623</v>
      </c>
      <c r="E255" s="53">
        <v>21231941.016358484</v>
      </c>
      <c r="F255" s="54">
        <f t="shared" si="0"/>
        <v>292.35835777038244</v>
      </c>
      <c r="G255" s="53">
        <v>106603</v>
      </c>
      <c r="H255" s="53">
        <v>38228348.001419067</v>
      </c>
      <c r="I255" s="54">
        <f t="shared" si="1"/>
        <v>358.60480475614258</v>
      </c>
      <c r="J255" s="55"/>
      <c r="K255" s="37"/>
      <c r="L255" s="42"/>
      <c r="M255" s="4"/>
      <c r="N255" s="4"/>
      <c r="O255" s="4"/>
      <c r="P255" s="4"/>
      <c r="Q255" s="4"/>
      <c r="R255" s="4"/>
      <c r="S255" s="4"/>
      <c r="T255" s="50"/>
      <c r="U255" s="50"/>
      <c r="V255" s="4"/>
      <c r="W255" s="4"/>
      <c r="X255" s="4"/>
      <c r="Y255" s="4"/>
      <c r="Z255" s="4"/>
      <c r="AA255" s="4"/>
      <c r="AB255" s="4"/>
      <c r="AC255" s="4"/>
      <c r="AD255" s="4"/>
      <c r="AE255" s="4"/>
    </row>
    <row r="256" spans="1:31" ht="14.4">
      <c r="A256" s="51">
        <v>70103</v>
      </c>
      <c r="B256" s="52" t="s">
        <v>272</v>
      </c>
      <c r="C256" s="51" t="s">
        <v>375</v>
      </c>
      <c r="D256" s="53">
        <v>17920</v>
      </c>
      <c r="E256" s="53">
        <v>16918527.997320183</v>
      </c>
      <c r="F256" s="54">
        <f t="shared" si="0"/>
        <v>944.11428556474232</v>
      </c>
      <c r="G256" s="53">
        <v>23126</v>
      </c>
      <c r="H256" s="53">
        <v>37821532.99433136</v>
      </c>
      <c r="I256" s="54">
        <f t="shared" si="1"/>
        <v>1635.4550287266004</v>
      </c>
      <c r="J256" s="55"/>
      <c r="K256" s="37"/>
      <c r="L256" s="42"/>
      <c r="M256" s="4"/>
      <c r="N256" s="4"/>
      <c r="O256" s="4"/>
      <c r="P256" s="4"/>
      <c r="Q256" s="4"/>
      <c r="R256" s="4"/>
      <c r="S256" s="4"/>
      <c r="T256" s="50"/>
      <c r="U256" s="50"/>
      <c r="V256" s="4"/>
      <c r="W256" s="4"/>
      <c r="X256" s="4"/>
      <c r="Y256" s="4"/>
      <c r="Z256" s="4"/>
      <c r="AA256" s="4"/>
      <c r="AB256" s="4"/>
      <c r="AC256" s="4"/>
      <c r="AD256" s="4"/>
      <c r="AE256" s="4"/>
    </row>
    <row r="257" spans="1:31" ht="14.4">
      <c r="A257" s="51">
        <v>70104</v>
      </c>
      <c r="B257" s="52" t="s">
        <v>273</v>
      </c>
      <c r="C257" s="51" t="s">
        <v>375</v>
      </c>
      <c r="D257" s="53">
        <v>108765</v>
      </c>
      <c r="E257" s="53">
        <v>42724208.02108264</v>
      </c>
      <c r="F257" s="54">
        <f t="shared" ref="F257:F346" si="19">E257/D257</f>
        <v>392.81209967436803</v>
      </c>
      <c r="G257" s="53">
        <v>147726</v>
      </c>
      <c r="H257" s="53">
        <v>70964249.002105713</v>
      </c>
      <c r="I257" s="54">
        <f t="shared" ref="I257:I346" si="20">H257/G257</f>
        <v>480.3775164974731</v>
      </c>
      <c r="J257" s="55"/>
      <c r="K257" s="37"/>
      <c r="L257" s="42"/>
      <c r="M257" s="4"/>
      <c r="N257" s="4"/>
      <c r="O257" s="4"/>
      <c r="P257" s="4"/>
      <c r="Q257" s="4"/>
      <c r="R257" s="4"/>
      <c r="S257" s="4"/>
      <c r="T257" s="50"/>
      <c r="U257" s="50"/>
      <c r="V257" s="4"/>
      <c r="W257" s="4"/>
      <c r="X257" s="4"/>
      <c r="Y257" s="4"/>
      <c r="Z257" s="4"/>
      <c r="AA257" s="4"/>
      <c r="AB257" s="4"/>
      <c r="AC257" s="4"/>
      <c r="AD257" s="4"/>
      <c r="AE257" s="4"/>
    </row>
    <row r="258" spans="1:31" ht="14.4">
      <c r="A258" s="51">
        <v>70105</v>
      </c>
      <c r="B258" s="52" t="s">
        <v>274</v>
      </c>
      <c r="C258" s="51" t="s">
        <v>375</v>
      </c>
      <c r="D258" s="53">
        <v>51667</v>
      </c>
      <c r="E258" s="53">
        <v>14483068.992929038</v>
      </c>
      <c r="F258" s="54">
        <f t="shared" si="19"/>
        <v>280.31565589116917</v>
      </c>
      <c r="G258" s="53">
        <v>55697</v>
      </c>
      <c r="H258" s="53">
        <v>19845954.000358582</v>
      </c>
      <c r="I258" s="54">
        <f t="shared" si="20"/>
        <v>356.31998133397815</v>
      </c>
      <c r="J258" s="55"/>
      <c r="K258" s="37"/>
      <c r="L258" s="42"/>
      <c r="M258" s="4"/>
      <c r="N258" s="4"/>
      <c r="O258" s="4"/>
      <c r="P258" s="4"/>
      <c r="Q258" s="4"/>
      <c r="R258" s="4"/>
      <c r="S258" s="4"/>
      <c r="T258" s="50"/>
      <c r="U258" s="50"/>
      <c r="V258" s="4"/>
      <c r="W258" s="4"/>
      <c r="X258" s="4"/>
      <c r="Y258" s="4"/>
      <c r="Z258" s="4"/>
      <c r="AA258" s="4"/>
      <c r="AB258" s="4"/>
      <c r="AC258" s="4"/>
      <c r="AD258" s="4"/>
      <c r="AE258" s="4"/>
    </row>
    <row r="259" spans="1:31" ht="14.4">
      <c r="A259" s="51">
        <v>70201</v>
      </c>
      <c r="B259" s="52" t="s">
        <v>275</v>
      </c>
      <c r="C259" s="51" t="s">
        <v>375</v>
      </c>
      <c r="D259" s="53">
        <v>114687</v>
      </c>
      <c r="E259" s="53">
        <v>45514298.992391974</v>
      </c>
      <c r="F259" s="54">
        <f t="shared" si="19"/>
        <v>396.85665325967176</v>
      </c>
      <c r="G259" s="53">
        <v>151248</v>
      </c>
      <c r="H259" s="53">
        <v>79132086.994087219</v>
      </c>
      <c r="I259" s="54">
        <f t="shared" si="20"/>
        <v>523.19427029836572</v>
      </c>
      <c r="J259" s="55"/>
      <c r="K259" s="37"/>
      <c r="L259" s="42"/>
      <c r="M259" s="4"/>
      <c r="N259" s="4"/>
      <c r="O259" s="4"/>
      <c r="P259" s="4"/>
      <c r="Q259" s="4"/>
      <c r="R259" s="4"/>
      <c r="S259" s="4"/>
      <c r="T259" s="50"/>
      <c r="U259" s="50"/>
      <c r="V259" s="4"/>
      <c r="W259" s="4"/>
      <c r="X259" s="4"/>
      <c r="Y259" s="4"/>
      <c r="Z259" s="4"/>
      <c r="AA259" s="4"/>
      <c r="AB259" s="4"/>
      <c r="AC259" s="4"/>
      <c r="AD259" s="4"/>
      <c r="AE259" s="4"/>
    </row>
    <row r="260" spans="1:31" ht="14.4">
      <c r="A260" s="51">
        <v>70202</v>
      </c>
      <c r="B260" s="52" t="s">
        <v>276</v>
      </c>
      <c r="C260" s="51" t="s">
        <v>375</v>
      </c>
      <c r="D260" s="53">
        <v>11876</v>
      </c>
      <c r="E260" s="53">
        <v>4183504.0023819916</v>
      </c>
      <c r="F260" s="54">
        <f t="shared" si="19"/>
        <v>352.2654094292684</v>
      </c>
      <c r="G260" s="53">
        <v>10665</v>
      </c>
      <c r="H260" s="53">
        <v>4850435.004989624</v>
      </c>
      <c r="I260" s="54">
        <f t="shared" si="20"/>
        <v>454.79934411529524</v>
      </c>
      <c r="J260" s="55"/>
      <c r="K260" s="37"/>
      <c r="L260" s="42"/>
      <c r="M260" s="4"/>
      <c r="N260" s="4"/>
      <c r="O260" s="4"/>
      <c r="P260" s="4"/>
      <c r="Q260" s="4"/>
      <c r="R260" s="4"/>
      <c r="S260" s="4"/>
      <c r="T260" s="50"/>
      <c r="U260" s="50"/>
      <c r="V260" s="4"/>
      <c r="W260" s="4"/>
      <c r="X260" s="4"/>
      <c r="Y260" s="4"/>
      <c r="Z260" s="4"/>
      <c r="AA260" s="4"/>
      <c r="AB260" s="4"/>
      <c r="AC260" s="4"/>
      <c r="AD260" s="4"/>
      <c r="AE260" s="4"/>
    </row>
    <row r="261" spans="1:31" ht="14.4">
      <c r="A261" s="51">
        <v>70301</v>
      </c>
      <c r="B261" s="52" t="s">
        <v>277</v>
      </c>
      <c r="C261" s="51" t="s">
        <v>375</v>
      </c>
      <c r="D261" s="53">
        <v>57276</v>
      </c>
      <c r="E261" s="53">
        <v>10134821.996028926</v>
      </c>
      <c r="F261" s="54">
        <f t="shared" si="19"/>
        <v>176.9470981917195</v>
      </c>
      <c r="G261" s="53">
        <v>67103</v>
      </c>
      <c r="H261" s="53">
        <v>2040708.0000610352</v>
      </c>
      <c r="I261" s="54">
        <f t="shared" si="20"/>
        <v>30.411576234460981</v>
      </c>
      <c r="J261" s="55"/>
      <c r="K261" s="37"/>
      <c r="L261" s="42"/>
      <c r="M261" s="4"/>
      <c r="N261" s="4"/>
      <c r="O261" s="4"/>
      <c r="P261" s="4"/>
      <c r="Q261" s="4"/>
      <c r="R261" s="4"/>
      <c r="S261" s="4"/>
      <c r="T261" s="50"/>
      <c r="U261" s="50"/>
      <c r="V261" s="4"/>
      <c r="W261" s="4"/>
      <c r="X261" s="4"/>
      <c r="Y261" s="4"/>
      <c r="Z261" s="4"/>
      <c r="AA261" s="4"/>
      <c r="AB261" s="4"/>
      <c r="AC261" s="4"/>
      <c r="AD261" s="4"/>
      <c r="AE261" s="4"/>
    </row>
    <row r="262" spans="1:31" ht="14.4">
      <c r="A262" s="51">
        <v>70302</v>
      </c>
      <c r="B262" s="52" t="s">
        <v>278</v>
      </c>
      <c r="C262" s="51" t="s">
        <v>375</v>
      </c>
      <c r="D262" s="53">
        <v>12631</v>
      </c>
      <c r="E262" s="53">
        <v>1819209.9997632513</v>
      </c>
      <c r="F262" s="54">
        <f t="shared" si="19"/>
        <v>144.02739290343214</v>
      </c>
      <c r="G262" s="53">
        <v>15239</v>
      </c>
      <c r="H262" s="53">
        <v>666201</v>
      </c>
      <c r="I262" s="54">
        <f t="shared" si="20"/>
        <v>43.716844937331842</v>
      </c>
      <c r="J262" s="55"/>
      <c r="K262" s="37"/>
      <c r="L262" s="42"/>
      <c r="M262" s="4"/>
      <c r="N262" s="4"/>
      <c r="O262" s="4"/>
      <c r="P262" s="4"/>
      <c r="Q262" s="4"/>
      <c r="R262" s="4"/>
      <c r="S262" s="4"/>
      <c r="T262" s="50"/>
      <c r="U262" s="50"/>
      <c r="V262" s="4"/>
      <c r="W262" s="4"/>
      <c r="X262" s="4"/>
      <c r="Y262" s="4"/>
      <c r="Z262" s="4"/>
      <c r="AA262" s="4"/>
      <c r="AB262" s="4"/>
      <c r="AC262" s="4"/>
      <c r="AD262" s="4"/>
      <c r="AE262" s="4"/>
    </row>
    <row r="263" spans="1:31" ht="14.4">
      <c r="A263" s="51">
        <v>70303</v>
      </c>
      <c r="B263" s="52" t="s">
        <v>279</v>
      </c>
      <c r="C263" s="51" t="s">
        <v>375</v>
      </c>
      <c r="D263" s="53">
        <v>7040</v>
      </c>
      <c r="E263" s="53">
        <v>968591.99958066456</v>
      </c>
      <c r="F263" s="54">
        <f t="shared" si="19"/>
        <v>137.58409084952621</v>
      </c>
      <c r="G263" s="53">
        <v>8842</v>
      </c>
      <c r="H263" s="53">
        <v>5579636.9999389648</v>
      </c>
      <c r="I263" s="54">
        <f t="shared" si="20"/>
        <v>631.03788734889895</v>
      </c>
      <c r="J263" s="55"/>
      <c r="K263" s="37"/>
      <c r="L263" s="42"/>
      <c r="M263" s="4"/>
      <c r="N263" s="4"/>
      <c r="O263" s="4"/>
      <c r="P263" s="4"/>
      <c r="Q263" s="4"/>
      <c r="R263" s="4"/>
      <c r="S263" s="4"/>
      <c r="T263" s="50"/>
      <c r="U263" s="50"/>
      <c r="V263" s="4"/>
      <c r="W263" s="4"/>
      <c r="X263" s="4"/>
      <c r="Y263" s="4"/>
      <c r="Z263" s="4"/>
      <c r="AA263" s="4"/>
      <c r="AB263" s="4"/>
      <c r="AC263" s="4"/>
      <c r="AD263" s="4"/>
      <c r="AE263" s="4"/>
    </row>
    <row r="264" spans="1:31" ht="14.4">
      <c r="A264" s="51">
        <v>70401</v>
      </c>
      <c r="B264" s="52" t="s">
        <v>280</v>
      </c>
      <c r="C264" s="51" t="s">
        <v>375</v>
      </c>
      <c r="D264" s="53">
        <v>13136</v>
      </c>
      <c r="E264" s="53">
        <v>3722826.0020811111</v>
      </c>
      <c r="F264" s="54">
        <f t="shared" si="19"/>
        <v>283.40636434844026</v>
      </c>
      <c r="G264" s="53">
        <v>13651</v>
      </c>
      <c r="H264" s="53">
        <v>5786640.0016326904</v>
      </c>
      <c r="I264" s="54">
        <f t="shared" si="20"/>
        <v>423.89861560564725</v>
      </c>
      <c r="J264" s="55"/>
      <c r="K264" s="37"/>
      <c r="L264" s="42"/>
      <c r="M264" s="4"/>
      <c r="N264" s="4"/>
      <c r="O264" s="4"/>
      <c r="P264" s="4"/>
      <c r="Q264" s="4"/>
      <c r="R264" s="4"/>
      <c r="S264" s="4"/>
      <c r="T264" s="50"/>
      <c r="U264" s="50"/>
      <c r="V264" s="4"/>
      <c r="W264" s="4"/>
      <c r="X264" s="4"/>
      <c r="Y264" s="4"/>
      <c r="Z264" s="4"/>
      <c r="AA264" s="4"/>
      <c r="AB264" s="4"/>
      <c r="AC264" s="4"/>
      <c r="AD264" s="4"/>
      <c r="AE264" s="4"/>
    </row>
    <row r="265" spans="1:31" ht="14.4">
      <c r="A265" s="51">
        <v>70402</v>
      </c>
      <c r="B265" s="52" t="s">
        <v>281</v>
      </c>
      <c r="C265" s="51" t="s">
        <v>375</v>
      </c>
      <c r="D265" s="53">
        <v>19709</v>
      </c>
      <c r="E265" s="53">
        <v>5067303.0039599361</v>
      </c>
      <c r="F265" s="54">
        <f t="shared" si="19"/>
        <v>257.10604312547241</v>
      </c>
      <c r="G265" s="53">
        <v>18942</v>
      </c>
      <c r="H265" s="53">
        <v>7450905.9998703003</v>
      </c>
      <c r="I265" s="54">
        <f t="shared" si="20"/>
        <v>393.35371132247388</v>
      </c>
      <c r="J265" s="55"/>
      <c r="K265" s="37"/>
      <c r="L265" s="42"/>
      <c r="M265" s="4"/>
      <c r="N265" s="4"/>
      <c r="O265" s="4"/>
      <c r="P265" s="4"/>
      <c r="Q265" s="4"/>
      <c r="R265" s="4"/>
      <c r="S265" s="4"/>
      <c r="T265" s="50"/>
      <c r="U265" s="50"/>
      <c r="V265" s="4"/>
      <c r="W265" s="4"/>
      <c r="X265" s="4"/>
      <c r="Y265" s="4"/>
      <c r="Z265" s="4"/>
      <c r="AA265" s="4"/>
      <c r="AB265" s="4"/>
      <c r="AC265" s="4"/>
      <c r="AD265" s="4"/>
      <c r="AE265" s="4"/>
    </row>
    <row r="266" spans="1:31" ht="14.4">
      <c r="A266" s="51">
        <v>70403</v>
      </c>
      <c r="B266" s="52" t="s">
        <v>282</v>
      </c>
      <c r="C266" s="51" t="s">
        <v>375</v>
      </c>
      <c r="D266" s="53">
        <v>52970</v>
      </c>
      <c r="E266" s="53">
        <v>13475819.989712108</v>
      </c>
      <c r="F266" s="54">
        <f t="shared" si="19"/>
        <v>254.40475721563354</v>
      </c>
      <c r="G266" s="53">
        <v>57794</v>
      </c>
      <c r="H266" s="53">
        <v>28979426.000076294</v>
      </c>
      <c r="I266" s="54">
        <f t="shared" si="20"/>
        <v>501.426203413439</v>
      </c>
      <c r="J266" s="55"/>
      <c r="K266" s="37"/>
      <c r="L266" s="42"/>
      <c r="M266" s="4"/>
      <c r="N266" s="4"/>
      <c r="O266" s="4"/>
      <c r="P266" s="4"/>
      <c r="Q266" s="4"/>
      <c r="R266" s="4"/>
      <c r="S266" s="4"/>
      <c r="T266" s="50"/>
      <c r="U266" s="50"/>
      <c r="V266" s="4"/>
      <c r="W266" s="4"/>
      <c r="X266" s="4"/>
      <c r="Y266" s="4"/>
      <c r="Z266" s="4"/>
      <c r="AA266" s="4"/>
      <c r="AB266" s="4"/>
      <c r="AC266" s="4"/>
      <c r="AD266" s="4"/>
      <c r="AE266" s="4"/>
    </row>
    <row r="267" spans="1:31" ht="14.4">
      <c r="A267" s="51">
        <v>70404</v>
      </c>
      <c r="B267" s="52" t="s">
        <v>283</v>
      </c>
      <c r="C267" s="51" t="s">
        <v>375</v>
      </c>
      <c r="D267" s="53">
        <v>9527</v>
      </c>
      <c r="E267" s="53">
        <v>2698972.9982697032</v>
      </c>
      <c r="F267" s="54">
        <f t="shared" si="19"/>
        <v>283.29726023613972</v>
      </c>
      <c r="G267" s="53">
        <v>10200</v>
      </c>
      <c r="H267" s="53">
        <v>4897167.9993286133</v>
      </c>
      <c r="I267" s="54">
        <f t="shared" si="20"/>
        <v>480.11450973809934</v>
      </c>
      <c r="J267" s="55"/>
      <c r="K267" s="37"/>
      <c r="L267" s="42"/>
      <c r="M267" s="4"/>
      <c r="N267" s="4"/>
      <c r="O267" s="4"/>
      <c r="P267" s="4"/>
      <c r="Q267" s="4"/>
      <c r="R267" s="4"/>
      <c r="S267" s="4"/>
      <c r="T267" s="50"/>
      <c r="U267" s="50"/>
      <c r="V267" s="4"/>
      <c r="W267" s="4"/>
      <c r="X267" s="4"/>
      <c r="Y267" s="4"/>
      <c r="Z267" s="4"/>
      <c r="AA267" s="4"/>
      <c r="AB267" s="4"/>
      <c r="AC267" s="4"/>
      <c r="AD267" s="4"/>
      <c r="AE267" s="4"/>
    </row>
    <row r="268" spans="1:31" ht="14.4">
      <c r="A268" s="51">
        <v>70501</v>
      </c>
      <c r="B268" s="52" t="s">
        <v>284</v>
      </c>
      <c r="C268" s="51" t="s">
        <v>375</v>
      </c>
      <c r="D268" s="53">
        <v>32939</v>
      </c>
      <c r="E268" s="53">
        <v>6105850.0008943584</v>
      </c>
      <c r="F268" s="54">
        <f t="shared" si="19"/>
        <v>185.36840829698409</v>
      </c>
      <c r="G268" s="53">
        <v>40974</v>
      </c>
      <c r="H268" s="53">
        <v>3772785.0001220703</v>
      </c>
      <c r="I268" s="54">
        <f t="shared" si="20"/>
        <v>92.077536977646076</v>
      </c>
      <c r="J268" s="55"/>
      <c r="K268" s="37"/>
      <c r="L268" s="42"/>
      <c r="M268" s="4"/>
      <c r="N268" s="4"/>
      <c r="O268" s="4"/>
      <c r="P268" s="4"/>
      <c r="Q268" s="4"/>
      <c r="R268" s="4"/>
      <c r="S268" s="4"/>
      <c r="T268" s="50"/>
      <c r="U268" s="50"/>
      <c r="V268" s="4"/>
      <c r="W268" s="4"/>
      <c r="X268" s="4"/>
      <c r="Y268" s="4"/>
      <c r="Z268" s="4"/>
      <c r="AA268" s="4"/>
      <c r="AB268" s="4"/>
      <c r="AC268" s="4"/>
      <c r="AD268" s="4"/>
      <c r="AE268" s="4"/>
    </row>
    <row r="269" spans="1:31" ht="14.4">
      <c r="A269" s="51">
        <v>70502</v>
      </c>
      <c r="B269" s="52" t="s">
        <v>285</v>
      </c>
      <c r="C269" s="51" t="s">
        <v>375</v>
      </c>
      <c r="D269" s="53">
        <v>43409</v>
      </c>
      <c r="E269" s="53">
        <v>12391794.004371278</v>
      </c>
      <c r="F269" s="54">
        <f t="shared" si="19"/>
        <v>285.46600945359899</v>
      </c>
      <c r="G269" s="53">
        <v>54495</v>
      </c>
      <c r="H269" s="53">
        <v>21642811.99671936</v>
      </c>
      <c r="I269" s="54">
        <f t="shared" si="20"/>
        <v>397.15225244002863</v>
      </c>
      <c r="J269" s="55"/>
      <c r="K269" s="37"/>
      <c r="L269" s="42"/>
      <c r="M269" s="4"/>
      <c r="N269" s="4"/>
      <c r="O269" s="4"/>
      <c r="P269" s="4"/>
      <c r="Q269" s="4"/>
      <c r="R269" s="4"/>
      <c r="S269" s="4"/>
      <c r="T269" s="50"/>
      <c r="U269" s="50"/>
      <c r="V269" s="4"/>
      <c r="W269" s="4"/>
      <c r="X269" s="4"/>
      <c r="Y269" s="4"/>
      <c r="Z269" s="4"/>
      <c r="AA269" s="4"/>
      <c r="AB269" s="4"/>
      <c r="AC269" s="4"/>
      <c r="AD269" s="4"/>
      <c r="AE269" s="4"/>
    </row>
    <row r="270" spans="1:31" ht="14.4">
      <c r="A270" s="51">
        <v>70503</v>
      </c>
      <c r="B270" s="52" t="s">
        <v>286</v>
      </c>
      <c r="C270" s="51" t="s">
        <v>375</v>
      </c>
      <c r="D270" s="53">
        <v>16682</v>
      </c>
      <c r="E270" s="53">
        <v>4441643.0006414866</v>
      </c>
      <c r="F270" s="54">
        <f t="shared" si="19"/>
        <v>266.25362670192345</v>
      </c>
      <c r="G270" s="53">
        <v>18763</v>
      </c>
      <c r="H270" s="53">
        <v>882945.99995422363</v>
      </c>
      <c r="I270" s="54">
        <f t="shared" si="20"/>
        <v>47.057826571135941</v>
      </c>
      <c r="J270" s="55"/>
      <c r="K270" s="37"/>
      <c r="L270" s="42"/>
      <c r="M270" s="4"/>
      <c r="N270" s="4"/>
      <c r="O270" s="4"/>
      <c r="P270" s="4"/>
      <c r="Q270" s="4"/>
      <c r="R270" s="4"/>
      <c r="S270" s="4"/>
      <c r="T270" s="50"/>
      <c r="U270" s="50"/>
      <c r="V270" s="4"/>
      <c r="W270" s="4"/>
      <c r="X270" s="4"/>
      <c r="Y270" s="4"/>
      <c r="Z270" s="4"/>
      <c r="AA270" s="4"/>
      <c r="AB270" s="4"/>
      <c r="AC270" s="4"/>
      <c r="AD270" s="4"/>
      <c r="AE270" s="4"/>
    </row>
    <row r="271" spans="1:31" ht="14.4">
      <c r="A271" s="51">
        <v>70601</v>
      </c>
      <c r="B271" s="52" t="s">
        <v>287</v>
      </c>
      <c r="C271" s="51" t="s">
        <v>375</v>
      </c>
      <c r="D271" s="53">
        <v>18838</v>
      </c>
      <c r="E271" s="53">
        <v>7805129.9918099297</v>
      </c>
      <c r="F271" s="54">
        <f t="shared" si="19"/>
        <v>414.32901538432583</v>
      </c>
      <c r="G271" s="53">
        <v>20743</v>
      </c>
      <c r="H271" s="53">
        <v>9846306.0004425049</v>
      </c>
      <c r="I271" s="54">
        <f t="shared" si="20"/>
        <v>474.68090442281755</v>
      </c>
      <c r="J271" s="55"/>
      <c r="K271" s="37"/>
      <c r="L271" s="42"/>
      <c r="M271" s="4"/>
      <c r="N271" s="4"/>
      <c r="O271" s="4"/>
      <c r="P271" s="4"/>
      <c r="Q271" s="4"/>
      <c r="R271" s="4"/>
      <c r="S271" s="4"/>
      <c r="T271" s="50"/>
      <c r="U271" s="50"/>
      <c r="V271" s="4"/>
      <c r="W271" s="4"/>
      <c r="X271" s="4"/>
      <c r="Y271" s="4"/>
      <c r="Z271" s="4"/>
      <c r="AA271" s="4"/>
      <c r="AB271" s="4"/>
      <c r="AC271" s="4"/>
      <c r="AD271" s="4"/>
      <c r="AE271" s="4"/>
    </row>
    <row r="272" spans="1:31" ht="14.4">
      <c r="A272" s="51">
        <v>70602</v>
      </c>
      <c r="B272" s="52" t="s">
        <v>288</v>
      </c>
      <c r="C272" s="51" t="s">
        <v>375</v>
      </c>
      <c r="D272" s="53">
        <v>18811</v>
      </c>
      <c r="E272" s="53">
        <v>3670194.0028523728</v>
      </c>
      <c r="F272" s="54">
        <f t="shared" si="19"/>
        <v>195.10892578025479</v>
      </c>
      <c r="G272" s="53">
        <v>17999</v>
      </c>
      <c r="H272" s="53">
        <v>11690099.00087738</v>
      </c>
      <c r="I272" s="54">
        <f t="shared" si="20"/>
        <v>649.48602705024609</v>
      </c>
      <c r="J272" s="55"/>
      <c r="K272" s="37"/>
      <c r="L272" s="42"/>
      <c r="M272" s="4"/>
      <c r="N272" s="4"/>
      <c r="O272" s="4"/>
      <c r="P272" s="4"/>
      <c r="Q272" s="4"/>
      <c r="R272" s="4"/>
      <c r="S272" s="4"/>
      <c r="T272" s="50"/>
      <c r="U272" s="50"/>
      <c r="V272" s="4"/>
      <c r="W272" s="4"/>
      <c r="X272" s="4"/>
      <c r="Y272" s="4"/>
      <c r="Z272" s="4"/>
      <c r="AA272" s="4"/>
      <c r="AB272" s="4"/>
      <c r="AC272" s="4"/>
      <c r="AD272" s="4"/>
      <c r="AE272" s="4"/>
    </row>
    <row r="273" spans="1:31" ht="14.4">
      <c r="A273" s="51">
        <v>70603</v>
      </c>
      <c r="B273" s="52" t="s">
        <v>289</v>
      </c>
      <c r="C273" s="51" t="s">
        <v>375</v>
      </c>
      <c r="D273" s="53">
        <v>6048</v>
      </c>
      <c r="E273" s="53">
        <v>1918077.9997633677</v>
      </c>
      <c r="F273" s="54">
        <f t="shared" si="19"/>
        <v>317.14252641590076</v>
      </c>
      <c r="G273" s="53">
        <v>6007</v>
      </c>
      <c r="H273" s="53">
        <v>2290655.9998016357</v>
      </c>
      <c r="I273" s="54">
        <f t="shared" si="20"/>
        <v>381.33111366766036</v>
      </c>
      <c r="J273" s="55"/>
      <c r="K273" s="37"/>
      <c r="L273" s="42"/>
      <c r="M273" s="4"/>
      <c r="N273" s="4"/>
      <c r="O273" s="4"/>
      <c r="P273" s="4"/>
      <c r="Q273" s="4"/>
      <c r="R273" s="4"/>
      <c r="S273" s="4"/>
      <c r="T273" s="50"/>
      <c r="U273" s="50"/>
      <c r="V273" s="4"/>
      <c r="W273" s="4"/>
      <c r="X273" s="4"/>
      <c r="Y273" s="4"/>
      <c r="Z273" s="4"/>
      <c r="AA273" s="4"/>
      <c r="AB273" s="4"/>
      <c r="AC273" s="4"/>
      <c r="AD273" s="4"/>
      <c r="AE273" s="4"/>
    </row>
    <row r="274" spans="1:31" ht="14.4">
      <c r="A274" s="51">
        <v>70701</v>
      </c>
      <c r="B274" s="52" t="s">
        <v>290</v>
      </c>
      <c r="C274" s="51" t="s">
        <v>375</v>
      </c>
      <c r="D274" s="53">
        <v>5559</v>
      </c>
      <c r="E274" s="53">
        <v>759410.99961752258</v>
      </c>
      <c r="F274" s="54">
        <f t="shared" si="19"/>
        <v>136.60928217620483</v>
      </c>
      <c r="G274" s="53">
        <v>5946</v>
      </c>
      <c r="H274" s="53">
        <v>118933.00006103516</v>
      </c>
      <c r="I274" s="54">
        <f t="shared" si="20"/>
        <v>20.002186354025422</v>
      </c>
      <c r="J274" s="55"/>
      <c r="K274" s="37"/>
      <c r="L274" s="42"/>
      <c r="M274" s="4"/>
      <c r="N274" s="4"/>
      <c r="O274" s="4"/>
      <c r="P274" s="4"/>
      <c r="Q274" s="4"/>
      <c r="R274" s="4"/>
      <c r="S274" s="4"/>
      <c r="T274" s="50"/>
      <c r="U274" s="50"/>
      <c r="V274" s="4"/>
      <c r="W274" s="4"/>
      <c r="X274" s="4"/>
      <c r="Y274" s="4"/>
      <c r="Z274" s="4"/>
      <c r="AA274" s="4"/>
      <c r="AB274" s="4"/>
      <c r="AC274" s="4"/>
      <c r="AD274" s="4"/>
      <c r="AE274" s="4"/>
    </row>
    <row r="275" spans="1:31" ht="14.4">
      <c r="A275" s="51">
        <v>70702</v>
      </c>
      <c r="B275" s="52" t="s">
        <v>291</v>
      </c>
      <c r="C275" s="51" t="s">
        <v>375</v>
      </c>
      <c r="D275" s="53">
        <v>34264</v>
      </c>
      <c r="E275" s="53">
        <v>2921668.0016149255</v>
      </c>
      <c r="F275" s="54">
        <f t="shared" si="19"/>
        <v>85.269320616825979</v>
      </c>
      <c r="G275" s="53">
        <v>38420</v>
      </c>
      <c r="H275" s="53">
        <v>2404882.9999465942</v>
      </c>
      <c r="I275" s="54">
        <f t="shared" si="20"/>
        <v>62.594560123544881</v>
      </c>
      <c r="J275" s="55"/>
      <c r="K275" s="37"/>
      <c r="L275" s="42"/>
      <c r="M275" s="4"/>
      <c r="N275" s="4"/>
      <c r="O275" s="4"/>
      <c r="P275" s="4"/>
      <c r="Q275" s="4"/>
      <c r="R275" s="4"/>
      <c r="S275" s="4"/>
      <c r="T275" s="50"/>
      <c r="U275" s="50"/>
      <c r="V275" s="4"/>
      <c r="W275" s="4"/>
      <c r="X275" s="4"/>
      <c r="Y275" s="4"/>
      <c r="Z275" s="4"/>
      <c r="AA275" s="4"/>
      <c r="AB275" s="4"/>
      <c r="AC275" s="4"/>
      <c r="AD275" s="4"/>
      <c r="AE275" s="4"/>
    </row>
    <row r="276" spans="1:31" ht="14.4">
      <c r="A276" s="51">
        <v>70703</v>
      </c>
      <c r="B276" s="52" t="s">
        <v>292</v>
      </c>
      <c r="C276" s="51" t="s">
        <v>375</v>
      </c>
      <c r="D276" s="53">
        <v>28610</v>
      </c>
      <c r="E276" s="53">
        <v>5383326.9903624011</v>
      </c>
      <c r="F276" s="54">
        <f t="shared" si="19"/>
        <v>188.16242538840967</v>
      </c>
      <c r="G276" s="53">
        <v>32961</v>
      </c>
      <c r="H276" s="53">
        <v>8277245.0005569458</v>
      </c>
      <c r="I276" s="54">
        <f t="shared" si="20"/>
        <v>251.12238708039641</v>
      </c>
      <c r="J276" s="55"/>
      <c r="K276" s="37"/>
      <c r="L276" s="42"/>
      <c r="M276" s="4"/>
      <c r="N276" s="4"/>
      <c r="O276" s="4"/>
      <c r="P276" s="4"/>
      <c r="Q276" s="4"/>
      <c r="R276" s="4"/>
      <c r="S276" s="4"/>
      <c r="T276" s="50"/>
      <c r="U276" s="50"/>
      <c r="V276" s="4"/>
      <c r="W276" s="4"/>
      <c r="X276" s="4"/>
      <c r="Y276" s="4"/>
      <c r="Z276" s="4"/>
      <c r="AA276" s="4"/>
      <c r="AB276" s="4"/>
      <c r="AC276" s="4"/>
      <c r="AD276" s="4"/>
      <c r="AE276" s="4"/>
    </row>
    <row r="277" spans="1:31" ht="14.4">
      <c r="A277" s="51">
        <v>70704</v>
      </c>
      <c r="B277" s="52" t="s">
        <v>293</v>
      </c>
      <c r="C277" s="51" t="s">
        <v>375</v>
      </c>
      <c r="D277" s="53">
        <v>5146</v>
      </c>
      <c r="E277" s="53">
        <v>526307.00026095379</v>
      </c>
      <c r="F277" s="54">
        <f t="shared" si="19"/>
        <v>102.27497090185655</v>
      </c>
      <c r="G277" s="53">
        <v>5335</v>
      </c>
      <c r="H277" s="53">
        <v>121588.00007629395</v>
      </c>
      <c r="I277" s="54">
        <f t="shared" si="20"/>
        <v>22.790627943072906</v>
      </c>
      <c r="J277" s="55"/>
      <c r="K277" s="37"/>
      <c r="L277" s="42"/>
      <c r="M277" s="4"/>
      <c r="N277" s="4"/>
      <c r="O277" s="4"/>
      <c r="P277" s="4"/>
      <c r="Q277" s="4"/>
      <c r="R277" s="4"/>
      <c r="S277" s="4"/>
      <c r="T277" s="50"/>
      <c r="U277" s="50"/>
      <c r="V277" s="4"/>
      <c r="W277" s="4"/>
      <c r="X277" s="4"/>
      <c r="Y277" s="4"/>
      <c r="Z277" s="4"/>
      <c r="AA277" s="4"/>
      <c r="AB277" s="4"/>
      <c r="AC277" s="4"/>
      <c r="AD277" s="4"/>
      <c r="AE277" s="4"/>
    </row>
    <row r="278" spans="1:31" ht="14.4">
      <c r="A278" s="51">
        <v>70705</v>
      </c>
      <c r="B278" s="52" t="s">
        <v>294</v>
      </c>
      <c r="C278" s="51" t="s">
        <v>375</v>
      </c>
      <c r="D278" s="53">
        <v>12978</v>
      </c>
      <c r="E278" s="53">
        <v>1001456.9994421564</v>
      </c>
      <c r="F278" s="54">
        <f t="shared" si="19"/>
        <v>77.16574198198154</v>
      </c>
      <c r="G278" s="53">
        <v>14389</v>
      </c>
      <c r="H278" s="53">
        <v>215228.00007629395</v>
      </c>
      <c r="I278" s="54">
        <f t="shared" si="20"/>
        <v>14.957815002869827</v>
      </c>
      <c r="J278" s="55"/>
      <c r="K278" s="37"/>
      <c r="L278" s="42"/>
      <c r="M278" s="4"/>
      <c r="N278" s="4"/>
      <c r="O278" s="4"/>
      <c r="P278" s="4"/>
      <c r="Q278" s="4"/>
      <c r="R278" s="4"/>
      <c r="S278" s="4"/>
      <c r="T278" s="50"/>
      <c r="U278" s="50"/>
      <c r="V278" s="4"/>
      <c r="W278" s="4"/>
      <c r="X278" s="4"/>
      <c r="Y278" s="4"/>
      <c r="Z278" s="4"/>
      <c r="AA278" s="4"/>
      <c r="AB278" s="4"/>
      <c r="AC278" s="4"/>
      <c r="AD278" s="4"/>
      <c r="AE278" s="4"/>
    </row>
    <row r="279" spans="1:31" ht="14.4">
      <c r="A279" s="51">
        <v>70706</v>
      </c>
      <c r="B279" s="52" t="s">
        <v>295</v>
      </c>
      <c r="C279" s="51" t="s">
        <v>375</v>
      </c>
      <c r="D279" s="53">
        <v>33320</v>
      </c>
      <c r="E279" s="53">
        <v>12673717.005906273</v>
      </c>
      <c r="F279" s="54">
        <f t="shared" si="19"/>
        <v>380.36365563944395</v>
      </c>
      <c r="G279" s="53">
        <v>32285</v>
      </c>
      <c r="H279" s="53">
        <v>2358126.9995422363</v>
      </c>
      <c r="I279" s="54">
        <f t="shared" si="20"/>
        <v>73.040947794401006</v>
      </c>
      <c r="J279" s="55"/>
      <c r="K279" s="37"/>
      <c r="L279" s="42"/>
      <c r="M279" s="4"/>
      <c r="N279" s="4"/>
      <c r="O279" s="4"/>
      <c r="P279" s="4"/>
      <c r="Q279" s="4"/>
      <c r="R279" s="4"/>
      <c r="S279" s="4"/>
      <c r="T279" s="50"/>
      <c r="U279" s="50"/>
      <c r="V279" s="4"/>
      <c r="W279" s="4"/>
      <c r="X279" s="4"/>
      <c r="Y279" s="4"/>
      <c r="Z279" s="4"/>
      <c r="AA279" s="4"/>
      <c r="AB279" s="4"/>
      <c r="AC279" s="4"/>
      <c r="AD279" s="4"/>
      <c r="AE279" s="4"/>
    </row>
    <row r="280" spans="1:31" ht="14.4">
      <c r="A280" s="51">
        <v>70707</v>
      </c>
      <c r="B280" s="52" t="s">
        <v>296</v>
      </c>
      <c r="C280" s="51" t="s">
        <v>375</v>
      </c>
      <c r="D280" s="53">
        <v>5262</v>
      </c>
      <c r="E280" s="53">
        <v>965606.00212106016</v>
      </c>
      <c r="F280" s="54">
        <f t="shared" si="19"/>
        <v>183.50551161555686</v>
      </c>
      <c r="G280" s="53">
        <v>5612</v>
      </c>
      <c r="H280" s="53">
        <v>235137.00004577637</v>
      </c>
      <c r="I280" s="54">
        <f t="shared" si="20"/>
        <v>41.898966508513254</v>
      </c>
      <c r="J280" s="55"/>
      <c r="K280" s="37"/>
      <c r="L280" s="42"/>
      <c r="M280" s="4"/>
      <c r="N280" s="4"/>
      <c r="O280" s="4"/>
      <c r="P280" s="4"/>
      <c r="Q280" s="4"/>
      <c r="R280" s="4"/>
      <c r="S280" s="4"/>
      <c r="T280" s="50"/>
      <c r="U280" s="50"/>
      <c r="V280" s="4"/>
      <c r="W280" s="4"/>
      <c r="X280" s="4"/>
      <c r="Y280" s="4"/>
      <c r="Z280" s="4"/>
      <c r="AA280" s="4"/>
      <c r="AB280" s="4"/>
      <c r="AC280" s="4"/>
      <c r="AD280" s="4"/>
      <c r="AE280" s="4"/>
    </row>
    <row r="281" spans="1:31" ht="14.4">
      <c r="A281" s="51">
        <v>70801</v>
      </c>
      <c r="B281" s="52" t="s">
        <v>297</v>
      </c>
      <c r="C281" s="51" t="s">
        <v>375</v>
      </c>
      <c r="D281" s="53">
        <v>17222</v>
      </c>
      <c r="E281" s="53">
        <v>3483949.0032874169</v>
      </c>
      <c r="F281" s="54">
        <f t="shared" si="19"/>
        <v>202.29642337053866</v>
      </c>
      <c r="G281" s="53">
        <v>17249</v>
      </c>
      <c r="H281" s="53">
        <v>696383.99984741211</v>
      </c>
      <c r="I281" s="54">
        <f t="shared" si="20"/>
        <v>40.372427378248716</v>
      </c>
      <c r="J281" s="55"/>
      <c r="K281" s="37"/>
      <c r="L281" s="42"/>
      <c r="M281" s="4"/>
      <c r="N281" s="4"/>
      <c r="O281" s="4"/>
      <c r="P281" s="4"/>
      <c r="Q281" s="4"/>
      <c r="R281" s="4"/>
      <c r="S281" s="4"/>
      <c r="T281" s="50"/>
      <c r="U281" s="50"/>
      <c r="V281" s="4"/>
      <c r="W281" s="4"/>
      <c r="X281" s="4"/>
      <c r="Y281" s="4"/>
      <c r="Z281" s="4"/>
      <c r="AA281" s="4"/>
      <c r="AB281" s="4"/>
      <c r="AC281" s="4"/>
      <c r="AD281" s="4"/>
      <c r="AE281" s="4"/>
    </row>
    <row r="282" spans="1:31" ht="14.4">
      <c r="A282" s="51">
        <v>70802</v>
      </c>
      <c r="B282" s="52" t="s">
        <v>298</v>
      </c>
      <c r="C282" s="51" t="s">
        <v>375</v>
      </c>
      <c r="D282" s="53">
        <v>2210</v>
      </c>
      <c r="E282" s="53">
        <v>323829.00094444957</v>
      </c>
      <c r="F282" s="54">
        <f t="shared" si="19"/>
        <v>146.52895970337084</v>
      </c>
      <c r="G282" s="53">
        <v>2359</v>
      </c>
      <c r="H282" s="53">
        <v>32278.000015258789</v>
      </c>
      <c r="I282" s="54">
        <f t="shared" si="20"/>
        <v>13.682916496506481</v>
      </c>
      <c r="J282" s="55"/>
      <c r="K282" s="37"/>
      <c r="L282" s="42"/>
      <c r="M282" s="4"/>
      <c r="N282" s="4"/>
      <c r="O282" s="4"/>
      <c r="P282" s="4"/>
      <c r="Q282" s="4"/>
      <c r="R282" s="4"/>
      <c r="S282" s="4"/>
      <c r="T282" s="50"/>
      <c r="U282" s="50"/>
      <c r="V282" s="4"/>
      <c r="W282" s="4"/>
      <c r="X282" s="4"/>
      <c r="Y282" s="4"/>
      <c r="Z282" s="4"/>
      <c r="AA282" s="4"/>
      <c r="AB282" s="4"/>
      <c r="AC282" s="4"/>
      <c r="AD282" s="4"/>
      <c r="AE282" s="4"/>
    </row>
    <row r="283" spans="1:31" ht="14.4">
      <c r="A283" s="51">
        <v>70803</v>
      </c>
      <c r="B283" s="52" t="s">
        <v>299</v>
      </c>
      <c r="C283" s="51" t="s">
        <v>375</v>
      </c>
      <c r="D283" s="53">
        <v>2776</v>
      </c>
      <c r="E283" s="53">
        <v>255241.99945543148</v>
      </c>
      <c r="F283" s="54">
        <f t="shared" si="19"/>
        <v>91.945965221697222</v>
      </c>
      <c r="G283" s="53">
        <v>2793</v>
      </c>
      <c r="H283" s="53">
        <v>66601.999969482422</v>
      </c>
      <c r="I283" s="54">
        <f t="shared" si="20"/>
        <v>23.846043669703697</v>
      </c>
      <c r="J283" s="55"/>
      <c r="K283" s="37"/>
      <c r="L283" s="42"/>
      <c r="M283" s="4"/>
      <c r="N283" s="4"/>
      <c r="O283" s="4"/>
      <c r="P283" s="4"/>
      <c r="Q283" s="4"/>
      <c r="R283" s="4"/>
      <c r="S283" s="4"/>
      <c r="T283" s="50"/>
      <c r="U283" s="50"/>
      <c r="V283" s="4"/>
      <c r="W283" s="4"/>
      <c r="X283" s="4"/>
      <c r="Y283" s="4"/>
      <c r="Z283" s="4"/>
      <c r="AA283" s="4"/>
      <c r="AB283" s="4"/>
      <c r="AC283" s="4"/>
      <c r="AD283" s="4"/>
      <c r="AE283" s="4"/>
    </row>
    <row r="284" spans="1:31" ht="14.4">
      <c r="A284" s="51">
        <v>70804</v>
      </c>
      <c r="B284" s="52" t="s">
        <v>300</v>
      </c>
      <c r="C284" s="51" t="s">
        <v>375</v>
      </c>
      <c r="D284" s="53">
        <v>2195</v>
      </c>
      <c r="E284" s="53">
        <v>196323.00001523923</v>
      </c>
      <c r="F284" s="54">
        <f t="shared" si="19"/>
        <v>89.441002284847031</v>
      </c>
      <c r="G284" s="53">
        <v>1806</v>
      </c>
      <c r="H284" s="53">
        <v>92153</v>
      </c>
      <c r="I284" s="54">
        <f t="shared" si="20"/>
        <v>51.026024363233667</v>
      </c>
      <c r="J284" s="55"/>
      <c r="K284" s="37"/>
      <c r="L284" s="42"/>
      <c r="M284" s="4"/>
      <c r="N284" s="4"/>
      <c r="O284" s="4"/>
      <c r="P284" s="4"/>
      <c r="Q284" s="4"/>
      <c r="R284" s="4"/>
      <c r="S284" s="4"/>
      <c r="T284" s="50"/>
      <c r="U284" s="50"/>
      <c r="V284" s="4"/>
      <c r="W284" s="4"/>
      <c r="X284" s="4"/>
      <c r="Y284" s="4"/>
      <c r="Z284" s="4"/>
      <c r="AA284" s="4"/>
      <c r="AB284" s="4"/>
      <c r="AC284" s="4"/>
      <c r="AD284" s="4"/>
      <c r="AE284" s="4"/>
    </row>
    <row r="285" spans="1:31" ht="14.4">
      <c r="A285" s="51">
        <v>70805</v>
      </c>
      <c r="B285" s="52" t="s">
        <v>301</v>
      </c>
      <c r="C285" s="51" t="s">
        <v>375</v>
      </c>
      <c r="D285" s="53">
        <v>2056</v>
      </c>
      <c r="E285" s="53">
        <v>0</v>
      </c>
      <c r="F285" s="54">
        <f t="shared" si="19"/>
        <v>0</v>
      </c>
      <c r="G285" s="53">
        <v>2015</v>
      </c>
      <c r="H285" s="53">
        <v>0</v>
      </c>
      <c r="I285" s="54">
        <f t="shared" si="20"/>
        <v>0</v>
      </c>
      <c r="J285" s="55"/>
      <c r="K285" s="37"/>
      <c r="L285" s="42"/>
      <c r="M285" s="4"/>
      <c r="N285" s="4"/>
      <c r="O285" s="4"/>
      <c r="P285" s="4"/>
      <c r="Q285" s="4"/>
      <c r="R285" s="4"/>
      <c r="S285" s="4"/>
      <c r="T285" s="50"/>
      <c r="U285" s="50"/>
      <c r="V285" s="4"/>
      <c r="W285" s="4"/>
      <c r="X285" s="4"/>
      <c r="Y285" s="4"/>
      <c r="Z285" s="4"/>
      <c r="AA285" s="4"/>
      <c r="AB285" s="4"/>
      <c r="AC285" s="4"/>
      <c r="AD285" s="4"/>
      <c r="AE285" s="4"/>
    </row>
    <row r="286" spans="1:31" ht="14.4">
      <c r="A286" s="51">
        <v>70901</v>
      </c>
      <c r="B286" s="52" t="s">
        <v>302</v>
      </c>
      <c r="C286" s="51" t="s">
        <v>375</v>
      </c>
      <c r="D286" s="53">
        <v>10929</v>
      </c>
      <c r="E286" s="53">
        <v>2712498.0048952419</v>
      </c>
      <c r="F286" s="54">
        <f t="shared" si="19"/>
        <v>248.19269877346892</v>
      </c>
      <c r="G286" s="53">
        <v>11843</v>
      </c>
      <c r="H286" s="53">
        <v>707841.9998550415</v>
      </c>
      <c r="I286" s="54">
        <f t="shared" si="20"/>
        <v>59.76880856666736</v>
      </c>
      <c r="J286" s="55"/>
      <c r="K286" s="37"/>
      <c r="L286" s="42"/>
      <c r="M286" s="4"/>
      <c r="N286" s="4"/>
      <c r="O286" s="4"/>
      <c r="P286" s="4"/>
      <c r="Q286" s="4"/>
      <c r="R286" s="4"/>
      <c r="S286" s="4"/>
      <c r="T286" s="50"/>
      <c r="U286" s="50"/>
      <c r="V286" s="4"/>
      <c r="W286" s="4"/>
      <c r="X286" s="4"/>
      <c r="Y286" s="4"/>
      <c r="Z286" s="4"/>
      <c r="AA286" s="4"/>
      <c r="AB286" s="4"/>
      <c r="AC286" s="4"/>
      <c r="AD286" s="4"/>
      <c r="AE286" s="4"/>
    </row>
    <row r="287" spans="1:31" ht="14.4">
      <c r="A287" s="51">
        <v>70902</v>
      </c>
      <c r="B287" s="52" t="s">
        <v>303</v>
      </c>
      <c r="C287" s="51" t="s">
        <v>375</v>
      </c>
      <c r="D287" s="53">
        <v>9363</v>
      </c>
      <c r="E287" s="53">
        <v>1470213.0014048005</v>
      </c>
      <c r="F287" s="54">
        <f t="shared" si="19"/>
        <v>157.02371049928448</v>
      </c>
      <c r="G287" s="53">
        <v>9692</v>
      </c>
      <c r="H287" s="53">
        <v>198142</v>
      </c>
      <c r="I287" s="54">
        <f t="shared" si="20"/>
        <v>20.443871234007428</v>
      </c>
      <c r="J287" s="55"/>
      <c r="K287" s="37"/>
      <c r="L287" s="42"/>
      <c r="M287" s="4"/>
      <c r="N287" s="4"/>
      <c r="O287" s="4"/>
      <c r="P287" s="4"/>
      <c r="Q287" s="4"/>
      <c r="R287" s="4"/>
      <c r="S287" s="4"/>
      <c r="T287" s="50"/>
      <c r="U287" s="50"/>
      <c r="V287" s="4"/>
      <c r="W287" s="4"/>
      <c r="X287" s="4"/>
      <c r="Y287" s="4"/>
      <c r="Z287" s="4"/>
      <c r="AA287" s="4"/>
      <c r="AB287" s="4"/>
      <c r="AC287" s="4"/>
      <c r="AD287" s="4"/>
      <c r="AE287" s="4"/>
    </row>
    <row r="288" spans="1:31" ht="14.4">
      <c r="A288" s="51">
        <v>70903</v>
      </c>
      <c r="B288" s="52" t="s">
        <v>304</v>
      </c>
      <c r="C288" s="51" t="s">
        <v>375</v>
      </c>
      <c r="D288" s="53">
        <v>11030</v>
      </c>
      <c r="E288" s="53">
        <v>2274516.9983784342</v>
      </c>
      <c r="F288" s="54">
        <f t="shared" si="19"/>
        <v>206.21187655289521</v>
      </c>
      <c r="G288" s="53">
        <v>12735</v>
      </c>
      <c r="H288" s="53">
        <v>255577.99978637695</v>
      </c>
      <c r="I288" s="54">
        <f t="shared" si="20"/>
        <v>20.068943838741809</v>
      </c>
      <c r="J288" s="55"/>
      <c r="K288" s="37"/>
      <c r="L288" s="42"/>
      <c r="M288" s="4"/>
      <c r="N288" s="4"/>
      <c r="O288" s="4"/>
      <c r="P288" s="4"/>
      <c r="Q288" s="4"/>
      <c r="R288" s="4"/>
      <c r="S288" s="4"/>
      <c r="T288" s="50"/>
      <c r="U288" s="50"/>
      <c r="V288" s="4"/>
      <c r="W288" s="4"/>
      <c r="X288" s="4"/>
      <c r="Y288" s="4"/>
      <c r="Z288" s="4"/>
      <c r="AA288" s="4"/>
      <c r="AB288" s="4"/>
      <c r="AC288" s="4"/>
      <c r="AD288" s="4"/>
      <c r="AE288" s="4"/>
    </row>
    <row r="289" spans="1:31" ht="14.4">
      <c r="A289" s="51">
        <v>70904</v>
      </c>
      <c r="B289" s="52" t="s">
        <v>305</v>
      </c>
      <c r="C289" s="51" t="s">
        <v>375</v>
      </c>
      <c r="D289" s="53">
        <v>3025</v>
      </c>
      <c r="E289" s="53">
        <v>207381.99992794357</v>
      </c>
      <c r="F289" s="54">
        <f t="shared" si="19"/>
        <v>68.556033034030932</v>
      </c>
      <c r="G289" s="53">
        <v>3086</v>
      </c>
      <c r="H289" s="53">
        <v>38744.999969482422</v>
      </c>
      <c r="I289" s="54">
        <f t="shared" si="20"/>
        <v>12.555087482009858</v>
      </c>
      <c r="J289" s="55"/>
      <c r="K289" s="37"/>
      <c r="L289" s="42"/>
      <c r="M289" s="4"/>
      <c r="N289" s="4"/>
      <c r="O289" s="4"/>
      <c r="P289" s="4"/>
      <c r="Q289" s="4"/>
      <c r="R289" s="4"/>
      <c r="S289" s="4"/>
      <c r="T289" s="50"/>
      <c r="U289" s="50"/>
      <c r="V289" s="4"/>
      <c r="W289" s="4"/>
      <c r="X289" s="4"/>
      <c r="Y289" s="4"/>
      <c r="Z289" s="4"/>
      <c r="AA289" s="4"/>
      <c r="AB289" s="4"/>
      <c r="AC289" s="4"/>
      <c r="AD289" s="4"/>
      <c r="AE289" s="4"/>
    </row>
    <row r="290" spans="1:31" ht="14.4">
      <c r="A290" s="51">
        <v>71001</v>
      </c>
      <c r="B290" s="52" t="s">
        <v>306</v>
      </c>
      <c r="C290" s="51" t="s">
        <v>375</v>
      </c>
      <c r="D290" s="53">
        <v>115307</v>
      </c>
      <c r="E290" s="53">
        <v>49840775.988257334</v>
      </c>
      <c r="F290" s="54">
        <f t="shared" si="19"/>
        <v>432.24414812853803</v>
      </c>
      <c r="G290" s="53">
        <v>126886</v>
      </c>
      <c r="H290" s="53">
        <v>64020009.996635437</v>
      </c>
      <c r="I290" s="54">
        <f t="shared" si="20"/>
        <v>504.54746777923049</v>
      </c>
      <c r="J290" s="55"/>
      <c r="K290" s="37"/>
      <c r="L290" s="42"/>
      <c r="M290" s="4"/>
      <c r="N290" s="4"/>
      <c r="O290" s="4"/>
      <c r="P290" s="4"/>
      <c r="Q290" s="4"/>
      <c r="R290" s="4"/>
      <c r="S290" s="4"/>
      <c r="T290" s="50"/>
      <c r="U290" s="50"/>
      <c r="V290" s="4"/>
      <c r="W290" s="4"/>
      <c r="X290" s="4"/>
      <c r="Y290" s="4"/>
      <c r="Z290" s="4"/>
      <c r="AA290" s="4"/>
      <c r="AB290" s="4"/>
      <c r="AC290" s="4"/>
      <c r="AD290" s="4"/>
      <c r="AE290" s="4"/>
    </row>
    <row r="291" spans="1:31" ht="14.4">
      <c r="A291" s="51">
        <v>71002</v>
      </c>
      <c r="B291" s="52" t="s">
        <v>307</v>
      </c>
      <c r="C291" s="51" t="s">
        <v>375</v>
      </c>
      <c r="D291" s="53">
        <v>15005</v>
      </c>
      <c r="E291" s="53">
        <v>3373195.9956203867</v>
      </c>
      <c r="F291" s="54">
        <f t="shared" si="19"/>
        <v>224.80479810865623</v>
      </c>
      <c r="G291" s="53">
        <v>16598</v>
      </c>
      <c r="H291" s="53">
        <v>4305286.0002365112</v>
      </c>
      <c r="I291" s="54">
        <f t="shared" si="20"/>
        <v>259.38582963227566</v>
      </c>
      <c r="J291" s="55"/>
      <c r="K291" s="37"/>
      <c r="L291" s="42"/>
      <c r="M291" s="4"/>
      <c r="N291" s="4"/>
      <c r="O291" s="4"/>
      <c r="P291" s="4"/>
      <c r="Q291" s="4"/>
      <c r="R291" s="4"/>
      <c r="S291" s="4"/>
      <c r="T291" s="50"/>
      <c r="U291" s="50"/>
      <c r="V291" s="4"/>
      <c r="W291" s="4"/>
      <c r="X291" s="4"/>
      <c r="Y291" s="4"/>
      <c r="Z291" s="4"/>
      <c r="AA291" s="4"/>
      <c r="AB291" s="4"/>
      <c r="AC291" s="4"/>
      <c r="AD291" s="4"/>
      <c r="AE291" s="4"/>
    </row>
    <row r="292" spans="1:31" ht="14.4">
      <c r="A292" s="51">
        <v>71003</v>
      </c>
      <c r="B292" s="52" t="s">
        <v>308</v>
      </c>
      <c r="C292" s="51" t="s">
        <v>375</v>
      </c>
      <c r="D292" s="53">
        <v>23204</v>
      </c>
      <c r="E292" s="53">
        <v>7093516.0000626659</v>
      </c>
      <c r="F292" s="54">
        <f t="shared" si="19"/>
        <v>305.70229271085441</v>
      </c>
      <c r="G292" s="53">
        <v>23110</v>
      </c>
      <c r="H292" s="53">
        <v>8456277.9985427856</v>
      </c>
      <c r="I292" s="54">
        <f t="shared" si="20"/>
        <v>365.91423619830312</v>
      </c>
      <c r="J292" s="55"/>
      <c r="K292" s="37"/>
      <c r="L292" s="42"/>
      <c r="M292" s="4"/>
      <c r="N292" s="4"/>
      <c r="O292" s="4"/>
      <c r="P292" s="4"/>
      <c r="Q292" s="4"/>
      <c r="R292" s="4"/>
      <c r="S292" s="4"/>
      <c r="T292" s="50"/>
      <c r="U292" s="50"/>
      <c r="V292" s="4"/>
      <c r="W292" s="4"/>
      <c r="X292" s="4"/>
      <c r="Y292" s="4"/>
      <c r="Z292" s="4"/>
      <c r="AA292" s="4"/>
      <c r="AB292" s="4"/>
      <c r="AC292" s="4"/>
      <c r="AD292" s="4"/>
      <c r="AE292" s="4"/>
    </row>
    <row r="293" spans="1:31" ht="14.4">
      <c r="A293" s="51">
        <v>71004</v>
      </c>
      <c r="B293" s="52" t="s">
        <v>309</v>
      </c>
      <c r="C293" s="51" t="s">
        <v>375</v>
      </c>
      <c r="D293" s="53">
        <v>14948</v>
      </c>
      <c r="E293" s="53">
        <v>3326805.003268132</v>
      </c>
      <c r="F293" s="54">
        <f t="shared" si="19"/>
        <v>222.55853647766472</v>
      </c>
      <c r="G293" s="53">
        <v>14610</v>
      </c>
      <c r="H293" s="53">
        <v>4181084.9981536865</v>
      </c>
      <c r="I293" s="54">
        <f t="shared" si="20"/>
        <v>286.17967133153229</v>
      </c>
      <c r="J293" s="55"/>
      <c r="K293" s="37"/>
      <c r="L293" s="42"/>
      <c r="M293" s="4"/>
      <c r="N293" s="4"/>
      <c r="O293" s="4"/>
      <c r="P293" s="4"/>
      <c r="Q293" s="4"/>
      <c r="R293" s="4"/>
      <c r="S293" s="4"/>
      <c r="T293" s="50"/>
      <c r="U293" s="50"/>
      <c r="V293" s="4"/>
      <c r="W293" s="4"/>
      <c r="X293" s="4"/>
      <c r="Y293" s="4"/>
      <c r="Z293" s="4"/>
      <c r="AA293" s="4"/>
      <c r="AB293" s="4"/>
      <c r="AC293" s="4"/>
      <c r="AD293" s="4"/>
      <c r="AE293" s="4"/>
    </row>
    <row r="294" spans="1:31" ht="14.4">
      <c r="A294" s="51">
        <v>71005</v>
      </c>
      <c r="B294" s="52" t="s">
        <v>310</v>
      </c>
      <c r="C294" s="51" t="s">
        <v>375</v>
      </c>
      <c r="D294" s="53">
        <v>17817</v>
      </c>
      <c r="E294" s="53">
        <v>3902191.0072709331</v>
      </c>
      <c r="F294" s="54">
        <f t="shared" si="19"/>
        <v>219.01504222208752</v>
      </c>
      <c r="G294" s="53">
        <v>15246</v>
      </c>
      <c r="H294" s="53">
        <v>5385238.9987945557</v>
      </c>
      <c r="I294" s="54">
        <f t="shared" si="20"/>
        <v>353.22307482582681</v>
      </c>
      <c r="J294" s="55"/>
      <c r="K294" s="37"/>
      <c r="L294" s="42"/>
      <c r="M294" s="4"/>
      <c r="N294" s="4"/>
      <c r="O294" s="4"/>
      <c r="P294" s="4"/>
      <c r="Q294" s="4"/>
      <c r="R294" s="4"/>
      <c r="S294" s="4"/>
      <c r="T294" s="50"/>
      <c r="U294" s="50"/>
      <c r="V294" s="4"/>
      <c r="W294" s="4"/>
      <c r="X294" s="4"/>
      <c r="Y294" s="4"/>
      <c r="Z294" s="4"/>
      <c r="AA294" s="4"/>
      <c r="AB294" s="4"/>
      <c r="AC294" s="4"/>
      <c r="AD294" s="4"/>
      <c r="AE294" s="4"/>
    </row>
    <row r="295" spans="1:31" ht="14.4">
      <c r="A295" s="51">
        <v>71101</v>
      </c>
      <c r="B295" s="52" t="s">
        <v>311</v>
      </c>
      <c r="C295" s="51" t="s">
        <v>375</v>
      </c>
      <c r="D295" s="53">
        <v>22573</v>
      </c>
      <c r="E295" s="53">
        <v>3781056.0010360172</v>
      </c>
      <c r="F295" s="54">
        <f t="shared" si="19"/>
        <v>167.50347765188576</v>
      </c>
      <c r="G295" s="53">
        <v>30118</v>
      </c>
      <c r="H295" s="53">
        <v>1507510.0000152588</v>
      </c>
      <c r="I295" s="54">
        <f t="shared" si="20"/>
        <v>50.053456405314392</v>
      </c>
      <c r="J295" s="55"/>
      <c r="K295" s="37"/>
      <c r="L295" s="42"/>
      <c r="M295" s="4"/>
      <c r="N295" s="4"/>
      <c r="O295" s="4"/>
      <c r="P295" s="4"/>
      <c r="Q295" s="4"/>
      <c r="R295" s="4"/>
      <c r="S295" s="4"/>
      <c r="T295" s="50"/>
      <c r="U295" s="50"/>
      <c r="V295" s="4"/>
      <c r="W295" s="4"/>
      <c r="X295" s="4"/>
      <c r="Y295" s="4"/>
      <c r="Z295" s="4"/>
      <c r="AA295" s="4"/>
      <c r="AB295" s="4"/>
      <c r="AC295" s="4"/>
      <c r="AD295" s="4"/>
      <c r="AE295" s="4"/>
    </row>
    <row r="296" spans="1:31" ht="14.4">
      <c r="A296" s="51">
        <v>71102</v>
      </c>
      <c r="B296" s="52" t="s">
        <v>312</v>
      </c>
      <c r="C296" s="51" t="s">
        <v>375</v>
      </c>
      <c r="D296" s="53">
        <v>14043</v>
      </c>
      <c r="E296" s="53">
        <v>2651415.000608718</v>
      </c>
      <c r="F296" s="54">
        <f t="shared" si="19"/>
        <v>188.80687891538261</v>
      </c>
      <c r="G296" s="53">
        <v>14888</v>
      </c>
      <c r="H296" s="53">
        <v>470792.00012207031</v>
      </c>
      <c r="I296" s="54">
        <f t="shared" si="20"/>
        <v>31.622246112444273</v>
      </c>
      <c r="J296" s="55"/>
      <c r="K296" s="37"/>
      <c r="L296" s="42"/>
      <c r="M296" s="4"/>
      <c r="N296" s="4"/>
      <c r="O296" s="4"/>
      <c r="P296" s="4"/>
      <c r="Q296" s="4"/>
      <c r="R296" s="4"/>
      <c r="S296" s="4"/>
      <c r="T296" s="50"/>
      <c r="U296" s="50"/>
      <c r="V296" s="4"/>
      <c r="W296" s="4"/>
      <c r="X296" s="4"/>
      <c r="Y296" s="4"/>
      <c r="Z296" s="4"/>
      <c r="AA296" s="4"/>
      <c r="AB296" s="4"/>
      <c r="AC296" s="4"/>
      <c r="AD296" s="4"/>
      <c r="AE296" s="4"/>
    </row>
    <row r="297" spans="1:31" ht="14.4">
      <c r="A297" s="51">
        <v>71103</v>
      </c>
      <c r="B297" s="52" t="s">
        <v>313</v>
      </c>
      <c r="C297" s="51" t="s">
        <v>375</v>
      </c>
      <c r="D297" s="53">
        <v>7840</v>
      </c>
      <c r="E297" s="53">
        <v>2063611.9991964512</v>
      </c>
      <c r="F297" s="54">
        <f t="shared" si="19"/>
        <v>263.21581622403716</v>
      </c>
      <c r="G297" s="53">
        <v>44909</v>
      </c>
      <c r="H297" s="53">
        <v>2540811.9998855591</v>
      </c>
      <c r="I297" s="54">
        <f t="shared" si="20"/>
        <v>56.576899950690489</v>
      </c>
      <c r="J297" s="55"/>
      <c r="K297" s="37"/>
      <c r="L297" s="42"/>
      <c r="M297" s="4"/>
      <c r="N297" s="4"/>
      <c r="O297" s="4"/>
      <c r="P297" s="4"/>
      <c r="Q297" s="4"/>
      <c r="R297" s="4"/>
      <c r="S297" s="4"/>
      <c r="T297" s="50"/>
      <c r="U297" s="50"/>
      <c r="V297" s="4"/>
      <c r="W297" s="4"/>
      <c r="X297" s="4"/>
      <c r="Y297" s="4"/>
      <c r="Z297" s="4"/>
      <c r="AA297" s="4"/>
      <c r="AB297" s="4"/>
      <c r="AC297" s="4"/>
      <c r="AD297" s="4"/>
      <c r="AE297" s="4"/>
    </row>
    <row r="298" spans="1:31" ht="14.4">
      <c r="A298" s="51">
        <v>71104</v>
      </c>
      <c r="B298" s="52" t="s">
        <v>314</v>
      </c>
      <c r="C298" s="51" t="s">
        <v>375</v>
      </c>
      <c r="D298" s="53">
        <v>46580</v>
      </c>
      <c r="E298" s="53">
        <v>10184307.002994064</v>
      </c>
      <c r="F298" s="54">
        <f t="shared" si="19"/>
        <v>218.64119800330752</v>
      </c>
      <c r="G298" s="53">
        <v>6364</v>
      </c>
      <c r="H298" s="53">
        <v>2312765.999206543</v>
      </c>
      <c r="I298" s="54">
        <f t="shared" si="20"/>
        <v>363.41389051014187</v>
      </c>
      <c r="J298" s="55"/>
      <c r="K298" s="37"/>
      <c r="L298" s="42"/>
      <c r="M298" s="4"/>
      <c r="N298" s="4"/>
      <c r="O298" s="4"/>
      <c r="P298" s="4"/>
      <c r="Q298" s="4"/>
      <c r="R298" s="4"/>
      <c r="S298" s="4"/>
      <c r="T298" s="50"/>
      <c r="U298" s="50"/>
      <c r="V298" s="4"/>
      <c r="W298" s="4"/>
      <c r="X298" s="4"/>
      <c r="Y298" s="4"/>
      <c r="Z298" s="4"/>
      <c r="AA298" s="4"/>
      <c r="AB298" s="4"/>
      <c r="AC298" s="4"/>
      <c r="AD298" s="4"/>
      <c r="AE298" s="4"/>
    </row>
    <row r="299" spans="1:31" ht="14.4">
      <c r="A299" s="51">
        <v>71105</v>
      </c>
      <c r="B299" s="52" t="s">
        <v>315</v>
      </c>
      <c r="C299" s="51" t="s">
        <v>375</v>
      </c>
      <c r="D299" s="53">
        <v>6442</v>
      </c>
      <c r="E299" s="53">
        <v>708414.99997231457</v>
      </c>
      <c r="F299" s="54">
        <f t="shared" si="19"/>
        <v>109.9681775803034</v>
      </c>
      <c r="G299" s="53">
        <v>8541</v>
      </c>
      <c r="H299" s="53">
        <v>299220</v>
      </c>
      <c r="I299" s="54">
        <f t="shared" si="20"/>
        <v>35.03336845802599</v>
      </c>
      <c r="J299" s="55"/>
      <c r="K299" s="37"/>
      <c r="L299" s="42"/>
      <c r="M299" s="4"/>
      <c r="N299" s="4"/>
      <c r="O299" s="4"/>
      <c r="P299" s="4"/>
      <c r="Q299" s="4"/>
      <c r="R299" s="4"/>
      <c r="S299" s="4"/>
      <c r="T299" s="50"/>
      <c r="U299" s="50"/>
      <c r="V299" s="4"/>
      <c r="W299" s="4"/>
      <c r="X299" s="4"/>
      <c r="Y299" s="4"/>
      <c r="Z299" s="4"/>
      <c r="AA299" s="4"/>
      <c r="AB299" s="4"/>
      <c r="AC299" s="4"/>
      <c r="AD299" s="4"/>
      <c r="AE299" s="4"/>
    </row>
    <row r="300" spans="1:31" ht="14.4">
      <c r="A300" s="51">
        <v>71106</v>
      </c>
      <c r="B300" s="52" t="s">
        <v>316</v>
      </c>
      <c r="C300" s="51" t="s">
        <v>375</v>
      </c>
      <c r="D300" s="53">
        <v>23649</v>
      </c>
      <c r="E300" s="53">
        <v>9607958.0062114168</v>
      </c>
      <c r="F300" s="54">
        <f t="shared" si="19"/>
        <v>406.27333105887845</v>
      </c>
      <c r="G300" s="53">
        <v>25258</v>
      </c>
      <c r="H300" s="53">
        <v>0</v>
      </c>
      <c r="I300" s="54">
        <f t="shared" si="20"/>
        <v>0</v>
      </c>
      <c r="J300" s="55"/>
      <c r="K300" s="37"/>
      <c r="L300" s="42"/>
      <c r="M300" s="4"/>
      <c r="N300" s="4"/>
      <c r="O300" s="4"/>
      <c r="P300" s="4"/>
      <c r="Q300" s="4"/>
      <c r="R300" s="4"/>
      <c r="S300" s="4"/>
      <c r="T300" s="50"/>
      <c r="U300" s="50"/>
      <c r="V300" s="4"/>
      <c r="W300" s="4"/>
      <c r="X300" s="4"/>
      <c r="Y300" s="4"/>
      <c r="Z300" s="4"/>
      <c r="AA300" s="4"/>
      <c r="AB300" s="4"/>
      <c r="AC300" s="4"/>
      <c r="AD300" s="4"/>
      <c r="AE300" s="4"/>
    </row>
    <row r="301" spans="1:31" ht="14.4">
      <c r="A301" s="51">
        <v>71201</v>
      </c>
      <c r="B301" s="52" t="s">
        <v>317</v>
      </c>
      <c r="C301" s="51" t="s">
        <v>375</v>
      </c>
      <c r="D301" s="53">
        <v>14773</v>
      </c>
      <c r="E301" s="53">
        <v>3259157.9980929596</v>
      </c>
      <c r="F301" s="54">
        <f t="shared" si="19"/>
        <v>220.61585311669666</v>
      </c>
      <c r="G301" s="53">
        <v>15378</v>
      </c>
      <c r="H301" s="53">
        <v>274252</v>
      </c>
      <c r="I301" s="54">
        <f t="shared" si="20"/>
        <v>17.834048640915594</v>
      </c>
      <c r="J301" s="55"/>
      <c r="K301" s="37"/>
      <c r="L301" s="42"/>
      <c r="M301" s="4"/>
      <c r="N301" s="4"/>
      <c r="O301" s="4"/>
      <c r="P301" s="4"/>
      <c r="Q301" s="4"/>
      <c r="R301" s="4"/>
      <c r="S301" s="4"/>
      <c r="T301" s="50"/>
      <c r="U301" s="50"/>
      <c r="V301" s="4"/>
      <c r="W301" s="4"/>
      <c r="X301" s="4"/>
      <c r="Y301" s="4"/>
      <c r="Z301" s="4"/>
      <c r="AA301" s="4"/>
      <c r="AB301" s="4"/>
      <c r="AC301" s="4"/>
      <c r="AD301" s="4"/>
      <c r="AE301" s="4"/>
    </row>
    <row r="302" spans="1:31" ht="14.4">
      <c r="A302" s="51">
        <v>71301</v>
      </c>
      <c r="B302" s="52" t="s">
        <v>318</v>
      </c>
      <c r="C302" s="51" t="s">
        <v>375</v>
      </c>
      <c r="D302" s="53">
        <v>16344</v>
      </c>
      <c r="E302" s="53">
        <v>2467396.0003083833</v>
      </c>
      <c r="F302" s="54">
        <f t="shared" si="19"/>
        <v>150.9664708950308</v>
      </c>
      <c r="G302" s="53">
        <v>17195</v>
      </c>
      <c r="H302" s="53">
        <v>290093.9998550415</v>
      </c>
      <c r="I302" s="54">
        <f t="shared" si="20"/>
        <v>16.870834536495579</v>
      </c>
      <c r="J302" s="55"/>
      <c r="K302" s="37"/>
      <c r="L302" s="42"/>
      <c r="M302" s="4"/>
      <c r="N302" s="4"/>
      <c r="O302" s="4"/>
      <c r="P302" s="4"/>
      <c r="Q302" s="4"/>
      <c r="R302" s="4"/>
      <c r="S302" s="4"/>
      <c r="T302" s="50"/>
      <c r="U302" s="50"/>
      <c r="V302" s="4"/>
      <c r="W302" s="4"/>
      <c r="X302" s="4"/>
      <c r="Y302" s="4"/>
      <c r="Z302" s="4"/>
      <c r="AA302" s="4"/>
      <c r="AB302" s="4"/>
      <c r="AC302" s="4"/>
      <c r="AD302" s="4"/>
      <c r="AE302" s="4"/>
    </row>
    <row r="303" spans="1:31" ht="14.4">
      <c r="A303" s="51">
        <v>71302</v>
      </c>
      <c r="B303" s="52" t="s">
        <v>319</v>
      </c>
      <c r="C303" s="51" t="s">
        <v>375</v>
      </c>
      <c r="D303" s="53">
        <v>6943</v>
      </c>
      <c r="E303" s="53">
        <v>803668.00077993236</v>
      </c>
      <c r="F303" s="54">
        <f t="shared" si="19"/>
        <v>115.75226858417577</v>
      </c>
      <c r="G303" s="53">
        <v>6048</v>
      </c>
      <c r="H303" s="53">
        <v>100802</v>
      </c>
      <c r="I303" s="54">
        <f t="shared" si="20"/>
        <v>16.666997354497354</v>
      </c>
      <c r="J303" s="55"/>
      <c r="K303" s="37"/>
      <c r="L303" s="42"/>
      <c r="M303" s="4"/>
      <c r="N303" s="4"/>
      <c r="O303" s="4"/>
      <c r="P303" s="4"/>
      <c r="Q303" s="4"/>
      <c r="R303" s="4"/>
      <c r="S303" s="4"/>
      <c r="T303" s="50"/>
      <c r="U303" s="50"/>
      <c r="V303" s="4"/>
      <c r="W303" s="4"/>
      <c r="X303" s="4"/>
      <c r="Y303" s="4"/>
      <c r="Z303" s="4"/>
      <c r="AA303" s="4"/>
      <c r="AB303" s="4"/>
      <c r="AC303" s="4"/>
      <c r="AD303" s="4"/>
      <c r="AE303" s="4"/>
    </row>
    <row r="304" spans="1:31" ht="14.4">
      <c r="A304" s="51">
        <v>71401</v>
      </c>
      <c r="B304" s="52" t="s">
        <v>320</v>
      </c>
      <c r="C304" s="51" t="s">
        <v>375</v>
      </c>
      <c r="D304" s="53">
        <v>19025</v>
      </c>
      <c r="E304" s="53">
        <v>7722680.0048336871</v>
      </c>
      <c r="F304" s="54">
        <f t="shared" si="19"/>
        <v>405.92273349979956</v>
      </c>
      <c r="G304" s="53">
        <v>17417</v>
      </c>
      <c r="H304" s="53">
        <v>520378.00045776367</v>
      </c>
      <c r="I304" s="54">
        <f t="shared" si="20"/>
        <v>29.877590885787662</v>
      </c>
      <c r="J304" s="55"/>
      <c r="K304" s="37"/>
      <c r="L304" s="42"/>
      <c r="M304" s="4"/>
      <c r="N304" s="4"/>
      <c r="O304" s="4"/>
      <c r="P304" s="4"/>
      <c r="Q304" s="4"/>
      <c r="R304" s="4"/>
      <c r="S304" s="4"/>
      <c r="T304" s="50"/>
      <c r="U304" s="50"/>
      <c r="V304" s="4"/>
      <c r="W304" s="4"/>
      <c r="X304" s="4"/>
      <c r="Y304" s="4"/>
      <c r="Z304" s="4"/>
      <c r="AA304" s="4"/>
      <c r="AB304" s="4"/>
      <c r="AC304" s="4"/>
      <c r="AD304" s="4"/>
      <c r="AE304" s="4"/>
    </row>
    <row r="305" spans="1:31" ht="14.4">
      <c r="A305" s="51">
        <v>71402</v>
      </c>
      <c r="B305" s="52" t="s">
        <v>321</v>
      </c>
      <c r="C305" s="51" t="s">
        <v>375</v>
      </c>
      <c r="D305" s="53">
        <v>17097</v>
      </c>
      <c r="E305" s="53">
        <v>8600121.0063466132</v>
      </c>
      <c r="F305" s="54">
        <f t="shared" si="19"/>
        <v>503.01930200307731</v>
      </c>
      <c r="G305" s="53">
        <v>17974</v>
      </c>
      <c r="H305" s="53">
        <v>964467.99960327148</v>
      </c>
      <c r="I305" s="54">
        <f t="shared" si="20"/>
        <v>53.659063069059279</v>
      </c>
      <c r="J305" s="55"/>
      <c r="K305" s="37"/>
      <c r="L305" s="42"/>
      <c r="M305" s="4"/>
      <c r="N305" s="4"/>
      <c r="O305" s="4"/>
      <c r="P305" s="4"/>
      <c r="Q305" s="4"/>
      <c r="R305" s="4"/>
      <c r="S305" s="4"/>
      <c r="T305" s="50"/>
      <c r="U305" s="50"/>
      <c r="V305" s="4"/>
      <c r="W305" s="4"/>
      <c r="X305" s="4"/>
      <c r="Y305" s="4"/>
      <c r="Z305" s="4"/>
      <c r="AA305" s="4"/>
      <c r="AB305" s="4"/>
      <c r="AC305" s="4"/>
      <c r="AD305" s="4"/>
      <c r="AE305" s="4"/>
    </row>
    <row r="306" spans="1:31" ht="14.4">
      <c r="A306" s="51">
        <v>71403</v>
      </c>
      <c r="B306" s="52" t="s">
        <v>322</v>
      </c>
      <c r="C306" s="51" t="s">
        <v>375</v>
      </c>
      <c r="D306" s="53">
        <v>7167</v>
      </c>
      <c r="E306" s="53">
        <v>1379133.9999175249</v>
      </c>
      <c r="F306" s="54">
        <f t="shared" si="19"/>
        <v>192.4283521581589</v>
      </c>
      <c r="G306" s="53">
        <v>8816</v>
      </c>
      <c r="H306" s="53">
        <v>1993679</v>
      </c>
      <c r="I306" s="54">
        <f t="shared" si="20"/>
        <v>226.14326225045372</v>
      </c>
      <c r="J306" s="55"/>
      <c r="K306" s="37"/>
      <c r="L306" s="42"/>
      <c r="M306" s="4"/>
      <c r="N306" s="4"/>
      <c r="O306" s="4"/>
      <c r="P306" s="4"/>
      <c r="Q306" s="4"/>
      <c r="R306" s="4"/>
      <c r="S306" s="4"/>
      <c r="T306" s="50"/>
      <c r="U306" s="50"/>
      <c r="V306" s="4"/>
      <c r="W306" s="4"/>
      <c r="X306" s="4"/>
      <c r="Y306" s="4"/>
      <c r="Z306" s="4"/>
      <c r="AA306" s="4"/>
      <c r="AB306" s="4"/>
      <c r="AC306" s="4"/>
      <c r="AD306" s="4"/>
      <c r="AE306" s="4"/>
    </row>
    <row r="307" spans="1:31" ht="14.4">
      <c r="A307" s="51">
        <v>71501</v>
      </c>
      <c r="B307" s="52" t="s">
        <v>323</v>
      </c>
      <c r="C307" s="51" t="s">
        <v>375</v>
      </c>
      <c r="D307" s="53">
        <v>29406</v>
      </c>
      <c r="E307" s="53">
        <v>6305981.9973924216</v>
      </c>
      <c r="F307" s="54">
        <f t="shared" si="19"/>
        <v>214.44541921350819</v>
      </c>
      <c r="G307" s="53">
        <v>34079</v>
      </c>
      <c r="H307" s="53">
        <v>1806654.0003814697</v>
      </c>
      <c r="I307" s="54">
        <f t="shared" si="20"/>
        <v>53.013703464933528</v>
      </c>
      <c r="J307" s="55"/>
      <c r="K307" s="37"/>
      <c r="L307" s="42"/>
      <c r="M307" s="4"/>
      <c r="N307" s="4"/>
      <c r="O307" s="4"/>
      <c r="P307" s="4"/>
      <c r="Q307" s="4"/>
      <c r="R307" s="4"/>
      <c r="S307" s="4"/>
      <c r="T307" s="50"/>
      <c r="U307" s="50"/>
      <c r="V307" s="4"/>
      <c r="W307" s="4"/>
      <c r="X307" s="4"/>
      <c r="Y307" s="4"/>
      <c r="Z307" s="4"/>
      <c r="AA307" s="4"/>
      <c r="AB307" s="4"/>
      <c r="AC307" s="4"/>
      <c r="AD307" s="4"/>
      <c r="AE307" s="4"/>
    </row>
    <row r="308" spans="1:31" ht="14.4">
      <c r="A308" s="51">
        <v>71502</v>
      </c>
      <c r="B308" s="52" t="s">
        <v>324</v>
      </c>
      <c r="C308" s="51" t="s">
        <v>375</v>
      </c>
      <c r="D308" s="53">
        <v>6869</v>
      </c>
      <c r="E308" s="53">
        <v>855568.99981592316</v>
      </c>
      <c r="F308" s="54">
        <f t="shared" si="19"/>
        <v>124.55510260822874</v>
      </c>
      <c r="G308" s="53">
        <v>6555</v>
      </c>
      <c r="H308" s="53">
        <v>605416</v>
      </c>
      <c r="I308" s="54">
        <f t="shared" si="20"/>
        <v>92.359420289855066</v>
      </c>
      <c r="J308" s="55"/>
      <c r="K308" s="37"/>
      <c r="L308" s="42"/>
      <c r="M308" s="4"/>
      <c r="N308" s="4"/>
      <c r="O308" s="4"/>
      <c r="P308" s="4"/>
      <c r="Q308" s="4"/>
      <c r="R308" s="4"/>
      <c r="S308" s="4"/>
      <c r="T308" s="50"/>
      <c r="U308" s="50"/>
      <c r="V308" s="4"/>
      <c r="W308" s="4"/>
      <c r="X308" s="4"/>
      <c r="Y308" s="4"/>
      <c r="Z308" s="4"/>
      <c r="AA308" s="4"/>
      <c r="AB308" s="4"/>
      <c r="AC308" s="4"/>
      <c r="AD308" s="4"/>
      <c r="AE308" s="4"/>
    </row>
    <row r="309" spans="1:31" ht="14.4">
      <c r="A309" s="51">
        <v>71503</v>
      </c>
      <c r="B309" s="52" t="s">
        <v>269</v>
      </c>
      <c r="C309" s="51" t="s">
        <v>375</v>
      </c>
      <c r="D309" s="53">
        <v>15233</v>
      </c>
      <c r="E309" s="53">
        <v>2121404.9994864576</v>
      </c>
      <c r="F309" s="54">
        <f t="shared" si="19"/>
        <v>139.26376941419664</v>
      </c>
      <c r="G309" s="53">
        <v>17290</v>
      </c>
      <c r="H309" s="53">
        <v>1305841.0001220703</v>
      </c>
      <c r="I309" s="54">
        <f t="shared" si="20"/>
        <v>75.525795264434379</v>
      </c>
      <c r="J309" s="55"/>
      <c r="K309" s="37"/>
      <c r="L309" s="42"/>
      <c r="M309" s="4"/>
      <c r="N309" s="4"/>
      <c r="O309" s="4"/>
      <c r="P309" s="4"/>
      <c r="Q309" s="4"/>
      <c r="R309" s="4"/>
      <c r="S309" s="4"/>
      <c r="T309" s="50"/>
      <c r="U309" s="50"/>
      <c r="V309" s="4"/>
      <c r="W309" s="4"/>
      <c r="X309" s="4"/>
      <c r="Y309" s="4"/>
      <c r="Z309" s="4"/>
      <c r="AA309" s="4"/>
      <c r="AB309" s="4"/>
      <c r="AC309" s="4"/>
      <c r="AD309" s="4"/>
      <c r="AE309" s="4"/>
    </row>
    <row r="310" spans="1:31" ht="14.4">
      <c r="A310" s="51">
        <v>80101</v>
      </c>
      <c r="B310" s="52" t="s">
        <v>325</v>
      </c>
      <c r="C310" s="51" t="s">
        <v>370</v>
      </c>
      <c r="D310" s="53">
        <v>113927</v>
      </c>
      <c r="E310" s="53">
        <v>51759909.005797595</v>
      </c>
      <c r="F310" s="54">
        <f t="shared" si="19"/>
        <v>454.32521707582572</v>
      </c>
      <c r="G310" s="53">
        <v>128589</v>
      </c>
      <c r="H310" s="53">
        <v>80983868.998649597</v>
      </c>
      <c r="I310" s="54">
        <f t="shared" si="20"/>
        <v>629.7884655658695</v>
      </c>
      <c r="J310" s="55"/>
      <c r="K310" s="37"/>
      <c r="L310" s="42"/>
      <c r="M310" s="4"/>
      <c r="N310" s="4"/>
      <c r="O310" s="4"/>
      <c r="P310" s="4"/>
      <c r="Q310" s="4"/>
      <c r="R310" s="4"/>
      <c r="S310" s="4"/>
      <c r="T310" s="50"/>
      <c r="U310" s="50"/>
      <c r="V310" s="4"/>
      <c r="W310" s="4"/>
      <c r="X310" s="4"/>
      <c r="Y310" s="4"/>
      <c r="Z310" s="4"/>
      <c r="AA310" s="4"/>
      <c r="AB310" s="4"/>
      <c r="AC310" s="4"/>
      <c r="AD310" s="4"/>
      <c r="AE310" s="4"/>
    </row>
    <row r="311" spans="1:31" ht="14.4">
      <c r="A311" s="51">
        <v>80102</v>
      </c>
      <c r="B311" s="52" t="s">
        <v>312</v>
      </c>
      <c r="C311" s="51" t="s">
        <v>370</v>
      </c>
      <c r="D311" s="53">
        <v>6156</v>
      </c>
      <c r="E311" s="53">
        <v>312333.00025981199</v>
      </c>
      <c r="F311" s="54">
        <f t="shared" si="19"/>
        <v>50.736354818033135</v>
      </c>
      <c r="G311" s="53">
        <v>7913</v>
      </c>
      <c r="H311" s="53">
        <v>4351053.0002822876</v>
      </c>
      <c r="I311" s="54">
        <f t="shared" si="20"/>
        <v>549.86136740582424</v>
      </c>
      <c r="J311" s="55"/>
      <c r="K311" s="37"/>
      <c r="L311" s="42"/>
      <c r="M311" s="4"/>
      <c r="N311" s="4"/>
      <c r="O311" s="4"/>
      <c r="P311" s="4"/>
      <c r="Q311" s="4"/>
      <c r="R311" s="4"/>
      <c r="S311" s="4"/>
      <c r="T311" s="50"/>
      <c r="U311" s="50"/>
      <c r="V311" s="4"/>
      <c r="W311" s="4"/>
      <c r="X311" s="4"/>
      <c r="Y311" s="4"/>
      <c r="Z311" s="4"/>
      <c r="AA311" s="4"/>
      <c r="AB311" s="4"/>
      <c r="AC311" s="4"/>
      <c r="AD311" s="4"/>
      <c r="AE311" s="4"/>
    </row>
    <row r="312" spans="1:31" ht="14.4">
      <c r="A312" s="51">
        <v>80201</v>
      </c>
      <c r="B312" s="52" t="s">
        <v>326</v>
      </c>
      <c r="C312" s="51" t="s">
        <v>370</v>
      </c>
      <c r="D312" s="53">
        <v>96115</v>
      </c>
      <c r="E312" s="53">
        <v>20338121.007570855</v>
      </c>
      <c r="F312" s="54">
        <f t="shared" si="19"/>
        <v>211.60194566478546</v>
      </c>
      <c r="G312" s="53">
        <v>110302</v>
      </c>
      <c r="H312" s="53">
        <v>31463846.000610352</v>
      </c>
      <c r="I312" s="54">
        <f t="shared" si="20"/>
        <v>285.25181774229253</v>
      </c>
      <c r="J312" s="55"/>
      <c r="K312" s="37"/>
      <c r="L312" s="42"/>
      <c r="M312" s="4"/>
      <c r="N312" s="4"/>
      <c r="O312" s="4"/>
      <c r="P312" s="4"/>
      <c r="Q312" s="4"/>
      <c r="R312" s="4"/>
      <c r="S312" s="4"/>
      <c r="T312" s="50"/>
      <c r="U312" s="50"/>
      <c r="V312" s="4"/>
      <c r="W312" s="4"/>
      <c r="X312" s="4"/>
      <c r="Y312" s="4"/>
      <c r="Z312" s="4"/>
      <c r="AA312" s="4"/>
      <c r="AB312" s="4"/>
      <c r="AC312" s="4"/>
      <c r="AD312" s="4"/>
      <c r="AE312" s="4"/>
    </row>
    <row r="313" spans="1:31" ht="14.4">
      <c r="A313" s="51">
        <v>80202</v>
      </c>
      <c r="B313" s="52" t="s">
        <v>327</v>
      </c>
      <c r="C313" s="51" t="s">
        <v>370</v>
      </c>
      <c r="D313" s="53">
        <v>41886</v>
      </c>
      <c r="E313" s="53">
        <v>11460253.993401419</v>
      </c>
      <c r="F313" s="54">
        <f t="shared" si="19"/>
        <v>273.60583472762784</v>
      </c>
      <c r="G313" s="53">
        <v>42031</v>
      </c>
      <c r="H313" s="53">
        <v>18750285.00138092</v>
      </c>
      <c r="I313" s="54">
        <f t="shared" si="20"/>
        <v>446.10608839620568</v>
      </c>
      <c r="J313" s="55"/>
      <c r="K313" s="37"/>
      <c r="L313" s="42"/>
      <c r="M313" s="4"/>
      <c r="N313" s="4"/>
      <c r="O313" s="4"/>
      <c r="P313" s="4"/>
      <c r="Q313" s="4"/>
      <c r="R313" s="4"/>
      <c r="S313" s="4"/>
      <c r="T313" s="50"/>
      <c r="U313" s="50"/>
      <c r="V313" s="4"/>
      <c r="W313" s="4"/>
      <c r="X313" s="4"/>
      <c r="Y313" s="4"/>
      <c r="Z313" s="4"/>
      <c r="AA313" s="4"/>
      <c r="AB313" s="4"/>
      <c r="AC313" s="4"/>
      <c r="AD313" s="4"/>
      <c r="AE313" s="4"/>
    </row>
    <row r="314" spans="1:31" ht="14.4">
      <c r="A314" s="51">
        <v>80301</v>
      </c>
      <c r="B314" s="52" t="s">
        <v>328</v>
      </c>
      <c r="C314" s="51" t="s">
        <v>370</v>
      </c>
      <c r="D314" s="53">
        <v>12657</v>
      </c>
      <c r="E314" s="53">
        <v>1927539.0007418906</v>
      </c>
      <c r="F314" s="54">
        <f t="shared" si="19"/>
        <v>152.29035322287197</v>
      </c>
      <c r="G314" s="53">
        <v>11478</v>
      </c>
      <c r="H314" s="53">
        <v>3129698.9989242554</v>
      </c>
      <c r="I314" s="54">
        <f t="shared" si="20"/>
        <v>272.66936739190237</v>
      </c>
      <c r="J314" s="55"/>
      <c r="K314" s="37"/>
      <c r="L314" s="42"/>
      <c r="M314" s="4"/>
      <c r="N314" s="4"/>
      <c r="O314" s="4"/>
      <c r="P314" s="4"/>
      <c r="Q314" s="4"/>
      <c r="R314" s="4"/>
      <c r="S314" s="4"/>
      <c r="T314" s="50"/>
      <c r="U314" s="50"/>
      <c r="V314" s="4"/>
      <c r="W314" s="4"/>
      <c r="X314" s="4"/>
      <c r="Y314" s="4"/>
      <c r="Z314" s="4"/>
      <c r="AA314" s="4"/>
      <c r="AB314" s="4"/>
      <c r="AC314" s="4"/>
      <c r="AD314" s="4"/>
      <c r="AE314" s="4"/>
    </row>
    <row r="315" spans="1:31" ht="14.4">
      <c r="A315" s="51">
        <v>80302</v>
      </c>
      <c r="B315" s="52" t="s">
        <v>329</v>
      </c>
      <c r="C315" s="51" t="s">
        <v>370</v>
      </c>
      <c r="D315" s="53">
        <v>42509</v>
      </c>
      <c r="E315" s="53">
        <v>6582143.0011426201</v>
      </c>
      <c r="F315" s="54">
        <f t="shared" si="19"/>
        <v>154.84116307470467</v>
      </c>
      <c r="G315" s="53">
        <v>45798</v>
      </c>
      <c r="H315" s="53">
        <v>14745362.000343323</v>
      </c>
      <c r="I315" s="54">
        <f t="shared" si="20"/>
        <v>321.96519499417712</v>
      </c>
      <c r="J315" s="55"/>
      <c r="K315" s="37"/>
      <c r="L315" s="42"/>
      <c r="M315" s="4"/>
      <c r="N315" s="4"/>
      <c r="O315" s="4"/>
      <c r="P315" s="4"/>
      <c r="Q315" s="4"/>
      <c r="R315" s="4"/>
      <c r="S315" s="4"/>
      <c r="T315" s="50"/>
      <c r="U315" s="50"/>
      <c r="V315" s="4"/>
      <c r="W315" s="4"/>
      <c r="X315" s="4"/>
      <c r="Y315" s="4"/>
      <c r="Z315" s="4"/>
      <c r="AA315" s="4"/>
      <c r="AB315" s="4"/>
      <c r="AC315" s="4"/>
      <c r="AD315" s="4"/>
      <c r="AE315" s="4"/>
    </row>
    <row r="316" spans="1:31" ht="14.4">
      <c r="A316" s="51">
        <v>80303</v>
      </c>
      <c r="B316" s="52" t="s">
        <v>330</v>
      </c>
      <c r="C316" s="51" t="s">
        <v>370</v>
      </c>
      <c r="D316" s="53">
        <v>10026</v>
      </c>
      <c r="E316" s="53">
        <v>1458203.0004765633</v>
      </c>
      <c r="F316" s="54">
        <f t="shared" si="19"/>
        <v>145.44215045646951</v>
      </c>
      <c r="G316" s="53">
        <v>11122</v>
      </c>
      <c r="H316" s="53">
        <v>3183756.0006103516</v>
      </c>
      <c r="I316" s="54">
        <f t="shared" si="20"/>
        <v>286.25750769738818</v>
      </c>
      <c r="J316" s="55"/>
      <c r="K316" s="37"/>
      <c r="L316" s="42"/>
      <c r="M316" s="4"/>
      <c r="N316" s="4"/>
      <c r="O316" s="4"/>
      <c r="P316" s="4"/>
      <c r="Q316" s="4"/>
      <c r="R316" s="4"/>
      <c r="S316" s="4"/>
      <c r="T316" s="50"/>
      <c r="U316" s="50"/>
      <c r="V316" s="4"/>
      <c r="W316" s="4"/>
      <c r="X316" s="4"/>
      <c r="Y316" s="4"/>
      <c r="Z316" s="4"/>
      <c r="AA316" s="4"/>
      <c r="AB316" s="4"/>
      <c r="AC316" s="4"/>
      <c r="AD316" s="4"/>
      <c r="AE316" s="4"/>
    </row>
    <row r="317" spans="1:31" ht="14.4">
      <c r="A317" s="51">
        <v>80304</v>
      </c>
      <c r="B317" s="52" t="s">
        <v>331</v>
      </c>
      <c r="C317" s="51" t="s">
        <v>370</v>
      </c>
      <c r="D317" s="53">
        <v>19877</v>
      </c>
      <c r="E317" s="53">
        <v>4302058.00379261</v>
      </c>
      <c r="F317" s="54">
        <f t="shared" si="19"/>
        <v>216.43396909959299</v>
      </c>
      <c r="G317" s="53">
        <v>21240</v>
      </c>
      <c r="H317" s="53">
        <v>6618789.001335144</v>
      </c>
      <c r="I317" s="54">
        <f t="shared" si="20"/>
        <v>311.61906785947008</v>
      </c>
      <c r="J317" s="55"/>
      <c r="K317" s="37"/>
      <c r="L317" s="42"/>
      <c r="M317" s="4"/>
      <c r="N317" s="4"/>
      <c r="O317" s="4"/>
      <c r="P317" s="4"/>
      <c r="Q317" s="4"/>
      <c r="R317" s="4"/>
      <c r="S317" s="4"/>
      <c r="T317" s="50"/>
      <c r="U317" s="50"/>
      <c r="V317" s="4"/>
      <c r="W317" s="4"/>
      <c r="X317" s="4"/>
      <c r="Y317" s="4"/>
      <c r="Z317" s="4"/>
      <c r="AA317" s="4"/>
      <c r="AB317" s="4"/>
      <c r="AC317" s="4"/>
      <c r="AD317" s="4"/>
      <c r="AE317" s="4"/>
    </row>
    <row r="318" spans="1:31" ht="14.4">
      <c r="A318" s="51">
        <v>80401</v>
      </c>
      <c r="B318" s="52" t="s">
        <v>332</v>
      </c>
      <c r="C318" s="51" t="s">
        <v>370</v>
      </c>
      <c r="D318" s="53">
        <v>17409</v>
      </c>
      <c r="E318" s="53">
        <v>3464398.0005378947</v>
      </c>
      <c r="F318" s="54">
        <f t="shared" si="19"/>
        <v>199.00040212177004</v>
      </c>
      <c r="G318" s="53">
        <v>18088</v>
      </c>
      <c r="H318" s="53">
        <v>6607459.9982147217</v>
      </c>
      <c r="I318" s="54">
        <f t="shared" si="20"/>
        <v>365.29522325379929</v>
      </c>
      <c r="J318" s="55"/>
      <c r="K318" s="37"/>
      <c r="L318" s="42"/>
      <c r="M318" s="4"/>
      <c r="N318" s="4"/>
      <c r="O318" s="4"/>
      <c r="P318" s="4"/>
      <c r="Q318" s="4"/>
      <c r="R318" s="4"/>
      <c r="S318" s="4"/>
      <c r="T318" s="50"/>
      <c r="U318" s="50"/>
      <c r="V318" s="4"/>
      <c r="W318" s="4"/>
      <c r="X318" s="4"/>
      <c r="Y318" s="4"/>
      <c r="Z318" s="4"/>
      <c r="AA318" s="4"/>
      <c r="AB318" s="4"/>
      <c r="AC318" s="4"/>
      <c r="AD318" s="4"/>
      <c r="AE318" s="4"/>
    </row>
    <row r="319" spans="1:31" ht="14.4">
      <c r="A319" s="51">
        <v>80402</v>
      </c>
      <c r="B319" s="52" t="s">
        <v>333</v>
      </c>
      <c r="C319" s="51" t="s">
        <v>370</v>
      </c>
      <c r="D319" s="53">
        <v>6912</v>
      </c>
      <c r="E319" s="53">
        <v>0</v>
      </c>
      <c r="F319" s="54">
        <f t="shared" si="19"/>
        <v>0</v>
      </c>
      <c r="G319" s="53">
        <v>8012</v>
      </c>
      <c r="H319" s="53">
        <v>1089460.9999160767</v>
      </c>
      <c r="I319" s="54">
        <f t="shared" si="20"/>
        <v>135.97865700400357</v>
      </c>
      <c r="J319" s="55"/>
      <c r="K319" s="37"/>
      <c r="L319" s="42"/>
      <c r="M319" s="4"/>
      <c r="N319" s="4"/>
      <c r="O319" s="4"/>
      <c r="P319" s="4"/>
      <c r="Q319" s="4"/>
      <c r="R319" s="4"/>
      <c r="S319" s="4"/>
      <c r="T319" s="50"/>
      <c r="U319" s="50"/>
      <c r="V319" s="4"/>
      <c r="W319" s="4"/>
      <c r="X319" s="4"/>
      <c r="Y319" s="4"/>
      <c r="Z319" s="4"/>
      <c r="AA319" s="4"/>
      <c r="AB319" s="4"/>
      <c r="AC319" s="4"/>
      <c r="AD319" s="4"/>
      <c r="AE319" s="4"/>
    </row>
    <row r="320" spans="1:31" ht="14.4">
      <c r="A320" s="51">
        <v>80501</v>
      </c>
      <c r="B320" s="52" t="s">
        <v>334</v>
      </c>
      <c r="C320" s="51" t="s">
        <v>370</v>
      </c>
      <c r="D320" s="53">
        <v>20029</v>
      </c>
      <c r="E320" s="53">
        <v>2555922.9992597364</v>
      </c>
      <c r="F320" s="54">
        <f t="shared" si="19"/>
        <v>127.61111384790735</v>
      </c>
      <c r="G320" s="53">
        <v>21584</v>
      </c>
      <c r="H320" s="53">
        <v>4747115.9993438721</v>
      </c>
      <c r="I320" s="54">
        <f t="shared" si="20"/>
        <v>219.93680501037213</v>
      </c>
      <c r="J320" s="55"/>
      <c r="K320" s="37"/>
      <c r="L320" s="42"/>
      <c r="M320" s="4"/>
      <c r="N320" s="4"/>
      <c r="O320" s="4"/>
      <c r="P320" s="4"/>
      <c r="Q320" s="4"/>
      <c r="R320" s="4"/>
      <c r="S320" s="4"/>
      <c r="T320" s="50"/>
      <c r="U320" s="50"/>
      <c r="V320" s="4"/>
      <c r="W320" s="4"/>
      <c r="X320" s="4"/>
      <c r="Y320" s="4"/>
      <c r="Z320" s="4"/>
      <c r="AA320" s="4"/>
      <c r="AB320" s="4"/>
      <c r="AC320" s="4"/>
      <c r="AD320" s="4"/>
      <c r="AE320" s="4"/>
    </row>
    <row r="321" spans="1:31" ht="14.4">
      <c r="A321" s="51">
        <v>80601</v>
      </c>
      <c r="B321" s="52" t="s">
        <v>335</v>
      </c>
      <c r="C321" s="51" t="s">
        <v>370</v>
      </c>
      <c r="D321" s="53">
        <v>3975</v>
      </c>
      <c r="E321" s="53">
        <v>239932.99997560121</v>
      </c>
      <c r="F321" s="54">
        <f t="shared" si="19"/>
        <v>60.36050313851603</v>
      </c>
      <c r="G321" s="53">
        <v>4269</v>
      </c>
      <c r="H321" s="53">
        <v>3535019</v>
      </c>
      <c r="I321" s="54">
        <f t="shared" si="20"/>
        <v>828.06722885921761</v>
      </c>
      <c r="J321" s="55"/>
      <c r="K321" s="37"/>
      <c r="L321" s="42"/>
      <c r="M321" s="4"/>
      <c r="N321" s="4"/>
      <c r="O321" s="4"/>
      <c r="P321" s="4"/>
      <c r="Q321" s="4"/>
      <c r="R321" s="4"/>
      <c r="S321" s="4"/>
      <c r="T321" s="50"/>
      <c r="U321" s="50"/>
      <c r="V321" s="4"/>
      <c r="W321" s="4"/>
      <c r="X321" s="4"/>
      <c r="Y321" s="4"/>
      <c r="Z321" s="4"/>
      <c r="AA321" s="4"/>
      <c r="AB321" s="4"/>
      <c r="AC321" s="4"/>
      <c r="AD321" s="4"/>
      <c r="AE321" s="4"/>
    </row>
    <row r="322" spans="1:31" ht="14.4">
      <c r="A322" s="51">
        <v>80602</v>
      </c>
      <c r="B322" s="52" t="s">
        <v>336</v>
      </c>
      <c r="C322" s="51" t="s">
        <v>370</v>
      </c>
      <c r="D322" s="53">
        <v>13525</v>
      </c>
      <c r="E322" s="53">
        <v>1194177.0009360788</v>
      </c>
      <c r="F322" s="54">
        <f t="shared" si="19"/>
        <v>88.294048128360728</v>
      </c>
      <c r="G322" s="53">
        <v>15570</v>
      </c>
      <c r="H322" s="53">
        <v>7884026.9994354248</v>
      </c>
      <c r="I322" s="54">
        <f t="shared" si="20"/>
        <v>506.36011557067599</v>
      </c>
      <c r="J322" s="55"/>
      <c r="K322" s="37"/>
      <c r="L322" s="42"/>
      <c r="M322" s="4"/>
      <c r="N322" s="4"/>
      <c r="O322" s="4"/>
      <c r="P322" s="4"/>
      <c r="Q322" s="4"/>
      <c r="R322" s="4"/>
      <c r="S322" s="4"/>
      <c r="T322" s="50"/>
      <c r="U322" s="50"/>
      <c r="V322" s="4"/>
      <c r="W322" s="4"/>
      <c r="X322" s="4"/>
      <c r="Y322" s="4"/>
      <c r="Z322" s="4"/>
      <c r="AA322" s="4"/>
      <c r="AB322" s="4"/>
      <c r="AC322" s="4"/>
      <c r="AD322" s="4"/>
      <c r="AE322" s="4"/>
    </row>
    <row r="323" spans="1:31" ht="14.4">
      <c r="A323" s="51">
        <v>80701</v>
      </c>
      <c r="B323" s="52" t="s">
        <v>337</v>
      </c>
      <c r="C323" s="51" t="s">
        <v>370</v>
      </c>
      <c r="D323" s="53">
        <v>6881</v>
      </c>
      <c r="E323" s="53">
        <v>1560814.9998645047</v>
      </c>
      <c r="F323" s="54">
        <f t="shared" si="19"/>
        <v>226.82967589950655</v>
      </c>
      <c r="G323" s="53">
        <v>6808</v>
      </c>
      <c r="H323" s="53">
        <v>2645097.999671936</v>
      </c>
      <c r="I323" s="54">
        <f t="shared" si="20"/>
        <v>388.52790829493773</v>
      </c>
      <c r="J323" s="55"/>
      <c r="K323" s="37"/>
      <c r="L323" s="42"/>
      <c r="M323" s="4"/>
      <c r="N323" s="4"/>
      <c r="O323" s="4"/>
      <c r="P323" s="4"/>
      <c r="Q323" s="4"/>
      <c r="R323" s="4"/>
      <c r="S323" s="4"/>
      <c r="T323" s="50"/>
      <c r="U323" s="50"/>
      <c r="V323" s="4"/>
      <c r="W323" s="4"/>
      <c r="X323" s="4"/>
      <c r="Y323" s="4"/>
      <c r="Z323" s="4"/>
      <c r="AA323" s="4"/>
      <c r="AB323" s="4"/>
      <c r="AC323" s="4"/>
      <c r="AD323" s="4"/>
      <c r="AE323" s="4"/>
    </row>
    <row r="324" spans="1:31" ht="14.4">
      <c r="A324" s="51">
        <v>80702</v>
      </c>
      <c r="B324" s="52" t="s">
        <v>313</v>
      </c>
      <c r="C324" s="51" t="s">
        <v>370</v>
      </c>
      <c r="D324" s="53">
        <v>5133</v>
      </c>
      <c r="E324" s="53">
        <v>1283759.0014658775</v>
      </c>
      <c r="F324" s="54">
        <f t="shared" si="19"/>
        <v>250.09916256884424</v>
      </c>
      <c r="G324" s="53">
        <v>5489</v>
      </c>
      <c r="H324" s="53">
        <v>4523530.9993972778</v>
      </c>
      <c r="I324" s="54">
        <f t="shared" si="20"/>
        <v>824.10839850560717</v>
      </c>
      <c r="J324" s="55"/>
      <c r="K324" s="37"/>
      <c r="L324" s="42"/>
      <c r="M324" s="4"/>
      <c r="N324" s="4"/>
      <c r="O324" s="4"/>
      <c r="P324" s="4"/>
      <c r="Q324" s="4"/>
      <c r="R324" s="4"/>
      <c r="S324" s="4"/>
      <c r="T324" s="50"/>
      <c r="U324" s="50"/>
      <c r="V324" s="4"/>
      <c r="W324" s="4"/>
      <c r="X324" s="4"/>
      <c r="Y324" s="4"/>
      <c r="Z324" s="4"/>
      <c r="AA324" s="4"/>
      <c r="AB324" s="4"/>
      <c r="AC324" s="4"/>
      <c r="AD324" s="4"/>
      <c r="AE324" s="4"/>
    </row>
    <row r="325" spans="1:31" ht="14.4">
      <c r="A325" s="51">
        <v>80703</v>
      </c>
      <c r="B325" s="52" t="s">
        <v>338</v>
      </c>
      <c r="C325" s="51" t="s">
        <v>370</v>
      </c>
      <c r="D325" s="53">
        <v>993.66666669999995</v>
      </c>
      <c r="E325" s="53">
        <v>0</v>
      </c>
      <c r="F325" s="54">
        <f t="shared" si="19"/>
        <v>0</v>
      </c>
      <c r="G325" s="53">
        <v>1091</v>
      </c>
      <c r="H325" s="53">
        <v>0</v>
      </c>
      <c r="I325" s="54">
        <f t="shared" si="20"/>
        <v>0</v>
      </c>
      <c r="J325" s="55"/>
      <c r="K325" s="37"/>
      <c r="L325" s="42"/>
      <c r="M325" s="4"/>
      <c r="N325" s="4"/>
      <c r="O325" s="4"/>
      <c r="P325" s="4"/>
      <c r="Q325" s="4"/>
      <c r="R325" s="4"/>
      <c r="S325" s="4"/>
      <c r="T325" s="50"/>
      <c r="U325" s="50"/>
      <c r="V325" s="4"/>
      <c r="W325" s="4"/>
      <c r="X325" s="4"/>
      <c r="Y325" s="4"/>
      <c r="Z325" s="4"/>
      <c r="AA325" s="4"/>
      <c r="AB325" s="4"/>
      <c r="AC325" s="4"/>
      <c r="AD325" s="4"/>
      <c r="AE325" s="4"/>
    </row>
    <row r="326" spans="1:31" ht="14.4">
      <c r="A326" s="51">
        <v>80801</v>
      </c>
      <c r="B326" s="52" t="s">
        <v>339</v>
      </c>
      <c r="C326" s="51" t="s">
        <v>370</v>
      </c>
      <c r="D326" s="53">
        <v>11846</v>
      </c>
      <c r="E326" s="53">
        <v>1665268.9990930036</v>
      </c>
      <c r="F326" s="54">
        <f t="shared" si="19"/>
        <v>140.5764814361813</v>
      </c>
      <c r="G326" s="53">
        <v>12785</v>
      </c>
      <c r="H326" s="53">
        <v>6959532.9999313354</v>
      </c>
      <c r="I326" s="54">
        <f t="shared" si="20"/>
        <v>544.35142744867699</v>
      </c>
      <c r="J326" s="55"/>
      <c r="K326" s="37"/>
      <c r="L326" s="42"/>
      <c r="M326" s="4"/>
      <c r="N326" s="4"/>
      <c r="O326" s="4"/>
      <c r="P326" s="4"/>
      <c r="Q326" s="4"/>
      <c r="R326" s="4"/>
      <c r="S326" s="4"/>
      <c r="T326" s="50"/>
      <c r="U326" s="50"/>
      <c r="V326" s="4"/>
      <c r="W326" s="4"/>
      <c r="X326" s="4"/>
      <c r="Y326" s="4"/>
      <c r="Z326" s="4"/>
      <c r="AA326" s="4"/>
      <c r="AB326" s="4"/>
      <c r="AC326" s="4"/>
      <c r="AD326" s="4"/>
      <c r="AE326" s="4"/>
    </row>
    <row r="327" spans="1:31" ht="14.4">
      <c r="A327" s="51">
        <v>80802</v>
      </c>
      <c r="B327" s="52" t="s">
        <v>340</v>
      </c>
      <c r="C327" s="51" t="s">
        <v>370</v>
      </c>
      <c r="D327" s="53">
        <v>6473</v>
      </c>
      <c r="E327" s="53">
        <v>231877.99961601384</v>
      </c>
      <c r="F327" s="54">
        <f t="shared" si="19"/>
        <v>35.822338887071503</v>
      </c>
      <c r="G327" s="53">
        <v>7488</v>
      </c>
      <c r="H327" s="53">
        <v>1817620.9998016357</v>
      </c>
      <c r="I327" s="54">
        <f t="shared" si="20"/>
        <v>242.73784719573126</v>
      </c>
      <c r="J327" s="55"/>
      <c r="K327" s="37"/>
      <c r="L327" s="42"/>
      <c r="M327" s="4"/>
      <c r="N327" s="4"/>
      <c r="O327" s="4"/>
      <c r="P327" s="4"/>
      <c r="Q327" s="4"/>
      <c r="R327" s="4"/>
      <c r="S327" s="4"/>
      <c r="T327" s="50"/>
      <c r="U327" s="50"/>
      <c r="V327" s="4"/>
      <c r="W327" s="4"/>
      <c r="X327" s="4"/>
      <c r="Y327" s="4"/>
      <c r="Z327" s="4"/>
      <c r="AA327" s="4"/>
      <c r="AB327" s="4"/>
      <c r="AC327" s="4"/>
      <c r="AD327" s="4"/>
      <c r="AE327" s="4"/>
    </row>
    <row r="328" spans="1:31" ht="14.4">
      <c r="A328" s="51">
        <v>80803</v>
      </c>
      <c r="B328" s="52" t="s">
        <v>341</v>
      </c>
      <c r="C328" s="51" t="s">
        <v>370</v>
      </c>
      <c r="D328" s="53">
        <v>4284</v>
      </c>
      <c r="E328" s="53">
        <v>127167.00012107939</v>
      </c>
      <c r="F328" s="54">
        <f t="shared" si="19"/>
        <v>29.684173697730948</v>
      </c>
      <c r="G328" s="53">
        <v>4630</v>
      </c>
      <c r="H328" s="53">
        <v>1731269.0001983643</v>
      </c>
      <c r="I328" s="54">
        <f t="shared" si="20"/>
        <v>373.92419010763808</v>
      </c>
      <c r="J328" s="55"/>
      <c r="K328" s="37"/>
      <c r="L328" s="42"/>
      <c r="M328" s="4"/>
      <c r="N328" s="4"/>
      <c r="O328" s="4"/>
      <c r="P328" s="4"/>
      <c r="Q328" s="4"/>
      <c r="R328" s="4"/>
      <c r="S328" s="4"/>
      <c r="T328" s="50"/>
      <c r="U328" s="50"/>
      <c r="V328" s="4"/>
      <c r="W328" s="4"/>
      <c r="X328" s="4"/>
      <c r="Y328" s="4"/>
      <c r="Z328" s="4"/>
      <c r="AA328" s="4"/>
      <c r="AB328" s="4"/>
      <c r="AC328" s="4"/>
      <c r="AD328" s="4"/>
      <c r="AE328" s="4"/>
    </row>
    <row r="329" spans="1:31" ht="14.4">
      <c r="A329" s="51">
        <v>80901</v>
      </c>
      <c r="B329" s="52" t="s">
        <v>342</v>
      </c>
      <c r="C329" s="51" t="s">
        <v>370</v>
      </c>
      <c r="D329" s="53">
        <v>3479</v>
      </c>
      <c r="E329" s="53">
        <v>0</v>
      </c>
      <c r="F329" s="54">
        <f t="shared" si="19"/>
        <v>0</v>
      </c>
      <c r="G329" s="53">
        <v>3973</v>
      </c>
      <c r="H329" s="53">
        <v>0</v>
      </c>
      <c r="I329" s="54">
        <f t="shared" si="20"/>
        <v>0</v>
      </c>
      <c r="J329" s="55"/>
      <c r="K329" s="37"/>
      <c r="L329" s="42"/>
      <c r="M329" s="4"/>
      <c r="N329" s="4"/>
      <c r="O329" s="4"/>
      <c r="P329" s="4"/>
      <c r="Q329" s="4"/>
      <c r="R329" s="4"/>
      <c r="S329" s="4"/>
      <c r="T329" s="50"/>
      <c r="U329" s="50"/>
      <c r="V329" s="4"/>
      <c r="W329" s="4"/>
      <c r="X329" s="4"/>
      <c r="Y329" s="4"/>
      <c r="Z329" s="4"/>
      <c r="AA329" s="4"/>
      <c r="AB329" s="4"/>
      <c r="AC329" s="4"/>
      <c r="AD329" s="4"/>
      <c r="AE329" s="4"/>
    </row>
    <row r="330" spans="1:31" ht="14.4">
      <c r="A330" s="51">
        <v>90101</v>
      </c>
      <c r="B330" s="52" t="s">
        <v>343</v>
      </c>
      <c r="C330" s="51" t="s">
        <v>374</v>
      </c>
      <c r="D330" s="53">
        <v>49216</v>
      </c>
      <c r="E330" s="53">
        <v>23776788.244639225</v>
      </c>
      <c r="F330" s="54">
        <f t="shared" si="19"/>
        <v>483.11094450258503</v>
      </c>
      <c r="G330" s="53">
        <v>55114</v>
      </c>
      <c r="H330" s="53">
        <v>33061341.500198364</v>
      </c>
      <c r="I330" s="54">
        <f t="shared" si="20"/>
        <v>599.87192909602572</v>
      </c>
      <c r="J330" s="55"/>
      <c r="K330" s="37"/>
      <c r="L330" s="42"/>
      <c r="M330" s="4"/>
      <c r="N330" s="4"/>
      <c r="O330" s="4"/>
      <c r="P330" s="4"/>
      <c r="Q330" s="4"/>
      <c r="R330" s="4"/>
      <c r="S330" s="4"/>
      <c r="T330" s="50"/>
      <c r="U330" s="50"/>
      <c r="V330" s="4"/>
      <c r="W330" s="4"/>
      <c r="X330" s="4"/>
      <c r="Y330" s="4"/>
      <c r="Z330" s="4"/>
      <c r="AA330" s="4"/>
      <c r="AB330" s="4"/>
      <c r="AC330" s="4"/>
      <c r="AD330" s="4"/>
      <c r="AE330" s="4"/>
    </row>
    <row r="331" spans="1:31" ht="14.4">
      <c r="A331" s="51">
        <v>90102</v>
      </c>
      <c r="B331" s="52" t="s">
        <v>344</v>
      </c>
      <c r="C331" s="51" t="s">
        <v>374</v>
      </c>
      <c r="D331" s="53">
        <v>8416</v>
      </c>
      <c r="E331" s="53">
        <v>1289749.1708425088</v>
      </c>
      <c r="F331" s="54">
        <f t="shared" si="19"/>
        <v>153.24966383584942</v>
      </c>
      <c r="G331" s="53">
        <v>9353</v>
      </c>
      <c r="H331" s="53">
        <v>3592961.5010681152</v>
      </c>
      <c r="I331" s="54">
        <f t="shared" si="20"/>
        <v>384.15070042426123</v>
      </c>
      <c r="J331" s="55"/>
      <c r="K331" s="37"/>
      <c r="L331" s="42"/>
      <c r="M331" s="4"/>
      <c r="N331" s="4"/>
      <c r="O331" s="4"/>
      <c r="P331" s="4"/>
      <c r="Q331" s="4"/>
      <c r="R331" s="4"/>
      <c r="S331" s="4"/>
      <c r="T331" s="50"/>
      <c r="U331" s="50"/>
      <c r="V331" s="4"/>
      <c r="W331" s="4"/>
      <c r="X331" s="4"/>
      <c r="Y331" s="4"/>
      <c r="Z331" s="4"/>
      <c r="AA331" s="4"/>
      <c r="AB331" s="4"/>
      <c r="AC331" s="4"/>
      <c r="AD331" s="4"/>
      <c r="AE331" s="4"/>
    </row>
    <row r="332" spans="1:31" ht="14.4">
      <c r="A332" s="51">
        <v>90103</v>
      </c>
      <c r="B332" s="52" t="s">
        <v>345</v>
      </c>
      <c r="C332" s="51" t="s">
        <v>374</v>
      </c>
      <c r="D332" s="53">
        <v>2261</v>
      </c>
      <c r="E332" s="53">
        <v>0</v>
      </c>
      <c r="F332" s="54">
        <f t="shared" si="19"/>
        <v>0</v>
      </c>
      <c r="G332" s="53">
        <v>2437</v>
      </c>
      <c r="H332" s="53">
        <v>0</v>
      </c>
      <c r="I332" s="54">
        <f t="shared" si="20"/>
        <v>0</v>
      </c>
      <c r="J332" s="55"/>
      <c r="K332" s="37"/>
      <c r="L332" s="42"/>
      <c r="M332" s="4"/>
      <c r="N332" s="4"/>
      <c r="O332" s="4"/>
      <c r="P332" s="4"/>
      <c r="Q332" s="4"/>
      <c r="R332" s="4"/>
      <c r="S332" s="4"/>
      <c r="T332" s="50"/>
      <c r="U332" s="50"/>
      <c r="V332" s="4"/>
      <c r="W332" s="4"/>
      <c r="X332" s="4"/>
      <c r="Y332" s="4"/>
      <c r="Z332" s="4"/>
      <c r="AA332" s="4"/>
      <c r="AB332" s="4"/>
      <c r="AC332" s="4"/>
      <c r="AD332" s="4"/>
      <c r="AE332" s="4"/>
    </row>
    <row r="333" spans="1:31" ht="14.4">
      <c r="A333" s="51">
        <v>90104</v>
      </c>
      <c r="B333" s="52" t="s">
        <v>346</v>
      </c>
      <c r="C333" s="51" t="s">
        <v>374</v>
      </c>
      <c r="D333" s="53">
        <v>3816</v>
      </c>
      <c r="E333" s="53">
        <v>185920.99957227241</v>
      </c>
      <c r="F333" s="54">
        <f t="shared" si="19"/>
        <v>48.721435946612267</v>
      </c>
      <c r="G333" s="53">
        <v>3630</v>
      </c>
      <c r="H333" s="53">
        <v>932741.00019073486</v>
      </c>
      <c r="I333" s="54">
        <f t="shared" si="20"/>
        <v>256.95344357871483</v>
      </c>
      <c r="J333" s="55"/>
      <c r="K333" s="37"/>
      <c r="L333" s="42"/>
      <c r="M333" s="4"/>
      <c r="N333" s="4"/>
      <c r="O333" s="4"/>
      <c r="P333" s="4"/>
      <c r="Q333" s="4"/>
      <c r="R333" s="4"/>
      <c r="S333" s="4"/>
      <c r="T333" s="50"/>
      <c r="U333" s="50"/>
      <c r="V333" s="4"/>
      <c r="W333" s="4"/>
      <c r="X333" s="4"/>
      <c r="Y333" s="4"/>
      <c r="Z333" s="4"/>
      <c r="AA333" s="4"/>
      <c r="AB333" s="4"/>
      <c r="AC333" s="4"/>
      <c r="AD333" s="4"/>
      <c r="AE333" s="4"/>
    </row>
    <row r="334" spans="1:31" ht="14.4">
      <c r="A334" s="51">
        <v>90201</v>
      </c>
      <c r="B334" s="52" t="s">
        <v>347</v>
      </c>
      <c r="C334" s="51" t="s">
        <v>374</v>
      </c>
      <c r="D334" s="53">
        <v>6615</v>
      </c>
      <c r="E334" s="53">
        <v>914805.1112410333</v>
      </c>
      <c r="F334" s="54">
        <f t="shared" si="19"/>
        <v>138.29253382328545</v>
      </c>
      <c r="G334" s="53">
        <v>7367</v>
      </c>
      <c r="H334" s="53">
        <v>1585179.5001449585</v>
      </c>
      <c r="I334" s="54">
        <f t="shared" si="20"/>
        <v>215.1730012413409</v>
      </c>
      <c r="J334" s="55"/>
      <c r="K334" s="37"/>
      <c r="L334" s="42"/>
      <c r="M334" s="4"/>
      <c r="N334" s="4"/>
      <c r="O334" s="4"/>
      <c r="P334" s="4"/>
      <c r="Q334" s="4"/>
      <c r="R334" s="4"/>
      <c r="S334" s="4"/>
      <c r="T334" s="50"/>
      <c r="U334" s="50"/>
      <c r="V334" s="4"/>
      <c r="W334" s="4"/>
      <c r="X334" s="4"/>
      <c r="Y334" s="4"/>
      <c r="Z334" s="4"/>
      <c r="AA334" s="4"/>
      <c r="AB334" s="4"/>
      <c r="AC334" s="4"/>
      <c r="AD334" s="4"/>
      <c r="AE334" s="4"/>
    </row>
    <row r="335" spans="1:31" ht="14.4">
      <c r="A335" s="51">
        <v>90202</v>
      </c>
      <c r="B335" s="52" t="s">
        <v>310</v>
      </c>
      <c r="C335" s="51" t="s">
        <v>374</v>
      </c>
      <c r="D335" s="53">
        <v>3167</v>
      </c>
      <c r="E335" s="53">
        <v>81834.999875850976</v>
      </c>
      <c r="F335" s="54">
        <f t="shared" si="19"/>
        <v>25.839911549053038</v>
      </c>
      <c r="G335" s="53">
        <v>3518</v>
      </c>
      <c r="H335" s="53">
        <v>353813.50031280518</v>
      </c>
      <c r="I335" s="54">
        <f t="shared" si="20"/>
        <v>100.57234232882466</v>
      </c>
      <c r="J335" s="55"/>
      <c r="K335" s="37"/>
      <c r="L335" s="42"/>
      <c r="M335" s="4"/>
      <c r="N335" s="4"/>
      <c r="O335" s="4"/>
      <c r="P335" s="4"/>
      <c r="Q335" s="4"/>
      <c r="R335" s="4"/>
      <c r="S335" s="4"/>
      <c r="T335" s="50"/>
      <c r="U335" s="50"/>
      <c r="V335" s="4"/>
      <c r="W335" s="4"/>
      <c r="X335" s="4"/>
      <c r="Y335" s="4"/>
      <c r="Z335" s="4"/>
      <c r="AA335" s="4"/>
      <c r="AB335" s="4"/>
      <c r="AC335" s="4"/>
      <c r="AD335" s="4"/>
      <c r="AE335" s="4"/>
    </row>
    <row r="336" spans="1:31" ht="14.4">
      <c r="A336" s="51">
        <v>90203</v>
      </c>
      <c r="B336" s="52" t="s">
        <v>348</v>
      </c>
      <c r="C336" s="51" t="s">
        <v>374</v>
      </c>
      <c r="D336" s="53">
        <v>6519</v>
      </c>
      <c r="E336" s="53">
        <v>944520.99988270923</v>
      </c>
      <c r="F336" s="54">
        <f t="shared" si="19"/>
        <v>144.88740602587961</v>
      </c>
      <c r="G336" s="53">
        <v>8045</v>
      </c>
      <c r="H336" s="53">
        <v>5176547.4994812012</v>
      </c>
      <c r="I336" s="54">
        <f t="shared" si="20"/>
        <v>643.44903660425121</v>
      </c>
      <c r="J336" s="55"/>
      <c r="K336" s="37"/>
      <c r="L336" s="42"/>
      <c r="M336" s="4"/>
      <c r="N336" s="4"/>
      <c r="O336" s="4"/>
      <c r="P336" s="4"/>
      <c r="Q336" s="4"/>
      <c r="R336" s="4"/>
      <c r="S336" s="4"/>
      <c r="T336" s="50"/>
      <c r="U336" s="50"/>
      <c r="V336" s="4"/>
      <c r="W336" s="4"/>
      <c r="X336" s="4"/>
      <c r="Y336" s="4"/>
      <c r="Z336" s="4"/>
      <c r="AA336" s="4"/>
      <c r="AB336" s="4"/>
      <c r="AC336" s="4"/>
      <c r="AD336" s="4"/>
      <c r="AE336" s="4"/>
    </row>
    <row r="337" spans="1:31" ht="14.4">
      <c r="A337" s="51">
        <v>90301</v>
      </c>
      <c r="B337" s="52" t="s">
        <v>349</v>
      </c>
      <c r="C337" s="51" t="s">
        <v>374</v>
      </c>
      <c r="D337" s="53">
        <v>9584</v>
      </c>
      <c r="E337" s="53">
        <v>186030.00017465465</v>
      </c>
      <c r="F337" s="54">
        <f t="shared" si="19"/>
        <v>19.410475811211878</v>
      </c>
      <c r="G337" s="53">
        <v>12431</v>
      </c>
      <c r="H337" s="53">
        <v>0</v>
      </c>
      <c r="I337" s="54">
        <f t="shared" si="20"/>
        <v>0</v>
      </c>
      <c r="J337" s="55"/>
      <c r="K337" s="37"/>
      <c r="L337" s="42"/>
      <c r="M337" s="4"/>
      <c r="N337" s="4"/>
      <c r="O337" s="4"/>
      <c r="P337" s="4"/>
      <c r="Q337" s="4"/>
      <c r="R337" s="4"/>
      <c r="S337" s="4"/>
      <c r="T337" s="50"/>
      <c r="U337" s="50"/>
      <c r="V337" s="4"/>
      <c r="W337" s="4"/>
      <c r="X337" s="4"/>
      <c r="Y337" s="4"/>
      <c r="Z337" s="4"/>
      <c r="AA337" s="4"/>
      <c r="AB337" s="4"/>
      <c r="AC337" s="4"/>
      <c r="AD337" s="4"/>
      <c r="AE337" s="4"/>
    </row>
    <row r="338" spans="1:31" ht="14.4">
      <c r="A338" s="51">
        <v>90302</v>
      </c>
      <c r="B338" s="52" t="s">
        <v>350</v>
      </c>
      <c r="C338" s="51" t="s">
        <v>374</v>
      </c>
      <c r="D338" s="53">
        <v>8379</v>
      </c>
      <c r="E338" s="53">
        <v>303570.50026059896</v>
      </c>
      <c r="F338" s="54">
        <f t="shared" si="19"/>
        <v>36.229920069292156</v>
      </c>
      <c r="G338" s="53">
        <v>9832</v>
      </c>
      <c r="H338" s="53">
        <v>741663.50087738037</v>
      </c>
      <c r="I338" s="54">
        <f t="shared" si="20"/>
        <v>75.433635158399142</v>
      </c>
      <c r="J338" s="55"/>
      <c r="K338" s="37"/>
      <c r="L338" s="42"/>
      <c r="M338" s="4"/>
      <c r="N338" s="4"/>
      <c r="O338" s="4"/>
      <c r="P338" s="4"/>
      <c r="Q338" s="4"/>
      <c r="R338" s="4"/>
      <c r="S338" s="4"/>
      <c r="T338" s="50"/>
      <c r="U338" s="50"/>
      <c r="V338" s="4"/>
      <c r="W338" s="4"/>
      <c r="X338" s="4"/>
      <c r="Y338" s="4"/>
      <c r="Z338" s="4"/>
      <c r="AA338" s="4"/>
      <c r="AB338" s="4"/>
      <c r="AC338" s="4"/>
      <c r="AD338" s="4"/>
      <c r="AE338" s="4"/>
    </row>
    <row r="339" spans="1:31" ht="14.4">
      <c r="A339" s="51">
        <v>90303</v>
      </c>
      <c r="B339" s="52" t="s">
        <v>351</v>
      </c>
      <c r="C339" s="51" t="s">
        <v>374</v>
      </c>
      <c r="D339" s="53">
        <v>9013</v>
      </c>
      <c r="E339" s="53">
        <v>723820.49953421298</v>
      </c>
      <c r="F339" s="54">
        <f t="shared" si="19"/>
        <v>80.308498783336617</v>
      </c>
      <c r="G339" s="53">
        <v>10522</v>
      </c>
      <c r="H339" s="53">
        <v>1892991.0003128052</v>
      </c>
      <c r="I339" s="54">
        <f t="shared" si="20"/>
        <v>179.90790727169789</v>
      </c>
      <c r="J339" s="55"/>
      <c r="K339" s="37"/>
      <c r="L339" s="42"/>
      <c r="M339" s="4"/>
      <c r="N339" s="4"/>
      <c r="O339" s="4"/>
      <c r="P339" s="4"/>
      <c r="Q339" s="4"/>
      <c r="R339" s="4"/>
      <c r="S339" s="4"/>
      <c r="T339" s="50"/>
      <c r="U339" s="50"/>
      <c r="V339" s="4"/>
      <c r="W339" s="4"/>
      <c r="X339" s="4"/>
      <c r="Y339" s="4"/>
      <c r="Z339" s="4"/>
      <c r="AA339" s="4"/>
      <c r="AB339" s="4"/>
      <c r="AC339" s="4"/>
      <c r="AD339" s="4"/>
      <c r="AE339" s="4"/>
    </row>
    <row r="340" spans="1:31" ht="14.4">
      <c r="A340" s="51">
        <v>90401</v>
      </c>
      <c r="B340" s="52" t="s">
        <v>352</v>
      </c>
      <c r="C340" s="51" t="s">
        <v>374</v>
      </c>
      <c r="D340" s="53">
        <v>2560</v>
      </c>
      <c r="E340" s="53">
        <v>0</v>
      </c>
      <c r="F340" s="54">
        <f t="shared" si="19"/>
        <v>0</v>
      </c>
      <c r="G340" s="53">
        <v>2889</v>
      </c>
      <c r="H340" s="53">
        <v>1226835.0000686646</v>
      </c>
      <c r="I340" s="54">
        <f t="shared" si="20"/>
        <v>424.65732089604171</v>
      </c>
      <c r="J340" s="55"/>
      <c r="K340" s="37"/>
      <c r="L340" s="42"/>
      <c r="M340" s="4"/>
      <c r="N340" s="4"/>
      <c r="O340" s="4"/>
      <c r="P340" s="4"/>
      <c r="Q340" s="4"/>
      <c r="R340" s="4"/>
      <c r="S340" s="4"/>
      <c r="T340" s="50"/>
      <c r="U340" s="50"/>
      <c r="V340" s="4"/>
      <c r="W340" s="4"/>
      <c r="X340" s="4"/>
      <c r="Y340" s="4"/>
      <c r="Z340" s="4"/>
      <c r="AA340" s="4"/>
      <c r="AB340" s="4"/>
      <c r="AC340" s="4"/>
      <c r="AD340" s="4"/>
      <c r="AE340" s="4"/>
    </row>
    <row r="341" spans="1:31" ht="14.4">
      <c r="A341" s="51">
        <v>90402</v>
      </c>
      <c r="B341" s="52" t="s">
        <v>353</v>
      </c>
      <c r="C341" s="51" t="s">
        <v>374</v>
      </c>
      <c r="D341" s="53">
        <v>1969</v>
      </c>
      <c r="E341" s="53">
        <v>0</v>
      </c>
      <c r="F341" s="54">
        <f t="shared" si="19"/>
        <v>0</v>
      </c>
      <c r="G341" s="53">
        <v>2600</v>
      </c>
      <c r="H341" s="53">
        <v>0</v>
      </c>
      <c r="I341" s="54">
        <f t="shared" si="20"/>
        <v>0</v>
      </c>
      <c r="J341" s="55"/>
      <c r="K341" s="37"/>
      <c r="L341" s="42"/>
      <c r="M341" s="4"/>
      <c r="N341" s="4"/>
      <c r="O341" s="4"/>
      <c r="P341" s="4"/>
      <c r="Q341" s="4"/>
      <c r="R341" s="4"/>
      <c r="S341" s="4"/>
      <c r="T341" s="50"/>
      <c r="U341" s="50"/>
      <c r="V341" s="4"/>
      <c r="W341" s="4"/>
      <c r="X341" s="4"/>
      <c r="Y341" s="4"/>
      <c r="Z341" s="4"/>
      <c r="AA341" s="4"/>
      <c r="AB341" s="4"/>
      <c r="AC341" s="4"/>
      <c r="AD341" s="4"/>
      <c r="AE341" s="4"/>
    </row>
    <row r="342" spans="1:31" ht="14.4">
      <c r="A342" s="51">
        <v>90501</v>
      </c>
      <c r="B342" s="52" t="s">
        <v>354</v>
      </c>
      <c r="C342" s="51" t="s">
        <v>374</v>
      </c>
      <c r="D342" s="53">
        <v>1911</v>
      </c>
      <c r="E342" s="53">
        <v>96837.000049633905</v>
      </c>
      <c r="F342" s="54">
        <f t="shared" si="19"/>
        <v>50.673469413727844</v>
      </c>
      <c r="G342" s="53">
        <v>1598</v>
      </c>
      <c r="H342" s="53">
        <v>0</v>
      </c>
      <c r="I342" s="54">
        <f t="shared" si="20"/>
        <v>0</v>
      </c>
      <c r="J342" s="55"/>
      <c r="K342" s="37"/>
      <c r="L342" s="42"/>
      <c r="M342" s="4"/>
      <c r="N342" s="4"/>
      <c r="O342" s="4"/>
      <c r="P342" s="4"/>
      <c r="Q342" s="4"/>
      <c r="R342" s="4"/>
      <c r="S342" s="4"/>
      <c r="T342" s="50"/>
      <c r="U342" s="50"/>
      <c r="V342" s="4"/>
      <c r="W342" s="4"/>
      <c r="X342" s="4"/>
      <c r="Y342" s="4"/>
      <c r="Z342" s="4"/>
      <c r="AA342" s="4"/>
      <c r="AB342" s="4"/>
      <c r="AC342" s="4"/>
      <c r="AD342" s="4"/>
      <c r="AE342" s="4"/>
    </row>
    <row r="343" spans="1:31" ht="14.4">
      <c r="A343" s="51">
        <v>90502</v>
      </c>
      <c r="B343" s="52" t="s">
        <v>355</v>
      </c>
      <c r="C343" s="51" t="s">
        <v>374</v>
      </c>
      <c r="D343" s="53">
        <v>2704</v>
      </c>
      <c r="E343" s="53">
        <v>77098.000149220228</v>
      </c>
      <c r="F343" s="54">
        <f t="shared" si="19"/>
        <v>28.512574019682038</v>
      </c>
      <c r="G343" s="53">
        <v>2511</v>
      </c>
      <c r="H343" s="53">
        <v>0</v>
      </c>
      <c r="I343" s="54">
        <f t="shared" si="20"/>
        <v>0</v>
      </c>
      <c r="J343" s="55"/>
      <c r="K343" s="37"/>
      <c r="L343" s="42"/>
      <c r="M343" s="4"/>
      <c r="N343" s="4"/>
      <c r="O343" s="4"/>
      <c r="P343" s="4"/>
      <c r="Q343" s="4"/>
      <c r="R343" s="4"/>
      <c r="S343" s="4"/>
      <c r="T343" s="50"/>
      <c r="U343" s="50"/>
      <c r="V343" s="4"/>
      <c r="W343" s="4"/>
      <c r="X343" s="4"/>
      <c r="Y343" s="4"/>
      <c r="Z343" s="4"/>
      <c r="AA343" s="4"/>
      <c r="AB343" s="4"/>
      <c r="AC343" s="4"/>
      <c r="AD343" s="4"/>
      <c r="AE343" s="4"/>
    </row>
    <row r="344" spans="1:31" ht="14.4">
      <c r="A344" s="51">
        <v>90503</v>
      </c>
      <c r="B344" s="52" t="s">
        <v>356</v>
      </c>
      <c r="C344" s="51" t="s">
        <v>374</v>
      </c>
      <c r="D344" s="53">
        <v>2226</v>
      </c>
      <c r="E344" s="53">
        <v>0</v>
      </c>
      <c r="F344" s="54">
        <f t="shared" si="19"/>
        <v>0</v>
      </c>
      <c r="G344" s="53">
        <v>2347</v>
      </c>
      <c r="H344" s="53">
        <v>0</v>
      </c>
      <c r="I344" s="54">
        <f t="shared" si="20"/>
        <v>0</v>
      </c>
      <c r="J344" s="55"/>
      <c r="K344" s="37"/>
      <c r="L344" s="42"/>
      <c r="M344" s="4"/>
      <c r="N344" s="4"/>
      <c r="O344" s="4"/>
      <c r="P344" s="4"/>
      <c r="Q344" s="4"/>
      <c r="R344" s="4"/>
      <c r="S344" s="4"/>
      <c r="T344" s="50"/>
      <c r="U344" s="50"/>
      <c r="V344" s="4"/>
      <c r="W344" s="4"/>
      <c r="X344" s="4"/>
      <c r="Y344" s="4"/>
      <c r="Z344" s="4"/>
      <c r="AA344" s="4"/>
      <c r="AB344" s="4"/>
      <c r="AC344" s="4"/>
      <c r="AD344" s="4"/>
      <c r="AE344" s="4"/>
    </row>
    <row r="345" spans="1:31" ht="14.4">
      <c r="A345" s="51">
        <v>10</v>
      </c>
      <c r="B345" s="52"/>
      <c r="C345" s="52" t="s">
        <v>373</v>
      </c>
      <c r="D345" s="53">
        <f t="shared" ref="D345:E345" si="21">AVERAGE(D246:D248)</f>
        <v>50468.666666666664</v>
      </c>
      <c r="E345" s="53">
        <f t="shared" si="21"/>
        <v>15318677.331370862</v>
      </c>
      <c r="F345" s="54">
        <f t="shared" si="19"/>
        <v>303.52847307314499</v>
      </c>
      <c r="G345" s="53">
        <f t="shared" ref="G345:H345" si="22">AVERAGE(G246:G248)</f>
        <v>53088</v>
      </c>
      <c r="H345" s="53">
        <f t="shared" si="22"/>
        <v>18920485.333658855</v>
      </c>
      <c r="I345" s="54">
        <f t="shared" si="20"/>
        <v>356.39853325909536</v>
      </c>
      <c r="J345" s="4"/>
      <c r="K345" s="50"/>
      <c r="L345" s="42"/>
      <c r="M345" s="4"/>
      <c r="N345" s="50"/>
      <c r="O345" s="4"/>
      <c r="P345" s="4"/>
      <c r="Q345" s="4"/>
      <c r="R345" s="4"/>
      <c r="S345" s="4"/>
      <c r="T345" s="50"/>
      <c r="U345" s="50"/>
      <c r="V345" s="4"/>
      <c r="W345" s="4"/>
      <c r="X345" s="4"/>
      <c r="Y345" s="4"/>
      <c r="Z345" s="4"/>
      <c r="AA345" s="4"/>
      <c r="AB345" s="4"/>
      <c r="AC345" s="4"/>
      <c r="AD345" s="4"/>
      <c r="AE345" s="4"/>
    </row>
    <row r="346" spans="1:31" ht="14.4">
      <c r="A346" s="51">
        <v>11</v>
      </c>
      <c r="B346" s="52"/>
      <c r="C346" s="52" t="s">
        <v>371</v>
      </c>
      <c r="D346" s="53">
        <f t="shared" ref="D346:E346" si="23">SUM(D2:D344)</f>
        <v>10495009.000000002</v>
      </c>
      <c r="E346" s="53">
        <f t="shared" si="23"/>
        <v>3233373110.035706</v>
      </c>
      <c r="F346" s="54">
        <f t="shared" si="19"/>
        <v>308.08674009099997</v>
      </c>
      <c r="G346" s="53">
        <f t="shared" ref="G346:H346" si="24">SUM(G2:G344)</f>
        <v>11365333</v>
      </c>
      <c r="H346" s="53">
        <f t="shared" si="24"/>
        <v>4033077520.5780029</v>
      </c>
      <c r="I346" s="54">
        <f t="shared" si="20"/>
        <v>354.85784011590357</v>
      </c>
      <c r="J346" s="58"/>
      <c r="K346" s="50"/>
      <c r="L346" s="42"/>
      <c r="M346" s="58"/>
      <c r="N346" s="50"/>
      <c r="O346" s="4"/>
      <c r="P346" s="4"/>
      <c r="Q346" s="4"/>
      <c r="R346" s="4"/>
      <c r="S346" s="4"/>
      <c r="T346" s="50"/>
      <c r="U346" s="50"/>
      <c r="V346" s="4"/>
      <c r="W346" s="4"/>
      <c r="X346" s="4"/>
      <c r="Y346" s="4"/>
      <c r="Z346" s="4"/>
      <c r="AA346" s="4"/>
      <c r="AB346" s="4"/>
      <c r="AC346" s="4"/>
      <c r="AD346" s="4"/>
      <c r="AE346" s="4"/>
    </row>
    <row r="347" spans="1:31" ht="14.4">
      <c r="A347" s="4"/>
      <c r="B347" s="4"/>
      <c r="C347" s="50"/>
      <c r="D347" s="56"/>
      <c r="E347" s="4"/>
      <c r="F347" s="59"/>
      <c r="G347" s="4"/>
      <c r="H347" s="56"/>
      <c r="I347" s="4"/>
      <c r="J347" s="4"/>
      <c r="K347" s="50"/>
      <c r="L347" s="42"/>
      <c r="M347" s="4"/>
      <c r="N347" s="4"/>
      <c r="O347" s="4"/>
      <c r="P347" s="4"/>
      <c r="Q347" s="4"/>
      <c r="R347" s="4"/>
      <c r="S347" s="4"/>
      <c r="T347" s="50"/>
      <c r="U347" s="50"/>
      <c r="V347" s="4"/>
      <c r="W347" s="4"/>
      <c r="X347" s="4"/>
      <c r="Y347" s="4"/>
      <c r="Z347" s="4"/>
      <c r="AA347" s="4"/>
      <c r="AB347" s="4"/>
      <c r="AC347" s="4"/>
      <c r="AD347" s="4"/>
      <c r="AE347" s="4"/>
    </row>
    <row r="348" spans="1:31" ht="14.4">
      <c r="A348" s="4"/>
      <c r="B348" s="50"/>
      <c r="C348" s="50"/>
      <c r="D348" s="56"/>
      <c r="E348" s="37"/>
      <c r="F348" s="59"/>
      <c r="G348" s="56"/>
      <c r="H348" s="37"/>
      <c r="I348" s="4"/>
      <c r="J348" s="56"/>
      <c r="K348" s="56"/>
      <c r="L348" s="56"/>
      <c r="M348" s="56"/>
      <c r="N348" s="4"/>
      <c r="O348" s="4"/>
      <c r="P348" s="4"/>
      <c r="Q348" s="4"/>
      <c r="R348" s="4"/>
      <c r="S348" s="4"/>
      <c r="T348" s="50"/>
      <c r="U348" s="50"/>
      <c r="V348" s="4"/>
      <c r="W348" s="4"/>
      <c r="X348" s="4"/>
      <c r="Y348" s="4"/>
      <c r="Z348" s="4"/>
      <c r="AA348" s="4"/>
      <c r="AB348" s="4"/>
      <c r="AC348" s="4"/>
      <c r="AD348" s="4"/>
      <c r="AE348" s="4"/>
    </row>
    <row r="349" spans="1:31" ht="14.4">
      <c r="A349" s="4"/>
      <c r="B349" s="50"/>
      <c r="C349" s="50"/>
      <c r="D349" s="56"/>
      <c r="E349" s="37"/>
      <c r="F349" s="50"/>
      <c r="G349" s="4"/>
      <c r="H349" s="37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50"/>
      <c r="U349" s="50"/>
      <c r="V349" s="4"/>
      <c r="W349" s="4"/>
      <c r="X349" s="4"/>
      <c r="Y349" s="4"/>
      <c r="Z349" s="4"/>
      <c r="AA349" s="4"/>
      <c r="AB349" s="4"/>
      <c r="AC349" s="4"/>
      <c r="AD349" s="4"/>
      <c r="AE349" s="4"/>
    </row>
    <row r="350" spans="1:31" ht="14.4">
      <c r="A350" s="4"/>
      <c r="B350" s="50"/>
      <c r="C350" s="50"/>
      <c r="D350" s="56"/>
      <c r="E350" s="56"/>
      <c r="F350" s="59"/>
      <c r="G350" s="4"/>
      <c r="H350" s="56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50"/>
      <c r="U350" s="50"/>
      <c r="V350" s="4"/>
      <c r="W350" s="4"/>
      <c r="X350" s="4"/>
      <c r="Y350" s="4"/>
      <c r="Z350" s="4"/>
      <c r="AA350" s="4"/>
      <c r="AB350" s="4"/>
      <c r="AC350" s="4"/>
      <c r="AD350" s="4"/>
      <c r="AE350" s="4"/>
    </row>
    <row r="351" spans="1:31" ht="14.4">
      <c r="A351" s="4"/>
      <c r="B351" s="50"/>
      <c r="C351" s="50"/>
      <c r="D351" s="56"/>
      <c r="E351" s="37"/>
      <c r="F351" s="59"/>
      <c r="G351" s="4"/>
      <c r="H351" s="37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50"/>
      <c r="U351" s="50"/>
      <c r="V351" s="4"/>
      <c r="W351" s="4"/>
      <c r="X351" s="4"/>
      <c r="Y351" s="4"/>
      <c r="Z351" s="4"/>
      <c r="AA351" s="4"/>
      <c r="AB351" s="4"/>
      <c r="AC351" s="4"/>
      <c r="AD351" s="4"/>
      <c r="AE351" s="4"/>
    </row>
    <row r="352" spans="1:31" ht="14.4">
      <c r="A352" s="4"/>
      <c r="B352" s="4"/>
      <c r="C352" s="50"/>
      <c r="D352" s="56"/>
      <c r="E352" s="56"/>
      <c r="F352" s="59"/>
      <c r="G352" s="4"/>
      <c r="H352" s="56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50"/>
      <c r="U352" s="50"/>
      <c r="V352" s="4"/>
      <c r="W352" s="4"/>
      <c r="X352" s="4"/>
      <c r="Y352" s="4"/>
      <c r="Z352" s="4"/>
      <c r="AA352" s="4"/>
      <c r="AB352" s="4"/>
      <c r="AC352" s="4"/>
      <c r="AD352" s="4"/>
      <c r="AE352" s="4"/>
    </row>
    <row r="353" spans="1:31" ht="14.4">
      <c r="A353" s="4"/>
      <c r="B353" s="4"/>
      <c r="C353" s="50"/>
      <c r="D353" s="56"/>
      <c r="E353" s="56"/>
      <c r="F353" s="59"/>
      <c r="G353" s="4"/>
      <c r="H353" s="56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50"/>
      <c r="U353" s="50"/>
      <c r="V353" s="4"/>
      <c r="W353" s="4"/>
      <c r="X353" s="4"/>
      <c r="Y353" s="4"/>
      <c r="Z353" s="4"/>
      <c r="AA353" s="4"/>
      <c r="AB353" s="4"/>
      <c r="AC353" s="4"/>
      <c r="AD353" s="4"/>
      <c r="AE353" s="4"/>
    </row>
    <row r="354" spans="1:31" ht="14.4">
      <c r="A354" s="4"/>
      <c r="B354" s="4"/>
      <c r="C354" s="50"/>
      <c r="D354" s="56"/>
      <c r="E354" s="42"/>
      <c r="F354" s="59"/>
      <c r="G354" s="4"/>
      <c r="H354" s="56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50"/>
      <c r="U354" s="50"/>
      <c r="V354" s="4"/>
      <c r="W354" s="4"/>
      <c r="X354" s="4"/>
      <c r="Y354" s="4"/>
      <c r="Z354" s="4"/>
      <c r="AA354" s="4"/>
      <c r="AB354" s="4"/>
      <c r="AC354" s="4"/>
      <c r="AD354" s="4"/>
      <c r="AE354" s="4"/>
    </row>
    <row r="355" spans="1:31" ht="14.4">
      <c r="A355" s="4"/>
      <c r="B355" s="4"/>
      <c r="C355" s="50"/>
      <c r="D355" s="56"/>
      <c r="E355" s="56"/>
      <c r="F355" s="59"/>
      <c r="G355" s="4"/>
      <c r="H355" s="56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50"/>
      <c r="U355" s="50"/>
      <c r="V355" s="4"/>
      <c r="W355" s="4"/>
      <c r="X355" s="4"/>
      <c r="Y355" s="4"/>
      <c r="Z355" s="4"/>
      <c r="AA355" s="4"/>
      <c r="AB355" s="4"/>
      <c r="AC355" s="4"/>
      <c r="AD355" s="4"/>
      <c r="AE355" s="4"/>
    </row>
    <row r="356" spans="1:31" ht="14.4">
      <c r="A356" s="4"/>
      <c r="B356" s="4"/>
      <c r="C356" s="50"/>
      <c r="D356" s="56"/>
      <c r="E356" s="56"/>
      <c r="F356" s="59"/>
      <c r="G356" s="4"/>
      <c r="H356" s="56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50"/>
      <c r="U356" s="50"/>
      <c r="V356" s="4"/>
      <c r="W356" s="4"/>
      <c r="X356" s="4"/>
      <c r="Y356" s="4"/>
      <c r="Z356" s="4"/>
      <c r="AA356" s="4"/>
      <c r="AB356" s="4"/>
      <c r="AC356" s="4"/>
      <c r="AD356" s="4"/>
      <c r="AE356" s="4"/>
    </row>
    <row r="357" spans="1:31" ht="14.4">
      <c r="A357" s="4"/>
      <c r="B357" s="4"/>
      <c r="C357" s="50"/>
      <c r="D357" s="56"/>
      <c r="E357" s="56"/>
      <c r="F357" s="59"/>
      <c r="G357" s="4"/>
      <c r="H357" s="56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50"/>
      <c r="U357" s="50"/>
      <c r="V357" s="4"/>
      <c r="W357" s="4"/>
      <c r="X357" s="4"/>
      <c r="Y357" s="4"/>
      <c r="Z357" s="4"/>
      <c r="AA357" s="4"/>
      <c r="AB357" s="4"/>
      <c r="AC357" s="4"/>
      <c r="AD357" s="4"/>
      <c r="AE357" s="4"/>
    </row>
    <row r="358" spans="1:31" ht="14.4">
      <c r="A358" s="4"/>
      <c r="B358" s="4"/>
      <c r="C358" s="50"/>
      <c r="D358" s="56"/>
      <c r="E358" s="56"/>
      <c r="F358" s="59"/>
      <c r="G358" s="4"/>
      <c r="H358" s="56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50"/>
      <c r="U358" s="50"/>
      <c r="V358" s="4"/>
      <c r="W358" s="4"/>
      <c r="X358" s="4"/>
      <c r="Y358" s="4"/>
      <c r="Z358" s="4"/>
      <c r="AA358" s="4"/>
      <c r="AB358" s="4"/>
      <c r="AC358" s="4"/>
      <c r="AD358" s="4"/>
      <c r="AE358" s="4"/>
    </row>
    <row r="359" spans="1:31" ht="14.4">
      <c r="A359" s="4"/>
      <c r="B359" s="4"/>
      <c r="C359" s="50"/>
      <c r="D359" s="56"/>
      <c r="E359" s="56"/>
      <c r="F359" s="59"/>
      <c r="G359" s="4"/>
      <c r="H359" s="56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50"/>
      <c r="U359" s="50"/>
      <c r="V359" s="4"/>
      <c r="W359" s="4"/>
      <c r="X359" s="4"/>
      <c r="Y359" s="4"/>
      <c r="Z359" s="4"/>
      <c r="AA359" s="4"/>
      <c r="AB359" s="4"/>
      <c r="AC359" s="4"/>
      <c r="AD359" s="4"/>
      <c r="AE359" s="4"/>
    </row>
    <row r="360" spans="1:31" ht="14.4">
      <c r="A360" s="4"/>
      <c r="B360" s="4"/>
      <c r="C360" s="50"/>
      <c r="D360" s="56"/>
      <c r="E360" s="56"/>
      <c r="F360" s="59"/>
      <c r="G360" s="4"/>
      <c r="H360" s="56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50"/>
      <c r="U360" s="50"/>
      <c r="V360" s="4"/>
      <c r="W360" s="4"/>
      <c r="X360" s="4"/>
      <c r="Y360" s="4"/>
      <c r="Z360" s="4"/>
      <c r="AA360" s="4"/>
      <c r="AB360" s="4"/>
      <c r="AC360" s="4"/>
      <c r="AD360" s="4"/>
      <c r="AE360" s="4"/>
    </row>
    <row r="361" spans="1:31" ht="14.4">
      <c r="A361" s="4"/>
      <c r="B361" s="4"/>
      <c r="C361" s="50"/>
      <c r="D361" s="56"/>
      <c r="E361" s="56"/>
      <c r="F361" s="59"/>
      <c r="G361" s="4"/>
      <c r="H361" s="56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50"/>
      <c r="U361" s="50"/>
      <c r="V361" s="4"/>
      <c r="W361" s="4"/>
      <c r="X361" s="4"/>
      <c r="Y361" s="4"/>
      <c r="Z361" s="4"/>
      <c r="AA361" s="4"/>
      <c r="AB361" s="4"/>
      <c r="AC361" s="4"/>
      <c r="AD361" s="4"/>
      <c r="AE361" s="4"/>
    </row>
    <row r="362" spans="1:31" ht="14.4">
      <c r="A362" s="4"/>
      <c r="B362" s="4"/>
      <c r="C362" s="50"/>
      <c r="D362" s="56"/>
      <c r="E362" s="56"/>
      <c r="F362" s="59"/>
      <c r="G362" s="4"/>
      <c r="H362" s="56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50"/>
      <c r="U362" s="50"/>
      <c r="V362" s="4"/>
      <c r="W362" s="4"/>
      <c r="X362" s="4"/>
      <c r="Y362" s="4"/>
      <c r="Z362" s="4"/>
      <c r="AA362" s="4"/>
      <c r="AB362" s="4"/>
      <c r="AC362" s="4"/>
      <c r="AD362" s="4"/>
      <c r="AE362" s="4"/>
    </row>
    <row r="363" spans="1:31" ht="14.4">
      <c r="A363" s="4"/>
      <c r="B363" s="4"/>
      <c r="C363" s="50"/>
      <c r="D363" s="56"/>
      <c r="E363" s="56"/>
      <c r="F363" s="59"/>
      <c r="G363" s="4"/>
      <c r="H363" s="56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50"/>
      <c r="U363" s="50"/>
      <c r="V363" s="4"/>
      <c r="W363" s="4"/>
      <c r="X363" s="4"/>
      <c r="Y363" s="4"/>
      <c r="Z363" s="4"/>
      <c r="AA363" s="4"/>
      <c r="AB363" s="4"/>
      <c r="AC363" s="4"/>
      <c r="AD363" s="4"/>
      <c r="AE363" s="4"/>
    </row>
    <row r="364" spans="1:31" ht="14.4">
      <c r="A364" s="4"/>
      <c r="B364" s="4"/>
      <c r="C364" s="50"/>
      <c r="D364" s="56"/>
      <c r="E364" s="56"/>
      <c r="F364" s="59"/>
      <c r="G364" s="4"/>
      <c r="H364" s="56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50"/>
      <c r="U364" s="50"/>
      <c r="V364" s="4"/>
      <c r="W364" s="4"/>
      <c r="X364" s="4"/>
      <c r="Y364" s="4"/>
      <c r="Z364" s="4"/>
      <c r="AA364" s="4"/>
      <c r="AB364" s="4"/>
      <c r="AC364" s="4"/>
      <c r="AD364" s="4"/>
      <c r="AE364" s="4"/>
    </row>
    <row r="365" spans="1:31" ht="14.4">
      <c r="A365" s="4"/>
      <c r="B365" s="4"/>
      <c r="C365" s="50"/>
      <c r="D365" s="56"/>
      <c r="E365" s="56"/>
      <c r="F365" s="59"/>
      <c r="G365" s="4"/>
      <c r="H365" s="56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50"/>
      <c r="U365" s="50"/>
      <c r="V365" s="4"/>
      <c r="W365" s="4"/>
      <c r="X365" s="4"/>
      <c r="Y365" s="4"/>
      <c r="Z365" s="4"/>
      <c r="AA365" s="4"/>
      <c r="AB365" s="4"/>
      <c r="AC365" s="4"/>
      <c r="AD365" s="4"/>
      <c r="AE365" s="4"/>
    </row>
    <row r="366" spans="1:31" ht="14.4">
      <c r="A366" s="4"/>
      <c r="B366" s="4"/>
      <c r="C366" s="50"/>
      <c r="D366" s="56"/>
      <c r="E366" s="56"/>
      <c r="F366" s="59"/>
      <c r="G366" s="4"/>
      <c r="H366" s="56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50"/>
      <c r="U366" s="50"/>
      <c r="V366" s="4"/>
      <c r="W366" s="4"/>
      <c r="X366" s="4"/>
      <c r="Y366" s="4"/>
      <c r="Z366" s="4"/>
      <c r="AA366" s="4"/>
      <c r="AB366" s="4"/>
      <c r="AC366" s="4"/>
      <c r="AD366" s="4"/>
      <c r="AE366" s="4"/>
    </row>
    <row r="367" spans="1:31" ht="14.4">
      <c r="A367" s="4"/>
      <c r="B367" s="4"/>
      <c r="C367" s="50"/>
      <c r="D367" s="56"/>
      <c r="E367" s="56"/>
      <c r="F367" s="59"/>
      <c r="G367" s="4"/>
      <c r="H367" s="56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50"/>
      <c r="U367" s="50"/>
      <c r="V367" s="4"/>
      <c r="W367" s="4"/>
      <c r="X367" s="4"/>
      <c r="Y367" s="4"/>
      <c r="Z367" s="4"/>
      <c r="AA367" s="4"/>
      <c r="AB367" s="4"/>
      <c r="AC367" s="4"/>
      <c r="AD367" s="4"/>
      <c r="AE367" s="4"/>
    </row>
    <row r="368" spans="1:31" ht="14.4">
      <c r="A368" s="4"/>
      <c r="B368" s="4"/>
      <c r="C368" s="50"/>
      <c r="D368" s="56"/>
      <c r="E368" s="56"/>
      <c r="F368" s="59"/>
      <c r="G368" s="4"/>
      <c r="H368" s="56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50"/>
      <c r="U368" s="50"/>
      <c r="V368" s="4"/>
      <c r="W368" s="4"/>
      <c r="X368" s="4"/>
      <c r="Y368" s="4"/>
      <c r="Z368" s="4"/>
      <c r="AA368" s="4"/>
      <c r="AB368" s="4"/>
      <c r="AC368" s="4"/>
      <c r="AD368" s="4"/>
      <c r="AE368" s="4"/>
    </row>
    <row r="369" spans="1:31" ht="14.4">
      <c r="A369" s="4"/>
      <c r="B369" s="4"/>
      <c r="C369" s="50"/>
      <c r="D369" s="56"/>
      <c r="E369" s="56"/>
      <c r="F369" s="59"/>
      <c r="G369" s="4"/>
      <c r="H369" s="56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50"/>
      <c r="U369" s="50"/>
      <c r="V369" s="4"/>
      <c r="W369" s="4"/>
      <c r="X369" s="4"/>
      <c r="Y369" s="4"/>
      <c r="Z369" s="4"/>
      <c r="AA369" s="4"/>
      <c r="AB369" s="4"/>
      <c r="AC369" s="4"/>
      <c r="AD369" s="4"/>
      <c r="AE369" s="4"/>
    </row>
    <row r="370" spans="1:31" ht="14.4">
      <c r="A370" s="4"/>
      <c r="B370" s="4"/>
      <c r="C370" s="50"/>
      <c r="D370" s="56"/>
      <c r="E370" s="56"/>
      <c r="F370" s="59"/>
      <c r="G370" s="4"/>
      <c r="H370" s="56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50"/>
      <c r="U370" s="50"/>
      <c r="V370" s="4"/>
      <c r="W370" s="4"/>
      <c r="X370" s="4"/>
      <c r="Y370" s="4"/>
      <c r="Z370" s="4"/>
      <c r="AA370" s="4"/>
      <c r="AB370" s="4"/>
      <c r="AC370" s="4"/>
      <c r="AD370" s="4"/>
      <c r="AE370" s="4"/>
    </row>
    <row r="371" spans="1:31" ht="14.4">
      <c r="A371" s="4"/>
      <c r="B371" s="4"/>
      <c r="C371" s="50"/>
      <c r="D371" s="56"/>
      <c r="E371" s="56"/>
      <c r="F371" s="59"/>
      <c r="G371" s="4"/>
      <c r="H371" s="56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50"/>
      <c r="U371" s="50"/>
      <c r="V371" s="4"/>
      <c r="W371" s="4"/>
      <c r="X371" s="4"/>
      <c r="Y371" s="4"/>
      <c r="Z371" s="4"/>
      <c r="AA371" s="4"/>
      <c r="AB371" s="4"/>
      <c r="AC371" s="4"/>
      <c r="AD371" s="4"/>
      <c r="AE371" s="4"/>
    </row>
    <row r="372" spans="1:31" ht="14.4">
      <c r="A372" s="4"/>
      <c r="B372" s="4"/>
      <c r="C372" s="50"/>
      <c r="D372" s="56"/>
      <c r="E372" s="56"/>
      <c r="F372" s="59"/>
      <c r="G372" s="4"/>
      <c r="H372" s="56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50"/>
      <c r="U372" s="50"/>
      <c r="V372" s="4"/>
      <c r="W372" s="4"/>
      <c r="X372" s="4"/>
      <c r="Y372" s="4"/>
      <c r="Z372" s="4"/>
      <c r="AA372" s="4"/>
      <c r="AB372" s="4"/>
      <c r="AC372" s="4"/>
      <c r="AD372" s="4"/>
      <c r="AE372" s="4"/>
    </row>
    <row r="373" spans="1:31" ht="14.4">
      <c r="A373" s="4"/>
      <c r="B373" s="4"/>
      <c r="C373" s="50"/>
      <c r="D373" s="56"/>
      <c r="E373" s="56"/>
      <c r="F373" s="59"/>
      <c r="G373" s="4"/>
      <c r="H373" s="56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50"/>
      <c r="U373" s="50"/>
      <c r="V373" s="4"/>
      <c r="W373" s="4"/>
      <c r="X373" s="4"/>
      <c r="Y373" s="4"/>
      <c r="Z373" s="4"/>
      <c r="AA373" s="4"/>
      <c r="AB373" s="4"/>
      <c r="AC373" s="4"/>
      <c r="AD373" s="4"/>
      <c r="AE373" s="4"/>
    </row>
    <row r="374" spans="1:31" ht="14.4">
      <c r="A374" s="4"/>
      <c r="B374" s="4"/>
      <c r="C374" s="50"/>
      <c r="D374" s="56"/>
      <c r="E374" s="56"/>
      <c r="F374" s="59"/>
      <c r="G374" s="4"/>
      <c r="H374" s="56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50"/>
      <c r="U374" s="50"/>
      <c r="V374" s="4"/>
      <c r="W374" s="4"/>
      <c r="X374" s="4"/>
      <c r="Y374" s="4"/>
      <c r="Z374" s="4"/>
      <c r="AA374" s="4"/>
      <c r="AB374" s="4"/>
      <c r="AC374" s="4"/>
      <c r="AD374" s="4"/>
      <c r="AE374" s="4"/>
    </row>
    <row r="375" spans="1:31" ht="14.4">
      <c r="A375" s="4"/>
      <c r="B375" s="4"/>
      <c r="C375" s="50"/>
      <c r="D375" s="56"/>
      <c r="E375" s="56"/>
      <c r="F375" s="59"/>
      <c r="G375" s="4"/>
      <c r="H375" s="56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50"/>
      <c r="U375" s="50"/>
      <c r="V375" s="4"/>
      <c r="W375" s="4"/>
      <c r="X375" s="4"/>
      <c r="Y375" s="4"/>
      <c r="Z375" s="4"/>
      <c r="AA375" s="4"/>
      <c r="AB375" s="4"/>
      <c r="AC375" s="4"/>
      <c r="AD375" s="4"/>
      <c r="AE375" s="4"/>
    </row>
    <row r="376" spans="1:31" ht="14.4">
      <c r="A376" s="4"/>
      <c r="B376" s="4"/>
      <c r="C376" s="50"/>
      <c r="D376" s="56"/>
      <c r="E376" s="56"/>
      <c r="F376" s="59"/>
      <c r="G376" s="4"/>
      <c r="H376" s="56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50"/>
      <c r="U376" s="50"/>
      <c r="V376" s="4"/>
      <c r="W376" s="4"/>
      <c r="X376" s="4"/>
      <c r="Y376" s="4"/>
      <c r="Z376" s="4"/>
      <c r="AA376" s="4"/>
      <c r="AB376" s="4"/>
      <c r="AC376" s="4"/>
      <c r="AD376" s="4"/>
      <c r="AE376" s="4"/>
    </row>
    <row r="377" spans="1:31" ht="14.4">
      <c r="A377" s="4"/>
      <c r="B377" s="4"/>
      <c r="C377" s="50"/>
      <c r="D377" s="56"/>
      <c r="E377" s="56"/>
      <c r="F377" s="59"/>
      <c r="G377" s="4"/>
      <c r="H377" s="56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50"/>
      <c r="U377" s="50"/>
      <c r="V377" s="4"/>
      <c r="W377" s="4"/>
      <c r="X377" s="4"/>
      <c r="Y377" s="4"/>
      <c r="Z377" s="4"/>
      <c r="AA377" s="4"/>
      <c r="AB377" s="4"/>
      <c r="AC377" s="4"/>
      <c r="AD377" s="4"/>
      <c r="AE377" s="4"/>
    </row>
    <row r="378" spans="1:31" ht="14.4">
      <c r="A378" s="4"/>
      <c r="B378" s="4"/>
      <c r="C378" s="50"/>
      <c r="D378" s="56"/>
      <c r="E378" s="56"/>
      <c r="F378" s="59"/>
      <c r="G378" s="4"/>
      <c r="H378" s="56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50"/>
      <c r="U378" s="50"/>
      <c r="V378" s="4"/>
      <c r="W378" s="4"/>
      <c r="X378" s="4"/>
      <c r="Y378" s="4"/>
      <c r="Z378" s="4"/>
      <c r="AA378" s="4"/>
      <c r="AB378" s="4"/>
      <c r="AC378" s="4"/>
      <c r="AD378" s="4"/>
      <c r="AE378" s="4"/>
    </row>
    <row r="379" spans="1:31" ht="14.4">
      <c r="A379" s="4"/>
      <c r="B379" s="4"/>
      <c r="C379" s="50"/>
      <c r="D379" s="56"/>
      <c r="E379" s="56"/>
      <c r="F379" s="59"/>
      <c r="G379" s="4"/>
      <c r="H379" s="56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50"/>
      <c r="U379" s="50"/>
      <c r="V379" s="4"/>
      <c r="W379" s="4"/>
      <c r="X379" s="4"/>
      <c r="Y379" s="4"/>
      <c r="Z379" s="4"/>
      <c r="AA379" s="4"/>
      <c r="AB379" s="4"/>
      <c r="AC379" s="4"/>
      <c r="AD379" s="4"/>
      <c r="AE379" s="4"/>
    </row>
    <row r="380" spans="1:31" ht="14.4">
      <c r="A380" s="4"/>
      <c r="B380" s="4"/>
      <c r="C380" s="50"/>
      <c r="D380" s="56"/>
      <c r="E380" s="56"/>
      <c r="F380" s="59"/>
      <c r="G380" s="4"/>
      <c r="H380" s="56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50"/>
      <c r="U380" s="50"/>
      <c r="V380" s="4"/>
      <c r="W380" s="4"/>
      <c r="X380" s="4"/>
      <c r="Y380" s="4"/>
      <c r="Z380" s="4"/>
      <c r="AA380" s="4"/>
      <c r="AB380" s="4"/>
      <c r="AC380" s="4"/>
      <c r="AD380" s="4"/>
      <c r="AE380" s="4"/>
    </row>
    <row r="381" spans="1:31" ht="14.4">
      <c r="A381" s="4"/>
      <c r="B381" s="4"/>
      <c r="C381" s="50"/>
      <c r="D381" s="56"/>
      <c r="E381" s="56"/>
      <c r="F381" s="59"/>
      <c r="G381" s="4"/>
      <c r="H381" s="56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50"/>
      <c r="U381" s="50"/>
      <c r="V381" s="4"/>
      <c r="W381" s="4"/>
      <c r="X381" s="4"/>
      <c r="Y381" s="4"/>
      <c r="Z381" s="4"/>
      <c r="AA381" s="4"/>
      <c r="AB381" s="4"/>
      <c r="AC381" s="4"/>
      <c r="AD381" s="4"/>
      <c r="AE381" s="4"/>
    </row>
    <row r="382" spans="1:31" ht="14.4">
      <c r="A382" s="4"/>
      <c r="B382" s="4"/>
      <c r="C382" s="50"/>
      <c r="D382" s="56"/>
      <c r="E382" s="56"/>
      <c r="F382" s="59"/>
      <c r="G382" s="4"/>
      <c r="H382" s="56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50"/>
      <c r="U382" s="50"/>
      <c r="V382" s="4"/>
      <c r="W382" s="4"/>
      <c r="X382" s="4"/>
      <c r="Y382" s="4"/>
      <c r="Z382" s="4"/>
      <c r="AA382" s="4"/>
      <c r="AB382" s="4"/>
      <c r="AC382" s="4"/>
      <c r="AD382" s="4"/>
      <c r="AE382" s="4"/>
    </row>
    <row r="383" spans="1:31" ht="14.4">
      <c r="A383" s="4"/>
      <c r="B383" s="4"/>
      <c r="C383" s="50"/>
      <c r="D383" s="56"/>
      <c r="E383" s="56"/>
      <c r="F383" s="59"/>
      <c r="G383" s="4"/>
      <c r="H383" s="56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50"/>
      <c r="U383" s="50"/>
      <c r="V383" s="4"/>
      <c r="W383" s="4"/>
      <c r="X383" s="4"/>
      <c r="Y383" s="4"/>
      <c r="Z383" s="4"/>
      <c r="AA383" s="4"/>
      <c r="AB383" s="4"/>
      <c r="AC383" s="4"/>
      <c r="AD383" s="4"/>
      <c r="AE383" s="4"/>
    </row>
    <row r="384" spans="1:31" ht="14.4">
      <c r="A384" s="4"/>
      <c r="B384" s="4"/>
      <c r="C384" s="50"/>
      <c r="D384" s="56"/>
      <c r="E384" s="56"/>
      <c r="F384" s="59"/>
      <c r="G384" s="4"/>
      <c r="H384" s="56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50"/>
      <c r="U384" s="50"/>
      <c r="V384" s="4"/>
      <c r="W384" s="4"/>
      <c r="X384" s="4"/>
      <c r="Y384" s="4"/>
      <c r="Z384" s="4"/>
      <c r="AA384" s="4"/>
      <c r="AB384" s="4"/>
      <c r="AC384" s="4"/>
      <c r="AD384" s="4"/>
      <c r="AE384" s="4"/>
    </row>
    <row r="385" spans="1:31" ht="14.4">
      <c r="A385" s="4"/>
      <c r="B385" s="4"/>
      <c r="C385" s="50"/>
      <c r="D385" s="56"/>
      <c r="E385" s="56"/>
      <c r="F385" s="59"/>
      <c r="G385" s="4"/>
      <c r="H385" s="56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50"/>
      <c r="U385" s="50"/>
      <c r="V385" s="4"/>
      <c r="W385" s="4"/>
      <c r="X385" s="4"/>
      <c r="Y385" s="4"/>
      <c r="Z385" s="4"/>
      <c r="AA385" s="4"/>
      <c r="AB385" s="4"/>
      <c r="AC385" s="4"/>
      <c r="AD385" s="4"/>
      <c r="AE385" s="4"/>
    </row>
    <row r="386" spans="1:31" ht="14.4">
      <c r="A386" s="4"/>
      <c r="B386" s="4"/>
      <c r="C386" s="50"/>
      <c r="D386" s="56"/>
      <c r="E386" s="56"/>
      <c r="F386" s="59"/>
      <c r="G386" s="4"/>
      <c r="H386" s="56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50"/>
      <c r="U386" s="50"/>
      <c r="V386" s="4"/>
      <c r="W386" s="4"/>
      <c r="X386" s="4"/>
      <c r="Y386" s="4"/>
      <c r="Z386" s="4"/>
      <c r="AA386" s="4"/>
      <c r="AB386" s="4"/>
      <c r="AC386" s="4"/>
      <c r="AD386" s="4"/>
      <c r="AE386" s="4"/>
    </row>
    <row r="387" spans="1:31" ht="14.4">
      <c r="A387" s="4"/>
      <c r="B387" s="4"/>
      <c r="C387" s="50"/>
      <c r="D387" s="56"/>
      <c r="E387" s="56"/>
      <c r="F387" s="59"/>
      <c r="G387" s="4"/>
      <c r="H387" s="56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50"/>
      <c r="U387" s="50"/>
      <c r="V387" s="4"/>
      <c r="W387" s="4"/>
      <c r="X387" s="4"/>
      <c r="Y387" s="4"/>
      <c r="Z387" s="4"/>
      <c r="AA387" s="4"/>
      <c r="AB387" s="4"/>
      <c r="AC387" s="4"/>
      <c r="AD387" s="4"/>
      <c r="AE387" s="4"/>
    </row>
    <row r="388" spans="1:31" ht="14.4">
      <c r="A388" s="4"/>
      <c r="B388" s="4"/>
      <c r="C388" s="50"/>
      <c r="D388" s="56"/>
      <c r="E388" s="56"/>
      <c r="F388" s="59"/>
      <c r="G388" s="4"/>
      <c r="H388" s="56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50"/>
      <c r="U388" s="50"/>
      <c r="V388" s="4"/>
      <c r="W388" s="4"/>
      <c r="X388" s="4"/>
      <c r="Y388" s="4"/>
      <c r="Z388" s="4"/>
      <c r="AA388" s="4"/>
      <c r="AB388" s="4"/>
      <c r="AC388" s="4"/>
      <c r="AD388" s="4"/>
      <c r="AE388" s="4"/>
    </row>
    <row r="389" spans="1:31" ht="14.4">
      <c r="A389" s="4"/>
      <c r="B389" s="4"/>
      <c r="C389" s="50"/>
      <c r="D389" s="56"/>
      <c r="E389" s="56"/>
      <c r="F389" s="59"/>
      <c r="G389" s="4"/>
      <c r="H389" s="56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50"/>
      <c r="U389" s="50"/>
      <c r="V389" s="4"/>
      <c r="W389" s="4"/>
      <c r="X389" s="4"/>
      <c r="Y389" s="4"/>
      <c r="Z389" s="4"/>
      <c r="AA389" s="4"/>
      <c r="AB389" s="4"/>
      <c r="AC389" s="4"/>
      <c r="AD389" s="4"/>
      <c r="AE389" s="4"/>
    </row>
    <row r="390" spans="1:31" ht="14.4">
      <c r="A390" s="4"/>
      <c r="B390" s="4"/>
      <c r="C390" s="50"/>
      <c r="D390" s="56"/>
      <c r="E390" s="56"/>
      <c r="F390" s="59"/>
      <c r="G390" s="4"/>
      <c r="H390" s="56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50"/>
      <c r="U390" s="50"/>
      <c r="V390" s="4"/>
      <c r="W390" s="4"/>
      <c r="X390" s="4"/>
      <c r="Y390" s="4"/>
      <c r="Z390" s="4"/>
      <c r="AA390" s="4"/>
      <c r="AB390" s="4"/>
      <c r="AC390" s="4"/>
      <c r="AD390" s="4"/>
      <c r="AE390" s="4"/>
    </row>
    <row r="391" spans="1:31" ht="14.4">
      <c r="A391" s="4"/>
      <c r="B391" s="4"/>
      <c r="C391" s="50"/>
      <c r="D391" s="56"/>
      <c r="E391" s="56"/>
      <c r="F391" s="59"/>
      <c r="G391" s="4"/>
      <c r="H391" s="56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50"/>
      <c r="U391" s="50"/>
      <c r="V391" s="4"/>
      <c r="W391" s="4"/>
      <c r="X391" s="4"/>
      <c r="Y391" s="4"/>
      <c r="Z391" s="4"/>
      <c r="AA391" s="4"/>
      <c r="AB391" s="4"/>
      <c r="AC391" s="4"/>
      <c r="AD391" s="4"/>
      <c r="AE391" s="4"/>
    </row>
    <row r="392" spans="1:31" ht="14.4">
      <c r="A392" s="4"/>
      <c r="B392" s="4"/>
      <c r="C392" s="50"/>
      <c r="D392" s="56"/>
      <c r="E392" s="56"/>
      <c r="F392" s="59"/>
      <c r="G392" s="4"/>
      <c r="H392" s="56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50"/>
      <c r="U392" s="50"/>
      <c r="V392" s="4"/>
      <c r="W392" s="4"/>
      <c r="X392" s="4"/>
      <c r="Y392" s="4"/>
      <c r="Z392" s="4"/>
      <c r="AA392" s="4"/>
      <c r="AB392" s="4"/>
      <c r="AC392" s="4"/>
      <c r="AD392" s="4"/>
      <c r="AE392" s="4"/>
    </row>
    <row r="393" spans="1:31" ht="14.4">
      <c r="A393" s="4"/>
      <c r="B393" s="4"/>
      <c r="C393" s="50"/>
      <c r="D393" s="56"/>
      <c r="E393" s="56"/>
      <c r="F393" s="59"/>
      <c r="G393" s="4"/>
      <c r="H393" s="56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50"/>
      <c r="U393" s="50"/>
      <c r="V393" s="4"/>
      <c r="W393" s="4"/>
      <c r="X393" s="4"/>
      <c r="Y393" s="4"/>
      <c r="Z393" s="4"/>
      <c r="AA393" s="4"/>
      <c r="AB393" s="4"/>
      <c r="AC393" s="4"/>
      <c r="AD393" s="4"/>
      <c r="AE393" s="4"/>
    </row>
    <row r="394" spans="1:31" ht="14.4">
      <c r="A394" s="4"/>
      <c r="B394" s="4"/>
      <c r="C394" s="50"/>
      <c r="D394" s="56"/>
      <c r="E394" s="56"/>
      <c r="F394" s="59"/>
      <c r="G394" s="4"/>
      <c r="H394" s="56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50"/>
      <c r="U394" s="50"/>
      <c r="V394" s="4"/>
      <c r="W394" s="4"/>
      <c r="X394" s="4"/>
      <c r="Y394" s="4"/>
      <c r="Z394" s="4"/>
      <c r="AA394" s="4"/>
      <c r="AB394" s="4"/>
      <c r="AC394" s="4"/>
      <c r="AD394" s="4"/>
      <c r="AE394" s="4"/>
    </row>
    <row r="395" spans="1:31" ht="14.4">
      <c r="A395" s="4"/>
      <c r="B395" s="4"/>
      <c r="C395" s="50"/>
      <c r="D395" s="56"/>
      <c r="E395" s="56"/>
      <c r="F395" s="59"/>
      <c r="G395" s="4"/>
      <c r="H395" s="56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50"/>
      <c r="U395" s="50"/>
      <c r="V395" s="4"/>
      <c r="W395" s="4"/>
      <c r="X395" s="4"/>
      <c r="Y395" s="4"/>
      <c r="Z395" s="4"/>
      <c r="AA395" s="4"/>
      <c r="AB395" s="4"/>
      <c r="AC395" s="4"/>
      <c r="AD395" s="4"/>
      <c r="AE395" s="4"/>
    </row>
    <row r="396" spans="1:31" ht="14.4">
      <c r="A396" s="4"/>
      <c r="B396" s="4"/>
      <c r="C396" s="50"/>
      <c r="D396" s="56"/>
      <c r="E396" s="56"/>
      <c r="F396" s="59"/>
      <c r="G396" s="4"/>
      <c r="H396" s="56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50"/>
      <c r="U396" s="50"/>
      <c r="V396" s="4"/>
      <c r="W396" s="4"/>
      <c r="X396" s="4"/>
      <c r="Y396" s="4"/>
      <c r="Z396" s="4"/>
      <c r="AA396" s="4"/>
      <c r="AB396" s="4"/>
      <c r="AC396" s="4"/>
      <c r="AD396" s="4"/>
      <c r="AE396" s="4"/>
    </row>
    <row r="397" spans="1:31" ht="14.4">
      <c r="A397" s="4"/>
      <c r="B397" s="4"/>
      <c r="C397" s="50"/>
      <c r="D397" s="56"/>
      <c r="E397" s="56"/>
      <c r="F397" s="59"/>
      <c r="G397" s="4"/>
      <c r="H397" s="56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50"/>
      <c r="U397" s="50"/>
      <c r="V397" s="4"/>
      <c r="W397" s="4"/>
      <c r="X397" s="4"/>
      <c r="Y397" s="4"/>
      <c r="Z397" s="4"/>
      <c r="AA397" s="4"/>
      <c r="AB397" s="4"/>
      <c r="AC397" s="4"/>
      <c r="AD397" s="4"/>
      <c r="AE397" s="4"/>
    </row>
    <row r="398" spans="1:31" ht="14.4">
      <c r="A398" s="4"/>
      <c r="B398" s="4"/>
      <c r="C398" s="50"/>
      <c r="D398" s="56"/>
      <c r="E398" s="56"/>
      <c r="F398" s="59"/>
      <c r="G398" s="4"/>
      <c r="H398" s="56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50"/>
      <c r="U398" s="50"/>
      <c r="V398" s="4"/>
      <c r="W398" s="4"/>
      <c r="X398" s="4"/>
      <c r="Y398" s="4"/>
      <c r="Z398" s="4"/>
      <c r="AA398" s="4"/>
      <c r="AB398" s="4"/>
      <c r="AC398" s="4"/>
      <c r="AD398" s="4"/>
      <c r="AE398" s="4"/>
    </row>
    <row r="399" spans="1:31" ht="14.4">
      <c r="A399" s="4"/>
      <c r="B399" s="4"/>
      <c r="C399" s="50"/>
      <c r="D399" s="56"/>
      <c r="E399" s="56"/>
      <c r="F399" s="59"/>
      <c r="G399" s="4"/>
      <c r="H399" s="56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50"/>
      <c r="U399" s="50"/>
      <c r="V399" s="4"/>
      <c r="W399" s="4"/>
      <c r="X399" s="4"/>
      <c r="Y399" s="4"/>
      <c r="Z399" s="4"/>
      <c r="AA399" s="4"/>
      <c r="AB399" s="4"/>
      <c r="AC399" s="4"/>
      <c r="AD399" s="4"/>
      <c r="AE399" s="4"/>
    </row>
    <row r="400" spans="1:31" ht="14.4">
      <c r="A400" s="4"/>
      <c r="B400" s="4"/>
      <c r="C400" s="50"/>
      <c r="D400" s="56"/>
      <c r="E400" s="56"/>
      <c r="F400" s="59"/>
      <c r="G400" s="4"/>
      <c r="H400" s="56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50"/>
      <c r="U400" s="50"/>
      <c r="V400" s="4"/>
      <c r="W400" s="4"/>
      <c r="X400" s="4"/>
      <c r="Y400" s="4"/>
      <c r="Z400" s="4"/>
      <c r="AA400" s="4"/>
      <c r="AB400" s="4"/>
      <c r="AC400" s="4"/>
      <c r="AD400" s="4"/>
      <c r="AE400" s="4"/>
    </row>
    <row r="401" spans="1:31" ht="14.4">
      <c r="A401" s="4"/>
      <c r="B401" s="4"/>
      <c r="C401" s="50"/>
      <c r="D401" s="56"/>
      <c r="E401" s="56"/>
      <c r="F401" s="59"/>
      <c r="G401" s="4"/>
      <c r="H401" s="56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50"/>
      <c r="U401" s="50"/>
      <c r="V401" s="4"/>
      <c r="W401" s="4"/>
      <c r="X401" s="4"/>
      <c r="Y401" s="4"/>
      <c r="Z401" s="4"/>
      <c r="AA401" s="4"/>
      <c r="AB401" s="4"/>
      <c r="AC401" s="4"/>
      <c r="AD401" s="4"/>
      <c r="AE401" s="4"/>
    </row>
    <row r="402" spans="1:31" ht="14.4">
      <c r="A402" s="4"/>
      <c r="B402" s="4"/>
      <c r="C402" s="50"/>
      <c r="D402" s="56"/>
      <c r="E402" s="56"/>
      <c r="F402" s="59"/>
      <c r="G402" s="4"/>
      <c r="H402" s="56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50"/>
      <c r="U402" s="50"/>
      <c r="V402" s="4"/>
      <c r="W402" s="4"/>
      <c r="X402" s="4"/>
      <c r="Y402" s="4"/>
      <c r="Z402" s="4"/>
      <c r="AA402" s="4"/>
      <c r="AB402" s="4"/>
      <c r="AC402" s="4"/>
      <c r="AD402" s="4"/>
      <c r="AE402" s="4"/>
    </row>
    <row r="403" spans="1:31" ht="14.4">
      <c r="A403" s="4"/>
      <c r="B403" s="4"/>
      <c r="C403" s="50"/>
      <c r="D403" s="56"/>
      <c r="E403" s="56"/>
      <c r="F403" s="59"/>
      <c r="G403" s="4"/>
      <c r="H403" s="56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50"/>
      <c r="U403" s="50"/>
      <c r="V403" s="4"/>
      <c r="W403" s="4"/>
      <c r="X403" s="4"/>
      <c r="Y403" s="4"/>
      <c r="Z403" s="4"/>
      <c r="AA403" s="4"/>
      <c r="AB403" s="4"/>
      <c r="AC403" s="4"/>
      <c r="AD403" s="4"/>
      <c r="AE403" s="4"/>
    </row>
    <row r="404" spans="1:31" ht="14.4">
      <c r="A404" s="4"/>
      <c r="B404" s="4"/>
      <c r="C404" s="50"/>
      <c r="D404" s="56"/>
      <c r="E404" s="56"/>
      <c r="F404" s="59"/>
      <c r="G404" s="4"/>
      <c r="H404" s="56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50"/>
      <c r="U404" s="50"/>
      <c r="V404" s="4"/>
      <c r="W404" s="4"/>
      <c r="X404" s="4"/>
      <c r="Y404" s="4"/>
      <c r="Z404" s="4"/>
      <c r="AA404" s="4"/>
      <c r="AB404" s="4"/>
      <c r="AC404" s="4"/>
      <c r="AD404" s="4"/>
      <c r="AE404" s="4"/>
    </row>
    <row r="405" spans="1:31" ht="14.4">
      <c r="A405" s="4"/>
      <c r="B405" s="4"/>
      <c r="C405" s="50"/>
      <c r="D405" s="56"/>
      <c r="E405" s="56"/>
      <c r="F405" s="59"/>
      <c r="G405" s="4"/>
      <c r="H405" s="56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50"/>
      <c r="U405" s="50"/>
      <c r="V405" s="4"/>
      <c r="W405" s="4"/>
      <c r="X405" s="4"/>
      <c r="Y405" s="4"/>
      <c r="Z405" s="4"/>
      <c r="AA405" s="4"/>
      <c r="AB405" s="4"/>
      <c r="AC405" s="4"/>
      <c r="AD405" s="4"/>
      <c r="AE405" s="4"/>
    </row>
    <row r="406" spans="1:31" ht="14.4">
      <c r="A406" s="4"/>
      <c r="B406" s="4"/>
      <c r="C406" s="50"/>
      <c r="D406" s="56"/>
      <c r="E406" s="56"/>
      <c r="F406" s="59"/>
      <c r="G406" s="4"/>
      <c r="H406" s="56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50"/>
      <c r="U406" s="50"/>
      <c r="V406" s="4"/>
      <c r="W406" s="4"/>
      <c r="X406" s="4"/>
      <c r="Y406" s="4"/>
      <c r="Z406" s="4"/>
      <c r="AA406" s="4"/>
      <c r="AB406" s="4"/>
      <c r="AC406" s="4"/>
      <c r="AD406" s="4"/>
      <c r="AE406" s="4"/>
    </row>
    <row r="407" spans="1:31" ht="14.4">
      <c r="A407" s="4"/>
      <c r="B407" s="4"/>
      <c r="C407" s="50"/>
      <c r="D407" s="56"/>
      <c r="E407" s="56"/>
      <c r="F407" s="59"/>
      <c r="G407" s="4"/>
      <c r="H407" s="56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50"/>
      <c r="U407" s="50"/>
      <c r="V407" s="4"/>
      <c r="W407" s="4"/>
      <c r="X407" s="4"/>
      <c r="Y407" s="4"/>
      <c r="Z407" s="4"/>
      <c r="AA407" s="4"/>
      <c r="AB407" s="4"/>
      <c r="AC407" s="4"/>
      <c r="AD407" s="4"/>
      <c r="AE407" s="4"/>
    </row>
    <row r="408" spans="1:31" ht="14.4">
      <c r="A408" s="4"/>
      <c r="B408" s="4"/>
      <c r="C408" s="50"/>
      <c r="D408" s="56"/>
      <c r="E408" s="56"/>
      <c r="F408" s="59"/>
      <c r="G408" s="4"/>
      <c r="H408" s="56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50"/>
      <c r="U408" s="50"/>
      <c r="V408" s="4"/>
      <c r="W408" s="4"/>
      <c r="X408" s="4"/>
      <c r="Y408" s="4"/>
      <c r="Z408" s="4"/>
      <c r="AA408" s="4"/>
      <c r="AB408" s="4"/>
      <c r="AC408" s="4"/>
      <c r="AD408" s="4"/>
      <c r="AE408" s="4"/>
    </row>
    <row r="409" spans="1:31" ht="14.4">
      <c r="A409" s="4"/>
      <c r="B409" s="4"/>
      <c r="C409" s="50"/>
      <c r="D409" s="56"/>
      <c r="E409" s="56"/>
      <c r="F409" s="59"/>
      <c r="G409" s="4"/>
      <c r="H409" s="56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50"/>
      <c r="U409" s="50"/>
      <c r="V409" s="4"/>
      <c r="W409" s="4"/>
      <c r="X409" s="4"/>
      <c r="Y409" s="4"/>
      <c r="Z409" s="4"/>
      <c r="AA409" s="4"/>
      <c r="AB409" s="4"/>
      <c r="AC409" s="4"/>
      <c r="AD409" s="4"/>
      <c r="AE409" s="4"/>
    </row>
    <row r="410" spans="1:31" ht="14.4">
      <c r="A410" s="4"/>
      <c r="B410" s="4"/>
      <c r="C410" s="50"/>
      <c r="D410" s="56"/>
      <c r="E410" s="56"/>
      <c r="F410" s="59"/>
      <c r="G410" s="4"/>
      <c r="H410" s="56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50"/>
      <c r="U410" s="50"/>
      <c r="V410" s="4"/>
      <c r="W410" s="4"/>
      <c r="X410" s="4"/>
      <c r="Y410" s="4"/>
      <c r="Z410" s="4"/>
      <c r="AA410" s="4"/>
      <c r="AB410" s="4"/>
      <c r="AC410" s="4"/>
      <c r="AD410" s="4"/>
      <c r="AE410" s="4"/>
    </row>
    <row r="411" spans="1:31" ht="14.4">
      <c r="A411" s="4"/>
      <c r="B411" s="4"/>
      <c r="C411" s="50"/>
      <c r="D411" s="56"/>
      <c r="E411" s="56"/>
      <c r="F411" s="59"/>
      <c r="G411" s="4"/>
      <c r="H411" s="56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50"/>
      <c r="U411" s="50"/>
      <c r="V411" s="4"/>
      <c r="W411" s="4"/>
      <c r="X411" s="4"/>
      <c r="Y411" s="4"/>
      <c r="Z411" s="4"/>
      <c r="AA411" s="4"/>
      <c r="AB411" s="4"/>
      <c r="AC411" s="4"/>
      <c r="AD411" s="4"/>
      <c r="AE411" s="4"/>
    </row>
    <row r="412" spans="1:31" ht="14.4">
      <c r="A412" s="4"/>
      <c r="B412" s="4"/>
      <c r="C412" s="50"/>
      <c r="D412" s="56"/>
      <c r="E412" s="56"/>
      <c r="F412" s="59"/>
      <c r="G412" s="4"/>
      <c r="H412" s="56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50"/>
      <c r="U412" s="50"/>
      <c r="V412" s="4"/>
      <c r="W412" s="4"/>
      <c r="X412" s="4"/>
      <c r="Y412" s="4"/>
      <c r="Z412" s="4"/>
      <c r="AA412" s="4"/>
      <c r="AB412" s="4"/>
      <c r="AC412" s="4"/>
      <c r="AD412" s="4"/>
      <c r="AE412" s="4"/>
    </row>
    <row r="413" spans="1:31" ht="14.4">
      <c r="A413" s="4"/>
      <c r="B413" s="4"/>
      <c r="C413" s="50"/>
      <c r="D413" s="56"/>
      <c r="E413" s="56"/>
      <c r="F413" s="59"/>
      <c r="G413" s="4"/>
      <c r="H413" s="56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50"/>
      <c r="U413" s="50"/>
      <c r="V413" s="4"/>
      <c r="W413" s="4"/>
      <c r="X413" s="4"/>
      <c r="Y413" s="4"/>
      <c r="Z413" s="4"/>
      <c r="AA413" s="4"/>
      <c r="AB413" s="4"/>
      <c r="AC413" s="4"/>
      <c r="AD413" s="4"/>
      <c r="AE413" s="4"/>
    </row>
    <row r="414" spans="1:31" ht="14.4">
      <c r="A414" s="4"/>
      <c r="B414" s="4"/>
      <c r="C414" s="50"/>
      <c r="D414" s="56"/>
      <c r="E414" s="56"/>
      <c r="F414" s="59"/>
      <c r="G414" s="4"/>
      <c r="H414" s="56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50"/>
      <c r="U414" s="50"/>
      <c r="V414" s="4"/>
      <c r="W414" s="4"/>
      <c r="X414" s="4"/>
      <c r="Y414" s="4"/>
      <c r="Z414" s="4"/>
      <c r="AA414" s="4"/>
      <c r="AB414" s="4"/>
      <c r="AC414" s="4"/>
      <c r="AD414" s="4"/>
      <c r="AE414" s="4"/>
    </row>
    <row r="415" spans="1:31" ht="14.4">
      <c r="A415" s="4"/>
      <c r="B415" s="4"/>
      <c r="C415" s="50"/>
      <c r="D415" s="56"/>
      <c r="E415" s="56"/>
      <c r="F415" s="59"/>
      <c r="G415" s="4"/>
      <c r="H415" s="56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50"/>
      <c r="U415" s="50"/>
      <c r="V415" s="4"/>
      <c r="W415" s="4"/>
      <c r="X415" s="4"/>
      <c r="Y415" s="4"/>
      <c r="Z415" s="4"/>
      <c r="AA415" s="4"/>
      <c r="AB415" s="4"/>
      <c r="AC415" s="4"/>
      <c r="AD415" s="4"/>
      <c r="AE415" s="4"/>
    </row>
    <row r="416" spans="1:31" ht="14.4">
      <c r="A416" s="4"/>
      <c r="B416" s="4"/>
      <c r="C416" s="50"/>
      <c r="D416" s="56"/>
      <c r="E416" s="56"/>
      <c r="F416" s="59"/>
      <c r="G416" s="4"/>
      <c r="H416" s="56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50"/>
      <c r="U416" s="50"/>
      <c r="V416" s="4"/>
      <c r="W416" s="4"/>
      <c r="X416" s="4"/>
      <c r="Y416" s="4"/>
      <c r="Z416" s="4"/>
      <c r="AA416" s="4"/>
      <c r="AB416" s="4"/>
      <c r="AC416" s="4"/>
      <c r="AD416" s="4"/>
      <c r="AE416" s="4"/>
    </row>
    <row r="417" spans="1:31" ht="14.4">
      <c r="A417" s="4"/>
      <c r="B417" s="4"/>
      <c r="C417" s="50"/>
      <c r="D417" s="56"/>
      <c r="E417" s="56"/>
      <c r="F417" s="59"/>
      <c r="G417" s="4"/>
      <c r="H417" s="56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50"/>
      <c r="U417" s="50"/>
      <c r="V417" s="4"/>
      <c r="W417" s="4"/>
      <c r="X417" s="4"/>
      <c r="Y417" s="4"/>
      <c r="Z417" s="4"/>
      <c r="AA417" s="4"/>
      <c r="AB417" s="4"/>
      <c r="AC417" s="4"/>
      <c r="AD417" s="4"/>
      <c r="AE417" s="4"/>
    </row>
    <row r="418" spans="1:31" ht="14.4">
      <c r="A418" s="4"/>
      <c r="B418" s="4"/>
      <c r="C418" s="50"/>
      <c r="D418" s="56"/>
      <c r="E418" s="56"/>
      <c r="F418" s="59"/>
      <c r="G418" s="4"/>
      <c r="H418" s="56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50"/>
      <c r="U418" s="50"/>
      <c r="V418" s="4"/>
      <c r="W418" s="4"/>
      <c r="X418" s="4"/>
      <c r="Y418" s="4"/>
      <c r="Z418" s="4"/>
      <c r="AA418" s="4"/>
      <c r="AB418" s="4"/>
      <c r="AC418" s="4"/>
      <c r="AD418" s="4"/>
      <c r="AE418" s="4"/>
    </row>
    <row r="419" spans="1:31" ht="14.4">
      <c r="A419" s="4"/>
      <c r="B419" s="4"/>
      <c r="C419" s="50"/>
      <c r="D419" s="56"/>
      <c r="E419" s="56"/>
      <c r="F419" s="59"/>
      <c r="G419" s="4"/>
      <c r="H419" s="56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50"/>
      <c r="U419" s="50"/>
      <c r="V419" s="4"/>
      <c r="W419" s="4"/>
      <c r="X419" s="4"/>
      <c r="Y419" s="4"/>
      <c r="Z419" s="4"/>
      <c r="AA419" s="4"/>
      <c r="AB419" s="4"/>
      <c r="AC419" s="4"/>
      <c r="AD419" s="4"/>
      <c r="AE419" s="4"/>
    </row>
    <row r="420" spans="1:31" ht="14.4">
      <c r="A420" s="4"/>
      <c r="B420" s="4"/>
      <c r="C420" s="50"/>
      <c r="D420" s="56"/>
      <c r="E420" s="56"/>
      <c r="F420" s="59"/>
      <c r="G420" s="4"/>
      <c r="H420" s="56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50"/>
      <c r="U420" s="50"/>
      <c r="V420" s="4"/>
      <c r="W420" s="4"/>
      <c r="X420" s="4"/>
      <c r="Y420" s="4"/>
      <c r="Z420" s="4"/>
      <c r="AA420" s="4"/>
      <c r="AB420" s="4"/>
      <c r="AC420" s="4"/>
      <c r="AD420" s="4"/>
      <c r="AE420" s="4"/>
    </row>
    <row r="421" spans="1:31" ht="14.4">
      <c r="A421" s="4"/>
      <c r="B421" s="4"/>
      <c r="C421" s="50"/>
      <c r="D421" s="56"/>
      <c r="E421" s="56"/>
      <c r="F421" s="59"/>
      <c r="G421" s="4"/>
      <c r="H421" s="56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50"/>
      <c r="U421" s="50"/>
      <c r="V421" s="4"/>
      <c r="W421" s="4"/>
      <c r="X421" s="4"/>
      <c r="Y421" s="4"/>
      <c r="Z421" s="4"/>
      <c r="AA421" s="4"/>
      <c r="AB421" s="4"/>
      <c r="AC421" s="4"/>
      <c r="AD421" s="4"/>
      <c r="AE421" s="4"/>
    </row>
    <row r="422" spans="1:31" ht="14.4">
      <c r="A422" s="4"/>
      <c r="B422" s="4"/>
      <c r="C422" s="50"/>
      <c r="D422" s="56"/>
      <c r="E422" s="56"/>
      <c r="F422" s="59"/>
      <c r="G422" s="4"/>
      <c r="H422" s="56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50"/>
      <c r="U422" s="50"/>
      <c r="V422" s="4"/>
      <c r="W422" s="4"/>
      <c r="X422" s="4"/>
      <c r="Y422" s="4"/>
      <c r="Z422" s="4"/>
      <c r="AA422" s="4"/>
      <c r="AB422" s="4"/>
      <c r="AC422" s="4"/>
      <c r="AD422" s="4"/>
      <c r="AE422" s="4"/>
    </row>
    <row r="423" spans="1:31" ht="14.4">
      <c r="A423" s="4"/>
      <c r="B423" s="4"/>
      <c r="C423" s="50"/>
      <c r="D423" s="56"/>
      <c r="E423" s="56"/>
      <c r="F423" s="59"/>
      <c r="G423" s="4"/>
      <c r="H423" s="56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50"/>
      <c r="U423" s="50"/>
      <c r="V423" s="4"/>
      <c r="W423" s="4"/>
      <c r="X423" s="4"/>
      <c r="Y423" s="4"/>
      <c r="Z423" s="4"/>
      <c r="AA423" s="4"/>
      <c r="AB423" s="4"/>
      <c r="AC423" s="4"/>
      <c r="AD423" s="4"/>
      <c r="AE423" s="4"/>
    </row>
    <row r="424" spans="1:31" ht="14.4">
      <c r="A424" s="4"/>
      <c r="B424" s="4"/>
      <c r="C424" s="50"/>
      <c r="D424" s="56"/>
      <c r="E424" s="56"/>
      <c r="F424" s="59"/>
      <c r="G424" s="4"/>
      <c r="H424" s="56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50"/>
      <c r="U424" s="50"/>
      <c r="V424" s="4"/>
      <c r="W424" s="4"/>
      <c r="X424" s="4"/>
      <c r="Y424" s="4"/>
      <c r="Z424" s="4"/>
      <c r="AA424" s="4"/>
      <c r="AB424" s="4"/>
      <c r="AC424" s="4"/>
      <c r="AD424" s="4"/>
      <c r="AE424" s="4"/>
    </row>
    <row r="425" spans="1:31" ht="14.4">
      <c r="A425" s="4"/>
      <c r="B425" s="4"/>
      <c r="C425" s="50"/>
      <c r="D425" s="56"/>
      <c r="E425" s="56"/>
      <c r="F425" s="59"/>
      <c r="G425" s="4"/>
      <c r="H425" s="56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50"/>
      <c r="U425" s="50"/>
      <c r="V425" s="4"/>
      <c r="W425" s="4"/>
      <c r="X425" s="4"/>
      <c r="Y425" s="4"/>
      <c r="Z425" s="4"/>
      <c r="AA425" s="4"/>
      <c r="AB425" s="4"/>
      <c r="AC425" s="4"/>
      <c r="AD425" s="4"/>
      <c r="AE425" s="4"/>
    </row>
    <row r="426" spans="1:31" ht="14.4">
      <c r="A426" s="4"/>
      <c r="B426" s="4"/>
      <c r="C426" s="50"/>
      <c r="D426" s="56"/>
      <c r="E426" s="56"/>
      <c r="F426" s="59"/>
      <c r="G426" s="4"/>
      <c r="H426" s="56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50"/>
      <c r="U426" s="50"/>
      <c r="V426" s="4"/>
      <c r="W426" s="4"/>
      <c r="X426" s="4"/>
      <c r="Y426" s="4"/>
      <c r="Z426" s="4"/>
      <c r="AA426" s="4"/>
      <c r="AB426" s="4"/>
      <c r="AC426" s="4"/>
      <c r="AD426" s="4"/>
      <c r="AE426" s="4"/>
    </row>
    <row r="427" spans="1:31" ht="14.4">
      <c r="A427" s="4"/>
      <c r="B427" s="4"/>
      <c r="C427" s="50"/>
      <c r="D427" s="56"/>
      <c r="E427" s="56"/>
      <c r="F427" s="59"/>
      <c r="G427" s="4"/>
      <c r="H427" s="56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50"/>
      <c r="U427" s="50"/>
      <c r="V427" s="4"/>
      <c r="W427" s="4"/>
      <c r="X427" s="4"/>
      <c r="Y427" s="4"/>
      <c r="Z427" s="4"/>
      <c r="AA427" s="4"/>
      <c r="AB427" s="4"/>
      <c r="AC427" s="4"/>
      <c r="AD427" s="4"/>
      <c r="AE427" s="4"/>
    </row>
    <row r="428" spans="1:31" ht="14.4">
      <c r="A428" s="4"/>
      <c r="B428" s="4"/>
      <c r="C428" s="50"/>
      <c r="D428" s="56"/>
      <c r="E428" s="56"/>
      <c r="F428" s="59"/>
      <c r="G428" s="4"/>
      <c r="H428" s="56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50"/>
      <c r="U428" s="50"/>
      <c r="V428" s="4"/>
      <c r="W428" s="4"/>
      <c r="X428" s="4"/>
      <c r="Y428" s="4"/>
      <c r="Z428" s="4"/>
      <c r="AA428" s="4"/>
      <c r="AB428" s="4"/>
      <c r="AC428" s="4"/>
      <c r="AD428" s="4"/>
      <c r="AE428" s="4"/>
    </row>
    <row r="429" spans="1:31" ht="14.4">
      <c r="A429" s="4"/>
      <c r="B429" s="4"/>
      <c r="C429" s="50"/>
      <c r="D429" s="56"/>
      <c r="E429" s="56"/>
      <c r="F429" s="59"/>
      <c r="G429" s="4"/>
      <c r="H429" s="56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50"/>
      <c r="U429" s="50"/>
      <c r="V429" s="4"/>
      <c r="W429" s="4"/>
      <c r="X429" s="4"/>
      <c r="Y429" s="4"/>
      <c r="Z429" s="4"/>
      <c r="AA429" s="4"/>
      <c r="AB429" s="4"/>
      <c r="AC429" s="4"/>
      <c r="AD429" s="4"/>
      <c r="AE429" s="4"/>
    </row>
    <row r="430" spans="1:31" ht="14.4">
      <c r="A430" s="4"/>
      <c r="B430" s="4"/>
      <c r="C430" s="50"/>
      <c r="D430" s="56"/>
      <c r="E430" s="56"/>
      <c r="F430" s="59"/>
      <c r="G430" s="4"/>
      <c r="H430" s="56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50"/>
      <c r="U430" s="50"/>
      <c r="V430" s="4"/>
      <c r="W430" s="4"/>
      <c r="X430" s="4"/>
      <c r="Y430" s="4"/>
      <c r="Z430" s="4"/>
      <c r="AA430" s="4"/>
      <c r="AB430" s="4"/>
      <c r="AC430" s="4"/>
      <c r="AD430" s="4"/>
      <c r="AE430" s="4"/>
    </row>
    <row r="431" spans="1:31" ht="14.4">
      <c r="A431" s="4"/>
      <c r="B431" s="4"/>
      <c r="C431" s="50"/>
      <c r="D431" s="56"/>
      <c r="E431" s="56"/>
      <c r="F431" s="59"/>
      <c r="G431" s="4"/>
      <c r="H431" s="56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50"/>
      <c r="U431" s="50"/>
      <c r="V431" s="4"/>
      <c r="W431" s="4"/>
      <c r="X431" s="4"/>
      <c r="Y431" s="4"/>
      <c r="Z431" s="4"/>
      <c r="AA431" s="4"/>
      <c r="AB431" s="4"/>
      <c r="AC431" s="4"/>
      <c r="AD431" s="4"/>
      <c r="AE431" s="4"/>
    </row>
    <row r="432" spans="1:31" ht="14.4">
      <c r="A432" s="4"/>
      <c r="B432" s="4"/>
      <c r="C432" s="50"/>
      <c r="D432" s="56"/>
      <c r="E432" s="56"/>
      <c r="F432" s="59"/>
      <c r="G432" s="4"/>
      <c r="H432" s="56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50"/>
      <c r="U432" s="50"/>
      <c r="V432" s="4"/>
      <c r="W432" s="4"/>
      <c r="X432" s="4"/>
      <c r="Y432" s="4"/>
      <c r="Z432" s="4"/>
      <c r="AA432" s="4"/>
      <c r="AB432" s="4"/>
      <c r="AC432" s="4"/>
      <c r="AD432" s="4"/>
      <c r="AE432" s="4"/>
    </row>
    <row r="433" spans="1:31" ht="14.4">
      <c r="A433" s="4"/>
      <c r="B433" s="4"/>
      <c r="C433" s="50"/>
      <c r="D433" s="56"/>
      <c r="E433" s="56"/>
      <c r="F433" s="59"/>
      <c r="G433" s="4"/>
      <c r="H433" s="56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50"/>
      <c r="U433" s="50"/>
      <c r="V433" s="4"/>
      <c r="W433" s="4"/>
      <c r="X433" s="4"/>
      <c r="Y433" s="4"/>
      <c r="Z433" s="4"/>
      <c r="AA433" s="4"/>
      <c r="AB433" s="4"/>
      <c r="AC433" s="4"/>
      <c r="AD433" s="4"/>
      <c r="AE433" s="4"/>
    </row>
    <row r="434" spans="1:31" ht="14.4">
      <c r="A434" s="4"/>
      <c r="B434" s="4"/>
      <c r="C434" s="50"/>
      <c r="D434" s="56"/>
      <c r="E434" s="56"/>
      <c r="F434" s="59"/>
      <c r="G434" s="4"/>
      <c r="H434" s="56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50"/>
      <c r="U434" s="50"/>
      <c r="V434" s="4"/>
      <c r="W434" s="4"/>
      <c r="X434" s="4"/>
      <c r="Y434" s="4"/>
      <c r="Z434" s="4"/>
      <c r="AA434" s="4"/>
      <c r="AB434" s="4"/>
      <c r="AC434" s="4"/>
      <c r="AD434" s="4"/>
      <c r="AE434" s="4"/>
    </row>
    <row r="435" spans="1:31" ht="14.4">
      <c r="A435" s="4"/>
      <c r="B435" s="4"/>
      <c r="C435" s="50"/>
      <c r="D435" s="56"/>
      <c r="E435" s="56"/>
      <c r="F435" s="59"/>
      <c r="G435" s="4"/>
      <c r="H435" s="56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50"/>
      <c r="U435" s="50"/>
      <c r="V435" s="4"/>
      <c r="W435" s="4"/>
      <c r="X435" s="4"/>
      <c r="Y435" s="4"/>
      <c r="Z435" s="4"/>
      <c r="AA435" s="4"/>
      <c r="AB435" s="4"/>
      <c r="AC435" s="4"/>
      <c r="AD435" s="4"/>
      <c r="AE435" s="4"/>
    </row>
    <row r="436" spans="1:31" ht="14.4">
      <c r="A436" s="4"/>
      <c r="B436" s="4"/>
      <c r="C436" s="50"/>
      <c r="D436" s="56"/>
      <c r="E436" s="56"/>
      <c r="F436" s="59"/>
      <c r="G436" s="4"/>
      <c r="H436" s="56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50"/>
      <c r="U436" s="50"/>
      <c r="V436" s="4"/>
      <c r="W436" s="4"/>
      <c r="X436" s="4"/>
      <c r="Y436" s="4"/>
      <c r="Z436" s="4"/>
      <c r="AA436" s="4"/>
      <c r="AB436" s="4"/>
      <c r="AC436" s="4"/>
      <c r="AD436" s="4"/>
      <c r="AE436" s="4"/>
    </row>
    <row r="437" spans="1:31" ht="14.4">
      <c r="A437" s="4"/>
      <c r="B437" s="4"/>
      <c r="C437" s="50"/>
      <c r="D437" s="56"/>
      <c r="E437" s="56"/>
      <c r="F437" s="59"/>
      <c r="G437" s="4"/>
      <c r="H437" s="56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50"/>
      <c r="U437" s="50"/>
      <c r="V437" s="4"/>
      <c r="W437" s="4"/>
      <c r="X437" s="4"/>
      <c r="Y437" s="4"/>
      <c r="Z437" s="4"/>
      <c r="AA437" s="4"/>
      <c r="AB437" s="4"/>
      <c r="AC437" s="4"/>
      <c r="AD437" s="4"/>
      <c r="AE437" s="4"/>
    </row>
    <row r="438" spans="1:31" ht="14.4">
      <c r="A438" s="4"/>
      <c r="B438" s="4"/>
      <c r="C438" s="50"/>
      <c r="D438" s="56"/>
      <c r="E438" s="56"/>
      <c r="F438" s="59"/>
      <c r="G438" s="4"/>
      <c r="H438" s="56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50"/>
      <c r="U438" s="50"/>
      <c r="V438" s="4"/>
      <c r="W438" s="4"/>
      <c r="X438" s="4"/>
      <c r="Y438" s="4"/>
      <c r="Z438" s="4"/>
      <c r="AA438" s="4"/>
      <c r="AB438" s="4"/>
      <c r="AC438" s="4"/>
      <c r="AD438" s="4"/>
      <c r="AE438" s="4"/>
    </row>
    <row r="439" spans="1:31" ht="14.4">
      <c r="A439" s="4"/>
      <c r="B439" s="4"/>
      <c r="C439" s="50"/>
      <c r="D439" s="56"/>
      <c r="E439" s="56"/>
      <c r="F439" s="59"/>
      <c r="G439" s="4"/>
      <c r="H439" s="56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50"/>
      <c r="U439" s="50"/>
      <c r="V439" s="4"/>
      <c r="W439" s="4"/>
      <c r="X439" s="4"/>
      <c r="Y439" s="4"/>
      <c r="Z439" s="4"/>
      <c r="AA439" s="4"/>
      <c r="AB439" s="4"/>
      <c r="AC439" s="4"/>
      <c r="AD439" s="4"/>
      <c r="AE439" s="4"/>
    </row>
    <row r="440" spans="1:31" ht="14.4">
      <c r="A440" s="4"/>
      <c r="B440" s="4"/>
      <c r="C440" s="50"/>
      <c r="D440" s="56"/>
      <c r="E440" s="56"/>
      <c r="F440" s="59"/>
      <c r="G440" s="4"/>
      <c r="H440" s="56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50"/>
      <c r="U440" s="50"/>
      <c r="V440" s="4"/>
      <c r="W440" s="4"/>
      <c r="X440" s="4"/>
      <c r="Y440" s="4"/>
      <c r="Z440" s="4"/>
      <c r="AA440" s="4"/>
      <c r="AB440" s="4"/>
      <c r="AC440" s="4"/>
      <c r="AD440" s="4"/>
      <c r="AE440" s="4"/>
    </row>
    <row r="441" spans="1:31" ht="14.4">
      <c r="A441" s="4"/>
      <c r="B441" s="4"/>
      <c r="C441" s="50"/>
      <c r="D441" s="56"/>
      <c r="E441" s="56"/>
      <c r="F441" s="59"/>
      <c r="G441" s="4"/>
      <c r="H441" s="56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50"/>
      <c r="U441" s="50"/>
      <c r="V441" s="4"/>
      <c r="W441" s="4"/>
      <c r="X441" s="4"/>
      <c r="Y441" s="4"/>
      <c r="Z441" s="4"/>
      <c r="AA441" s="4"/>
      <c r="AB441" s="4"/>
      <c r="AC441" s="4"/>
      <c r="AD441" s="4"/>
      <c r="AE441" s="4"/>
    </row>
    <row r="442" spans="1:31" ht="14.4">
      <c r="A442" s="4"/>
      <c r="B442" s="4"/>
      <c r="C442" s="50"/>
      <c r="D442" s="56"/>
      <c r="E442" s="56"/>
      <c r="F442" s="59"/>
      <c r="G442" s="4"/>
      <c r="H442" s="56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50"/>
      <c r="U442" s="50"/>
      <c r="V442" s="4"/>
      <c r="W442" s="4"/>
      <c r="X442" s="4"/>
      <c r="Y442" s="4"/>
      <c r="Z442" s="4"/>
      <c r="AA442" s="4"/>
      <c r="AB442" s="4"/>
      <c r="AC442" s="4"/>
      <c r="AD442" s="4"/>
      <c r="AE442" s="4"/>
    </row>
    <row r="443" spans="1:31" ht="14.4">
      <c r="A443" s="4"/>
      <c r="B443" s="4"/>
      <c r="C443" s="50"/>
      <c r="D443" s="56"/>
      <c r="E443" s="56"/>
      <c r="F443" s="59"/>
      <c r="G443" s="4"/>
      <c r="H443" s="56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50"/>
      <c r="U443" s="50"/>
      <c r="V443" s="4"/>
      <c r="W443" s="4"/>
      <c r="X443" s="4"/>
      <c r="Y443" s="4"/>
      <c r="Z443" s="4"/>
      <c r="AA443" s="4"/>
      <c r="AB443" s="4"/>
      <c r="AC443" s="4"/>
      <c r="AD443" s="4"/>
      <c r="AE443" s="4"/>
    </row>
    <row r="444" spans="1:31" ht="14.4">
      <c r="A444" s="4"/>
      <c r="B444" s="4"/>
      <c r="C444" s="50"/>
      <c r="D444" s="56"/>
      <c r="E444" s="56"/>
      <c r="F444" s="59"/>
      <c r="G444" s="4"/>
      <c r="H444" s="56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50"/>
      <c r="U444" s="50"/>
      <c r="V444" s="4"/>
      <c r="W444" s="4"/>
      <c r="X444" s="4"/>
      <c r="Y444" s="4"/>
      <c r="Z444" s="4"/>
      <c r="AA444" s="4"/>
      <c r="AB444" s="4"/>
      <c r="AC444" s="4"/>
      <c r="AD444" s="4"/>
      <c r="AE444" s="4"/>
    </row>
    <row r="445" spans="1:31" ht="14.4">
      <c r="A445" s="4"/>
      <c r="B445" s="4"/>
      <c r="C445" s="50"/>
      <c r="D445" s="56"/>
      <c r="E445" s="56"/>
      <c r="F445" s="59"/>
      <c r="G445" s="4"/>
      <c r="H445" s="56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50"/>
      <c r="U445" s="50"/>
      <c r="V445" s="4"/>
      <c r="W445" s="4"/>
      <c r="X445" s="4"/>
      <c r="Y445" s="4"/>
      <c r="Z445" s="4"/>
      <c r="AA445" s="4"/>
      <c r="AB445" s="4"/>
      <c r="AC445" s="4"/>
      <c r="AD445" s="4"/>
      <c r="AE445" s="4"/>
    </row>
    <row r="446" spans="1:31" ht="14.4">
      <c r="A446" s="4"/>
      <c r="B446" s="4"/>
      <c r="C446" s="50"/>
      <c r="D446" s="56"/>
      <c r="E446" s="56"/>
      <c r="F446" s="59"/>
      <c r="G446" s="4"/>
      <c r="H446" s="56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50"/>
      <c r="U446" s="50"/>
      <c r="V446" s="4"/>
      <c r="W446" s="4"/>
      <c r="X446" s="4"/>
      <c r="Y446" s="4"/>
      <c r="Z446" s="4"/>
      <c r="AA446" s="4"/>
      <c r="AB446" s="4"/>
      <c r="AC446" s="4"/>
      <c r="AD446" s="4"/>
      <c r="AE446" s="4"/>
    </row>
    <row r="447" spans="1:31" ht="14.4">
      <c r="A447" s="4"/>
      <c r="B447" s="4"/>
      <c r="C447" s="50"/>
      <c r="D447" s="56"/>
      <c r="E447" s="56"/>
      <c r="F447" s="59"/>
      <c r="G447" s="4"/>
      <c r="H447" s="56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50"/>
      <c r="U447" s="50"/>
      <c r="V447" s="4"/>
      <c r="W447" s="4"/>
      <c r="X447" s="4"/>
      <c r="Y447" s="4"/>
      <c r="Z447" s="4"/>
      <c r="AA447" s="4"/>
      <c r="AB447" s="4"/>
      <c r="AC447" s="4"/>
      <c r="AD447" s="4"/>
      <c r="AE447" s="4"/>
    </row>
    <row r="448" spans="1:31" ht="14.4">
      <c r="A448" s="4"/>
      <c r="B448" s="4"/>
      <c r="C448" s="50"/>
      <c r="D448" s="56"/>
      <c r="E448" s="56"/>
      <c r="F448" s="59"/>
      <c r="G448" s="4"/>
      <c r="H448" s="56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50"/>
      <c r="U448" s="50"/>
      <c r="V448" s="4"/>
      <c r="W448" s="4"/>
      <c r="X448" s="4"/>
      <c r="Y448" s="4"/>
      <c r="Z448" s="4"/>
      <c r="AA448" s="4"/>
      <c r="AB448" s="4"/>
      <c r="AC448" s="4"/>
      <c r="AD448" s="4"/>
      <c r="AE448" s="4"/>
    </row>
    <row r="449" spans="1:31" ht="14.4">
      <c r="A449" s="4"/>
      <c r="B449" s="4"/>
      <c r="C449" s="50"/>
      <c r="D449" s="56"/>
      <c r="E449" s="56"/>
      <c r="F449" s="59"/>
      <c r="G449" s="4"/>
      <c r="H449" s="56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50"/>
      <c r="U449" s="50"/>
      <c r="V449" s="4"/>
      <c r="W449" s="4"/>
      <c r="X449" s="4"/>
      <c r="Y449" s="4"/>
      <c r="Z449" s="4"/>
      <c r="AA449" s="4"/>
      <c r="AB449" s="4"/>
      <c r="AC449" s="4"/>
      <c r="AD449" s="4"/>
      <c r="AE449" s="4"/>
    </row>
    <row r="450" spans="1:31" ht="14.4">
      <c r="A450" s="4"/>
      <c r="B450" s="4"/>
      <c r="C450" s="50"/>
      <c r="D450" s="56"/>
      <c r="E450" s="56"/>
      <c r="F450" s="59"/>
      <c r="G450" s="4"/>
      <c r="H450" s="56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50"/>
      <c r="U450" s="50"/>
      <c r="V450" s="4"/>
      <c r="W450" s="4"/>
      <c r="X450" s="4"/>
      <c r="Y450" s="4"/>
      <c r="Z450" s="4"/>
      <c r="AA450" s="4"/>
      <c r="AB450" s="4"/>
      <c r="AC450" s="4"/>
      <c r="AD450" s="4"/>
      <c r="AE450" s="4"/>
    </row>
    <row r="451" spans="1:31" ht="14.4">
      <c r="A451" s="4"/>
      <c r="B451" s="4"/>
      <c r="C451" s="50"/>
      <c r="D451" s="56"/>
      <c r="E451" s="56"/>
      <c r="F451" s="59"/>
      <c r="G451" s="4"/>
      <c r="H451" s="56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50"/>
      <c r="U451" s="50"/>
      <c r="V451" s="4"/>
      <c r="W451" s="4"/>
      <c r="X451" s="4"/>
      <c r="Y451" s="4"/>
      <c r="Z451" s="4"/>
      <c r="AA451" s="4"/>
      <c r="AB451" s="4"/>
      <c r="AC451" s="4"/>
      <c r="AD451" s="4"/>
      <c r="AE451" s="4"/>
    </row>
    <row r="452" spans="1:31" ht="14.4">
      <c r="A452" s="4"/>
      <c r="B452" s="4"/>
      <c r="C452" s="50"/>
      <c r="D452" s="56"/>
      <c r="E452" s="56"/>
      <c r="F452" s="59"/>
      <c r="G452" s="4"/>
      <c r="H452" s="56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50"/>
      <c r="U452" s="50"/>
      <c r="V452" s="4"/>
      <c r="W452" s="4"/>
      <c r="X452" s="4"/>
      <c r="Y452" s="4"/>
      <c r="Z452" s="4"/>
      <c r="AA452" s="4"/>
      <c r="AB452" s="4"/>
      <c r="AC452" s="4"/>
      <c r="AD452" s="4"/>
      <c r="AE452" s="4"/>
    </row>
    <row r="453" spans="1:31" ht="14.4">
      <c r="A453" s="4"/>
      <c r="B453" s="4"/>
      <c r="C453" s="50"/>
      <c r="D453" s="56"/>
      <c r="E453" s="56"/>
      <c r="F453" s="59"/>
      <c r="G453" s="4"/>
      <c r="H453" s="56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50"/>
      <c r="U453" s="50"/>
      <c r="V453" s="4"/>
      <c r="W453" s="4"/>
      <c r="X453" s="4"/>
      <c r="Y453" s="4"/>
      <c r="Z453" s="4"/>
      <c r="AA453" s="4"/>
      <c r="AB453" s="4"/>
      <c r="AC453" s="4"/>
      <c r="AD453" s="4"/>
      <c r="AE453" s="4"/>
    </row>
    <row r="454" spans="1:31" ht="14.4">
      <c r="A454" s="4"/>
      <c r="B454" s="4"/>
      <c r="C454" s="50"/>
      <c r="D454" s="56"/>
      <c r="E454" s="56"/>
      <c r="F454" s="59"/>
      <c r="G454" s="4"/>
      <c r="H454" s="56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50"/>
      <c r="U454" s="50"/>
      <c r="V454" s="4"/>
      <c r="W454" s="4"/>
      <c r="X454" s="4"/>
      <c r="Y454" s="4"/>
      <c r="Z454" s="4"/>
      <c r="AA454" s="4"/>
      <c r="AB454" s="4"/>
      <c r="AC454" s="4"/>
      <c r="AD454" s="4"/>
      <c r="AE454" s="4"/>
    </row>
    <row r="455" spans="1:31" ht="14.4">
      <c r="A455" s="4"/>
      <c r="B455" s="4"/>
      <c r="C455" s="50"/>
      <c r="D455" s="56"/>
      <c r="E455" s="56"/>
      <c r="F455" s="59"/>
      <c r="G455" s="4"/>
      <c r="H455" s="56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50"/>
      <c r="U455" s="50"/>
      <c r="V455" s="4"/>
      <c r="W455" s="4"/>
      <c r="X455" s="4"/>
      <c r="Y455" s="4"/>
      <c r="Z455" s="4"/>
      <c r="AA455" s="4"/>
      <c r="AB455" s="4"/>
      <c r="AC455" s="4"/>
      <c r="AD455" s="4"/>
      <c r="AE455" s="4"/>
    </row>
    <row r="456" spans="1:31" ht="14.4">
      <c r="A456" s="4"/>
      <c r="B456" s="4"/>
      <c r="C456" s="50"/>
      <c r="D456" s="56"/>
      <c r="E456" s="56"/>
      <c r="F456" s="59"/>
      <c r="G456" s="4"/>
      <c r="H456" s="56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50"/>
      <c r="U456" s="50"/>
      <c r="V456" s="4"/>
      <c r="W456" s="4"/>
      <c r="X456" s="4"/>
      <c r="Y456" s="4"/>
      <c r="Z456" s="4"/>
      <c r="AA456" s="4"/>
      <c r="AB456" s="4"/>
      <c r="AC456" s="4"/>
      <c r="AD456" s="4"/>
      <c r="AE456" s="4"/>
    </row>
    <row r="457" spans="1:31" ht="14.4">
      <c r="A457" s="4"/>
      <c r="B457" s="4"/>
      <c r="C457" s="50"/>
      <c r="D457" s="56"/>
      <c r="E457" s="56"/>
      <c r="F457" s="59"/>
      <c r="G457" s="4"/>
      <c r="H457" s="56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50"/>
      <c r="U457" s="50"/>
      <c r="V457" s="4"/>
      <c r="W457" s="4"/>
      <c r="X457" s="4"/>
      <c r="Y457" s="4"/>
      <c r="Z457" s="4"/>
      <c r="AA457" s="4"/>
      <c r="AB457" s="4"/>
      <c r="AC457" s="4"/>
      <c r="AD457" s="4"/>
      <c r="AE457" s="4"/>
    </row>
    <row r="458" spans="1:31" ht="14.4">
      <c r="A458" s="4"/>
      <c r="B458" s="4"/>
      <c r="C458" s="50"/>
      <c r="D458" s="56"/>
      <c r="E458" s="56"/>
      <c r="F458" s="59"/>
      <c r="G458" s="4"/>
      <c r="H458" s="56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50"/>
      <c r="U458" s="50"/>
      <c r="V458" s="4"/>
      <c r="W458" s="4"/>
      <c r="X458" s="4"/>
      <c r="Y458" s="4"/>
      <c r="Z458" s="4"/>
      <c r="AA458" s="4"/>
      <c r="AB458" s="4"/>
      <c r="AC458" s="4"/>
      <c r="AD458" s="4"/>
      <c r="AE458" s="4"/>
    </row>
    <row r="459" spans="1:31" ht="14.4">
      <c r="A459" s="4"/>
      <c r="B459" s="4"/>
      <c r="C459" s="50"/>
      <c r="D459" s="56"/>
      <c r="E459" s="56"/>
      <c r="F459" s="59"/>
      <c r="G459" s="4"/>
      <c r="H459" s="56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50"/>
      <c r="U459" s="50"/>
      <c r="V459" s="4"/>
      <c r="W459" s="4"/>
      <c r="X459" s="4"/>
      <c r="Y459" s="4"/>
      <c r="Z459" s="4"/>
      <c r="AA459" s="4"/>
      <c r="AB459" s="4"/>
      <c r="AC459" s="4"/>
      <c r="AD459" s="4"/>
      <c r="AE459" s="4"/>
    </row>
    <row r="460" spans="1:31" ht="14.4">
      <c r="A460" s="4"/>
      <c r="B460" s="4"/>
      <c r="C460" s="50"/>
      <c r="D460" s="56"/>
      <c r="E460" s="56"/>
      <c r="F460" s="59"/>
      <c r="G460" s="4"/>
      <c r="H460" s="56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50"/>
      <c r="U460" s="50"/>
      <c r="V460" s="4"/>
      <c r="W460" s="4"/>
      <c r="X460" s="4"/>
      <c r="Y460" s="4"/>
      <c r="Z460" s="4"/>
      <c r="AA460" s="4"/>
      <c r="AB460" s="4"/>
      <c r="AC460" s="4"/>
      <c r="AD460" s="4"/>
      <c r="AE460" s="4"/>
    </row>
    <row r="461" spans="1:31" ht="14.4">
      <c r="A461" s="4"/>
      <c r="B461" s="4"/>
      <c r="C461" s="50"/>
      <c r="D461" s="56"/>
      <c r="E461" s="56"/>
      <c r="F461" s="59"/>
      <c r="G461" s="4"/>
      <c r="H461" s="56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50"/>
      <c r="U461" s="50"/>
      <c r="V461" s="4"/>
      <c r="W461" s="4"/>
      <c r="X461" s="4"/>
      <c r="Y461" s="4"/>
      <c r="Z461" s="4"/>
      <c r="AA461" s="4"/>
      <c r="AB461" s="4"/>
      <c r="AC461" s="4"/>
      <c r="AD461" s="4"/>
      <c r="AE461" s="4"/>
    </row>
    <row r="462" spans="1:31" ht="14.4">
      <c r="A462" s="4"/>
      <c r="B462" s="4"/>
      <c r="C462" s="50"/>
      <c r="D462" s="56"/>
      <c r="E462" s="56"/>
      <c r="F462" s="59"/>
      <c r="G462" s="4"/>
      <c r="H462" s="56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50"/>
      <c r="U462" s="50"/>
      <c r="V462" s="4"/>
      <c r="W462" s="4"/>
      <c r="X462" s="4"/>
      <c r="Y462" s="4"/>
      <c r="Z462" s="4"/>
      <c r="AA462" s="4"/>
      <c r="AB462" s="4"/>
      <c r="AC462" s="4"/>
      <c r="AD462" s="4"/>
      <c r="AE462" s="4"/>
    </row>
    <row r="463" spans="1:31" ht="14.4">
      <c r="A463" s="4"/>
      <c r="B463" s="4"/>
      <c r="C463" s="50"/>
      <c r="D463" s="56"/>
      <c r="E463" s="56"/>
      <c r="F463" s="59"/>
      <c r="G463" s="4"/>
      <c r="H463" s="56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50"/>
      <c r="U463" s="50"/>
      <c r="V463" s="4"/>
      <c r="W463" s="4"/>
      <c r="X463" s="4"/>
      <c r="Y463" s="4"/>
      <c r="Z463" s="4"/>
      <c r="AA463" s="4"/>
      <c r="AB463" s="4"/>
      <c r="AC463" s="4"/>
      <c r="AD463" s="4"/>
      <c r="AE463" s="4"/>
    </row>
    <row r="464" spans="1:31" ht="14.4">
      <c r="A464" s="4"/>
      <c r="B464" s="4"/>
      <c r="C464" s="50"/>
      <c r="D464" s="56"/>
      <c r="E464" s="56"/>
      <c r="F464" s="59"/>
      <c r="G464" s="4"/>
      <c r="H464" s="56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50"/>
      <c r="U464" s="50"/>
      <c r="V464" s="4"/>
      <c r="W464" s="4"/>
      <c r="X464" s="4"/>
      <c r="Y464" s="4"/>
      <c r="Z464" s="4"/>
      <c r="AA464" s="4"/>
      <c r="AB464" s="4"/>
      <c r="AC464" s="4"/>
      <c r="AD464" s="4"/>
      <c r="AE464" s="4"/>
    </row>
    <row r="465" spans="1:31" ht="14.4">
      <c r="A465" s="4"/>
      <c r="B465" s="4"/>
      <c r="C465" s="50"/>
      <c r="D465" s="56"/>
      <c r="E465" s="56"/>
      <c r="F465" s="59"/>
      <c r="G465" s="4"/>
      <c r="H465" s="56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50"/>
      <c r="U465" s="50"/>
      <c r="V465" s="4"/>
      <c r="W465" s="4"/>
      <c r="X465" s="4"/>
      <c r="Y465" s="4"/>
      <c r="Z465" s="4"/>
      <c r="AA465" s="4"/>
      <c r="AB465" s="4"/>
      <c r="AC465" s="4"/>
      <c r="AD465" s="4"/>
      <c r="AE465" s="4"/>
    </row>
    <row r="466" spans="1:31" ht="14.4">
      <c r="A466" s="4"/>
      <c r="B466" s="4"/>
      <c r="C466" s="50"/>
      <c r="D466" s="56"/>
      <c r="E466" s="56"/>
      <c r="F466" s="59"/>
      <c r="G466" s="4"/>
      <c r="H466" s="56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50"/>
      <c r="U466" s="50"/>
      <c r="V466" s="4"/>
      <c r="W466" s="4"/>
      <c r="X466" s="4"/>
      <c r="Y466" s="4"/>
      <c r="Z466" s="4"/>
      <c r="AA466" s="4"/>
      <c r="AB466" s="4"/>
      <c r="AC466" s="4"/>
      <c r="AD466" s="4"/>
      <c r="AE466" s="4"/>
    </row>
    <row r="467" spans="1:31" ht="14.4">
      <c r="A467" s="4"/>
      <c r="B467" s="4"/>
      <c r="C467" s="50"/>
      <c r="D467" s="56"/>
      <c r="E467" s="56"/>
      <c r="F467" s="59"/>
      <c r="G467" s="4"/>
      <c r="H467" s="56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50"/>
      <c r="U467" s="50"/>
      <c r="V467" s="4"/>
      <c r="W467" s="4"/>
      <c r="X467" s="4"/>
      <c r="Y467" s="4"/>
      <c r="Z467" s="4"/>
      <c r="AA467" s="4"/>
      <c r="AB467" s="4"/>
      <c r="AC467" s="4"/>
      <c r="AD467" s="4"/>
      <c r="AE467" s="4"/>
    </row>
    <row r="468" spans="1:31" ht="14.4">
      <c r="A468" s="4"/>
      <c r="B468" s="4"/>
      <c r="C468" s="50"/>
      <c r="D468" s="56"/>
      <c r="E468" s="56"/>
      <c r="F468" s="59"/>
      <c r="G468" s="4"/>
      <c r="H468" s="56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50"/>
      <c r="U468" s="50"/>
      <c r="V468" s="4"/>
      <c r="W468" s="4"/>
      <c r="X468" s="4"/>
      <c r="Y468" s="4"/>
      <c r="Z468" s="4"/>
      <c r="AA468" s="4"/>
      <c r="AB468" s="4"/>
      <c r="AC468" s="4"/>
      <c r="AD468" s="4"/>
      <c r="AE468" s="4"/>
    </row>
    <row r="469" spans="1:31" ht="14.4">
      <c r="A469" s="4"/>
      <c r="B469" s="4"/>
      <c r="C469" s="50"/>
      <c r="D469" s="56"/>
      <c r="E469" s="56"/>
      <c r="F469" s="59"/>
      <c r="G469" s="4"/>
      <c r="H469" s="56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50"/>
      <c r="U469" s="50"/>
      <c r="V469" s="4"/>
      <c r="W469" s="4"/>
      <c r="X469" s="4"/>
      <c r="Y469" s="4"/>
      <c r="Z469" s="4"/>
      <c r="AA469" s="4"/>
      <c r="AB469" s="4"/>
      <c r="AC469" s="4"/>
      <c r="AD469" s="4"/>
      <c r="AE469" s="4"/>
    </row>
    <row r="470" spans="1:31" ht="14.4">
      <c r="A470" s="4"/>
      <c r="B470" s="4"/>
      <c r="C470" s="50"/>
      <c r="D470" s="56"/>
      <c r="E470" s="56"/>
      <c r="F470" s="59"/>
      <c r="G470" s="4"/>
      <c r="H470" s="56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50"/>
      <c r="U470" s="50"/>
      <c r="V470" s="4"/>
      <c r="W470" s="4"/>
      <c r="X470" s="4"/>
      <c r="Y470" s="4"/>
      <c r="Z470" s="4"/>
      <c r="AA470" s="4"/>
      <c r="AB470" s="4"/>
      <c r="AC470" s="4"/>
      <c r="AD470" s="4"/>
      <c r="AE470" s="4"/>
    </row>
    <row r="471" spans="1:31" ht="14.4">
      <c r="A471" s="4"/>
      <c r="B471" s="4"/>
      <c r="C471" s="50"/>
      <c r="D471" s="56"/>
      <c r="E471" s="56"/>
      <c r="F471" s="59"/>
      <c r="G471" s="4"/>
      <c r="H471" s="56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50"/>
      <c r="U471" s="50"/>
      <c r="V471" s="4"/>
      <c r="W471" s="4"/>
      <c r="X471" s="4"/>
      <c r="Y471" s="4"/>
      <c r="Z471" s="4"/>
      <c r="AA471" s="4"/>
      <c r="AB471" s="4"/>
      <c r="AC471" s="4"/>
      <c r="AD471" s="4"/>
      <c r="AE471" s="4"/>
    </row>
    <row r="472" spans="1:31" ht="14.4">
      <c r="A472" s="4"/>
      <c r="B472" s="4"/>
      <c r="C472" s="50"/>
      <c r="D472" s="56"/>
      <c r="E472" s="56"/>
      <c r="F472" s="59"/>
      <c r="G472" s="4"/>
      <c r="H472" s="56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50"/>
      <c r="U472" s="50"/>
      <c r="V472" s="4"/>
      <c r="W472" s="4"/>
      <c r="X472" s="4"/>
      <c r="Y472" s="4"/>
      <c r="Z472" s="4"/>
      <c r="AA472" s="4"/>
      <c r="AB472" s="4"/>
      <c r="AC472" s="4"/>
      <c r="AD472" s="4"/>
      <c r="AE472" s="4"/>
    </row>
    <row r="473" spans="1:31" ht="14.4">
      <c r="A473" s="4"/>
      <c r="B473" s="4"/>
      <c r="C473" s="50"/>
      <c r="D473" s="56"/>
      <c r="E473" s="56"/>
      <c r="F473" s="59"/>
      <c r="G473" s="4"/>
      <c r="H473" s="56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50"/>
      <c r="U473" s="50"/>
      <c r="V473" s="4"/>
      <c r="W473" s="4"/>
      <c r="X473" s="4"/>
      <c r="Y473" s="4"/>
      <c r="Z473" s="4"/>
      <c r="AA473" s="4"/>
      <c r="AB473" s="4"/>
      <c r="AC473" s="4"/>
      <c r="AD473" s="4"/>
      <c r="AE473" s="4"/>
    </row>
    <row r="474" spans="1:31" ht="14.4">
      <c r="A474" s="4"/>
      <c r="B474" s="4"/>
      <c r="C474" s="50"/>
      <c r="D474" s="56"/>
      <c r="E474" s="56"/>
      <c r="F474" s="59"/>
      <c r="G474" s="4"/>
      <c r="H474" s="56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50"/>
      <c r="U474" s="50"/>
      <c r="V474" s="4"/>
      <c r="W474" s="4"/>
      <c r="X474" s="4"/>
      <c r="Y474" s="4"/>
      <c r="Z474" s="4"/>
      <c r="AA474" s="4"/>
      <c r="AB474" s="4"/>
      <c r="AC474" s="4"/>
      <c r="AD474" s="4"/>
      <c r="AE474" s="4"/>
    </row>
    <row r="475" spans="1:31" ht="14.4">
      <c r="A475" s="4"/>
      <c r="B475" s="4"/>
      <c r="C475" s="50"/>
      <c r="D475" s="56"/>
      <c r="E475" s="56"/>
      <c r="F475" s="59"/>
      <c r="G475" s="4"/>
      <c r="H475" s="56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50"/>
      <c r="U475" s="50"/>
      <c r="V475" s="4"/>
      <c r="W475" s="4"/>
      <c r="X475" s="4"/>
      <c r="Y475" s="4"/>
      <c r="Z475" s="4"/>
      <c r="AA475" s="4"/>
      <c r="AB475" s="4"/>
      <c r="AC475" s="4"/>
      <c r="AD475" s="4"/>
      <c r="AE475" s="4"/>
    </row>
    <row r="476" spans="1:31" ht="14.4">
      <c r="A476" s="4"/>
      <c r="B476" s="4"/>
      <c r="C476" s="50"/>
      <c r="D476" s="56"/>
      <c r="E476" s="56"/>
      <c r="F476" s="59"/>
      <c r="G476" s="4"/>
      <c r="H476" s="56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50"/>
      <c r="U476" s="50"/>
      <c r="V476" s="4"/>
      <c r="W476" s="4"/>
      <c r="X476" s="4"/>
      <c r="Y476" s="4"/>
      <c r="Z476" s="4"/>
      <c r="AA476" s="4"/>
      <c r="AB476" s="4"/>
      <c r="AC476" s="4"/>
      <c r="AD476" s="4"/>
      <c r="AE476" s="4"/>
    </row>
    <row r="477" spans="1:31" ht="14.4">
      <c r="A477" s="4"/>
      <c r="B477" s="4"/>
      <c r="C477" s="50"/>
      <c r="D477" s="56"/>
      <c r="E477" s="56"/>
      <c r="F477" s="59"/>
      <c r="G477" s="4"/>
      <c r="H477" s="56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50"/>
      <c r="U477" s="50"/>
      <c r="V477" s="4"/>
      <c r="W477" s="4"/>
      <c r="X477" s="4"/>
      <c r="Y477" s="4"/>
      <c r="Z477" s="4"/>
      <c r="AA477" s="4"/>
      <c r="AB477" s="4"/>
      <c r="AC477" s="4"/>
      <c r="AD477" s="4"/>
      <c r="AE477" s="4"/>
    </row>
    <row r="478" spans="1:31" ht="14.4">
      <c r="A478" s="4"/>
      <c r="B478" s="4"/>
      <c r="C478" s="50"/>
      <c r="D478" s="56"/>
      <c r="E478" s="56"/>
      <c r="F478" s="59"/>
      <c r="G478" s="4"/>
      <c r="H478" s="56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50"/>
      <c r="U478" s="50"/>
      <c r="V478" s="4"/>
      <c r="W478" s="4"/>
      <c r="X478" s="4"/>
      <c r="Y478" s="4"/>
      <c r="Z478" s="4"/>
      <c r="AA478" s="4"/>
      <c r="AB478" s="4"/>
      <c r="AC478" s="4"/>
      <c r="AD478" s="4"/>
      <c r="AE478" s="4"/>
    </row>
    <row r="479" spans="1:31" ht="14.4">
      <c r="A479" s="4"/>
      <c r="B479" s="4"/>
      <c r="C479" s="50"/>
      <c r="D479" s="56"/>
      <c r="E479" s="56"/>
      <c r="F479" s="59"/>
      <c r="G479" s="4"/>
      <c r="H479" s="56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50"/>
      <c r="U479" s="50"/>
      <c r="V479" s="4"/>
      <c r="W479" s="4"/>
      <c r="X479" s="4"/>
      <c r="Y479" s="4"/>
      <c r="Z479" s="4"/>
      <c r="AA479" s="4"/>
      <c r="AB479" s="4"/>
      <c r="AC479" s="4"/>
      <c r="AD479" s="4"/>
      <c r="AE479" s="4"/>
    </row>
    <row r="480" spans="1:31" ht="14.4">
      <c r="A480" s="4"/>
      <c r="B480" s="4"/>
      <c r="C480" s="50"/>
      <c r="D480" s="56"/>
      <c r="E480" s="56"/>
      <c r="F480" s="59"/>
      <c r="G480" s="4"/>
      <c r="H480" s="56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50"/>
      <c r="U480" s="50"/>
      <c r="V480" s="4"/>
      <c r="W480" s="4"/>
      <c r="X480" s="4"/>
      <c r="Y480" s="4"/>
      <c r="Z480" s="4"/>
      <c r="AA480" s="4"/>
      <c r="AB480" s="4"/>
      <c r="AC480" s="4"/>
      <c r="AD480" s="4"/>
      <c r="AE480" s="4"/>
    </row>
    <row r="481" spans="1:31" ht="14.4">
      <c r="A481" s="4"/>
      <c r="B481" s="4"/>
      <c r="C481" s="50"/>
      <c r="D481" s="56"/>
      <c r="E481" s="56"/>
      <c r="F481" s="59"/>
      <c r="G481" s="4"/>
      <c r="H481" s="56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50"/>
      <c r="U481" s="50"/>
      <c r="V481" s="4"/>
      <c r="W481" s="4"/>
      <c r="X481" s="4"/>
      <c r="Y481" s="4"/>
      <c r="Z481" s="4"/>
      <c r="AA481" s="4"/>
      <c r="AB481" s="4"/>
      <c r="AC481" s="4"/>
      <c r="AD481" s="4"/>
      <c r="AE481" s="4"/>
    </row>
    <row r="482" spans="1:31" ht="14.4">
      <c r="A482" s="4"/>
      <c r="B482" s="4"/>
      <c r="C482" s="50"/>
      <c r="D482" s="56"/>
      <c r="E482" s="56"/>
      <c r="F482" s="59"/>
      <c r="G482" s="4"/>
      <c r="H482" s="56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50"/>
      <c r="U482" s="50"/>
      <c r="V482" s="4"/>
      <c r="W482" s="4"/>
      <c r="X482" s="4"/>
      <c r="Y482" s="4"/>
      <c r="Z482" s="4"/>
      <c r="AA482" s="4"/>
      <c r="AB482" s="4"/>
      <c r="AC482" s="4"/>
      <c r="AD482" s="4"/>
      <c r="AE482" s="4"/>
    </row>
    <row r="483" spans="1:31" ht="14.4">
      <c r="A483" s="4"/>
      <c r="B483" s="4"/>
      <c r="C483" s="50"/>
      <c r="D483" s="56"/>
      <c r="E483" s="56"/>
      <c r="F483" s="59"/>
      <c r="G483" s="4"/>
      <c r="H483" s="56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50"/>
      <c r="U483" s="50"/>
      <c r="V483" s="4"/>
      <c r="W483" s="4"/>
      <c r="X483" s="4"/>
      <c r="Y483" s="4"/>
      <c r="Z483" s="4"/>
      <c r="AA483" s="4"/>
      <c r="AB483" s="4"/>
      <c r="AC483" s="4"/>
      <c r="AD483" s="4"/>
      <c r="AE483" s="4"/>
    </row>
    <row r="484" spans="1:31" ht="14.4">
      <c r="A484" s="4"/>
      <c r="B484" s="4"/>
      <c r="C484" s="50"/>
      <c r="D484" s="56"/>
      <c r="E484" s="56"/>
      <c r="F484" s="59"/>
      <c r="G484" s="4"/>
      <c r="H484" s="56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50"/>
      <c r="U484" s="50"/>
      <c r="V484" s="4"/>
      <c r="W484" s="4"/>
      <c r="X484" s="4"/>
      <c r="Y484" s="4"/>
      <c r="Z484" s="4"/>
      <c r="AA484" s="4"/>
      <c r="AB484" s="4"/>
      <c r="AC484" s="4"/>
      <c r="AD484" s="4"/>
      <c r="AE484" s="4"/>
    </row>
    <row r="485" spans="1:31" ht="14.4">
      <c r="A485" s="4"/>
      <c r="B485" s="4"/>
      <c r="C485" s="50"/>
      <c r="D485" s="56"/>
      <c r="E485" s="56"/>
      <c r="F485" s="59"/>
      <c r="G485" s="4"/>
      <c r="H485" s="56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50"/>
      <c r="U485" s="50"/>
      <c r="V485" s="4"/>
      <c r="W485" s="4"/>
      <c r="X485" s="4"/>
      <c r="Y485" s="4"/>
      <c r="Z485" s="4"/>
      <c r="AA485" s="4"/>
      <c r="AB485" s="4"/>
      <c r="AC485" s="4"/>
      <c r="AD485" s="4"/>
      <c r="AE485" s="4"/>
    </row>
    <row r="486" spans="1:31" ht="14.4">
      <c r="A486" s="4"/>
      <c r="B486" s="4"/>
      <c r="C486" s="50"/>
      <c r="D486" s="56"/>
      <c r="E486" s="56"/>
      <c r="F486" s="59"/>
      <c r="G486" s="4"/>
      <c r="H486" s="56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50"/>
      <c r="U486" s="50"/>
      <c r="V486" s="4"/>
      <c r="W486" s="4"/>
      <c r="X486" s="4"/>
      <c r="Y486" s="4"/>
      <c r="Z486" s="4"/>
      <c r="AA486" s="4"/>
      <c r="AB486" s="4"/>
      <c r="AC486" s="4"/>
      <c r="AD486" s="4"/>
      <c r="AE486" s="4"/>
    </row>
    <row r="487" spans="1:31" ht="14.4">
      <c r="A487" s="4"/>
      <c r="B487" s="4"/>
      <c r="C487" s="50"/>
      <c r="D487" s="56"/>
      <c r="E487" s="56"/>
      <c r="F487" s="59"/>
      <c r="G487" s="4"/>
      <c r="H487" s="56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50"/>
      <c r="U487" s="50"/>
      <c r="V487" s="4"/>
      <c r="W487" s="4"/>
      <c r="X487" s="4"/>
      <c r="Y487" s="4"/>
      <c r="Z487" s="4"/>
      <c r="AA487" s="4"/>
      <c r="AB487" s="4"/>
      <c r="AC487" s="4"/>
      <c r="AD487" s="4"/>
      <c r="AE487" s="4"/>
    </row>
    <row r="488" spans="1:31" ht="14.4">
      <c r="A488" s="4"/>
      <c r="B488" s="4"/>
      <c r="C488" s="50"/>
      <c r="D488" s="56"/>
      <c r="E488" s="56"/>
      <c r="F488" s="59"/>
      <c r="G488" s="4"/>
      <c r="H488" s="56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50"/>
      <c r="U488" s="50"/>
      <c r="V488" s="4"/>
      <c r="W488" s="4"/>
      <c r="X488" s="4"/>
      <c r="Y488" s="4"/>
      <c r="Z488" s="4"/>
      <c r="AA488" s="4"/>
      <c r="AB488" s="4"/>
      <c r="AC488" s="4"/>
      <c r="AD488" s="4"/>
      <c r="AE488" s="4"/>
    </row>
    <row r="489" spans="1:31" ht="14.4">
      <c r="A489" s="4"/>
      <c r="B489" s="4"/>
      <c r="C489" s="50"/>
      <c r="D489" s="56"/>
      <c r="E489" s="56"/>
      <c r="F489" s="59"/>
      <c r="G489" s="4"/>
      <c r="H489" s="56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50"/>
      <c r="U489" s="50"/>
      <c r="V489" s="4"/>
      <c r="W489" s="4"/>
      <c r="X489" s="4"/>
      <c r="Y489" s="4"/>
      <c r="Z489" s="4"/>
      <c r="AA489" s="4"/>
      <c r="AB489" s="4"/>
      <c r="AC489" s="4"/>
      <c r="AD489" s="4"/>
      <c r="AE489" s="4"/>
    </row>
    <row r="490" spans="1:31" ht="14.4">
      <c r="A490" s="4"/>
      <c r="B490" s="4"/>
      <c r="C490" s="50"/>
      <c r="D490" s="56"/>
      <c r="E490" s="56"/>
      <c r="F490" s="59"/>
      <c r="G490" s="4"/>
      <c r="H490" s="56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50"/>
      <c r="U490" s="50"/>
      <c r="V490" s="4"/>
      <c r="W490" s="4"/>
      <c r="X490" s="4"/>
      <c r="Y490" s="4"/>
      <c r="Z490" s="4"/>
      <c r="AA490" s="4"/>
      <c r="AB490" s="4"/>
      <c r="AC490" s="4"/>
      <c r="AD490" s="4"/>
      <c r="AE490" s="4"/>
    </row>
    <row r="491" spans="1:31" ht="14.4">
      <c r="A491" s="4"/>
      <c r="B491" s="4"/>
      <c r="C491" s="50"/>
      <c r="D491" s="56"/>
      <c r="E491" s="56"/>
      <c r="F491" s="59"/>
      <c r="G491" s="4"/>
      <c r="H491" s="56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50"/>
      <c r="U491" s="50"/>
      <c r="V491" s="4"/>
      <c r="W491" s="4"/>
      <c r="X491" s="4"/>
      <c r="Y491" s="4"/>
      <c r="Z491" s="4"/>
      <c r="AA491" s="4"/>
      <c r="AB491" s="4"/>
      <c r="AC491" s="4"/>
      <c r="AD491" s="4"/>
      <c r="AE491" s="4"/>
    </row>
    <row r="492" spans="1:31" ht="14.4">
      <c r="A492" s="4"/>
      <c r="B492" s="4"/>
      <c r="C492" s="50"/>
      <c r="D492" s="56"/>
      <c r="E492" s="56"/>
      <c r="F492" s="59"/>
      <c r="G492" s="4"/>
      <c r="H492" s="56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50"/>
      <c r="U492" s="50"/>
      <c r="V492" s="4"/>
      <c r="W492" s="4"/>
      <c r="X492" s="4"/>
      <c r="Y492" s="4"/>
      <c r="Z492" s="4"/>
      <c r="AA492" s="4"/>
      <c r="AB492" s="4"/>
      <c r="AC492" s="4"/>
      <c r="AD492" s="4"/>
      <c r="AE492" s="4"/>
    </row>
    <row r="493" spans="1:31" ht="14.4">
      <c r="A493" s="4"/>
      <c r="B493" s="4"/>
      <c r="C493" s="50"/>
      <c r="D493" s="56"/>
      <c r="E493" s="56"/>
      <c r="F493" s="59"/>
      <c r="G493" s="4"/>
      <c r="H493" s="56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50"/>
      <c r="U493" s="50"/>
      <c r="V493" s="4"/>
      <c r="W493" s="4"/>
      <c r="X493" s="4"/>
      <c r="Y493" s="4"/>
      <c r="Z493" s="4"/>
      <c r="AA493" s="4"/>
      <c r="AB493" s="4"/>
      <c r="AC493" s="4"/>
      <c r="AD493" s="4"/>
      <c r="AE493" s="4"/>
    </row>
    <row r="494" spans="1:31" ht="14.4">
      <c r="A494" s="4"/>
      <c r="B494" s="4"/>
      <c r="C494" s="50"/>
      <c r="D494" s="56"/>
      <c r="E494" s="56"/>
      <c r="F494" s="59"/>
      <c r="G494" s="4"/>
      <c r="H494" s="56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50"/>
      <c r="U494" s="50"/>
      <c r="V494" s="4"/>
      <c r="W494" s="4"/>
      <c r="X494" s="4"/>
      <c r="Y494" s="4"/>
      <c r="Z494" s="4"/>
      <c r="AA494" s="4"/>
      <c r="AB494" s="4"/>
      <c r="AC494" s="4"/>
      <c r="AD494" s="4"/>
      <c r="AE494" s="4"/>
    </row>
    <row r="495" spans="1:31" ht="14.4">
      <c r="A495" s="4"/>
      <c r="B495" s="4"/>
      <c r="C495" s="50"/>
      <c r="D495" s="56"/>
      <c r="E495" s="56"/>
      <c r="F495" s="59"/>
      <c r="G495" s="4"/>
      <c r="H495" s="56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50"/>
      <c r="U495" s="50"/>
      <c r="V495" s="4"/>
      <c r="W495" s="4"/>
      <c r="X495" s="4"/>
      <c r="Y495" s="4"/>
      <c r="Z495" s="4"/>
      <c r="AA495" s="4"/>
      <c r="AB495" s="4"/>
      <c r="AC495" s="4"/>
      <c r="AD495" s="4"/>
      <c r="AE495" s="4"/>
    </row>
    <row r="496" spans="1:31" ht="14.4">
      <c r="A496" s="4"/>
      <c r="B496" s="4"/>
      <c r="C496" s="50"/>
      <c r="D496" s="56"/>
      <c r="E496" s="56"/>
      <c r="F496" s="59"/>
      <c r="G496" s="4"/>
      <c r="H496" s="56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50"/>
      <c r="U496" s="50"/>
      <c r="V496" s="4"/>
      <c r="W496" s="4"/>
      <c r="X496" s="4"/>
      <c r="Y496" s="4"/>
      <c r="Z496" s="4"/>
      <c r="AA496" s="4"/>
      <c r="AB496" s="4"/>
      <c r="AC496" s="4"/>
      <c r="AD496" s="4"/>
      <c r="AE496" s="4"/>
    </row>
    <row r="497" spans="1:31" ht="14.4">
      <c r="A497" s="4"/>
      <c r="B497" s="4"/>
      <c r="C497" s="50"/>
      <c r="D497" s="56"/>
      <c r="E497" s="56"/>
      <c r="F497" s="59"/>
      <c r="G497" s="4"/>
      <c r="H497" s="56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50"/>
      <c r="U497" s="50"/>
      <c r="V497" s="4"/>
      <c r="W497" s="4"/>
      <c r="X497" s="4"/>
      <c r="Y497" s="4"/>
      <c r="Z497" s="4"/>
      <c r="AA497" s="4"/>
      <c r="AB497" s="4"/>
      <c r="AC497" s="4"/>
      <c r="AD497" s="4"/>
      <c r="AE497" s="4"/>
    </row>
    <row r="498" spans="1:31" ht="14.4">
      <c r="A498" s="4"/>
      <c r="B498" s="4"/>
      <c r="C498" s="50"/>
      <c r="D498" s="56"/>
      <c r="E498" s="56"/>
      <c r="F498" s="59"/>
      <c r="G498" s="4"/>
      <c r="H498" s="56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50"/>
      <c r="U498" s="50"/>
      <c r="V498" s="4"/>
      <c r="W498" s="4"/>
      <c r="X498" s="4"/>
      <c r="Y498" s="4"/>
      <c r="Z498" s="4"/>
      <c r="AA498" s="4"/>
      <c r="AB498" s="4"/>
      <c r="AC498" s="4"/>
      <c r="AD498" s="4"/>
      <c r="AE498" s="4"/>
    </row>
    <row r="499" spans="1:31" ht="14.4">
      <c r="A499" s="4"/>
      <c r="B499" s="4"/>
      <c r="C499" s="50"/>
      <c r="D499" s="56"/>
      <c r="E499" s="56"/>
      <c r="F499" s="59"/>
      <c r="G499" s="4"/>
      <c r="H499" s="56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50"/>
      <c r="U499" s="50"/>
      <c r="V499" s="4"/>
      <c r="W499" s="4"/>
      <c r="X499" s="4"/>
      <c r="Y499" s="4"/>
      <c r="Z499" s="4"/>
      <c r="AA499" s="4"/>
      <c r="AB499" s="4"/>
      <c r="AC499" s="4"/>
      <c r="AD499" s="4"/>
      <c r="AE499" s="4"/>
    </row>
    <row r="500" spans="1:31" ht="14.4">
      <c r="A500" s="4"/>
      <c r="B500" s="4"/>
      <c r="C500" s="50"/>
      <c r="D500" s="56"/>
      <c r="E500" s="56"/>
      <c r="F500" s="59"/>
      <c r="G500" s="4"/>
      <c r="H500" s="56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50"/>
      <c r="U500" s="50"/>
      <c r="V500" s="4"/>
      <c r="W500" s="4"/>
      <c r="X500" s="4"/>
      <c r="Y500" s="4"/>
      <c r="Z500" s="4"/>
      <c r="AA500" s="4"/>
      <c r="AB500" s="4"/>
      <c r="AC500" s="4"/>
      <c r="AD500" s="4"/>
      <c r="AE500" s="4"/>
    </row>
    <row r="501" spans="1:31" ht="14.4">
      <c r="A501" s="4"/>
      <c r="B501" s="4"/>
      <c r="C501" s="50"/>
      <c r="D501" s="56"/>
      <c r="E501" s="56"/>
      <c r="F501" s="59"/>
      <c r="G501" s="4"/>
      <c r="H501" s="56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50"/>
      <c r="U501" s="50"/>
      <c r="V501" s="4"/>
      <c r="W501" s="4"/>
      <c r="X501" s="4"/>
      <c r="Y501" s="4"/>
      <c r="Z501" s="4"/>
      <c r="AA501" s="4"/>
      <c r="AB501" s="4"/>
      <c r="AC501" s="4"/>
      <c r="AD501" s="4"/>
      <c r="AE501" s="4"/>
    </row>
    <row r="502" spans="1:31" ht="14.4">
      <c r="A502" s="4"/>
      <c r="B502" s="4"/>
      <c r="C502" s="50"/>
      <c r="D502" s="56"/>
      <c r="E502" s="56"/>
      <c r="F502" s="59"/>
      <c r="G502" s="4"/>
      <c r="H502" s="56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50"/>
      <c r="U502" s="50"/>
      <c r="V502" s="4"/>
      <c r="W502" s="4"/>
      <c r="X502" s="4"/>
      <c r="Y502" s="4"/>
      <c r="Z502" s="4"/>
      <c r="AA502" s="4"/>
      <c r="AB502" s="4"/>
      <c r="AC502" s="4"/>
      <c r="AD502" s="4"/>
      <c r="AE502" s="4"/>
    </row>
    <row r="503" spans="1:31" ht="14.4">
      <c r="A503" s="4"/>
      <c r="B503" s="4"/>
      <c r="C503" s="50"/>
      <c r="D503" s="56"/>
      <c r="E503" s="56"/>
      <c r="F503" s="59"/>
      <c r="G503" s="4"/>
      <c r="H503" s="56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50"/>
      <c r="U503" s="50"/>
      <c r="V503" s="4"/>
      <c r="W503" s="4"/>
      <c r="X503" s="4"/>
      <c r="Y503" s="4"/>
      <c r="Z503" s="4"/>
      <c r="AA503" s="4"/>
      <c r="AB503" s="4"/>
      <c r="AC503" s="4"/>
      <c r="AD503" s="4"/>
      <c r="AE503" s="4"/>
    </row>
    <row r="504" spans="1:31" ht="14.4">
      <c r="A504" s="4"/>
      <c r="B504" s="4"/>
      <c r="C504" s="50"/>
      <c r="D504" s="56"/>
      <c r="E504" s="56"/>
      <c r="F504" s="59"/>
      <c r="G504" s="4"/>
      <c r="H504" s="56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50"/>
      <c r="U504" s="50"/>
      <c r="V504" s="4"/>
      <c r="W504" s="4"/>
      <c r="X504" s="4"/>
      <c r="Y504" s="4"/>
      <c r="Z504" s="4"/>
      <c r="AA504" s="4"/>
      <c r="AB504" s="4"/>
      <c r="AC504" s="4"/>
      <c r="AD504" s="4"/>
      <c r="AE504" s="4"/>
    </row>
    <row r="505" spans="1:31" ht="14.4">
      <c r="A505" s="4"/>
      <c r="B505" s="4"/>
      <c r="C505" s="50"/>
      <c r="D505" s="56"/>
      <c r="E505" s="56"/>
      <c r="F505" s="59"/>
      <c r="G505" s="4"/>
      <c r="H505" s="56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50"/>
      <c r="U505" s="50"/>
      <c r="V505" s="4"/>
      <c r="W505" s="4"/>
      <c r="X505" s="4"/>
      <c r="Y505" s="4"/>
      <c r="Z505" s="4"/>
      <c r="AA505" s="4"/>
      <c r="AB505" s="4"/>
      <c r="AC505" s="4"/>
      <c r="AD505" s="4"/>
      <c r="AE505" s="4"/>
    </row>
    <row r="506" spans="1:31" ht="14.4">
      <c r="A506" s="4"/>
      <c r="B506" s="4"/>
      <c r="C506" s="50"/>
      <c r="D506" s="56"/>
      <c r="E506" s="56"/>
      <c r="F506" s="59"/>
      <c r="G506" s="4"/>
      <c r="H506" s="56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50"/>
      <c r="U506" s="50"/>
      <c r="V506" s="4"/>
      <c r="W506" s="4"/>
      <c r="X506" s="4"/>
      <c r="Y506" s="4"/>
      <c r="Z506" s="4"/>
      <c r="AA506" s="4"/>
      <c r="AB506" s="4"/>
      <c r="AC506" s="4"/>
      <c r="AD506" s="4"/>
      <c r="AE506" s="4"/>
    </row>
    <row r="507" spans="1:31" ht="14.4">
      <c r="A507" s="4"/>
      <c r="B507" s="4"/>
      <c r="C507" s="50"/>
      <c r="D507" s="56"/>
      <c r="E507" s="56"/>
      <c r="F507" s="59"/>
      <c r="G507" s="4"/>
      <c r="H507" s="56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50"/>
      <c r="U507" s="50"/>
      <c r="V507" s="4"/>
      <c r="W507" s="4"/>
      <c r="X507" s="4"/>
      <c r="Y507" s="4"/>
      <c r="Z507" s="4"/>
      <c r="AA507" s="4"/>
      <c r="AB507" s="4"/>
      <c r="AC507" s="4"/>
      <c r="AD507" s="4"/>
      <c r="AE507" s="4"/>
    </row>
    <row r="508" spans="1:31" ht="14.4">
      <c r="A508" s="4"/>
      <c r="B508" s="4"/>
      <c r="C508" s="50"/>
      <c r="D508" s="56"/>
      <c r="E508" s="56"/>
      <c r="F508" s="59"/>
      <c r="G508" s="4"/>
      <c r="H508" s="56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50"/>
      <c r="U508" s="50"/>
      <c r="V508" s="4"/>
      <c r="W508" s="4"/>
      <c r="X508" s="4"/>
      <c r="Y508" s="4"/>
      <c r="Z508" s="4"/>
      <c r="AA508" s="4"/>
      <c r="AB508" s="4"/>
      <c r="AC508" s="4"/>
      <c r="AD508" s="4"/>
      <c r="AE508" s="4"/>
    </row>
    <row r="509" spans="1:31" ht="14.4">
      <c r="A509" s="4"/>
      <c r="B509" s="4"/>
      <c r="C509" s="50"/>
      <c r="D509" s="56"/>
      <c r="E509" s="56"/>
      <c r="F509" s="59"/>
      <c r="G509" s="4"/>
      <c r="H509" s="56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50"/>
      <c r="U509" s="50"/>
      <c r="V509" s="4"/>
      <c r="W509" s="4"/>
      <c r="X509" s="4"/>
      <c r="Y509" s="4"/>
      <c r="Z509" s="4"/>
      <c r="AA509" s="4"/>
      <c r="AB509" s="4"/>
      <c r="AC509" s="4"/>
      <c r="AD509" s="4"/>
      <c r="AE509" s="4"/>
    </row>
    <row r="510" spans="1:31" ht="14.4">
      <c r="A510" s="4"/>
      <c r="B510" s="4"/>
      <c r="C510" s="50"/>
      <c r="D510" s="56"/>
      <c r="E510" s="56"/>
      <c r="F510" s="59"/>
      <c r="G510" s="4"/>
      <c r="H510" s="56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50"/>
      <c r="U510" s="50"/>
      <c r="V510" s="4"/>
      <c r="W510" s="4"/>
      <c r="X510" s="4"/>
      <c r="Y510" s="4"/>
      <c r="Z510" s="4"/>
      <c r="AA510" s="4"/>
      <c r="AB510" s="4"/>
      <c r="AC510" s="4"/>
      <c r="AD510" s="4"/>
      <c r="AE510" s="4"/>
    </row>
    <row r="511" spans="1:31" ht="14.4">
      <c r="A511" s="4"/>
      <c r="B511" s="4"/>
      <c r="C511" s="50"/>
      <c r="D511" s="56"/>
      <c r="E511" s="56"/>
      <c r="F511" s="59"/>
      <c r="G511" s="4"/>
      <c r="H511" s="56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50"/>
      <c r="U511" s="50"/>
      <c r="V511" s="4"/>
      <c r="W511" s="4"/>
      <c r="X511" s="4"/>
      <c r="Y511" s="4"/>
      <c r="Z511" s="4"/>
      <c r="AA511" s="4"/>
      <c r="AB511" s="4"/>
      <c r="AC511" s="4"/>
      <c r="AD511" s="4"/>
      <c r="AE511" s="4"/>
    </row>
    <row r="512" spans="1:31" ht="14.4">
      <c r="A512" s="4"/>
      <c r="B512" s="4"/>
      <c r="C512" s="50"/>
      <c r="D512" s="56"/>
      <c r="E512" s="56"/>
      <c r="F512" s="59"/>
      <c r="G512" s="4"/>
      <c r="H512" s="56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50"/>
      <c r="U512" s="50"/>
      <c r="V512" s="4"/>
      <c r="W512" s="4"/>
      <c r="X512" s="4"/>
      <c r="Y512" s="4"/>
      <c r="Z512" s="4"/>
      <c r="AA512" s="4"/>
      <c r="AB512" s="4"/>
      <c r="AC512" s="4"/>
      <c r="AD512" s="4"/>
      <c r="AE512" s="4"/>
    </row>
    <row r="513" spans="1:31" ht="14.4">
      <c r="A513" s="4"/>
      <c r="B513" s="4"/>
      <c r="C513" s="50"/>
      <c r="D513" s="56"/>
      <c r="E513" s="56"/>
      <c r="F513" s="59"/>
      <c r="G513" s="4"/>
      <c r="H513" s="56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50"/>
      <c r="U513" s="50"/>
      <c r="V513" s="4"/>
      <c r="W513" s="4"/>
      <c r="X513" s="4"/>
      <c r="Y513" s="4"/>
      <c r="Z513" s="4"/>
      <c r="AA513" s="4"/>
      <c r="AB513" s="4"/>
      <c r="AC513" s="4"/>
      <c r="AD513" s="4"/>
      <c r="AE513" s="4"/>
    </row>
    <row r="514" spans="1:31" ht="14.4">
      <c r="A514" s="4"/>
      <c r="B514" s="4"/>
      <c r="C514" s="50"/>
      <c r="D514" s="56"/>
      <c r="E514" s="56"/>
      <c r="F514" s="59"/>
      <c r="G514" s="4"/>
      <c r="H514" s="56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50"/>
      <c r="U514" s="50"/>
      <c r="V514" s="4"/>
      <c r="W514" s="4"/>
      <c r="X514" s="4"/>
      <c r="Y514" s="4"/>
      <c r="Z514" s="4"/>
      <c r="AA514" s="4"/>
      <c r="AB514" s="4"/>
      <c r="AC514" s="4"/>
      <c r="AD514" s="4"/>
      <c r="AE514" s="4"/>
    </row>
    <row r="515" spans="1:31" ht="14.4">
      <c r="A515" s="4"/>
      <c r="B515" s="4"/>
      <c r="C515" s="50"/>
      <c r="D515" s="56"/>
      <c r="E515" s="56"/>
      <c r="F515" s="59"/>
      <c r="G515" s="4"/>
      <c r="H515" s="56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50"/>
      <c r="U515" s="50"/>
      <c r="V515" s="4"/>
      <c r="W515" s="4"/>
      <c r="X515" s="4"/>
      <c r="Y515" s="4"/>
      <c r="Z515" s="4"/>
      <c r="AA515" s="4"/>
      <c r="AB515" s="4"/>
      <c r="AC515" s="4"/>
      <c r="AD515" s="4"/>
      <c r="AE515" s="4"/>
    </row>
    <row r="516" spans="1:31" ht="14.4">
      <c r="A516" s="4"/>
      <c r="B516" s="4"/>
      <c r="C516" s="50"/>
      <c r="D516" s="56"/>
      <c r="E516" s="56"/>
      <c r="F516" s="59"/>
      <c r="G516" s="4"/>
      <c r="H516" s="56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50"/>
      <c r="U516" s="50"/>
      <c r="V516" s="4"/>
      <c r="W516" s="4"/>
      <c r="X516" s="4"/>
      <c r="Y516" s="4"/>
      <c r="Z516" s="4"/>
      <c r="AA516" s="4"/>
      <c r="AB516" s="4"/>
      <c r="AC516" s="4"/>
      <c r="AD516" s="4"/>
      <c r="AE516" s="4"/>
    </row>
    <row r="517" spans="1:31" ht="14.4">
      <c r="A517" s="4"/>
      <c r="B517" s="4"/>
      <c r="C517" s="50"/>
      <c r="D517" s="56"/>
      <c r="E517" s="56"/>
      <c r="F517" s="59"/>
      <c r="G517" s="4"/>
      <c r="H517" s="56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50"/>
      <c r="U517" s="50"/>
      <c r="V517" s="4"/>
      <c r="W517" s="4"/>
      <c r="X517" s="4"/>
      <c r="Y517" s="4"/>
      <c r="Z517" s="4"/>
      <c r="AA517" s="4"/>
      <c r="AB517" s="4"/>
      <c r="AC517" s="4"/>
      <c r="AD517" s="4"/>
      <c r="AE517" s="4"/>
    </row>
    <row r="518" spans="1:31" ht="14.4">
      <c r="A518" s="4"/>
      <c r="B518" s="4"/>
      <c r="C518" s="50"/>
      <c r="D518" s="56"/>
      <c r="E518" s="56"/>
      <c r="F518" s="59"/>
      <c r="G518" s="4"/>
      <c r="H518" s="56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50"/>
      <c r="U518" s="50"/>
      <c r="V518" s="4"/>
      <c r="W518" s="4"/>
      <c r="X518" s="4"/>
      <c r="Y518" s="4"/>
      <c r="Z518" s="4"/>
      <c r="AA518" s="4"/>
      <c r="AB518" s="4"/>
      <c r="AC518" s="4"/>
      <c r="AD518" s="4"/>
      <c r="AE518" s="4"/>
    </row>
    <row r="519" spans="1:31" ht="14.4">
      <c r="A519" s="4"/>
      <c r="B519" s="4"/>
      <c r="C519" s="50"/>
      <c r="D519" s="56"/>
      <c r="E519" s="56"/>
      <c r="F519" s="59"/>
      <c r="G519" s="4"/>
      <c r="H519" s="56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50"/>
      <c r="U519" s="50"/>
      <c r="V519" s="4"/>
      <c r="W519" s="4"/>
      <c r="X519" s="4"/>
      <c r="Y519" s="4"/>
      <c r="Z519" s="4"/>
      <c r="AA519" s="4"/>
      <c r="AB519" s="4"/>
      <c r="AC519" s="4"/>
      <c r="AD519" s="4"/>
      <c r="AE519" s="4"/>
    </row>
    <row r="520" spans="1:31" ht="14.4">
      <c r="A520" s="4"/>
      <c r="B520" s="4"/>
      <c r="C520" s="50"/>
      <c r="D520" s="56"/>
      <c r="E520" s="56"/>
      <c r="F520" s="59"/>
      <c r="G520" s="4"/>
      <c r="H520" s="56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50"/>
      <c r="U520" s="50"/>
      <c r="V520" s="4"/>
      <c r="W520" s="4"/>
      <c r="X520" s="4"/>
      <c r="Y520" s="4"/>
      <c r="Z520" s="4"/>
      <c r="AA520" s="4"/>
      <c r="AB520" s="4"/>
      <c r="AC520" s="4"/>
      <c r="AD520" s="4"/>
      <c r="AE520" s="4"/>
    </row>
    <row r="521" spans="1:31" ht="14.4">
      <c r="A521" s="4"/>
      <c r="B521" s="4"/>
      <c r="C521" s="50"/>
      <c r="D521" s="56"/>
      <c r="E521" s="56"/>
      <c r="F521" s="59"/>
      <c r="G521" s="4"/>
      <c r="H521" s="56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50"/>
      <c r="U521" s="50"/>
      <c r="V521" s="4"/>
      <c r="W521" s="4"/>
      <c r="X521" s="4"/>
      <c r="Y521" s="4"/>
      <c r="Z521" s="4"/>
      <c r="AA521" s="4"/>
      <c r="AB521" s="4"/>
      <c r="AC521" s="4"/>
      <c r="AD521" s="4"/>
      <c r="AE521" s="4"/>
    </row>
    <row r="522" spans="1:31" ht="14.4">
      <c r="A522" s="4"/>
      <c r="B522" s="4"/>
      <c r="C522" s="50"/>
      <c r="D522" s="56"/>
      <c r="E522" s="56"/>
      <c r="F522" s="59"/>
      <c r="G522" s="4"/>
      <c r="H522" s="56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50"/>
      <c r="U522" s="50"/>
      <c r="V522" s="4"/>
      <c r="W522" s="4"/>
      <c r="X522" s="4"/>
      <c r="Y522" s="4"/>
      <c r="Z522" s="4"/>
      <c r="AA522" s="4"/>
      <c r="AB522" s="4"/>
      <c r="AC522" s="4"/>
      <c r="AD522" s="4"/>
      <c r="AE522" s="4"/>
    </row>
    <row r="523" spans="1:31" ht="14.4">
      <c r="A523" s="4"/>
      <c r="B523" s="4"/>
      <c r="C523" s="50"/>
      <c r="D523" s="56"/>
      <c r="E523" s="56"/>
      <c r="F523" s="59"/>
      <c r="G523" s="4"/>
      <c r="H523" s="56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50"/>
      <c r="U523" s="50"/>
      <c r="V523" s="4"/>
      <c r="W523" s="4"/>
      <c r="X523" s="4"/>
      <c r="Y523" s="4"/>
      <c r="Z523" s="4"/>
      <c r="AA523" s="4"/>
      <c r="AB523" s="4"/>
      <c r="AC523" s="4"/>
      <c r="AD523" s="4"/>
      <c r="AE523" s="4"/>
    </row>
    <row r="524" spans="1:31" ht="14.4">
      <c r="A524" s="4"/>
      <c r="B524" s="4"/>
      <c r="C524" s="50"/>
      <c r="D524" s="56"/>
      <c r="E524" s="56"/>
      <c r="F524" s="59"/>
      <c r="G524" s="4"/>
      <c r="H524" s="56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50"/>
      <c r="U524" s="50"/>
      <c r="V524" s="4"/>
      <c r="W524" s="4"/>
      <c r="X524" s="4"/>
      <c r="Y524" s="4"/>
      <c r="Z524" s="4"/>
      <c r="AA524" s="4"/>
      <c r="AB524" s="4"/>
      <c r="AC524" s="4"/>
      <c r="AD524" s="4"/>
      <c r="AE524" s="4"/>
    </row>
    <row r="525" spans="1:31" ht="14.4">
      <c r="A525" s="4"/>
      <c r="B525" s="4"/>
      <c r="C525" s="50"/>
      <c r="D525" s="56"/>
      <c r="E525" s="56"/>
      <c r="F525" s="59"/>
      <c r="G525" s="4"/>
      <c r="H525" s="56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50"/>
      <c r="U525" s="50"/>
      <c r="V525" s="4"/>
      <c r="W525" s="4"/>
      <c r="X525" s="4"/>
      <c r="Y525" s="4"/>
      <c r="Z525" s="4"/>
      <c r="AA525" s="4"/>
      <c r="AB525" s="4"/>
      <c r="AC525" s="4"/>
      <c r="AD525" s="4"/>
      <c r="AE525" s="4"/>
    </row>
    <row r="526" spans="1:31" ht="14.4">
      <c r="A526" s="4"/>
      <c r="B526" s="4"/>
      <c r="C526" s="50"/>
      <c r="D526" s="56"/>
      <c r="E526" s="56"/>
      <c r="F526" s="59"/>
      <c r="G526" s="4"/>
      <c r="H526" s="56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50"/>
      <c r="U526" s="50"/>
      <c r="V526" s="4"/>
      <c r="W526" s="4"/>
      <c r="X526" s="4"/>
      <c r="Y526" s="4"/>
      <c r="Z526" s="4"/>
      <c r="AA526" s="4"/>
      <c r="AB526" s="4"/>
      <c r="AC526" s="4"/>
      <c r="AD526" s="4"/>
      <c r="AE526" s="4"/>
    </row>
    <row r="527" spans="1:31" ht="14.4">
      <c r="A527" s="4"/>
      <c r="B527" s="4"/>
      <c r="C527" s="50"/>
      <c r="D527" s="56"/>
      <c r="E527" s="56"/>
      <c r="F527" s="59"/>
      <c r="G527" s="4"/>
      <c r="H527" s="56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50"/>
      <c r="U527" s="50"/>
      <c r="V527" s="4"/>
      <c r="W527" s="4"/>
      <c r="X527" s="4"/>
      <c r="Y527" s="4"/>
      <c r="Z527" s="4"/>
      <c r="AA527" s="4"/>
      <c r="AB527" s="4"/>
      <c r="AC527" s="4"/>
      <c r="AD527" s="4"/>
      <c r="AE527" s="4"/>
    </row>
    <row r="528" spans="1:31" ht="14.4">
      <c r="A528" s="4"/>
      <c r="B528" s="4"/>
      <c r="C528" s="50"/>
      <c r="D528" s="56"/>
      <c r="E528" s="56"/>
      <c r="F528" s="59"/>
      <c r="G528" s="4"/>
      <c r="H528" s="56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50"/>
      <c r="U528" s="50"/>
      <c r="V528" s="4"/>
      <c r="W528" s="4"/>
      <c r="X528" s="4"/>
      <c r="Y528" s="4"/>
      <c r="Z528" s="4"/>
      <c r="AA528" s="4"/>
      <c r="AB528" s="4"/>
      <c r="AC528" s="4"/>
      <c r="AD528" s="4"/>
      <c r="AE528" s="4"/>
    </row>
    <row r="529" spans="1:31" ht="14.4">
      <c r="A529" s="4"/>
      <c r="B529" s="4"/>
      <c r="C529" s="50"/>
      <c r="D529" s="56"/>
      <c r="E529" s="56"/>
      <c r="F529" s="59"/>
      <c r="G529" s="4"/>
      <c r="H529" s="56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50"/>
      <c r="U529" s="50"/>
      <c r="V529" s="4"/>
      <c r="W529" s="4"/>
      <c r="X529" s="4"/>
      <c r="Y529" s="4"/>
      <c r="Z529" s="4"/>
      <c r="AA529" s="4"/>
      <c r="AB529" s="4"/>
      <c r="AC529" s="4"/>
      <c r="AD529" s="4"/>
      <c r="AE529" s="4"/>
    </row>
    <row r="530" spans="1:31" ht="14.4">
      <c r="A530" s="4"/>
      <c r="B530" s="4"/>
      <c r="C530" s="50"/>
      <c r="D530" s="56"/>
      <c r="E530" s="56"/>
      <c r="F530" s="59"/>
      <c r="G530" s="4"/>
      <c r="H530" s="56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50"/>
      <c r="U530" s="50"/>
      <c r="V530" s="4"/>
      <c r="W530" s="4"/>
      <c r="X530" s="4"/>
      <c r="Y530" s="4"/>
      <c r="Z530" s="4"/>
      <c r="AA530" s="4"/>
      <c r="AB530" s="4"/>
      <c r="AC530" s="4"/>
      <c r="AD530" s="4"/>
      <c r="AE530" s="4"/>
    </row>
    <row r="531" spans="1:31" ht="14.4">
      <c r="A531" s="4"/>
      <c r="B531" s="4"/>
      <c r="C531" s="50"/>
      <c r="D531" s="56"/>
      <c r="E531" s="56"/>
      <c r="F531" s="59"/>
      <c r="G531" s="4"/>
      <c r="H531" s="56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50"/>
      <c r="U531" s="50"/>
      <c r="V531" s="4"/>
      <c r="W531" s="4"/>
      <c r="X531" s="4"/>
      <c r="Y531" s="4"/>
      <c r="Z531" s="4"/>
      <c r="AA531" s="4"/>
      <c r="AB531" s="4"/>
      <c r="AC531" s="4"/>
      <c r="AD531" s="4"/>
      <c r="AE531" s="4"/>
    </row>
    <row r="532" spans="1:31" ht="14.4">
      <c r="A532" s="4"/>
      <c r="B532" s="4"/>
      <c r="C532" s="50"/>
      <c r="D532" s="56"/>
      <c r="E532" s="56"/>
      <c r="F532" s="59"/>
      <c r="G532" s="4"/>
      <c r="H532" s="56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50"/>
      <c r="U532" s="50"/>
      <c r="V532" s="4"/>
      <c r="W532" s="4"/>
      <c r="X532" s="4"/>
      <c r="Y532" s="4"/>
      <c r="Z532" s="4"/>
      <c r="AA532" s="4"/>
      <c r="AB532" s="4"/>
      <c r="AC532" s="4"/>
      <c r="AD532" s="4"/>
      <c r="AE532" s="4"/>
    </row>
    <row r="533" spans="1:31" ht="14.4">
      <c r="A533" s="4"/>
      <c r="B533" s="4"/>
      <c r="C533" s="50"/>
      <c r="D533" s="56"/>
      <c r="E533" s="56"/>
      <c r="F533" s="59"/>
      <c r="G533" s="4"/>
      <c r="H533" s="56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50"/>
      <c r="U533" s="50"/>
      <c r="V533" s="4"/>
      <c r="W533" s="4"/>
      <c r="X533" s="4"/>
      <c r="Y533" s="4"/>
      <c r="Z533" s="4"/>
      <c r="AA533" s="4"/>
      <c r="AB533" s="4"/>
      <c r="AC533" s="4"/>
      <c r="AD533" s="4"/>
      <c r="AE533" s="4"/>
    </row>
    <row r="534" spans="1:31" ht="14.4">
      <c r="A534" s="4"/>
      <c r="B534" s="4"/>
      <c r="C534" s="50"/>
      <c r="D534" s="56"/>
      <c r="E534" s="56"/>
      <c r="F534" s="59"/>
      <c r="G534" s="4"/>
      <c r="H534" s="56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50"/>
      <c r="U534" s="50"/>
      <c r="V534" s="4"/>
      <c r="W534" s="4"/>
      <c r="X534" s="4"/>
      <c r="Y534" s="4"/>
      <c r="Z534" s="4"/>
      <c r="AA534" s="4"/>
      <c r="AB534" s="4"/>
      <c r="AC534" s="4"/>
      <c r="AD534" s="4"/>
      <c r="AE534" s="4"/>
    </row>
    <row r="535" spans="1:31" ht="14.4">
      <c r="A535" s="4"/>
      <c r="B535" s="4"/>
      <c r="C535" s="50"/>
      <c r="D535" s="56"/>
      <c r="E535" s="56"/>
      <c r="F535" s="59"/>
      <c r="G535" s="4"/>
      <c r="H535" s="56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50"/>
      <c r="U535" s="50"/>
      <c r="V535" s="4"/>
      <c r="W535" s="4"/>
      <c r="X535" s="4"/>
      <c r="Y535" s="4"/>
      <c r="Z535" s="4"/>
      <c r="AA535" s="4"/>
      <c r="AB535" s="4"/>
      <c r="AC535" s="4"/>
      <c r="AD535" s="4"/>
      <c r="AE535" s="4"/>
    </row>
    <row r="536" spans="1:31" ht="14.4">
      <c r="A536" s="4"/>
      <c r="B536" s="4"/>
      <c r="C536" s="50"/>
      <c r="D536" s="56"/>
      <c r="E536" s="56"/>
      <c r="F536" s="59"/>
      <c r="G536" s="4"/>
      <c r="H536" s="56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50"/>
      <c r="U536" s="50"/>
      <c r="V536" s="4"/>
      <c r="W536" s="4"/>
      <c r="X536" s="4"/>
      <c r="Y536" s="4"/>
      <c r="Z536" s="4"/>
      <c r="AA536" s="4"/>
      <c r="AB536" s="4"/>
      <c r="AC536" s="4"/>
      <c r="AD536" s="4"/>
      <c r="AE536" s="4"/>
    </row>
    <row r="537" spans="1:31" ht="14.4">
      <c r="A537" s="4"/>
      <c r="B537" s="4"/>
      <c r="C537" s="50"/>
      <c r="D537" s="56"/>
      <c r="E537" s="56"/>
      <c r="F537" s="59"/>
      <c r="G537" s="4"/>
      <c r="H537" s="56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50"/>
      <c r="U537" s="50"/>
      <c r="V537" s="4"/>
      <c r="W537" s="4"/>
      <c r="X537" s="4"/>
      <c r="Y537" s="4"/>
      <c r="Z537" s="4"/>
      <c r="AA537" s="4"/>
      <c r="AB537" s="4"/>
      <c r="AC537" s="4"/>
      <c r="AD537" s="4"/>
      <c r="AE537" s="4"/>
    </row>
    <row r="538" spans="1:31" ht="14.4">
      <c r="A538" s="4"/>
      <c r="B538" s="4"/>
      <c r="C538" s="50"/>
      <c r="D538" s="56"/>
      <c r="E538" s="56"/>
      <c r="F538" s="59"/>
      <c r="G538" s="4"/>
      <c r="H538" s="56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50"/>
      <c r="U538" s="50"/>
      <c r="V538" s="4"/>
      <c r="W538" s="4"/>
      <c r="X538" s="4"/>
      <c r="Y538" s="4"/>
      <c r="Z538" s="4"/>
      <c r="AA538" s="4"/>
      <c r="AB538" s="4"/>
      <c r="AC538" s="4"/>
      <c r="AD538" s="4"/>
      <c r="AE538" s="4"/>
    </row>
    <row r="539" spans="1:31" ht="14.4">
      <c r="A539" s="4"/>
      <c r="B539" s="4"/>
      <c r="C539" s="50"/>
      <c r="D539" s="56"/>
      <c r="E539" s="56"/>
      <c r="F539" s="59"/>
      <c r="G539" s="4"/>
      <c r="H539" s="56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50"/>
      <c r="U539" s="50"/>
      <c r="V539" s="4"/>
      <c r="W539" s="4"/>
      <c r="X539" s="4"/>
      <c r="Y539" s="4"/>
      <c r="Z539" s="4"/>
      <c r="AA539" s="4"/>
      <c r="AB539" s="4"/>
      <c r="AC539" s="4"/>
      <c r="AD539" s="4"/>
      <c r="AE539" s="4"/>
    </row>
    <row r="540" spans="1:31" ht="14.4">
      <c r="A540" s="4"/>
      <c r="B540" s="4"/>
      <c r="C540" s="50"/>
      <c r="D540" s="56"/>
      <c r="E540" s="56"/>
      <c r="F540" s="59"/>
      <c r="G540" s="4"/>
      <c r="H540" s="56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50"/>
      <c r="U540" s="50"/>
      <c r="V540" s="4"/>
      <c r="W540" s="4"/>
      <c r="X540" s="4"/>
      <c r="Y540" s="4"/>
      <c r="Z540" s="4"/>
      <c r="AA540" s="4"/>
      <c r="AB540" s="4"/>
      <c r="AC540" s="4"/>
      <c r="AD540" s="4"/>
      <c r="AE540" s="4"/>
    </row>
    <row r="541" spans="1:31" ht="14.4">
      <c r="A541" s="4"/>
      <c r="B541" s="4"/>
      <c r="C541" s="50"/>
      <c r="D541" s="56"/>
      <c r="E541" s="56"/>
      <c r="F541" s="59"/>
      <c r="G541" s="4"/>
      <c r="H541" s="56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50"/>
      <c r="U541" s="50"/>
      <c r="V541" s="4"/>
      <c r="W541" s="4"/>
      <c r="X541" s="4"/>
      <c r="Y541" s="4"/>
      <c r="Z541" s="4"/>
      <c r="AA541" s="4"/>
      <c r="AB541" s="4"/>
      <c r="AC541" s="4"/>
      <c r="AD541" s="4"/>
      <c r="AE541" s="4"/>
    </row>
    <row r="542" spans="1:31" ht="14.4">
      <c r="A542" s="4"/>
      <c r="B542" s="4"/>
      <c r="C542" s="50"/>
      <c r="D542" s="56"/>
      <c r="E542" s="56"/>
      <c r="F542" s="59"/>
      <c r="G542" s="4"/>
      <c r="H542" s="56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50"/>
      <c r="U542" s="50"/>
      <c r="V542" s="4"/>
      <c r="W542" s="4"/>
      <c r="X542" s="4"/>
      <c r="Y542" s="4"/>
      <c r="Z542" s="4"/>
      <c r="AA542" s="4"/>
      <c r="AB542" s="4"/>
      <c r="AC542" s="4"/>
      <c r="AD542" s="4"/>
      <c r="AE542" s="4"/>
    </row>
    <row r="543" spans="1:31" ht="14.4">
      <c r="A543" s="4"/>
      <c r="B543" s="4"/>
      <c r="C543" s="50"/>
      <c r="D543" s="56"/>
      <c r="E543" s="56"/>
      <c r="F543" s="59"/>
      <c r="G543" s="4"/>
      <c r="H543" s="56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50"/>
      <c r="U543" s="50"/>
      <c r="V543" s="4"/>
      <c r="W543" s="4"/>
      <c r="X543" s="4"/>
      <c r="Y543" s="4"/>
      <c r="Z543" s="4"/>
      <c r="AA543" s="4"/>
      <c r="AB543" s="4"/>
      <c r="AC543" s="4"/>
      <c r="AD543" s="4"/>
      <c r="AE543" s="4"/>
    </row>
    <row r="544" spans="1:31" ht="14.4">
      <c r="A544" s="4"/>
      <c r="B544" s="4"/>
      <c r="C544" s="50"/>
      <c r="D544" s="56"/>
      <c r="E544" s="56"/>
      <c r="F544" s="59"/>
      <c r="G544" s="4"/>
      <c r="H544" s="56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50"/>
      <c r="U544" s="50"/>
      <c r="V544" s="4"/>
      <c r="W544" s="4"/>
      <c r="X544" s="4"/>
      <c r="Y544" s="4"/>
      <c r="Z544" s="4"/>
      <c r="AA544" s="4"/>
      <c r="AB544" s="4"/>
      <c r="AC544" s="4"/>
      <c r="AD544" s="4"/>
      <c r="AE544" s="4"/>
    </row>
    <row r="545" spans="1:31" ht="14.4">
      <c r="A545" s="4"/>
      <c r="B545" s="4"/>
      <c r="C545" s="50"/>
      <c r="D545" s="56"/>
      <c r="E545" s="56"/>
      <c r="F545" s="59"/>
      <c r="G545" s="4"/>
      <c r="H545" s="56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50"/>
      <c r="U545" s="50"/>
      <c r="V545" s="4"/>
      <c r="W545" s="4"/>
      <c r="X545" s="4"/>
      <c r="Y545" s="4"/>
      <c r="Z545" s="4"/>
      <c r="AA545" s="4"/>
      <c r="AB545" s="4"/>
      <c r="AC545" s="4"/>
      <c r="AD545" s="4"/>
      <c r="AE545" s="4"/>
    </row>
    <row r="546" spans="1:31" ht="14.4">
      <c r="A546" s="4"/>
      <c r="B546" s="4"/>
      <c r="C546" s="50"/>
      <c r="D546" s="56"/>
      <c r="E546" s="56"/>
      <c r="F546" s="59"/>
      <c r="G546" s="4"/>
      <c r="H546" s="56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50"/>
      <c r="U546" s="50"/>
      <c r="V546" s="4"/>
      <c r="W546" s="4"/>
      <c r="X546" s="4"/>
      <c r="Y546" s="4"/>
      <c r="Z546" s="4"/>
      <c r="AA546" s="4"/>
      <c r="AB546" s="4"/>
      <c r="AC546" s="4"/>
      <c r="AD546" s="4"/>
      <c r="AE546" s="4"/>
    </row>
    <row r="547" spans="1:31" ht="14.4">
      <c r="A547" s="4"/>
      <c r="B547" s="4"/>
      <c r="C547" s="50"/>
      <c r="D547" s="56"/>
      <c r="E547" s="56"/>
      <c r="F547" s="59"/>
      <c r="G547" s="4"/>
      <c r="H547" s="56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50"/>
      <c r="U547" s="50"/>
      <c r="V547" s="4"/>
      <c r="W547" s="4"/>
      <c r="X547" s="4"/>
      <c r="Y547" s="4"/>
      <c r="Z547" s="4"/>
      <c r="AA547" s="4"/>
      <c r="AB547" s="4"/>
      <c r="AC547" s="4"/>
      <c r="AD547" s="4"/>
      <c r="AE547" s="4"/>
    </row>
    <row r="548" spans="1:31" ht="14.4">
      <c r="A548" s="4"/>
      <c r="B548" s="4"/>
      <c r="C548" s="50"/>
      <c r="D548" s="56"/>
      <c r="E548" s="56"/>
      <c r="F548" s="59"/>
      <c r="G548" s="4"/>
      <c r="H548" s="56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50"/>
      <c r="U548" s="50"/>
      <c r="V548" s="4"/>
      <c r="W548" s="4"/>
      <c r="X548" s="4"/>
      <c r="Y548" s="4"/>
      <c r="Z548" s="4"/>
      <c r="AA548" s="4"/>
      <c r="AB548" s="4"/>
      <c r="AC548" s="4"/>
      <c r="AD548" s="4"/>
      <c r="AE548" s="4"/>
    </row>
    <row r="549" spans="1:31" ht="14.4">
      <c r="A549" s="4"/>
      <c r="B549" s="4"/>
      <c r="C549" s="50"/>
      <c r="D549" s="56"/>
      <c r="E549" s="56"/>
      <c r="F549" s="59"/>
      <c r="G549" s="4"/>
      <c r="H549" s="56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50"/>
      <c r="U549" s="50"/>
      <c r="V549" s="4"/>
      <c r="W549" s="4"/>
      <c r="X549" s="4"/>
      <c r="Y549" s="4"/>
      <c r="Z549" s="4"/>
      <c r="AA549" s="4"/>
      <c r="AB549" s="4"/>
      <c r="AC549" s="4"/>
      <c r="AD549" s="4"/>
      <c r="AE549" s="4"/>
    </row>
    <row r="550" spans="1:31" ht="14.4">
      <c r="A550" s="4"/>
      <c r="B550" s="4"/>
      <c r="C550" s="50"/>
      <c r="D550" s="56"/>
      <c r="E550" s="56"/>
      <c r="F550" s="59"/>
      <c r="G550" s="4"/>
      <c r="H550" s="56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50"/>
      <c r="U550" s="50"/>
      <c r="V550" s="4"/>
      <c r="W550" s="4"/>
      <c r="X550" s="4"/>
      <c r="Y550" s="4"/>
      <c r="Z550" s="4"/>
      <c r="AA550" s="4"/>
      <c r="AB550" s="4"/>
      <c r="AC550" s="4"/>
      <c r="AD550" s="4"/>
      <c r="AE550" s="4"/>
    </row>
    <row r="551" spans="1:31" ht="14.4">
      <c r="A551" s="4"/>
      <c r="B551" s="4"/>
      <c r="C551" s="50"/>
      <c r="D551" s="56"/>
      <c r="E551" s="56"/>
      <c r="F551" s="59"/>
      <c r="G551" s="4"/>
      <c r="H551" s="56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50"/>
      <c r="U551" s="50"/>
      <c r="V551" s="4"/>
      <c r="W551" s="4"/>
      <c r="X551" s="4"/>
      <c r="Y551" s="4"/>
      <c r="Z551" s="4"/>
      <c r="AA551" s="4"/>
      <c r="AB551" s="4"/>
      <c r="AC551" s="4"/>
      <c r="AD551" s="4"/>
      <c r="AE551" s="4"/>
    </row>
    <row r="552" spans="1:31" ht="14.4">
      <c r="A552" s="4"/>
      <c r="B552" s="4"/>
      <c r="C552" s="50"/>
      <c r="D552" s="56"/>
      <c r="E552" s="56"/>
      <c r="F552" s="59"/>
      <c r="G552" s="4"/>
      <c r="H552" s="56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50"/>
      <c r="U552" s="50"/>
      <c r="V552" s="4"/>
      <c r="W552" s="4"/>
      <c r="X552" s="4"/>
      <c r="Y552" s="4"/>
      <c r="Z552" s="4"/>
      <c r="AA552" s="4"/>
      <c r="AB552" s="4"/>
      <c r="AC552" s="4"/>
      <c r="AD552" s="4"/>
      <c r="AE552" s="4"/>
    </row>
    <row r="553" spans="1:31" ht="14.4">
      <c r="A553" s="4"/>
      <c r="B553" s="4"/>
      <c r="C553" s="50"/>
      <c r="D553" s="56"/>
      <c r="E553" s="56"/>
      <c r="F553" s="59"/>
      <c r="G553" s="4"/>
      <c r="H553" s="56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50"/>
      <c r="U553" s="50"/>
      <c r="V553" s="4"/>
      <c r="W553" s="4"/>
      <c r="X553" s="4"/>
      <c r="Y553" s="4"/>
      <c r="Z553" s="4"/>
      <c r="AA553" s="4"/>
      <c r="AB553" s="4"/>
      <c r="AC553" s="4"/>
      <c r="AD553" s="4"/>
      <c r="AE553" s="4"/>
    </row>
    <row r="554" spans="1:31" ht="14.4">
      <c r="A554" s="4"/>
      <c r="B554" s="4"/>
      <c r="C554" s="50"/>
      <c r="D554" s="56"/>
      <c r="E554" s="56"/>
      <c r="F554" s="59"/>
      <c r="G554" s="4"/>
      <c r="H554" s="56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50"/>
      <c r="U554" s="50"/>
      <c r="V554" s="4"/>
      <c r="W554" s="4"/>
      <c r="X554" s="4"/>
      <c r="Y554" s="4"/>
      <c r="Z554" s="4"/>
      <c r="AA554" s="4"/>
      <c r="AB554" s="4"/>
      <c r="AC554" s="4"/>
      <c r="AD554" s="4"/>
      <c r="AE554" s="4"/>
    </row>
    <row r="555" spans="1:31" ht="14.4">
      <c r="A555" s="4"/>
      <c r="B555" s="4"/>
      <c r="C555" s="50"/>
      <c r="D555" s="56"/>
      <c r="E555" s="56"/>
      <c r="F555" s="59"/>
      <c r="G555" s="4"/>
      <c r="H555" s="56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50"/>
      <c r="U555" s="50"/>
      <c r="V555" s="4"/>
      <c r="W555" s="4"/>
      <c r="X555" s="4"/>
      <c r="Y555" s="4"/>
      <c r="Z555" s="4"/>
      <c r="AA555" s="4"/>
      <c r="AB555" s="4"/>
      <c r="AC555" s="4"/>
      <c r="AD555" s="4"/>
      <c r="AE555" s="4"/>
    </row>
    <row r="556" spans="1:31" ht="14.4">
      <c r="A556" s="4"/>
      <c r="B556" s="4"/>
      <c r="C556" s="50"/>
      <c r="D556" s="56"/>
      <c r="E556" s="56"/>
      <c r="F556" s="59"/>
      <c r="G556" s="4"/>
      <c r="H556" s="56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50"/>
      <c r="U556" s="50"/>
      <c r="V556" s="4"/>
      <c r="W556" s="4"/>
      <c r="X556" s="4"/>
      <c r="Y556" s="4"/>
      <c r="Z556" s="4"/>
      <c r="AA556" s="4"/>
      <c r="AB556" s="4"/>
      <c r="AC556" s="4"/>
      <c r="AD556" s="4"/>
      <c r="AE556" s="4"/>
    </row>
    <row r="557" spans="1:31" ht="14.4">
      <c r="A557" s="4"/>
      <c r="B557" s="4"/>
      <c r="C557" s="50"/>
      <c r="D557" s="56"/>
      <c r="E557" s="56"/>
      <c r="F557" s="59"/>
      <c r="G557" s="4"/>
      <c r="H557" s="56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50"/>
      <c r="U557" s="50"/>
      <c r="V557" s="4"/>
      <c r="W557" s="4"/>
      <c r="X557" s="4"/>
      <c r="Y557" s="4"/>
      <c r="Z557" s="4"/>
      <c r="AA557" s="4"/>
      <c r="AB557" s="4"/>
      <c r="AC557" s="4"/>
      <c r="AD557" s="4"/>
      <c r="AE557" s="4"/>
    </row>
    <row r="558" spans="1:31" ht="14.4">
      <c r="A558" s="4"/>
      <c r="B558" s="4"/>
      <c r="C558" s="50"/>
      <c r="D558" s="56"/>
      <c r="E558" s="56"/>
      <c r="F558" s="59"/>
      <c r="G558" s="4"/>
      <c r="H558" s="56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50"/>
      <c r="U558" s="50"/>
      <c r="V558" s="4"/>
      <c r="W558" s="4"/>
      <c r="X558" s="4"/>
      <c r="Y558" s="4"/>
      <c r="Z558" s="4"/>
      <c r="AA558" s="4"/>
      <c r="AB558" s="4"/>
      <c r="AC558" s="4"/>
      <c r="AD558" s="4"/>
      <c r="AE558" s="4"/>
    </row>
    <row r="559" spans="1:31" ht="14.4">
      <c r="A559" s="4"/>
      <c r="B559" s="4"/>
      <c r="C559" s="50"/>
      <c r="D559" s="56"/>
      <c r="E559" s="56"/>
      <c r="F559" s="59"/>
      <c r="G559" s="4"/>
      <c r="H559" s="56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50"/>
      <c r="U559" s="50"/>
      <c r="V559" s="4"/>
      <c r="W559" s="4"/>
      <c r="X559" s="4"/>
      <c r="Y559" s="4"/>
      <c r="Z559" s="4"/>
      <c r="AA559" s="4"/>
      <c r="AB559" s="4"/>
      <c r="AC559" s="4"/>
      <c r="AD559" s="4"/>
      <c r="AE559" s="4"/>
    </row>
    <row r="560" spans="1:31" ht="14.4">
      <c r="A560" s="4"/>
      <c r="B560" s="4"/>
      <c r="C560" s="50"/>
      <c r="D560" s="56"/>
      <c r="E560" s="56"/>
      <c r="F560" s="59"/>
      <c r="G560" s="4"/>
      <c r="H560" s="56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50"/>
      <c r="U560" s="50"/>
      <c r="V560" s="4"/>
      <c r="W560" s="4"/>
      <c r="X560" s="4"/>
      <c r="Y560" s="4"/>
      <c r="Z560" s="4"/>
      <c r="AA560" s="4"/>
      <c r="AB560" s="4"/>
      <c r="AC560" s="4"/>
      <c r="AD560" s="4"/>
      <c r="AE560" s="4"/>
    </row>
    <row r="561" spans="1:31" ht="14.4">
      <c r="A561" s="4"/>
      <c r="B561" s="4"/>
      <c r="C561" s="50"/>
      <c r="D561" s="56"/>
      <c r="E561" s="56"/>
      <c r="F561" s="59"/>
      <c r="G561" s="4"/>
      <c r="H561" s="56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50"/>
      <c r="U561" s="50"/>
      <c r="V561" s="4"/>
      <c r="W561" s="4"/>
      <c r="X561" s="4"/>
      <c r="Y561" s="4"/>
      <c r="Z561" s="4"/>
      <c r="AA561" s="4"/>
      <c r="AB561" s="4"/>
      <c r="AC561" s="4"/>
      <c r="AD561" s="4"/>
      <c r="AE561" s="4"/>
    </row>
    <row r="562" spans="1:31" ht="14.4">
      <c r="A562" s="4"/>
      <c r="B562" s="4"/>
      <c r="C562" s="50"/>
      <c r="D562" s="56"/>
      <c r="E562" s="56"/>
      <c r="F562" s="59"/>
      <c r="G562" s="4"/>
      <c r="H562" s="56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50"/>
      <c r="U562" s="50"/>
      <c r="V562" s="4"/>
      <c r="W562" s="4"/>
      <c r="X562" s="4"/>
      <c r="Y562" s="4"/>
      <c r="Z562" s="4"/>
      <c r="AA562" s="4"/>
      <c r="AB562" s="4"/>
      <c r="AC562" s="4"/>
      <c r="AD562" s="4"/>
      <c r="AE562" s="4"/>
    </row>
    <row r="563" spans="1:31" ht="14.4">
      <c r="A563" s="4"/>
      <c r="B563" s="4"/>
      <c r="C563" s="50"/>
      <c r="D563" s="56"/>
      <c r="E563" s="56"/>
      <c r="F563" s="59"/>
      <c r="G563" s="4"/>
      <c r="H563" s="56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50"/>
      <c r="U563" s="50"/>
      <c r="V563" s="4"/>
      <c r="W563" s="4"/>
      <c r="X563" s="4"/>
      <c r="Y563" s="4"/>
      <c r="Z563" s="4"/>
      <c r="AA563" s="4"/>
      <c r="AB563" s="4"/>
      <c r="AC563" s="4"/>
      <c r="AD563" s="4"/>
      <c r="AE563" s="4"/>
    </row>
    <row r="564" spans="1:31" ht="14.4">
      <c r="A564" s="4"/>
      <c r="B564" s="4"/>
      <c r="C564" s="50"/>
      <c r="D564" s="56"/>
      <c r="E564" s="56"/>
      <c r="F564" s="59"/>
      <c r="G564" s="4"/>
      <c r="H564" s="56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50"/>
      <c r="U564" s="50"/>
      <c r="V564" s="4"/>
      <c r="W564" s="4"/>
      <c r="X564" s="4"/>
      <c r="Y564" s="4"/>
      <c r="Z564" s="4"/>
      <c r="AA564" s="4"/>
      <c r="AB564" s="4"/>
      <c r="AC564" s="4"/>
      <c r="AD564" s="4"/>
      <c r="AE564" s="4"/>
    </row>
    <row r="565" spans="1:31" ht="14.4">
      <c r="A565" s="4"/>
      <c r="B565" s="4"/>
      <c r="C565" s="50"/>
      <c r="D565" s="56"/>
      <c r="E565" s="56"/>
      <c r="F565" s="59"/>
      <c r="G565" s="4"/>
      <c r="H565" s="56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50"/>
      <c r="U565" s="50"/>
      <c r="V565" s="4"/>
      <c r="W565" s="4"/>
      <c r="X565" s="4"/>
      <c r="Y565" s="4"/>
      <c r="Z565" s="4"/>
      <c r="AA565" s="4"/>
      <c r="AB565" s="4"/>
      <c r="AC565" s="4"/>
      <c r="AD565" s="4"/>
      <c r="AE565" s="4"/>
    </row>
    <row r="566" spans="1:31" ht="14.4">
      <c r="A566" s="4"/>
      <c r="B566" s="4"/>
      <c r="C566" s="50"/>
      <c r="D566" s="56"/>
      <c r="E566" s="56"/>
      <c r="F566" s="59"/>
      <c r="G566" s="4"/>
      <c r="H566" s="56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50"/>
      <c r="U566" s="50"/>
      <c r="V566" s="4"/>
      <c r="W566" s="4"/>
      <c r="X566" s="4"/>
      <c r="Y566" s="4"/>
      <c r="Z566" s="4"/>
      <c r="AA566" s="4"/>
      <c r="AB566" s="4"/>
      <c r="AC566" s="4"/>
      <c r="AD566" s="4"/>
      <c r="AE566" s="4"/>
    </row>
    <row r="567" spans="1:31" ht="14.4">
      <c r="A567" s="4"/>
      <c r="B567" s="4"/>
      <c r="C567" s="50"/>
      <c r="D567" s="56"/>
      <c r="E567" s="56"/>
      <c r="F567" s="59"/>
      <c r="G567" s="4"/>
      <c r="H567" s="56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50"/>
      <c r="U567" s="50"/>
      <c r="V567" s="4"/>
      <c r="W567" s="4"/>
      <c r="X567" s="4"/>
      <c r="Y567" s="4"/>
      <c r="Z567" s="4"/>
      <c r="AA567" s="4"/>
      <c r="AB567" s="4"/>
      <c r="AC567" s="4"/>
      <c r="AD567" s="4"/>
      <c r="AE567" s="4"/>
    </row>
    <row r="568" spans="1:31" ht="14.4">
      <c r="A568" s="4"/>
      <c r="B568" s="4"/>
      <c r="C568" s="50"/>
      <c r="D568" s="56"/>
      <c r="E568" s="56"/>
      <c r="F568" s="59"/>
      <c r="G568" s="4"/>
      <c r="H568" s="56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50"/>
      <c r="U568" s="50"/>
      <c r="V568" s="4"/>
      <c r="W568" s="4"/>
      <c r="X568" s="4"/>
      <c r="Y568" s="4"/>
      <c r="Z568" s="4"/>
      <c r="AA568" s="4"/>
      <c r="AB568" s="4"/>
      <c r="AC568" s="4"/>
      <c r="AD568" s="4"/>
      <c r="AE568" s="4"/>
    </row>
    <row r="569" spans="1:31" ht="14.4">
      <c r="A569" s="4"/>
      <c r="B569" s="4"/>
      <c r="C569" s="50"/>
      <c r="D569" s="56"/>
      <c r="E569" s="56"/>
      <c r="F569" s="59"/>
      <c r="G569" s="4"/>
      <c r="H569" s="56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50"/>
      <c r="U569" s="50"/>
      <c r="V569" s="4"/>
      <c r="W569" s="4"/>
      <c r="X569" s="4"/>
      <c r="Y569" s="4"/>
      <c r="Z569" s="4"/>
      <c r="AA569" s="4"/>
      <c r="AB569" s="4"/>
      <c r="AC569" s="4"/>
      <c r="AD569" s="4"/>
      <c r="AE569" s="4"/>
    </row>
    <row r="570" spans="1:31" ht="14.4">
      <c r="A570" s="4"/>
      <c r="B570" s="4"/>
      <c r="C570" s="50"/>
      <c r="D570" s="56"/>
      <c r="E570" s="56"/>
      <c r="F570" s="59"/>
      <c r="G570" s="4"/>
      <c r="H570" s="56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50"/>
      <c r="U570" s="50"/>
      <c r="V570" s="4"/>
      <c r="W570" s="4"/>
      <c r="X570" s="4"/>
      <c r="Y570" s="4"/>
      <c r="Z570" s="4"/>
      <c r="AA570" s="4"/>
      <c r="AB570" s="4"/>
      <c r="AC570" s="4"/>
      <c r="AD570" s="4"/>
      <c r="AE570" s="4"/>
    </row>
    <row r="571" spans="1:31" ht="14.4">
      <c r="A571" s="4"/>
      <c r="B571" s="4"/>
      <c r="C571" s="50"/>
      <c r="D571" s="56"/>
      <c r="E571" s="56"/>
      <c r="F571" s="59"/>
      <c r="G571" s="4"/>
      <c r="H571" s="56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50"/>
      <c r="U571" s="50"/>
      <c r="V571" s="4"/>
      <c r="W571" s="4"/>
      <c r="X571" s="4"/>
      <c r="Y571" s="4"/>
      <c r="Z571" s="4"/>
      <c r="AA571" s="4"/>
      <c r="AB571" s="4"/>
      <c r="AC571" s="4"/>
      <c r="AD571" s="4"/>
      <c r="AE571" s="4"/>
    </row>
    <row r="572" spans="1:31" ht="14.4">
      <c r="A572" s="4"/>
      <c r="B572" s="4"/>
      <c r="C572" s="50"/>
      <c r="D572" s="56"/>
      <c r="E572" s="56"/>
      <c r="F572" s="59"/>
      <c r="G572" s="4"/>
      <c r="H572" s="56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50"/>
      <c r="U572" s="50"/>
      <c r="V572" s="4"/>
      <c r="W572" s="4"/>
      <c r="X572" s="4"/>
      <c r="Y572" s="4"/>
      <c r="Z572" s="4"/>
      <c r="AA572" s="4"/>
      <c r="AB572" s="4"/>
      <c r="AC572" s="4"/>
      <c r="AD572" s="4"/>
      <c r="AE572" s="4"/>
    </row>
    <row r="573" spans="1:31" ht="14.4">
      <c r="A573" s="4"/>
      <c r="B573" s="4"/>
      <c r="C573" s="50"/>
      <c r="D573" s="56"/>
      <c r="E573" s="56"/>
      <c r="F573" s="59"/>
      <c r="G573" s="4"/>
      <c r="H573" s="56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50"/>
      <c r="U573" s="50"/>
      <c r="V573" s="4"/>
      <c r="W573" s="4"/>
      <c r="X573" s="4"/>
      <c r="Y573" s="4"/>
      <c r="Z573" s="4"/>
      <c r="AA573" s="4"/>
      <c r="AB573" s="4"/>
      <c r="AC573" s="4"/>
      <c r="AD573" s="4"/>
      <c r="AE573" s="4"/>
    </row>
    <row r="574" spans="1:31" ht="14.4">
      <c r="A574" s="4"/>
      <c r="B574" s="4"/>
      <c r="C574" s="50"/>
      <c r="D574" s="56"/>
      <c r="E574" s="56"/>
      <c r="F574" s="59"/>
      <c r="G574" s="4"/>
      <c r="H574" s="56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50"/>
      <c r="U574" s="50"/>
      <c r="V574" s="4"/>
      <c r="W574" s="4"/>
      <c r="X574" s="4"/>
      <c r="Y574" s="4"/>
      <c r="Z574" s="4"/>
      <c r="AA574" s="4"/>
      <c r="AB574" s="4"/>
      <c r="AC574" s="4"/>
      <c r="AD574" s="4"/>
      <c r="AE574" s="4"/>
    </row>
    <row r="575" spans="1:31" ht="14.4">
      <c r="A575" s="4"/>
      <c r="B575" s="4"/>
      <c r="C575" s="50"/>
      <c r="D575" s="56"/>
      <c r="E575" s="56"/>
      <c r="F575" s="59"/>
      <c r="G575" s="4"/>
      <c r="H575" s="56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50"/>
      <c r="U575" s="50"/>
      <c r="V575" s="4"/>
      <c r="W575" s="4"/>
      <c r="X575" s="4"/>
      <c r="Y575" s="4"/>
      <c r="Z575" s="4"/>
      <c r="AA575" s="4"/>
      <c r="AB575" s="4"/>
      <c r="AC575" s="4"/>
      <c r="AD575" s="4"/>
      <c r="AE575" s="4"/>
    </row>
    <row r="576" spans="1:31" ht="14.4">
      <c r="A576" s="4"/>
      <c r="B576" s="4"/>
      <c r="C576" s="50"/>
      <c r="D576" s="56"/>
      <c r="E576" s="56"/>
      <c r="F576" s="59"/>
      <c r="G576" s="4"/>
      <c r="H576" s="56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50"/>
      <c r="U576" s="50"/>
      <c r="V576" s="4"/>
      <c r="W576" s="4"/>
      <c r="X576" s="4"/>
      <c r="Y576" s="4"/>
      <c r="Z576" s="4"/>
      <c r="AA576" s="4"/>
      <c r="AB576" s="4"/>
      <c r="AC576" s="4"/>
      <c r="AD576" s="4"/>
      <c r="AE576" s="4"/>
    </row>
    <row r="577" spans="1:31" ht="14.4">
      <c r="A577" s="4"/>
      <c r="B577" s="4"/>
      <c r="C577" s="50"/>
      <c r="D577" s="56"/>
      <c r="E577" s="56"/>
      <c r="F577" s="59"/>
      <c r="G577" s="4"/>
      <c r="H577" s="56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50"/>
      <c r="U577" s="50"/>
      <c r="V577" s="4"/>
      <c r="W577" s="4"/>
      <c r="X577" s="4"/>
      <c r="Y577" s="4"/>
      <c r="Z577" s="4"/>
      <c r="AA577" s="4"/>
      <c r="AB577" s="4"/>
      <c r="AC577" s="4"/>
      <c r="AD577" s="4"/>
      <c r="AE577" s="4"/>
    </row>
    <row r="578" spans="1:31" ht="14.4">
      <c r="A578" s="4"/>
      <c r="B578" s="4"/>
      <c r="C578" s="50"/>
      <c r="D578" s="56"/>
      <c r="E578" s="56"/>
      <c r="F578" s="59"/>
      <c r="G578" s="4"/>
      <c r="H578" s="56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50"/>
      <c r="U578" s="50"/>
      <c r="V578" s="4"/>
      <c r="W578" s="4"/>
      <c r="X578" s="4"/>
      <c r="Y578" s="4"/>
      <c r="Z578" s="4"/>
      <c r="AA578" s="4"/>
      <c r="AB578" s="4"/>
      <c r="AC578" s="4"/>
      <c r="AD578" s="4"/>
      <c r="AE578" s="4"/>
    </row>
    <row r="579" spans="1:31" ht="14.4">
      <c r="A579" s="4"/>
      <c r="B579" s="4"/>
      <c r="C579" s="50"/>
      <c r="D579" s="56"/>
      <c r="E579" s="56"/>
      <c r="F579" s="59"/>
      <c r="G579" s="4"/>
      <c r="H579" s="56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50"/>
      <c r="U579" s="50"/>
      <c r="V579" s="4"/>
      <c r="W579" s="4"/>
      <c r="X579" s="4"/>
      <c r="Y579" s="4"/>
      <c r="Z579" s="4"/>
      <c r="AA579" s="4"/>
      <c r="AB579" s="4"/>
      <c r="AC579" s="4"/>
      <c r="AD579" s="4"/>
      <c r="AE579" s="4"/>
    </row>
    <row r="580" spans="1:31" ht="14.4">
      <c r="A580" s="4"/>
      <c r="B580" s="4"/>
      <c r="C580" s="50"/>
      <c r="D580" s="56"/>
      <c r="E580" s="56"/>
      <c r="F580" s="59"/>
      <c r="G580" s="4"/>
      <c r="H580" s="56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50"/>
      <c r="U580" s="50"/>
      <c r="V580" s="4"/>
      <c r="W580" s="4"/>
      <c r="X580" s="4"/>
      <c r="Y580" s="4"/>
      <c r="Z580" s="4"/>
      <c r="AA580" s="4"/>
      <c r="AB580" s="4"/>
      <c r="AC580" s="4"/>
      <c r="AD580" s="4"/>
      <c r="AE580" s="4"/>
    </row>
    <row r="581" spans="1:31" ht="14.4">
      <c r="A581" s="4"/>
      <c r="B581" s="4"/>
      <c r="C581" s="50"/>
      <c r="D581" s="56"/>
      <c r="E581" s="56"/>
      <c r="F581" s="59"/>
      <c r="G581" s="4"/>
      <c r="H581" s="56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50"/>
      <c r="U581" s="50"/>
      <c r="V581" s="4"/>
      <c r="W581" s="4"/>
      <c r="X581" s="4"/>
      <c r="Y581" s="4"/>
      <c r="Z581" s="4"/>
      <c r="AA581" s="4"/>
      <c r="AB581" s="4"/>
      <c r="AC581" s="4"/>
      <c r="AD581" s="4"/>
      <c r="AE581" s="4"/>
    </row>
    <row r="582" spans="1:31" ht="14.4">
      <c r="A582" s="4"/>
      <c r="B582" s="4"/>
      <c r="C582" s="50"/>
      <c r="D582" s="56"/>
      <c r="E582" s="56"/>
      <c r="F582" s="59"/>
      <c r="G582" s="4"/>
      <c r="H582" s="56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50"/>
      <c r="U582" s="50"/>
      <c r="V582" s="4"/>
      <c r="W582" s="4"/>
      <c r="X582" s="4"/>
      <c r="Y582" s="4"/>
      <c r="Z582" s="4"/>
      <c r="AA582" s="4"/>
      <c r="AB582" s="4"/>
      <c r="AC582" s="4"/>
      <c r="AD582" s="4"/>
      <c r="AE582" s="4"/>
    </row>
    <row r="583" spans="1:31" ht="14.4">
      <c r="A583" s="4"/>
      <c r="B583" s="4"/>
      <c r="C583" s="50"/>
      <c r="D583" s="56"/>
      <c r="E583" s="56"/>
      <c r="F583" s="59"/>
      <c r="G583" s="4"/>
      <c r="H583" s="56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50"/>
      <c r="U583" s="50"/>
      <c r="V583" s="4"/>
      <c r="W583" s="4"/>
      <c r="X583" s="4"/>
      <c r="Y583" s="4"/>
      <c r="Z583" s="4"/>
      <c r="AA583" s="4"/>
      <c r="AB583" s="4"/>
      <c r="AC583" s="4"/>
      <c r="AD583" s="4"/>
      <c r="AE583" s="4"/>
    </row>
    <row r="584" spans="1:31" ht="14.4">
      <c r="A584" s="4"/>
      <c r="B584" s="4"/>
      <c r="C584" s="50"/>
      <c r="D584" s="56"/>
      <c r="E584" s="56"/>
      <c r="F584" s="59"/>
      <c r="G584" s="4"/>
      <c r="H584" s="56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50"/>
      <c r="U584" s="50"/>
      <c r="V584" s="4"/>
      <c r="W584" s="4"/>
      <c r="X584" s="4"/>
      <c r="Y584" s="4"/>
      <c r="Z584" s="4"/>
      <c r="AA584" s="4"/>
      <c r="AB584" s="4"/>
      <c r="AC584" s="4"/>
      <c r="AD584" s="4"/>
      <c r="AE584" s="4"/>
    </row>
    <row r="585" spans="1:31" ht="14.4">
      <c r="A585" s="4"/>
      <c r="B585" s="4"/>
      <c r="C585" s="50"/>
      <c r="D585" s="56"/>
      <c r="E585" s="56"/>
      <c r="F585" s="59"/>
      <c r="G585" s="4"/>
      <c r="H585" s="56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50"/>
      <c r="U585" s="50"/>
      <c r="V585" s="4"/>
      <c r="W585" s="4"/>
      <c r="X585" s="4"/>
      <c r="Y585" s="4"/>
      <c r="Z585" s="4"/>
      <c r="AA585" s="4"/>
      <c r="AB585" s="4"/>
      <c r="AC585" s="4"/>
      <c r="AD585" s="4"/>
      <c r="AE585" s="4"/>
    </row>
    <row r="586" spans="1:31" ht="14.4">
      <c r="A586" s="4"/>
      <c r="B586" s="4"/>
      <c r="C586" s="50"/>
      <c r="D586" s="56"/>
      <c r="E586" s="56"/>
      <c r="F586" s="59"/>
      <c r="G586" s="4"/>
      <c r="H586" s="56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50"/>
      <c r="U586" s="50"/>
      <c r="V586" s="4"/>
      <c r="W586" s="4"/>
      <c r="X586" s="4"/>
      <c r="Y586" s="4"/>
      <c r="Z586" s="4"/>
      <c r="AA586" s="4"/>
      <c r="AB586" s="4"/>
      <c r="AC586" s="4"/>
      <c r="AD586" s="4"/>
      <c r="AE586" s="4"/>
    </row>
    <row r="587" spans="1:31" ht="14.4">
      <c r="A587" s="4"/>
      <c r="B587" s="4"/>
      <c r="C587" s="50"/>
      <c r="D587" s="56"/>
      <c r="E587" s="56"/>
      <c r="F587" s="59"/>
      <c r="G587" s="4"/>
      <c r="H587" s="56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50"/>
      <c r="U587" s="50"/>
      <c r="V587" s="4"/>
      <c r="W587" s="4"/>
      <c r="X587" s="4"/>
      <c r="Y587" s="4"/>
      <c r="Z587" s="4"/>
      <c r="AA587" s="4"/>
      <c r="AB587" s="4"/>
      <c r="AC587" s="4"/>
      <c r="AD587" s="4"/>
      <c r="AE587" s="4"/>
    </row>
    <row r="588" spans="1:31" ht="14.4">
      <c r="A588" s="4"/>
      <c r="B588" s="4"/>
      <c r="C588" s="50"/>
      <c r="D588" s="56"/>
      <c r="E588" s="56"/>
      <c r="F588" s="59"/>
      <c r="G588" s="4"/>
      <c r="H588" s="56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50"/>
      <c r="U588" s="50"/>
      <c r="V588" s="4"/>
      <c r="W588" s="4"/>
      <c r="X588" s="4"/>
      <c r="Y588" s="4"/>
      <c r="Z588" s="4"/>
      <c r="AA588" s="4"/>
      <c r="AB588" s="4"/>
      <c r="AC588" s="4"/>
      <c r="AD588" s="4"/>
      <c r="AE588" s="4"/>
    </row>
    <row r="589" spans="1:31" ht="14.4">
      <c r="A589" s="4"/>
      <c r="B589" s="4"/>
      <c r="C589" s="50"/>
      <c r="D589" s="56"/>
      <c r="E589" s="56"/>
      <c r="F589" s="59"/>
      <c r="G589" s="4"/>
      <c r="H589" s="56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50"/>
      <c r="U589" s="50"/>
      <c r="V589" s="4"/>
      <c r="W589" s="4"/>
      <c r="X589" s="4"/>
      <c r="Y589" s="4"/>
      <c r="Z589" s="4"/>
      <c r="AA589" s="4"/>
      <c r="AB589" s="4"/>
      <c r="AC589" s="4"/>
      <c r="AD589" s="4"/>
      <c r="AE589" s="4"/>
    </row>
    <row r="590" spans="1:31" ht="14.4">
      <c r="A590" s="4"/>
      <c r="B590" s="4"/>
      <c r="C590" s="50"/>
      <c r="D590" s="56"/>
      <c r="E590" s="56"/>
      <c r="F590" s="59"/>
      <c r="G590" s="4"/>
      <c r="H590" s="56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50"/>
      <c r="U590" s="50"/>
      <c r="V590" s="4"/>
      <c r="W590" s="4"/>
      <c r="X590" s="4"/>
      <c r="Y590" s="4"/>
      <c r="Z590" s="4"/>
      <c r="AA590" s="4"/>
      <c r="AB590" s="4"/>
      <c r="AC590" s="4"/>
      <c r="AD590" s="4"/>
      <c r="AE590" s="4"/>
    </row>
    <row r="591" spans="1:31" ht="14.4">
      <c r="A591" s="4"/>
      <c r="B591" s="4"/>
      <c r="C591" s="50"/>
      <c r="D591" s="56"/>
      <c r="E591" s="56"/>
      <c r="F591" s="59"/>
      <c r="G591" s="4"/>
      <c r="H591" s="56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50"/>
      <c r="U591" s="50"/>
      <c r="V591" s="4"/>
      <c r="W591" s="4"/>
      <c r="X591" s="4"/>
      <c r="Y591" s="4"/>
      <c r="Z591" s="4"/>
      <c r="AA591" s="4"/>
      <c r="AB591" s="4"/>
      <c r="AC591" s="4"/>
      <c r="AD591" s="4"/>
      <c r="AE591" s="4"/>
    </row>
    <row r="592" spans="1:31" ht="14.4">
      <c r="A592" s="4"/>
      <c r="B592" s="4"/>
      <c r="C592" s="50"/>
      <c r="D592" s="56"/>
      <c r="E592" s="56"/>
      <c r="F592" s="59"/>
      <c r="G592" s="4"/>
      <c r="H592" s="56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50"/>
      <c r="U592" s="50"/>
      <c r="V592" s="4"/>
      <c r="W592" s="4"/>
      <c r="X592" s="4"/>
      <c r="Y592" s="4"/>
      <c r="Z592" s="4"/>
      <c r="AA592" s="4"/>
      <c r="AB592" s="4"/>
      <c r="AC592" s="4"/>
      <c r="AD592" s="4"/>
      <c r="AE592" s="4"/>
    </row>
    <row r="593" spans="1:31" ht="14.4">
      <c r="A593" s="4"/>
      <c r="B593" s="4"/>
      <c r="C593" s="50"/>
      <c r="D593" s="56"/>
      <c r="E593" s="56"/>
      <c r="F593" s="59"/>
      <c r="G593" s="4"/>
      <c r="H593" s="56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50"/>
      <c r="U593" s="50"/>
      <c r="V593" s="4"/>
      <c r="W593" s="4"/>
      <c r="X593" s="4"/>
      <c r="Y593" s="4"/>
      <c r="Z593" s="4"/>
      <c r="AA593" s="4"/>
      <c r="AB593" s="4"/>
      <c r="AC593" s="4"/>
      <c r="AD593" s="4"/>
      <c r="AE593" s="4"/>
    </row>
    <row r="594" spans="1:31" ht="14.4">
      <c r="A594" s="4"/>
      <c r="B594" s="4"/>
      <c r="C594" s="50"/>
      <c r="D594" s="56"/>
      <c r="E594" s="56"/>
      <c r="F594" s="59"/>
      <c r="G594" s="4"/>
      <c r="H594" s="56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50"/>
      <c r="U594" s="50"/>
      <c r="V594" s="4"/>
      <c r="W594" s="4"/>
      <c r="X594" s="4"/>
      <c r="Y594" s="4"/>
      <c r="Z594" s="4"/>
      <c r="AA594" s="4"/>
      <c r="AB594" s="4"/>
      <c r="AC594" s="4"/>
      <c r="AD594" s="4"/>
      <c r="AE594" s="4"/>
    </row>
    <row r="595" spans="1:31" ht="14.4">
      <c r="A595" s="4"/>
      <c r="B595" s="4"/>
      <c r="C595" s="50"/>
      <c r="D595" s="56"/>
      <c r="E595" s="56"/>
      <c r="F595" s="59"/>
      <c r="G595" s="4"/>
      <c r="H595" s="56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50"/>
      <c r="U595" s="50"/>
      <c r="V595" s="4"/>
      <c r="W595" s="4"/>
      <c r="X595" s="4"/>
      <c r="Y595" s="4"/>
      <c r="Z595" s="4"/>
      <c r="AA595" s="4"/>
      <c r="AB595" s="4"/>
      <c r="AC595" s="4"/>
      <c r="AD595" s="4"/>
      <c r="AE595" s="4"/>
    </row>
    <row r="596" spans="1:31" ht="14.4">
      <c r="A596" s="4"/>
      <c r="B596" s="4"/>
      <c r="C596" s="50"/>
      <c r="D596" s="56"/>
      <c r="E596" s="56"/>
      <c r="F596" s="59"/>
      <c r="G596" s="4"/>
      <c r="H596" s="56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50"/>
      <c r="U596" s="50"/>
      <c r="V596" s="4"/>
      <c r="W596" s="4"/>
      <c r="X596" s="4"/>
      <c r="Y596" s="4"/>
      <c r="Z596" s="4"/>
      <c r="AA596" s="4"/>
      <c r="AB596" s="4"/>
      <c r="AC596" s="4"/>
      <c r="AD596" s="4"/>
      <c r="AE596" s="4"/>
    </row>
    <row r="597" spans="1:31" ht="14.4">
      <c r="A597" s="4"/>
      <c r="B597" s="4"/>
      <c r="C597" s="50"/>
      <c r="D597" s="56"/>
      <c r="E597" s="56"/>
      <c r="F597" s="59"/>
      <c r="G597" s="4"/>
      <c r="H597" s="56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50"/>
      <c r="U597" s="50"/>
      <c r="V597" s="4"/>
      <c r="W597" s="4"/>
      <c r="X597" s="4"/>
      <c r="Y597" s="4"/>
      <c r="Z597" s="4"/>
      <c r="AA597" s="4"/>
      <c r="AB597" s="4"/>
      <c r="AC597" s="4"/>
      <c r="AD597" s="4"/>
      <c r="AE597" s="4"/>
    </row>
    <row r="598" spans="1:31" ht="14.4">
      <c r="A598" s="4"/>
      <c r="B598" s="4"/>
      <c r="C598" s="50"/>
      <c r="D598" s="56"/>
      <c r="E598" s="56"/>
      <c r="F598" s="59"/>
      <c r="G598" s="4"/>
      <c r="H598" s="56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50"/>
      <c r="U598" s="50"/>
      <c r="V598" s="4"/>
      <c r="W598" s="4"/>
      <c r="X598" s="4"/>
      <c r="Y598" s="4"/>
      <c r="Z598" s="4"/>
      <c r="AA598" s="4"/>
      <c r="AB598" s="4"/>
      <c r="AC598" s="4"/>
      <c r="AD598" s="4"/>
      <c r="AE598" s="4"/>
    </row>
    <row r="599" spans="1:31" ht="14.4">
      <c r="A599" s="4"/>
      <c r="B599" s="4"/>
      <c r="C599" s="50"/>
      <c r="D599" s="56"/>
      <c r="E599" s="56"/>
      <c r="F599" s="59"/>
      <c r="G599" s="4"/>
      <c r="H599" s="56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50"/>
      <c r="U599" s="50"/>
      <c r="V599" s="4"/>
      <c r="W599" s="4"/>
      <c r="X599" s="4"/>
      <c r="Y599" s="4"/>
      <c r="Z599" s="4"/>
      <c r="AA599" s="4"/>
      <c r="AB599" s="4"/>
      <c r="AC599" s="4"/>
      <c r="AD599" s="4"/>
      <c r="AE599" s="4"/>
    </row>
    <row r="600" spans="1:31" ht="14.4">
      <c r="A600" s="4"/>
      <c r="B600" s="4"/>
      <c r="C600" s="50"/>
      <c r="D600" s="56"/>
      <c r="E600" s="56"/>
      <c r="F600" s="59"/>
      <c r="G600" s="4"/>
      <c r="H600" s="56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50"/>
      <c r="U600" s="50"/>
      <c r="V600" s="4"/>
      <c r="W600" s="4"/>
      <c r="X600" s="4"/>
      <c r="Y600" s="4"/>
      <c r="Z600" s="4"/>
      <c r="AA600" s="4"/>
      <c r="AB600" s="4"/>
      <c r="AC600" s="4"/>
      <c r="AD600" s="4"/>
      <c r="AE600" s="4"/>
    </row>
    <row r="601" spans="1:31" ht="14.4">
      <c r="A601" s="4"/>
      <c r="B601" s="4"/>
      <c r="C601" s="50"/>
      <c r="D601" s="56"/>
      <c r="E601" s="56"/>
      <c r="F601" s="59"/>
      <c r="G601" s="4"/>
      <c r="H601" s="56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50"/>
      <c r="U601" s="50"/>
      <c r="V601" s="4"/>
      <c r="W601" s="4"/>
      <c r="X601" s="4"/>
      <c r="Y601" s="4"/>
      <c r="Z601" s="4"/>
      <c r="AA601" s="4"/>
      <c r="AB601" s="4"/>
      <c r="AC601" s="4"/>
      <c r="AD601" s="4"/>
      <c r="AE601" s="4"/>
    </row>
    <row r="602" spans="1:31" ht="14.4">
      <c r="A602" s="4"/>
      <c r="B602" s="4"/>
      <c r="C602" s="50"/>
      <c r="D602" s="56"/>
      <c r="E602" s="56"/>
      <c r="F602" s="59"/>
      <c r="G602" s="4"/>
      <c r="H602" s="56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50"/>
      <c r="U602" s="50"/>
      <c r="V602" s="4"/>
      <c r="W602" s="4"/>
      <c r="X602" s="4"/>
      <c r="Y602" s="4"/>
      <c r="Z602" s="4"/>
      <c r="AA602" s="4"/>
      <c r="AB602" s="4"/>
      <c r="AC602" s="4"/>
      <c r="AD602" s="4"/>
      <c r="AE602" s="4"/>
    </row>
    <row r="603" spans="1:31" ht="14.4">
      <c r="A603" s="4"/>
      <c r="B603" s="4"/>
      <c r="C603" s="50"/>
      <c r="D603" s="56"/>
      <c r="E603" s="56"/>
      <c r="F603" s="59"/>
      <c r="G603" s="4"/>
      <c r="H603" s="56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50"/>
      <c r="U603" s="50"/>
      <c r="V603" s="4"/>
      <c r="W603" s="4"/>
      <c r="X603" s="4"/>
      <c r="Y603" s="4"/>
      <c r="Z603" s="4"/>
      <c r="AA603" s="4"/>
      <c r="AB603" s="4"/>
      <c r="AC603" s="4"/>
      <c r="AD603" s="4"/>
      <c r="AE603" s="4"/>
    </row>
    <row r="604" spans="1:31" ht="14.4">
      <c r="A604" s="4"/>
      <c r="B604" s="4"/>
      <c r="C604" s="50"/>
      <c r="D604" s="56"/>
      <c r="E604" s="56"/>
      <c r="F604" s="59"/>
      <c r="G604" s="4"/>
      <c r="H604" s="56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50"/>
      <c r="U604" s="50"/>
      <c r="V604" s="4"/>
      <c r="W604" s="4"/>
      <c r="X604" s="4"/>
      <c r="Y604" s="4"/>
      <c r="Z604" s="4"/>
      <c r="AA604" s="4"/>
      <c r="AB604" s="4"/>
      <c r="AC604" s="4"/>
      <c r="AD604" s="4"/>
      <c r="AE604" s="4"/>
    </row>
    <row r="605" spans="1:31" ht="14.4">
      <c r="A605" s="4"/>
      <c r="B605" s="4"/>
      <c r="C605" s="50"/>
      <c r="D605" s="56"/>
      <c r="E605" s="56"/>
      <c r="F605" s="59"/>
      <c r="G605" s="4"/>
      <c r="H605" s="56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50"/>
      <c r="U605" s="50"/>
      <c r="V605" s="4"/>
      <c r="W605" s="4"/>
      <c r="X605" s="4"/>
      <c r="Y605" s="4"/>
      <c r="Z605" s="4"/>
      <c r="AA605" s="4"/>
      <c r="AB605" s="4"/>
      <c r="AC605" s="4"/>
      <c r="AD605" s="4"/>
      <c r="AE605" s="4"/>
    </row>
    <row r="606" spans="1:31" ht="14.4">
      <c r="A606" s="4"/>
      <c r="B606" s="4"/>
      <c r="C606" s="50"/>
      <c r="D606" s="56"/>
      <c r="E606" s="56"/>
      <c r="F606" s="59"/>
      <c r="G606" s="4"/>
      <c r="H606" s="56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50"/>
      <c r="U606" s="50"/>
      <c r="V606" s="4"/>
      <c r="W606" s="4"/>
      <c r="X606" s="4"/>
      <c r="Y606" s="4"/>
      <c r="Z606" s="4"/>
      <c r="AA606" s="4"/>
      <c r="AB606" s="4"/>
      <c r="AC606" s="4"/>
      <c r="AD606" s="4"/>
      <c r="AE606" s="4"/>
    </row>
    <row r="607" spans="1:31" ht="14.4">
      <c r="A607" s="4"/>
      <c r="B607" s="4"/>
      <c r="C607" s="50"/>
      <c r="D607" s="56"/>
      <c r="E607" s="56"/>
      <c r="F607" s="59"/>
      <c r="G607" s="4"/>
      <c r="H607" s="56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50"/>
      <c r="U607" s="50"/>
      <c r="V607" s="4"/>
      <c r="W607" s="4"/>
      <c r="X607" s="4"/>
      <c r="Y607" s="4"/>
      <c r="Z607" s="4"/>
      <c r="AA607" s="4"/>
      <c r="AB607" s="4"/>
      <c r="AC607" s="4"/>
      <c r="AD607" s="4"/>
      <c r="AE607" s="4"/>
    </row>
    <row r="608" spans="1:31" ht="14.4">
      <c r="A608" s="4"/>
      <c r="B608" s="4"/>
      <c r="C608" s="50"/>
      <c r="D608" s="56"/>
      <c r="E608" s="56"/>
      <c r="F608" s="59"/>
      <c r="G608" s="4"/>
      <c r="H608" s="56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50"/>
      <c r="U608" s="50"/>
      <c r="V608" s="4"/>
      <c r="W608" s="4"/>
      <c r="X608" s="4"/>
      <c r="Y608" s="4"/>
      <c r="Z608" s="4"/>
      <c r="AA608" s="4"/>
      <c r="AB608" s="4"/>
      <c r="AC608" s="4"/>
      <c r="AD608" s="4"/>
      <c r="AE608" s="4"/>
    </row>
    <row r="609" spans="1:31" ht="14.4">
      <c r="A609" s="4"/>
      <c r="B609" s="4"/>
      <c r="C609" s="50"/>
      <c r="D609" s="56"/>
      <c r="E609" s="56"/>
      <c r="F609" s="59"/>
      <c r="G609" s="4"/>
      <c r="H609" s="56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50"/>
      <c r="U609" s="50"/>
      <c r="V609" s="4"/>
      <c r="W609" s="4"/>
      <c r="X609" s="4"/>
      <c r="Y609" s="4"/>
      <c r="Z609" s="4"/>
      <c r="AA609" s="4"/>
      <c r="AB609" s="4"/>
      <c r="AC609" s="4"/>
      <c r="AD609" s="4"/>
      <c r="AE609" s="4"/>
    </row>
    <row r="610" spans="1:31" ht="14.4">
      <c r="A610" s="4"/>
      <c r="B610" s="4"/>
      <c r="C610" s="50"/>
      <c r="D610" s="56"/>
      <c r="E610" s="56"/>
      <c r="F610" s="59"/>
      <c r="G610" s="4"/>
      <c r="H610" s="56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50"/>
      <c r="U610" s="50"/>
      <c r="V610" s="4"/>
      <c r="W610" s="4"/>
      <c r="X610" s="4"/>
      <c r="Y610" s="4"/>
      <c r="Z610" s="4"/>
      <c r="AA610" s="4"/>
      <c r="AB610" s="4"/>
      <c r="AC610" s="4"/>
      <c r="AD610" s="4"/>
      <c r="AE610" s="4"/>
    </row>
    <row r="611" spans="1:31" ht="14.4">
      <c r="A611" s="4"/>
      <c r="B611" s="4"/>
      <c r="C611" s="50"/>
      <c r="D611" s="56"/>
      <c r="E611" s="56"/>
      <c r="F611" s="59"/>
      <c r="G611" s="4"/>
      <c r="H611" s="56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50"/>
      <c r="U611" s="50"/>
      <c r="V611" s="4"/>
      <c r="W611" s="4"/>
      <c r="X611" s="4"/>
      <c r="Y611" s="4"/>
      <c r="Z611" s="4"/>
      <c r="AA611" s="4"/>
      <c r="AB611" s="4"/>
      <c r="AC611" s="4"/>
      <c r="AD611" s="4"/>
      <c r="AE611" s="4"/>
    </row>
    <row r="612" spans="1:31" ht="14.4">
      <c r="A612" s="4"/>
      <c r="B612" s="4"/>
      <c r="C612" s="50"/>
      <c r="D612" s="56"/>
      <c r="E612" s="56"/>
      <c r="F612" s="59"/>
      <c r="G612" s="4"/>
      <c r="H612" s="56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50"/>
      <c r="U612" s="50"/>
      <c r="V612" s="4"/>
      <c r="W612" s="4"/>
      <c r="X612" s="4"/>
      <c r="Y612" s="4"/>
      <c r="Z612" s="4"/>
      <c r="AA612" s="4"/>
      <c r="AB612" s="4"/>
      <c r="AC612" s="4"/>
      <c r="AD612" s="4"/>
      <c r="AE612" s="4"/>
    </row>
    <row r="613" spans="1:31" ht="14.4">
      <c r="A613" s="4"/>
      <c r="B613" s="4"/>
      <c r="C613" s="50"/>
      <c r="D613" s="56"/>
      <c r="E613" s="56"/>
      <c r="F613" s="59"/>
      <c r="G613" s="4"/>
      <c r="H613" s="56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50"/>
      <c r="U613" s="50"/>
      <c r="V613" s="4"/>
      <c r="W613" s="4"/>
      <c r="X613" s="4"/>
      <c r="Y613" s="4"/>
      <c r="Z613" s="4"/>
      <c r="AA613" s="4"/>
      <c r="AB613" s="4"/>
      <c r="AC613" s="4"/>
      <c r="AD613" s="4"/>
      <c r="AE613" s="4"/>
    </row>
    <row r="614" spans="1:31" ht="14.4">
      <c r="A614" s="4"/>
      <c r="B614" s="4"/>
      <c r="C614" s="50"/>
      <c r="D614" s="56"/>
      <c r="E614" s="56"/>
      <c r="F614" s="59"/>
      <c r="G614" s="4"/>
      <c r="H614" s="56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50"/>
      <c r="U614" s="50"/>
      <c r="V614" s="4"/>
      <c r="W614" s="4"/>
      <c r="X614" s="4"/>
      <c r="Y614" s="4"/>
      <c r="Z614" s="4"/>
      <c r="AA614" s="4"/>
      <c r="AB614" s="4"/>
      <c r="AC614" s="4"/>
      <c r="AD614" s="4"/>
      <c r="AE614" s="4"/>
    </row>
    <row r="615" spans="1:31" ht="14.4">
      <c r="A615" s="4"/>
      <c r="B615" s="4"/>
      <c r="C615" s="50"/>
      <c r="D615" s="56"/>
      <c r="E615" s="56"/>
      <c r="F615" s="59"/>
      <c r="G615" s="4"/>
      <c r="H615" s="56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50"/>
      <c r="U615" s="50"/>
      <c r="V615" s="4"/>
      <c r="W615" s="4"/>
      <c r="X615" s="4"/>
      <c r="Y615" s="4"/>
      <c r="Z615" s="4"/>
      <c r="AA615" s="4"/>
      <c r="AB615" s="4"/>
      <c r="AC615" s="4"/>
      <c r="AD615" s="4"/>
      <c r="AE615" s="4"/>
    </row>
    <row r="616" spans="1:31" ht="14.4">
      <c r="A616" s="4"/>
      <c r="B616" s="4"/>
      <c r="C616" s="50"/>
      <c r="D616" s="56"/>
      <c r="E616" s="56"/>
      <c r="F616" s="59"/>
      <c r="G616" s="4"/>
      <c r="H616" s="56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50"/>
      <c r="U616" s="50"/>
      <c r="V616" s="4"/>
      <c r="W616" s="4"/>
      <c r="X616" s="4"/>
      <c r="Y616" s="4"/>
      <c r="Z616" s="4"/>
      <c r="AA616" s="4"/>
      <c r="AB616" s="4"/>
      <c r="AC616" s="4"/>
      <c r="AD616" s="4"/>
      <c r="AE616" s="4"/>
    </row>
    <row r="617" spans="1:31" ht="14.4">
      <c r="A617" s="4"/>
      <c r="B617" s="4"/>
      <c r="C617" s="50"/>
      <c r="D617" s="56"/>
      <c r="E617" s="56"/>
      <c r="F617" s="59"/>
      <c r="G617" s="4"/>
      <c r="H617" s="56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50"/>
      <c r="U617" s="50"/>
      <c r="V617" s="4"/>
      <c r="W617" s="4"/>
      <c r="X617" s="4"/>
      <c r="Y617" s="4"/>
      <c r="Z617" s="4"/>
      <c r="AA617" s="4"/>
      <c r="AB617" s="4"/>
      <c r="AC617" s="4"/>
      <c r="AD617" s="4"/>
      <c r="AE617" s="4"/>
    </row>
    <row r="618" spans="1:31" ht="14.4">
      <c r="A618" s="4"/>
      <c r="B618" s="4"/>
      <c r="C618" s="50"/>
      <c r="D618" s="56"/>
      <c r="E618" s="56"/>
      <c r="F618" s="59"/>
      <c r="G618" s="4"/>
      <c r="H618" s="56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50"/>
      <c r="U618" s="50"/>
      <c r="V618" s="4"/>
      <c r="W618" s="4"/>
      <c r="X618" s="4"/>
      <c r="Y618" s="4"/>
      <c r="Z618" s="4"/>
      <c r="AA618" s="4"/>
      <c r="AB618" s="4"/>
      <c r="AC618" s="4"/>
      <c r="AD618" s="4"/>
      <c r="AE618" s="4"/>
    </row>
    <row r="619" spans="1:31" ht="14.4">
      <c r="A619" s="4"/>
      <c r="B619" s="4"/>
      <c r="C619" s="50"/>
      <c r="D619" s="56"/>
      <c r="E619" s="56"/>
      <c r="F619" s="59"/>
      <c r="G619" s="4"/>
      <c r="H619" s="56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50"/>
      <c r="U619" s="50"/>
      <c r="V619" s="4"/>
      <c r="W619" s="4"/>
      <c r="X619" s="4"/>
      <c r="Y619" s="4"/>
      <c r="Z619" s="4"/>
      <c r="AA619" s="4"/>
      <c r="AB619" s="4"/>
      <c r="AC619" s="4"/>
      <c r="AD619" s="4"/>
      <c r="AE619" s="4"/>
    </row>
    <row r="620" spans="1:31" ht="14.4">
      <c r="A620" s="4"/>
      <c r="B620" s="4"/>
      <c r="C620" s="50"/>
      <c r="D620" s="56"/>
      <c r="E620" s="56"/>
      <c r="F620" s="59"/>
      <c r="G620" s="4"/>
      <c r="H620" s="56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50"/>
      <c r="U620" s="50"/>
      <c r="V620" s="4"/>
      <c r="W620" s="4"/>
      <c r="X620" s="4"/>
      <c r="Y620" s="4"/>
      <c r="Z620" s="4"/>
      <c r="AA620" s="4"/>
      <c r="AB620" s="4"/>
      <c r="AC620" s="4"/>
      <c r="AD620" s="4"/>
      <c r="AE620" s="4"/>
    </row>
    <row r="621" spans="1:31" ht="14.4">
      <c r="A621" s="4"/>
      <c r="B621" s="4"/>
      <c r="C621" s="50"/>
      <c r="D621" s="56"/>
      <c r="E621" s="56"/>
      <c r="F621" s="59"/>
      <c r="G621" s="4"/>
      <c r="H621" s="56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50"/>
      <c r="U621" s="50"/>
      <c r="V621" s="4"/>
      <c r="W621" s="4"/>
      <c r="X621" s="4"/>
      <c r="Y621" s="4"/>
      <c r="Z621" s="4"/>
      <c r="AA621" s="4"/>
      <c r="AB621" s="4"/>
      <c r="AC621" s="4"/>
      <c r="AD621" s="4"/>
      <c r="AE621" s="4"/>
    </row>
    <row r="622" spans="1:31" ht="14.4">
      <c r="A622" s="4"/>
      <c r="B622" s="4"/>
      <c r="C622" s="50"/>
      <c r="D622" s="56"/>
      <c r="E622" s="56"/>
      <c r="F622" s="59"/>
      <c r="G622" s="4"/>
      <c r="H622" s="56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50"/>
      <c r="U622" s="50"/>
      <c r="V622" s="4"/>
      <c r="W622" s="4"/>
      <c r="X622" s="4"/>
      <c r="Y622" s="4"/>
      <c r="Z622" s="4"/>
      <c r="AA622" s="4"/>
      <c r="AB622" s="4"/>
      <c r="AC622" s="4"/>
      <c r="AD622" s="4"/>
      <c r="AE622" s="4"/>
    </row>
    <row r="623" spans="1:31" ht="14.4">
      <c r="A623" s="4"/>
      <c r="B623" s="4"/>
      <c r="C623" s="50"/>
      <c r="D623" s="56"/>
      <c r="E623" s="56"/>
      <c r="F623" s="59"/>
      <c r="G623" s="4"/>
      <c r="H623" s="56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50"/>
      <c r="U623" s="50"/>
      <c r="V623" s="4"/>
      <c r="W623" s="4"/>
      <c r="X623" s="4"/>
      <c r="Y623" s="4"/>
      <c r="Z623" s="4"/>
      <c r="AA623" s="4"/>
      <c r="AB623" s="4"/>
      <c r="AC623" s="4"/>
      <c r="AD623" s="4"/>
      <c r="AE623" s="4"/>
    </row>
    <row r="624" spans="1:31" ht="14.4">
      <c r="A624" s="4"/>
      <c r="B624" s="4"/>
      <c r="C624" s="50"/>
      <c r="D624" s="56"/>
      <c r="E624" s="56"/>
      <c r="F624" s="59"/>
      <c r="G624" s="4"/>
      <c r="H624" s="56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50"/>
      <c r="U624" s="50"/>
      <c r="V624" s="4"/>
      <c r="W624" s="4"/>
      <c r="X624" s="4"/>
      <c r="Y624" s="4"/>
      <c r="Z624" s="4"/>
      <c r="AA624" s="4"/>
      <c r="AB624" s="4"/>
      <c r="AC624" s="4"/>
      <c r="AD624" s="4"/>
      <c r="AE624" s="4"/>
    </row>
    <row r="625" spans="1:31" ht="14.4">
      <c r="A625" s="4"/>
      <c r="B625" s="4"/>
      <c r="C625" s="50"/>
      <c r="D625" s="56"/>
      <c r="E625" s="56"/>
      <c r="F625" s="59"/>
      <c r="G625" s="4"/>
      <c r="H625" s="56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50"/>
      <c r="U625" s="50"/>
      <c r="V625" s="4"/>
      <c r="W625" s="4"/>
      <c r="X625" s="4"/>
      <c r="Y625" s="4"/>
      <c r="Z625" s="4"/>
      <c r="AA625" s="4"/>
      <c r="AB625" s="4"/>
      <c r="AC625" s="4"/>
      <c r="AD625" s="4"/>
      <c r="AE625" s="4"/>
    </row>
    <row r="626" spans="1:31" ht="14.4">
      <c r="A626" s="4"/>
      <c r="B626" s="4"/>
      <c r="C626" s="50"/>
      <c r="D626" s="56"/>
      <c r="E626" s="56"/>
      <c r="F626" s="59"/>
      <c r="G626" s="4"/>
      <c r="H626" s="56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50"/>
      <c r="U626" s="50"/>
      <c r="V626" s="4"/>
      <c r="W626" s="4"/>
      <c r="X626" s="4"/>
      <c r="Y626" s="4"/>
      <c r="Z626" s="4"/>
      <c r="AA626" s="4"/>
      <c r="AB626" s="4"/>
      <c r="AC626" s="4"/>
      <c r="AD626" s="4"/>
      <c r="AE626" s="4"/>
    </row>
    <row r="627" spans="1:31" ht="14.4">
      <c r="A627" s="4"/>
      <c r="B627" s="4"/>
      <c r="C627" s="50"/>
      <c r="D627" s="56"/>
      <c r="E627" s="56"/>
      <c r="F627" s="59"/>
      <c r="G627" s="4"/>
      <c r="H627" s="56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50"/>
      <c r="U627" s="50"/>
      <c r="V627" s="4"/>
      <c r="W627" s="4"/>
      <c r="X627" s="4"/>
      <c r="Y627" s="4"/>
      <c r="Z627" s="4"/>
      <c r="AA627" s="4"/>
      <c r="AB627" s="4"/>
      <c r="AC627" s="4"/>
      <c r="AD627" s="4"/>
      <c r="AE627" s="4"/>
    </row>
    <row r="628" spans="1:31" ht="14.4">
      <c r="A628" s="4"/>
      <c r="B628" s="4"/>
      <c r="C628" s="50"/>
      <c r="D628" s="56"/>
      <c r="E628" s="56"/>
      <c r="F628" s="59"/>
      <c r="G628" s="4"/>
      <c r="H628" s="56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50"/>
      <c r="U628" s="50"/>
      <c r="V628" s="4"/>
      <c r="W628" s="4"/>
      <c r="X628" s="4"/>
      <c r="Y628" s="4"/>
      <c r="Z628" s="4"/>
      <c r="AA628" s="4"/>
      <c r="AB628" s="4"/>
      <c r="AC628" s="4"/>
      <c r="AD628" s="4"/>
      <c r="AE628" s="4"/>
    </row>
    <row r="629" spans="1:31" ht="14.4">
      <c r="A629" s="4"/>
      <c r="B629" s="4"/>
      <c r="C629" s="50"/>
      <c r="D629" s="56"/>
      <c r="E629" s="56"/>
      <c r="F629" s="59"/>
      <c r="G629" s="4"/>
      <c r="H629" s="56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50"/>
      <c r="U629" s="50"/>
      <c r="V629" s="4"/>
      <c r="W629" s="4"/>
      <c r="X629" s="4"/>
      <c r="Y629" s="4"/>
      <c r="Z629" s="4"/>
      <c r="AA629" s="4"/>
      <c r="AB629" s="4"/>
      <c r="AC629" s="4"/>
      <c r="AD629" s="4"/>
      <c r="AE629" s="4"/>
    </row>
    <row r="630" spans="1:31" ht="14.4">
      <c r="A630" s="4"/>
      <c r="B630" s="4"/>
      <c r="C630" s="50"/>
      <c r="D630" s="56"/>
      <c r="E630" s="56"/>
      <c r="F630" s="59"/>
      <c r="G630" s="4"/>
      <c r="H630" s="56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50"/>
      <c r="U630" s="50"/>
      <c r="V630" s="4"/>
      <c r="W630" s="4"/>
      <c r="X630" s="4"/>
      <c r="Y630" s="4"/>
      <c r="Z630" s="4"/>
      <c r="AA630" s="4"/>
      <c r="AB630" s="4"/>
      <c r="AC630" s="4"/>
      <c r="AD630" s="4"/>
      <c r="AE630" s="4"/>
    </row>
    <row r="631" spans="1:31" ht="14.4">
      <c r="A631" s="4"/>
      <c r="B631" s="4"/>
      <c r="C631" s="50"/>
      <c r="D631" s="56"/>
      <c r="E631" s="56"/>
      <c r="F631" s="59"/>
      <c r="G631" s="4"/>
      <c r="H631" s="56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50"/>
      <c r="U631" s="50"/>
      <c r="V631" s="4"/>
      <c r="W631" s="4"/>
      <c r="X631" s="4"/>
      <c r="Y631" s="4"/>
      <c r="Z631" s="4"/>
      <c r="AA631" s="4"/>
      <c r="AB631" s="4"/>
      <c r="AC631" s="4"/>
      <c r="AD631" s="4"/>
      <c r="AE631" s="4"/>
    </row>
    <row r="632" spans="1:31" ht="14.4">
      <c r="A632" s="4"/>
      <c r="B632" s="4"/>
      <c r="C632" s="50"/>
      <c r="D632" s="56"/>
      <c r="E632" s="56"/>
      <c r="F632" s="59"/>
      <c r="G632" s="4"/>
      <c r="H632" s="56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50"/>
      <c r="U632" s="50"/>
      <c r="V632" s="4"/>
      <c r="W632" s="4"/>
      <c r="X632" s="4"/>
      <c r="Y632" s="4"/>
      <c r="Z632" s="4"/>
      <c r="AA632" s="4"/>
      <c r="AB632" s="4"/>
      <c r="AC632" s="4"/>
      <c r="AD632" s="4"/>
      <c r="AE632" s="4"/>
    </row>
    <row r="633" spans="1:31" ht="14.4">
      <c r="A633" s="4"/>
      <c r="B633" s="4"/>
      <c r="C633" s="50"/>
      <c r="D633" s="56"/>
      <c r="E633" s="56"/>
      <c r="F633" s="59"/>
      <c r="G633" s="4"/>
      <c r="H633" s="56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50"/>
      <c r="U633" s="50"/>
      <c r="V633" s="4"/>
      <c r="W633" s="4"/>
      <c r="X633" s="4"/>
      <c r="Y633" s="4"/>
      <c r="Z633" s="4"/>
      <c r="AA633" s="4"/>
      <c r="AB633" s="4"/>
      <c r="AC633" s="4"/>
      <c r="AD633" s="4"/>
      <c r="AE633" s="4"/>
    </row>
    <row r="634" spans="1:31" ht="14.4">
      <c r="A634" s="4"/>
      <c r="B634" s="4"/>
      <c r="C634" s="50"/>
      <c r="D634" s="56"/>
      <c r="E634" s="56"/>
      <c r="F634" s="59"/>
      <c r="G634" s="4"/>
      <c r="H634" s="56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50"/>
      <c r="U634" s="50"/>
      <c r="V634" s="4"/>
      <c r="W634" s="4"/>
      <c r="X634" s="4"/>
      <c r="Y634" s="4"/>
      <c r="Z634" s="4"/>
      <c r="AA634" s="4"/>
      <c r="AB634" s="4"/>
      <c r="AC634" s="4"/>
      <c r="AD634" s="4"/>
      <c r="AE634" s="4"/>
    </row>
    <row r="635" spans="1:31" ht="14.4">
      <c r="A635" s="4"/>
      <c r="B635" s="4"/>
      <c r="C635" s="50"/>
      <c r="D635" s="56"/>
      <c r="E635" s="56"/>
      <c r="F635" s="59"/>
      <c r="G635" s="4"/>
      <c r="H635" s="56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50"/>
      <c r="U635" s="50"/>
      <c r="V635" s="4"/>
      <c r="W635" s="4"/>
      <c r="X635" s="4"/>
      <c r="Y635" s="4"/>
      <c r="Z635" s="4"/>
      <c r="AA635" s="4"/>
      <c r="AB635" s="4"/>
      <c r="AC635" s="4"/>
      <c r="AD635" s="4"/>
      <c r="AE635" s="4"/>
    </row>
    <row r="636" spans="1:31" ht="14.4">
      <c r="A636" s="4"/>
      <c r="B636" s="4"/>
      <c r="C636" s="50"/>
      <c r="D636" s="56"/>
      <c r="E636" s="56"/>
      <c r="F636" s="59"/>
      <c r="G636" s="4"/>
      <c r="H636" s="56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50"/>
      <c r="U636" s="50"/>
      <c r="V636" s="4"/>
      <c r="W636" s="4"/>
      <c r="X636" s="4"/>
      <c r="Y636" s="4"/>
      <c r="Z636" s="4"/>
      <c r="AA636" s="4"/>
      <c r="AB636" s="4"/>
      <c r="AC636" s="4"/>
      <c r="AD636" s="4"/>
      <c r="AE636" s="4"/>
    </row>
    <row r="637" spans="1:31" ht="14.4">
      <c r="A637" s="4"/>
      <c r="B637" s="4"/>
      <c r="C637" s="50"/>
      <c r="D637" s="56"/>
      <c r="E637" s="56"/>
      <c r="F637" s="59"/>
      <c r="G637" s="4"/>
      <c r="H637" s="56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50"/>
      <c r="U637" s="50"/>
      <c r="V637" s="4"/>
      <c r="W637" s="4"/>
      <c r="X637" s="4"/>
      <c r="Y637" s="4"/>
      <c r="Z637" s="4"/>
      <c r="AA637" s="4"/>
      <c r="AB637" s="4"/>
      <c r="AC637" s="4"/>
      <c r="AD637" s="4"/>
      <c r="AE637" s="4"/>
    </row>
    <row r="638" spans="1:31" ht="14.4">
      <c r="A638" s="4"/>
      <c r="B638" s="4"/>
      <c r="C638" s="50"/>
      <c r="D638" s="56"/>
      <c r="E638" s="56"/>
      <c r="F638" s="59"/>
      <c r="G638" s="4"/>
      <c r="H638" s="56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50"/>
      <c r="U638" s="50"/>
      <c r="V638" s="4"/>
      <c r="W638" s="4"/>
      <c r="X638" s="4"/>
      <c r="Y638" s="4"/>
      <c r="Z638" s="4"/>
      <c r="AA638" s="4"/>
      <c r="AB638" s="4"/>
      <c r="AC638" s="4"/>
      <c r="AD638" s="4"/>
      <c r="AE638" s="4"/>
    </row>
    <row r="639" spans="1:31" ht="14.4">
      <c r="A639" s="4"/>
      <c r="B639" s="4"/>
      <c r="C639" s="50"/>
      <c r="D639" s="56"/>
      <c r="E639" s="56"/>
      <c r="F639" s="59"/>
      <c r="G639" s="4"/>
      <c r="H639" s="56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50"/>
      <c r="U639" s="50"/>
      <c r="V639" s="4"/>
      <c r="W639" s="4"/>
      <c r="X639" s="4"/>
      <c r="Y639" s="4"/>
      <c r="Z639" s="4"/>
      <c r="AA639" s="4"/>
      <c r="AB639" s="4"/>
      <c r="AC639" s="4"/>
      <c r="AD639" s="4"/>
      <c r="AE639" s="4"/>
    </row>
    <row r="640" spans="1:31" ht="14.4">
      <c r="A640" s="4"/>
      <c r="B640" s="4"/>
      <c r="C640" s="50"/>
      <c r="D640" s="56"/>
      <c r="E640" s="56"/>
      <c r="F640" s="59"/>
      <c r="G640" s="4"/>
      <c r="H640" s="56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50"/>
      <c r="U640" s="50"/>
      <c r="V640" s="4"/>
      <c r="W640" s="4"/>
      <c r="X640" s="4"/>
      <c r="Y640" s="4"/>
      <c r="Z640" s="4"/>
      <c r="AA640" s="4"/>
      <c r="AB640" s="4"/>
      <c r="AC640" s="4"/>
      <c r="AD640" s="4"/>
      <c r="AE640" s="4"/>
    </row>
    <row r="641" spans="1:31" ht="14.4">
      <c r="A641" s="4"/>
      <c r="B641" s="4"/>
      <c r="C641" s="50"/>
      <c r="D641" s="56"/>
      <c r="E641" s="56"/>
      <c r="F641" s="59"/>
      <c r="G641" s="4"/>
      <c r="H641" s="56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50"/>
      <c r="U641" s="50"/>
      <c r="V641" s="4"/>
      <c r="W641" s="4"/>
      <c r="X641" s="4"/>
      <c r="Y641" s="4"/>
      <c r="Z641" s="4"/>
      <c r="AA641" s="4"/>
      <c r="AB641" s="4"/>
      <c r="AC641" s="4"/>
      <c r="AD641" s="4"/>
      <c r="AE641" s="4"/>
    </row>
    <row r="642" spans="1:31" ht="14.4">
      <c r="A642" s="4"/>
      <c r="B642" s="4"/>
      <c r="C642" s="50"/>
      <c r="D642" s="56"/>
      <c r="E642" s="56"/>
      <c r="F642" s="59"/>
      <c r="G642" s="4"/>
      <c r="H642" s="56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50"/>
      <c r="U642" s="50"/>
      <c r="V642" s="4"/>
      <c r="W642" s="4"/>
      <c r="X642" s="4"/>
      <c r="Y642" s="4"/>
      <c r="Z642" s="4"/>
      <c r="AA642" s="4"/>
      <c r="AB642" s="4"/>
      <c r="AC642" s="4"/>
      <c r="AD642" s="4"/>
      <c r="AE642" s="4"/>
    </row>
    <row r="643" spans="1:31" ht="14.4">
      <c r="A643" s="4"/>
      <c r="B643" s="4"/>
      <c r="C643" s="50"/>
      <c r="D643" s="56"/>
      <c r="E643" s="56"/>
      <c r="F643" s="59"/>
      <c r="G643" s="4"/>
      <c r="H643" s="56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50"/>
      <c r="U643" s="50"/>
      <c r="V643" s="4"/>
      <c r="W643" s="4"/>
      <c r="X643" s="4"/>
      <c r="Y643" s="4"/>
      <c r="Z643" s="4"/>
      <c r="AA643" s="4"/>
      <c r="AB643" s="4"/>
      <c r="AC643" s="4"/>
      <c r="AD643" s="4"/>
      <c r="AE643" s="4"/>
    </row>
    <row r="644" spans="1:31" ht="14.4">
      <c r="A644" s="4"/>
      <c r="B644" s="4"/>
      <c r="C644" s="50"/>
      <c r="D644" s="56"/>
      <c r="E644" s="56"/>
      <c r="F644" s="59"/>
      <c r="G644" s="4"/>
      <c r="H644" s="56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50"/>
      <c r="U644" s="50"/>
      <c r="V644" s="4"/>
      <c r="W644" s="4"/>
      <c r="X644" s="4"/>
      <c r="Y644" s="4"/>
      <c r="Z644" s="4"/>
      <c r="AA644" s="4"/>
      <c r="AB644" s="4"/>
      <c r="AC644" s="4"/>
      <c r="AD644" s="4"/>
      <c r="AE644" s="4"/>
    </row>
    <row r="645" spans="1:31" ht="14.4">
      <c r="A645" s="4"/>
      <c r="B645" s="4"/>
      <c r="C645" s="50"/>
      <c r="D645" s="56"/>
      <c r="E645" s="56"/>
      <c r="F645" s="59"/>
      <c r="G645" s="4"/>
      <c r="H645" s="56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50"/>
      <c r="U645" s="50"/>
      <c r="V645" s="4"/>
      <c r="W645" s="4"/>
      <c r="X645" s="4"/>
      <c r="Y645" s="4"/>
      <c r="Z645" s="4"/>
      <c r="AA645" s="4"/>
      <c r="AB645" s="4"/>
      <c r="AC645" s="4"/>
      <c r="AD645" s="4"/>
      <c r="AE645" s="4"/>
    </row>
    <row r="646" spans="1:31" ht="14.4">
      <c r="A646" s="4"/>
      <c r="B646" s="4"/>
      <c r="C646" s="50"/>
      <c r="D646" s="56"/>
      <c r="E646" s="56"/>
      <c r="F646" s="59"/>
      <c r="G646" s="4"/>
      <c r="H646" s="56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50"/>
      <c r="U646" s="50"/>
      <c r="V646" s="4"/>
      <c r="W646" s="4"/>
      <c r="X646" s="4"/>
      <c r="Y646" s="4"/>
      <c r="Z646" s="4"/>
      <c r="AA646" s="4"/>
      <c r="AB646" s="4"/>
      <c r="AC646" s="4"/>
      <c r="AD646" s="4"/>
      <c r="AE646" s="4"/>
    </row>
    <row r="647" spans="1:31" ht="14.4">
      <c r="A647" s="4"/>
      <c r="B647" s="4"/>
      <c r="C647" s="50"/>
      <c r="D647" s="56"/>
      <c r="E647" s="56"/>
      <c r="F647" s="59"/>
      <c r="G647" s="4"/>
      <c r="H647" s="56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50"/>
      <c r="U647" s="50"/>
      <c r="V647" s="4"/>
      <c r="W647" s="4"/>
      <c r="X647" s="4"/>
      <c r="Y647" s="4"/>
      <c r="Z647" s="4"/>
      <c r="AA647" s="4"/>
      <c r="AB647" s="4"/>
      <c r="AC647" s="4"/>
      <c r="AD647" s="4"/>
      <c r="AE647" s="4"/>
    </row>
    <row r="648" spans="1:31" ht="14.4">
      <c r="A648" s="4"/>
      <c r="B648" s="4"/>
      <c r="C648" s="50"/>
      <c r="D648" s="56"/>
      <c r="E648" s="56"/>
      <c r="F648" s="59"/>
      <c r="G648" s="4"/>
      <c r="H648" s="56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50"/>
      <c r="U648" s="50"/>
      <c r="V648" s="4"/>
      <c r="W648" s="4"/>
      <c r="X648" s="4"/>
      <c r="Y648" s="4"/>
      <c r="Z648" s="4"/>
      <c r="AA648" s="4"/>
      <c r="AB648" s="4"/>
      <c r="AC648" s="4"/>
      <c r="AD648" s="4"/>
      <c r="AE648" s="4"/>
    </row>
    <row r="649" spans="1:31" ht="14.4">
      <c r="A649" s="4"/>
      <c r="B649" s="4"/>
      <c r="C649" s="50"/>
      <c r="D649" s="56"/>
      <c r="E649" s="56"/>
      <c r="F649" s="59"/>
      <c r="G649" s="4"/>
      <c r="H649" s="56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50"/>
      <c r="U649" s="50"/>
      <c r="V649" s="4"/>
      <c r="W649" s="4"/>
      <c r="X649" s="4"/>
      <c r="Y649" s="4"/>
      <c r="Z649" s="4"/>
      <c r="AA649" s="4"/>
      <c r="AB649" s="4"/>
      <c r="AC649" s="4"/>
      <c r="AD649" s="4"/>
      <c r="AE649" s="4"/>
    </row>
    <row r="650" spans="1:31" ht="14.4">
      <c r="A650" s="4"/>
      <c r="B650" s="4"/>
      <c r="C650" s="50"/>
      <c r="D650" s="56"/>
      <c r="E650" s="56"/>
      <c r="F650" s="59"/>
      <c r="G650" s="4"/>
      <c r="H650" s="56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50"/>
      <c r="U650" s="50"/>
      <c r="V650" s="4"/>
      <c r="W650" s="4"/>
      <c r="X650" s="4"/>
      <c r="Y650" s="4"/>
      <c r="Z650" s="4"/>
      <c r="AA650" s="4"/>
      <c r="AB650" s="4"/>
      <c r="AC650" s="4"/>
      <c r="AD650" s="4"/>
      <c r="AE650" s="4"/>
    </row>
    <row r="651" spans="1:31" ht="14.4">
      <c r="A651" s="4"/>
      <c r="B651" s="4"/>
      <c r="C651" s="50"/>
      <c r="D651" s="56"/>
      <c r="E651" s="56"/>
      <c r="F651" s="59"/>
      <c r="G651" s="4"/>
      <c r="H651" s="56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50"/>
      <c r="U651" s="50"/>
      <c r="V651" s="4"/>
      <c r="W651" s="4"/>
      <c r="X651" s="4"/>
      <c r="Y651" s="4"/>
      <c r="Z651" s="4"/>
      <c r="AA651" s="4"/>
      <c r="AB651" s="4"/>
      <c r="AC651" s="4"/>
      <c r="AD651" s="4"/>
      <c r="AE651" s="4"/>
    </row>
    <row r="652" spans="1:31" ht="14.4">
      <c r="A652" s="4"/>
      <c r="B652" s="4"/>
      <c r="C652" s="50"/>
      <c r="D652" s="56"/>
      <c r="E652" s="56"/>
      <c r="F652" s="59"/>
      <c r="G652" s="4"/>
      <c r="H652" s="56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50"/>
      <c r="U652" s="50"/>
      <c r="V652" s="4"/>
      <c r="W652" s="4"/>
      <c r="X652" s="4"/>
      <c r="Y652" s="4"/>
      <c r="Z652" s="4"/>
      <c r="AA652" s="4"/>
      <c r="AB652" s="4"/>
      <c r="AC652" s="4"/>
      <c r="AD652" s="4"/>
      <c r="AE652" s="4"/>
    </row>
    <row r="653" spans="1:31" ht="14.4">
      <c r="A653" s="4"/>
      <c r="B653" s="4"/>
      <c r="C653" s="50"/>
      <c r="D653" s="56"/>
      <c r="E653" s="56"/>
      <c r="F653" s="59"/>
      <c r="G653" s="4"/>
      <c r="H653" s="56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50"/>
      <c r="U653" s="50"/>
      <c r="V653" s="4"/>
      <c r="W653" s="4"/>
      <c r="X653" s="4"/>
      <c r="Y653" s="4"/>
      <c r="Z653" s="4"/>
      <c r="AA653" s="4"/>
      <c r="AB653" s="4"/>
      <c r="AC653" s="4"/>
      <c r="AD653" s="4"/>
      <c r="AE653" s="4"/>
    </row>
    <row r="654" spans="1:31" ht="14.4">
      <c r="A654" s="4"/>
      <c r="B654" s="4"/>
      <c r="C654" s="50"/>
      <c r="D654" s="56"/>
      <c r="E654" s="56"/>
      <c r="F654" s="59"/>
      <c r="G654" s="4"/>
      <c r="H654" s="56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50"/>
      <c r="U654" s="50"/>
      <c r="V654" s="4"/>
      <c r="W654" s="4"/>
      <c r="X654" s="4"/>
      <c r="Y654" s="4"/>
      <c r="Z654" s="4"/>
      <c r="AA654" s="4"/>
      <c r="AB654" s="4"/>
      <c r="AC654" s="4"/>
      <c r="AD654" s="4"/>
      <c r="AE654" s="4"/>
    </row>
    <row r="655" spans="1:31" ht="14.4">
      <c r="A655" s="4"/>
      <c r="B655" s="4"/>
      <c r="C655" s="50"/>
      <c r="D655" s="56"/>
      <c r="E655" s="56"/>
      <c r="F655" s="59"/>
      <c r="G655" s="4"/>
      <c r="H655" s="56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50"/>
      <c r="U655" s="50"/>
      <c r="V655" s="4"/>
      <c r="W655" s="4"/>
      <c r="X655" s="4"/>
      <c r="Y655" s="4"/>
      <c r="Z655" s="4"/>
      <c r="AA655" s="4"/>
      <c r="AB655" s="4"/>
      <c r="AC655" s="4"/>
      <c r="AD655" s="4"/>
      <c r="AE655" s="4"/>
    </row>
    <row r="656" spans="1:31" ht="14.4">
      <c r="A656" s="4"/>
      <c r="B656" s="4"/>
      <c r="C656" s="50"/>
      <c r="D656" s="56"/>
      <c r="E656" s="56"/>
      <c r="F656" s="59"/>
      <c r="G656" s="4"/>
      <c r="H656" s="56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50"/>
      <c r="U656" s="50"/>
      <c r="V656" s="4"/>
      <c r="W656" s="4"/>
      <c r="X656" s="4"/>
      <c r="Y656" s="4"/>
      <c r="Z656" s="4"/>
      <c r="AA656" s="4"/>
      <c r="AB656" s="4"/>
      <c r="AC656" s="4"/>
      <c r="AD656" s="4"/>
      <c r="AE656" s="4"/>
    </row>
    <row r="657" spans="1:31" ht="14.4">
      <c r="A657" s="4"/>
      <c r="B657" s="4"/>
      <c r="C657" s="50"/>
      <c r="D657" s="56"/>
      <c r="E657" s="56"/>
      <c r="F657" s="59"/>
      <c r="G657" s="4"/>
      <c r="H657" s="56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50"/>
      <c r="U657" s="50"/>
      <c r="V657" s="4"/>
      <c r="W657" s="4"/>
      <c r="X657" s="4"/>
      <c r="Y657" s="4"/>
      <c r="Z657" s="4"/>
      <c r="AA657" s="4"/>
      <c r="AB657" s="4"/>
      <c r="AC657" s="4"/>
      <c r="AD657" s="4"/>
      <c r="AE657" s="4"/>
    </row>
    <row r="658" spans="1:31" ht="14.4">
      <c r="A658" s="4"/>
      <c r="B658" s="4"/>
      <c r="C658" s="50"/>
      <c r="D658" s="56"/>
      <c r="E658" s="56"/>
      <c r="F658" s="59"/>
      <c r="G658" s="4"/>
      <c r="H658" s="56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50"/>
      <c r="U658" s="50"/>
      <c r="V658" s="4"/>
      <c r="W658" s="4"/>
      <c r="X658" s="4"/>
      <c r="Y658" s="4"/>
      <c r="Z658" s="4"/>
      <c r="AA658" s="4"/>
      <c r="AB658" s="4"/>
      <c r="AC658" s="4"/>
      <c r="AD658" s="4"/>
      <c r="AE658" s="4"/>
    </row>
    <row r="659" spans="1:31" ht="14.4">
      <c r="A659" s="4"/>
      <c r="B659" s="4"/>
      <c r="C659" s="50"/>
      <c r="D659" s="56"/>
      <c r="E659" s="56"/>
      <c r="F659" s="59"/>
      <c r="G659" s="4"/>
      <c r="H659" s="56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50"/>
      <c r="U659" s="50"/>
      <c r="V659" s="4"/>
      <c r="W659" s="4"/>
      <c r="X659" s="4"/>
      <c r="Y659" s="4"/>
      <c r="Z659" s="4"/>
      <c r="AA659" s="4"/>
      <c r="AB659" s="4"/>
      <c r="AC659" s="4"/>
      <c r="AD659" s="4"/>
      <c r="AE659" s="4"/>
    </row>
    <row r="660" spans="1:31" ht="14.4">
      <c r="A660" s="4"/>
      <c r="B660" s="4"/>
      <c r="C660" s="50"/>
      <c r="D660" s="56"/>
      <c r="E660" s="56"/>
      <c r="F660" s="59"/>
      <c r="G660" s="4"/>
      <c r="H660" s="56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50"/>
      <c r="U660" s="50"/>
      <c r="V660" s="4"/>
      <c r="W660" s="4"/>
      <c r="X660" s="4"/>
      <c r="Y660" s="4"/>
      <c r="Z660" s="4"/>
      <c r="AA660" s="4"/>
      <c r="AB660" s="4"/>
      <c r="AC660" s="4"/>
      <c r="AD660" s="4"/>
      <c r="AE660" s="4"/>
    </row>
    <row r="661" spans="1:31" ht="14.4">
      <c r="A661" s="4"/>
      <c r="B661" s="4"/>
      <c r="C661" s="50"/>
      <c r="D661" s="56"/>
      <c r="E661" s="56"/>
      <c r="F661" s="59"/>
      <c r="G661" s="4"/>
      <c r="H661" s="56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50"/>
      <c r="U661" s="50"/>
      <c r="V661" s="4"/>
      <c r="W661" s="4"/>
      <c r="X661" s="4"/>
      <c r="Y661" s="4"/>
      <c r="Z661" s="4"/>
      <c r="AA661" s="4"/>
      <c r="AB661" s="4"/>
      <c r="AC661" s="4"/>
      <c r="AD661" s="4"/>
      <c r="AE661" s="4"/>
    </row>
    <row r="662" spans="1:31" ht="14.4">
      <c r="A662" s="4"/>
      <c r="B662" s="4"/>
      <c r="C662" s="50"/>
      <c r="D662" s="56"/>
      <c r="E662" s="56"/>
      <c r="F662" s="59"/>
      <c r="G662" s="4"/>
      <c r="H662" s="56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50"/>
      <c r="U662" s="50"/>
      <c r="V662" s="4"/>
      <c r="W662" s="4"/>
      <c r="X662" s="4"/>
      <c r="Y662" s="4"/>
      <c r="Z662" s="4"/>
      <c r="AA662" s="4"/>
      <c r="AB662" s="4"/>
      <c r="AC662" s="4"/>
      <c r="AD662" s="4"/>
      <c r="AE662" s="4"/>
    </row>
    <row r="663" spans="1:31" ht="14.4">
      <c r="A663" s="4"/>
      <c r="B663" s="4"/>
      <c r="C663" s="50"/>
      <c r="D663" s="56"/>
      <c r="E663" s="56"/>
      <c r="F663" s="59"/>
      <c r="G663" s="4"/>
      <c r="H663" s="56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50"/>
      <c r="U663" s="50"/>
      <c r="V663" s="4"/>
      <c r="W663" s="4"/>
      <c r="X663" s="4"/>
      <c r="Y663" s="4"/>
      <c r="Z663" s="4"/>
      <c r="AA663" s="4"/>
      <c r="AB663" s="4"/>
      <c r="AC663" s="4"/>
      <c r="AD663" s="4"/>
      <c r="AE663" s="4"/>
    </row>
    <row r="664" spans="1:31" ht="14.4">
      <c r="A664" s="4"/>
      <c r="B664" s="4"/>
      <c r="C664" s="50"/>
      <c r="D664" s="56"/>
      <c r="E664" s="56"/>
      <c r="F664" s="59"/>
      <c r="G664" s="4"/>
      <c r="H664" s="56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50"/>
      <c r="U664" s="50"/>
      <c r="V664" s="4"/>
      <c r="W664" s="4"/>
      <c r="X664" s="4"/>
      <c r="Y664" s="4"/>
      <c r="Z664" s="4"/>
      <c r="AA664" s="4"/>
      <c r="AB664" s="4"/>
      <c r="AC664" s="4"/>
      <c r="AD664" s="4"/>
      <c r="AE664" s="4"/>
    </row>
    <row r="665" spans="1:31" ht="14.4">
      <c r="A665" s="4"/>
      <c r="B665" s="4"/>
      <c r="C665" s="50"/>
      <c r="D665" s="56"/>
      <c r="E665" s="56"/>
      <c r="F665" s="59"/>
      <c r="G665" s="4"/>
      <c r="H665" s="56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50"/>
      <c r="U665" s="50"/>
      <c r="V665" s="4"/>
      <c r="W665" s="4"/>
      <c r="X665" s="4"/>
      <c r="Y665" s="4"/>
      <c r="Z665" s="4"/>
      <c r="AA665" s="4"/>
      <c r="AB665" s="4"/>
      <c r="AC665" s="4"/>
      <c r="AD665" s="4"/>
      <c r="AE665" s="4"/>
    </row>
    <row r="666" spans="1:31" ht="14.4">
      <c r="A666" s="4"/>
      <c r="B666" s="4"/>
      <c r="C666" s="50"/>
      <c r="D666" s="56"/>
      <c r="E666" s="56"/>
      <c r="F666" s="59"/>
      <c r="G666" s="4"/>
      <c r="H666" s="56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50"/>
      <c r="U666" s="50"/>
      <c r="V666" s="4"/>
      <c r="W666" s="4"/>
      <c r="X666" s="4"/>
      <c r="Y666" s="4"/>
      <c r="Z666" s="4"/>
      <c r="AA666" s="4"/>
      <c r="AB666" s="4"/>
      <c r="AC666" s="4"/>
      <c r="AD666" s="4"/>
      <c r="AE666" s="4"/>
    </row>
    <row r="667" spans="1:31" ht="14.4">
      <c r="A667" s="4"/>
      <c r="B667" s="4"/>
      <c r="C667" s="50"/>
      <c r="D667" s="56"/>
      <c r="E667" s="56"/>
      <c r="F667" s="59"/>
      <c r="G667" s="4"/>
      <c r="H667" s="56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50"/>
      <c r="U667" s="50"/>
      <c r="V667" s="4"/>
      <c r="W667" s="4"/>
      <c r="X667" s="4"/>
      <c r="Y667" s="4"/>
      <c r="Z667" s="4"/>
      <c r="AA667" s="4"/>
      <c r="AB667" s="4"/>
      <c r="AC667" s="4"/>
      <c r="AD667" s="4"/>
      <c r="AE667" s="4"/>
    </row>
    <row r="668" spans="1:31" ht="14.4">
      <c r="A668" s="4"/>
      <c r="B668" s="4"/>
      <c r="C668" s="50"/>
      <c r="D668" s="56"/>
      <c r="E668" s="56"/>
      <c r="F668" s="59"/>
      <c r="G668" s="4"/>
      <c r="H668" s="56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50"/>
      <c r="U668" s="50"/>
      <c r="V668" s="4"/>
      <c r="W668" s="4"/>
      <c r="X668" s="4"/>
      <c r="Y668" s="4"/>
      <c r="Z668" s="4"/>
      <c r="AA668" s="4"/>
      <c r="AB668" s="4"/>
      <c r="AC668" s="4"/>
      <c r="AD668" s="4"/>
      <c r="AE668" s="4"/>
    </row>
    <row r="669" spans="1:31" ht="14.4">
      <c r="A669" s="4"/>
      <c r="B669" s="4"/>
      <c r="C669" s="50"/>
      <c r="D669" s="56"/>
      <c r="E669" s="56"/>
      <c r="F669" s="59"/>
      <c r="G669" s="4"/>
      <c r="H669" s="56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50"/>
      <c r="U669" s="50"/>
      <c r="V669" s="4"/>
      <c r="W669" s="4"/>
      <c r="X669" s="4"/>
      <c r="Y669" s="4"/>
      <c r="Z669" s="4"/>
      <c r="AA669" s="4"/>
      <c r="AB669" s="4"/>
      <c r="AC669" s="4"/>
      <c r="AD669" s="4"/>
      <c r="AE669" s="4"/>
    </row>
    <row r="670" spans="1:31" ht="14.4">
      <c r="A670" s="4"/>
      <c r="B670" s="4"/>
      <c r="C670" s="50"/>
      <c r="D670" s="56"/>
      <c r="E670" s="56"/>
      <c r="F670" s="59"/>
      <c r="G670" s="4"/>
      <c r="H670" s="56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50"/>
      <c r="U670" s="50"/>
      <c r="V670" s="4"/>
      <c r="W670" s="4"/>
      <c r="X670" s="4"/>
      <c r="Y670" s="4"/>
      <c r="Z670" s="4"/>
      <c r="AA670" s="4"/>
      <c r="AB670" s="4"/>
      <c r="AC670" s="4"/>
      <c r="AD670" s="4"/>
      <c r="AE670" s="4"/>
    </row>
    <row r="671" spans="1:31" ht="14.4">
      <c r="A671" s="4"/>
      <c r="B671" s="4"/>
      <c r="C671" s="50"/>
      <c r="D671" s="56"/>
      <c r="E671" s="56"/>
      <c r="F671" s="59"/>
      <c r="G671" s="4"/>
      <c r="H671" s="56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50"/>
      <c r="U671" s="50"/>
      <c r="V671" s="4"/>
      <c r="W671" s="4"/>
      <c r="X671" s="4"/>
      <c r="Y671" s="4"/>
      <c r="Z671" s="4"/>
      <c r="AA671" s="4"/>
      <c r="AB671" s="4"/>
      <c r="AC671" s="4"/>
      <c r="AD671" s="4"/>
      <c r="AE671" s="4"/>
    </row>
    <row r="672" spans="1:31" ht="14.4">
      <c r="A672" s="4"/>
      <c r="B672" s="4"/>
      <c r="C672" s="50"/>
      <c r="D672" s="56"/>
      <c r="E672" s="56"/>
      <c r="F672" s="59"/>
      <c r="G672" s="4"/>
      <c r="H672" s="56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50"/>
      <c r="U672" s="50"/>
      <c r="V672" s="4"/>
      <c r="W672" s="4"/>
      <c r="X672" s="4"/>
      <c r="Y672" s="4"/>
      <c r="Z672" s="4"/>
      <c r="AA672" s="4"/>
      <c r="AB672" s="4"/>
      <c r="AC672" s="4"/>
      <c r="AD672" s="4"/>
      <c r="AE672" s="4"/>
    </row>
    <row r="673" spans="1:31" ht="14.4">
      <c r="A673" s="4"/>
      <c r="B673" s="4"/>
      <c r="C673" s="50"/>
      <c r="D673" s="56"/>
      <c r="E673" s="56"/>
      <c r="F673" s="59"/>
      <c r="G673" s="4"/>
      <c r="H673" s="56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50"/>
      <c r="U673" s="50"/>
      <c r="V673" s="4"/>
      <c r="W673" s="4"/>
      <c r="X673" s="4"/>
      <c r="Y673" s="4"/>
      <c r="Z673" s="4"/>
      <c r="AA673" s="4"/>
      <c r="AB673" s="4"/>
      <c r="AC673" s="4"/>
      <c r="AD673" s="4"/>
      <c r="AE673" s="4"/>
    </row>
    <row r="674" spans="1:31" ht="14.4">
      <c r="A674" s="4"/>
      <c r="B674" s="4"/>
      <c r="C674" s="50"/>
      <c r="D674" s="56"/>
      <c r="E674" s="56"/>
      <c r="F674" s="59"/>
      <c r="G674" s="4"/>
      <c r="H674" s="56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50"/>
      <c r="U674" s="50"/>
      <c r="V674" s="4"/>
      <c r="W674" s="4"/>
      <c r="X674" s="4"/>
      <c r="Y674" s="4"/>
      <c r="Z674" s="4"/>
      <c r="AA674" s="4"/>
      <c r="AB674" s="4"/>
      <c r="AC674" s="4"/>
      <c r="AD674" s="4"/>
      <c r="AE674" s="4"/>
    </row>
    <row r="675" spans="1:31" ht="14.4">
      <c r="A675" s="4"/>
      <c r="B675" s="4"/>
      <c r="C675" s="50"/>
      <c r="D675" s="56"/>
      <c r="E675" s="56"/>
      <c r="F675" s="59"/>
      <c r="G675" s="4"/>
      <c r="H675" s="56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50"/>
      <c r="U675" s="50"/>
      <c r="V675" s="4"/>
      <c r="W675" s="4"/>
      <c r="X675" s="4"/>
      <c r="Y675" s="4"/>
      <c r="Z675" s="4"/>
      <c r="AA675" s="4"/>
      <c r="AB675" s="4"/>
      <c r="AC675" s="4"/>
      <c r="AD675" s="4"/>
      <c r="AE675" s="4"/>
    </row>
    <row r="676" spans="1:31" ht="14.4">
      <c r="A676" s="4"/>
      <c r="B676" s="4"/>
      <c r="C676" s="50"/>
      <c r="D676" s="56"/>
      <c r="E676" s="56"/>
      <c r="F676" s="59"/>
      <c r="G676" s="4"/>
      <c r="H676" s="56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50"/>
      <c r="U676" s="50"/>
      <c r="V676" s="4"/>
      <c r="W676" s="4"/>
      <c r="X676" s="4"/>
      <c r="Y676" s="4"/>
      <c r="Z676" s="4"/>
      <c r="AA676" s="4"/>
      <c r="AB676" s="4"/>
      <c r="AC676" s="4"/>
      <c r="AD676" s="4"/>
      <c r="AE676" s="4"/>
    </row>
    <row r="677" spans="1:31" ht="14.4">
      <c r="A677" s="4"/>
      <c r="B677" s="4"/>
      <c r="C677" s="50"/>
      <c r="D677" s="56"/>
      <c r="E677" s="56"/>
      <c r="F677" s="59"/>
      <c r="G677" s="4"/>
      <c r="H677" s="56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50"/>
      <c r="U677" s="50"/>
      <c r="V677" s="4"/>
      <c r="W677" s="4"/>
      <c r="X677" s="4"/>
      <c r="Y677" s="4"/>
      <c r="Z677" s="4"/>
      <c r="AA677" s="4"/>
      <c r="AB677" s="4"/>
      <c r="AC677" s="4"/>
      <c r="AD677" s="4"/>
      <c r="AE677" s="4"/>
    </row>
    <row r="678" spans="1:31" ht="14.4">
      <c r="A678" s="4"/>
      <c r="B678" s="4"/>
      <c r="C678" s="50"/>
      <c r="D678" s="56"/>
      <c r="E678" s="56"/>
      <c r="F678" s="59"/>
      <c r="G678" s="4"/>
      <c r="H678" s="56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50"/>
      <c r="U678" s="50"/>
      <c r="V678" s="4"/>
      <c r="W678" s="4"/>
      <c r="X678" s="4"/>
      <c r="Y678" s="4"/>
      <c r="Z678" s="4"/>
      <c r="AA678" s="4"/>
      <c r="AB678" s="4"/>
      <c r="AC678" s="4"/>
      <c r="AD678" s="4"/>
      <c r="AE678" s="4"/>
    </row>
    <row r="679" spans="1:31" ht="14.4">
      <c r="A679" s="4"/>
      <c r="B679" s="4"/>
      <c r="C679" s="50"/>
      <c r="D679" s="56"/>
      <c r="E679" s="56"/>
      <c r="F679" s="59"/>
      <c r="G679" s="4"/>
      <c r="H679" s="56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50"/>
      <c r="U679" s="50"/>
      <c r="V679" s="4"/>
      <c r="W679" s="4"/>
      <c r="X679" s="4"/>
      <c r="Y679" s="4"/>
      <c r="Z679" s="4"/>
      <c r="AA679" s="4"/>
      <c r="AB679" s="4"/>
      <c r="AC679" s="4"/>
      <c r="AD679" s="4"/>
      <c r="AE679" s="4"/>
    </row>
    <row r="680" spans="1:31" ht="14.4">
      <c r="A680" s="4"/>
      <c r="B680" s="4"/>
      <c r="C680" s="50"/>
      <c r="D680" s="56"/>
      <c r="E680" s="56"/>
      <c r="F680" s="59"/>
      <c r="G680" s="4"/>
      <c r="H680" s="56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50"/>
      <c r="U680" s="50"/>
      <c r="V680" s="4"/>
      <c r="W680" s="4"/>
      <c r="X680" s="4"/>
      <c r="Y680" s="4"/>
      <c r="Z680" s="4"/>
      <c r="AA680" s="4"/>
      <c r="AB680" s="4"/>
      <c r="AC680" s="4"/>
      <c r="AD680" s="4"/>
      <c r="AE680" s="4"/>
    </row>
    <row r="681" spans="1:31" ht="14.4">
      <c r="A681" s="4"/>
      <c r="B681" s="4"/>
      <c r="C681" s="50"/>
      <c r="D681" s="56"/>
      <c r="E681" s="56"/>
      <c r="F681" s="59"/>
      <c r="G681" s="4"/>
      <c r="H681" s="56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50"/>
      <c r="U681" s="50"/>
      <c r="V681" s="4"/>
      <c r="W681" s="4"/>
      <c r="X681" s="4"/>
      <c r="Y681" s="4"/>
      <c r="Z681" s="4"/>
      <c r="AA681" s="4"/>
      <c r="AB681" s="4"/>
      <c r="AC681" s="4"/>
      <c r="AD681" s="4"/>
      <c r="AE681" s="4"/>
    </row>
    <row r="682" spans="1:31" ht="14.4">
      <c r="A682" s="4"/>
      <c r="B682" s="4"/>
      <c r="C682" s="50"/>
      <c r="D682" s="56"/>
      <c r="E682" s="56"/>
      <c r="F682" s="59"/>
      <c r="G682" s="4"/>
      <c r="H682" s="56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50"/>
      <c r="U682" s="50"/>
      <c r="V682" s="4"/>
      <c r="W682" s="4"/>
      <c r="X682" s="4"/>
      <c r="Y682" s="4"/>
      <c r="Z682" s="4"/>
      <c r="AA682" s="4"/>
      <c r="AB682" s="4"/>
      <c r="AC682" s="4"/>
      <c r="AD682" s="4"/>
      <c r="AE682" s="4"/>
    </row>
    <row r="683" spans="1:31" ht="14.4">
      <c r="A683" s="4"/>
      <c r="B683" s="4"/>
      <c r="C683" s="50"/>
      <c r="D683" s="56"/>
      <c r="E683" s="56"/>
      <c r="F683" s="59"/>
      <c r="G683" s="4"/>
      <c r="H683" s="56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50"/>
      <c r="U683" s="50"/>
      <c r="V683" s="4"/>
      <c r="W683" s="4"/>
      <c r="X683" s="4"/>
      <c r="Y683" s="4"/>
      <c r="Z683" s="4"/>
      <c r="AA683" s="4"/>
      <c r="AB683" s="4"/>
      <c r="AC683" s="4"/>
      <c r="AD683" s="4"/>
      <c r="AE683" s="4"/>
    </row>
    <row r="684" spans="1:31" ht="14.4">
      <c r="A684" s="4"/>
      <c r="B684" s="4"/>
      <c r="C684" s="50"/>
      <c r="D684" s="56"/>
      <c r="E684" s="56"/>
      <c r="F684" s="59"/>
      <c r="G684" s="4"/>
      <c r="H684" s="56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50"/>
      <c r="U684" s="50"/>
      <c r="V684" s="4"/>
      <c r="W684" s="4"/>
      <c r="X684" s="4"/>
      <c r="Y684" s="4"/>
      <c r="Z684" s="4"/>
      <c r="AA684" s="4"/>
      <c r="AB684" s="4"/>
      <c r="AC684" s="4"/>
      <c r="AD684" s="4"/>
      <c r="AE684" s="4"/>
    </row>
    <row r="685" spans="1:31" ht="14.4">
      <c r="A685" s="4"/>
      <c r="B685" s="4"/>
      <c r="C685" s="50"/>
      <c r="D685" s="56"/>
      <c r="E685" s="56"/>
      <c r="F685" s="59"/>
      <c r="G685" s="4"/>
      <c r="H685" s="56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50"/>
      <c r="U685" s="50"/>
      <c r="V685" s="4"/>
      <c r="W685" s="4"/>
      <c r="X685" s="4"/>
      <c r="Y685" s="4"/>
      <c r="Z685" s="4"/>
      <c r="AA685" s="4"/>
      <c r="AB685" s="4"/>
      <c r="AC685" s="4"/>
      <c r="AD685" s="4"/>
      <c r="AE685" s="4"/>
    </row>
    <row r="686" spans="1:31" ht="14.4">
      <c r="A686" s="4"/>
      <c r="B686" s="4"/>
      <c r="C686" s="50"/>
      <c r="D686" s="56"/>
      <c r="E686" s="56"/>
      <c r="F686" s="59"/>
      <c r="G686" s="4"/>
      <c r="H686" s="56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50"/>
      <c r="U686" s="50"/>
      <c r="V686" s="4"/>
      <c r="W686" s="4"/>
      <c r="X686" s="4"/>
      <c r="Y686" s="4"/>
      <c r="Z686" s="4"/>
      <c r="AA686" s="4"/>
      <c r="AB686" s="4"/>
      <c r="AC686" s="4"/>
      <c r="AD686" s="4"/>
      <c r="AE686" s="4"/>
    </row>
    <row r="687" spans="1:31" ht="14.4">
      <c r="A687" s="4"/>
      <c r="B687" s="4"/>
      <c r="C687" s="50"/>
      <c r="D687" s="56"/>
      <c r="E687" s="56"/>
      <c r="F687" s="59"/>
      <c r="G687" s="4"/>
      <c r="H687" s="56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50"/>
      <c r="U687" s="50"/>
      <c r="V687" s="4"/>
      <c r="W687" s="4"/>
      <c r="X687" s="4"/>
      <c r="Y687" s="4"/>
      <c r="Z687" s="4"/>
      <c r="AA687" s="4"/>
      <c r="AB687" s="4"/>
      <c r="AC687" s="4"/>
      <c r="AD687" s="4"/>
      <c r="AE687" s="4"/>
    </row>
    <row r="688" spans="1:31" ht="14.4">
      <c r="A688" s="4"/>
      <c r="B688" s="4"/>
      <c r="C688" s="50"/>
      <c r="D688" s="56"/>
      <c r="E688" s="56"/>
      <c r="F688" s="59"/>
      <c r="G688" s="4"/>
      <c r="H688" s="56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50"/>
      <c r="U688" s="50"/>
      <c r="V688" s="4"/>
      <c r="W688" s="4"/>
      <c r="X688" s="4"/>
      <c r="Y688" s="4"/>
      <c r="Z688" s="4"/>
      <c r="AA688" s="4"/>
      <c r="AB688" s="4"/>
      <c r="AC688" s="4"/>
      <c r="AD688" s="4"/>
      <c r="AE688" s="4"/>
    </row>
    <row r="689" spans="1:31" ht="14.4">
      <c r="A689" s="4"/>
      <c r="B689" s="4"/>
      <c r="C689" s="50"/>
      <c r="D689" s="56"/>
      <c r="E689" s="56"/>
      <c r="F689" s="59"/>
      <c r="G689" s="4"/>
      <c r="H689" s="56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50"/>
      <c r="U689" s="50"/>
      <c r="V689" s="4"/>
      <c r="W689" s="4"/>
      <c r="X689" s="4"/>
      <c r="Y689" s="4"/>
      <c r="Z689" s="4"/>
      <c r="AA689" s="4"/>
      <c r="AB689" s="4"/>
      <c r="AC689" s="4"/>
      <c r="AD689" s="4"/>
      <c r="AE689" s="4"/>
    </row>
    <row r="690" spans="1:31" ht="14.4">
      <c r="A690" s="4"/>
      <c r="B690" s="4"/>
      <c r="C690" s="50"/>
      <c r="D690" s="56"/>
      <c r="E690" s="56"/>
      <c r="F690" s="59"/>
      <c r="G690" s="4"/>
      <c r="H690" s="56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50"/>
      <c r="U690" s="50"/>
      <c r="V690" s="4"/>
      <c r="W690" s="4"/>
      <c r="X690" s="4"/>
      <c r="Y690" s="4"/>
      <c r="Z690" s="4"/>
      <c r="AA690" s="4"/>
      <c r="AB690" s="4"/>
      <c r="AC690" s="4"/>
      <c r="AD690" s="4"/>
      <c r="AE690" s="4"/>
    </row>
    <row r="691" spans="1:31" ht="14.4">
      <c r="A691" s="4"/>
      <c r="B691" s="4"/>
      <c r="C691" s="50"/>
      <c r="D691" s="56"/>
      <c r="E691" s="56"/>
      <c r="F691" s="59"/>
      <c r="G691" s="4"/>
      <c r="H691" s="56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50"/>
      <c r="U691" s="50"/>
      <c r="V691" s="4"/>
      <c r="W691" s="4"/>
      <c r="X691" s="4"/>
      <c r="Y691" s="4"/>
      <c r="Z691" s="4"/>
      <c r="AA691" s="4"/>
      <c r="AB691" s="4"/>
      <c r="AC691" s="4"/>
      <c r="AD691" s="4"/>
      <c r="AE691" s="4"/>
    </row>
    <row r="692" spans="1:31" ht="14.4">
      <c r="A692" s="4"/>
      <c r="B692" s="4"/>
      <c r="C692" s="50"/>
      <c r="D692" s="56"/>
      <c r="E692" s="56"/>
      <c r="F692" s="59"/>
      <c r="G692" s="4"/>
      <c r="H692" s="56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50"/>
      <c r="U692" s="50"/>
      <c r="V692" s="4"/>
      <c r="W692" s="4"/>
      <c r="X692" s="4"/>
      <c r="Y692" s="4"/>
      <c r="Z692" s="4"/>
      <c r="AA692" s="4"/>
      <c r="AB692" s="4"/>
      <c r="AC692" s="4"/>
      <c r="AD692" s="4"/>
      <c r="AE692" s="4"/>
    </row>
    <row r="693" spans="1:31" ht="14.4">
      <c r="A693" s="4"/>
      <c r="B693" s="4"/>
      <c r="C693" s="50"/>
      <c r="D693" s="56"/>
      <c r="E693" s="56"/>
      <c r="F693" s="59"/>
      <c r="G693" s="4"/>
      <c r="H693" s="56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50"/>
      <c r="U693" s="50"/>
      <c r="V693" s="4"/>
      <c r="W693" s="4"/>
      <c r="X693" s="4"/>
      <c r="Y693" s="4"/>
      <c r="Z693" s="4"/>
      <c r="AA693" s="4"/>
      <c r="AB693" s="4"/>
      <c r="AC693" s="4"/>
      <c r="AD693" s="4"/>
      <c r="AE693" s="4"/>
    </row>
    <row r="694" spans="1:31" ht="14.4">
      <c r="A694" s="4"/>
      <c r="B694" s="4"/>
      <c r="C694" s="50"/>
      <c r="D694" s="56"/>
      <c r="E694" s="56"/>
      <c r="F694" s="59"/>
      <c r="G694" s="4"/>
      <c r="H694" s="56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50"/>
      <c r="U694" s="50"/>
      <c r="V694" s="4"/>
      <c r="W694" s="4"/>
      <c r="X694" s="4"/>
      <c r="Y694" s="4"/>
      <c r="Z694" s="4"/>
      <c r="AA694" s="4"/>
      <c r="AB694" s="4"/>
      <c r="AC694" s="4"/>
      <c r="AD694" s="4"/>
      <c r="AE694" s="4"/>
    </row>
    <row r="695" spans="1:31" ht="14.4">
      <c r="A695" s="4"/>
      <c r="B695" s="4"/>
      <c r="C695" s="50"/>
      <c r="D695" s="56"/>
      <c r="E695" s="56"/>
      <c r="F695" s="59"/>
      <c r="G695" s="4"/>
      <c r="H695" s="56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50"/>
      <c r="U695" s="50"/>
      <c r="V695" s="4"/>
      <c r="W695" s="4"/>
      <c r="X695" s="4"/>
      <c r="Y695" s="4"/>
      <c r="Z695" s="4"/>
      <c r="AA695" s="4"/>
      <c r="AB695" s="4"/>
      <c r="AC695" s="4"/>
      <c r="AD695" s="4"/>
      <c r="AE695" s="4"/>
    </row>
    <row r="696" spans="1:31" ht="14.4">
      <c r="A696" s="4"/>
      <c r="B696" s="4"/>
      <c r="C696" s="50"/>
      <c r="D696" s="56"/>
      <c r="E696" s="56"/>
      <c r="F696" s="59"/>
      <c r="G696" s="4"/>
      <c r="H696" s="56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50"/>
      <c r="U696" s="50"/>
      <c r="V696" s="4"/>
      <c r="W696" s="4"/>
      <c r="X696" s="4"/>
      <c r="Y696" s="4"/>
      <c r="Z696" s="4"/>
      <c r="AA696" s="4"/>
      <c r="AB696" s="4"/>
      <c r="AC696" s="4"/>
      <c r="AD696" s="4"/>
      <c r="AE696" s="4"/>
    </row>
    <row r="697" spans="1:31" ht="14.4">
      <c r="A697" s="4"/>
      <c r="B697" s="4"/>
      <c r="C697" s="50"/>
      <c r="D697" s="56"/>
      <c r="E697" s="56"/>
      <c r="F697" s="59"/>
      <c r="G697" s="4"/>
      <c r="H697" s="56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50"/>
      <c r="U697" s="50"/>
      <c r="V697" s="4"/>
      <c r="W697" s="4"/>
      <c r="X697" s="4"/>
      <c r="Y697" s="4"/>
      <c r="Z697" s="4"/>
      <c r="AA697" s="4"/>
      <c r="AB697" s="4"/>
      <c r="AC697" s="4"/>
      <c r="AD697" s="4"/>
      <c r="AE697" s="4"/>
    </row>
    <row r="698" spans="1:31" ht="14.4">
      <c r="A698" s="4"/>
      <c r="B698" s="4"/>
      <c r="C698" s="50"/>
      <c r="D698" s="56"/>
      <c r="E698" s="56"/>
      <c r="F698" s="59"/>
      <c r="G698" s="4"/>
      <c r="H698" s="56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50"/>
      <c r="U698" s="50"/>
      <c r="V698" s="4"/>
      <c r="W698" s="4"/>
      <c r="X698" s="4"/>
      <c r="Y698" s="4"/>
      <c r="Z698" s="4"/>
      <c r="AA698" s="4"/>
      <c r="AB698" s="4"/>
      <c r="AC698" s="4"/>
      <c r="AD698" s="4"/>
      <c r="AE698" s="4"/>
    </row>
    <row r="699" spans="1:31" ht="14.4">
      <c r="A699" s="4"/>
      <c r="B699" s="4"/>
      <c r="C699" s="50"/>
      <c r="D699" s="56"/>
      <c r="E699" s="56"/>
      <c r="F699" s="59"/>
      <c r="G699" s="4"/>
      <c r="H699" s="56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50"/>
      <c r="U699" s="50"/>
      <c r="V699" s="4"/>
      <c r="W699" s="4"/>
      <c r="X699" s="4"/>
      <c r="Y699" s="4"/>
      <c r="Z699" s="4"/>
      <c r="AA699" s="4"/>
      <c r="AB699" s="4"/>
      <c r="AC699" s="4"/>
      <c r="AD699" s="4"/>
      <c r="AE699" s="4"/>
    </row>
    <row r="700" spans="1:31" ht="14.4">
      <c r="A700" s="4"/>
      <c r="B700" s="4"/>
      <c r="C700" s="50"/>
      <c r="D700" s="56"/>
      <c r="E700" s="56"/>
      <c r="F700" s="59"/>
      <c r="G700" s="4"/>
      <c r="H700" s="56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50"/>
      <c r="U700" s="50"/>
      <c r="V700" s="4"/>
      <c r="W700" s="4"/>
      <c r="X700" s="4"/>
      <c r="Y700" s="4"/>
      <c r="Z700" s="4"/>
      <c r="AA700" s="4"/>
      <c r="AB700" s="4"/>
      <c r="AC700" s="4"/>
      <c r="AD700" s="4"/>
      <c r="AE700" s="4"/>
    </row>
    <row r="701" spans="1:31" ht="14.4">
      <c r="A701" s="4"/>
      <c r="B701" s="4"/>
      <c r="C701" s="50"/>
      <c r="D701" s="56"/>
      <c r="E701" s="56"/>
      <c r="F701" s="59"/>
      <c r="G701" s="4"/>
      <c r="H701" s="56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50"/>
      <c r="U701" s="50"/>
      <c r="V701" s="4"/>
      <c r="W701" s="4"/>
      <c r="X701" s="4"/>
      <c r="Y701" s="4"/>
      <c r="Z701" s="4"/>
      <c r="AA701" s="4"/>
      <c r="AB701" s="4"/>
      <c r="AC701" s="4"/>
      <c r="AD701" s="4"/>
      <c r="AE701" s="4"/>
    </row>
    <row r="702" spans="1:31" ht="14.4">
      <c r="A702" s="4"/>
      <c r="B702" s="4"/>
      <c r="C702" s="50"/>
      <c r="D702" s="56"/>
      <c r="E702" s="56"/>
      <c r="F702" s="59"/>
      <c r="G702" s="4"/>
      <c r="H702" s="56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50"/>
      <c r="U702" s="50"/>
      <c r="V702" s="4"/>
      <c r="W702" s="4"/>
      <c r="X702" s="4"/>
      <c r="Y702" s="4"/>
      <c r="Z702" s="4"/>
      <c r="AA702" s="4"/>
      <c r="AB702" s="4"/>
      <c r="AC702" s="4"/>
      <c r="AD702" s="4"/>
      <c r="AE702" s="4"/>
    </row>
    <row r="703" spans="1:31" ht="14.4">
      <c r="A703" s="4"/>
      <c r="B703" s="4"/>
      <c r="C703" s="50"/>
      <c r="D703" s="56"/>
      <c r="E703" s="56"/>
      <c r="F703" s="59"/>
      <c r="G703" s="4"/>
      <c r="H703" s="56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50"/>
      <c r="U703" s="50"/>
      <c r="V703" s="4"/>
      <c r="W703" s="4"/>
      <c r="X703" s="4"/>
      <c r="Y703" s="4"/>
      <c r="Z703" s="4"/>
      <c r="AA703" s="4"/>
      <c r="AB703" s="4"/>
      <c r="AC703" s="4"/>
      <c r="AD703" s="4"/>
      <c r="AE703" s="4"/>
    </row>
    <row r="704" spans="1:31" ht="14.4">
      <c r="A704" s="4"/>
      <c r="B704" s="4"/>
      <c r="C704" s="50"/>
      <c r="D704" s="56"/>
      <c r="E704" s="56"/>
      <c r="F704" s="59"/>
      <c r="G704" s="4"/>
      <c r="H704" s="56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50"/>
      <c r="U704" s="50"/>
      <c r="V704" s="4"/>
      <c r="W704" s="4"/>
      <c r="X704" s="4"/>
      <c r="Y704" s="4"/>
      <c r="Z704" s="4"/>
      <c r="AA704" s="4"/>
      <c r="AB704" s="4"/>
      <c r="AC704" s="4"/>
      <c r="AD704" s="4"/>
      <c r="AE704" s="4"/>
    </row>
    <row r="705" spans="1:31" ht="14.4">
      <c r="A705" s="4"/>
      <c r="B705" s="4"/>
      <c r="C705" s="50"/>
      <c r="D705" s="56"/>
      <c r="E705" s="56"/>
      <c r="F705" s="59"/>
      <c r="G705" s="4"/>
      <c r="H705" s="56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50"/>
      <c r="U705" s="50"/>
      <c r="V705" s="4"/>
      <c r="W705" s="4"/>
      <c r="X705" s="4"/>
      <c r="Y705" s="4"/>
      <c r="Z705" s="4"/>
      <c r="AA705" s="4"/>
      <c r="AB705" s="4"/>
      <c r="AC705" s="4"/>
      <c r="AD705" s="4"/>
      <c r="AE705" s="4"/>
    </row>
    <row r="706" spans="1:31" ht="14.4">
      <c r="A706" s="4"/>
      <c r="B706" s="4"/>
      <c r="C706" s="50"/>
      <c r="D706" s="56"/>
      <c r="E706" s="56"/>
      <c r="F706" s="59"/>
      <c r="G706" s="4"/>
      <c r="H706" s="56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50"/>
      <c r="U706" s="50"/>
      <c r="V706" s="4"/>
      <c r="W706" s="4"/>
      <c r="X706" s="4"/>
      <c r="Y706" s="4"/>
      <c r="Z706" s="4"/>
      <c r="AA706" s="4"/>
      <c r="AB706" s="4"/>
      <c r="AC706" s="4"/>
      <c r="AD706" s="4"/>
      <c r="AE706" s="4"/>
    </row>
    <row r="707" spans="1:31" ht="14.4">
      <c r="A707" s="4"/>
      <c r="B707" s="4"/>
      <c r="C707" s="50"/>
      <c r="D707" s="56"/>
      <c r="E707" s="56"/>
      <c r="F707" s="59"/>
      <c r="G707" s="4"/>
      <c r="H707" s="56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50"/>
      <c r="U707" s="50"/>
      <c r="V707" s="4"/>
      <c r="W707" s="4"/>
      <c r="X707" s="4"/>
      <c r="Y707" s="4"/>
      <c r="Z707" s="4"/>
      <c r="AA707" s="4"/>
      <c r="AB707" s="4"/>
      <c r="AC707" s="4"/>
      <c r="AD707" s="4"/>
      <c r="AE707" s="4"/>
    </row>
    <row r="708" spans="1:31" ht="14.4">
      <c r="A708" s="4"/>
      <c r="B708" s="4"/>
      <c r="C708" s="50"/>
      <c r="D708" s="56"/>
      <c r="E708" s="56"/>
      <c r="F708" s="59"/>
      <c r="G708" s="4"/>
      <c r="H708" s="56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50"/>
      <c r="U708" s="50"/>
      <c r="V708" s="4"/>
      <c r="W708" s="4"/>
      <c r="X708" s="4"/>
      <c r="Y708" s="4"/>
      <c r="Z708" s="4"/>
      <c r="AA708" s="4"/>
      <c r="AB708" s="4"/>
      <c r="AC708" s="4"/>
      <c r="AD708" s="4"/>
      <c r="AE708" s="4"/>
    </row>
    <row r="709" spans="1:31" ht="14.4">
      <c r="A709" s="4"/>
      <c r="B709" s="4"/>
      <c r="C709" s="50"/>
      <c r="D709" s="56"/>
      <c r="E709" s="56"/>
      <c r="F709" s="59"/>
      <c r="G709" s="4"/>
      <c r="H709" s="56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50"/>
      <c r="U709" s="50"/>
      <c r="V709" s="4"/>
      <c r="W709" s="4"/>
      <c r="X709" s="4"/>
      <c r="Y709" s="4"/>
      <c r="Z709" s="4"/>
      <c r="AA709" s="4"/>
      <c r="AB709" s="4"/>
      <c r="AC709" s="4"/>
      <c r="AD709" s="4"/>
      <c r="AE709" s="4"/>
    </row>
    <row r="710" spans="1:31" ht="14.4">
      <c r="A710" s="4"/>
      <c r="B710" s="4"/>
      <c r="C710" s="50"/>
      <c r="D710" s="56"/>
      <c r="E710" s="56"/>
      <c r="F710" s="59"/>
      <c r="G710" s="4"/>
      <c r="H710" s="56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50"/>
      <c r="U710" s="50"/>
      <c r="V710" s="4"/>
      <c r="W710" s="4"/>
      <c r="X710" s="4"/>
      <c r="Y710" s="4"/>
      <c r="Z710" s="4"/>
      <c r="AA710" s="4"/>
      <c r="AB710" s="4"/>
      <c r="AC710" s="4"/>
      <c r="AD710" s="4"/>
      <c r="AE710" s="4"/>
    </row>
    <row r="711" spans="1:31" ht="14.4">
      <c r="A711" s="4"/>
      <c r="B711" s="4"/>
      <c r="C711" s="50"/>
      <c r="D711" s="56"/>
      <c r="E711" s="56"/>
      <c r="F711" s="59"/>
      <c r="G711" s="4"/>
      <c r="H711" s="56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50"/>
      <c r="U711" s="50"/>
      <c r="V711" s="4"/>
      <c r="W711" s="4"/>
      <c r="X711" s="4"/>
      <c r="Y711" s="4"/>
      <c r="Z711" s="4"/>
      <c r="AA711" s="4"/>
      <c r="AB711" s="4"/>
      <c r="AC711" s="4"/>
      <c r="AD711" s="4"/>
      <c r="AE711" s="4"/>
    </row>
    <row r="712" spans="1:31" ht="14.4">
      <c r="A712" s="4"/>
      <c r="B712" s="4"/>
      <c r="C712" s="50"/>
      <c r="D712" s="56"/>
      <c r="E712" s="56"/>
      <c r="F712" s="59"/>
      <c r="G712" s="4"/>
      <c r="H712" s="56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50"/>
      <c r="U712" s="50"/>
      <c r="V712" s="4"/>
      <c r="W712" s="4"/>
      <c r="X712" s="4"/>
      <c r="Y712" s="4"/>
      <c r="Z712" s="4"/>
      <c r="AA712" s="4"/>
      <c r="AB712" s="4"/>
      <c r="AC712" s="4"/>
      <c r="AD712" s="4"/>
      <c r="AE712" s="4"/>
    </row>
    <row r="713" spans="1:31" ht="14.4">
      <c r="A713" s="4"/>
      <c r="B713" s="4"/>
      <c r="C713" s="50"/>
      <c r="D713" s="56"/>
      <c r="E713" s="56"/>
      <c r="F713" s="59"/>
      <c r="G713" s="4"/>
      <c r="H713" s="56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50"/>
      <c r="U713" s="50"/>
      <c r="V713" s="4"/>
      <c r="W713" s="4"/>
      <c r="X713" s="4"/>
      <c r="Y713" s="4"/>
      <c r="Z713" s="4"/>
      <c r="AA713" s="4"/>
      <c r="AB713" s="4"/>
      <c r="AC713" s="4"/>
      <c r="AD713" s="4"/>
      <c r="AE713" s="4"/>
    </row>
    <row r="714" spans="1:31" ht="14.4">
      <c r="A714" s="4"/>
      <c r="B714" s="4"/>
      <c r="C714" s="50"/>
      <c r="D714" s="56"/>
      <c r="E714" s="56"/>
      <c r="F714" s="59"/>
      <c r="G714" s="4"/>
      <c r="H714" s="56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50"/>
      <c r="U714" s="50"/>
      <c r="V714" s="4"/>
      <c r="W714" s="4"/>
      <c r="X714" s="4"/>
      <c r="Y714" s="4"/>
      <c r="Z714" s="4"/>
      <c r="AA714" s="4"/>
      <c r="AB714" s="4"/>
      <c r="AC714" s="4"/>
      <c r="AD714" s="4"/>
      <c r="AE714" s="4"/>
    </row>
    <row r="715" spans="1:31" ht="14.4">
      <c r="A715" s="4"/>
      <c r="B715" s="4"/>
      <c r="C715" s="50"/>
      <c r="D715" s="56"/>
      <c r="E715" s="56"/>
      <c r="F715" s="59"/>
      <c r="G715" s="4"/>
      <c r="H715" s="56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50"/>
      <c r="U715" s="50"/>
      <c r="V715" s="4"/>
      <c r="W715" s="4"/>
      <c r="X715" s="4"/>
      <c r="Y715" s="4"/>
      <c r="Z715" s="4"/>
      <c r="AA715" s="4"/>
      <c r="AB715" s="4"/>
      <c r="AC715" s="4"/>
      <c r="AD715" s="4"/>
      <c r="AE715" s="4"/>
    </row>
    <row r="716" spans="1:31" ht="14.4">
      <c r="A716" s="4"/>
      <c r="B716" s="4"/>
      <c r="C716" s="50"/>
      <c r="D716" s="56"/>
      <c r="E716" s="56"/>
      <c r="F716" s="59"/>
      <c r="G716" s="4"/>
      <c r="H716" s="56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50"/>
      <c r="U716" s="50"/>
      <c r="V716" s="4"/>
      <c r="W716" s="4"/>
      <c r="X716" s="4"/>
      <c r="Y716" s="4"/>
      <c r="Z716" s="4"/>
      <c r="AA716" s="4"/>
      <c r="AB716" s="4"/>
      <c r="AC716" s="4"/>
      <c r="AD716" s="4"/>
      <c r="AE716" s="4"/>
    </row>
    <row r="717" spans="1:31" ht="14.4">
      <c r="A717" s="4"/>
      <c r="B717" s="4"/>
      <c r="C717" s="50"/>
      <c r="D717" s="56"/>
      <c r="E717" s="56"/>
      <c r="F717" s="59"/>
      <c r="G717" s="4"/>
      <c r="H717" s="56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50"/>
      <c r="U717" s="50"/>
      <c r="V717" s="4"/>
      <c r="W717" s="4"/>
      <c r="X717" s="4"/>
      <c r="Y717" s="4"/>
      <c r="Z717" s="4"/>
      <c r="AA717" s="4"/>
      <c r="AB717" s="4"/>
      <c r="AC717" s="4"/>
      <c r="AD717" s="4"/>
      <c r="AE717" s="4"/>
    </row>
    <row r="718" spans="1:31" ht="14.4">
      <c r="A718" s="4"/>
      <c r="B718" s="4"/>
      <c r="C718" s="50"/>
      <c r="D718" s="56"/>
      <c r="E718" s="56"/>
      <c r="F718" s="59"/>
      <c r="G718" s="4"/>
      <c r="H718" s="56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50"/>
      <c r="U718" s="50"/>
      <c r="V718" s="4"/>
      <c r="W718" s="4"/>
      <c r="X718" s="4"/>
      <c r="Y718" s="4"/>
      <c r="Z718" s="4"/>
      <c r="AA718" s="4"/>
      <c r="AB718" s="4"/>
      <c r="AC718" s="4"/>
      <c r="AD718" s="4"/>
      <c r="AE718" s="4"/>
    </row>
    <row r="719" spans="1:31" ht="14.4">
      <c r="A719" s="4"/>
      <c r="B719" s="4"/>
      <c r="C719" s="50"/>
      <c r="D719" s="56"/>
      <c r="E719" s="56"/>
      <c r="F719" s="59"/>
      <c r="G719" s="4"/>
      <c r="H719" s="56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50"/>
      <c r="U719" s="50"/>
      <c r="V719" s="4"/>
      <c r="W719" s="4"/>
      <c r="X719" s="4"/>
      <c r="Y719" s="4"/>
      <c r="Z719" s="4"/>
      <c r="AA719" s="4"/>
      <c r="AB719" s="4"/>
      <c r="AC719" s="4"/>
      <c r="AD719" s="4"/>
      <c r="AE719" s="4"/>
    </row>
    <row r="720" spans="1:31" ht="14.4">
      <c r="A720" s="4"/>
      <c r="B720" s="4"/>
      <c r="C720" s="50"/>
      <c r="D720" s="56"/>
      <c r="E720" s="56"/>
      <c r="F720" s="59"/>
      <c r="G720" s="4"/>
      <c r="H720" s="56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50"/>
      <c r="U720" s="50"/>
      <c r="V720" s="4"/>
      <c r="W720" s="4"/>
      <c r="X720" s="4"/>
      <c r="Y720" s="4"/>
      <c r="Z720" s="4"/>
      <c r="AA720" s="4"/>
      <c r="AB720" s="4"/>
      <c r="AC720" s="4"/>
      <c r="AD720" s="4"/>
      <c r="AE720" s="4"/>
    </row>
    <row r="721" spans="1:31" ht="14.4">
      <c r="A721" s="4"/>
      <c r="B721" s="4"/>
      <c r="C721" s="50"/>
      <c r="D721" s="56"/>
      <c r="E721" s="56"/>
      <c r="F721" s="59"/>
      <c r="G721" s="4"/>
      <c r="H721" s="56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50"/>
      <c r="U721" s="50"/>
      <c r="V721" s="4"/>
      <c r="W721" s="4"/>
      <c r="X721" s="4"/>
      <c r="Y721" s="4"/>
      <c r="Z721" s="4"/>
      <c r="AA721" s="4"/>
      <c r="AB721" s="4"/>
      <c r="AC721" s="4"/>
      <c r="AD721" s="4"/>
      <c r="AE721" s="4"/>
    </row>
    <row r="722" spans="1:31" ht="14.4">
      <c r="A722" s="4"/>
      <c r="B722" s="4"/>
      <c r="C722" s="50"/>
      <c r="D722" s="56"/>
      <c r="E722" s="56"/>
      <c r="F722" s="59"/>
      <c r="G722" s="4"/>
      <c r="H722" s="56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50"/>
      <c r="U722" s="50"/>
      <c r="V722" s="4"/>
      <c r="W722" s="4"/>
      <c r="X722" s="4"/>
      <c r="Y722" s="4"/>
      <c r="Z722" s="4"/>
      <c r="AA722" s="4"/>
      <c r="AB722" s="4"/>
      <c r="AC722" s="4"/>
      <c r="AD722" s="4"/>
      <c r="AE722" s="4"/>
    </row>
    <row r="723" spans="1:31" ht="14.4">
      <c r="A723" s="4"/>
      <c r="B723" s="4"/>
      <c r="C723" s="50"/>
      <c r="D723" s="56"/>
      <c r="E723" s="56"/>
      <c r="F723" s="59"/>
      <c r="G723" s="4"/>
      <c r="H723" s="56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50"/>
      <c r="U723" s="50"/>
      <c r="V723" s="4"/>
      <c r="W723" s="4"/>
      <c r="X723" s="4"/>
      <c r="Y723" s="4"/>
      <c r="Z723" s="4"/>
      <c r="AA723" s="4"/>
      <c r="AB723" s="4"/>
      <c r="AC723" s="4"/>
      <c r="AD723" s="4"/>
      <c r="AE723" s="4"/>
    </row>
    <row r="724" spans="1:31" ht="14.4">
      <c r="A724" s="4"/>
      <c r="B724" s="4"/>
      <c r="C724" s="50"/>
      <c r="D724" s="56"/>
      <c r="E724" s="56"/>
      <c r="F724" s="59"/>
      <c r="G724" s="4"/>
      <c r="H724" s="56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50"/>
      <c r="U724" s="50"/>
      <c r="V724" s="4"/>
      <c r="W724" s="4"/>
      <c r="X724" s="4"/>
      <c r="Y724" s="4"/>
      <c r="Z724" s="4"/>
      <c r="AA724" s="4"/>
      <c r="AB724" s="4"/>
      <c r="AC724" s="4"/>
      <c r="AD724" s="4"/>
      <c r="AE724" s="4"/>
    </row>
    <row r="725" spans="1:31" ht="14.4">
      <c r="A725" s="4"/>
      <c r="B725" s="4"/>
      <c r="C725" s="50"/>
      <c r="D725" s="56"/>
      <c r="E725" s="56"/>
      <c r="F725" s="59"/>
      <c r="G725" s="4"/>
      <c r="H725" s="56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50"/>
      <c r="U725" s="50"/>
      <c r="V725" s="4"/>
      <c r="W725" s="4"/>
      <c r="X725" s="4"/>
      <c r="Y725" s="4"/>
      <c r="Z725" s="4"/>
      <c r="AA725" s="4"/>
      <c r="AB725" s="4"/>
      <c r="AC725" s="4"/>
      <c r="AD725" s="4"/>
      <c r="AE725" s="4"/>
    </row>
    <row r="726" spans="1:31" ht="14.4">
      <c r="A726" s="4"/>
      <c r="B726" s="4"/>
      <c r="C726" s="50"/>
      <c r="D726" s="56"/>
      <c r="E726" s="56"/>
      <c r="F726" s="59"/>
      <c r="G726" s="4"/>
      <c r="H726" s="56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50"/>
      <c r="U726" s="50"/>
      <c r="V726" s="4"/>
      <c r="W726" s="4"/>
      <c r="X726" s="4"/>
      <c r="Y726" s="4"/>
      <c r="Z726" s="4"/>
      <c r="AA726" s="4"/>
      <c r="AB726" s="4"/>
      <c r="AC726" s="4"/>
      <c r="AD726" s="4"/>
      <c r="AE726" s="4"/>
    </row>
    <row r="727" spans="1:31" ht="14.4">
      <c r="A727" s="4"/>
      <c r="B727" s="4"/>
      <c r="C727" s="50"/>
      <c r="D727" s="56"/>
      <c r="E727" s="56"/>
      <c r="F727" s="59"/>
      <c r="G727" s="4"/>
      <c r="H727" s="56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50"/>
      <c r="U727" s="50"/>
      <c r="V727" s="4"/>
      <c r="W727" s="4"/>
      <c r="X727" s="4"/>
      <c r="Y727" s="4"/>
      <c r="Z727" s="4"/>
      <c r="AA727" s="4"/>
      <c r="AB727" s="4"/>
      <c r="AC727" s="4"/>
      <c r="AD727" s="4"/>
      <c r="AE727" s="4"/>
    </row>
    <row r="728" spans="1:31" ht="14.4">
      <c r="A728" s="4"/>
      <c r="B728" s="4"/>
      <c r="C728" s="50"/>
      <c r="D728" s="56"/>
      <c r="E728" s="56"/>
      <c r="F728" s="59"/>
      <c r="G728" s="4"/>
      <c r="H728" s="56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50"/>
      <c r="U728" s="50"/>
      <c r="V728" s="4"/>
      <c r="W728" s="4"/>
      <c r="X728" s="4"/>
      <c r="Y728" s="4"/>
      <c r="Z728" s="4"/>
      <c r="AA728" s="4"/>
      <c r="AB728" s="4"/>
      <c r="AC728" s="4"/>
      <c r="AD728" s="4"/>
      <c r="AE728" s="4"/>
    </row>
    <row r="729" spans="1:31" ht="14.4">
      <c r="A729" s="4"/>
      <c r="B729" s="4"/>
      <c r="C729" s="50"/>
      <c r="D729" s="56"/>
      <c r="E729" s="56"/>
      <c r="F729" s="59"/>
      <c r="G729" s="4"/>
      <c r="H729" s="56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50"/>
      <c r="U729" s="50"/>
      <c r="V729" s="4"/>
      <c r="W729" s="4"/>
      <c r="X729" s="4"/>
      <c r="Y729" s="4"/>
      <c r="Z729" s="4"/>
      <c r="AA729" s="4"/>
      <c r="AB729" s="4"/>
      <c r="AC729" s="4"/>
      <c r="AD729" s="4"/>
      <c r="AE729" s="4"/>
    </row>
    <row r="730" spans="1:31" ht="14.4">
      <c r="A730" s="4"/>
      <c r="B730" s="4"/>
      <c r="C730" s="50"/>
      <c r="D730" s="56"/>
      <c r="E730" s="56"/>
      <c r="F730" s="59"/>
      <c r="G730" s="4"/>
      <c r="H730" s="56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50"/>
      <c r="U730" s="50"/>
      <c r="V730" s="4"/>
      <c r="W730" s="4"/>
      <c r="X730" s="4"/>
      <c r="Y730" s="4"/>
      <c r="Z730" s="4"/>
      <c r="AA730" s="4"/>
      <c r="AB730" s="4"/>
      <c r="AC730" s="4"/>
      <c r="AD730" s="4"/>
      <c r="AE730" s="4"/>
    </row>
    <row r="731" spans="1:31" ht="14.4">
      <c r="A731" s="4"/>
      <c r="B731" s="4"/>
      <c r="C731" s="50"/>
      <c r="D731" s="56"/>
      <c r="E731" s="56"/>
      <c r="F731" s="59"/>
      <c r="G731" s="4"/>
      <c r="H731" s="56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50"/>
      <c r="U731" s="50"/>
      <c r="V731" s="4"/>
      <c r="W731" s="4"/>
      <c r="X731" s="4"/>
      <c r="Y731" s="4"/>
      <c r="Z731" s="4"/>
      <c r="AA731" s="4"/>
      <c r="AB731" s="4"/>
      <c r="AC731" s="4"/>
      <c r="AD731" s="4"/>
      <c r="AE731" s="4"/>
    </row>
    <row r="732" spans="1:31" ht="14.4">
      <c r="A732" s="4"/>
      <c r="B732" s="4"/>
      <c r="C732" s="50"/>
      <c r="D732" s="56"/>
      <c r="E732" s="56"/>
      <c r="F732" s="59"/>
      <c r="G732" s="4"/>
      <c r="H732" s="56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50"/>
      <c r="U732" s="50"/>
      <c r="V732" s="4"/>
      <c r="W732" s="4"/>
      <c r="X732" s="4"/>
      <c r="Y732" s="4"/>
      <c r="Z732" s="4"/>
      <c r="AA732" s="4"/>
      <c r="AB732" s="4"/>
      <c r="AC732" s="4"/>
      <c r="AD732" s="4"/>
      <c r="AE732" s="4"/>
    </row>
    <row r="733" spans="1:31" ht="14.4">
      <c r="A733" s="4"/>
      <c r="B733" s="4"/>
      <c r="C733" s="50"/>
      <c r="D733" s="56"/>
      <c r="E733" s="56"/>
      <c r="F733" s="59"/>
      <c r="G733" s="4"/>
      <c r="H733" s="56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50"/>
      <c r="U733" s="50"/>
      <c r="V733" s="4"/>
      <c r="W733" s="4"/>
      <c r="X733" s="4"/>
      <c r="Y733" s="4"/>
      <c r="Z733" s="4"/>
      <c r="AA733" s="4"/>
      <c r="AB733" s="4"/>
      <c r="AC733" s="4"/>
      <c r="AD733" s="4"/>
      <c r="AE733" s="4"/>
    </row>
    <row r="734" spans="1:31" ht="14.4">
      <c r="A734" s="4"/>
      <c r="B734" s="4"/>
      <c r="C734" s="50"/>
      <c r="D734" s="56"/>
      <c r="E734" s="56"/>
      <c r="F734" s="59"/>
      <c r="G734" s="4"/>
      <c r="H734" s="56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50"/>
      <c r="U734" s="50"/>
      <c r="V734" s="4"/>
      <c r="W734" s="4"/>
      <c r="X734" s="4"/>
      <c r="Y734" s="4"/>
      <c r="Z734" s="4"/>
      <c r="AA734" s="4"/>
      <c r="AB734" s="4"/>
      <c r="AC734" s="4"/>
      <c r="AD734" s="4"/>
      <c r="AE734" s="4"/>
    </row>
    <row r="735" spans="1:31" ht="14.4">
      <c r="A735" s="4"/>
      <c r="B735" s="4"/>
      <c r="C735" s="50"/>
      <c r="D735" s="56"/>
      <c r="E735" s="56"/>
      <c r="F735" s="59"/>
      <c r="G735" s="4"/>
      <c r="H735" s="56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50"/>
      <c r="U735" s="50"/>
      <c r="V735" s="4"/>
      <c r="W735" s="4"/>
      <c r="X735" s="4"/>
      <c r="Y735" s="4"/>
      <c r="Z735" s="4"/>
      <c r="AA735" s="4"/>
      <c r="AB735" s="4"/>
      <c r="AC735" s="4"/>
      <c r="AD735" s="4"/>
      <c r="AE735" s="4"/>
    </row>
    <row r="736" spans="1:31" ht="14.4">
      <c r="A736" s="4"/>
      <c r="B736" s="4"/>
      <c r="C736" s="50"/>
      <c r="D736" s="56"/>
      <c r="E736" s="56"/>
      <c r="F736" s="59"/>
      <c r="G736" s="4"/>
      <c r="H736" s="56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50"/>
      <c r="U736" s="50"/>
      <c r="V736" s="4"/>
      <c r="W736" s="4"/>
      <c r="X736" s="4"/>
      <c r="Y736" s="4"/>
      <c r="Z736" s="4"/>
      <c r="AA736" s="4"/>
      <c r="AB736" s="4"/>
      <c r="AC736" s="4"/>
      <c r="AD736" s="4"/>
      <c r="AE736" s="4"/>
    </row>
    <row r="737" spans="1:31" ht="14.4">
      <c r="A737" s="4"/>
      <c r="B737" s="4"/>
      <c r="C737" s="50"/>
      <c r="D737" s="56"/>
      <c r="E737" s="56"/>
      <c r="F737" s="59"/>
      <c r="G737" s="4"/>
      <c r="H737" s="56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50"/>
      <c r="U737" s="50"/>
      <c r="V737" s="4"/>
      <c r="W737" s="4"/>
      <c r="X737" s="4"/>
      <c r="Y737" s="4"/>
      <c r="Z737" s="4"/>
      <c r="AA737" s="4"/>
      <c r="AB737" s="4"/>
      <c r="AC737" s="4"/>
      <c r="AD737" s="4"/>
      <c r="AE737" s="4"/>
    </row>
    <row r="738" spans="1:31" ht="14.4">
      <c r="A738" s="4"/>
      <c r="B738" s="4"/>
      <c r="C738" s="50"/>
      <c r="D738" s="56"/>
      <c r="E738" s="56"/>
      <c r="F738" s="59"/>
      <c r="G738" s="4"/>
      <c r="H738" s="56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50"/>
      <c r="U738" s="50"/>
      <c r="V738" s="4"/>
      <c r="W738" s="4"/>
      <c r="X738" s="4"/>
      <c r="Y738" s="4"/>
      <c r="Z738" s="4"/>
      <c r="AA738" s="4"/>
      <c r="AB738" s="4"/>
      <c r="AC738" s="4"/>
      <c r="AD738" s="4"/>
      <c r="AE738" s="4"/>
    </row>
    <row r="739" spans="1:31" ht="14.4">
      <c r="A739" s="4"/>
      <c r="B739" s="4"/>
      <c r="C739" s="50"/>
      <c r="D739" s="56"/>
      <c r="E739" s="56"/>
      <c r="F739" s="59"/>
      <c r="G739" s="4"/>
      <c r="H739" s="56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50"/>
      <c r="U739" s="50"/>
      <c r="V739" s="4"/>
      <c r="W739" s="4"/>
      <c r="X739" s="4"/>
      <c r="Y739" s="4"/>
      <c r="Z739" s="4"/>
      <c r="AA739" s="4"/>
      <c r="AB739" s="4"/>
      <c r="AC739" s="4"/>
      <c r="AD739" s="4"/>
      <c r="AE739" s="4"/>
    </row>
    <row r="740" spans="1:31" ht="14.4">
      <c r="A740" s="4"/>
      <c r="B740" s="4"/>
      <c r="C740" s="50"/>
      <c r="D740" s="56"/>
      <c r="E740" s="56"/>
      <c r="F740" s="59"/>
      <c r="G740" s="4"/>
      <c r="H740" s="56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50"/>
      <c r="U740" s="50"/>
      <c r="V740" s="4"/>
      <c r="W740" s="4"/>
      <c r="X740" s="4"/>
      <c r="Y740" s="4"/>
      <c r="Z740" s="4"/>
      <c r="AA740" s="4"/>
      <c r="AB740" s="4"/>
      <c r="AC740" s="4"/>
      <c r="AD740" s="4"/>
      <c r="AE740" s="4"/>
    </row>
    <row r="741" spans="1:31" ht="14.4">
      <c r="A741" s="4"/>
      <c r="B741" s="4"/>
      <c r="C741" s="50"/>
      <c r="D741" s="56"/>
      <c r="E741" s="56"/>
      <c r="F741" s="59"/>
      <c r="G741" s="4"/>
      <c r="H741" s="56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50"/>
      <c r="U741" s="50"/>
      <c r="V741" s="4"/>
      <c r="W741" s="4"/>
      <c r="X741" s="4"/>
      <c r="Y741" s="4"/>
      <c r="Z741" s="4"/>
      <c r="AA741" s="4"/>
      <c r="AB741" s="4"/>
      <c r="AC741" s="4"/>
      <c r="AD741" s="4"/>
      <c r="AE741" s="4"/>
    </row>
    <row r="742" spans="1:31" ht="14.4">
      <c r="A742" s="4"/>
      <c r="B742" s="4"/>
      <c r="C742" s="50"/>
      <c r="D742" s="56"/>
      <c r="E742" s="56"/>
      <c r="F742" s="59"/>
      <c r="G742" s="4"/>
      <c r="H742" s="56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50"/>
      <c r="U742" s="50"/>
      <c r="V742" s="4"/>
      <c r="W742" s="4"/>
      <c r="X742" s="4"/>
      <c r="Y742" s="4"/>
      <c r="Z742" s="4"/>
      <c r="AA742" s="4"/>
      <c r="AB742" s="4"/>
      <c r="AC742" s="4"/>
      <c r="AD742" s="4"/>
      <c r="AE742" s="4"/>
    </row>
    <row r="743" spans="1:31" ht="14.4">
      <c r="A743" s="4"/>
      <c r="B743" s="4"/>
      <c r="C743" s="50"/>
      <c r="D743" s="56"/>
      <c r="E743" s="56"/>
      <c r="F743" s="59"/>
      <c r="G743" s="4"/>
      <c r="H743" s="56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50"/>
      <c r="U743" s="50"/>
      <c r="V743" s="4"/>
      <c r="W743" s="4"/>
      <c r="X743" s="4"/>
      <c r="Y743" s="4"/>
      <c r="Z743" s="4"/>
      <c r="AA743" s="4"/>
      <c r="AB743" s="4"/>
      <c r="AC743" s="4"/>
      <c r="AD743" s="4"/>
      <c r="AE743" s="4"/>
    </row>
    <row r="744" spans="1:31" ht="14.4">
      <c r="A744" s="4"/>
      <c r="B744" s="4"/>
      <c r="C744" s="50"/>
      <c r="D744" s="56"/>
      <c r="E744" s="56"/>
      <c r="F744" s="59"/>
      <c r="G744" s="4"/>
      <c r="H744" s="56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50"/>
      <c r="U744" s="50"/>
      <c r="V744" s="4"/>
      <c r="W744" s="4"/>
      <c r="X744" s="4"/>
      <c r="Y744" s="4"/>
      <c r="Z744" s="4"/>
      <c r="AA744" s="4"/>
      <c r="AB744" s="4"/>
      <c r="AC744" s="4"/>
      <c r="AD744" s="4"/>
      <c r="AE744" s="4"/>
    </row>
    <row r="745" spans="1:31" ht="14.4">
      <c r="A745" s="4"/>
      <c r="B745" s="4"/>
      <c r="C745" s="50"/>
      <c r="D745" s="56"/>
      <c r="E745" s="56"/>
      <c r="F745" s="59"/>
      <c r="G745" s="4"/>
      <c r="H745" s="56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50"/>
      <c r="U745" s="50"/>
      <c r="V745" s="4"/>
      <c r="W745" s="4"/>
      <c r="X745" s="4"/>
      <c r="Y745" s="4"/>
      <c r="Z745" s="4"/>
      <c r="AA745" s="4"/>
      <c r="AB745" s="4"/>
      <c r="AC745" s="4"/>
      <c r="AD745" s="4"/>
      <c r="AE745" s="4"/>
    </row>
    <row r="746" spans="1:31" ht="14.4">
      <c r="A746" s="4"/>
      <c r="B746" s="4"/>
      <c r="C746" s="50"/>
      <c r="D746" s="56"/>
      <c r="E746" s="56"/>
      <c r="F746" s="59"/>
      <c r="G746" s="4"/>
      <c r="H746" s="56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50"/>
      <c r="U746" s="50"/>
      <c r="V746" s="4"/>
      <c r="W746" s="4"/>
      <c r="X746" s="4"/>
      <c r="Y746" s="4"/>
      <c r="Z746" s="4"/>
      <c r="AA746" s="4"/>
      <c r="AB746" s="4"/>
      <c r="AC746" s="4"/>
      <c r="AD746" s="4"/>
      <c r="AE746" s="4"/>
    </row>
    <row r="747" spans="1:31" ht="14.4">
      <c r="A747" s="4"/>
      <c r="B747" s="4"/>
      <c r="C747" s="50"/>
      <c r="D747" s="56"/>
      <c r="E747" s="56"/>
      <c r="F747" s="59"/>
      <c r="G747" s="4"/>
      <c r="H747" s="56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50"/>
      <c r="U747" s="50"/>
      <c r="V747" s="4"/>
      <c r="W747" s="4"/>
      <c r="X747" s="4"/>
      <c r="Y747" s="4"/>
      <c r="Z747" s="4"/>
      <c r="AA747" s="4"/>
      <c r="AB747" s="4"/>
      <c r="AC747" s="4"/>
      <c r="AD747" s="4"/>
      <c r="AE747" s="4"/>
    </row>
    <row r="748" spans="1:31" ht="14.4">
      <c r="A748" s="4"/>
      <c r="B748" s="4"/>
      <c r="C748" s="50"/>
      <c r="D748" s="56"/>
      <c r="E748" s="56"/>
      <c r="F748" s="59"/>
      <c r="G748" s="4"/>
      <c r="H748" s="56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50"/>
      <c r="U748" s="50"/>
      <c r="V748" s="4"/>
      <c r="W748" s="4"/>
      <c r="X748" s="4"/>
      <c r="Y748" s="4"/>
      <c r="Z748" s="4"/>
      <c r="AA748" s="4"/>
      <c r="AB748" s="4"/>
      <c r="AC748" s="4"/>
      <c r="AD748" s="4"/>
      <c r="AE748" s="4"/>
    </row>
    <row r="749" spans="1:31" ht="14.4">
      <c r="A749" s="4"/>
      <c r="B749" s="4"/>
      <c r="C749" s="50"/>
      <c r="D749" s="56"/>
      <c r="E749" s="56"/>
      <c r="F749" s="59"/>
      <c r="G749" s="4"/>
      <c r="H749" s="56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50"/>
      <c r="U749" s="50"/>
      <c r="V749" s="4"/>
      <c r="W749" s="4"/>
      <c r="X749" s="4"/>
      <c r="Y749" s="4"/>
      <c r="Z749" s="4"/>
      <c r="AA749" s="4"/>
      <c r="AB749" s="4"/>
      <c r="AC749" s="4"/>
      <c r="AD749" s="4"/>
      <c r="AE749" s="4"/>
    </row>
    <row r="750" spans="1:31" ht="14.4">
      <c r="A750" s="4"/>
      <c r="B750" s="4"/>
      <c r="C750" s="50"/>
      <c r="D750" s="56"/>
      <c r="E750" s="56"/>
      <c r="F750" s="59"/>
      <c r="G750" s="4"/>
      <c r="H750" s="56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50"/>
      <c r="U750" s="50"/>
      <c r="V750" s="4"/>
      <c r="W750" s="4"/>
      <c r="X750" s="4"/>
      <c r="Y750" s="4"/>
      <c r="Z750" s="4"/>
      <c r="AA750" s="4"/>
      <c r="AB750" s="4"/>
      <c r="AC750" s="4"/>
      <c r="AD750" s="4"/>
      <c r="AE750" s="4"/>
    </row>
    <row r="751" spans="1:31" ht="14.4">
      <c r="A751" s="4"/>
      <c r="B751" s="4"/>
      <c r="C751" s="50"/>
      <c r="D751" s="56"/>
      <c r="E751" s="56"/>
      <c r="F751" s="59"/>
      <c r="G751" s="4"/>
      <c r="H751" s="56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50"/>
      <c r="U751" s="50"/>
      <c r="V751" s="4"/>
      <c r="W751" s="4"/>
      <c r="X751" s="4"/>
      <c r="Y751" s="4"/>
      <c r="Z751" s="4"/>
      <c r="AA751" s="4"/>
      <c r="AB751" s="4"/>
      <c r="AC751" s="4"/>
      <c r="AD751" s="4"/>
      <c r="AE751" s="4"/>
    </row>
    <row r="752" spans="1:31" ht="14.4">
      <c r="A752" s="4"/>
      <c r="B752" s="4"/>
      <c r="C752" s="50"/>
      <c r="D752" s="56"/>
      <c r="E752" s="56"/>
      <c r="F752" s="59"/>
      <c r="G752" s="4"/>
      <c r="H752" s="56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50"/>
      <c r="U752" s="50"/>
      <c r="V752" s="4"/>
      <c r="W752" s="4"/>
      <c r="X752" s="4"/>
      <c r="Y752" s="4"/>
      <c r="Z752" s="4"/>
      <c r="AA752" s="4"/>
      <c r="AB752" s="4"/>
      <c r="AC752" s="4"/>
      <c r="AD752" s="4"/>
      <c r="AE752" s="4"/>
    </row>
    <row r="753" spans="1:31" ht="14.4">
      <c r="A753" s="4"/>
      <c r="B753" s="4"/>
      <c r="C753" s="50"/>
      <c r="D753" s="56"/>
      <c r="E753" s="56"/>
      <c r="F753" s="59"/>
      <c r="G753" s="4"/>
      <c r="H753" s="56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50"/>
      <c r="U753" s="50"/>
      <c r="V753" s="4"/>
      <c r="W753" s="4"/>
      <c r="X753" s="4"/>
      <c r="Y753" s="4"/>
      <c r="Z753" s="4"/>
      <c r="AA753" s="4"/>
      <c r="AB753" s="4"/>
      <c r="AC753" s="4"/>
      <c r="AD753" s="4"/>
      <c r="AE753" s="4"/>
    </row>
    <row r="754" spans="1:31" ht="14.4">
      <c r="A754" s="4"/>
      <c r="B754" s="4"/>
      <c r="C754" s="50"/>
      <c r="D754" s="56"/>
      <c r="E754" s="56"/>
      <c r="F754" s="59"/>
      <c r="G754" s="4"/>
      <c r="H754" s="56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50"/>
      <c r="U754" s="50"/>
      <c r="V754" s="4"/>
      <c r="W754" s="4"/>
      <c r="X754" s="4"/>
      <c r="Y754" s="4"/>
      <c r="Z754" s="4"/>
      <c r="AA754" s="4"/>
      <c r="AB754" s="4"/>
      <c r="AC754" s="4"/>
      <c r="AD754" s="4"/>
      <c r="AE754" s="4"/>
    </row>
    <row r="755" spans="1:31" ht="14.4">
      <c r="A755" s="4"/>
      <c r="B755" s="4"/>
      <c r="C755" s="50"/>
      <c r="D755" s="56"/>
      <c r="E755" s="56"/>
      <c r="F755" s="59"/>
      <c r="G755" s="4"/>
      <c r="H755" s="56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50"/>
      <c r="U755" s="50"/>
      <c r="V755" s="4"/>
      <c r="W755" s="4"/>
      <c r="X755" s="4"/>
      <c r="Y755" s="4"/>
      <c r="Z755" s="4"/>
      <c r="AA755" s="4"/>
      <c r="AB755" s="4"/>
      <c r="AC755" s="4"/>
      <c r="AD755" s="4"/>
      <c r="AE755" s="4"/>
    </row>
    <row r="756" spans="1:31" ht="14.4">
      <c r="A756" s="4"/>
      <c r="B756" s="4"/>
      <c r="C756" s="50"/>
      <c r="D756" s="56"/>
      <c r="E756" s="56"/>
      <c r="F756" s="59"/>
      <c r="G756" s="4"/>
      <c r="H756" s="56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50"/>
      <c r="U756" s="50"/>
      <c r="V756" s="4"/>
      <c r="W756" s="4"/>
      <c r="X756" s="4"/>
      <c r="Y756" s="4"/>
      <c r="Z756" s="4"/>
      <c r="AA756" s="4"/>
      <c r="AB756" s="4"/>
      <c r="AC756" s="4"/>
      <c r="AD756" s="4"/>
      <c r="AE756" s="4"/>
    </row>
    <row r="757" spans="1:31" ht="14.4">
      <c r="A757" s="4"/>
      <c r="B757" s="4"/>
      <c r="C757" s="50"/>
      <c r="D757" s="56"/>
      <c r="E757" s="56"/>
      <c r="F757" s="59"/>
      <c r="G757" s="4"/>
      <c r="H757" s="56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50"/>
      <c r="U757" s="50"/>
      <c r="V757" s="4"/>
      <c r="W757" s="4"/>
      <c r="X757" s="4"/>
      <c r="Y757" s="4"/>
      <c r="Z757" s="4"/>
      <c r="AA757" s="4"/>
      <c r="AB757" s="4"/>
      <c r="AC757" s="4"/>
      <c r="AD757" s="4"/>
      <c r="AE757" s="4"/>
    </row>
    <row r="758" spans="1:31" ht="14.4">
      <c r="A758" s="4"/>
      <c r="B758" s="4"/>
      <c r="C758" s="50"/>
      <c r="D758" s="56"/>
      <c r="E758" s="56"/>
      <c r="F758" s="59"/>
      <c r="G758" s="4"/>
      <c r="H758" s="56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50"/>
      <c r="U758" s="50"/>
      <c r="V758" s="4"/>
      <c r="W758" s="4"/>
      <c r="X758" s="4"/>
      <c r="Y758" s="4"/>
      <c r="Z758" s="4"/>
      <c r="AA758" s="4"/>
      <c r="AB758" s="4"/>
      <c r="AC758" s="4"/>
      <c r="AD758" s="4"/>
      <c r="AE758" s="4"/>
    </row>
    <row r="759" spans="1:31" ht="14.4">
      <c r="A759" s="4"/>
      <c r="B759" s="4"/>
      <c r="C759" s="50"/>
      <c r="D759" s="56"/>
      <c r="E759" s="56"/>
      <c r="F759" s="59"/>
      <c r="G759" s="4"/>
      <c r="H759" s="56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50"/>
      <c r="U759" s="50"/>
      <c r="V759" s="4"/>
      <c r="W759" s="4"/>
      <c r="X759" s="4"/>
      <c r="Y759" s="4"/>
      <c r="Z759" s="4"/>
      <c r="AA759" s="4"/>
      <c r="AB759" s="4"/>
      <c r="AC759" s="4"/>
      <c r="AD759" s="4"/>
      <c r="AE759" s="4"/>
    </row>
    <row r="760" spans="1:31" ht="14.4">
      <c r="A760" s="4"/>
      <c r="B760" s="4"/>
      <c r="C760" s="50"/>
      <c r="D760" s="56"/>
      <c r="E760" s="56"/>
      <c r="F760" s="59"/>
      <c r="G760" s="4"/>
      <c r="H760" s="56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50"/>
      <c r="U760" s="50"/>
      <c r="V760" s="4"/>
      <c r="W760" s="4"/>
      <c r="X760" s="4"/>
      <c r="Y760" s="4"/>
      <c r="Z760" s="4"/>
      <c r="AA760" s="4"/>
      <c r="AB760" s="4"/>
      <c r="AC760" s="4"/>
      <c r="AD760" s="4"/>
      <c r="AE760" s="4"/>
    </row>
    <row r="761" spans="1:31" ht="14.4">
      <c r="A761" s="4"/>
      <c r="B761" s="4"/>
      <c r="C761" s="50"/>
      <c r="D761" s="56"/>
      <c r="E761" s="56"/>
      <c r="F761" s="59"/>
      <c r="G761" s="4"/>
      <c r="H761" s="56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50"/>
      <c r="U761" s="50"/>
      <c r="V761" s="4"/>
      <c r="W761" s="4"/>
      <c r="X761" s="4"/>
      <c r="Y761" s="4"/>
      <c r="Z761" s="4"/>
      <c r="AA761" s="4"/>
      <c r="AB761" s="4"/>
      <c r="AC761" s="4"/>
      <c r="AD761" s="4"/>
      <c r="AE761" s="4"/>
    </row>
    <row r="762" spans="1:31" ht="14.4">
      <c r="A762" s="4"/>
      <c r="B762" s="4"/>
      <c r="C762" s="50"/>
      <c r="D762" s="56"/>
      <c r="E762" s="56"/>
      <c r="F762" s="59"/>
      <c r="G762" s="4"/>
      <c r="H762" s="56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50"/>
      <c r="U762" s="50"/>
      <c r="V762" s="4"/>
      <c r="W762" s="4"/>
      <c r="X762" s="4"/>
      <c r="Y762" s="4"/>
      <c r="Z762" s="4"/>
      <c r="AA762" s="4"/>
      <c r="AB762" s="4"/>
      <c r="AC762" s="4"/>
      <c r="AD762" s="4"/>
      <c r="AE762" s="4"/>
    </row>
    <row r="763" spans="1:31" ht="14.4">
      <c r="A763" s="4"/>
      <c r="B763" s="4"/>
      <c r="C763" s="50"/>
      <c r="D763" s="56"/>
      <c r="E763" s="56"/>
      <c r="F763" s="59"/>
      <c r="G763" s="4"/>
      <c r="H763" s="56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50"/>
      <c r="U763" s="50"/>
      <c r="V763" s="4"/>
      <c r="W763" s="4"/>
      <c r="X763" s="4"/>
      <c r="Y763" s="4"/>
      <c r="Z763" s="4"/>
      <c r="AA763" s="4"/>
      <c r="AB763" s="4"/>
      <c r="AC763" s="4"/>
      <c r="AD763" s="4"/>
      <c r="AE763" s="4"/>
    </row>
    <row r="764" spans="1:31" ht="14.4">
      <c r="A764" s="4"/>
      <c r="B764" s="4"/>
      <c r="C764" s="50"/>
      <c r="D764" s="56"/>
      <c r="E764" s="56"/>
      <c r="F764" s="59"/>
      <c r="G764" s="4"/>
      <c r="H764" s="56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50"/>
      <c r="U764" s="50"/>
      <c r="V764" s="4"/>
      <c r="W764" s="4"/>
      <c r="X764" s="4"/>
      <c r="Y764" s="4"/>
      <c r="Z764" s="4"/>
      <c r="AA764" s="4"/>
      <c r="AB764" s="4"/>
      <c r="AC764" s="4"/>
      <c r="AD764" s="4"/>
      <c r="AE764" s="4"/>
    </row>
    <row r="765" spans="1:31" ht="14.4">
      <c r="A765" s="4"/>
      <c r="B765" s="4"/>
      <c r="C765" s="50"/>
      <c r="D765" s="56"/>
      <c r="E765" s="56"/>
      <c r="F765" s="59"/>
      <c r="G765" s="4"/>
      <c r="H765" s="56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50"/>
      <c r="U765" s="50"/>
      <c r="V765" s="4"/>
      <c r="W765" s="4"/>
      <c r="X765" s="4"/>
      <c r="Y765" s="4"/>
      <c r="Z765" s="4"/>
      <c r="AA765" s="4"/>
      <c r="AB765" s="4"/>
      <c r="AC765" s="4"/>
      <c r="AD765" s="4"/>
      <c r="AE765" s="4"/>
    </row>
    <row r="766" spans="1:31" ht="14.4">
      <c r="A766" s="4"/>
      <c r="B766" s="4"/>
      <c r="C766" s="50"/>
      <c r="D766" s="56"/>
      <c r="E766" s="56"/>
      <c r="F766" s="59"/>
      <c r="G766" s="4"/>
      <c r="H766" s="56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50"/>
      <c r="U766" s="50"/>
      <c r="V766" s="4"/>
      <c r="W766" s="4"/>
      <c r="X766" s="4"/>
      <c r="Y766" s="4"/>
      <c r="Z766" s="4"/>
      <c r="AA766" s="4"/>
      <c r="AB766" s="4"/>
      <c r="AC766" s="4"/>
      <c r="AD766" s="4"/>
      <c r="AE766" s="4"/>
    </row>
    <row r="767" spans="1:31" ht="14.4">
      <c r="A767" s="4"/>
      <c r="B767" s="4"/>
      <c r="C767" s="50"/>
      <c r="D767" s="56"/>
      <c r="E767" s="56"/>
      <c r="F767" s="59"/>
      <c r="G767" s="4"/>
      <c r="H767" s="56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50"/>
      <c r="U767" s="50"/>
      <c r="V767" s="4"/>
      <c r="W767" s="4"/>
      <c r="X767" s="4"/>
      <c r="Y767" s="4"/>
      <c r="Z767" s="4"/>
      <c r="AA767" s="4"/>
      <c r="AB767" s="4"/>
      <c r="AC767" s="4"/>
      <c r="AD767" s="4"/>
      <c r="AE767" s="4"/>
    </row>
    <row r="768" spans="1:31" ht="14.4">
      <c r="A768" s="4"/>
      <c r="B768" s="4"/>
      <c r="C768" s="50"/>
      <c r="D768" s="56"/>
      <c r="E768" s="56"/>
      <c r="F768" s="59"/>
      <c r="G768" s="4"/>
      <c r="H768" s="56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50"/>
      <c r="U768" s="50"/>
      <c r="V768" s="4"/>
      <c r="W768" s="4"/>
      <c r="X768" s="4"/>
      <c r="Y768" s="4"/>
      <c r="Z768" s="4"/>
      <c r="AA768" s="4"/>
      <c r="AB768" s="4"/>
      <c r="AC768" s="4"/>
      <c r="AD768" s="4"/>
      <c r="AE768" s="4"/>
    </row>
    <row r="769" spans="1:31" ht="14.4">
      <c r="A769" s="4"/>
      <c r="B769" s="4"/>
      <c r="C769" s="50"/>
      <c r="D769" s="56"/>
      <c r="E769" s="56"/>
      <c r="F769" s="59"/>
      <c r="G769" s="4"/>
      <c r="H769" s="56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50"/>
      <c r="U769" s="50"/>
      <c r="V769" s="4"/>
      <c r="W769" s="4"/>
      <c r="X769" s="4"/>
      <c r="Y769" s="4"/>
      <c r="Z769" s="4"/>
      <c r="AA769" s="4"/>
      <c r="AB769" s="4"/>
      <c r="AC769" s="4"/>
      <c r="AD769" s="4"/>
      <c r="AE769" s="4"/>
    </row>
    <row r="770" spans="1:31" ht="14.4">
      <c r="A770" s="4"/>
      <c r="B770" s="4"/>
      <c r="C770" s="50"/>
      <c r="D770" s="56"/>
      <c r="E770" s="56"/>
      <c r="F770" s="59"/>
      <c r="G770" s="4"/>
      <c r="H770" s="56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50"/>
      <c r="U770" s="50"/>
      <c r="V770" s="4"/>
      <c r="W770" s="4"/>
      <c r="X770" s="4"/>
      <c r="Y770" s="4"/>
      <c r="Z770" s="4"/>
      <c r="AA770" s="4"/>
      <c r="AB770" s="4"/>
      <c r="AC770" s="4"/>
      <c r="AD770" s="4"/>
      <c r="AE770" s="4"/>
    </row>
    <row r="771" spans="1:31" ht="14.4">
      <c r="A771" s="4"/>
      <c r="B771" s="4"/>
      <c r="C771" s="50"/>
      <c r="D771" s="56"/>
      <c r="E771" s="56"/>
      <c r="F771" s="59"/>
      <c r="G771" s="4"/>
      <c r="H771" s="56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50"/>
      <c r="U771" s="50"/>
      <c r="V771" s="4"/>
      <c r="W771" s="4"/>
      <c r="X771" s="4"/>
      <c r="Y771" s="4"/>
      <c r="Z771" s="4"/>
      <c r="AA771" s="4"/>
      <c r="AB771" s="4"/>
      <c r="AC771" s="4"/>
      <c r="AD771" s="4"/>
      <c r="AE771" s="4"/>
    </row>
    <row r="772" spans="1:31" ht="14.4">
      <c r="A772" s="4"/>
      <c r="B772" s="4"/>
      <c r="C772" s="50"/>
      <c r="D772" s="56"/>
      <c r="E772" s="56"/>
      <c r="F772" s="59"/>
      <c r="G772" s="4"/>
      <c r="H772" s="56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50"/>
      <c r="U772" s="50"/>
      <c r="V772" s="4"/>
      <c r="W772" s="4"/>
      <c r="X772" s="4"/>
      <c r="Y772" s="4"/>
      <c r="Z772" s="4"/>
      <c r="AA772" s="4"/>
      <c r="AB772" s="4"/>
      <c r="AC772" s="4"/>
      <c r="AD772" s="4"/>
      <c r="AE772" s="4"/>
    </row>
    <row r="773" spans="1:31" ht="14.4">
      <c r="A773" s="4"/>
      <c r="B773" s="4"/>
      <c r="C773" s="50"/>
      <c r="D773" s="56"/>
      <c r="E773" s="56"/>
      <c r="F773" s="59"/>
      <c r="G773" s="4"/>
      <c r="H773" s="56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50"/>
      <c r="U773" s="50"/>
      <c r="V773" s="4"/>
      <c r="W773" s="4"/>
      <c r="X773" s="4"/>
      <c r="Y773" s="4"/>
      <c r="Z773" s="4"/>
      <c r="AA773" s="4"/>
      <c r="AB773" s="4"/>
      <c r="AC773" s="4"/>
      <c r="AD773" s="4"/>
      <c r="AE773" s="4"/>
    </row>
    <row r="774" spans="1:31" ht="14.4">
      <c r="A774" s="4"/>
      <c r="B774" s="4"/>
      <c r="C774" s="50"/>
      <c r="D774" s="56"/>
      <c r="E774" s="56"/>
      <c r="F774" s="59"/>
      <c r="G774" s="4"/>
      <c r="H774" s="56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50"/>
      <c r="U774" s="50"/>
      <c r="V774" s="4"/>
      <c r="W774" s="4"/>
      <c r="X774" s="4"/>
      <c r="Y774" s="4"/>
      <c r="Z774" s="4"/>
      <c r="AA774" s="4"/>
      <c r="AB774" s="4"/>
      <c r="AC774" s="4"/>
      <c r="AD774" s="4"/>
      <c r="AE774" s="4"/>
    </row>
    <row r="775" spans="1:31" ht="14.4">
      <c r="A775" s="4"/>
      <c r="B775" s="4"/>
      <c r="C775" s="50"/>
      <c r="D775" s="56"/>
      <c r="E775" s="56"/>
      <c r="F775" s="59"/>
      <c r="G775" s="4"/>
      <c r="H775" s="56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50"/>
      <c r="U775" s="50"/>
      <c r="V775" s="4"/>
      <c r="W775" s="4"/>
      <c r="X775" s="4"/>
      <c r="Y775" s="4"/>
      <c r="Z775" s="4"/>
      <c r="AA775" s="4"/>
      <c r="AB775" s="4"/>
      <c r="AC775" s="4"/>
      <c r="AD775" s="4"/>
      <c r="AE775" s="4"/>
    </row>
    <row r="776" spans="1:31" ht="14.4">
      <c r="A776" s="4"/>
      <c r="B776" s="4"/>
      <c r="C776" s="50"/>
      <c r="D776" s="56"/>
      <c r="E776" s="56"/>
      <c r="F776" s="59"/>
      <c r="G776" s="4"/>
      <c r="H776" s="56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50"/>
      <c r="U776" s="50"/>
      <c r="V776" s="4"/>
      <c r="W776" s="4"/>
      <c r="X776" s="4"/>
      <c r="Y776" s="4"/>
      <c r="Z776" s="4"/>
      <c r="AA776" s="4"/>
      <c r="AB776" s="4"/>
      <c r="AC776" s="4"/>
      <c r="AD776" s="4"/>
      <c r="AE776" s="4"/>
    </row>
    <row r="777" spans="1:31" ht="14.4">
      <c r="A777" s="4"/>
      <c r="B777" s="4"/>
      <c r="C777" s="50"/>
      <c r="D777" s="56"/>
      <c r="E777" s="56"/>
      <c r="F777" s="59"/>
      <c r="G777" s="4"/>
      <c r="H777" s="56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50"/>
      <c r="U777" s="50"/>
      <c r="V777" s="4"/>
      <c r="W777" s="4"/>
      <c r="X777" s="4"/>
      <c r="Y777" s="4"/>
      <c r="Z777" s="4"/>
      <c r="AA777" s="4"/>
      <c r="AB777" s="4"/>
      <c r="AC777" s="4"/>
      <c r="AD777" s="4"/>
      <c r="AE777" s="4"/>
    </row>
    <row r="778" spans="1:31" ht="14.4">
      <c r="A778" s="4"/>
      <c r="B778" s="4"/>
      <c r="C778" s="50"/>
      <c r="D778" s="56"/>
      <c r="E778" s="56"/>
      <c r="F778" s="59"/>
      <c r="G778" s="4"/>
      <c r="H778" s="56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50"/>
      <c r="U778" s="50"/>
      <c r="V778" s="4"/>
      <c r="W778" s="4"/>
      <c r="X778" s="4"/>
      <c r="Y778" s="4"/>
      <c r="Z778" s="4"/>
      <c r="AA778" s="4"/>
      <c r="AB778" s="4"/>
      <c r="AC778" s="4"/>
      <c r="AD778" s="4"/>
      <c r="AE778" s="4"/>
    </row>
    <row r="779" spans="1:31" ht="14.4">
      <c r="A779" s="4"/>
      <c r="B779" s="4"/>
      <c r="C779" s="50"/>
      <c r="D779" s="56"/>
      <c r="E779" s="56"/>
      <c r="F779" s="59"/>
      <c r="G779" s="4"/>
      <c r="H779" s="56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50"/>
      <c r="U779" s="50"/>
      <c r="V779" s="4"/>
      <c r="W779" s="4"/>
      <c r="X779" s="4"/>
      <c r="Y779" s="4"/>
      <c r="Z779" s="4"/>
      <c r="AA779" s="4"/>
      <c r="AB779" s="4"/>
      <c r="AC779" s="4"/>
      <c r="AD779" s="4"/>
      <c r="AE779" s="4"/>
    </row>
    <row r="780" spans="1:31" ht="14.4">
      <c r="A780" s="4"/>
      <c r="B780" s="4"/>
      <c r="C780" s="50"/>
      <c r="D780" s="56"/>
      <c r="E780" s="56"/>
      <c r="F780" s="59"/>
      <c r="G780" s="4"/>
      <c r="H780" s="56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50"/>
      <c r="U780" s="50"/>
      <c r="V780" s="4"/>
      <c r="W780" s="4"/>
      <c r="X780" s="4"/>
      <c r="Y780" s="4"/>
      <c r="Z780" s="4"/>
      <c r="AA780" s="4"/>
      <c r="AB780" s="4"/>
      <c r="AC780" s="4"/>
      <c r="AD780" s="4"/>
      <c r="AE780" s="4"/>
    </row>
    <row r="781" spans="1:31" ht="14.4">
      <c r="A781" s="4"/>
      <c r="B781" s="4"/>
      <c r="C781" s="50"/>
      <c r="D781" s="56"/>
      <c r="E781" s="56"/>
      <c r="F781" s="59"/>
      <c r="G781" s="4"/>
      <c r="H781" s="56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50"/>
      <c r="U781" s="50"/>
      <c r="V781" s="4"/>
      <c r="W781" s="4"/>
      <c r="X781" s="4"/>
      <c r="Y781" s="4"/>
      <c r="Z781" s="4"/>
      <c r="AA781" s="4"/>
      <c r="AB781" s="4"/>
      <c r="AC781" s="4"/>
      <c r="AD781" s="4"/>
      <c r="AE781" s="4"/>
    </row>
    <row r="782" spans="1:31" ht="14.4">
      <c r="A782" s="4"/>
      <c r="B782" s="4"/>
      <c r="C782" s="50"/>
      <c r="D782" s="56"/>
      <c r="E782" s="56"/>
      <c r="F782" s="59"/>
      <c r="G782" s="4"/>
      <c r="H782" s="56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50"/>
      <c r="U782" s="50"/>
      <c r="V782" s="4"/>
      <c r="W782" s="4"/>
      <c r="X782" s="4"/>
      <c r="Y782" s="4"/>
      <c r="Z782" s="4"/>
      <c r="AA782" s="4"/>
      <c r="AB782" s="4"/>
      <c r="AC782" s="4"/>
      <c r="AD782" s="4"/>
      <c r="AE782" s="4"/>
    </row>
    <row r="783" spans="1:31" ht="14.4">
      <c r="A783" s="4"/>
      <c r="B783" s="4"/>
      <c r="C783" s="50"/>
      <c r="D783" s="56"/>
      <c r="E783" s="56"/>
      <c r="F783" s="59"/>
      <c r="G783" s="4"/>
      <c r="H783" s="56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50"/>
      <c r="U783" s="50"/>
      <c r="V783" s="4"/>
      <c r="W783" s="4"/>
      <c r="X783" s="4"/>
      <c r="Y783" s="4"/>
      <c r="Z783" s="4"/>
      <c r="AA783" s="4"/>
      <c r="AB783" s="4"/>
      <c r="AC783" s="4"/>
      <c r="AD783" s="4"/>
      <c r="AE783" s="4"/>
    </row>
    <row r="784" spans="1:31" ht="14.4">
      <c r="A784" s="4"/>
      <c r="B784" s="4"/>
      <c r="C784" s="50"/>
      <c r="D784" s="56"/>
      <c r="E784" s="56"/>
      <c r="F784" s="59"/>
      <c r="G784" s="4"/>
      <c r="H784" s="56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50"/>
      <c r="U784" s="50"/>
      <c r="V784" s="4"/>
      <c r="W784" s="4"/>
      <c r="X784" s="4"/>
      <c r="Y784" s="4"/>
      <c r="Z784" s="4"/>
      <c r="AA784" s="4"/>
      <c r="AB784" s="4"/>
      <c r="AC784" s="4"/>
      <c r="AD784" s="4"/>
      <c r="AE784" s="4"/>
    </row>
    <row r="785" spans="1:31" ht="14.4">
      <c r="A785" s="4"/>
      <c r="B785" s="4"/>
      <c r="C785" s="50"/>
      <c r="D785" s="56"/>
      <c r="E785" s="56"/>
      <c r="F785" s="59"/>
      <c r="G785" s="4"/>
      <c r="H785" s="56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50"/>
      <c r="U785" s="50"/>
      <c r="V785" s="4"/>
      <c r="W785" s="4"/>
      <c r="X785" s="4"/>
      <c r="Y785" s="4"/>
      <c r="Z785" s="4"/>
      <c r="AA785" s="4"/>
      <c r="AB785" s="4"/>
      <c r="AC785" s="4"/>
      <c r="AD785" s="4"/>
      <c r="AE785" s="4"/>
    </row>
    <row r="786" spans="1:31" ht="14.4">
      <c r="A786" s="4"/>
      <c r="B786" s="4"/>
      <c r="C786" s="50"/>
      <c r="D786" s="56"/>
      <c r="E786" s="56"/>
      <c r="F786" s="59"/>
      <c r="G786" s="4"/>
      <c r="H786" s="56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50"/>
      <c r="U786" s="50"/>
      <c r="V786" s="4"/>
      <c r="W786" s="4"/>
      <c r="X786" s="4"/>
      <c r="Y786" s="4"/>
      <c r="Z786" s="4"/>
      <c r="AA786" s="4"/>
      <c r="AB786" s="4"/>
      <c r="AC786" s="4"/>
      <c r="AD786" s="4"/>
      <c r="AE786" s="4"/>
    </row>
    <row r="787" spans="1:31" ht="14.4">
      <c r="A787" s="4"/>
      <c r="B787" s="4"/>
      <c r="C787" s="50"/>
      <c r="D787" s="56"/>
      <c r="E787" s="56"/>
      <c r="F787" s="59"/>
      <c r="G787" s="4"/>
      <c r="H787" s="56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50"/>
      <c r="U787" s="50"/>
      <c r="V787" s="4"/>
      <c r="W787" s="4"/>
      <c r="X787" s="4"/>
      <c r="Y787" s="4"/>
      <c r="Z787" s="4"/>
      <c r="AA787" s="4"/>
      <c r="AB787" s="4"/>
      <c r="AC787" s="4"/>
      <c r="AD787" s="4"/>
      <c r="AE787" s="4"/>
    </row>
    <row r="788" spans="1:31" ht="14.4">
      <c r="A788" s="4"/>
      <c r="B788" s="4"/>
      <c r="C788" s="50"/>
      <c r="D788" s="56"/>
      <c r="E788" s="56"/>
      <c r="F788" s="59"/>
      <c r="G788" s="4"/>
      <c r="H788" s="56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50"/>
      <c r="U788" s="50"/>
      <c r="V788" s="4"/>
      <c r="W788" s="4"/>
      <c r="X788" s="4"/>
      <c r="Y788" s="4"/>
      <c r="Z788" s="4"/>
      <c r="AA788" s="4"/>
      <c r="AB788" s="4"/>
      <c r="AC788" s="4"/>
      <c r="AD788" s="4"/>
      <c r="AE788" s="4"/>
    </row>
    <row r="789" spans="1:31" ht="14.4">
      <c r="A789" s="4"/>
      <c r="B789" s="4"/>
      <c r="C789" s="50"/>
      <c r="D789" s="56"/>
      <c r="E789" s="56"/>
      <c r="F789" s="59"/>
      <c r="G789" s="4"/>
      <c r="H789" s="56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50"/>
      <c r="U789" s="50"/>
      <c r="V789" s="4"/>
      <c r="W789" s="4"/>
      <c r="X789" s="4"/>
      <c r="Y789" s="4"/>
      <c r="Z789" s="4"/>
      <c r="AA789" s="4"/>
      <c r="AB789" s="4"/>
      <c r="AC789" s="4"/>
      <c r="AD789" s="4"/>
      <c r="AE789" s="4"/>
    </row>
    <row r="790" spans="1:31" ht="14.4">
      <c r="A790" s="4"/>
      <c r="B790" s="4"/>
      <c r="C790" s="50"/>
      <c r="D790" s="56"/>
      <c r="E790" s="56"/>
      <c r="F790" s="59"/>
      <c r="G790" s="4"/>
      <c r="H790" s="56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50"/>
      <c r="U790" s="50"/>
      <c r="V790" s="4"/>
      <c r="W790" s="4"/>
      <c r="X790" s="4"/>
      <c r="Y790" s="4"/>
      <c r="Z790" s="4"/>
      <c r="AA790" s="4"/>
      <c r="AB790" s="4"/>
      <c r="AC790" s="4"/>
      <c r="AD790" s="4"/>
      <c r="AE790" s="4"/>
    </row>
    <row r="791" spans="1:31" ht="14.4">
      <c r="A791" s="4"/>
      <c r="B791" s="4"/>
      <c r="C791" s="50"/>
      <c r="D791" s="56"/>
      <c r="E791" s="56"/>
      <c r="F791" s="59"/>
      <c r="G791" s="4"/>
      <c r="H791" s="56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50"/>
      <c r="U791" s="50"/>
      <c r="V791" s="4"/>
      <c r="W791" s="4"/>
      <c r="X791" s="4"/>
      <c r="Y791" s="4"/>
      <c r="Z791" s="4"/>
      <c r="AA791" s="4"/>
      <c r="AB791" s="4"/>
      <c r="AC791" s="4"/>
      <c r="AD791" s="4"/>
      <c r="AE791" s="4"/>
    </row>
    <row r="792" spans="1:31" ht="14.4">
      <c r="A792" s="4"/>
      <c r="B792" s="4"/>
      <c r="C792" s="50"/>
      <c r="D792" s="56"/>
      <c r="E792" s="56"/>
      <c r="F792" s="59"/>
      <c r="G792" s="4"/>
      <c r="H792" s="56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50"/>
      <c r="U792" s="50"/>
      <c r="V792" s="4"/>
      <c r="W792" s="4"/>
      <c r="X792" s="4"/>
      <c r="Y792" s="4"/>
      <c r="Z792" s="4"/>
      <c r="AA792" s="4"/>
      <c r="AB792" s="4"/>
      <c r="AC792" s="4"/>
      <c r="AD792" s="4"/>
      <c r="AE792" s="4"/>
    </row>
    <row r="793" spans="1:31" ht="14.4">
      <c r="A793" s="4"/>
      <c r="B793" s="4"/>
      <c r="C793" s="50"/>
      <c r="D793" s="56"/>
      <c r="E793" s="56"/>
      <c r="F793" s="59"/>
      <c r="G793" s="4"/>
      <c r="H793" s="56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50"/>
      <c r="U793" s="50"/>
      <c r="V793" s="4"/>
      <c r="W793" s="4"/>
      <c r="X793" s="4"/>
      <c r="Y793" s="4"/>
      <c r="Z793" s="4"/>
      <c r="AA793" s="4"/>
      <c r="AB793" s="4"/>
      <c r="AC793" s="4"/>
      <c r="AD793" s="4"/>
      <c r="AE793" s="4"/>
    </row>
    <row r="794" spans="1:31" ht="14.4">
      <c r="A794" s="4"/>
      <c r="B794" s="4"/>
      <c r="C794" s="50"/>
      <c r="D794" s="56"/>
      <c r="E794" s="56"/>
      <c r="F794" s="59"/>
      <c r="G794" s="4"/>
      <c r="H794" s="56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50"/>
      <c r="U794" s="50"/>
      <c r="V794" s="4"/>
      <c r="W794" s="4"/>
      <c r="X794" s="4"/>
      <c r="Y794" s="4"/>
      <c r="Z794" s="4"/>
      <c r="AA794" s="4"/>
      <c r="AB794" s="4"/>
      <c r="AC794" s="4"/>
      <c r="AD794" s="4"/>
      <c r="AE794" s="4"/>
    </row>
    <row r="795" spans="1:31" ht="14.4">
      <c r="A795" s="4"/>
      <c r="B795" s="4"/>
      <c r="C795" s="50"/>
      <c r="D795" s="56"/>
      <c r="E795" s="56"/>
      <c r="F795" s="59"/>
      <c r="G795" s="4"/>
      <c r="H795" s="56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50"/>
      <c r="U795" s="50"/>
      <c r="V795" s="4"/>
      <c r="W795" s="4"/>
      <c r="X795" s="4"/>
      <c r="Y795" s="4"/>
      <c r="Z795" s="4"/>
      <c r="AA795" s="4"/>
      <c r="AB795" s="4"/>
      <c r="AC795" s="4"/>
      <c r="AD795" s="4"/>
      <c r="AE795" s="4"/>
    </row>
    <row r="796" spans="1:31" ht="14.4">
      <c r="A796" s="4"/>
      <c r="B796" s="4"/>
      <c r="C796" s="50"/>
      <c r="D796" s="56"/>
      <c r="E796" s="56"/>
      <c r="F796" s="59"/>
      <c r="G796" s="4"/>
      <c r="H796" s="56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50"/>
      <c r="U796" s="50"/>
      <c r="V796" s="4"/>
      <c r="W796" s="4"/>
      <c r="X796" s="4"/>
      <c r="Y796" s="4"/>
      <c r="Z796" s="4"/>
      <c r="AA796" s="4"/>
      <c r="AB796" s="4"/>
      <c r="AC796" s="4"/>
      <c r="AD796" s="4"/>
      <c r="AE796" s="4"/>
    </row>
    <row r="797" spans="1:31" ht="14.4">
      <c r="A797" s="4"/>
      <c r="B797" s="4"/>
      <c r="C797" s="50"/>
      <c r="D797" s="56"/>
      <c r="E797" s="56"/>
      <c r="F797" s="59"/>
      <c r="G797" s="4"/>
      <c r="H797" s="56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50"/>
      <c r="U797" s="50"/>
      <c r="V797" s="4"/>
      <c r="W797" s="4"/>
      <c r="X797" s="4"/>
      <c r="Y797" s="4"/>
      <c r="Z797" s="4"/>
      <c r="AA797" s="4"/>
      <c r="AB797" s="4"/>
      <c r="AC797" s="4"/>
      <c r="AD797" s="4"/>
      <c r="AE797" s="4"/>
    </row>
    <row r="798" spans="1:31" ht="14.4">
      <c r="A798" s="4"/>
      <c r="B798" s="4"/>
      <c r="C798" s="50"/>
      <c r="D798" s="56"/>
      <c r="E798" s="56"/>
      <c r="F798" s="59"/>
      <c r="G798" s="4"/>
      <c r="H798" s="56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50"/>
      <c r="U798" s="50"/>
      <c r="V798" s="4"/>
      <c r="W798" s="4"/>
      <c r="X798" s="4"/>
      <c r="Y798" s="4"/>
      <c r="Z798" s="4"/>
      <c r="AA798" s="4"/>
      <c r="AB798" s="4"/>
      <c r="AC798" s="4"/>
      <c r="AD798" s="4"/>
      <c r="AE798" s="4"/>
    </row>
    <row r="799" spans="1:31" ht="14.4">
      <c r="A799" s="4"/>
      <c r="B799" s="4"/>
      <c r="C799" s="50"/>
      <c r="D799" s="56"/>
      <c r="E799" s="56"/>
      <c r="F799" s="59"/>
      <c r="G799" s="4"/>
      <c r="H799" s="56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50"/>
      <c r="U799" s="50"/>
      <c r="V799" s="4"/>
      <c r="W799" s="4"/>
      <c r="X799" s="4"/>
      <c r="Y799" s="4"/>
      <c r="Z799" s="4"/>
      <c r="AA799" s="4"/>
      <c r="AB799" s="4"/>
      <c r="AC799" s="4"/>
      <c r="AD799" s="4"/>
      <c r="AE799" s="4"/>
    </row>
    <row r="800" spans="1:31" ht="14.4">
      <c r="A800" s="4"/>
      <c r="B800" s="4"/>
      <c r="C800" s="50"/>
      <c r="D800" s="56"/>
      <c r="E800" s="56"/>
      <c r="F800" s="59"/>
      <c r="G800" s="4"/>
      <c r="H800" s="56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50"/>
      <c r="U800" s="50"/>
      <c r="V800" s="4"/>
      <c r="W800" s="4"/>
      <c r="X800" s="4"/>
      <c r="Y800" s="4"/>
      <c r="Z800" s="4"/>
      <c r="AA800" s="4"/>
      <c r="AB800" s="4"/>
      <c r="AC800" s="4"/>
      <c r="AD800" s="4"/>
      <c r="AE800" s="4"/>
    </row>
    <row r="801" spans="1:31" ht="14.4">
      <c r="A801" s="4"/>
      <c r="B801" s="4"/>
      <c r="C801" s="50"/>
      <c r="D801" s="56"/>
      <c r="E801" s="56"/>
      <c r="F801" s="59"/>
      <c r="G801" s="4"/>
      <c r="H801" s="56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50"/>
      <c r="U801" s="50"/>
      <c r="V801" s="4"/>
      <c r="W801" s="4"/>
      <c r="X801" s="4"/>
      <c r="Y801" s="4"/>
      <c r="Z801" s="4"/>
      <c r="AA801" s="4"/>
      <c r="AB801" s="4"/>
      <c r="AC801" s="4"/>
      <c r="AD801" s="4"/>
      <c r="AE801" s="4"/>
    </row>
    <row r="802" spans="1:31" ht="14.4">
      <c r="A802" s="4"/>
      <c r="B802" s="4"/>
      <c r="C802" s="50"/>
      <c r="D802" s="56"/>
      <c r="E802" s="56"/>
      <c r="F802" s="59"/>
      <c r="G802" s="4"/>
      <c r="H802" s="56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50"/>
      <c r="U802" s="50"/>
      <c r="V802" s="4"/>
      <c r="W802" s="4"/>
      <c r="X802" s="4"/>
      <c r="Y802" s="4"/>
      <c r="Z802" s="4"/>
      <c r="AA802" s="4"/>
      <c r="AB802" s="4"/>
      <c r="AC802" s="4"/>
      <c r="AD802" s="4"/>
      <c r="AE802" s="4"/>
    </row>
    <row r="803" spans="1:31" ht="14.4">
      <c r="A803" s="4"/>
      <c r="B803" s="4"/>
      <c r="C803" s="50"/>
      <c r="D803" s="56"/>
      <c r="E803" s="56"/>
      <c r="F803" s="59"/>
      <c r="G803" s="4"/>
      <c r="H803" s="56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50"/>
      <c r="U803" s="50"/>
      <c r="V803" s="4"/>
      <c r="W803" s="4"/>
      <c r="X803" s="4"/>
      <c r="Y803" s="4"/>
      <c r="Z803" s="4"/>
      <c r="AA803" s="4"/>
      <c r="AB803" s="4"/>
      <c r="AC803" s="4"/>
      <c r="AD803" s="4"/>
      <c r="AE803" s="4"/>
    </row>
    <row r="804" spans="1:31" ht="14.4">
      <c r="A804" s="4"/>
      <c r="B804" s="4"/>
      <c r="C804" s="50"/>
      <c r="D804" s="56"/>
      <c r="E804" s="56"/>
      <c r="F804" s="59"/>
      <c r="G804" s="4"/>
      <c r="H804" s="56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50"/>
      <c r="U804" s="50"/>
      <c r="V804" s="4"/>
      <c r="W804" s="4"/>
      <c r="X804" s="4"/>
      <c r="Y804" s="4"/>
      <c r="Z804" s="4"/>
      <c r="AA804" s="4"/>
      <c r="AB804" s="4"/>
      <c r="AC804" s="4"/>
      <c r="AD804" s="4"/>
      <c r="AE804" s="4"/>
    </row>
    <row r="805" spans="1:31" ht="14.4">
      <c r="A805" s="4"/>
      <c r="B805" s="4"/>
      <c r="C805" s="50"/>
      <c r="D805" s="56"/>
      <c r="E805" s="56"/>
      <c r="F805" s="59"/>
      <c r="G805" s="4"/>
      <c r="H805" s="56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50"/>
      <c r="U805" s="50"/>
      <c r="V805" s="4"/>
      <c r="W805" s="4"/>
      <c r="X805" s="4"/>
      <c r="Y805" s="4"/>
      <c r="Z805" s="4"/>
      <c r="AA805" s="4"/>
      <c r="AB805" s="4"/>
      <c r="AC805" s="4"/>
      <c r="AD805" s="4"/>
      <c r="AE805" s="4"/>
    </row>
    <row r="806" spans="1:31" ht="14.4">
      <c r="A806" s="4"/>
      <c r="B806" s="4"/>
      <c r="C806" s="50"/>
      <c r="D806" s="56"/>
      <c r="E806" s="56"/>
      <c r="F806" s="59"/>
      <c r="G806" s="4"/>
      <c r="H806" s="56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50"/>
      <c r="U806" s="50"/>
      <c r="V806" s="4"/>
      <c r="W806" s="4"/>
      <c r="X806" s="4"/>
      <c r="Y806" s="4"/>
      <c r="Z806" s="4"/>
      <c r="AA806" s="4"/>
      <c r="AB806" s="4"/>
      <c r="AC806" s="4"/>
      <c r="AD806" s="4"/>
      <c r="AE806" s="4"/>
    </row>
    <row r="807" spans="1:31" ht="14.4">
      <c r="A807" s="4"/>
      <c r="B807" s="4"/>
      <c r="C807" s="50"/>
      <c r="D807" s="56"/>
      <c r="E807" s="56"/>
      <c r="F807" s="59"/>
      <c r="G807" s="4"/>
      <c r="H807" s="56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50"/>
      <c r="U807" s="50"/>
      <c r="V807" s="4"/>
      <c r="W807" s="4"/>
      <c r="X807" s="4"/>
      <c r="Y807" s="4"/>
      <c r="Z807" s="4"/>
      <c r="AA807" s="4"/>
      <c r="AB807" s="4"/>
      <c r="AC807" s="4"/>
      <c r="AD807" s="4"/>
      <c r="AE807" s="4"/>
    </row>
    <row r="808" spans="1:31" ht="14.4">
      <c r="A808" s="4"/>
      <c r="B808" s="4"/>
      <c r="C808" s="50"/>
      <c r="D808" s="56"/>
      <c r="E808" s="56"/>
      <c r="F808" s="59"/>
      <c r="G808" s="4"/>
      <c r="H808" s="56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50"/>
      <c r="U808" s="50"/>
      <c r="V808" s="4"/>
      <c r="W808" s="4"/>
      <c r="X808" s="4"/>
      <c r="Y808" s="4"/>
      <c r="Z808" s="4"/>
      <c r="AA808" s="4"/>
      <c r="AB808" s="4"/>
      <c r="AC808" s="4"/>
      <c r="AD808" s="4"/>
      <c r="AE808" s="4"/>
    </row>
    <row r="809" spans="1:31" ht="14.4">
      <c r="A809" s="4"/>
      <c r="B809" s="4"/>
      <c r="C809" s="50"/>
      <c r="D809" s="56"/>
      <c r="E809" s="56"/>
      <c r="F809" s="59"/>
      <c r="G809" s="4"/>
      <c r="H809" s="56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50"/>
      <c r="U809" s="50"/>
      <c r="V809" s="4"/>
      <c r="W809" s="4"/>
      <c r="X809" s="4"/>
      <c r="Y809" s="4"/>
      <c r="Z809" s="4"/>
      <c r="AA809" s="4"/>
      <c r="AB809" s="4"/>
      <c r="AC809" s="4"/>
      <c r="AD809" s="4"/>
      <c r="AE809" s="4"/>
    </row>
    <row r="810" spans="1:31" ht="14.4">
      <c r="A810" s="4"/>
      <c r="B810" s="4"/>
      <c r="C810" s="50"/>
      <c r="D810" s="56"/>
      <c r="E810" s="56"/>
      <c r="F810" s="59"/>
      <c r="G810" s="4"/>
      <c r="H810" s="56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50"/>
      <c r="U810" s="50"/>
      <c r="V810" s="4"/>
      <c r="W810" s="4"/>
      <c r="X810" s="4"/>
      <c r="Y810" s="4"/>
      <c r="Z810" s="4"/>
      <c r="AA810" s="4"/>
      <c r="AB810" s="4"/>
      <c r="AC810" s="4"/>
      <c r="AD810" s="4"/>
      <c r="AE810" s="4"/>
    </row>
    <row r="811" spans="1:31" ht="14.4">
      <c r="A811" s="4"/>
      <c r="B811" s="4"/>
      <c r="C811" s="50"/>
      <c r="D811" s="56"/>
      <c r="E811" s="56"/>
      <c r="F811" s="59"/>
      <c r="G811" s="4"/>
      <c r="H811" s="56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50"/>
      <c r="U811" s="50"/>
      <c r="V811" s="4"/>
      <c r="W811" s="4"/>
      <c r="X811" s="4"/>
      <c r="Y811" s="4"/>
      <c r="Z811" s="4"/>
      <c r="AA811" s="4"/>
      <c r="AB811" s="4"/>
      <c r="AC811" s="4"/>
      <c r="AD811" s="4"/>
      <c r="AE811" s="4"/>
    </row>
    <row r="812" spans="1:31" ht="14.4">
      <c r="A812" s="4"/>
      <c r="B812" s="4"/>
      <c r="C812" s="50"/>
      <c r="D812" s="56"/>
      <c r="E812" s="56"/>
      <c r="F812" s="59"/>
      <c r="G812" s="4"/>
      <c r="H812" s="56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50"/>
      <c r="U812" s="50"/>
      <c r="V812" s="4"/>
      <c r="W812" s="4"/>
      <c r="X812" s="4"/>
      <c r="Y812" s="4"/>
      <c r="Z812" s="4"/>
      <c r="AA812" s="4"/>
      <c r="AB812" s="4"/>
      <c r="AC812" s="4"/>
      <c r="AD812" s="4"/>
      <c r="AE812" s="4"/>
    </row>
    <row r="813" spans="1:31" ht="14.4">
      <c r="A813" s="4"/>
      <c r="B813" s="4"/>
      <c r="C813" s="50"/>
      <c r="D813" s="56"/>
      <c r="E813" s="56"/>
      <c r="F813" s="59"/>
      <c r="G813" s="4"/>
      <c r="H813" s="56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50"/>
      <c r="U813" s="50"/>
      <c r="V813" s="4"/>
      <c r="W813" s="4"/>
      <c r="X813" s="4"/>
      <c r="Y813" s="4"/>
      <c r="Z813" s="4"/>
      <c r="AA813" s="4"/>
      <c r="AB813" s="4"/>
      <c r="AC813" s="4"/>
      <c r="AD813" s="4"/>
      <c r="AE813" s="4"/>
    </row>
    <row r="814" spans="1:31" ht="14.4">
      <c r="A814" s="4"/>
      <c r="B814" s="4"/>
      <c r="C814" s="50"/>
      <c r="D814" s="56"/>
      <c r="E814" s="56"/>
      <c r="F814" s="59"/>
      <c r="G814" s="4"/>
      <c r="H814" s="56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50"/>
      <c r="U814" s="50"/>
      <c r="V814" s="4"/>
      <c r="W814" s="4"/>
      <c r="X814" s="4"/>
      <c r="Y814" s="4"/>
      <c r="Z814" s="4"/>
      <c r="AA814" s="4"/>
      <c r="AB814" s="4"/>
      <c r="AC814" s="4"/>
      <c r="AD814" s="4"/>
      <c r="AE814" s="4"/>
    </row>
    <row r="815" spans="1:31" ht="14.4">
      <c r="A815" s="4"/>
      <c r="B815" s="4"/>
      <c r="C815" s="50"/>
      <c r="D815" s="56"/>
      <c r="E815" s="56"/>
      <c r="F815" s="59"/>
      <c r="G815" s="4"/>
      <c r="H815" s="56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50"/>
      <c r="U815" s="50"/>
      <c r="V815" s="4"/>
      <c r="W815" s="4"/>
      <c r="X815" s="4"/>
      <c r="Y815" s="4"/>
      <c r="Z815" s="4"/>
      <c r="AA815" s="4"/>
      <c r="AB815" s="4"/>
      <c r="AC815" s="4"/>
      <c r="AD815" s="4"/>
      <c r="AE815" s="4"/>
    </row>
    <row r="816" spans="1:31" ht="14.4">
      <c r="A816" s="4"/>
      <c r="B816" s="4"/>
      <c r="C816" s="50"/>
      <c r="D816" s="56"/>
      <c r="E816" s="56"/>
      <c r="F816" s="59"/>
      <c r="G816" s="4"/>
      <c r="H816" s="56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50"/>
      <c r="U816" s="50"/>
      <c r="V816" s="4"/>
      <c r="W816" s="4"/>
      <c r="X816" s="4"/>
      <c r="Y816" s="4"/>
      <c r="Z816" s="4"/>
      <c r="AA816" s="4"/>
      <c r="AB816" s="4"/>
      <c r="AC816" s="4"/>
      <c r="AD816" s="4"/>
      <c r="AE816" s="4"/>
    </row>
    <row r="817" spans="1:31" ht="14.4">
      <c r="A817" s="4"/>
      <c r="B817" s="4"/>
      <c r="C817" s="50"/>
      <c r="D817" s="56"/>
      <c r="E817" s="56"/>
      <c r="F817" s="59"/>
      <c r="G817" s="4"/>
      <c r="H817" s="56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50"/>
      <c r="U817" s="50"/>
      <c r="V817" s="4"/>
      <c r="W817" s="4"/>
      <c r="X817" s="4"/>
      <c r="Y817" s="4"/>
      <c r="Z817" s="4"/>
      <c r="AA817" s="4"/>
      <c r="AB817" s="4"/>
      <c r="AC817" s="4"/>
      <c r="AD817" s="4"/>
      <c r="AE817" s="4"/>
    </row>
    <row r="818" spans="1:31" ht="14.4">
      <c r="A818" s="4"/>
      <c r="B818" s="4"/>
      <c r="C818" s="50"/>
      <c r="D818" s="56"/>
      <c r="E818" s="56"/>
      <c r="F818" s="59"/>
      <c r="G818" s="4"/>
      <c r="H818" s="56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50"/>
      <c r="U818" s="50"/>
      <c r="V818" s="4"/>
      <c r="W818" s="4"/>
      <c r="X818" s="4"/>
      <c r="Y818" s="4"/>
      <c r="Z818" s="4"/>
      <c r="AA818" s="4"/>
      <c r="AB818" s="4"/>
      <c r="AC818" s="4"/>
      <c r="AD818" s="4"/>
      <c r="AE818" s="4"/>
    </row>
    <row r="819" spans="1:31" ht="14.4">
      <c r="A819" s="4"/>
      <c r="B819" s="4"/>
      <c r="C819" s="50"/>
      <c r="D819" s="56"/>
      <c r="E819" s="56"/>
      <c r="F819" s="59"/>
      <c r="G819" s="4"/>
      <c r="H819" s="56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50"/>
      <c r="U819" s="50"/>
      <c r="V819" s="4"/>
      <c r="W819" s="4"/>
      <c r="X819" s="4"/>
      <c r="Y819" s="4"/>
      <c r="Z819" s="4"/>
      <c r="AA819" s="4"/>
      <c r="AB819" s="4"/>
      <c r="AC819" s="4"/>
      <c r="AD819" s="4"/>
      <c r="AE819" s="4"/>
    </row>
    <row r="820" spans="1:31" ht="14.4">
      <c r="A820" s="4"/>
      <c r="B820" s="4"/>
      <c r="C820" s="50"/>
      <c r="D820" s="56"/>
      <c r="E820" s="56"/>
      <c r="F820" s="59"/>
      <c r="G820" s="4"/>
      <c r="H820" s="56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50"/>
      <c r="U820" s="50"/>
      <c r="V820" s="4"/>
      <c r="W820" s="4"/>
      <c r="X820" s="4"/>
      <c r="Y820" s="4"/>
      <c r="Z820" s="4"/>
      <c r="AA820" s="4"/>
      <c r="AB820" s="4"/>
      <c r="AC820" s="4"/>
      <c r="AD820" s="4"/>
      <c r="AE820" s="4"/>
    </row>
    <row r="821" spans="1:31" ht="14.4">
      <c r="A821" s="4"/>
      <c r="B821" s="4"/>
      <c r="C821" s="50"/>
      <c r="D821" s="56"/>
      <c r="E821" s="56"/>
      <c r="F821" s="59"/>
      <c r="G821" s="4"/>
      <c r="H821" s="56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50"/>
      <c r="U821" s="50"/>
      <c r="V821" s="4"/>
      <c r="W821" s="4"/>
      <c r="X821" s="4"/>
      <c r="Y821" s="4"/>
      <c r="Z821" s="4"/>
      <c r="AA821" s="4"/>
      <c r="AB821" s="4"/>
      <c r="AC821" s="4"/>
      <c r="AD821" s="4"/>
      <c r="AE821" s="4"/>
    </row>
    <row r="822" spans="1:31" ht="14.4">
      <c r="A822" s="4"/>
      <c r="B822" s="4"/>
      <c r="C822" s="50"/>
      <c r="D822" s="56"/>
      <c r="E822" s="56"/>
      <c r="F822" s="59"/>
      <c r="G822" s="4"/>
      <c r="H822" s="56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50"/>
      <c r="U822" s="50"/>
      <c r="V822" s="4"/>
      <c r="W822" s="4"/>
      <c r="X822" s="4"/>
      <c r="Y822" s="4"/>
      <c r="Z822" s="4"/>
      <c r="AA822" s="4"/>
      <c r="AB822" s="4"/>
      <c r="AC822" s="4"/>
      <c r="AD822" s="4"/>
      <c r="AE822" s="4"/>
    </row>
    <row r="823" spans="1:31" ht="14.4">
      <c r="A823" s="4"/>
      <c r="B823" s="4"/>
      <c r="C823" s="50"/>
      <c r="D823" s="56"/>
      <c r="E823" s="56"/>
      <c r="F823" s="59"/>
      <c r="G823" s="4"/>
      <c r="H823" s="56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50"/>
      <c r="U823" s="50"/>
      <c r="V823" s="4"/>
      <c r="W823" s="4"/>
      <c r="X823" s="4"/>
      <c r="Y823" s="4"/>
      <c r="Z823" s="4"/>
      <c r="AA823" s="4"/>
      <c r="AB823" s="4"/>
      <c r="AC823" s="4"/>
      <c r="AD823" s="4"/>
      <c r="AE823" s="4"/>
    </row>
    <row r="824" spans="1:31" ht="14.4">
      <c r="A824" s="4"/>
      <c r="B824" s="4"/>
      <c r="C824" s="50"/>
      <c r="D824" s="56"/>
      <c r="E824" s="56"/>
      <c r="F824" s="59"/>
      <c r="G824" s="4"/>
      <c r="H824" s="56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50"/>
      <c r="U824" s="50"/>
      <c r="V824" s="4"/>
      <c r="W824" s="4"/>
      <c r="X824" s="4"/>
      <c r="Y824" s="4"/>
      <c r="Z824" s="4"/>
      <c r="AA824" s="4"/>
      <c r="AB824" s="4"/>
      <c r="AC824" s="4"/>
      <c r="AD824" s="4"/>
      <c r="AE824" s="4"/>
    </row>
    <row r="825" spans="1:31" ht="14.4">
      <c r="A825" s="4"/>
      <c r="B825" s="4"/>
      <c r="C825" s="50"/>
      <c r="D825" s="56"/>
      <c r="E825" s="56"/>
      <c r="F825" s="59"/>
      <c r="G825" s="4"/>
      <c r="H825" s="56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50"/>
      <c r="U825" s="50"/>
      <c r="V825" s="4"/>
      <c r="W825" s="4"/>
      <c r="X825" s="4"/>
      <c r="Y825" s="4"/>
      <c r="Z825" s="4"/>
      <c r="AA825" s="4"/>
      <c r="AB825" s="4"/>
      <c r="AC825" s="4"/>
      <c r="AD825" s="4"/>
      <c r="AE825" s="4"/>
    </row>
    <row r="826" spans="1:31" ht="14.4">
      <c r="A826" s="4"/>
      <c r="B826" s="4"/>
      <c r="C826" s="50"/>
      <c r="D826" s="56"/>
      <c r="E826" s="56"/>
      <c r="F826" s="59"/>
      <c r="G826" s="4"/>
      <c r="H826" s="56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50"/>
      <c r="U826" s="50"/>
      <c r="V826" s="4"/>
      <c r="W826" s="4"/>
      <c r="X826" s="4"/>
      <c r="Y826" s="4"/>
      <c r="Z826" s="4"/>
      <c r="AA826" s="4"/>
      <c r="AB826" s="4"/>
      <c r="AC826" s="4"/>
      <c r="AD826" s="4"/>
      <c r="AE826" s="4"/>
    </row>
    <row r="827" spans="1:31" ht="14.4">
      <c r="A827" s="4"/>
      <c r="B827" s="4"/>
      <c r="C827" s="50"/>
      <c r="D827" s="56"/>
      <c r="E827" s="56"/>
      <c r="F827" s="59"/>
      <c r="G827" s="4"/>
      <c r="H827" s="56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50"/>
      <c r="U827" s="50"/>
      <c r="V827" s="4"/>
      <c r="W827" s="4"/>
      <c r="X827" s="4"/>
      <c r="Y827" s="4"/>
      <c r="Z827" s="4"/>
      <c r="AA827" s="4"/>
      <c r="AB827" s="4"/>
      <c r="AC827" s="4"/>
      <c r="AD827" s="4"/>
      <c r="AE827" s="4"/>
    </row>
    <row r="828" spans="1:31" ht="14.4">
      <c r="A828" s="4"/>
      <c r="B828" s="4"/>
      <c r="C828" s="50"/>
      <c r="D828" s="56"/>
      <c r="E828" s="56"/>
      <c r="F828" s="59"/>
      <c r="G828" s="4"/>
      <c r="H828" s="56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50"/>
      <c r="U828" s="50"/>
      <c r="V828" s="4"/>
      <c r="W828" s="4"/>
      <c r="X828" s="4"/>
      <c r="Y828" s="4"/>
      <c r="Z828" s="4"/>
      <c r="AA828" s="4"/>
      <c r="AB828" s="4"/>
      <c r="AC828" s="4"/>
      <c r="AD828" s="4"/>
      <c r="AE828" s="4"/>
    </row>
    <row r="829" spans="1:31" ht="14.4">
      <c r="A829" s="4"/>
      <c r="B829" s="4"/>
      <c r="C829" s="50"/>
      <c r="D829" s="56"/>
      <c r="E829" s="56"/>
      <c r="F829" s="59"/>
      <c r="G829" s="4"/>
      <c r="H829" s="56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50"/>
      <c r="U829" s="50"/>
      <c r="V829" s="4"/>
      <c r="W829" s="4"/>
      <c r="X829" s="4"/>
      <c r="Y829" s="4"/>
      <c r="Z829" s="4"/>
      <c r="AA829" s="4"/>
      <c r="AB829" s="4"/>
      <c r="AC829" s="4"/>
      <c r="AD829" s="4"/>
      <c r="AE829" s="4"/>
    </row>
    <row r="830" spans="1:31" ht="14.4">
      <c r="A830" s="4"/>
      <c r="B830" s="4"/>
      <c r="C830" s="50"/>
      <c r="D830" s="56"/>
      <c r="E830" s="56"/>
      <c r="F830" s="59"/>
      <c r="G830" s="4"/>
      <c r="H830" s="56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50"/>
      <c r="U830" s="50"/>
      <c r="V830" s="4"/>
      <c r="W830" s="4"/>
      <c r="X830" s="4"/>
      <c r="Y830" s="4"/>
      <c r="Z830" s="4"/>
      <c r="AA830" s="4"/>
      <c r="AB830" s="4"/>
      <c r="AC830" s="4"/>
      <c r="AD830" s="4"/>
      <c r="AE830" s="4"/>
    </row>
    <row r="831" spans="1:31" ht="14.4">
      <c r="A831" s="4"/>
      <c r="B831" s="4"/>
      <c r="C831" s="50"/>
      <c r="D831" s="56"/>
      <c r="E831" s="56"/>
      <c r="F831" s="59"/>
      <c r="G831" s="4"/>
      <c r="H831" s="56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50"/>
      <c r="U831" s="50"/>
      <c r="V831" s="4"/>
      <c r="W831" s="4"/>
      <c r="X831" s="4"/>
      <c r="Y831" s="4"/>
      <c r="Z831" s="4"/>
      <c r="AA831" s="4"/>
      <c r="AB831" s="4"/>
      <c r="AC831" s="4"/>
      <c r="AD831" s="4"/>
      <c r="AE831" s="4"/>
    </row>
    <row r="832" spans="1:31" ht="14.4">
      <c r="A832" s="4"/>
      <c r="B832" s="4"/>
      <c r="C832" s="50"/>
      <c r="D832" s="56"/>
      <c r="E832" s="56"/>
      <c r="F832" s="59"/>
      <c r="G832" s="4"/>
      <c r="H832" s="56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50"/>
      <c r="U832" s="50"/>
      <c r="V832" s="4"/>
      <c r="W832" s="4"/>
      <c r="X832" s="4"/>
      <c r="Y832" s="4"/>
      <c r="Z832" s="4"/>
      <c r="AA832" s="4"/>
      <c r="AB832" s="4"/>
      <c r="AC832" s="4"/>
      <c r="AD832" s="4"/>
      <c r="AE832" s="4"/>
    </row>
    <row r="833" spans="1:31" ht="14.4">
      <c r="A833" s="4"/>
      <c r="B833" s="4"/>
      <c r="C833" s="50"/>
      <c r="D833" s="56"/>
      <c r="E833" s="56"/>
      <c r="F833" s="59"/>
      <c r="G833" s="4"/>
      <c r="H833" s="56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50"/>
      <c r="U833" s="50"/>
      <c r="V833" s="4"/>
      <c r="W833" s="4"/>
      <c r="X833" s="4"/>
      <c r="Y833" s="4"/>
      <c r="Z833" s="4"/>
      <c r="AA833" s="4"/>
      <c r="AB833" s="4"/>
      <c r="AC833" s="4"/>
      <c r="AD833" s="4"/>
      <c r="AE833" s="4"/>
    </row>
    <row r="834" spans="1:31" ht="14.4">
      <c r="A834" s="4"/>
      <c r="B834" s="4"/>
      <c r="C834" s="50"/>
      <c r="D834" s="56"/>
      <c r="E834" s="56"/>
      <c r="F834" s="59"/>
      <c r="G834" s="4"/>
      <c r="H834" s="56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50"/>
      <c r="U834" s="50"/>
      <c r="V834" s="4"/>
      <c r="W834" s="4"/>
      <c r="X834" s="4"/>
      <c r="Y834" s="4"/>
      <c r="Z834" s="4"/>
      <c r="AA834" s="4"/>
      <c r="AB834" s="4"/>
      <c r="AC834" s="4"/>
      <c r="AD834" s="4"/>
      <c r="AE834" s="4"/>
    </row>
    <row r="835" spans="1:31" ht="14.4">
      <c r="A835" s="4"/>
      <c r="B835" s="4"/>
      <c r="C835" s="50"/>
      <c r="D835" s="56"/>
      <c r="E835" s="56"/>
      <c r="F835" s="59"/>
      <c r="G835" s="4"/>
      <c r="H835" s="56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50"/>
      <c r="U835" s="50"/>
      <c r="V835" s="4"/>
      <c r="W835" s="4"/>
      <c r="X835" s="4"/>
      <c r="Y835" s="4"/>
      <c r="Z835" s="4"/>
      <c r="AA835" s="4"/>
      <c r="AB835" s="4"/>
      <c r="AC835" s="4"/>
      <c r="AD835" s="4"/>
      <c r="AE835" s="4"/>
    </row>
    <row r="836" spans="1:31" ht="14.4">
      <c r="A836" s="4"/>
      <c r="B836" s="4"/>
      <c r="C836" s="50"/>
      <c r="D836" s="56"/>
      <c r="E836" s="56"/>
      <c r="F836" s="59"/>
      <c r="G836" s="4"/>
      <c r="H836" s="56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50"/>
      <c r="U836" s="50"/>
      <c r="V836" s="4"/>
      <c r="W836" s="4"/>
      <c r="X836" s="4"/>
      <c r="Y836" s="4"/>
      <c r="Z836" s="4"/>
      <c r="AA836" s="4"/>
      <c r="AB836" s="4"/>
      <c r="AC836" s="4"/>
      <c r="AD836" s="4"/>
      <c r="AE836" s="4"/>
    </row>
    <row r="837" spans="1:31" ht="14.4">
      <c r="A837" s="4"/>
      <c r="B837" s="4"/>
      <c r="C837" s="50"/>
      <c r="D837" s="56"/>
      <c r="E837" s="56"/>
      <c r="F837" s="59"/>
      <c r="G837" s="4"/>
      <c r="H837" s="56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50"/>
      <c r="U837" s="50"/>
      <c r="V837" s="4"/>
      <c r="W837" s="4"/>
      <c r="X837" s="4"/>
      <c r="Y837" s="4"/>
      <c r="Z837" s="4"/>
      <c r="AA837" s="4"/>
      <c r="AB837" s="4"/>
      <c r="AC837" s="4"/>
      <c r="AD837" s="4"/>
      <c r="AE837" s="4"/>
    </row>
    <row r="838" spans="1:31" ht="14.4">
      <c r="A838" s="4"/>
      <c r="B838" s="4"/>
      <c r="C838" s="50"/>
      <c r="D838" s="56"/>
      <c r="E838" s="56"/>
      <c r="F838" s="59"/>
      <c r="G838" s="4"/>
      <c r="H838" s="56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50"/>
      <c r="U838" s="50"/>
      <c r="V838" s="4"/>
      <c r="W838" s="4"/>
      <c r="X838" s="4"/>
      <c r="Y838" s="4"/>
      <c r="Z838" s="4"/>
      <c r="AA838" s="4"/>
      <c r="AB838" s="4"/>
      <c r="AC838" s="4"/>
      <c r="AD838" s="4"/>
      <c r="AE838" s="4"/>
    </row>
    <row r="839" spans="1:31" ht="14.4">
      <c r="A839" s="4"/>
      <c r="B839" s="4"/>
      <c r="C839" s="50"/>
      <c r="D839" s="56"/>
      <c r="E839" s="56"/>
      <c r="F839" s="59"/>
      <c r="G839" s="4"/>
      <c r="H839" s="56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50"/>
      <c r="U839" s="50"/>
      <c r="V839" s="4"/>
      <c r="W839" s="4"/>
      <c r="X839" s="4"/>
      <c r="Y839" s="4"/>
      <c r="Z839" s="4"/>
      <c r="AA839" s="4"/>
      <c r="AB839" s="4"/>
      <c r="AC839" s="4"/>
      <c r="AD839" s="4"/>
      <c r="AE839" s="4"/>
    </row>
    <row r="840" spans="1:31" ht="14.4">
      <c r="A840" s="4"/>
      <c r="B840" s="4"/>
      <c r="C840" s="50"/>
      <c r="D840" s="56"/>
      <c r="E840" s="56"/>
      <c r="F840" s="59"/>
      <c r="G840" s="4"/>
      <c r="H840" s="56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50"/>
      <c r="U840" s="50"/>
      <c r="V840" s="4"/>
      <c r="W840" s="4"/>
      <c r="X840" s="4"/>
      <c r="Y840" s="4"/>
      <c r="Z840" s="4"/>
      <c r="AA840" s="4"/>
      <c r="AB840" s="4"/>
      <c r="AC840" s="4"/>
      <c r="AD840" s="4"/>
      <c r="AE840" s="4"/>
    </row>
    <row r="841" spans="1:31" ht="14.4">
      <c r="A841" s="4"/>
      <c r="B841" s="4"/>
      <c r="C841" s="50"/>
      <c r="D841" s="56"/>
      <c r="E841" s="56"/>
      <c r="F841" s="59"/>
      <c r="G841" s="4"/>
      <c r="H841" s="56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50"/>
      <c r="U841" s="50"/>
      <c r="V841" s="4"/>
      <c r="W841" s="4"/>
      <c r="X841" s="4"/>
      <c r="Y841" s="4"/>
      <c r="Z841" s="4"/>
      <c r="AA841" s="4"/>
      <c r="AB841" s="4"/>
      <c r="AC841" s="4"/>
      <c r="AD841" s="4"/>
      <c r="AE841" s="4"/>
    </row>
    <row r="842" spans="1:31" ht="14.4">
      <c r="A842" s="4"/>
      <c r="B842" s="4"/>
      <c r="C842" s="50"/>
      <c r="D842" s="56"/>
      <c r="E842" s="56"/>
      <c r="F842" s="59"/>
      <c r="G842" s="4"/>
      <c r="H842" s="56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50"/>
      <c r="U842" s="50"/>
      <c r="V842" s="4"/>
      <c r="W842" s="4"/>
      <c r="X842" s="4"/>
      <c r="Y842" s="4"/>
      <c r="Z842" s="4"/>
      <c r="AA842" s="4"/>
      <c r="AB842" s="4"/>
      <c r="AC842" s="4"/>
      <c r="AD842" s="4"/>
      <c r="AE842" s="4"/>
    </row>
    <row r="843" spans="1:31" ht="14.4">
      <c r="A843" s="4"/>
      <c r="B843" s="4"/>
      <c r="C843" s="50"/>
      <c r="D843" s="56"/>
      <c r="E843" s="56"/>
      <c r="F843" s="59"/>
      <c r="G843" s="4"/>
      <c r="H843" s="56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50"/>
      <c r="U843" s="50"/>
      <c r="V843" s="4"/>
      <c r="W843" s="4"/>
      <c r="X843" s="4"/>
      <c r="Y843" s="4"/>
      <c r="Z843" s="4"/>
      <c r="AA843" s="4"/>
      <c r="AB843" s="4"/>
      <c r="AC843" s="4"/>
      <c r="AD843" s="4"/>
      <c r="AE843" s="4"/>
    </row>
    <row r="844" spans="1:31" ht="14.4">
      <c r="A844" s="4"/>
      <c r="B844" s="4"/>
      <c r="C844" s="50"/>
      <c r="D844" s="56"/>
      <c r="E844" s="56"/>
      <c r="F844" s="59"/>
      <c r="G844" s="4"/>
      <c r="H844" s="56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50"/>
      <c r="U844" s="50"/>
      <c r="V844" s="4"/>
      <c r="W844" s="4"/>
      <c r="X844" s="4"/>
      <c r="Y844" s="4"/>
      <c r="Z844" s="4"/>
      <c r="AA844" s="4"/>
      <c r="AB844" s="4"/>
      <c r="AC844" s="4"/>
      <c r="AD844" s="4"/>
      <c r="AE844" s="4"/>
    </row>
    <row r="845" spans="1:31" ht="14.4">
      <c r="A845" s="4"/>
      <c r="B845" s="4"/>
      <c r="C845" s="50"/>
      <c r="D845" s="56"/>
      <c r="E845" s="56"/>
      <c r="F845" s="59"/>
      <c r="G845" s="4"/>
      <c r="H845" s="56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50"/>
      <c r="U845" s="50"/>
      <c r="V845" s="4"/>
      <c r="W845" s="4"/>
      <c r="X845" s="4"/>
      <c r="Y845" s="4"/>
      <c r="Z845" s="4"/>
      <c r="AA845" s="4"/>
      <c r="AB845" s="4"/>
      <c r="AC845" s="4"/>
      <c r="AD845" s="4"/>
      <c r="AE845" s="4"/>
    </row>
    <row r="846" spans="1:31" ht="14.4">
      <c r="A846" s="4"/>
      <c r="B846" s="4"/>
      <c r="C846" s="50"/>
      <c r="D846" s="56"/>
      <c r="E846" s="56"/>
      <c r="F846" s="59"/>
      <c r="G846" s="4"/>
      <c r="H846" s="56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50"/>
      <c r="U846" s="50"/>
      <c r="V846" s="4"/>
      <c r="W846" s="4"/>
      <c r="X846" s="4"/>
      <c r="Y846" s="4"/>
      <c r="Z846" s="4"/>
      <c r="AA846" s="4"/>
      <c r="AB846" s="4"/>
      <c r="AC846" s="4"/>
      <c r="AD846" s="4"/>
      <c r="AE846" s="4"/>
    </row>
    <row r="847" spans="1:31" ht="14.4">
      <c r="A847" s="4"/>
      <c r="B847" s="4"/>
      <c r="C847" s="50"/>
      <c r="D847" s="56"/>
      <c r="E847" s="56"/>
      <c r="F847" s="59"/>
      <c r="G847" s="4"/>
      <c r="H847" s="56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50"/>
      <c r="U847" s="50"/>
      <c r="V847" s="4"/>
      <c r="W847" s="4"/>
      <c r="X847" s="4"/>
      <c r="Y847" s="4"/>
      <c r="Z847" s="4"/>
      <c r="AA847" s="4"/>
      <c r="AB847" s="4"/>
      <c r="AC847" s="4"/>
      <c r="AD847" s="4"/>
      <c r="AE847" s="4"/>
    </row>
    <row r="848" spans="1:31" ht="14.4">
      <c r="A848" s="4"/>
      <c r="B848" s="4"/>
      <c r="C848" s="50"/>
      <c r="D848" s="56"/>
      <c r="E848" s="56"/>
      <c r="F848" s="59"/>
      <c r="G848" s="4"/>
      <c r="H848" s="56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50"/>
      <c r="U848" s="50"/>
      <c r="V848" s="4"/>
      <c r="W848" s="4"/>
      <c r="X848" s="4"/>
      <c r="Y848" s="4"/>
      <c r="Z848" s="4"/>
      <c r="AA848" s="4"/>
      <c r="AB848" s="4"/>
      <c r="AC848" s="4"/>
      <c r="AD848" s="4"/>
      <c r="AE848" s="4"/>
    </row>
    <row r="849" spans="1:31" ht="14.4">
      <c r="A849" s="4"/>
      <c r="B849" s="4"/>
      <c r="C849" s="50"/>
      <c r="D849" s="56"/>
      <c r="E849" s="56"/>
      <c r="F849" s="59"/>
      <c r="G849" s="4"/>
      <c r="H849" s="56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50"/>
      <c r="U849" s="50"/>
      <c r="V849" s="4"/>
      <c r="W849" s="4"/>
      <c r="X849" s="4"/>
      <c r="Y849" s="4"/>
      <c r="Z849" s="4"/>
      <c r="AA849" s="4"/>
      <c r="AB849" s="4"/>
      <c r="AC849" s="4"/>
      <c r="AD849" s="4"/>
      <c r="AE849" s="4"/>
    </row>
    <row r="850" spans="1:31" ht="14.4">
      <c r="A850" s="4"/>
      <c r="B850" s="4"/>
      <c r="C850" s="50"/>
      <c r="D850" s="56"/>
      <c r="E850" s="56"/>
      <c r="F850" s="59"/>
      <c r="G850" s="4"/>
      <c r="H850" s="56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50"/>
      <c r="U850" s="50"/>
      <c r="V850" s="4"/>
      <c r="W850" s="4"/>
      <c r="X850" s="4"/>
      <c r="Y850" s="4"/>
      <c r="Z850" s="4"/>
      <c r="AA850" s="4"/>
      <c r="AB850" s="4"/>
      <c r="AC850" s="4"/>
      <c r="AD850" s="4"/>
      <c r="AE850" s="4"/>
    </row>
    <row r="851" spans="1:31" ht="14.4">
      <c r="A851" s="4"/>
      <c r="B851" s="4"/>
      <c r="C851" s="50"/>
      <c r="D851" s="56"/>
      <c r="E851" s="56"/>
      <c r="F851" s="59"/>
      <c r="G851" s="4"/>
      <c r="H851" s="56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50"/>
      <c r="U851" s="50"/>
      <c r="V851" s="4"/>
      <c r="W851" s="4"/>
      <c r="X851" s="4"/>
      <c r="Y851" s="4"/>
      <c r="Z851" s="4"/>
      <c r="AA851" s="4"/>
      <c r="AB851" s="4"/>
      <c r="AC851" s="4"/>
      <c r="AD851" s="4"/>
      <c r="AE851" s="4"/>
    </row>
    <row r="852" spans="1:31" ht="14.4">
      <c r="A852" s="4"/>
      <c r="B852" s="4"/>
      <c r="C852" s="50"/>
      <c r="D852" s="56"/>
      <c r="E852" s="56"/>
      <c r="F852" s="59"/>
      <c r="G852" s="4"/>
      <c r="H852" s="56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50"/>
      <c r="U852" s="50"/>
      <c r="V852" s="4"/>
      <c r="W852" s="4"/>
      <c r="X852" s="4"/>
      <c r="Y852" s="4"/>
      <c r="Z852" s="4"/>
      <c r="AA852" s="4"/>
      <c r="AB852" s="4"/>
      <c r="AC852" s="4"/>
      <c r="AD852" s="4"/>
      <c r="AE852" s="4"/>
    </row>
    <row r="853" spans="1:31" ht="14.4">
      <c r="A853" s="4"/>
      <c r="B853" s="4"/>
      <c r="C853" s="50"/>
      <c r="D853" s="56"/>
      <c r="E853" s="56"/>
      <c r="F853" s="59"/>
      <c r="G853" s="4"/>
      <c r="H853" s="56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50"/>
      <c r="U853" s="50"/>
      <c r="V853" s="4"/>
      <c r="W853" s="4"/>
      <c r="X853" s="4"/>
      <c r="Y853" s="4"/>
      <c r="Z853" s="4"/>
      <c r="AA853" s="4"/>
      <c r="AB853" s="4"/>
      <c r="AC853" s="4"/>
      <c r="AD853" s="4"/>
      <c r="AE853" s="4"/>
    </row>
    <row r="854" spans="1:31" ht="14.4">
      <c r="A854" s="4"/>
      <c r="B854" s="4"/>
      <c r="C854" s="50"/>
      <c r="D854" s="56"/>
      <c r="E854" s="56"/>
      <c r="F854" s="59"/>
      <c r="G854" s="4"/>
      <c r="H854" s="56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50"/>
      <c r="U854" s="50"/>
      <c r="V854" s="4"/>
      <c r="W854" s="4"/>
      <c r="X854" s="4"/>
      <c r="Y854" s="4"/>
      <c r="Z854" s="4"/>
      <c r="AA854" s="4"/>
      <c r="AB854" s="4"/>
      <c r="AC854" s="4"/>
      <c r="AD854" s="4"/>
      <c r="AE854" s="4"/>
    </row>
    <row r="855" spans="1:31" ht="14.4">
      <c r="A855" s="4"/>
      <c r="B855" s="4"/>
      <c r="C855" s="50"/>
      <c r="D855" s="56"/>
      <c r="E855" s="56"/>
      <c r="F855" s="59"/>
      <c r="G855" s="4"/>
      <c r="H855" s="56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50"/>
      <c r="U855" s="50"/>
      <c r="V855" s="4"/>
      <c r="W855" s="4"/>
      <c r="X855" s="4"/>
      <c r="Y855" s="4"/>
      <c r="Z855" s="4"/>
      <c r="AA855" s="4"/>
      <c r="AB855" s="4"/>
      <c r="AC855" s="4"/>
      <c r="AD855" s="4"/>
      <c r="AE855" s="4"/>
    </row>
    <row r="856" spans="1:31" ht="14.4">
      <c r="A856" s="4"/>
      <c r="B856" s="4"/>
      <c r="C856" s="50"/>
      <c r="D856" s="56"/>
      <c r="E856" s="56"/>
      <c r="F856" s="59"/>
      <c r="G856" s="4"/>
      <c r="H856" s="56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50"/>
      <c r="U856" s="50"/>
      <c r="V856" s="4"/>
      <c r="W856" s="4"/>
      <c r="X856" s="4"/>
      <c r="Y856" s="4"/>
      <c r="Z856" s="4"/>
      <c r="AA856" s="4"/>
      <c r="AB856" s="4"/>
      <c r="AC856" s="4"/>
      <c r="AD856" s="4"/>
      <c r="AE856" s="4"/>
    </row>
    <row r="857" spans="1:31" ht="14.4">
      <c r="A857" s="4"/>
      <c r="B857" s="4"/>
      <c r="C857" s="50"/>
      <c r="D857" s="56"/>
      <c r="E857" s="56"/>
      <c r="F857" s="59"/>
      <c r="G857" s="4"/>
      <c r="H857" s="56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50"/>
      <c r="U857" s="50"/>
      <c r="V857" s="4"/>
      <c r="W857" s="4"/>
      <c r="X857" s="4"/>
      <c r="Y857" s="4"/>
      <c r="Z857" s="4"/>
      <c r="AA857" s="4"/>
      <c r="AB857" s="4"/>
      <c r="AC857" s="4"/>
      <c r="AD857" s="4"/>
      <c r="AE857" s="4"/>
    </row>
    <row r="858" spans="1:31" ht="14.4">
      <c r="A858" s="4"/>
      <c r="B858" s="4"/>
      <c r="C858" s="50"/>
      <c r="D858" s="56"/>
      <c r="E858" s="56"/>
      <c r="F858" s="59"/>
      <c r="G858" s="4"/>
      <c r="H858" s="56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50"/>
      <c r="U858" s="50"/>
      <c r="V858" s="4"/>
      <c r="W858" s="4"/>
      <c r="X858" s="4"/>
      <c r="Y858" s="4"/>
      <c r="Z858" s="4"/>
      <c r="AA858" s="4"/>
      <c r="AB858" s="4"/>
      <c r="AC858" s="4"/>
      <c r="AD858" s="4"/>
      <c r="AE858" s="4"/>
    </row>
    <row r="859" spans="1:31" ht="14.4">
      <c r="A859" s="4"/>
      <c r="B859" s="4"/>
      <c r="C859" s="50"/>
      <c r="D859" s="56"/>
      <c r="E859" s="56"/>
      <c r="F859" s="59"/>
      <c r="G859" s="4"/>
      <c r="H859" s="56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50"/>
      <c r="U859" s="50"/>
      <c r="V859" s="4"/>
      <c r="W859" s="4"/>
      <c r="X859" s="4"/>
      <c r="Y859" s="4"/>
      <c r="Z859" s="4"/>
      <c r="AA859" s="4"/>
      <c r="AB859" s="4"/>
      <c r="AC859" s="4"/>
      <c r="AD859" s="4"/>
      <c r="AE859" s="4"/>
    </row>
    <row r="860" spans="1:31" ht="14.4">
      <c r="A860" s="4"/>
      <c r="B860" s="4"/>
      <c r="C860" s="50"/>
      <c r="D860" s="56"/>
      <c r="E860" s="56"/>
      <c r="F860" s="59"/>
      <c r="G860" s="4"/>
      <c r="H860" s="56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50"/>
      <c r="U860" s="50"/>
      <c r="V860" s="4"/>
      <c r="W860" s="4"/>
      <c r="X860" s="4"/>
      <c r="Y860" s="4"/>
      <c r="Z860" s="4"/>
      <c r="AA860" s="4"/>
      <c r="AB860" s="4"/>
      <c r="AC860" s="4"/>
      <c r="AD860" s="4"/>
      <c r="AE860" s="4"/>
    </row>
    <row r="861" spans="1:31" ht="14.4">
      <c r="A861" s="4"/>
      <c r="B861" s="4"/>
      <c r="C861" s="50"/>
      <c r="D861" s="56"/>
      <c r="E861" s="56"/>
      <c r="F861" s="59"/>
      <c r="G861" s="4"/>
      <c r="H861" s="56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50"/>
      <c r="U861" s="50"/>
      <c r="V861" s="4"/>
      <c r="W861" s="4"/>
      <c r="X861" s="4"/>
      <c r="Y861" s="4"/>
      <c r="Z861" s="4"/>
      <c r="AA861" s="4"/>
      <c r="AB861" s="4"/>
      <c r="AC861" s="4"/>
      <c r="AD861" s="4"/>
      <c r="AE861" s="4"/>
    </row>
    <row r="862" spans="1:31" ht="14.4">
      <c r="A862" s="4"/>
      <c r="B862" s="4"/>
      <c r="C862" s="50"/>
      <c r="D862" s="56"/>
      <c r="E862" s="56"/>
      <c r="F862" s="59"/>
      <c r="G862" s="4"/>
      <c r="H862" s="56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50"/>
      <c r="U862" s="50"/>
      <c r="V862" s="4"/>
      <c r="W862" s="4"/>
      <c r="X862" s="4"/>
      <c r="Y862" s="4"/>
      <c r="Z862" s="4"/>
      <c r="AA862" s="4"/>
      <c r="AB862" s="4"/>
      <c r="AC862" s="4"/>
      <c r="AD862" s="4"/>
      <c r="AE862" s="4"/>
    </row>
    <row r="863" spans="1:31" ht="14.4">
      <c r="A863" s="4"/>
      <c r="B863" s="4"/>
      <c r="C863" s="50"/>
      <c r="D863" s="56"/>
      <c r="E863" s="56"/>
      <c r="F863" s="59"/>
      <c r="G863" s="4"/>
      <c r="H863" s="56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50"/>
      <c r="U863" s="50"/>
      <c r="V863" s="4"/>
      <c r="W863" s="4"/>
      <c r="X863" s="4"/>
      <c r="Y863" s="4"/>
      <c r="Z863" s="4"/>
      <c r="AA863" s="4"/>
      <c r="AB863" s="4"/>
      <c r="AC863" s="4"/>
      <c r="AD863" s="4"/>
      <c r="AE863" s="4"/>
    </row>
    <row r="864" spans="1:31" ht="14.4">
      <c r="A864" s="4"/>
      <c r="B864" s="4"/>
      <c r="C864" s="50"/>
      <c r="D864" s="56"/>
      <c r="E864" s="56"/>
      <c r="F864" s="59"/>
      <c r="G864" s="4"/>
      <c r="H864" s="56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50"/>
      <c r="U864" s="50"/>
      <c r="V864" s="4"/>
      <c r="W864" s="4"/>
      <c r="X864" s="4"/>
      <c r="Y864" s="4"/>
      <c r="Z864" s="4"/>
      <c r="AA864" s="4"/>
      <c r="AB864" s="4"/>
      <c r="AC864" s="4"/>
      <c r="AD864" s="4"/>
      <c r="AE864" s="4"/>
    </row>
    <row r="865" spans="1:31" ht="14.4">
      <c r="A865" s="4"/>
      <c r="B865" s="4"/>
      <c r="C865" s="50"/>
      <c r="D865" s="56"/>
      <c r="E865" s="56"/>
      <c r="F865" s="59"/>
      <c r="G865" s="4"/>
      <c r="H865" s="56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50"/>
      <c r="U865" s="50"/>
      <c r="V865" s="4"/>
      <c r="W865" s="4"/>
      <c r="X865" s="4"/>
      <c r="Y865" s="4"/>
      <c r="Z865" s="4"/>
      <c r="AA865" s="4"/>
      <c r="AB865" s="4"/>
      <c r="AC865" s="4"/>
      <c r="AD865" s="4"/>
      <c r="AE865" s="4"/>
    </row>
    <row r="866" spans="1:31" ht="14.4">
      <c r="A866" s="4"/>
      <c r="B866" s="4"/>
      <c r="C866" s="50"/>
      <c r="D866" s="56"/>
      <c r="E866" s="56"/>
      <c r="F866" s="59"/>
      <c r="G866" s="4"/>
      <c r="H866" s="56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50"/>
      <c r="U866" s="50"/>
      <c r="V866" s="4"/>
      <c r="W866" s="4"/>
      <c r="X866" s="4"/>
      <c r="Y866" s="4"/>
      <c r="Z866" s="4"/>
      <c r="AA866" s="4"/>
      <c r="AB866" s="4"/>
      <c r="AC866" s="4"/>
      <c r="AD866" s="4"/>
      <c r="AE866" s="4"/>
    </row>
    <row r="867" spans="1:31" ht="14.4">
      <c r="A867" s="4"/>
      <c r="B867" s="4"/>
      <c r="C867" s="50"/>
      <c r="D867" s="56"/>
      <c r="E867" s="56"/>
      <c r="F867" s="59"/>
      <c r="G867" s="4"/>
      <c r="H867" s="56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50"/>
      <c r="U867" s="50"/>
      <c r="V867" s="4"/>
      <c r="W867" s="4"/>
      <c r="X867" s="4"/>
      <c r="Y867" s="4"/>
      <c r="Z867" s="4"/>
      <c r="AA867" s="4"/>
      <c r="AB867" s="4"/>
      <c r="AC867" s="4"/>
      <c r="AD867" s="4"/>
      <c r="AE867" s="4"/>
    </row>
    <row r="868" spans="1:31" ht="14.4">
      <c r="A868" s="4"/>
      <c r="B868" s="4"/>
      <c r="C868" s="50"/>
      <c r="D868" s="56"/>
      <c r="E868" s="56"/>
      <c r="F868" s="59"/>
      <c r="G868" s="4"/>
      <c r="H868" s="56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50"/>
      <c r="U868" s="50"/>
      <c r="V868" s="4"/>
      <c r="W868" s="4"/>
      <c r="X868" s="4"/>
      <c r="Y868" s="4"/>
      <c r="Z868" s="4"/>
      <c r="AA868" s="4"/>
      <c r="AB868" s="4"/>
      <c r="AC868" s="4"/>
      <c r="AD868" s="4"/>
      <c r="AE868" s="4"/>
    </row>
    <row r="869" spans="1:31" ht="14.4">
      <c r="A869" s="4"/>
      <c r="B869" s="4"/>
      <c r="C869" s="50"/>
      <c r="D869" s="56"/>
      <c r="E869" s="56"/>
      <c r="F869" s="59"/>
      <c r="G869" s="4"/>
      <c r="H869" s="56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50"/>
      <c r="U869" s="50"/>
      <c r="V869" s="4"/>
      <c r="W869" s="4"/>
      <c r="X869" s="4"/>
      <c r="Y869" s="4"/>
      <c r="Z869" s="4"/>
      <c r="AA869" s="4"/>
      <c r="AB869" s="4"/>
      <c r="AC869" s="4"/>
      <c r="AD869" s="4"/>
      <c r="AE869" s="4"/>
    </row>
    <row r="870" spans="1:31" ht="14.4">
      <c r="A870" s="4"/>
      <c r="B870" s="4"/>
      <c r="C870" s="50"/>
      <c r="D870" s="56"/>
      <c r="E870" s="56"/>
      <c r="F870" s="59"/>
      <c r="G870" s="4"/>
      <c r="H870" s="56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50"/>
      <c r="U870" s="50"/>
      <c r="V870" s="4"/>
      <c r="W870" s="4"/>
      <c r="X870" s="4"/>
      <c r="Y870" s="4"/>
      <c r="Z870" s="4"/>
      <c r="AA870" s="4"/>
      <c r="AB870" s="4"/>
      <c r="AC870" s="4"/>
      <c r="AD870" s="4"/>
      <c r="AE870" s="4"/>
    </row>
    <row r="871" spans="1:31" ht="14.4">
      <c r="A871" s="4"/>
      <c r="B871" s="4"/>
      <c r="C871" s="50"/>
      <c r="D871" s="56"/>
      <c r="E871" s="56"/>
      <c r="F871" s="59"/>
      <c r="G871" s="4"/>
      <c r="H871" s="56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50"/>
      <c r="U871" s="50"/>
      <c r="V871" s="4"/>
      <c r="W871" s="4"/>
      <c r="X871" s="4"/>
      <c r="Y871" s="4"/>
      <c r="Z871" s="4"/>
      <c r="AA871" s="4"/>
      <c r="AB871" s="4"/>
      <c r="AC871" s="4"/>
      <c r="AD871" s="4"/>
      <c r="AE871" s="4"/>
    </row>
    <row r="872" spans="1:31" ht="14.4">
      <c r="A872" s="4"/>
      <c r="B872" s="4"/>
      <c r="C872" s="50"/>
      <c r="D872" s="56"/>
      <c r="E872" s="56"/>
      <c r="F872" s="59"/>
      <c r="G872" s="4"/>
      <c r="H872" s="56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50"/>
      <c r="U872" s="50"/>
      <c r="V872" s="4"/>
      <c r="W872" s="4"/>
      <c r="X872" s="4"/>
      <c r="Y872" s="4"/>
      <c r="Z872" s="4"/>
      <c r="AA872" s="4"/>
      <c r="AB872" s="4"/>
      <c r="AC872" s="4"/>
      <c r="AD872" s="4"/>
      <c r="AE872" s="4"/>
    </row>
    <row r="873" spans="1:31" ht="14.4">
      <c r="A873" s="4"/>
      <c r="B873" s="4"/>
      <c r="C873" s="50"/>
      <c r="D873" s="56"/>
      <c r="E873" s="56"/>
      <c r="F873" s="59"/>
      <c r="G873" s="4"/>
      <c r="H873" s="56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50"/>
      <c r="U873" s="50"/>
      <c r="V873" s="4"/>
      <c r="W873" s="4"/>
      <c r="X873" s="4"/>
      <c r="Y873" s="4"/>
      <c r="Z873" s="4"/>
      <c r="AA873" s="4"/>
      <c r="AB873" s="4"/>
      <c r="AC873" s="4"/>
      <c r="AD873" s="4"/>
      <c r="AE873" s="4"/>
    </row>
    <row r="874" spans="1:31" ht="14.4">
      <c r="A874" s="4"/>
      <c r="B874" s="4"/>
      <c r="C874" s="50"/>
      <c r="D874" s="56"/>
      <c r="E874" s="56"/>
      <c r="F874" s="59"/>
      <c r="G874" s="4"/>
      <c r="H874" s="56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50"/>
      <c r="U874" s="50"/>
      <c r="V874" s="4"/>
      <c r="W874" s="4"/>
      <c r="X874" s="4"/>
      <c r="Y874" s="4"/>
      <c r="Z874" s="4"/>
      <c r="AA874" s="4"/>
      <c r="AB874" s="4"/>
      <c r="AC874" s="4"/>
      <c r="AD874" s="4"/>
      <c r="AE874" s="4"/>
    </row>
    <row r="875" spans="1:31" ht="14.4">
      <c r="A875" s="4"/>
      <c r="B875" s="4"/>
      <c r="C875" s="50"/>
      <c r="D875" s="56"/>
      <c r="E875" s="56"/>
      <c r="F875" s="59"/>
      <c r="G875" s="4"/>
      <c r="H875" s="56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50"/>
      <c r="U875" s="50"/>
      <c r="V875" s="4"/>
      <c r="W875" s="4"/>
      <c r="X875" s="4"/>
      <c r="Y875" s="4"/>
      <c r="Z875" s="4"/>
      <c r="AA875" s="4"/>
      <c r="AB875" s="4"/>
      <c r="AC875" s="4"/>
      <c r="AD875" s="4"/>
      <c r="AE875" s="4"/>
    </row>
    <row r="876" spans="1:31" ht="14.4">
      <c r="A876" s="4"/>
      <c r="B876" s="4"/>
      <c r="C876" s="50"/>
      <c r="D876" s="56"/>
      <c r="E876" s="56"/>
      <c r="F876" s="59"/>
      <c r="G876" s="4"/>
      <c r="H876" s="56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50"/>
      <c r="U876" s="50"/>
      <c r="V876" s="4"/>
      <c r="W876" s="4"/>
      <c r="X876" s="4"/>
      <c r="Y876" s="4"/>
      <c r="Z876" s="4"/>
      <c r="AA876" s="4"/>
      <c r="AB876" s="4"/>
      <c r="AC876" s="4"/>
      <c r="AD876" s="4"/>
      <c r="AE876" s="4"/>
    </row>
    <row r="877" spans="1:31" ht="14.4">
      <c r="A877" s="4"/>
      <c r="B877" s="4"/>
      <c r="C877" s="50"/>
      <c r="D877" s="56"/>
      <c r="E877" s="56"/>
      <c r="F877" s="59"/>
      <c r="G877" s="4"/>
      <c r="H877" s="56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50"/>
      <c r="U877" s="50"/>
      <c r="V877" s="4"/>
      <c r="W877" s="4"/>
      <c r="X877" s="4"/>
      <c r="Y877" s="4"/>
      <c r="Z877" s="4"/>
      <c r="AA877" s="4"/>
      <c r="AB877" s="4"/>
      <c r="AC877" s="4"/>
      <c r="AD877" s="4"/>
      <c r="AE877" s="4"/>
    </row>
    <row r="878" spans="1:31" ht="14.4">
      <c r="A878" s="4"/>
      <c r="B878" s="4"/>
      <c r="C878" s="50"/>
      <c r="D878" s="56"/>
      <c r="E878" s="56"/>
      <c r="F878" s="59"/>
      <c r="G878" s="4"/>
      <c r="H878" s="56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50"/>
      <c r="U878" s="50"/>
      <c r="V878" s="4"/>
      <c r="W878" s="4"/>
      <c r="X878" s="4"/>
      <c r="Y878" s="4"/>
      <c r="Z878" s="4"/>
      <c r="AA878" s="4"/>
      <c r="AB878" s="4"/>
      <c r="AC878" s="4"/>
      <c r="AD878" s="4"/>
      <c r="AE878" s="4"/>
    </row>
    <row r="879" spans="1:31" ht="14.4">
      <c r="A879" s="4"/>
      <c r="B879" s="4"/>
      <c r="C879" s="50"/>
      <c r="D879" s="56"/>
      <c r="E879" s="56"/>
      <c r="F879" s="59"/>
      <c r="G879" s="4"/>
      <c r="H879" s="56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50"/>
      <c r="U879" s="50"/>
      <c r="V879" s="4"/>
      <c r="W879" s="4"/>
      <c r="X879" s="4"/>
      <c r="Y879" s="4"/>
      <c r="Z879" s="4"/>
      <c r="AA879" s="4"/>
      <c r="AB879" s="4"/>
      <c r="AC879" s="4"/>
      <c r="AD879" s="4"/>
      <c r="AE879" s="4"/>
    </row>
    <row r="880" spans="1:31" ht="14.4">
      <c r="A880" s="4"/>
      <c r="B880" s="4"/>
      <c r="C880" s="50"/>
      <c r="D880" s="56"/>
      <c r="E880" s="56"/>
      <c r="F880" s="59"/>
      <c r="G880" s="4"/>
      <c r="H880" s="56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50"/>
      <c r="U880" s="50"/>
      <c r="V880" s="4"/>
      <c r="W880" s="4"/>
      <c r="X880" s="4"/>
      <c r="Y880" s="4"/>
      <c r="Z880" s="4"/>
      <c r="AA880" s="4"/>
      <c r="AB880" s="4"/>
      <c r="AC880" s="4"/>
      <c r="AD880" s="4"/>
      <c r="AE880" s="4"/>
    </row>
    <row r="881" spans="1:31" ht="14.4">
      <c r="A881" s="4"/>
      <c r="B881" s="4"/>
      <c r="C881" s="50"/>
      <c r="D881" s="56"/>
      <c r="E881" s="56"/>
      <c r="F881" s="59"/>
      <c r="G881" s="4"/>
      <c r="H881" s="56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50"/>
      <c r="U881" s="50"/>
      <c r="V881" s="4"/>
      <c r="W881" s="4"/>
      <c r="X881" s="4"/>
      <c r="Y881" s="4"/>
      <c r="Z881" s="4"/>
      <c r="AA881" s="4"/>
      <c r="AB881" s="4"/>
      <c r="AC881" s="4"/>
      <c r="AD881" s="4"/>
      <c r="AE881" s="4"/>
    </row>
    <row r="882" spans="1:31" ht="14.4">
      <c r="A882" s="4"/>
      <c r="B882" s="4"/>
      <c r="C882" s="50"/>
      <c r="D882" s="56"/>
      <c r="E882" s="56"/>
      <c r="F882" s="59"/>
      <c r="G882" s="4"/>
      <c r="H882" s="56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50"/>
      <c r="U882" s="50"/>
      <c r="V882" s="4"/>
      <c r="W882" s="4"/>
      <c r="X882" s="4"/>
      <c r="Y882" s="4"/>
      <c r="Z882" s="4"/>
      <c r="AA882" s="4"/>
      <c r="AB882" s="4"/>
      <c r="AC882" s="4"/>
      <c r="AD882" s="4"/>
      <c r="AE882" s="4"/>
    </row>
    <row r="883" spans="1:31" ht="14.4">
      <c r="A883" s="4"/>
      <c r="B883" s="4"/>
      <c r="C883" s="50"/>
      <c r="D883" s="56"/>
      <c r="E883" s="56"/>
      <c r="F883" s="59"/>
      <c r="G883" s="4"/>
      <c r="H883" s="56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50"/>
      <c r="U883" s="50"/>
      <c r="V883" s="4"/>
      <c r="W883" s="4"/>
      <c r="X883" s="4"/>
      <c r="Y883" s="4"/>
      <c r="Z883" s="4"/>
      <c r="AA883" s="4"/>
      <c r="AB883" s="4"/>
      <c r="AC883" s="4"/>
      <c r="AD883" s="4"/>
      <c r="AE883" s="4"/>
    </row>
    <row r="884" spans="1:31" ht="14.4">
      <c r="A884" s="4"/>
      <c r="B884" s="4"/>
      <c r="C884" s="50"/>
      <c r="D884" s="56"/>
      <c r="E884" s="56"/>
      <c r="F884" s="59"/>
      <c r="G884" s="4"/>
      <c r="H884" s="56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50"/>
      <c r="U884" s="50"/>
      <c r="V884" s="4"/>
      <c r="W884" s="4"/>
      <c r="X884" s="4"/>
      <c r="Y884" s="4"/>
      <c r="Z884" s="4"/>
      <c r="AA884" s="4"/>
      <c r="AB884" s="4"/>
      <c r="AC884" s="4"/>
      <c r="AD884" s="4"/>
      <c r="AE884" s="4"/>
    </row>
    <row r="885" spans="1:31" ht="14.4">
      <c r="A885" s="4"/>
      <c r="B885" s="4"/>
      <c r="C885" s="50"/>
      <c r="D885" s="56"/>
      <c r="E885" s="56"/>
      <c r="F885" s="59"/>
      <c r="G885" s="4"/>
      <c r="H885" s="56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50"/>
      <c r="U885" s="50"/>
      <c r="V885" s="4"/>
      <c r="W885" s="4"/>
      <c r="X885" s="4"/>
      <c r="Y885" s="4"/>
      <c r="Z885" s="4"/>
      <c r="AA885" s="4"/>
      <c r="AB885" s="4"/>
      <c r="AC885" s="4"/>
      <c r="AD885" s="4"/>
      <c r="AE885" s="4"/>
    </row>
    <row r="886" spans="1:31" ht="14.4">
      <c r="A886" s="4"/>
      <c r="B886" s="4"/>
      <c r="C886" s="50"/>
      <c r="D886" s="56"/>
      <c r="E886" s="56"/>
      <c r="F886" s="59"/>
      <c r="G886" s="4"/>
      <c r="H886" s="56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50"/>
      <c r="U886" s="50"/>
      <c r="V886" s="4"/>
      <c r="W886" s="4"/>
      <c r="X886" s="4"/>
      <c r="Y886" s="4"/>
      <c r="Z886" s="4"/>
      <c r="AA886" s="4"/>
      <c r="AB886" s="4"/>
      <c r="AC886" s="4"/>
      <c r="AD886" s="4"/>
      <c r="AE886" s="4"/>
    </row>
    <row r="887" spans="1:31" ht="14.4">
      <c r="A887" s="4"/>
      <c r="B887" s="4"/>
      <c r="C887" s="50"/>
      <c r="D887" s="56"/>
      <c r="E887" s="56"/>
      <c r="F887" s="59"/>
      <c r="G887" s="4"/>
      <c r="H887" s="56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50"/>
      <c r="U887" s="50"/>
      <c r="V887" s="4"/>
      <c r="W887" s="4"/>
      <c r="X887" s="4"/>
      <c r="Y887" s="4"/>
      <c r="Z887" s="4"/>
      <c r="AA887" s="4"/>
      <c r="AB887" s="4"/>
      <c r="AC887" s="4"/>
      <c r="AD887" s="4"/>
      <c r="AE887" s="4"/>
    </row>
    <row r="888" spans="1:31" ht="14.4">
      <c r="A888" s="4"/>
      <c r="B888" s="4"/>
      <c r="C888" s="50"/>
      <c r="D888" s="56"/>
      <c r="E888" s="56"/>
      <c r="F888" s="59"/>
      <c r="G888" s="4"/>
      <c r="H888" s="56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50"/>
      <c r="U888" s="50"/>
      <c r="V888" s="4"/>
      <c r="W888" s="4"/>
      <c r="X888" s="4"/>
      <c r="Y888" s="4"/>
      <c r="Z888" s="4"/>
      <c r="AA888" s="4"/>
      <c r="AB888" s="4"/>
      <c r="AC888" s="4"/>
      <c r="AD888" s="4"/>
      <c r="AE888" s="4"/>
    </row>
    <row r="889" spans="1:31" ht="14.4">
      <c r="A889" s="4"/>
      <c r="B889" s="4"/>
      <c r="C889" s="50"/>
      <c r="D889" s="56"/>
      <c r="E889" s="56"/>
      <c r="F889" s="59"/>
      <c r="G889" s="4"/>
      <c r="H889" s="56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50"/>
      <c r="U889" s="50"/>
      <c r="V889" s="4"/>
      <c r="W889" s="4"/>
      <c r="X889" s="4"/>
      <c r="Y889" s="4"/>
      <c r="Z889" s="4"/>
      <c r="AA889" s="4"/>
      <c r="AB889" s="4"/>
      <c r="AC889" s="4"/>
      <c r="AD889" s="4"/>
      <c r="AE889" s="4"/>
    </row>
    <row r="890" spans="1:31" ht="14.4">
      <c r="A890" s="4"/>
      <c r="B890" s="4"/>
      <c r="C890" s="50"/>
      <c r="D890" s="56"/>
      <c r="E890" s="56"/>
      <c r="F890" s="59"/>
      <c r="G890" s="4"/>
      <c r="H890" s="56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50"/>
      <c r="U890" s="50"/>
      <c r="V890" s="4"/>
      <c r="W890" s="4"/>
      <c r="X890" s="4"/>
      <c r="Y890" s="4"/>
      <c r="Z890" s="4"/>
      <c r="AA890" s="4"/>
      <c r="AB890" s="4"/>
      <c r="AC890" s="4"/>
      <c r="AD890" s="4"/>
      <c r="AE890" s="4"/>
    </row>
    <row r="891" spans="1:31" ht="14.4">
      <c r="A891" s="4"/>
      <c r="B891" s="4"/>
      <c r="C891" s="50"/>
      <c r="D891" s="56"/>
      <c r="E891" s="56"/>
      <c r="F891" s="59"/>
      <c r="G891" s="4"/>
      <c r="H891" s="56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50"/>
      <c r="U891" s="50"/>
      <c r="V891" s="4"/>
      <c r="W891" s="4"/>
      <c r="X891" s="4"/>
      <c r="Y891" s="4"/>
      <c r="Z891" s="4"/>
      <c r="AA891" s="4"/>
      <c r="AB891" s="4"/>
      <c r="AC891" s="4"/>
      <c r="AD891" s="4"/>
      <c r="AE891" s="4"/>
    </row>
    <row r="892" spans="1:31" ht="14.4">
      <c r="A892" s="4"/>
      <c r="B892" s="4"/>
      <c r="C892" s="50"/>
      <c r="D892" s="56"/>
      <c r="E892" s="56"/>
      <c r="F892" s="59"/>
      <c r="G892" s="4"/>
      <c r="H892" s="56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50"/>
      <c r="U892" s="50"/>
      <c r="V892" s="4"/>
      <c r="W892" s="4"/>
      <c r="X892" s="4"/>
      <c r="Y892" s="4"/>
      <c r="Z892" s="4"/>
      <c r="AA892" s="4"/>
      <c r="AB892" s="4"/>
      <c r="AC892" s="4"/>
      <c r="AD892" s="4"/>
      <c r="AE892" s="4"/>
    </row>
    <row r="893" spans="1:31" ht="14.4">
      <c r="A893" s="4"/>
      <c r="B893" s="4"/>
      <c r="C893" s="50"/>
      <c r="D893" s="56"/>
      <c r="E893" s="56"/>
      <c r="F893" s="59"/>
      <c r="G893" s="4"/>
      <c r="H893" s="56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50"/>
      <c r="U893" s="50"/>
      <c r="V893" s="4"/>
      <c r="W893" s="4"/>
      <c r="X893" s="4"/>
      <c r="Y893" s="4"/>
      <c r="Z893" s="4"/>
      <c r="AA893" s="4"/>
      <c r="AB893" s="4"/>
      <c r="AC893" s="4"/>
      <c r="AD893" s="4"/>
      <c r="AE893" s="4"/>
    </row>
    <row r="894" spans="1:31" ht="14.4">
      <c r="A894" s="4"/>
      <c r="B894" s="4"/>
      <c r="C894" s="50"/>
      <c r="D894" s="56"/>
      <c r="E894" s="56"/>
      <c r="F894" s="59"/>
      <c r="G894" s="4"/>
      <c r="H894" s="56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50"/>
      <c r="U894" s="50"/>
      <c r="V894" s="4"/>
      <c r="W894" s="4"/>
      <c r="X894" s="4"/>
      <c r="Y894" s="4"/>
      <c r="Z894" s="4"/>
      <c r="AA894" s="4"/>
      <c r="AB894" s="4"/>
      <c r="AC894" s="4"/>
      <c r="AD894" s="4"/>
      <c r="AE894" s="4"/>
    </row>
    <row r="895" spans="1:31" ht="14.4">
      <c r="A895" s="4"/>
      <c r="B895" s="4"/>
      <c r="C895" s="50"/>
      <c r="D895" s="56"/>
      <c r="E895" s="56"/>
      <c r="F895" s="59"/>
      <c r="G895" s="4"/>
      <c r="H895" s="56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50"/>
      <c r="U895" s="50"/>
      <c r="V895" s="4"/>
      <c r="W895" s="4"/>
      <c r="X895" s="4"/>
      <c r="Y895" s="4"/>
      <c r="Z895" s="4"/>
      <c r="AA895" s="4"/>
      <c r="AB895" s="4"/>
      <c r="AC895" s="4"/>
      <c r="AD895" s="4"/>
      <c r="AE895" s="4"/>
    </row>
    <row r="896" spans="1:31" ht="14.4">
      <c r="A896" s="4"/>
      <c r="B896" s="4"/>
      <c r="C896" s="50"/>
      <c r="D896" s="56"/>
      <c r="E896" s="56"/>
      <c r="F896" s="59"/>
      <c r="G896" s="4"/>
      <c r="H896" s="56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50"/>
      <c r="U896" s="50"/>
      <c r="V896" s="4"/>
      <c r="W896" s="4"/>
      <c r="X896" s="4"/>
      <c r="Y896" s="4"/>
      <c r="Z896" s="4"/>
      <c r="AA896" s="4"/>
      <c r="AB896" s="4"/>
      <c r="AC896" s="4"/>
      <c r="AD896" s="4"/>
      <c r="AE896" s="4"/>
    </row>
    <row r="897" spans="1:31" ht="14.4">
      <c r="A897" s="4"/>
      <c r="B897" s="4"/>
      <c r="C897" s="50"/>
      <c r="D897" s="56"/>
      <c r="E897" s="56"/>
      <c r="F897" s="59"/>
      <c r="G897" s="4"/>
      <c r="H897" s="56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50"/>
      <c r="U897" s="50"/>
      <c r="V897" s="4"/>
      <c r="W897" s="4"/>
      <c r="X897" s="4"/>
      <c r="Y897" s="4"/>
      <c r="Z897" s="4"/>
      <c r="AA897" s="4"/>
      <c r="AB897" s="4"/>
      <c r="AC897" s="4"/>
      <c r="AD897" s="4"/>
      <c r="AE897" s="4"/>
    </row>
    <row r="898" spans="1:31" ht="14.4">
      <c r="A898" s="4"/>
      <c r="B898" s="4"/>
      <c r="C898" s="50"/>
      <c r="D898" s="56"/>
      <c r="E898" s="56"/>
      <c r="F898" s="59"/>
      <c r="G898" s="4"/>
      <c r="H898" s="56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50"/>
      <c r="U898" s="50"/>
      <c r="V898" s="4"/>
      <c r="W898" s="4"/>
      <c r="X898" s="4"/>
      <c r="Y898" s="4"/>
      <c r="Z898" s="4"/>
      <c r="AA898" s="4"/>
      <c r="AB898" s="4"/>
      <c r="AC898" s="4"/>
      <c r="AD898" s="4"/>
      <c r="AE898" s="4"/>
    </row>
    <row r="899" spans="1:31" ht="14.4">
      <c r="A899" s="4"/>
      <c r="B899" s="4"/>
      <c r="C899" s="50"/>
      <c r="D899" s="56"/>
      <c r="E899" s="56"/>
      <c r="F899" s="59"/>
      <c r="G899" s="4"/>
      <c r="H899" s="56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50"/>
      <c r="U899" s="50"/>
      <c r="V899" s="4"/>
      <c r="W899" s="4"/>
      <c r="X899" s="4"/>
      <c r="Y899" s="4"/>
      <c r="Z899" s="4"/>
      <c r="AA899" s="4"/>
      <c r="AB899" s="4"/>
      <c r="AC899" s="4"/>
      <c r="AD899" s="4"/>
      <c r="AE899" s="4"/>
    </row>
    <row r="900" spans="1:31" ht="14.4">
      <c r="A900" s="4"/>
      <c r="B900" s="4"/>
      <c r="C900" s="50"/>
      <c r="D900" s="56"/>
      <c r="E900" s="56"/>
      <c r="F900" s="59"/>
      <c r="G900" s="4"/>
      <c r="H900" s="56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50"/>
      <c r="U900" s="50"/>
      <c r="V900" s="4"/>
      <c r="W900" s="4"/>
      <c r="X900" s="4"/>
      <c r="Y900" s="4"/>
      <c r="Z900" s="4"/>
      <c r="AA900" s="4"/>
      <c r="AB900" s="4"/>
      <c r="AC900" s="4"/>
      <c r="AD900" s="4"/>
      <c r="AE900" s="4"/>
    </row>
    <row r="901" spans="1:31" ht="14.4">
      <c r="A901" s="4"/>
      <c r="B901" s="4"/>
      <c r="C901" s="50"/>
      <c r="D901" s="56"/>
      <c r="E901" s="56"/>
      <c r="F901" s="59"/>
      <c r="G901" s="4"/>
      <c r="H901" s="56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50"/>
      <c r="U901" s="50"/>
      <c r="V901" s="4"/>
      <c r="W901" s="4"/>
      <c r="X901" s="4"/>
      <c r="Y901" s="4"/>
      <c r="Z901" s="4"/>
      <c r="AA901" s="4"/>
      <c r="AB901" s="4"/>
      <c r="AC901" s="4"/>
      <c r="AD901" s="4"/>
      <c r="AE901" s="4"/>
    </row>
    <row r="902" spans="1:31" ht="14.4">
      <c r="A902" s="4"/>
      <c r="B902" s="4"/>
      <c r="C902" s="50"/>
      <c r="D902" s="56"/>
      <c r="E902" s="56"/>
      <c r="F902" s="59"/>
      <c r="G902" s="4"/>
      <c r="H902" s="56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50"/>
      <c r="U902" s="50"/>
      <c r="V902" s="4"/>
      <c r="W902" s="4"/>
      <c r="X902" s="4"/>
      <c r="Y902" s="4"/>
      <c r="Z902" s="4"/>
      <c r="AA902" s="4"/>
      <c r="AB902" s="4"/>
      <c r="AC902" s="4"/>
      <c r="AD902" s="4"/>
      <c r="AE902" s="4"/>
    </row>
    <row r="903" spans="1:31" ht="14.4">
      <c r="A903" s="4"/>
      <c r="B903" s="4"/>
      <c r="C903" s="50"/>
      <c r="D903" s="56"/>
      <c r="E903" s="56"/>
      <c r="F903" s="59"/>
      <c r="G903" s="4"/>
      <c r="H903" s="56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50"/>
      <c r="U903" s="50"/>
      <c r="V903" s="4"/>
      <c r="W903" s="4"/>
      <c r="X903" s="4"/>
      <c r="Y903" s="4"/>
      <c r="Z903" s="4"/>
      <c r="AA903" s="4"/>
      <c r="AB903" s="4"/>
      <c r="AC903" s="4"/>
      <c r="AD903" s="4"/>
      <c r="AE903" s="4"/>
    </row>
    <row r="904" spans="1:31" ht="14.4">
      <c r="A904" s="4"/>
      <c r="B904" s="4"/>
      <c r="C904" s="50"/>
      <c r="D904" s="56"/>
      <c r="E904" s="56"/>
      <c r="F904" s="59"/>
      <c r="G904" s="4"/>
      <c r="H904" s="56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50"/>
      <c r="U904" s="50"/>
      <c r="V904" s="4"/>
      <c r="W904" s="4"/>
      <c r="X904" s="4"/>
      <c r="Y904" s="4"/>
      <c r="Z904" s="4"/>
      <c r="AA904" s="4"/>
      <c r="AB904" s="4"/>
      <c r="AC904" s="4"/>
      <c r="AD904" s="4"/>
      <c r="AE904" s="4"/>
    </row>
    <row r="905" spans="1:31" ht="14.4">
      <c r="A905" s="4"/>
      <c r="B905" s="4"/>
      <c r="C905" s="50"/>
      <c r="D905" s="56"/>
      <c r="E905" s="56"/>
      <c r="F905" s="59"/>
      <c r="G905" s="4"/>
      <c r="H905" s="56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50"/>
      <c r="U905" s="50"/>
      <c r="V905" s="4"/>
      <c r="W905" s="4"/>
      <c r="X905" s="4"/>
      <c r="Y905" s="4"/>
      <c r="Z905" s="4"/>
      <c r="AA905" s="4"/>
      <c r="AB905" s="4"/>
      <c r="AC905" s="4"/>
      <c r="AD905" s="4"/>
      <c r="AE905" s="4"/>
    </row>
    <row r="906" spans="1:31" ht="14.4">
      <c r="A906" s="4"/>
      <c r="B906" s="4"/>
      <c r="C906" s="50"/>
      <c r="D906" s="56"/>
      <c r="E906" s="56"/>
      <c r="F906" s="59"/>
      <c r="G906" s="4"/>
      <c r="H906" s="56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50"/>
      <c r="U906" s="50"/>
      <c r="V906" s="4"/>
      <c r="W906" s="4"/>
      <c r="X906" s="4"/>
      <c r="Y906" s="4"/>
      <c r="Z906" s="4"/>
      <c r="AA906" s="4"/>
      <c r="AB906" s="4"/>
      <c r="AC906" s="4"/>
      <c r="AD906" s="4"/>
      <c r="AE906" s="4"/>
    </row>
    <row r="907" spans="1:31" ht="14.4">
      <c r="A907" s="4"/>
      <c r="B907" s="4"/>
      <c r="C907" s="50"/>
      <c r="D907" s="56"/>
      <c r="E907" s="56"/>
      <c r="F907" s="59"/>
      <c r="G907" s="4"/>
      <c r="H907" s="56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50"/>
      <c r="U907" s="50"/>
      <c r="V907" s="4"/>
      <c r="W907" s="4"/>
      <c r="X907" s="4"/>
      <c r="Y907" s="4"/>
      <c r="Z907" s="4"/>
      <c r="AA907" s="4"/>
      <c r="AB907" s="4"/>
      <c r="AC907" s="4"/>
      <c r="AD907" s="4"/>
      <c r="AE907" s="4"/>
    </row>
    <row r="908" spans="1:31" ht="14.4">
      <c r="A908" s="4"/>
      <c r="B908" s="4"/>
      <c r="C908" s="50"/>
      <c r="D908" s="56"/>
      <c r="E908" s="56"/>
      <c r="F908" s="59"/>
      <c r="G908" s="4"/>
      <c r="H908" s="56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50"/>
      <c r="U908" s="50"/>
      <c r="V908" s="4"/>
      <c r="W908" s="4"/>
      <c r="X908" s="4"/>
      <c r="Y908" s="4"/>
      <c r="Z908" s="4"/>
      <c r="AA908" s="4"/>
      <c r="AB908" s="4"/>
      <c r="AC908" s="4"/>
      <c r="AD908" s="4"/>
      <c r="AE908" s="4"/>
    </row>
    <row r="909" spans="1:31" ht="14.4">
      <c r="A909" s="4"/>
      <c r="B909" s="4"/>
      <c r="C909" s="50"/>
      <c r="D909" s="56"/>
      <c r="E909" s="56"/>
      <c r="F909" s="59"/>
      <c r="G909" s="4"/>
      <c r="H909" s="56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50"/>
      <c r="U909" s="50"/>
      <c r="V909" s="4"/>
      <c r="W909" s="4"/>
      <c r="X909" s="4"/>
      <c r="Y909" s="4"/>
      <c r="Z909" s="4"/>
      <c r="AA909" s="4"/>
      <c r="AB909" s="4"/>
      <c r="AC909" s="4"/>
      <c r="AD909" s="4"/>
      <c r="AE909" s="4"/>
    </row>
    <row r="910" spans="1:31" ht="14.4">
      <c r="A910" s="4"/>
      <c r="B910" s="4"/>
      <c r="C910" s="50"/>
      <c r="D910" s="56"/>
      <c r="E910" s="56"/>
      <c r="F910" s="59"/>
      <c r="G910" s="4"/>
      <c r="H910" s="56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50"/>
      <c r="U910" s="50"/>
      <c r="V910" s="4"/>
      <c r="W910" s="4"/>
      <c r="X910" s="4"/>
      <c r="Y910" s="4"/>
      <c r="Z910" s="4"/>
      <c r="AA910" s="4"/>
      <c r="AB910" s="4"/>
      <c r="AC910" s="4"/>
      <c r="AD910" s="4"/>
      <c r="AE910" s="4"/>
    </row>
    <row r="911" spans="1:31" ht="14.4">
      <c r="A911" s="4"/>
      <c r="B911" s="4"/>
      <c r="C911" s="50"/>
      <c r="D911" s="56"/>
      <c r="E911" s="56"/>
      <c r="F911" s="59"/>
      <c r="G911" s="4"/>
      <c r="H911" s="56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50"/>
      <c r="U911" s="50"/>
      <c r="V911" s="4"/>
      <c r="W911" s="4"/>
      <c r="X911" s="4"/>
      <c r="Y911" s="4"/>
      <c r="Z911" s="4"/>
      <c r="AA911" s="4"/>
      <c r="AB911" s="4"/>
      <c r="AC911" s="4"/>
      <c r="AD911" s="4"/>
      <c r="AE911" s="4"/>
    </row>
    <row r="912" spans="1:31" ht="14.4">
      <c r="A912" s="4"/>
      <c r="B912" s="4"/>
      <c r="C912" s="50"/>
      <c r="D912" s="56"/>
      <c r="E912" s="56"/>
      <c r="F912" s="59"/>
      <c r="G912" s="4"/>
      <c r="H912" s="56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50"/>
      <c r="U912" s="50"/>
      <c r="V912" s="4"/>
      <c r="W912" s="4"/>
      <c r="X912" s="4"/>
      <c r="Y912" s="4"/>
      <c r="Z912" s="4"/>
      <c r="AA912" s="4"/>
      <c r="AB912" s="4"/>
      <c r="AC912" s="4"/>
      <c r="AD912" s="4"/>
      <c r="AE912" s="4"/>
    </row>
    <row r="913" spans="1:31" ht="14.4">
      <c r="A913" s="4"/>
      <c r="B913" s="4"/>
      <c r="C913" s="50"/>
      <c r="D913" s="56"/>
      <c r="E913" s="56"/>
      <c r="F913" s="59"/>
      <c r="G913" s="4"/>
      <c r="H913" s="56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50"/>
      <c r="U913" s="50"/>
      <c r="V913" s="4"/>
      <c r="W913" s="4"/>
      <c r="X913" s="4"/>
      <c r="Y913" s="4"/>
      <c r="Z913" s="4"/>
      <c r="AA913" s="4"/>
      <c r="AB913" s="4"/>
      <c r="AC913" s="4"/>
      <c r="AD913" s="4"/>
      <c r="AE913" s="4"/>
    </row>
    <row r="914" spans="1:31" ht="14.4">
      <c r="A914" s="4"/>
      <c r="B914" s="4"/>
      <c r="C914" s="50"/>
      <c r="D914" s="56"/>
      <c r="E914" s="56"/>
      <c r="F914" s="59"/>
      <c r="G914" s="4"/>
      <c r="H914" s="56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50"/>
      <c r="U914" s="50"/>
      <c r="V914" s="4"/>
      <c r="W914" s="4"/>
      <c r="X914" s="4"/>
      <c r="Y914" s="4"/>
      <c r="Z914" s="4"/>
      <c r="AA914" s="4"/>
      <c r="AB914" s="4"/>
      <c r="AC914" s="4"/>
      <c r="AD914" s="4"/>
      <c r="AE914" s="4"/>
    </row>
    <row r="915" spans="1:31" ht="14.4">
      <c r="A915" s="4"/>
      <c r="B915" s="4"/>
      <c r="C915" s="50"/>
      <c r="D915" s="56"/>
      <c r="E915" s="56"/>
      <c r="F915" s="59"/>
      <c r="G915" s="4"/>
      <c r="H915" s="56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50"/>
      <c r="U915" s="50"/>
      <c r="V915" s="4"/>
      <c r="W915" s="4"/>
      <c r="X915" s="4"/>
      <c r="Y915" s="4"/>
      <c r="Z915" s="4"/>
      <c r="AA915" s="4"/>
      <c r="AB915" s="4"/>
      <c r="AC915" s="4"/>
      <c r="AD915" s="4"/>
      <c r="AE915" s="4"/>
    </row>
    <row r="916" spans="1:31" ht="14.4">
      <c r="A916" s="4"/>
      <c r="B916" s="4"/>
      <c r="C916" s="50"/>
      <c r="D916" s="56"/>
      <c r="E916" s="56"/>
      <c r="F916" s="59"/>
      <c r="G916" s="4"/>
      <c r="H916" s="56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50"/>
      <c r="U916" s="50"/>
      <c r="V916" s="4"/>
      <c r="W916" s="4"/>
      <c r="X916" s="4"/>
      <c r="Y916" s="4"/>
      <c r="Z916" s="4"/>
      <c r="AA916" s="4"/>
      <c r="AB916" s="4"/>
      <c r="AC916" s="4"/>
      <c r="AD916" s="4"/>
      <c r="AE916" s="4"/>
    </row>
    <row r="917" spans="1:31" ht="14.4">
      <c r="A917" s="4"/>
      <c r="B917" s="4"/>
      <c r="C917" s="50"/>
      <c r="D917" s="56"/>
      <c r="E917" s="56"/>
      <c r="F917" s="59"/>
      <c r="G917" s="4"/>
      <c r="H917" s="56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50"/>
      <c r="U917" s="50"/>
      <c r="V917" s="4"/>
      <c r="W917" s="4"/>
      <c r="X917" s="4"/>
      <c r="Y917" s="4"/>
      <c r="Z917" s="4"/>
      <c r="AA917" s="4"/>
      <c r="AB917" s="4"/>
      <c r="AC917" s="4"/>
      <c r="AD917" s="4"/>
      <c r="AE917" s="4"/>
    </row>
    <row r="918" spans="1:31" ht="14.4">
      <c r="A918" s="4"/>
      <c r="B918" s="4"/>
      <c r="C918" s="50"/>
      <c r="D918" s="56"/>
      <c r="E918" s="56"/>
      <c r="F918" s="59"/>
      <c r="G918" s="4"/>
      <c r="H918" s="56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50"/>
      <c r="U918" s="50"/>
      <c r="V918" s="4"/>
      <c r="W918" s="4"/>
      <c r="X918" s="4"/>
      <c r="Y918" s="4"/>
      <c r="Z918" s="4"/>
      <c r="AA918" s="4"/>
      <c r="AB918" s="4"/>
      <c r="AC918" s="4"/>
      <c r="AD918" s="4"/>
      <c r="AE918" s="4"/>
    </row>
    <row r="919" spans="1:31" ht="14.4">
      <c r="A919" s="4"/>
      <c r="B919" s="4"/>
      <c r="C919" s="50"/>
      <c r="D919" s="56"/>
      <c r="E919" s="56"/>
      <c r="F919" s="59"/>
      <c r="G919" s="4"/>
      <c r="H919" s="56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50"/>
      <c r="U919" s="50"/>
      <c r="V919" s="4"/>
      <c r="W919" s="4"/>
      <c r="X919" s="4"/>
      <c r="Y919" s="4"/>
      <c r="Z919" s="4"/>
      <c r="AA919" s="4"/>
      <c r="AB919" s="4"/>
      <c r="AC919" s="4"/>
      <c r="AD919" s="4"/>
      <c r="AE919" s="4"/>
    </row>
    <row r="920" spans="1:31" ht="14.4">
      <c r="A920" s="4"/>
      <c r="B920" s="4"/>
      <c r="C920" s="50"/>
      <c r="D920" s="56"/>
      <c r="E920" s="56"/>
      <c r="F920" s="59"/>
      <c r="G920" s="4"/>
      <c r="H920" s="56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50"/>
      <c r="U920" s="50"/>
      <c r="V920" s="4"/>
      <c r="W920" s="4"/>
      <c r="X920" s="4"/>
      <c r="Y920" s="4"/>
      <c r="Z920" s="4"/>
      <c r="AA920" s="4"/>
      <c r="AB920" s="4"/>
      <c r="AC920" s="4"/>
      <c r="AD920" s="4"/>
      <c r="AE920" s="4"/>
    </row>
    <row r="921" spans="1:31" ht="14.4">
      <c r="A921" s="4"/>
      <c r="B921" s="4"/>
      <c r="C921" s="50"/>
      <c r="D921" s="56"/>
      <c r="E921" s="56"/>
      <c r="F921" s="59"/>
      <c r="G921" s="4"/>
      <c r="H921" s="56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50"/>
      <c r="U921" s="50"/>
      <c r="V921" s="4"/>
      <c r="W921" s="4"/>
      <c r="X921" s="4"/>
      <c r="Y921" s="4"/>
      <c r="Z921" s="4"/>
      <c r="AA921" s="4"/>
      <c r="AB921" s="4"/>
      <c r="AC921" s="4"/>
      <c r="AD921" s="4"/>
      <c r="AE921" s="4"/>
    </row>
    <row r="922" spans="1:31" ht="14.4">
      <c r="A922" s="4"/>
      <c r="B922" s="4"/>
      <c r="C922" s="50"/>
      <c r="D922" s="56"/>
      <c r="E922" s="56"/>
      <c r="F922" s="59"/>
      <c r="G922" s="4"/>
      <c r="H922" s="56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50"/>
      <c r="U922" s="50"/>
      <c r="V922" s="4"/>
      <c r="W922" s="4"/>
      <c r="X922" s="4"/>
      <c r="Y922" s="4"/>
      <c r="Z922" s="4"/>
      <c r="AA922" s="4"/>
      <c r="AB922" s="4"/>
      <c r="AC922" s="4"/>
      <c r="AD922" s="4"/>
      <c r="AE922" s="4"/>
    </row>
    <row r="923" spans="1:31" ht="14.4">
      <c r="A923" s="4"/>
      <c r="B923" s="4"/>
      <c r="C923" s="50"/>
      <c r="D923" s="56"/>
      <c r="E923" s="56"/>
      <c r="F923" s="59"/>
      <c r="G923" s="4"/>
      <c r="H923" s="56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50"/>
      <c r="U923" s="50"/>
      <c r="V923" s="4"/>
      <c r="W923" s="4"/>
      <c r="X923" s="4"/>
      <c r="Y923" s="4"/>
      <c r="Z923" s="4"/>
      <c r="AA923" s="4"/>
      <c r="AB923" s="4"/>
      <c r="AC923" s="4"/>
      <c r="AD923" s="4"/>
      <c r="AE923" s="4"/>
    </row>
    <row r="924" spans="1:31" ht="14.4">
      <c r="A924" s="4"/>
      <c r="B924" s="4"/>
      <c r="C924" s="50"/>
      <c r="D924" s="56"/>
      <c r="E924" s="56"/>
      <c r="F924" s="59"/>
      <c r="G924" s="4"/>
      <c r="H924" s="56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50"/>
      <c r="U924" s="50"/>
      <c r="V924" s="4"/>
      <c r="W924" s="4"/>
      <c r="X924" s="4"/>
      <c r="Y924" s="4"/>
      <c r="Z924" s="4"/>
      <c r="AA924" s="4"/>
      <c r="AB924" s="4"/>
      <c r="AC924" s="4"/>
      <c r="AD924" s="4"/>
      <c r="AE924" s="4"/>
    </row>
    <row r="925" spans="1:31" ht="14.4">
      <c r="A925" s="4"/>
      <c r="B925" s="4"/>
      <c r="C925" s="50"/>
      <c r="D925" s="56"/>
      <c r="E925" s="56"/>
      <c r="F925" s="59"/>
      <c r="G925" s="4"/>
      <c r="H925" s="56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50"/>
      <c r="U925" s="50"/>
      <c r="V925" s="4"/>
      <c r="W925" s="4"/>
      <c r="X925" s="4"/>
      <c r="Y925" s="4"/>
      <c r="Z925" s="4"/>
      <c r="AA925" s="4"/>
      <c r="AB925" s="4"/>
      <c r="AC925" s="4"/>
      <c r="AD925" s="4"/>
      <c r="AE925" s="4"/>
    </row>
    <row r="926" spans="1:31" ht="14.4">
      <c r="A926" s="4"/>
      <c r="B926" s="4"/>
      <c r="C926" s="50"/>
      <c r="D926" s="56"/>
      <c r="E926" s="56"/>
      <c r="F926" s="59"/>
      <c r="G926" s="4"/>
      <c r="H926" s="56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50"/>
      <c r="U926" s="50"/>
      <c r="V926" s="4"/>
      <c r="W926" s="4"/>
      <c r="X926" s="4"/>
      <c r="Y926" s="4"/>
      <c r="Z926" s="4"/>
      <c r="AA926" s="4"/>
      <c r="AB926" s="4"/>
      <c r="AC926" s="4"/>
      <c r="AD926" s="4"/>
      <c r="AE926" s="4"/>
    </row>
    <row r="927" spans="1:31" ht="14.4">
      <c r="A927" s="4"/>
      <c r="B927" s="4"/>
      <c r="C927" s="50"/>
      <c r="D927" s="56"/>
      <c r="E927" s="56"/>
      <c r="F927" s="59"/>
      <c r="G927" s="4"/>
      <c r="H927" s="56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50"/>
      <c r="U927" s="50"/>
      <c r="V927" s="4"/>
      <c r="W927" s="4"/>
      <c r="X927" s="4"/>
      <c r="Y927" s="4"/>
      <c r="Z927" s="4"/>
      <c r="AA927" s="4"/>
      <c r="AB927" s="4"/>
      <c r="AC927" s="4"/>
      <c r="AD927" s="4"/>
      <c r="AE927" s="4"/>
    </row>
    <row r="928" spans="1:31" ht="14.4">
      <c r="A928" s="4"/>
      <c r="B928" s="4"/>
      <c r="C928" s="50"/>
      <c r="D928" s="56"/>
      <c r="E928" s="56"/>
      <c r="F928" s="59"/>
      <c r="G928" s="4"/>
      <c r="H928" s="56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50"/>
      <c r="U928" s="50"/>
      <c r="V928" s="4"/>
      <c r="W928" s="4"/>
      <c r="X928" s="4"/>
      <c r="Y928" s="4"/>
      <c r="Z928" s="4"/>
      <c r="AA928" s="4"/>
      <c r="AB928" s="4"/>
      <c r="AC928" s="4"/>
      <c r="AD928" s="4"/>
      <c r="AE928" s="4"/>
    </row>
    <row r="929" spans="1:31" ht="14.4">
      <c r="A929" s="4"/>
      <c r="B929" s="4"/>
      <c r="C929" s="50"/>
      <c r="D929" s="56"/>
      <c r="E929" s="56"/>
      <c r="F929" s="59"/>
      <c r="G929" s="4"/>
      <c r="H929" s="56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50"/>
      <c r="U929" s="50"/>
      <c r="V929" s="4"/>
      <c r="W929" s="4"/>
      <c r="X929" s="4"/>
      <c r="Y929" s="4"/>
      <c r="Z929" s="4"/>
      <c r="AA929" s="4"/>
      <c r="AB929" s="4"/>
      <c r="AC929" s="4"/>
      <c r="AD929" s="4"/>
      <c r="AE929" s="4"/>
    </row>
    <row r="930" spans="1:31" ht="14.4">
      <c r="A930" s="4"/>
      <c r="B930" s="4"/>
      <c r="C930" s="50"/>
      <c r="D930" s="56"/>
      <c r="E930" s="56"/>
      <c r="F930" s="59"/>
      <c r="G930" s="4"/>
      <c r="H930" s="56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50"/>
      <c r="U930" s="50"/>
      <c r="V930" s="4"/>
      <c r="W930" s="4"/>
      <c r="X930" s="4"/>
      <c r="Y930" s="4"/>
      <c r="Z930" s="4"/>
      <c r="AA930" s="4"/>
      <c r="AB930" s="4"/>
      <c r="AC930" s="4"/>
      <c r="AD930" s="4"/>
      <c r="AE930" s="4"/>
    </row>
    <row r="931" spans="1:31" ht="14.4">
      <c r="A931" s="4"/>
      <c r="B931" s="4"/>
      <c r="C931" s="50"/>
      <c r="D931" s="56"/>
      <c r="E931" s="56"/>
      <c r="F931" s="59"/>
      <c r="G931" s="4"/>
      <c r="H931" s="56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50"/>
      <c r="U931" s="50"/>
      <c r="V931" s="4"/>
      <c r="W931" s="4"/>
      <c r="X931" s="4"/>
      <c r="Y931" s="4"/>
      <c r="Z931" s="4"/>
      <c r="AA931" s="4"/>
      <c r="AB931" s="4"/>
      <c r="AC931" s="4"/>
      <c r="AD931" s="4"/>
      <c r="AE931" s="4"/>
    </row>
    <row r="932" spans="1:31" ht="14.4">
      <c r="A932" s="4"/>
      <c r="B932" s="4"/>
      <c r="C932" s="50"/>
      <c r="D932" s="56"/>
      <c r="E932" s="56"/>
      <c r="F932" s="59"/>
      <c r="G932" s="4"/>
      <c r="H932" s="56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50"/>
      <c r="U932" s="50"/>
      <c r="V932" s="4"/>
      <c r="W932" s="4"/>
      <c r="X932" s="4"/>
      <c r="Y932" s="4"/>
      <c r="Z932" s="4"/>
      <c r="AA932" s="4"/>
      <c r="AB932" s="4"/>
      <c r="AC932" s="4"/>
      <c r="AD932" s="4"/>
      <c r="AE932" s="4"/>
    </row>
    <row r="933" spans="1:31" ht="14.4">
      <c r="A933" s="4"/>
      <c r="B933" s="4"/>
      <c r="C933" s="50"/>
      <c r="D933" s="56"/>
      <c r="E933" s="56"/>
      <c r="F933" s="59"/>
      <c r="G933" s="4"/>
      <c r="H933" s="56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50"/>
      <c r="U933" s="50"/>
      <c r="V933" s="4"/>
      <c r="W933" s="4"/>
      <c r="X933" s="4"/>
      <c r="Y933" s="4"/>
      <c r="Z933" s="4"/>
      <c r="AA933" s="4"/>
      <c r="AB933" s="4"/>
      <c r="AC933" s="4"/>
      <c r="AD933" s="4"/>
      <c r="AE933" s="4"/>
    </row>
    <row r="934" spans="1:31" ht="14.4">
      <c r="A934" s="4"/>
      <c r="B934" s="4"/>
      <c r="C934" s="50"/>
      <c r="D934" s="56"/>
      <c r="E934" s="56"/>
      <c r="F934" s="59"/>
      <c r="G934" s="4"/>
      <c r="H934" s="56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50"/>
      <c r="U934" s="50"/>
      <c r="V934" s="4"/>
      <c r="W934" s="4"/>
      <c r="X934" s="4"/>
      <c r="Y934" s="4"/>
      <c r="Z934" s="4"/>
      <c r="AA934" s="4"/>
      <c r="AB934" s="4"/>
      <c r="AC934" s="4"/>
      <c r="AD934" s="4"/>
      <c r="AE934" s="4"/>
    </row>
    <row r="935" spans="1:31" ht="14.4">
      <c r="A935" s="4"/>
      <c r="B935" s="4"/>
      <c r="C935" s="50"/>
      <c r="D935" s="56"/>
      <c r="E935" s="56"/>
      <c r="F935" s="59"/>
      <c r="G935" s="4"/>
      <c r="H935" s="56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50"/>
      <c r="U935" s="50"/>
      <c r="V935" s="4"/>
      <c r="W935" s="4"/>
      <c r="X935" s="4"/>
      <c r="Y935" s="4"/>
      <c r="Z935" s="4"/>
      <c r="AA935" s="4"/>
      <c r="AB935" s="4"/>
      <c r="AC935" s="4"/>
      <c r="AD935" s="4"/>
      <c r="AE935" s="4"/>
    </row>
    <row r="936" spans="1:31" ht="14.4">
      <c r="A936" s="4"/>
      <c r="B936" s="4"/>
      <c r="C936" s="50"/>
      <c r="D936" s="56"/>
      <c r="E936" s="56"/>
      <c r="F936" s="59"/>
      <c r="G936" s="4"/>
      <c r="H936" s="56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50"/>
      <c r="U936" s="50"/>
      <c r="V936" s="4"/>
      <c r="W936" s="4"/>
      <c r="X936" s="4"/>
      <c r="Y936" s="4"/>
      <c r="Z936" s="4"/>
      <c r="AA936" s="4"/>
      <c r="AB936" s="4"/>
      <c r="AC936" s="4"/>
      <c r="AD936" s="4"/>
      <c r="AE936" s="4"/>
    </row>
    <row r="937" spans="1:31" ht="14.4">
      <c r="A937" s="4"/>
      <c r="B937" s="4"/>
      <c r="C937" s="50"/>
      <c r="D937" s="56"/>
      <c r="E937" s="56"/>
      <c r="F937" s="59"/>
      <c r="G937" s="4"/>
      <c r="H937" s="56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50"/>
      <c r="U937" s="50"/>
      <c r="V937" s="4"/>
      <c r="W937" s="4"/>
      <c r="X937" s="4"/>
      <c r="Y937" s="4"/>
      <c r="Z937" s="4"/>
      <c r="AA937" s="4"/>
      <c r="AB937" s="4"/>
      <c r="AC937" s="4"/>
      <c r="AD937" s="4"/>
      <c r="AE937" s="4"/>
    </row>
    <row r="938" spans="1:31" ht="14.4">
      <c r="A938" s="4"/>
      <c r="B938" s="4"/>
      <c r="C938" s="50"/>
      <c r="D938" s="56"/>
      <c r="E938" s="56"/>
      <c r="F938" s="59"/>
      <c r="G938" s="4"/>
      <c r="H938" s="56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50"/>
      <c r="U938" s="50"/>
      <c r="V938" s="4"/>
      <c r="W938" s="4"/>
      <c r="X938" s="4"/>
      <c r="Y938" s="4"/>
      <c r="Z938" s="4"/>
      <c r="AA938" s="4"/>
      <c r="AB938" s="4"/>
      <c r="AC938" s="4"/>
      <c r="AD938" s="4"/>
      <c r="AE938" s="4"/>
    </row>
    <row r="939" spans="1:31" ht="14.4">
      <c r="A939" s="4"/>
      <c r="B939" s="4"/>
      <c r="C939" s="50"/>
      <c r="D939" s="56"/>
      <c r="E939" s="56"/>
      <c r="F939" s="59"/>
      <c r="G939" s="4"/>
      <c r="H939" s="56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50"/>
      <c r="U939" s="50"/>
      <c r="V939" s="4"/>
      <c r="W939" s="4"/>
      <c r="X939" s="4"/>
      <c r="Y939" s="4"/>
      <c r="Z939" s="4"/>
      <c r="AA939" s="4"/>
      <c r="AB939" s="4"/>
      <c r="AC939" s="4"/>
      <c r="AD939" s="4"/>
      <c r="AE939" s="4"/>
    </row>
    <row r="940" spans="1:31" ht="14.4">
      <c r="A940" s="4"/>
      <c r="B940" s="4"/>
      <c r="C940" s="50"/>
      <c r="D940" s="56"/>
      <c r="E940" s="56"/>
      <c r="F940" s="59"/>
      <c r="G940" s="4"/>
      <c r="H940" s="56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50"/>
      <c r="U940" s="50"/>
      <c r="V940" s="4"/>
      <c r="W940" s="4"/>
      <c r="X940" s="4"/>
      <c r="Y940" s="4"/>
      <c r="Z940" s="4"/>
      <c r="AA940" s="4"/>
      <c r="AB940" s="4"/>
      <c r="AC940" s="4"/>
      <c r="AD940" s="4"/>
      <c r="AE940" s="4"/>
    </row>
    <row r="941" spans="1:31" ht="14.4">
      <c r="A941" s="4"/>
      <c r="B941" s="4"/>
      <c r="C941" s="50"/>
      <c r="D941" s="56"/>
      <c r="E941" s="56"/>
      <c r="F941" s="59"/>
      <c r="G941" s="4"/>
      <c r="H941" s="56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50"/>
      <c r="U941" s="50"/>
      <c r="V941" s="4"/>
      <c r="W941" s="4"/>
      <c r="X941" s="4"/>
      <c r="Y941" s="4"/>
      <c r="Z941" s="4"/>
      <c r="AA941" s="4"/>
      <c r="AB941" s="4"/>
      <c r="AC941" s="4"/>
      <c r="AD941" s="4"/>
      <c r="AE941" s="4"/>
    </row>
    <row r="942" spans="1:31" ht="14.4">
      <c r="A942" s="4"/>
      <c r="B942" s="4"/>
      <c r="C942" s="50"/>
      <c r="D942" s="56"/>
      <c r="E942" s="56"/>
      <c r="F942" s="59"/>
      <c r="G942" s="4"/>
      <c r="H942" s="56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50"/>
      <c r="U942" s="50"/>
      <c r="V942" s="4"/>
      <c r="W942" s="4"/>
      <c r="X942" s="4"/>
      <c r="Y942" s="4"/>
      <c r="Z942" s="4"/>
      <c r="AA942" s="4"/>
      <c r="AB942" s="4"/>
      <c r="AC942" s="4"/>
      <c r="AD942" s="4"/>
      <c r="AE942" s="4"/>
    </row>
    <row r="943" spans="1:31" ht="14.4">
      <c r="A943" s="4"/>
      <c r="B943" s="4"/>
      <c r="C943" s="50"/>
      <c r="D943" s="56"/>
      <c r="E943" s="56"/>
      <c r="F943" s="59"/>
      <c r="G943" s="4"/>
      <c r="H943" s="56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50"/>
      <c r="U943" s="50"/>
      <c r="V943" s="4"/>
      <c r="W943" s="4"/>
      <c r="X943" s="4"/>
      <c r="Y943" s="4"/>
      <c r="Z943" s="4"/>
      <c r="AA943" s="4"/>
      <c r="AB943" s="4"/>
      <c r="AC943" s="4"/>
      <c r="AD943" s="4"/>
      <c r="AE943" s="4"/>
    </row>
    <row r="944" spans="1:31" ht="14.4">
      <c r="A944" s="4"/>
      <c r="B944" s="4"/>
      <c r="C944" s="50"/>
      <c r="D944" s="56"/>
      <c r="E944" s="56"/>
      <c r="F944" s="59"/>
      <c r="G944" s="4"/>
      <c r="H944" s="56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50"/>
      <c r="U944" s="50"/>
      <c r="V944" s="4"/>
      <c r="W944" s="4"/>
      <c r="X944" s="4"/>
      <c r="Y944" s="4"/>
      <c r="Z944" s="4"/>
      <c r="AA944" s="4"/>
      <c r="AB944" s="4"/>
      <c r="AC944" s="4"/>
      <c r="AD944" s="4"/>
      <c r="AE944" s="4"/>
    </row>
    <row r="945" spans="1:31" ht="14.4">
      <c r="A945" s="4"/>
      <c r="B945" s="4"/>
      <c r="C945" s="50"/>
      <c r="D945" s="56"/>
      <c r="E945" s="56"/>
      <c r="F945" s="59"/>
      <c r="G945" s="4"/>
      <c r="H945" s="56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50"/>
      <c r="U945" s="50"/>
      <c r="V945" s="4"/>
      <c r="W945" s="4"/>
      <c r="X945" s="4"/>
      <c r="Y945" s="4"/>
      <c r="Z945" s="4"/>
      <c r="AA945" s="4"/>
      <c r="AB945" s="4"/>
      <c r="AC945" s="4"/>
      <c r="AD945" s="4"/>
      <c r="AE945" s="4"/>
    </row>
    <row r="946" spans="1:31" ht="14.4">
      <c r="A946" s="4"/>
      <c r="B946" s="4"/>
      <c r="C946" s="50"/>
      <c r="D946" s="56"/>
      <c r="E946" s="56"/>
      <c r="F946" s="59"/>
      <c r="G946" s="4"/>
      <c r="H946" s="56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50"/>
      <c r="U946" s="50"/>
      <c r="V946" s="4"/>
      <c r="W946" s="4"/>
      <c r="X946" s="4"/>
      <c r="Y946" s="4"/>
      <c r="Z946" s="4"/>
      <c r="AA946" s="4"/>
      <c r="AB946" s="4"/>
      <c r="AC946" s="4"/>
      <c r="AD946" s="4"/>
      <c r="AE946" s="4"/>
    </row>
    <row r="947" spans="1:31" ht="14.4">
      <c r="A947" s="4"/>
      <c r="B947" s="4"/>
      <c r="C947" s="50"/>
      <c r="D947" s="56"/>
      <c r="E947" s="56"/>
      <c r="F947" s="59"/>
      <c r="G947" s="4"/>
      <c r="H947" s="56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50"/>
      <c r="U947" s="50"/>
      <c r="V947" s="4"/>
      <c r="W947" s="4"/>
      <c r="X947" s="4"/>
      <c r="Y947" s="4"/>
      <c r="Z947" s="4"/>
      <c r="AA947" s="4"/>
      <c r="AB947" s="4"/>
      <c r="AC947" s="4"/>
      <c r="AD947" s="4"/>
      <c r="AE947" s="4"/>
    </row>
    <row r="948" spans="1:31" ht="14.4">
      <c r="A948" s="4"/>
      <c r="B948" s="4"/>
      <c r="C948" s="50"/>
      <c r="D948" s="56"/>
      <c r="E948" s="56"/>
      <c r="F948" s="59"/>
      <c r="G948" s="4"/>
      <c r="H948" s="56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50"/>
      <c r="U948" s="50"/>
      <c r="V948" s="4"/>
      <c r="W948" s="4"/>
      <c r="X948" s="4"/>
      <c r="Y948" s="4"/>
      <c r="Z948" s="4"/>
      <c r="AA948" s="4"/>
      <c r="AB948" s="4"/>
      <c r="AC948" s="4"/>
      <c r="AD948" s="4"/>
      <c r="AE948" s="4"/>
    </row>
    <row r="949" spans="1:31" ht="14.4">
      <c r="A949" s="4"/>
      <c r="B949" s="4"/>
      <c r="C949" s="50"/>
      <c r="D949" s="56"/>
      <c r="E949" s="56"/>
      <c r="F949" s="59"/>
      <c r="G949" s="4"/>
      <c r="H949" s="56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50"/>
      <c r="U949" s="50"/>
      <c r="V949" s="4"/>
      <c r="W949" s="4"/>
      <c r="X949" s="4"/>
      <c r="Y949" s="4"/>
      <c r="Z949" s="4"/>
      <c r="AA949" s="4"/>
      <c r="AB949" s="4"/>
      <c r="AC949" s="4"/>
      <c r="AD949" s="4"/>
      <c r="AE949" s="4"/>
    </row>
    <row r="950" spans="1:31" ht="14.4">
      <c r="A950" s="4"/>
      <c r="B950" s="4"/>
      <c r="C950" s="50"/>
      <c r="D950" s="56"/>
      <c r="E950" s="56"/>
      <c r="F950" s="59"/>
      <c r="G950" s="4"/>
      <c r="H950" s="56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50"/>
      <c r="U950" s="50"/>
      <c r="V950" s="4"/>
      <c r="W950" s="4"/>
      <c r="X950" s="4"/>
      <c r="Y950" s="4"/>
      <c r="Z950" s="4"/>
      <c r="AA950" s="4"/>
      <c r="AB950" s="4"/>
      <c r="AC950" s="4"/>
      <c r="AD950" s="4"/>
      <c r="AE950" s="4"/>
    </row>
    <row r="951" spans="1:31" ht="14.4">
      <c r="A951" s="4"/>
      <c r="B951" s="4"/>
      <c r="C951" s="50"/>
      <c r="D951" s="56"/>
      <c r="E951" s="56"/>
      <c r="F951" s="59"/>
      <c r="G951" s="4"/>
      <c r="H951" s="56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50"/>
      <c r="U951" s="50"/>
      <c r="V951" s="4"/>
      <c r="W951" s="4"/>
      <c r="X951" s="4"/>
      <c r="Y951" s="4"/>
      <c r="Z951" s="4"/>
      <c r="AA951" s="4"/>
      <c r="AB951" s="4"/>
      <c r="AC951" s="4"/>
      <c r="AD951" s="4"/>
      <c r="AE951" s="4"/>
    </row>
    <row r="952" spans="1:31" ht="14.4">
      <c r="A952" s="4"/>
      <c r="B952" s="4"/>
      <c r="C952" s="50"/>
      <c r="D952" s="56"/>
      <c r="E952" s="56"/>
      <c r="F952" s="59"/>
      <c r="G952" s="4"/>
      <c r="H952" s="56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50"/>
      <c r="U952" s="50"/>
      <c r="V952" s="4"/>
      <c r="W952" s="4"/>
      <c r="X952" s="4"/>
      <c r="Y952" s="4"/>
      <c r="Z952" s="4"/>
      <c r="AA952" s="4"/>
      <c r="AB952" s="4"/>
      <c r="AC952" s="4"/>
      <c r="AD952" s="4"/>
      <c r="AE952" s="4"/>
    </row>
    <row r="953" spans="1:31" ht="14.4">
      <c r="A953" s="4"/>
      <c r="B953" s="4"/>
      <c r="C953" s="50"/>
      <c r="D953" s="56"/>
      <c r="E953" s="56"/>
      <c r="F953" s="59"/>
      <c r="G953" s="4"/>
      <c r="H953" s="56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50"/>
      <c r="U953" s="50"/>
      <c r="V953" s="4"/>
      <c r="W953" s="4"/>
      <c r="X953" s="4"/>
      <c r="Y953" s="4"/>
      <c r="Z953" s="4"/>
      <c r="AA953" s="4"/>
      <c r="AB953" s="4"/>
      <c r="AC953" s="4"/>
      <c r="AD953" s="4"/>
      <c r="AE953" s="4"/>
    </row>
    <row r="954" spans="1:31" ht="14.4">
      <c r="A954" s="4"/>
      <c r="B954" s="4"/>
      <c r="C954" s="50"/>
      <c r="D954" s="56"/>
      <c r="E954" s="56"/>
      <c r="F954" s="59"/>
      <c r="G954" s="4"/>
      <c r="H954" s="56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50"/>
      <c r="U954" s="50"/>
      <c r="V954" s="4"/>
      <c r="W954" s="4"/>
      <c r="X954" s="4"/>
      <c r="Y954" s="4"/>
      <c r="Z954" s="4"/>
      <c r="AA954" s="4"/>
      <c r="AB954" s="4"/>
      <c r="AC954" s="4"/>
      <c r="AD954" s="4"/>
      <c r="AE954" s="4"/>
    </row>
    <row r="955" spans="1:31" ht="14.4">
      <c r="A955" s="4"/>
      <c r="B955" s="4"/>
      <c r="C955" s="50"/>
      <c r="D955" s="56"/>
      <c r="E955" s="56"/>
      <c r="F955" s="59"/>
      <c r="G955" s="4"/>
      <c r="H955" s="56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50"/>
      <c r="U955" s="50"/>
      <c r="V955" s="4"/>
      <c r="W955" s="4"/>
      <c r="X955" s="4"/>
      <c r="Y955" s="4"/>
      <c r="Z955" s="4"/>
      <c r="AA955" s="4"/>
      <c r="AB955" s="4"/>
      <c r="AC955" s="4"/>
      <c r="AD955" s="4"/>
      <c r="AE955" s="4"/>
    </row>
    <row r="956" spans="1:31" ht="14.4">
      <c r="A956" s="4"/>
      <c r="B956" s="4"/>
      <c r="C956" s="50"/>
      <c r="D956" s="56"/>
      <c r="E956" s="56"/>
      <c r="F956" s="59"/>
      <c r="G956" s="4"/>
      <c r="H956" s="56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50"/>
      <c r="U956" s="50"/>
      <c r="V956" s="4"/>
      <c r="W956" s="4"/>
      <c r="X956" s="4"/>
      <c r="Y956" s="4"/>
      <c r="Z956" s="4"/>
      <c r="AA956" s="4"/>
      <c r="AB956" s="4"/>
      <c r="AC956" s="4"/>
      <c r="AD956" s="4"/>
      <c r="AE956" s="4"/>
    </row>
    <row r="957" spans="1:31" ht="14.4">
      <c r="A957" s="4"/>
      <c r="B957" s="4"/>
      <c r="C957" s="50"/>
      <c r="D957" s="56"/>
      <c r="E957" s="56"/>
      <c r="F957" s="59"/>
      <c r="G957" s="4"/>
      <c r="H957" s="56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50"/>
      <c r="U957" s="50"/>
      <c r="V957" s="4"/>
      <c r="W957" s="4"/>
      <c r="X957" s="4"/>
      <c r="Y957" s="4"/>
      <c r="Z957" s="4"/>
      <c r="AA957" s="4"/>
      <c r="AB957" s="4"/>
      <c r="AC957" s="4"/>
      <c r="AD957" s="4"/>
      <c r="AE957" s="4"/>
    </row>
    <row r="958" spans="1:31" ht="14.4">
      <c r="A958" s="4"/>
      <c r="B958" s="4"/>
      <c r="C958" s="50"/>
      <c r="D958" s="56"/>
      <c r="E958" s="56"/>
      <c r="F958" s="59"/>
      <c r="G958" s="4"/>
      <c r="H958" s="56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50"/>
      <c r="U958" s="50"/>
      <c r="V958" s="4"/>
      <c r="W958" s="4"/>
      <c r="X958" s="4"/>
      <c r="Y958" s="4"/>
      <c r="Z958" s="4"/>
      <c r="AA958" s="4"/>
      <c r="AB958" s="4"/>
      <c r="AC958" s="4"/>
      <c r="AD958" s="4"/>
      <c r="AE958" s="4"/>
    </row>
    <row r="959" spans="1:31" ht="14.4">
      <c r="A959" s="4"/>
      <c r="B959" s="4"/>
      <c r="C959" s="50"/>
      <c r="D959" s="56"/>
      <c r="E959" s="56"/>
      <c r="F959" s="59"/>
      <c r="G959" s="4"/>
      <c r="H959" s="56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50"/>
      <c r="U959" s="50"/>
      <c r="V959" s="4"/>
      <c r="W959" s="4"/>
      <c r="X959" s="4"/>
      <c r="Y959" s="4"/>
      <c r="Z959" s="4"/>
      <c r="AA959" s="4"/>
      <c r="AB959" s="4"/>
      <c r="AC959" s="4"/>
      <c r="AD959" s="4"/>
      <c r="AE959" s="4"/>
    </row>
    <row r="960" spans="1:31" ht="14.4">
      <c r="A960" s="4"/>
      <c r="B960" s="4"/>
      <c r="C960" s="50"/>
      <c r="D960" s="56"/>
      <c r="E960" s="56"/>
      <c r="F960" s="59"/>
      <c r="G960" s="4"/>
      <c r="H960" s="56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50"/>
      <c r="U960" s="50"/>
      <c r="V960" s="4"/>
      <c r="W960" s="4"/>
      <c r="X960" s="4"/>
      <c r="Y960" s="4"/>
      <c r="Z960" s="4"/>
      <c r="AA960" s="4"/>
      <c r="AB960" s="4"/>
      <c r="AC960" s="4"/>
      <c r="AD960" s="4"/>
      <c r="AE960" s="4"/>
    </row>
    <row r="961" spans="1:31" ht="14.4">
      <c r="A961" s="4"/>
      <c r="B961" s="4"/>
      <c r="C961" s="50"/>
      <c r="D961" s="56"/>
      <c r="E961" s="56"/>
      <c r="F961" s="59"/>
      <c r="G961" s="4"/>
      <c r="H961" s="56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50"/>
      <c r="U961" s="50"/>
      <c r="V961" s="4"/>
      <c r="W961" s="4"/>
      <c r="X961" s="4"/>
      <c r="Y961" s="4"/>
      <c r="Z961" s="4"/>
      <c r="AA961" s="4"/>
      <c r="AB961" s="4"/>
      <c r="AC961" s="4"/>
      <c r="AD961" s="4"/>
      <c r="AE961" s="4"/>
    </row>
    <row r="962" spans="1:31" ht="14.4">
      <c r="A962" s="4"/>
      <c r="B962" s="4"/>
      <c r="C962" s="50"/>
      <c r="D962" s="56"/>
      <c r="E962" s="56"/>
      <c r="F962" s="59"/>
      <c r="G962" s="4"/>
      <c r="H962" s="56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50"/>
      <c r="U962" s="50"/>
      <c r="V962" s="4"/>
      <c r="W962" s="4"/>
      <c r="X962" s="4"/>
      <c r="Y962" s="4"/>
      <c r="Z962" s="4"/>
      <c r="AA962" s="4"/>
      <c r="AB962" s="4"/>
      <c r="AC962" s="4"/>
      <c r="AD962" s="4"/>
      <c r="AE962" s="4"/>
    </row>
    <row r="963" spans="1:31" ht="14.4">
      <c r="A963" s="4"/>
      <c r="B963" s="4"/>
      <c r="C963" s="50"/>
      <c r="D963" s="56"/>
      <c r="E963" s="56"/>
      <c r="F963" s="59"/>
      <c r="G963" s="4"/>
      <c r="H963" s="56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50"/>
      <c r="U963" s="50"/>
      <c r="V963" s="4"/>
      <c r="W963" s="4"/>
      <c r="X963" s="4"/>
      <c r="Y963" s="4"/>
      <c r="Z963" s="4"/>
      <c r="AA963" s="4"/>
      <c r="AB963" s="4"/>
      <c r="AC963" s="4"/>
      <c r="AD963" s="4"/>
      <c r="AE963" s="4"/>
    </row>
    <row r="964" spans="1:31" ht="14.4">
      <c r="A964" s="4"/>
      <c r="B964" s="4"/>
      <c r="C964" s="50"/>
      <c r="D964" s="56"/>
      <c r="E964" s="56"/>
      <c r="F964" s="59"/>
      <c r="G964" s="4"/>
      <c r="H964" s="56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50"/>
      <c r="U964" s="50"/>
      <c r="V964" s="4"/>
      <c r="W964" s="4"/>
      <c r="X964" s="4"/>
      <c r="Y964" s="4"/>
      <c r="Z964" s="4"/>
      <c r="AA964" s="4"/>
      <c r="AB964" s="4"/>
      <c r="AC964" s="4"/>
      <c r="AD964" s="4"/>
      <c r="AE964" s="4"/>
    </row>
    <row r="965" spans="1:31" ht="14.4">
      <c r="A965" s="4"/>
      <c r="B965" s="4"/>
      <c r="C965" s="50"/>
      <c r="D965" s="56"/>
      <c r="E965" s="56"/>
      <c r="F965" s="59"/>
      <c r="G965" s="4"/>
      <c r="H965" s="56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50"/>
      <c r="U965" s="50"/>
      <c r="V965" s="4"/>
      <c r="W965" s="4"/>
      <c r="X965" s="4"/>
      <c r="Y965" s="4"/>
      <c r="Z965" s="4"/>
      <c r="AA965" s="4"/>
      <c r="AB965" s="4"/>
      <c r="AC965" s="4"/>
      <c r="AD965" s="4"/>
      <c r="AE965" s="4"/>
    </row>
    <row r="966" spans="1:31" ht="14.4">
      <c r="A966" s="4"/>
      <c r="B966" s="4"/>
      <c r="C966" s="50"/>
      <c r="D966" s="56"/>
      <c r="E966" s="56"/>
      <c r="F966" s="59"/>
      <c r="G966" s="4"/>
      <c r="H966" s="56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50"/>
      <c r="U966" s="50"/>
      <c r="V966" s="4"/>
      <c r="W966" s="4"/>
      <c r="X966" s="4"/>
      <c r="Y966" s="4"/>
      <c r="Z966" s="4"/>
      <c r="AA966" s="4"/>
      <c r="AB966" s="4"/>
      <c r="AC966" s="4"/>
      <c r="AD966" s="4"/>
      <c r="AE966" s="4"/>
    </row>
    <row r="967" spans="1:31" ht="14.4">
      <c r="A967" s="4"/>
      <c r="B967" s="4"/>
      <c r="C967" s="50"/>
      <c r="D967" s="56"/>
      <c r="E967" s="56"/>
      <c r="F967" s="59"/>
      <c r="G967" s="4"/>
      <c r="H967" s="56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50"/>
      <c r="U967" s="50"/>
      <c r="V967" s="4"/>
      <c r="W967" s="4"/>
      <c r="X967" s="4"/>
      <c r="Y967" s="4"/>
      <c r="Z967" s="4"/>
      <c r="AA967" s="4"/>
      <c r="AB967" s="4"/>
      <c r="AC967" s="4"/>
      <c r="AD967" s="4"/>
      <c r="AE967" s="4"/>
    </row>
    <row r="968" spans="1:31" ht="14.4">
      <c r="A968" s="4"/>
      <c r="B968" s="4"/>
      <c r="C968" s="50"/>
      <c r="D968" s="56"/>
      <c r="E968" s="56"/>
      <c r="F968" s="59"/>
      <c r="G968" s="4"/>
      <c r="H968" s="56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50"/>
      <c r="U968" s="50"/>
      <c r="V968" s="4"/>
      <c r="W968" s="4"/>
      <c r="X968" s="4"/>
      <c r="Y968" s="4"/>
      <c r="Z968" s="4"/>
      <c r="AA968" s="4"/>
      <c r="AB968" s="4"/>
      <c r="AC968" s="4"/>
      <c r="AD968" s="4"/>
      <c r="AE968" s="4"/>
    </row>
    <row r="969" spans="1:31" ht="14.4">
      <c r="A969" s="4"/>
      <c r="B969" s="4"/>
      <c r="C969" s="50"/>
      <c r="D969" s="56"/>
      <c r="E969" s="56"/>
      <c r="F969" s="59"/>
      <c r="G969" s="4"/>
      <c r="H969" s="56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50"/>
      <c r="U969" s="50"/>
      <c r="V969" s="4"/>
      <c r="W969" s="4"/>
      <c r="X969" s="4"/>
      <c r="Y969" s="4"/>
      <c r="Z969" s="4"/>
      <c r="AA969" s="4"/>
      <c r="AB969" s="4"/>
      <c r="AC969" s="4"/>
      <c r="AD969" s="4"/>
      <c r="AE969" s="4"/>
    </row>
    <row r="970" spans="1:31" ht="14.4">
      <c r="A970" s="4"/>
      <c r="B970" s="4"/>
      <c r="C970" s="50"/>
      <c r="D970" s="56"/>
      <c r="E970" s="56"/>
      <c r="F970" s="59"/>
      <c r="G970" s="4"/>
      <c r="H970" s="56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50"/>
      <c r="U970" s="50"/>
      <c r="V970" s="4"/>
      <c r="W970" s="4"/>
      <c r="X970" s="4"/>
      <c r="Y970" s="4"/>
      <c r="Z970" s="4"/>
      <c r="AA970" s="4"/>
      <c r="AB970" s="4"/>
      <c r="AC970" s="4"/>
      <c r="AD970" s="4"/>
      <c r="AE970" s="4"/>
    </row>
    <row r="971" spans="1:31" ht="14.4">
      <c r="A971" s="4"/>
      <c r="B971" s="4"/>
      <c r="C971" s="50"/>
      <c r="D971" s="56"/>
      <c r="E971" s="56"/>
      <c r="F971" s="59"/>
      <c r="G971" s="4"/>
      <c r="H971" s="56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50"/>
      <c r="U971" s="50"/>
      <c r="V971" s="4"/>
      <c r="W971" s="4"/>
      <c r="X971" s="4"/>
      <c r="Y971" s="4"/>
      <c r="Z971" s="4"/>
      <c r="AA971" s="4"/>
      <c r="AB971" s="4"/>
      <c r="AC971" s="4"/>
      <c r="AD971" s="4"/>
      <c r="AE971" s="4"/>
    </row>
    <row r="972" spans="1:31" ht="14.4">
      <c r="A972" s="4"/>
      <c r="B972" s="4"/>
      <c r="C972" s="50"/>
      <c r="D972" s="56"/>
      <c r="E972" s="56"/>
      <c r="F972" s="59"/>
      <c r="G972" s="4"/>
      <c r="H972" s="56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50"/>
      <c r="U972" s="50"/>
      <c r="V972" s="4"/>
      <c r="W972" s="4"/>
      <c r="X972" s="4"/>
      <c r="Y972" s="4"/>
      <c r="Z972" s="4"/>
      <c r="AA972" s="4"/>
      <c r="AB972" s="4"/>
      <c r="AC972" s="4"/>
      <c r="AD972" s="4"/>
      <c r="AE972" s="4"/>
    </row>
    <row r="973" spans="1:31" ht="14.4">
      <c r="A973" s="4"/>
      <c r="B973" s="4"/>
      <c r="C973" s="50"/>
      <c r="D973" s="56"/>
      <c r="E973" s="56"/>
      <c r="F973" s="59"/>
      <c r="G973" s="4"/>
      <c r="H973" s="56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50"/>
      <c r="U973" s="50"/>
      <c r="V973" s="4"/>
      <c r="W973" s="4"/>
      <c r="X973" s="4"/>
      <c r="Y973" s="4"/>
      <c r="Z973" s="4"/>
      <c r="AA973" s="4"/>
      <c r="AB973" s="4"/>
      <c r="AC973" s="4"/>
      <c r="AD973" s="4"/>
      <c r="AE973" s="4"/>
    </row>
    <row r="974" spans="1:31" ht="14.4">
      <c r="A974" s="4"/>
      <c r="B974" s="4"/>
      <c r="C974" s="50"/>
      <c r="D974" s="56"/>
      <c r="E974" s="56"/>
      <c r="F974" s="59"/>
      <c r="G974" s="4"/>
      <c r="H974" s="56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50"/>
      <c r="U974" s="50"/>
      <c r="V974" s="4"/>
      <c r="W974" s="4"/>
      <c r="X974" s="4"/>
      <c r="Y974" s="4"/>
      <c r="Z974" s="4"/>
      <c r="AA974" s="4"/>
      <c r="AB974" s="4"/>
      <c r="AC974" s="4"/>
      <c r="AD974" s="4"/>
      <c r="AE974" s="4"/>
    </row>
    <row r="975" spans="1:31" ht="14.4">
      <c r="A975" s="4"/>
      <c r="B975" s="4"/>
      <c r="C975" s="50"/>
      <c r="D975" s="56"/>
      <c r="E975" s="56"/>
      <c r="F975" s="59"/>
      <c r="G975" s="4"/>
      <c r="H975" s="56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50"/>
      <c r="U975" s="50"/>
      <c r="V975" s="4"/>
      <c r="W975" s="4"/>
      <c r="X975" s="4"/>
      <c r="Y975" s="4"/>
      <c r="Z975" s="4"/>
      <c r="AA975" s="4"/>
      <c r="AB975" s="4"/>
      <c r="AC975" s="4"/>
      <c r="AD975" s="4"/>
      <c r="AE975" s="4"/>
    </row>
    <row r="976" spans="1:31" ht="14.4">
      <c r="A976" s="4"/>
      <c r="B976" s="4"/>
      <c r="C976" s="50"/>
      <c r="D976" s="56"/>
      <c r="E976" s="56"/>
      <c r="F976" s="59"/>
      <c r="G976" s="4"/>
      <c r="H976" s="56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50"/>
      <c r="U976" s="50"/>
      <c r="V976" s="4"/>
      <c r="W976" s="4"/>
      <c r="X976" s="4"/>
      <c r="Y976" s="4"/>
      <c r="Z976" s="4"/>
      <c r="AA976" s="4"/>
      <c r="AB976" s="4"/>
      <c r="AC976" s="4"/>
      <c r="AD976" s="4"/>
      <c r="AE976" s="4"/>
    </row>
    <row r="977" spans="1:31" ht="14.4">
      <c r="A977" s="4"/>
      <c r="B977" s="4"/>
      <c r="C977" s="50"/>
      <c r="D977" s="56"/>
      <c r="E977" s="56"/>
      <c r="F977" s="59"/>
      <c r="G977" s="4"/>
      <c r="H977" s="56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50"/>
      <c r="U977" s="50"/>
      <c r="V977" s="4"/>
      <c r="W977" s="4"/>
      <c r="X977" s="4"/>
      <c r="Y977" s="4"/>
      <c r="Z977" s="4"/>
      <c r="AA977" s="4"/>
      <c r="AB977" s="4"/>
      <c r="AC977" s="4"/>
      <c r="AD977" s="4"/>
      <c r="AE977" s="4"/>
    </row>
    <row r="978" spans="1:31" ht="14.4">
      <c r="A978" s="4"/>
      <c r="B978" s="4"/>
      <c r="C978" s="50"/>
      <c r="D978" s="56"/>
      <c r="E978" s="56"/>
      <c r="F978" s="59"/>
      <c r="G978" s="4"/>
      <c r="H978" s="56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50"/>
      <c r="U978" s="50"/>
      <c r="V978" s="4"/>
      <c r="W978" s="4"/>
      <c r="X978" s="4"/>
      <c r="Y978" s="4"/>
      <c r="Z978" s="4"/>
      <c r="AA978" s="4"/>
      <c r="AB978" s="4"/>
      <c r="AC978" s="4"/>
      <c r="AD978" s="4"/>
      <c r="AE978" s="4"/>
    </row>
    <row r="979" spans="1:31" ht="14.4">
      <c r="A979" s="4"/>
      <c r="B979" s="4"/>
      <c r="C979" s="50"/>
      <c r="D979" s="56"/>
      <c r="E979" s="56"/>
      <c r="F979" s="59"/>
      <c r="G979" s="4"/>
      <c r="H979" s="56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50"/>
      <c r="U979" s="50"/>
      <c r="V979" s="4"/>
      <c r="W979" s="4"/>
      <c r="X979" s="4"/>
      <c r="Y979" s="4"/>
      <c r="Z979" s="4"/>
      <c r="AA979" s="4"/>
      <c r="AB979" s="4"/>
      <c r="AC979" s="4"/>
      <c r="AD979" s="4"/>
      <c r="AE979" s="4"/>
    </row>
    <row r="980" spans="1:31" ht="14.4">
      <c r="A980" s="4"/>
      <c r="B980" s="4"/>
      <c r="C980" s="50"/>
      <c r="D980" s="56"/>
      <c r="E980" s="56"/>
      <c r="F980" s="59"/>
      <c r="G980" s="4"/>
      <c r="H980" s="56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50"/>
      <c r="U980" s="50"/>
      <c r="V980" s="4"/>
      <c r="W980" s="4"/>
      <c r="X980" s="4"/>
      <c r="Y980" s="4"/>
      <c r="Z980" s="4"/>
      <c r="AA980" s="4"/>
      <c r="AB980" s="4"/>
      <c r="AC980" s="4"/>
      <c r="AD980" s="4"/>
      <c r="AE980" s="4"/>
    </row>
    <row r="981" spans="1:31" ht="14.4">
      <c r="A981" s="4"/>
      <c r="B981" s="4"/>
      <c r="C981" s="50"/>
      <c r="D981" s="56"/>
      <c r="E981" s="56"/>
      <c r="F981" s="59"/>
      <c r="G981" s="4"/>
      <c r="H981" s="56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50"/>
      <c r="U981" s="50"/>
      <c r="V981" s="4"/>
      <c r="W981" s="4"/>
      <c r="X981" s="4"/>
      <c r="Y981" s="4"/>
      <c r="Z981" s="4"/>
      <c r="AA981" s="4"/>
      <c r="AB981" s="4"/>
      <c r="AC981" s="4"/>
      <c r="AD981" s="4"/>
      <c r="AE981" s="4"/>
    </row>
    <row r="982" spans="1:31" ht="14.4">
      <c r="A982" s="4"/>
      <c r="B982" s="4"/>
      <c r="C982" s="50"/>
      <c r="D982" s="56"/>
      <c r="E982" s="56"/>
      <c r="F982" s="59"/>
      <c r="G982" s="4"/>
      <c r="H982" s="56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50"/>
      <c r="U982" s="50"/>
      <c r="V982" s="4"/>
      <c r="W982" s="4"/>
      <c r="X982" s="4"/>
      <c r="Y982" s="4"/>
      <c r="Z982" s="4"/>
      <c r="AA982" s="4"/>
      <c r="AB982" s="4"/>
      <c r="AC982" s="4"/>
      <c r="AD982" s="4"/>
      <c r="AE982" s="4"/>
    </row>
    <row r="983" spans="1:31" ht="14.4">
      <c r="A983" s="4"/>
      <c r="B983" s="4"/>
      <c r="C983" s="50"/>
      <c r="D983" s="56"/>
      <c r="E983" s="56"/>
      <c r="F983" s="59"/>
      <c r="G983" s="4"/>
      <c r="H983" s="56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50"/>
      <c r="U983" s="50"/>
      <c r="V983" s="4"/>
      <c r="W983" s="4"/>
      <c r="X983" s="4"/>
      <c r="Y983" s="4"/>
      <c r="Z983" s="4"/>
      <c r="AA983" s="4"/>
      <c r="AB983" s="4"/>
      <c r="AC983" s="4"/>
      <c r="AD983" s="4"/>
      <c r="AE983" s="4"/>
    </row>
    <row r="984" spans="1:31" ht="14.4">
      <c r="A984" s="4"/>
      <c r="B984" s="4"/>
      <c r="C984" s="50"/>
      <c r="D984" s="56"/>
      <c r="E984" s="56"/>
      <c r="F984" s="59"/>
      <c r="G984" s="4"/>
      <c r="H984" s="56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50"/>
      <c r="U984" s="50"/>
      <c r="V984" s="4"/>
      <c r="W984" s="4"/>
      <c r="X984" s="4"/>
      <c r="Y984" s="4"/>
      <c r="Z984" s="4"/>
      <c r="AA984" s="4"/>
      <c r="AB984" s="4"/>
      <c r="AC984" s="4"/>
      <c r="AD984" s="4"/>
      <c r="AE984" s="4"/>
    </row>
    <row r="985" spans="1:31" ht="14.4">
      <c r="A985" s="4"/>
      <c r="B985" s="4"/>
      <c r="C985" s="50"/>
      <c r="D985" s="56"/>
      <c r="E985" s="56"/>
      <c r="F985" s="59"/>
      <c r="G985" s="4"/>
      <c r="H985" s="56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50"/>
      <c r="U985" s="50"/>
      <c r="V985" s="4"/>
      <c r="W985" s="4"/>
      <c r="X985" s="4"/>
      <c r="Y985" s="4"/>
      <c r="Z985" s="4"/>
      <c r="AA985" s="4"/>
      <c r="AB985" s="4"/>
      <c r="AC985" s="4"/>
      <c r="AD985" s="4"/>
      <c r="AE985" s="4"/>
    </row>
    <row r="986" spans="1:31" ht="14.4">
      <c r="A986" s="4"/>
      <c r="B986" s="4"/>
      <c r="C986" s="50"/>
      <c r="D986" s="56"/>
      <c r="E986" s="56"/>
      <c r="F986" s="59"/>
      <c r="G986" s="4"/>
      <c r="H986" s="56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50"/>
      <c r="U986" s="50"/>
      <c r="V986" s="4"/>
      <c r="W986" s="4"/>
      <c r="X986" s="4"/>
      <c r="Y986" s="4"/>
      <c r="Z986" s="4"/>
      <c r="AA986" s="4"/>
      <c r="AB986" s="4"/>
      <c r="AC986" s="4"/>
      <c r="AD986" s="4"/>
      <c r="AE986" s="4"/>
    </row>
    <row r="987" spans="1:31" ht="14.4">
      <c r="A987" s="4"/>
      <c r="B987" s="4"/>
      <c r="C987" s="50"/>
      <c r="D987" s="56"/>
      <c r="E987" s="56"/>
      <c r="F987" s="59"/>
      <c r="G987" s="4"/>
      <c r="H987" s="56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50"/>
      <c r="U987" s="50"/>
      <c r="V987" s="4"/>
      <c r="W987" s="4"/>
      <c r="X987" s="4"/>
      <c r="Y987" s="4"/>
      <c r="Z987" s="4"/>
      <c r="AA987" s="4"/>
      <c r="AB987" s="4"/>
      <c r="AC987" s="4"/>
      <c r="AD987" s="4"/>
      <c r="AE987" s="4"/>
    </row>
    <row r="988" spans="1:31" ht="14.4">
      <c r="A988" s="4"/>
      <c r="B988" s="4"/>
      <c r="C988" s="50"/>
      <c r="D988" s="56"/>
      <c r="E988" s="56"/>
      <c r="F988" s="59"/>
      <c r="G988" s="4"/>
      <c r="H988" s="56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50"/>
      <c r="U988" s="50"/>
      <c r="V988" s="4"/>
      <c r="W988" s="4"/>
      <c r="X988" s="4"/>
      <c r="Y988" s="4"/>
      <c r="Z988" s="4"/>
      <c r="AA988" s="4"/>
      <c r="AB988" s="4"/>
      <c r="AC988" s="4"/>
      <c r="AD988" s="4"/>
      <c r="AE988" s="4"/>
    </row>
    <row r="989" spans="1:31" ht="14.4">
      <c r="A989" s="4"/>
      <c r="B989" s="4"/>
      <c r="C989" s="50"/>
      <c r="D989" s="56"/>
      <c r="E989" s="56"/>
      <c r="F989" s="59"/>
      <c r="G989" s="4"/>
      <c r="H989" s="56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50"/>
      <c r="U989" s="50"/>
      <c r="V989" s="4"/>
      <c r="W989" s="4"/>
      <c r="X989" s="4"/>
      <c r="Y989" s="4"/>
      <c r="Z989" s="4"/>
      <c r="AA989" s="4"/>
      <c r="AB989" s="4"/>
      <c r="AC989" s="4"/>
      <c r="AD989" s="4"/>
      <c r="AE989" s="4"/>
    </row>
    <row r="990" spans="1:31" ht="14.4">
      <c r="A990" s="4"/>
      <c r="B990" s="4"/>
      <c r="C990" s="50"/>
      <c r="D990" s="56"/>
      <c r="E990" s="56"/>
      <c r="F990" s="59"/>
      <c r="G990" s="4"/>
      <c r="H990" s="56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50"/>
      <c r="U990" s="50"/>
      <c r="V990" s="4"/>
      <c r="W990" s="4"/>
      <c r="X990" s="4"/>
      <c r="Y990" s="4"/>
      <c r="Z990" s="4"/>
      <c r="AA990" s="4"/>
      <c r="AB990" s="4"/>
      <c r="AC990" s="4"/>
      <c r="AD990" s="4"/>
      <c r="AE990" s="4"/>
    </row>
    <row r="991" spans="1:31" ht="14.4">
      <c r="A991" s="4"/>
      <c r="B991" s="4"/>
      <c r="C991" s="50"/>
      <c r="D991" s="56"/>
      <c r="E991" s="56"/>
      <c r="F991" s="59"/>
      <c r="G991" s="4"/>
      <c r="H991" s="56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50"/>
      <c r="U991" s="50"/>
      <c r="V991" s="4"/>
      <c r="W991" s="4"/>
      <c r="X991" s="4"/>
      <c r="Y991" s="4"/>
      <c r="Z991" s="4"/>
      <c r="AA991" s="4"/>
      <c r="AB991" s="4"/>
      <c r="AC991" s="4"/>
      <c r="AD991" s="4"/>
      <c r="AE991" s="4"/>
    </row>
    <row r="992" spans="1:31" ht="14.4">
      <c r="A992" s="4"/>
      <c r="B992" s="4"/>
      <c r="C992" s="50"/>
      <c r="D992" s="56"/>
      <c r="E992" s="56"/>
      <c r="F992" s="59"/>
      <c r="G992" s="4"/>
      <c r="H992" s="56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50"/>
      <c r="U992" s="50"/>
      <c r="V992" s="4"/>
      <c r="W992" s="4"/>
      <c r="X992" s="4"/>
      <c r="Y992" s="4"/>
      <c r="Z992" s="4"/>
      <c r="AA992" s="4"/>
      <c r="AB992" s="4"/>
      <c r="AC992" s="4"/>
      <c r="AD992" s="4"/>
      <c r="AE992" s="4"/>
    </row>
    <row r="993" spans="1:31" ht="14.4">
      <c r="A993" s="4"/>
      <c r="B993" s="4"/>
      <c r="C993" s="50"/>
      <c r="D993" s="56"/>
      <c r="E993" s="56"/>
      <c r="F993" s="59"/>
      <c r="G993" s="4"/>
      <c r="H993" s="56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50"/>
      <c r="U993" s="50"/>
      <c r="V993" s="4"/>
      <c r="W993" s="4"/>
      <c r="X993" s="4"/>
      <c r="Y993" s="4"/>
      <c r="Z993" s="4"/>
      <c r="AA993" s="4"/>
      <c r="AB993" s="4"/>
      <c r="AC993" s="4"/>
      <c r="AD993" s="4"/>
      <c r="AE993" s="4"/>
    </row>
    <row r="994" spans="1:31" ht="14.4">
      <c r="A994" s="4"/>
      <c r="B994" s="4"/>
      <c r="C994" s="50"/>
      <c r="D994" s="56"/>
      <c r="E994" s="56"/>
      <c r="F994" s="59"/>
      <c r="G994" s="4"/>
      <c r="H994" s="56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50"/>
      <c r="U994" s="50"/>
      <c r="V994" s="4"/>
      <c r="W994" s="4"/>
      <c r="X994" s="4"/>
      <c r="Y994" s="4"/>
      <c r="Z994" s="4"/>
      <c r="AA994" s="4"/>
      <c r="AB994" s="4"/>
      <c r="AC994" s="4"/>
      <c r="AD994" s="4"/>
      <c r="AE994" s="4"/>
    </row>
    <row r="995" spans="1:31" ht="14.4">
      <c r="A995" s="4"/>
      <c r="B995" s="4"/>
      <c r="C995" s="50"/>
      <c r="D995" s="56"/>
      <c r="E995" s="56"/>
      <c r="F995" s="59"/>
      <c r="G995" s="4"/>
      <c r="H995" s="56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50"/>
      <c r="U995" s="50"/>
      <c r="V995" s="4"/>
      <c r="W995" s="4"/>
      <c r="X995" s="4"/>
      <c r="Y995" s="4"/>
      <c r="Z995" s="4"/>
      <c r="AA995" s="4"/>
      <c r="AB995" s="4"/>
      <c r="AC995" s="4"/>
      <c r="AD995" s="4"/>
      <c r="AE995" s="4"/>
    </row>
    <row r="996" spans="1:31" ht="14.4">
      <c r="A996" s="4"/>
      <c r="B996" s="4"/>
      <c r="C996" s="50"/>
      <c r="D996" s="56"/>
      <c r="E996" s="56"/>
      <c r="F996" s="59"/>
      <c r="G996" s="4"/>
      <c r="H996" s="56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50"/>
      <c r="U996" s="50"/>
      <c r="V996" s="4"/>
      <c r="W996" s="4"/>
      <c r="X996" s="4"/>
      <c r="Y996" s="4"/>
      <c r="Z996" s="4"/>
      <c r="AA996" s="4"/>
      <c r="AB996" s="4"/>
      <c r="AC996" s="4"/>
      <c r="AD996" s="4"/>
      <c r="AE996" s="4"/>
    </row>
    <row r="997" spans="1:31" ht="14.4">
      <c r="A997" s="4"/>
      <c r="B997" s="4"/>
      <c r="C997" s="4"/>
      <c r="D997" s="56"/>
      <c r="E997" s="56"/>
      <c r="F997" s="59"/>
      <c r="G997" s="4"/>
      <c r="H997" s="56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50"/>
      <c r="U997" s="50"/>
      <c r="V997" s="4"/>
      <c r="W997" s="4"/>
      <c r="X997" s="4"/>
      <c r="Y997" s="4"/>
      <c r="Z997" s="4"/>
      <c r="AA997" s="4"/>
      <c r="AB997" s="4"/>
      <c r="AC997" s="4"/>
      <c r="AD997" s="4"/>
      <c r="AE997" s="4"/>
    </row>
    <row r="998" spans="1:31" ht="14.4">
      <c r="A998" s="4"/>
      <c r="B998" s="4"/>
      <c r="C998" s="4"/>
      <c r="D998" s="56"/>
      <c r="E998" s="56"/>
      <c r="F998" s="59"/>
      <c r="G998" s="4"/>
      <c r="H998" s="56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50"/>
      <c r="U998" s="50"/>
      <c r="V998" s="4"/>
      <c r="W998" s="4"/>
      <c r="X998" s="4"/>
      <c r="Y998" s="4"/>
      <c r="Z998" s="4"/>
      <c r="AA998" s="4"/>
      <c r="AB998" s="4"/>
      <c r="AC998" s="4"/>
      <c r="AD998" s="4"/>
      <c r="AE998" s="4"/>
    </row>
    <row r="999" spans="1:31" ht="14.4">
      <c r="A999" s="4"/>
      <c r="B999" s="4"/>
      <c r="C999" s="4"/>
      <c r="D999" s="56"/>
      <c r="E999" s="56"/>
      <c r="F999" s="59"/>
      <c r="G999" s="4"/>
      <c r="H999" s="56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50"/>
      <c r="U999" s="50"/>
      <c r="V999" s="4"/>
      <c r="W999" s="4"/>
      <c r="X999" s="4"/>
      <c r="Y999" s="4"/>
      <c r="Z999" s="4"/>
      <c r="AA999" s="4"/>
      <c r="AB999" s="4"/>
      <c r="AC999" s="4"/>
      <c r="AD999" s="4"/>
      <c r="AE999" s="4"/>
    </row>
    <row r="1000" spans="1:31" ht="14.4">
      <c r="A1000" s="4"/>
      <c r="B1000" s="4"/>
      <c r="C1000" s="4"/>
      <c r="D1000" s="56"/>
      <c r="E1000" s="56"/>
      <c r="F1000" s="59"/>
      <c r="G1000" s="4"/>
      <c r="H1000" s="56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50"/>
      <c r="U1000" s="50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</row>
    <row r="1001" spans="1:31" ht="14.4">
      <c r="A1001" s="4"/>
      <c r="B1001" s="4"/>
      <c r="C1001" s="4"/>
      <c r="D1001" s="56"/>
      <c r="E1001" s="56"/>
      <c r="F1001" s="59"/>
      <c r="G1001" s="4"/>
      <c r="H1001" s="56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50"/>
      <c r="U1001" s="50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</row>
    <row r="1002" spans="1:31" ht="14.4">
      <c r="A1002" s="4"/>
      <c r="B1002" s="4"/>
      <c r="C1002" s="4"/>
      <c r="D1002" s="56"/>
      <c r="E1002" s="56"/>
      <c r="F1002" s="59"/>
      <c r="G1002" s="4"/>
      <c r="H1002" s="56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50"/>
      <c r="U1002" s="50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</row>
    <row r="1003" spans="1:31" ht="14.4">
      <c r="A1003" s="4"/>
      <c r="B1003" s="4"/>
      <c r="C1003" s="4"/>
      <c r="D1003" s="56"/>
      <c r="E1003" s="56"/>
      <c r="F1003" s="59"/>
      <c r="G1003" s="4"/>
      <c r="H1003" s="56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50"/>
      <c r="U1003" s="50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</row>
    <row r="1004" spans="1:31" ht="14.4">
      <c r="A1004" s="4"/>
      <c r="B1004" s="4"/>
      <c r="C1004" s="4"/>
      <c r="D1004" s="56"/>
      <c r="E1004" s="56"/>
      <c r="F1004" s="59"/>
      <c r="G1004" s="4"/>
      <c r="H1004" s="56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50"/>
      <c r="U1004" s="50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</row>
    <row r="1005" spans="1:31" ht="14.4">
      <c r="A1005" s="4"/>
      <c r="B1005" s="4"/>
      <c r="C1005" s="4"/>
      <c r="D1005" s="56"/>
      <c r="E1005" s="56"/>
      <c r="F1005" s="59"/>
      <c r="G1005" s="4"/>
      <c r="H1005" s="56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50"/>
      <c r="U1005" s="50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</row>
    <row r="1006" spans="1:31" ht="14.4">
      <c r="A1006" s="4"/>
      <c r="B1006" s="4"/>
      <c r="C1006" s="4"/>
      <c r="D1006" s="56"/>
      <c r="E1006" s="56"/>
      <c r="F1006" s="59"/>
      <c r="G1006" s="4"/>
      <c r="H1006" s="56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50"/>
      <c r="U1006" s="50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</row>
    <row r="1007" spans="1:31" ht="14.4">
      <c r="A1007" s="4"/>
      <c r="B1007" s="4"/>
      <c r="C1007" s="4"/>
      <c r="D1007" s="56"/>
      <c r="E1007" s="56"/>
      <c r="F1007" s="59"/>
      <c r="G1007" s="4"/>
      <c r="H1007" s="56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50"/>
      <c r="U1007" s="50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</row>
    <row r="1008" spans="1:31" ht="14.4">
      <c r="A1008" s="4"/>
      <c r="B1008" s="4"/>
      <c r="C1008" s="4"/>
      <c r="D1008" s="56"/>
      <c r="E1008" s="56"/>
      <c r="F1008" s="59"/>
      <c r="G1008" s="4"/>
      <c r="H1008" s="56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50"/>
      <c r="U1008" s="50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</row>
    <row r="1009" spans="1:31" ht="14.4">
      <c r="A1009" s="4"/>
      <c r="B1009" s="4"/>
      <c r="C1009" s="4"/>
      <c r="D1009" s="56"/>
      <c r="E1009" s="56"/>
      <c r="F1009" s="59"/>
      <c r="G1009" s="4"/>
      <c r="H1009" s="56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50"/>
      <c r="U1009" s="50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</row>
    <row r="1010" spans="1:31" ht="14.4">
      <c r="A1010" s="4"/>
      <c r="B1010" s="4"/>
      <c r="C1010" s="4"/>
      <c r="D1010" s="56"/>
      <c r="E1010" s="56"/>
      <c r="F1010" s="59"/>
      <c r="G1010" s="4"/>
      <c r="H1010" s="56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50"/>
      <c r="U1010" s="50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</row>
    <row r="1011" spans="1:31" ht="14.4">
      <c r="A1011" s="4"/>
      <c r="B1011" s="4"/>
      <c r="C1011" s="4"/>
      <c r="D1011" s="56"/>
      <c r="E1011" s="56"/>
      <c r="F1011" s="59"/>
      <c r="G1011" s="4"/>
      <c r="H1011" s="56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50"/>
      <c r="U1011" s="50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</row>
    <row r="1012" spans="1:31" ht="14.4">
      <c r="A1012" s="4"/>
      <c r="B1012" s="4"/>
      <c r="C1012" s="4"/>
      <c r="D1012" s="56"/>
      <c r="E1012" s="56"/>
      <c r="F1012" s="59"/>
      <c r="G1012" s="4"/>
      <c r="H1012" s="56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50"/>
      <c r="U1012" s="50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</row>
    <row r="1013" spans="1:31" ht="14.4">
      <c r="A1013" s="4"/>
      <c r="B1013" s="4"/>
      <c r="C1013" s="4"/>
      <c r="D1013" s="56"/>
      <c r="E1013" s="56"/>
      <c r="F1013" s="59"/>
      <c r="G1013" s="4"/>
      <c r="H1013" s="56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50"/>
      <c r="U1013" s="50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</row>
    <row r="1014" spans="1:31" ht="14.4">
      <c r="A1014" s="4"/>
      <c r="B1014" s="4"/>
      <c r="C1014" s="4"/>
      <c r="D1014" s="56"/>
      <c r="E1014" s="56"/>
      <c r="F1014" s="59"/>
      <c r="G1014" s="4"/>
      <c r="H1014" s="56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50"/>
      <c r="U1014" s="50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</row>
    <row r="1015" spans="1:31" ht="14.4">
      <c r="A1015" s="4"/>
      <c r="B1015" s="4"/>
      <c r="C1015" s="4"/>
      <c r="D1015" s="56"/>
      <c r="E1015" s="56"/>
      <c r="F1015" s="59"/>
      <c r="G1015" s="4"/>
      <c r="H1015" s="56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50"/>
      <c r="U1015" s="50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</row>
  </sheetData>
  <mergeCells count="1">
    <mergeCell ref="M40:M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D1015"/>
  <sheetViews>
    <sheetView tabSelected="1" workbookViewId="0">
      <selection activeCell="E11" sqref="E11"/>
    </sheetView>
  </sheetViews>
  <sheetFormatPr baseColWidth="10" defaultColWidth="12.6640625" defaultRowHeight="15.75" customHeight="1"/>
  <sheetData>
    <row r="1" spans="1:4" ht="15.75" customHeight="1">
      <c r="A1" s="60" t="s">
        <v>361</v>
      </c>
      <c r="B1" s="61" t="s">
        <v>6</v>
      </c>
      <c r="C1" s="62" t="s">
        <v>365</v>
      </c>
      <c r="D1" s="62" t="s">
        <v>368</v>
      </c>
    </row>
    <row r="2" spans="1:4" ht="15.75" customHeight="1">
      <c r="A2" s="63">
        <v>31304</v>
      </c>
      <c r="B2" s="61" t="s">
        <v>174</v>
      </c>
      <c r="C2" s="64">
        <v>0</v>
      </c>
      <c r="D2" s="64">
        <v>0</v>
      </c>
    </row>
    <row r="3" spans="1:4" ht="15.75" customHeight="1">
      <c r="A3" s="63">
        <v>31405</v>
      </c>
      <c r="B3" s="61" t="s">
        <v>179</v>
      </c>
      <c r="C3" s="64">
        <v>0</v>
      </c>
      <c r="D3" s="64">
        <v>0</v>
      </c>
    </row>
    <row r="4" spans="1:4" ht="15.75" customHeight="1">
      <c r="A4" s="63">
        <v>50204</v>
      </c>
      <c r="B4" s="61" t="s">
        <v>225</v>
      </c>
      <c r="C4" s="64">
        <v>0</v>
      </c>
      <c r="D4" s="64">
        <v>0</v>
      </c>
    </row>
    <row r="5" spans="1:4" ht="15.75" customHeight="1">
      <c r="A5" s="63">
        <v>51204</v>
      </c>
      <c r="B5" s="61" t="s">
        <v>253</v>
      </c>
      <c r="C5" s="64">
        <v>0</v>
      </c>
      <c r="D5" s="64">
        <v>0</v>
      </c>
    </row>
    <row r="6" spans="1:4" ht="15.75" customHeight="1">
      <c r="A6" s="63">
        <v>70805</v>
      </c>
      <c r="B6" s="61" t="s">
        <v>301</v>
      </c>
      <c r="C6" s="64">
        <v>0</v>
      </c>
      <c r="D6" s="64">
        <v>0</v>
      </c>
    </row>
    <row r="7" spans="1:4" ht="15.75" customHeight="1">
      <c r="A7" s="63">
        <v>80703</v>
      </c>
      <c r="B7" s="61" t="s">
        <v>338</v>
      </c>
      <c r="C7" s="64">
        <v>0</v>
      </c>
      <c r="D7" s="64">
        <v>0</v>
      </c>
    </row>
    <row r="8" spans="1:4" ht="15.75" customHeight="1">
      <c r="A8" s="63">
        <v>80901</v>
      </c>
      <c r="B8" s="61" t="s">
        <v>342</v>
      </c>
      <c r="C8" s="64">
        <v>0</v>
      </c>
      <c r="D8" s="64">
        <v>0</v>
      </c>
    </row>
    <row r="9" spans="1:4" ht="15.75" customHeight="1">
      <c r="A9" s="63">
        <v>90103</v>
      </c>
      <c r="B9" s="61" t="s">
        <v>345</v>
      </c>
      <c r="C9" s="64">
        <v>0</v>
      </c>
      <c r="D9" s="64">
        <v>0</v>
      </c>
    </row>
    <row r="10" spans="1:4" ht="15.75" customHeight="1">
      <c r="A10" s="63">
        <v>90402</v>
      </c>
      <c r="B10" s="61" t="s">
        <v>353</v>
      </c>
      <c r="C10" s="64">
        <v>0</v>
      </c>
      <c r="D10" s="64">
        <v>0</v>
      </c>
    </row>
    <row r="11" spans="1:4" ht="15.75" customHeight="1">
      <c r="A11" s="63">
        <v>90503</v>
      </c>
      <c r="B11" s="61" t="s">
        <v>356</v>
      </c>
      <c r="C11" s="64">
        <v>0</v>
      </c>
      <c r="D11" s="64">
        <v>0</v>
      </c>
    </row>
    <row r="12" spans="1:4" ht="15.75" customHeight="1">
      <c r="A12" s="63">
        <v>20805</v>
      </c>
      <c r="B12" s="61" t="s">
        <v>89</v>
      </c>
      <c r="C12" s="64">
        <v>24.889646903870037</v>
      </c>
      <c r="D12" s="64">
        <v>0</v>
      </c>
    </row>
    <row r="13" spans="1:4" ht="15.75" customHeight="1">
      <c r="A13" s="63">
        <v>20806</v>
      </c>
      <c r="B13" s="61" t="s">
        <v>90</v>
      </c>
      <c r="C13" s="64">
        <v>25.569754128530288</v>
      </c>
      <c r="D13" s="64">
        <v>0</v>
      </c>
    </row>
    <row r="14" spans="1:4" ht="15.75" customHeight="1">
      <c r="A14" s="63">
        <v>20306</v>
      </c>
      <c r="B14" s="61" t="s">
        <v>64</v>
      </c>
      <c r="C14" s="64">
        <v>10.090645960908905</v>
      </c>
      <c r="D14" s="64">
        <v>0</v>
      </c>
    </row>
    <row r="15" spans="1:4" ht="15.75" customHeight="1">
      <c r="A15" s="63">
        <v>21204</v>
      </c>
      <c r="B15" s="61" t="s">
        <v>111</v>
      </c>
      <c r="C15" s="64">
        <v>53.150322929958023</v>
      </c>
      <c r="D15" s="64">
        <v>0</v>
      </c>
    </row>
    <row r="16" spans="1:4" ht="15.75" customHeight="1">
      <c r="A16" s="63">
        <v>71106</v>
      </c>
      <c r="B16" s="61" t="s">
        <v>316</v>
      </c>
      <c r="C16" s="64">
        <v>406.27333105887845</v>
      </c>
      <c r="D16" s="64">
        <v>0</v>
      </c>
    </row>
    <row r="17" spans="1:4" ht="15.75" customHeight="1">
      <c r="A17" s="63">
        <v>90301</v>
      </c>
      <c r="B17" s="61" t="s">
        <v>349</v>
      </c>
      <c r="C17" s="64">
        <v>19.410475811211878</v>
      </c>
      <c r="D17" s="64">
        <v>0</v>
      </c>
    </row>
    <row r="18" spans="1:4" ht="15.75" customHeight="1">
      <c r="A18" s="63">
        <v>90501</v>
      </c>
      <c r="B18" s="61" t="s">
        <v>354</v>
      </c>
      <c r="C18" s="64">
        <v>50.673469413727844</v>
      </c>
      <c r="D18" s="64">
        <v>0</v>
      </c>
    </row>
    <row r="19" spans="1:4" ht="15.75" customHeight="1">
      <c r="A19" s="63">
        <v>90502</v>
      </c>
      <c r="B19" s="61" t="s">
        <v>355</v>
      </c>
      <c r="C19" s="64">
        <v>28.512574019682038</v>
      </c>
      <c r="D19" s="64">
        <v>0</v>
      </c>
    </row>
    <row r="20" spans="1:4" ht="15.75" customHeight="1">
      <c r="A20" s="63">
        <v>40503</v>
      </c>
      <c r="B20" s="61" t="s">
        <v>195</v>
      </c>
      <c r="C20" s="64">
        <v>7.9400112105084482</v>
      </c>
      <c r="D20" s="64">
        <v>2.8088332234673699</v>
      </c>
    </row>
    <row r="21" spans="1:4" ht="15.75" customHeight="1">
      <c r="A21" s="63">
        <v>70804</v>
      </c>
      <c r="B21" s="61" t="s">
        <v>300</v>
      </c>
      <c r="C21" s="64">
        <v>89.441002284847031</v>
      </c>
      <c r="D21" s="64">
        <v>51.026024363233667</v>
      </c>
    </row>
    <row r="22" spans="1:4" ht="15.75" customHeight="1">
      <c r="A22" s="63">
        <v>50104</v>
      </c>
      <c r="B22" s="61" t="s">
        <v>221</v>
      </c>
      <c r="C22" s="64">
        <v>12.803819414127307</v>
      </c>
      <c r="D22" s="64">
        <v>11.286126239144698</v>
      </c>
    </row>
    <row r="23" spans="1:4" ht="15.75" customHeight="1">
      <c r="A23" s="63">
        <v>51402</v>
      </c>
      <c r="B23" s="61" t="s">
        <v>257</v>
      </c>
      <c r="C23" s="64">
        <v>51.76106745151553</v>
      </c>
      <c r="D23" s="64">
        <v>71.998706343874119</v>
      </c>
    </row>
    <row r="24" spans="1:4" ht="15.75" customHeight="1">
      <c r="A24" s="63">
        <v>50102</v>
      </c>
      <c r="B24" s="61" t="s">
        <v>219</v>
      </c>
      <c r="C24" s="64">
        <v>14.299557262985607</v>
      </c>
      <c r="D24" s="64">
        <v>16.63713633690384</v>
      </c>
    </row>
    <row r="25" spans="1:4" ht="15.75" customHeight="1">
      <c r="A25" s="63">
        <v>20308</v>
      </c>
      <c r="B25" s="61" t="s">
        <v>66</v>
      </c>
      <c r="C25" s="64">
        <v>12.539135061520598</v>
      </c>
      <c r="D25" s="64">
        <v>13.228567880229658</v>
      </c>
    </row>
    <row r="26" spans="1:4" ht="15.75" customHeight="1">
      <c r="A26" s="63">
        <v>50103</v>
      </c>
      <c r="B26" s="61" t="s">
        <v>220</v>
      </c>
      <c r="C26" s="64">
        <v>30.544687186737935</v>
      </c>
      <c r="D26" s="64">
        <v>24.155553738204819</v>
      </c>
    </row>
    <row r="27" spans="1:4" ht="15.75" customHeight="1">
      <c r="A27" s="63">
        <v>20303</v>
      </c>
      <c r="B27" s="61" t="s">
        <v>61</v>
      </c>
      <c r="C27" s="64">
        <v>12.505582147652204</v>
      </c>
      <c r="D27" s="64">
        <v>12.849987724036337</v>
      </c>
    </row>
    <row r="28" spans="1:4" ht="15.75" customHeight="1">
      <c r="A28" s="63">
        <v>41201</v>
      </c>
      <c r="B28" s="61" t="s">
        <v>210</v>
      </c>
      <c r="C28" s="64">
        <v>34.258376593434541</v>
      </c>
      <c r="D28" s="64">
        <v>29.139914433904391</v>
      </c>
    </row>
    <row r="29" spans="1:4" ht="15.75" customHeight="1">
      <c r="A29" s="63">
        <v>40301</v>
      </c>
      <c r="B29" s="61" t="s">
        <v>189</v>
      </c>
      <c r="C29" s="64">
        <v>22.954490155925633</v>
      </c>
      <c r="D29" s="64">
        <v>22.511086266985977</v>
      </c>
    </row>
    <row r="30" spans="1:4" ht="15.75" customHeight="1">
      <c r="A30" s="63">
        <v>40603</v>
      </c>
      <c r="B30" s="61" t="s">
        <v>200</v>
      </c>
      <c r="C30" s="64">
        <v>0.73984697048035419</v>
      </c>
      <c r="D30" s="64">
        <v>8.604200763775232</v>
      </c>
    </row>
    <row r="31" spans="1:4" ht="14.4">
      <c r="A31" s="63">
        <v>40601</v>
      </c>
      <c r="B31" s="61" t="s">
        <v>198</v>
      </c>
      <c r="C31" s="64">
        <v>1.6831671035356692</v>
      </c>
      <c r="D31" s="64">
        <v>11.441614981898416</v>
      </c>
    </row>
    <row r="32" spans="1:4" ht="14.4">
      <c r="A32" s="63">
        <v>20302</v>
      </c>
      <c r="B32" s="61" t="s">
        <v>60</v>
      </c>
      <c r="C32" s="64">
        <v>22.5834724270503</v>
      </c>
      <c r="D32" s="64">
        <v>21.954720619510365</v>
      </c>
    </row>
    <row r="33" spans="1:4" ht="14.4">
      <c r="A33" s="63">
        <v>60402</v>
      </c>
      <c r="B33" s="61" t="s">
        <v>267</v>
      </c>
      <c r="C33" s="64">
        <v>29.307912301744828</v>
      </c>
      <c r="D33" s="64">
        <v>63.034497263855826</v>
      </c>
    </row>
    <row r="34" spans="1:4" ht="14.4">
      <c r="A34" s="63">
        <v>40502</v>
      </c>
      <c r="B34" s="61" t="s">
        <v>194</v>
      </c>
      <c r="C34" s="64">
        <v>1.961665872532929</v>
      </c>
      <c r="D34" s="64">
        <v>25.030016537339264</v>
      </c>
    </row>
    <row r="35" spans="1:4" ht="14.4">
      <c r="A35" s="63">
        <v>51401</v>
      </c>
      <c r="B35" s="61" t="s">
        <v>256</v>
      </c>
      <c r="C35" s="64">
        <v>101.32700633687598</v>
      </c>
      <c r="D35" s="64">
        <v>129.21829480375513</v>
      </c>
    </row>
    <row r="36" spans="1:4" ht="14.4">
      <c r="A36" s="63">
        <v>50202</v>
      </c>
      <c r="B36" s="61" t="s">
        <v>223</v>
      </c>
      <c r="C36" s="64">
        <v>11.87690301638704</v>
      </c>
      <c r="D36" s="64">
        <v>13.149054369954133</v>
      </c>
    </row>
    <row r="37" spans="1:4" ht="14.4">
      <c r="A37" s="63">
        <v>21302</v>
      </c>
      <c r="B37" s="61" t="s">
        <v>113</v>
      </c>
      <c r="C37" s="64">
        <v>37.828966485458018</v>
      </c>
      <c r="D37" s="64">
        <v>37.463854088780124</v>
      </c>
    </row>
    <row r="38" spans="1:4" ht="14.4">
      <c r="A38" s="63">
        <v>41001</v>
      </c>
      <c r="B38" s="61" t="s">
        <v>208</v>
      </c>
      <c r="C38" s="64">
        <v>18.808547983676448</v>
      </c>
      <c r="D38" s="64">
        <v>21.072037365295479</v>
      </c>
    </row>
    <row r="39" spans="1:4" ht="14.4">
      <c r="A39" s="63">
        <v>50302</v>
      </c>
      <c r="B39" s="61" t="s">
        <v>227</v>
      </c>
      <c r="C39" s="64">
        <v>59.586064730107765</v>
      </c>
      <c r="D39" s="64">
        <v>56.311147005556727</v>
      </c>
    </row>
    <row r="40" spans="1:4" ht="14.4">
      <c r="A40" s="63">
        <v>20301</v>
      </c>
      <c r="B40" s="61" t="s">
        <v>59</v>
      </c>
      <c r="C40" s="64">
        <v>50.546448501036956</v>
      </c>
      <c r="D40" s="64">
        <v>42.283964270692444</v>
      </c>
    </row>
    <row r="41" spans="1:4" ht="14.4">
      <c r="A41" s="63">
        <v>20304</v>
      </c>
      <c r="B41" s="61" t="s">
        <v>62</v>
      </c>
      <c r="C41" s="64">
        <v>30.191553127358695</v>
      </c>
      <c r="D41" s="64">
        <v>29.783123320775797</v>
      </c>
    </row>
    <row r="42" spans="1:4" ht="14.4">
      <c r="A42" s="63">
        <v>51001</v>
      </c>
      <c r="B42" s="61" t="s">
        <v>244</v>
      </c>
      <c r="C42" s="64">
        <v>68.235062104435727</v>
      </c>
      <c r="D42" s="64">
        <v>42.713333313957094</v>
      </c>
    </row>
    <row r="43" spans="1:4" ht="14.4">
      <c r="A43" s="63">
        <v>40302</v>
      </c>
      <c r="B43" s="61" t="s">
        <v>190</v>
      </c>
      <c r="C43" s="64">
        <v>22.846711758661087</v>
      </c>
      <c r="D43" s="64">
        <v>36.738019138860246</v>
      </c>
    </row>
    <row r="44" spans="1:4" ht="14.4">
      <c r="A44" s="63">
        <v>50405</v>
      </c>
      <c r="B44" s="61" t="s">
        <v>233</v>
      </c>
      <c r="C44" s="64"/>
      <c r="D44" s="64">
        <v>28.993860361764558</v>
      </c>
    </row>
    <row r="45" spans="1:4" ht="14.4">
      <c r="A45" s="63">
        <v>41502</v>
      </c>
      <c r="B45" s="61" t="s">
        <v>215</v>
      </c>
      <c r="C45" s="64">
        <v>6.2752505778314216</v>
      </c>
      <c r="D45" s="64">
        <v>32.192105310005054</v>
      </c>
    </row>
    <row r="46" spans="1:4" ht="14.4">
      <c r="A46" s="63">
        <v>40505</v>
      </c>
      <c r="B46" s="61" t="s">
        <v>197</v>
      </c>
      <c r="C46" s="64">
        <v>4.0387722479507495</v>
      </c>
      <c r="D46" s="64">
        <v>9.2542503863987644</v>
      </c>
    </row>
    <row r="47" spans="1:4" ht="14.4">
      <c r="A47" s="63">
        <v>51101</v>
      </c>
      <c r="B47" s="61" t="s">
        <v>247</v>
      </c>
      <c r="C47" s="64">
        <v>60.546179090959328</v>
      </c>
      <c r="D47" s="64">
        <v>74.123436459192121</v>
      </c>
    </row>
    <row r="48" spans="1:4" ht="14.4">
      <c r="A48" s="63">
        <v>41601</v>
      </c>
      <c r="B48" s="61" t="s">
        <v>217</v>
      </c>
      <c r="C48" s="64">
        <v>5.3119816311089627</v>
      </c>
      <c r="D48" s="64">
        <v>28.818712500431602</v>
      </c>
    </row>
    <row r="49" spans="1:4" ht="14.4">
      <c r="A49" s="63">
        <v>51103</v>
      </c>
      <c r="B49" s="61" t="s">
        <v>249</v>
      </c>
      <c r="C49" s="64">
        <v>14.28992885957261</v>
      </c>
      <c r="D49" s="64">
        <v>14.316641092533214</v>
      </c>
    </row>
    <row r="50" spans="1:4" ht="14.4">
      <c r="A50" s="63">
        <v>40402</v>
      </c>
      <c r="B50" s="61" t="s">
        <v>192</v>
      </c>
      <c r="C50" s="64">
        <v>21.800776949208856</v>
      </c>
      <c r="D50" s="64">
        <v>21.138032055016161</v>
      </c>
    </row>
    <row r="51" spans="1:4" ht="14.4">
      <c r="A51" s="63">
        <v>10702</v>
      </c>
      <c r="B51" s="61" t="s">
        <v>38</v>
      </c>
      <c r="C51" s="64">
        <v>34.859408253762282</v>
      </c>
      <c r="D51" s="64">
        <v>56.065131961480525</v>
      </c>
    </row>
    <row r="52" spans="1:4" ht="14.4">
      <c r="A52" s="63">
        <v>20307</v>
      </c>
      <c r="B52" s="61" t="s">
        <v>65</v>
      </c>
      <c r="C52" s="64">
        <v>5.8539923835619572</v>
      </c>
      <c r="D52" s="64">
        <v>8.3065638985579309</v>
      </c>
    </row>
    <row r="53" spans="1:4" ht="14.4">
      <c r="A53" s="63">
        <v>21803</v>
      </c>
      <c r="B53" s="61" t="s">
        <v>130</v>
      </c>
      <c r="C53" s="64">
        <v>19.089604039259235</v>
      </c>
      <c r="D53" s="64">
        <v>26.282651086996871</v>
      </c>
    </row>
    <row r="54" spans="1:4" ht="14.4">
      <c r="A54" s="63">
        <v>21901</v>
      </c>
      <c r="B54" s="61" t="s">
        <v>131</v>
      </c>
      <c r="C54" s="64">
        <v>26.574108875995609</v>
      </c>
      <c r="D54" s="64">
        <v>32.617781061288802</v>
      </c>
    </row>
    <row r="55" spans="1:4" ht="14.4">
      <c r="A55" s="63">
        <v>51202</v>
      </c>
      <c r="B55" s="61" t="s">
        <v>251</v>
      </c>
      <c r="C55" s="64">
        <v>45.793261386616578</v>
      </c>
      <c r="D55" s="64">
        <v>51.109369053059588</v>
      </c>
    </row>
    <row r="56" spans="1:4" ht="14.4">
      <c r="A56" s="63">
        <v>50902</v>
      </c>
      <c r="B56" s="61" t="s">
        <v>243</v>
      </c>
      <c r="C56" s="64">
        <v>134.22534067900187</v>
      </c>
      <c r="D56" s="64">
        <v>134.84145594790422</v>
      </c>
    </row>
    <row r="57" spans="1:4" ht="14.4">
      <c r="A57" s="63">
        <v>20205</v>
      </c>
      <c r="B57" s="61" t="s">
        <v>57</v>
      </c>
      <c r="C57" s="64">
        <v>45.031803696645866</v>
      </c>
      <c r="D57" s="64">
        <v>85.713364620887006</v>
      </c>
    </row>
    <row r="58" spans="1:4" ht="14.4">
      <c r="A58" s="63">
        <v>20206</v>
      </c>
      <c r="B58" s="61" t="s">
        <v>58</v>
      </c>
      <c r="C58" s="64">
        <v>43.777520770511167</v>
      </c>
      <c r="D58" s="64">
        <v>36.268474933614762</v>
      </c>
    </row>
    <row r="59" spans="1:4" ht="14.4">
      <c r="A59" s="63">
        <v>40501</v>
      </c>
      <c r="B59" s="61" t="s">
        <v>193</v>
      </c>
      <c r="C59" s="64">
        <v>91.613659091415911</v>
      </c>
      <c r="D59" s="64">
        <v>43.33707300156199</v>
      </c>
    </row>
    <row r="60" spans="1:4" ht="14.4">
      <c r="A60" s="63">
        <v>21802</v>
      </c>
      <c r="B60" s="61" t="s">
        <v>129</v>
      </c>
      <c r="C60" s="64">
        <v>2.1755991369608951</v>
      </c>
      <c r="D60" s="64">
        <v>28.332380796522283</v>
      </c>
    </row>
    <row r="61" spans="1:4" ht="14.4">
      <c r="A61" s="63">
        <v>21801</v>
      </c>
      <c r="B61" s="61" t="s">
        <v>128</v>
      </c>
      <c r="C61" s="64">
        <v>3.7047226648648262</v>
      </c>
      <c r="D61" s="64">
        <v>27.048931322556147</v>
      </c>
    </row>
    <row r="62" spans="1:4" ht="14.4">
      <c r="A62" s="63">
        <v>31303</v>
      </c>
      <c r="B62" s="61" t="s">
        <v>173</v>
      </c>
      <c r="C62" s="64">
        <v>16.538627865826552</v>
      </c>
      <c r="D62" s="64">
        <v>3.8285876993166288</v>
      </c>
    </row>
    <row r="63" spans="1:4" ht="14.4">
      <c r="A63" s="63">
        <v>50702</v>
      </c>
      <c r="B63" s="61" t="s">
        <v>239</v>
      </c>
      <c r="C63" s="64">
        <v>23.97587569267354</v>
      </c>
      <c r="D63" s="64">
        <v>20.095294394936225</v>
      </c>
    </row>
    <row r="64" spans="1:4" ht="14.4">
      <c r="A64" s="63">
        <v>20807</v>
      </c>
      <c r="B64" s="61" t="s">
        <v>91</v>
      </c>
      <c r="C64" s="64">
        <v>36.499783110909505</v>
      </c>
      <c r="D64" s="64">
        <v>37.21167108854501</v>
      </c>
    </row>
    <row r="65" spans="1:4" ht="14.4">
      <c r="A65" s="63">
        <v>50403</v>
      </c>
      <c r="B65" s="61" t="s">
        <v>231</v>
      </c>
      <c r="C65" s="64">
        <v>29.917721721561804</v>
      </c>
      <c r="D65" s="64">
        <v>24.416531354399829</v>
      </c>
    </row>
    <row r="66" spans="1:4" ht="14.4">
      <c r="A66" s="63">
        <v>70802</v>
      </c>
      <c r="B66" s="61" t="s">
        <v>298</v>
      </c>
      <c r="C66" s="64">
        <v>146.52895970337084</v>
      </c>
      <c r="D66" s="64">
        <v>13.682916496506481</v>
      </c>
    </row>
    <row r="67" spans="1:4" ht="14.4">
      <c r="A67" s="63">
        <v>30402</v>
      </c>
      <c r="B67" s="61" t="s">
        <v>143</v>
      </c>
      <c r="C67" s="64">
        <v>37.491160283859521</v>
      </c>
      <c r="D67" s="64">
        <v>2.9660531697341512</v>
      </c>
    </row>
    <row r="68" spans="1:4" ht="14.4">
      <c r="A68" s="63">
        <v>40802</v>
      </c>
      <c r="B68" s="61" t="s">
        <v>204</v>
      </c>
      <c r="C68" s="64">
        <v>15.439632530808156</v>
      </c>
      <c r="D68" s="64">
        <v>17.171410704688203</v>
      </c>
    </row>
    <row r="69" spans="1:4" ht="14.4">
      <c r="A69" s="63">
        <v>40504</v>
      </c>
      <c r="B69" s="61" t="s">
        <v>196</v>
      </c>
      <c r="C69" s="64">
        <v>17.066736647523747</v>
      </c>
      <c r="D69" s="64">
        <v>11.428571428571429</v>
      </c>
    </row>
    <row r="70" spans="1:4" ht="14.4">
      <c r="A70" s="63">
        <v>71502</v>
      </c>
      <c r="B70" s="61" t="s">
        <v>324</v>
      </c>
      <c r="C70" s="64">
        <v>124.55510260822874</v>
      </c>
      <c r="D70" s="64">
        <v>92.359420289855066</v>
      </c>
    </row>
    <row r="71" spans="1:4" ht="14.4">
      <c r="A71" s="63">
        <v>20802</v>
      </c>
      <c r="B71" s="61" t="s">
        <v>86</v>
      </c>
      <c r="C71" s="64">
        <v>74.990280118112238</v>
      </c>
      <c r="D71" s="64">
        <v>76.93621972597289</v>
      </c>
    </row>
    <row r="72" spans="1:4" ht="14.4">
      <c r="A72" s="63">
        <v>30602</v>
      </c>
      <c r="B72" s="61" t="s">
        <v>149</v>
      </c>
      <c r="C72" s="64">
        <v>14.245129098322689</v>
      </c>
      <c r="D72" s="64">
        <v>0.76660465116279075</v>
      </c>
    </row>
    <row r="73" spans="1:4" ht="14.4">
      <c r="A73" s="63">
        <v>50401</v>
      </c>
      <c r="B73" s="61" t="s">
        <v>229</v>
      </c>
      <c r="C73" s="64">
        <v>80.424398689363329</v>
      </c>
      <c r="D73" s="64">
        <v>56.429200027242949</v>
      </c>
    </row>
    <row r="74" spans="1:4" ht="14.4">
      <c r="A74" s="63">
        <v>40902</v>
      </c>
      <c r="B74" s="61" t="s">
        <v>206</v>
      </c>
      <c r="C74" s="64">
        <v>77.205168322567701</v>
      </c>
      <c r="D74" s="64">
        <v>37.261735419630156</v>
      </c>
    </row>
    <row r="75" spans="1:4" ht="14.4">
      <c r="A75" s="63">
        <v>41501</v>
      </c>
      <c r="B75" s="61" t="s">
        <v>214</v>
      </c>
      <c r="C75" s="64">
        <v>10.906578964095464</v>
      </c>
      <c r="D75" s="64">
        <v>36.946909630922057</v>
      </c>
    </row>
    <row r="76" spans="1:4" ht="14.4">
      <c r="A76" s="63">
        <v>41503</v>
      </c>
      <c r="B76" s="61" t="s">
        <v>216</v>
      </c>
      <c r="C76" s="64">
        <v>5.1039516472669897</v>
      </c>
      <c r="D76" s="64">
        <v>204.81930938666642</v>
      </c>
    </row>
    <row r="77" spans="1:4" ht="14.4">
      <c r="A77" s="63">
        <v>40903</v>
      </c>
      <c r="B77" s="61" t="s">
        <v>207</v>
      </c>
      <c r="C77" s="64">
        <v>39.894339637158282</v>
      </c>
      <c r="D77" s="64">
        <v>35.870912967366017</v>
      </c>
    </row>
    <row r="78" spans="1:4" ht="14.4">
      <c r="A78" s="63">
        <v>30502</v>
      </c>
      <c r="B78" s="61" t="s">
        <v>147</v>
      </c>
      <c r="C78" s="64">
        <v>34.488531354018846</v>
      </c>
      <c r="D78" s="64">
        <v>1.0883577119752645</v>
      </c>
    </row>
    <row r="79" spans="1:4" ht="14.4">
      <c r="A79" s="63">
        <v>21303</v>
      </c>
      <c r="B79" s="61" t="s">
        <v>114</v>
      </c>
      <c r="C79" s="64">
        <v>38.463970492873209</v>
      </c>
      <c r="D79" s="64">
        <v>36.630307329550249</v>
      </c>
    </row>
    <row r="80" spans="1:4" ht="14.4">
      <c r="A80" s="63">
        <v>31501</v>
      </c>
      <c r="B80" s="61" t="s">
        <v>180</v>
      </c>
      <c r="C80" s="64">
        <v>22.338237259136953</v>
      </c>
      <c r="D80" s="64">
        <v>1.4474764549625694</v>
      </c>
    </row>
    <row r="81" spans="1:4" ht="14.4">
      <c r="A81" s="63">
        <v>21202</v>
      </c>
      <c r="B81" s="61" t="s">
        <v>109</v>
      </c>
      <c r="C81" s="64">
        <v>57.639920614619555</v>
      </c>
      <c r="D81" s="64">
        <v>71.696781551049611</v>
      </c>
    </row>
    <row r="82" spans="1:4" ht="14.4">
      <c r="A82" s="63">
        <v>10903</v>
      </c>
      <c r="B82" s="61" t="s">
        <v>44</v>
      </c>
      <c r="C82" s="64">
        <v>60.267341335733839</v>
      </c>
      <c r="D82" s="64">
        <v>72.491228106679714</v>
      </c>
    </row>
    <row r="83" spans="1:4" ht="14.4">
      <c r="A83" s="63">
        <v>40103</v>
      </c>
      <c r="B83" s="61" t="s">
        <v>185</v>
      </c>
      <c r="C83" s="64">
        <v>8.913979600208199</v>
      </c>
      <c r="D83" s="64">
        <v>14.797539270173386</v>
      </c>
    </row>
    <row r="84" spans="1:4" ht="14.4">
      <c r="A84" s="63">
        <v>60201</v>
      </c>
      <c r="B84" s="61" t="s">
        <v>261</v>
      </c>
      <c r="C84" s="64">
        <v>120.48344485915297</v>
      </c>
      <c r="D84" s="64">
        <v>202.87236908399183</v>
      </c>
    </row>
    <row r="85" spans="1:4" ht="14.4">
      <c r="A85" s="63">
        <v>30404</v>
      </c>
      <c r="B85" s="61" t="s">
        <v>145</v>
      </c>
      <c r="C85" s="64">
        <v>49.00656035472695</v>
      </c>
      <c r="D85" s="64">
        <v>0.69781431722478449</v>
      </c>
    </row>
    <row r="86" spans="1:4" ht="14.4">
      <c r="A86" s="63">
        <v>60502</v>
      </c>
      <c r="B86" s="61" t="s">
        <v>269</v>
      </c>
      <c r="C86" s="64">
        <v>75.051656773293601</v>
      </c>
      <c r="D86" s="64">
        <v>124.84574188645817</v>
      </c>
    </row>
    <row r="87" spans="1:4" ht="14.4">
      <c r="A87" s="63">
        <v>31101</v>
      </c>
      <c r="B87" s="61" t="s">
        <v>164</v>
      </c>
      <c r="C87" s="64">
        <v>22.484394659380381</v>
      </c>
      <c r="D87" s="64">
        <v>2.3803616313954432</v>
      </c>
    </row>
    <row r="88" spans="1:4" ht="14.4">
      <c r="A88" s="63">
        <v>51601</v>
      </c>
      <c r="B88" s="61" t="s">
        <v>259</v>
      </c>
      <c r="C88" s="64">
        <v>77.510103584999129</v>
      </c>
      <c r="D88" s="64">
        <v>125.06820329538742</v>
      </c>
    </row>
    <row r="89" spans="1:4" ht="14.4">
      <c r="A89" s="63">
        <v>50502</v>
      </c>
      <c r="B89" s="61" t="s">
        <v>235</v>
      </c>
      <c r="C89" s="64">
        <v>33.325845834140608</v>
      </c>
      <c r="D89" s="64">
        <v>65.718592492951501</v>
      </c>
    </row>
    <row r="90" spans="1:4" ht="14.4">
      <c r="A90" s="63">
        <v>21702</v>
      </c>
      <c r="B90" s="61" t="s">
        <v>126</v>
      </c>
      <c r="C90" s="64">
        <v>66.870785889558917</v>
      </c>
      <c r="D90" s="64">
        <v>41.070384108411439</v>
      </c>
    </row>
    <row r="91" spans="1:4" ht="14.4">
      <c r="A91" s="63">
        <v>51302</v>
      </c>
      <c r="B91" s="61" t="s">
        <v>255</v>
      </c>
      <c r="C91" s="64">
        <v>28.714540852732203</v>
      </c>
      <c r="D91" s="64">
        <v>42.208007164061186</v>
      </c>
    </row>
    <row r="92" spans="1:4" ht="14.4">
      <c r="A92" s="63">
        <v>21304</v>
      </c>
      <c r="B92" s="61" t="s">
        <v>115</v>
      </c>
      <c r="C92" s="64">
        <v>47.732142840395682</v>
      </c>
      <c r="D92" s="64">
        <v>51.499380184245013</v>
      </c>
    </row>
    <row r="93" spans="1:4" ht="14.4">
      <c r="A93" s="63">
        <v>50301</v>
      </c>
      <c r="B93" s="61" t="s">
        <v>226</v>
      </c>
      <c r="C93" s="64">
        <v>62.286625150966309</v>
      </c>
      <c r="D93" s="64">
        <v>77.061904479173151</v>
      </c>
    </row>
    <row r="94" spans="1:4" ht="14.4">
      <c r="A94" s="63">
        <v>10602</v>
      </c>
      <c r="B94" s="61" t="s">
        <v>36</v>
      </c>
      <c r="C94" s="64">
        <v>44.837357505067722</v>
      </c>
      <c r="D94" s="64">
        <v>67.536792473523121</v>
      </c>
    </row>
    <row r="95" spans="1:4" ht="14.4">
      <c r="A95" s="63">
        <v>51102</v>
      </c>
      <c r="B95" s="61" t="s">
        <v>248</v>
      </c>
      <c r="C95" s="64">
        <v>63.255776397446219</v>
      </c>
      <c r="D95" s="64">
        <v>81.524348004468266</v>
      </c>
    </row>
    <row r="96" spans="1:4" ht="14.4">
      <c r="A96" s="63">
        <v>21004</v>
      </c>
      <c r="B96" s="61" t="s">
        <v>100</v>
      </c>
      <c r="C96" s="64">
        <v>14.7960793734287</v>
      </c>
      <c r="D96" s="64">
        <v>12.528610938712653</v>
      </c>
    </row>
    <row r="97" spans="1:4" ht="14.4">
      <c r="A97" s="63">
        <v>10901</v>
      </c>
      <c r="B97" s="61" t="s">
        <v>42</v>
      </c>
      <c r="C97" s="64">
        <v>54.710329063610011</v>
      </c>
      <c r="D97" s="64">
        <v>65.220093036030619</v>
      </c>
    </row>
    <row r="98" spans="1:4" ht="14.4">
      <c r="A98" s="63">
        <v>20803</v>
      </c>
      <c r="B98" s="61" t="s">
        <v>87</v>
      </c>
      <c r="C98" s="64">
        <v>50.989349143385546</v>
      </c>
      <c r="D98" s="64">
        <v>61.090123078747624</v>
      </c>
    </row>
    <row r="99" spans="1:4" ht="14.4">
      <c r="A99" s="63">
        <v>40801</v>
      </c>
      <c r="B99" s="61" t="s">
        <v>203</v>
      </c>
      <c r="C99" s="64">
        <v>51.234391595288415</v>
      </c>
      <c r="D99" s="64">
        <v>35.052654708301134</v>
      </c>
    </row>
    <row r="100" spans="1:4" ht="14.4">
      <c r="A100" s="63">
        <v>21703</v>
      </c>
      <c r="B100" s="61" t="s">
        <v>127</v>
      </c>
      <c r="C100" s="64">
        <v>11.982789586166595</v>
      </c>
      <c r="D100" s="64">
        <v>14.847441874659339</v>
      </c>
    </row>
    <row r="101" spans="1:4" ht="14.4">
      <c r="A101" s="63">
        <v>51203</v>
      </c>
      <c r="B101" s="61" t="s">
        <v>252</v>
      </c>
      <c r="C101" s="64">
        <v>114.48684983064406</v>
      </c>
      <c r="D101" s="64">
        <v>122.77494204117556</v>
      </c>
    </row>
    <row r="102" spans="1:4" ht="14.4">
      <c r="A102" s="63">
        <v>20605</v>
      </c>
      <c r="B102" s="61" t="s">
        <v>79</v>
      </c>
      <c r="C102" s="64">
        <v>28.596615627235185</v>
      </c>
      <c r="D102" s="64">
        <v>25.78464154367509</v>
      </c>
    </row>
    <row r="103" spans="1:4" ht="14.4">
      <c r="A103" s="63">
        <v>30301</v>
      </c>
      <c r="B103" s="61" t="s">
        <v>139</v>
      </c>
      <c r="C103" s="64">
        <v>25.988847435135149</v>
      </c>
      <c r="D103" s="64">
        <v>6.2115516832217477</v>
      </c>
    </row>
    <row r="104" spans="1:4" ht="14.4">
      <c r="A104" s="63">
        <v>20104</v>
      </c>
      <c r="B104" s="61" t="s">
        <v>51</v>
      </c>
      <c r="C104" s="64">
        <v>109.24942356221145</v>
      </c>
      <c r="D104" s="64">
        <v>142.99395947560836</v>
      </c>
    </row>
    <row r="105" spans="1:4" ht="14.4">
      <c r="A105" s="63">
        <v>40401</v>
      </c>
      <c r="B105" s="61" t="s">
        <v>191</v>
      </c>
      <c r="C105" s="64">
        <v>28.653777175534866</v>
      </c>
      <c r="D105" s="64">
        <v>27.196169370165773</v>
      </c>
    </row>
    <row r="106" spans="1:4" ht="14.4">
      <c r="A106" s="63">
        <v>31404</v>
      </c>
      <c r="B106" s="61" t="s">
        <v>178</v>
      </c>
      <c r="C106" s="64">
        <v>68.030816583384052</v>
      </c>
      <c r="D106" s="64">
        <v>14.39005439005439</v>
      </c>
    </row>
    <row r="107" spans="1:4" ht="14.4">
      <c r="A107" s="63">
        <v>40901</v>
      </c>
      <c r="B107" s="61" t="s">
        <v>205</v>
      </c>
      <c r="C107" s="64">
        <v>31.107485924321125</v>
      </c>
      <c r="D107" s="64">
        <v>40.819272453201812</v>
      </c>
    </row>
    <row r="108" spans="1:4" ht="14.4">
      <c r="A108" s="63">
        <v>31302</v>
      </c>
      <c r="B108" s="61" t="s">
        <v>172</v>
      </c>
      <c r="C108" s="64">
        <v>20.301652137284151</v>
      </c>
      <c r="D108" s="64">
        <v>6.9286803966437835</v>
      </c>
    </row>
    <row r="109" spans="1:4" ht="14.4">
      <c r="A109" s="63">
        <v>10201</v>
      </c>
      <c r="B109" s="61" t="s">
        <v>22</v>
      </c>
      <c r="C109" s="64">
        <v>34.164235811156061</v>
      </c>
      <c r="D109" s="64">
        <v>58.096672136301208</v>
      </c>
    </row>
    <row r="110" spans="1:4" ht="14.4">
      <c r="A110" s="63">
        <v>41301</v>
      </c>
      <c r="B110" s="61" t="s">
        <v>212</v>
      </c>
      <c r="C110" s="64">
        <v>2.6452542387042195</v>
      </c>
      <c r="D110" s="64">
        <v>20.02968208412997</v>
      </c>
    </row>
    <row r="111" spans="1:4" ht="14.4">
      <c r="A111" s="63">
        <v>20202</v>
      </c>
      <c r="B111" s="61" t="s">
        <v>54</v>
      </c>
      <c r="C111" s="64">
        <v>42.060174837814543</v>
      </c>
      <c r="D111" s="64">
        <v>27.784993801455592</v>
      </c>
    </row>
    <row r="112" spans="1:4" ht="14.4">
      <c r="A112" s="63">
        <v>20305</v>
      </c>
      <c r="B112" s="61" t="s">
        <v>63</v>
      </c>
      <c r="C112" s="64">
        <v>32.566227937203543</v>
      </c>
      <c r="D112" s="64">
        <v>104.41246150201374</v>
      </c>
    </row>
    <row r="113" spans="1:4" ht="14.4">
      <c r="A113" s="63">
        <v>30302</v>
      </c>
      <c r="B113" s="61" t="s">
        <v>140</v>
      </c>
      <c r="C113" s="64">
        <v>22.695713680735491</v>
      </c>
      <c r="D113" s="64">
        <v>2.3969429347826088</v>
      </c>
    </row>
    <row r="114" spans="1:4" ht="14.4">
      <c r="A114" s="63">
        <v>20203</v>
      </c>
      <c r="B114" s="61" t="s">
        <v>55</v>
      </c>
      <c r="C114" s="64">
        <v>62.90685932278263</v>
      </c>
      <c r="D114" s="64">
        <v>39.481737522969588</v>
      </c>
    </row>
    <row r="115" spans="1:4" ht="14.4">
      <c r="A115" s="63">
        <v>20204</v>
      </c>
      <c r="B115" s="61" t="s">
        <v>56</v>
      </c>
      <c r="C115" s="64">
        <v>62.002929738701368</v>
      </c>
      <c r="D115" s="64">
        <v>55.472811466733361</v>
      </c>
    </row>
    <row r="116" spans="1:4" ht="14.4">
      <c r="A116" s="63">
        <v>31402</v>
      </c>
      <c r="B116" s="61" t="s">
        <v>176</v>
      </c>
      <c r="C116" s="64">
        <v>124.7430639795321</v>
      </c>
      <c r="D116" s="64">
        <v>0.68473078264914522</v>
      </c>
    </row>
    <row r="117" spans="1:4" ht="14.4">
      <c r="A117" s="63">
        <v>20801</v>
      </c>
      <c r="B117" s="61" t="s">
        <v>85</v>
      </c>
      <c r="C117" s="64">
        <v>168.10077787502169</v>
      </c>
      <c r="D117" s="64">
        <v>202.41444601215539</v>
      </c>
    </row>
    <row r="118" spans="1:4" ht="14.4">
      <c r="A118" s="63">
        <v>30403</v>
      </c>
      <c r="B118" s="61" t="s">
        <v>144</v>
      </c>
      <c r="C118" s="64">
        <v>117.48452517107012</v>
      </c>
      <c r="D118" s="64">
        <v>2.4726127659574466</v>
      </c>
    </row>
    <row r="119" spans="1:4" ht="14.4">
      <c r="A119" s="63">
        <v>10701</v>
      </c>
      <c r="B119" s="61" t="s">
        <v>37</v>
      </c>
      <c r="C119" s="64">
        <v>106.75680374204477</v>
      </c>
      <c r="D119" s="64">
        <v>140.92972201661914</v>
      </c>
    </row>
    <row r="120" spans="1:4" ht="14.4">
      <c r="A120" s="63">
        <v>20401</v>
      </c>
      <c r="B120" s="61" t="s">
        <v>67</v>
      </c>
      <c r="C120" s="64">
        <v>35.953841127555265</v>
      </c>
      <c r="D120" s="64">
        <v>35.455466749325772</v>
      </c>
    </row>
    <row r="121" spans="1:4" ht="14.4">
      <c r="A121" s="63">
        <v>10601</v>
      </c>
      <c r="B121" s="61" t="s">
        <v>35</v>
      </c>
      <c r="C121" s="64">
        <v>42.43470802821524</v>
      </c>
      <c r="D121" s="64">
        <v>63.158823109081105</v>
      </c>
    </row>
    <row r="122" spans="1:4" ht="14.4">
      <c r="A122" s="63">
        <v>10801</v>
      </c>
      <c r="B122" s="61" t="s">
        <v>41</v>
      </c>
      <c r="C122" s="64">
        <v>90.923921411621151</v>
      </c>
      <c r="D122" s="64">
        <v>146.51092568252278</v>
      </c>
    </row>
    <row r="123" spans="1:4" ht="14.4">
      <c r="A123" s="63">
        <v>51003</v>
      </c>
      <c r="B123" s="61" t="s">
        <v>246</v>
      </c>
      <c r="C123" s="64">
        <v>39.389298769971873</v>
      </c>
      <c r="D123" s="64">
        <v>41.025309921296177</v>
      </c>
    </row>
    <row r="124" spans="1:4" ht="14.4">
      <c r="A124" s="63">
        <v>40104</v>
      </c>
      <c r="B124" s="61" t="s">
        <v>186</v>
      </c>
      <c r="C124" s="64">
        <v>37.595991024788468</v>
      </c>
      <c r="D124" s="64">
        <v>43.854034504652084</v>
      </c>
    </row>
    <row r="125" spans="1:4" ht="14.4">
      <c r="A125" s="63">
        <v>71102</v>
      </c>
      <c r="B125" s="61" t="s">
        <v>312</v>
      </c>
      <c r="C125" s="64">
        <v>188.80687891538261</v>
      </c>
      <c r="D125" s="64">
        <v>31.622246112444273</v>
      </c>
    </row>
    <row r="126" spans="1:4" ht="14.4">
      <c r="A126" s="63">
        <v>21902</v>
      </c>
      <c r="B126" s="61" t="s">
        <v>132</v>
      </c>
      <c r="C126" s="64">
        <v>8.3911986709818791</v>
      </c>
      <c r="D126" s="64">
        <v>9.6966922070640997</v>
      </c>
    </row>
    <row r="127" spans="1:4" ht="14.4">
      <c r="A127" s="63">
        <v>40202</v>
      </c>
      <c r="B127" s="61" t="s">
        <v>188</v>
      </c>
      <c r="C127" s="64">
        <v>14.202669088901045</v>
      </c>
      <c r="D127" s="64">
        <v>44.613253249929897</v>
      </c>
    </row>
    <row r="128" spans="1:4" ht="14.4">
      <c r="A128" s="63">
        <v>21201</v>
      </c>
      <c r="B128" s="61" t="s">
        <v>108</v>
      </c>
      <c r="C128" s="64">
        <v>49.234938284225315</v>
      </c>
      <c r="D128" s="64">
        <v>234.86920762531736</v>
      </c>
    </row>
    <row r="129" spans="1:4" ht="14.4">
      <c r="A129" s="63">
        <v>10404</v>
      </c>
      <c r="B129" s="61" t="s">
        <v>31</v>
      </c>
      <c r="C129" s="64">
        <v>53.089964763622255</v>
      </c>
      <c r="D129" s="64">
        <v>91.65923574978126</v>
      </c>
    </row>
    <row r="130" spans="1:4" ht="14.4">
      <c r="A130" s="63">
        <v>50901</v>
      </c>
      <c r="B130" s="61" t="s">
        <v>242</v>
      </c>
      <c r="C130" s="64">
        <v>72.904964925524723</v>
      </c>
      <c r="D130" s="64">
        <v>215.08948194303167</v>
      </c>
    </row>
    <row r="131" spans="1:4" ht="14.4">
      <c r="A131" s="63">
        <v>30702</v>
      </c>
      <c r="B131" s="61" t="s">
        <v>151</v>
      </c>
      <c r="C131" s="64">
        <v>162.29908545480092</v>
      </c>
      <c r="D131" s="64">
        <v>4.3994962216624689</v>
      </c>
    </row>
    <row r="132" spans="1:4" ht="14.4">
      <c r="A132" s="63">
        <v>70705</v>
      </c>
      <c r="B132" s="61" t="s">
        <v>294</v>
      </c>
      <c r="C132" s="64">
        <v>77.16574198198154</v>
      </c>
      <c r="D132" s="64">
        <v>14.957815002869827</v>
      </c>
    </row>
    <row r="133" spans="1:4" ht="14.4">
      <c r="A133" s="63">
        <v>50701</v>
      </c>
      <c r="B133" s="61" t="s">
        <v>238</v>
      </c>
      <c r="C133" s="64">
        <v>30.531926214117437</v>
      </c>
      <c r="D133" s="64">
        <v>33.378494620995269</v>
      </c>
    </row>
    <row r="134" spans="1:4" ht="14.4">
      <c r="A134" s="63">
        <v>10102</v>
      </c>
      <c r="B134" s="61" t="s">
        <v>20</v>
      </c>
      <c r="C134" s="64">
        <v>161.2525285538274</v>
      </c>
      <c r="D134" s="64">
        <v>215.31622719661675</v>
      </c>
    </row>
    <row r="135" spans="1:4" ht="14.4">
      <c r="A135" s="63">
        <v>71503</v>
      </c>
      <c r="B135" s="61" t="s">
        <v>269</v>
      </c>
      <c r="C135" s="64">
        <v>139.26376941419664</v>
      </c>
      <c r="D135" s="64">
        <v>75.525795264434379</v>
      </c>
    </row>
    <row r="136" spans="1:4" ht="14.4">
      <c r="A136" s="63">
        <v>10202</v>
      </c>
      <c r="B136" s="61" t="s">
        <v>23</v>
      </c>
      <c r="C136" s="64">
        <v>24.415194225992636</v>
      </c>
      <c r="D136" s="64">
        <v>30.729776353402674</v>
      </c>
    </row>
    <row r="137" spans="1:4" ht="14.4">
      <c r="A137" s="63">
        <v>20903</v>
      </c>
      <c r="B137" s="61" t="s">
        <v>94</v>
      </c>
      <c r="C137" s="64">
        <v>26.928468079895072</v>
      </c>
      <c r="D137" s="64">
        <v>19.0879147628258</v>
      </c>
    </row>
    <row r="138" spans="1:4" ht="14.4">
      <c r="A138" s="63">
        <v>50601</v>
      </c>
      <c r="B138" s="61" t="s">
        <v>236</v>
      </c>
      <c r="C138" s="64">
        <v>60.985335630854443</v>
      </c>
      <c r="D138" s="64">
        <v>76.878785795330131</v>
      </c>
    </row>
    <row r="139" spans="1:4" ht="14.4">
      <c r="A139" s="63">
        <v>21306</v>
      </c>
      <c r="B139" s="61" t="s">
        <v>117</v>
      </c>
      <c r="C139" s="64">
        <v>47.803981701864494</v>
      </c>
      <c r="D139" s="64">
        <v>45.20136107360009</v>
      </c>
    </row>
    <row r="140" spans="1:4" ht="14.4">
      <c r="A140" s="63">
        <v>22001</v>
      </c>
      <c r="B140" s="61" t="s">
        <v>133</v>
      </c>
      <c r="C140" s="64">
        <v>90.040452770434584</v>
      </c>
      <c r="D140" s="64">
        <v>179.54494267582646</v>
      </c>
    </row>
    <row r="141" spans="1:4" ht="14.4">
      <c r="A141" s="63">
        <v>20403</v>
      </c>
      <c r="B141" s="61" t="s">
        <v>69</v>
      </c>
      <c r="C141" s="64">
        <v>40.51989686464929</v>
      </c>
      <c r="D141" s="64">
        <v>38.860233054713383</v>
      </c>
    </row>
    <row r="142" spans="1:4" ht="14.4">
      <c r="A142" s="63">
        <v>41401</v>
      </c>
      <c r="B142" s="61" t="s">
        <v>213</v>
      </c>
      <c r="C142" s="64">
        <v>40.628781002752973</v>
      </c>
      <c r="D142" s="64">
        <v>43.095615466635877</v>
      </c>
    </row>
    <row r="143" spans="1:4" ht="14.4">
      <c r="A143" s="63">
        <v>10103</v>
      </c>
      <c r="B143" s="61" t="s">
        <v>21</v>
      </c>
      <c r="C143" s="64">
        <v>10.535482628782431</v>
      </c>
      <c r="D143" s="64">
        <v>30.36207781181081</v>
      </c>
    </row>
    <row r="144" spans="1:4" ht="14.4">
      <c r="A144" s="63">
        <v>40102</v>
      </c>
      <c r="B144" s="61" t="s">
        <v>184</v>
      </c>
      <c r="C144" s="64">
        <v>54.625222602532872</v>
      </c>
      <c r="D144" s="64">
        <v>77.23908097014646</v>
      </c>
    </row>
    <row r="145" spans="1:4" ht="14.4">
      <c r="A145" s="63">
        <v>10403</v>
      </c>
      <c r="B145" s="61" t="s">
        <v>30</v>
      </c>
      <c r="C145" s="64">
        <v>56.99958261378648</v>
      </c>
      <c r="D145" s="64">
        <v>82.024488619994244</v>
      </c>
    </row>
    <row r="146" spans="1:4" ht="14.4">
      <c r="A146" s="63">
        <v>10301</v>
      </c>
      <c r="B146" s="61" t="s">
        <v>24</v>
      </c>
      <c r="C146" s="64">
        <v>45.101738294447365</v>
      </c>
      <c r="D146" s="64">
        <v>5.6968745435957358</v>
      </c>
    </row>
    <row r="147" spans="1:4" ht="14.4">
      <c r="A147" s="63">
        <v>21307</v>
      </c>
      <c r="B147" s="61" t="s">
        <v>118</v>
      </c>
      <c r="C147" s="64">
        <v>25.875456486868003</v>
      </c>
      <c r="D147" s="64">
        <v>31.379840751424286</v>
      </c>
    </row>
    <row r="148" spans="1:4" ht="14.4">
      <c r="A148" s="63">
        <v>30803</v>
      </c>
      <c r="B148" s="61" t="s">
        <v>155</v>
      </c>
      <c r="C148" s="64">
        <v>241.75720777604107</v>
      </c>
      <c r="D148" s="64">
        <v>3.3972602739726026</v>
      </c>
    </row>
    <row r="149" spans="1:4" ht="14.4">
      <c r="A149" s="63">
        <v>20501</v>
      </c>
      <c r="B149" s="61" t="s">
        <v>72</v>
      </c>
      <c r="C149" s="64">
        <v>31.991612723526757</v>
      </c>
      <c r="D149" s="64">
        <v>30.385698260929367</v>
      </c>
    </row>
    <row r="150" spans="1:4" ht="14.4">
      <c r="A150" s="63">
        <v>20402</v>
      </c>
      <c r="B150" s="61" t="s">
        <v>68</v>
      </c>
      <c r="C150" s="64">
        <v>26.808302828991362</v>
      </c>
      <c r="D150" s="64">
        <v>21.777721637410778</v>
      </c>
    </row>
    <row r="151" spans="1:4" ht="14.4">
      <c r="A151" s="63">
        <v>10405</v>
      </c>
      <c r="B151" s="61" t="s">
        <v>32</v>
      </c>
      <c r="C151" s="64">
        <v>45.426866895982272</v>
      </c>
      <c r="D151" s="64">
        <v>63.304386300841614</v>
      </c>
    </row>
    <row r="152" spans="1:4" ht="14.4">
      <c r="A152" s="63">
        <v>70702</v>
      </c>
      <c r="B152" s="61" t="s">
        <v>291</v>
      </c>
      <c r="C152" s="64">
        <v>85.269320616825979</v>
      </c>
      <c r="D152" s="64">
        <v>62.594560123544881</v>
      </c>
    </row>
    <row r="153" spans="1:4" ht="14.4">
      <c r="A153" s="63">
        <v>10704</v>
      </c>
      <c r="B153" s="61" t="s">
        <v>40</v>
      </c>
      <c r="C153" s="64">
        <v>30.940189972446639</v>
      </c>
      <c r="D153" s="64">
        <v>46.602226593333825</v>
      </c>
    </row>
    <row r="154" spans="1:4" ht="14.4">
      <c r="A154" s="63">
        <v>21301</v>
      </c>
      <c r="B154" s="61" t="s">
        <v>112</v>
      </c>
      <c r="C154" s="64">
        <v>41.544793362465633</v>
      </c>
      <c r="D154" s="64">
        <v>45.823668282148461</v>
      </c>
    </row>
    <row r="155" spans="1:4" ht="14.4">
      <c r="A155" s="63">
        <v>70501</v>
      </c>
      <c r="B155" s="61" t="s">
        <v>284</v>
      </c>
      <c r="C155" s="64">
        <v>185.36840829698409</v>
      </c>
      <c r="D155" s="64">
        <v>92.077536977646076</v>
      </c>
    </row>
    <row r="156" spans="1:4" ht="14.4">
      <c r="A156" s="63">
        <v>21005</v>
      </c>
      <c r="B156" s="61" t="s">
        <v>101</v>
      </c>
      <c r="C156" s="64">
        <v>17.464239305217326</v>
      </c>
      <c r="D156" s="64">
        <v>17.315640708309921</v>
      </c>
    </row>
    <row r="157" spans="1:4" ht="14.4">
      <c r="A157" s="63">
        <v>20502</v>
      </c>
      <c r="B157" s="61" t="s">
        <v>73</v>
      </c>
      <c r="C157" s="64">
        <v>32.600278541716179</v>
      </c>
      <c r="D157" s="64">
        <v>29.573042418872522</v>
      </c>
    </row>
    <row r="158" spans="1:4" ht="14.4">
      <c r="A158" s="63">
        <v>20603</v>
      </c>
      <c r="B158" s="61" t="s">
        <v>77</v>
      </c>
      <c r="C158" s="64">
        <v>79.552595497909309</v>
      </c>
      <c r="D158" s="64">
        <v>114.41911693284189</v>
      </c>
    </row>
    <row r="159" spans="1:4" ht="14.4">
      <c r="A159" s="63">
        <v>71501</v>
      </c>
      <c r="B159" s="61" t="s">
        <v>323</v>
      </c>
      <c r="C159" s="64">
        <v>214.44541921350819</v>
      </c>
      <c r="D159" s="64">
        <v>53.013703464933528</v>
      </c>
    </row>
    <row r="160" spans="1:4" ht="14.4">
      <c r="A160" s="63">
        <v>70704</v>
      </c>
      <c r="B160" s="61" t="s">
        <v>293</v>
      </c>
      <c r="C160" s="64">
        <v>102.27497090185655</v>
      </c>
      <c r="D160" s="64">
        <v>22.790627943072906</v>
      </c>
    </row>
    <row r="161" spans="1:4" ht="14.4">
      <c r="A161" s="63">
        <v>30501</v>
      </c>
      <c r="B161" s="61" t="s">
        <v>146</v>
      </c>
      <c r="C161" s="64">
        <v>189.57188970110141</v>
      </c>
      <c r="D161" s="64">
        <v>1.1106143253152105</v>
      </c>
    </row>
    <row r="162" spans="1:4" ht="14.4">
      <c r="A162" s="63">
        <v>20904</v>
      </c>
      <c r="B162" s="61" t="s">
        <v>95</v>
      </c>
      <c r="C162" s="64">
        <v>11.168997884370404</v>
      </c>
      <c r="D162" s="64">
        <v>14.39097603136624</v>
      </c>
    </row>
    <row r="163" spans="1:4" ht="14.4">
      <c r="A163" s="63">
        <v>21602</v>
      </c>
      <c r="B163" s="61" t="s">
        <v>124</v>
      </c>
      <c r="C163" s="64">
        <v>11.151570285521457</v>
      </c>
      <c r="D163" s="64">
        <v>22.56345485259682</v>
      </c>
    </row>
    <row r="164" spans="1:4" ht="14.4">
      <c r="A164" s="63">
        <v>70703</v>
      </c>
      <c r="B164" s="61" t="s">
        <v>292</v>
      </c>
      <c r="C164" s="64">
        <v>188.16242538840967</v>
      </c>
      <c r="D164" s="64">
        <v>251.12238708039641</v>
      </c>
    </row>
    <row r="165" spans="1:4" ht="14.4">
      <c r="A165" s="63">
        <v>70701</v>
      </c>
      <c r="B165" s="61" t="s">
        <v>290</v>
      </c>
      <c r="C165" s="64">
        <v>136.60928217620483</v>
      </c>
      <c r="D165" s="64">
        <v>20.002186354025422</v>
      </c>
    </row>
    <row r="166" spans="1:4" ht="14.4">
      <c r="A166" s="63">
        <v>30802</v>
      </c>
      <c r="B166" s="61" t="s">
        <v>154</v>
      </c>
      <c r="C166" s="64">
        <v>102.33642707835813</v>
      </c>
      <c r="D166" s="64">
        <v>1.249254944459496</v>
      </c>
    </row>
    <row r="167" spans="1:4" ht="14.4">
      <c r="A167" s="63">
        <v>21701</v>
      </c>
      <c r="B167" s="61" t="s">
        <v>125</v>
      </c>
      <c r="C167" s="64">
        <v>134.10301099236182</v>
      </c>
      <c r="D167" s="64">
        <v>117.48090248739214</v>
      </c>
    </row>
    <row r="168" spans="1:4" ht="14.4">
      <c r="A168" s="63">
        <v>70102</v>
      </c>
      <c r="B168" s="61" t="s">
        <v>271</v>
      </c>
      <c r="C168" s="64">
        <v>292.35835777038244</v>
      </c>
      <c r="D168" s="64">
        <v>358.60480475614258</v>
      </c>
    </row>
    <row r="169" spans="1:4" ht="14.4">
      <c r="A169" s="63">
        <v>20201</v>
      </c>
      <c r="B169" s="61" t="s">
        <v>53</v>
      </c>
      <c r="C169" s="64">
        <v>81.891084399715169</v>
      </c>
      <c r="D169" s="64">
        <v>80.456059427840742</v>
      </c>
    </row>
    <row r="170" spans="1:4" ht="14.4">
      <c r="A170" s="63">
        <v>21203</v>
      </c>
      <c r="B170" s="61" t="s">
        <v>110</v>
      </c>
      <c r="C170" s="64">
        <v>81.199556476209949</v>
      </c>
      <c r="D170" s="64">
        <v>79.777696888004954</v>
      </c>
    </row>
    <row r="171" spans="1:4" ht="14.4">
      <c r="A171" s="63">
        <v>30601</v>
      </c>
      <c r="B171" s="61" t="s">
        <v>148</v>
      </c>
      <c r="C171" s="64">
        <v>19.426995949443345</v>
      </c>
      <c r="D171" s="64">
        <v>2.2639202407825434</v>
      </c>
    </row>
    <row r="172" spans="1:4" ht="14.4">
      <c r="A172" s="63">
        <v>70303</v>
      </c>
      <c r="B172" s="61" t="s">
        <v>279</v>
      </c>
      <c r="C172" s="64">
        <v>137.58409084952621</v>
      </c>
      <c r="D172" s="64">
        <v>631.03788734889895</v>
      </c>
    </row>
    <row r="173" spans="1:4" ht="14.4">
      <c r="A173" s="63">
        <v>10402</v>
      </c>
      <c r="B173" s="61" t="s">
        <v>29</v>
      </c>
      <c r="C173" s="64">
        <v>69.928109120277441</v>
      </c>
      <c r="D173" s="64">
        <v>92.993066171513192</v>
      </c>
    </row>
    <row r="174" spans="1:4" ht="14.4">
      <c r="A174" s="63">
        <v>70901</v>
      </c>
      <c r="B174" s="61" t="s">
        <v>302</v>
      </c>
      <c r="C174" s="64">
        <v>248.19269877346892</v>
      </c>
      <c r="D174" s="64">
        <v>59.76880856666736</v>
      </c>
    </row>
    <row r="175" spans="1:4" ht="14.4">
      <c r="A175" s="63">
        <v>31601</v>
      </c>
      <c r="B175" s="61" t="s">
        <v>181</v>
      </c>
      <c r="C175" s="64">
        <v>87.428416670203319</v>
      </c>
      <c r="D175" s="64">
        <v>1.2262516914749662</v>
      </c>
    </row>
    <row r="176" spans="1:4" ht="14.4">
      <c r="A176" s="63">
        <v>40702</v>
      </c>
      <c r="B176" s="61" t="s">
        <v>202</v>
      </c>
      <c r="C176" s="64">
        <v>101.0167523880278</v>
      </c>
      <c r="D176" s="64">
        <v>104.85996731278163</v>
      </c>
    </row>
    <row r="177" spans="1:4" ht="14.4">
      <c r="A177" s="63">
        <v>21601</v>
      </c>
      <c r="B177" s="61" t="s">
        <v>123</v>
      </c>
      <c r="C177" s="64">
        <v>21.602396674636388</v>
      </c>
      <c r="D177" s="64">
        <v>37.224576528866585</v>
      </c>
    </row>
    <row r="178" spans="1:4" ht="14.4">
      <c r="A178" s="63">
        <v>60401</v>
      </c>
      <c r="B178" s="61" t="s">
        <v>266</v>
      </c>
      <c r="C178" s="64">
        <v>161.32376994079868</v>
      </c>
      <c r="D178" s="64">
        <v>196.58776609332975</v>
      </c>
    </row>
    <row r="179" spans="1:4" ht="14.4">
      <c r="A179" s="63">
        <v>70603</v>
      </c>
      <c r="B179" s="61" t="s">
        <v>289</v>
      </c>
      <c r="C179" s="64">
        <v>317.14252641590076</v>
      </c>
      <c r="D179" s="64">
        <v>381.33111366766036</v>
      </c>
    </row>
    <row r="180" spans="1:4" ht="14.4">
      <c r="A180" s="63">
        <v>20804</v>
      </c>
      <c r="B180" s="61" t="s">
        <v>88</v>
      </c>
      <c r="C180" s="64">
        <v>114.47421136782549</v>
      </c>
      <c r="D180" s="64">
        <v>136.21565156540296</v>
      </c>
    </row>
    <row r="181" spans="1:4" ht="14.4">
      <c r="A181" s="63">
        <v>20103</v>
      </c>
      <c r="B181" s="61" t="s">
        <v>50</v>
      </c>
      <c r="C181" s="64">
        <v>187.75470617760283</v>
      </c>
      <c r="D181" s="64">
        <v>349.04010562622466</v>
      </c>
    </row>
    <row r="182" spans="1:4" ht="14.4">
      <c r="A182" s="63">
        <v>70503</v>
      </c>
      <c r="B182" s="61" t="s">
        <v>286</v>
      </c>
      <c r="C182" s="64">
        <v>266.25362670192345</v>
      </c>
      <c r="D182" s="64">
        <v>47.057826571135941</v>
      </c>
    </row>
    <row r="183" spans="1:4" ht="14.4">
      <c r="A183" s="63">
        <v>20601</v>
      </c>
      <c r="B183" s="61" t="s">
        <v>75</v>
      </c>
      <c r="C183" s="64">
        <v>71.054470515045381</v>
      </c>
      <c r="D183" s="64">
        <v>99.246717414136967</v>
      </c>
    </row>
    <row r="184" spans="1:4" ht="14.4">
      <c r="A184" s="63">
        <v>71103</v>
      </c>
      <c r="B184" s="61" t="s">
        <v>313</v>
      </c>
      <c r="C184" s="64">
        <v>263.21581622403716</v>
      </c>
      <c r="D184" s="64">
        <v>56.576899950690489</v>
      </c>
    </row>
    <row r="185" spans="1:4" ht="14.4">
      <c r="A185" s="63">
        <v>31403</v>
      </c>
      <c r="B185" s="61" t="s">
        <v>177</v>
      </c>
      <c r="C185" s="64">
        <v>232.25517072699742</v>
      </c>
      <c r="D185" s="64">
        <v>1.2260609774781677</v>
      </c>
    </row>
    <row r="186" spans="1:4" ht="14.4">
      <c r="A186" s="63">
        <v>10303</v>
      </c>
      <c r="B186" s="61" t="s">
        <v>26</v>
      </c>
      <c r="C186" s="64">
        <v>56.826009379618974</v>
      </c>
      <c r="D186" s="64">
        <v>71.350855904320596</v>
      </c>
    </row>
    <row r="187" spans="1:4" ht="14.4">
      <c r="A187" s="63">
        <v>11002</v>
      </c>
      <c r="B187" s="61" t="s">
        <v>46</v>
      </c>
      <c r="C187" s="64">
        <v>74.309870298668031</v>
      </c>
      <c r="D187" s="64">
        <v>34.513152728700433</v>
      </c>
    </row>
    <row r="188" spans="1:4" ht="14.4">
      <c r="A188" s="63">
        <v>30401</v>
      </c>
      <c r="B188" s="61" t="s">
        <v>142</v>
      </c>
      <c r="C188" s="64">
        <v>164.30415049026058</v>
      </c>
      <c r="D188" s="64">
        <v>1.3747893196132353</v>
      </c>
    </row>
    <row r="189" spans="1:4" ht="14.4">
      <c r="A189" s="63">
        <v>70202</v>
      </c>
      <c r="B189" s="61" t="s">
        <v>276</v>
      </c>
      <c r="C189" s="64">
        <v>352.2654094292684</v>
      </c>
      <c r="D189" s="64">
        <v>454.79934411529524</v>
      </c>
    </row>
    <row r="190" spans="1:4" ht="14.4">
      <c r="A190" s="63">
        <v>30202</v>
      </c>
      <c r="B190" s="61" t="s">
        <v>137</v>
      </c>
      <c r="C190" s="64">
        <v>37.789059031692986</v>
      </c>
      <c r="D190" s="64">
        <v>290.43938223938221</v>
      </c>
    </row>
    <row r="191" spans="1:4" ht="14.4">
      <c r="A191" s="63">
        <v>20902</v>
      </c>
      <c r="B191" s="61" t="s">
        <v>93</v>
      </c>
      <c r="C191" s="64">
        <v>58.205324845724824</v>
      </c>
      <c r="D191" s="64">
        <v>61.153300602421467</v>
      </c>
    </row>
    <row r="192" spans="1:4" ht="14.4">
      <c r="A192" s="63">
        <v>71101</v>
      </c>
      <c r="B192" s="61" t="s">
        <v>311</v>
      </c>
      <c r="C192" s="64">
        <v>167.50347765188576</v>
      </c>
      <c r="D192" s="64">
        <v>50.053456405314392</v>
      </c>
    </row>
    <row r="193" spans="1:4" ht="14.4">
      <c r="A193" s="63">
        <v>70707</v>
      </c>
      <c r="B193" s="61" t="s">
        <v>296</v>
      </c>
      <c r="C193" s="64">
        <v>183.50551161555686</v>
      </c>
      <c r="D193" s="64">
        <v>41.898966508513254</v>
      </c>
    </row>
    <row r="194" spans="1:4" ht="14.4">
      <c r="A194" s="63">
        <v>30801</v>
      </c>
      <c r="B194" s="61" t="s">
        <v>153</v>
      </c>
      <c r="C194" s="64">
        <v>223.84421035349132</v>
      </c>
      <c r="D194" s="64">
        <v>0.59470574332309145</v>
      </c>
    </row>
    <row r="195" spans="1:4" ht="14.4">
      <c r="A195" s="63">
        <v>60501</v>
      </c>
      <c r="B195" s="61" t="s">
        <v>268</v>
      </c>
      <c r="C195" s="64">
        <v>190.12703663120817</v>
      </c>
      <c r="D195" s="64">
        <v>235.21455873531994</v>
      </c>
    </row>
    <row r="196" spans="1:4" ht="14.4">
      <c r="A196" s="63">
        <v>40201</v>
      </c>
      <c r="B196" s="61" t="s">
        <v>187</v>
      </c>
      <c r="C196" s="64">
        <v>80.576363895774946</v>
      </c>
      <c r="D196" s="64">
        <v>98.166821918287809</v>
      </c>
    </row>
    <row r="197" spans="1:4" ht="14.4">
      <c r="A197" s="63">
        <v>70602</v>
      </c>
      <c r="B197" s="61" t="s">
        <v>288</v>
      </c>
      <c r="C197" s="64">
        <v>195.10892578025479</v>
      </c>
      <c r="D197" s="64">
        <v>649.48602705024609</v>
      </c>
    </row>
    <row r="198" spans="1:4" ht="14.4">
      <c r="A198" s="63">
        <v>20901</v>
      </c>
      <c r="B198" s="61" t="s">
        <v>92</v>
      </c>
      <c r="C198" s="64">
        <v>59.0304712002904</v>
      </c>
      <c r="D198" s="64">
        <v>84.41717274175852</v>
      </c>
    </row>
    <row r="199" spans="1:4" ht="14.4">
      <c r="A199" s="63">
        <v>60601</v>
      </c>
      <c r="B199" s="61" t="s">
        <v>170</v>
      </c>
      <c r="C199" s="64">
        <v>136.68873476264875</v>
      </c>
      <c r="D199" s="64">
        <v>188.22148197816193</v>
      </c>
    </row>
    <row r="200" spans="1:4" ht="14.4">
      <c r="A200" s="63">
        <v>70401</v>
      </c>
      <c r="B200" s="61" t="s">
        <v>280</v>
      </c>
      <c r="C200" s="64">
        <v>283.40636434844026</v>
      </c>
      <c r="D200" s="64">
        <v>423.89861560564725</v>
      </c>
    </row>
    <row r="201" spans="1:4" ht="14.4">
      <c r="A201" s="63">
        <v>10401</v>
      </c>
      <c r="B201" s="61" t="s">
        <v>28</v>
      </c>
      <c r="C201" s="64">
        <v>108.66603231901824</v>
      </c>
      <c r="D201" s="64">
        <v>154.87826367520165</v>
      </c>
    </row>
    <row r="202" spans="1:4" ht="14.4">
      <c r="A202" s="63">
        <v>20405</v>
      </c>
      <c r="B202" s="61" t="s">
        <v>71</v>
      </c>
      <c r="C202" s="64">
        <v>38.224663933399569</v>
      </c>
      <c r="D202" s="64">
        <v>46.561615921785432</v>
      </c>
    </row>
    <row r="203" spans="1:4" ht="14.4">
      <c r="A203" s="63">
        <v>70903</v>
      </c>
      <c r="B203" s="61" t="s">
        <v>304</v>
      </c>
      <c r="C203" s="64">
        <v>206.21187655289521</v>
      </c>
      <c r="D203" s="64">
        <v>20.068943838741809</v>
      </c>
    </row>
    <row r="204" spans="1:4" ht="14.4">
      <c r="A204" s="63">
        <v>10703</v>
      </c>
      <c r="B204" s="61" t="s">
        <v>39</v>
      </c>
      <c r="C204" s="64">
        <v>22.186393460057676</v>
      </c>
      <c r="D204" s="64">
        <v>25.855678233438486</v>
      </c>
    </row>
    <row r="205" spans="1:4" ht="14.4">
      <c r="A205" s="63">
        <v>51201</v>
      </c>
      <c r="B205" s="61" t="s">
        <v>250</v>
      </c>
      <c r="C205" s="64">
        <v>182.02179726363732</v>
      </c>
      <c r="D205" s="64">
        <v>175.12112804209568</v>
      </c>
    </row>
    <row r="206" spans="1:4" ht="14.4">
      <c r="A206" s="63">
        <v>30303</v>
      </c>
      <c r="B206" s="61" t="s">
        <v>141</v>
      </c>
      <c r="C206" s="64">
        <v>21.335288091588644</v>
      </c>
      <c r="D206" s="64">
        <v>12.62214402362601</v>
      </c>
    </row>
    <row r="207" spans="1:4" ht="14.4">
      <c r="A207" s="63">
        <v>21305</v>
      </c>
      <c r="B207" s="61" t="s">
        <v>116</v>
      </c>
      <c r="C207" s="64">
        <v>104.89801448813199</v>
      </c>
      <c r="D207" s="64">
        <v>129.38698900161191</v>
      </c>
    </row>
    <row r="208" spans="1:4" ht="14.4">
      <c r="A208" s="63">
        <v>22002</v>
      </c>
      <c r="B208" s="61" t="s">
        <v>134</v>
      </c>
      <c r="C208" s="64">
        <v>64.321535787041569</v>
      </c>
      <c r="D208" s="64">
        <v>188.68908837723404</v>
      </c>
    </row>
    <row r="209" spans="1:4" ht="14.4">
      <c r="A209" s="63">
        <v>71302</v>
      </c>
      <c r="B209" s="61" t="s">
        <v>319</v>
      </c>
      <c r="C209" s="64">
        <v>115.75226858417577</v>
      </c>
      <c r="D209" s="64">
        <v>16.666997354497354</v>
      </c>
    </row>
    <row r="210" spans="1:4" ht="14.4">
      <c r="A210" s="63">
        <v>10304</v>
      </c>
      <c r="B210" s="61" t="s">
        <v>27</v>
      </c>
      <c r="C210" s="64">
        <v>35.514452352059699</v>
      </c>
      <c r="D210" s="64">
        <v>44.227198283155388</v>
      </c>
    </row>
    <row r="211" spans="1:4" ht="14.4">
      <c r="A211" s="63">
        <v>21001</v>
      </c>
      <c r="B211" s="61" t="s">
        <v>97</v>
      </c>
      <c r="C211" s="64">
        <v>28.616722798228594</v>
      </c>
      <c r="D211" s="64">
        <v>36.704855713792476</v>
      </c>
    </row>
    <row r="212" spans="1:4" ht="14.4">
      <c r="A212" s="63">
        <v>71002</v>
      </c>
      <c r="B212" s="61" t="s">
        <v>307</v>
      </c>
      <c r="C212" s="64">
        <v>224.80479810865623</v>
      </c>
      <c r="D212" s="64">
        <v>259.38582963227566</v>
      </c>
    </row>
    <row r="213" spans="1:4" ht="14.4">
      <c r="A213" s="63">
        <v>50501</v>
      </c>
      <c r="B213" s="61" t="s">
        <v>234</v>
      </c>
      <c r="C213" s="64">
        <v>13.954681153054503</v>
      </c>
      <c r="D213" s="64">
        <v>23.872360648604126</v>
      </c>
    </row>
    <row r="214" spans="1:4" ht="14.4">
      <c r="A214" s="63">
        <v>10902</v>
      </c>
      <c r="B214" s="61" t="s">
        <v>43</v>
      </c>
      <c r="C214" s="64">
        <v>46.712723252089773</v>
      </c>
      <c r="D214" s="64">
        <v>68.083917034083399</v>
      </c>
    </row>
    <row r="215" spans="1:4" ht="14.4">
      <c r="A215" s="63">
        <v>70404</v>
      </c>
      <c r="B215" s="61" t="s">
        <v>283</v>
      </c>
      <c r="C215" s="64">
        <v>283.29726023613972</v>
      </c>
      <c r="D215" s="64">
        <v>480.11450973809934</v>
      </c>
    </row>
    <row r="216" spans="1:4" ht="14.4">
      <c r="A216" s="63">
        <v>20404</v>
      </c>
      <c r="B216" s="61" t="s">
        <v>70</v>
      </c>
      <c r="C216" s="64">
        <v>27.529282190090129</v>
      </c>
      <c r="D216" s="64">
        <v>24.512725345993175</v>
      </c>
    </row>
    <row r="217" spans="1:4" ht="14.4">
      <c r="A217" s="63">
        <v>20702</v>
      </c>
      <c r="B217" s="61" t="s">
        <v>84</v>
      </c>
      <c r="C217" s="64">
        <v>56.062334135662645</v>
      </c>
      <c r="D217" s="64">
        <v>67.971964701806215</v>
      </c>
    </row>
    <row r="218" spans="1:4" ht="14.4">
      <c r="A218" s="63">
        <v>51301</v>
      </c>
      <c r="B218" s="61" t="s">
        <v>254</v>
      </c>
      <c r="C218" s="64">
        <v>25.873813131273302</v>
      </c>
      <c r="D218" s="64">
        <v>25.654664459478251</v>
      </c>
    </row>
    <row r="219" spans="1:4" ht="14.4">
      <c r="A219" s="63">
        <v>71401</v>
      </c>
      <c r="B219" s="61" t="s">
        <v>320</v>
      </c>
      <c r="C219" s="64">
        <v>405.92273349979956</v>
      </c>
      <c r="D219" s="64">
        <v>29.877590885787662</v>
      </c>
    </row>
    <row r="220" spans="1:4" ht="14.4">
      <c r="A220" s="63">
        <v>71105</v>
      </c>
      <c r="B220" s="61" t="s">
        <v>315</v>
      </c>
      <c r="C220" s="64">
        <v>109.9681775803034</v>
      </c>
      <c r="D220" s="64">
        <v>35.03336845802599</v>
      </c>
    </row>
    <row r="221" spans="1:4" ht="14.4">
      <c r="A221" s="63">
        <v>70201</v>
      </c>
      <c r="B221" s="61" t="s">
        <v>275</v>
      </c>
      <c r="C221" s="64">
        <v>396.85665325967176</v>
      </c>
      <c r="D221" s="64">
        <v>523.19427029836572</v>
      </c>
    </row>
    <row r="222" spans="1:4" ht="14.4">
      <c r="A222" s="63">
        <v>60302</v>
      </c>
      <c r="B222" s="61" t="s">
        <v>264</v>
      </c>
      <c r="C222" s="64">
        <v>211.93732991960709</v>
      </c>
      <c r="D222" s="64">
        <v>231.61771324516164</v>
      </c>
    </row>
    <row r="223" spans="1:4" ht="14.4">
      <c r="A223" s="63">
        <v>71005</v>
      </c>
      <c r="B223" s="61" t="s">
        <v>310</v>
      </c>
      <c r="C223" s="64">
        <v>219.01504222208752</v>
      </c>
      <c r="D223" s="64">
        <v>353.22307482582681</v>
      </c>
    </row>
    <row r="224" spans="1:4" ht="14.4">
      <c r="A224" s="63">
        <v>20608</v>
      </c>
      <c r="B224" s="61" t="s">
        <v>82</v>
      </c>
      <c r="C224" s="64">
        <v>114.14646452160383</v>
      </c>
      <c r="D224" s="64">
        <v>376.06861489100152</v>
      </c>
    </row>
    <row r="225" spans="1:4" ht="14.4">
      <c r="A225" s="63">
        <v>20102</v>
      </c>
      <c r="B225" s="61" t="s">
        <v>49</v>
      </c>
      <c r="C225" s="64">
        <v>68.97102165009251</v>
      </c>
      <c r="D225" s="64">
        <v>92.375166785607831</v>
      </c>
    </row>
    <row r="226" spans="1:4" ht="14.4">
      <c r="A226" s="63">
        <v>41101</v>
      </c>
      <c r="B226" s="61" t="s">
        <v>209</v>
      </c>
      <c r="C226" s="64">
        <v>8.5676749014836115</v>
      </c>
      <c r="D226" s="64">
        <v>56.019119015294137</v>
      </c>
    </row>
    <row r="227" spans="1:4" ht="14.4">
      <c r="A227" s="63">
        <v>20604</v>
      </c>
      <c r="B227" s="61" t="s">
        <v>78</v>
      </c>
      <c r="C227" s="64">
        <v>52.822646142782929</v>
      </c>
      <c r="D227" s="64">
        <v>53.535274608568713</v>
      </c>
    </row>
    <row r="228" spans="1:4" ht="14.4">
      <c r="A228" s="63">
        <v>70402</v>
      </c>
      <c r="B228" s="61" t="s">
        <v>281</v>
      </c>
      <c r="C228" s="64">
        <v>257.10604312547241</v>
      </c>
      <c r="D228" s="64">
        <v>393.35371132247388</v>
      </c>
    </row>
    <row r="229" spans="1:4" ht="14.4">
      <c r="A229" s="63">
        <v>30703</v>
      </c>
      <c r="B229" s="61" t="s">
        <v>152</v>
      </c>
      <c r="C229" s="64">
        <v>54.476701591321373</v>
      </c>
      <c r="D229" s="64">
        <v>6.3316582914572868</v>
      </c>
    </row>
    <row r="230" spans="1:4" ht="14.4">
      <c r="A230" s="63">
        <v>31203</v>
      </c>
      <c r="B230" s="61" t="s">
        <v>167</v>
      </c>
      <c r="C230" s="64">
        <v>81.500755274916628</v>
      </c>
      <c r="D230" s="64">
        <v>4.4393049437102299</v>
      </c>
    </row>
    <row r="231" spans="1:4" ht="14.4">
      <c r="A231" s="63">
        <v>70403</v>
      </c>
      <c r="B231" s="61" t="s">
        <v>282</v>
      </c>
      <c r="C231" s="64">
        <v>254.40475721563354</v>
      </c>
      <c r="D231" s="64">
        <v>501.426203413439</v>
      </c>
    </row>
    <row r="232" spans="1:4" ht="14.4">
      <c r="A232" s="63">
        <v>70803</v>
      </c>
      <c r="B232" s="61" t="s">
        <v>299</v>
      </c>
      <c r="C232" s="64">
        <v>91.945965221697222</v>
      </c>
      <c r="D232" s="64">
        <v>23.846043669703697</v>
      </c>
    </row>
    <row r="233" spans="1:4" ht="14.4">
      <c r="A233" s="63">
        <v>70502</v>
      </c>
      <c r="B233" s="61" t="s">
        <v>285</v>
      </c>
      <c r="C233" s="64">
        <v>285.46600945359899</v>
      </c>
      <c r="D233" s="64">
        <v>397.15225244002863</v>
      </c>
    </row>
    <row r="234" spans="1:4" ht="14.4">
      <c r="A234" s="63">
        <v>50402</v>
      </c>
      <c r="B234" s="61" t="s">
        <v>230</v>
      </c>
      <c r="C234" s="64">
        <v>22.022449209449043</v>
      </c>
      <c r="D234" s="64">
        <v>25.275356311449542</v>
      </c>
    </row>
    <row r="235" spans="1:4" ht="14.4">
      <c r="A235" s="63">
        <v>70103</v>
      </c>
      <c r="B235" s="61" t="s">
        <v>272</v>
      </c>
      <c r="C235" s="64">
        <v>944.11428556474232</v>
      </c>
      <c r="D235" s="64">
        <v>1635.4550287266004</v>
      </c>
    </row>
    <row r="236" spans="1:4" ht="14.4">
      <c r="A236" s="63">
        <v>31002</v>
      </c>
      <c r="B236" s="61" t="s">
        <v>162</v>
      </c>
      <c r="C236" s="64">
        <v>120.84040906601297</v>
      </c>
      <c r="D236" s="64">
        <v>5.6290396411242334</v>
      </c>
    </row>
    <row r="237" spans="1:4" ht="14.4">
      <c r="A237" s="63">
        <v>71301</v>
      </c>
      <c r="B237" s="61" t="s">
        <v>318</v>
      </c>
      <c r="C237" s="64">
        <v>150.9664708950308</v>
      </c>
      <c r="D237" s="64">
        <v>16.870834536495579</v>
      </c>
    </row>
    <row r="238" spans="1:4" ht="14.4">
      <c r="A238" s="63">
        <v>71104</v>
      </c>
      <c r="B238" s="61" t="s">
        <v>314</v>
      </c>
      <c r="C238" s="64">
        <v>218.64119800330752</v>
      </c>
      <c r="D238" s="64">
        <v>363.41389051014187</v>
      </c>
    </row>
    <row r="239" spans="1:4" ht="14.4">
      <c r="A239" s="63">
        <v>70801</v>
      </c>
      <c r="B239" s="61" t="s">
        <v>297</v>
      </c>
      <c r="C239" s="64">
        <v>202.29642337053866</v>
      </c>
      <c r="D239" s="64">
        <v>40.372427378248716</v>
      </c>
    </row>
    <row r="240" spans="1:4" ht="14.4">
      <c r="A240" s="63">
        <v>50404</v>
      </c>
      <c r="B240" s="61" t="s">
        <v>232</v>
      </c>
      <c r="C240" s="64">
        <v>18.781705071157493</v>
      </c>
      <c r="D240" s="64">
        <v>22.799132953226945</v>
      </c>
    </row>
    <row r="241" spans="1:4" ht="14.4">
      <c r="A241" s="63">
        <v>20503</v>
      </c>
      <c r="B241" s="61" t="s">
        <v>74</v>
      </c>
      <c r="C241" s="64">
        <v>39.92936993884188</v>
      </c>
      <c r="D241" s="64">
        <v>97.861180824673681</v>
      </c>
    </row>
    <row r="242" spans="1:4" ht="14.4">
      <c r="A242" s="63">
        <v>21103</v>
      </c>
      <c r="B242" s="61" t="s">
        <v>105</v>
      </c>
      <c r="C242" s="64">
        <v>112.83030206131104</v>
      </c>
      <c r="D242" s="64">
        <v>142.74615891094044</v>
      </c>
    </row>
    <row r="243" spans="1:4" ht="14.4">
      <c r="A243" s="63">
        <v>70902</v>
      </c>
      <c r="B243" s="61" t="s">
        <v>303</v>
      </c>
      <c r="C243" s="64">
        <v>157.02371049928448</v>
      </c>
      <c r="D243" s="64">
        <v>20.443871234007428</v>
      </c>
    </row>
    <row r="244" spans="1:4" ht="14.4">
      <c r="A244" s="63">
        <v>21104</v>
      </c>
      <c r="B244" s="61" t="s">
        <v>106</v>
      </c>
      <c r="C244" s="64">
        <v>102.90847139213365</v>
      </c>
      <c r="D244" s="64">
        <v>182.07668496408226</v>
      </c>
    </row>
    <row r="245" spans="1:4" ht="14.4">
      <c r="A245" s="63">
        <v>31202</v>
      </c>
      <c r="B245" s="61" t="s">
        <v>166</v>
      </c>
      <c r="C245" s="64">
        <v>66.162595588012749</v>
      </c>
      <c r="D245" s="64">
        <v>8.223261694058154</v>
      </c>
    </row>
    <row r="246" spans="1:4" ht="14.4">
      <c r="A246" s="63">
        <v>30203</v>
      </c>
      <c r="B246" s="61" t="s">
        <v>138</v>
      </c>
      <c r="C246" s="64">
        <v>102.43919933449129</v>
      </c>
      <c r="D246" s="64">
        <v>6.7217910447761193</v>
      </c>
    </row>
    <row r="247" spans="1:4" ht="14.4">
      <c r="A247" s="63">
        <v>21002</v>
      </c>
      <c r="B247" s="61" t="s">
        <v>98</v>
      </c>
      <c r="C247" s="64">
        <v>76.810612816459155</v>
      </c>
      <c r="D247" s="64">
        <v>117.3602002437224</v>
      </c>
    </row>
    <row r="248" spans="1:4" ht="14.4">
      <c r="A248" s="63">
        <v>30701</v>
      </c>
      <c r="B248" s="61" t="s">
        <v>150</v>
      </c>
      <c r="C248" s="64">
        <v>178.76264140489036</v>
      </c>
      <c r="D248" s="64">
        <v>4.0134863849281928</v>
      </c>
    </row>
    <row r="249" spans="1:4" ht="14.4">
      <c r="A249" s="63">
        <v>21006</v>
      </c>
      <c r="B249" s="61" t="s">
        <v>102</v>
      </c>
      <c r="C249" s="64">
        <v>34.33529596342877</v>
      </c>
      <c r="D249" s="64">
        <v>54.120731256418878</v>
      </c>
    </row>
    <row r="250" spans="1:4" ht="14.4">
      <c r="A250" s="63">
        <v>31401</v>
      </c>
      <c r="B250" s="61" t="s">
        <v>175</v>
      </c>
      <c r="C250" s="64">
        <v>231.42717782742974</v>
      </c>
      <c r="D250" s="64">
        <v>0.69450748978665455</v>
      </c>
    </row>
    <row r="251" spans="1:4" ht="14.4">
      <c r="A251" s="63">
        <v>21401</v>
      </c>
      <c r="B251" s="61" t="s">
        <v>119</v>
      </c>
      <c r="C251" s="64">
        <v>116.68680081383478</v>
      </c>
      <c r="D251" s="64">
        <v>181.99231352390873</v>
      </c>
    </row>
    <row r="252" spans="1:4" ht="14.4">
      <c r="A252" s="63">
        <v>71004</v>
      </c>
      <c r="B252" s="61" t="s">
        <v>309</v>
      </c>
      <c r="C252" s="64">
        <v>222.55853647766472</v>
      </c>
      <c r="D252" s="64">
        <v>286.17967133153229</v>
      </c>
    </row>
    <row r="253" spans="1:4" ht="14.4">
      <c r="A253" s="63">
        <v>50801</v>
      </c>
      <c r="B253" s="61" t="s">
        <v>240</v>
      </c>
      <c r="C253" s="64">
        <v>171.92370153386233</v>
      </c>
      <c r="D253" s="64">
        <v>211.90125029459938</v>
      </c>
    </row>
    <row r="254" spans="1:4" ht="14.4">
      <c r="A254" s="63">
        <v>40701</v>
      </c>
      <c r="B254" s="61" t="s">
        <v>201</v>
      </c>
      <c r="C254" s="64">
        <v>218.31649174174945</v>
      </c>
      <c r="D254" s="64">
        <v>231.07381455515971</v>
      </c>
    </row>
    <row r="255" spans="1:4" ht="14.4">
      <c r="A255" s="63">
        <v>10302</v>
      </c>
      <c r="B255" s="61" t="s">
        <v>25</v>
      </c>
      <c r="C255" s="64">
        <v>24.234641338338498</v>
      </c>
      <c r="D255" s="64">
        <v>62.88499879947318</v>
      </c>
    </row>
    <row r="256" spans="1:4" ht="14.4">
      <c r="A256" s="63">
        <v>21102</v>
      </c>
      <c r="B256" s="61" t="s">
        <v>104</v>
      </c>
      <c r="C256" s="64">
        <v>101.82523215363574</v>
      </c>
      <c r="D256" s="64">
        <v>147.6355513634922</v>
      </c>
    </row>
    <row r="257" spans="1:4" ht="14.4">
      <c r="A257" s="63">
        <v>71402</v>
      </c>
      <c r="B257" s="61" t="s">
        <v>321</v>
      </c>
      <c r="C257" s="64">
        <v>503.01930200307731</v>
      </c>
      <c r="D257" s="64">
        <v>53.659063069059279</v>
      </c>
    </row>
    <row r="258" spans="1:4" ht="14.4">
      <c r="A258" s="63">
        <v>20701</v>
      </c>
      <c r="B258" s="61" t="s">
        <v>83</v>
      </c>
      <c r="C258" s="64">
        <v>53.78162020491871</v>
      </c>
      <c r="D258" s="64">
        <v>143.93552934165089</v>
      </c>
    </row>
    <row r="259" spans="1:4" ht="14.4">
      <c r="A259" s="63">
        <v>20105</v>
      </c>
      <c r="B259" s="61" t="s">
        <v>52</v>
      </c>
      <c r="C259" s="64">
        <v>283.707560595156</v>
      </c>
      <c r="D259" s="64">
        <v>337.47794880824881</v>
      </c>
    </row>
    <row r="260" spans="1:4" ht="14.4">
      <c r="A260" s="63">
        <v>71003</v>
      </c>
      <c r="B260" s="61" t="s">
        <v>308</v>
      </c>
      <c r="C260" s="64">
        <v>305.70229271085441</v>
      </c>
      <c r="D260" s="64">
        <v>365.91423619830312</v>
      </c>
    </row>
    <row r="261" spans="1:4" ht="14.4">
      <c r="A261" s="63">
        <v>71403</v>
      </c>
      <c r="B261" s="61" t="s">
        <v>322</v>
      </c>
      <c r="C261" s="64">
        <v>192.4283521581589</v>
      </c>
      <c r="D261" s="64">
        <v>226.14326225045372</v>
      </c>
    </row>
    <row r="262" spans="1:4" ht="14.4">
      <c r="A262" s="63">
        <v>40101</v>
      </c>
      <c r="B262" s="61" t="s">
        <v>183</v>
      </c>
      <c r="C262" s="64">
        <v>309.36131687858926</v>
      </c>
      <c r="D262" s="64">
        <v>320.80295625786698</v>
      </c>
    </row>
    <row r="263" spans="1:4" ht="14.4">
      <c r="A263" s="63">
        <v>21105</v>
      </c>
      <c r="B263" s="61" t="s">
        <v>107</v>
      </c>
      <c r="C263" s="64">
        <v>93.214120690257218</v>
      </c>
      <c r="D263" s="64">
        <v>204.12415822492051</v>
      </c>
    </row>
    <row r="264" spans="1:4" ht="14.4">
      <c r="A264" s="63">
        <v>11003</v>
      </c>
      <c r="B264" s="61" t="s">
        <v>47</v>
      </c>
      <c r="C264" s="64">
        <v>122.98858220980131</v>
      </c>
      <c r="D264" s="64">
        <v>448.29302001721135</v>
      </c>
    </row>
    <row r="265" spans="1:4" ht="14.4">
      <c r="A265" s="63">
        <v>10502</v>
      </c>
      <c r="B265" s="61" t="s">
        <v>34</v>
      </c>
      <c r="C265" s="64">
        <v>87.396685895488858</v>
      </c>
      <c r="D265" s="64">
        <v>154.37069447199502</v>
      </c>
    </row>
    <row r="266" spans="1:4" ht="14.4">
      <c r="A266" s="63">
        <v>70904</v>
      </c>
      <c r="B266" s="61" t="s">
        <v>305</v>
      </c>
      <c r="C266" s="64">
        <v>68.556033034030932</v>
      </c>
      <c r="D266" s="64">
        <v>12.555087482009858</v>
      </c>
    </row>
    <row r="267" spans="1:4" ht="14.4">
      <c r="A267" s="63">
        <v>31301</v>
      </c>
      <c r="B267" s="61" t="s">
        <v>171</v>
      </c>
      <c r="C267" s="64">
        <v>126.96364780644623</v>
      </c>
      <c r="D267" s="64">
        <v>12.413349416968234</v>
      </c>
    </row>
    <row r="268" spans="1:4" ht="14.4">
      <c r="A268" s="63">
        <v>70105</v>
      </c>
      <c r="B268" s="61" t="s">
        <v>274</v>
      </c>
      <c r="C268" s="64">
        <v>280.31565589116917</v>
      </c>
      <c r="D268" s="64">
        <v>356.31998133397815</v>
      </c>
    </row>
    <row r="269" spans="1:4" ht="14.4">
      <c r="A269" s="63">
        <v>90401</v>
      </c>
      <c r="B269" s="61" t="s">
        <v>352</v>
      </c>
      <c r="C269" s="64"/>
      <c r="D269" s="64">
        <v>424.65732089604171</v>
      </c>
    </row>
    <row r="270" spans="1:4" ht="14.4">
      <c r="A270" s="63">
        <v>31001</v>
      </c>
      <c r="B270" s="61" t="s">
        <v>161</v>
      </c>
      <c r="C270" s="64">
        <v>266.84056255922388</v>
      </c>
      <c r="D270" s="64">
        <v>3.2106329761013637</v>
      </c>
    </row>
    <row r="271" spans="1:4" ht="14.4">
      <c r="A271" s="63">
        <v>30201</v>
      </c>
      <c r="B271" s="61" t="s">
        <v>136</v>
      </c>
      <c r="C271" s="64">
        <v>110.235410676985</v>
      </c>
      <c r="D271" s="64">
        <v>18.15517017951975</v>
      </c>
    </row>
    <row r="272" spans="1:4" ht="14.4">
      <c r="A272" s="63">
        <v>21402</v>
      </c>
      <c r="B272" s="61" t="s">
        <v>120</v>
      </c>
      <c r="C272" s="64">
        <v>165.40047048229206</v>
      </c>
      <c r="D272" s="64">
        <v>153.88321293977995</v>
      </c>
    </row>
    <row r="273" spans="1:4" ht="14.4">
      <c r="A273" s="63">
        <v>30902</v>
      </c>
      <c r="B273" s="61" t="s">
        <v>157</v>
      </c>
      <c r="C273" s="64">
        <v>196.58115435078619</v>
      </c>
      <c r="D273" s="64">
        <v>3.2917650425699363</v>
      </c>
    </row>
    <row r="274" spans="1:4" ht="14.4">
      <c r="A274" s="63">
        <v>21101</v>
      </c>
      <c r="B274" s="61" t="s">
        <v>103</v>
      </c>
      <c r="C274" s="64">
        <v>155.43368736590551</v>
      </c>
      <c r="D274" s="64">
        <v>237.34049064412389</v>
      </c>
    </row>
    <row r="275" spans="1:4" ht="14.4">
      <c r="A275" s="63">
        <v>50101</v>
      </c>
      <c r="B275" s="61" t="s">
        <v>218</v>
      </c>
      <c r="C275" s="64">
        <v>216.41687829673353</v>
      </c>
      <c r="D275" s="64">
        <v>256.44214503180848</v>
      </c>
    </row>
    <row r="276" spans="1:4" ht="14.4">
      <c r="A276" s="63">
        <v>30904</v>
      </c>
      <c r="B276" s="61" t="s">
        <v>159</v>
      </c>
      <c r="C276" s="64">
        <v>237.41079631446561</v>
      </c>
      <c r="D276" s="64">
        <v>1.7328053652968036</v>
      </c>
    </row>
    <row r="277" spans="1:4" ht="14.4">
      <c r="A277" s="63">
        <v>70104</v>
      </c>
      <c r="B277" s="61" t="s">
        <v>273</v>
      </c>
      <c r="C277" s="64">
        <v>392.81209967436803</v>
      </c>
      <c r="D277" s="64">
        <v>480.3775164974731</v>
      </c>
    </row>
    <row r="278" spans="1:4" ht="14.4">
      <c r="A278" s="63">
        <v>10501</v>
      </c>
      <c r="B278" s="61" t="s">
        <v>33</v>
      </c>
      <c r="C278" s="64">
        <v>157.65432258394097</v>
      </c>
      <c r="D278" s="64">
        <v>211.29951926807723</v>
      </c>
    </row>
    <row r="279" spans="1:4" ht="14.4">
      <c r="A279" s="63">
        <v>70601</v>
      </c>
      <c r="B279" s="61" t="s">
        <v>287</v>
      </c>
      <c r="C279" s="64">
        <v>414.32901538432583</v>
      </c>
      <c r="D279" s="64">
        <v>474.68090442281755</v>
      </c>
    </row>
    <row r="280" spans="1:4" ht="14.4">
      <c r="A280" s="63">
        <v>31201</v>
      </c>
      <c r="B280" s="61" t="s">
        <v>165</v>
      </c>
      <c r="C280" s="64">
        <v>55.532649331586597</v>
      </c>
      <c r="D280" s="64">
        <v>11.744416706025234</v>
      </c>
    </row>
    <row r="281" spans="1:4" ht="14.4">
      <c r="A281" s="63">
        <v>51501</v>
      </c>
      <c r="B281" s="61" t="s">
        <v>258</v>
      </c>
      <c r="C281" s="64">
        <v>134.93353317582174</v>
      </c>
      <c r="D281" s="64">
        <v>164.39625051426512</v>
      </c>
    </row>
    <row r="282" spans="1:4" ht="14.4">
      <c r="A282" s="63">
        <v>20101</v>
      </c>
      <c r="B282" s="61" t="s">
        <v>48</v>
      </c>
      <c r="C282" s="64">
        <v>576.57658897553108</v>
      </c>
      <c r="D282" s="64">
        <v>566.9618328384189</v>
      </c>
    </row>
    <row r="283" spans="1:4" ht="14.4">
      <c r="A283" s="63">
        <v>20606</v>
      </c>
      <c r="B283" s="61" t="s">
        <v>80</v>
      </c>
      <c r="C283" s="64">
        <v>157.84126136094275</v>
      </c>
      <c r="D283" s="64">
        <v>339.32724211412494</v>
      </c>
    </row>
    <row r="284" spans="1:4" ht="14.4">
      <c r="A284" s="63">
        <v>70101</v>
      </c>
      <c r="B284" s="61" t="s">
        <v>270</v>
      </c>
      <c r="C284" s="64">
        <v>649.84973100379511</v>
      </c>
      <c r="D284" s="64">
        <v>765.52308345362155</v>
      </c>
    </row>
    <row r="285" spans="1:4" ht="14.4">
      <c r="A285" s="63">
        <v>60101</v>
      </c>
      <c r="B285" s="61" t="s">
        <v>260</v>
      </c>
      <c r="C285" s="64">
        <v>336.06575509964222</v>
      </c>
      <c r="D285" s="64">
        <v>354.20258515443624</v>
      </c>
    </row>
    <row r="286" spans="1:4" ht="14.4">
      <c r="A286" s="63">
        <v>71001</v>
      </c>
      <c r="B286" s="61" t="s">
        <v>306</v>
      </c>
      <c r="C286" s="64">
        <v>432.24414812853803</v>
      </c>
      <c r="D286" s="64">
        <v>504.54746777923049</v>
      </c>
    </row>
    <row r="287" spans="1:4" ht="14.4">
      <c r="A287" s="63">
        <v>31205</v>
      </c>
      <c r="B287" s="61" t="s">
        <v>169</v>
      </c>
      <c r="C287" s="64">
        <v>164.3827923824729</v>
      </c>
      <c r="D287" s="64">
        <v>3.9735583249477515</v>
      </c>
    </row>
    <row r="288" spans="1:4" ht="14.4">
      <c r="A288" s="63">
        <v>31206</v>
      </c>
      <c r="B288" s="61" t="s">
        <v>170</v>
      </c>
      <c r="C288" s="64">
        <v>192.84966802239774</v>
      </c>
      <c r="D288" s="64">
        <v>4.3425076452599392</v>
      </c>
    </row>
    <row r="289" spans="1:4" ht="14.4">
      <c r="A289" s="63">
        <v>70706</v>
      </c>
      <c r="B289" s="61" t="s">
        <v>295</v>
      </c>
      <c r="C289" s="64">
        <v>380.36365563944395</v>
      </c>
      <c r="D289" s="64">
        <v>73.040947794401006</v>
      </c>
    </row>
    <row r="290" spans="1:4" ht="14.4">
      <c r="A290" s="63">
        <v>30101</v>
      </c>
      <c r="B290" s="61" t="s">
        <v>135</v>
      </c>
      <c r="C290" s="64">
        <v>433.61498623918942</v>
      </c>
      <c r="D290" s="64">
        <v>955.88623456415075</v>
      </c>
    </row>
    <row r="291" spans="1:4" ht="14.4">
      <c r="A291" s="63">
        <v>80602</v>
      </c>
      <c r="B291" s="61" t="s">
        <v>336</v>
      </c>
      <c r="C291" s="64">
        <v>88.294048128360728</v>
      </c>
      <c r="D291" s="64">
        <v>506.36011557067599</v>
      </c>
    </row>
    <row r="292" spans="1:4" ht="14.4">
      <c r="A292" s="63">
        <v>80304</v>
      </c>
      <c r="B292" s="61" t="s">
        <v>331</v>
      </c>
      <c r="C292" s="64">
        <v>216.43396909959299</v>
      </c>
      <c r="D292" s="64">
        <v>311.61906785947008</v>
      </c>
    </row>
    <row r="293" spans="1:4" ht="14.4">
      <c r="A293" s="63">
        <v>31003</v>
      </c>
      <c r="B293" s="61" t="s">
        <v>163</v>
      </c>
      <c r="C293" s="64">
        <v>131.42055429598204</v>
      </c>
      <c r="D293" s="64">
        <v>7.9901863526299506</v>
      </c>
    </row>
    <row r="294" spans="1:4" ht="14.4">
      <c r="A294" s="63">
        <v>60303</v>
      </c>
      <c r="B294" s="61" t="s">
        <v>265</v>
      </c>
      <c r="C294" s="64">
        <v>359.75929394162836</v>
      </c>
      <c r="D294" s="64">
        <v>382.28147856835363</v>
      </c>
    </row>
    <row r="295" spans="1:4" ht="14.4">
      <c r="A295" s="63">
        <v>51002</v>
      </c>
      <c r="B295" s="61" t="s">
        <v>245</v>
      </c>
      <c r="C295" s="64"/>
      <c r="D295" s="64">
        <v>34.089756157107466</v>
      </c>
    </row>
    <row r="296" spans="1:4" ht="14.4">
      <c r="A296" s="63">
        <v>11001</v>
      </c>
      <c r="B296" s="61" t="s">
        <v>45</v>
      </c>
      <c r="C296" s="64">
        <v>67.088750286650097</v>
      </c>
      <c r="D296" s="64">
        <v>138.94661949248473</v>
      </c>
    </row>
    <row r="297" spans="1:4" ht="14.4">
      <c r="A297" s="63">
        <v>10101</v>
      </c>
      <c r="B297" s="61" t="s">
        <v>19</v>
      </c>
      <c r="C297" s="64">
        <v>319.09710251944205</v>
      </c>
      <c r="D297" s="64">
        <v>351.31592003821419</v>
      </c>
    </row>
    <row r="298" spans="1:4" ht="14.4">
      <c r="A298" s="63">
        <v>30901</v>
      </c>
      <c r="B298" s="61" t="s">
        <v>156</v>
      </c>
      <c r="C298" s="64">
        <v>331.41759443666592</v>
      </c>
      <c r="D298" s="64">
        <v>3.2185845113079568</v>
      </c>
    </row>
    <row r="299" spans="1:4" ht="14.4">
      <c r="A299" s="63">
        <v>20905</v>
      </c>
      <c r="B299" s="61" t="s">
        <v>96</v>
      </c>
      <c r="C299" s="64">
        <v>47.911096388779754</v>
      </c>
      <c r="D299" s="64">
        <v>61.738785132290175</v>
      </c>
    </row>
    <row r="300" spans="1:4" ht="14.4">
      <c r="A300" s="63">
        <v>30903</v>
      </c>
      <c r="B300" s="61" t="s">
        <v>158</v>
      </c>
      <c r="C300" s="64">
        <v>372.56285714155774</v>
      </c>
      <c r="D300" s="64">
        <v>6.8345084087968955</v>
      </c>
    </row>
    <row r="301" spans="1:4" ht="14.4">
      <c r="A301" s="63">
        <v>30905</v>
      </c>
      <c r="B301" s="61" t="s">
        <v>160</v>
      </c>
      <c r="C301" s="64">
        <v>371.28894199553673</v>
      </c>
      <c r="D301" s="64">
        <v>1.5735959702278024</v>
      </c>
    </row>
    <row r="302" spans="1:4" ht="14.4">
      <c r="A302" s="63">
        <v>50802</v>
      </c>
      <c r="B302" s="61" t="s">
        <v>241</v>
      </c>
      <c r="C302" s="64">
        <v>145.41531841289176</v>
      </c>
      <c r="D302" s="64">
        <v>161.39458900237307</v>
      </c>
    </row>
    <row r="303" spans="1:4" ht="14.4">
      <c r="A303" s="63">
        <v>50203</v>
      </c>
      <c r="B303" s="61" t="s">
        <v>224</v>
      </c>
      <c r="C303" s="64">
        <v>122.53811325779049</v>
      </c>
      <c r="D303" s="64">
        <v>162.1675022535027</v>
      </c>
    </row>
    <row r="304" spans="1:4" ht="14.4">
      <c r="A304" s="63">
        <v>60301</v>
      </c>
      <c r="B304" s="61" t="s">
        <v>263</v>
      </c>
      <c r="C304" s="64">
        <v>293.48191748291561</v>
      </c>
      <c r="D304" s="64">
        <v>364.07016000033258</v>
      </c>
    </row>
    <row r="305" spans="1:4" ht="14.4">
      <c r="A305" s="63">
        <v>70301</v>
      </c>
      <c r="B305" s="61" t="s">
        <v>277</v>
      </c>
      <c r="C305" s="64">
        <v>176.9470981917195</v>
      </c>
      <c r="D305" s="64">
        <v>30.411576234460981</v>
      </c>
    </row>
    <row r="306" spans="1:4" ht="14.4">
      <c r="A306" s="63">
        <v>80102</v>
      </c>
      <c r="B306" s="61" t="s">
        <v>312</v>
      </c>
      <c r="C306" s="64">
        <v>50.736354818033135</v>
      </c>
      <c r="D306" s="64">
        <v>549.86136740582424</v>
      </c>
    </row>
    <row r="307" spans="1:4" ht="14.4">
      <c r="A307" s="63">
        <v>21003</v>
      </c>
      <c r="B307" s="61" t="s">
        <v>99</v>
      </c>
      <c r="C307" s="64">
        <v>149.32952288271036</v>
      </c>
      <c r="D307" s="64">
        <v>151.37789913266946</v>
      </c>
    </row>
    <row r="308" spans="1:4" ht="14.4">
      <c r="A308" s="63">
        <v>20607</v>
      </c>
      <c r="B308" s="61" t="s">
        <v>81</v>
      </c>
      <c r="C308" s="64">
        <v>91.695744270520066</v>
      </c>
      <c r="D308" s="64">
        <v>437.93242680855639</v>
      </c>
    </row>
    <row r="309" spans="1:4" ht="14.4">
      <c r="A309" s="63">
        <v>31204</v>
      </c>
      <c r="B309" s="61" t="s">
        <v>168</v>
      </c>
      <c r="C309" s="64">
        <v>160.63180353228026</v>
      </c>
      <c r="D309" s="64">
        <v>7.5206569528723524</v>
      </c>
    </row>
    <row r="310" spans="1:4" ht="14.4">
      <c r="A310" s="63">
        <v>60202</v>
      </c>
      <c r="B310" s="61" t="s">
        <v>262</v>
      </c>
      <c r="C310" s="64">
        <v>307.3888526549938</v>
      </c>
      <c r="D310" s="64">
        <v>404.74492832933981</v>
      </c>
    </row>
    <row r="311" spans="1:4" ht="14.4">
      <c r="A311" s="63">
        <v>70302</v>
      </c>
      <c r="B311" s="61" t="s">
        <v>278</v>
      </c>
      <c r="C311" s="64">
        <v>144.02739290343214</v>
      </c>
      <c r="D311" s="64">
        <v>43.716844937331842</v>
      </c>
    </row>
    <row r="312" spans="1:4" ht="14.4">
      <c r="A312" s="63">
        <v>90203</v>
      </c>
      <c r="B312" s="61" t="s">
        <v>348</v>
      </c>
      <c r="C312" s="64">
        <v>144.88740602587961</v>
      </c>
      <c r="D312" s="64">
        <v>643.44903660425121</v>
      </c>
    </row>
    <row r="313" spans="1:4" ht="14.4">
      <c r="A313" s="63">
        <v>31602</v>
      </c>
      <c r="B313" s="61" t="s">
        <v>182</v>
      </c>
      <c r="C313" s="64">
        <v>156.2089234821604</v>
      </c>
      <c r="D313" s="64">
        <v>6.1094141027528339</v>
      </c>
    </row>
    <row r="314" spans="1:4" ht="14.4">
      <c r="A314" s="63">
        <v>80601</v>
      </c>
      <c r="B314" s="61" t="s">
        <v>335</v>
      </c>
      <c r="C314" s="64">
        <v>60.36050313851603</v>
      </c>
      <c r="D314" s="64">
        <v>828.06722885921761</v>
      </c>
    </row>
    <row r="315" spans="1:4" ht="14.4">
      <c r="A315" s="63">
        <v>90104</v>
      </c>
      <c r="B315" s="61" t="s">
        <v>346</v>
      </c>
      <c r="C315" s="64">
        <v>48.721435946612267</v>
      </c>
      <c r="D315" s="64">
        <v>256.95344357871483</v>
      </c>
    </row>
    <row r="316" spans="1:4" ht="14.4">
      <c r="A316" s="63">
        <v>21501</v>
      </c>
      <c r="B316" s="61" t="s">
        <v>121</v>
      </c>
      <c r="C316" s="64">
        <v>98.524808424871182</v>
      </c>
      <c r="D316" s="64">
        <v>157.80381101674152</v>
      </c>
    </row>
    <row r="317" spans="1:4" ht="14.4">
      <c r="A317" s="63">
        <v>50602</v>
      </c>
      <c r="B317" s="61" t="s">
        <v>237</v>
      </c>
      <c r="C317" s="64">
        <v>48.022016734293572</v>
      </c>
      <c r="D317" s="64">
        <v>57.467498021152011</v>
      </c>
    </row>
    <row r="318" spans="1:4" ht="14.4">
      <c r="A318" s="63">
        <v>80302</v>
      </c>
      <c r="B318" s="61" t="s">
        <v>329</v>
      </c>
      <c r="C318" s="64">
        <v>154.84116307470467</v>
      </c>
      <c r="D318" s="64">
        <v>321.96519499417712</v>
      </c>
    </row>
    <row r="319" spans="1:4" ht="14.4">
      <c r="A319" s="63">
        <v>50303</v>
      </c>
      <c r="B319" s="61" t="s">
        <v>228</v>
      </c>
      <c r="C319" s="64">
        <v>20.650997731082629</v>
      </c>
      <c r="D319" s="64">
        <v>26.479465421952529</v>
      </c>
    </row>
    <row r="320" spans="1:4" ht="14.4">
      <c r="A320" s="63">
        <v>90102</v>
      </c>
      <c r="B320" s="61" t="s">
        <v>344</v>
      </c>
      <c r="C320" s="64">
        <v>153.24966383584942</v>
      </c>
      <c r="D320" s="64">
        <v>384.15070042426123</v>
      </c>
    </row>
    <row r="321" spans="1:4" ht="14.4">
      <c r="A321" s="63">
        <v>20602</v>
      </c>
      <c r="B321" s="61" t="s">
        <v>76</v>
      </c>
      <c r="C321" s="64">
        <v>173.70674224119455</v>
      </c>
      <c r="D321" s="64">
        <v>347.51037465517709</v>
      </c>
    </row>
    <row r="322" spans="1:4" ht="14.4">
      <c r="A322" s="63">
        <v>80301</v>
      </c>
      <c r="B322" s="61" t="s">
        <v>328</v>
      </c>
      <c r="C322" s="64">
        <v>152.29035322287197</v>
      </c>
      <c r="D322" s="64">
        <v>272.66936739190237</v>
      </c>
    </row>
    <row r="323" spans="1:4" ht="14.4">
      <c r="A323" s="63">
        <v>90201</v>
      </c>
      <c r="B323" s="61" t="s">
        <v>347</v>
      </c>
      <c r="C323" s="64">
        <v>138.29253382328545</v>
      </c>
      <c r="D323" s="64">
        <v>215.1730012413409</v>
      </c>
    </row>
    <row r="324" spans="1:4" ht="14.4">
      <c r="A324" s="63">
        <v>80303</v>
      </c>
      <c r="B324" s="61" t="s">
        <v>330</v>
      </c>
      <c r="C324" s="64">
        <v>145.44215045646951</v>
      </c>
      <c r="D324" s="64">
        <v>286.25750769738818</v>
      </c>
    </row>
    <row r="325" spans="1:4" ht="14.4">
      <c r="A325" s="63">
        <v>80501</v>
      </c>
      <c r="B325" s="61" t="s">
        <v>334</v>
      </c>
      <c r="C325" s="64">
        <v>127.61111384790735</v>
      </c>
      <c r="D325" s="64">
        <v>219.93680501037213</v>
      </c>
    </row>
    <row r="326" spans="1:4" ht="14.4">
      <c r="A326" s="63">
        <v>90202</v>
      </c>
      <c r="B326" s="61" t="s">
        <v>310</v>
      </c>
      <c r="C326" s="64">
        <v>25.839911549053038</v>
      </c>
      <c r="D326" s="64">
        <v>100.57234232882466</v>
      </c>
    </row>
    <row r="327" spans="1:4" ht="14.4">
      <c r="A327" s="63">
        <v>21502</v>
      </c>
      <c r="B327" s="61" t="s">
        <v>122</v>
      </c>
      <c r="C327" s="64">
        <v>112.89069312481566</v>
      </c>
      <c r="D327" s="64">
        <v>189.35279570914093</v>
      </c>
    </row>
    <row r="328" spans="1:4" ht="14.4">
      <c r="A328" s="63">
        <v>80401</v>
      </c>
      <c r="B328" s="61" t="s">
        <v>332</v>
      </c>
      <c r="C328" s="64">
        <v>199.00040212177004</v>
      </c>
      <c r="D328" s="64">
        <v>365.29522325379929</v>
      </c>
    </row>
    <row r="329" spans="1:4" ht="14.4">
      <c r="A329" s="63">
        <v>80702</v>
      </c>
      <c r="B329" s="61" t="s">
        <v>313</v>
      </c>
      <c r="C329" s="64">
        <v>250.09916256884424</v>
      </c>
      <c r="D329" s="64">
        <v>824.10839850560717</v>
      </c>
    </row>
    <row r="330" spans="1:4" ht="14.4">
      <c r="A330" s="63">
        <v>90303</v>
      </c>
      <c r="B330" s="61" t="s">
        <v>351</v>
      </c>
      <c r="C330" s="64">
        <v>80.308498783336617</v>
      </c>
      <c r="D330" s="64">
        <v>179.90790727169789</v>
      </c>
    </row>
    <row r="331" spans="1:4" ht="14.4">
      <c r="A331" s="63">
        <v>90101</v>
      </c>
      <c r="B331" s="61" t="s">
        <v>343</v>
      </c>
      <c r="C331" s="64">
        <v>483.11094450258503</v>
      </c>
      <c r="D331" s="64">
        <v>599.87192909602572</v>
      </c>
    </row>
    <row r="332" spans="1:4" ht="14.4">
      <c r="A332" s="63">
        <v>80201</v>
      </c>
      <c r="B332" s="61" t="s">
        <v>326</v>
      </c>
      <c r="C332" s="64">
        <v>211.60194566478546</v>
      </c>
      <c r="D332" s="64">
        <v>285.25181774229253</v>
      </c>
    </row>
    <row r="333" spans="1:4" ht="14.4">
      <c r="A333" s="63">
        <v>80801</v>
      </c>
      <c r="B333" s="61" t="s">
        <v>339</v>
      </c>
      <c r="C333" s="64">
        <v>140.5764814361813</v>
      </c>
      <c r="D333" s="64">
        <v>544.35142744867699</v>
      </c>
    </row>
    <row r="334" spans="1:4" ht="14.4">
      <c r="A334" s="63">
        <v>80802</v>
      </c>
      <c r="B334" s="61" t="s">
        <v>340</v>
      </c>
      <c r="C334" s="64">
        <v>35.822338887071503</v>
      </c>
      <c r="D334" s="64">
        <v>242.73784719573126</v>
      </c>
    </row>
    <row r="335" spans="1:4" ht="14.4">
      <c r="A335" s="63">
        <v>90302</v>
      </c>
      <c r="B335" s="61" t="s">
        <v>350</v>
      </c>
      <c r="C335" s="64">
        <v>36.229920069292156</v>
      </c>
      <c r="D335" s="64">
        <v>75.433635158399142</v>
      </c>
    </row>
    <row r="336" spans="1:4" ht="14.4">
      <c r="A336" s="63">
        <v>80701</v>
      </c>
      <c r="B336" s="61" t="s">
        <v>337</v>
      </c>
      <c r="C336" s="64">
        <v>226.82967589950655</v>
      </c>
      <c r="D336" s="64">
        <v>388.52790829493773</v>
      </c>
    </row>
    <row r="337" spans="1:4" ht="14.4">
      <c r="A337" s="63">
        <v>80101</v>
      </c>
      <c r="B337" s="61" t="s">
        <v>325</v>
      </c>
      <c r="C337" s="64">
        <v>454.32521707582572</v>
      </c>
      <c r="D337" s="64">
        <v>629.7884655658695</v>
      </c>
    </row>
    <row r="338" spans="1:4" ht="14.4">
      <c r="A338" s="63">
        <v>80803</v>
      </c>
      <c r="B338" s="61" t="s">
        <v>341</v>
      </c>
      <c r="C338" s="64">
        <v>29.684173697730948</v>
      </c>
      <c r="D338" s="64">
        <v>373.92419010763808</v>
      </c>
    </row>
    <row r="339" spans="1:4" ht="14.4">
      <c r="A339" s="63">
        <v>80202</v>
      </c>
      <c r="B339" s="61" t="s">
        <v>327</v>
      </c>
      <c r="C339" s="64">
        <v>273.60583472762784</v>
      </c>
      <c r="D339" s="64">
        <v>446.10608839620568</v>
      </c>
    </row>
    <row r="340" spans="1:4" ht="14.4">
      <c r="A340" s="63">
        <v>80402</v>
      </c>
      <c r="B340" s="61" t="s">
        <v>333</v>
      </c>
      <c r="C340" s="64"/>
      <c r="D340" s="64">
        <v>135.97865700400357</v>
      </c>
    </row>
    <row r="341" spans="1:4" ht="14.4">
      <c r="A341" s="63">
        <v>41202</v>
      </c>
      <c r="B341" s="61" t="s">
        <v>211</v>
      </c>
      <c r="C341" s="64">
        <v>20.774957754597612</v>
      </c>
      <c r="D341" s="64">
        <v>0.9349885658281607</v>
      </c>
    </row>
    <row r="342" spans="1:4" ht="14.4">
      <c r="A342" s="63">
        <v>40602</v>
      </c>
      <c r="B342" s="61" t="s">
        <v>199</v>
      </c>
      <c r="C342" s="64">
        <v>36.29664010047243</v>
      </c>
      <c r="D342" s="64">
        <v>34.795107044407523</v>
      </c>
    </row>
    <row r="343" spans="1:4" ht="14.4">
      <c r="A343" s="63">
        <v>50201</v>
      </c>
      <c r="B343" s="61" t="s">
        <v>222</v>
      </c>
      <c r="C343" s="64">
        <v>64.038439126235218</v>
      </c>
      <c r="D343" s="64">
        <v>97.513088546332057</v>
      </c>
    </row>
    <row r="344" spans="1:4" ht="14.4">
      <c r="A344" s="63">
        <v>71201</v>
      </c>
      <c r="B344" s="61" t="s">
        <v>317</v>
      </c>
      <c r="C344" s="64">
        <v>220.61585311669666</v>
      </c>
      <c r="D344" s="64">
        <v>17.834048640915594</v>
      </c>
    </row>
    <row r="345" spans="1:4" ht="14.4">
      <c r="A345" s="34"/>
      <c r="B345" s="65"/>
      <c r="C345" s="66"/>
      <c r="D345" s="66"/>
    </row>
    <row r="346" spans="1:4" ht="14.4">
      <c r="A346" s="34"/>
      <c r="B346" s="67"/>
      <c r="C346" s="66"/>
      <c r="D346" s="66"/>
    </row>
    <row r="347" spans="1:4" ht="14.4">
      <c r="A347" s="34"/>
      <c r="B347" s="67"/>
      <c r="C347" s="68"/>
      <c r="D347" s="68"/>
    </row>
    <row r="348" spans="1:4" ht="13.2">
      <c r="A348" s="34"/>
      <c r="B348" s="65"/>
      <c r="C348" s="68"/>
      <c r="D348" s="68"/>
    </row>
    <row r="349" spans="1:4" ht="14.4">
      <c r="A349" s="34"/>
      <c r="B349" s="67"/>
      <c r="C349" s="68"/>
      <c r="D349" s="68"/>
    </row>
    <row r="350" spans="1:4" ht="13.2">
      <c r="A350" s="34"/>
      <c r="B350" s="65"/>
      <c r="C350" s="68"/>
      <c r="D350" s="68"/>
    </row>
    <row r="351" spans="1:4" ht="13.2">
      <c r="A351" s="34"/>
      <c r="B351" s="65"/>
      <c r="C351" s="68"/>
      <c r="D351" s="68"/>
    </row>
    <row r="352" spans="1:4" ht="13.2">
      <c r="A352" s="34"/>
      <c r="B352" s="65"/>
      <c r="C352" s="68"/>
      <c r="D352" s="68"/>
    </row>
    <row r="353" spans="1:4" ht="13.2">
      <c r="A353" s="34"/>
      <c r="B353" s="65"/>
      <c r="C353" s="68"/>
      <c r="D353" s="68"/>
    </row>
    <row r="354" spans="1:4" ht="13.2">
      <c r="A354" s="34"/>
      <c r="B354" s="65"/>
      <c r="C354" s="68"/>
      <c r="D354" s="68"/>
    </row>
    <row r="355" spans="1:4" ht="13.2">
      <c r="A355" s="34"/>
      <c r="B355" s="65"/>
      <c r="C355" s="68"/>
      <c r="D355" s="68"/>
    </row>
    <row r="356" spans="1:4" ht="13.2">
      <c r="A356" s="34"/>
      <c r="B356" s="65"/>
      <c r="C356" s="68"/>
      <c r="D356" s="68"/>
    </row>
    <row r="357" spans="1:4" ht="13.2">
      <c r="A357" s="34"/>
      <c r="B357" s="65"/>
      <c r="C357" s="68"/>
      <c r="D357" s="68"/>
    </row>
    <row r="358" spans="1:4" ht="13.2">
      <c r="A358" s="34"/>
      <c r="B358" s="65"/>
      <c r="C358" s="68"/>
      <c r="D358" s="68"/>
    </row>
    <row r="359" spans="1:4" ht="13.2">
      <c r="A359" s="34"/>
      <c r="B359" s="65"/>
      <c r="C359" s="68"/>
      <c r="D359" s="68"/>
    </row>
    <row r="360" spans="1:4" ht="13.2">
      <c r="A360" s="34"/>
      <c r="B360" s="65"/>
      <c r="C360" s="68"/>
      <c r="D360" s="68"/>
    </row>
    <row r="361" spans="1:4" ht="13.2">
      <c r="A361" s="34"/>
      <c r="B361" s="65"/>
      <c r="C361" s="68"/>
      <c r="D361" s="68"/>
    </row>
    <row r="362" spans="1:4" ht="13.2">
      <c r="A362" s="34"/>
      <c r="B362" s="65"/>
      <c r="C362" s="68"/>
      <c r="D362" s="68"/>
    </row>
    <row r="363" spans="1:4" ht="13.2">
      <c r="A363" s="34"/>
      <c r="B363" s="65"/>
      <c r="C363" s="68"/>
      <c r="D363" s="68"/>
    </row>
    <row r="364" spans="1:4" ht="13.2">
      <c r="A364" s="34"/>
      <c r="B364" s="65"/>
      <c r="C364" s="68"/>
      <c r="D364" s="68"/>
    </row>
    <row r="365" spans="1:4" ht="13.2">
      <c r="A365" s="34"/>
      <c r="B365" s="65"/>
      <c r="C365" s="68"/>
      <c r="D365" s="68"/>
    </row>
    <row r="366" spans="1:4" ht="13.2">
      <c r="A366" s="34"/>
      <c r="B366" s="65"/>
      <c r="C366" s="68"/>
      <c r="D366" s="68"/>
    </row>
    <row r="367" spans="1:4" ht="13.2">
      <c r="A367" s="34"/>
      <c r="B367" s="65"/>
      <c r="C367" s="68"/>
      <c r="D367" s="68"/>
    </row>
    <row r="368" spans="1:4" ht="13.2">
      <c r="A368" s="34"/>
      <c r="B368" s="65"/>
      <c r="C368" s="68"/>
      <c r="D368" s="68"/>
    </row>
    <row r="369" spans="1:4" ht="13.2">
      <c r="A369" s="34"/>
      <c r="B369" s="65"/>
      <c r="C369" s="68"/>
      <c r="D369" s="68"/>
    </row>
    <row r="370" spans="1:4" ht="13.2">
      <c r="A370" s="34"/>
      <c r="B370" s="65"/>
      <c r="C370" s="68"/>
      <c r="D370" s="68"/>
    </row>
    <row r="371" spans="1:4" ht="13.2">
      <c r="A371" s="34"/>
      <c r="B371" s="65"/>
      <c r="C371" s="68"/>
      <c r="D371" s="68"/>
    </row>
    <row r="372" spans="1:4" ht="13.2">
      <c r="A372" s="34"/>
      <c r="B372" s="65"/>
      <c r="C372" s="68"/>
      <c r="D372" s="68"/>
    </row>
    <row r="373" spans="1:4" ht="13.2">
      <c r="A373" s="34"/>
      <c r="B373" s="65"/>
      <c r="C373" s="68"/>
      <c r="D373" s="68"/>
    </row>
    <row r="374" spans="1:4" ht="13.2">
      <c r="A374" s="34"/>
      <c r="B374" s="65"/>
      <c r="C374" s="68"/>
      <c r="D374" s="68"/>
    </row>
    <row r="375" spans="1:4" ht="13.2">
      <c r="A375" s="34"/>
      <c r="B375" s="65"/>
      <c r="C375" s="68"/>
      <c r="D375" s="68"/>
    </row>
    <row r="376" spans="1:4" ht="13.2">
      <c r="A376" s="34"/>
      <c r="B376" s="65"/>
      <c r="C376" s="68"/>
      <c r="D376" s="68"/>
    </row>
    <row r="377" spans="1:4" ht="13.2">
      <c r="A377" s="34"/>
      <c r="B377" s="65"/>
      <c r="C377" s="68"/>
      <c r="D377" s="68"/>
    </row>
    <row r="378" spans="1:4" ht="13.2">
      <c r="A378" s="34"/>
      <c r="B378" s="65"/>
      <c r="C378" s="68"/>
      <c r="D378" s="68"/>
    </row>
    <row r="379" spans="1:4" ht="13.2">
      <c r="A379" s="34"/>
      <c r="B379" s="65"/>
      <c r="C379" s="68"/>
      <c r="D379" s="68"/>
    </row>
    <row r="380" spans="1:4" ht="13.2">
      <c r="A380" s="34"/>
      <c r="B380" s="65"/>
      <c r="C380" s="68"/>
      <c r="D380" s="68"/>
    </row>
    <row r="381" spans="1:4" ht="13.2">
      <c r="A381" s="34"/>
      <c r="B381" s="65"/>
      <c r="C381" s="68"/>
      <c r="D381" s="68"/>
    </row>
    <row r="382" spans="1:4" ht="13.2">
      <c r="A382" s="34"/>
      <c r="B382" s="65"/>
      <c r="C382" s="68"/>
      <c r="D382" s="68"/>
    </row>
    <row r="383" spans="1:4" ht="13.2">
      <c r="A383" s="34"/>
      <c r="B383" s="65"/>
      <c r="C383" s="68"/>
      <c r="D383" s="68"/>
    </row>
    <row r="384" spans="1:4" ht="13.2">
      <c r="A384" s="34"/>
      <c r="B384" s="65"/>
      <c r="C384" s="68"/>
      <c r="D384" s="68"/>
    </row>
    <row r="385" spans="1:4" ht="13.2">
      <c r="A385" s="34"/>
      <c r="B385" s="65"/>
      <c r="C385" s="68"/>
      <c r="D385" s="68"/>
    </row>
    <row r="386" spans="1:4" ht="13.2">
      <c r="A386" s="34"/>
      <c r="B386" s="65"/>
      <c r="C386" s="68"/>
      <c r="D386" s="68"/>
    </row>
    <row r="387" spans="1:4" ht="13.2">
      <c r="A387" s="34"/>
      <c r="B387" s="65"/>
      <c r="C387" s="68"/>
      <c r="D387" s="68"/>
    </row>
    <row r="388" spans="1:4" ht="13.2">
      <c r="A388" s="34"/>
      <c r="B388" s="65"/>
      <c r="C388" s="68"/>
      <c r="D388" s="68"/>
    </row>
    <row r="389" spans="1:4" ht="13.2">
      <c r="A389" s="34"/>
      <c r="B389" s="65"/>
      <c r="C389" s="68"/>
      <c r="D389" s="68"/>
    </row>
    <row r="390" spans="1:4" ht="13.2">
      <c r="A390" s="34"/>
      <c r="B390" s="65"/>
      <c r="C390" s="68"/>
      <c r="D390" s="68"/>
    </row>
    <row r="391" spans="1:4" ht="13.2">
      <c r="A391" s="34"/>
      <c r="B391" s="65"/>
      <c r="C391" s="68"/>
      <c r="D391" s="68"/>
    </row>
    <row r="392" spans="1:4" ht="13.2">
      <c r="A392" s="34"/>
      <c r="B392" s="65"/>
      <c r="C392" s="68"/>
      <c r="D392" s="68"/>
    </row>
    <row r="393" spans="1:4" ht="13.2">
      <c r="A393" s="34"/>
      <c r="B393" s="65"/>
      <c r="C393" s="68"/>
      <c r="D393" s="68"/>
    </row>
    <row r="394" spans="1:4" ht="13.2">
      <c r="A394" s="34"/>
      <c r="B394" s="65"/>
      <c r="C394" s="68"/>
      <c r="D394" s="68"/>
    </row>
    <row r="395" spans="1:4" ht="13.2">
      <c r="A395" s="34"/>
      <c r="B395" s="65"/>
      <c r="C395" s="68"/>
      <c r="D395" s="68"/>
    </row>
    <row r="396" spans="1:4" ht="13.2">
      <c r="A396" s="34"/>
      <c r="B396" s="65"/>
      <c r="C396" s="68"/>
      <c r="D396" s="68"/>
    </row>
    <row r="397" spans="1:4" ht="13.2">
      <c r="A397" s="34"/>
      <c r="B397" s="65"/>
      <c r="C397" s="68"/>
      <c r="D397" s="68"/>
    </row>
    <row r="398" spans="1:4" ht="13.2">
      <c r="A398" s="34"/>
      <c r="B398" s="65"/>
      <c r="C398" s="68"/>
      <c r="D398" s="68"/>
    </row>
    <row r="399" spans="1:4" ht="13.2">
      <c r="A399" s="34"/>
      <c r="B399" s="65"/>
      <c r="C399" s="68"/>
      <c r="D399" s="68"/>
    </row>
    <row r="400" spans="1:4" ht="13.2">
      <c r="A400" s="34"/>
      <c r="B400" s="65"/>
      <c r="C400" s="68"/>
      <c r="D400" s="68"/>
    </row>
    <row r="401" spans="1:4" ht="13.2">
      <c r="A401" s="34"/>
      <c r="B401" s="65"/>
      <c r="C401" s="68"/>
      <c r="D401" s="68"/>
    </row>
    <row r="402" spans="1:4" ht="13.2">
      <c r="A402" s="34"/>
      <c r="B402" s="65"/>
      <c r="C402" s="68"/>
      <c r="D402" s="68"/>
    </row>
    <row r="403" spans="1:4" ht="13.2">
      <c r="A403" s="34"/>
      <c r="B403" s="65"/>
      <c r="C403" s="68"/>
      <c r="D403" s="68"/>
    </row>
    <row r="404" spans="1:4" ht="13.2">
      <c r="A404" s="34"/>
      <c r="B404" s="65"/>
      <c r="C404" s="68"/>
      <c r="D404" s="68"/>
    </row>
    <row r="405" spans="1:4" ht="13.2">
      <c r="A405" s="34"/>
      <c r="B405" s="65"/>
      <c r="C405" s="68"/>
      <c r="D405" s="68"/>
    </row>
    <row r="406" spans="1:4" ht="13.2">
      <c r="A406" s="34"/>
      <c r="B406" s="65"/>
      <c r="C406" s="68"/>
      <c r="D406" s="68"/>
    </row>
    <row r="407" spans="1:4" ht="13.2">
      <c r="A407" s="34"/>
      <c r="B407" s="65"/>
      <c r="C407" s="68"/>
      <c r="D407" s="68"/>
    </row>
    <row r="408" spans="1:4" ht="13.2">
      <c r="A408" s="34"/>
      <c r="B408" s="65"/>
      <c r="C408" s="68"/>
      <c r="D408" s="68"/>
    </row>
    <row r="409" spans="1:4" ht="13.2">
      <c r="A409" s="34"/>
      <c r="B409" s="65"/>
      <c r="C409" s="68"/>
      <c r="D409" s="68"/>
    </row>
    <row r="410" spans="1:4" ht="13.2">
      <c r="A410" s="34"/>
      <c r="B410" s="65"/>
      <c r="C410" s="68"/>
      <c r="D410" s="68"/>
    </row>
    <row r="411" spans="1:4" ht="13.2">
      <c r="A411" s="34"/>
      <c r="B411" s="65"/>
      <c r="C411" s="68"/>
      <c r="D411" s="68"/>
    </row>
    <row r="412" spans="1:4" ht="13.2">
      <c r="A412" s="34"/>
      <c r="B412" s="65"/>
      <c r="C412" s="68"/>
      <c r="D412" s="68"/>
    </row>
    <row r="413" spans="1:4" ht="13.2">
      <c r="A413" s="34"/>
      <c r="B413" s="65"/>
      <c r="C413" s="68"/>
      <c r="D413" s="68"/>
    </row>
    <row r="414" spans="1:4" ht="13.2">
      <c r="A414" s="34"/>
      <c r="B414" s="65"/>
      <c r="C414" s="68"/>
      <c r="D414" s="68"/>
    </row>
    <row r="415" spans="1:4" ht="13.2">
      <c r="A415" s="34"/>
      <c r="B415" s="65"/>
      <c r="C415" s="68"/>
      <c r="D415" s="68"/>
    </row>
    <row r="416" spans="1:4" ht="13.2">
      <c r="A416" s="34"/>
      <c r="B416" s="65"/>
      <c r="C416" s="68"/>
      <c r="D416" s="68"/>
    </row>
    <row r="417" spans="1:4" ht="13.2">
      <c r="A417" s="34"/>
      <c r="B417" s="65"/>
      <c r="C417" s="68"/>
      <c r="D417" s="68"/>
    </row>
    <row r="418" spans="1:4" ht="13.2">
      <c r="A418" s="34"/>
      <c r="B418" s="65"/>
      <c r="C418" s="68"/>
      <c r="D418" s="68"/>
    </row>
    <row r="419" spans="1:4" ht="13.2">
      <c r="A419" s="34"/>
      <c r="B419" s="65"/>
      <c r="C419" s="68"/>
      <c r="D419" s="68"/>
    </row>
    <row r="420" spans="1:4" ht="13.2">
      <c r="A420" s="34"/>
      <c r="B420" s="65"/>
      <c r="C420" s="68"/>
      <c r="D420" s="68"/>
    </row>
    <row r="421" spans="1:4" ht="13.2">
      <c r="A421" s="34"/>
      <c r="B421" s="65"/>
      <c r="C421" s="68"/>
      <c r="D421" s="68"/>
    </row>
    <row r="422" spans="1:4" ht="13.2">
      <c r="A422" s="34"/>
      <c r="B422" s="65"/>
      <c r="C422" s="68"/>
      <c r="D422" s="68"/>
    </row>
    <row r="423" spans="1:4" ht="13.2">
      <c r="A423" s="34"/>
      <c r="B423" s="65"/>
      <c r="C423" s="68"/>
      <c r="D423" s="68"/>
    </row>
    <row r="424" spans="1:4" ht="13.2">
      <c r="A424" s="34"/>
      <c r="B424" s="65"/>
      <c r="C424" s="68"/>
      <c r="D424" s="68"/>
    </row>
    <row r="425" spans="1:4" ht="13.2">
      <c r="A425" s="34"/>
      <c r="B425" s="65"/>
      <c r="C425" s="68"/>
      <c r="D425" s="68"/>
    </row>
    <row r="426" spans="1:4" ht="13.2">
      <c r="A426" s="34"/>
      <c r="B426" s="65"/>
      <c r="C426" s="68"/>
      <c r="D426" s="68"/>
    </row>
    <row r="427" spans="1:4" ht="13.2">
      <c r="A427" s="34"/>
      <c r="B427" s="65"/>
      <c r="C427" s="68"/>
      <c r="D427" s="68"/>
    </row>
    <row r="428" spans="1:4" ht="13.2">
      <c r="A428" s="34"/>
      <c r="B428" s="65"/>
      <c r="C428" s="68"/>
      <c r="D428" s="68"/>
    </row>
    <row r="429" spans="1:4" ht="13.2">
      <c r="A429" s="34"/>
      <c r="B429" s="65"/>
      <c r="C429" s="68"/>
      <c r="D429" s="68"/>
    </row>
    <row r="430" spans="1:4" ht="13.2">
      <c r="A430" s="34"/>
      <c r="B430" s="65"/>
      <c r="C430" s="68"/>
      <c r="D430" s="68"/>
    </row>
    <row r="431" spans="1:4" ht="13.2">
      <c r="A431" s="34"/>
      <c r="B431" s="65"/>
      <c r="C431" s="68"/>
      <c r="D431" s="68"/>
    </row>
    <row r="432" spans="1:4" ht="13.2">
      <c r="A432" s="34"/>
      <c r="B432" s="65"/>
      <c r="C432" s="68"/>
      <c r="D432" s="68"/>
    </row>
    <row r="433" spans="1:4" ht="13.2">
      <c r="A433" s="34"/>
      <c r="B433" s="65"/>
      <c r="C433" s="68"/>
      <c r="D433" s="68"/>
    </row>
    <row r="434" spans="1:4" ht="13.2">
      <c r="A434" s="34"/>
      <c r="B434" s="65"/>
      <c r="C434" s="68"/>
      <c r="D434" s="68"/>
    </row>
    <row r="435" spans="1:4" ht="13.2">
      <c r="A435" s="34"/>
      <c r="B435" s="65"/>
      <c r="C435" s="68"/>
      <c r="D435" s="68"/>
    </row>
    <row r="436" spans="1:4" ht="13.2">
      <c r="A436" s="34"/>
      <c r="B436" s="65"/>
      <c r="C436" s="68"/>
      <c r="D436" s="68"/>
    </row>
    <row r="437" spans="1:4" ht="13.2">
      <c r="A437" s="34"/>
      <c r="B437" s="65"/>
      <c r="C437" s="68"/>
      <c r="D437" s="68"/>
    </row>
    <row r="438" spans="1:4" ht="13.2">
      <c r="A438" s="34"/>
      <c r="B438" s="65"/>
      <c r="C438" s="68"/>
      <c r="D438" s="68"/>
    </row>
    <row r="439" spans="1:4" ht="13.2">
      <c r="A439" s="34"/>
      <c r="B439" s="65"/>
      <c r="C439" s="68"/>
      <c r="D439" s="68"/>
    </row>
    <row r="440" spans="1:4" ht="13.2">
      <c r="A440" s="34"/>
      <c r="B440" s="65"/>
      <c r="C440" s="68"/>
      <c r="D440" s="68"/>
    </row>
    <row r="441" spans="1:4" ht="13.2">
      <c r="A441" s="34"/>
      <c r="B441" s="65"/>
      <c r="C441" s="68"/>
      <c r="D441" s="68"/>
    </row>
    <row r="442" spans="1:4" ht="13.2">
      <c r="A442" s="34"/>
      <c r="B442" s="65"/>
      <c r="C442" s="68"/>
      <c r="D442" s="68"/>
    </row>
    <row r="443" spans="1:4" ht="13.2">
      <c r="A443" s="34"/>
      <c r="B443" s="65"/>
      <c r="C443" s="68"/>
      <c r="D443" s="68"/>
    </row>
    <row r="444" spans="1:4" ht="13.2">
      <c r="A444" s="34"/>
      <c r="B444" s="65"/>
      <c r="C444" s="68"/>
      <c r="D444" s="68"/>
    </row>
    <row r="445" spans="1:4" ht="13.2">
      <c r="A445" s="34"/>
      <c r="B445" s="65"/>
      <c r="C445" s="68"/>
      <c r="D445" s="68"/>
    </row>
    <row r="446" spans="1:4" ht="13.2">
      <c r="A446" s="34"/>
      <c r="B446" s="65"/>
      <c r="C446" s="68"/>
      <c r="D446" s="68"/>
    </row>
    <row r="447" spans="1:4" ht="13.2">
      <c r="A447" s="34"/>
      <c r="B447" s="65"/>
      <c r="C447" s="68"/>
      <c r="D447" s="68"/>
    </row>
    <row r="448" spans="1:4" ht="13.2">
      <c r="A448" s="34"/>
      <c r="B448" s="65"/>
      <c r="C448" s="68"/>
      <c r="D448" s="68"/>
    </row>
    <row r="449" spans="1:4" ht="13.2">
      <c r="A449" s="34"/>
      <c r="B449" s="65"/>
      <c r="C449" s="68"/>
      <c r="D449" s="68"/>
    </row>
    <row r="450" spans="1:4" ht="13.2">
      <c r="A450" s="34"/>
      <c r="B450" s="65"/>
      <c r="C450" s="68"/>
      <c r="D450" s="68"/>
    </row>
    <row r="451" spans="1:4" ht="13.2">
      <c r="A451" s="34"/>
      <c r="B451" s="65"/>
      <c r="C451" s="68"/>
      <c r="D451" s="68"/>
    </row>
    <row r="452" spans="1:4" ht="13.2">
      <c r="A452" s="34"/>
      <c r="B452" s="65"/>
      <c r="C452" s="68"/>
      <c r="D452" s="68"/>
    </row>
    <row r="453" spans="1:4" ht="13.2">
      <c r="A453" s="34"/>
      <c r="B453" s="65"/>
      <c r="C453" s="68"/>
      <c r="D453" s="68"/>
    </row>
    <row r="454" spans="1:4" ht="13.2">
      <c r="A454" s="34"/>
      <c r="B454" s="65"/>
      <c r="C454" s="68"/>
      <c r="D454" s="68"/>
    </row>
    <row r="455" spans="1:4" ht="13.2">
      <c r="A455" s="34"/>
      <c r="B455" s="65"/>
      <c r="C455" s="68"/>
      <c r="D455" s="68"/>
    </row>
    <row r="456" spans="1:4" ht="13.2">
      <c r="A456" s="34"/>
      <c r="B456" s="65"/>
      <c r="C456" s="68"/>
      <c r="D456" s="68"/>
    </row>
    <row r="457" spans="1:4" ht="13.2">
      <c r="A457" s="34"/>
      <c r="B457" s="65"/>
      <c r="C457" s="68"/>
      <c r="D457" s="68"/>
    </row>
    <row r="458" spans="1:4" ht="13.2">
      <c r="A458" s="34"/>
      <c r="B458" s="65"/>
      <c r="C458" s="68"/>
      <c r="D458" s="68"/>
    </row>
    <row r="459" spans="1:4" ht="13.2">
      <c r="A459" s="34"/>
      <c r="B459" s="65"/>
      <c r="C459" s="68"/>
      <c r="D459" s="68"/>
    </row>
    <row r="460" spans="1:4" ht="13.2">
      <c r="A460" s="34"/>
      <c r="B460" s="65"/>
      <c r="C460" s="68"/>
      <c r="D460" s="68"/>
    </row>
    <row r="461" spans="1:4" ht="13.2">
      <c r="A461" s="34"/>
      <c r="B461" s="65"/>
      <c r="C461" s="68"/>
      <c r="D461" s="68"/>
    </row>
    <row r="462" spans="1:4" ht="13.2">
      <c r="A462" s="34"/>
      <c r="B462" s="65"/>
      <c r="C462" s="68"/>
      <c r="D462" s="68"/>
    </row>
    <row r="463" spans="1:4" ht="13.2">
      <c r="A463" s="34"/>
      <c r="B463" s="65"/>
      <c r="C463" s="68"/>
      <c r="D463" s="68"/>
    </row>
    <row r="464" spans="1:4" ht="13.2">
      <c r="A464" s="34"/>
      <c r="B464" s="65"/>
      <c r="C464" s="68"/>
      <c r="D464" s="68"/>
    </row>
    <row r="465" spans="1:4" ht="13.2">
      <c r="A465" s="34"/>
      <c r="B465" s="65"/>
      <c r="C465" s="68"/>
      <c r="D465" s="68"/>
    </row>
    <row r="466" spans="1:4" ht="13.2">
      <c r="A466" s="34"/>
      <c r="B466" s="65"/>
      <c r="C466" s="68"/>
      <c r="D466" s="68"/>
    </row>
    <row r="467" spans="1:4" ht="13.2">
      <c r="A467" s="34"/>
      <c r="B467" s="65"/>
      <c r="C467" s="68"/>
      <c r="D467" s="68"/>
    </row>
    <row r="468" spans="1:4" ht="13.2">
      <c r="A468" s="34"/>
      <c r="B468" s="65"/>
      <c r="C468" s="68"/>
      <c r="D468" s="68"/>
    </row>
    <row r="469" spans="1:4" ht="13.2">
      <c r="A469" s="34"/>
      <c r="B469" s="65"/>
      <c r="C469" s="68"/>
      <c r="D469" s="68"/>
    </row>
    <row r="470" spans="1:4" ht="13.2">
      <c r="A470" s="34"/>
      <c r="B470" s="65"/>
      <c r="C470" s="68"/>
      <c r="D470" s="68"/>
    </row>
    <row r="471" spans="1:4" ht="13.2">
      <c r="A471" s="34"/>
      <c r="B471" s="65"/>
      <c r="C471" s="68"/>
      <c r="D471" s="68"/>
    </row>
    <row r="472" spans="1:4" ht="13.2">
      <c r="A472" s="34"/>
      <c r="B472" s="65"/>
      <c r="C472" s="68"/>
      <c r="D472" s="68"/>
    </row>
    <row r="473" spans="1:4" ht="13.2">
      <c r="A473" s="34"/>
      <c r="B473" s="65"/>
      <c r="C473" s="68"/>
      <c r="D473" s="68"/>
    </row>
    <row r="474" spans="1:4" ht="13.2">
      <c r="A474" s="34"/>
      <c r="B474" s="65"/>
      <c r="C474" s="68"/>
      <c r="D474" s="68"/>
    </row>
    <row r="475" spans="1:4" ht="13.2">
      <c r="A475" s="34"/>
      <c r="B475" s="65"/>
      <c r="C475" s="68"/>
      <c r="D475" s="68"/>
    </row>
    <row r="476" spans="1:4" ht="13.2">
      <c r="A476" s="34"/>
      <c r="B476" s="65"/>
      <c r="C476" s="68"/>
      <c r="D476" s="68"/>
    </row>
    <row r="477" spans="1:4" ht="13.2">
      <c r="A477" s="34"/>
      <c r="B477" s="65"/>
      <c r="C477" s="68"/>
      <c r="D477" s="68"/>
    </row>
    <row r="478" spans="1:4" ht="13.2">
      <c r="A478" s="34"/>
      <c r="B478" s="65"/>
      <c r="C478" s="68"/>
      <c r="D478" s="68"/>
    </row>
    <row r="479" spans="1:4" ht="13.2">
      <c r="A479" s="34"/>
      <c r="B479" s="65"/>
      <c r="C479" s="68"/>
      <c r="D479" s="68"/>
    </row>
    <row r="480" spans="1:4" ht="13.2">
      <c r="A480" s="34"/>
      <c r="B480" s="65"/>
      <c r="C480" s="68"/>
      <c r="D480" s="68"/>
    </row>
    <row r="481" spans="1:4" ht="13.2">
      <c r="A481" s="34"/>
      <c r="B481" s="65"/>
      <c r="C481" s="68"/>
      <c r="D481" s="68"/>
    </row>
    <row r="482" spans="1:4" ht="13.2">
      <c r="A482" s="34"/>
      <c r="B482" s="65"/>
      <c r="C482" s="68"/>
      <c r="D482" s="68"/>
    </row>
    <row r="483" spans="1:4" ht="13.2">
      <c r="A483" s="34"/>
      <c r="B483" s="65"/>
      <c r="C483" s="68"/>
      <c r="D483" s="68"/>
    </row>
    <row r="484" spans="1:4" ht="13.2">
      <c r="A484" s="34"/>
      <c r="B484" s="65"/>
      <c r="C484" s="68"/>
      <c r="D484" s="68"/>
    </row>
    <row r="485" spans="1:4" ht="13.2">
      <c r="A485" s="34"/>
      <c r="B485" s="65"/>
      <c r="C485" s="68"/>
      <c r="D485" s="68"/>
    </row>
    <row r="486" spans="1:4" ht="13.2">
      <c r="A486" s="34"/>
      <c r="B486" s="65"/>
      <c r="C486" s="68"/>
      <c r="D486" s="68"/>
    </row>
    <row r="487" spans="1:4" ht="13.2">
      <c r="A487" s="34"/>
      <c r="B487" s="65"/>
      <c r="C487" s="68"/>
      <c r="D487" s="68"/>
    </row>
    <row r="488" spans="1:4" ht="13.2">
      <c r="A488" s="34"/>
      <c r="B488" s="65"/>
      <c r="C488" s="68"/>
      <c r="D488" s="68"/>
    </row>
    <row r="489" spans="1:4" ht="13.2">
      <c r="A489" s="34"/>
      <c r="B489" s="65"/>
      <c r="C489" s="68"/>
      <c r="D489" s="68"/>
    </row>
    <row r="490" spans="1:4" ht="13.2">
      <c r="A490" s="34"/>
      <c r="B490" s="65"/>
      <c r="C490" s="68"/>
      <c r="D490" s="68"/>
    </row>
    <row r="491" spans="1:4" ht="13.2">
      <c r="A491" s="34"/>
      <c r="B491" s="65"/>
      <c r="C491" s="68"/>
      <c r="D491" s="68"/>
    </row>
    <row r="492" spans="1:4" ht="13.2">
      <c r="A492" s="34"/>
      <c r="B492" s="65"/>
      <c r="C492" s="68"/>
      <c r="D492" s="68"/>
    </row>
    <row r="493" spans="1:4" ht="13.2">
      <c r="A493" s="34"/>
      <c r="B493" s="65"/>
      <c r="C493" s="68"/>
      <c r="D493" s="68"/>
    </row>
    <row r="494" spans="1:4" ht="13.2">
      <c r="A494" s="34"/>
      <c r="B494" s="65"/>
      <c r="C494" s="68"/>
      <c r="D494" s="68"/>
    </row>
    <row r="495" spans="1:4" ht="13.2">
      <c r="A495" s="34"/>
      <c r="B495" s="65"/>
      <c r="C495" s="68"/>
      <c r="D495" s="68"/>
    </row>
    <row r="496" spans="1:4" ht="13.2">
      <c r="A496" s="34"/>
      <c r="B496" s="65"/>
      <c r="C496" s="68"/>
      <c r="D496" s="68"/>
    </row>
    <row r="497" spans="1:4" ht="13.2">
      <c r="A497" s="34"/>
      <c r="B497" s="65"/>
      <c r="C497" s="68"/>
      <c r="D497" s="68"/>
    </row>
    <row r="498" spans="1:4" ht="13.2">
      <c r="A498" s="34"/>
      <c r="B498" s="65"/>
      <c r="C498" s="68"/>
      <c r="D498" s="68"/>
    </row>
    <row r="499" spans="1:4" ht="13.2">
      <c r="A499" s="34"/>
      <c r="B499" s="65"/>
      <c r="C499" s="68"/>
      <c r="D499" s="68"/>
    </row>
    <row r="500" spans="1:4" ht="13.2">
      <c r="A500" s="34"/>
      <c r="B500" s="65"/>
      <c r="C500" s="68"/>
      <c r="D500" s="68"/>
    </row>
    <row r="501" spans="1:4" ht="13.2">
      <c r="A501" s="34"/>
      <c r="B501" s="65"/>
      <c r="C501" s="68"/>
      <c r="D501" s="68"/>
    </row>
    <row r="502" spans="1:4" ht="13.2">
      <c r="A502" s="34"/>
      <c r="B502" s="65"/>
      <c r="C502" s="68"/>
      <c r="D502" s="68"/>
    </row>
    <row r="503" spans="1:4" ht="13.2">
      <c r="A503" s="34"/>
      <c r="B503" s="65"/>
      <c r="C503" s="68"/>
      <c r="D503" s="68"/>
    </row>
    <row r="504" spans="1:4" ht="13.2">
      <c r="A504" s="34"/>
      <c r="B504" s="65"/>
      <c r="C504" s="68"/>
      <c r="D504" s="68"/>
    </row>
    <row r="505" spans="1:4" ht="13.2">
      <c r="A505" s="34"/>
      <c r="B505" s="65"/>
      <c r="C505" s="68"/>
      <c r="D505" s="68"/>
    </row>
    <row r="506" spans="1:4" ht="13.2">
      <c r="A506" s="34"/>
      <c r="B506" s="65"/>
      <c r="C506" s="68"/>
      <c r="D506" s="68"/>
    </row>
    <row r="507" spans="1:4" ht="13.2">
      <c r="A507" s="34"/>
      <c r="B507" s="65"/>
      <c r="C507" s="68"/>
      <c r="D507" s="68"/>
    </row>
    <row r="508" spans="1:4" ht="13.2">
      <c r="A508" s="34"/>
      <c r="B508" s="65"/>
      <c r="C508" s="68"/>
      <c r="D508" s="68"/>
    </row>
    <row r="509" spans="1:4" ht="13.2">
      <c r="A509" s="34"/>
      <c r="B509" s="65"/>
      <c r="C509" s="68"/>
      <c r="D509" s="68"/>
    </row>
    <row r="510" spans="1:4" ht="13.2">
      <c r="A510" s="34"/>
      <c r="B510" s="65"/>
      <c r="C510" s="68"/>
      <c r="D510" s="68"/>
    </row>
    <row r="511" spans="1:4" ht="13.2">
      <c r="A511" s="34"/>
      <c r="B511" s="65"/>
      <c r="C511" s="68"/>
      <c r="D511" s="68"/>
    </row>
    <row r="512" spans="1:4" ht="13.2">
      <c r="A512" s="34"/>
      <c r="B512" s="65"/>
      <c r="C512" s="68"/>
      <c r="D512" s="68"/>
    </row>
    <row r="513" spans="1:4" ht="13.2">
      <c r="A513" s="34"/>
      <c r="B513" s="65"/>
      <c r="C513" s="68"/>
      <c r="D513" s="68"/>
    </row>
    <row r="514" spans="1:4" ht="13.2">
      <c r="A514" s="34"/>
      <c r="B514" s="65"/>
      <c r="C514" s="68"/>
      <c r="D514" s="68"/>
    </row>
    <row r="515" spans="1:4" ht="13.2">
      <c r="A515" s="34"/>
      <c r="B515" s="65"/>
      <c r="C515" s="68"/>
      <c r="D515" s="68"/>
    </row>
    <row r="516" spans="1:4" ht="13.2">
      <c r="A516" s="34"/>
      <c r="B516" s="65"/>
      <c r="C516" s="68"/>
      <c r="D516" s="68"/>
    </row>
    <row r="517" spans="1:4" ht="13.2">
      <c r="A517" s="34"/>
      <c r="B517" s="65"/>
      <c r="C517" s="68"/>
      <c r="D517" s="68"/>
    </row>
    <row r="518" spans="1:4" ht="13.2">
      <c r="A518" s="34"/>
      <c r="B518" s="65"/>
      <c r="C518" s="68"/>
      <c r="D518" s="68"/>
    </row>
    <row r="519" spans="1:4" ht="13.2">
      <c r="A519" s="34"/>
      <c r="B519" s="65"/>
      <c r="C519" s="68"/>
      <c r="D519" s="68"/>
    </row>
    <row r="520" spans="1:4" ht="13.2">
      <c r="A520" s="34"/>
      <c r="B520" s="65"/>
      <c r="C520" s="68"/>
      <c r="D520" s="68"/>
    </row>
    <row r="521" spans="1:4" ht="13.2">
      <c r="A521" s="34"/>
      <c r="B521" s="65"/>
      <c r="C521" s="68"/>
      <c r="D521" s="68"/>
    </row>
    <row r="522" spans="1:4" ht="13.2">
      <c r="A522" s="34"/>
      <c r="B522" s="65"/>
      <c r="C522" s="68"/>
      <c r="D522" s="68"/>
    </row>
    <row r="523" spans="1:4" ht="13.2">
      <c r="A523" s="34"/>
      <c r="B523" s="65"/>
      <c r="C523" s="68"/>
      <c r="D523" s="68"/>
    </row>
    <row r="524" spans="1:4" ht="13.2">
      <c r="A524" s="34"/>
      <c r="B524" s="65"/>
      <c r="C524" s="68"/>
      <c r="D524" s="68"/>
    </row>
    <row r="525" spans="1:4" ht="13.2">
      <c r="A525" s="34"/>
      <c r="B525" s="65"/>
      <c r="C525" s="68"/>
      <c r="D525" s="68"/>
    </row>
    <row r="526" spans="1:4" ht="13.2">
      <c r="A526" s="34"/>
      <c r="B526" s="65"/>
      <c r="C526" s="68"/>
      <c r="D526" s="68"/>
    </row>
    <row r="527" spans="1:4" ht="13.2">
      <c r="A527" s="34"/>
      <c r="B527" s="65"/>
      <c r="C527" s="68"/>
      <c r="D527" s="68"/>
    </row>
    <row r="528" spans="1:4" ht="13.2">
      <c r="A528" s="34"/>
      <c r="B528" s="65"/>
      <c r="C528" s="68"/>
      <c r="D528" s="68"/>
    </row>
    <row r="529" spans="1:4" ht="13.2">
      <c r="A529" s="34"/>
      <c r="B529" s="65"/>
      <c r="C529" s="68"/>
      <c r="D529" s="68"/>
    </row>
    <row r="530" spans="1:4" ht="13.2">
      <c r="A530" s="34"/>
      <c r="B530" s="65"/>
      <c r="C530" s="68"/>
      <c r="D530" s="68"/>
    </row>
    <row r="531" spans="1:4" ht="13.2">
      <c r="A531" s="34"/>
      <c r="B531" s="65"/>
      <c r="C531" s="68"/>
      <c r="D531" s="68"/>
    </row>
    <row r="532" spans="1:4" ht="13.2">
      <c r="A532" s="34"/>
      <c r="B532" s="65"/>
      <c r="C532" s="68"/>
      <c r="D532" s="68"/>
    </row>
    <row r="533" spans="1:4" ht="13.2">
      <c r="A533" s="34"/>
      <c r="B533" s="65"/>
      <c r="C533" s="68"/>
      <c r="D533" s="68"/>
    </row>
    <row r="534" spans="1:4" ht="13.2">
      <c r="A534" s="34"/>
      <c r="B534" s="65"/>
      <c r="C534" s="68"/>
      <c r="D534" s="68"/>
    </row>
    <row r="535" spans="1:4" ht="13.2">
      <c r="A535" s="34"/>
      <c r="B535" s="65"/>
      <c r="C535" s="68"/>
      <c r="D535" s="68"/>
    </row>
    <row r="536" spans="1:4" ht="13.2">
      <c r="A536" s="34"/>
      <c r="B536" s="65"/>
      <c r="C536" s="68"/>
      <c r="D536" s="68"/>
    </row>
    <row r="537" spans="1:4" ht="13.2">
      <c r="A537" s="34"/>
      <c r="B537" s="65"/>
      <c r="C537" s="68"/>
      <c r="D537" s="68"/>
    </row>
    <row r="538" spans="1:4" ht="13.2">
      <c r="A538" s="34"/>
      <c r="B538" s="65"/>
      <c r="C538" s="68"/>
      <c r="D538" s="68"/>
    </row>
    <row r="539" spans="1:4" ht="13.2">
      <c r="A539" s="34"/>
      <c r="B539" s="65"/>
      <c r="C539" s="68"/>
      <c r="D539" s="68"/>
    </row>
    <row r="540" spans="1:4" ht="13.2">
      <c r="A540" s="34"/>
      <c r="B540" s="65"/>
      <c r="C540" s="68"/>
      <c r="D540" s="68"/>
    </row>
    <row r="541" spans="1:4" ht="13.2">
      <c r="A541" s="34"/>
      <c r="B541" s="65"/>
      <c r="C541" s="68"/>
      <c r="D541" s="68"/>
    </row>
    <row r="542" spans="1:4" ht="13.2">
      <c r="A542" s="34"/>
      <c r="B542" s="65"/>
      <c r="C542" s="68"/>
      <c r="D542" s="68"/>
    </row>
    <row r="543" spans="1:4" ht="13.2">
      <c r="A543" s="34"/>
      <c r="B543" s="65"/>
      <c r="C543" s="68"/>
      <c r="D543" s="68"/>
    </row>
    <row r="544" spans="1:4" ht="13.2">
      <c r="A544" s="34"/>
      <c r="B544" s="65"/>
      <c r="C544" s="68"/>
      <c r="D544" s="68"/>
    </row>
    <row r="545" spans="1:4" ht="13.2">
      <c r="A545" s="34"/>
      <c r="B545" s="65"/>
      <c r="C545" s="68"/>
      <c r="D545" s="68"/>
    </row>
    <row r="546" spans="1:4" ht="13.2">
      <c r="A546" s="34"/>
      <c r="B546" s="65"/>
      <c r="C546" s="68"/>
      <c r="D546" s="68"/>
    </row>
    <row r="547" spans="1:4" ht="13.2">
      <c r="A547" s="34"/>
      <c r="B547" s="65"/>
      <c r="C547" s="68"/>
      <c r="D547" s="68"/>
    </row>
    <row r="548" spans="1:4" ht="13.2">
      <c r="A548" s="34"/>
      <c r="B548" s="65"/>
      <c r="C548" s="68"/>
      <c r="D548" s="68"/>
    </row>
    <row r="549" spans="1:4" ht="13.2">
      <c r="A549" s="34"/>
      <c r="B549" s="65"/>
      <c r="C549" s="68"/>
      <c r="D549" s="68"/>
    </row>
    <row r="550" spans="1:4" ht="13.2">
      <c r="A550" s="34"/>
      <c r="B550" s="65"/>
      <c r="C550" s="68"/>
      <c r="D550" s="68"/>
    </row>
    <row r="551" spans="1:4" ht="13.2">
      <c r="A551" s="34"/>
      <c r="B551" s="65"/>
      <c r="C551" s="68"/>
      <c r="D551" s="68"/>
    </row>
    <row r="552" spans="1:4" ht="13.2">
      <c r="A552" s="34"/>
      <c r="B552" s="65"/>
      <c r="C552" s="68"/>
      <c r="D552" s="68"/>
    </row>
    <row r="553" spans="1:4" ht="13.2">
      <c r="A553" s="34"/>
      <c r="B553" s="65"/>
      <c r="C553" s="68"/>
      <c r="D553" s="68"/>
    </row>
    <row r="554" spans="1:4" ht="13.2">
      <c r="A554" s="34"/>
      <c r="B554" s="65"/>
      <c r="C554" s="68"/>
      <c r="D554" s="68"/>
    </row>
    <row r="555" spans="1:4" ht="13.2">
      <c r="A555" s="34"/>
      <c r="B555" s="65"/>
      <c r="C555" s="68"/>
      <c r="D555" s="68"/>
    </row>
    <row r="556" spans="1:4" ht="13.2">
      <c r="A556" s="34"/>
      <c r="B556" s="65"/>
      <c r="C556" s="68"/>
      <c r="D556" s="68"/>
    </row>
    <row r="557" spans="1:4" ht="13.2">
      <c r="A557" s="34"/>
      <c r="B557" s="65"/>
      <c r="C557" s="68"/>
      <c r="D557" s="68"/>
    </row>
    <row r="558" spans="1:4" ht="13.2">
      <c r="A558" s="34"/>
      <c r="B558" s="65"/>
      <c r="C558" s="68"/>
      <c r="D558" s="68"/>
    </row>
    <row r="559" spans="1:4" ht="13.2">
      <c r="A559" s="34"/>
      <c r="B559" s="65"/>
      <c r="C559" s="68"/>
      <c r="D559" s="68"/>
    </row>
    <row r="560" spans="1:4" ht="13.2">
      <c r="A560" s="34"/>
      <c r="B560" s="65"/>
      <c r="C560" s="68"/>
      <c r="D560" s="68"/>
    </row>
    <row r="561" spans="1:4" ht="13.2">
      <c r="A561" s="34"/>
      <c r="B561" s="65"/>
      <c r="C561" s="68"/>
      <c r="D561" s="68"/>
    </row>
    <row r="562" spans="1:4" ht="13.2">
      <c r="A562" s="34"/>
      <c r="B562" s="65"/>
      <c r="C562" s="68"/>
      <c r="D562" s="68"/>
    </row>
    <row r="563" spans="1:4" ht="13.2">
      <c r="A563" s="34"/>
      <c r="B563" s="65"/>
      <c r="C563" s="68"/>
      <c r="D563" s="68"/>
    </row>
    <row r="564" spans="1:4" ht="13.2">
      <c r="A564" s="34"/>
      <c r="B564" s="65"/>
      <c r="C564" s="68"/>
      <c r="D564" s="68"/>
    </row>
    <row r="565" spans="1:4" ht="13.2">
      <c r="A565" s="34"/>
      <c r="B565" s="65"/>
      <c r="C565" s="68"/>
      <c r="D565" s="68"/>
    </row>
    <row r="566" spans="1:4" ht="13.2">
      <c r="A566" s="34"/>
      <c r="B566" s="65"/>
      <c r="C566" s="68"/>
      <c r="D566" s="68"/>
    </row>
    <row r="567" spans="1:4" ht="13.2">
      <c r="A567" s="34"/>
      <c r="B567" s="65"/>
      <c r="C567" s="68"/>
      <c r="D567" s="68"/>
    </row>
    <row r="568" spans="1:4" ht="13.2">
      <c r="A568" s="34"/>
      <c r="B568" s="65"/>
      <c r="C568" s="68"/>
      <c r="D568" s="68"/>
    </row>
    <row r="569" spans="1:4" ht="13.2">
      <c r="A569" s="34"/>
      <c r="B569" s="65"/>
      <c r="C569" s="68"/>
      <c r="D569" s="68"/>
    </row>
    <row r="570" spans="1:4" ht="13.2">
      <c r="A570" s="34"/>
      <c r="B570" s="65"/>
      <c r="C570" s="68"/>
      <c r="D570" s="68"/>
    </row>
    <row r="571" spans="1:4" ht="13.2">
      <c r="A571" s="34"/>
      <c r="B571" s="65"/>
      <c r="C571" s="68"/>
      <c r="D571" s="68"/>
    </row>
    <row r="572" spans="1:4" ht="13.2">
      <c r="A572" s="34"/>
      <c r="B572" s="65"/>
      <c r="C572" s="68"/>
      <c r="D572" s="68"/>
    </row>
    <row r="573" spans="1:4" ht="13.2">
      <c r="A573" s="34"/>
      <c r="B573" s="65"/>
      <c r="C573" s="68"/>
      <c r="D573" s="68"/>
    </row>
    <row r="574" spans="1:4" ht="13.2">
      <c r="A574" s="34"/>
      <c r="B574" s="65"/>
      <c r="C574" s="68"/>
      <c r="D574" s="68"/>
    </row>
    <row r="575" spans="1:4" ht="13.2">
      <c r="A575" s="34"/>
      <c r="B575" s="65"/>
      <c r="C575" s="68"/>
      <c r="D575" s="68"/>
    </row>
    <row r="576" spans="1:4" ht="13.2">
      <c r="A576" s="34"/>
      <c r="B576" s="65"/>
      <c r="C576" s="68"/>
      <c r="D576" s="68"/>
    </row>
    <row r="577" spans="1:4" ht="13.2">
      <c r="A577" s="34"/>
      <c r="B577" s="65"/>
      <c r="C577" s="68"/>
      <c r="D577" s="68"/>
    </row>
    <row r="578" spans="1:4" ht="13.2">
      <c r="A578" s="34"/>
      <c r="B578" s="65"/>
      <c r="C578" s="68"/>
      <c r="D578" s="68"/>
    </row>
    <row r="579" spans="1:4" ht="13.2">
      <c r="A579" s="34"/>
      <c r="B579" s="65"/>
      <c r="C579" s="68"/>
      <c r="D579" s="68"/>
    </row>
    <row r="580" spans="1:4" ht="13.2">
      <c r="A580" s="34"/>
      <c r="B580" s="65"/>
      <c r="C580" s="68"/>
      <c r="D580" s="68"/>
    </row>
    <row r="581" spans="1:4" ht="13.2">
      <c r="A581" s="34"/>
      <c r="B581" s="65"/>
      <c r="C581" s="68"/>
      <c r="D581" s="68"/>
    </row>
    <row r="582" spans="1:4" ht="13.2">
      <c r="A582" s="34"/>
      <c r="B582" s="65"/>
      <c r="C582" s="68"/>
      <c r="D582" s="68"/>
    </row>
    <row r="583" spans="1:4" ht="13.2">
      <c r="A583" s="34"/>
      <c r="B583" s="65"/>
      <c r="C583" s="68"/>
      <c r="D583" s="68"/>
    </row>
    <row r="584" spans="1:4" ht="13.2">
      <c r="A584" s="34"/>
      <c r="B584" s="65"/>
      <c r="C584" s="68"/>
      <c r="D584" s="68"/>
    </row>
    <row r="585" spans="1:4" ht="13.2">
      <c r="A585" s="34"/>
      <c r="B585" s="65"/>
      <c r="C585" s="68"/>
      <c r="D585" s="68"/>
    </row>
    <row r="586" spans="1:4" ht="13.2">
      <c r="A586" s="34"/>
      <c r="B586" s="65"/>
      <c r="C586" s="68"/>
      <c r="D586" s="68"/>
    </row>
    <row r="587" spans="1:4" ht="13.2">
      <c r="A587" s="34"/>
      <c r="B587" s="65"/>
      <c r="C587" s="68"/>
      <c r="D587" s="68"/>
    </row>
    <row r="588" spans="1:4" ht="13.2">
      <c r="A588" s="34"/>
      <c r="B588" s="65"/>
      <c r="C588" s="68"/>
      <c r="D588" s="68"/>
    </row>
    <row r="589" spans="1:4" ht="13.2">
      <c r="A589" s="34"/>
      <c r="B589" s="65"/>
      <c r="C589" s="68"/>
      <c r="D589" s="68"/>
    </row>
    <row r="590" spans="1:4" ht="13.2">
      <c r="A590" s="34"/>
      <c r="B590" s="65"/>
      <c r="C590" s="68"/>
      <c r="D590" s="68"/>
    </row>
    <row r="591" spans="1:4" ht="13.2">
      <c r="A591" s="34"/>
      <c r="B591" s="65"/>
      <c r="C591" s="68"/>
      <c r="D591" s="68"/>
    </row>
    <row r="592" spans="1:4" ht="13.2">
      <c r="A592" s="34"/>
      <c r="B592" s="65"/>
      <c r="C592" s="68"/>
      <c r="D592" s="68"/>
    </row>
    <row r="593" spans="1:4" ht="13.2">
      <c r="A593" s="34"/>
      <c r="B593" s="65"/>
      <c r="C593" s="68"/>
      <c r="D593" s="68"/>
    </row>
    <row r="594" spans="1:4" ht="13.2">
      <c r="A594" s="34"/>
      <c r="B594" s="65"/>
      <c r="C594" s="68"/>
      <c r="D594" s="68"/>
    </row>
    <row r="595" spans="1:4" ht="13.2">
      <c r="A595" s="34"/>
      <c r="B595" s="65"/>
      <c r="C595" s="68"/>
      <c r="D595" s="68"/>
    </row>
    <row r="596" spans="1:4" ht="13.2">
      <c r="A596" s="34"/>
      <c r="B596" s="65"/>
      <c r="C596" s="68"/>
      <c r="D596" s="68"/>
    </row>
    <row r="597" spans="1:4" ht="13.2">
      <c r="A597" s="34"/>
      <c r="B597" s="65"/>
      <c r="C597" s="68"/>
      <c r="D597" s="68"/>
    </row>
    <row r="598" spans="1:4" ht="13.2">
      <c r="A598" s="34"/>
      <c r="B598" s="65"/>
      <c r="C598" s="68"/>
      <c r="D598" s="68"/>
    </row>
    <row r="599" spans="1:4" ht="13.2">
      <c r="A599" s="34"/>
      <c r="B599" s="65"/>
      <c r="C599" s="68"/>
      <c r="D599" s="68"/>
    </row>
    <row r="600" spans="1:4" ht="13.2">
      <c r="A600" s="34"/>
      <c r="B600" s="65"/>
      <c r="C600" s="68"/>
      <c r="D600" s="68"/>
    </row>
    <row r="601" spans="1:4" ht="13.2">
      <c r="A601" s="34"/>
      <c r="B601" s="65"/>
      <c r="C601" s="68"/>
      <c r="D601" s="68"/>
    </row>
    <row r="602" spans="1:4" ht="13.2">
      <c r="A602" s="34"/>
      <c r="B602" s="65"/>
      <c r="C602" s="68"/>
      <c r="D602" s="68"/>
    </row>
    <row r="603" spans="1:4" ht="13.2">
      <c r="A603" s="34"/>
      <c r="B603" s="65"/>
      <c r="C603" s="68"/>
      <c r="D603" s="68"/>
    </row>
    <row r="604" spans="1:4" ht="13.2">
      <c r="A604" s="34"/>
      <c r="B604" s="65"/>
      <c r="C604" s="68"/>
      <c r="D604" s="68"/>
    </row>
    <row r="605" spans="1:4" ht="13.2">
      <c r="A605" s="34"/>
      <c r="B605" s="65"/>
      <c r="C605" s="68"/>
      <c r="D605" s="68"/>
    </row>
    <row r="606" spans="1:4" ht="13.2">
      <c r="A606" s="34"/>
      <c r="B606" s="65"/>
      <c r="C606" s="68"/>
      <c r="D606" s="68"/>
    </row>
    <row r="607" spans="1:4" ht="13.2">
      <c r="A607" s="34"/>
      <c r="B607" s="65"/>
      <c r="C607" s="68"/>
      <c r="D607" s="68"/>
    </row>
    <row r="608" spans="1:4" ht="13.2">
      <c r="A608" s="34"/>
      <c r="B608" s="65"/>
      <c r="C608" s="68"/>
      <c r="D608" s="68"/>
    </row>
    <row r="609" spans="1:4" ht="13.2">
      <c r="A609" s="34"/>
      <c r="B609" s="65"/>
      <c r="C609" s="68"/>
      <c r="D609" s="68"/>
    </row>
    <row r="610" spans="1:4" ht="13.2">
      <c r="A610" s="34"/>
      <c r="B610" s="65"/>
      <c r="C610" s="68"/>
      <c r="D610" s="68"/>
    </row>
    <row r="611" spans="1:4" ht="13.2">
      <c r="A611" s="34"/>
      <c r="B611" s="65"/>
      <c r="C611" s="68"/>
      <c r="D611" s="68"/>
    </row>
    <row r="612" spans="1:4" ht="13.2">
      <c r="A612" s="34"/>
      <c r="B612" s="65"/>
      <c r="C612" s="68"/>
      <c r="D612" s="68"/>
    </row>
    <row r="613" spans="1:4" ht="13.2">
      <c r="A613" s="34"/>
      <c r="B613" s="65"/>
      <c r="C613" s="68"/>
      <c r="D613" s="68"/>
    </row>
    <row r="614" spans="1:4" ht="13.2">
      <c r="A614" s="34"/>
      <c r="B614" s="65"/>
      <c r="C614" s="68"/>
      <c r="D614" s="68"/>
    </row>
    <row r="615" spans="1:4" ht="13.2">
      <c r="A615" s="34"/>
      <c r="B615" s="65"/>
      <c r="C615" s="68"/>
      <c r="D615" s="68"/>
    </row>
    <row r="616" spans="1:4" ht="13.2">
      <c r="A616" s="34"/>
      <c r="B616" s="65"/>
      <c r="C616" s="68"/>
      <c r="D616" s="68"/>
    </row>
    <row r="617" spans="1:4" ht="13.2">
      <c r="A617" s="34"/>
      <c r="B617" s="65"/>
      <c r="C617" s="68"/>
      <c r="D617" s="68"/>
    </row>
    <row r="618" spans="1:4" ht="13.2">
      <c r="A618" s="34"/>
      <c r="B618" s="65"/>
      <c r="C618" s="68"/>
      <c r="D618" s="68"/>
    </row>
    <row r="619" spans="1:4" ht="13.2">
      <c r="A619" s="34"/>
      <c r="B619" s="65"/>
      <c r="C619" s="68"/>
      <c r="D619" s="68"/>
    </row>
    <row r="620" spans="1:4" ht="13.2">
      <c r="A620" s="34"/>
      <c r="B620" s="65"/>
      <c r="C620" s="68"/>
      <c r="D620" s="68"/>
    </row>
    <row r="621" spans="1:4" ht="13.2">
      <c r="A621" s="34"/>
      <c r="B621" s="65"/>
      <c r="C621" s="68"/>
      <c r="D621" s="68"/>
    </row>
    <row r="622" spans="1:4" ht="13.2">
      <c r="A622" s="34"/>
      <c r="B622" s="65"/>
      <c r="C622" s="68"/>
      <c r="D622" s="68"/>
    </row>
    <row r="623" spans="1:4" ht="13.2">
      <c r="A623" s="34"/>
      <c r="B623" s="65"/>
      <c r="C623" s="68"/>
      <c r="D623" s="68"/>
    </row>
    <row r="624" spans="1:4" ht="13.2">
      <c r="A624" s="34"/>
      <c r="B624" s="65"/>
      <c r="C624" s="68"/>
      <c r="D624" s="68"/>
    </row>
    <row r="625" spans="1:4" ht="13.2">
      <c r="A625" s="34"/>
      <c r="B625" s="65"/>
      <c r="C625" s="68"/>
      <c r="D625" s="68"/>
    </row>
    <row r="626" spans="1:4" ht="13.2">
      <c r="A626" s="34"/>
      <c r="B626" s="65"/>
      <c r="C626" s="68"/>
      <c r="D626" s="68"/>
    </row>
    <row r="627" spans="1:4" ht="13.2">
      <c r="A627" s="34"/>
      <c r="B627" s="65"/>
      <c r="C627" s="68"/>
      <c r="D627" s="68"/>
    </row>
    <row r="628" spans="1:4" ht="13.2">
      <c r="A628" s="34"/>
      <c r="B628" s="65"/>
      <c r="C628" s="68"/>
      <c r="D628" s="68"/>
    </row>
    <row r="629" spans="1:4" ht="13.2">
      <c r="A629" s="34"/>
      <c r="B629" s="65"/>
      <c r="C629" s="68"/>
      <c r="D629" s="68"/>
    </row>
    <row r="630" spans="1:4" ht="13.2">
      <c r="A630" s="34"/>
      <c r="B630" s="65"/>
      <c r="C630" s="68"/>
      <c r="D630" s="68"/>
    </row>
    <row r="631" spans="1:4" ht="13.2">
      <c r="A631" s="34"/>
      <c r="B631" s="65"/>
      <c r="C631" s="68"/>
      <c r="D631" s="68"/>
    </row>
    <row r="632" spans="1:4" ht="13.2">
      <c r="A632" s="34"/>
      <c r="B632" s="65"/>
      <c r="C632" s="68"/>
      <c r="D632" s="68"/>
    </row>
    <row r="633" spans="1:4" ht="13.2">
      <c r="A633" s="34"/>
      <c r="B633" s="65"/>
      <c r="C633" s="68"/>
      <c r="D633" s="68"/>
    </row>
    <row r="634" spans="1:4" ht="13.2">
      <c r="A634" s="34"/>
      <c r="B634" s="65"/>
      <c r="C634" s="68"/>
      <c r="D634" s="68"/>
    </row>
    <row r="635" spans="1:4" ht="13.2">
      <c r="A635" s="34"/>
      <c r="B635" s="65"/>
      <c r="C635" s="68"/>
      <c r="D635" s="68"/>
    </row>
    <row r="636" spans="1:4" ht="13.2">
      <c r="A636" s="34"/>
      <c r="B636" s="65"/>
      <c r="C636" s="68"/>
      <c r="D636" s="68"/>
    </row>
    <row r="637" spans="1:4" ht="13.2">
      <c r="A637" s="34"/>
      <c r="B637" s="65"/>
      <c r="C637" s="68"/>
      <c r="D637" s="68"/>
    </row>
    <row r="638" spans="1:4" ht="13.2">
      <c r="A638" s="34"/>
      <c r="B638" s="65"/>
      <c r="C638" s="68"/>
      <c r="D638" s="68"/>
    </row>
    <row r="639" spans="1:4" ht="13.2">
      <c r="A639" s="34"/>
      <c r="B639" s="65"/>
      <c r="C639" s="68"/>
      <c r="D639" s="68"/>
    </row>
    <row r="640" spans="1:4" ht="13.2">
      <c r="A640" s="34"/>
      <c r="B640" s="65"/>
      <c r="C640" s="68"/>
      <c r="D640" s="68"/>
    </row>
    <row r="641" spans="1:4" ht="13.2">
      <c r="A641" s="34"/>
      <c r="B641" s="65"/>
      <c r="C641" s="68"/>
      <c r="D641" s="68"/>
    </row>
    <row r="642" spans="1:4" ht="13.2">
      <c r="A642" s="34"/>
      <c r="B642" s="65"/>
      <c r="C642" s="68"/>
      <c r="D642" s="68"/>
    </row>
    <row r="643" spans="1:4" ht="13.2">
      <c r="A643" s="34"/>
      <c r="B643" s="65"/>
      <c r="C643" s="68"/>
      <c r="D643" s="68"/>
    </row>
    <row r="644" spans="1:4" ht="13.2">
      <c r="A644" s="34"/>
      <c r="B644" s="65"/>
      <c r="C644" s="68"/>
      <c r="D644" s="68"/>
    </row>
    <row r="645" spans="1:4" ht="13.2">
      <c r="A645" s="34"/>
      <c r="B645" s="65"/>
      <c r="C645" s="68"/>
      <c r="D645" s="68"/>
    </row>
    <row r="646" spans="1:4" ht="13.2">
      <c r="A646" s="34"/>
      <c r="B646" s="65"/>
      <c r="C646" s="68"/>
      <c r="D646" s="68"/>
    </row>
    <row r="647" spans="1:4" ht="13.2">
      <c r="A647" s="34"/>
      <c r="B647" s="65"/>
      <c r="C647" s="68"/>
      <c r="D647" s="68"/>
    </row>
    <row r="648" spans="1:4" ht="13.2">
      <c r="A648" s="34"/>
      <c r="B648" s="65"/>
      <c r="C648" s="68"/>
      <c r="D648" s="68"/>
    </row>
    <row r="649" spans="1:4" ht="13.2">
      <c r="A649" s="34"/>
      <c r="B649" s="65"/>
      <c r="C649" s="68"/>
      <c r="D649" s="68"/>
    </row>
    <row r="650" spans="1:4" ht="13.2">
      <c r="A650" s="34"/>
      <c r="B650" s="65"/>
      <c r="C650" s="68"/>
      <c r="D650" s="68"/>
    </row>
    <row r="651" spans="1:4" ht="13.2">
      <c r="A651" s="34"/>
      <c r="B651" s="65"/>
      <c r="C651" s="68"/>
      <c r="D651" s="68"/>
    </row>
    <row r="652" spans="1:4" ht="13.2">
      <c r="A652" s="34"/>
      <c r="B652" s="65"/>
      <c r="C652" s="68"/>
      <c r="D652" s="68"/>
    </row>
    <row r="653" spans="1:4" ht="13.2">
      <c r="A653" s="34"/>
      <c r="B653" s="65"/>
      <c r="C653" s="68"/>
      <c r="D653" s="68"/>
    </row>
    <row r="654" spans="1:4" ht="13.2">
      <c r="A654" s="34"/>
      <c r="B654" s="65"/>
      <c r="C654" s="68"/>
      <c r="D654" s="68"/>
    </row>
    <row r="655" spans="1:4" ht="13.2">
      <c r="A655" s="34"/>
      <c r="B655" s="65"/>
      <c r="C655" s="68"/>
      <c r="D655" s="68"/>
    </row>
    <row r="656" spans="1:4" ht="13.2">
      <c r="A656" s="34"/>
      <c r="B656" s="65"/>
      <c r="C656" s="68"/>
      <c r="D656" s="68"/>
    </row>
    <row r="657" spans="1:4" ht="13.2">
      <c r="A657" s="34"/>
      <c r="B657" s="65"/>
      <c r="C657" s="68"/>
      <c r="D657" s="68"/>
    </row>
    <row r="658" spans="1:4" ht="13.2">
      <c r="A658" s="34"/>
      <c r="B658" s="65"/>
      <c r="C658" s="68"/>
      <c r="D658" s="68"/>
    </row>
    <row r="659" spans="1:4" ht="13.2">
      <c r="A659" s="34"/>
      <c r="B659" s="65"/>
      <c r="C659" s="68"/>
      <c r="D659" s="68"/>
    </row>
    <row r="660" spans="1:4" ht="13.2">
      <c r="A660" s="34"/>
      <c r="B660" s="65"/>
      <c r="C660" s="68"/>
      <c r="D660" s="68"/>
    </row>
    <row r="661" spans="1:4" ht="13.2">
      <c r="A661" s="34"/>
      <c r="B661" s="65"/>
      <c r="C661" s="68"/>
      <c r="D661" s="68"/>
    </row>
    <row r="662" spans="1:4" ht="13.2">
      <c r="A662" s="34"/>
      <c r="B662" s="65"/>
      <c r="C662" s="68"/>
      <c r="D662" s="68"/>
    </row>
    <row r="663" spans="1:4" ht="13.2">
      <c r="A663" s="34"/>
      <c r="B663" s="65"/>
      <c r="C663" s="68"/>
      <c r="D663" s="68"/>
    </row>
    <row r="664" spans="1:4" ht="13.2">
      <c r="A664" s="34"/>
      <c r="B664" s="65"/>
      <c r="C664" s="68"/>
      <c r="D664" s="68"/>
    </row>
    <row r="665" spans="1:4" ht="13.2">
      <c r="A665" s="34"/>
      <c r="B665" s="65"/>
      <c r="C665" s="68"/>
      <c r="D665" s="68"/>
    </row>
    <row r="666" spans="1:4" ht="13.2">
      <c r="A666" s="34"/>
      <c r="B666" s="65"/>
      <c r="C666" s="68"/>
      <c r="D666" s="68"/>
    </row>
    <row r="667" spans="1:4" ht="13.2">
      <c r="A667" s="34"/>
      <c r="B667" s="65"/>
      <c r="C667" s="68"/>
      <c r="D667" s="68"/>
    </row>
    <row r="668" spans="1:4" ht="13.2">
      <c r="A668" s="34"/>
      <c r="B668" s="65"/>
      <c r="C668" s="68"/>
      <c r="D668" s="68"/>
    </row>
    <row r="669" spans="1:4" ht="13.2">
      <c r="A669" s="34"/>
      <c r="B669" s="65"/>
      <c r="C669" s="68"/>
      <c r="D669" s="68"/>
    </row>
    <row r="670" spans="1:4" ht="13.2">
      <c r="A670" s="34"/>
      <c r="B670" s="65"/>
      <c r="C670" s="68"/>
      <c r="D670" s="68"/>
    </row>
    <row r="671" spans="1:4" ht="13.2">
      <c r="A671" s="34"/>
      <c r="B671" s="65"/>
      <c r="C671" s="68"/>
      <c r="D671" s="68"/>
    </row>
    <row r="672" spans="1:4" ht="13.2">
      <c r="A672" s="34"/>
      <c r="B672" s="65"/>
      <c r="C672" s="68"/>
      <c r="D672" s="68"/>
    </row>
    <row r="673" spans="1:4" ht="13.2">
      <c r="A673" s="34"/>
      <c r="B673" s="65"/>
      <c r="C673" s="68"/>
      <c r="D673" s="68"/>
    </row>
    <row r="674" spans="1:4" ht="13.2">
      <c r="A674" s="34"/>
      <c r="B674" s="65"/>
      <c r="C674" s="68"/>
      <c r="D674" s="68"/>
    </row>
    <row r="675" spans="1:4" ht="13.2">
      <c r="A675" s="34"/>
      <c r="B675" s="65"/>
      <c r="C675" s="68"/>
      <c r="D675" s="68"/>
    </row>
    <row r="676" spans="1:4" ht="13.2">
      <c r="A676" s="34"/>
      <c r="B676" s="65"/>
      <c r="C676" s="68"/>
      <c r="D676" s="68"/>
    </row>
    <row r="677" spans="1:4" ht="13.2">
      <c r="A677" s="34"/>
      <c r="B677" s="65"/>
      <c r="C677" s="68"/>
      <c r="D677" s="68"/>
    </row>
    <row r="678" spans="1:4" ht="13.2">
      <c r="A678" s="34"/>
      <c r="B678" s="65"/>
      <c r="C678" s="68"/>
      <c r="D678" s="68"/>
    </row>
    <row r="679" spans="1:4" ht="13.2">
      <c r="A679" s="34"/>
      <c r="B679" s="65"/>
      <c r="C679" s="68"/>
      <c r="D679" s="68"/>
    </row>
    <row r="680" spans="1:4" ht="13.2">
      <c r="A680" s="34"/>
      <c r="B680" s="65"/>
      <c r="C680" s="68"/>
      <c r="D680" s="68"/>
    </row>
    <row r="681" spans="1:4" ht="13.2">
      <c r="A681" s="34"/>
      <c r="B681" s="65"/>
      <c r="C681" s="68"/>
      <c r="D681" s="68"/>
    </row>
    <row r="682" spans="1:4" ht="13.2">
      <c r="A682" s="34"/>
      <c r="B682" s="65"/>
      <c r="C682" s="68"/>
      <c r="D682" s="68"/>
    </row>
    <row r="683" spans="1:4" ht="13.2">
      <c r="A683" s="34"/>
      <c r="B683" s="65"/>
      <c r="C683" s="68"/>
      <c r="D683" s="68"/>
    </row>
    <row r="684" spans="1:4" ht="13.2">
      <c r="A684" s="34"/>
      <c r="B684" s="65"/>
      <c r="C684" s="68"/>
      <c r="D684" s="68"/>
    </row>
    <row r="685" spans="1:4" ht="13.2">
      <c r="A685" s="34"/>
      <c r="B685" s="65"/>
      <c r="C685" s="68"/>
      <c r="D685" s="68"/>
    </row>
    <row r="686" spans="1:4" ht="13.2">
      <c r="A686" s="34"/>
      <c r="B686" s="65"/>
      <c r="C686" s="68"/>
      <c r="D686" s="68"/>
    </row>
    <row r="687" spans="1:4" ht="13.2">
      <c r="A687" s="34"/>
      <c r="B687" s="65"/>
      <c r="C687" s="68"/>
      <c r="D687" s="68"/>
    </row>
    <row r="688" spans="1:4" ht="13.2">
      <c r="A688" s="34"/>
      <c r="B688" s="65"/>
      <c r="C688" s="68"/>
      <c r="D688" s="68"/>
    </row>
    <row r="689" spans="1:4" ht="13.2">
      <c r="A689" s="34"/>
      <c r="B689" s="65"/>
      <c r="C689" s="68"/>
      <c r="D689" s="68"/>
    </row>
    <row r="690" spans="1:4" ht="13.2">
      <c r="A690" s="34"/>
      <c r="B690" s="65"/>
      <c r="C690" s="68"/>
      <c r="D690" s="68"/>
    </row>
    <row r="691" spans="1:4" ht="13.2">
      <c r="A691" s="34"/>
      <c r="B691" s="65"/>
      <c r="C691" s="68"/>
      <c r="D691" s="68"/>
    </row>
    <row r="692" spans="1:4" ht="13.2">
      <c r="A692" s="34"/>
      <c r="B692" s="65"/>
      <c r="C692" s="68"/>
      <c r="D692" s="68"/>
    </row>
    <row r="693" spans="1:4" ht="13.2">
      <c r="A693" s="34"/>
      <c r="B693" s="65"/>
      <c r="C693" s="68"/>
      <c r="D693" s="68"/>
    </row>
    <row r="694" spans="1:4" ht="13.2">
      <c r="A694" s="34"/>
      <c r="B694" s="65"/>
      <c r="C694" s="68"/>
      <c r="D694" s="68"/>
    </row>
    <row r="695" spans="1:4" ht="13.2">
      <c r="A695" s="34"/>
      <c r="B695" s="65"/>
      <c r="C695" s="68"/>
      <c r="D695" s="68"/>
    </row>
    <row r="696" spans="1:4" ht="13.2">
      <c r="A696" s="34"/>
      <c r="B696" s="65"/>
      <c r="C696" s="68"/>
      <c r="D696" s="68"/>
    </row>
    <row r="697" spans="1:4" ht="13.2">
      <c r="A697" s="34"/>
      <c r="B697" s="65"/>
      <c r="C697" s="68"/>
      <c r="D697" s="68"/>
    </row>
    <row r="698" spans="1:4" ht="13.2">
      <c r="A698" s="34"/>
      <c r="B698" s="65"/>
      <c r="C698" s="68"/>
      <c r="D698" s="68"/>
    </row>
    <row r="699" spans="1:4" ht="13.2">
      <c r="A699" s="34"/>
      <c r="B699" s="65"/>
      <c r="C699" s="68"/>
      <c r="D699" s="68"/>
    </row>
    <row r="700" spans="1:4" ht="13.2">
      <c r="A700" s="34"/>
      <c r="B700" s="65"/>
      <c r="C700" s="68"/>
      <c r="D700" s="68"/>
    </row>
    <row r="701" spans="1:4" ht="13.2">
      <c r="A701" s="34"/>
      <c r="B701" s="65"/>
      <c r="C701" s="68"/>
      <c r="D701" s="68"/>
    </row>
    <row r="702" spans="1:4" ht="13.2">
      <c r="A702" s="34"/>
      <c r="B702" s="65"/>
      <c r="C702" s="68"/>
      <c r="D702" s="68"/>
    </row>
    <row r="703" spans="1:4" ht="13.2">
      <c r="A703" s="34"/>
      <c r="B703" s="65"/>
      <c r="C703" s="68"/>
      <c r="D703" s="68"/>
    </row>
    <row r="704" spans="1:4" ht="13.2">
      <c r="A704" s="34"/>
      <c r="B704" s="65"/>
      <c r="C704" s="68"/>
      <c r="D704" s="68"/>
    </row>
    <row r="705" spans="1:4" ht="13.2">
      <c r="A705" s="34"/>
      <c r="B705" s="65"/>
      <c r="C705" s="68"/>
      <c r="D705" s="68"/>
    </row>
    <row r="706" spans="1:4" ht="13.2">
      <c r="A706" s="34"/>
      <c r="B706" s="65"/>
      <c r="C706" s="68"/>
      <c r="D706" s="68"/>
    </row>
    <row r="707" spans="1:4" ht="13.2">
      <c r="A707" s="34"/>
      <c r="B707" s="65"/>
      <c r="C707" s="68"/>
      <c r="D707" s="68"/>
    </row>
    <row r="708" spans="1:4" ht="13.2">
      <c r="A708" s="34"/>
      <c r="B708" s="65"/>
      <c r="C708" s="68"/>
      <c r="D708" s="68"/>
    </row>
    <row r="709" spans="1:4" ht="13.2">
      <c r="A709" s="34"/>
      <c r="B709" s="65"/>
      <c r="C709" s="68"/>
      <c r="D709" s="68"/>
    </row>
    <row r="710" spans="1:4" ht="13.2">
      <c r="A710" s="34"/>
      <c r="B710" s="65"/>
      <c r="C710" s="68"/>
      <c r="D710" s="68"/>
    </row>
    <row r="711" spans="1:4" ht="13.2">
      <c r="A711" s="34"/>
      <c r="B711" s="65"/>
      <c r="C711" s="68"/>
      <c r="D711" s="68"/>
    </row>
    <row r="712" spans="1:4" ht="13.2">
      <c r="A712" s="34"/>
      <c r="B712" s="65"/>
      <c r="C712" s="68"/>
      <c r="D712" s="68"/>
    </row>
    <row r="713" spans="1:4" ht="13.2">
      <c r="A713" s="34"/>
      <c r="B713" s="65"/>
      <c r="C713" s="68"/>
      <c r="D713" s="68"/>
    </row>
    <row r="714" spans="1:4" ht="13.2">
      <c r="A714" s="34"/>
      <c r="B714" s="65"/>
      <c r="C714" s="68"/>
      <c r="D714" s="68"/>
    </row>
    <row r="715" spans="1:4" ht="13.2">
      <c r="A715" s="34"/>
      <c r="B715" s="65"/>
      <c r="C715" s="68"/>
      <c r="D715" s="68"/>
    </row>
    <row r="716" spans="1:4" ht="13.2">
      <c r="A716" s="34"/>
      <c r="B716" s="65"/>
      <c r="C716" s="68"/>
      <c r="D716" s="68"/>
    </row>
    <row r="717" spans="1:4" ht="13.2">
      <c r="A717" s="34"/>
      <c r="B717" s="65"/>
      <c r="C717" s="68"/>
      <c r="D717" s="68"/>
    </row>
    <row r="718" spans="1:4" ht="13.2">
      <c r="A718" s="34"/>
      <c r="B718" s="65"/>
      <c r="C718" s="68"/>
      <c r="D718" s="68"/>
    </row>
    <row r="719" spans="1:4" ht="13.2">
      <c r="A719" s="34"/>
      <c r="B719" s="65"/>
      <c r="C719" s="68"/>
      <c r="D719" s="68"/>
    </row>
    <row r="720" spans="1:4" ht="13.2">
      <c r="A720" s="34"/>
      <c r="B720" s="65"/>
      <c r="C720" s="68"/>
      <c r="D720" s="68"/>
    </row>
    <row r="721" spans="1:4" ht="13.2">
      <c r="A721" s="34"/>
      <c r="B721" s="65"/>
      <c r="C721" s="68"/>
      <c r="D721" s="68"/>
    </row>
    <row r="722" spans="1:4" ht="13.2">
      <c r="A722" s="34"/>
      <c r="B722" s="65"/>
      <c r="C722" s="68"/>
      <c r="D722" s="68"/>
    </row>
    <row r="723" spans="1:4" ht="13.2">
      <c r="A723" s="34"/>
      <c r="B723" s="65"/>
      <c r="C723" s="68"/>
      <c r="D723" s="68"/>
    </row>
    <row r="724" spans="1:4" ht="13.2">
      <c r="A724" s="34"/>
      <c r="B724" s="65"/>
      <c r="C724" s="68"/>
      <c r="D724" s="68"/>
    </row>
    <row r="725" spans="1:4" ht="13.2">
      <c r="A725" s="34"/>
      <c r="B725" s="65"/>
      <c r="C725" s="68"/>
      <c r="D725" s="68"/>
    </row>
    <row r="726" spans="1:4" ht="13.2">
      <c r="A726" s="34"/>
      <c r="B726" s="65"/>
      <c r="C726" s="68"/>
      <c r="D726" s="68"/>
    </row>
    <row r="727" spans="1:4" ht="13.2">
      <c r="A727" s="34"/>
      <c r="B727" s="65"/>
      <c r="C727" s="68"/>
      <c r="D727" s="68"/>
    </row>
    <row r="728" spans="1:4" ht="13.2">
      <c r="A728" s="34"/>
      <c r="B728" s="65"/>
      <c r="C728" s="68"/>
      <c r="D728" s="68"/>
    </row>
    <row r="729" spans="1:4" ht="13.2">
      <c r="A729" s="34"/>
      <c r="B729" s="65"/>
      <c r="C729" s="68"/>
      <c r="D729" s="68"/>
    </row>
    <row r="730" spans="1:4" ht="13.2">
      <c r="A730" s="34"/>
      <c r="B730" s="65"/>
      <c r="C730" s="68"/>
      <c r="D730" s="68"/>
    </row>
    <row r="731" spans="1:4" ht="13.2">
      <c r="A731" s="34"/>
      <c r="B731" s="65"/>
      <c r="C731" s="68"/>
      <c r="D731" s="68"/>
    </row>
    <row r="732" spans="1:4" ht="13.2">
      <c r="A732" s="34"/>
      <c r="B732" s="65"/>
      <c r="C732" s="68"/>
      <c r="D732" s="68"/>
    </row>
    <row r="733" spans="1:4" ht="13.2">
      <c r="A733" s="34"/>
      <c r="B733" s="65"/>
      <c r="C733" s="68"/>
      <c r="D733" s="68"/>
    </row>
    <row r="734" spans="1:4" ht="13.2">
      <c r="A734" s="34"/>
      <c r="B734" s="65"/>
      <c r="C734" s="68"/>
      <c r="D734" s="68"/>
    </row>
    <row r="735" spans="1:4" ht="13.2">
      <c r="A735" s="34"/>
      <c r="B735" s="65"/>
      <c r="C735" s="68"/>
      <c r="D735" s="68"/>
    </row>
    <row r="736" spans="1:4" ht="13.2">
      <c r="A736" s="34"/>
      <c r="B736" s="65"/>
      <c r="C736" s="68"/>
      <c r="D736" s="68"/>
    </row>
    <row r="737" spans="1:4" ht="13.2">
      <c r="A737" s="34"/>
      <c r="B737" s="65"/>
      <c r="C737" s="68"/>
      <c r="D737" s="68"/>
    </row>
    <row r="738" spans="1:4" ht="13.2">
      <c r="A738" s="34"/>
      <c r="B738" s="65"/>
      <c r="C738" s="68"/>
      <c r="D738" s="68"/>
    </row>
    <row r="739" spans="1:4" ht="13.2">
      <c r="A739" s="34"/>
      <c r="B739" s="65"/>
      <c r="C739" s="68"/>
      <c r="D739" s="68"/>
    </row>
    <row r="740" spans="1:4" ht="13.2">
      <c r="A740" s="34"/>
      <c r="B740" s="65"/>
      <c r="C740" s="68"/>
      <c r="D740" s="68"/>
    </row>
    <row r="741" spans="1:4" ht="13.2">
      <c r="A741" s="34"/>
      <c r="B741" s="65"/>
      <c r="C741" s="68"/>
      <c r="D741" s="68"/>
    </row>
    <row r="742" spans="1:4" ht="13.2">
      <c r="A742" s="34"/>
      <c r="B742" s="65"/>
      <c r="C742" s="68"/>
      <c r="D742" s="68"/>
    </row>
    <row r="743" spans="1:4" ht="13.2">
      <c r="A743" s="34"/>
      <c r="B743" s="65"/>
      <c r="C743" s="68"/>
      <c r="D743" s="68"/>
    </row>
    <row r="744" spans="1:4" ht="13.2">
      <c r="A744" s="34"/>
      <c r="B744" s="65"/>
      <c r="C744" s="68"/>
      <c r="D744" s="68"/>
    </row>
    <row r="745" spans="1:4" ht="13.2">
      <c r="A745" s="34"/>
      <c r="B745" s="65"/>
      <c r="C745" s="68"/>
      <c r="D745" s="68"/>
    </row>
    <row r="746" spans="1:4" ht="13.2">
      <c r="A746" s="34"/>
      <c r="B746" s="65"/>
      <c r="C746" s="68"/>
      <c r="D746" s="68"/>
    </row>
    <row r="747" spans="1:4" ht="13.2">
      <c r="A747" s="34"/>
      <c r="B747" s="65"/>
      <c r="C747" s="68"/>
      <c r="D747" s="68"/>
    </row>
    <row r="748" spans="1:4" ht="13.2">
      <c r="A748" s="34"/>
      <c r="B748" s="65"/>
      <c r="C748" s="68"/>
      <c r="D748" s="68"/>
    </row>
    <row r="749" spans="1:4" ht="13.2">
      <c r="A749" s="34"/>
      <c r="B749" s="65"/>
      <c r="C749" s="68"/>
      <c r="D749" s="68"/>
    </row>
    <row r="750" spans="1:4" ht="13.2">
      <c r="A750" s="34"/>
      <c r="B750" s="65"/>
      <c r="C750" s="68"/>
      <c r="D750" s="68"/>
    </row>
    <row r="751" spans="1:4" ht="13.2">
      <c r="A751" s="34"/>
      <c r="B751" s="65"/>
      <c r="C751" s="68"/>
      <c r="D751" s="68"/>
    </row>
    <row r="752" spans="1:4" ht="13.2">
      <c r="A752" s="34"/>
      <c r="B752" s="65"/>
      <c r="C752" s="68"/>
      <c r="D752" s="68"/>
    </row>
    <row r="753" spans="1:4" ht="13.2">
      <c r="A753" s="34"/>
      <c r="B753" s="65"/>
      <c r="C753" s="68"/>
      <c r="D753" s="68"/>
    </row>
    <row r="754" spans="1:4" ht="13.2">
      <c r="A754" s="34"/>
      <c r="B754" s="65"/>
      <c r="C754" s="68"/>
      <c r="D754" s="68"/>
    </row>
    <row r="755" spans="1:4" ht="13.2">
      <c r="A755" s="34"/>
      <c r="B755" s="65"/>
      <c r="C755" s="68"/>
      <c r="D755" s="68"/>
    </row>
    <row r="756" spans="1:4" ht="13.2">
      <c r="A756" s="34"/>
      <c r="B756" s="65"/>
      <c r="C756" s="68"/>
      <c r="D756" s="68"/>
    </row>
    <row r="757" spans="1:4" ht="13.2">
      <c r="A757" s="34"/>
      <c r="B757" s="65"/>
      <c r="C757" s="68"/>
      <c r="D757" s="68"/>
    </row>
    <row r="758" spans="1:4" ht="13.2">
      <c r="A758" s="34"/>
      <c r="B758" s="65"/>
      <c r="C758" s="68"/>
      <c r="D758" s="68"/>
    </row>
    <row r="759" spans="1:4" ht="13.2">
      <c r="A759" s="34"/>
      <c r="B759" s="65"/>
      <c r="C759" s="68"/>
      <c r="D759" s="68"/>
    </row>
    <row r="760" spans="1:4" ht="13.2">
      <c r="A760" s="34"/>
      <c r="B760" s="65"/>
      <c r="C760" s="68"/>
      <c r="D760" s="68"/>
    </row>
    <row r="761" spans="1:4" ht="13.2">
      <c r="A761" s="34"/>
      <c r="B761" s="65"/>
      <c r="C761" s="68"/>
      <c r="D761" s="68"/>
    </row>
    <row r="762" spans="1:4" ht="13.2">
      <c r="A762" s="34"/>
      <c r="B762" s="65"/>
      <c r="C762" s="68"/>
      <c r="D762" s="68"/>
    </row>
    <row r="763" spans="1:4" ht="13.2">
      <c r="A763" s="34"/>
      <c r="B763" s="65"/>
      <c r="C763" s="68"/>
      <c r="D763" s="68"/>
    </row>
    <row r="764" spans="1:4" ht="13.2">
      <c r="A764" s="34"/>
      <c r="B764" s="65"/>
      <c r="C764" s="68"/>
      <c r="D764" s="68"/>
    </row>
    <row r="765" spans="1:4" ht="13.2">
      <c r="A765" s="34"/>
      <c r="B765" s="65"/>
      <c r="C765" s="68"/>
      <c r="D765" s="68"/>
    </row>
    <row r="766" spans="1:4" ht="13.2">
      <c r="A766" s="34"/>
      <c r="B766" s="65"/>
      <c r="C766" s="68"/>
      <c r="D766" s="68"/>
    </row>
    <row r="767" spans="1:4" ht="13.2">
      <c r="A767" s="34"/>
      <c r="B767" s="65"/>
      <c r="C767" s="68"/>
      <c r="D767" s="68"/>
    </row>
    <row r="768" spans="1:4" ht="13.2">
      <c r="A768" s="34"/>
      <c r="B768" s="65"/>
      <c r="C768" s="68"/>
      <c r="D768" s="68"/>
    </row>
    <row r="769" spans="1:4" ht="13.2">
      <c r="A769" s="34"/>
      <c r="B769" s="65"/>
      <c r="C769" s="68"/>
      <c r="D769" s="68"/>
    </row>
    <row r="770" spans="1:4" ht="13.2">
      <c r="A770" s="34"/>
      <c r="B770" s="65"/>
      <c r="C770" s="68"/>
      <c r="D770" s="68"/>
    </row>
    <row r="771" spans="1:4" ht="13.2">
      <c r="A771" s="34"/>
      <c r="B771" s="65"/>
      <c r="C771" s="68"/>
      <c r="D771" s="68"/>
    </row>
    <row r="772" spans="1:4" ht="13.2">
      <c r="A772" s="34"/>
      <c r="B772" s="65"/>
      <c r="C772" s="68"/>
      <c r="D772" s="68"/>
    </row>
    <row r="773" spans="1:4" ht="13.2">
      <c r="A773" s="34"/>
      <c r="B773" s="65"/>
      <c r="C773" s="68"/>
      <c r="D773" s="68"/>
    </row>
    <row r="774" spans="1:4" ht="13.2">
      <c r="A774" s="34"/>
      <c r="B774" s="65"/>
      <c r="C774" s="68"/>
      <c r="D774" s="68"/>
    </row>
    <row r="775" spans="1:4" ht="13.2">
      <c r="A775" s="34"/>
      <c r="B775" s="65"/>
      <c r="C775" s="68"/>
      <c r="D775" s="68"/>
    </row>
    <row r="776" spans="1:4" ht="13.2">
      <c r="A776" s="34"/>
      <c r="B776" s="65"/>
      <c r="C776" s="68"/>
      <c r="D776" s="68"/>
    </row>
    <row r="777" spans="1:4" ht="13.2">
      <c r="A777" s="34"/>
      <c r="B777" s="65"/>
      <c r="C777" s="68"/>
      <c r="D777" s="68"/>
    </row>
    <row r="778" spans="1:4" ht="13.2">
      <c r="A778" s="34"/>
      <c r="B778" s="65"/>
      <c r="C778" s="68"/>
      <c r="D778" s="68"/>
    </row>
    <row r="779" spans="1:4" ht="13.2">
      <c r="A779" s="34"/>
      <c r="B779" s="65"/>
      <c r="C779" s="68"/>
      <c r="D779" s="68"/>
    </row>
    <row r="780" spans="1:4" ht="13.2">
      <c r="A780" s="34"/>
      <c r="B780" s="65"/>
      <c r="C780" s="68"/>
      <c r="D780" s="68"/>
    </row>
    <row r="781" spans="1:4" ht="13.2">
      <c r="A781" s="34"/>
      <c r="B781" s="65"/>
      <c r="C781" s="68"/>
      <c r="D781" s="68"/>
    </row>
    <row r="782" spans="1:4" ht="13.2">
      <c r="A782" s="34"/>
      <c r="B782" s="65"/>
      <c r="C782" s="68"/>
      <c r="D782" s="68"/>
    </row>
    <row r="783" spans="1:4" ht="13.2">
      <c r="A783" s="34"/>
      <c r="B783" s="65"/>
      <c r="C783" s="68"/>
      <c r="D783" s="68"/>
    </row>
    <row r="784" spans="1:4" ht="13.2">
      <c r="A784" s="34"/>
      <c r="B784" s="65"/>
      <c r="C784" s="68"/>
      <c r="D784" s="68"/>
    </row>
    <row r="785" spans="1:4" ht="13.2">
      <c r="A785" s="34"/>
      <c r="B785" s="65"/>
      <c r="C785" s="68"/>
      <c r="D785" s="68"/>
    </row>
    <row r="786" spans="1:4" ht="13.2">
      <c r="A786" s="34"/>
      <c r="B786" s="65"/>
      <c r="C786" s="68"/>
      <c r="D786" s="68"/>
    </row>
    <row r="787" spans="1:4" ht="13.2">
      <c r="A787" s="34"/>
      <c r="B787" s="65"/>
      <c r="C787" s="68"/>
      <c r="D787" s="68"/>
    </row>
    <row r="788" spans="1:4" ht="13.2">
      <c r="A788" s="34"/>
      <c r="B788" s="65"/>
      <c r="C788" s="68"/>
      <c r="D788" s="68"/>
    </row>
    <row r="789" spans="1:4" ht="13.2">
      <c r="A789" s="34"/>
      <c r="B789" s="65"/>
      <c r="C789" s="68"/>
      <c r="D789" s="68"/>
    </row>
    <row r="790" spans="1:4" ht="13.2">
      <c r="A790" s="34"/>
      <c r="B790" s="65"/>
      <c r="C790" s="68"/>
      <c r="D790" s="68"/>
    </row>
    <row r="791" spans="1:4" ht="13.2">
      <c r="A791" s="34"/>
      <c r="B791" s="65"/>
      <c r="C791" s="68"/>
      <c r="D791" s="68"/>
    </row>
    <row r="792" spans="1:4" ht="13.2">
      <c r="A792" s="34"/>
      <c r="B792" s="65"/>
      <c r="C792" s="68"/>
      <c r="D792" s="68"/>
    </row>
    <row r="793" spans="1:4" ht="13.2">
      <c r="A793" s="34"/>
      <c r="B793" s="65"/>
      <c r="C793" s="68"/>
      <c r="D793" s="68"/>
    </row>
    <row r="794" spans="1:4" ht="13.2">
      <c r="A794" s="34"/>
      <c r="B794" s="65"/>
      <c r="C794" s="68"/>
      <c r="D794" s="68"/>
    </row>
    <row r="795" spans="1:4" ht="13.2">
      <c r="A795" s="34"/>
      <c r="B795" s="65"/>
      <c r="C795" s="68"/>
      <c r="D795" s="68"/>
    </row>
    <row r="796" spans="1:4" ht="13.2">
      <c r="A796" s="34"/>
      <c r="B796" s="65"/>
      <c r="C796" s="68"/>
      <c r="D796" s="68"/>
    </row>
    <row r="797" spans="1:4" ht="13.2">
      <c r="A797" s="34"/>
      <c r="B797" s="65"/>
      <c r="C797" s="68"/>
      <c r="D797" s="68"/>
    </row>
    <row r="798" spans="1:4" ht="13.2">
      <c r="A798" s="34"/>
      <c r="B798" s="65"/>
      <c r="C798" s="68"/>
      <c r="D798" s="68"/>
    </row>
    <row r="799" spans="1:4" ht="13.2">
      <c r="A799" s="34"/>
      <c r="B799" s="65"/>
      <c r="C799" s="68"/>
      <c r="D799" s="68"/>
    </row>
    <row r="800" spans="1:4" ht="13.2">
      <c r="A800" s="34"/>
      <c r="B800" s="65"/>
      <c r="C800" s="68"/>
      <c r="D800" s="68"/>
    </row>
    <row r="801" spans="1:4" ht="13.2">
      <c r="A801" s="34"/>
      <c r="B801" s="65"/>
      <c r="C801" s="68"/>
      <c r="D801" s="68"/>
    </row>
    <row r="802" spans="1:4" ht="13.2">
      <c r="A802" s="34"/>
      <c r="B802" s="65"/>
      <c r="C802" s="68"/>
      <c r="D802" s="68"/>
    </row>
    <row r="803" spans="1:4" ht="13.2">
      <c r="A803" s="34"/>
      <c r="B803" s="65"/>
      <c r="C803" s="68"/>
      <c r="D803" s="68"/>
    </row>
    <row r="804" spans="1:4" ht="13.2">
      <c r="A804" s="34"/>
      <c r="B804" s="65"/>
      <c r="C804" s="68"/>
      <c r="D804" s="68"/>
    </row>
    <row r="805" spans="1:4" ht="13.2">
      <c r="A805" s="34"/>
      <c r="B805" s="65"/>
      <c r="C805" s="68"/>
      <c r="D805" s="68"/>
    </row>
    <row r="806" spans="1:4" ht="13.2">
      <c r="A806" s="34"/>
      <c r="B806" s="65"/>
      <c r="C806" s="68"/>
      <c r="D806" s="68"/>
    </row>
    <row r="807" spans="1:4" ht="13.2">
      <c r="A807" s="34"/>
      <c r="B807" s="65"/>
      <c r="C807" s="68"/>
      <c r="D807" s="68"/>
    </row>
    <row r="808" spans="1:4" ht="13.2">
      <c r="A808" s="34"/>
      <c r="B808" s="65"/>
      <c r="C808" s="68"/>
      <c r="D808" s="68"/>
    </row>
    <row r="809" spans="1:4" ht="13.2">
      <c r="A809" s="34"/>
      <c r="B809" s="65"/>
      <c r="C809" s="68"/>
      <c r="D809" s="68"/>
    </row>
    <row r="810" spans="1:4" ht="13.2">
      <c r="A810" s="34"/>
      <c r="B810" s="65"/>
      <c r="C810" s="68"/>
      <c r="D810" s="68"/>
    </row>
    <row r="811" spans="1:4" ht="13.2">
      <c r="A811" s="34"/>
      <c r="B811" s="65"/>
      <c r="C811" s="68"/>
      <c r="D811" s="68"/>
    </row>
    <row r="812" spans="1:4" ht="13.2">
      <c r="A812" s="34"/>
      <c r="B812" s="65"/>
      <c r="C812" s="68"/>
      <c r="D812" s="68"/>
    </row>
    <row r="813" spans="1:4" ht="13.2">
      <c r="A813" s="34"/>
      <c r="B813" s="65"/>
      <c r="C813" s="68"/>
      <c r="D813" s="68"/>
    </row>
    <row r="814" spans="1:4" ht="13.2">
      <c r="A814" s="34"/>
      <c r="B814" s="65"/>
      <c r="C814" s="68"/>
      <c r="D814" s="68"/>
    </row>
    <row r="815" spans="1:4" ht="13.2">
      <c r="A815" s="34"/>
      <c r="B815" s="65"/>
      <c r="C815" s="68"/>
      <c r="D815" s="68"/>
    </row>
    <row r="816" spans="1:4" ht="13.2">
      <c r="A816" s="34"/>
      <c r="B816" s="65"/>
      <c r="C816" s="68"/>
      <c r="D816" s="68"/>
    </row>
    <row r="817" spans="1:4" ht="13.2">
      <c r="A817" s="34"/>
      <c r="B817" s="65"/>
      <c r="C817" s="68"/>
      <c r="D817" s="68"/>
    </row>
    <row r="818" spans="1:4" ht="13.2">
      <c r="A818" s="34"/>
      <c r="B818" s="65"/>
      <c r="C818" s="68"/>
      <c r="D818" s="68"/>
    </row>
    <row r="819" spans="1:4" ht="13.2">
      <c r="A819" s="34"/>
      <c r="B819" s="65"/>
      <c r="C819" s="68"/>
      <c r="D819" s="68"/>
    </row>
    <row r="820" spans="1:4" ht="13.2">
      <c r="A820" s="34"/>
      <c r="B820" s="65"/>
      <c r="C820" s="68"/>
      <c r="D820" s="68"/>
    </row>
    <row r="821" spans="1:4" ht="13.2">
      <c r="A821" s="34"/>
      <c r="B821" s="65"/>
      <c r="C821" s="68"/>
      <c r="D821" s="68"/>
    </row>
    <row r="822" spans="1:4" ht="13.2">
      <c r="A822" s="34"/>
      <c r="B822" s="65"/>
      <c r="C822" s="68"/>
      <c r="D822" s="68"/>
    </row>
    <row r="823" spans="1:4" ht="13.2">
      <c r="A823" s="34"/>
      <c r="B823" s="65"/>
      <c r="C823" s="68"/>
      <c r="D823" s="68"/>
    </row>
    <row r="824" spans="1:4" ht="13.2">
      <c r="A824" s="34"/>
      <c r="B824" s="65"/>
      <c r="C824" s="68"/>
      <c r="D824" s="68"/>
    </row>
    <row r="825" spans="1:4" ht="13.2">
      <c r="A825" s="34"/>
      <c r="B825" s="65"/>
      <c r="C825" s="68"/>
      <c r="D825" s="68"/>
    </row>
    <row r="826" spans="1:4" ht="13.2">
      <c r="A826" s="34"/>
      <c r="B826" s="65"/>
      <c r="C826" s="68"/>
      <c r="D826" s="68"/>
    </row>
    <row r="827" spans="1:4" ht="13.2">
      <c r="A827" s="34"/>
      <c r="B827" s="65"/>
      <c r="C827" s="68"/>
      <c r="D827" s="68"/>
    </row>
    <row r="828" spans="1:4" ht="13.2">
      <c r="A828" s="34"/>
      <c r="B828" s="65"/>
      <c r="C828" s="68"/>
      <c r="D828" s="68"/>
    </row>
    <row r="829" spans="1:4" ht="13.2">
      <c r="A829" s="34"/>
      <c r="B829" s="65"/>
      <c r="C829" s="68"/>
      <c r="D829" s="68"/>
    </row>
    <row r="830" spans="1:4" ht="13.2">
      <c r="A830" s="34"/>
      <c r="B830" s="65"/>
      <c r="C830" s="68"/>
      <c r="D830" s="68"/>
    </row>
    <row r="831" spans="1:4" ht="13.2">
      <c r="A831" s="34"/>
      <c r="B831" s="65"/>
      <c r="C831" s="68"/>
      <c r="D831" s="68"/>
    </row>
    <row r="832" spans="1:4" ht="13.2">
      <c r="A832" s="34"/>
      <c r="B832" s="65"/>
      <c r="C832" s="68"/>
      <c r="D832" s="68"/>
    </row>
    <row r="833" spans="1:4" ht="13.2">
      <c r="A833" s="34"/>
      <c r="B833" s="65"/>
      <c r="C833" s="68"/>
      <c r="D833" s="68"/>
    </row>
    <row r="834" spans="1:4" ht="13.2">
      <c r="A834" s="34"/>
      <c r="B834" s="65"/>
      <c r="C834" s="68"/>
      <c r="D834" s="68"/>
    </row>
    <row r="835" spans="1:4" ht="13.2">
      <c r="A835" s="34"/>
      <c r="B835" s="65"/>
      <c r="C835" s="68"/>
      <c r="D835" s="68"/>
    </row>
    <row r="836" spans="1:4" ht="13.2">
      <c r="A836" s="34"/>
      <c r="B836" s="65"/>
      <c r="C836" s="68"/>
      <c r="D836" s="68"/>
    </row>
    <row r="837" spans="1:4" ht="13.2">
      <c r="A837" s="34"/>
      <c r="B837" s="65"/>
      <c r="C837" s="68"/>
      <c r="D837" s="68"/>
    </row>
    <row r="838" spans="1:4" ht="13.2">
      <c r="A838" s="34"/>
      <c r="B838" s="65"/>
      <c r="C838" s="68"/>
      <c r="D838" s="68"/>
    </row>
    <row r="839" spans="1:4" ht="13.2">
      <c r="A839" s="34"/>
      <c r="B839" s="65"/>
      <c r="C839" s="68"/>
      <c r="D839" s="68"/>
    </row>
    <row r="840" spans="1:4" ht="13.2">
      <c r="A840" s="34"/>
      <c r="B840" s="65"/>
      <c r="C840" s="68"/>
      <c r="D840" s="68"/>
    </row>
    <row r="841" spans="1:4" ht="13.2">
      <c r="A841" s="34"/>
      <c r="B841" s="65"/>
      <c r="C841" s="68"/>
      <c r="D841" s="68"/>
    </row>
    <row r="842" spans="1:4" ht="13.2">
      <c r="A842" s="34"/>
      <c r="B842" s="65"/>
      <c r="C842" s="68"/>
      <c r="D842" s="68"/>
    </row>
    <row r="843" spans="1:4" ht="13.2">
      <c r="A843" s="34"/>
      <c r="B843" s="65"/>
      <c r="C843" s="68"/>
      <c r="D843" s="68"/>
    </row>
    <row r="844" spans="1:4" ht="13.2">
      <c r="A844" s="34"/>
      <c r="B844" s="65"/>
      <c r="C844" s="68"/>
      <c r="D844" s="68"/>
    </row>
    <row r="845" spans="1:4" ht="13.2">
      <c r="A845" s="34"/>
      <c r="B845" s="65"/>
      <c r="C845" s="68"/>
      <c r="D845" s="68"/>
    </row>
    <row r="846" spans="1:4" ht="13.2">
      <c r="A846" s="34"/>
      <c r="B846" s="65"/>
      <c r="C846" s="68"/>
      <c r="D846" s="68"/>
    </row>
    <row r="847" spans="1:4" ht="13.2">
      <c r="A847" s="34"/>
      <c r="B847" s="65"/>
      <c r="C847" s="68"/>
      <c r="D847" s="68"/>
    </row>
    <row r="848" spans="1:4" ht="13.2">
      <c r="A848" s="34"/>
      <c r="B848" s="65"/>
      <c r="C848" s="68"/>
      <c r="D848" s="68"/>
    </row>
    <row r="849" spans="1:4" ht="13.2">
      <c r="A849" s="34"/>
      <c r="B849" s="65"/>
      <c r="C849" s="68"/>
      <c r="D849" s="68"/>
    </row>
    <row r="850" spans="1:4" ht="13.2">
      <c r="A850" s="34"/>
      <c r="B850" s="65"/>
      <c r="C850" s="68"/>
      <c r="D850" s="68"/>
    </row>
    <row r="851" spans="1:4" ht="13.2">
      <c r="A851" s="34"/>
      <c r="B851" s="65"/>
      <c r="C851" s="68"/>
      <c r="D851" s="68"/>
    </row>
    <row r="852" spans="1:4" ht="13.2">
      <c r="A852" s="34"/>
      <c r="B852" s="65"/>
      <c r="C852" s="68"/>
      <c r="D852" s="68"/>
    </row>
    <row r="853" spans="1:4" ht="13.2">
      <c r="A853" s="34"/>
      <c r="B853" s="65"/>
      <c r="C853" s="68"/>
      <c r="D853" s="68"/>
    </row>
    <row r="854" spans="1:4" ht="13.2">
      <c r="A854" s="34"/>
      <c r="B854" s="65"/>
      <c r="C854" s="68"/>
      <c r="D854" s="68"/>
    </row>
    <row r="855" spans="1:4" ht="13.2">
      <c r="A855" s="34"/>
      <c r="B855" s="65"/>
      <c r="C855" s="68"/>
      <c r="D855" s="68"/>
    </row>
    <row r="856" spans="1:4" ht="13.2">
      <c r="A856" s="34"/>
      <c r="B856" s="65"/>
      <c r="C856" s="68"/>
      <c r="D856" s="68"/>
    </row>
    <row r="857" spans="1:4" ht="13.2">
      <c r="A857" s="34"/>
      <c r="B857" s="65"/>
      <c r="C857" s="68"/>
      <c r="D857" s="68"/>
    </row>
    <row r="858" spans="1:4" ht="13.2">
      <c r="A858" s="34"/>
      <c r="B858" s="65"/>
      <c r="C858" s="68"/>
      <c r="D858" s="68"/>
    </row>
    <row r="859" spans="1:4" ht="13.2">
      <c r="A859" s="34"/>
      <c r="B859" s="65"/>
      <c r="C859" s="68"/>
      <c r="D859" s="68"/>
    </row>
    <row r="860" spans="1:4" ht="13.2">
      <c r="A860" s="34"/>
      <c r="B860" s="65"/>
      <c r="C860" s="68"/>
      <c r="D860" s="68"/>
    </row>
    <row r="861" spans="1:4" ht="13.2">
      <c r="A861" s="34"/>
      <c r="B861" s="65"/>
      <c r="C861" s="68"/>
      <c r="D861" s="68"/>
    </row>
    <row r="862" spans="1:4" ht="13.2">
      <c r="A862" s="34"/>
      <c r="B862" s="65"/>
      <c r="C862" s="68"/>
      <c r="D862" s="68"/>
    </row>
    <row r="863" spans="1:4" ht="13.2">
      <c r="A863" s="34"/>
      <c r="B863" s="65"/>
      <c r="C863" s="68"/>
      <c r="D863" s="68"/>
    </row>
    <row r="864" spans="1:4" ht="13.2">
      <c r="A864" s="34"/>
      <c r="B864" s="65"/>
      <c r="C864" s="68"/>
      <c r="D864" s="68"/>
    </row>
    <row r="865" spans="1:4" ht="13.2">
      <c r="A865" s="34"/>
      <c r="B865" s="65"/>
      <c r="C865" s="68"/>
      <c r="D865" s="68"/>
    </row>
    <row r="866" spans="1:4" ht="13.2">
      <c r="A866" s="34"/>
      <c r="B866" s="65"/>
      <c r="C866" s="68"/>
      <c r="D866" s="68"/>
    </row>
    <row r="867" spans="1:4" ht="13.2">
      <c r="A867" s="34"/>
      <c r="B867" s="65"/>
      <c r="C867" s="68"/>
      <c r="D867" s="68"/>
    </row>
    <row r="868" spans="1:4" ht="13.2">
      <c r="A868" s="34"/>
      <c r="B868" s="65"/>
      <c r="C868" s="68"/>
      <c r="D868" s="68"/>
    </row>
    <row r="869" spans="1:4" ht="13.2">
      <c r="A869" s="34"/>
      <c r="B869" s="65"/>
      <c r="C869" s="68"/>
      <c r="D869" s="68"/>
    </row>
    <row r="870" spans="1:4" ht="13.2">
      <c r="A870" s="34"/>
      <c r="B870" s="65"/>
      <c r="C870" s="68"/>
      <c r="D870" s="68"/>
    </row>
    <row r="871" spans="1:4" ht="13.2">
      <c r="A871" s="34"/>
      <c r="B871" s="65"/>
      <c r="C871" s="68"/>
      <c r="D871" s="68"/>
    </row>
    <row r="872" spans="1:4" ht="13.2">
      <c r="A872" s="34"/>
      <c r="B872" s="65"/>
      <c r="C872" s="68"/>
      <c r="D872" s="68"/>
    </row>
    <row r="873" spans="1:4" ht="13.2">
      <c r="A873" s="34"/>
      <c r="B873" s="65"/>
      <c r="C873" s="68"/>
      <c r="D873" s="68"/>
    </row>
    <row r="874" spans="1:4" ht="13.2">
      <c r="A874" s="34"/>
      <c r="B874" s="65"/>
      <c r="C874" s="68"/>
      <c r="D874" s="68"/>
    </row>
    <row r="875" spans="1:4" ht="13.2">
      <c r="A875" s="34"/>
      <c r="B875" s="65"/>
      <c r="C875" s="68"/>
      <c r="D875" s="68"/>
    </row>
    <row r="876" spans="1:4" ht="13.2">
      <c r="A876" s="34"/>
      <c r="B876" s="65"/>
      <c r="C876" s="68"/>
      <c r="D876" s="68"/>
    </row>
    <row r="877" spans="1:4" ht="13.2">
      <c r="A877" s="34"/>
      <c r="B877" s="65"/>
      <c r="C877" s="68"/>
      <c r="D877" s="68"/>
    </row>
    <row r="878" spans="1:4" ht="13.2">
      <c r="A878" s="34"/>
      <c r="B878" s="65"/>
      <c r="C878" s="68"/>
      <c r="D878" s="68"/>
    </row>
    <row r="879" spans="1:4" ht="13.2">
      <c r="A879" s="34"/>
      <c r="B879" s="65"/>
      <c r="C879" s="68"/>
      <c r="D879" s="68"/>
    </row>
    <row r="880" spans="1:4" ht="13.2">
      <c r="A880" s="34"/>
      <c r="B880" s="65"/>
      <c r="C880" s="68"/>
      <c r="D880" s="68"/>
    </row>
    <row r="881" spans="1:4" ht="13.2">
      <c r="A881" s="34"/>
      <c r="B881" s="65"/>
      <c r="C881" s="68"/>
      <c r="D881" s="68"/>
    </row>
    <row r="882" spans="1:4" ht="13.2">
      <c r="A882" s="34"/>
      <c r="B882" s="65"/>
      <c r="C882" s="68"/>
      <c r="D882" s="68"/>
    </row>
    <row r="883" spans="1:4" ht="13.2">
      <c r="A883" s="34"/>
      <c r="B883" s="65"/>
      <c r="C883" s="68"/>
      <c r="D883" s="68"/>
    </row>
    <row r="884" spans="1:4" ht="13.2">
      <c r="A884" s="34"/>
      <c r="B884" s="65"/>
      <c r="C884" s="68"/>
      <c r="D884" s="68"/>
    </row>
    <row r="885" spans="1:4" ht="13.2">
      <c r="A885" s="34"/>
      <c r="B885" s="65"/>
      <c r="C885" s="68"/>
      <c r="D885" s="68"/>
    </row>
    <row r="886" spans="1:4" ht="13.2">
      <c r="A886" s="34"/>
      <c r="B886" s="65"/>
      <c r="C886" s="68"/>
      <c r="D886" s="68"/>
    </row>
    <row r="887" spans="1:4" ht="13.2">
      <c r="A887" s="34"/>
      <c r="B887" s="65"/>
      <c r="C887" s="68"/>
      <c r="D887" s="68"/>
    </row>
    <row r="888" spans="1:4" ht="13.2">
      <c r="A888" s="34"/>
      <c r="B888" s="65"/>
      <c r="C888" s="68"/>
      <c r="D888" s="68"/>
    </row>
    <row r="889" spans="1:4" ht="13.2">
      <c r="A889" s="34"/>
      <c r="B889" s="65"/>
      <c r="C889" s="68"/>
      <c r="D889" s="68"/>
    </row>
    <row r="890" spans="1:4" ht="13.2">
      <c r="A890" s="34"/>
      <c r="B890" s="65"/>
      <c r="C890" s="68"/>
      <c r="D890" s="68"/>
    </row>
    <row r="891" spans="1:4" ht="13.2">
      <c r="A891" s="34"/>
      <c r="B891" s="65"/>
      <c r="C891" s="68"/>
      <c r="D891" s="68"/>
    </row>
    <row r="892" spans="1:4" ht="13.2">
      <c r="A892" s="34"/>
      <c r="B892" s="65"/>
      <c r="C892" s="68"/>
      <c r="D892" s="68"/>
    </row>
    <row r="893" spans="1:4" ht="13.2">
      <c r="A893" s="34"/>
      <c r="B893" s="65"/>
      <c r="C893" s="68"/>
      <c r="D893" s="68"/>
    </row>
    <row r="894" spans="1:4" ht="13.2">
      <c r="A894" s="34"/>
      <c r="B894" s="65"/>
      <c r="C894" s="68"/>
      <c r="D894" s="68"/>
    </row>
    <row r="895" spans="1:4" ht="13.2">
      <c r="A895" s="34"/>
      <c r="B895" s="65"/>
      <c r="C895" s="68"/>
      <c r="D895" s="68"/>
    </row>
    <row r="896" spans="1:4" ht="13.2">
      <c r="A896" s="34"/>
      <c r="B896" s="65"/>
      <c r="C896" s="68"/>
      <c r="D896" s="68"/>
    </row>
    <row r="897" spans="1:4" ht="13.2">
      <c r="A897" s="34"/>
      <c r="B897" s="65"/>
      <c r="C897" s="68"/>
      <c r="D897" s="68"/>
    </row>
    <row r="898" spans="1:4" ht="13.2">
      <c r="A898" s="34"/>
      <c r="B898" s="65"/>
      <c r="C898" s="68"/>
      <c r="D898" s="68"/>
    </row>
    <row r="899" spans="1:4" ht="13.2">
      <c r="A899" s="34"/>
      <c r="B899" s="65"/>
      <c r="C899" s="68"/>
      <c r="D899" s="68"/>
    </row>
    <row r="900" spans="1:4" ht="13.2">
      <c r="A900" s="34"/>
      <c r="B900" s="65"/>
      <c r="C900" s="68"/>
      <c r="D900" s="68"/>
    </row>
    <row r="901" spans="1:4" ht="13.2">
      <c r="A901" s="34"/>
      <c r="B901" s="65"/>
      <c r="C901" s="68"/>
      <c r="D901" s="68"/>
    </row>
    <row r="902" spans="1:4" ht="13.2">
      <c r="A902" s="34"/>
      <c r="B902" s="65"/>
      <c r="C902" s="68"/>
      <c r="D902" s="68"/>
    </row>
    <row r="903" spans="1:4" ht="13.2">
      <c r="A903" s="34"/>
      <c r="B903" s="65"/>
      <c r="C903" s="68"/>
      <c r="D903" s="68"/>
    </row>
    <row r="904" spans="1:4" ht="13.2">
      <c r="A904" s="34"/>
      <c r="B904" s="65"/>
      <c r="C904" s="68"/>
      <c r="D904" s="68"/>
    </row>
    <row r="905" spans="1:4" ht="13.2">
      <c r="A905" s="34"/>
      <c r="B905" s="65"/>
      <c r="C905" s="68"/>
      <c r="D905" s="68"/>
    </row>
    <row r="906" spans="1:4" ht="13.2">
      <c r="A906" s="34"/>
      <c r="B906" s="65"/>
      <c r="C906" s="68"/>
      <c r="D906" s="68"/>
    </row>
    <row r="907" spans="1:4" ht="13.2">
      <c r="A907" s="34"/>
      <c r="B907" s="65"/>
      <c r="C907" s="68"/>
      <c r="D907" s="68"/>
    </row>
    <row r="908" spans="1:4" ht="13.2">
      <c r="A908" s="34"/>
      <c r="B908" s="65"/>
      <c r="C908" s="68"/>
      <c r="D908" s="68"/>
    </row>
    <row r="909" spans="1:4" ht="13.2">
      <c r="A909" s="34"/>
      <c r="B909" s="65"/>
      <c r="C909" s="68"/>
      <c r="D909" s="68"/>
    </row>
    <row r="910" spans="1:4" ht="13.2">
      <c r="A910" s="34"/>
      <c r="B910" s="65"/>
      <c r="C910" s="68"/>
      <c r="D910" s="68"/>
    </row>
    <row r="911" spans="1:4" ht="13.2">
      <c r="A911" s="34"/>
      <c r="B911" s="65"/>
      <c r="C911" s="68"/>
      <c r="D911" s="68"/>
    </row>
    <row r="912" spans="1:4" ht="13.2">
      <c r="A912" s="34"/>
      <c r="B912" s="65"/>
      <c r="C912" s="68"/>
      <c r="D912" s="68"/>
    </row>
    <row r="913" spans="1:4" ht="13.2">
      <c r="A913" s="34"/>
      <c r="B913" s="65"/>
      <c r="C913" s="68"/>
      <c r="D913" s="68"/>
    </row>
    <row r="914" spans="1:4" ht="13.2">
      <c r="A914" s="34"/>
      <c r="B914" s="65"/>
      <c r="C914" s="68"/>
      <c r="D914" s="68"/>
    </row>
    <row r="915" spans="1:4" ht="13.2">
      <c r="A915" s="34"/>
      <c r="B915" s="65"/>
      <c r="C915" s="68"/>
      <c r="D915" s="68"/>
    </row>
    <row r="916" spans="1:4" ht="13.2">
      <c r="A916" s="34"/>
      <c r="B916" s="65"/>
      <c r="C916" s="68"/>
      <c r="D916" s="68"/>
    </row>
    <row r="917" spans="1:4" ht="13.2">
      <c r="A917" s="34"/>
      <c r="B917" s="65"/>
      <c r="C917" s="68"/>
      <c r="D917" s="68"/>
    </row>
    <row r="918" spans="1:4" ht="13.2">
      <c r="A918" s="34"/>
      <c r="B918" s="65"/>
      <c r="C918" s="68"/>
      <c r="D918" s="68"/>
    </row>
    <row r="919" spans="1:4" ht="13.2">
      <c r="A919" s="34"/>
      <c r="B919" s="65"/>
      <c r="C919" s="68"/>
      <c r="D919" s="68"/>
    </row>
    <row r="920" spans="1:4" ht="13.2">
      <c r="A920" s="34"/>
      <c r="B920" s="65"/>
      <c r="C920" s="68"/>
      <c r="D920" s="68"/>
    </row>
    <row r="921" spans="1:4" ht="13.2">
      <c r="A921" s="34"/>
      <c r="B921" s="65"/>
      <c r="C921" s="68"/>
      <c r="D921" s="68"/>
    </row>
    <row r="922" spans="1:4" ht="13.2">
      <c r="A922" s="34"/>
      <c r="B922" s="65"/>
      <c r="C922" s="68"/>
      <c r="D922" s="68"/>
    </row>
    <row r="923" spans="1:4" ht="13.2">
      <c r="A923" s="34"/>
      <c r="B923" s="65"/>
      <c r="C923" s="68"/>
      <c r="D923" s="68"/>
    </row>
    <row r="924" spans="1:4" ht="13.2">
      <c r="A924" s="34"/>
      <c r="B924" s="65"/>
      <c r="C924" s="68"/>
      <c r="D924" s="68"/>
    </row>
    <row r="925" spans="1:4" ht="13.2">
      <c r="A925" s="34"/>
      <c r="B925" s="65"/>
      <c r="C925" s="68"/>
      <c r="D925" s="68"/>
    </row>
    <row r="926" spans="1:4" ht="13.2">
      <c r="A926" s="34"/>
      <c r="B926" s="65"/>
      <c r="C926" s="68"/>
      <c r="D926" s="68"/>
    </row>
    <row r="927" spans="1:4" ht="13.2">
      <c r="A927" s="34"/>
      <c r="B927" s="65"/>
      <c r="C927" s="68"/>
      <c r="D927" s="68"/>
    </row>
    <row r="928" spans="1:4" ht="13.2">
      <c r="A928" s="34"/>
      <c r="B928" s="65"/>
      <c r="C928" s="68"/>
      <c r="D928" s="68"/>
    </row>
    <row r="929" spans="1:4" ht="13.2">
      <c r="A929" s="34"/>
      <c r="B929" s="65"/>
      <c r="C929" s="68"/>
      <c r="D929" s="68"/>
    </row>
    <row r="930" spans="1:4" ht="13.2">
      <c r="A930" s="34"/>
      <c r="B930" s="65"/>
      <c r="C930" s="68"/>
      <c r="D930" s="68"/>
    </row>
    <row r="931" spans="1:4" ht="13.2">
      <c r="A931" s="34"/>
      <c r="B931" s="65"/>
      <c r="C931" s="68"/>
      <c r="D931" s="68"/>
    </row>
    <row r="932" spans="1:4" ht="13.2">
      <c r="A932" s="34"/>
      <c r="B932" s="65"/>
      <c r="C932" s="68"/>
      <c r="D932" s="68"/>
    </row>
    <row r="933" spans="1:4" ht="13.2">
      <c r="A933" s="34"/>
      <c r="B933" s="65"/>
      <c r="C933" s="68"/>
      <c r="D933" s="68"/>
    </row>
    <row r="934" spans="1:4" ht="13.2">
      <c r="A934" s="34"/>
      <c r="B934" s="65"/>
      <c r="C934" s="68"/>
      <c r="D934" s="68"/>
    </row>
    <row r="935" spans="1:4" ht="13.2">
      <c r="A935" s="34"/>
      <c r="B935" s="65"/>
      <c r="C935" s="68"/>
      <c r="D935" s="68"/>
    </row>
    <row r="936" spans="1:4" ht="13.2">
      <c r="A936" s="34"/>
      <c r="B936" s="65"/>
      <c r="C936" s="68"/>
      <c r="D936" s="68"/>
    </row>
    <row r="937" spans="1:4" ht="13.2">
      <c r="A937" s="34"/>
      <c r="B937" s="65"/>
      <c r="C937" s="68"/>
      <c r="D937" s="68"/>
    </row>
    <row r="938" spans="1:4" ht="13.2">
      <c r="A938" s="34"/>
      <c r="B938" s="65"/>
      <c r="C938" s="68"/>
      <c r="D938" s="68"/>
    </row>
    <row r="939" spans="1:4" ht="13.2">
      <c r="A939" s="34"/>
      <c r="B939" s="65"/>
      <c r="C939" s="68"/>
      <c r="D939" s="68"/>
    </row>
    <row r="940" spans="1:4" ht="13.2">
      <c r="A940" s="34"/>
      <c r="B940" s="65"/>
      <c r="C940" s="68"/>
      <c r="D940" s="68"/>
    </row>
    <row r="941" spans="1:4" ht="13.2">
      <c r="A941" s="34"/>
      <c r="B941" s="65"/>
      <c r="C941" s="68"/>
      <c r="D941" s="68"/>
    </row>
    <row r="942" spans="1:4" ht="13.2">
      <c r="A942" s="34"/>
      <c r="B942" s="65"/>
      <c r="C942" s="68"/>
      <c r="D942" s="68"/>
    </row>
    <row r="943" spans="1:4" ht="13.2">
      <c r="A943" s="34"/>
      <c r="B943" s="65"/>
      <c r="C943" s="68"/>
      <c r="D943" s="68"/>
    </row>
    <row r="944" spans="1:4" ht="13.2">
      <c r="A944" s="34"/>
      <c r="B944" s="65"/>
      <c r="C944" s="68"/>
      <c r="D944" s="68"/>
    </row>
    <row r="945" spans="1:4" ht="13.2">
      <c r="A945" s="34"/>
      <c r="B945" s="65"/>
      <c r="C945" s="68"/>
      <c r="D945" s="68"/>
    </row>
    <row r="946" spans="1:4" ht="13.2">
      <c r="A946" s="34"/>
      <c r="B946" s="65"/>
      <c r="C946" s="68"/>
      <c r="D946" s="68"/>
    </row>
    <row r="947" spans="1:4" ht="13.2">
      <c r="A947" s="34"/>
      <c r="B947" s="65"/>
      <c r="C947" s="68"/>
      <c r="D947" s="68"/>
    </row>
    <row r="948" spans="1:4" ht="13.2">
      <c r="A948" s="34"/>
      <c r="B948" s="65"/>
      <c r="C948" s="68"/>
      <c r="D948" s="68"/>
    </row>
    <row r="949" spans="1:4" ht="13.2">
      <c r="A949" s="34"/>
      <c r="B949" s="65"/>
      <c r="C949" s="68"/>
      <c r="D949" s="68"/>
    </row>
    <row r="950" spans="1:4" ht="13.2">
      <c r="A950" s="34"/>
      <c r="B950" s="65"/>
      <c r="C950" s="68"/>
      <c r="D950" s="68"/>
    </row>
    <row r="951" spans="1:4" ht="13.2">
      <c r="A951" s="34"/>
      <c r="B951" s="65"/>
      <c r="C951" s="68"/>
      <c r="D951" s="68"/>
    </row>
    <row r="952" spans="1:4" ht="13.2">
      <c r="A952" s="34"/>
      <c r="B952" s="65"/>
      <c r="C952" s="68"/>
      <c r="D952" s="68"/>
    </row>
    <row r="953" spans="1:4" ht="13.2">
      <c r="A953" s="34"/>
      <c r="B953" s="65"/>
      <c r="C953" s="68"/>
      <c r="D953" s="68"/>
    </row>
    <row r="954" spans="1:4" ht="13.2">
      <c r="A954" s="34"/>
      <c r="B954" s="65"/>
      <c r="C954" s="68"/>
      <c r="D954" s="68"/>
    </row>
    <row r="955" spans="1:4" ht="13.2">
      <c r="A955" s="34"/>
      <c r="B955" s="65"/>
      <c r="C955" s="68"/>
      <c r="D955" s="68"/>
    </row>
    <row r="956" spans="1:4" ht="13.2">
      <c r="A956" s="34"/>
      <c r="B956" s="65"/>
      <c r="C956" s="68"/>
      <c r="D956" s="68"/>
    </row>
    <row r="957" spans="1:4" ht="13.2">
      <c r="A957" s="34"/>
      <c r="B957" s="65"/>
      <c r="C957" s="68"/>
      <c r="D957" s="68"/>
    </row>
    <row r="958" spans="1:4" ht="13.2">
      <c r="A958" s="34"/>
      <c r="B958" s="65"/>
      <c r="C958" s="68"/>
      <c r="D958" s="68"/>
    </row>
    <row r="959" spans="1:4" ht="13.2">
      <c r="A959" s="34"/>
      <c r="B959" s="65"/>
      <c r="C959" s="68"/>
      <c r="D959" s="68"/>
    </row>
    <row r="960" spans="1:4" ht="13.2">
      <c r="A960" s="34"/>
      <c r="B960" s="65"/>
      <c r="C960" s="68"/>
      <c r="D960" s="68"/>
    </row>
    <row r="961" spans="1:4" ht="13.2">
      <c r="A961" s="34"/>
      <c r="B961" s="65"/>
      <c r="C961" s="68"/>
      <c r="D961" s="68"/>
    </row>
    <row r="962" spans="1:4" ht="13.2">
      <c r="A962" s="34"/>
      <c r="B962" s="65"/>
      <c r="C962" s="68"/>
      <c r="D962" s="68"/>
    </row>
    <row r="963" spans="1:4" ht="13.2">
      <c r="A963" s="34"/>
      <c r="B963" s="65"/>
      <c r="C963" s="68"/>
      <c r="D963" s="68"/>
    </row>
    <row r="964" spans="1:4" ht="13.2">
      <c r="A964" s="34"/>
      <c r="B964" s="65"/>
      <c r="C964" s="68"/>
      <c r="D964" s="68"/>
    </row>
    <row r="965" spans="1:4" ht="13.2">
      <c r="A965" s="34"/>
      <c r="B965" s="65"/>
      <c r="C965" s="68"/>
      <c r="D965" s="68"/>
    </row>
    <row r="966" spans="1:4" ht="13.2">
      <c r="A966" s="34"/>
      <c r="B966" s="65"/>
      <c r="C966" s="68"/>
      <c r="D966" s="68"/>
    </row>
    <row r="967" spans="1:4" ht="13.2">
      <c r="A967" s="34"/>
      <c r="B967" s="65"/>
      <c r="C967" s="68"/>
      <c r="D967" s="68"/>
    </row>
    <row r="968" spans="1:4" ht="13.2">
      <c r="A968" s="34"/>
      <c r="B968" s="65"/>
      <c r="C968" s="68"/>
      <c r="D968" s="68"/>
    </row>
    <row r="969" spans="1:4" ht="13.2">
      <c r="A969" s="34"/>
      <c r="B969" s="65"/>
      <c r="C969" s="68"/>
      <c r="D969" s="68"/>
    </row>
    <row r="970" spans="1:4" ht="13.2">
      <c r="A970" s="34"/>
      <c r="B970" s="65"/>
      <c r="C970" s="68"/>
      <c r="D970" s="68"/>
    </row>
    <row r="971" spans="1:4" ht="13.2">
      <c r="A971" s="34"/>
      <c r="B971" s="65"/>
      <c r="C971" s="68"/>
      <c r="D971" s="68"/>
    </row>
    <row r="972" spans="1:4" ht="13.2">
      <c r="A972" s="34"/>
      <c r="B972" s="65"/>
      <c r="C972" s="68"/>
      <c r="D972" s="68"/>
    </row>
    <row r="973" spans="1:4" ht="13.2">
      <c r="A973" s="34"/>
      <c r="B973" s="65"/>
      <c r="C973" s="68"/>
      <c r="D973" s="68"/>
    </row>
    <row r="974" spans="1:4" ht="13.2">
      <c r="A974" s="34"/>
      <c r="B974" s="65"/>
      <c r="C974" s="68"/>
      <c r="D974" s="68"/>
    </row>
    <row r="975" spans="1:4" ht="13.2">
      <c r="A975" s="34"/>
      <c r="B975" s="65"/>
      <c r="C975" s="68"/>
      <c r="D975" s="68"/>
    </row>
    <row r="976" spans="1:4" ht="13.2">
      <c r="A976" s="34"/>
      <c r="B976" s="65"/>
      <c r="C976" s="68"/>
      <c r="D976" s="68"/>
    </row>
    <row r="977" spans="1:4" ht="13.2">
      <c r="A977" s="34"/>
      <c r="B977" s="65"/>
      <c r="C977" s="68"/>
      <c r="D977" s="68"/>
    </row>
    <row r="978" spans="1:4" ht="13.2">
      <c r="A978" s="34"/>
      <c r="B978" s="65"/>
      <c r="C978" s="68"/>
      <c r="D978" s="68"/>
    </row>
    <row r="979" spans="1:4" ht="13.2">
      <c r="A979" s="34"/>
      <c r="B979" s="65"/>
      <c r="C979" s="68"/>
      <c r="D979" s="68"/>
    </row>
    <row r="980" spans="1:4" ht="13.2">
      <c r="A980" s="34"/>
      <c r="B980" s="65"/>
      <c r="C980" s="68"/>
      <c r="D980" s="68"/>
    </row>
    <row r="981" spans="1:4" ht="13.2">
      <c r="A981" s="34"/>
      <c r="B981" s="65"/>
      <c r="C981" s="68"/>
      <c r="D981" s="68"/>
    </row>
    <row r="982" spans="1:4" ht="13.2">
      <c r="A982" s="34"/>
      <c r="B982" s="65"/>
      <c r="C982" s="68"/>
      <c r="D982" s="68"/>
    </row>
    <row r="983" spans="1:4" ht="13.2">
      <c r="A983" s="34"/>
      <c r="B983" s="65"/>
      <c r="C983" s="68"/>
      <c r="D983" s="68"/>
    </row>
    <row r="984" spans="1:4" ht="13.2">
      <c r="A984" s="34"/>
      <c r="B984" s="65"/>
      <c r="C984" s="68"/>
      <c r="D984" s="68"/>
    </row>
    <row r="985" spans="1:4" ht="13.2">
      <c r="A985" s="34"/>
      <c r="B985" s="65"/>
      <c r="C985" s="68"/>
      <c r="D985" s="68"/>
    </row>
    <row r="986" spans="1:4" ht="13.2">
      <c r="A986" s="34"/>
      <c r="B986" s="65"/>
      <c r="C986" s="68"/>
      <c r="D986" s="68"/>
    </row>
    <row r="987" spans="1:4" ht="13.2">
      <c r="A987" s="34"/>
      <c r="B987" s="65"/>
      <c r="C987" s="68"/>
      <c r="D987" s="68"/>
    </row>
    <row r="988" spans="1:4" ht="13.2">
      <c r="A988" s="34"/>
      <c r="B988" s="65"/>
      <c r="C988" s="68"/>
      <c r="D988" s="68"/>
    </row>
    <row r="989" spans="1:4" ht="13.2">
      <c r="A989" s="34"/>
      <c r="B989" s="65"/>
      <c r="C989" s="68"/>
      <c r="D989" s="68"/>
    </row>
    <row r="990" spans="1:4" ht="13.2">
      <c r="A990" s="34"/>
      <c r="B990" s="65"/>
      <c r="C990" s="68"/>
      <c r="D990" s="68"/>
    </row>
    <row r="991" spans="1:4" ht="13.2">
      <c r="A991" s="34"/>
      <c r="B991" s="65"/>
      <c r="C991" s="68"/>
      <c r="D991" s="68"/>
    </row>
    <row r="992" spans="1:4" ht="13.2">
      <c r="A992" s="34"/>
      <c r="B992" s="65"/>
      <c r="C992" s="68"/>
      <c r="D992" s="68"/>
    </row>
    <row r="993" spans="1:4" ht="13.2">
      <c r="A993" s="34"/>
      <c r="B993" s="65"/>
      <c r="C993" s="68"/>
      <c r="D993" s="68"/>
    </row>
    <row r="994" spans="1:4" ht="13.2">
      <c r="A994" s="34"/>
      <c r="B994" s="65"/>
      <c r="C994" s="68"/>
      <c r="D994" s="68"/>
    </row>
    <row r="995" spans="1:4" ht="13.2">
      <c r="A995" s="34"/>
      <c r="B995" s="65"/>
      <c r="C995" s="68"/>
      <c r="D995" s="68"/>
    </row>
    <row r="996" spans="1:4" ht="13.2">
      <c r="A996" s="34"/>
      <c r="B996" s="65"/>
      <c r="C996" s="68"/>
      <c r="D996" s="68"/>
    </row>
    <row r="997" spans="1:4" ht="13.2">
      <c r="A997" s="34"/>
      <c r="B997" s="65"/>
      <c r="C997" s="68"/>
      <c r="D997" s="68"/>
    </row>
    <row r="998" spans="1:4" ht="13.2">
      <c r="A998" s="34"/>
      <c r="B998" s="65"/>
      <c r="C998" s="68"/>
      <c r="D998" s="68"/>
    </row>
    <row r="999" spans="1:4" ht="13.2">
      <c r="A999" s="34"/>
      <c r="B999" s="65"/>
      <c r="C999" s="68"/>
      <c r="D999" s="68"/>
    </row>
    <row r="1000" spans="1:4" ht="13.2">
      <c r="A1000" s="34"/>
      <c r="B1000" s="65"/>
      <c r="C1000" s="68"/>
      <c r="D1000" s="68"/>
    </row>
    <row r="1001" spans="1:4" ht="13.2">
      <c r="A1001" s="34"/>
      <c r="B1001" s="65"/>
      <c r="C1001" s="68"/>
      <c r="D1001" s="68"/>
    </row>
    <row r="1002" spans="1:4" ht="13.2">
      <c r="A1002" s="34"/>
      <c r="B1002" s="65"/>
      <c r="C1002" s="68"/>
      <c r="D1002" s="68"/>
    </row>
    <row r="1003" spans="1:4" ht="13.2">
      <c r="A1003" s="34"/>
      <c r="B1003" s="65"/>
      <c r="C1003" s="68"/>
      <c r="D1003" s="68"/>
    </row>
    <row r="1004" spans="1:4" ht="13.2">
      <c r="A1004" s="34"/>
      <c r="B1004" s="65"/>
      <c r="C1004" s="68"/>
      <c r="D1004" s="68"/>
    </row>
    <row r="1005" spans="1:4" ht="13.2">
      <c r="A1005" s="34"/>
      <c r="B1005" s="65"/>
      <c r="C1005" s="68"/>
      <c r="D1005" s="68"/>
    </row>
    <row r="1006" spans="1:4" ht="13.2">
      <c r="A1006" s="34"/>
      <c r="B1006" s="65"/>
      <c r="C1006" s="68"/>
      <c r="D1006" s="68"/>
    </row>
    <row r="1007" spans="1:4" ht="13.2">
      <c r="A1007" s="34"/>
      <c r="B1007" s="65"/>
      <c r="C1007" s="68"/>
      <c r="D1007" s="68"/>
    </row>
    <row r="1008" spans="1:4" ht="13.2">
      <c r="A1008" s="34"/>
      <c r="B1008" s="65"/>
      <c r="C1008" s="68"/>
      <c r="D1008" s="68"/>
    </row>
    <row r="1009" spans="1:4" ht="13.2">
      <c r="A1009" s="34"/>
      <c r="B1009" s="65"/>
      <c r="C1009" s="68"/>
      <c r="D1009" s="68"/>
    </row>
    <row r="1010" spans="1:4" ht="13.2">
      <c r="A1010" s="34"/>
      <c r="B1010" s="65"/>
      <c r="C1010" s="68"/>
      <c r="D1010" s="68"/>
    </row>
    <row r="1011" spans="1:4" ht="13.2">
      <c r="A1011" s="34"/>
      <c r="B1011" s="65"/>
      <c r="C1011" s="68"/>
      <c r="D1011" s="68"/>
    </row>
    <row r="1012" spans="1:4" ht="13.2">
      <c r="A1012" s="34"/>
      <c r="B1012" s="65"/>
      <c r="C1012" s="68"/>
      <c r="D1012" s="68"/>
    </row>
    <row r="1013" spans="1:4" ht="13.2">
      <c r="A1013" s="34"/>
      <c r="B1013" s="65"/>
      <c r="C1013" s="68"/>
      <c r="D1013" s="68"/>
    </row>
    <row r="1014" spans="1:4" ht="13.2">
      <c r="A1014" s="34"/>
      <c r="B1014" s="65"/>
      <c r="C1014" s="68"/>
      <c r="D1014" s="68"/>
    </row>
    <row r="1015" spans="1:4" ht="13.2">
      <c r="A1015" s="34"/>
      <c r="B1015" s="65"/>
      <c r="C1015" s="68"/>
      <c r="D1015" s="6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Z1015"/>
  <sheetViews>
    <sheetView workbookViewId="0"/>
  </sheetViews>
  <sheetFormatPr baseColWidth="10" defaultColWidth="12.6640625" defaultRowHeight="15.75" customHeight="1"/>
  <sheetData>
    <row r="1" spans="1:4" ht="15.75" customHeight="1">
      <c r="A1" s="60" t="s">
        <v>361</v>
      </c>
      <c r="B1" s="61" t="s">
        <v>6</v>
      </c>
      <c r="C1" s="46" t="s">
        <v>384</v>
      </c>
      <c r="D1" s="46" t="s">
        <v>367</v>
      </c>
    </row>
    <row r="2" spans="1:4" ht="15.75" customHeight="1">
      <c r="A2" s="63">
        <v>10101</v>
      </c>
      <c r="B2" s="61" t="s">
        <v>19</v>
      </c>
      <c r="C2" s="53">
        <v>87218811.031639099</v>
      </c>
      <c r="D2" s="53">
        <v>104251594.00765991</v>
      </c>
    </row>
    <row r="3" spans="1:4" ht="15.75" customHeight="1">
      <c r="A3" s="63">
        <v>10102</v>
      </c>
      <c r="B3" s="61" t="s">
        <v>20</v>
      </c>
      <c r="C3" s="53">
        <v>1514645.0007061008</v>
      </c>
      <c r="D3" s="53">
        <v>1992966.9989318848</v>
      </c>
    </row>
    <row r="4" spans="1:4" ht="15.75" customHeight="1">
      <c r="A4" s="63">
        <v>10103</v>
      </c>
      <c r="B4" s="61" t="s">
        <v>21</v>
      </c>
      <c r="C4" s="53">
        <v>164048.00001277123</v>
      </c>
      <c r="D4" s="53">
        <v>414412.00005340576</v>
      </c>
    </row>
    <row r="5" spans="1:4" ht="15.75" customHeight="1">
      <c r="A5" s="63">
        <v>10201</v>
      </c>
      <c r="B5" s="61" t="s">
        <v>22</v>
      </c>
      <c r="C5" s="53">
        <v>332622.99985741545</v>
      </c>
      <c r="D5" s="53">
        <v>459137.99989318848</v>
      </c>
    </row>
    <row r="6" spans="1:4" ht="15.75" customHeight="1">
      <c r="A6" s="63">
        <v>10202</v>
      </c>
      <c r="B6" s="61" t="s">
        <v>23</v>
      </c>
      <c r="C6" s="53">
        <v>368937.9999489747</v>
      </c>
      <c r="D6" s="53">
        <v>516629.00005340576</v>
      </c>
    </row>
    <row r="7" spans="1:4" ht="15.75" customHeight="1">
      <c r="A7" s="63">
        <v>10301</v>
      </c>
      <c r="B7" s="61" t="s">
        <v>24</v>
      </c>
      <c r="C7" s="53">
        <v>547490.00115629658</v>
      </c>
      <c r="D7" s="53">
        <v>78013</v>
      </c>
    </row>
    <row r="8" spans="1:4" ht="15.75" customHeight="1">
      <c r="A8" s="63">
        <v>10302</v>
      </c>
      <c r="B8" s="61" t="s">
        <v>25</v>
      </c>
      <c r="C8" s="53">
        <v>301381.99968357757</v>
      </c>
      <c r="D8" s="53">
        <v>788514.99994659424</v>
      </c>
    </row>
    <row r="9" spans="1:4" ht="15.75" customHeight="1">
      <c r="A9" s="63">
        <v>10303</v>
      </c>
      <c r="B9" s="61" t="s">
        <v>26</v>
      </c>
      <c r="C9" s="53">
        <v>477168.00076066051</v>
      </c>
      <c r="D9" s="53">
        <v>646082.00021362305</v>
      </c>
    </row>
    <row r="10" spans="1:4" ht="15.75" customHeight="1">
      <c r="A10" s="63">
        <v>10304</v>
      </c>
      <c r="B10" s="61" t="s">
        <v>27</v>
      </c>
      <c r="C10" s="53">
        <v>292426.00066685956</v>
      </c>
      <c r="D10" s="53">
        <v>404900.0002822876</v>
      </c>
    </row>
    <row r="11" spans="1:4" ht="15.75" customHeight="1">
      <c r="A11" s="63">
        <v>10401</v>
      </c>
      <c r="B11" s="61" t="s">
        <v>28</v>
      </c>
      <c r="C11" s="53">
        <v>1085138.9987377161</v>
      </c>
      <c r="D11" s="53">
        <v>1423640.9997024536</v>
      </c>
    </row>
    <row r="12" spans="1:4" ht="15.75" customHeight="1">
      <c r="A12" s="63">
        <v>10402</v>
      </c>
      <c r="B12" s="61" t="s">
        <v>29</v>
      </c>
      <c r="C12" s="53">
        <v>594318.99941323791</v>
      </c>
      <c r="D12" s="53">
        <v>791278.00005340576</v>
      </c>
    </row>
    <row r="13" spans="1:4" ht="15.75" customHeight="1">
      <c r="A13" s="63">
        <v>10403</v>
      </c>
      <c r="B13" s="61" t="s">
        <v>30</v>
      </c>
      <c r="C13" s="53">
        <v>409769.99941051099</v>
      </c>
      <c r="D13" s="53">
        <v>569414</v>
      </c>
    </row>
    <row r="14" spans="1:4" ht="15.75" customHeight="1">
      <c r="A14" s="63">
        <v>10404</v>
      </c>
      <c r="B14" s="61" t="s">
        <v>31</v>
      </c>
      <c r="C14" s="53">
        <v>240179.00059062708</v>
      </c>
      <c r="D14" s="53">
        <v>345372.00030517578</v>
      </c>
    </row>
    <row r="15" spans="1:4" ht="15.75" customHeight="1">
      <c r="A15" s="63">
        <v>10405</v>
      </c>
      <c r="B15" s="61" t="s">
        <v>32</v>
      </c>
      <c r="C15" s="53">
        <v>220819.99998136982</v>
      </c>
      <c r="D15" s="53">
        <v>357923.0001449585</v>
      </c>
    </row>
    <row r="16" spans="1:4" ht="15.75" customHeight="1">
      <c r="A16" s="63">
        <v>10501</v>
      </c>
      <c r="B16" s="61" t="s">
        <v>33</v>
      </c>
      <c r="C16" s="53">
        <v>3844243.0018868167</v>
      </c>
      <c r="D16" s="53">
        <v>5186557.9999542236</v>
      </c>
    </row>
    <row r="17" spans="1:4" ht="15.75" customHeight="1">
      <c r="A17" s="63">
        <v>10502</v>
      </c>
      <c r="B17" s="61" t="s">
        <v>34</v>
      </c>
      <c r="C17" s="53">
        <v>696201.99984346423</v>
      </c>
      <c r="D17" s="53">
        <v>1111469.0001983643</v>
      </c>
    </row>
    <row r="18" spans="1:4" ht="15.75" customHeight="1">
      <c r="A18" s="63">
        <v>10601</v>
      </c>
      <c r="B18" s="61" t="s">
        <v>35</v>
      </c>
      <c r="C18" s="53">
        <v>667795.00024002325</v>
      </c>
      <c r="D18" s="53">
        <v>841465.0002822876</v>
      </c>
    </row>
    <row r="19" spans="1:4" ht="15.75" customHeight="1">
      <c r="A19" s="63">
        <v>10602</v>
      </c>
      <c r="B19" s="61" t="s">
        <v>36</v>
      </c>
      <c r="C19" s="53">
        <v>428958.99925098289</v>
      </c>
      <c r="D19" s="53">
        <v>572712.00017547607</v>
      </c>
    </row>
    <row r="20" spans="1:4" ht="15.75" customHeight="1">
      <c r="A20" s="63">
        <v>10701</v>
      </c>
      <c r="B20" s="61" t="s">
        <v>37</v>
      </c>
      <c r="C20" s="53">
        <v>1637008.8285805145</v>
      </c>
      <c r="D20" s="53">
        <v>2073499.0000305176</v>
      </c>
    </row>
    <row r="21" spans="1:4" ht="15.75" customHeight="1">
      <c r="A21" s="63">
        <v>10702</v>
      </c>
      <c r="B21" s="61" t="s">
        <v>38</v>
      </c>
      <c r="C21" s="53">
        <v>1066175.0014413195</v>
      </c>
      <c r="D21" s="53">
        <v>1497780.0003509521</v>
      </c>
    </row>
    <row r="22" spans="1:4" ht="15.75" customHeight="1">
      <c r="A22" s="63">
        <v>10703</v>
      </c>
      <c r="B22" s="61" t="s">
        <v>39</v>
      </c>
      <c r="C22" s="53">
        <v>315024.60073935892</v>
      </c>
      <c r="D22" s="53">
        <v>426205</v>
      </c>
    </row>
    <row r="23" spans="1:4" ht="15.75" customHeight="1">
      <c r="A23" s="63">
        <v>10704</v>
      </c>
      <c r="B23" s="61" t="s">
        <v>40</v>
      </c>
      <c r="C23" s="53">
        <v>480408.32970217895</v>
      </c>
      <c r="D23" s="53">
        <v>665573.00020599365</v>
      </c>
    </row>
    <row r="24" spans="1:4" ht="15.75" customHeight="1">
      <c r="A24" s="63">
        <v>10801</v>
      </c>
      <c r="B24" s="61" t="s">
        <v>41</v>
      </c>
      <c r="C24" s="53">
        <v>952519.00070814323</v>
      </c>
      <c r="D24" s="53">
        <v>1334275.0001907349</v>
      </c>
    </row>
    <row r="25" spans="1:4" ht="15.75" customHeight="1">
      <c r="A25" s="63">
        <v>10901</v>
      </c>
      <c r="B25" s="61" t="s">
        <v>42</v>
      </c>
      <c r="C25" s="53">
        <v>226172.50034896377</v>
      </c>
      <c r="D25" s="53">
        <v>350558.00006866455</v>
      </c>
    </row>
    <row r="26" spans="1:4" ht="15.75" customHeight="1">
      <c r="A26" s="63">
        <v>10902</v>
      </c>
      <c r="B26" s="61" t="s">
        <v>43</v>
      </c>
      <c r="C26" s="53">
        <v>783372.36893754546</v>
      </c>
      <c r="D26" s="53">
        <v>1010910.0001220703</v>
      </c>
    </row>
    <row r="27" spans="1:4" ht="15.75" customHeight="1">
      <c r="A27" s="63">
        <v>10903</v>
      </c>
      <c r="B27" s="61" t="s">
        <v>44</v>
      </c>
      <c r="C27" s="53">
        <v>264995.4998532217</v>
      </c>
      <c r="D27" s="53">
        <v>363616.00018310547</v>
      </c>
    </row>
    <row r="28" spans="1:4" ht="15.75" customHeight="1">
      <c r="A28" s="63">
        <v>11001</v>
      </c>
      <c r="B28" s="61" t="s">
        <v>45</v>
      </c>
      <c r="C28" s="53">
        <v>731736.99937649257</v>
      </c>
      <c r="D28" s="53">
        <v>1845489.0000991821</v>
      </c>
    </row>
    <row r="29" spans="1:4" ht="15.75" customHeight="1">
      <c r="A29" s="63">
        <v>11002</v>
      </c>
      <c r="B29" s="61" t="s">
        <v>46</v>
      </c>
      <c r="C29" s="53">
        <v>188970.00016951282</v>
      </c>
      <c r="D29" s="53">
        <v>87905</v>
      </c>
    </row>
    <row r="30" spans="1:4" ht="15.75" customHeight="1">
      <c r="A30" s="63">
        <v>11003</v>
      </c>
      <c r="B30" s="61" t="s">
        <v>47</v>
      </c>
      <c r="C30" s="53">
        <v>904826.99931750819</v>
      </c>
      <c r="D30" s="53">
        <v>3243399.9998245239</v>
      </c>
    </row>
    <row r="31" spans="1:4" ht="14.4">
      <c r="A31" s="63">
        <v>20101</v>
      </c>
      <c r="B31" s="61" t="s">
        <v>48</v>
      </c>
      <c r="C31" s="53">
        <v>440190856.31290305</v>
      </c>
      <c r="D31" s="53">
        <v>429434468.00863647</v>
      </c>
    </row>
    <row r="32" spans="1:4" ht="14.4">
      <c r="A32" s="63">
        <v>20102</v>
      </c>
      <c r="B32" s="61" t="s">
        <v>49</v>
      </c>
      <c r="C32" s="53">
        <v>1263825.0007162951</v>
      </c>
      <c r="D32" s="53">
        <v>2007219.9990844727</v>
      </c>
    </row>
    <row r="33" spans="1:4" ht="14.4">
      <c r="A33" s="63">
        <v>20103</v>
      </c>
      <c r="B33" s="61" t="s">
        <v>50</v>
      </c>
      <c r="C33" s="53">
        <v>3261487.0010111388</v>
      </c>
      <c r="D33" s="53">
        <v>7136473.9996337891</v>
      </c>
    </row>
    <row r="34" spans="1:4" ht="14.4">
      <c r="A34" s="63">
        <v>20104</v>
      </c>
      <c r="B34" s="61" t="s">
        <v>51</v>
      </c>
      <c r="C34" s="53">
        <v>3315720.0051131174</v>
      </c>
      <c r="D34" s="53">
        <v>6604605.0002593994</v>
      </c>
    </row>
    <row r="35" spans="1:4" ht="14.4">
      <c r="A35" s="63">
        <v>20105</v>
      </c>
      <c r="B35" s="61" t="s">
        <v>52</v>
      </c>
      <c r="C35" s="53">
        <v>244246675.99197575</v>
      </c>
      <c r="D35" s="53">
        <v>298946404.00306702</v>
      </c>
    </row>
    <row r="36" spans="1:4" ht="14.4">
      <c r="A36" s="63">
        <v>20201</v>
      </c>
      <c r="B36" s="61" t="s">
        <v>53</v>
      </c>
      <c r="C36" s="53">
        <v>3804495.9990419671</v>
      </c>
      <c r="D36" s="53">
        <v>3802112.0003814697</v>
      </c>
    </row>
    <row r="37" spans="1:4" ht="14.4">
      <c r="A37" s="63">
        <v>20202</v>
      </c>
      <c r="B37" s="61" t="s">
        <v>54</v>
      </c>
      <c r="C37" s="53">
        <v>606002.99906323198</v>
      </c>
      <c r="D37" s="53">
        <v>471038.99991607666</v>
      </c>
    </row>
    <row r="38" spans="1:4" ht="14.4">
      <c r="A38" s="63">
        <v>20203</v>
      </c>
      <c r="B38" s="61" t="s">
        <v>55</v>
      </c>
      <c r="C38" s="53">
        <v>361336.99995006341</v>
      </c>
      <c r="D38" s="53">
        <v>342661.99996185303</v>
      </c>
    </row>
    <row r="39" spans="1:4" ht="14.4">
      <c r="A39" s="63">
        <v>20204</v>
      </c>
      <c r="B39" s="61" t="s">
        <v>56</v>
      </c>
      <c r="C39" s="53">
        <v>507928.00041944161</v>
      </c>
      <c r="D39" s="53">
        <v>515176.00009155273</v>
      </c>
    </row>
    <row r="40" spans="1:4" ht="14.4">
      <c r="A40" s="63">
        <v>20205</v>
      </c>
      <c r="B40" s="61" t="s">
        <v>57</v>
      </c>
      <c r="C40" s="53">
        <v>396459.99974527024</v>
      </c>
      <c r="D40" s="53">
        <v>438681.00012969971</v>
      </c>
    </row>
    <row r="41" spans="1:4" ht="14.4">
      <c r="A41" s="63">
        <v>20206</v>
      </c>
      <c r="B41" s="61" t="s">
        <v>58</v>
      </c>
      <c r="C41" s="53">
        <v>189293.9998116903</v>
      </c>
      <c r="D41" s="53">
        <v>262075.99987030029</v>
      </c>
    </row>
    <row r="42" spans="1:4" ht="14.4">
      <c r="A42" s="63">
        <v>20301</v>
      </c>
      <c r="B42" s="61" t="s">
        <v>59</v>
      </c>
      <c r="C42" s="53">
        <v>587096.99933954421</v>
      </c>
      <c r="D42" s="53">
        <v>572989.99983215332</v>
      </c>
    </row>
    <row r="43" spans="1:4" ht="14.4">
      <c r="A43" s="63">
        <v>20302</v>
      </c>
      <c r="B43" s="61" t="s">
        <v>60</v>
      </c>
      <c r="C43" s="53">
        <v>338323.00042964052</v>
      </c>
      <c r="D43" s="53">
        <v>341835.00004577637</v>
      </c>
    </row>
    <row r="44" spans="1:4" ht="14.4">
      <c r="A44" s="63">
        <v>20303</v>
      </c>
      <c r="B44" s="61" t="s">
        <v>61</v>
      </c>
      <c r="C44" s="53">
        <v>133297.00011182483</v>
      </c>
      <c r="D44" s="53">
        <v>157014</v>
      </c>
    </row>
    <row r="45" spans="1:4" ht="14.4">
      <c r="A45" s="63">
        <v>20304</v>
      </c>
      <c r="B45" s="61" t="s">
        <v>62</v>
      </c>
      <c r="C45" s="53">
        <v>130819.99970084522</v>
      </c>
      <c r="D45" s="53">
        <v>156003.99995422363</v>
      </c>
    </row>
    <row r="46" spans="1:4" ht="14.4">
      <c r="A46" s="63">
        <v>20305</v>
      </c>
      <c r="B46" s="61" t="s">
        <v>63</v>
      </c>
      <c r="C46" s="53">
        <v>116293.99996375386</v>
      </c>
      <c r="D46" s="53">
        <v>440725</v>
      </c>
    </row>
    <row r="47" spans="1:4" ht="14.4">
      <c r="A47" s="63">
        <v>20306</v>
      </c>
      <c r="B47" s="61" t="s">
        <v>64</v>
      </c>
      <c r="C47" s="53">
        <v>55771.000225943513</v>
      </c>
      <c r="D47" s="53">
        <v>0</v>
      </c>
    </row>
    <row r="48" spans="1:4" ht="14.4">
      <c r="A48" s="63">
        <v>20307</v>
      </c>
      <c r="B48" s="61" t="s">
        <v>65</v>
      </c>
      <c r="C48" s="53">
        <v>10263.9999772273</v>
      </c>
      <c r="D48" s="53">
        <v>33409</v>
      </c>
    </row>
    <row r="49" spans="1:4" ht="14.4">
      <c r="A49" s="63">
        <v>20308</v>
      </c>
      <c r="B49" s="61" t="s">
        <v>66</v>
      </c>
      <c r="C49" s="53">
        <v>94520.000093742274</v>
      </c>
      <c r="D49" s="53">
        <v>106318.00005340576</v>
      </c>
    </row>
    <row r="50" spans="1:4" ht="14.4">
      <c r="A50" s="63">
        <v>20401</v>
      </c>
      <c r="B50" s="61" t="s">
        <v>67</v>
      </c>
      <c r="C50" s="53">
        <v>438529.00023279153</v>
      </c>
      <c r="D50" s="53">
        <v>496802.00009155273</v>
      </c>
    </row>
    <row r="51" spans="1:4" ht="14.4">
      <c r="A51" s="63">
        <v>20402</v>
      </c>
      <c r="B51" s="61" t="s">
        <v>68</v>
      </c>
      <c r="C51" s="53">
        <v>439120.00033887848</v>
      </c>
      <c r="D51" s="53">
        <v>387883.00008392334</v>
      </c>
    </row>
    <row r="52" spans="1:4" ht="14.4">
      <c r="A52" s="63">
        <v>20403</v>
      </c>
      <c r="B52" s="61" t="s">
        <v>69</v>
      </c>
      <c r="C52" s="53">
        <v>628261.00088638719</v>
      </c>
      <c r="D52" s="53">
        <v>673681.00023651123</v>
      </c>
    </row>
    <row r="53" spans="1:4" ht="14.4">
      <c r="A53" s="63">
        <v>20404</v>
      </c>
      <c r="B53" s="61" t="s">
        <v>70</v>
      </c>
      <c r="C53" s="53">
        <v>149952.00008942094</v>
      </c>
      <c r="D53" s="53">
        <v>138693.00000762939</v>
      </c>
    </row>
    <row r="54" spans="1:4" ht="14.4">
      <c r="A54" s="63">
        <v>20405</v>
      </c>
      <c r="B54" s="61" t="s">
        <v>71</v>
      </c>
      <c r="C54" s="53">
        <v>295706.00018877909</v>
      </c>
      <c r="D54" s="53">
        <v>411464.99990081787</v>
      </c>
    </row>
    <row r="55" spans="1:4" ht="14.4">
      <c r="A55" s="63">
        <v>20501</v>
      </c>
      <c r="B55" s="61" t="s">
        <v>72</v>
      </c>
      <c r="C55" s="53">
        <v>434830.00013817567</v>
      </c>
      <c r="D55" s="53">
        <v>541776.99999237061</v>
      </c>
    </row>
    <row r="56" spans="1:4" ht="14.4">
      <c r="A56" s="63">
        <v>20502</v>
      </c>
      <c r="B56" s="61" t="s">
        <v>73</v>
      </c>
      <c r="C56" s="53">
        <v>280883.9999154266</v>
      </c>
      <c r="D56" s="53">
        <v>267015</v>
      </c>
    </row>
    <row r="57" spans="1:4" ht="14.4">
      <c r="A57" s="63">
        <v>20503</v>
      </c>
      <c r="B57" s="61" t="s">
        <v>74</v>
      </c>
      <c r="C57" s="53">
        <v>235743.00011892244</v>
      </c>
      <c r="D57" s="53">
        <v>657724.99632263184</v>
      </c>
    </row>
    <row r="58" spans="1:4" ht="14.4">
      <c r="A58" s="63">
        <v>20601</v>
      </c>
      <c r="B58" s="61" t="s">
        <v>75</v>
      </c>
      <c r="C58" s="53">
        <v>1826242.0011776965</v>
      </c>
      <c r="D58" s="53">
        <v>2985638.9999694824</v>
      </c>
    </row>
    <row r="59" spans="1:4" ht="14.4">
      <c r="A59" s="63">
        <v>20602</v>
      </c>
      <c r="B59" s="61" t="s">
        <v>76</v>
      </c>
      <c r="C59" s="53">
        <v>2661360.9978773417</v>
      </c>
      <c r="D59" s="53">
        <v>5694304.9990997314</v>
      </c>
    </row>
    <row r="60" spans="1:4" ht="14.4">
      <c r="A60" s="63">
        <v>20603</v>
      </c>
      <c r="B60" s="61" t="s">
        <v>77</v>
      </c>
      <c r="C60" s="53">
        <v>692744.00159579422</v>
      </c>
      <c r="D60" s="53">
        <v>1116845.0003814697</v>
      </c>
    </row>
    <row r="61" spans="1:4" ht="14.4">
      <c r="A61" s="63">
        <v>20604</v>
      </c>
      <c r="B61" s="61" t="s">
        <v>78</v>
      </c>
      <c r="C61" s="53">
        <v>168873.99971847702</v>
      </c>
      <c r="D61" s="53">
        <v>226132.99994659424</v>
      </c>
    </row>
    <row r="62" spans="1:4" ht="14.4">
      <c r="A62" s="63">
        <v>20605</v>
      </c>
      <c r="B62" s="61" t="s">
        <v>79</v>
      </c>
      <c r="C62" s="53">
        <v>104777.99965818971</v>
      </c>
      <c r="D62" s="53">
        <v>90994.000007629395</v>
      </c>
    </row>
    <row r="63" spans="1:4" ht="14.4">
      <c r="A63" s="63">
        <v>20606</v>
      </c>
      <c r="B63" s="61" t="s">
        <v>80</v>
      </c>
      <c r="C63" s="53">
        <v>1456717.0011001406</v>
      </c>
      <c r="D63" s="53">
        <v>2618249.0001525879</v>
      </c>
    </row>
    <row r="64" spans="1:4" ht="14.4">
      <c r="A64" s="63">
        <v>20607</v>
      </c>
      <c r="B64" s="61" t="s">
        <v>81</v>
      </c>
      <c r="C64" s="53">
        <v>1516831.001722943</v>
      </c>
      <c r="D64" s="53">
        <v>9565757.9987792969</v>
      </c>
    </row>
    <row r="65" spans="1:4" ht="14.4">
      <c r="A65" s="63">
        <v>20608</v>
      </c>
      <c r="B65" s="61" t="s">
        <v>82</v>
      </c>
      <c r="C65" s="53">
        <v>1220453.9986649882</v>
      </c>
      <c r="D65" s="53">
        <v>5031421.998626709</v>
      </c>
    </row>
    <row r="66" spans="1:4" ht="14.4">
      <c r="A66" s="63">
        <v>20701</v>
      </c>
      <c r="B66" s="61" t="s">
        <v>83</v>
      </c>
      <c r="C66" s="53">
        <v>1071545.0009628003</v>
      </c>
      <c r="D66" s="53">
        <v>2757229.0000686646</v>
      </c>
    </row>
    <row r="67" spans="1:4" ht="14.4">
      <c r="A67" s="63">
        <v>20702</v>
      </c>
      <c r="B67" s="61" t="s">
        <v>84</v>
      </c>
      <c r="C67" s="53">
        <v>422709.99938289635</v>
      </c>
      <c r="D67" s="53">
        <v>615826.00019836426</v>
      </c>
    </row>
    <row r="68" spans="1:4" ht="14.4">
      <c r="A68" s="63">
        <v>20801</v>
      </c>
      <c r="B68" s="61" t="s">
        <v>85</v>
      </c>
      <c r="C68" s="53">
        <v>15409294.005469613</v>
      </c>
      <c r="D68" s="53">
        <v>22984970.002464294</v>
      </c>
    </row>
    <row r="69" spans="1:4" ht="14.4">
      <c r="A69" s="63">
        <v>20802</v>
      </c>
      <c r="B69" s="61" t="s">
        <v>86</v>
      </c>
      <c r="C69" s="53">
        <v>578625.00139135402</v>
      </c>
      <c r="D69" s="53">
        <v>661035.99988555908</v>
      </c>
    </row>
    <row r="70" spans="1:4" ht="14.4">
      <c r="A70" s="63">
        <v>20803</v>
      </c>
      <c r="B70" s="61" t="s">
        <v>87</v>
      </c>
      <c r="C70" s="53">
        <v>646290.00039241184</v>
      </c>
      <c r="D70" s="53">
        <v>833757.99977874756</v>
      </c>
    </row>
    <row r="71" spans="1:4" ht="14.4">
      <c r="A71" s="63">
        <v>20804</v>
      </c>
      <c r="B71" s="61" t="s">
        <v>88</v>
      </c>
      <c r="C71" s="53">
        <v>834517.00087144785</v>
      </c>
      <c r="D71" s="53">
        <v>1075695.0004119873</v>
      </c>
    </row>
    <row r="72" spans="1:4" ht="14.4">
      <c r="A72" s="63">
        <v>20805</v>
      </c>
      <c r="B72" s="61" t="s">
        <v>89</v>
      </c>
      <c r="C72" s="53">
        <v>167805.99942589179</v>
      </c>
      <c r="D72" s="53">
        <v>0</v>
      </c>
    </row>
    <row r="73" spans="1:4" ht="14.4">
      <c r="A73" s="63">
        <v>20806</v>
      </c>
      <c r="B73" s="61" t="s">
        <v>90</v>
      </c>
      <c r="C73" s="53">
        <v>401394.00030966848</v>
      </c>
      <c r="D73" s="53">
        <v>0</v>
      </c>
    </row>
    <row r="74" spans="1:4" ht="14.4">
      <c r="A74" s="63">
        <v>20807</v>
      </c>
      <c r="B74" s="61" t="s">
        <v>91</v>
      </c>
      <c r="C74" s="53">
        <v>252396.00021193922</v>
      </c>
      <c r="D74" s="53">
        <v>280576.00000762939</v>
      </c>
    </row>
    <row r="75" spans="1:4" ht="14.4">
      <c r="A75" s="63">
        <v>20901</v>
      </c>
      <c r="B75" s="61" t="s">
        <v>92</v>
      </c>
      <c r="C75" s="53">
        <v>648981.00037599262</v>
      </c>
      <c r="D75" s="53">
        <v>903516.9998550415</v>
      </c>
    </row>
    <row r="76" spans="1:4" ht="14.4">
      <c r="A76" s="63">
        <v>20902</v>
      </c>
      <c r="B76" s="61" t="s">
        <v>93</v>
      </c>
      <c r="C76" s="53">
        <v>804514.00001760852</v>
      </c>
      <c r="D76" s="53">
        <v>1008846.000038147</v>
      </c>
    </row>
    <row r="77" spans="1:4" ht="14.4">
      <c r="A77" s="63">
        <v>20903</v>
      </c>
      <c r="B77" s="61" t="s">
        <v>94</v>
      </c>
      <c r="C77" s="53">
        <v>241683.00101705827</v>
      </c>
      <c r="D77" s="53">
        <v>234704.99992370605</v>
      </c>
    </row>
    <row r="78" spans="1:4" ht="14.4">
      <c r="A78" s="63">
        <v>20904</v>
      </c>
      <c r="B78" s="61" t="s">
        <v>95</v>
      </c>
      <c r="C78" s="53">
        <v>58290.999958529137</v>
      </c>
      <c r="D78" s="53">
        <v>76229.000038146973</v>
      </c>
    </row>
    <row r="79" spans="1:4" ht="14.4">
      <c r="A79" s="63">
        <v>20905</v>
      </c>
      <c r="B79" s="61" t="s">
        <v>96</v>
      </c>
      <c r="C79" s="53">
        <v>579867.99959340133</v>
      </c>
      <c r="D79" s="53">
        <v>839524.00022888184</v>
      </c>
    </row>
    <row r="80" spans="1:4" ht="14.4">
      <c r="A80" s="63">
        <v>21001</v>
      </c>
      <c r="B80" s="61" t="s">
        <v>97</v>
      </c>
      <c r="C80" s="53">
        <v>458955.00023799017</v>
      </c>
      <c r="D80" s="53">
        <v>685609.99987792969</v>
      </c>
    </row>
    <row r="81" spans="1:4" ht="14.4">
      <c r="A81" s="63">
        <v>21002</v>
      </c>
      <c r="B81" s="61" t="s">
        <v>98</v>
      </c>
      <c r="C81" s="53">
        <v>702049.00114243664</v>
      </c>
      <c r="D81" s="53">
        <v>1277700.5000534058</v>
      </c>
    </row>
    <row r="82" spans="1:4" ht="14.4">
      <c r="A82" s="63">
        <v>21003</v>
      </c>
      <c r="B82" s="61" t="s">
        <v>99</v>
      </c>
      <c r="C82" s="53">
        <v>1815846.9982537581</v>
      </c>
      <c r="D82" s="53">
        <v>2356197</v>
      </c>
    </row>
    <row r="83" spans="1:4" ht="14.4">
      <c r="A83" s="63">
        <v>21004</v>
      </c>
      <c r="B83" s="61" t="s">
        <v>100</v>
      </c>
      <c r="C83" s="53">
        <v>309460.00009526126</v>
      </c>
      <c r="D83" s="53">
        <v>294485.00011444092</v>
      </c>
    </row>
    <row r="84" spans="1:4" ht="14.4">
      <c r="A84" s="63">
        <v>21005</v>
      </c>
      <c r="B84" s="61" t="s">
        <v>101</v>
      </c>
      <c r="C84" s="53">
        <v>147730.00028283335</v>
      </c>
      <c r="D84" s="53">
        <v>165399.00004577637</v>
      </c>
    </row>
    <row r="85" spans="1:4" ht="14.4">
      <c r="A85" s="63">
        <v>21006</v>
      </c>
      <c r="B85" s="61" t="s">
        <v>102</v>
      </c>
      <c r="C85" s="53">
        <v>215762.9998341864</v>
      </c>
      <c r="D85" s="53">
        <v>426309.00010681152</v>
      </c>
    </row>
    <row r="86" spans="1:4" ht="14.4">
      <c r="A86" s="63">
        <v>21101</v>
      </c>
      <c r="B86" s="61" t="s">
        <v>103</v>
      </c>
      <c r="C86" s="53">
        <v>2795163.9999010786</v>
      </c>
      <c r="D86" s="53">
        <v>4344043.0002593994</v>
      </c>
    </row>
    <row r="87" spans="1:4" ht="14.4">
      <c r="A87" s="63">
        <v>21102</v>
      </c>
      <c r="B87" s="61" t="s">
        <v>104</v>
      </c>
      <c r="C87" s="53">
        <v>1962885.0002256362</v>
      </c>
      <c r="D87" s="53">
        <v>3436808.0001907349</v>
      </c>
    </row>
    <row r="88" spans="1:4" ht="14.4">
      <c r="A88" s="63">
        <v>21103</v>
      </c>
      <c r="B88" s="61" t="s">
        <v>105</v>
      </c>
      <c r="C88" s="53">
        <v>769276.99945401866</v>
      </c>
      <c r="D88" s="53">
        <v>1087012.0001068115</v>
      </c>
    </row>
    <row r="89" spans="1:4" ht="14.4">
      <c r="A89" s="63">
        <v>21104</v>
      </c>
      <c r="B89" s="61" t="s">
        <v>106</v>
      </c>
      <c r="C89" s="53">
        <v>2627562.0000553485</v>
      </c>
      <c r="D89" s="53">
        <v>4941014.9998703003</v>
      </c>
    </row>
    <row r="90" spans="1:4" ht="14.4">
      <c r="A90" s="63">
        <v>21105</v>
      </c>
      <c r="B90" s="61" t="s">
        <v>107</v>
      </c>
      <c r="C90" s="53">
        <v>3913222.0006976882</v>
      </c>
      <c r="D90" s="53">
        <v>9305408.0009994507</v>
      </c>
    </row>
    <row r="91" spans="1:4" ht="14.4">
      <c r="A91" s="63">
        <v>21201</v>
      </c>
      <c r="B91" s="61" t="s">
        <v>108</v>
      </c>
      <c r="C91" s="53">
        <v>1806873.0000927849</v>
      </c>
      <c r="D91" s="53">
        <v>11708230.00012207</v>
      </c>
    </row>
    <row r="92" spans="1:4" ht="14.4">
      <c r="A92" s="63">
        <v>21202</v>
      </c>
      <c r="B92" s="61" t="s">
        <v>109</v>
      </c>
      <c r="C92" s="53">
        <v>1685275.9989302466</v>
      </c>
      <c r="D92" s="53">
        <v>2771224.0005111694</v>
      </c>
    </row>
    <row r="93" spans="1:4" ht="14.4">
      <c r="A93" s="63">
        <v>21203</v>
      </c>
      <c r="B93" s="61" t="s">
        <v>110</v>
      </c>
      <c r="C93" s="53">
        <v>1501055.0010192171</v>
      </c>
      <c r="D93" s="53">
        <v>1643978.9997711182</v>
      </c>
    </row>
    <row r="94" spans="1:4" ht="14.4">
      <c r="A94" s="63">
        <v>21204</v>
      </c>
      <c r="B94" s="61" t="s">
        <v>111</v>
      </c>
      <c r="C94" s="53">
        <v>370191.99920715764</v>
      </c>
      <c r="D94" s="53">
        <v>0</v>
      </c>
    </row>
    <row r="95" spans="1:4" ht="14.4">
      <c r="A95" s="63">
        <v>21301</v>
      </c>
      <c r="B95" s="61" t="s">
        <v>112</v>
      </c>
      <c r="C95" s="53">
        <v>1336496.0024705194</v>
      </c>
      <c r="D95" s="53">
        <v>1552734.9997406006</v>
      </c>
    </row>
    <row r="96" spans="1:4" ht="14.4">
      <c r="A96" s="63">
        <v>21302</v>
      </c>
      <c r="B96" s="61" t="s">
        <v>113</v>
      </c>
      <c r="C96" s="53">
        <v>339288.00040807296</v>
      </c>
      <c r="D96" s="53">
        <v>340995.99991607666</v>
      </c>
    </row>
    <row r="97" spans="1:4" ht="14.4">
      <c r="A97" s="63">
        <v>21303</v>
      </c>
      <c r="B97" s="61" t="s">
        <v>114</v>
      </c>
      <c r="C97" s="53">
        <v>344290.99988170806</v>
      </c>
      <c r="D97" s="53">
        <v>412383.99991607666</v>
      </c>
    </row>
    <row r="98" spans="1:4" ht="14.4">
      <c r="A98" s="63">
        <v>21304</v>
      </c>
      <c r="B98" s="61" t="s">
        <v>115</v>
      </c>
      <c r="C98" s="53">
        <v>638846.9997758558</v>
      </c>
      <c r="D98" s="53">
        <v>789331.00008392334</v>
      </c>
    </row>
    <row r="99" spans="1:4" ht="14.4">
      <c r="A99" s="63">
        <v>21305</v>
      </c>
      <c r="B99" s="61" t="s">
        <v>116</v>
      </c>
      <c r="C99" s="53">
        <v>2477796.0002241656</v>
      </c>
      <c r="D99" s="53">
        <v>3253823.9994125366</v>
      </c>
    </row>
    <row r="100" spans="1:4" ht="14.4">
      <c r="A100" s="63">
        <v>21306</v>
      </c>
      <c r="B100" s="61" t="s">
        <v>117</v>
      </c>
      <c r="C100" s="53">
        <v>513844.99931334145</v>
      </c>
      <c r="D100" s="53">
        <v>564564.99980926514</v>
      </c>
    </row>
    <row r="101" spans="1:4" ht="14.4">
      <c r="A101" s="63">
        <v>21307</v>
      </c>
      <c r="B101" s="61" t="s">
        <v>118</v>
      </c>
      <c r="C101" s="53">
        <v>134630.00010117423</v>
      </c>
      <c r="D101" s="53">
        <v>173404.99999237061</v>
      </c>
    </row>
    <row r="102" spans="1:4" ht="14.4">
      <c r="A102" s="63">
        <v>21401</v>
      </c>
      <c r="B102" s="61" t="s">
        <v>119</v>
      </c>
      <c r="C102" s="53">
        <v>2586713.0004410893</v>
      </c>
      <c r="D102" s="53">
        <v>5043189.0000610352</v>
      </c>
    </row>
    <row r="103" spans="1:4" ht="14.4">
      <c r="A103" s="63">
        <v>21402</v>
      </c>
      <c r="B103" s="61" t="s">
        <v>120</v>
      </c>
      <c r="C103" s="53">
        <v>3164111.000326247</v>
      </c>
      <c r="D103" s="53">
        <v>3620872.0004730225</v>
      </c>
    </row>
    <row r="104" spans="1:4" ht="14.4">
      <c r="A104" s="63">
        <v>21501</v>
      </c>
      <c r="B104" s="61" t="s">
        <v>121</v>
      </c>
      <c r="C104" s="53">
        <v>1028598.9999556551</v>
      </c>
      <c r="D104" s="53">
        <v>1987538.9997558594</v>
      </c>
    </row>
    <row r="105" spans="1:4" ht="14.4">
      <c r="A105" s="63">
        <v>21502</v>
      </c>
      <c r="B105" s="61" t="s">
        <v>122</v>
      </c>
      <c r="C105" s="53">
        <v>1035885.0001133084</v>
      </c>
      <c r="D105" s="53">
        <v>1913410.0006408691</v>
      </c>
    </row>
    <row r="106" spans="1:4" ht="14.4">
      <c r="A106" s="63">
        <v>21601</v>
      </c>
      <c r="B106" s="61" t="s">
        <v>123</v>
      </c>
      <c r="C106" s="53">
        <v>301051.00005773269</v>
      </c>
      <c r="D106" s="53">
        <v>586770.99982452393</v>
      </c>
    </row>
    <row r="107" spans="1:4" ht="14.4">
      <c r="A107" s="63">
        <v>21602</v>
      </c>
      <c r="B107" s="61" t="s">
        <v>124</v>
      </c>
      <c r="C107" s="53">
        <v>48999.999834581278</v>
      </c>
      <c r="D107" s="53">
        <v>149167.00003051758</v>
      </c>
    </row>
    <row r="108" spans="1:4" ht="14.4">
      <c r="A108" s="63">
        <v>21701</v>
      </c>
      <c r="B108" s="61" t="s">
        <v>125</v>
      </c>
      <c r="C108" s="53">
        <v>2115474.9984045075</v>
      </c>
      <c r="D108" s="53">
        <v>2051569.0001373291</v>
      </c>
    </row>
    <row r="109" spans="1:4" ht="14.4">
      <c r="A109" s="63">
        <v>21702</v>
      </c>
      <c r="B109" s="61" t="s">
        <v>126</v>
      </c>
      <c r="C109" s="53">
        <v>474047.00117108319</v>
      </c>
      <c r="D109" s="53">
        <v>376368.99996948242</v>
      </c>
    </row>
    <row r="110" spans="1:4" ht="14.4">
      <c r="A110" s="63">
        <v>21703</v>
      </c>
      <c r="B110" s="61" t="s">
        <v>127</v>
      </c>
      <c r="C110" s="53">
        <v>80069.000014765188</v>
      </c>
      <c r="D110" s="53">
        <v>111727.00010681152</v>
      </c>
    </row>
    <row r="111" spans="1:4" ht="14.4">
      <c r="A111" s="63">
        <v>21801</v>
      </c>
      <c r="B111" s="61" t="s">
        <v>128</v>
      </c>
      <c r="C111" s="53">
        <v>33261.000085156411</v>
      </c>
      <c r="D111" s="53">
        <v>249310</v>
      </c>
    </row>
    <row r="112" spans="1:4" ht="14.4">
      <c r="A112" s="63">
        <v>21802</v>
      </c>
      <c r="B112" s="61" t="s">
        <v>129</v>
      </c>
      <c r="C112" s="53">
        <v>14979.000057975762</v>
      </c>
      <c r="D112" s="53">
        <v>188381.99991607666</v>
      </c>
    </row>
    <row r="113" spans="1:4" ht="14.4">
      <c r="A113" s="63">
        <v>21803</v>
      </c>
      <c r="B113" s="61" t="s">
        <v>130</v>
      </c>
      <c r="C113" s="53">
        <v>38561.000159303658</v>
      </c>
      <c r="D113" s="53">
        <v>53932.000030517578</v>
      </c>
    </row>
    <row r="114" spans="1:4" ht="14.4">
      <c r="A114" s="63">
        <v>21901</v>
      </c>
      <c r="B114" s="61" t="s">
        <v>131</v>
      </c>
      <c r="C114" s="53">
        <v>141640.0003090566</v>
      </c>
      <c r="D114" s="53">
        <v>221964.00012207031</v>
      </c>
    </row>
    <row r="115" spans="1:4" ht="14.4">
      <c r="A115" s="63">
        <v>21902</v>
      </c>
      <c r="B115" s="61" t="s">
        <v>132</v>
      </c>
      <c r="C115" s="53">
        <v>31080.999877316877</v>
      </c>
      <c r="D115" s="53">
        <v>51887</v>
      </c>
    </row>
    <row r="116" spans="1:4" ht="14.4">
      <c r="A116" s="63">
        <v>22001</v>
      </c>
      <c r="B116" s="61" t="s">
        <v>133</v>
      </c>
      <c r="C116" s="53">
        <v>4812211.9983158763</v>
      </c>
      <c r="D116" s="53">
        <v>10714523.99912262</v>
      </c>
    </row>
    <row r="117" spans="1:4" ht="14.4">
      <c r="A117" s="63">
        <v>22002</v>
      </c>
      <c r="B117" s="61" t="s">
        <v>134</v>
      </c>
      <c r="C117" s="53">
        <v>706957.99983537383</v>
      </c>
      <c r="D117" s="53">
        <v>1997274.0004730225</v>
      </c>
    </row>
    <row r="118" spans="1:4" ht="14.4">
      <c r="A118" s="63">
        <v>30101</v>
      </c>
      <c r="B118" s="61" t="s">
        <v>135</v>
      </c>
      <c r="C118" s="53">
        <v>278891186.00436312</v>
      </c>
      <c r="D118" s="53">
        <v>636147068.53361511</v>
      </c>
    </row>
    <row r="119" spans="1:4" ht="14.4">
      <c r="A119" s="63">
        <v>30201</v>
      </c>
      <c r="B119" s="61" t="s">
        <v>136</v>
      </c>
      <c r="C119" s="53">
        <v>2559556.0005089147</v>
      </c>
      <c r="D119" s="53">
        <v>419802.00006103516</v>
      </c>
    </row>
    <row r="120" spans="1:4" ht="14.4">
      <c r="A120" s="63">
        <v>30202</v>
      </c>
      <c r="B120" s="61" t="s">
        <v>137</v>
      </c>
      <c r="C120" s="53">
        <v>254207.00010619871</v>
      </c>
      <c r="D120" s="53">
        <v>1880595</v>
      </c>
    </row>
    <row r="121" spans="1:4" ht="14.4">
      <c r="A121" s="63">
        <v>30203</v>
      </c>
      <c r="B121" s="61" t="s">
        <v>138</v>
      </c>
      <c r="C121" s="53">
        <v>614123.00001027528</v>
      </c>
      <c r="D121" s="53">
        <v>45036</v>
      </c>
    </row>
    <row r="122" spans="1:4" ht="14.4">
      <c r="A122" s="63">
        <v>30301</v>
      </c>
      <c r="B122" s="61" t="s">
        <v>139</v>
      </c>
      <c r="C122" s="53">
        <v>598887.0002952544</v>
      </c>
      <c r="D122" s="53">
        <v>135504.99996948242</v>
      </c>
    </row>
    <row r="123" spans="1:4" ht="14.4">
      <c r="A123" s="63">
        <v>30302</v>
      </c>
      <c r="B123" s="61" t="s">
        <v>140</v>
      </c>
      <c r="C123" s="53">
        <v>304985.0004417235</v>
      </c>
      <c r="D123" s="53">
        <v>35283</v>
      </c>
    </row>
    <row r="124" spans="1:4" ht="14.4">
      <c r="A124" s="63">
        <v>30303</v>
      </c>
      <c r="B124" s="61" t="s">
        <v>141</v>
      </c>
      <c r="C124" s="53">
        <v>396558.99975835811</v>
      </c>
      <c r="D124" s="53">
        <v>247495.00001525879</v>
      </c>
    </row>
    <row r="125" spans="1:4" ht="14.4">
      <c r="A125" s="63">
        <v>30401</v>
      </c>
      <c r="B125" s="61" t="s">
        <v>142</v>
      </c>
      <c r="C125" s="53">
        <v>1520142.0003358908</v>
      </c>
      <c r="D125" s="53">
        <v>15498</v>
      </c>
    </row>
    <row r="126" spans="1:4" ht="14.4">
      <c r="A126" s="63">
        <v>30402</v>
      </c>
      <c r="B126" s="61" t="s">
        <v>143</v>
      </c>
      <c r="C126" s="53">
        <v>271436.00045514293</v>
      </c>
      <c r="D126" s="53">
        <v>21756</v>
      </c>
    </row>
    <row r="127" spans="1:4" ht="14.4">
      <c r="A127" s="63">
        <v>30403</v>
      </c>
      <c r="B127" s="61" t="s">
        <v>144</v>
      </c>
      <c r="C127" s="53">
        <v>2516753.4982146639</v>
      </c>
      <c r="D127" s="53">
        <v>72633</v>
      </c>
    </row>
    <row r="128" spans="1:4" ht="14.4">
      <c r="A128" s="63">
        <v>30404</v>
      </c>
      <c r="B128" s="61" t="s">
        <v>145</v>
      </c>
      <c r="C128" s="53">
        <v>224107.00050216634</v>
      </c>
      <c r="D128" s="53">
        <v>3480</v>
      </c>
    </row>
    <row r="129" spans="1:4" ht="14.4">
      <c r="A129" s="63">
        <v>30501</v>
      </c>
      <c r="B129" s="61" t="s">
        <v>146</v>
      </c>
      <c r="C129" s="53">
        <v>1907851.4979518848</v>
      </c>
      <c r="D129" s="53">
        <v>12420</v>
      </c>
    </row>
    <row r="130" spans="1:4" ht="14.4">
      <c r="A130" s="63">
        <v>30502</v>
      </c>
      <c r="B130" s="61" t="s">
        <v>147</v>
      </c>
      <c r="C130" s="53">
        <v>302223.00025526714</v>
      </c>
      <c r="D130" s="53">
        <v>9152</v>
      </c>
    </row>
    <row r="131" spans="1:4" ht="14.4">
      <c r="A131" s="63">
        <v>30601</v>
      </c>
      <c r="B131" s="61" t="s">
        <v>148</v>
      </c>
      <c r="C131" s="53">
        <v>206101.00002764445</v>
      </c>
      <c r="D131" s="53">
        <v>24070</v>
      </c>
    </row>
    <row r="132" spans="1:4" ht="14.4">
      <c r="A132" s="63">
        <v>30602</v>
      </c>
      <c r="B132" s="61" t="s">
        <v>149</v>
      </c>
      <c r="C132" s="53">
        <v>148420.00007542409</v>
      </c>
      <c r="D132" s="53">
        <v>8241</v>
      </c>
    </row>
    <row r="133" spans="1:4" ht="14.4">
      <c r="A133" s="63">
        <v>30701</v>
      </c>
      <c r="B133" s="61" t="s">
        <v>150</v>
      </c>
      <c r="C133" s="53">
        <v>3478721.0017391667</v>
      </c>
      <c r="D133" s="53">
        <v>77970</v>
      </c>
    </row>
    <row r="134" spans="1:4" ht="14.4">
      <c r="A134" s="63">
        <v>30702</v>
      </c>
      <c r="B134" s="61" t="s">
        <v>151</v>
      </c>
      <c r="C134" s="53">
        <v>1135769.0000126967</v>
      </c>
      <c r="D134" s="53">
        <v>34932</v>
      </c>
    </row>
    <row r="135" spans="1:4" ht="14.4">
      <c r="A135" s="63">
        <v>30703</v>
      </c>
      <c r="B135" s="61" t="s">
        <v>152</v>
      </c>
      <c r="C135" s="53">
        <v>208101.00007884763</v>
      </c>
      <c r="D135" s="53">
        <v>25200</v>
      </c>
    </row>
    <row r="136" spans="1:4" ht="14.4">
      <c r="A136" s="63">
        <v>30801</v>
      </c>
      <c r="B136" s="61" t="s">
        <v>153</v>
      </c>
      <c r="C136" s="53">
        <v>4846450.9983634409</v>
      </c>
      <c r="D136" s="53">
        <v>12581</v>
      </c>
    </row>
    <row r="137" spans="1:4" ht="14.4">
      <c r="A137" s="63">
        <v>30802</v>
      </c>
      <c r="B137" s="61" t="s">
        <v>154</v>
      </c>
      <c r="C137" s="53">
        <v>733240.50001643598</v>
      </c>
      <c r="D137" s="53">
        <v>9222</v>
      </c>
    </row>
    <row r="138" spans="1:4" ht="14.4">
      <c r="A138" s="63">
        <v>30803</v>
      </c>
      <c r="B138" s="61" t="s">
        <v>155</v>
      </c>
      <c r="C138" s="53">
        <v>1593179.9992441107</v>
      </c>
      <c r="D138" s="53">
        <v>29512</v>
      </c>
    </row>
    <row r="139" spans="1:4" ht="14.4">
      <c r="A139" s="63">
        <v>30901</v>
      </c>
      <c r="B139" s="61" t="s">
        <v>156</v>
      </c>
      <c r="C139" s="53">
        <v>48729985.997995175</v>
      </c>
      <c r="D139" s="53">
        <v>536670</v>
      </c>
    </row>
    <row r="140" spans="1:4" ht="14.4">
      <c r="A140" s="63">
        <v>30902</v>
      </c>
      <c r="B140" s="61" t="s">
        <v>157</v>
      </c>
      <c r="C140" s="53">
        <v>9111536.5041589402</v>
      </c>
      <c r="D140" s="53">
        <v>184036</v>
      </c>
    </row>
    <row r="141" spans="1:4" ht="14.4">
      <c r="A141" s="63">
        <v>30903</v>
      </c>
      <c r="B141" s="61" t="s">
        <v>158</v>
      </c>
      <c r="C141" s="53">
        <v>21068057.00849795</v>
      </c>
      <c r="D141" s="53">
        <v>422646</v>
      </c>
    </row>
    <row r="142" spans="1:4" ht="14.4">
      <c r="A142" s="63">
        <v>30904</v>
      </c>
      <c r="B142" s="61" t="s">
        <v>159</v>
      </c>
      <c r="C142" s="53">
        <v>12661829.999839395</v>
      </c>
      <c r="D142" s="53">
        <v>97148</v>
      </c>
    </row>
    <row r="143" spans="1:4" ht="14.4">
      <c r="A143" s="63">
        <v>30905</v>
      </c>
      <c r="B143" s="61" t="s">
        <v>160</v>
      </c>
      <c r="C143" s="53">
        <v>21099607.995722361</v>
      </c>
      <c r="D143" s="53">
        <v>104652</v>
      </c>
    </row>
    <row r="144" spans="1:4" ht="14.4">
      <c r="A144" s="63">
        <v>31001</v>
      </c>
      <c r="B144" s="61" t="s">
        <v>161</v>
      </c>
      <c r="C144" s="53">
        <v>50168160.485634565</v>
      </c>
      <c r="D144" s="53">
        <v>703424</v>
      </c>
    </row>
    <row r="145" spans="1:4" ht="14.4">
      <c r="A145" s="63">
        <v>31002</v>
      </c>
      <c r="B145" s="61" t="s">
        <v>162</v>
      </c>
      <c r="C145" s="53">
        <v>2433604.998180435</v>
      </c>
      <c r="D145" s="53">
        <v>122972</v>
      </c>
    </row>
    <row r="146" spans="1:4" ht="14.4">
      <c r="A146" s="63">
        <v>31003</v>
      </c>
      <c r="B146" s="61" t="s">
        <v>163</v>
      </c>
      <c r="C146" s="53">
        <v>10361196.500695225</v>
      </c>
      <c r="D146" s="53">
        <v>749056</v>
      </c>
    </row>
    <row r="147" spans="1:4" ht="14.4">
      <c r="A147" s="63">
        <v>31101</v>
      </c>
      <c r="B147" s="61" t="s">
        <v>164</v>
      </c>
      <c r="C147" s="53">
        <v>553993.0000124732</v>
      </c>
      <c r="D147" s="53">
        <v>58714</v>
      </c>
    </row>
    <row r="148" spans="1:4" ht="14.4">
      <c r="A148" s="63">
        <v>31201</v>
      </c>
      <c r="B148" s="61" t="s">
        <v>165</v>
      </c>
      <c r="C148" s="53">
        <v>817274.00021295995</v>
      </c>
      <c r="D148" s="53">
        <v>174064</v>
      </c>
    </row>
    <row r="149" spans="1:4" ht="14.4">
      <c r="A149" s="63">
        <v>31202</v>
      </c>
      <c r="B149" s="61" t="s">
        <v>166</v>
      </c>
      <c r="C149" s="53">
        <v>709660.00027702469</v>
      </c>
      <c r="D149" s="53">
        <v>97569</v>
      </c>
    </row>
    <row r="150" spans="1:4" ht="14.4">
      <c r="A150" s="63">
        <v>31203</v>
      </c>
      <c r="B150" s="61" t="s">
        <v>167</v>
      </c>
      <c r="C150" s="53">
        <v>917127.99910863675</v>
      </c>
      <c r="D150" s="53">
        <v>54417</v>
      </c>
    </row>
    <row r="151" spans="1:4" ht="14.4">
      <c r="A151" s="63">
        <v>31204</v>
      </c>
      <c r="B151" s="61" t="s">
        <v>168</v>
      </c>
      <c r="C151" s="53">
        <v>3801190.9987878799</v>
      </c>
      <c r="D151" s="53">
        <v>206976</v>
      </c>
    </row>
    <row r="152" spans="1:4" ht="14.4">
      <c r="A152" s="63">
        <v>31205</v>
      </c>
      <c r="B152" s="61" t="s">
        <v>169</v>
      </c>
      <c r="C152" s="53">
        <v>8649165.0039961934</v>
      </c>
      <c r="D152" s="53">
        <v>256672</v>
      </c>
    </row>
    <row r="153" spans="1:4" ht="14.4">
      <c r="A153" s="63">
        <v>31206</v>
      </c>
      <c r="B153" s="61" t="s">
        <v>170</v>
      </c>
      <c r="C153" s="53">
        <v>6999093.0015368816</v>
      </c>
      <c r="D153" s="53">
        <v>198800</v>
      </c>
    </row>
    <row r="154" spans="1:4" ht="14.4">
      <c r="A154" s="63">
        <v>31301</v>
      </c>
      <c r="B154" s="61" t="s">
        <v>171</v>
      </c>
      <c r="C154" s="53">
        <v>2523402.5001531187</v>
      </c>
      <c r="D154" s="53">
        <v>246976</v>
      </c>
    </row>
    <row r="155" spans="1:4" ht="14.4">
      <c r="A155" s="63">
        <v>31302</v>
      </c>
      <c r="B155" s="61" t="s">
        <v>172</v>
      </c>
      <c r="C155" s="53">
        <v>109365.00006354973</v>
      </c>
      <c r="D155" s="53">
        <v>36334</v>
      </c>
    </row>
    <row r="156" spans="1:4" ht="14.4">
      <c r="A156" s="63">
        <v>31303</v>
      </c>
      <c r="B156" s="61" t="s">
        <v>173</v>
      </c>
      <c r="C156" s="53">
        <v>57372.500066552311</v>
      </c>
      <c r="D156" s="53">
        <v>13446</v>
      </c>
    </row>
    <row r="157" spans="1:4" ht="14.4">
      <c r="A157" s="63">
        <v>31304</v>
      </c>
      <c r="B157" s="61" t="s">
        <v>174</v>
      </c>
      <c r="C157" s="53">
        <v>0</v>
      </c>
      <c r="D157" s="53">
        <v>0</v>
      </c>
    </row>
    <row r="158" spans="1:4" ht="14.4">
      <c r="A158" s="63">
        <v>31401</v>
      </c>
      <c r="B158" s="61" t="s">
        <v>175</v>
      </c>
      <c r="C158" s="53">
        <v>7175862.502895114</v>
      </c>
      <c r="D158" s="53">
        <v>24480</v>
      </c>
    </row>
    <row r="159" spans="1:4" ht="14.4">
      <c r="A159" s="63">
        <v>31402</v>
      </c>
      <c r="B159" s="61" t="s">
        <v>176</v>
      </c>
      <c r="C159" s="53">
        <v>1034120.000390321</v>
      </c>
      <c r="D159" s="53">
        <v>5888</v>
      </c>
    </row>
    <row r="160" spans="1:4" ht="14.4">
      <c r="A160" s="63">
        <v>31403</v>
      </c>
      <c r="B160" s="61" t="s">
        <v>177</v>
      </c>
      <c r="C160" s="53">
        <v>3110593.5015466763</v>
      </c>
      <c r="D160" s="53">
        <v>16005</v>
      </c>
    </row>
    <row r="161" spans="1:4" ht="14.4">
      <c r="A161" s="63">
        <v>31404</v>
      </c>
      <c r="B161" s="61" t="s">
        <v>178</v>
      </c>
      <c r="C161" s="53">
        <v>88303.999925232492</v>
      </c>
      <c r="D161" s="53">
        <v>18520</v>
      </c>
    </row>
    <row r="162" spans="1:4" ht="14.4">
      <c r="A162" s="63">
        <v>31405</v>
      </c>
      <c r="B162" s="61" t="s">
        <v>179</v>
      </c>
      <c r="C162" s="53">
        <v>0</v>
      </c>
      <c r="D162" s="53">
        <v>0</v>
      </c>
    </row>
    <row r="163" spans="1:4" ht="14.4">
      <c r="A163" s="63">
        <v>31501</v>
      </c>
      <c r="B163" s="61" t="s">
        <v>180</v>
      </c>
      <c r="C163" s="53">
        <v>170061.00025380962</v>
      </c>
      <c r="D163" s="53">
        <v>11988</v>
      </c>
    </row>
    <row r="164" spans="1:4" ht="14.4">
      <c r="A164" s="63">
        <v>31601</v>
      </c>
      <c r="B164" s="61" t="s">
        <v>181</v>
      </c>
      <c r="C164" s="53">
        <v>1775845.9994051699</v>
      </c>
      <c r="D164" s="53">
        <v>22655</v>
      </c>
    </row>
    <row r="165" spans="1:4" ht="14.4">
      <c r="A165" s="63">
        <v>31602</v>
      </c>
      <c r="B165" s="61" t="s">
        <v>182</v>
      </c>
      <c r="C165" s="53">
        <v>3585151.0028390633</v>
      </c>
      <c r="D165" s="53">
        <v>166005</v>
      </c>
    </row>
    <row r="166" spans="1:4" ht="14.4">
      <c r="A166" s="63">
        <v>40101</v>
      </c>
      <c r="B166" s="61" t="s">
        <v>183</v>
      </c>
      <c r="C166" s="53">
        <v>85408163.002524048</v>
      </c>
      <c r="D166" s="53">
        <v>95711561.999534607</v>
      </c>
    </row>
    <row r="167" spans="1:4" ht="14.4">
      <c r="A167" s="63">
        <v>40102</v>
      </c>
      <c r="B167" s="61" t="s">
        <v>184</v>
      </c>
      <c r="C167" s="53">
        <v>1257855.0008685244</v>
      </c>
      <c r="D167" s="53">
        <v>1764913.0001678467</v>
      </c>
    </row>
    <row r="168" spans="1:4" ht="14.4">
      <c r="A168" s="63">
        <v>40103</v>
      </c>
      <c r="B168" s="61" t="s">
        <v>185</v>
      </c>
      <c r="C168" s="53">
        <v>81553.999362304807</v>
      </c>
      <c r="D168" s="53">
        <v>147931.00008392334</v>
      </c>
    </row>
    <row r="169" spans="1:4" ht="14.4">
      <c r="A169" s="63">
        <v>40104</v>
      </c>
      <c r="B169" s="61" t="s">
        <v>186</v>
      </c>
      <c r="C169" s="53">
        <v>519538.99997155182</v>
      </c>
      <c r="D169" s="53">
        <v>691314.99993133545</v>
      </c>
    </row>
    <row r="170" spans="1:4" ht="14.4">
      <c r="A170" s="63">
        <v>40201</v>
      </c>
      <c r="B170" s="61" t="s">
        <v>187</v>
      </c>
      <c r="C170" s="53">
        <v>2504958.0007918514</v>
      </c>
      <c r="D170" s="53">
        <v>3477756.0000991821</v>
      </c>
    </row>
    <row r="171" spans="1:4" ht="14.4">
      <c r="A171" s="63">
        <v>40202</v>
      </c>
      <c r="B171" s="61" t="s">
        <v>188</v>
      </c>
      <c r="C171" s="53">
        <v>62790.000042031519</v>
      </c>
      <c r="D171" s="53">
        <v>230249.00002288818</v>
      </c>
    </row>
    <row r="172" spans="1:4" ht="14.4">
      <c r="A172" s="63">
        <v>40301</v>
      </c>
      <c r="B172" s="61" t="s">
        <v>189</v>
      </c>
      <c r="C172" s="53">
        <v>264297.99965532776</v>
      </c>
      <c r="D172" s="53">
        <v>362450.99998474121</v>
      </c>
    </row>
    <row r="173" spans="1:4" ht="14.4">
      <c r="A173" s="63">
        <v>40302</v>
      </c>
      <c r="B173" s="61" t="s">
        <v>190</v>
      </c>
      <c r="C173" s="53">
        <v>47246.999916911125</v>
      </c>
      <c r="D173" s="53">
        <v>91991.999923706055</v>
      </c>
    </row>
    <row r="174" spans="1:4" ht="14.4">
      <c r="A174" s="63">
        <v>40401</v>
      </c>
      <c r="B174" s="61" t="s">
        <v>191</v>
      </c>
      <c r="C174" s="53">
        <v>143756.00008965842</v>
      </c>
      <c r="D174" s="53">
        <v>181751.99990081787</v>
      </c>
    </row>
    <row r="175" spans="1:4" ht="14.4">
      <c r="A175" s="63">
        <v>40402</v>
      </c>
      <c r="B175" s="61" t="s">
        <v>192</v>
      </c>
      <c r="C175" s="53">
        <v>117855.00018742308</v>
      </c>
      <c r="D175" s="53">
        <v>122664.00001525879</v>
      </c>
    </row>
    <row r="176" spans="1:4" ht="14.4">
      <c r="A176" s="63">
        <v>40501</v>
      </c>
      <c r="B176" s="61" t="s">
        <v>193</v>
      </c>
      <c r="C176" s="53">
        <v>183777.00013738032</v>
      </c>
      <c r="D176" s="53">
        <v>173824.99980926514</v>
      </c>
    </row>
    <row r="177" spans="1:4" ht="14.4">
      <c r="A177" s="63">
        <v>40502</v>
      </c>
      <c r="B177" s="61" t="s">
        <v>194</v>
      </c>
      <c r="C177" s="53">
        <v>8289.999977324158</v>
      </c>
      <c r="D177" s="53">
        <v>105901.99996948242</v>
      </c>
    </row>
    <row r="178" spans="1:4" ht="14.4">
      <c r="A178" s="63">
        <v>40503</v>
      </c>
      <c r="B178" s="61" t="s">
        <v>195</v>
      </c>
      <c r="C178" s="53">
        <v>14427.00036949385</v>
      </c>
      <c r="D178" s="53">
        <v>4261</v>
      </c>
    </row>
    <row r="179" spans="1:4" ht="14.4">
      <c r="A179" s="63">
        <v>40504</v>
      </c>
      <c r="B179" s="61" t="s">
        <v>196</v>
      </c>
      <c r="C179" s="53">
        <v>10825.999946177006</v>
      </c>
      <c r="D179" s="53">
        <v>10000</v>
      </c>
    </row>
    <row r="180" spans="1:4" ht="14.4">
      <c r="A180" s="63">
        <v>40505</v>
      </c>
      <c r="B180" s="61" t="s">
        <v>197</v>
      </c>
      <c r="C180" s="53">
        <v>12500.00010740757</v>
      </c>
      <c r="D180" s="53">
        <v>35925</v>
      </c>
    </row>
    <row r="181" spans="1:4" ht="14.4">
      <c r="A181" s="63">
        <v>40601</v>
      </c>
      <c r="B181" s="61" t="s">
        <v>198</v>
      </c>
      <c r="C181" s="53">
        <v>13669.00004781317</v>
      </c>
      <c r="D181" s="53">
        <v>105137.00006866455</v>
      </c>
    </row>
    <row r="182" spans="1:4" ht="14.4">
      <c r="A182" s="63">
        <v>40602</v>
      </c>
      <c r="B182" s="61" t="s">
        <v>199</v>
      </c>
      <c r="C182" s="53">
        <v>195530.00022124499</v>
      </c>
      <c r="D182" s="53">
        <v>147914.00004577637</v>
      </c>
    </row>
    <row r="183" spans="1:4" ht="14.4">
      <c r="A183" s="63">
        <v>40603</v>
      </c>
      <c r="B183" s="61" t="s">
        <v>200</v>
      </c>
      <c r="C183" s="53">
        <v>2514.0000056922436</v>
      </c>
      <c r="D183" s="53">
        <v>31543</v>
      </c>
    </row>
    <row r="184" spans="1:4" ht="14.4">
      <c r="A184" s="63">
        <v>40701</v>
      </c>
      <c r="B184" s="61" t="s">
        <v>201</v>
      </c>
      <c r="C184" s="53">
        <v>5055554.9992636917</v>
      </c>
      <c r="D184" s="53">
        <v>4648743.0012207031</v>
      </c>
    </row>
    <row r="185" spans="1:4" ht="14.4">
      <c r="A185" s="63">
        <v>40702</v>
      </c>
      <c r="B185" s="61" t="s">
        <v>202</v>
      </c>
      <c r="C185" s="53">
        <v>530641.00029431004</v>
      </c>
      <c r="D185" s="53">
        <v>641742.99995422363</v>
      </c>
    </row>
    <row r="186" spans="1:4" ht="14.4">
      <c r="A186" s="63">
        <v>40801</v>
      </c>
      <c r="B186" s="61" t="s">
        <v>203</v>
      </c>
      <c r="C186" s="53">
        <v>677831.00080566574</v>
      </c>
      <c r="D186" s="53">
        <v>558529.00012207031</v>
      </c>
    </row>
    <row r="187" spans="1:4" ht="14.4">
      <c r="A187" s="63">
        <v>40802</v>
      </c>
      <c r="B187" s="61" t="s">
        <v>204</v>
      </c>
      <c r="C187" s="53">
        <v>47059.999953903258</v>
      </c>
      <c r="D187" s="53">
        <v>54897.000022888184</v>
      </c>
    </row>
    <row r="188" spans="1:4" ht="14.4">
      <c r="A188" s="63">
        <v>40901</v>
      </c>
      <c r="B188" s="61" t="s">
        <v>205</v>
      </c>
      <c r="C188" s="53">
        <v>327032.99952238798</v>
      </c>
      <c r="D188" s="53">
        <v>632862.00011444092</v>
      </c>
    </row>
    <row r="189" spans="1:4" ht="14.4">
      <c r="A189" s="63">
        <v>40902</v>
      </c>
      <c r="B189" s="61" t="s">
        <v>206</v>
      </c>
      <c r="C189" s="53">
        <v>82661.000243097544</v>
      </c>
      <c r="D189" s="53">
        <v>52390</v>
      </c>
    </row>
    <row r="190" spans="1:4" ht="14.4">
      <c r="A190" s="63">
        <v>40903</v>
      </c>
      <c r="B190" s="61" t="s">
        <v>207</v>
      </c>
      <c r="C190" s="53">
        <v>84576.000030775554</v>
      </c>
      <c r="D190" s="53">
        <v>84476.000038146973</v>
      </c>
    </row>
    <row r="191" spans="1:4" ht="14.4">
      <c r="A191" s="63">
        <v>41001</v>
      </c>
      <c r="B191" s="61" t="s">
        <v>208</v>
      </c>
      <c r="C191" s="53">
        <v>203753.00030716695</v>
      </c>
      <c r="D191" s="53">
        <v>257120.99993133545</v>
      </c>
    </row>
    <row r="192" spans="1:4" ht="14.4">
      <c r="A192" s="63">
        <v>41101</v>
      </c>
      <c r="B192" s="61" t="s">
        <v>209</v>
      </c>
      <c r="C192" s="53">
        <v>45323.000228848308</v>
      </c>
      <c r="D192" s="53">
        <v>298861.99994659424</v>
      </c>
    </row>
    <row r="193" spans="1:4" ht="14.4">
      <c r="A193" s="63">
        <v>41201</v>
      </c>
      <c r="B193" s="61" t="s">
        <v>210</v>
      </c>
      <c r="C193" s="53">
        <v>191195.99976795819</v>
      </c>
      <c r="D193" s="53">
        <v>183901.99999237061</v>
      </c>
    </row>
    <row r="194" spans="1:4" ht="14.4">
      <c r="A194" s="63">
        <v>41202</v>
      </c>
      <c r="B194" s="61" t="s">
        <v>211</v>
      </c>
      <c r="C194" s="53">
        <v>49112.000131868757</v>
      </c>
      <c r="D194" s="53">
        <v>2862</v>
      </c>
    </row>
    <row r="195" spans="1:4" ht="14.4">
      <c r="A195" s="63">
        <v>41301</v>
      </c>
      <c r="B195" s="61" t="s">
        <v>212</v>
      </c>
      <c r="C195" s="53">
        <v>15607.000008354895</v>
      </c>
      <c r="D195" s="53">
        <v>132936.99999237061</v>
      </c>
    </row>
    <row r="196" spans="1:4" ht="14.4">
      <c r="A196" s="63">
        <v>41401</v>
      </c>
      <c r="B196" s="61" t="s">
        <v>213</v>
      </c>
      <c r="C196" s="53">
        <v>542637.99907276873</v>
      </c>
      <c r="D196" s="53">
        <v>581877.00003051758</v>
      </c>
    </row>
    <row r="197" spans="1:4" ht="14.4">
      <c r="A197" s="63">
        <v>41501</v>
      </c>
      <c r="B197" s="61" t="s">
        <v>214</v>
      </c>
      <c r="C197" s="53">
        <v>8289.0000127125531</v>
      </c>
      <c r="D197" s="53">
        <v>46626.999954223633</v>
      </c>
    </row>
    <row r="198" spans="1:4" ht="14.4">
      <c r="A198" s="63">
        <v>41502</v>
      </c>
      <c r="B198" s="61" t="s">
        <v>215</v>
      </c>
      <c r="C198" s="53">
        <v>5425.9999998407438</v>
      </c>
      <c r="D198" s="53">
        <v>36699.000053405762</v>
      </c>
    </row>
    <row r="199" spans="1:4" ht="14.4">
      <c r="A199" s="63">
        <v>41503</v>
      </c>
      <c r="B199" s="61" t="s">
        <v>216</v>
      </c>
      <c r="C199" s="53">
        <v>4779.0000588875264</v>
      </c>
      <c r="D199" s="53">
        <v>231241.00029754639</v>
      </c>
    </row>
    <row r="200" spans="1:4" ht="14.4">
      <c r="A200" s="63">
        <v>41601</v>
      </c>
      <c r="B200" s="61" t="s">
        <v>217</v>
      </c>
      <c r="C200" s="53">
        <v>30102.999903494492</v>
      </c>
      <c r="D200" s="53">
        <v>172797.00015258789</v>
      </c>
    </row>
    <row r="201" spans="1:4" ht="14.4">
      <c r="A201" s="63">
        <v>50101</v>
      </c>
      <c r="B201" s="61" t="s">
        <v>218</v>
      </c>
      <c r="C201" s="53">
        <v>43377517.001405783</v>
      </c>
      <c r="D201" s="53">
        <v>56084410.002746582</v>
      </c>
    </row>
    <row r="202" spans="1:4" ht="14.4">
      <c r="A202" s="63">
        <v>50102</v>
      </c>
      <c r="B202" s="61" t="s">
        <v>219</v>
      </c>
      <c r="C202" s="53">
        <v>397256.00032300316</v>
      </c>
      <c r="D202" s="53">
        <v>481511.9998626709</v>
      </c>
    </row>
    <row r="203" spans="1:4" ht="14.4">
      <c r="A203" s="63">
        <v>50103</v>
      </c>
      <c r="B203" s="61" t="s">
        <v>220</v>
      </c>
      <c r="C203" s="53">
        <v>307584.999970451</v>
      </c>
      <c r="D203" s="53">
        <v>295977.99995422363</v>
      </c>
    </row>
    <row r="204" spans="1:4" ht="14.4">
      <c r="A204" s="63">
        <v>50104</v>
      </c>
      <c r="B204" s="61" t="s">
        <v>221</v>
      </c>
      <c r="C204" s="53">
        <v>36874.999912686646</v>
      </c>
      <c r="D204" s="53">
        <v>35223.999992370605</v>
      </c>
    </row>
    <row r="205" spans="1:4" ht="14.4">
      <c r="A205" s="63">
        <v>50201</v>
      </c>
      <c r="B205" s="61" t="s">
        <v>222</v>
      </c>
      <c r="C205" s="53">
        <v>1426072.0009021321</v>
      </c>
      <c r="D205" s="53">
        <v>2220178.0000228882</v>
      </c>
    </row>
    <row r="206" spans="1:4" ht="14.4">
      <c r="A206" s="63">
        <v>50202</v>
      </c>
      <c r="B206" s="61" t="s">
        <v>223</v>
      </c>
      <c r="C206" s="53">
        <v>191135.00024271663</v>
      </c>
      <c r="D206" s="53">
        <v>210661.00006103516</v>
      </c>
    </row>
    <row r="207" spans="1:4" ht="14.4">
      <c r="A207" s="63">
        <v>50203</v>
      </c>
      <c r="B207" s="61" t="s">
        <v>224</v>
      </c>
      <c r="C207" s="53">
        <v>5060579.0013202317</v>
      </c>
      <c r="D207" s="53">
        <v>6760114.4989395142</v>
      </c>
    </row>
    <row r="208" spans="1:4" ht="14.4">
      <c r="A208" s="63">
        <v>50204</v>
      </c>
      <c r="B208" s="61" t="s">
        <v>225</v>
      </c>
      <c r="C208" s="53">
        <v>0</v>
      </c>
      <c r="D208" s="53">
        <v>34120.999992370605</v>
      </c>
    </row>
    <row r="209" spans="1:4" ht="14.4">
      <c r="A209" s="63">
        <v>50301</v>
      </c>
      <c r="B209" s="61" t="s">
        <v>226</v>
      </c>
      <c r="C209" s="53">
        <v>2070967.9996444788</v>
      </c>
      <c r="D209" s="53">
        <v>2458583.00050354</v>
      </c>
    </row>
    <row r="210" spans="1:4" ht="14.4">
      <c r="A210" s="63">
        <v>50302</v>
      </c>
      <c r="B210" s="61" t="s">
        <v>227</v>
      </c>
      <c r="C210" s="53">
        <v>578104.00001150556</v>
      </c>
      <c r="D210" s="53">
        <v>522848.99994659424</v>
      </c>
    </row>
    <row r="211" spans="1:4" ht="14.4">
      <c r="A211" s="63">
        <v>50303</v>
      </c>
      <c r="B211" s="61" t="s">
        <v>228</v>
      </c>
      <c r="C211" s="53">
        <v>261834.00023239665</v>
      </c>
      <c r="D211" s="53">
        <v>380404.00025177002</v>
      </c>
    </row>
    <row r="212" spans="1:4" ht="14.4">
      <c r="A212" s="63">
        <v>50401</v>
      </c>
      <c r="B212" s="61" t="s">
        <v>229</v>
      </c>
      <c r="C212" s="53">
        <v>1256872.5027173702</v>
      </c>
      <c r="D212" s="53">
        <v>923351.00004577637</v>
      </c>
    </row>
    <row r="213" spans="1:4" ht="14.4">
      <c r="A213" s="63">
        <v>50402</v>
      </c>
      <c r="B213" s="61" t="s">
        <v>230</v>
      </c>
      <c r="C213" s="53">
        <v>435560.00046448316</v>
      </c>
      <c r="D213" s="53">
        <v>427380.99987030029</v>
      </c>
    </row>
    <row r="214" spans="1:4" ht="14.4">
      <c r="A214" s="63">
        <v>50403</v>
      </c>
      <c r="B214" s="61" t="s">
        <v>231</v>
      </c>
      <c r="C214" s="53">
        <v>850680.49943088833</v>
      </c>
      <c r="D214" s="53">
        <v>796979.99993896484</v>
      </c>
    </row>
    <row r="215" spans="1:4" ht="14.4">
      <c r="A215" s="63">
        <v>50404</v>
      </c>
      <c r="B215" s="61" t="s">
        <v>232</v>
      </c>
      <c r="C215" s="53">
        <v>292788.00035427418</v>
      </c>
      <c r="D215" s="53">
        <v>331317.00007629395</v>
      </c>
    </row>
    <row r="216" spans="1:4" ht="14.4">
      <c r="A216" s="63">
        <v>50405</v>
      </c>
      <c r="B216" s="61" t="s">
        <v>233</v>
      </c>
      <c r="C216" s="53">
        <v>0</v>
      </c>
      <c r="D216" s="53">
        <v>609190.00006103516</v>
      </c>
    </row>
    <row r="217" spans="1:4" ht="14.4">
      <c r="A217" s="63">
        <v>50501</v>
      </c>
      <c r="B217" s="61" t="s">
        <v>234</v>
      </c>
      <c r="C217" s="53">
        <v>411384.00039204676</v>
      </c>
      <c r="D217" s="53">
        <v>678357.00019073486</v>
      </c>
    </row>
    <row r="218" spans="1:4" ht="14.4">
      <c r="A218" s="63">
        <v>50502</v>
      </c>
      <c r="B218" s="61" t="s">
        <v>235</v>
      </c>
      <c r="C218" s="53">
        <v>360519.0002337331</v>
      </c>
      <c r="D218" s="53">
        <v>704108.99996948242</v>
      </c>
    </row>
    <row r="219" spans="1:4" ht="14.4">
      <c r="A219" s="63">
        <v>50601</v>
      </c>
      <c r="B219" s="61" t="s">
        <v>236</v>
      </c>
      <c r="C219" s="53">
        <v>1886947.2697542673</v>
      </c>
      <c r="D219" s="53">
        <v>2246474.9997253418</v>
      </c>
    </row>
    <row r="220" spans="1:4" ht="14.4">
      <c r="A220" s="63">
        <v>50602</v>
      </c>
      <c r="B220" s="61" t="s">
        <v>237</v>
      </c>
      <c r="C220" s="53">
        <v>503846.99957620818</v>
      </c>
      <c r="D220" s="53">
        <v>585248.99984741211</v>
      </c>
    </row>
    <row r="221" spans="1:4" ht="14.4">
      <c r="A221" s="63">
        <v>50701</v>
      </c>
      <c r="B221" s="61" t="s">
        <v>238</v>
      </c>
      <c r="C221" s="53">
        <v>574275.00016133487</v>
      </c>
      <c r="D221" s="53">
        <v>574276.99995422363</v>
      </c>
    </row>
    <row r="222" spans="1:4" ht="14.4">
      <c r="A222" s="63">
        <v>50702</v>
      </c>
      <c r="B222" s="61" t="s">
        <v>239</v>
      </c>
      <c r="C222" s="53">
        <v>206720.00022223126</v>
      </c>
      <c r="D222" s="53">
        <v>169965.99999237061</v>
      </c>
    </row>
    <row r="223" spans="1:4" ht="14.4">
      <c r="A223" s="63">
        <v>50801</v>
      </c>
      <c r="B223" s="61" t="s">
        <v>240</v>
      </c>
      <c r="C223" s="53">
        <v>7749116.9992357763</v>
      </c>
      <c r="D223" s="53">
        <v>9660578.0009307861</v>
      </c>
    </row>
    <row r="224" spans="1:4" ht="14.4">
      <c r="A224" s="63">
        <v>50802</v>
      </c>
      <c r="B224" s="61" t="s">
        <v>241</v>
      </c>
      <c r="C224" s="53">
        <v>1554925.9997890517</v>
      </c>
      <c r="D224" s="53">
        <v>1551002.0003128052</v>
      </c>
    </row>
    <row r="225" spans="1:4" ht="14.4">
      <c r="A225" s="63">
        <v>50901</v>
      </c>
      <c r="B225" s="61" t="s">
        <v>242</v>
      </c>
      <c r="C225" s="53">
        <v>941276.00215344969</v>
      </c>
      <c r="D225" s="53">
        <v>2740239.9999542236</v>
      </c>
    </row>
    <row r="226" spans="1:4" ht="14.4">
      <c r="A226" s="63">
        <v>50902</v>
      </c>
      <c r="B226" s="61" t="s">
        <v>243</v>
      </c>
      <c r="C226" s="53">
        <v>167378.99982671533</v>
      </c>
      <c r="D226" s="53">
        <v>218578.00009155273</v>
      </c>
    </row>
    <row r="227" spans="1:4" ht="14.4">
      <c r="A227" s="63">
        <v>51001</v>
      </c>
      <c r="B227" s="61" t="s">
        <v>244</v>
      </c>
      <c r="C227" s="53">
        <v>224970.99975832459</v>
      </c>
      <c r="D227" s="53">
        <v>134546.99993896484</v>
      </c>
    </row>
    <row r="228" spans="1:4" ht="14.4">
      <c r="A228" s="63">
        <v>51002</v>
      </c>
      <c r="B228" s="61" t="s">
        <v>245</v>
      </c>
      <c r="C228" s="53">
        <v>0</v>
      </c>
      <c r="D228" s="53">
        <v>34942.000061035156</v>
      </c>
    </row>
    <row r="229" spans="1:4" ht="14.4">
      <c r="A229" s="63">
        <v>51003</v>
      </c>
      <c r="B229" s="61" t="s">
        <v>246</v>
      </c>
      <c r="C229" s="53">
        <v>85395.999733299017</v>
      </c>
      <c r="D229" s="53">
        <v>79425.000007629395</v>
      </c>
    </row>
    <row r="230" spans="1:4" ht="14.4">
      <c r="A230" s="63">
        <v>51101</v>
      </c>
      <c r="B230" s="61" t="s">
        <v>247</v>
      </c>
      <c r="C230" s="53">
        <v>1215403.9990719175</v>
      </c>
      <c r="D230" s="53">
        <v>1214809.0001296997</v>
      </c>
    </row>
    <row r="231" spans="1:4" ht="14.4">
      <c r="A231" s="63">
        <v>51102</v>
      </c>
      <c r="B231" s="61" t="s">
        <v>248</v>
      </c>
      <c r="C231" s="53">
        <v>782980.00024758931</v>
      </c>
      <c r="D231" s="53">
        <v>1059734.999710083</v>
      </c>
    </row>
    <row r="232" spans="1:4" ht="14.4">
      <c r="A232" s="63">
        <v>51103</v>
      </c>
      <c r="B232" s="61" t="s">
        <v>249</v>
      </c>
      <c r="C232" s="53">
        <v>218936.00005751196</v>
      </c>
      <c r="D232" s="53">
        <v>205271.99998474121</v>
      </c>
    </row>
    <row r="233" spans="1:4" ht="14.4">
      <c r="A233" s="63">
        <v>51201</v>
      </c>
      <c r="B233" s="61" t="s">
        <v>250</v>
      </c>
      <c r="C233" s="53">
        <v>5743515.7908568121</v>
      </c>
      <c r="D233" s="53">
        <v>6184928.0001907349</v>
      </c>
    </row>
    <row r="234" spans="1:4" ht="14.4">
      <c r="A234" s="63">
        <v>51202</v>
      </c>
      <c r="B234" s="61" t="s">
        <v>251</v>
      </c>
      <c r="C234" s="53">
        <v>390067.00049120001</v>
      </c>
      <c r="D234" s="53">
        <v>400953.00022125244</v>
      </c>
    </row>
    <row r="235" spans="1:4" ht="14.4">
      <c r="A235" s="63">
        <v>51203</v>
      </c>
      <c r="B235" s="61" t="s">
        <v>252</v>
      </c>
      <c r="C235" s="53">
        <v>1388611.0015958818</v>
      </c>
      <c r="D235" s="53">
        <v>1799144.0006713867</v>
      </c>
    </row>
    <row r="236" spans="1:4" ht="14.4">
      <c r="A236" s="63">
        <v>51204</v>
      </c>
      <c r="B236" s="61" t="s">
        <v>253</v>
      </c>
      <c r="C236" s="53">
        <v>0</v>
      </c>
      <c r="D236" s="53">
        <v>0</v>
      </c>
    </row>
    <row r="237" spans="1:4" ht="14.4">
      <c r="A237" s="63">
        <v>51301</v>
      </c>
      <c r="B237" s="61" t="s">
        <v>254</v>
      </c>
      <c r="C237" s="53">
        <v>103547.00015135575</v>
      </c>
      <c r="D237" s="53">
        <v>94049.999908447266</v>
      </c>
    </row>
    <row r="238" spans="1:4" ht="14.4">
      <c r="A238" s="63">
        <v>51302</v>
      </c>
      <c r="B238" s="61" t="s">
        <v>255</v>
      </c>
      <c r="C238" s="53">
        <v>160743.99969359487</v>
      </c>
      <c r="D238" s="53">
        <v>188712.00003051758</v>
      </c>
    </row>
    <row r="239" spans="1:4" ht="14.4">
      <c r="A239" s="63">
        <v>51401</v>
      </c>
      <c r="B239" s="61" t="s">
        <v>256</v>
      </c>
      <c r="C239" s="53">
        <v>421723.00037407782</v>
      </c>
      <c r="D239" s="53">
        <v>541037.00034332275</v>
      </c>
    </row>
    <row r="240" spans="1:4" ht="14.4">
      <c r="A240" s="63">
        <v>51402</v>
      </c>
      <c r="B240" s="61" t="s">
        <v>257</v>
      </c>
      <c r="C240" s="53">
        <v>85354.000227549113</v>
      </c>
      <c r="D240" s="53">
        <v>111310.00000762939</v>
      </c>
    </row>
    <row r="241" spans="1:4" ht="14.4">
      <c r="A241" s="63">
        <v>51501</v>
      </c>
      <c r="B241" s="61" t="s">
        <v>258</v>
      </c>
      <c r="C241" s="53">
        <v>6258757.0028273156</v>
      </c>
      <c r="D241" s="53">
        <v>8111311.0003738403</v>
      </c>
    </row>
    <row r="242" spans="1:4" ht="14.4">
      <c r="A242" s="63">
        <v>51601</v>
      </c>
      <c r="B242" s="61" t="s">
        <v>259</v>
      </c>
      <c r="C242" s="53">
        <v>141920.99966413341</v>
      </c>
      <c r="D242" s="53">
        <v>265895.00020599365</v>
      </c>
    </row>
    <row r="243" spans="1:4" ht="14.4">
      <c r="A243" s="63">
        <v>60101</v>
      </c>
      <c r="B243" s="61" t="s">
        <v>260</v>
      </c>
      <c r="C243" s="53">
        <v>72758235.979072541</v>
      </c>
      <c r="D243" s="53">
        <v>84565513.003036499</v>
      </c>
    </row>
    <row r="244" spans="1:4" ht="14.4">
      <c r="A244" s="63">
        <v>60201</v>
      </c>
      <c r="B244" s="61" t="s">
        <v>261</v>
      </c>
      <c r="C244" s="53">
        <v>2216052.0012944005</v>
      </c>
      <c r="D244" s="53">
        <v>3614576.9999694824</v>
      </c>
    </row>
    <row r="245" spans="1:4" ht="14.4">
      <c r="A245" s="63">
        <v>60202</v>
      </c>
      <c r="B245" s="61" t="s">
        <v>262</v>
      </c>
      <c r="C245" s="53">
        <v>10859125.997742966</v>
      </c>
      <c r="D245" s="53">
        <v>14963420.000335693</v>
      </c>
    </row>
    <row r="246" spans="1:4" ht="14.4">
      <c r="A246" s="63">
        <v>60301</v>
      </c>
      <c r="B246" s="61" t="s">
        <v>263</v>
      </c>
      <c r="C246" s="53">
        <v>27599333.002010867</v>
      </c>
      <c r="D246" s="53">
        <v>35545626.001472473</v>
      </c>
    </row>
    <row r="247" spans="1:4" ht="14.4">
      <c r="A247" s="63">
        <v>60302</v>
      </c>
      <c r="B247" s="61" t="s">
        <v>264</v>
      </c>
      <c r="C247" s="53">
        <v>3270193.0006595375</v>
      </c>
      <c r="D247" s="53">
        <v>3603740.0003814697</v>
      </c>
    </row>
    <row r="248" spans="1:4" ht="14.4">
      <c r="A248" s="63">
        <v>60303</v>
      </c>
      <c r="B248" s="61" t="s">
        <v>265</v>
      </c>
      <c r="C248" s="53">
        <v>15086505.991442185</v>
      </c>
      <c r="D248" s="53">
        <v>17612089.99912262</v>
      </c>
    </row>
    <row r="249" spans="1:4" ht="14.4">
      <c r="A249" s="63">
        <v>60401</v>
      </c>
      <c r="B249" s="61" t="s">
        <v>266</v>
      </c>
      <c r="C249" s="53">
        <v>2445990.9998423895</v>
      </c>
      <c r="D249" s="53">
        <v>3130266.9995040894</v>
      </c>
    </row>
    <row r="250" spans="1:4" ht="14.4">
      <c r="A250" s="63">
        <v>60402</v>
      </c>
      <c r="B250" s="61" t="s">
        <v>267</v>
      </c>
      <c r="C250" s="53">
        <v>153720.00002265163</v>
      </c>
      <c r="D250" s="53">
        <v>299665.99999237061</v>
      </c>
    </row>
    <row r="251" spans="1:4" ht="14.4">
      <c r="A251" s="63">
        <v>60501</v>
      </c>
      <c r="B251" s="61" t="s">
        <v>268</v>
      </c>
      <c r="C251" s="53">
        <v>4947866.0012905616</v>
      </c>
      <c r="D251" s="53">
        <v>7137820.999382019</v>
      </c>
    </row>
    <row r="252" spans="1:4" ht="14.4">
      <c r="A252" s="63">
        <v>60502</v>
      </c>
      <c r="B252" s="61" t="s">
        <v>269</v>
      </c>
      <c r="C252" s="53">
        <v>806355.0003722664</v>
      </c>
      <c r="D252" s="53">
        <v>1188905.9999847412</v>
      </c>
    </row>
    <row r="253" spans="1:4" ht="14.4">
      <c r="A253" s="63">
        <v>60601</v>
      </c>
      <c r="B253" s="61" t="s">
        <v>170</v>
      </c>
      <c r="C253" s="53">
        <v>2954527.0018946528</v>
      </c>
      <c r="D253" s="53">
        <v>3927052.9999923706</v>
      </c>
    </row>
    <row r="254" spans="1:4" ht="14.4">
      <c r="A254" s="63">
        <v>70101</v>
      </c>
      <c r="B254" s="61" t="s">
        <v>270</v>
      </c>
      <c r="C254" s="53">
        <v>974738204.92075646</v>
      </c>
      <c r="D254" s="53">
        <v>1233243908.0282822</v>
      </c>
    </row>
    <row r="255" spans="1:4" ht="14.4">
      <c r="A255" s="63">
        <v>70102</v>
      </c>
      <c r="B255" s="61" t="s">
        <v>271</v>
      </c>
      <c r="C255" s="53">
        <v>21231941.016358484</v>
      </c>
      <c r="D255" s="53">
        <v>38228348.001419067</v>
      </c>
    </row>
    <row r="256" spans="1:4" ht="14.4">
      <c r="A256" s="63">
        <v>70103</v>
      </c>
      <c r="B256" s="61" t="s">
        <v>272</v>
      </c>
      <c r="C256" s="53">
        <v>16918527.997320183</v>
      </c>
      <c r="D256" s="53">
        <v>37821532.99433136</v>
      </c>
    </row>
    <row r="257" spans="1:4" ht="14.4">
      <c r="A257" s="63">
        <v>70104</v>
      </c>
      <c r="B257" s="61" t="s">
        <v>273</v>
      </c>
      <c r="C257" s="53">
        <v>42724208.02108264</v>
      </c>
      <c r="D257" s="53">
        <v>70964249.002105713</v>
      </c>
    </row>
    <row r="258" spans="1:4" ht="14.4">
      <c r="A258" s="63">
        <v>70105</v>
      </c>
      <c r="B258" s="61" t="s">
        <v>274</v>
      </c>
      <c r="C258" s="53">
        <v>14483068.992929038</v>
      </c>
      <c r="D258" s="53">
        <v>19845954.000358582</v>
      </c>
    </row>
    <row r="259" spans="1:4" ht="14.4">
      <c r="A259" s="63">
        <v>70201</v>
      </c>
      <c r="B259" s="61" t="s">
        <v>275</v>
      </c>
      <c r="C259" s="53">
        <v>45514298.992391974</v>
      </c>
      <c r="D259" s="53">
        <v>79132086.994087219</v>
      </c>
    </row>
    <row r="260" spans="1:4" ht="14.4">
      <c r="A260" s="63">
        <v>70202</v>
      </c>
      <c r="B260" s="61" t="s">
        <v>276</v>
      </c>
      <c r="C260" s="53">
        <v>4183504.0023819916</v>
      </c>
      <c r="D260" s="53">
        <v>4850435.004989624</v>
      </c>
    </row>
    <row r="261" spans="1:4" ht="14.4">
      <c r="A261" s="63">
        <v>70301</v>
      </c>
      <c r="B261" s="61" t="s">
        <v>277</v>
      </c>
      <c r="C261" s="53">
        <v>10134821.996028926</v>
      </c>
      <c r="D261" s="53">
        <v>2040708.0000610352</v>
      </c>
    </row>
    <row r="262" spans="1:4" ht="14.4">
      <c r="A262" s="63">
        <v>70302</v>
      </c>
      <c r="B262" s="61" t="s">
        <v>278</v>
      </c>
      <c r="C262" s="53">
        <v>1819209.9997632513</v>
      </c>
      <c r="D262" s="53">
        <v>666201</v>
      </c>
    </row>
    <row r="263" spans="1:4" ht="14.4">
      <c r="A263" s="63">
        <v>70303</v>
      </c>
      <c r="B263" s="61" t="s">
        <v>279</v>
      </c>
      <c r="C263" s="53">
        <v>968591.99958066456</v>
      </c>
      <c r="D263" s="53">
        <v>5579636.9999389648</v>
      </c>
    </row>
    <row r="264" spans="1:4" ht="14.4">
      <c r="A264" s="63">
        <v>70401</v>
      </c>
      <c r="B264" s="61" t="s">
        <v>280</v>
      </c>
      <c r="C264" s="53">
        <v>3722826.0020811111</v>
      </c>
      <c r="D264" s="53">
        <v>5786640.0016326904</v>
      </c>
    </row>
    <row r="265" spans="1:4" ht="14.4">
      <c r="A265" s="63">
        <v>70402</v>
      </c>
      <c r="B265" s="61" t="s">
        <v>281</v>
      </c>
      <c r="C265" s="53">
        <v>5067303.0039599361</v>
      </c>
      <c r="D265" s="53">
        <v>7450905.9998703003</v>
      </c>
    </row>
    <row r="266" spans="1:4" ht="14.4">
      <c r="A266" s="63">
        <v>70403</v>
      </c>
      <c r="B266" s="61" t="s">
        <v>282</v>
      </c>
      <c r="C266" s="53">
        <v>13475819.989712108</v>
      </c>
      <c r="D266" s="53">
        <v>28979426.000076294</v>
      </c>
    </row>
    <row r="267" spans="1:4" ht="14.4">
      <c r="A267" s="63">
        <v>70404</v>
      </c>
      <c r="B267" s="61" t="s">
        <v>283</v>
      </c>
      <c r="C267" s="53">
        <v>2698972.9982697032</v>
      </c>
      <c r="D267" s="53">
        <v>4897167.9993286133</v>
      </c>
    </row>
    <row r="268" spans="1:4" ht="14.4">
      <c r="A268" s="63">
        <v>70501</v>
      </c>
      <c r="B268" s="61" t="s">
        <v>284</v>
      </c>
      <c r="C268" s="53">
        <v>6105850.0008943584</v>
      </c>
      <c r="D268" s="53">
        <v>3772785.0001220703</v>
      </c>
    </row>
    <row r="269" spans="1:4" ht="14.4">
      <c r="A269" s="63">
        <v>70502</v>
      </c>
      <c r="B269" s="61" t="s">
        <v>285</v>
      </c>
      <c r="C269" s="53">
        <v>12391794.004371278</v>
      </c>
      <c r="D269" s="53">
        <v>21642811.99671936</v>
      </c>
    </row>
    <row r="270" spans="1:4" ht="14.4">
      <c r="A270" s="63">
        <v>70503</v>
      </c>
      <c r="B270" s="61" t="s">
        <v>286</v>
      </c>
      <c r="C270" s="53">
        <v>4441643.0006414866</v>
      </c>
      <c r="D270" s="53">
        <v>882945.99995422363</v>
      </c>
    </row>
    <row r="271" spans="1:4" ht="14.4">
      <c r="A271" s="63">
        <v>70601</v>
      </c>
      <c r="B271" s="61" t="s">
        <v>287</v>
      </c>
      <c r="C271" s="53">
        <v>7805129.9918099297</v>
      </c>
      <c r="D271" s="53">
        <v>9846306.0004425049</v>
      </c>
    </row>
    <row r="272" spans="1:4" ht="14.4">
      <c r="A272" s="63">
        <v>70602</v>
      </c>
      <c r="B272" s="61" t="s">
        <v>288</v>
      </c>
      <c r="C272" s="53">
        <v>3670194.0028523728</v>
      </c>
      <c r="D272" s="53">
        <v>11690099.00087738</v>
      </c>
    </row>
    <row r="273" spans="1:4" ht="14.4">
      <c r="A273" s="63">
        <v>70603</v>
      </c>
      <c r="B273" s="61" t="s">
        <v>289</v>
      </c>
      <c r="C273" s="53">
        <v>1918077.9997633677</v>
      </c>
      <c r="D273" s="53">
        <v>2290655.9998016357</v>
      </c>
    </row>
    <row r="274" spans="1:4" ht="14.4">
      <c r="A274" s="63">
        <v>70701</v>
      </c>
      <c r="B274" s="61" t="s">
        <v>290</v>
      </c>
      <c r="C274" s="53">
        <v>759410.99961752258</v>
      </c>
      <c r="D274" s="53">
        <v>118933.00006103516</v>
      </c>
    </row>
    <row r="275" spans="1:4" ht="14.4">
      <c r="A275" s="63">
        <v>70702</v>
      </c>
      <c r="B275" s="61" t="s">
        <v>291</v>
      </c>
      <c r="C275" s="53">
        <v>2921668.0016149255</v>
      </c>
      <c r="D275" s="53">
        <v>2404882.9999465942</v>
      </c>
    </row>
    <row r="276" spans="1:4" ht="14.4">
      <c r="A276" s="63">
        <v>70703</v>
      </c>
      <c r="B276" s="61" t="s">
        <v>292</v>
      </c>
      <c r="C276" s="53">
        <v>5383326.9903624011</v>
      </c>
      <c r="D276" s="53">
        <v>8277245.0005569458</v>
      </c>
    </row>
    <row r="277" spans="1:4" ht="14.4">
      <c r="A277" s="63">
        <v>70704</v>
      </c>
      <c r="B277" s="61" t="s">
        <v>293</v>
      </c>
      <c r="C277" s="53">
        <v>526307.00026095379</v>
      </c>
      <c r="D277" s="53">
        <v>121588.00007629395</v>
      </c>
    </row>
    <row r="278" spans="1:4" ht="14.4">
      <c r="A278" s="63">
        <v>70705</v>
      </c>
      <c r="B278" s="61" t="s">
        <v>294</v>
      </c>
      <c r="C278" s="53">
        <v>1001456.9994421564</v>
      </c>
      <c r="D278" s="53">
        <v>215228.00007629395</v>
      </c>
    </row>
    <row r="279" spans="1:4" ht="14.4">
      <c r="A279" s="63">
        <v>70706</v>
      </c>
      <c r="B279" s="61" t="s">
        <v>295</v>
      </c>
      <c r="C279" s="53">
        <v>12673717.005906273</v>
      </c>
      <c r="D279" s="53">
        <v>2358126.9995422363</v>
      </c>
    </row>
    <row r="280" spans="1:4" ht="14.4">
      <c r="A280" s="63">
        <v>70707</v>
      </c>
      <c r="B280" s="61" t="s">
        <v>296</v>
      </c>
      <c r="C280" s="53">
        <v>965606.00212106016</v>
      </c>
      <c r="D280" s="53">
        <v>235137.00004577637</v>
      </c>
    </row>
    <row r="281" spans="1:4" ht="14.4">
      <c r="A281" s="63">
        <v>70801</v>
      </c>
      <c r="B281" s="61" t="s">
        <v>297</v>
      </c>
      <c r="C281" s="53">
        <v>3483949.0032874169</v>
      </c>
      <c r="D281" s="53">
        <v>696383.99984741211</v>
      </c>
    </row>
    <row r="282" spans="1:4" ht="14.4">
      <c r="A282" s="63">
        <v>70802</v>
      </c>
      <c r="B282" s="61" t="s">
        <v>298</v>
      </c>
      <c r="C282" s="53">
        <v>323829.00094444957</v>
      </c>
      <c r="D282" s="53">
        <v>32278.000015258789</v>
      </c>
    </row>
    <row r="283" spans="1:4" ht="14.4">
      <c r="A283" s="63">
        <v>70803</v>
      </c>
      <c r="B283" s="61" t="s">
        <v>299</v>
      </c>
      <c r="C283" s="53">
        <v>255241.99945543148</v>
      </c>
      <c r="D283" s="53">
        <v>66601.999969482422</v>
      </c>
    </row>
    <row r="284" spans="1:4" ht="14.4">
      <c r="A284" s="63">
        <v>70804</v>
      </c>
      <c r="B284" s="61" t="s">
        <v>300</v>
      </c>
      <c r="C284" s="53">
        <v>196323.00001523923</v>
      </c>
      <c r="D284" s="53">
        <v>92153</v>
      </c>
    </row>
    <row r="285" spans="1:4" ht="14.4">
      <c r="A285" s="63">
        <v>70805</v>
      </c>
      <c r="B285" s="61" t="s">
        <v>301</v>
      </c>
      <c r="C285" s="53">
        <v>0</v>
      </c>
      <c r="D285" s="53">
        <v>0</v>
      </c>
    </row>
    <row r="286" spans="1:4" ht="14.4">
      <c r="A286" s="63">
        <v>70901</v>
      </c>
      <c r="B286" s="61" t="s">
        <v>302</v>
      </c>
      <c r="C286" s="53">
        <v>2712498.0048952419</v>
      </c>
      <c r="D286" s="53">
        <v>707841.9998550415</v>
      </c>
    </row>
    <row r="287" spans="1:4" ht="14.4">
      <c r="A287" s="63">
        <v>70902</v>
      </c>
      <c r="B287" s="61" t="s">
        <v>303</v>
      </c>
      <c r="C287" s="53">
        <v>1470213.0014048005</v>
      </c>
      <c r="D287" s="53">
        <v>198142</v>
      </c>
    </row>
    <row r="288" spans="1:4" ht="14.4">
      <c r="A288" s="63">
        <v>70903</v>
      </c>
      <c r="B288" s="61" t="s">
        <v>304</v>
      </c>
      <c r="C288" s="53">
        <v>2274516.9983784342</v>
      </c>
      <c r="D288" s="53">
        <v>255577.99978637695</v>
      </c>
    </row>
    <row r="289" spans="1:4" ht="14.4">
      <c r="A289" s="63">
        <v>70904</v>
      </c>
      <c r="B289" s="61" t="s">
        <v>305</v>
      </c>
      <c r="C289" s="53">
        <v>207381.99992794357</v>
      </c>
      <c r="D289" s="53">
        <v>38744.999969482422</v>
      </c>
    </row>
    <row r="290" spans="1:4" ht="14.4">
      <c r="A290" s="63">
        <v>71001</v>
      </c>
      <c r="B290" s="61" t="s">
        <v>306</v>
      </c>
      <c r="C290" s="53">
        <v>49840775.988257334</v>
      </c>
      <c r="D290" s="53">
        <v>64020009.996635437</v>
      </c>
    </row>
    <row r="291" spans="1:4" ht="14.4">
      <c r="A291" s="63">
        <v>71002</v>
      </c>
      <c r="B291" s="61" t="s">
        <v>307</v>
      </c>
      <c r="C291" s="53">
        <v>3373195.9956203867</v>
      </c>
      <c r="D291" s="53">
        <v>4305286.0002365112</v>
      </c>
    </row>
    <row r="292" spans="1:4" ht="14.4">
      <c r="A292" s="63">
        <v>71003</v>
      </c>
      <c r="B292" s="61" t="s">
        <v>308</v>
      </c>
      <c r="C292" s="53">
        <v>7093516.0000626659</v>
      </c>
      <c r="D292" s="53">
        <v>8456277.9985427856</v>
      </c>
    </row>
    <row r="293" spans="1:4" ht="14.4">
      <c r="A293" s="63">
        <v>71004</v>
      </c>
      <c r="B293" s="61" t="s">
        <v>309</v>
      </c>
      <c r="C293" s="53">
        <v>3326805.003268132</v>
      </c>
      <c r="D293" s="53">
        <v>4181084.9981536865</v>
      </c>
    </row>
    <row r="294" spans="1:4" ht="14.4">
      <c r="A294" s="63">
        <v>71005</v>
      </c>
      <c r="B294" s="61" t="s">
        <v>310</v>
      </c>
      <c r="C294" s="53">
        <v>3902191.0072709331</v>
      </c>
      <c r="D294" s="53">
        <v>5385238.9987945557</v>
      </c>
    </row>
    <row r="295" spans="1:4" ht="14.4">
      <c r="A295" s="63">
        <v>71101</v>
      </c>
      <c r="B295" s="61" t="s">
        <v>311</v>
      </c>
      <c r="C295" s="53">
        <v>3781056.0010360172</v>
      </c>
      <c r="D295" s="53">
        <v>1507510.0000152588</v>
      </c>
    </row>
    <row r="296" spans="1:4" ht="14.4">
      <c r="A296" s="63">
        <v>71102</v>
      </c>
      <c r="B296" s="61" t="s">
        <v>312</v>
      </c>
      <c r="C296" s="53">
        <v>2651415.000608718</v>
      </c>
      <c r="D296" s="53">
        <v>470792.00012207031</v>
      </c>
    </row>
    <row r="297" spans="1:4" ht="14.4">
      <c r="A297" s="63">
        <v>71103</v>
      </c>
      <c r="B297" s="61" t="s">
        <v>313</v>
      </c>
      <c r="C297" s="53">
        <v>2063611.9991964512</v>
      </c>
      <c r="D297" s="53">
        <v>2540811.9998855591</v>
      </c>
    </row>
    <row r="298" spans="1:4" ht="14.4">
      <c r="A298" s="63">
        <v>71104</v>
      </c>
      <c r="B298" s="61" t="s">
        <v>314</v>
      </c>
      <c r="C298" s="53">
        <v>10184307.002994064</v>
      </c>
      <c r="D298" s="53">
        <v>2312765.999206543</v>
      </c>
    </row>
    <row r="299" spans="1:4" ht="14.4">
      <c r="A299" s="63">
        <v>71105</v>
      </c>
      <c r="B299" s="61" t="s">
        <v>315</v>
      </c>
      <c r="C299" s="53">
        <v>708414.99997231457</v>
      </c>
      <c r="D299" s="53">
        <v>299220</v>
      </c>
    </row>
    <row r="300" spans="1:4" ht="14.4">
      <c r="A300" s="63">
        <v>71106</v>
      </c>
      <c r="B300" s="61" t="s">
        <v>316</v>
      </c>
      <c r="C300" s="53">
        <v>9607958.0062114168</v>
      </c>
      <c r="D300" s="53">
        <v>0</v>
      </c>
    </row>
    <row r="301" spans="1:4" ht="14.4">
      <c r="A301" s="63">
        <v>71201</v>
      </c>
      <c r="B301" s="61" t="s">
        <v>317</v>
      </c>
      <c r="C301" s="53">
        <v>3259157.9980929596</v>
      </c>
      <c r="D301" s="53">
        <v>274252</v>
      </c>
    </row>
    <row r="302" spans="1:4" ht="14.4">
      <c r="A302" s="63">
        <v>71301</v>
      </c>
      <c r="B302" s="61" t="s">
        <v>318</v>
      </c>
      <c r="C302" s="53">
        <v>2467396.0003083833</v>
      </c>
      <c r="D302" s="53">
        <v>290093.9998550415</v>
      </c>
    </row>
    <row r="303" spans="1:4" ht="14.4">
      <c r="A303" s="63">
        <v>71302</v>
      </c>
      <c r="B303" s="61" t="s">
        <v>319</v>
      </c>
      <c r="C303" s="53">
        <v>803668.00077993236</v>
      </c>
      <c r="D303" s="53">
        <v>100802</v>
      </c>
    </row>
    <row r="304" spans="1:4" ht="14.4">
      <c r="A304" s="63">
        <v>71401</v>
      </c>
      <c r="B304" s="61" t="s">
        <v>320</v>
      </c>
      <c r="C304" s="53">
        <v>7722680.0048336871</v>
      </c>
      <c r="D304" s="53">
        <v>520378.00045776367</v>
      </c>
    </row>
    <row r="305" spans="1:4" ht="14.4">
      <c r="A305" s="63">
        <v>71402</v>
      </c>
      <c r="B305" s="61" t="s">
        <v>321</v>
      </c>
      <c r="C305" s="53">
        <v>8600121.0063466132</v>
      </c>
      <c r="D305" s="53">
        <v>964467.99960327148</v>
      </c>
    </row>
    <row r="306" spans="1:4" ht="14.4">
      <c r="A306" s="63">
        <v>71403</v>
      </c>
      <c r="B306" s="61" t="s">
        <v>322</v>
      </c>
      <c r="C306" s="53">
        <v>1379133.9999175249</v>
      </c>
      <c r="D306" s="53">
        <v>1993679</v>
      </c>
    </row>
    <row r="307" spans="1:4" ht="14.4">
      <c r="A307" s="63">
        <v>71501</v>
      </c>
      <c r="B307" s="61" t="s">
        <v>323</v>
      </c>
      <c r="C307" s="53">
        <v>6305981.9973924216</v>
      </c>
      <c r="D307" s="53">
        <v>1806654.0003814697</v>
      </c>
    </row>
    <row r="308" spans="1:4" ht="14.4">
      <c r="A308" s="63">
        <v>71502</v>
      </c>
      <c r="B308" s="61" t="s">
        <v>324</v>
      </c>
      <c r="C308" s="53">
        <v>855568.99981592316</v>
      </c>
      <c r="D308" s="53">
        <v>605416</v>
      </c>
    </row>
    <row r="309" spans="1:4" ht="14.4">
      <c r="A309" s="63">
        <v>71503</v>
      </c>
      <c r="B309" s="61" t="s">
        <v>269</v>
      </c>
      <c r="C309" s="53">
        <v>2121404.9994864576</v>
      </c>
      <c r="D309" s="53">
        <v>1305841.0001220703</v>
      </c>
    </row>
    <row r="310" spans="1:4" ht="14.4">
      <c r="A310" s="63">
        <v>80101</v>
      </c>
      <c r="B310" s="61" t="s">
        <v>325</v>
      </c>
      <c r="C310" s="53">
        <v>51759909.005797595</v>
      </c>
      <c r="D310" s="53">
        <v>80983868.998649597</v>
      </c>
    </row>
    <row r="311" spans="1:4" ht="14.4">
      <c r="A311" s="63">
        <v>80102</v>
      </c>
      <c r="B311" s="61" t="s">
        <v>312</v>
      </c>
      <c r="C311" s="53">
        <v>312333.00025981199</v>
      </c>
      <c r="D311" s="53">
        <v>4351053.0002822876</v>
      </c>
    </row>
    <row r="312" spans="1:4" ht="14.4">
      <c r="A312" s="63">
        <v>80201</v>
      </c>
      <c r="B312" s="61" t="s">
        <v>326</v>
      </c>
      <c r="C312" s="53">
        <v>20338121.007570855</v>
      </c>
      <c r="D312" s="53">
        <v>31463846.000610352</v>
      </c>
    </row>
    <row r="313" spans="1:4" ht="14.4">
      <c r="A313" s="63">
        <v>80202</v>
      </c>
      <c r="B313" s="61" t="s">
        <v>327</v>
      </c>
      <c r="C313" s="53">
        <v>11460253.993401419</v>
      </c>
      <c r="D313" s="53">
        <v>18750285.00138092</v>
      </c>
    </row>
    <row r="314" spans="1:4" ht="14.4">
      <c r="A314" s="63">
        <v>80301</v>
      </c>
      <c r="B314" s="61" t="s">
        <v>328</v>
      </c>
      <c r="C314" s="53">
        <v>1927539.0007418906</v>
      </c>
      <c r="D314" s="53">
        <v>3129698.9989242554</v>
      </c>
    </row>
    <row r="315" spans="1:4" ht="14.4">
      <c r="A315" s="63">
        <v>80302</v>
      </c>
      <c r="B315" s="61" t="s">
        <v>329</v>
      </c>
      <c r="C315" s="53">
        <v>6582143.0011426201</v>
      </c>
      <c r="D315" s="53">
        <v>14745362.000343323</v>
      </c>
    </row>
    <row r="316" spans="1:4" ht="14.4">
      <c r="A316" s="63">
        <v>80303</v>
      </c>
      <c r="B316" s="61" t="s">
        <v>330</v>
      </c>
      <c r="C316" s="53">
        <v>1458203.0004765633</v>
      </c>
      <c r="D316" s="53">
        <v>3183756.0006103516</v>
      </c>
    </row>
    <row r="317" spans="1:4" ht="14.4">
      <c r="A317" s="63">
        <v>80304</v>
      </c>
      <c r="B317" s="61" t="s">
        <v>331</v>
      </c>
      <c r="C317" s="53">
        <v>4302058.00379261</v>
      </c>
      <c r="D317" s="53">
        <v>6618789.001335144</v>
      </c>
    </row>
    <row r="318" spans="1:4" ht="14.4">
      <c r="A318" s="63">
        <v>80401</v>
      </c>
      <c r="B318" s="61" t="s">
        <v>332</v>
      </c>
      <c r="C318" s="53">
        <v>3464398.0005378947</v>
      </c>
      <c r="D318" s="53">
        <v>6607459.9982147217</v>
      </c>
    </row>
    <row r="319" spans="1:4" ht="14.4">
      <c r="A319" s="63">
        <v>80402</v>
      </c>
      <c r="B319" s="61" t="s">
        <v>333</v>
      </c>
      <c r="C319" s="53">
        <v>0</v>
      </c>
      <c r="D319" s="53">
        <v>1089460.9999160767</v>
      </c>
    </row>
    <row r="320" spans="1:4" ht="14.4">
      <c r="A320" s="63">
        <v>80501</v>
      </c>
      <c r="B320" s="61" t="s">
        <v>334</v>
      </c>
      <c r="C320" s="53">
        <v>2555922.9992597364</v>
      </c>
      <c r="D320" s="53">
        <v>4747115.9993438721</v>
      </c>
    </row>
    <row r="321" spans="1:4" ht="14.4">
      <c r="A321" s="63">
        <v>80601</v>
      </c>
      <c r="B321" s="61" t="s">
        <v>335</v>
      </c>
      <c r="C321" s="53">
        <v>239932.99997560121</v>
      </c>
      <c r="D321" s="53">
        <v>3535019</v>
      </c>
    </row>
    <row r="322" spans="1:4" ht="14.4">
      <c r="A322" s="63">
        <v>80602</v>
      </c>
      <c r="B322" s="61" t="s">
        <v>336</v>
      </c>
      <c r="C322" s="53">
        <v>1194177.0009360788</v>
      </c>
      <c r="D322" s="53">
        <v>7884026.9994354248</v>
      </c>
    </row>
    <row r="323" spans="1:4" ht="14.4">
      <c r="A323" s="63">
        <v>80701</v>
      </c>
      <c r="B323" s="61" t="s">
        <v>337</v>
      </c>
      <c r="C323" s="53">
        <v>1560814.9998645047</v>
      </c>
      <c r="D323" s="53">
        <v>2645097.999671936</v>
      </c>
    </row>
    <row r="324" spans="1:4" ht="14.4">
      <c r="A324" s="63">
        <v>80702</v>
      </c>
      <c r="B324" s="61" t="s">
        <v>313</v>
      </c>
      <c r="C324" s="53">
        <v>1283759.0014658775</v>
      </c>
      <c r="D324" s="53">
        <v>4523530.9993972778</v>
      </c>
    </row>
    <row r="325" spans="1:4" ht="14.4">
      <c r="A325" s="63">
        <v>80703</v>
      </c>
      <c r="B325" s="61" t="s">
        <v>338</v>
      </c>
      <c r="C325" s="53">
        <v>0</v>
      </c>
      <c r="D325" s="53">
        <v>0</v>
      </c>
    </row>
    <row r="326" spans="1:4" ht="14.4">
      <c r="A326" s="63">
        <v>80801</v>
      </c>
      <c r="B326" s="61" t="s">
        <v>339</v>
      </c>
      <c r="C326" s="53">
        <v>1665268.9990930036</v>
      </c>
      <c r="D326" s="53">
        <v>6959532.9999313354</v>
      </c>
    </row>
    <row r="327" spans="1:4" ht="14.4">
      <c r="A327" s="63">
        <v>80802</v>
      </c>
      <c r="B327" s="61" t="s">
        <v>340</v>
      </c>
      <c r="C327" s="53">
        <v>231877.99961601384</v>
      </c>
      <c r="D327" s="53">
        <v>1817620.9998016357</v>
      </c>
    </row>
    <row r="328" spans="1:4" ht="14.4">
      <c r="A328" s="63">
        <v>80803</v>
      </c>
      <c r="B328" s="61" t="s">
        <v>341</v>
      </c>
      <c r="C328" s="53">
        <v>127167.00012107939</v>
      </c>
      <c r="D328" s="53">
        <v>1731269.0001983643</v>
      </c>
    </row>
    <row r="329" spans="1:4" ht="14.4">
      <c r="A329" s="63">
        <v>80901</v>
      </c>
      <c r="B329" s="61" t="s">
        <v>342</v>
      </c>
      <c r="C329" s="53">
        <v>0</v>
      </c>
      <c r="D329" s="53">
        <v>0</v>
      </c>
    </row>
    <row r="330" spans="1:4" ht="14.4">
      <c r="A330" s="63">
        <v>90101</v>
      </c>
      <c r="B330" s="61" t="s">
        <v>343</v>
      </c>
      <c r="C330" s="53">
        <v>23776788.244639225</v>
      </c>
      <c r="D330" s="53">
        <v>33061341.500198364</v>
      </c>
    </row>
    <row r="331" spans="1:4" ht="14.4">
      <c r="A331" s="63">
        <v>90102</v>
      </c>
      <c r="B331" s="61" t="s">
        <v>344</v>
      </c>
      <c r="C331" s="53">
        <v>1289749.1708425088</v>
      </c>
      <c r="D331" s="53">
        <v>3592961.5010681152</v>
      </c>
    </row>
    <row r="332" spans="1:4" ht="14.4">
      <c r="A332" s="63">
        <v>90103</v>
      </c>
      <c r="B332" s="61" t="s">
        <v>345</v>
      </c>
      <c r="C332" s="53">
        <v>0</v>
      </c>
      <c r="D332" s="53">
        <v>0</v>
      </c>
    </row>
    <row r="333" spans="1:4" ht="14.4">
      <c r="A333" s="63">
        <v>90104</v>
      </c>
      <c r="B333" s="61" t="s">
        <v>346</v>
      </c>
      <c r="C333" s="53">
        <v>185920.99957227241</v>
      </c>
      <c r="D333" s="53">
        <v>932741.00019073486</v>
      </c>
    </row>
    <row r="334" spans="1:4" ht="14.4">
      <c r="A334" s="63">
        <v>90201</v>
      </c>
      <c r="B334" s="61" t="s">
        <v>347</v>
      </c>
      <c r="C334" s="53">
        <v>914805.1112410333</v>
      </c>
      <c r="D334" s="53">
        <v>1585179.5001449585</v>
      </c>
    </row>
    <row r="335" spans="1:4" ht="14.4">
      <c r="A335" s="63">
        <v>90202</v>
      </c>
      <c r="B335" s="61" t="s">
        <v>310</v>
      </c>
      <c r="C335" s="53">
        <v>81834.999875850976</v>
      </c>
      <c r="D335" s="53">
        <v>353813.50031280518</v>
      </c>
    </row>
    <row r="336" spans="1:4" ht="14.4">
      <c r="A336" s="63">
        <v>90203</v>
      </c>
      <c r="B336" s="61" t="s">
        <v>348</v>
      </c>
      <c r="C336" s="53">
        <v>944520.99988270923</v>
      </c>
      <c r="D336" s="53">
        <v>5176547.4994812012</v>
      </c>
    </row>
    <row r="337" spans="1:26" ht="14.4">
      <c r="A337" s="63">
        <v>90301</v>
      </c>
      <c r="B337" s="61" t="s">
        <v>349</v>
      </c>
      <c r="C337" s="53">
        <v>186030.00017465465</v>
      </c>
      <c r="D337" s="53">
        <v>0</v>
      </c>
    </row>
    <row r="338" spans="1:26" ht="14.4">
      <c r="A338" s="63">
        <v>90302</v>
      </c>
      <c r="B338" s="61" t="s">
        <v>350</v>
      </c>
      <c r="C338" s="53">
        <v>303570.50026059896</v>
      </c>
      <c r="D338" s="53">
        <v>741663.50087738037</v>
      </c>
    </row>
    <row r="339" spans="1:26" ht="14.4">
      <c r="A339" s="63">
        <v>90303</v>
      </c>
      <c r="B339" s="61" t="s">
        <v>351</v>
      </c>
      <c r="C339" s="53">
        <v>723820.49953421298</v>
      </c>
      <c r="D339" s="53">
        <v>1892991.0003128052</v>
      </c>
    </row>
    <row r="340" spans="1:26" ht="14.4">
      <c r="A340" s="63">
        <v>90401</v>
      </c>
      <c r="B340" s="61" t="s">
        <v>352</v>
      </c>
      <c r="C340" s="53">
        <v>0</v>
      </c>
      <c r="D340" s="53">
        <v>1226835.0000686646</v>
      </c>
    </row>
    <row r="341" spans="1:26" ht="14.4">
      <c r="A341" s="63">
        <v>90402</v>
      </c>
      <c r="B341" s="61" t="s">
        <v>353</v>
      </c>
      <c r="C341" s="53">
        <v>0</v>
      </c>
      <c r="D341" s="53">
        <v>0</v>
      </c>
    </row>
    <row r="342" spans="1:26" ht="14.4">
      <c r="A342" s="63">
        <v>90501</v>
      </c>
      <c r="B342" s="61" t="s">
        <v>354</v>
      </c>
      <c r="C342" s="53">
        <v>96837.000049633905</v>
      </c>
      <c r="D342" s="53">
        <v>0</v>
      </c>
    </row>
    <row r="343" spans="1:26" ht="14.4">
      <c r="A343" s="63">
        <v>90502</v>
      </c>
      <c r="B343" s="61" t="s">
        <v>355</v>
      </c>
      <c r="C343" s="53">
        <v>77098.000149220228</v>
      </c>
      <c r="D343" s="53">
        <v>0</v>
      </c>
    </row>
    <row r="344" spans="1:26" ht="14.4">
      <c r="A344" s="63">
        <v>90503</v>
      </c>
      <c r="B344" s="61" t="s">
        <v>356</v>
      </c>
      <c r="C344" s="53">
        <v>0</v>
      </c>
      <c r="D344" s="53">
        <v>0</v>
      </c>
    </row>
    <row r="345" spans="1:26" ht="14.4">
      <c r="A345" s="34"/>
      <c r="B345" s="65"/>
      <c r="C345" s="37"/>
      <c r="D345" s="37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</row>
    <row r="346" spans="1:26" ht="14.4">
      <c r="A346" s="34"/>
      <c r="B346" s="65"/>
      <c r="C346" s="37"/>
      <c r="D346" s="37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</row>
    <row r="347" spans="1:26" ht="13.2">
      <c r="A347" s="34"/>
      <c r="B347" s="65"/>
      <c r="C347" s="69"/>
      <c r="D347" s="69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</row>
    <row r="348" spans="1:26" ht="14.4">
      <c r="A348" s="34"/>
      <c r="B348" s="67"/>
      <c r="C348" s="69"/>
      <c r="D348" s="69"/>
    </row>
    <row r="349" spans="1:26" ht="14.4">
      <c r="A349" s="34"/>
      <c r="B349" s="67"/>
      <c r="C349" s="69"/>
      <c r="D349" s="69"/>
    </row>
    <row r="350" spans="1:26" ht="13.2">
      <c r="A350" s="34"/>
      <c r="B350" s="65"/>
      <c r="C350" s="69"/>
      <c r="D350" s="69"/>
    </row>
    <row r="351" spans="1:26" ht="14.4">
      <c r="A351" s="34"/>
      <c r="B351" s="67"/>
      <c r="C351" s="69"/>
      <c r="D351" s="69"/>
    </row>
    <row r="352" spans="1:26" ht="13.2">
      <c r="A352" s="34"/>
      <c r="B352" s="65"/>
      <c r="C352" s="69"/>
      <c r="D352" s="69"/>
    </row>
    <row r="353" spans="1:4" ht="13.2">
      <c r="A353" s="34"/>
      <c r="B353" s="65"/>
      <c r="C353" s="69"/>
      <c r="D353" s="69"/>
    </row>
    <row r="354" spans="1:4" ht="13.2">
      <c r="A354" s="34"/>
      <c r="B354" s="65"/>
      <c r="C354" s="69"/>
      <c r="D354" s="69"/>
    </row>
    <row r="355" spans="1:4" ht="13.2">
      <c r="A355" s="34"/>
      <c r="B355" s="65"/>
      <c r="C355" s="69"/>
      <c r="D355" s="69"/>
    </row>
    <row r="356" spans="1:4" ht="13.2">
      <c r="A356" s="34"/>
      <c r="B356" s="65"/>
      <c r="C356" s="69"/>
      <c r="D356" s="69"/>
    </row>
    <row r="357" spans="1:4" ht="13.2">
      <c r="A357" s="34"/>
      <c r="B357" s="65"/>
      <c r="C357" s="69"/>
      <c r="D357" s="69"/>
    </row>
    <row r="358" spans="1:4" ht="13.2">
      <c r="A358" s="34"/>
      <c r="B358" s="65"/>
      <c r="C358" s="69"/>
      <c r="D358" s="69"/>
    </row>
    <row r="359" spans="1:4" ht="13.2">
      <c r="A359" s="34"/>
      <c r="B359" s="65"/>
      <c r="C359" s="69"/>
      <c r="D359" s="69"/>
    </row>
    <row r="360" spans="1:4" ht="13.2">
      <c r="A360" s="34"/>
      <c r="B360" s="65"/>
      <c r="C360" s="69"/>
      <c r="D360" s="69"/>
    </row>
    <row r="361" spans="1:4" ht="13.2">
      <c r="A361" s="34"/>
      <c r="B361" s="65"/>
      <c r="C361" s="69"/>
      <c r="D361" s="69"/>
    </row>
    <row r="362" spans="1:4" ht="13.2">
      <c r="A362" s="34"/>
      <c r="B362" s="65"/>
      <c r="C362" s="69"/>
      <c r="D362" s="69"/>
    </row>
    <row r="363" spans="1:4" ht="13.2">
      <c r="A363" s="34"/>
      <c r="B363" s="65"/>
      <c r="C363" s="69"/>
      <c r="D363" s="69"/>
    </row>
    <row r="364" spans="1:4" ht="13.2">
      <c r="A364" s="34"/>
      <c r="B364" s="65"/>
      <c r="C364" s="69"/>
      <c r="D364" s="69"/>
    </row>
    <row r="365" spans="1:4" ht="13.2">
      <c r="A365" s="34"/>
      <c r="B365" s="65"/>
      <c r="C365" s="69"/>
      <c r="D365" s="69"/>
    </row>
    <row r="366" spans="1:4" ht="13.2">
      <c r="A366" s="34"/>
      <c r="B366" s="65"/>
      <c r="C366" s="69"/>
      <c r="D366" s="69"/>
    </row>
    <row r="367" spans="1:4" ht="13.2">
      <c r="A367" s="34"/>
      <c r="B367" s="65"/>
      <c r="C367" s="69"/>
      <c r="D367" s="69"/>
    </row>
    <row r="368" spans="1:4" ht="13.2">
      <c r="A368" s="34"/>
      <c r="B368" s="65"/>
      <c r="C368" s="69"/>
      <c r="D368" s="69"/>
    </row>
    <row r="369" spans="1:4" ht="13.2">
      <c r="A369" s="34"/>
      <c r="B369" s="65"/>
      <c r="C369" s="69"/>
      <c r="D369" s="69"/>
    </row>
    <row r="370" spans="1:4" ht="13.2">
      <c r="A370" s="34"/>
      <c r="B370" s="65"/>
      <c r="C370" s="69"/>
      <c r="D370" s="69"/>
    </row>
    <row r="371" spans="1:4" ht="13.2">
      <c r="A371" s="34"/>
      <c r="B371" s="65"/>
      <c r="C371" s="69"/>
      <c r="D371" s="69"/>
    </row>
    <row r="372" spans="1:4" ht="13.2">
      <c r="A372" s="34"/>
      <c r="B372" s="65"/>
      <c r="C372" s="69"/>
      <c r="D372" s="69"/>
    </row>
    <row r="373" spans="1:4" ht="13.2">
      <c r="A373" s="34"/>
      <c r="B373" s="65"/>
      <c r="C373" s="69"/>
      <c r="D373" s="69"/>
    </row>
    <row r="374" spans="1:4" ht="13.2">
      <c r="A374" s="34"/>
      <c r="B374" s="65"/>
      <c r="C374" s="69"/>
      <c r="D374" s="69"/>
    </row>
    <row r="375" spans="1:4" ht="13.2">
      <c r="A375" s="34"/>
      <c r="B375" s="65"/>
      <c r="C375" s="69"/>
      <c r="D375" s="69"/>
    </row>
    <row r="376" spans="1:4" ht="13.2">
      <c r="A376" s="34"/>
      <c r="B376" s="65"/>
      <c r="C376" s="69"/>
      <c r="D376" s="69"/>
    </row>
    <row r="377" spans="1:4" ht="13.2">
      <c r="A377" s="34"/>
      <c r="B377" s="65"/>
      <c r="C377" s="69"/>
      <c r="D377" s="69"/>
    </row>
    <row r="378" spans="1:4" ht="13.2">
      <c r="A378" s="34"/>
      <c r="B378" s="65"/>
      <c r="C378" s="69"/>
      <c r="D378" s="69"/>
    </row>
    <row r="379" spans="1:4" ht="13.2">
      <c r="A379" s="34"/>
      <c r="B379" s="65"/>
      <c r="C379" s="69"/>
      <c r="D379" s="69"/>
    </row>
    <row r="380" spans="1:4" ht="13.2">
      <c r="A380" s="34"/>
      <c r="B380" s="65"/>
      <c r="C380" s="69"/>
      <c r="D380" s="69"/>
    </row>
    <row r="381" spans="1:4" ht="13.2">
      <c r="A381" s="34"/>
      <c r="B381" s="65"/>
      <c r="C381" s="69"/>
      <c r="D381" s="69"/>
    </row>
    <row r="382" spans="1:4" ht="13.2">
      <c r="A382" s="34"/>
      <c r="B382" s="65"/>
      <c r="C382" s="69"/>
      <c r="D382" s="69"/>
    </row>
    <row r="383" spans="1:4" ht="13.2">
      <c r="A383" s="34"/>
      <c r="B383" s="65"/>
      <c r="C383" s="69"/>
      <c r="D383" s="69"/>
    </row>
    <row r="384" spans="1:4" ht="13.2">
      <c r="A384" s="34"/>
      <c r="B384" s="65"/>
      <c r="C384" s="69"/>
      <c r="D384" s="69"/>
    </row>
    <row r="385" spans="1:4" ht="13.2">
      <c r="A385" s="34"/>
      <c r="B385" s="65"/>
      <c r="C385" s="69"/>
      <c r="D385" s="69"/>
    </row>
    <row r="386" spans="1:4" ht="13.2">
      <c r="A386" s="34"/>
      <c r="B386" s="65"/>
      <c r="C386" s="69"/>
      <c r="D386" s="69"/>
    </row>
    <row r="387" spans="1:4" ht="13.2">
      <c r="A387" s="34"/>
      <c r="B387" s="65"/>
      <c r="C387" s="69"/>
      <c r="D387" s="69"/>
    </row>
    <row r="388" spans="1:4" ht="13.2">
      <c r="A388" s="34"/>
      <c r="B388" s="65"/>
      <c r="C388" s="69"/>
      <c r="D388" s="69"/>
    </row>
    <row r="389" spans="1:4" ht="13.2">
      <c r="A389" s="34"/>
      <c r="B389" s="65"/>
      <c r="C389" s="69"/>
      <c r="D389" s="69"/>
    </row>
    <row r="390" spans="1:4" ht="13.2">
      <c r="A390" s="34"/>
      <c r="B390" s="65"/>
      <c r="C390" s="69"/>
      <c r="D390" s="69"/>
    </row>
    <row r="391" spans="1:4" ht="13.2">
      <c r="A391" s="34"/>
      <c r="B391" s="65"/>
      <c r="C391" s="69"/>
      <c r="D391" s="69"/>
    </row>
    <row r="392" spans="1:4" ht="13.2">
      <c r="A392" s="34"/>
      <c r="B392" s="65"/>
      <c r="C392" s="69"/>
      <c r="D392" s="69"/>
    </row>
    <row r="393" spans="1:4" ht="13.2">
      <c r="A393" s="34"/>
      <c r="B393" s="65"/>
      <c r="C393" s="69"/>
      <c r="D393" s="69"/>
    </row>
    <row r="394" spans="1:4" ht="13.2">
      <c r="A394" s="34"/>
      <c r="B394" s="65"/>
      <c r="C394" s="69"/>
      <c r="D394" s="69"/>
    </row>
    <row r="395" spans="1:4" ht="13.2">
      <c r="A395" s="34"/>
      <c r="B395" s="65"/>
      <c r="C395" s="69"/>
      <c r="D395" s="69"/>
    </row>
    <row r="396" spans="1:4" ht="13.2">
      <c r="A396" s="34"/>
      <c r="B396" s="65"/>
      <c r="C396" s="69"/>
      <c r="D396" s="69"/>
    </row>
    <row r="397" spans="1:4" ht="13.2">
      <c r="A397" s="34"/>
      <c r="B397" s="65"/>
      <c r="C397" s="69"/>
      <c r="D397" s="69"/>
    </row>
    <row r="398" spans="1:4" ht="13.2">
      <c r="A398" s="34"/>
      <c r="B398" s="65"/>
      <c r="C398" s="69"/>
      <c r="D398" s="69"/>
    </row>
    <row r="399" spans="1:4" ht="13.2">
      <c r="A399" s="34"/>
      <c r="B399" s="65"/>
      <c r="C399" s="69"/>
      <c r="D399" s="69"/>
    </row>
    <row r="400" spans="1:4" ht="13.2">
      <c r="A400" s="34"/>
      <c r="B400" s="65"/>
      <c r="C400" s="69"/>
      <c r="D400" s="69"/>
    </row>
    <row r="401" spans="1:4" ht="13.2">
      <c r="A401" s="34"/>
      <c r="B401" s="65"/>
      <c r="C401" s="69"/>
      <c r="D401" s="69"/>
    </row>
    <row r="402" spans="1:4" ht="13.2">
      <c r="A402" s="34"/>
      <c r="B402" s="65"/>
      <c r="C402" s="69"/>
      <c r="D402" s="69"/>
    </row>
    <row r="403" spans="1:4" ht="13.2">
      <c r="A403" s="34"/>
      <c r="B403" s="65"/>
      <c r="C403" s="69"/>
      <c r="D403" s="69"/>
    </row>
    <row r="404" spans="1:4" ht="13.2">
      <c r="A404" s="34"/>
      <c r="B404" s="65"/>
      <c r="C404" s="69"/>
      <c r="D404" s="69"/>
    </row>
    <row r="405" spans="1:4" ht="13.2">
      <c r="A405" s="34"/>
      <c r="B405" s="65"/>
      <c r="C405" s="69"/>
      <c r="D405" s="69"/>
    </row>
    <row r="406" spans="1:4" ht="13.2">
      <c r="A406" s="34"/>
      <c r="B406" s="65"/>
      <c r="C406" s="69"/>
      <c r="D406" s="69"/>
    </row>
    <row r="407" spans="1:4" ht="13.2">
      <c r="A407" s="34"/>
      <c r="B407" s="65"/>
      <c r="C407" s="69"/>
      <c r="D407" s="69"/>
    </row>
    <row r="408" spans="1:4" ht="13.2">
      <c r="A408" s="34"/>
      <c r="B408" s="65"/>
      <c r="C408" s="69"/>
      <c r="D408" s="69"/>
    </row>
    <row r="409" spans="1:4" ht="13.2">
      <c r="A409" s="34"/>
      <c r="B409" s="65"/>
      <c r="C409" s="69"/>
      <c r="D409" s="69"/>
    </row>
    <row r="410" spans="1:4" ht="13.2">
      <c r="A410" s="34"/>
      <c r="B410" s="65"/>
      <c r="C410" s="69"/>
      <c r="D410" s="69"/>
    </row>
    <row r="411" spans="1:4" ht="13.2">
      <c r="A411" s="34"/>
      <c r="B411" s="65"/>
      <c r="C411" s="69"/>
      <c r="D411" s="69"/>
    </row>
    <row r="412" spans="1:4" ht="13.2">
      <c r="A412" s="34"/>
      <c r="B412" s="65"/>
      <c r="C412" s="69"/>
      <c r="D412" s="69"/>
    </row>
    <row r="413" spans="1:4" ht="13.2">
      <c r="A413" s="34"/>
      <c r="B413" s="65"/>
      <c r="C413" s="69"/>
      <c r="D413" s="69"/>
    </row>
    <row r="414" spans="1:4" ht="13.2">
      <c r="A414" s="34"/>
      <c r="B414" s="65"/>
      <c r="C414" s="69"/>
      <c r="D414" s="69"/>
    </row>
    <row r="415" spans="1:4" ht="13.2">
      <c r="A415" s="34"/>
      <c r="B415" s="65"/>
      <c r="C415" s="69"/>
      <c r="D415" s="69"/>
    </row>
    <row r="416" spans="1:4" ht="13.2">
      <c r="A416" s="34"/>
      <c r="B416" s="65"/>
      <c r="C416" s="69"/>
      <c r="D416" s="69"/>
    </row>
    <row r="417" spans="1:4" ht="13.2">
      <c r="A417" s="34"/>
      <c r="B417" s="65"/>
      <c r="C417" s="69"/>
      <c r="D417" s="69"/>
    </row>
    <row r="418" spans="1:4" ht="13.2">
      <c r="A418" s="34"/>
      <c r="B418" s="65"/>
      <c r="C418" s="69"/>
      <c r="D418" s="69"/>
    </row>
    <row r="419" spans="1:4" ht="13.2">
      <c r="A419" s="34"/>
      <c r="B419" s="65"/>
      <c r="C419" s="69"/>
      <c r="D419" s="69"/>
    </row>
    <row r="420" spans="1:4" ht="13.2">
      <c r="A420" s="34"/>
      <c r="B420" s="65"/>
      <c r="C420" s="69"/>
      <c r="D420" s="69"/>
    </row>
    <row r="421" spans="1:4" ht="13.2">
      <c r="A421" s="34"/>
      <c r="B421" s="65"/>
      <c r="C421" s="69"/>
      <c r="D421" s="69"/>
    </row>
    <row r="422" spans="1:4" ht="13.2">
      <c r="A422" s="34"/>
      <c r="B422" s="65"/>
      <c r="C422" s="69"/>
      <c r="D422" s="69"/>
    </row>
    <row r="423" spans="1:4" ht="13.2">
      <c r="A423" s="34"/>
      <c r="B423" s="65"/>
      <c r="C423" s="69"/>
      <c r="D423" s="69"/>
    </row>
    <row r="424" spans="1:4" ht="13.2">
      <c r="A424" s="34"/>
      <c r="B424" s="65"/>
      <c r="C424" s="69"/>
      <c r="D424" s="69"/>
    </row>
    <row r="425" spans="1:4" ht="13.2">
      <c r="A425" s="34"/>
      <c r="B425" s="65"/>
      <c r="C425" s="69"/>
      <c r="D425" s="69"/>
    </row>
    <row r="426" spans="1:4" ht="13.2">
      <c r="A426" s="34"/>
      <c r="B426" s="65"/>
      <c r="C426" s="69"/>
      <c r="D426" s="69"/>
    </row>
    <row r="427" spans="1:4" ht="13.2">
      <c r="A427" s="34"/>
      <c r="B427" s="65"/>
      <c r="C427" s="69"/>
      <c r="D427" s="69"/>
    </row>
    <row r="428" spans="1:4" ht="13.2">
      <c r="A428" s="34"/>
      <c r="B428" s="65"/>
      <c r="C428" s="69"/>
      <c r="D428" s="69"/>
    </row>
    <row r="429" spans="1:4" ht="13.2">
      <c r="A429" s="34"/>
      <c r="B429" s="65"/>
      <c r="C429" s="69"/>
      <c r="D429" s="69"/>
    </row>
    <row r="430" spans="1:4" ht="13.2">
      <c r="A430" s="34"/>
      <c r="B430" s="65"/>
      <c r="C430" s="69"/>
      <c r="D430" s="69"/>
    </row>
    <row r="431" spans="1:4" ht="13.2">
      <c r="A431" s="34"/>
      <c r="B431" s="65"/>
      <c r="C431" s="69"/>
      <c r="D431" s="69"/>
    </row>
    <row r="432" spans="1:4" ht="13.2">
      <c r="A432" s="34"/>
      <c r="B432" s="65"/>
      <c r="C432" s="69"/>
      <c r="D432" s="69"/>
    </row>
    <row r="433" spans="1:4" ht="13.2">
      <c r="A433" s="34"/>
      <c r="B433" s="65"/>
      <c r="C433" s="69"/>
      <c r="D433" s="69"/>
    </row>
    <row r="434" spans="1:4" ht="13.2">
      <c r="A434" s="34"/>
      <c r="B434" s="65"/>
      <c r="C434" s="69"/>
      <c r="D434" s="69"/>
    </row>
    <row r="435" spans="1:4" ht="13.2">
      <c r="A435" s="34"/>
      <c r="B435" s="65"/>
      <c r="C435" s="69"/>
      <c r="D435" s="69"/>
    </row>
    <row r="436" spans="1:4" ht="13.2">
      <c r="A436" s="34"/>
      <c r="B436" s="65"/>
      <c r="C436" s="69"/>
      <c r="D436" s="69"/>
    </row>
    <row r="437" spans="1:4" ht="13.2">
      <c r="A437" s="34"/>
      <c r="B437" s="65"/>
      <c r="C437" s="69"/>
      <c r="D437" s="69"/>
    </row>
    <row r="438" spans="1:4" ht="13.2">
      <c r="A438" s="34"/>
      <c r="B438" s="65"/>
      <c r="C438" s="69"/>
      <c r="D438" s="69"/>
    </row>
    <row r="439" spans="1:4" ht="13.2">
      <c r="A439" s="34"/>
      <c r="B439" s="65"/>
      <c r="C439" s="69"/>
      <c r="D439" s="69"/>
    </row>
    <row r="440" spans="1:4" ht="13.2">
      <c r="A440" s="34"/>
      <c r="B440" s="65"/>
      <c r="C440" s="69"/>
      <c r="D440" s="69"/>
    </row>
    <row r="441" spans="1:4" ht="13.2">
      <c r="A441" s="34"/>
      <c r="B441" s="65"/>
      <c r="C441" s="69"/>
      <c r="D441" s="69"/>
    </row>
    <row r="442" spans="1:4" ht="13.2">
      <c r="A442" s="34"/>
      <c r="B442" s="65"/>
      <c r="C442" s="69"/>
      <c r="D442" s="69"/>
    </row>
    <row r="443" spans="1:4" ht="13.2">
      <c r="A443" s="34"/>
      <c r="B443" s="65"/>
      <c r="C443" s="69"/>
      <c r="D443" s="69"/>
    </row>
    <row r="444" spans="1:4" ht="13.2">
      <c r="A444" s="34"/>
      <c r="B444" s="65"/>
      <c r="C444" s="69"/>
      <c r="D444" s="69"/>
    </row>
    <row r="445" spans="1:4" ht="13.2">
      <c r="A445" s="34"/>
      <c r="B445" s="65"/>
      <c r="C445" s="69"/>
      <c r="D445" s="69"/>
    </row>
    <row r="446" spans="1:4" ht="13.2">
      <c r="A446" s="34"/>
      <c r="B446" s="65"/>
      <c r="C446" s="69"/>
      <c r="D446" s="69"/>
    </row>
    <row r="447" spans="1:4" ht="13.2">
      <c r="A447" s="34"/>
      <c r="B447" s="65"/>
      <c r="C447" s="69"/>
      <c r="D447" s="69"/>
    </row>
    <row r="448" spans="1:4" ht="13.2">
      <c r="A448" s="34"/>
      <c r="B448" s="65"/>
      <c r="C448" s="69"/>
      <c r="D448" s="69"/>
    </row>
    <row r="449" spans="1:4" ht="13.2">
      <c r="A449" s="34"/>
      <c r="B449" s="65"/>
      <c r="C449" s="69"/>
      <c r="D449" s="69"/>
    </row>
    <row r="450" spans="1:4" ht="13.2">
      <c r="A450" s="34"/>
      <c r="B450" s="65"/>
      <c r="C450" s="69"/>
      <c r="D450" s="69"/>
    </row>
    <row r="451" spans="1:4" ht="13.2">
      <c r="A451" s="34"/>
      <c r="B451" s="65"/>
      <c r="C451" s="69"/>
      <c r="D451" s="69"/>
    </row>
    <row r="452" spans="1:4" ht="13.2">
      <c r="A452" s="34"/>
      <c r="B452" s="65"/>
      <c r="C452" s="69"/>
      <c r="D452" s="69"/>
    </row>
    <row r="453" spans="1:4" ht="13.2">
      <c r="A453" s="34"/>
      <c r="B453" s="65"/>
      <c r="C453" s="69"/>
      <c r="D453" s="69"/>
    </row>
    <row r="454" spans="1:4" ht="13.2">
      <c r="A454" s="34"/>
      <c r="B454" s="65"/>
      <c r="C454" s="69"/>
      <c r="D454" s="69"/>
    </row>
    <row r="455" spans="1:4" ht="13.2">
      <c r="A455" s="34"/>
      <c r="B455" s="65"/>
      <c r="C455" s="69"/>
      <c r="D455" s="69"/>
    </row>
    <row r="456" spans="1:4" ht="13.2">
      <c r="A456" s="34"/>
      <c r="B456" s="65"/>
      <c r="C456" s="69"/>
      <c r="D456" s="69"/>
    </row>
    <row r="457" spans="1:4" ht="13.2">
      <c r="A457" s="34"/>
      <c r="B457" s="65"/>
      <c r="C457" s="69"/>
      <c r="D457" s="69"/>
    </row>
    <row r="458" spans="1:4" ht="13.2">
      <c r="A458" s="34"/>
      <c r="B458" s="65"/>
      <c r="C458" s="69"/>
      <c r="D458" s="69"/>
    </row>
    <row r="459" spans="1:4" ht="13.2">
      <c r="A459" s="34"/>
      <c r="B459" s="65"/>
      <c r="C459" s="69"/>
      <c r="D459" s="69"/>
    </row>
    <row r="460" spans="1:4" ht="13.2">
      <c r="A460" s="34"/>
      <c r="B460" s="65"/>
      <c r="C460" s="69"/>
      <c r="D460" s="69"/>
    </row>
    <row r="461" spans="1:4" ht="13.2">
      <c r="A461" s="34"/>
      <c r="B461" s="65"/>
      <c r="C461" s="69"/>
      <c r="D461" s="69"/>
    </row>
    <row r="462" spans="1:4" ht="13.2">
      <c r="A462" s="34"/>
      <c r="B462" s="65"/>
      <c r="C462" s="69"/>
      <c r="D462" s="69"/>
    </row>
    <row r="463" spans="1:4" ht="13.2">
      <c r="A463" s="34"/>
      <c r="B463" s="65"/>
      <c r="C463" s="69"/>
      <c r="D463" s="69"/>
    </row>
    <row r="464" spans="1:4" ht="13.2">
      <c r="A464" s="34"/>
      <c r="B464" s="65"/>
      <c r="C464" s="69"/>
      <c r="D464" s="69"/>
    </row>
    <row r="465" spans="1:4" ht="13.2">
      <c r="A465" s="34"/>
      <c r="B465" s="65"/>
      <c r="C465" s="69"/>
      <c r="D465" s="69"/>
    </row>
    <row r="466" spans="1:4" ht="13.2">
      <c r="A466" s="34"/>
      <c r="B466" s="65"/>
      <c r="C466" s="69"/>
      <c r="D466" s="69"/>
    </row>
    <row r="467" spans="1:4" ht="13.2">
      <c r="A467" s="34"/>
      <c r="B467" s="65"/>
      <c r="C467" s="69"/>
      <c r="D467" s="69"/>
    </row>
    <row r="468" spans="1:4" ht="13.2">
      <c r="A468" s="34"/>
      <c r="B468" s="65"/>
      <c r="C468" s="69"/>
      <c r="D468" s="69"/>
    </row>
    <row r="469" spans="1:4" ht="13.2">
      <c r="A469" s="34"/>
      <c r="B469" s="65"/>
      <c r="C469" s="69"/>
      <c r="D469" s="69"/>
    </row>
    <row r="470" spans="1:4" ht="13.2">
      <c r="A470" s="34"/>
      <c r="B470" s="65"/>
      <c r="C470" s="69"/>
      <c r="D470" s="69"/>
    </row>
    <row r="471" spans="1:4" ht="13.2">
      <c r="A471" s="34"/>
      <c r="B471" s="65"/>
      <c r="C471" s="69"/>
      <c r="D471" s="69"/>
    </row>
    <row r="472" spans="1:4" ht="13.2">
      <c r="A472" s="34"/>
      <c r="B472" s="65"/>
      <c r="C472" s="69"/>
      <c r="D472" s="69"/>
    </row>
    <row r="473" spans="1:4" ht="13.2">
      <c r="A473" s="34"/>
      <c r="B473" s="65"/>
      <c r="C473" s="69"/>
      <c r="D473" s="69"/>
    </row>
    <row r="474" spans="1:4" ht="13.2">
      <c r="A474" s="34"/>
      <c r="B474" s="65"/>
      <c r="C474" s="69"/>
      <c r="D474" s="69"/>
    </row>
    <row r="475" spans="1:4" ht="13.2">
      <c r="A475" s="34"/>
      <c r="B475" s="65"/>
      <c r="C475" s="69"/>
      <c r="D475" s="69"/>
    </row>
    <row r="476" spans="1:4" ht="13.2">
      <c r="A476" s="34"/>
      <c r="B476" s="65"/>
      <c r="C476" s="69"/>
      <c r="D476" s="69"/>
    </row>
    <row r="477" spans="1:4" ht="13.2">
      <c r="A477" s="34"/>
      <c r="B477" s="65"/>
      <c r="C477" s="69"/>
      <c r="D477" s="69"/>
    </row>
    <row r="478" spans="1:4" ht="13.2">
      <c r="A478" s="34"/>
      <c r="B478" s="65"/>
      <c r="C478" s="69"/>
      <c r="D478" s="69"/>
    </row>
    <row r="479" spans="1:4" ht="13.2">
      <c r="A479" s="34"/>
      <c r="B479" s="65"/>
      <c r="C479" s="69"/>
      <c r="D479" s="69"/>
    </row>
    <row r="480" spans="1:4" ht="13.2">
      <c r="A480" s="34"/>
      <c r="B480" s="65"/>
      <c r="C480" s="69"/>
      <c r="D480" s="69"/>
    </row>
    <row r="481" spans="1:4" ht="13.2">
      <c r="A481" s="34"/>
      <c r="B481" s="65"/>
      <c r="C481" s="69"/>
      <c r="D481" s="69"/>
    </row>
    <row r="482" spans="1:4" ht="13.2">
      <c r="A482" s="34"/>
      <c r="B482" s="65"/>
      <c r="C482" s="69"/>
      <c r="D482" s="69"/>
    </row>
    <row r="483" spans="1:4" ht="13.2">
      <c r="A483" s="34"/>
      <c r="B483" s="65"/>
      <c r="C483" s="69"/>
      <c r="D483" s="69"/>
    </row>
    <row r="484" spans="1:4" ht="13.2">
      <c r="A484" s="34"/>
      <c r="B484" s="65"/>
      <c r="C484" s="69"/>
      <c r="D484" s="69"/>
    </row>
    <row r="485" spans="1:4" ht="13.2">
      <c r="A485" s="34"/>
      <c r="B485" s="65"/>
      <c r="C485" s="69"/>
      <c r="D485" s="69"/>
    </row>
    <row r="486" spans="1:4" ht="13.2">
      <c r="A486" s="34"/>
      <c r="B486" s="65"/>
      <c r="C486" s="69"/>
      <c r="D486" s="69"/>
    </row>
    <row r="487" spans="1:4" ht="13.2">
      <c r="A487" s="34"/>
      <c r="B487" s="65"/>
      <c r="C487" s="69"/>
      <c r="D487" s="69"/>
    </row>
    <row r="488" spans="1:4" ht="13.2">
      <c r="A488" s="34"/>
      <c r="B488" s="65"/>
      <c r="C488" s="69"/>
      <c r="D488" s="69"/>
    </row>
    <row r="489" spans="1:4" ht="13.2">
      <c r="A489" s="34"/>
      <c r="B489" s="65"/>
      <c r="C489" s="69"/>
      <c r="D489" s="69"/>
    </row>
    <row r="490" spans="1:4" ht="13.2">
      <c r="A490" s="34"/>
      <c r="B490" s="65"/>
      <c r="C490" s="69"/>
      <c r="D490" s="69"/>
    </row>
    <row r="491" spans="1:4" ht="13.2">
      <c r="A491" s="34"/>
      <c r="B491" s="65"/>
      <c r="C491" s="69"/>
      <c r="D491" s="69"/>
    </row>
    <row r="492" spans="1:4" ht="13.2">
      <c r="A492" s="34"/>
      <c r="B492" s="65"/>
      <c r="C492" s="69"/>
      <c r="D492" s="69"/>
    </row>
    <row r="493" spans="1:4" ht="13.2">
      <c r="A493" s="34"/>
      <c r="B493" s="65"/>
      <c r="C493" s="69"/>
      <c r="D493" s="69"/>
    </row>
    <row r="494" spans="1:4" ht="13.2">
      <c r="A494" s="34"/>
      <c r="B494" s="65"/>
      <c r="C494" s="69"/>
      <c r="D494" s="69"/>
    </row>
    <row r="495" spans="1:4" ht="13.2">
      <c r="A495" s="34"/>
      <c r="B495" s="65"/>
      <c r="C495" s="69"/>
      <c r="D495" s="69"/>
    </row>
    <row r="496" spans="1:4" ht="13.2">
      <c r="A496" s="34"/>
      <c r="B496" s="65"/>
      <c r="C496" s="69"/>
      <c r="D496" s="69"/>
    </row>
    <row r="497" spans="1:4" ht="13.2">
      <c r="A497" s="34"/>
      <c r="B497" s="65"/>
      <c r="C497" s="69"/>
      <c r="D497" s="69"/>
    </row>
    <row r="498" spans="1:4" ht="13.2">
      <c r="A498" s="34"/>
      <c r="B498" s="65"/>
      <c r="C498" s="69"/>
      <c r="D498" s="69"/>
    </row>
    <row r="499" spans="1:4" ht="13.2">
      <c r="A499" s="34"/>
      <c r="B499" s="65"/>
      <c r="C499" s="69"/>
      <c r="D499" s="69"/>
    </row>
    <row r="500" spans="1:4" ht="13.2">
      <c r="A500" s="34"/>
      <c r="B500" s="65"/>
      <c r="C500" s="69"/>
      <c r="D500" s="69"/>
    </row>
    <row r="501" spans="1:4" ht="13.2">
      <c r="A501" s="34"/>
      <c r="B501" s="65"/>
      <c r="C501" s="69"/>
      <c r="D501" s="69"/>
    </row>
    <row r="502" spans="1:4" ht="13.2">
      <c r="A502" s="34"/>
      <c r="B502" s="65"/>
      <c r="C502" s="69"/>
      <c r="D502" s="69"/>
    </row>
    <row r="503" spans="1:4" ht="13.2">
      <c r="A503" s="34"/>
      <c r="B503" s="65"/>
      <c r="C503" s="69"/>
      <c r="D503" s="69"/>
    </row>
    <row r="504" spans="1:4" ht="13.2">
      <c r="A504" s="34"/>
      <c r="B504" s="65"/>
      <c r="C504" s="69"/>
      <c r="D504" s="69"/>
    </row>
    <row r="505" spans="1:4" ht="13.2">
      <c r="A505" s="34"/>
      <c r="B505" s="65"/>
      <c r="C505" s="69"/>
      <c r="D505" s="69"/>
    </row>
    <row r="506" spans="1:4" ht="13.2">
      <c r="A506" s="34"/>
      <c r="B506" s="65"/>
      <c r="C506" s="69"/>
      <c r="D506" s="69"/>
    </row>
    <row r="507" spans="1:4" ht="13.2">
      <c r="A507" s="34"/>
      <c r="B507" s="65"/>
      <c r="C507" s="69"/>
      <c r="D507" s="69"/>
    </row>
    <row r="508" spans="1:4" ht="13.2">
      <c r="A508" s="34"/>
      <c r="B508" s="65"/>
      <c r="C508" s="69"/>
      <c r="D508" s="69"/>
    </row>
    <row r="509" spans="1:4" ht="13.2">
      <c r="A509" s="34"/>
      <c r="B509" s="65"/>
      <c r="C509" s="69"/>
      <c r="D509" s="69"/>
    </row>
    <row r="510" spans="1:4" ht="13.2">
      <c r="A510" s="34"/>
      <c r="B510" s="65"/>
      <c r="C510" s="69"/>
      <c r="D510" s="69"/>
    </row>
    <row r="511" spans="1:4" ht="13.2">
      <c r="A511" s="34"/>
      <c r="B511" s="65"/>
      <c r="C511" s="69"/>
      <c r="D511" s="69"/>
    </row>
    <row r="512" spans="1:4" ht="13.2">
      <c r="A512" s="34"/>
      <c r="B512" s="65"/>
      <c r="C512" s="69"/>
      <c r="D512" s="69"/>
    </row>
    <row r="513" spans="1:4" ht="13.2">
      <c r="A513" s="34"/>
      <c r="B513" s="65"/>
      <c r="C513" s="69"/>
      <c r="D513" s="69"/>
    </row>
    <row r="514" spans="1:4" ht="13.2">
      <c r="A514" s="34"/>
      <c r="B514" s="65"/>
      <c r="C514" s="69"/>
      <c r="D514" s="69"/>
    </row>
    <row r="515" spans="1:4" ht="13.2">
      <c r="A515" s="34"/>
      <c r="B515" s="65"/>
      <c r="C515" s="69"/>
      <c r="D515" s="69"/>
    </row>
    <row r="516" spans="1:4" ht="13.2">
      <c r="A516" s="34"/>
      <c r="B516" s="65"/>
      <c r="C516" s="69"/>
      <c r="D516" s="69"/>
    </row>
    <row r="517" spans="1:4" ht="13.2">
      <c r="A517" s="34"/>
      <c r="B517" s="65"/>
      <c r="C517" s="69"/>
      <c r="D517" s="69"/>
    </row>
    <row r="518" spans="1:4" ht="13.2">
      <c r="A518" s="34"/>
      <c r="B518" s="65"/>
      <c r="C518" s="69"/>
      <c r="D518" s="69"/>
    </row>
    <row r="519" spans="1:4" ht="13.2">
      <c r="A519" s="34"/>
      <c r="B519" s="65"/>
      <c r="C519" s="69"/>
      <c r="D519" s="69"/>
    </row>
    <row r="520" spans="1:4" ht="13.2">
      <c r="A520" s="34"/>
      <c r="B520" s="65"/>
      <c r="C520" s="69"/>
      <c r="D520" s="69"/>
    </row>
    <row r="521" spans="1:4" ht="13.2">
      <c r="A521" s="34"/>
      <c r="B521" s="65"/>
      <c r="C521" s="69"/>
      <c r="D521" s="69"/>
    </row>
    <row r="522" spans="1:4" ht="13.2">
      <c r="A522" s="34"/>
      <c r="B522" s="65"/>
      <c r="C522" s="69"/>
      <c r="D522" s="69"/>
    </row>
    <row r="523" spans="1:4" ht="13.2">
      <c r="A523" s="34"/>
      <c r="B523" s="65"/>
      <c r="C523" s="69"/>
      <c r="D523" s="69"/>
    </row>
    <row r="524" spans="1:4" ht="13.2">
      <c r="A524" s="34"/>
      <c r="B524" s="65"/>
      <c r="C524" s="69"/>
      <c r="D524" s="69"/>
    </row>
    <row r="525" spans="1:4" ht="13.2">
      <c r="A525" s="34"/>
      <c r="B525" s="65"/>
      <c r="C525" s="69"/>
      <c r="D525" s="69"/>
    </row>
    <row r="526" spans="1:4" ht="13.2">
      <c r="A526" s="34"/>
      <c r="B526" s="65"/>
      <c r="C526" s="69"/>
      <c r="D526" s="69"/>
    </row>
    <row r="527" spans="1:4" ht="13.2">
      <c r="A527" s="34"/>
      <c r="B527" s="65"/>
      <c r="C527" s="69"/>
      <c r="D527" s="69"/>
    </row>
    <row r="528" spans="1:4" ht="13.2">
      <c r="A528" s="34"/>
      <c r="B528" s="65"/>
      <c r="C528" s="69"/>
      <c r="D528" s="69"/>
    </row>
    <row r="529" spans="1:4" ht="13.2">
      <c r="A529" s="34"/>
      <c r="B529" s="65"/>
      <c r="C529" s="69"/>
      <c r="D529" s="69"/>
    </row>
    <row r="530" spans="1:4" ht="13.2">
      <c r="A530" s="34"/>
      <c r="B530" s="65"/>
      <c r="C530" s="69"/>
      <c r="D530" s="69"/>
    </row>
    <row r="531" spans="1:4" ht="13.2">
      <c r="A531" s="34"/>
      <c r="B531" s="65"/>
      <c r="C531" s="69"/>
      <c r="D531" s="69"/>
    </row>
    <row r="532" spans="1:4" ht="13.2">
      <c r="A532" s="34"/>
      <c r="B532" s="65"/>
      <c r="C532" s="69"/>
      <c r="D532" s="69"/>
    </row>
    <row r="533" spans="1:4" ht="13.2">
      <c r="A533" s="34"/>
      <c r="B533" s="65"/>
      <c r="C533" s="69"/>
      <c r="D533" s="69"/>
    </row>
    <row r="534" spans="1:4" ht="13.2">
      <c r="A534" s="34"/>
      <c r="B534" s="65"/>
      <c r="C534" s="69"/>
      <c r="D534" s="69"/>
    </row>
    <row r="535" spans="1:4" ht="13.2">
      <c r="A535" s="34"/>
      <c r="B535" s="65"/>
      <c r="C535" s="69"/>
      <c r="D535" s="69"/>
    </row>
    <row r="536" spans="1:4" ht="13.2">
      <c r="A536" s="34"/>
      <c r="B536" s="65"/>
      <c r="C536" s="69"/>
      <c r="D536" s="69"/>
    </row>
    <row r="537" spans="1:4" ht="13.2">
      <c r="A537" s="34"/>
      <c r="B537" s="65"/>
      <c r="C537" s="69"/>
      <c r="D537" s="69"/>
    </row>
    <row r="538" spans="1:4" ht="13.2">
      <c r="A538" s="34"/>
      <c r="B538" s="65"/>
      <c r="C538" s="69"/>
      <c r="D538" s="69"/>
    </row>
    <row r="539" spans="1:4" ht="13.2">
      <c r="A539" s="34"/>
      <c r="B539" s="65"/>
      <c r="C539" s="69"/>
      <c r="D539" s="69"/>
    </row>
    <row r="540" spans="1:4" ht="13.2">
      <c r="A540" s="34"/>
      <c r="B540" s="65"/>
      <c r="C540" s="69"/>
      <c r="D540" s="69"/>
    </row>
    <row r="541" spans="1:4" ht="13.2">
      <c r="A541" s="34"/>
      <c r="B541" s="65"/>
      <c r="C541" s="69"/>
      <c r="D541" s="69"/>
    </row>
    <row r="542" spans="1:4" ht="13.2">
      <c r="A542" s="34"/>
      <c r="B542" s="65"/>
      <c r="C542" s="69"/>
      <c r="D542" s="69"/>
    </row>
    <row r="543" spans="1:4" ht="13.2">
      <c r="A543" s="34"/>
      <c r="B543" s="65"/>
      <c r="C543" s="69"/>
      <c r="D543" s="69"/>
    </row>
    <row r="544" spans="1:4" ht="13.2">
      <c r="A544" s="34"/>
      <c r="B544" s="65"/>
      <c r="C544" s="69"/>
      <c r="D544" s="69"/>
    </row>
    <row r="545" spans="1:4" ht="13.2">
      <c r="A545" s="34"/>
      <c r="B545" s="65"/>
      <c r="C545" s="69"/>
      <c r="D545" s="69"/>
    </row>
    <row r="546" spans="1:4" ht="13.2">
      <c r="A546" s="34"/>
      <c r="B546" s="65"/>
      <c r="C546" s="69"/>
      <c r="D546" s="69"/>
    </row>
    <row r="547" spans="1:4" ht="13.2">
      <c r="A547" s="34"/>
      <c r="B547" s="65"/>
      <c r="C547" s="69"/>
      <c r="D547" s="69"/>
    </row>
    <row r="548" spans="1:4" ht="13.2">
      <c r="A548" s="34"/>
      <c r="B548" s="65"/>
      <c r="C548" s="69"/>
      <c r="D548" s="69"/>
    </row>
    <row r="549" spans="1:4" ht="13.2">
      <c r="A549" s="34"/>
      <c r="B549" s="65"/>
      <c r="C549" s="69"/>
      <c r="D549" s="69"/>
    </row>
    <row r="550" spans="1:4" ht="13.2">
      <c r="A550" s="34"/>
      <c r="B550" s="65"/>
      <c r="C550" s="69"/>
      <c r="D550" s="69"/>
    </row>
    <row r="551" spans="1:4" ht="13.2">
      <c r="A551" s="34"/>
      <c r="B551" s="65"/>
      <c r="C551" s="69"/>
      <c r="D551" s="69"/>
    </row>
    <row r="552" spans="1:4" ht="13.2">
      <c r="A552" s="34"/>
      <c r="B552" s="65"/>
      <c r="C552" s="69"/>
      <c r="D552" s="69"/>
    </row>
    <row r="553" spans="1:4" ht="13.2">
      <c r="A553" s="34"/>
      <c r="B553" s="65"/>
      <c r="C553" s="69"/>
      <c r="D553" s="69"/>
    </row>
    <row r="554" spans="1:4" ht="13.2">
      <c r="A554" s="34"/>
      <c r="B554" s="65"/>
      <c r="C554" s="69"/>
      <c r="D554" s="69"/>
    </row>
    <row r="555" spans="1:4" ht="13.2">
      <c r="A555" s="34"/>
      <c r="B555" s="65"/>
      <c r="C555" s="69"/>
      <c r="D555" s="69"/>
    </row>
    <row r="556" spans="1:4" ht="13.2">
      <c r="A556" s="34"/>
      <c r="B556" s="65"/>
      <c r="C556" s="69"/>
      <c r="D556" s="69"/>
    </row>
    <row r="557" spans="1:4" ht="13.2">
      <c r="A557" s="34"/>
      <c r="B557" s="65"/>
      <c r="C557" s="69"/>
      <c r="D557" s="69"/>
    </row>
    <row r="558" spans="1:4" ht="13.2">
      <c r="A558" s="34"/>
      <c r="B558" s="65"/>
      <c r="C558" s="69"/>
      <c r="D558" s="69"/>
    </row>
    <row r="559" spans="1:4" ht="13.2">
      <c r="A559" s="34"/>
      <c r="B559" s="65"/>
      <c r="C559" s="69"/>
      <c r="D559" s="69"/>
    </row>
    <row r="560" spans="1:4" ht="13.2">
      <c r="A560" s="34"/>
      <c r="B560" s="65"/>
      <c r="C560" s="69"/>
      <c r="D560" s="69"/>
    </row>
    <row r="561" spans="1:4" ht="13.2">
      <c r="A561" s="34"/>
      <c r="B561" s="65"/>
      <c r="C561" s="69"/>
      <c r="D561" s="69"/>
    </row>
    <row r="562" spans="1:4" ht="13.2">
      <c r="A562" s="34"/>
      <c r="B562" s="65"/>
      <c r="C562" s="69"/>
      <c r="D562" s="69"/>
    </row>
    <row r="563" spans="1:4" ht="13.2">
      <c r="A563" s="34"/>
      <c r="B563" s="65"/>
      <c r="C563" s="69"/>
      <c r="D563" s="69"/>
    </row>
    <row r="564" spans="1:4" ht="13.2">
      <c r="A564" s="34"/>
      <c r="B564" s="65"/>
      <c r="C564" s="69"/>
      <c r="D564" s="69"/>
    </row>
    <row r="565" spans="1:4" ht="13.2">
      <c r="A565" s="34"/>
      <c r="B565" s="65"/>
      <c r="C565" s="69"/>
      <c r="D565" s="69"/>
    </row>
    <row r="566" spans="1:4" ht="13.2">
      <c r="A566" s="34"/>
      <c r="B566" s="65"/>
      <c r="C566" s="69"/>
      <c r="D566" s="69"/>
    </row>
    <row r="567" spans="1:4" ht="13.2">
      <c r="A567" s="34"/>
      <c r="B567" s="65"/>
      <c r="C567" s="69"/>
      <c r="D567" s="69"/>
    </row>
    <row r="568" spans="1:4" ht="13.2">
      <c r="A568" s="34"/>
      <c r="B568" s="65"/>
      <c r="C568" s="69"/>
      <c r="D568" s="69"/>
    </row>
    <row r="569" spans="1:4" ht="13.2">
      <c r="A569" s="34"/>
      <c r="B569" s="65"/>
      <c r="C569" s="69"/>
      <c r="D569" s="69"/>
    </row>
    <row r="570" spans="1:4" ht="13.2">
      <c r="A570" s="34"/>
      <c r="B570" s="65"/>
      <c r="C570" s="69"/>
      <c r="D570" s="69"/>
    </row>
    <row r="571" spans="1:4" ht="13.2">
      <c r="A571" s="34"/>
      <c r="B571" s="65"/>
      <c r="C571" s="69"/>
      <c r="D571" s="69"/>
    </row>
    <row r="572" spans="1:4" ht="13.2">
      <c r="A572" s="34"/>
      <c r="B572" s="65"/>
      <c r="C572" s="69"/>
      <c r="D572" s="69"/>
    </row>
    <row r="573" spans="1:4" ht="13.2">
      <c r="A573" s="34"/>
      <c r="B573" s="65"/>
      <c r="C573" s="69"/>
      <c r="D573" s="69"/>
    </row>
    <row r="574" spans="1:4" ht="13.2">
      <c r="A574" s="34"/>
      <c r="B574" s="65"/>
      <c r="C574" s="69"/>
      <c r="D574" s="69"/>
    </row>
    <row r="575" spans="1:4" ht="13.2">
      <c r="A575" s="34"/>
      <c r="B575" s="65"/>
      <c r="C575" s="69"/>
      <c r="D575" s="69"/>
    </row>
    <row r="576" spans="1:4" ht="13.2">
      <c r="A576" s="34"/>
      <c r="B576" s="65"/>
      <c r="C576" s="69"/>
      <c r="D576" s="69"/>
    </row>
    <row r="577" spans="1:4" ht="13.2">
      <c r="A577" s="34"/>
      <c r="B577" s="65"/>
      <c r="C577" s="69"/>
      <c r="D577" s="69"/>
    </row>
    <row r="578" spans="1:4" ht="13.2">
      <c r="A578" s="34"/>
      <c r="B578" s="65"/>
      <c r="C578" s="69"/>
      <c r="D578" s="69"/>
    </row>
    <row r="579" spans="1:4" ht="13.2">
      <c r="A579" s="34"/>
      <c r="B579" s="65"/>
      <c r="C579" s="69"/>
      <c r="D579" s="69"/>
    </row>
    <row r="580" spans="1:4" ht="13.2">
      <c r="A580" s="34"/>
      <c r="B580" s="65"/>
      <c r="C580" s="69"/>
      <c r="D580" s="69"/>
    </row>
    <row r="581" spans="1:4" ht="13.2">
      <c r="A581" s="34"/>
      <c r="B581" s="65"/>
      <c r="C581" s="69"/>
      <c r="D581" s="69"/>
    </row>
    <row r="582" spans="1:4" ht="13.2">
      <c r="A582" s="34"/>
      <c r="B582" s="65"/>
      <c r="C582" s="69"/>
      <c r="D582" s="69"/>
    </row>
    <row r="583" spans="1:4" ht="13.2">
      <c r="A583" s="34"/>
      <c r="B583" s="65"/>
      <c r="C583" s="69"/>
      <c r="D583" s="69"/>
    </row>
    <row r="584" spans="1:4" ht="13.2">
      <c r="A584" s="34"/>
      <c r="B584" s="65"/>
      <c r="C584" s="69"/>
      <c r="D584" s="69"/>
    </row>
    <row r="585" spans="1:4" ht="13.2">
      <c r="A585" s="34"/>
      <c r="B585" s="65"/>
      <c r="C585" s="69"/>
      <c r="D585" s="69"/>
    </row>
    <row r="586" spans="1:4" ht="13.2">
      <c r="A586" s="34"/>
      <c r="B586" s="65"/>
      <c r="C586" s="69"/>
      <c r="D586" s="69"/>
    </row>
    <row r="587" spans="1:4" ht="13.2">
      <c r="A587" s="34"/>
      <c r="B587" s="65"/>
      <c r="C587" s="69"/>
      <c r="D587" s="69"/>
    </row>
    <row r="588" spans="1:4" ht="13.2">
      <c r="A588" s="34"/>
      <c r="B588" s="65"/>
      <c r="C588" s="69"/>
      <c r="D588" s="69"/>
    </row>
    <row r="589" spans="1:4" ht="13.2">
      <c r="A589" s="34"/>
      <c r="B589" s="65"/>
      <c r="C589" s="69"/>
      <c r="D589" s="69"/>
    </row>
    <row r="590" spans="1:4" ht="13.2">
      <c r="A590" s="34"/>
      <c r="B590" s="65"/>
      <c r="C590" s="69"/>
      <c r="D590" s="69"/>
    </row>
    <row r="591" spans="1:4" ht="13.2">
      <c r="A591" s="34"/>
      <c r="B591" s="65"/>
      <c r="C591" s="69"/>
      <c r="D591" s="69"/>
    </row>
    <row r="592" spans="1:4" ht="13.2">
      <c r="A592" s="34"/>
      <c r="B592" s="65"/>
      <c r="C592" s="69"/>
      <c r="D592" s="69"/>
    </row>
    <row r="593" spans="1:4" ht="13.2">
      <c r="A593" s="34"/>
      <c r="B593" s="65"/>
      <c r="C593" s="69"/>
      <c r="D593" s="69"/>
    </row>
    <row r="594" spans="1:4" ht="13.2">
      <c r="A594" s="34"/>
      <c r="B594" s="65"/>
      <c r="C594" s="69"/>
      <c r="D594" s="69"/>
    </row>
    <row r="595" spans="1:4" ht="13.2">
      <c r="A595" s="34"/>
      <c r="B595" s="65"/>
      <c r="C595" s="69"/>
      <c r="D595" s="69"/>
    </row>
    <row r="596" spans="1:4" ht="13.2">
      <c r="A596" s="34"/>
      <c r="B596" s="65"/>
      <c r="C596" s="69"/>
      <c r="D596" s="69"/>
    </row>
    <row r="597" spans="1:4" ht="13.2">
      <c r="A597" s="34"/>
      <c r="B597" s="65"/>
      <c r="C597" s="69"/>
      <c r="D597" s="69"/>
    </row>
    <row r="598" spans="1:4" ht="13.2">
      <c r="A598" s="34"/>
      <c r="B598" s="65"/>
      <c r="C598" s="69"/>
      <c r="D598" s="69"/>
    </row>
    <row r="599" spans="1:4" ht="13.2">
      <c r="A599" s="34"/>
      <c r="B599" s="65"/>
      <c r="C599" s="69"/>
      <c r="D599" s="69"/>
    </row>
    <row r="600" spans="1:4" ht="13.2">
      <c r="A600" s="34"/>
      <c r="B600" s="65"/>
      <c r="C600" s="69"/>
      <c r="D600" s="69"/>
    </row>
    <row r="601" spans="1:4" ht="13.2">
      <c r="A601" s="34"/>
      <c r="B601" s="65"/>
      <c r="C601" s="69"/>
      <c r="D601" s="69"/>
    </row>
    <row r="602" spans="1:4" ht="13.2">
      <c r="A602" s="34"/>
      <c r="B602" s="65"/>
      <c r="C602" s="69"/>
      <c r="D602" s="69"/>
    </row>
    <row r="603" spans="1:4" ht="13.2">
      <c r="A603" s="34"/>
      <c r="B603" s="65"/>
      <c r="C603" s="69"/>
      <c r="D603" s="69"/>
    </row>
    <row r="604" spans="1:4" ht="13.2">
      <c r="A604" s="34"/>
      <c r="B604" s="65"/>
      <c r="C604" s="69"/>
      <c r="D604" s="69"/>
    </row>
    <row r="605" spans="1:4" ht="13.2">
      <c r="A605" s="34"/>
      <c r="B605" s="65"/>
      <c r="C605" s="69"/>
      <c r="D605" s="69"/>
    </row>
    <row r="606" spans="1:4" ht="13.2">
      <c r="A606" s="34"/>
      <c r="B606" s="65"/>
      <c r="C606" s="69"/>
      <c r="D606" s="69"/>
    </row>
    <row r="607" spans="1:4" ht="13.2">
      <c r="A607" s="34"/>
      <c r="B607" s="65"/>
      <c r="C607" s="69"/>
      <c r="D607" s="69"/>
    </row>
    <row r="608" spans="1:4" ht="13.2">
      <c r="A608" s="34"/>
      <c r="B608" s="65"/>
      <c r="C608" s="69"/>
      <c r="D608" s="69"/>
    </row>
    <row r="609" spans="1:4" ht="13.2">
      <c r="A609" s="34"/>
      <c r="B609" s="65"/>
      <c r="C609" s="69"/>
      <c r="D609" s="69"/>
    </row>
    <row r="610" spans="1:4" ht="13.2">
      <c r="A610" s="34"/>
      <c r="B610" s="65"/>
      <c r="C610" s="69"/>
      <c r="D610" s="69"/>
    </row>
    <row r="611" spans="1:4" ht="13.2">
      <c r="A611" s="34"/>
      <c r="B611" s="65"/>
      <c r="C611" s="69"/>
      <c r="D611" s="69"/>
    </row>
    <row r="612" spans="1:4" ht="13.2">
      <c r="A612" s="34"/>
      <c r="B612" s="65"/>
      <c r="C612" s="69"/>
      <c r="D612" s="69"/>
    </row>
    <row r="613" spans="1:4" ht="13.2">
      <c r="A613" s="34"/>
      <c r="B613" s="65"/>
      <c r="C613" s="69"/>
      <c r="D613" s="69"/>
    </row>
    <row r="614" spans="1:4" ht="13.2">
      <c r="A614" s="34"/>
      <c r="B614" s="65"/>
      <c r="C614" s="69"/>
      <c r="D614" s="69"/>
    </row>
    <row r="615" spans="1:4" ht="13.2">
      <c r="A615" s="34"/>
      <c r="B615" s="65"/>
      <c r="C615" s="69"/>
      <c r="D615" s="69"/>
    </row>
    <row r="616" spans="1:4" ht="13.2">
      <c r="A616" s="34"/>
      <c r="B616" s="65"/>
      <c r="C616" s="69"/>
      <c r="D616" s="69"/>
    </row>
    <row r="617" spans="1:4" ht="13.2">
      <c r="A617" s="34"/>
      <c r="B617" s="65"/>
      <c r="C617" s="69"/>
      <c r="D617" s="69"/>
    </row>
    <row r="618" spans="1:4" ht="13.2">
      <c r="A618" s="34"/>
      <c r="B618" s="65"/>
      <c r="C618" s="69"/>
      <c r="D618" s="69"/>
    </row>
    <row r="619" spans="1:4" ht="13.2">
      <c r="A619" s="34"/>
      <c r="B619" s="65"/>
      <c r="C619" s="69"/>
      <c r="D619" s="69"/>
    </row>
    <row r="620" spans="1:4" ht="13.2">
      <c r="A620" s="34"/>
      <c r="B620" s="65"/>
      <c r="C620" s="69"/>
      <c r="D620" s="69"/>
    </row>
    <row r="621" spans="1:4" ht="13.2">
      <c r="A621" s="34"/>
      <c r="B621" s="65"/>
      <c r="C621" s="69"/>
      <c r="D621" s="69"/>
    </row>
    <row r="622" spans="1:4" ht="13.2">
      <c r="A622" s="34"/>
      <c r="B622" s="65"/>
      <c r="C622" s="69"/>
      <c r="D622" s="69"/>
    </row>
    <row r="623" spans="1:4" ht="13.2">
      <c r="A623" s="34"/>
      <c r="B623" s="65"/>
      <c r="C623" s="69"/>
      <c r="D623" s="69"/>
    </row>
    <row r="624" spans="1:4" ht="13.2">
      <c r="A624" s="34"/>
      <c r="B624" s="65"/>
      <c r="C624" s="69"/>
      <c r="D624" s="69"/>
    </row>
    <row r="625" spans="1:4" ht="13.2">
      <c r="A625" s="34"/>
      <c r="B625" s="65"/>
      <c r="C625" s="69"/>
      <c r="D625" s="69"/>
    </row>
    <row r="626" spans="1:4" ht="13.2">
      <c r="A626" s="34"/>
      <c r="B626" s="65"/>
      <c r="C626" s="69"/>
      <c r="D626" s="69"/>
    </row>
    <row r="627" spans="1:4" ht="13.2">
      <c r="A627" s="34"/>
      <c r="B627" s="65"/>
      <c r="C627" s="69"/>
      <c r="D627" s="69"/>
    </row>
    <row r="628" spans="1:4" ht="13.2">
      <c r="A628" s="34"/>
      <c r="B628" s="65"/>
      <c r="C628" s="69"/>
      <c r="D628" s="69"/>
    </row>
    <row r="629" spans="1:4" ht="13.2">
      <c r="A629" s="34"/>
      <c r="B629" s="65"/>
      <c r="C629" s="69"/>
      <c r="D629" s="69"/>
    </row>
    <row r="630" spans="1:4" ht="13.2">
      <c r="A630" s="34"/>
      <c r="B630" s="65"/>
      <c r="C630" s="69"/>
      <c r="D630" s="69"/>
    </row>
    <row r="631" spans="1:4" ht="13.2">
      <c r="A631" s="34"/>
      <c r="B631" s="65"/>
      <c r="C631" s="69"/>
      <c r="D631" s="69"/>
    </row>
    <row r="632" spans="1:4" ht="13.2">
      <c r="A632" s="34"/>
      <c r="B632" s="65"/>
      <c r="C632" s="69"/>
      <c r="D632" s="69"/>
    </row>
    <row r="633" spans="1:4" ht="13.2">
      <c r="A633" s="34"/>
      <c r="B633" s="65"/>
      <c r="C633" s="69"/>
      <c r="D633" s="69"/>
    </row>
    <row r="634" spans="1:4" ht="13.2">
      <c r="A634" s="34"/>
      <c r="B634" s="65"/>
      <c r="C634" s="69"/>
      <c r="D634" s="69"/>
    </row>
    <row r="635" spans="1:4" ht="13.2">
      <c r="A635" s="34"/>
      <c r="B635" s="65"/>
      <c r="C635" s="69"/>
      <c r="D635" s="69"/>
    </row>
    <row r="636" spans="1:4" ht="13.2">
      <c r="A636" s="34"/>
      <c r="B636" s="65"/>
      <c r="C636" s="69"/>
      <c r="D636" s="69"/>
    </row>
    <row r="637" spans="1:4" ht="13.2">
      <c r="A637" s="34"/>
      <c r="B637" s="65"/>
      <c r="C637" s="69"/>
      <c r="D637" s="69"/>
    </row>
    <row r="638" spans="1:4" ht="13.2">
      <c r="A638" s="34"/>
      <c r="B638" s="65"/>
      <c r="C638" s="69"/>
      <c r="D638" s="69"/>
    </row>
    <row r="639" spans="1:4" ht="13.2">
      <c r="A639" s="34"/>
      <c r="B639" s="65"/>
      <c r="C639" s="69"/>
      <c r="D639" s="69"/>
    </row>
    <row r="640" spans="1:4" ht="13.2">
      <c r="A640" s="34"/>
      <c r="B640" s="65"/>
      <c r="C640" s="69"/>
      <c r="D640" s="69"/>
    </row>
    <row r="641" spans="1:4" ht="13.2">
      <c r="A641" s="34"/>
      <c r="B641" s="65"/>
      <c r="C641" s="69"/>
      <c r="D641" s="69"/>
    </row>
    <row r="642" spans="1:4" ht="13.2">
      <c r="A642" s="34"/>
      <c r="B642" s="65"/>
      <c r="C642" s="69"/>
      <c r="D642" s="69"/>
    </row>
    <row r="643" spans="1:4" ht="13.2">
      <c r="A643" s="34"/>
      <c r="B643" s="65"/>
      <c r="C643" s="69"/>
      <c r="D643" s="69"/>
    </row>
    <row r="644" spans="1:4" ht="13.2">
      <c r="A644" s="34"/>
      <c r="B644" s="65"/>
      <c r="C644" s="69"/>
      <c r="D644" s="69"/>
    </row>
    <row r="645" spans="1:4" ht="13.2">
      <c r="A645" s="34"/>
      <c r="B645" s="65"/>
      <c r="C645" s="69"/>
      <c r="D645" s="69"/>
    </row>
    <row r="646" spans="1:4" ht="13.2">
      <c r="A646" s="34"/>
      <c r="B646" s="65"/>
      <c r="C646" s="69"/>
      <c r="D646" s="69"/>
    </row>
    <row r="647" spans="1:4" ht="13.2">
      <c r="A647" s="34"/>
      <c r="B647" s="65"/>
      <c r="C647" s="69"/>
      <c r="D647" s="69"/>
    </row>
    <row r="648" spans="1:4" ht="13.2">
      <c r="A648" s="34"/>
      <c r="B648" s="65"/>
      <c r="C648" s="69"/>
      <c r="D648" s="69"/>
    </row>
    <row r="649" spans="1:4" ht="13.2">
      <c r="A649" s="34"/>
      <c r="B649" s="65"/>
      <c r="C649" s="69"/>
      <c r="D649" s="69"/>
    </row>
    <row r="650" spans="1:4" ht="13.2">
      <c r="A650" s="34"/>
      <c r="B650" s="65"/>
      <c r="C650" s="69"/>
      <c r="D650" s="69"/>
    </row>
    <row r="651" spans="1:4" ht="13.2">
      <c r="A651" s="34"/>
      <c r="B651" s="65"/>
      <c r="C651" s="69"/>
      <c r="D651" s="69"/>
    </row>
    <row r="652" spans="1:4" ht="13.2">
      <c r="A652" s="34"/>
      <c r="B652" s="65"/>
      <c r="C652" s="69"/>
      <c r="D652" s="69"/>
    </row>
    <row r="653" spans="1:4" ht="13.2">
      <c r="A653" s="34"/>
      <c r="B653" s="65"/>
      <c r="C653" s="69"/>
      <c r="D653" s="69"/>
    </row>
    <row r="654" spans="1:4" ht="13.2">
      <c r="A654" s="34"/>
      <c r="B654" s="65"/>
      <c r="C654" s="69"/>
      <c r="D654" s="69"/>
    </row>
    <row r="655" spans="1:4" ht="13.2">
      <c r="A655" s="34"/>
      <c r="B655" s="65"/>
      <c r="C655" s="69"/>
      <c r="D655" s="69"/>
    </row>
    <row r="656" spans="1:4" ht="13.2">
      <c r="A656" s="34"/>
      <c r="B656" s="65"/>
      <c r="C656" s="69"/>
      <c r="D656" s="69"/>
    </row>
    <row r="657" spans="1:4" ht="13.2">
      <c r="A657" s="34"/>
      <c r="B657" s="65"/>
      <c r="C657" s="69"/>
      <c r="D657" s="69"/>
    </row>
    <row r="658" spans="1:4" ht="13.2">
      <c r="A658" s="34"/>
      <c r="B658" s="65"/>
      <c r="C658" s="69"/>
      <c r="D658" s="69"/>
    </row>
    <row r="659" spans="1:4" ht="13.2">
      <c r="A659" s="34"/>
      <c r="B659" s="65"/>
      <c r="C659" s="69"/>
      <c r="D659" s="69"/>
    </row>
    <row r="660" spans="1:4" ht="13.2">
      <c r="A660" s="34"/>
      <c r="B660" s="65"/>
      <c r="C660" s="69"/>
      <c r="D660" s="69"/>
    </row>
    <row r="661" spans="1:4" ht="13.2">
      <c r="A661" s="34"/>
      <c r="B661" s="65"/>
      <c r="C661" s="69"/>
      <c r="D661" s="69"/>
    </row>
    <row r="662" spans="1:4" ht="13.2">
      <c r="A662" s="34"/>
      <c r="B662" s="65"/>
      <c r="C662" s="69"/>
      <c r="D662" s="69"/>
    </row>
    <row r="663" spans="1:4" ht="13.2">
      <c r="A663" s="34"/>
      <c r="B663" s="65"/>
      <c r="C663" s="69"/>
      <c r="D663" s="69"/>
    </row>
    <row r="664" spans="1:4" ht="13.2">
      <c r="A664" s="34"/>
      <c r="B664" s="65"/>
      <c r="C664" s="69"/>
      <c r="D664" s="69"/>
    </row>
    <row r="665" spans="1:4" ht="13.2">
      <c r="A665" s="34"/>
      <c r="B665" s="65"/>
      <c r="C665" s="69"/>
      <c r="D665" s="69"/>
    </row>
    <row r="666" spans="1:4" ht="13.2">
      <c r="A666" s="34"/>
      <c r="B666" s="65"/>
      <c r="C666" s="69"/>
      <c r="D666" s="69"/>
    </row>
    <row r="667" spans="1:4" ht="13.2">
      <c r="A667" s="34"/>
      <c r="B667" s="65"/>
      <c r="C667" s="69"/>
      <c r="D667" s="69"/>
    </row>
    <row r="668" spans="1:4" ht="13.2">
      <c r="A668" s="34"/>
      <c r="B668" s="65"/>
      <c r="C668" s="69"/>
      <c r="D668" s="69"/>
    </row>
    <row r="669" spans="1:4" ht="13.2">
      <c r="A669" s="34"/>
      <c r="B669" s="65"/>
      <c r="C669" s="69"/>
      <c r="D669" s="69"/>
    </row>
    <row r="670" spans="1:4" ht="13.2">
      <c r="A670" s="34"/>
      <c r="B670" s="65"/>
      <c r="C670" s="69"/>
      <c r="D670" s="69"/>
    </row>
    <row r="671" spans="1:4" ht="13.2">
      <c r="A671" s="34"/>
      <c r="B671" s="65"/>
      <c r="C671" s="69"/>
      <c r="D671" s="69"/>
    </row>
    <row r="672" spans="1:4" ht="13.2">
      <c r="A672" s="34"/>
      <c r="B672" s="65"/>
      <c r="C672" s="69"/>
      <c r="D672" s="69"/>
    </row>
    <row r="673" spans="1:4" ht="13.2">
      <c r="A673" s="34"/>
      <c r="B673" s="65"/>
      <c r="C673" s="69"/>
      <c r="D673" s="69"/>
    </row>
    <row r="674" spans="1:4" ht="13.2">
      <c r="A674" s="34"/>
      <c r="B674" s="65"/>
      <c r="C674" s="69"/>
      <c r="D674" s="69"/>
    </row>
    <row r="675" spans="1:4" ht="13.2">
      <c r="A675" s="34"/>
      <c r="B675" s="65"/>
      <c r="C675" s="69"/>
      <c r="D675" s="69"/>
    </row>
    <row r="676" spans="1:4" ht="13.2">
      <c r="A676" s="34"/>
      <c r="B676" s="65"/>
      <c r="C676" s="69"/>
      <c r="D676" s="69"/>
    </row>
    <row r="677" spans="1:4" ht="13.2">
      <c r="A677" s="34"/>
      <c r="B677" s="65"/>
      <c r="C677" s="69"/>
      <c r="D677" s="69"/>
    </row>
    <row r="678" spans="1:4" ht="13.2">
      <c r="A678" s="34"/>
      <c r="B678" s="65"/>
      <c r="C678" s="69"/>
      <c r="D678" s="69"/>
    </row>
    <row r="679" spans="1:4" ht="13.2">
      <c r="A679" s="34"/>
      <c r="B679" s="65"/>
      <c r="C679" s="69"/>
      <c r="D679" s="69"/>
    </row>
    <row r="680" spans="1:4" ht="13.2">
      <c r="A680" s="34"/>
      <c r="B680" s="65"/>
      <c r="C680" s="69"/>
      <c r="D680" s="69"/>
    </row>
    <row r="681" spans="1:4" ht="13.2">
      <c r="A681" s="34"/>
      <c r="B681" s="65"/>
      <c r="C681" s="69"/>
      <c r="D681" s="69"/>
    </row>
    <row r="682" spans="1:4" ht="13.2">
      <c r="A682" s="34"/>
      <c r="B682" s="65"/>
      <c r="C682" s="69"/>
      <c r="D682" s="69"/>
    </row>
    <row r="683" spans="1:4" ht="13.2">
      <c r="A683" s="34"/>
      <c r="B683" s="65"/>
      <c r="C683" s="69"/>
      <c r="D683" s="69"/>
    </row>
    <row r="684" spans="1:4" ht="13.2">
      <c r="A684" s="34"/>
      <c r="B684" s="65"/>
      <c r="C684" s="69"/>
      <c r="D684" s="69"/>
    </row>
    <row r="685" spans="1:4" ht="13.2">
      <c r="A685" s="34"/>
      <c r="B685" s="65"/>
      <c r="C685" s="69"/>
      <c r="D685" s="69"/>
    </row>
    <row r="686" spans="1:4" ht="13.2">
      <c r="A686" s="34"/>
      <c r="B686" s="65"/>
      <c r="C686" s="69"/>
      <c r="D686" s="69"/>
    </row>
    <row r="687" spans="1:4" ht="13.2">
      <c r="A687" s="34"/>
      <c r="B687" s="65"/>
      <c r="C687" s="69"/>
      <c r="D687" s="69"/>
    </row>
    <row r="688" spans="1:4" ht="13.2">
      <c r="A688" s="34"/>
      <c r="B688" s="65"/>
      <c r="C688" s="69"/>
      <c r="D688" s="69"/>
    </row>
    <row r="689" spans="1:4" ht="13.2">
      <c r="A689" s="34"/>
      <c r="B689" s="65"/>
      <c r="C689" s="69"/>
      <c r="D689" s="69"/>
    </row>
    <row r="690" spans="1:4" ht="13.2">
      <c r="A690" s="34"/>
      <c r="B690" s="65"/>
      <c r="C690" s="69"/>
      <c r="D690" s="69"/>
    </row>
    <row r="691" spans="1:4" ht="13.2">
      <c r="A691" s="34"/>
      <c r="B691" s="65"/>
      <c r="C691" s="69"/>
      <c r="D691" s="69"/>
    </row>
    <row r="692" spans="1:4" ht="13.2">
      <c r="A692" s="34"/>
      <c r="B692" s="65"/>
      <c r="C692" s="69"/>
      <c r="D692" s="69"/>
    </row>
    <row r="693" spans="1:4" ht="13.2">
      <c r="A693" s="34"/>
      <c r="B693" s="65"/>
      <c r="C693" s="69"/>
      <c r="D693" s="69"/>
    </row>
    <row r="694" spans="1:4" ht="13.2">
      <c r="A694" s="34"/>
      <c r="B694" s="65"/>
      <c r="C694" s="69"/>
      <c r="D694" s="69"/>
    </row>
    <row r="695" spans="1:4" ht="13.2">
      <c r="A695" s="34"/>
      <c r="B695" s="65"/>
      <c r="C695" s="69"/>
      <c r="D695" s="69"/>
    </row>
    <row r="696" spans="1:4" ht="13.2">
      <c r="A696" s="34"/>
      <c r="B696" s="65"/>
      <c r="C696" s="69"/>
      <c r="D696" s="69"/>
    </row>
    <row r="697" spans="1:4" ht="13.2">
      <c r="A697" s="34"/>
      <c r="B697" s="65"/>
      <c r="C697" s="69"/>
      <c r="D697" s="69"/>
    </row>
    <row r="698" spans="1:4" ht="13.2">
      <c r="A698" s="34"/>
      <c r="B698" s="65"/>
      <c r="C698" s="69"/>
      <c r="D698" s="69"/>
    </row>
    <row r="699" spans="1:4" ht="13.2">
      <c r="A699" s="34"/>
      <c r="B699" s="65"/>
      <c r="C699" s="69"/>
      <c r="D699" s="69"/>
    </row>
    <row r="700" spans="1:4" ht="13.2">
      <c r="A700" s="34"/>
      <c r="B700" s="65"/>
      <c r="C700" s="69"/>
      <c r="D700" s="69"/>
    </row>
    <row r="701" spans="1:4" ht="13.2">
      <c r="A701" s="34"/>
      <c r="B701" s="65"/>
      <c r="C701" s="69"/>
      <c r="D701" s="69"/>
    </row>
    <row r="702" spans="1:4" ht="13.2">
      <c r="A702" s="34"/>
      <c r="B702" s="65"/>
      <c r="C702" s="69"/>
      <c r="D702" s="69"/>
    </row>
    <row r="703" spans="1:4" ht="13.2">
      <c r="A703" s="34"/>
      <c r="B703" s="65"/>
      <c r="C703" s="69"/>
      <c r="D703" s="69"/>
    </row>
    <row r="704" spans="1:4" ht="13.2">
      <c r="A704" s="34"/>
      <c r="B704" s="65"/>
      <c r="C704" s="69"/>
      <c r="D704" s="69"/>
    </row>
    <row r="705" spans="1:4" ht="13.2">
      <c r="A705" s="34"/>
      <c r="B705" s="65"/>
      <c r="C705" s="69"/>
      <c r="D705" s="69"/>
    </row>
    <row r="706" spans="1:4" ht="13.2">
      <c r="A706" s="34"/>
      <c r="B706" s="65"/>
      <c r="C706" s="69"/>
      <c r="D706" s="69"/>
    </row>
    <row r="707" spans="1:4" ht="13.2">
      <c r="A707" s="34"/>
      <c r="B707" s="65"/>
      <c r="C707" s="69"/>
      <c r="D707" s="69"/>
    </row>
    <row r="708" spans="1:4" ht="13.2">
      <c r="A708" s="34"/>
      <c r="B708" s="65"/>
      <c r="C708" s="69"/>
      <c r="D708" s="69"/>
    </row>
    <row r="709" spans="1:4" ht="13.2">
      <c r="A709" s="34"/>
      <c r="B709" s="65"/>
      <c r="C709" s="69"/>
      <c r="D709" s="69"/>
    </row>
    <row r="710" spans="1:4" ht="13.2">
      <c r="A710" s="34"/>
      <c r="B710" s="65"/>
      <c r="C710" s="69"/>
      <c r="D710" s="69"/>
    </row>
    <row r="711" spans="1:4" ht="13.2">
      <c r="A711" s="34"/>
      <c r="B711" s="65"/>
      <c r="C711" s="69"/>
      <c r="D711" s="69"/>
    </row>
    <row r="712" spans="1:4" ht="13.2">
      <c r="A712" s="34"/>
      <c r="B712" s="65"/>
      <c r="C712" s="69"/>
      <c r="D712" s="69"/>
    </row>
    <row r="713" spans="1:4" ht="13.2">
      <c r="A713" s="34"/>
      <c r="B713" s="65"/>
      <c r="C713" s="69"/>
      <c r="D713" s="69"/>
    </row>
    <row r="714" spans="1:4" ht="13.2">
      <c r="A714" s="34"/>
      <c r="B714" s="65"/>
      <c r="C714" s="69"/>
      <c r="D714" s="69"/>
    </row>
    <row r="715" spans="1:4" ht="13.2">
      <c r="A715" s="34"/>
      <c r="B715" s="65"/>
      <c r="C715" s="69"/>
      <c r="D715" s="69"/>
    </row>
    <row r="716" spans="1:4" ht="13.2">
      <c r="A716" s="34"/>
      <c r="B716" s="65"/>
      <c r="C716" s="69"/>
      <c r="D716" s="69"/>
    </row>
    <row r="717" spans="1:4" ht="13.2">
      <c r="A717" s="34"/>
      <c r="B717" s="65"/>
      <c r="C717" s="69"/>
      <c r="D717" s="69"/>
    </row>
    <row r="718" spans="1:4" ht="13.2">
      <c r="A718" s="34"/>
      <c r="B718" s="65"/>
      <c r="C718" s="69"/>
      <c r="D718" s="69"/>
    </row>
    <row r="719" spans="1:4" ht="13.2">
      <c r="A719" s="34"/>
      <c r="B719" s="65"/>
      <c r="C719" s="69"/>
      <c r="D719" s="69"/>
    </row>
    <row r="720" spans="1:4" ht="13.2">
      <c r="A720" s="34"/>
      <c r="B720" s="65"/>
      <c r="C720" s="69"/>
      <c r="D720" s="69"/>
    </row>
    <row r="721" spans="1:4" ht="13.2">
      <c r="A721" s="34"/>
      <c r="B721" s="65"/>
      <c r="C721" s="69"/>
      <c r="D721" s="69"/>
    </row>
    <row r="722" spans="1:4" ht="13.2">
      <c r="A722" s="34"/>
      <c r="B722" s="65"/>
      <c r="C722" s="69"/>
      <c r="D722" s="69"/>
    </row>
    <row r="723" spans="1:4" ht="13.2">
      <c r="A723" s="34"/>
      <c r="B723" s="65"/>
      <c r="C723" s="69"/>
      <c r="D723" s="69"/>
    </row>
    <row r="724" spans="1:4" ht="13.2">
      <c r="A724" s="34"/>
      <c r="B724" s="65"/>
      <c r="C724" s="69"/>
      <c r="D724" s="69"/>
    </row>
    <row r="725" spans="1:4" ht="13.2">
      <c r="A725" s="34"/>
      <c r="B725" s="65"/>
      <c r="C725" s="69"/>
      <c r="D725" s="69"/>
    </row>
    <row r="726" spans="1:4" ht="13.2">
      <c r="A726" s="34"/>
      <c r="B726" s="65"/>
      <c r="C726" s="69"/>
      <c r="D726" s="69"/>
    </row>
    <row r="727" spans="1:4" ht="13.2">
      <c r="A727" s="34"/>
      <c r="B727" s="65"/>
      <c r="C727" s="69"/>
      <c r="D727" s="69"/>
    </row>
    <row r="728" spans="1:4" ht="13.2">
      <c r="A728" s="34"/>
      <c r="B728" s="65"/>
      <c r="C728" s="69"/>
      <c r="D728" s="69"/>
    </row>
    <row r="729" spans="1:4" ht="13.2">
      <c r="A729" s="34"/>
      <c r="B729" s="65"/>
      <c r="C729" s="69"/>
      <c r="D729" s="69"/>
    </row>
    <row r="730" spans="1:4" ht="13.2">
      <c r="A730" s="34"/>
      <c r="B730" s="65"/>
      <c r="C730" s="69"/>
      <c r="D730" s="69"/>
    </row>
    <row r="731" spans="1:4" ht="13.2">
      <c r="A731" s="34"/>
      <c r="B731" s="65"/>
      <c r="C731" s="69"/>
      <c r="D731" s="69"/>
    </row>
    <row r="732" spans="1:4" ht="13.2">
      <c r="A732" s="34"/>
      <c r="B732" s="65"/>
      <c r="C732" s="69"/>
      <c r="D732" s="69"/>
    </row>
    <row r="733" spans="1:4" ht="13.2">
      <c r="A733" s="34"/>
      <c r="B733" s="65"/>
      <c r="C733" s="69"/>
      <c r="D733" s="69"/>
    </row>
    <row r="734" spans="1:4" ht="13.2">
      <c r="A734" s="34"/>
      <c r="B734" s="65"/>
      <c r="C734" s="69"/>
      <c r="D734" s="69"/>
    </row>
    <row r="735" spans="1:4" ht="13.2">
      <c r="A735" s="34"/>
      <c r="B735" s="65"/>
      <c r="C735" s="69"/>
      <c r="D735" s="69"/>
    </row>
    <row r="736" spans="1:4" ht="13.2">
      <c r="A736" s="34"/>
      <c r="B736" s="65"/>
      <c r="C736" s="69"/>
      <c r="D736" s="69"/>
    </row>
    <row r="737" spans="1:4" ht="13.2">
      <c r="A737" s="34"/>
      <c r="B737" s="65"/>
      <c r="C737" s="69"/>
      <c r="D737" s="69"/>
    </row>
    <row r="738" spans="1:4" ht="13.2">
      <c r="A738" s="34"/>
      <c r="B738" s="65"/>
      <c r="C738" s="69"/>
      <c r="D738" s="69"/>
    </row>
    <row r="739" spans="1:4" ht="13.2">
      <c r="A739" s="34"/>
      <c r="B739" s="65"/>
      <c r="C739" s="69"/>
      <c r="D739" s="69"/>
    </row>
    <row r="740" spans="1:4" ht="13.2">
      <c r="A740" s="34"/>
      <c r="B740" s="65"/>
      <c r="C740" s="69"/>
      <c r="D740" s="69"/>
    </row>
    <row r="741" spans="1:4" ht="13.2">
      <c r="A741" s="34"/>
      <c r="B741" s="65"/>
      <c r="C741" s="69"/>
      <c r="D741" s="69"/>
    </row>
    <row r="742" spans="1:4" ht="13.2">
      <c r="A742" s="34"/>
      <c r="B742" s="65"/>
      <c r="C742" s="69"/>
      <c r="D742" s="69"/>
    </row>
    <row r="743" spans="1:4" ht="13.2">
      <c r="A743" s="34"/>
      <c r="B743" s="65"/>
      <c r="C743" s="69"/>
      <c r="D743" s="69"/>
    </row>
    <row r="744" spans="1:4" ht="13.2">
      <c r="A744" s="34"/>
      <c r="B744" s="65"/>
      <c r="C744" s="69"/>
      <c r="D744" s="69"/>
    </row>
    <row r="745" spans="1:4" ht="13.2">
      <c r="A745" s="34"/>
      <c r="B745" s="65"/>
      <c r="C745" s="69"/>
      <c r="D745" s="69"/>
    </row>
    <row r="746" spans="1:4" ht="13.2">
      <c r="A746" s="34"/>
      <c r="B746" s="65"/>
      <c r="C746" s="69"/>
      <c r="D746" s="69"/>
    </row>
    <row r="747" spans="1:4" ht="13.2">
      <c r="A747" s="34"/>
      <c r="B747" s="65"/>
      <c r="C747" s="69"/>
      <c r="D747" s="69"/>
    </row>
    <row r="748" spans="1:4" ht="13.2">
      <c r="A748" s="34"/>
      <c r="B748" s="65"/>
      <c r="C748" s="69"/>
      <c r="D748" s="69"/>
    </row>
    <row r="749" spans="1:4" ht="13.2">
      <c r="A749" s="34"/>
      <c r="B749" s="65"/>
      <c r="C749" s="69"/>
      <c r="D749" s="69"/>
    </row>
    <row r="750" spans="1:4" ht="13.2">
      <c r="A750" s="34"/>
      <c r="B750" s="65"/>
      <c r="C750" s="69"/>
      <c r="D750" s="69"/>
    </row>
    <row r="751" spans="1:4" ht="13.2">
      <c r="A751" s="34"/>
      <c r="B751" s="65"/>
      <c r="C751" s="69"/>
      <c r="D751" s="69"/>
    </row>
    <row r="752" spans="1:4" ht="13.2">
      <c r="A752" s="34"/>
      <c r="B752" s="65"/>
      <c r="C752" s="69"/>
      <c r="D752" s="69"/>
    </row>
    <row r="753" spans="1:4" ht="13.2">
      <c r="A753" s="34"/>
      <c r="B753" s="65"/>
      <c r="C753" s="69"/>
      <c r="D753" s="69"/>
    </row>
    <row r="754" spans="1:4" ht="13.2">
      <c r="A754" s="34"/>
      <c r="B754" s="65"/>
      <c r="C754" s="69"/>
      <c r="D754" s="69"/>
    </row>
    <row r="755" spans="1:4" ht="13.2">
      <c r="A755" s="34"/>
      <c r="B755" s="65"/>
      <c r="C755" s="69"/>
      <c r="D755" s="69"/>
    </row>
    <row r="756" spans="1:4" ht="13.2">
      <c r="A756" s="34"/>
      <c r="B756" s="65"/>
      <c r="C756" s="69"/>
      <c r="D756" s="69"/>
    </row>
    <row r="757" spans="1:4" ht="13.2">
      <c r="A757" s="34"/>
      <c r="B757" s="65"/>
      <c r="C757" s="69"/>
      <c r="D757" s="69"/>
    </row>
    <row r="758" spans="1:4" ht="13.2">
      <c r="A758" s="34"/>
      <c r="B758" s="65"/>
      <c r="C758" s="69"/>
      <c r="D758" s="69"/>
    </row>
    <row r="759" spans="1:4" ht="13.2">
      <c r="A759" s="34"/>
      <c r="B759" s="65"/>
      <c r="C759" s="69"/>
      <c r="D759" s="69"/>
    </row>
    <row r="760" spans="1:4" ht="13.2">
      <c r="A760" s="34"/>
      <c r="B760" s="65"/>
      <c r="C760" s="69"/>
      <c r="D760" s="69"/>
    </row>
    <row r="761" spans="1:4" ht="13.2">
      <c r="A761" s="34"/>
      <c r="B761" s="65"/>
      <c r="C761" s="69"/>
      <c r="D761" s="69"/>
    </row>
    <row r="762" spans="1:4" ht="13.2">
      <c r="A762" s="34"/>
      <c r="B762" s="65"/>
      <c r="C762" s="69"/>
      <c r="D762" s="69"/>
    </row>
    <row r="763" spans="1:4" ht="13.2">
      <c r="A763" s="34"/>
      <c r="B763" s="65"/>
      <c r="C763" s="69"/>
      <c r="D763" s="69"/>
    </row>
    <row r="764" spans="1:4" ht="13.2">
      <c r="A764" s="34"/>
      <c r="B764" s="65"/>
      <c r="C764" s="69"/>
      <c r="D764" s="69"/>
    </row>
    <row r="765" spans="1:4" ht="13.2">
      <c r="A765" s="34"/>
      <c r="B765" s="65"/>
      <c r="C765" s="69"/>
      <c r="D765" s="69"/>
    </row>
    <row r="766" spans="1:4" ht="13.2">
      <c r="A766" s="34"/>
      <c r="B766" s="65"/>
      <c r="C766" s="69"/>
      <c r="D766" s="69"/>
    </row>
    <row r="767" spans="1:4" ht="13.2">
      <c r="A767" s="34"/>
      <c r="B767" s="65"/>
      <c r="C767" s="69"/>
      <c r="D767" s="69"/>
    </row>
    <row r="768" spans="1:4" ht="13.2">
      <c r="A768" s="34"/>
      <c r="B768" s="65"/>
      <c r="C768" s="69"/>
      <c r="D768" s="69"/>
    </row>
    <row r="769" spans="1:4" ht="13.2">
      <c r="A769" s="34"/>
      <c r="B769" s="65"/>
      <c r="C769" s="69"/>
      <c r="D769" s="69"/>
    </row>
    <row r="770" spans="1:4" ht="13.2">
      <c r="A770" s="34"/>
      <c r="B770" s="65"/>
      <c r="C770" s="69"/>
      <c r="D770" s="69"/>
    </row>
    <row r="771" spans="1:4" ht="13.2">
      <c r="A771" s="34"/>
      <c r="B771" s="65"/>
      <c r="C771" s="69"/>
      <c r="D771" s="69"/>
    </row>
    <row r="772" spans="1:4" ht="13.2">
      <c r="A772" s="34"/>
      <c r="B772" s="65"/>
      <c r="C772" s="69"/>
      <c r="D772" s="69"/>
    </row>
    <row r="773" spans="1:4" ht="13.2">
      <c r="A773" s="34"/>
      <c r="B773" s="65"/>
      <c r="C773" s="69"/>
      <c r="D773" s="69"/>
    </row>
    <row r="774" spans="1:4" ht="13.2">
      <c r="A774" s="34"/>
      <c r="B774" s="65"/>
      <c r="C774" s="69"/>
      <c r="D774" s="69"/>
    </row>
    <row r="775" spans="1:4" ht="13.2">
      <c r="A775" s="34"/>
      <c r="B775" s="65"/>
      <c r="C775" s="69"/>
      <c r="D775" s="69"/>
    </row>
    <row r="776" spans="1:4" ht="13.2">
      <c r="A776" s="34"/>
      <c r="B776" s="65"/>
      <c r="C776" s="69"/>
      <c r="D776" s="69"/>
    </row>
    <row r="777" spans="1:4" ht="13.2">
      <c r="A777" s="34"/>
      <c r="B777" s="65"/>
      <c r="C777" s="69"/>
      <c r="D777" s="69"/>
    </row>
    <row r="778" spans="1:4" ht="13.2">
      <c r="A778" s="34"/>
      <c r="B778" s="65"/>
      <c r="C778" s="69"/>
      <c r="D778" s="69"/>
    </row>
    <row r="779" spans="1:4" ht="13.2">
      <c r="A779" s="34"/>
      <c r="B779" s="65"/>
      <c r="C779" s="69"/>
      <c r="D779" s="69"/>
    </row>
    <row r="780" spans="1:4" ht="13.2">
      <c r="A780" s="34"/>
      <c r="B780" s="65"/>
      <c r="C780" s="69"/>
      <c r="D780" s="69"/>
    </row>
    <row r="781" spans="1:4" ht="13.2">
      <c r="A781" s="34"/>
      <c r="B781" s="65"/>
      <c r="C781" s="69"/>
      <c r="D781" s="69"/>
    </row>
    <row r="782" spans="1:4" ht="13.2">
      <c r="A782" s="34"/>
      <c r="B782" s="65"/>
      <c r="C782" s="69"/>
      <c r="D782" s="69"/>
    </row>
    <row r="783" spans="1:4" ht="13.2">
      <c r="A783" s="34"/>
      <c r="B783" s="65"/>
      <c r="C783" s="69"/>
      <c r="D783" s="69"/>
    </row>
    <row r="784" spans="1:4" ht="13.2">
      <c r="A784" s="34"/>
      <c r="B784" s="65"/>
      <c r="C784" s="69"/>
      <c r="D784" s="69"/>
    </row>
    <row r="785" spans="1:4" ht="13.2">
      <c r="A785" s="34"/>
      <c r="B785" s="65"/>
      <c r="C785" s="69"/>
      <c r="D785" s="69"/>
    </row>
    <row r="786" spans="1:4" ht="13.2">
      <c r="A786" s="34"/>
      <c r="B786" s="65"/>
      <c r="C786" s="69"/>
      <c r="D786" s="69"/>
    </row>
    <row r="787" spans="1:4" ht="13.2">
      <c r="A787" s="34"/>
      <c r="B787" s="65"/>
      <c r="C787" s="69"/>
      <c r="D787" s="69"/>
    </row>
    <row r="788" spans="1:4" ht="13.2">
      <c r="A788" s="34"/>
      <c r="B788" s="65"/>
      <c r="C788" s="69"/>
      <c r="D788" s="69"/>
    </row>
    <row r="789" spans="1:4" ht="13.2">
      <c r="A789" s="34"/>
      <c r="B789" s="65"/>
      <c r="C789" s="69"/>
      <c r="D789" s="69"/>
    </row>
    <row r="790" spans="1:4" ht="13.2">
      <c r="A790" s="34"/>
      <c r="B790" s="65"/>
      <c r="C790" s="69"/>
      <c r="D790" s="69"/>
    </row>
    <row r="791" spans="1:4" ht="13.2">
      <c r="A791" s="34"/>
      <c r="B791" s="65"/>
      <c r="C791" s="69"/>
      <c r="D791" s="69"/>
    </row>
    <row r="792" spans="1:4" ht="13.2">
      <c r="A792" s="34"/>
      <c r="B792" s="65"/>
      <c r="C792" s="69"/>
      <c r="D792" s="69"/>
    </row>
    <row r="793" spans="1:4" ht="13.2">
      <c r="A793" s="34"/>
      <c r="B793" s="65"/>
      <c r="C793" s="69"/>
      <c r="D793" s="69"/>
    </row>
    <row r="794" spans="1:4" ht="13.2">
      <c r="A794" s="34"/>
      <c r="B794" s="65"/>
      <c r="C794" s="69"/>
      <c r="D794" s="69"/>
    </row>
    <row r="795" spans="1:4" ht="13.2">
      <c r="A795" s="34"/>
      <c r="B795" s="65"/>
      <c r="C795" s="69"/>
      <c r="D795" s="69"/>
    </row>
    <row r="796" spans="1:4" ht="13.2">
      <c r="A796" s="34"/>
      <c r="B796" s="65"/>
      <c r="C796" s="69"/>
      <c r="D796" s="69"/>
    </row>
    <row r="797" spans="1:4" ht="13.2">
      <c r="A797" s="34"/>
      <c r="B797" s="65"/>
      <c r="C797" s="69"/>
      <c r="D797" s="69"/>
    </row>
    <row r="798" spans="1:4" ht="13.2">
      <c r="A798" s="34"/>
      <c r="B798" s="65"/>
      <c r="C798" s="69"/>
      <c r="D798" s="69"/>
    </row>
    <row r="799" spans="1:4" ht="13.2">
      <c r="A799" s="34"/>
      <c r="B799" s="65"/>
      <c r="C799" s="69"/>
      <c r="D799" s="69"/>
    </row>
    <row r="800" spans="1:4" ht="13.2">
      <c r="A800" s="34"/>
      <c r="B800" s="65"/>
      <c r="C800" s="69"/>
      <c r="D800" s="69"/>
    </row>
    <row r="801" spans="1:4" ht="13.2">
      <c r="A801" s="34"/>
      <c r="B801" s="65"/>
      <c r="C801" s="69"/>
      <c r="D801" s="69"/>
    </row>
    <row r="802" spans="1:4" ht="13.2">
      <c r="A802" s="34"/>
      <c r="B802" s="65"/>
      <c r="C802" s="69"/>
      <c r="D802" s="69"/>
    </row>
    <row r="803" spans="1:4" ht="13.2">
      <c r="A803" s="34"/>
      <c r="B803" s="65"/>
      <c r="C803" s="69"/>
      <c r="D803" s="69"/>
    </row>
    <row r="804" spans="1:4" ht="13.2">
      <c r="A804" s="34"/>
      <c r="B804" s="65"/>
      <c r="C804" s="69"/>
      <c r="D804" s="69"/>
    </row>
    <row r="805" spans="1:4" ht="13.2">
      <c r="A805" s="34"/>
      <c r="B805" s="65"/>
      <c r="C805" s="69"/>
      <c r="D805" s="69"/>
    </row>
    <row r="806" spans="1:4" ht="13.2">
      <c r="A806" s="34"/>
      <c r="B806" s="65"/>
      <c r="C806" s="69"/>
      <c r="D806" s="69"/>
    </row>
    <row r="807" spans="1:4" ht="13.2">
      <c r="A807" s="34"/>
      <c r="B807" s="65"/>
      <c r="C807" s="69"/>
      <c r="D807" s="69"/>
    </row>
    <row r="808" spans="1:4" ht="13.2">
      <c r="A808" s="34"/>
      <c r="B808" s="65"/>
      <c r="C808" s="69"/>
      <c r="D808" s="69"/>
    </row>
    <row r="809" spans="1:4" ht="13.2">
      <c r="A809" s="34"/>
      <c r="B809" s="65"/>
      <c r="C809" s="69"/>
      <c r="D809" s="69"/>
    </row>
    <row r="810" spans="1:4" ht="13.2">
      <c r="A810" s="34"/>
      <c r="B810" s="65"/>
      <c r="C810" s="69"/>
      <c r="D810" s="69"/>
    </row>
    <row r="811" spans="1:4" ht="13.2">
      <c r="A811" s="34"/>
      <c r="B811" s="65"/>
      <c r="C811" s="69"/>
      <c r="D811" s="69"/>
    </row>
    <row r="812" spans="1:4" ht="13.2">
      <c r="A812" s="34"/>
      <c r="B812" s="65"/>
      <c r="C812" s="69"/>
      <c r="D812" s="69"/>
    </row>
    <row r="813" spans="1:4" ht="13.2">
      <c r="A813" s="34"/>
      <c r="B813" s="65"/>
      <c r="C813" s="69"/>
      <c r="D813" s="69"/>
    </row>
    <row r="814" spans="1:4" ht="13.2">
      <c r="A814" s="34"/>
      <c r="B814" s="65"/>
      <c r="C814" s="69"/>
      <c r="D814" s="69"/>
    </row>
    <row r="815" spans="1:4" ht="13.2">
      <c r="A815" s="34"/>
      <c r="B815" s="65"/>
      <c r="C815" s="69"/>
      <c r="D815" s="69"/>
    </row>
    <row r="816" spans="1:4" ht="13.2">
      <c r="A816" s="34"/>
      <c r="B816" s="65"/>
      <c r="C816" s="69"/>
      <c r="D816" s="69"/>
    </row>
    <row r="817" spans="1:4" ht="13.2">
      <c r="A817" s="34"/>
      <c r="B817" s="65"/>
      <c r="C817" s="69"/>
      <c r="D817" s="69"/>
    </row>
    <row r="818" spans="1:4" ht="13.2">
      <c r="A818" s="34"/>
      <c r="B818" s="65"/>
      <c r="C818" s="69"/>
      <c r="D818" s="69"/>
    </row>
    <row r="819" spans="1:4" ht="13.2">
      <c r="A819" s="34"/>
      <c r="B819" s="65"/>
      <c r="C819" s="69"/>
      <c r="D819" s="69"/>
    </row>
    <row r="820" spans="1:4" ht="13.2">
      <c r="A820" s="34"/>
      <c r="B820" s="65"/>
      <c r="C820" s="69"/>
      <c r="D820" s="69"/>
    </row>
    <row r="821" spans="1:4" ht="13.2">
      <c r="A821" s="34"/>
      <c r="B821" s="65"/>
      <c r="C821" s="69"/>
      <c r="D821" s="69"/>
    </row>
    <row r="822" spans="1:4" ht="13.2">
      <c r="A822" s="34"/>
      <c r="B822" s="65"/>
      <c r="C822" s="69"/>
      <c r="D822" s="69"/>
    </row>
    <row r="823" spans="1:4" ht="13.2">
      <c r="A823" s="34"/>
      <c r="B823" s="65"/>
      <c r="C823" s="69"/>
      <c r="D823" s="69"/>
    </row>
    <row r="824" spans="1:4" ht="13.2">
      <c r="A824" s="34"/>
      <c r="B824" s="65"/>
      <c r="C824" s="69"/>
      <c r="D824" s="69"/>
    </row>
    <row r="825" spans="1:4" ht="13.2">
      <c r="A825" s="34"/>
      <c r="B825" s="65"/>
      <c r="C825" s="69"/>
      <c r="D825" s="69"/>
    </row>
    <row r="826" spans="1:4" ht="13.2">
      <c r="A826" s="34"/>
      <c r="B826" s="65"/>
      <c r="C826" s="69"/>
      <c r="D826" s="69"/>
    </row>
    <row r="827" spans="1:4" ht="13.2">
      <c r="A827" s="34"/>
      <c r="B827" s="65"/>
      <c r="C827" s="69"/>
      <c r="D827" s="69"/>
    </row>
    <row r="828" spans="1:4" ht="13.2">
      <c r="A828" s="34"/>
      <c r="B828" s="65"/>
      <c r="C828" s="69"/>
      <c r="D828" s="69"/>
    </row>
    <row r="829" spans="1:4" ht="13.2">
      <c r="A829" s="34"/>
      <c r="B829" s="65"/>
      <c r="C829" s="69"/>
      <c r="D829" s="69"/>
    </row>
    <row r="830" spans="1:4" ht="13.2">
      <c r="A830" s="34"/>
      <c r="B830" s="65"/>
      <c r="C830" s="69"/>
      <c r="D830" s="69"/>
    </row>
    <row r="831" spans="1:4" ht="13.2">
      <c r="A831" s="34"/>
      <c r="B831" s="65"/>
      <c r="C831" s="69"/>
      <c r="D831" s="69"/>
    </row>
    <row r="832" spans="1:4" ht="13.2">
      <c r="A832" s="34"/>
      <c r="B832" s="65"/>
      <c r="C832" s="69"/>
      <c r="D832" s="69"/>
    </row>
    <row r="833" spans="1:4" ht="13.2">
      <c r="A833" s="34"/>
      <c r="B833" s="65"/>
      <c r="C833" s="69"/>
      <c r="D833" s="69"/>
    </row>
    <row r="834" spans="1:4" ht="13.2">
      <c r="A834" s="34"/>
      <c r="B834" s="65"/>
      <c r="C834" s="69"/>
      <c r="D834" s="69"/>
    </row>
    <row r="835" spans="1:4" ht="13.2">
      <c r="A835" s="34"/>
      <c r="B835" s="65"/>
      <c r="C835" s="69"/>
      <c r="D835" s="69"/>
    </row>
    <row r="836" spans="1:4" ht="13.2">
      <c r="A836" s="34"/>
      <c r="B836" s="65"/>
      <c r="C836" s="69"/>
      <c r="D836" s="69"/>
    </row>
    <row r="837" spans="1:4" ht="13.2">
      <c r="A837" s="34"/>
      <c r="B837" s="65"/>
      <c r="C837" s="69"/>
      <c r="D837" s="69"/>
    </row>
    <row r="838" spans="1:4" ht="13.2">
      <c r="A838" s="34"/>
      <c r="B838" s="65"/>
      <c r="C838" s="69"/>
      <c r="D838" s="69"/>
    </row>
    <row r="839" spans="1:4" ht="13.2">
      <c r="A839" s="34"/>
      <c r="B839" s="65"/>
      <c r="C839" s="69"/>
      <c r="D839" s="69"/>
    </row>
    <row r="840" spans="1:4" ht="13.2">
      <c r="A840" s="34"/>
      <c r="B840" s="65"/>
      <c r="C840" s="69"/>
      <c r="D840" s="69"/>
    </row>
    <row r="841" spans="1:4" ht="13.2">
      <c r="A841" s="34"/>
      <c r="B841" s="65"/>
      <c r="C841" s="69"/>
      <c r="D841" s="69"/>
    </row>
    <row r="842" spans="1:4" ht="13.2">
      <c r="A842" s="34"/>
      <c r="B842" s="65"/>
      <c r="C842" s="69"/>
      <c r="D842" s="69"/>
    </row>
    <row r="843" spans="1:4" ht="13.2">
      <c r="A843" s="34"/>
      <c r="B843" s="65"/>
      <c r="C843" s="69"/>
      <c r="D843" s="69"/>
    </row>
    <row r="844" spans="1:4" ht="13.2">
      <c r="A844" s="34"/>
      <c r="B844" s="65"/>
      <c r="C844" s="69"/>
      <c r="D844" s="69"/>
    </row>
    <row r="845" spans="1:4" ht="13.2">
      <c r="A845" s="34"/>
      <c r="B845" s="65"/>
      <c r="C845" s="69"/>
      <c r="D845" s="69"/>
    </row>
    <row r="846" spans="1:4" ht="13.2">
      <c r="A846" s="34"/>
      <c r="B846" s="65"/>
      <c r="C846" s="69"/>
      <c r="D846" s="69"/>
    </row>
    <row r="847" spans="1:4" ht="13.2">
      <c r="A847" s="34"/>
      <c r="B847" s="65"/>
      <c r="C847" s="69"/>
      <c r="D847" s="69"/>
    </row>
    <row r="848" spans="1:4" ht="13.2">
      <c r="A848" s="34"/>
      <c r="B848" s="65"/>
      <c r="C848" s="69"/>
      <c r="D848" s="69"/>
    </row>
    <row r="849" spans="1:4" ht="13.2">
      <c r="A849" s="34"/>
      <c r="B849" s="65"/>
      <c r="C849" s="69"/>
      <c r="D849" s="69"/>
    </row>
    <row r="850" spans="1:4" ht="13.2">
      <c r="A850" s="34"/>
      <c r="B850" s="65"/>
      <c r="C850" s="69"/>
      <c r="D850" s="69"/>
    </row>
    <row r="851" spans="1:4" ht="13.2">
      <c r="A851" s="34"/>
      <c r="B851" s="65"/>
      <c r="C851" s="69"/>
      <c r="D851" s="69"/>
    </row>
    <row r="852" spans="1:4" ht="13.2">
      <c r="A852" s="34"/>
      <c r="B852" s="65"/>
      <c r="C852" s="69"/>
      <c r="D852" s="69"/>
    </row>
    <row r="853" spans="1:4" ht="13.2">
      <c r="A853" s="34"/>
      <c r="B853" s="65"/>
      <c r="C853" s="69"/>
      <c r="D853" s="69"/>
    </row>
    <row r="854" spans="1:4" ht="13.2">
      <c r="A854" s="34"/>
      <c r="B854" s="65"/>
      <c r="C854" s="69"/>
      <c r="D854" s="69"/>
    </row>
    <row r="855" spans="1:4" ht="13.2">
      <c r="A855" s="34"/>
      <c r="B855" s="65"/>
      <c r="C855" s="69"/>
      <c r="D855" s="69"/>
    </row>
    <row r="856" spans="1:4" ht="13.2">
      <c r="A856" s="34"/>
      <c r="B856" s="65"/>
      <c r="C856" s="69"/>
      <c r="D856" s="69"/>
    </row>
    <row r="857" spans="1:4" ht="13.2">
      <c r="A857" s="34"/>
      <c r="B857" s="65"/>
      <c r="C857" s="69"/>
      <c r="D857" s="69"/>
    </row>
    <row r="858" spans="1:4" ht="13.2">
      <c r="A858" s="34"/>
      <c r="B858" s="65"/>
      <c r="C858" s="69"/>
      <c r="D858" s="69"/>
    </row>
    <row r="859" spans="1:4" ht="13.2">
      <c r="A859" s="34"/>
      <c r="B859" s="65"/>
      <c r="C859" s="69"/>
      <c r="D859" s="69"/>
    </row>
    <row r="860" spans="1:4" ht="13.2">
      <c r="A860" s="34"/>
      <c r="B860" s="65"/>
      <c r="C860" s="69"/>
      <c r="D860" s="69"/>
    </row>
    <row r="861" spans="1:4" ht="13.2">
      <c r="A861" s="34"/>
      <c r="B861" s="65"/>
      <c r="C861" s="69"/>
      <c r="D861" s="69"/>
    </row>
    <row r="862" spans="1:4" ht="13.2">
      <c r="A862" s="34"/>
      <c r="B862" s="65"/>
      <c r="C862" s="69"/>
      <c r="D862" s="69"/>
    </row>
    <row r="863" spans="1:4" ht="13.2">
      <c r="A863" s="34"/>
      <c r="B863" s="65"/>
      <c r="C863" s="69"/>
      <c r="D863" s="69"/>
    </row>
    <row r="864" spans="1:4" ht="13.2">
      <c r="A864" s="34"/>
      <c r="B864" s="65"/>
      <c r="C864" s="69"/>
      <c r="D864" s="69"/>
    </row>
    <row r="865" spans="1:4" ht="13.2">
      <c r="A865" s="34"/>
      <c r="B865" s="65"/>
      <c r="C865" s="69"/>
      <c r="D865" s="69"/>
    </row>
    <row r="866" spans="1:4" ht="13.2">
      <c r="A866" s="34"/>
      <c r="B866" s="65"/>
      <c r="C866" s="69"/>
      <c r="D866" s="69"/>
    </row>
    <row r="867" spans="1:4" ht="13.2">
      <c r="A867" s="34"/>
      <c r="B867" s="65"/>
      <c r="C867" s="69"/>
      <c r="D867" s="69"/>
    </row>
    <row r="868" spans="1:4" ht="13.2">
      <c r="A868" s="34"/>
      <c r="B868" s="65"/>
      <c r="C868" s="69"/>
      <c r="D868" s="69"/>
    </row>
    <row r="869" spans="1:4" ht="13.2">
      <c r="A869" s="34"/>
      <c r="B869" s="65"/>
      <c r="C869" s="69"/>
      <c r="D869" s="69"/>
    </row>
    <row r="870" spans="1:4" ht="13.2">
      <c r="A870" s="34"/>
      <c r="B870" s="65"/>
      <c r="C870" s="69"/>
      <c r="D870" s="69"/>
    </row>
    <row r="871" spans="1:4" ht="13.2">
      <c r="A871" s="34"/>
      <c r="B871" s="65"/>
      <c r="C871" s="69"/>
      <c r="D871" s="69"/>
    </row>
    <row r="872" spans="1:4" ht="13.2">
      <c r="A872" s="34"/>
      <c r="B872" s="65"/>
      <c r="C872" s="69"/>
      <c r="D872" s="69"/>
    </row>
    <row r="873" spans="1:4" ht="13.2">
      <c r="A873" s="34"/>
      <c r="B873" s="65"/>
      <c r="C873" s="69"/>
      <c r="D873" s="69"/>
    </row>
    <row r="874" spans="1:4" ht="13.2">
      <c r="A874" s="34"/>
      <c r="B874" s="65"/>
      <c r="C874" s="69"/>
      <c r="D874" s="69"/>
    </row>
    <row r="875" spans="1:4" ht="13.2">
      <c r="A875" s="34"/>
      <c r="B875" s="65"/>
      <c r="C875" s="69"/>
      <c r="D875" s="69"/>
    </row>
    <row r="876" spans="1:4" ht="13.2">
      <c r="A876" s="34"/>
      <c r="B876" s="65"/>
      <c r="C876" s="69"/>
      <c r="D876" s="69"/>
    </row>
    <row r="877" spans="1:4" ht="13.2">
      <c r="A877" s="34"/>
      <c r="B877" s="65"/>
      <c r="C877" s="69"/>
      <c r="D877" s="69"/>
    </row>
    <row r="878" spans="1:4" ht="13.2">
      <c r="A878" s="34"/>
      <c r="B878" s="65"/>
      <c r="C878" s="69"/>
      <c r="D878" s="69"/>
    </row>
    <row r="879" spans="1:4" ht="13.2">
      <c r="A879" s="34"/>
      <c r="B879" s="65"/>
      <c r="C879" s="69"/>
      <c r="D879" s="69"/>
    </row>
    <row r="880" spans="1:4" ht="13.2">
      <c r="A880" s="34"/>
      <c r="B880" s="65"/>
      <c r="C880" s="69"/>
      <c r="D880" s="69"/>
    </row>
    <row r="881" spans="1:4" ht="13.2">
      <c r="A881" s="34"/>
      <c r="B881" s="65"/>
      <c r="C881" s="69"/>
      <c r="D881" s="69"/>
    </row>
    <row r="882" spans="1:4" ht="13.2">
      <c r="A882" s="34"/>
      <c r="B882" s="65"/>
      <c r="C882" s="69"/>
      <c r="D882" s="69"/>
    </row>
    <row r="883" spans="1:4" ht="13.2">
      <c r="A883" s="34"/>
      <c r="B883" s="65"/>
      <c r="C883" s="69"/>
      <c r="D883" s="69"/>
    </row>
    <row r="884" spans="1:4" ht="13.2">
      <c r="A884" s="34"/>
      <c r="B884" s="65"/>
      <c r="C884" s="69"/>
      <c r="D884" s="69"/>
    </row>
    <row r="885" spans="1:4" ht="13.2">
      <c r="A885" s="34"/>
      <c r="B885" s="65"/>
      <c r="C885" s="69"/>
      <c r="D885" s="69"/>
    </row>
    <row r="886" spans="1:4" ht="13.2">
      <c r="A886" s="34"/>
      <c r="B886" s="65"/>
      <c r="C886" s="69"/>
      <c r="D886" s="69"/>
    </row>
    <row r="887" spans="1:4" ht="13.2">
      <c r="A887" s="34"/>
      <c r="B887" s="65"/>
      <c r="C887" s="69"/>
      <c r="D887" s="69"/>
    </row>
    <row r="888" spans="1:4" ht="13.2">
      <c r="A888" s="34"/>
      <c r="B888" s="65"/>
      <c r="C888" s="69"/>
      <c r="D888" s="69"/>
    </row>
    <row r="889" spans="1:4" ht="13.2">
      <c r="A889" s="34"/>
      <c r="B889" s="65"/>
      <c r="C889" s="69"/>
      <c r="D889" s="69"/>
    </row>
    <row r="890" spans="1:4" ht="13.2">
      <c r="A890" s="34"/>
      <c r="B890" s="65"/>
      <c r="C890" s="69"/>
      <c r="D890" s="69"/>
    </row>
    <row r="891" spans="1:4" ht="13.2">
      <c r="A891" s="34"/>
      <c r="B891" s="65"/>
      <c r="C891" s="69"/>
      <c r="D891" s="69"/>
    </row>
    <row r="892" spans="1:4" ht="13.2">
      <c r="A892" s="34"/>
      <c r="B892" s="65"/>
      <c r="C892" s="69"/>
      <c r="D892" s="69"/>
    </row>
    <row r="893" spans="1:4" ht="13.2">
      <c r="A893" s="34"/>
      <c r="B893" s="65"/>
      <c r="C893" s="69"/>
      <c r="D893" s="69"/>
    </row>
    <row r="894" spans="1:4" ht="13.2">
      <c r="A894" s="34"/>
      <c r="B894" s="65"/>
      <c r="C894" s="69"/>
      <c r="D894" s="69"/>
    </row>
    <row r="895" spans="1:4" ht="13.2">
      <c r="A895" s="34"/>
      <c r="B895" s="65"/>
      <c r="C895" s="69"/>
      <c r="D895" s="69"/>
    </row>
    <row r="896" spans="1:4" ht="13.2">
      <c r="A896" s="34"/>
      <c r="B896" s="65"/>
      <c r="C896" s="69"/>
      <c r="D896" s="69"/>
    </row>
    <row r="897" spans="1:4" ht="13.2">
      <c r="A897" s="34"/>
      <c r="B897" s="65"/>
      <c r="C897" s="69"/>
      <c r="D897" s="69"/>
    </row>
    <row r="898" spans="1:4" ht="13.2">
      <c r="A898" s="34"/>
      <c r="B898" s="65"/>
      <c r="C898" s="69"/>
      <c r="D898" s="69"/>
    </row>
    <row r="899" spans="1:4" ht="13.2">
      <c r="A899" s="34"/>
      <c r="B899" s="65"/>
      <c r="C899" s="69"/>
      <c r="D899" s="69"/>
    </row>
    <row r="900" spans="1:4" ht="13.2">
      <c r="A900" s="34"/>
      <c r="B900" s="65"/>
      <c r="C900" s="69"/>
      <c r="D900" s="69"/>
    </row>
    <row r="901" spans="1:4" ht="13.2">
      <c r="A901" s="34"/>
      <c r="B901" s="65"/>
      <c r="C901" s="69"/>
      <c r="D901" s="69"/>
    </row>
    <row r="902" spans="1:4" ht="13.2">
      <c r="A902" s="34"/>
      <c r="B902" s="65"/>
      <c r="C902" s="69"/>
      <c r="D902" s="69"/>
    </row>
    <row r="903" spans="1:4" ht="13.2">
      <c r="A903" s="34"/>
      <c r="B903" s="65"/>
      <c r="C903" s="69"/>
      <c r="D903" s="69"/>
    </row>
    <row r="904" spans="1:4" ht="13.2">
      <c r="A904" s="34"/>
      <c r="B904" s="65"/>
      <c r="C904" s="69"/>
      <c r="D904" s="69"/>
    </row>
    <row r="905" spans="1:4" ht="13.2">
      <c r="A905" s="34"/>
      <c r="B905" s="65"/>
      <c r="C905" s="69"/>
      <c r="D905" s="69"/>
    </row>
    <row r="906" spans="1:4" ht="13.2">
      <c r="A906" s="34"/>
      <c r="B906" s="65"/>
      <c r="C906" s="69"/>
      <c r="D906" s="69"/>
    </row>
    <row r="907" spans="1:4" ht="13.2">
      <c r="A907" s="34"/>
      <c r="B907" s="65"/>
      <c r="C907" s="69"/>
      <c r="D907" s="69"/>
    </row>
    <row r="908" spans="1:4" ht="13.2">
      <c r="A908" s="34"/>
      <c r="B908" s="65"/>
      <c r="C908" s="69"/>
      <c r="D908" s="69"/>
    </row>
    <row r="909" spans="1:4" ht="13.2">
      <c r="A909" s="34"/>
      <c r="B909" s="65"/>
      <c r="C909" s="69"/>
      <c r="D909" s="69"/>
    </row>
    <row r="910" spans="1:4" ht="13.2">
      <c r="A910" s="34"/>
      <c r="B910" s="65"/>
      <c r="C910" s="69"/>
      <c r="D910" s="69"/>
    </row>
    <row r="911" spans="1:4" ht="13.2">
      <c r="A911" s="34"/>
      <c r="B911" s="65"/>
      <c r="C911" s="69"/>
      <c r="D911" s="69"/>
    </row>
    <row r="912" spans="1:4" ht="13.2">
      <c r="A912" s="34"/>
      <c r="B912" s="65"/>
      <c r="C912" s="69"/>
      <c r="D912" s="69"/>
    </row>
    <row r="913" spans="1:4" ht="13.2">
      <c r="A913" s="34"/>
      <c r="B913" s="65"/>
      <c r="C913" s="69"/>
      <c r="D913" s="69"/>
    </row>
    <row r="914" spans="1:4" ht="13.2">
      <c r="A914" s="34"/>
      <c r="B914" s="65"/>
      <c r="C914" s="69"/>
      <c r="D914" s="69"/>
    </row>
    <row r="915" spans="1:4" ht="13.2">
      <c r="A915" s="34"/>
      <c r="B915" s="65"/>
      <c r="C915" s="69"/>
      <c r="D915" s="69"/>
    </row>
    <row r="916" spans="1:4" ht="13.2">
      <c r="A916" s="34"/>
      <c r="B916" s="65"/>
      <c r="C916" s="69"/>
      <c r="D916" s="69"/>
    </row>
    <row r="917" spans="1:4" ht="13.2">
      <c r="A917" s="34"/>
      <c r="B917" s="65"/>
      <c r="C917" s="69"/>
      <c r="D917" s="69"/>
    </row>
    <row r="918" spans="1:4" ht="13.2">
      <c r="A918" s="34"/>
      <c r="B918" s="65"/>
      <c r="C918" s="69"/>
      <c r="D918" s="69"/>
    </row>
    <row r="919" spans="1:4" ht="13.2">
      <c r="A919" s="34"/>
      <c r="B919" s="65"/>
      <c r="C919" s="69"/>
      <c r="D919" s="69"/>
    </row>
    <row r="920" spans="1:4" ht="13.2">
      <c r="A920" s="34"/>
      <c r="B920" s="65"/>
      <c r="C920" s="69"/>
      <c r="D920" s="69"/>
    </row>
    <row r="921" spans="1:4" ht="13.2">
      <c r="A921" s="34"/>
      <c r="B921" s="65"/>
      <c r="C921" s="69"/>
      <c r="D921" s="69"/>
    </row>
    <row r="922" spans="1:4" ht="13.2">
      <c r="A922" s="34"/>
      <c r="B922" s="65"/>
      <c r="C922" s="69"/>
      <c r="D922" s="69"/>
    </row>
    <row r="923" spans="1:4" ht="13.2">
      <c r="A923" s="34"/>
      <c r="B923" s="65"/>
      <c r="C923" s="69"/>
      <c r="D923" s="69"/>
    </row>
    <row r="924" spans="1:4" ht="13.2">
      <c r="A924" s="34"/>
      <c r="B924" s="65"/>
      <c r="C924" s="69"/>
      <c r="D924" s="69"/>
    </row>
    <row r="925" spans="1:4" ht="13.2">
      <c r="A925" s="34"/>
      <c r="B925" s="65"/>
      <c r="C925" s="69"/>
      <c r="D925" s="69"/>
    </row>
    <row r="926" spans="1:4" ht="13.2">
      <c r="A926" s="34"/>
      <c r="B926" s="65"/>
      <c r="C926" s="69"/>
      <c r="D926" s="69"/>
    </row>
    <row r="927" spans="1:4" ht="13.2">
      <c r="A927" s="34"/>
      <c r="B927" s="65"/>
      <c r="C927" s="69"/>
      <c r="D927" s="69"/>
    </row>
    <row r="928" spans="1:4" ht="13.2">
      <c r="A928" s="34"/>
      <c r="B928" s="65"/>
      <c r="C928" s="69"/>
      <c r="D928" s="69"/>
    </row>
    <row r="929" spans="1:4" ht="13.2">
      <c r="A929" s="34"/>
      <c r="B929" s="65"/>
      <c r="C929" s="69"/>
      <c r="D929" s="69"/>
    </row>
    <row r="930" spans="1:4" ht="13.2">
      <c r="A930" s="34"/>
      <c r="B930" s="65"/>
      <c r="C930" s="69"/>
      <c r="D930" s="69"/>
    </row>
    <row r="931" spans="1:4" ht="13.2">
      <c r="A931" s="34"/>
      <c r="B931" s="65"/>
      <c r="C931" s="69"/>
      <c r="D931" s="69"/>
    </row>
    <row r="932" spans="1:4" ht="13.2">
      <c r="A932" s="34"/>
      <c r="B932" s="65"/>
      <c r="C932" s="69"/>
      <c r="D932" s="69"/>
    </row>
    <row r="933" spans="1:4" ht="13.2">
      <c r="A933" s="34"/>
      <c r="B933" s="65"/>
      <c r="C933" s="69"/>
      <c r="D933" s="69"/>
    </row>
    <row r="934" spans="1:4" ht="13.2">
      <c r="A934" s="34"/>
      <c r="B934" s="65"/>
      <c r="C934" s="69"/>
      <c r="D934" s="69"/>
    </row>
    <row r="935" spans="1:4" ht="13.2">
      <c r="A935" s="34"/>
      <c r="B935" s="65"/>
      <c r="C935" s="69"/>
      <c r="D935" s="69"/>
    </row>
    <row r="936" spans="1:4" ht="13.2">
      <c r="A936" s="34"/>
      <c r="B936" s="65"/>
      <c r="C936" s="69"/>
      <c r="D936" s="69"/>
    </row>
    <row r="937" spans="1:4" ht="13.2">
      <c r="A937" s="34"/>
      <c r="B937" s="65"/>
      <c r="C937" s="69"/>
      <c r="D937" s="69"/>
    </row>
    <row r="938" spans="1:4" ht="13.2">
      <c r="A938" s="34"/>
      <c r="B938" s="65"/>
      <c r="C938" s="69"/>
      <c r="D938" s="69"/>
    </row>
    <row r="939" spans="1:4" ht="13.2">
      <c r="A939" s="34"/>
      <c r="B939" s="65"/>
      <c r="C939" s="69"/>
      <c r="D939" s="69"/>
    </row>
    <row r="940" spans="1:4" ht="13.2">
      <c r="A940" s="34"/>
      <c r="B940" s="65"/>
      <c r="C940" s="69"/>
      <c r="D940" s="69"/>
    </row>
    <row r="941" spans="1:4" ht="13.2">
      <c r="A941" s="34"/>
      <c r="B941" s="65"/>
      <c r="C941" s="69"/>
      <c r="D941" s="69"/>
    </row>
    <row r="942" spans="1:4" ht="13.2">
      <c r="A942" s="34"/>
      <c r="B942" s="65"/>
      <c r="C942" s="69"/>
      <c r="D942" s="69"/>
    </row>
    <row r="943" spans="1:4" ht="13.2">
      <c r="A943" s="34"/>
      <c r="B943" s="65"/>
      <c r="C943" s="69"/>
      <c r="D943" s="69"/>
    </row>
    <row r="944" spans="1:4" ht="13.2">
      <c r="A944" s="34"/>
      <c r="B944" s="65"/>
      <c r="C944" s="69"/>
      <c r="D944" s="69"/>
    </row>
    <row r="945" spans="1:4" ht="13.2">
      <c r="A945" s="34"/>
      <c r="B945" s="65"/>
      <c r="C945" s="69"/>
      <c r="D945" s="69"/>
    </row>
    <row r="946" spans="1:4" ht="13.2">
      <c r="A946" s="34"/>
      <c r="B946" s="65"/>
      <c r="C946" s="69"/>
      <c r="D946" s="69"/>
    </row>
    <row r="947" spans="1:4" ht="13.2">
      <c r="A947" s="34"/>
      <c r="B947" s="65"/>
      <c r="C947" s="69"/>
      <c r="D947" s="69"/>
    </row>
    <row r="948" spans="1:4" ht="13.2">
      <c r="A948" s="34"/>
      <c r="B948" s="65"/>
      <c r="C948" s="69"/>
      <c r="D948" s="69"/>
    </row>
    <row r="949" spans="1:4" ht="13.2">
      <c r="A949" s="34"/>
      <c r="B949" s="65"/>
      <c r="C949" s="69"/>
      <c r="D949" s="69"/>
    </row>
    <row r="950" spans="1:4" ht="13.2">
      <c r="A950" s="34"/>
      <c r="B950" s="65"/>
      <c r="C950" s="69"/>
      <c r="D950" s="69"/>
    </row>
    <row r="951" spans="1:4" ht="13.2">
      <c r="A951" s="34"/>
      <c r="B951" s="65"/>
      <c r="C951" s="69"/>
      <c r="D951" s="69"/>
    </row>
    <row r="952" spans="1:4" ht="13.2">
      <c r="A952" s="34"/>
      <c r="B952" s="65"/>
      <c r="C952" s="69"/>
      <c r="D952" s="69"/>
    </row>
    <row r="953" spans="1:4" ht="13.2">
      <c r="A953" s="34"/>
      <c r="B953" s="65"/>
      <c r="C953" s="69"/>
      <c r="D953" s="69"/>
    </row>
    <row r="954" spans="1:4" ht="13.2">
      <c r="A954" s="34"/>
      <c r="B954" s="65"/>
      <c r="C954" s="69"/>
      <c r="D954" s="69"/>
    </row>
    <row r="955" spans="1:4" ht="13.2">
      <c r="A955" s="34"/>
      <c r="B955" s="65"/>
      <c r="C955" s="69"/>
      <c r="D955" s="69"/>
    </row>
    <row r="956" spans="1:4" ht="13.2">
      <c r="A956" s="34"/>
      <c r="B956" s="65"/>
      <c r="C956" s="69"/>
      <c r="D956" s="69"/>
    </row>
    <row r="957" spans="1:4" ht="13.2">
      <c r="A957" s="34"/>
      <c r="B957" s="65"/>
      <c r="C957" s="69"/>
      <c r="D957" s="69"/>
    </row>
    <row r="958" spans="1:4" ht="13.2">
      <c r="A958" s="34"/>
      <c r="B958" s="65"/>
      <c r="C958" s="69"/>
      <c r="D958" s="69"/>
    </row>
    <row r="959" spans="1:4" ht="13.2">
      <c r="A959" s="34"/>
      <c r="B959" s="65"/>
      <c r="C959" s="69"/>
      <c r="D959" s="69"/>
    </row>
    <row r="960" spans="1:4" ht="13.2">
      <c r="A960" s="34"/>
      <c r="B960" s="65"/>
      <c r="C960" s="69"/>
      <c r="D960" s="69"/>
    </row>
    <row r="961" spans="1:4" ht="13.2">
      <c r="A961" s="34"/>
      <c r="B961" s="65"/>
      <c r="C961" s="69"/>
      <c r="D961" s="69"/>
    </row>
    <row r="962" spans="1:4" ht="13.2">
      <c r="A962" s="34"/>
      <c r="B962" s="65"/>
      <c r="C962" s="69"/>
      <c r="D962" s="69"/>
    </row>
    <row r="963" spans="1:4" ht="13.2">
      <c r="A963" s="34"/>
      <c r="B963" s="65"/>
      <c r="C963" s="69"/>
      <c r="D963" s="69"/>
    </row>
    <row r="964" spans="1:4" ht="13.2">
      <c r="A964" s="34"/>
      <c r="B964" s="65"/>
      <c r="C964" s="69"/>
      <c r="D964" s="69"/>
    </row>
    <row r="965" spans="1:4" ht="13.2">
      <c r="A965" s="34"/>
      <c r="B965" s="65"/>
      <c r="C965" s="69"/>
      <c r="D965" s="69"/>
    </row>
    <row r="966" spans="1:4" ht="13.2">
      <c r="A966" s="34"/>
      <c r="B966" s="65"/>
      <c r="C966" s="69"/>
      <c r="D966" s="69"/>
    </row>
    <row r="967" spans="1:4" ht="13.2">
      <c r="A967" s="34"/>
      <c r="B967" s="65"/>
      <c r="C967" s="69"/>
      <c r="D967" s="69"/>
    </row>
    <row r="968" spans="1:4" ht="13.2">
      <c r="A968" s="34"/>
      <c r="B968" s="65"/>
      <c r="C968" s="69"/>
      <c r="D968" s="69"/>
    </row>
    <row r="969" spans="1:4" ht="13.2">
      <c r="A969" s="34"/>
      <c r="B969" s="65"/>
      <c r="C969" s="69"/>
      <c r="D969" s="69"/>
    </row>
    <row r="970" spans="1:4" ht="13.2">
      <c r="A970" s="34"/>
      <c r="B970" s="65"/>
      <c r="C970" s="69"/>
      <c r="D970" s="69"/>
    </row>
    <row r="971" spans="1:4" ht="13.2">
      <c r="A971" s="34"/>
      <c r="B971" s="65"/>
      <c r="C971" s="69"/>
      <c r="D971" s="69"/>
    </row>
    <row r="972" spans="1:4" ht="13.2">
      <c r="A972" s="34"/>
      <c r="B972" s="65"/>
      <c r="C972" s="69"/>
      <c r="D972" s="69"/>
    </row>
    <row r="973" spans="1:4" ht="13.2">
      <c r="A973" s="34"/>
      <c r="B973" s="65"/>
      <c r="C973" s="69"/>
      <c r="D973" s="69"/>
    </row>
    <row r="974" spans="1:4" ht="13.2">
      <c r="A974" s="34"/>
      <c r="B974" s="65"/>
      <c r="C974" s="69"/>
      <c r="D974" s="69"/>
    </row>
    <row r="975" spans="1:4" ht="13.2">
      <c r="A975" s="34"/>
      <c r="B975" s="65"/>
      <c r="C975" s="69"/>
      <c r="D975" s="69"/>
    </row>
    <row r="976" spans="1:4" ht="13.2">
      <c r="A976" s="34"/>
      <c r="B976" s="65"/>
      <c r="C976" s="69"/>
      <c r="D976" s="69"/>
    </row>
    <row r="977" spans="1:4" ht="13.2">
      <c r="A977" s="34"/>
      <c r="B977" s="65"/>
      <c r="C977" s="69"/>
      <c r="D977" s="69"/>
    </row>
    <row r="978" spans="1:4" ht="13.2">
      <c r="A978" s="34"/>
      <c r="B978" s="65"/>
      <c r="C978" s="69"/>
      <c r="D978" s="69"/>
    </row>
    <row r="979" spans="1:4" ht="13.2">
      <c r="A979" s="34"/>
      <c r="B979" s="65"/>
      <c r="C979" s="69"/>
      <c r="D979" s="69"/>
    </row>
    <row r="980" spans="1:4" ht="13.2">
      <c r="A980" s="34"/>
      <c r="B980" s="65"/>
      <c r="C980" s="69"/>
      <c r="D980" s="69"/>
    </row>
    <row r="981" spans="1:4" ht="13.2">
      <c r="A981" s="34"/>
      <c r="B981" s="65"/>
      <c r="C981" s="69"/>
      <c r="D981" s="69"/>
    </row>
    <row r="982" spans="1:4" ht="13.2">
      <c r="A982" s="34"/>
      <c r="B982" s="65"/>
      <c r="C982" s="69"/>
      <c r="D982" s="69"/>
    </row>
    <row r="983" spans="1:4" ht="13.2">
      <c r="A983" s="34"/>
      <c r="B983" s="65"/>
      <c r="C983" s="69"/>
      <c r="D983" s="69"/>
    </row>
    <row r="984" spans="1:4" ht="13.2">
      <c r="A984" s="34"/>
      <c r="B984" s="65"/>
      <c r="C984" s="69"/>
      <c r="D984" s="69"/>
    </row>
    <row r="985" spans="1:4" ht="13.2">
      <c r="A985" s="34"/>
      <c r="B985" s="65"/>
      <c r="C985" s="69"/>
      <c r="D985" s="69"/>
    </row>
    <row r="986" spans="1:4" ht="13.2">
      <c r="A986" s="34"/>
      <c r="B986" s="65"/>
      <c r="C986" s="69"/>
      <c r="D986" s="69"/>
    </row>
    <row r="987" spans="1:4" ht="13.2">
      <c r="A987" s="34"/>
      <c r="B987" s="65"/>
      <c r="C987" s="69"/>
      <c r="D987" s="69"/>
    </row>
    <row r="988" spans="1:4" ht="13.2">
      <c r="A988" s="34"/>
      <c r="B988" s="65"/>
      <c r="C988" s="69"/>
      <c r="D988" s="69"/>
    </row>
    <row r="989" spans="1:4" ht="13.2">
      <c r="A989" s="34"/>
      <c r="B989" s="65"/>
      <c r="C989" s="69"/>
      <c r="D989" s="69"/>
    </row>
    <row r="990" spans="1:4" ht="13.2">
      <c r="A990" s="34"/>
      <c r="B990" s="65"/>
      <c r="C990" s="69"/>
      <c r="D990" s="69"/>
    </row>
    <row r="991" spans="1:4" ht="13.2">
      <c r="A991" s="34"/>
      <c r="B991" s="65"/>
      <c r="C991" s="69"/>
      <c r="D991" s="69"/>
    </row>
    <row r="992" spans="1:4" ht="13.2">
      <c r="A992" s="34"/>
      <c r="B992" s="65"/>
      <c r="C992" s="69"/>
      <c r="D992" s="69"/>
    </row>
    <row r="993" spans="1:4" ht="13.2">
      <c r="A993" s="34"/>
      <c r="B993" s="65"/>
      <c r="C993" s="69"/>
      <c r="D993" s="69"/>
    </row>
    <row r="994" spans="1:4" ht="13.2">
      <c r="A994" s="34"/>
      <c r="B994" s="65"/>
      <c r="C994" s="69"/>
      <c r="D994" s="69"/>
    </row>
    <row r="995" spans="1:4" ht="13.2">
      <c r="A995" s="34"/>
      <c r="B995" s="65"/>
      <c r="C995" s="69"/>
      <c r="D995" s="69"/>
    </row>
    <row r="996" spans="1:4" ht="13.2">
      <c r="A996" s="34"/>
      <c r="B996" s="65"/>
      <c r="C996" s="69"/>
      <c r="D996" s="69"/>
    </row>
    <row r="997" spans="1:4" ht="13.2">
      <c r="A997" s="34"/>
      <c r="B997" s="65"/>
      <c r="C997" s="69"/>
      <c r="D997" s="69"/>
    </row>
    <row r="998" spans="1:4" ht="13.2">
      <c r="A998" s="34"/>
      <c r="B998" s="65"/>
      <c r="C998" s="69"/>
      <c r="D998" s="69"/>
    </row>
    <row r="999" spans="1:4" ht="13.2">
      <c r="A999" s="34"/>
      <c r="B999" s="65"/>
      <c r="C999" s="69"/>
      <c r="D999" s="69"/>
    </row>
    <row r="1000" spans="1:4" ht="13.2">
      <c r="A1000" s="34"/>
      <c r="B1000" s="65"/>
      <c r="C1000" s="69"/>
      <c r="D1000" s="69"/>
    </row>
    <row r="1001" spans="1:4" ht="13.2">
      <c r="A1001" s="34"/>
      <c r="B1001" s="65"/>
      <c r="C1001" s="69"/>
      <c r="D1001" s="69"/>
    </row>
    <row r="1002" spans="1:4" ht="13.2">
      <c r="A1002" s="34"/>
      <c r="B1002" s="65"/>
      <c r="C1002" s="69"/>
      <c r="D1002" s="69"/>
    </row>
    <row r="1003" spans="1:4" ht="13.2">
      <c r="A1003" s="34"/>
      <c r="B1003" s="65"/>
      <c r="C1003" s="69"/>
      <c r="D1003" s="69"/>
    </row>
    <row r="1004" spans="1:4" ht="13.2">
      <c r="A1004" s="34"/>
      <c r="B1004" s="65"/>
      <c r="C1004" s="69"/>
      <c r="D1004" s="69"/>
    </row>
    <row r="1005" spans="1:4" ht="13.2">
      <c r="A1005" s="34"/>
      <c r="B1005" s="65"/>
      <c r="C1005" s="69"/>
      <c r="D1005" s="69"/>
    </row>
    <row r="1006" spans="1:4" ht="13.2">
      <c r="A1006" s="34"/>
      <c r="B1006" s="65"/>
      <c r="C1006" s="69"/>
      <c r="D1006" s="69"/>
    </row>
    <row r="1007" spans="1:4" ht="13.2">
      <c r="A1007" s="34"/>
      <c r="B1007" s="65"/>
      <c r="C1007" s="69"/>
      <c r="D1007" s="69"/>
    </row>
    <row r="1008" spans="1:4" ht="13.2">
      <c r="A1008" s="34"/>
      <c r="B1008" s="65"/>
      <c r="C1008" s="69"/>
      <c r="D1008" s="69"/>
    </row>
    <row r="1009" spans="1:4" ht="13.2">
      <c r="A1009" s="34"/>
      <c r="B1009" s="65"/>
      <c r="C1009" s="69"/>
      <c r="D1009" s="69"/>
    </row>
    <row r="1010" spans="1:4" ht="13.2">
      <c r="A1010" s="34"/>
      <c r="B1010" s="65"/>
      <c r="C1010" s="69"/>
      <c r="D1010" s="69"/>
    </row>
    <row r="1011" spans="1:4" ht="13.2">
      <c r="A1011" s="34"/>
      <c r="B1011" s="65"/>
      <c r="C1011" s="69"/>
      <c r="D1011" s="69"/>
    </row>
    <row r="1012" spans="1:4" ht="13.2">
      <c r="A1012" s="34"/>
      <c r="B1012" s="65"/>
      <c r="C1012" s="69"/>
      <c r="D1012" s="69"/>
    </row>
    <row r="1013" spans="1:4" ht="13.2">
      <c r="A1013" s="34"/>
      <c r="B1013" s="65"/>
      <c r="C1013" s="69"/>
      <c r="D1013" s="69"/>
    </row>
    <row r="1014" spans="1:4" ht="13.2">
      <c r="A1014" s="34"/>
      <c r="B1014" s="65"/>
      <c r="C1014" s="69"/>
      <c r="D1014" s="69"/>
    </row>
    <row r="1015" spans="1:4" ht="13.2">
      <c r="A1015" s="34"/>
      <c r="B1015" s="65"/>
      <c r="C1015" s="69"/>
      <c r="D1015" s="6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F1000"/>
  <sheetViews>
    <sheetView workbookViewId="0"/>
  </sheetViews>
  <sheetFormatPr baseColWidth="10" defaultColWidth="12.6640625" defaultRowHeight="15.75" customHeight="1"/>
  <cols>
    <col min="1" max="1" width="14" customWidth="1"/>
    <col min="3" max="4" width="12.109375" customWidth="1"/>
  </cols>
  <sheetData>
    <row r="1" spans="1:6" ht="15.75" customHeight="1">
      <c r="A1" s="45" t="s">
        <v>376</v>
      </c>
      <c r="B1" s="61" t="s">
        <v>362</v>
      </c>
      <c r="C1" s="46" t="s">
        <v>365</v>
      </c>
      <c r="D1" s="46" t="s">
        <v>368</v>
      </c>
    </row>
    <row r="2" spans="1:6" ht="15.75" customHeight="1">
      <c r="A2" s="53">
        <v>1</v>
      </c>
      <c r="B2" s="61" t="s">
        <v>369</v>
      </c>
      <c r="C2" s="53">
        <v>181.50036257754903</v>
      </c>
      <c r="D2" s="53">
        <v>220.53686058364792</v>
      </c>
      <c r="E2" s="70"/>
      <c r="F2" s="70"/>
    </row>
    <row r="3" spans="1:6" ht="15.75" customHeight="1">
      <c r="A3" s="53">
        <v>2</v>
      </c>
      <c r="B3" s="61" t="s">
        <v>48</v>
      </c>
      <c r="C3" s="53">
        <v>275.48900660577056</v>
      </c>
      <c r="D3" s="53">
        <v>295.55215616560264</v>
      </c>
      <c r="E3" s="70"/>
      <c r="F3" s="70"/>
    </row>
    <row r="4" spans="1:6" ht="15.75" customHeight="1">
      <c r="A4" s="53">
        <v>3</v>
      </c>
      <c r="B4" s="61" t="s">
        <v>372</v>
      </c>
      <c r="C4" s="53">
        <v>281.72226117077878</v>
      </c>
      <c r="D4" s="53">
        <v>319.28748953367926</v>
      </c>
      <c r="E4" s="70"/>
      <c r="F4" s="70"/>
    </row>
    <row r="5" spans="1:6" ht="15.75" customHeight="1">
      <c r="A5" s="53">
        <v>4</v>
      </c>
      <c r="B5" s="61" t="s">
        <v>183</v>
      </c>
      <c r="C5" s="53">
        <v>189.82716987514988</v>
      </c>
      <c r="D5" s="53">
        <v>196.01284579861607</v>
      </c>
      <c r="E5" s="70"/>
      <c r="F5" s="70"/>
    </row>
    <row r="6" spans="1:6" ht="15.75" customHeight="1">
      <c r="A6" s="53">
        <v>5</v>
      </c>
      <c r="B6" s="61" t="s">
        <v>218</v>
      </c>
      <c r="C6" s="53">
        <v>104.97704793544733</v>
      </c>
      <c r="D6" s="53">
        <v>130.18483221139886</v>
      </c>
      <c r="E6" s="70"/>
      <c r="F6" s="70"/>
    </row>
    <row r="7" spans="1:6" ht="15.75" customHeight="1">
      <c r="A7" s="53">
        <v>6</v>
      </c>
      <c r="B7" s="61" t="s">
        <v>260</v>
      </c>
      <c r="C7" s="53">
        <v>285.95789298432703</v>
      </c>
      <c r="D7" s="53">
        <v>328.68849142317407</v>
      </c>
      <c r="E7" s="70"/>
      <c r="F7" s="70"/>
    </row>
    <row r="8" spans="1:6" ht="15.75" customHeight="1">
      <c r="A8" s="53">
        <v>7</v>
      </c>
      <c r="B8" s="61" t="s">
        <v>375</v>
      </c>
      <c r="C8" s="53">
        <v>483.24169979679937</v>
      </c>
      <c r="D8" s="53">
        <v>546.58602385385245</v>
      </c>
      <c r="E8" s="70"/>
      <c r="F8" s="70"/>
    </row>
    <row r="9" spans="1:6" ht="15.75" customHeight="1">
      <c r="A9" s="53">
        <v>8</v>
      </c>
      <c r="B9" s="61" t="s">
        <v>370</v>
      </c>
      <c r="C9" s="53">
        <v>248.74060597122713</v>
      </c>
      <c r="D9" s="53">
        <v>419.38064555369448</v>
      </c>
      <c r="E9" s="70"/>
      <c r="F9" s="70"/>
    </row>
    <row r="10" spans="1:6" ht="15.75" customHeight="1">
      <c r="A10" s="53">
        <v>9</v>
      </c>
      <c r="B10" s="61" t="s">
        <v>374</v>
      </c>
      <c r="C10" s="53">
        <v>241.48311472356215</v>
      </c>
      <c r="D10" s="53">
        <v>361.89452585551538</v>
      </c>
      <c r="E10" s="70"/>
      <c r="F10" s="70"/>
    </row>
    <row r="11" spans="1:6" ht="15.75" customHeight="1">
      <c r="A11" s="53">
        <v>10</v>
      </c>
      <c r="B11" s="61" t="s">
        <v>373</v>
      </c>
      <c r="C11" s="53">
        <v>303.52847307314499</v>
      </c>
      <c r="D11" s="53">
        <v>356.39853325909536</v>
      </c>
      <c r="E11" s="70"/>
      <c r="F11" s="70"/>
    </row>
    <row r="12" spans="1:6" ht="15.75" customHeight="1">
      <c r="A12" s="53">
        <v>11</v>
      </c>
      <c r="B12" s="61" t="s">
        <v>371</v>
      </c>
      <c r="C12" s="53">
        <v>308.08674009099997</v>
      </c>
      <c r="D12" s="53">
        <v>354.85784011590357</v>
      </c>
      <c r="E12" s="70"/>
      <c r="F12" s="70"/>
    </row>
    <row r="13" spans="1:6" ht="13.2">
      <c r="A13" s="71"/>
      <c r="B13" s="72"/>
      <c r="C13" s="71"/>
      <c r="D13" s="71"/>
    </row>
    <row r="14" spans="1:6" ht="13.2">
      <c r="A14" s="71"/>
      <c r="B14" s="72"/>
      <c r="C14" s="71"/>
      <c r="D14" s="71"/>
    </row>
    <row r="15" spans="1:6" ht="13.2">
      <c r="A15" s="71"/>
      <c r="B15" s="72"/>
      <c r="C15" s="71"/>
      <c r="D15" s="71"/>
    </row>
    <row r="16" spans="1:6" ht="13.2">
      <c r="A16" s="71"/>
      <c r="B16" s="72"/>
      <c r="C16" s="71"/>
      <c r="D16" s="71"/>
    </row>
    <row r="17" spans="1:4" ht="13.2">
      <c r="A17" s="71"/>
      <c r="B17" s="72"/>
      <c r="C17" s="71"/>
      <c r="D17" s="71"/>
    </row>
    <row r="18" spans="1:4" ht="13.2">
      <c r="A18" s="71"/>
      <c r="B18" s="72"/>
      <c r="C18" s="71"/>
      <c r="D18" s="71"/>
    </row>
    <row r="19" spans="1:4" ht="13.2">
      <c r="A19" s="71"/>
      <c r="B19" s="72"/>
      <c r="C19" s="71"/>
      <c r="D19" s="71"/>
    </row>
    <row r="20" spans="1:4" ht="13.2">
      <c r="A20" s="71"/>
      <c r="B20" s="72"/>
      <c r="C20" s="71"/>
      <c r="D20" s="71"/>
    </row>
    <row r="21" spans="1:4" ht="13.2">
      <c r="A21" s="71"/>
      <c r="B21" s="72"/>
      <c r="C21" s="71"/>
      <c r="D21" s="71"/>
    </row>
    <row r="22" spans="1:4" ht="13.2">
      <c r="A22" s="71"/>
      <c r="B22" s="72"/>
      <c r="C22" s="71"/>
      <c r="D22" s="71"/>
    </row>
    <row r="23" spans="1:4" ht="13.2">
      <c r="A23" s="71"/>
      <c r="B23" s="72"/>
      <c r="C23" s="71"/>
      <c r="D23" s="71"/>
    </row>
    <row r="24" spans="1:4" ht="13.2">
      <c r="A24" s="71"/>
      <c r="B24" s="72"/>
      <c r="C24" s="71"/>
      <c r="D24" s="71"/>
    </row>
    <row r="25" spans="1:4" ht="13.2">
      <c r="A25" s="71"/>
      <c r="B25" s="72"/>
      <c r="C25" s="71"/>
      <c r="D25" s="71"/>
    </row>
    <row r="26" spans="1:4" ht="13.2">
      <c r="A26" s="71"/>
      <c r="B26" s="72"/>
      <c r="C26" s="71"/>
      <c r="D26" s="71"/>
    </row>
    <row r="27" spans="1:4" ht="13.2">
      <c r="A27" s="71"/>
      <c r="B27" s="72"/>
      <c r="C27" s="71"/>
      <c r="D27" s="71"/>
    </row>
    <row r="28" spans="1:4" ht="13.2">
      <c r="A28" s="71"/>
      <c r="B28" s="72"/>
      <c r="C28" s="71"/>
      <c r="D28" s="71"/>
    </row>
    <row r="29" spans="1:4" ht="13.2">
      <c r="A29" s="71"/>
      <c r="B29" s="72"/>
      <c r="C29" s="71"/>
      <c r="D29" s="71"/>
    </row>
    <row r="30" spans="1:4" ht="13.2">
      <c r="A30" s="71"/>
      <c r="B30" s="72"/>
      <c r="C30" s="71"/>
      <c r="D30" s="71"/>
    </row>
    <row r="31" spans="1:4" ht="13.2">
      <c r="A31" s="71"/>
      <c r="B31" s="72"/>
      <c r="C31" s="71"/>
      <c r="D31" s="71"/>
    </row>
    <row r="32" spans="1:4" ht="13.2">
      <c r="A32" s="71"/>
      <c r="B32" s="72"/>
      <c r="C32" s="71"/>
      <c r="D32" s="71"/>
    </row>
    <row r="33" spans="1:4" ht="13.2">
      <c r="A33" s="71"/>
      <c r="B33" s="72"/>
      <c r="C33" s="71"/>
      <c r="D33" s="71"/>
    </row>
    <row r="34" spans="1:4" ht="13.2">
      <c r="A34" s="71"/>
      <c r="B34" s="72"/>
      <c r="C34" s="71"/>
      <c r="D34" s="71"/>
    </row>
    <row r="35" spans="1:4" ht="13.2">
      <c r="A35" s="71"/>
      <c r="B35" s="72"/>
      <c r="C35" s="71"/>
      <c r="D35" s="71"/>
    </row>
    <row r="36" spans="1:4" ht="13.2">
      <c r="A36" s="71"/>
      <c r="B36" s="72"/>
      <c r="C36" s="71"/>
      <c r="D36" s="71"/>
    </row>
    <row r="37" spans="1:4" ht="13.2">
      <c r="A37" s="71"/>
      <c r="B37" s="72"/>
      <c r="C37" s="71"/>
      <c r="D37" s="71"/>
    </row>
    <row r="38" spans="1:4" ht="13.2">
      <c r="A38" s="71"/>
      <c r="B38" s="72"/>
      <c r="C38" s="71"/>
      <c r="D38" s="71"/>
    </row>
    <row r="39" spans="1:4" ht="13.2">
      <c r="A39" s="71"/>
      <c r="B39" s="72"/>
      <c r="C39" s="71"/>
      <c r="D39" s="71"/>
    </row>
    <row r="40" spans="1:4" ht="13.2">
      <c r="A40" s="71"/>
      <c r="B40" s="72"/>
      <c r="C40" s="71"/>
      <c r="D40" s="71"/>
    </row>
    <row r="41" spans="1:4" ht="13.2">
      <c r="A41" s="71"/>
      <c r="B41" s="72"/>
      <c r="C41" s="71"/>
      <c r="D41" s="71"/>
    </row>
    <row r="42" spans="1:4" ht="13.2">
      <c r="A42" s="71"/>
      <c r="B42" s="72"/>
      <c r="C42" s="71"/>
      <c r="D42" s="71"/>
    </row>
    <row r="43" spans="1:4" ht="13.2">
      <c r="A43" s="71"/>
      <c r="B43" s="72"/>
      <c r="C43" s="71"/>
      <c r="D43" s="71"/>
    </row>
    <row r="44" spans="1:4" ht="13.2">
      <c r="A44" s="71"/>
      <c r="B44" s="72"/>
      <c r="C44" s="71"/>
      <c r="D44" s="71"/>
    </row>
    <row r="45" spans="1:4" ht="13.2">
      <c r="A45" s="71"/>
      <c r="B45" s="72"/>
      <c r="C45" s="71"/>
      <c r="D45" s="71"/>
    </row>
    <row r="46" spans="1:4" ht="13.2">
      <c r="A46" s="71"/>
      <c r="B46" s="72"/>
      <c r="C46" s="71"/>
      <c r="D46" s="71"/>
    </row>
    <row r="47" spans="1:4" ht="13.2">
      <c r="A47" s="71"/>
      <c r="B47" s="72"/>
      <c r="C47" s="71"/>
      <c r="D47" s="71"/>
    </row>
    <row r="48" spans="1:4" ht="13.2">
      <c r="A48" s="71"/>
      <c r="B48" s="72"/>
      <c r="C48" s="71"/>
      <c r="D48" s="71"/>
    </row>
    <row r="49" spans="1:4" ht="13.2">
      <c r="A49" s="71"/>
      <c r="B49" s="72"/>
      <c r="C49" s="71"/>
      <c r="D49" s="71"/>
    </row>
    <row r="50" spans="1:4" ht="13.2">
      <c r="A50" s="71"/>
      <c r="B50" s="72"/>
      <c r="C50" s="71"/>
      <c r="D50" s="71"/>
    </row>
    <row r="51" spans="1:4" ht="13.2">
      <c r="A51" s="71"/>
      <c r="B51" s="72"/>
      <c r="C51" s="71"/>
      <c r="D51" s="71"/>
    </row>
    <row r="52" spans="1:4" ht="13.2">
      <c r="A52" s="71"/>
      <c r="B52" s="72"/>
      <c r="C52" s="71"/>
      <c r="D52" s="71"/>
    </row>
    <row r="53" spans="1:4" ht="13.2">
      <c r="A53" s="71"/>
      <c r="B53" s="72"/>
      <c r="C53" s="71"/>
      <c r="D53" s="71"/>
    </row>
    <row r="54" spans="1:4" ht="13.2">
      <c r="A54" s="71"/>
      <c r="B54" s="72"/>
      <c r="C54" s="71"/>
      <c r="D54" s="71"/>
    </row>
    <row r="55" spans="1:4" ht="13.2">
      <c r="A55" s="71"/>
      <c r="B55" s="72"/>
      <c r="C55" s="71"/>
      <c r="D55" s="71"/>
    </row>
    <row r="56" spans="1:4" ht="13.2">
      <c r="A56" s="71"/>
      <c r="B56" s="72"/>
      <c r="C56" s="71"/>
      <c r="D56" s="71"/>
    </row>
    <row r="57" spans="1:4" ht="13.2">
      <c r="A57" s="71"/>
      <c r="B57" s="72"/>
      <c r="C57" s="71"/>
      <c r="D57" s="71"/>
    </row>
    <row r="58" spans="1:4" ht="13.2">
      <c r="A58" s="71"/>
      <c r="B58" s="72"/>
      <c r="C58" s="71"/>
      <c r="D58" s="71"/>
    </row>
    <row r="59" spans="1:4" ht="13.2">
      <c r="A59" s="71"/>
      <c r="B59" s="72"/>
      <c r="C59" s="71"/>
      <c r="D59" s="71"/>
    </row>
    <row r="60" spans="1:4" ht="13.2">
      <c r="A60" s="71"/>
      <c r="B60" s="72"/>
      <c r="C60" s="71"/>
      <c r="D60" s="71"/>
    </row>
    <row r="61" spans="1:4" ht="13.2">
      <c r="A61" s="71"/>
      <c r="B61" s="72"/>
      <c r="C61" s="71"/>
      <c r="D61" s="71"/>
    </row>
    <row r="62" spans="1:4" ht="13.2">
      <c r="A62" s="71"/>
      <c r="B62" s="72"/>
      <c r="C62" s="71"/>
      <c r="D62" s="71"/>
    </row>
    <row r="63" spans="1:4" ht="13.2">
      <c r="A63" s="71"/>
      <c r="B63" s="72"/>
      <c r="C63" s="71"/>
      <c r="D63" s="71"/>
    </row>
    <row r="64" spans="1:4" ht="13.2">
      <c r="A64" s="71"/>
      <c r="B64" s="72"/>
      <c r="C64" s="71"/>
      <c r="D64" s="71"/>
    </row>
    <row r="65" spans="1:4" ht="13.2">
      <c r="A65" s="71"/>
      <c r="B65" s="72"/>
      <c r="C65" s="71"/>
      <c r="D65" s="71"/>
    </row>
    <row r="66" spans="1:4" ht="13.2">
      <c r="A66" s="71"/>
      <c r="B66" s="72"/>
      <c r="C66" s="71"/>
      <c r="D66" s="71"/>
    </row>
    <row r="67" spans="1:4" ht="13.2">
      <c r="A67" s="71"/>
      <c r="B67" s="72"/>
      <c r="C67" s="71"/>
      <c r="D67" s="71"/>
    </row>
    <row r="68" spans="1:4" ht="13.2">
      <c r="A68" s="71"/>
      <c r="B68" s="72"/>
      <c r="C68" s="71"/>
      <c r="D68" s="71"/>
    </row>
    <row r="69" spans="1:4" ht="13.2">
      <c r="A69" s="71"/>
      <c r="B69" s="72"/>
      <c r="C69" s="71"/>
      <c r="D69" s="71"/>
    </row>
    <row r="70" spans="1:4" ht="13.2">
      <c r="A70" s="71"/>
      <c r="B70" s="72"/>
      <c r="C70" s="71"/>
      <c r="D70" s="71"/>
    </row>
    <row r="71" spans="1:4" ht="13.2">
      <c r="A71" s="71"/>
      <c r="B71" s="72"/>
      <c r="C71" s="71"/>
      <c r="D71" s="71"/>
    </row>
    <row r="72" spans="1:4" ht="13.2">
      <c r="A72" s="71"/>
      <c r="B72" s="72"/>
      <c r="C72" s="71"/>
      <c r="D72" s="71"/>
    </row>
    <row r="73" spans="1:4" ht="13.2">
      <c r="A73" s="71"/>
      <c r="B73" s="72"/>
      <c r="C73" s="71"/>
      <c r="D73" s="71"/>
    </row>
    <row r="74" spans="1:4" ht="13.2">
      <c r="A74" s="71"/>
      <c r="B74" s="72"/>
      <c r="C74" s="71"/>
      <c r="D74" s="71"/>
    </row>
    <row r="75" spans="1:4" ht="13.2">
      <c r="A75" s="71"/>
      <c r="B75" s="72"/>
      <c r="C75" s="71"/>
      <c r="D75" s="71"/>
    </row>
    <row r="76" spans="1:4" ht="13.2">
      <c r="A76" s="71"/>
      <c r="B76" s="72"/>
      <c r="C76" s="71"/>
      <c r="D76" s="71"/>
    </row>
    <row r="77" spans="1:4" ht="13.2">
      <c r="A77" s="71"/>
      <c r="B77" s="72"/>
      <c r="C77" s="71"/>
      <c r="D77" s="71"/>
    </row>
    <row r="78" spans="1:4" ht="13.2">
      <c r="A78" s="71"/>
      <c r="B78" s="72"/>
      <c r="C78" s="71"/>
      <c r="D78" s="71"/>
    </row>
    <row r="79" spans="1:4" ht="13.2">
      <c r="A79" s="71"/>
      <c r="B79" s="72"/>
      <c r="C79" s="71"/>
      <c r="D79" s="71"/>
    </row>
    <row r="80" spans="1:4" ht="13.2">
      <c r="A80" s="71"/>
      <c r="B80" s="72"/>
      <c r="C80" s="71"/>
      <c r="D80" s="71"/>
    </row>
    <row r="81" spans="1:4" ht="13.2">
      <c r="A81" s="71"/>
      <c r="B81" s="72"/>
      <c r="C81" s="71"/>
      <c r="D81" s="71"/>
    </row>
    <row r="82" spans="1:4" ht="13.2">
      <c r="A82" s="71"/>
      <c r="B82" s="72"/>
      <c r="C82" s="71"/>
      <c r="D82" s="71"/>
    </row>
    <row r="83" spans="1:4" ht="13.2">
      <c r="A83" s="71"/>
      <c r="B83" s="72"/>
      <c r="C83" s="71"/>
      <c r="D83" s="71"/>
    </row>
    <row r="84" spans="1:4" ht="13.2">
      <c r="A84" s="71"/>
      <c r="B84" s="72"/>
      <c r="C84" s="71"/>
      <c r="D84" s="71"/>
    </row>
    <row r="85" spans="1:4" ht="13.2">
      <c r="A85" s="71"/>
      <c r="B85" s="72"/>
      <c r="C85" s="71"/>
      <c r="D85" s="71"/>
    </row>
    <row r="86" spans="1:4" ht="13.2">
      <c r="A86" s="71"/>
      <c r="B86" s="72"/>
      <c r="C86" s="71"/>
      <c r="D86" s="71"/>
    </row>
    <row r="87" spans="1:4" ht="13.2">
      <c r="A87" s="71"/>
      <c r="B87" s="72"/>
      <c r="C87" s="71"/>
      <c r="D87" s="71"/>
    </row>
    <row r="88" spans="1:4" ht="13.2">
      <c r="A88" s="71"/>
      <c r="B88" s="72"/>
      <c r="C88" s="71"/>
      <c r="D88" s="71"/>
    </row>
    <row r="89" spans="1:4" ht="13.2">
      <c r="A89" s="71"/>
      <c r="B89" s="72"/>
      <c r="C89" s="71"/>
      <c r="D89" s="71"/>
    </row>
    <row r="90" spans="1:4" ht="13.2">
      <c r="A90" s="71"/>
      <c r="B90" s="72"/>
      <c r="C90" s="71"/>
      <c r="D90" s="71"/>
    </row>
    <row r="91" spans="1:4" ht="13.2">
      <c r="A91" s="71"/>
      <c r="B91" s="72"/>
      <c r="C91" s="71"/>
      <c r="D91" s="71"/>
    </row>
    <row r="92" spans="1:4" ht="13.2">
      <c r="A92" s="71"/>
      <c r="B92" s="72"/>
      <c r="C92" s="71"/>
      <c r="D92" s="71"/>
    </row>
    <row r="93" spans="1:4" ht="13.2">
      <c r="A93" s="71"/>
      <c r="B93" s="72"/>
      <c r="C93" s="71"/>
      <c r="D93" s="71"/>
    </row>
    <row r="94" spans="1:4" ht="13.2">
      <c r="A94" s="71"/>
      <c r="B94" s="72"/>
      <c r="C94" s="71"/>
      <c r="D94" s="71"/>
    </row>
    <row r="95" spans="1:4" ht="13.2">
      <c r="A95" s="71"/>
      <c r="B95" s="72"/>
      <c r="C95" s="71"/>
      <c r="D95" s="71"/>
    </row>
    <row r="96" spans="1:4" ht="13.2">
      <c r="A96" s="71"/>
      <c r="B96" s="72"/>
      <c r="C96" s="71"/>
      <c r="D96" s="71"/>
    </row>
    <row r="97" spans="1:4" ht="13.2">
      <c r="A97" s="71"/>
      <c r="B97" s="72"/>
      <c r="C97" s="71"/>
      <c r="D97" s="71"/>
    </row>
    <row r="98" spans="1:4" ht="13.2">
      <c r="A98" s="71"/>
      <c r="B98" s="72"/>
      <c r="C98" s="71"/>
      <c r="D98" s="71"/>
    </row>
    <row r="99" spans="1:4" ht="13.2">
      <c r="A99" s="71"/>
      <c r="B99" s="72"/>
      <c r="C99" s="71"/>
      <c r="D99" s="71"/>
    </row>
    <row r="100" spans="1:4" ht="13.2">
      <c r="A100" s="71"/>
      <c r="B100" s="72"/>
      <c r="C100" s="71"/>
      <c r="D100" s="71"/>
    </row>
    <row r="101" spans="1:4" ht="13.2">
      <c r="A101" s="71"/>
      <c r="B101" s="72"/>
      <c r="C101" s="71"/>
      <c r="D101" s="71"/>
    </row>
    <row r="102" spans="1:4" ht="13.2">
      <c r="A102" s="71"/>
      <c r="B102" s="72"/>
      <c r="C102" s="71"/>
      <c r="D102" s="71"/>
    </row>
    <row r="103" spans="1:4" ht="13.2">
      <c r="A103" s="71"/>
      <c r="B103" s="72"/>
      <c r="C103" s="71"/>
      <c r="D103" s="71"/>
    </row>
    <row r="104" spans="1:4" ht="13.2">
      <c r="A104" s="71"/>
      <c r="B104" s="72"/>
      <c r="C104" s="71"/>
      <c r="D104" s="71"/>
    </row>
    <row r="105" spans="1:4" ht="13.2">
      <c r="A105" s="71"/>
      <c r="B105" s="72"/>
      <c r="C105" s="71"/>
      <c r="D105" s="71"/>
    </row>
    <row r="106" spans="1:4" ht="13.2">
      <c r="A106" s="71"/>
      <c r="B106" s="72"/>
      <c r="C106" s="71"/>
      <c r="D106" s="71"/>
    </row>
    <row r="107" spans="1:4" ht="13.2">
      <c r="A107" s="71"/>
      <c r="B107" s="72"/>
      <c r="C107" s="71"/>
      <c r="D107" s="71"/>
    </row>
    <row r="108" spans="1:4" ht="13.2">
      <c r="A108" s="71"/>
      <c r="B108" s="72"/>
      <c r="C108" s="71"/>
      <c r="D108" s="71"/>
    </row>
    <row r="109" spans="1:4" ht="13.2">
      <c r="A109" s="71"/>
      <c r="B109" s="72"/>
      <c r="C109" s="71"/>
      <c r="D109" s="71"/>
    </row>
    <row r="110" spans="1:4" ht="13.2">
      <c r="A110" s="71"/>
      <c r="B110" s="72"/>
      <c r="C110" s="71"/>
      <c r="D110" s="71"/>
    </row>
    <row r="111" spans="1:4" ht="13.2">
      <c r="A111" s="71"/>
      <c r="B111" s="72"/>
      <c r="C111" s="71"/>
      <c r="D111" s="71"/>
    </row>
    <row r="112" spans="1:4" ht="13.2">
      <c r="A112" s="71"/>
      <c r="B112" s="72"/>
      <c r="C112" s="71"/>
      <c r="D112" s="71"/>
    </row>
    <row r="113" spans="1:4" ht="13.2">
      <c r="A113" s="71"/>
      <c r="B113" s="72"/>
      <c r="C113" s="71"/>
      <c r="D113" s="71"/>
    </row>
    <row r="114" spans="1:4" ht="13.2">
      <c r="A114" s="71"/>
      <c r="B114" s="72"/>
      <c r="C114" s="71"/>
      <c r="D114" s="71"/>
    </row>
    <row r="115" spans="1:4" ht="13.2">
      <c r="A115" s="71"/>
      <c r="B115" s="72"/>
      <c r="C115" s="71"/>
      <c r="D115" s="71"/>
    </row>
    <row r="116" spans="1:4" ht="13.2">
      <c r="A116" s="71"/>
      <c r="B116" s="72"/>
      <c r="C116" s="71"/>
      <c r="D116" s="71"/>
    </row>
    <row r="117" spans="1:4" ht="13.2">
      <c r="A117" s="71"/>
      <c r="B117" s="72"/>
      <c r="C117" s="71"/>
      <c r="D117" s="71"/>
    </row>
    <row r="118" spans="1:4" ht="13.2">
      <c r="A118" s="71"/>
      <c r="B118" s="72"/>
      <c r="C118" s="71"/>
      <c r="D118" s="71"/>
    </row>
    <row r="119" spans="1:4" ht="13.2">
      <c r="A119" s="71"/>
      <c r="B119" s="72"/>
      <c r="C119" s="71"/>
      <c r="D119" s="71"/>
    </row>
    <row r="120" spans="1:4" ht="13.2">
      <c r="A120" s="71"/>
      <c r="B120" s="72"/>
      <c r="C120" s="71"/>
      <c r="D120" s="71"/>
    </row>
    <row r="121" spans="1:4" ht="13.2">
      <c r="A121" s="71"/>
      <c r="B121" s="72"/>
      <c r="C121" s="71"/>
      <c r="D121" s="71"/>
    </row>
    <row r="122" spans="1:4" ht="13.2">
      <c r="A122" s="71"/>
      <c r="B122" s="72"/>
      <c r="C122" s="71"/>
      <c r="D122" s="71"/>
    </row>
    <row r="123" spans="1:4" ht="13.2">
      <c r="A123" s="71"/>
      <c r="B123" s="72"/>
      <c r="C123" s="71"/>
      <c r="D123" s="71"/>
    </row>
    <row r="124" spans="1:4" ht="13.2">
      <c r="A124" s="71"/>
      <c r="B124" s="72"/>
      <c r="C124" s="71"/>
      <c r="D124" s="71"/>
    </row>
    <row r="125" spans="1:4" ht="13.2">
      <c r="A125" s="71"/>
      <c r="B125" s="72"/>
      <c r="C125" s="71"/>
      <c r="D125" s="71"/>
    </row>
    <row r="126" spans="1:4" ht="13.2">
      <c r="A126" s="71"/>
      <c r="B126" s="72"/>
      <c r="C126" s="71"/>
      <c r="D126" s="71"/>
    </row>
    <row r="127" spans="1:4" ht="13.2">
      <c r="A127" s="71"/>
      <c r="B127" s="72"/>
      <c r="C127" s="71"/>
      <c r="D127" s="71"/>
    </row>
    <row r="128" spans="1:4" ht="13.2">
      <c r="A128" s="71"/>
      <c r="B128" s="72"/>
      <c r="C128" s="71"/>
      <c r="D128" s="71"/>
    </row>
    <row r="129" spans="1:4" ht="13.2">
      <c r="A129" s="71"/>
      <c r="B129" s="72"/>
      <c r="C129" s="71"/>
      <c r="D129" s="71"/>
    </row>
    <row r="130" spans="1:4" ht="13.2">
      <c r="A130" s="71"/>
      <c r="B130" s="72"/>
      <c r="C130" s="71"/>
      <c r="D130" s="71"/>
    </row>
    <row r="131" spans="1:4" ht="13.2">
      <c r="A131" s="71"/>
      <c r="B131" s="72"/>
      <c r="C131" s="71"/>
      <c r="D131" s="71"/>
    </row>
    <row r="132" spans="1:4" ht="13.2">
      <c r="A132" s="71"/>
      <c r="B132" s="72"/>
      <c r="C132" s="71"/>
      <c r="D132" s="71"/>
    </row>
    <row r="133" spans="1:4" ht="13.2">
      <c r="A133" s="71"/>
      <c r="B133" s="72"/>
      <c r="C133" s="71"/>
      <c r="D133" s="71"/>
    </row>
    <row r="134" spans="1:4" ht="13.2">
      <c r="A134" s="71"/>
      <c r="B134" s="72"/>
      <c r="C134" s="71"/>
      <c r="D134" s="71"/>
    </row>
    <row r="135" spans="1:4" ht="13.2">
      <c r="A135" s="71"/>
      <c r="B135" s="72"/>
      <c r="C135" s="71"/>
      <c r="D135" s="71"/>
    </row>
    <row r="136" spans="1:4" ht="13.2">
      <c r="A136" s="71"/>
      <c r="B136" s="72"/>
      <c r="C136" s="71"/>
      <c r="D136" s="71"/>
    </row>
    <row r="137" spans="1:4" ht="13.2">
      <c r="A137" s="71"/>
      <c r="B137" s="72"/>
      <c r="C137" s="71"/>
      <c r="D137" s="71"/>
    </row>
    <row r="138" spans="1:4" ht="13.2">
      <c r="A138" s="71"/>
      <c r="B138" s="72"/>
      <c r="C138" s="71"/>
      <c r="D138" s="71"/>
    </row>
    <row r="139" spans="1:4" ht="13.2">
      <c r="A139" s="71"/>
      <c r="B139" s="72"/>
      <c r="C139" s="71"/>
      <c r="D139" s="71"/>
    </row>
    <row r="140" spans="1:4" ht="13.2">
      <c r="A140" s="71"/>
      <c r="B140" s="72"/>
      <c r="C140" s="71"/>
      <c r="D140" s="71"/>
    </row>
    <row r="141" spans="1:4" ht="13.2">
      <c r="A141" s="71"/>
      <c r="B141" s="72"/>
      <c r="C141" s="71"/>
      <c r="D141" s="71"/>
    </row>
    <row r="142" spans="1:4" ht="13.2">
      <c r="A142" s="71"/>
      <c r="B142" s="72"/>
      <c r="C142" s="71"/>
      <c r="D142" s="71"/>
    </row>
    <row r="143" spans="1:4" ht="13.2">
      <c r="A143" s="71"/>
      <c r="B143" s="72"/>
      <c r="C143" s="71"/>
      <c r="D143" s="71"/>
    </row>
    <row r="144" spans="1:4" ht="13.2">
      <c r="A144" s="71"/>
      <c r="B144" s="72"/>
      <c r="C144" s="71"/>
      <c r="D144" s="71"/>
    </row>
    <row r="145" spans="1:4" ht="13.2">
      <c r="A145" s="71"/>
      <c r="B145" s="72"/>
      <c r="C145" s="71"/>
      <c r="D145" s="71"/>
    </row>
    <row r="146" spans="1:4" ht="13.2">
      <c r="A146" s="71"/>
      <c r="B146" s="72"/>
      <c r="C146" s="71"/>
      <c r="D146" s="71"/>
    </row>
    <row r="147" spans="1:4" ht="13.2">
      <c r="A147" s="71"/>
      <c r="B147" s="72"/>
      <c r="C147" s="71"/>
      <c r="D147" s="71"/>
    </row>
    <row r="148" spans="1:4" ht="13.2">
      <c r="A148" s="71"/>
      <c r="B148" s="72"/>
      <c r="C148" s="71"/>
      <c r="D148" s="71"/>
    </row>
    <row r="149" spans="1:4" ht="13.2">
      <c r="A149" s="71"/>
      <c r="B149" s="72"/>
      <c r="C149" s="71"/>
      <c r="D149" s="71"/>
    </row>
    <row r="150" spans="1:4" ht="13.2">
      <c r="A150" s="71"/>
      <c r="B150" s="72"/>
      <c r="C150" s="71"/>
      <c r="D150" s="71"/>
    </row>
    <row r="151" spans="1:4" ht="13.2">
      <c r="A151" s="71"/>
      <c r="B151" s="72"/>
      <c r="C151" s="71"/>
      <c r="D151" s="71"/>
    </row>
    <row r="152" spans="1:4" ht="13.2">
      <c r="A152" s="71"/>
      <c r="B152" s="72"/>
      <c r="C152" s="71"/>
      <c r="D152" s="71"/>
    </row>
    <row r="153" spans="1:4" ht="13.2">
      <c r="A153" s="71"/>
      <c r="B153" s="72"/>
      <c r="C153" s="71"/>
      <c r="D153" s="71"/>
    </row>
    <row r="154" spans="1:4" ht="13.2">
      <c r="A154" s="71"/>
      <c r="B154" s="72"/>
      <c r="C154" s="71"/>
      <c r="D154" s="71"/>
    </row>
    <row r="155" spans="1:4" ht="13.2">
      <c r="A155" s="71"/>
      <c r="B155" s="72"/>
      <c r="C155" s="71"/>
      <c r="D155" s="71"/>
    </row>
    <row r="156" spans="1:4" ht="13.2">
      <c r="A156" s="71"/>
      <c r="B156" s="72"/>
      <c r="C156" s="71"/>
      <c r="D156" s="71"/>
    </row>
    <row r="157" spans="1:4" ht="13.2">
      <c r="A157" s="71"/>
      <c r="B157" s="72"/>
      <c r="C157" s="71"/>
      <c r="D157" s="71"/>
    </row>
    <row r="158" spans="1:4" ht="13.2">
      <c r="A158" s="71"/>
      <c r="B158" s="72"/>
      <c r="C158" s="71"/>
      <c r="D158" s="71"/>
    </row>
    <row r="159" spans="1:4" ht="13.2">
      <c r="A159" s="71"/>
      <c r="B159" s="72"/>
      <c r="C159" s="71"/>
      <c r="D159" s="71"/>
    </row>
    <row r="160" spans="1:4" ht="13.2">
      <c r="A160" s="71"/>
      <c r="B160" s="72"/>
      <c r="C160" s="71"/>
      <c r="D160" s="71"/>
    </row>
    <row r="161" spans="1:4" ht="13.2">
      <c r="A161" s="71"/>
      <c r="B161" s="72"/>
      <c r="C161" s="71"/>
      <c r="D161" s="71"/>
    </row>
    <row r="162" spans="1:4" ht="13.2">
      <c r="A162" s="71"/>
      <c r="B162" s="72"/>
      <c r="C162" s="71"/>
      <c r="D162" s="71"/>
    </row>
    <row r="163" spans="1:4" ht="13.2">
      <c r="A163" s="71"/>
      <c r="B163" s="72"/>
      <c r="C163" s="71"/>
      <c r="D163" s="71"/>
    </row>
    <row r="164" spans="1:4" ht="13.2">
      <c r="A164" s="71"/>
      <c r="B164" s="72"/>
      <c r="C164" s="71"/>
      <c r="D164" s="71"/>
    </row>
    <row r="165" spans="1:4" ht="13.2">
      <c r="A165" s="71"/>
      <c r="B165" s="72"/>
      <c r="C165" s="71"/>
      <c r="D165" s="71"/>
    </row>
    <row r="166" spans="1:4" ht="13.2">
      <c r="A166" s="71"/>
      <c r="B166" s="72"/>
      <c r="C166" s="71"/>
      <c r="D166" s="71"/>
    </row>
    <row r="167" spans="1:4" ht="13.2">
      <c r="A167" s="71"/>
      <c r="B167" s="72"/>
      <c r="C167" s="71"/>
      <c r="D167" s="71"/>
    </row>
    <row r="168" spans="1:4" ht="13.2">
      <c r="A168" s="71"/>
      <c r="B168" s="72"/>
      <c r="C168" s="71"/>
      <c r="D168" s="71"/>
    </row>
    <row r="169" spans="1:4" ht="13.2">
      <c r="A169" s="71"/>
      <c r="B169" s="72"/>
      <c r="C169" s="71"/>
      <c r="D169" s="71"/>
    </row>
    <row r="170" spans="1:4" ht="13.2">
      <c r="A170" s="71"/>
      <c r="B170" s="72"/>
      <c r="C170" s="71"/>
      <c r="D170" s="71"/>
    </row>
    <row r="171" spans="1:4" ht="13.2">
      <c r="A171" s="71"/>
      <c r="B171" s="72"/>
      <c r="C171" s="71"/>
      <c r="D171" s="71"/>
    </row>
    <row r="172" spans="1:4" ht="13.2">
      <c r="A172" s="71"/>
      <c r="B172" s="72"/>
      <c r="C172" s="71"/>
      <c r="D172" s="71"/>
    </row>
    <row r="173" spans="1:4" ht="13.2">
      <c r="A173" s="71"/>
      <c r="B173" s="72"/>
      <c r="C173" s="71"/>
      <c r="D173" s="71"/>
    </row>
    <row r="174" spans="1:4" ht="13.2">
      <c r="A174" s="71"/>
      <c r="B174" s="72"/>
      <c r="C174" s="71"/>
      <c r="D174" s="71"/>
    </row>
    <row r="175" spans="1:4" ht="13.2">
      <c r="A175" s="71"/>
      <c r="B175" s="72"/>
      <c r="C175" s="71"/>
      <c r="D175" s="71"/>
    </row>
    <row r="176" spans="1:4" ht="13.2">
      <c r="A176" s="71"/>
      <c r="B176" s="72"/>
      <c r="C176" s="71"/>
      <c r="D176" s="71"/>
    </row>
    <row r="177" spans="1:4" ht="13.2">
      <c r="A177" s="71"/>
      <c r="B177" s="72"/>
      <c r="C177" s="71"/>
      <c r="D177" s="71"/>
    </row>
    <row r="178" spans="1:4" ht="13.2">
      <c r="A178" s="71"/>
      <c r="B178" s="72"/>
      <c r="C178" s="71"/>
      <c r="D178" s="71"/>
    </row>
    <row r="179" spans="1:4" ht="13.2">
      <c r="A179" s="71"/>
      <c r="B179" s="72"/>
      <c r="C179" s="71"/>
      <c r="D179" s="71"/>
    </row>
    <row r="180" spans="1:4" ht="13.2">
      <c r="A180" s="71"/>
      <c r="B180" s="72"/>
      <c r="C180" s="71"/>
      <c r="D180" s="71"/>
    </row>
    <row r="181" spans="1:4" ht="13.2">
      <c r="A181" s="71"/>
      <c r="B181" s="72"/>
      <c r="C181" s="71"/>
      <c r="D181" s="71"/>
    </row>
    <row r="182" spans="1:4" ht="13.2">
      <c r="A182" s="71"/>
      <c r="B182" s="72"/>
      <c r="C182" s="71"/>
      <c r="D182" s="71"/>
    </row>
    <row r="183" spans="1:4" ht="13.2">
      <c r="A183" s="71"/>
      <c r="B183" s="72"/>
      <c r="C183" s="71"/>
      <c r="D183" s="71"/>
    </row>
    <row r="184" spans="1:4" ht="13.2">
      <c r="A184" s="71"/>
      <c r="B184" s="72"/>
      <c r="C184" s="71"/>
      <c r="D184" s="71"/>
    </row>
    <row r="185" spans="1:4" ht="13.2">
      <c r="A185" s="71"/>
      <c r="B185" s="72"/>
      <c r="C185" s="71"/>
      <c r="D185" s="71"/>
    </row>
    <row r="186" spans="1:4" ht="13.2">
      <c r="A186" s="71"/>
      <c r="B186" s="72"/>
      <c r="C186" s="71"/>
      <c r="D186" s="71"/>
    </row>
    <row r="187" spans="1:4" ht="13.2">
      <c r="A187" s="71"/>
      <c r="B187" s="72"/>
      <c r="C187" s="71"/>
      <c r="D187" s="71"/>
    </row>
    <row r="188" spans="1:4" ht="13.2">
      <c r="A188" s="71"/>
      <c r="B188" s="72"/>
      <c r="C188" s="71"/>
      <c r="D188" s="71"/>
    </row>
    <row r="189" spans="1:4" ht="13.2">
      <c r="A189" s="71"/>
      <c r="B189" s="72"/>
      <c r="C189" s="71"/>
      <c r="D189" s="71"/>
    </row>
    <row r="190" spans="1:4" ht="13.2">
      <c r="A190" s="71"/>
      <c r="B190" s="72"/>
      <c r="C190" s="71"/>
      <c r="D190" s="71"/>
    </row>
    <row r="191" spans="1:4" ht="13.2">
      <c r="A191" s="71"/>
      <c r="B191" s="72"/>
      <c r="C191" s="71"/>
      <c r="D191" s="71"/>
    </row>
    <row r="192" spans="1:4" ht="13.2">
      <c r="A192" s="71"/>
      <c r="B192" s="72"/>
      <c r="C192" s="71"/>
      <c r="D192" s="71"/>
    </row>
    <row r="193" spans="1:4" ht="13.2">
      <c r="A193" s="71"/>
      <c r="B193" s="72"/>
      <c r="C193" s="71"/>
      <c r="D193" s="71"/>
    </row>
    <row r="194" spans="1:4" ht="13.2">
      <c r="A194" s="71"/>
      <c r="B194" s="72"/>
      <c r="C194" s="71"/>
      <c r="D194" s="71"/>
    </row>
    <row r="195" spans="1:4" ht="13.2">
      <c r="A195" s="71"/>
      <c r="B195" s="72"/>
      <c r="C195" s="71"/>
      <c r="D195" s="71"/>
    </row>
    <row r="196" spans="1:4" ht="13.2">
      <c r="A196" s="71"/>
      <c r="B196" s="72"/>
      <c r="C196" s="71"/>
      <c r="D196" s="71"/>
    </row>
    <row r="197" spans="1:4" ht="13.2">
      <c r="A197" s="71"/>
      <c r="B197" s="72"/>
      <c r="C197" s="71"/>
      <c r="D197" s="71"/>
    </row>
    <row r="198" spans="1:4" ht="13.2">
      <c r="A198" s="71"/>
      <c r="B198" s="72"/>
      <c r="C198" s="71"/>
      <c r="D198" s="71"/>
    </row>
    <row r="199" spans="1:4" ht="13.2">
      <c r="A199" s="71"/>
      <c r="B199" s="72"/>
      <c r="C199" s="71"/>
      <c r="D199" s="71"/>
    </row>
    <row r="200" spans="1:4" ht="13.2">
      <c r="A200" s="71"/>
      <c r="B200" s="72"/>
      <c r="C200" s="71"/>
      <c r="D200" s="71"/>
    </row>
    <row r="201" spans="1:4" ht="13.2">
      <c r="A201" s="71"/>
      <c r="B201" s="72"/>
      <c r="C201" s="71"/>
      <c r="D201" s="71"/>
    </row>
    <row r="202" spans="1:4" ht="13.2">
      <c r="A202" s="71"/>
      <c r="B202" s="72"/>
      <c r="C202" s="71"/>
      <c r="D202" s="71"/>
    </row>
    <row r="203" spans="1:4" ht="13.2">
      <c r="A203" s="71"/>
      <c r="B203" s="72"/>
      <c r="C203" s="71"/>
      <c r="D203" s="71"/>
    </row>
    <row r="204" spans="1:4" ht="13.2">
      <c r="A204" s="71"/>
      <c r="B204" s="72"/>
      <c r="C204" s="71"/>
      <c r="D204" s="71"/>
    </row>
    <row r="205" spans="1:4" ht="13.2">
      <c r="A205" s="71"/>
      <c r="B205" s="72"/>
      <c r="C205" s="71"/>
      <c r="D205" s="71"/>
    </row>
    <row r="206" spans="1:4" ht="13.2">
      <c r="A206" s="71"/>
      <c r="B206" s="72"/>
      <c r="C206" s="71"/>
      <c r="D206" s="71"/>
    </row>
    <row r="207" spans="1:4" ht="13.2">
      <c r="A207" s="71"/>
      <c r="B207" s="72"/>
      <c r="C207" s="71"/>
      <c r="D207" s="71"/>
    </row>
    <row r="208" spans="1:4" ht="13.2">
      <c r="A208" s="71"/>
      <c r="B208" s="72"/>
      <c r="C208" s="71"/>
      <c r="D208" s="71"/>
    </row>
    <row r="209" spans="1:4" ht="13.2">
      <c r="A209" s="71"/>
      <c r="B209" s="72"/>
      <c r="C209" s="71"/>
      <c r="D209" s="71"/>
    </row>
    <row r="210" spans="1:4" ht="13.2">
      <c r="A210" s="71"/>
      <c r="B210" s="72"/>
      <c r="C210" s="71"/>
      <c r="D210" s="71"/>
    </row>
    <row r="211" spans="1:4" ht="13.2">
      <c r="A211" s="71"/>
      <c r="B211" s="72"/>
      <c r="C211" s="71"/>
      <c r="D211" s="71"/>
    </row>
    <row r="212" spans="1:4" ht="13.2">
      <c r="A212" s="71"/>
      <c r="B212" s="72"/>
      <c r="C212" s="71"/>
      <c r="D212" s="71"/>
    </row>
    <row r="213" spans="1:4" ht="13.2">
      <c r="A213" s="71"/>
      <c r="B213" s="72"/>
      <c r="C213" s="71"/>
      <c r="D213" s="71"/>
    </row>
    <row r="214" spans="1:4" ht="13.2">
      <c r="A214" s="71"/>
      <c r="B214" s="72"/>
      <c r="C214" s="71"/>
      <c r="D214" s="71"/>
    </row>
    <row r="215" spans="1:4" ht="13.2">
      <c r="A215" s="71"/>
      <c r="B215" s="72"/>
      <c r="C215" s="71"/>
      <c r="D215" s="71"/>
    </row>
    <row r="216" spans="1:4" ht="13.2">
      <c r="A216" s="71"/>
      <c r="B216" s="72"/>
      <c r="C216" s="71"/>
      <c r="D216" s="71"/>
    </row>
    <row r="217" spans="1:4" ht="13.2">
      <c r="A217" s="71"/>
      <c r="B217" s="72"/>
      <c r="C217" s="71"/>
      <c r="D217" s="71"/>
    </row>
    <row r="218" spans="1:4" ht="13.2">
      <c r="A218" s="71"/>
      <c r="B218" s="72"/>
      <c r="C218" s="71"/>
      <c r="D218" s="71"/>
    </row>
    <row r="219" spans="1:4" ht="13.2">
      <c r="A219" s="71"/>
      <c r="B219" s="72"/>
      <c r="C219" s="71"/>
      <c r="D219" s="71"/>
    </row>
    <row r="220" spans="1:4" ht="13.2">
      <c r="A220" s="71"/>
      <c r="B220" s="72"/>
      <c r="C220" s="71"/>
      <c r="D220" s="71"/>
    </row>
    <row r="221" spans="1:4" ht="13.2">
      <c r="A221" s="71"/>
      <c r="B221" s="72"/>
      <c r="C221" s="71"/>
      <c r="D221" s="71"/>
    </row>
    <row r="222" spans="1:4" ht="13.2">
      <c r="A222" s="71"/>
      <c r="B222" s="72"/>
      <c r="C222" s="71"/>
      <c r="D222" s="71"/>
    </row>
    <row r="223" spans="1:4" ht="13.2">
      <c r="A223" s="71"/>
      <c r="B223" s="72"/>
      <c r="C223" s="71"/>
      <c r="D223" s="71"/>
    </row>
    <row r="224" spans="1:4" ht="13.2">
      <c r="A224" s="71"/>
      <c r="B224" s="72"/>
      <c r="C224" s="71"/>
      <c r="D224" s="71"/>
    </row>
    <row r="225" spans="1:4" ht="13.2">
      <c r="A225" s="71"/>
      <c r="B225" s="72"/>
      <c r="C225" s="71"/>
      <c r="D225" s="71"/>
    </row>
    <row r="226" spans="1:4" ht="13.2">
      <c r="A226" s="71"/>
      <c r="B226" s="72"/>
      <c r="C226" s="71"/>
      <c r="D226" s="71"/>
    </row>
    <row r="227" spans="1:4" ht="13.2">
      <c r="A227" s="71"/>
      <c r="B227" s="72"/>
      <c r="C227" s="71"/>
      <c r="D227" s="71"/>
    </row>
    <row r="228" spans="1:4" ht="13.2">
      <c r="A228" s="71"/>
      <c r="B228" s="72"/>
      <c r="C228" s="71"/>
      <c r="D228" s="71"/>
    </row>
    <row r="229" spans="1:4" ht="13.2">
      <c r="A229" s="71"/>
      <c r="B229" s="72"/>
      <c r="C229" s="71"/>
      <c r="D229" s="71"/>
    </row>
    <row r="230" spans="1:4" ht="13.2">
      <c r="A230" s="71"/>
      <c r="B230" s="72"/>
      <c r="C230" s="71"/>
      <c r="D230" s="71"/>
    </row>
    <row r="231" spans="1:4" ht="13.2">
      <c r="A231" s="71"/>
      <c r="B231" s="72"/>
      <c r="C231" s="71"/>
      <c r="D231" s="71"/>
    </row>
    <row r="232" spans="1:4" ht="13.2">
      <c r="A232" s="71"/>
      <c r="B232" s="72"/>
      <c r="C232" s="71"/>
      <c r="D232" s="71"/>
    </row>
    <row r="233" spans="1:4" ht="13.2">
      <c r="A233" s="71"/>
      <c r="B233" s="72"/>
      <c r="C233" s="71"/>
      <c r="D233" s="71"/>
    </row>
    <row r="234" spans="1:4" ht="13.2">
      <c r="A234" s="71"/>
      <c r="B234" s="72"/>
      <c r="C234" s="71"/>
      <c r="D234" s="71"/>
    </row>
    <row r="235" spans="1:4" ht="13.2">
      <c r="A235" s="71"/>
      <c r="B235" s="72"/>
      <c r="C235" s="71"/>
      <c r="D235" s="71"/>
    </row>
    <row r="236" spans="1:4" ht="13.2">
      <c r="A236" s="71"/>
      <c r="B236" s="72"/>
      <c r="C236" s="71"/>
      <c r="D236" s="71"/>
    </row>
    <row r="237" spans="1:4" ht="13.2">
      <c r="A237" s="71"/>
      <c r="B237" s="72"/>
      <c r="C237" s="71"/>
      <c r="D237" s="71"/>
    </row>
    <row r="238" spans="1:4" ht="13.2">
      <c r="A238" s="71"/>
      <c r="B238" s="72"/>
      <c r="C238" s="71"/>
      <c r="D238" s="71"/>
    </row>
    <row r="239" spans="1:4" ht="13.2">
      <c r="A239" s="71"/>
      <c r="B239" s="72"/>
      <c r="C239" s="71"/>
      <c r="D239" s="71"/>
    </row>
    <row r="240" spans="1:4" ht="13.2">
      <c r="A240" s="71"/>
      <c r="B240" s="72"/>
      <c r="C240" s="71"/>
      <c r="D240" s="71"/>
    </row>
    <row r="241" spans="1:4" ht="13.2">
      <c r="A241" s="71"/>
      <c r="B241" s="72"/>
      <c r="C241" s="71"/>
      <c r="D241" s="71"/>
    </row>
    <row r="242" spans="1:4" ht="13.2">
      <c r="A242" s="71"/>
      <c r="B242" s="72"/>
      <c r="C242" s="71"/>
      <c r="D242" s="71"/>
    </row>
    <row r="243" spans="1:4" ht="13.2">
      <c r="A243" s="71"/>
      <c r="B243" s="72"/>
      <c r="C243" s="71"/>
      <c r="D243" s="71"/>
    </row>
    <row r="244" spans="1:4" ht="13.2">
      <c r="A244" s="71"/>
      <c r="B244" s="72"/>
      <c r="C244" s="71"/>
      <c r="D244" s="71"/>
    </row>
    <row r="245" spans="1:4" ht="13.2">
      <c r="A245" s="71"/>
      <c r="B245" s="72"/>
      <c r="C245" s="71"/>
      <c r="D245" s="71"/>
    </row>
    <row r="246" spans="1:4" ht="13.2">
      <c r="A246" s="71"/>
      <c r="B246" s="72"/>
      <c r="C246" s="71"/>
      <c r="D246" s="71"/>
    </row>
    <row r="247" spans="1:4" ht="13.2">
      <c r="A247" s="71"/>
      <c r="B247" s="72"/>
      <c r="C247" s="71"/>
      <c r="D247" s="71"/>
    </row>
    <row r="248" spans="1:4" ht="13.2">
      <c r="A248" s="71"/>
      <c r="B248" s="72"/>
      <c r="C248" s="71"/>
      <c r="D248" s="71"/>
    </row>
    <row r="249" spans="1:4" ht="13.2">
      <c r="A249" s="71"/>
      <c r="B249" s="72"/>
      <c r="C249" s="71"/>
      <c r="D249" s="71"/>
    </row>
    <row r="250" spans="1:4" ht="13.2">
      <c r="A250" s="71"/>
      <c r="B250" s="72"/>
      <c r="C250" s="71"/>
      <c r="D250" s="71"/>
    </row>
    <row r="251" spans="1:4" ht="13.2">
      <c r="A251" s="71"/>
      <c r="B251" s="72"/>
      <c r="C251" s="71"/>
      <c r="D251" s="71"/>
    </row>
    <row r="252" spans="1:4" ht="13.2">
      <c r="A252" s="71"/>
      <c r="B252" s="72"/>
      <c r="C252" s="71"/>
      <c r="D252" s="71"/>
    </row>
    <row r="253" spans="1:4" ht="13.2">
      <c r="A253" s="71"/>
      <c r="B253" s="72"/>
      <c r="C253" s="71"/>
      <c r="D253" s="71"/>
    </row>
    <row r="254" spans="1:4" ht="13.2">
      <c r="A254" s="71"/>
      <c r="B254" s="72"/>
      <c r="C254" s="71"/>
      <c r="D254" s="71"/>
    </row>
    <row r="255" spans="1:4" ht="13.2">
      <c r="A255" s="71"/>
      <c r="B255" s="72"/>
      <c r="C255" s="71"/>
      <c r="D255" s="71"/>
    </row>
    <row r="256" spans="1:4" ht="13.2">
      <c r="A256" s="71"/>
      <c r="B256" s="72"/>
      <c r="C256" s="71"/>
      <c r="D256" s="71"/>
    </row>
    <row r="257" spans="1:4" ht="13.2">
      <c r="A257" s="71"/>
      <c r="B257" s="72"/>
      <c r="C257" s="71"/>
      <c r="D257" s="71"/>
    </row>
    <row r="258" spans="1:4" ht="13.2">
      <c r="A258" s="71"/>
      <c r="B258" s="72"/>
      <c r="C258" s="71"/>
      <c r="D258" s="71"/>
    </row>
    <row r="259" spans="1:4" ht="13.2">
      <c r="A259" s="71"/>
      <c r="B259" s="72"/>
      <c r="C259" s="71"/>
      <c r="D259" s="71"/>
    </row>
    <row r="260" spans="1:4" ht="13.2">
      <c r="A260" s="71"/>
      <c r="B260" s="72"/>
      <c r="C260" s="71"/>
      <c r="D260" s="71"/>
    </row>
    <row r="261" spans="1:4" ht="13.2">
      <c r="A261" s="71"/>
      <c r="B261" s="72"/>
      <c r="C261" s="71"/>
      <c r="D261" s="71"/>
    </row>
    <row r="262" spans="1:4" ht="13.2">
      <c r="A262" s="71"/>
      <c r="B262" s="72"/>
      <c r="C262" s="71"/>
      <c r="D262" s="71"/>
    </row>
    <row r="263" spans="1:4" ht="13.2">
      <c r="A263" s="71"/>
      <c r="B263" s="72"/>
      <c r="C263" s="71"/>
      <c r="D263" s="71"/>
    </row>
    <row r="264" spans="1:4" ht="13.2">
      <c r="A264" s="71"/>
      <c r="B264" s="72"/>
      <c r="C264" s="71"/>
      <c r="D264" s="71"/>
    </row>
    <row r="265" spans="1:4" ht="13.2">
      <c r="A265" s="71"/>
      <c r="B265" s="72"/>
      <c r="C265" s="71"/>
      <c r="D265" s="71"/>
    </row>
    <row r="266" spans="1:4" ht="13.2">
      <c r="A266" s="71"/>
      <c r="B266" s="72"/>
      <c r="C266" s="71"/>
      <c r="D266" s="71"/>
    </row>
    <row r="267" spans="1:4" ht="13.2">
      <c r="A267" s="71"/>
      <c r="B267" s="72"/>
      <c r="C267" s="71"/>
      <c r="D267" s="71"/>
    </row>
    <row r="268" spans="1:4" ht="13.2">
      <c r="A268" s="71"/>
      <c r="B268" s="72"/>
      <c r="C268" s="71"/>
      <c r="D268" s="71"/>
    </row>
    <row r="269" spans="1:4" ht="13.2">
      <c r="A269" s="71"/>
      <c r="B269" s="72"/>
      <c r="C269" s="71"/>
      <c r="D269" s="71"/>
    </row>
    <row r="270" spans="1:4" ht="13.2">
      <c r="A270" s="71"/>
      <c r="B270" s="72"/>
      <c r="C270" s="71"/>
      <c r="D270" s="71"/>
    </row>
    <row r="271" spans="1:4" ht="13.2">
      <c r="A271" s="71"/>
      <c r="B271" s="72"/>
      <c r="C271" s="71"/>
      <c r="D271" s="71"/>
    </row>
    <row r="272" spans="1:4" ht="13.2">
      <c r="A272" s="71"/>
      <c r="B272" s="72"/>
      <c r="C272" s="71"/>
      <c r="D272" s="71"/>
    </row>
    <row r="273" spans="1:4" ht="13.2">
      <c r="A273" s="71"/>
      <c r="B273" s="72"/>
      <c r="C273" s="71"/>
      <c r="D273" s="71"/>
    </row>
    <row r="274" spans="1:4" ht="13.2">
      <c r="A274" s="71"/>
      <c r="B274" s="72"/>
      <c r="C274" s="71"/>
      <c r="D274" s="71"/>
    </row>
    <row r="275" spans="1:4" ht="13.2">
      <c r="A275" s="71"/>
      <c r="B275" s="72"/>
      <c r="C275" s="71"/>
      <c r="D275" s="71"/>
    </row>
    <row r="276" spans="1:4" ht="13.2">
      <c r="A276" s="71"/>
      <c r="B276" s="72"/>
      <c r="C276" s="71"/>
      <c r="D276" s="71"/>
    </row>
    <row r="277" spans="1:4" ht="13.2">
      <c r="A277" s="71"/>
      <c r="B277" s="72"/>
      <c r="C277" s="71"/>
      <c r="D277" s="71"/>
    </row>
    <row r="278" spans="1:4" ht="13.2">
      <c r="A278" s="71"/>
      <c r="B278" s="72"/>
      <c r="C278" s="71"/>
      <c r="D278" s="71"/>
    </row>
    <row r="279" spans="1:4" ht="13.2">
      <c r="A279" s="71"/>
      <c r="B279" s="72"/>
      <c r="C279" s="71"/>
      <c r="D279" s="71"/>
    </row>
    <row r="280" spans="1:4" ht="13.2">
      <c r="A280" s="71"/>
      <c r="B280" s="72"/>
      <c r="C280" s="71"/>
      <c r="D280" s="71"/>
    </row>
    <row r="281" spans="1:4" ht="13.2">
      <c r="A281" s="71"/>
      <c r="B281" s="72"/>
      <c r="C281" s="71"/>
      <c r="D281" s="71"/>
    </row>
    <row r="282" spans="1:4" ht="13.2">
      <c r="A282" s="71"/>
      <c r="B282" s="72"/>
      <c r="C282" s="71"/>
      <c r="D282" s="71"/>
    </row>
    <row r="283" spans="1:4" ht="13.2">
      <c r="A283" s="71"/>
      <c r="B283" s="72"/>
      <c r="C283" s="71"/>
      <c r="D283" s="71"/>
    </row>
    <row r="284" spans="1:4" ht="13.2">
      <c r="A284" s="71"/>
      <c r="B284" s="72"/>
      <c r="C284" s="71"/>
      <c r="D284" s="71"/>
    </row>
    <row r="285" spans="1:4" ht="13.2">
      <c r="A285" s="71"/>
      <c r="B285" s="72"/>
      <c r="C285" s="71"/>
      <c r="D285" s="71"/>
    </row>
    <row r="286" spans="1:4" ht="13.2">
      <c r="A286" s="71"/>
      <c r="B286" s="72"/>
      <c r="C286" s="71"/>
      <c r="D286" s="71"/>
    </row>
    <row r="287" spans="1:4" ht="13.2">
      <c r="A287" s="71"/>
      <c r="B287" s="72"/>
      <c r="C287" s="71"/>
      <c r="D287" s="71"/>
    </row>
    <row r="288" spans="1:4" ht="13.2">
      <c r="A288" s="71"/>
      <c r="B288" s="72"/>
      <c r="C288" s="71"/>
      <c r="D288" s="71"/>
    </row>
    <row r="289" spans="1:4" ht="13.2">
      <c r="A289" s="71"/>
      <c r="B289" s="72"/>
      <c r="C289" s="71"/>
      <c r="D289" s="71"/>
    </row>
    <row r="290" spans="1:4" ht="13.2">
      <c r="A290" s="71"/>
      <c r="B290" s="72"/>
      <c r="C290" s="71"/>
      <c r="D290" s="71"/>
    </row>
    <row r="291" spans="1:4" ht="13.2">
      <c r="A291" s="71"/>
      <c r="B291" s="72"/>
      <c r="C291" s="71"/>
      <c r="D291" s="71"/>
    </row>
    <row r="292" spans="1:4" ht="13.2">
      <c r="A292" s="71"/>
      <c r="B292" s="72"/>
      <c r="C292" s="71"/>
      <c r="D292" s="71"/>
    </row>
    <row r="293" spans="1:4" ht="13.2">
      <c r="A293" s="71"/>
      <c r="B293" s="72"/>
      <c r="C293" s="71"/>
      <c r="D293" s="71"/>
    </row>
    <row r="294" spans="1:4" ht="13.2">
      <c r="A294" s="71"/>
      <c r="B294" s="72"/>
      <c r="C294" s="71"/>
      <c r="D294" s="71"/>
    </row>
    <row r="295" spans="1:4" ht="13.2">
      <c r="A295" s="71"/>
      <c r="B295" s="72"/>
      <c r="C295" s="71"/>
      <c r="D295" s="71"/>
    </row>
    <row r="296" spans="1:4" ht="13.2">
      <c r="A296" s="71"/>
      <c r="B296" s="72"/>
      <c r="C296" s="71"/>
      <c r="D296" s="71"/>
    </row>
    <row r="297" spans="1:4" ht="13.2">
      <c r="A297" s="71"/>
      <c r="B297" s="72"/>
      <c r="C297" s="71"/>
      <c r="D297" s="71"/>
    </row>
    <row r="298" spans="1:4" ht="13.2">
      <c r="A298" s="71"/>
      <c r="B298" s="72"/>
      <c r="C298" s="71"/>
      <c r="D298" s="71"/>
    </row>
    <row r="299" spans="1:4" ht="13.2">
      <c r="A299" s="71"/>
      <c r="B299" s="72"/>
      <c r="C299" s="71"/>
      <c r="D299" s="71"/>
    </row>
    <row r="300" spans="1:4" ht="13.2">
      <c r="A300" s="71"/>
      <c r="B300" s="72"/>
      <c r="C300" s="71"/>
      <c r="D300" s="71"/>
    </row>
    <row r="301" spans="1:4" ht="13.2">
      <c r="A301" s="71"/>
      <c r="B301" s="72"/>
      <c r="C301" s="71"/>
      <c r="D301" s="71"/>
    </row>
    <row r="302" spans="1:4" ht="13.2">
      <c r="A302" s="71"/>
      <c r="B302" s="72"/>
      <c r="C302" s="71"/>
      <c r="D302" s="71"/>
    </row>
    <row r="303" spans="1:4" ht="13.2">
      <c r="A303" s="71"/>
      <c r="B303" s="72"/>
      <c r="C303" s="71"/>
      <c r="D303" s="71"/>
    </row>
    <row r="304" spans="1:4" ht="13.2">
      <c r="A304" s="71"/>
      <c r="B304" s="72"/>
      <c r="C304" s="71"/>
      <c r="D304" s="71"/>
    </row>
    <row r="305" spans="1:4" ht="13.2">
      <c r="A305" s="71"/>
      <c r="B305" s="72"/>
      <c r="C305" s="71"/>
      <c r="D305" s="71"/>
    </row>
    <row r="306" spans="1:4" ht="13.2">
      <c r="A306" s="71"/>
      <c r="B306" s="72"/>
      <c r="C306" s="71"/>
      <c r="D306" s="71"/>
    </row>
    <row r="307" spans="1:4" ht="13.2">
      <c r="A307" s="71"/>
      <c r="B307" s="72"/>
      <c r="C307" s="71"/>
      <c r="D307" s="71"/>
    </row>
    <row r="308" spans="1:4" ht="13.2">
      <c r="A308" s="71"/>
      <c r="B308" s="72"/>
      <c r="C308" s="71"/>
      <c r="D308" s="71"/>
    </row>
    <row r="309" spans="1:4" ht="13.2">
      <c r="A309" s="71"/>
      <c r="B309" s="72"/>
      <c r="C309" s="71"/>
      <c r="D309" s="71"/>
    </row>
    <row r="310" spans="1:4" ht="13.2">
      <c r="A310" s="71"/>
      <c r="B310" s="72"/>
      <c r="C310" s="71"/>
      <c r="D310" s="71"/>
    </row>
    <row r="311" spans="1:4" ht="13.2">
      <c r="A311" s="71"/>
      <c r="B311" s="72"/>
      <c r="C311" s="71"/>
      <c r="D311" s="71"/>
    </row>
    <row r="312" spans="1:4" ht="13.2">
      <c r="A312" s="71"/>
      <c r="B312" s="72"/>
      <c r="C312" s="71"/>
      <c r="D312" s="71"/>
    </row>
    <row r="313" spans="1:4" ht="13.2">
      <c r="A313" s="71"/>
      <c r="B313" s="72"/>
      <c r="C313" s="71"/>
      <c r="D313" s="71"/>
    </row>
    <row r="314" spans="1:4" ht="13.2">
      <c r="A314" s="71"/>
      <c r="B314" s="72"/>
      <c r="C314" s="71"/>
      <c r="D314" s="71"/>
    </row>
    <row r="315" spans="1:4" ht="13.2">
      <c r="A315" s="71"/>
      <c r="B315" s="72"/>
      <c r="C315" s="71"/>
      <c r="D315" s="71"/>
    </row>
    <row r="316" spans="1:4" ht="13.2">
      <c r="A316" s="71"/>
      <c r="B316" s="72"/>
      <c r="C316" s="71"/>
      <c r="D316" s="71"/>
    </row>
    <row r="317" spans="1:4" ht="13.2">
      <c r="A317" s="71"/>
      <c r="B317" s="72"/>
      <c r="C317" s="71"/>
      <c r="D317" s="71"/>
    </row>
    <row r="318" spans="1:4" ht="13.2">
      <c r="A318" s="71"/>
      <c r="B318" s="72"/>
      <c r="C318" s="71"/>
      <c r="D318" s="71"/>
    </row>
    <row r="319" spans="1:4" ht="13.2">
      <c r="A319" s="71"/>
      <c r="B319" s="72"/>
      <c r="C319" s="71"/>
      <c r="D319" s="71"/>
    </row>
    <row r="320" spans="1:4" ht="13.2">
      <c r="A320" s="71"/>
      <c r="B320" s="72"/>
      <c r="C320" s="71"/>
      <c r="D320" s="71"/>
    </row>
    <row r="321" spans="1:4" ht="13.2">
      <c r="A321" s="71"/>
      <c r="B321" s="72"/>
      <c r="C321" s="71"/>
      <c r="D321" s="71"/>
    </row>
    <row r="322" spans="1:4" ht="13.2">
      <c r="A322" s="71"/>
      <c r="B322" s="72"/>
      <c r="C322" s="71"/>
      <c r="D322" s="71"/>
    </row>
    <row r="323" spans="1:4" ht="13.2">
      <c r="A323" s="71"/>
      <c r="B323" s="72"/>
      <c r="C323" s="71"/>
      <c r="D323" s="71"/>
    </row>
    <row r="324" spans="1:4" ht="13.2">
      <c r="A324" s="71"/>
      <c r="B324" s="72"/>
      <c r="C324" s="71"/>
      <c r="D324" s="71"/>
    </row>
    <row r="325" spans="1:4" ht="13.2">
      <c r="A325" s="71"/>
      <c r="B325" s="72"/>
      <c r="C325" s="71"/>
      <c r="D325" s="71"/>
    </row>
    <row r="326" spans="1:4" ht="13.2">
      <c r="A326" s="71"/>
      <c r="B326" s="72"/>
      <c r="C326" s="71"/>
      <c r="D326" s="71"/>
    </row>
    <row r="327" spans="1:4" ht="13.2">
      <c r="A327" s="71"/>
      <c r="B327" s="72"/>
      <c r="C327" s="71"/>
      <c r="D327" s="71"/>
    </row>
    <row r="328" spans="1:4" ht="13.2">
      <c r="A328" s="71"/>
      <c r="B328" s="72"/>
      <c r="C328" s="71"/>
      <c r="D328" s="71"/>
    </row>
    <row r="329" spans="1:4" ht="13.2">
      <c r="A329" s="71"/>
      <c r="B329" s="72"/>
      <c r="C329" s="71"/>
      <c r="D329" s="71"/>
    </row>
    <row r="330" spans="1:4" ht="13.2">
      <c r="A330" s="71"/>
      <c r="B330" s="72"/>
      <c r="C330" s="71"/>
      <c r="D330" s="71"/>
    </row>
    <row r="331" spans="1:4" ht="13.2">
      <c r="A331" s="71"/>
      <c r="B331" s="72"/>
      <c r="C331" s="71"/>
      <c r="D331" s="71"/>
    </row>
    <row r="332" spans="1:4" ht="13.2">
      <c r="A332" s="71"/>
      <c r="B332" s="72"/>
      <c r="C332" s="71"/>
      <c r="D332" s="71"/>
    </row>
    <row r="333" spans="1:4" ht="13.2">
      <c r="A333" s="71"/>
      <c r="B333" s="72"/>
      <c r="C333" s="71"/>
      <c r="D333" s="71"/>
    </row>
    <row r="334" spans="1:4" ht="13.2">
      <c r="A334" s="71"/>
      <c r="B334" s="72"/>
      <c r="C334" s="71"/>
      <c r="D334" s="71"/>
    </row>
    <row r="335" spans="1:4" ht="13.2">
      <c r="A335" s="71"/>
      <c r="B335" s="72"/>
      <c r="C335" s="71"/>
      <c r="D335" s="71"/>
    </row>
    <row r="336" spans="1:4" ht="13.2">
      <c r="A336" s="71"/>
      <c r="B336" s="72"/>
      <c r="C336" s="71"/>
      <c r="D336" s="71"/>
    </row>
    <row r="337" spans="1:4" ht="13.2">
      <c r="A337" s="71"/>
      <c r="B337" s="72"/>
      <c r="C337" s="71"/>
      <c r="D337" s="71"/>
    </row>
    <row r="338" spans="1:4" ht="13.2">
      <c r="A338" s="71"/>
      <c r="B338" s="72"/>
      <c r="C338" s="71"/>
      <c r="D338" s="71"/>
    </row>
    <row r="339" spans="1:4" ht="13.2">
      <c r="A339" s="71"/>
      <c r="B339" s="72"/>
      <c r="C339" s="71"/>
      <c r="D339" s="71"/>
    </row>
    <row r="340" spans="1:4" ht="13.2">
      <c r="A340" s="71"/>
      <c r="B340" s="72"/>
      <c r="C340" s="71"/>
      <c r="D340" s="71"/>
    </row>
    <row r="341" spans="1:4" ht="13.2">
      <c r="A341" s="71"/>
      <c r="B341" s="72"/>
      <c r="C341" s="71"/>
      <c r="D341" s="71"/>
    </row>
    <row r="342" spans="1:4" ht="13.2">
      <c r="A342" s="71"/>
      <c r="B342" s="72"/>
      <c r="C342" s="71"/>
      <c r="D342" s="71"/>
    </row>
    <row r="343" spans="1:4" ht="13.2">
      <c r="A343" s="71"/>
      <c r="B343" s="72"/>
      <c r="C343" s="71"/>
      <c r="D343" s="71"/>
    </row>
    <row r="344" spans="1:4" ht="13.2">
      <c r="A344" s="71"/>
      <c r="B344" s="72"/>
      <c r="C344" s="71"/>
      <c r="D344" s="71"/>
    </row>
    <row r="345" spans="1:4" ht="13.2">
      <c r="A345" s="71"/>
      <c r="B345" s="72"/>
      <c r="C345" s="71"/>
      <c r="D345" s="71"/>
    </row>
    <row r="346" spans="1:4" ht="13.2">
      <c r="A346" s="71"/>
      <c r="B346" s="72"/>
      <c r="C346" s="71"/>
      <c r="D346" s="71"/>
    </row>
    <row r="347" spans="1:4" ht="13.2">
      <c r="A347" s="71"/>
      <c r="B347" s="72"/>
      <c r="C347" s="71"/>
      <c r="D347" s="71"/>
    </row>
    <row r="348" spans="1:4" ht="13.2">
      <c r="A348" s="71"/>
      <c r="B348" s="72"/>
      <c r="C348" s="71"/>
      <c r="D348" s="71"/>
    </row>
    <row r="349" spans="1:4" ht="13.2">
      <c r="A349" s="71"/>
      <c r="B349" s="72"/>
      <c r="C349" s="71"/>
      <c r="D349" s="71"/>
    </row>
    <row r="350" spans="1:4" ht="13.2">
      <c r="A350" s="71"/>
      <c r="B350" s="72"/>
      <c r="C350" s="71"/>
      <c r="D350" s="71"/>
    </row>
    <row r="351" spans="1:4" ht="13.2">
      <c r="A351" s="71"/>
      <c r="B351" s="72"/>
      <c r="C351" s="71"/>
      <c r="D351" s="71"/>
    </row>
    <row r="352" spans="1:4" ht="13.2">
      <c r="A352" s="71"/>
      <c r="B352" s="72"/>
      <c r="C352" s="71"/>
      <c r="D352" s="71"/>
    </row>
    <row r="353" spans="1:4" ht="13.2">
      <c r="A353" s="71"/>
      <c r="B353" s="72"/>
      <c r="C353" s="71"/>
      <c r="D353" s="71"/>
    </row>
    <row r="354" spans="1:4" ht="13.2">
      <c r="A354" s="71"/>
      <c r="B354" s="72"/>
      <c r="C354" s="71"/>
      <c r="D354" s="71"/>
    </row>
    <row r="355" spans="1:4" ht="13.2">
      <c r="A355" s="71"/>
      <c r="B355" s="72"/>
      <c r="C355" s="71"/>
      <c r="D355" s="71"/>
    </row>
    <row r="356" spans="1:4" ht="13.2">
      <c r="A356" s="71"/>
      <c r="B356" s="72"/>
      <c r="C356" s="71"/>
      <c r="D356" s="71"/>
    </row>
    <row r="357" spans="1:4" ht="13.2">
      <c r="A357" s="71"/>
      <c r="B357" s="72"/>
      <c r="C357" s="71"/>
      <c r="D357" s="71"/>
    </row>
    <row r="358" spans="1:4" ht="13.2">
      <c r="A358" s="71"/>
      <c r="B358" s="72"/>
      <c r="C358" s="71"/>
      <c r="D358" s="71"/>
    </row>
    <row r="359" spans="1:4" ht="13.2">
      <c r="A359" s="71"/>
      <c r="B359" s="72"/>
      <c r="C359" s="71"/>
      <c r="D359" s="71"/>
    </row>
    <row r="360" spans="1:4" ht="13.2">
      <c r="A360" s="71"/>
      <c r="B360" s="72"/>
      <c r="C360" s="71"/>
      <c r="D360" s="71"/>
    </row>
    <row r="361" spans="1:4" ht="13.2">
      <c r="A361" s="71"/>
      <c r="B361" s="72"/>
      <c r="C361" s="71"/>
      <c r="D361" s="71"/>
    </row>
    <row r="362" spans="1:4" ht="13.2">
      <c r="A362" s="71"/>
      <c r="B362" s="72"/>
      <c r="C362" s="71"/>
      <c r="D362" s="71"/>
    </row>
    <row r="363" spans="1:4" ht="13.2">
      <c r="A363" s="71"/>
      <c r="B363" s="72"/>
      <c r="C363" s="71"/>
      <c r="D363" s="71"/>
    </row>
    <row r="364" spans="1:4" ht="13.2">
      <c r="A364" s="71"/>
      <c r="B364" s="72"/>
      <c r="C364" s="71"/>
      <c r="D364" s="71"/>
    </row>
    <row r="365" spans="1:4" ht="13.2">
      <c r="A365" s="71"/>
      <c r="B365" s="72"/>
      <c r="C365" s="71"/>
      <c r="D365" s="71"/>
    </row>
    <row r="366" spans="1:4" ht="13.2">
      <c r="A366" s="71"/>
      <c r="B366" s="72"/>
      <c r="C366" s="71"/>
      <c r="D366" s="71"/>
    </row>
    <row r="367" spans="1:4" ht="13.2">
      <c r="A367" s="71"/>
      <c r="B367" s="72"/>
      <c r="C367" s="71"/>
      <c r="D367" s="71"/>
    </row>
    <row r="368" spans="1:4" ht="13.2">
      <c r="A368" s="71"/>
      <c r="B368" s="72"/>
      <c r="C368" s="71"/>
      <c r="D368" s="71"/>
    </row>
    <row r="369" spans="1:4" ht="13.2">
      <c r="A369" s="71"/>
      <c r="B369" s="72"/>
      <c r="C369" s="71"/>
      <c r="D369" s="71"/>
    </row>
    <row r="370" spans="1:4" ht="13.2">
      <c r="A370" s="71"/>
      <c r="B370" s="72"/>
      <c r="C370" s="71"/>
      <c r="D370" s="71"/>
    </row>
    <row r="371" spans="1:4" ht="13.2">
      <c r="A371" s="71"/>
      <c r="B371" s="72"/>
      <c r="C371" s="71"/>
      <c r="D371" s="71"/>
    </row>
    <row r="372" spans="1:4" ht="13.2">
      <c r="A372" s="71"/>
      <c r="B372" s="72"/>
      <c r="C372" s="71"/>
      <c r="D372" s="71"/>
    </row>
    <row r="373" spans="1:4" ht="13.2">
      <c r="A373" s="71"/>
      <c r="B373" s="72"/>
      <c r="C373" s="71"/>
      <c r="D373" s="71"/>
    </row>
    <row r="374" spans="1:4" ht="13.2">
      <c r="A374" s="71"/>
      <c r="B374" s="72"/>
      <c r="C374" s="71"/>
      <c r="D374" s="71"/>
    </row>
    <row r="375" spans="1:4" ht="13.2">
      <c r="A375" s="71"/>
      <c r="B375" s="72"/>
      <c r="C375" s="71"/>
      <c r="D375" s="71"/>
    </row>
    <row r="376" spans="1:4" ht="13.2">
      <c r="A376" s="71"/>
      <c r="B376" s="72"/>
      <c r="C376" s="71"/>
      <c r="D376" s="71"/>
    </row>
    <row r="377" spans="1:4" ht="13.2">
      <c r="A377" s="71"/>
      <c r="B377" s="72"/>
      <c r="C377" s="71"/>
      <c r="D377" s="71"/>
    </row>
    <row r="378" spans="1:4" ht="13.2">
      <c r="A378" s="71"/>
      <c r="B378" s="72"/>
      <c r="C378" s="71"/>
      <c r="D378" s="71"/>
    </row>
    <row r="379" spans="1:4" ht="13.2">
      <c r="A379" s="71"/>
      <c r="B379" s="72"/>
      <c r="C379" s="71"/>
      <c r="D379" s="71"/>
    </row>
    <row r="380" spans="1:4" ht="13.2">
      <c r="A380" s="71"/>
      <c r="B380" s="72"/>
      <c r="C380" s="71"/>
      <c r="D380" s="71"/>
    </row>
    <row r="381" spans="1:4" ht="13.2">
      <c r="A381" s="71"/>
      <c r="B381" s="72"/>
      <c r="C381" s="71"/>
      <c r="D381" s="71"/>
    </row>
    <row r="382" spans="1:4" ht="13.2">
      <c r="A382" s="71"/>
      <c r="B382" s="72"/>
      <c r="C382" s="71"/>
      <c r="D382" s="71"/>
    </row>
    <row r="383" spans="1:4" ht="13.2">
      <c r="A383" s="71"/>
      <c r="B383" s="72"/>
      <c r="C383" s="71"/>
      <c r="D383" s="71"/>
    </row>
    <row r="384" spans="1:4" ht="13.2">
      <c r="A384" s="71"/>
      <c r="B384" s="72"/>
      <c r="C384" s="71"/>
      <c r="D384" s="71"/>
    </row>
    <row r="385" spans="1:4" ht="13.2">
      <c r="A385" s="71"/>
      <c r="B385" s="72"/>
      <c r="C385" s="71"/>
      <c r="D385" s="71"/>
    </row>
    <row r="386" spans="1:4" ht="13.2">
      <c r="A386" s="71"/>
      <c r="B386" s="72"/>
      <c r="C386" s="71"/>
      <c r="D386" s="71"/>
    </row>
    <row r="387" spans="1:4" ht="13.2">
      <c r="A387" s="71"/>
      <c r="B387" s="72"/>
      <c r="C387" s="71"/>
      <c r="D387" s="71"/>
    </row>
    <row r="388" spans="1:4" ht="13.2">
      <c r="A388" s="71"/>
      <c r="B388" s="72"/>
      <c r="C388" s="71"/>
      <c r="D388" s="71"/>
    </row>
    <row r="389" spans="1:4" ht="13.2">
      <c r="A389" s="71"/>
      <c r="B389" s="72"/>
      <c r="C389" s="71"/>
      <c r="D389" s="71"/>
    </row>
    <row r="390" spans="1:4" ht="13.2">
      <c r="A390" s="71"/>
      <c r="B390" s="72"/>
      <c r="C390" s="71"/>
      <c r="D390" s="71"/>
    </row>
    <row r="391" spans="1:4" ht="13.2">
      <c r="A391" s="71"/>
      <c r="B391" s="72"/>
      <c r="C391" s="71"/>
      <c r="D391" s="71"/>
    </row>
    <row r="392" spans="1:4" ht="13.2">
      <c r="A392" s="71"/>
      <c r="B392" s="72"/>
      <c r="C392" s="71"/>
      <c r="D392" s="71"/>
    </row>
    <row r="393" spans="1:4" ht="13.2">
      <c r="A393" s="71"/>
      <c r="B393" s="72"/>
      <c r="C393" s="71"/>
      <c r="D393" s="71"/>
    </row>
    <row r="394" spans="1:4" ht="13.2">
      <c r="A394" s="71"/>
      <c r="B394" s="72"/>
      <c r="C394" s="71"/>
      <c r="D394" s="71"/>
    </row>
    <row r="395" spans="1:4" ht="13.2">
      <c r="A395" s="71"/>
      <c r="B395" s="72"/>
      <c r="C395" s="71"/>
      <c r="D395" s="71"/>
    </row>
    <row r="396" spans="1:4" ht="13.2">
      <c r="A396" s="71"/>
      <c r="B396" s="72"/>
      <c r="C396" s="71"/>
      <c r="D396" s="71"/>
    </row>
    <row r="397" spans="1:4" ht="13.2">
      <c r="A397" s="71"/>
      <c r="B397" s="72"/>
      <c r="C397" s="71"/>
      <c r="D397" s="71"/>
    </row>
    <row r="398" spans="1:4" ht="13.2">
      <c r="A398" s="71"/>
      <c r="B398" s="72"/>
      <c r="C398" s="71"/>
      <c r="D398" s="71"/>
    </row>
    <row r="399" spans="1:4" ht="13.2">
      <c r="A399" s="71"/>
      <c r="B399" s="72"/>
      <c r="C399" s="71"/>
      <c r="D399" s="71"/>
    </row>
    <row r="400" spans="1:4" ht="13.2">
      <c r="A400" s="71"/>
      <c r="B400" s="72"/>
      <c r="C400" s="71"/>
      <c r="D400" s="71"/>
    </row>
    <row r="401" spans="1:4" ht="13.2">
      <c r="A401" s="71"/>
      <c r="B401" s="72"/>
      <c r="C401" s="71"/>
      <c r="D401" s="71"/>
    </row>
    <row r="402" spans="1:4" ht="13.2">
      <c r="A402" s="71"/>
      <c r="B402" s="72"/>
      <c r="C402" s="71"/>
      <c r="D402" s="71"/>
    </row>
    <row r="403" spans="1:4" ht="13.2">
      <c r="A403" s="71"/>
      <c r="B403" s="72"/>
      <c r="C403" s="71"/>
      <c r="D403" s="71"/>
    </row>
    <row r="404" spans="1:4" ht="13.2">
      <c r="A404" s="71"/>
      <c r="B404" s="72"/>
      <c r="C404" s="71"/>
      <c r="D404" s="71"/>
    </row>
    <row r="405" spans="1:4" ht="13.2">
      <c r="A405" s="71"/>
      <c r="B405" s="72"/>
      <c r="C405" s="71"/>
      <c r="D405" s="71"/>
    </row>
    <row r="406" spans="1:4" ht="13.2">
      <c r="A406" s="71"/>
      <c r="B406" s="72"/>
      <c r="C406" s="71"/>
      <c r="D406" s="71"/>
    </row>
    <row r="407" spans="1:4" ht="13.2">
      <c r="A407" s="71"/>
      <c r="B407" s="72"/>
      <c r="C407" s="71"/>
      <c r="D407" s="71"/>
    </row>
    <row r="408" spans="1:4" ht="13.2">
      <c r="A408" s="71"/>
      <c r="B408" s="72"/>
      <c r="C408" s="71"/>
      <c r="D408" s="71"/>
    </row>
    <row r="409" spans="1:4" ht="13.2">
      <c r="A409" s="71"/>
      <c r="B409" s="72"/>
      <c r="C409" s="71"/>
      <c r="D409" s="71"/>
    </row>
    <row r="410" spans="1:4" ht="13.2">
      <c r="A410" s="71"/>
      <c r="B410" s="72"/>
      <c r="C410" s="71"/>
      <c r="D410" s="71"/>
    </row>
    <row r="411" spans="1:4" ht="13.2">
      <c r="A411" s="71"/>
      <c r="B411" s="72"/>
      <c r="C411" s="71"/>
      <c r="D411" s="71"/>
    </row>
    <row r="412" spans="1:4" ht="13.2">
      <c r="A412" s="71"/>
      <c r="B412" s="72"/>
      <c r="C412" s="71"/>
      <c r="D412" s="71"/>
    </row>
    <row r="413" spans="1:4" ht="13.2">
      <c r="A413" s="71"/>
      <c r="B413" s="72"/>
      <c r="C413" s="71"/>
      <c r="D413" s="71"/>
    </row>
    <row r="414" spans="1:4" ht="13.2">
      <c r="A414" s="71"/>
      <c r="B414" s="72"/>
      <c r="C414" s="71"/>
      <c r="D414" s="71"/>
    </row>
    <row r="415" spans="1:4" ht="13.2">
      <c r="A415" s="71"/>
      <c r="B415" s="72"/>
      <c r="C415" s="71"/>
      <c r="D415" s="71"/>
    </row>
    <row r="416" spans="1:4" ht="13.2">
      <c r="A416" s="71"/>
      <c r="B416" s="72"/>
      <c r="C416" s="71"/>
      <c r="D416" s="71"/>
    </row>
    <row r="417" spans="1:4" ht="13.2">
      <c r="A417" s="71"/>
      <c r="B417" s="72"/>
      <c r="C417" s="71"/>
      <c r="D417" s="71"/>
    </row>
    <row r="418" spans="1:4" ht="13.2">
      <c r="A418" s="71"/>
      <c r="B418" s="72"/>
      <c r="C418" s="71"/>
      <c r="D418" s="71"/>
    </row>
    <row r="419" spans="1:4" ht="13.2">
      <c r="A419" s="71"/>
      <c r="B419" s="72"/>
      <c r="C419" s="71"/>
      <c r="D419" s="71"/>
    </row>
    <row r="420" spans="1:4" ht="13.2">
      <c r="A420" s="71"/>
      <c r="B420" s="72"/>
      <c r="C420" s="71"/>
      <c r="D420" s="71"/>
    </row>
    <row r="421" spans="1:4" ht="13.2">
      <c r="A421" s="71"/>
      <c r="B421" s="72"/>
      <c r="C421" s="71"/>
      <c r="D421" s="71"/>
    </row>
    <row r="422" spans="1:4" ht="13.2">
      <c r="A422" s="71"/>
      <c r="B422" s="72"/>
      <c r="C422" s="71"/>
      <c r="D422" s="71"/>
    </row>
    <row r="423" spans="1:4" ht="13.2">
      <c r="A423" s="71"/>
      <c r="B423" s="72"/>
      <c r="C423" s="71"/>
      <c r="D423" s="71"/>
    </row>
    <row r="424" spans="1:4" ht="13.2">
      <c r="A424" s="71"/>
      <c r="B424" s="72"/>
      <c r="C424" s="71"/>
      <c r="D424" s="71"/>
    </row>
    <row r="425" spans="1:4" ht="13.2">
      <c r="A425" s="71"/>
      <c r="B425" s="72"/>
      <c r="C425" s="71"/>
      <c r="D425" s="71"/>
    </row>
    <row r="426" spans="1:4" ht="13.2">
      <c r="A426" s="71"/>
      <c r="B426" s="72"/>
      <c r="C426" s="71"/>
      <c r="D426" s="71"/>
    </row>
    <row r="427" spans="1:4" ht="13.2">
      <c r="A427" s="71"/>
      <c r="B427" s="72"/>
      <c r="C427" s="71"/>
      <c r="D427" s="71"/>
    </row>
    <row r="428" spans="1:4" ht="13.2">
      <c r="A428" s="71"/>
      <c r="B428" s="72"/>
      <c r="C428" s="71"/>
      <c r="D428" s="71"/>
    </row>
    <row r="429" spans="1:4" ht="13.2">
      <c r="A429" s="71"/>
      <c r="B429" s="72"/>
      <c r="C429" s="71"/>
      <c r="D429" s="71"/>
    </row>
    <row r="430" spans="1:4" ht="13.2">
      <c r="A430" s="71"/>
      <c r="B430" s="72"/>
      <c r="C430" s="71"/>
      <c r="D430" s="71"/>
    </row>
    <row r="431" spans="1:4" ht="13.2">
      <c r="A431" s="71"/>
      <c r="B431" s="72"/>
      <c r="C431" s="71"/>
      <c r="D431" s="71"/>
    </row>
    <row r="432" spans="1:4" ht="13.2">
      <c r="A432" s="71"/>
      <c r="B432" s="72"/>
      <c r="C432" s="71"/>
      <c r="D432" s="71"/>
    </row>
    <row r="433" spans="1:4" ht="13.2">
      <c r="A433" s="71"/>
      <c r="B433" s="72"/>
      <c r="C433" s="71"/>
      <c r="D433" s="71"/>
    </row>
    <row r="434" spans="1:4" ht="13.2">
      <c r="A434" s="71"/>
      <c r="B434" s="72"/>
      <c r="C434" s="71"/>
      <c r="D434" s="71"/>
    </row>
    <row r="435" spans="1:4" ht="13.2">
      <c r="A435" s="71"/>
      <c r="B435" s="72"/>
      <c r="C435" s="71"/>
      <c r="D435" s="71"/>
    </row>
    <row r="436" spans="1:4" ht="13.2">
      <c r="A436" s="71"/>
      <c r="B436" s="72"/>
      <c r="C436" s="71"/>
      <c r="D436" s="71"/>
    </row>
    <row r="437" spans="1:4" ht="13.2">
      <c r="A437" s="71"/>
      <c r="B437" s="72"/>
      <c r="C437" s="71"/>
      <c r="D437" s="71"/>
    </row>
    <row r="438" spans="1:4" ht="13.2">
      <c r="A438" s="71"/>
      <c r="B438" s="72"/>
      <c r="C438" s="71"/>
      <c r="D438" s="71"/>
    </row>
    <row r="439" spans="1:4" ht="13.2">
      <c r="A439" s="71"/>
      <c r="B439" s="72"/>
      <c r="C439" s="71"/>
      <c r="D439" s="71"/>
    </row>
    <row r="440" spans="1:4" ht="13.2">
      <c r="A440" s="71"/>
      <c r="B440" s="72"/>
      <c r="C440" s="71"/>
      <c r="D440" s="71"/>
    </row>
    <row r="441" spans="1:4" ht="13.2">
      <c r="A441" s="71"/>
      <c r="B441" s="72"/>
      <c r="C441" s="71"/>
      <c r="D441" s="71"/>
    </row>
    <row r="442" spans="1:4" ht="13.2">
      <c r="A442" s="71"/>
      <c r="B442" s="72"/>
      <c r="C442" s="71"/>
      <c r="D442" s="71"/>
    </row>
    <row r="443" spans="1:4" ht="13.2">
      <c r="A443" s="71"/>
      <c r="B443" s="72"/>
      <c r="C443" s="71"/>
      <c r="D443" s="71"/>
    </row>
    <row r="444" spans="1:4" ht="13.2">
      <c r="A444" s="71"/>
      <c r="B444" s="72"/>
      <c r="C444" s="71"/>
      <c r="D444" s="71"/>
    </row>
    <row r="445" spans="1:4" ht="13.2">
      <c r="A445" s="71"/>
      <c r="B445" s="72"/>
      <c r="C445" s="71"/>
      <c r="D445" s="71"/>
    </row>
    <row r="446" spans="1:4" ht="13.2">
      <c r="A446" s="71"/>
      <c r="B446" s="72"/>
      <c r="C446" s="71"/>
      <c r="D446" s="71"/>
    </row>
    <row r="447" spans="1:4" ht="13.2">
      <c r="A447" s="71"/>
      <c r="B447" s="72"/>
      <c r="C447" s="71"/>
      <c r="D447" s="71"/>
    </row>
    <row r="448" spans="1:4" ht="13.2">
      <c r="A448" s="71"/>
      <c r="B448" s="72"/>
      <c r="C448" s="71"/>
      <c r="D448" s="71"/>
    </row>
    <row r="449" spans="1:4" ht="13.2">
      <c r="A449" s="71"/>
      <c r="B449" s="72"/>
      <c r="C449" s="71"/>
      <c r="D449" s="71"/>
    </row>
    <row r="450" spans="1:4" ht="13.2">
      <c r="A450" s="71"/>
      <c r="B450" s="72"/>
      <c r="C450" s="71"/>
      <c r="D450" s="71"/>
    </row>
    <row r="451" spans="1:4" ht="13.2">
      <c r="A451" s="71"/>
      <c r="B451" s="72"/>
      <c r="C451" s="71"/>
      <c r="D451" s="71"/>
    </row>
    <row r="452" spans="1:4" ht="13.2">
      <c r="A452" s="71"/>
      <c r="B452" s="72"/>
      <c r="C452" s="71"/>
      <c r="D452" s="71"/>
    </row>
    <row r="453" spans="1:4" ht="13.2">
      <c r="A453" s="71"/>
      <c r="B453" s="72"/>
      <c r="C453" s="71"/>
      <c r="D453" s="71"/>
    </row>
    <row r="454" spans="1:4" ht="13.2">
      <c r="A454" s="71"/>
      <c r="B454" s="72"/>
      <c r="C454" s="71"/>
      <c r="D454" s="71"/>
    </row>
    <row r="455" spans="1:4" ht="13.2">
      <c r="A455" s="71"/>
      <c r="B455" s="72"/>
      <c r="C455" s="71"/>
      <c r="D455" s="71"/>
    </row>
    <row r="456" spans="1:4" ht="13.2">
      <c r="A456" s="71"/>
      <c r="B456" s="72"/>
      <c r="C456" s="71"/>
      <c r="D456" s="71"/>
    </row>
    <row r="457" spans="1:4" ht="13.2">
      <c r="A457" s="71"/>
      <c r="B457" s="72"/>
      <c r="C457" s="71"/>
      <c r="D457" s="71"/>
    </row>
    <row r="458" spans="1:4" ht="13.2">
      <c r="A458" s="71"/>
      <c r="B458" s="72"/>
      <c r="C458" s="71"/>
      <c r="D458" s="71"/>
    </row>
    <row r="459" spans="1:4" ht="13.2">
      <c r="A459" s="71"/>
      <c r="B459" s="72"/>
      <c r="C459" s="71"/>
      <c r="D459" s="71"/>
    </row>
    <row r="460" spans="1:4" ht="13.2">
      <c r="A460" s="71"/>
      <c r="B460" s="72"/>
      <c r="C460" s="71"/>
      <c r="D460" s="71"/>
    </row>
    <row r="461" spans="1:4" ht="13.2">
      <c r="A461" s="71"/>
      <c r="B461" s="72"/>
      <c r="C461" s="71"/>
      <c r="D461" s="71"/>
    </row>
    <row r="462" spans="1:4" ht="13.2">
      <c r="A462" s="71"/>
      <c r="B462" s="72"/>
      <c r="C462" s="71"/>
      <c r="D462" s="71"/>
    </row>
    <row r="463" spans="1:4" ht="13.2">
      <c r="A463" s="71"/>
      <c r="B463" s="72"/>
      <c r="C463" s="71"/>
      <c r="D463" s="71"/>
    </row>
    <row r="464" spans="1:4" ht="13.2">
      <c r="A464" s="71"/>
      <c r="B464" s="72"/>
      <c r="C464" s="71"/>
      <c r="D464" s="71"/>
    </row>
    <row r="465" spans="1:4" ht="13.2">
      <c r="A465" s="71"/>
      <c r="B465" s="72"/>
      <c r="C465" s="71"/>
      <c r="D465" s="71"/>
    </row>
    <row r="466" spans="1:4" ht="13.2">
      <c r="A466" s="71"/>
      <c r="B466" s="72"/>
      <c r="C466" s="71"/>
      <c r="D466" s="71"/>
    </row>
    <row r="467" spans="1:4" ht="13.2">
      <c r="A467" s="71"/>
      <c r="B467" s="72"/>
      <c r="C467" s="71"/>
      <c r="D467" s="71"/>
    </row>
    <row r="468" spans="1:4" ht="13.2">
      <c r="A468" s="71"/>
      <c r="B468" s="72"/>
      <c r="C468" s="71"/>
      <c r="D468" s="71"/>
    </row>
    <row r="469" spans="1:4" ht="13.2">
      <c r="A469" s="71"/>
      <c r="B469" s="72"/>
      <c r="C469" s="71"/>
      <c r="D469" s="71"/>
    </row>
    <row r="470" spans="1:4" ht="13.2">
      <c r="A470" s="71"/>
      <c r="B470" s="72"/>
      <c r="C470" s="71"/>
      <c r="D470" s="71"/>
    </row>
    <row r="471" spans="1:4" ht="13.2">
      <c r="A471" s="71"/>
      <c r="B471" s="72"/>
      <c r="C471" s="71"/>
      <c r="D471" s="71"/>
    </row>
    <row r="472" spans="1:4" ht="13.2">
      <c r="A472" s="71"/>
      <c r="B472" s="72"/>
      <c r="C472" s="71"/>
      <c r="D472" s="71"/>
    </row>
    <row r="473" spans="1:4" ht="13.2">
      <c r="A473" s="71"/>
      <c r="B473" s="72"/>
      <c r="C473" s="71"/>
      <c r="D473" s="71"/>
    </row>
    <row r="474" spans="1:4" ht="13.2">
      <c r="A474" s="71"/>
      <c r="B474" s="72"/>
      <c r="C474" s="71"/>
      <c r="D474" s="71"/>
    </row>
    <row r="475" spans="1:4" ht="13.2">
      <c r="A475" s="71"/>
      <c r="B475" s="72"/>
      <c r="C475" s="71"/>
      <c r="D475" s="71"/>
    </row>
    <row r="476" spans="1:4" ht="13.2">
      <c r="A476" s="71"/>
      <c r="B476" s="72"/>
      <c r="C476" s="71"/>
      <c r="D476" s="71"/>
    </row>
    <row r="477" spans="1:4" ht="13.2">
      <c r="A477" s="71"/>
      <c r="B477" s="72"/>
      <c r="C477" s="71"/>
      <c r="D477" s="71"/>
    </row>
    <row r="478" spans="1:4" ht="13.2">
      <c r="A478" s="71"/>
      <c r="B478" s="72"/>
      <c r="C478" s="71"/>
      <c r="D478" s="71"/>
    </row>
    <row r="479" spans="1:4" ht="13.2">
      <c r="A479" s="71"/>
      <c r="B479" s="72"/>
      <c r="C479" s="71"/>
      <c r="D479" s="71"/>
    </row>
    <row r="480" spans="1:4" ht="13.2">
      <c r="A480" s="71"/>
      <c r="B480" s="72"/>
      <c r="C480" s="71"/>
      <c r="D480" s="71"/>
    </row>
    <row r="481" spans="1:4" ht="13.2">
      <c r="A481" s="71"/>
      <c r="B481" s="72"/>
      <c r="C481" s="71"/>
      <c r="D481" s="71"/>
    </row>
    <row r="482" spans="1:4" ht="13.2">
      <c r="A482" s="71"/>
      <c r="B482" s="72"/>
      <c r="C482" s="71"/>
      <c r="D482" s="71"/>
    </row>
    <row r="483" spans="1:4" ht="13.2">
      <c r="A483" s="71"/>
      <c r="B483" s="72"/>
      <c r="C483" s="71"/>
      <c r="D483" s="71"/>
    </row>
    <row r="484" spans="1:4" ht="13.2">
      <c r="A484" s="71"/>
      <c r="B484" s="72"/>
      <c r="C484" s="71"/>
      <c r="D484" s="71"/>
    </row>
    <row r="485" spans="1:4" ht="13.2">
      <c r="A485" s="71"/>
      <c r="B485" s="72"/>
      <c r="C485" s="71"/>
      <c r="D485" s="71"/>
    </row>
    <row r="486" spans="1:4" ht="13.2">
      <c r="A486" s="71"/>
      <c r="B486" s="72"/>
      <c r="C486" s="71"/>
      <c r="D486" s="71"/>
    </row>
    <row r="487" spans="1:4" ht="13.2">
      <c r="A487" s="71"/>
      <c r="B487" s="72"/>
      <c r="C487" s="71"/>
      <c r="D487" s="71"/>
    </row>
    <row r="488" spans="1:4" ht="13.2">
      <c r="A488" s="71"/>
      <c r="B488" s="72"/>
      <c r="C488" s="71"/>
      <c r="D488" s="71"/>
    </row>
    <row r="489" spans="1:4" ht="13.2">
      <c r="A489" s="71"/>
      <c r="B489" s="72"/>
      <c r="C489" s="71"/>
      <c r="D489" s="71"/>
    </row>
    <row r="490" spans="1:4" ht="13.2">
      <c r="A490" s="71"/>
      <c r="B490" s="72"/>
      <c r="C490" s="71"/>
      <c r="D490" s="71"/>
    </row>
    <row r="491" spans="1:4" ht="13.2">
      <c r="A491" s="71"/>
      <c r="B491" s="72"/>
      <c r="C491" s="71"/>
      <c r="D491" s="71"/>
    </row>
    <row r="492" spans="1:4" ht="13.2">
      <c r="A492" s="71"/>
      <c r="B492" s="72"/>
      <c r="C492" s="71"/>
      <c r="D492" s="71"/>
    </row>
    <row r="493" spans="1:4" ht="13.2">
      <c r="A493" s="71"/>
      <c r="B493" s="72"/>
      <c r="C493" s="71"/>
      <c r="D493" s="71"/>
    </row>
    <row r="494" spans="1:4" ht="13.2">
      <c r="A494" s="71"/>
      <c r="B494" s="72"/>
      <c r="C494" s="71"/>
      <c r="D494" s="71"/>
    </row>
    <row r="495" spans="1:4" ht="13.2">
      <c r="A495" s="71"/>
      <c r="B495" s="72"/>
      <c r="C495" s="71"/>
      <c r="D495" s="71"/>
    </row>
    <row r="496" spans="1:4" ht="13.2">
      <c r="A496" s="71"/>
      <c r="B496" s="72"/>
      <c r="C496" s="71"/>
      <c r="D496" s="71"/>
    </row>
    <row r="497" spans="1:4" ht="13.2">
      <c r="A497" s="71"/>
      <c r="B497" s="72"/>
      <c r="C497" s="71"/>
      <c r="D497" s="71"/>
    </row>
    <row r="498" spans="1:4" ht="13.2">
      <c r="A498" s="71"/>
      <c r="B498" s="72"/>
      <c r="C498" s="71"/>
      <c r="D498" s="71"/>
    </row>
    <row r="499" spans="1:4" ht="13.2">
      <c r="A499" s="71"/>
      <c r="B499" s="72"/>
      <c r="C499" s="71"/>
      <c r="D499" s="71"/>
    </row>
    <row r="500" spans="1:4" ht="13.2">
      <c r="A500" s="71"/>
      <c r="B500" s="72"/>
      <c r="C500" s="71"/>
      <c r="D500" s="71"/>
    </row>
    <row r="501" spans="1:4" ht="13.2">
      <c r="A501" s="71"/>
      <c r="B501" s="72"/>
      <c r="C501" s="71"/>
      <c r="D501" s="71"/>
    </row>
    <row r="502" spans="1:4" ht="13.2">
      <c r="A502" s="71"/>
      <c r="B502" s="72"/>
      <c r="C502" s="71"/>
      <c r="D502" s="71"/>
    </row>
    <row r="503" spans="1:4" ht="13.2">
      <c r="A503" s="71"/>
      <c r="B503" s="72"/>
      <c r="C503" s="71"/>
      <c r="D503" s="71"/>
    </row>
    <row r="504" spans="1:4" ht="13.2">
      <c r="A504" s="71"/>
      <c r="B504" s="72"/>
      <c r="C504" s="71"/>
      <c r="D504" s="71"/>
    </row>
    <row r="505" spans="1:4" ht="13.2">
      <c r="A505" s="71"/>
      <c r="B505" s="72"/>
      <c r="C505" s="71"/>
      <c r="D505" s="71"/>
    </row>
    <row r="506" spans="1:4" ht="13.2">
      <c r="A506" s="71"/>
      <c r="B506" s="72"/>
      <c r="C506" s="71"/>
      <c r="D506" s="71"/>
    </row>
    <row r="507" spans="1:4" ht="13.2">
      <c r="A507" s="71"/>
      <c r="B507" s="72"/>
      <c r="C507" s="71"/>
      <c r="D507" s="71"/>
    </row>
    <row r="508" spans="1:4" ht="13.2">
      <c r="A508" s="71"/>
      <c r="B508" s="72"/>
      <c r="C508" s="71"/>
      <c r="D508" s="71"/>
    </row>
    <row r="509" spans="1:4" ht="13.2">
      <c r="A509" s="71"/>
      <c r="B509" s="72"/>
      <c r="C509" s="71"/>
      <c r="D509" s="71"/>
    </row>
    <row r="510" spans="1:4" ht="13.2">
      <c r="A510" s="71"/>
      <c r="B510" s="72"/>
      <c r="C510" s="71"/>
      <c r="D510" s="71"/>
    </row>
    <row r="511" spans="1:4" ht="13.2">
      <c r="A511" s="71"/>
      <c r="B511" s="72"/>
      <c r="C511" s="71"/>
      <c r="D511" s="71"/>
    </row>
    <row r="512" spans="1:4" ht="13.2">
      <c r="A512" s="71"/>
      <c r="B512" s="72"/>
      <c r="C512" s="71"/>
      <c r="D512" s="71"/>
    </row>
    <row r="513" spans="1:4" ht="13.2">
      <c r="A513" s="71"/>
      <c r="B513" s="72"/>
      <c r="C513" s="71"/>
      <c r="D513" s="71"/>
    </row>
    <row r="514" spans="1:4" ht="13.2">
      <c r="A514" s="71"/>
      <c r="B514" s="72"/>
      <c r="C514" s="71"/>
      <c r="D514" s="71"/>
    </row>
    <row r="515" spans="1:4" ht="13.2">
      <c r="A515" s="71"/>
      <c r="B515" s="72"/>
      <c r="C515" s="71"/>
      <c r="D515" s="71"/>
    </row>
    <row r="516" spans="1:4" ht="13.2">
      <c r="A516" s="71"/>
      <c r="B516" s="72"/>
      <c r="C516" s="71"/>
      <c r="D516" s="71"/>
    </row>
    <row r="517" spans="1:4" ht="13.2">
      <c r="A517" s="71"/>
      <c r="B517" s="72"/>
      <c r="C517" s="71"/>
      <c r="D517" s="71"/>
    </row>
    <row r="518" spans="1:4" ht="13.2">
      <c r="A518" s="71"/>
      <c r="B518" s="72"/>
      <c r="C518" s="71"/>
      <c r="D518" s="71"/>
    </row>
    <row r="519" spans="1:4" ht="13.2">
      <c r="A519" s="71"/>
      <c r="B519" s="72"/>
      <c r="C519" s="71"/>
      <c r="D519" s="71"/>
    </row>
    <row r="520" spans="1:4" ht="13.2">
      <c r="A520" s="71"/>
      <c r="B520" s="72"/>
      <c r="C520" s="71"/>
      <c r="D520" s="71"/>
    </row>
    <row r="521" spans="1:4" ht="13.2">
      <c r="A521" s="71"/>
      <c r="B521" s="72"/>
      <c r="C521" s="71"/>
      <c r="D521" s="71"/>
    </row>
    <row r="522" spans="1:4" ht="13.2">
      <c r="A522" s="71"/>
      <c r="B522" s="72"/>
      <c r="C522" s="71"/>
      <c r="D522" s="71"/>
    </row>
    <row r="523" spans="1:4" ht="13.2">
      <c r="A523" s="71"/>
      <c r="B523" s="72"/>
      <c r="C523" s="71"/>
      <c r="D523" s="71"/>
    </row>
    <row r="524" spans="1:4" ht="13.2">
      <c r="A524" s="71"/>
      <c r="B524" s="72"/>
      <c r="C524" s="71"/>
      <c r="D524" s="71"/>
    </row>
    <row r="525" spans="1:4" ht="13.2">
      <c r="A525" s="71"/>
      <c r="B525" s="72"/>
      <c r="C525" s="71"/>
      <c r="D525" s="71"/>
    </row>
    <row r="526" spans="1:4" ht="13.2">
      <c r="A526" s="71"/>
      <c r="B526" s="72"/>
      <c r="C526" s="71"/>
      <c r="D526" s="71"/>
    </row>
    <row r="527" spans="1:4" ht="13.2">
      <c r="A527" s="71"/>
      <c r="B527" s="72"/>
      <c r="C527" s="71"/>
      <c r="D527" s="71"/>
    </row>
    <row r="528" spans="1:4" ht="13.2">
      <c r="A528" s="71"/>
      <c r="B528" s="72"/>
      <c r="C528" s="71"/>
      <c r="D528" s="71"/>
    </row>
    <row r="529" spans="1:4" ht="13.2">
      <c r="A529" s="71"/>
      <c r="B529" s="72"/>
      <c r="C529" s="71"/>
      <c r="D529" s="71"/>
    </row>
    <row r="530" spans="1:4" ht="13.2">
      <c r="A530" s="71"/>
      <c r="B530" s="72"/>
      <c r="C530" s="71"/>
      <c r="D530" s="71"/>
    </row>
    <row r="531" spans="1:4" ht="13.2">
      <c r="A531" s="71"/>
      <c r="B531" s="72"/>
      <c r="C531" s="71"/>
      <c r="D531" s="71"/>
    </row>
    <row r="532" spans="1:4" ht="13.2">
      <c r="A532" s="71"/>
      <c r="B532" s="72"/>
      <c r="C532" s="71"/>
      <c r="D532" s="71"/>
    </row>
    <row r="533" spans="1:4" ht="13.2">
      <c r="A533" s="71"/>
      <c r="B533" s="72"/>
      <c r="C533" s="71"/>
      <c r="D533" s="71"/>
    </row>
    <row r="534" spans="1:4" ht="13.2">
      <c r="A534" s="71"/>
      <c r="B534" s="72"/>
      <c r="C534" s="71"/>
      <c r="D534" s="71"/>
    </row>
    <row r="535" spans="1:4" ht="13.2">
      <c r="A535" s="71"/>
      <c r="B535" s="72"/>
      <c r="C535" s="71"/>
      <c r="D535" s="71"/>
    </row>
    <row r="536" spans="1:4" ht="13.2">
      <c r="A536" s="71"/>
      <c r="B536" s="72"/>
      <c r="C536" s="71"/>
      <c r="D536" s="71"/>
    </row>
    <row r="537" spans="1:4" ht="13.2">
      <c r="A537" s="71"/>
      <c r="B537" s="72"/>
      <c r="C537" s="71"/>
      <c r="D537" s="71"/>
    </row>
    <row r="538" spans="1:4" ht="13.2">
      <c r="A538" s="71"/>
      <c r="B538" s="72"/>
      <c r="C538" s="71"/>
      <c r="D538" s="71"/>
    </row>
    <row r="539" spans="1:4" ht="13.2">
      <c r="A539" s="71"/>
      <c r="B539" s="72"/>
      <c r="C539" s="71"/>
      <c r="D539" s="71"/>
    </row>
    <row r="540" spans="1:4" ht="13.2">
      <c r="A540" s="71"/>
      <c r="B540" s="72"/>
      <c r="C540" s="71"/>
      <c r="D540" s="71"/>
    </row>
    <row r="541" spans="1:4" ht="13.2">
      <c r="A541" s="71"/>
      <c r="B541" s="72"/>
      <c r="C541" s="71"/>
      <c r="D541" s="71"/>
    </row>
    <row r="542" spans="1:4" ht="13.2">
      <c r="A542" s="71"/>
      <c r="B542" s="72"/>
      <c r="C542" s="71"/>
      <c r="D542" s="71"/>
    </row>
    <row r="543" spans="1:4" ht="13.2">
      <c r="A543" s="71"/>
      <c r="B543" s="72"/>
      <c r="C543" s="71"/>
      <c r="D543" s="71"/>
    </row>
    <row r="544" spans="1:4" ht="13.2">
      <c r="A544" s="71"/>
      <c r="B544" s="72"/>
      <c r="C544" s="71"/>
      <c r="D544" s="71"/>
    </row>
    <row r="545" spans="1:4" ht="13.2">
      <c r="A545" s="71"/>
      <c r="B545" s="72"/>
      <c r="C545" s="71"/>
      <c r="D545" s="71"/>
    </row>
    <row r="546" spans="1:4" ht="13.2">
      <c r="A546" s="71"/>
      <c r="B546" s="72"/>
      <c r="C546" s="71"/>
      <c r="D546" s="71"/>
    </row>
    <row r="547" spans="1:4" ht="13.2">
      <c r="A547" s="71"/>
      <c r="B547" s="72"/>
      <c r="C547" s="71"/>
      <c r="D547" s="71"/>
    </row>
    <row r="548" spans="1:4" ht="13.2">
      <c r="A548" s="71"/>
      <c r="B548" s="72"/>
      <c r="C548" s="71"/>
      <c r="D548" s="71"/>
    </row>
    <row r="549" spans="1:4" ht="13.2">
      <c r="A549" s="71"/>
      <c r="B549" s="72"/>
      <c r="C549" s="71"/>
      <c r="D549" s="71"/>
    </row>
    <row r="550" spans="1:4" ht="13.2">
      <c r="A550" s="71"/>
      <c r="B550" s="72"/>
      <c r="C550" s="71"/>
      <c r="D550" s="71"/>
    </row>
    <row r="551" spans="1:4" ht="13.2">
      <c r="A551" s="71"/>
      <c r="B551" s="72"/>
      <c r="C551" s="71"/>
      <c r="D551" s="71"/>
    </row>
    <row r="552" spans="1:4" ht="13.2">
      <c r="A552" s="71"/>
      <c r="B552" s="72"/>
      <c r="C552" s="71"/>
      <c r="D552" s="71"/>
    </row>
    <row r="553" spans="1:4" ht="13.2">
      <c r="A553" s="71"/>
      <c r="B553" s="72"/>
      <c r="C553" s="71"/>
      <c r="D553" s="71"/>
    </row>
    <row r="554" spans="1:4" ht="13.2">
      <c r="A554" s="71"/>
      <c r="B554" s="72"/>
      <c r="C554" s="71"/>
      <c r="D554" s="71"/>
    </row>
    <row r="555" spans="1:4" ht="13.2">
      <c r="A555" s="71"/>
      <c r="B555" s="72"/>
      <c r="C555" s="71"/>
      <c r="D555" s="71"/>
    </row>
    <row r="556" spans="1:4" ht="13.2">
      <c r="A556" s="71"/>
      <c r="B556" s="72"/>
      <c r="C556" s="71"/>
      <c r="D556" s="71"/>
    </row>
    <row r="557" spans="1:4" ht="13.2">
      <c r="A557" s="71"/>
      <c r="B557" s="72"/>
      <c r="C557" s="71"/>
      <c r="D557" s="71"/>
    </row>
    <row r="558" spans="1:4" ht="13.2">
      <c r="A558" s="71"/>
      <c r="B558" s="72"/>
      <c r="C558" s="71"/>
      <c r="D558" s="71"/>
    </row>
    <row r="559" spans="1:4" ht="13.2">
      <c r="A559" s="71"/>
      <c r="B559" s="72"/>
      <c r="C559" s="71"/>
      <c r="D559" s="71"/>
    </row>
    <row r="560" spans="1:4" ht="13.2">
      <c r="A560" s="71"/>
      <c r="B560" s="72"/>
      <c r="C560" s="71"/>
      <c r="D560" s="71"/>
    </row>
    <row r="561" spans="1:4" ht="13.2">
      <c r="A561" s="71"/>
      <c r="B561" s="72"/>
      <c r="C561" s="71"/>
      <c r="D561" s="71"/>
    </row>
    <row r="562" spans="1:4" ht="13.2">
      <c r="A562" s="71"/>
      <c r="B562" s="72"/>
      <c r="C562" s="71"/>
      <c r="D562" s="71"/>
    </row>
    <row r="563" spans="1:4" ht="13.2">
      <c r="A563" s="71"/>
      <c r="B563" s="72"/>
      <c r="C563" s="71"/>
      <c r="D563" s="71"/>
    </row>
    <row r="564" spans="1:4" ht="13.2">
      <c r="A564" s="71"/>
      <c r="B564" s="72"/>
      <c r="C564" s="71"/>
      <c r="D564" s="71"/>
    </row>
    <row r="565" spans="1:4" ht="13.2">
      <c r="A565" s="71"/>
      <c r="B565" s="72"/>
      <c r="C565" s="71"/>
      <c r="D565" s="71"/>
    </row>
    <row r="566" spans="1:4" ht="13.2">
      <c r="A566" s="71"/>
      <c r="B566" s="72"/>
      <c r="C566" s="71"/>
      <c r="D566" s="71"/>
    </row>
    <row r="567" spans="1:4" ht="13.2">
      <c r="A567" s="71"/>
      <c r="B567" s="72"/>
      <c r="C567" s="71"/>
      <c r="D567" s="71"/>
    </row>
    <row r="568" spans="1:4" ht="13.2">
      <c r="A568" s="71"/>
      <c r="B568" s="72"/>
      <c r="C568" s="71"/>
      <c r="D568" s="71"/>
    </row>
    <row r="569" spans="1:4" ht="13.2">
      <c r="A569" s="71"/>
      <c r="B569" s="72"/>
      <c r="C569" s="71"/>
      <c r="D569" s="71"/>
    </row>
    <row r="570" spans="1:4" ht="13.2">
      <c r="A570" s="71"/>
      <c r="B570" s="72"/>
      <c r="C570" s="71"/>
      <c r="D570" s="71"/>
    </row>
    <row r="571" spans="1:4" ht="13.2">
      <c r="A571" s="71"/>
      <c r="B571" s="72"/>
      <c r="C571" s="71"/>
      <c r="D571" s="71"/>
    </row>
    <row r="572" spans="1:4" ht="13.2">
      <c r="A572" s="71"/>
      <c r="B572" s="72"/>
      <c r="C572" s="71"/>
      <c r="D572" s="71"/>
    </row>
    <row r="573" spans="1:4" ht="13.2">
      <c r="A573" s="71"/>
      <c r="B573" s="72"/>
      <c r="C573" s="71"/>
      <c r="D573" s="71"/>
    </row>
    <row r="574" spans="1:4" ht="13.2">
      <c r="A574" s="71"/>
      <c r="B574" s="72"/>
      <c r="C574" s="71"/>
      <c r="D574" s="71"/>
    </row>
    <row r="575" spans="1:4" ht="13.2">
      <c r="A575" s="71"/>
      <c r="B575" s="72"/>
      <c r="C575" s="71"/>
      <c r="D575" s="71"/>
    </row>
    <row r="576" spans="1:4" ht="13.2">
      <c r="A576" s="71"/>
      <c r="B576" s="72"/>
      <c r="C576" s="71"/>
      <c r="D576" s="71"/>
    </row>
    <row r="577" spans="1:4" ht="13.2">
      <c r="A577" s="71"/>
      <c r="B577" s="72"/>
      <c r="C577" s="71"/>
      <c r="D577" s="71"/>
    </row>
    <row r="578" spans="1:4" ht="13.2">
      <c r="A578" s="71"/>
      <c r="B578" s="72"/>
      <c r="C578" s="71"/>
      <c r="D578" s="71"/>
    </row>
    <row r="579" spans="1:4" ht="13.2">
      <c r="A579" s="71"/>
      <c r="B579" s="72"/>
      <c r="C579" s="71"/>
      <c r="D579" s="71"/>
    </row>
    <row r="580" spans="1:4" ht="13.2">
      <c r="A580" s="71"/>
      <c r="B580" s="72"/>
      <c r="C580" s="71"/>
      <c r="D580" s="71"/>
    </row>
    <row r="581" spans="1:4" ht="13.2">
      <c r="A581" s="71"/>
      <c r="B581" s="72"/>
      <c r="C581" s="71"/>
      <c r="D581" s="71"/>
    </row>
    <row r="582" spans="1:4" ht="13.2">
      <c r="A582" s="71"/>
      <c r="B582" s="72"/>
      <c r="C582" s="71"/>
      <c r="D582" s="71"/>
    </row>
    <row r="583" spans="1:4" ht="13.2">
      <c r="A583" s="71"/>
      <c r="B583" s="72"/>
      <c r="C583" s="71"/>
      <c r="D583" s="71"/>
    </row>
    <row r="584" spans="1:4" ht="13.2">
      <c r="A584" s="71"/>
      <c r="B584" s="72"/>
      <c r="C584" s="71"/>
      <c r="D584" s="71"/>
    </row>
    <row r="585" spans="1:4" ht="13.2">
      <c r="A585" s="71"/>
      <c r="B585" s="72"/>
      <c r="C585" s="71"/>
      <c r="D585" s="71"/>
    </row>
    <row r="586" spans="1:4" ht="13.2">
      <c r="A586" s="71"/>
      <c r="B586" s="72"/>
      <c r="C586" s="71"/>
      <c r="D586" s="71"/>
    </row>
    <row r="587" spans="1:4" ht="13.2">
      <c r="A587" s="71"/>
      <c r="B587" s="72"/>
      <c r="C587" s="71"/>
      <c r="D587" s="71"/>
    </row>
    <row r="588" spans="1:4" ht="13.2">
      <c r="A588" s="71"/>
      <c r="B588" s="72"/>
      <c r="C588" s="71"/>
      <c r="D588" s="71"/>
    </row>
    <row r="589" spans="1:4" ht="13.2">
      <c r="A589" s="71"/>
      <c r="B589" s="72"/>
      <c r="C589" s="71"/>
      <c r="D589" s="71"/>
    </row>
    <row r="590" spans="1:4" ht="13.2">
      <c r="A590" s="71"/>
      <c r="B590" s="72"/>
      <c r="C590" s="71"/>
      <c r="D590" s="71"/>
    </row>
    <row r="591" spans="1:4" ht="13.2">
      <c r="A591" s="71"/>
      <c r="B591" s="72"/>
      <c r="C591" s="71"/>
      <c r="D591" s="71"/>
    </row>
    <row r="592" spans="1:4" ht="13.2">
      <c r="A592" s="71"/>
      <c r="B592" s="72"/>
      <c r="C592" s="71"/>
      <c r="D592" s="71"/>
    </row>
    <row r="593" spans="1:4" ht="13.2">
      <c r="A593" s="71"/>
      <c r="B593" s="72"/>
      <c r="C593" s="71"/>
      <c r="D593" s="71"/>
    </row>
    <row r="594" spans="1:4" ht="13.2">
      <c r="A594" s="71"/>
      <c r="B594" s="72"/>
      <c r="C594" s="71"/>
      <c r="D594" s="71"/>
    </row>
    <row r="595" spans="1:4" ht="13.2">
      <c r="A595" s="71"/>
      <c r="B595" s="72"/>
      <c r="C595" s="71"/>
      <c r="D595" s="71"/>
    </row>
    <row r="596" spans="1:4" ht="13.2">
      <c r="A596" s="71"/>
      <c r="B596" s="72"/>
      <c r="C596" s="71"/>
      <c r="D596" s="71"/>
    </row>
    <row r="597" spans="1:4" ht="13.2">
      <c r="A597" s="71"/>
      <c r="B597" s="72"/>
      <c r="C597" s="71"/>
      <c r="D597" s="71"/>
    </row>
    <row r="598" spans="1:4" ht="13.2">
      <c r="A598" s="71"/>
      <c r="B598" s="72"/>
      <c r="C598" s="71"/>
      <c r="D598" s="71"/>
    </row>
    <row r="599" spans="1:4" ht="13.2">
      <c r="A599" s="71"/>
      <c r="B599" s="72"/>
      <c r="C599" s="71"/>
      <c r="D599" s="71"/>
    </row>
    <row r="600" spans="1:4" ht="13.2">
      <c r="A600" s="71"/>
      <c r="B600" s="72"/>
      <c r="C600" s="71"/>
      <c r="D600" s="71"/>
    </row>
    <row r="601" spans="1:4" ht="13.2">
      <c r="A601" s="71"/>
      <c r="B601" s="72"/>
      <c r="C601" s="71"/>
      <c r="D601" s="71"/>
    </row>
    <row r="602" spans="1:4" ht="13.2">
      <c r="A602" s="71"/>
      <c r="B602" s="72"/>
      <c r="C602" s="71"/>
      <c r="D602" s="71"/>
    </row>
    <row r="603" spans="1:4" ht="13.2">
      <c r="A603" s="71"/>
      <c r="B603" s="72"/>
      <c r="C603" s="71"/>
      <c r="D603" s="71"/>
    </row>
    <row r="604" spans="1:4" ht="13.2">
      <c r="A604" s="71"/>
      <c r="B604" s="72"/>
      <c r="C604" s="71"/>
      <c r="D604" s="71"/>
    </row>
    <row r="605" spans="1:4" ht="13.2">
      <c r="A605" s="71"/>
      <c r="B605" s="72"/>
      <c r="C605" s="71"/>
      <c r="D605" s="71"/>
    </row>
    <row r="606" spans="1:4" ht="13.2">
      <c r="A606" s="71"/>
      <c r="B606" s="72"/>
      <c r="C606" s="71"/>
      <c r="D606" s="71"/>
    </row>
    <row r="607" spans="1:4" ht="13.2">
      <c r="A607" s="71"/>
      <c r="B607" s="72"/>
      <c r="C607" s="71"/>
      <c r="D607" s="71"/>
    </row>
    <row r="608" spans="1:4" ht="13.2">
      <c r="A608" s="71"/>
      <c r="B608" s="72"/>
      <c r="C608" s="71"/>
      <c r="D608" s="71"/>
    </row>
    <row r="609" spans="1:4" ht="13.2">
      <c r="A609" s="71"/>
      <c r="B609" s="72"/>
      <c r="C609" s="71"/>
      <c r="D609" s="71"/>
    </row>
    <row r="610" spans="1:4" ht="13.2">
      <c r="A610" s="71"/>
      <c r="B610" s="72"/>
      <c r="C610" s="71"/>
      <c r="D610" s="71"/>
    </row>
    <row r="611" spans="1:4" ht="13.2">
      <c r="A611" s="71"/>
      <c r="B611" s="72"/>
      <c r="C611" s="71"/>
      <c r="D611" s="71"/>
    </row>
    <row r="612" spans="1:4" ht="13.2">
      <c r="A612" s="71"/>
      <c r="B612" s="72"/>
      <c r="C612" s="71"/>
      <c r="D612" s="71"/>
    </row>
    <row r="613" spans="1:4" ht="13.2">
      <c r="A613" s="71"/>
      <c r="B613" s="72"/>
      <c r="C613" s="71"/>
      <c r="D613" s="71"/>
    </row>
    <row r="614" spans="1:4" ht="13.2">
      <c r="A614" s="71"/>
      <c r="B614" s="72"/>
      <c r="C614" s="71"/>
      <c r="D614" s="71"/>
    </row>
    <row r="615" spans="1:4" ht="13.2">
      <c r="A615" s="71"/>
      <c r="B615" s="72"/>
      <c r="C615" s="71"/>
      <c r="D615" s="71"/>
    </row>
    <row r="616" spans="1:4" ht="13.2">
      <c r="A616" s="71"/>
      <c r="B616" s="72"/>
      <c r="C616" s="71"/>
      <c r="D616" s="71"/>
    </row>
    <row r="617" spans="1:4" ht="13.2">
      <c r="A617" s="71"/>
      <c r="B617" s="72"/>
      <c r="C617" s="71"/>
      <c r="D617" s="71"/>
    </row>
    <row r="618" spans="1:4" ht="13.2">
      <c r="A618" s="71"/>
      <c r="B618" s="72"/>
      <c r="C618" s="71"/>
      <c r="D618" s="71"/>
    </row>
    <row r="619" spans="1:4" ht="13.2">
      <c r="A619" s="71"/>
      <c r="B619" s="72"/>
      <c r="C619" s="71"/>
      <c r="D619" s="71"/>
    </row>
    <row r="620" spans="1:4" ht="13.2">
      <c r="A620" s="71"/>
      <c r="B620" s="72"/>
      <c r="C620" s="71"/>
      <c r="D620" s="71"/>
    </row>
    <row r="621" spans="1:4" ht="13.2">
      <c r="A621" s="71"/>
      <c r="B621" s="72"/>
      <c r="C621" s="71"/>
      <c r="D621" s="71"/>
    </row>
    <row r="622" spans="1:4" ht="13.2">
      <c r="A622" s="71"/>
      <c r="B622" s="72"/>
      <c r="C622" s="71"/>
      <c r="D622" s="71"/>
    </row>
    <row r="623" spans="1:4" ht="13.2">
      <c r="A623" s="71"/>
      <c r="B623" s="72"/>
      <c r="C623" s="71"/>
      <c r="D623" s="71"/>
    </row>
    <row r="624" spans="1:4" ht="13.2">
      <c r="A624" s="71"/>
      <c r="B624" s="72"/>
      <c r="C624" s="71"/>
      <c r="D624" s="71"/>
    </row>
    <row r="625" spans="1:4" ht="13.2">
      <c r="A625" s="71"/>
      <c r="B625" s="72"/>
      <c r="C625" s="71"/>
      <c r="D625" s="71"/>
    </row>
    <row r="626" spans="1:4" ht="13.2">
      <c r="A626" s="71"/>
      <c r="B626" s="72"/>
      <c r="C626" s="71"/>
      <c r="D626" s="71"/>
    </row>
    <row r="627" spans="1:4" ht="13.2">
      <c r="A627" s="71"/>
      <c r="B627" s="72"/>
      <c r="C627" s="71"/>
      <c r="D627" s="71"/>
    </row>
    <row r="628" spans="1:4" ht="13.2">
      <c r="A628" s="71"/>
      <c r="B628" s="72"/>
      <c r="C628" s="71"/>
      <c r="D628" s="71"/>
    </row>
    <row r="629" spans="1:4" ht="13.2">
      <c r="A629" s="71"/>
      <c r="B629" s="72"/>
      <c r="C629" s="71"/>
      <c r="D629" s="71"/>
    </row>
    <row r="630" spans="1:4" ht="13.2">
      <c r="A630" s="71"/>
      <c r="B630" s="72"/>
      <c r="C630" s="71"/>
      <c r="D630" s="71"/>
    </row>
    <row r="631" spans="1:4" ht="13.2">
      <c r="A631" s="71"/>
      <c r="B631" s="72"/>
      <c r="C631" s="71"/>
      <c r="D631" s="71"/>
    </row>
    <row r="632" spans="1:4" ht="13.2">
      <c r="A632" s="71"/>
      <c r="B632" s="72"/>
      <c r="C632" s="71"/>
      <c r="D632" s="71"/>
    </row>
    <row r="633" spans="1:4" ht="13.2">
      <c r="A633" s="71"/>
      <c r="B633" s="72"/>
      <c r="C633" s="71"/>
      <c r="D633" s="71"/>
    </row>
    <row r="634" spans="1:4" ht="13.2">
      <c r="A634" s="71"/>
      <c r="B634" s="72"/>
      <c r="C634" s="71"/>
      <c r="D634" s="71"/>
    </row>
    <row r="635" spans="1:4" ht="13.2">
      <c r="A635" s="71"/>
      <c r="B635" s="72"/>
      <c r="C635" s="71"/>
      <c r="D635" s="71"/>
    </row>
    <row r="636" spans="1:4" ht="13.2">
      <c r="A636" s="71"/>
      <c r="B636" s="72"/>
      <c r="C636" s="71"/>
      <c r="D636" s="71"/>
    </row>
    <row r="637" spans="1:4" ht="13.2">
      <c r="A637" s="71"/>
      <c r="B637" s="72"/>
      <c r="C637" s="71"/>
      <c r="D637" s="71"/>
    </row>
    <row r="638" spans="1:4" ht="13.2">
      <c r="A638" s="71"/>
      <c r="B638" s="72"/>
      <c r="C638" s="71"/>
      <c r="D638" s="71"/>
    </row>
    <row r="639" spans="1:4" ht="13.2">
      <c r="A639" s="71"/>
      <c r="B639" s="72"/>
      <c r="C639" s="71"/>
      <c r="D639" s="71"/>
    </row>
    <row r="640" spans="1:4" ht="13.2">
      <c r="A640" s="71"/>
      <c r="B640" s="72"/>
      <c r="C640" s="71"/>
      <c r="D640" s="71"/>
    </row>
    <row r="641" spans="1:4" ht="13.2">
      <c r="A641" s="71"/>
      <c r="B641" s="72"/>
      <c r="C641" s="71"/>
      <c r="D641" s="71"/>
    </row>
    <row r="642" spans="1:4" ht="13.2">
      <c r="A642" s="71"/>
      <c r="B642" s="72"/>
      <c r="C642" s="71"/>
      <c r="D642" s="71"/>
    </row>
    <row r="643" spans="1:4" ht="13.2">
      <c r="A643" s="71"/>
      <c r="B643" s="72"/>
      <c r="C643" s="71"/>
      <c r="D643" s="71"/>
    </row>
    <row r="644" spans="1:4" ht="13.2">
      <c r="A644" s="71"/>
      <c r="B644" s="72"/>
      <c r="C644" s="71"/>
      <c r="D644" s="71"/>
    </row>
    <row r="645" spans="1:4" ht="13.2">
      <c r="A645" s="71"/>
      <c r="B645" s="72"/>
      <c r="C645" s="71"/>
      <c r="D645" s="71"/>
    </row>
    <row r="646" spans="1:4" ht="13.2">
      <c r="A646" s="71"/>
      <c r="B646" s="72"/>
      <c r="C646" s="71"/>
      <c r="D646" s="71"/>
    </row>
    <row r="647" spans="1:4" ht="13.2">
      <c r="A647" s="71"/>
      <c r="B647" s="72"/>
      <c r="C647" s="71"/>
      <c r="D647" s="71"/>
    </row>
    <row r="648" spans="1:4" ht="13.2">
      <c r="A648" s="71"/>
      <c r="B648" s="72"/>
      <c r="C648" s="71"/>
      <c r="D648" s="71"/>
    </row>
    <row r="649" spans="1:4" ht="13.2">
      <c r="A649" s="71"/>
      <c r="B649" s="72"/>
      <c r="C649" s="71"/>
      <c r="D649" s="71"/>
    </row>
    <row r="650" spans="1:4" ht="13.2">
      <c r="A650" s="71"/>
      <c r="B650" s="72"/>
      <c r="C650" s="71"/>
      <c r="D650" s="71"/>
    </row>
    <row r="651" spans="1:4" ht="13.2">
      <c r="A651" s="71"/>
      <c r="B651" s="72"/>
      <c r="C651" s="71"/>
      <c r="D651" s="71"/>
    </row>
    <row r="652" spans="1:4" ht="13.2">
      <c r="A652" s="71"/>
      <c r="B652" s="72"/>
      <c r="C652" s="71"/>
      <c r="D652" s="71"/>
    </row>
    <row r="653" spans="1:4" ht="13.2">
      <c r="A653" s="71"/>
      <c r="B653" s="72"/>
      <c r="C653" s="71"/>
      <c r="D653" s="71"/>
    </row>
    <row r="654" spans="1:4" ht="13.2">
      <c r="A654" s="71"/>
      <c r="B654" s="72"/>
      <c r="C654" s="71"/>
      <c r="D654" s="71"/>
    </row>
    <row r="655" spans="1:4" ht="13.2">
      <c r="A655" s="71"/>
      <c r="B655" s="72"/>
      <c r="C655" s="71"/>
      <c r="D655" s="71"/>
    </row>
    <row r="656" spans="1:4" ht="13.2">
      <c r="A656" s="71"/>
      <c r="B656" s="72"/>
      <c r="C656" s="71"/>
      <c r="D656" s="71"/>
    </row>
    <row r="657" spans="1:4" ht="13.2">
      <c r="A657" s="71"/>
      <c r="B657" s="72"/>
      <c r="C657" s="71"/>
      <c r="D657" s="71"/>
    </row>
    <row r="658" spans="1:4" ht="13.2">
      <c r="A658" s="71"/>
      <c r="B658" s="72"/>
      <c r="C658" s="71"/>
      <c r="D658" s="71"/>
    </row>
    <row r="659" spans="1:4" ht="13.2">
      <c r="A659" s="71"/>
      <c r="B659" s="72"/>
      <c r="C659" s="71"/>
      <c r="D659" s="71"/>
    </row>
    <row r="660" spans="1:4" ht="13.2">
      <c r="A660" s="71"/>
      <c r="B660" s="72"/>
      <c r="C660" s="71"/>
      <c r="D660" s="71"/>
    </row>
    <row r="661" spans="1:4" ht="13.2">
      <c r="A661" s="71"/>
      <c r="B661" s="72"/>
      <c r="C661" s="71"/>
      <c r="D661" s="71"/>
    </row>
    <row r="662" spans="1:4" ht="13.2">
      <c r="A662" s="71"/>
      <c r="B662" s="72"/>
      <c r="C662" s="71"/>
      <c r="D662" s="71"/>
    </row>
    <row r="663" spans="1:4" ht="13.2">
      <c r="A663" s="71"/>
      <c r="B663" s="72"/>
      <c r="C663" s="71"/>
      <c r="D663" s="71"/>
    </row>
    <row r="664" spans="1:4" ht="13.2">
      <c r="A664" s="71"/>
      <c r="B664" s="72"/>
      <c r="C664" s="71"/>
      <c r="D664" s="71"/>
    </row>
    <row r="665" spans="1:4" ht="13.2">
      <c r="A665" s="71"/>
      <c r="B665" s="72"/>
      <c r="C665" s="71"/>
      <c r="D665" s="71"/>
    </row>
    <row r="666" spans="1:4" ht="13.2">
      <c r="A666" s="71"/>
      <c r="B666" s="72"/>
      <c r="C666" s="71"/>
      <c r="D666" s="71"/>
    </row>
    <row r="667" spans="1:4" ht="13.2">
      <c r="A667" s="71"/>
      <c r="B667" s="72"/>
      <c r="C667" s="71"/>
      <c r="D667" s="71"/>
    </row>
    <row r="668" spans="1:4" ht="13.2">
      <c r="A668" s="71"/>
      <c r="B668" s="72"/>
      <c r="C668" s="71"/>
      <c r="D668" s="71"/>
    </row>
    <row r="669" spans="1:4" ht="13.2">
      <c r="A669" s="71"/>
      <c r="B669" s="72"/>
      <c r="C669" s="71"/>
      <c r="D669" s="71"/>
    </row>
    <row r="670" spans="1:4" ht="13.2">
      <c r="A670" s="71"/>
      <c r="B670" s="72"/>
      <c r="C670" s="71"/>
      <c r="D670" s="71"/>
    </row>
    <row r="671" spans="1:4" ht="13.2">
      <c r="A671" s="71"/>
      <c r="B671" s="72"/>
      <c r="C671" s="71"/>
      <c r="D671" s="71"/>
    </row>
    <row r="672" spans="1:4" ht="13.2">
      <c r="A672" s="71"/>
      <c r="B672" s="72"/>
      <c r="C672" s="71"/>
      <c r="D672" s="71"/>
    </row>
    <row r="673" spans="1:4" ht="13.2">
      <c r="A673" s="71"/>
      <c r="B673" s="72"/>
      <c r="C673" s="71"/>
      <c r="D673" s="71"/>
    </row>
    <row r="674" spans="1:4" ht="13.2">
      <c r="A674" s="71"/>
      <c r="B674" s="72"/>
      <c r="C674" s="71"/>
      <c r="D674" s="71"/>
    </row>
    <row r="675" spans="1:4" ht="13.2">
      <c r="A675" s="71"/>
      <c r="B675" s="72"/>
      <c r="C675" s="71"/>
      <c r="D675" s="71"/>
    </row>
    <row r="676" spans="1:4" ht="13.2">
      <c r="A676" s="71"/>
      <c r="B676" s="72"/>
      <c r="C676" s="71"/>
      <c r="D676" s="71"/>
    </row>
    <row r="677" spans="1:4" ht="13.2">
      <c r="A677" s="71"/>
      <c r="B677" s="72"/>
      <c r="C677" s="71"/>
      <c r="D677" s="71"/>
    </row>
    <row r="678" spans="1:4" ht="13.2">
      <c r="A678" s="71"/>
      <c r="B678" s="72"/>
      <c r="C678" s="71"/>
      <c r="D678" s="71"/>
    </row>
    <row r="679" spans="1:4" ht="13.2">
      <c r="A679" s="71"/>
      <c r="B679" s="72"/>
      <c r="C679" s="71"/>
      <c r="D679" s="71"/>
    </row>
    <row r="680" spans="1:4" ht="13.2">
      <c r="A680" s="71"/>
      <c r="B680" s="72"/>
      <c r="C680" s="71"/>
      <c r="D680" s="71"/>
    </row>
    <row r="681" spans="1:4" ht="13.2">
      <c r="A681" s="71"/>
      <c r="B681" s="72"/>
      <c r="C681" s="71"/>
      <c r="D681" s="71"/>
    </row>
    <row r="682" spans="1:4" ht="13.2">
      <c r="A682" s="71"/>
      <c r="B682" s="72"/>
      <c r="C682" s="71"/>
      <c r="D682" s="71"/>
    </row>
    <row r="683" spans="1:4" ht="13.2">
      <c r="A683" s="71"/>
      <c r="B683" s="72"/>
      <c r="C683" s="71"/>
      <c r="D683" s="71"/>
    </row>
    <row r="684" spans="1:4" ht="13.2">
      <c r="A684" s="71"/>
      <c r="B684" s="72"/>
      <c r="C684" s="71"/>
      <c r="D684" s="71"/>
    </row>
    <row r="685" spans="1:4" ht="13.2">
      <c r="A685" s="71"/>
      <c r="B685" s="72"/>
      <c r="C685" s="71"/>
      <c r="D685" s="71"/>
    </row>
    <row r="686" spans="1:4" ht="13.2">
      <c r="A686" s="71"/>
      <c r="B686" s="72"/>
      <c r="C686" s="71"/>
      <c r="D686" s="71"/>
    </row>
    <row r="687" spans="1:4" ht="13.2">
      <c r="A687" s="71"/>
      <c r="B687" s="72"/>
      <c r="C687" s="71"/>
      <c r="D687" s="71"/>
    </row>
    <row r="688" spans="1:4" ht="13.2">
      <c r="A688" s="71"/>
      <c r="B688" s="72"/>
      <c r="C688" s="71"/>
      <c r="D688" s="71"/>
    </row>
    <row r="689" spans="1:4" ht="13.2">
      <c r="A689" s="71"/>
      <c r="B689" s="72"/>
      <c r="C689" s="71"/>
      <c r="D689" s="71"/>
    </row>
    <row r="690" spans="1:4" ht="13.2">
      <c r="A690" s="71"/>
      <c r="B690" s="72"/>
      <c r="C690" s="71"/>
      <c r="D690" s="71"/>
    </row>
    <row r="691" spans="1:4" ht="13.2">
      <c r="A691" s="71"/>
      <c r="B691" s="72"/>
      <c r="C691" s="71"/>
      <c r="D691" s="71"/>
    </row>
    <row r="692" spans="1:4" ht="13.2">
      <c r="A692" s="71"/>
      <c r="B692" s="72"/>
      <c r="C692" s="71"/>
      <c r="D692" s="71"/>
    </row>
    <row r="693" spans="1:4" ht="13.2">
      <c r="A693" s="71"/>
      <c r="B693" s="72"/>
      <c r="C693" s="71"/>
      <c r="D693" s="71"/>
    </row>
    <row r="694" spans="1:4" ht="13.2">
      <c r="A694" s="71"/>
      <c r="B694" s="72"/>
      <c r="C694" s="71"/>
      <c r="D694" s="71"/>
    </row>
    <row r="695" spans="1:4" ht="13.2">
      <c r="A695" s="71"/>
      <c r="B695" s="72"/>
      <c r="C695" s="71"/>
      <c r="D695" s="71"/>
    </row>
    <row r="696" spans="1:4" ht="13.2">
      <c r="A696" s="71"/>
      <c r="B696" s="72"/>
      <c r="C696" s="71"/>
      <c r="D696" s="71"/>
    </row>
    <row r="697" spans="1:4" ht="13.2">
      <c r="A697" s="71"/>
      <c r="B697" s="72"/>
      <c r="C697" s="71"/>
      <c r="D697" s="71"/>
    </row>
    <row r="698" spans="1:4" ht="13.2">
      <c r="A698" s="71"/>
      <c r="B698" s="72"/>
      <c r="C698" s="71"/>
      <c r="D698" s="71"/>
    </row>
    <row r="699" spans="1:4" ht="13.2">
      <c r="A699" s="71"/>
      <c r="B699" s="72"/>
      <c r="C699" s="71"/>
      <c r="D699" s="71"/>
    </row>
    <row r="700" spans="1:4" ht="13.2">
      <c r="A700" s="71"/>
      <c r="B700" s="72"/>
      <c r="C700" s="71"/>
      <c r="D700" s="71"/>
    </row>
    <row r="701" spans="1:4" ht="13.2">
      <c r="A701" s="71"/>
      <c r="B701" s="72"/>
      <c r="C701" s="71"/>
      <c r="D701" s="71"/>
    </row>
    <row r="702" spans="1:4" ht="13.2">
      <c r="A702" s="71"/>
      <c r="B702" s="72"/>
      <c r="C702" s="71"/>
      <c r="D702" s="71"/>
    </row>
    <row r="703" spans="1:4" ht="13.2">
      <c r="A703" s="71"/>
      <c r="B703" s="72"/>
      <c r="C703" s="71"/>
      <c r="D703" s="71"/>
    </row>
    <row r="704" spans="1:4" ht="13.2">
      <c r="A704" s="71"/>
      <c r="B704" s="72"/>
      <c r="C704" s="71"/>
      <c r="D704" s="71"/>
    </row>
    <row r="705" spans="1:4" ht="13.2">
      <c r="A705" s="71"/>
      <c r="B705" s="72"/>
      <c r="C705" s="71"/>
      <c r="D705" s="71"/>
    </row>
    <row r="706" spans="1:4" ht="13.2">
      <c r="A706" s="71"/>
      <c r="B706" s="72"/>
      <c r="C706" s="71"/>
      <c r="D706" s="71"/>
    </row>
    <row r="707" spans="1:4" ht="13.2">
      <c r="A707" s="71"/>
      <c r="B707" s="72"/>
      <c r="C707" s="71"/>
      <c r="D707" s="71"/>
    </row>
    <row r="708" spans="1:4" ht="13.2">
      <c r="A708" s="71"/>
      <c r="B708" s="72"/>
      <c r="C708" s="71"/>
      <c r="D708" s="71"/>
    </row>
    <row r="709" spans="1:4" ht="13.2">
      <c r="A709" s="71"/>
      <c r="B709" s="72"/>
      <c r="C709" s="71"/>
      <c r="D709" s="71"/>
    </row>
    <row r="710" spans="1:4" ht="13.2">
      <c r="A710" s="71"/>
      <c r="B710" s="72"/>
      <c r="C710" s="71"/>
      <c r="D710" s="71"/>
    </row>
    <row r="711" spans="1:4" ht="13.2">
      <c r="A711" s="71"/>
      <c r="B711" s="72"/>
      <c r="C711" s="71"/>
      <c r="D711" s="71"/>
    </row>
    <row r="712" spans="1:4" ht="13.2">
      <c r="A712" s="71"/>
      <c r="B712" s="72"/>
      <c r="C712" s="71"/>
      <c r="D712" s="71"/>
    </row>
    <row r="713" spans="1:4" ht="13.2">
      <c r="A713" s="71"/>
      <c r="B713" s="72"/>
      <c r="C713" s="71"/>
      <c r="D713" s="71"/>
    </row>
    <row r="714" spans="1:4" ht="13.2">
      <c r="A714" s="71"/>
      <c r="B714" s="72"/>
      <c r="C714" s="71"/>
      <c r="D714" s="71"/>
    </row>
    <row r="715" spans="1:4" ht="13.2">
      <c r="A715" s="71"/>
      <c r="B715" s="72"/>
      <c r="C715" s="71"/>
      <c r="D715" s="71"/>
    </row>
    <row r="716" spans="1:4" ht="13.2">
      <c r="A716" s="71"/>
      <c r="B716" s="72"/>
      <c r="C716" s="71"/>
      <c r="D716" s="71"/>
    </row>
    <row r="717" spans="1:4" ht="13.2">
      <c r="A717" s="71"/>
      <c r="B717" s="72"/>
      <c r="C717" s="71"/>
      <c r="D717" s="71"/>
    </row>
    <row r="718" spans="1:4" ht="13.2">
      <c r="A718" s="71"/>
      <c r="B718" s="72"/>
      <c r="C718" s="71"/>
      <c r="D718" s="71"/>
    </row>
    <row r="719" spans="1:4" ht="13.2">
      <c r="A719" s="71"/>
      <c r="B719" s="72"/>
      <c r="C719" s="71"/>
      <c r="D719" s="71"/>
    </row>
    <row r="720" spans="1:4" ht="13.2">
      <c r="A720" s="71"/>
      <c r="B720" s="72"/>
      <c r="C720" s="71"/>
      <c r="D720" s="71"/>
    </row>
    <row r="721" spans="1:4" ht="13.2">
      <c r="A721" s="71"/>
      <c r="B721" s="72"/>
      <c r="C721" s="71"/>
      <c r="D721" s="71"/>
    </row>
    <row r="722" spans="1:4" ht="13.2">
      <c r="A722" s="71"/>
      <c r="B722" s="72"/>
      <c r="C722" s="71"/>
      <c r="D722" s="71"/>
    </row>
    <row r="723" spans="1:4" ht="13.2">
      <c r="A723" s="71"/>
      <c r="B723" s="72"/>
      <c r="C723" s="71"/>
      <c r="D723" s="71"/>
    </row>
    <row r="724" spans="1:4" ht="13.2">
      <c r="A724" s="71"/>
      <c r="B724" s="72"/>
      <c r="C724" s="71"/>
      <c r="D724" s="71"/>
    </row>
    <row r="725" spans="1:4" ht="13.2">
      <c r="A725" s="71"/>
      <c r="B725" s="72"/>
      <c r="C725" s="71"/>
      <c r="D725" s="71"/>
    </row>
    <row r="726" spans="1:4" ht="13.2">
      <c r="A726" s="71"/>
      <c r="B726" s="72"/>
      <c r="C726" s="71"/>
      <c r="D726" s="71"/>
    </row>
    <row r="727" spans="1:4" ht="13.2">
      <c r="A727" s="71"/>
      <c r="B727" s="72"/>
      <c r="C727" s="71"/>
      <c r="D727" s="71"/>
    </row>
    <row r="728" spans="1:4" ht="13.2">
      <c r="A728" s="71"/>
      <c r="B728" s="72"/>
      <c r="C728" s="71"/>
      <c r="D728" s="71"/>
    </row>
    <row r="729" spans="1:4" ht="13.2">
      <c r="A729" s="71"/>
      <c r="B729" s="72"/>
      <c r="C729" s="71"/>
      <c r="D729" s="71"/>
    </row>
    <row r="730" spans="1:4" ht="13.2">
      <c r="A730" s="71"/>
      <c r="B730" s="72"/>
      <c r="C730" s="71"/>
      <c r="D730" s="71"/>
    </row>
    <row r="731" spans="1:4" ht="13.2">
      <c r="A731" s="71"/>
      <c r="B731" s="72"/>
      <c r="C731" s="71"/>
      <c r="D731" s="71"/>
    </row>
    <row r="732" spans="1:4" ht="13.2">
      <c r="A732" s="71"/>
      <c r="B732" s="72"/>
      <c r="C732" s="71"/>
      <c r="D732" s="71"/>
    </row>
    <row r="733" spans="1:4" ht="13.2">
      <c r="A733" s="71"/>
      <c r="B733" s="72"/>
      <c r="C733" s="71"/>
      <c r="D733" s="71"/>
    </row>
    <row r="734" spans="1:4" ht="13.2">
      <c r="A734" s="71"/>
      <c r="B734" s="72"/>
      <c r="C734" s="71"/>
      <c r="D734" s="71"/>
    </row>
    <row r="735" spans="1:4" ht="13.2">
      <c r="A735" s="71"/>
      <c r="B735" s="72"/>
      <c r="C735" s="71"/>
      <c r="D735" s="71"/>
    </row>
    <row r="736" spans="1:4" ht="13.2">
      <c r="A736" s="71"/>
      <c r="B736" s="72"/>
      <c r="C736" s="71"/>
      <c r="D736" s="71"/>
    </row>
    <row r="737" spans="1:4" ht="13.2">
      <c r="A737" s="71"/>
      <c r="B737" s="72"/>
      <c r="C737" s="71"/>
      <c r="D737" s="71"/>
    </row>
    <row r="738" spans="1:4" ht="13.2">
      <c r="A738" s="71"/>
      <c r="B738" s="72"/>
      <c r="C738" s="71"/>
      <c r="D738" s="71"/>
    </row>
    <row r="739" spans="1:4" ht="13.2">
      <c r="A739" s="71"/>
      <c r="B739" s="72"/>
      <c r="C739" s="71"/>
      <c r="D739" s="71"/>
    </row>
    <row r="740" spans="1:4" ht="13.2">
      <c r="A740" s="71"/>
      <c r="B740" s="72"/>
      <c r="C740" s="71"/>
      <c r="D740" s="71"/>
    </row>
    <row r="741" spans="1:4" ht="13.2">
      <c r="A741" s="71"/>
      <c r="B741" s="72"/>
      <c r="C741" s="71"/>
      <c r="D741" s="71"/>
    </row>
    <row r="742" spans="1:4" ht="13.2">
      <c r="A742" s="71"/>
      <c r="B742" s="72"/>
      <c r="C742" s="71"/>
      <c r="D742" s="71"/>
    </row>
    <row r="743" spans="1:4" ht="13.2">
      <c r="A743" s="71"/>
      <c r="B743" s="72"/>
      <c r="C743" s="71"/>
      <c r="D743" s="71"/>
    </row>
    <row r="744" spans="1:4" ht="13.2">
      <c r="A744" s="71"/>
      <c r="B744" s="72"/>
      <c r="C744" s="71"/>
      <c r="D744" s="71"/>
    </row>
    <row r="745" spans="1:4" ht="13.2">
      <c r="A745" s="71"/>
      <c r="B745" s="72"/>
      <c r="C745" s="71"/>
      <c r="D745" s="71"/>
    </row>
    <row r="746" spans="1:4" ht="13.2">
      <c r="A746" s="71"/>
      <c r="B746" s="72"/>
      <c r="C746" s="71"/>
      <c r="D746" s="71"/>
    </row>
    <row r="747" spans="1:4" ht="13.2">
      <c r="A747" s="71"/>
      <c r="B747" s="72"/>
      <c r="C747" s="71"/>
      <c r="D747" s="71"/>
    </row>
    <row r="748" spans="1:4" ht="13.2">
      <c r="A748" s="71"/>
      <c r="B748" s="72"/>
      <c r="C748" s="71"/>
      <c r="D748" s="71"/>
    </row>
    <row r="749" spans="1:4" ht="13.2">
      <c r="A749" s="71"/>
      <c r="B749" s="72"/>
      <c r="C749" s="71"/>
      <c r="D749" s="71"/>
    </row>
    <row r="750" spans="1:4" ht="13.2">
      <c r="A750" s="71"/>
      <c r="B750" s="72"/>
      <c r="C750" s="71"/>
      <c r="D750" s="71"/>
    </row>
    <row r="751" spans="1:4" ht="13.2">
      <c r="A751" s="71"/>
      <c r="B751" s="72"/>
      <c r="C751" s="71"/>
      <c r="D751" s="71"/>
    </row>
    <row r="752" spans="1:4" ht="13.2">
      <c r="A752" s="71"/>
      <c r="B752" s="72"/>
      <c r="C752" s="71"/>
      <c r="D752" s="71"/>
    </row>
    <row r="753" spans="1:4" ht="13.2">
      <c r="A753" s="71"/>
      <c r="B753" s="72"/>
      <c r="C753" s="71"/>
      <c r="D753" s="71"/>
    </row>
    <row r="754" spans="1:4" ht="13.2">
      <c r="A754" s="71"/>
      <c r="B754" s="72"/>
      <c r="C754" s="71"/>
      <c r="D754" s="71"/>
    </row>
    <row r="755" spans="1:4" ht="13.2">
      <c r="A755" s="71"/>
      <c r="B755" s="72"/>
      <c r="C755" s="71"/>
      <c r="D755" s="71"/>
    </row>
    <row r="756" spans="1:4" ht="13.2">
      <c r="A756" s="71"/>
      <c r="B756" s="72"/>
      <c r="C756" s="71"/>
      <c r="D756" s="71"/>
    </row>
    <row r="757" spans="1:4" ht="13.2">
      <c r="A757" s="71"/>
      <c r="B757" s="72"/>
      <c r="C757" s="71"/>
      <c r="D757" s="71"/>
    </row>
    <row r="758" spans="1:4" ht="13.2">
      <c r="A758" s="71"/>
      <c r="B758" s="72"/>
      <c r="C758" s="71"/>
      <c r="D758" s="71"/>
    </row>
    <row r="759" spans="1:4" ht="13.2">
      <c r="A759" s="71"/>
      <c r="B759" s="72"/>
      <c r="C759" s="71"/>
      <c r="D759" s="71"/>
    </row>
    <row r="760" spans="1:4" ht="13.2">
      <c r="A760" s="71"/>
      <c r="B760" s="72"/>
      <c r="C760" s="71"/>
      <c r="D760" s="71"/>
    </row>
    <row r="761" spans="1:4" ht="13.2">
      <c r="A761" s="71"/>
      <c r="B761" s="72"/>
      <c r="C761" s="71"/>
      <c r="D761" s="71"/>
    </row>
    <row r="762" spans="1:4" ht="13.2">
      <c r="A762" s="71"/>
      <c r="B762" s="72"/>
      <c r="C762" s="71"/>
      <c r="D762" s="71"/>
    </row>
    <row r="763" spans="1:4" ht="13.2">
      <c r="A763" s="71"/>
      <c r="B763" s="72"/>
      <c r="C763" s="71"/>
      <c r="D763" s="71"/>
    </row>
    <row r="764" spans="1:4" ht="13.2">
      <c r="A764" s="71"/>
      <c r="B764" s="72"/>
      <c r="C764" s="71"/>
      <c r="D764" s="71"/>
    </row>
    <row r="765" spans="1:4" ht="13.2">
      <c r="A765" s="71"/>
      <c r="B765" s="72"/>
      <c r="C765" s="71"/>
      <c r="D765" s="71"/>
    </row>
    <row r="766" spans="1:4" ht="13.2">
      <c r="A766" s="71"/>
      <c r="B766" s="72"/>
      <c r="C766" s="71"/>
      <c r="D766" s="71"/>
    </row>
    <row r="767" spans="1:4" ht="13.2">
      <c r="A767" s="71"/>
      <c r="B767" s="72"/>
      <c r="C767" s="71"/>
      <c r="D767" s="71"/>
    </row>
    <row r="768" spans="1:4" ht="13.2">
      <c r="A768" s="71"/>
      <c r="B768" s="72"/>
      <c r="C768" s="71"/>
      <c r="D768" s="71"/>
    </row>
    <row r="769" spans="1:4" ht="13.2">
      <c r="A769" s="71"/>
      <c r="B769" s="72"/>
      <c r="C769" s="71"/>
      <c r="D769" s="71"/>
    </row>
    <row r="770" spans="1:4" ht="13.2">
      <c r="A770" s="71"/>
      <c r="B770" s="72"/>
      <c r="C770" s="71"/>
      <c r="D770" s="71"/>
    </row>
    <row r="771" spans="1:4" ht="13.2">
      <c r="A771" s="71"/>
      <c r="B771" s="72"/>
      <c r="C771" s="71"/>
      <c r="D771" s="71"/>
    </row>
    <row r="772" spans="1:4" ht="13.2">
      <c r="A772" s="71"/>
      <c r="B772" s="72"/>
      <c r="C772" s="71"/>
      <c r="D772" s="71"/>
    </row>
    <row r="773" spans="1:4" ht="13.2">
      <c r="A773" s="71"/>
      <c r="B773" s="72"/>
      <c r="C773" s="71"/>
      <c r="D773" s="71"/>
    </row>
    <row r="774" spans="1:4" ht="13.2">
      <c r="A774" s="71"/>
      <c r="B774" s="72"/>
      <c r="C774" s="71"/>
      <c r="D774" s="71"/>
    </row>
    <row r="775" spans="1:4" ht="13.2">
      <c r="A775" s="71"/>
      <c r="B775" s="72"/>
      <c r="C775" s="71"/>
      <c r="D775" s="71"/>
    </row>
    <row r="776" spans="1:4" ht="13.2">
      <c r="A776" s="71"/>
      <c r="B776" s="72"/>
      <c r="C776" s="71"/>
      <c r="D776" s="71"/>
    </row>
    <row r="777" spans="1:4" ht="13.2">
      <c r="A777" s="71"/>
      <c r="B777" s="72"/>
      <c r="C777" s="71"/>
      <c r="D777" s="71"/>
    </row>
    <row r="778" spans="1:4" ht="13.2">
      <c r="A778" s="71"/>
      <c r="B778" s="72"/>
      <c r="C778" s="71"/>
      <c r="D778" s="71"/>
    </row>
    <row r="779" spans="1:4" ht="13.2">
      <c r="A779" s="71"/>
      <c r="B779" s="72"/>
      <c r="C779" s="71"/>
      <c r="D779" s="71"/>
    </row>
    <row r="780" spans="1:4" ht="13.2">
      <c r="A780" s="71"/>
      <c r="B780" s="72"/>
      <c r="C780" s="71"/>
      <c r="D780" s="71"/>
    </row>
    <row r="781" spans="1:4" ht="13.2">
      <c r="A781" s="71"/>
      <c r="B781" s="72"/>
      <c r="C781" s="71"/>
      <c r="D781" s="71"/>
    </row>
    <row r="782" spans="1:4" ht="13.2">
      <c r="A782" s="71"/>
      <c r="B782" s="72"/>
      <c r="C782" s="71"/>
      <c r="D782" s="71"/>
    </row>
    <row r="783" spans="1:4" ht="13.2">
      <c r="A783" s="71"/>
      <c r="B783" s="72"/>
      <c r="C783" s="71"/>
      <c r="D783" s="71"/>
    </row>
    <row r="784" spans="1:4" ht="13.2">
      <c r="A784" s="71"/>
      <c r="B784" s="72"/>
      <c r="C784" s="71"/>
      <c r="D784" s="71"/>
    </row>
    <row r="785" spans="1:4" ht="13.2">
      <c r="A785" s="71"/>
      <c r="B785" s="72"/>
      <c r="C785" s="71"/>
      <c r="D785" s="71"/>
    </row>
    <row r="786" spans="1:4" ht="13.2">
      <c r="A786" s="71"/>
      <c r="B786" s="72"/>
      <c r="C786" s="71"/>
      <c r="D786" s="71"/>
    </row>
    <row r="787" spans="1:4" ht="13.2">
      <c r="A787" s="71"/>
      <c r="B787" s="72"/>
      <c r="C787" s="71"/>
      <c r="D787" s="71"/>
    </row>
    <row r="788" spans="1:4" ht="13.2">
      <c r="A788" s="71"/>
      <c r="B788" s="72"/>
      <c r="C788" s="71"/>
      <c r="D788" s="71"/>
    </row>
    <row r="789" spans="1:4" ht="13.2">
      <c r="A789" s="71"/>
      <c r="B789" s="72"/>
      <c r="C789" s="71"/>
      <c r="D789" s="71"/>
    </row>
    <row r="790" spans="1:4" ht="13.2">
      <c r="A790" s="71"/>
      <c r="B790" s="72"/>
      <c r="C790" s="71"/>
      <c r="D790" s="71"/>
    </row>
    <row r="791" spans="1:4" ht="13.2">
      <c r="A791" s="71"/>
      <c r="B791" s="72"/>
      <c r="C791" s="71"/>
      <c r="D791" s="71"/>
    </row>
    <row r="792" spans="1:4" ht="13.2">
      <c r="A792" s="71"/>
      <c r="B792" s="72"/>
      <c r="C792" s="71"/>
      <c r="D792" s="71"/>
    </row>
    <row r="793" spans="1:4" ht="13.2">
      <c r="A793" s="71"/>
      <c r="B793" s="72"/>
      <c r="C793" s="71"/>
      <c r="D793" s="71"/>
    </row>
    <row r="794" spans="1:4" ht="13.2">
      <c r="A794" s="71"/>
      <c r="B794" s="72"/>
      <c r="C794" s="71"/>
      <c r="D794" s="71"/>
    </row>
    <row r="795" spans="1:4" ht="13.2">
      <c r="A795" s="71"/>
      <c r="B795" s="72"/>
      <c r="C795" s="71"/>
      <c r="D795" s="71"/>
    </row>
    <row r="796" spans="1:4" ht="13.2">
      <c r="A796" s="71"/>
      <c r="B796" s="72"/>
      <c r="C796" s="71"/>
      <c r="D796" s="71"/>
    </row>
    <row r="797" spans="1:4" ht="13.2">
      <c r="A797" s="71"/>
      <c r="B797" s="72"/>
      <c r="C797" s="71"/>
      <c r="D797" s="71"/>
    </row>
    <row r="798" spans="1:4" ht="13.2">
      <c r="A798" s="71"/>
      <c r="B798" s="72"/>
      <c r="C798" s="71"/>
      <c r="D798" s="71"/>
    </row>
    <row r="799" spans="1:4" ht="13.2">
      <c r="A799" s="71"/>
      <c r="B799" s="72"/>
      <c r="C799" s="71"/>
      <c r="D799" s="71"/>
    </row>
    <row r="800" spans="1:4" ht="13.2">
      <c r="A800" s="71"/>
      <c r="B800" s="72"/>
      <c r="C800" s="71"/>
      <c r="D800" s="71"/>
    </row>
    <row r="801" spans="1:4" ht="13.2">
      <c r="A801" s="71"/>
      <c r="B801" s="72"/>
      <c r="C801" s="71"/>
      <c r="D801" s="71"/>
    </row>
    <row r="802" spans="1:4" ht="13.2">
      <c r="A802" s="71"/>
      <c r="B802" s="72"/>
      <c r="C802" s="71"/>
      <c r="D802" s="71"/>
    </row>
    <row r="803" spans="1:4" ht="13.2">
      <c r="A803" s="71"/>
      <c r="B803" s="72"/>
      <c r="C803" s="71"/>
      <c r="D803" s="71"/>
    </row>
    <row r="804" spans="1:4" ht="13.2">
      <c r="A804" s="71"/>
      <c r="B804" s="72"/>
      <c r="C804" s="71"/>
      <c r="D804" s="71"/>
    </row>
    <row r="805" spans="1:4" ht="13.2">
      <c r="A805" s="71"/>
      <c r="B805" s="72"/>
      <c r="C805" s="71"/>
      <c r="D805" s="71"/>
    </row>
    <row r="806" spans="1:4" ht="13.2">
      <c r="A806" s="71"/>
      <c r="B806" s="72"/>
      <c r="C806" s="71"/>
      <c r="D806" s="71"/>
    </row>
    <row r="807" spans="1:4" ht="13.2">
      <c r="A807" s="71"/>
      <c r="B807" s="72"/>
      <c r="C807" s="71"/>
      <c r="D807" s="71"/>
    </row>
    <row r="808" spans="1:4" ht="13.2">
      <c r="A808" s="71"/>
      <c r="B808" s="72"/>
      <c r="C808" s="71"/>
      <c r="D808" s="71"/>
    </row>
    <row r="809" spans="1:4" ht="13.2">
      <c r="A809" s="71"/>
      <c r="B809" s="72"/>
      <c r="C809" s="71"/>
      <c r="D809" s="71"/>
    </row>
    <row r="810" spans="1:4" ht="13.2">
      <c r="A810" s="71"/>
      <c r="B810" s="72"/>
      <c r="C810" s="71"/>
      <c r="D810" s="71"/>
    </row>
    <row r="811" spans="1:4" ht="13.2">
      <c r="A811" s="71"/>
      <c r="B811" s="72"/>
      <c r="C811" s="71"/>
      <c r="D811" s="71"/>
    </row>
    <row r="812" spans="1:4" ht="13.2">
      <c r="A812" s="71"/>
      <c r="B812" s="72"/>
      <c r="C812" s="71"/>
      <c r="D812" s="71"/>
    </row>
    <row r="813" spans="1:4" ht="13.2">
      <c r="A813" s="71"/>
      <c r="B813" s="72"/>
      <c r="C813" s="71"/>
      <c r="D813" s="71"/>
    </row>
    <row r="814" spans="1:4" ht="13.2">
      <c r="A814" s="71"/>
      <c r="B814" s="72"/>
      <c r="C814" s="71"/>
      <c r="D814" s="71"/>
    </row>
    <row r="815" spans="1:4" ht="13.2">
      <c r="A815" s="71"/>
      <c r="B815" s="72"/>
      <c r="C815" s="71"/>
      <c r="D815" s="71"/>
    </row>
    <row r="816" spans="1:4" ht="13.2">
      <c r="A816" s="71"/>
      <c r="B816" s="72"/>
      <c r="C816" s="71"/>
      <c r="D816" s="71"/>
    </row>
    <row r="817" spans="1:4" ht="13.2">
      <c r="A817" s="71"/>
      <c r="B817" s="72"/>
      <c r="C817" s="71"/>
      <c r="D817" s="71"/>
    </row>
    <row r="818" spans="1:4" ht="13.2">
      <c r="A818" s="71"/>
      <c r="B818" s="72"/>
      <c r="C818" s="71"/>
      <c r="D818" s="71"/>
    </row>
    <row r="819" spans="1:4" ht="13.2">
      <c r="A819" s="71"/>
      <c r="B819" s="72"/>
      <c r="C819" s="71"/>
      <c r="D819" s="71"/>
    </row>
    <row r="820" spans="1:4" ht="13.2">
      <c r="A820" s="71"/>
      <c r="B820" s="72"/>
      <c r="C820" s="71"/>
      <c r="D820" s="71"/>
    </row>
    <row r="821" spans="1:4" ht="13.2">
      <c r="A821" s="71"/>
      <c r="B821" s="72"/>
      <c r="C821" s="71"/>
      <c r="D821" s="71"/>
    </row>
    <row r="822" spans="1:4" ht="13.2">
      <c r="A822" s="71"/>
      <c r="B822" s="72"/>
      <c r="C822" s="71"/>
      <c r="D822" s="71"/>
    </row>
    <row r="823" spans="1:4" ht="13.2">
      <c r="A823" s="71"/>
      <c r="B823" s="72"/>
      <c r="C823" s="71"/>
      <c r="D823" s="71"/>
    </row>
    <row r="824" spans="1:4" ht="13.2">
      <c r="A824" s="71"/>
      <c r="B824" s="72"/>
      <c r="C824" s="71"/>
      <c r="D824" s="71"/>
    </row>
    <row r="825" spans="1:4" ht="13.2">
      <c r="A825" s="71"/>
      <c r="B825" s="72"/>
      <c r="C825" s="71"/>
      <c r="D825" s="71"/>
    </row>
    <row r="826" spans="1:4" ht="13.2">
      <c r="A826" s="71"/>
      <c r="B826" s="72"/>
      <c r="C826" s="71"/>
      <c r="D826" s="71"/>
    </row>
    <row r="827" spans="1:4" ht="13.2">
      <c r="A827" s="71"/>
      <c r="B827" s="72"/>
      <c r="C827" s="71"/>
      <c r="D827" s="71"/>
    </row>
    <row r="828" spans="1:4" ht="13.2">
      <c r="A828" s="71"/>
      <c r="B828" s="72"/>
      <c r="C828" s="71"/>
      <c r="D828" s="71"/>
    </row>
    <row r="829" spans="1:4" ht="13.2">
      <c r="A829" s="71"/>
      <c r="B829" s="72"/>
      <c r="C829" s="71"/>
      <c r="D829" s="71"/>
    </row>
    <row r="830" spans="1:4" ht="13.2">
      <c r="A830" s="71"/>
      <c r="B830" s="72"/>
      <c r="C830" s="71"/>
      <c r="D830" s="71"/>
    </row>
    <row r="831" spans="1:4" ht="13.2">
      <c r="A831" s="71"/>
      <c r="B831" s="72"/>
      <c r="C831" s="71"/>
      <c r="D831" s="71"/>
    </row>
    <row r="832" spans="1:4" ht="13.2">
      <c r="A832" s="71"/>
      <c r="B832" s="72"/>
      <c r="C832" s="71"/>
      <c r="D832" s="71"/>
    </row>
    <row r="833" spans="1:4" ht="13.2">
      <c r="A833" s="71"/>
      <c r="B833" s="72"/>
      <c r="C833" s="71"/>
      <c r="D833" s="71"/>
    </row>
    <row r="834" spans="1:4" ht="13.2">
      <c r="A834" s="71"/>
      <c r="B834" s="72"/>
      <c r="C834" s="71"/>
      <c r="D834" s="71"/>
    </row>
    <row r="835" spans="1:4" ht="13.2">
      <c r="A835" s="71"/>
      <c r="B835" s="72"/>
      <c r="C835" s="71"/>
      <c r="D835" s="71"/>
    </row>
    <row r="836" spans="1:4" ht="13.2">
      <c r="A836" s="71"/>
      <c r="B836" s="72"/>
      <c r="C836" s="71"/>
      <c r="D836" s="71"/>
    </row>
    <row r="837" spans="1:4" ht="13.2">
      <c r="A837" s="71"/>
      <c r="B837" s="72"/>
      <c r="C837" s="71"/>
      <c r="D837" s="71"/>
    </row>
    <row r="838" spans="1:4" ht="13.2">
      <c r="A838" s="71"/>
      <c r="B838" s="72"/>
      <c r="C838" s="71"/>
      <c r="D838" s="71"/>
    </row>
    <row r="839" spans="1:4" ht="13.2">
      <c r="A839" s="71"/>
      <c r="B839" s="72"/>
      <c r="C839" s="71"/>
      <c r="D839" s="71"/>
    </row>
    <row r="840" spans="1:4" ht="13.2">
      <c r="A840" s="71"/>
      <c r="B840" s="72"/>
      <c r="C840" s="71"/>
      <c r="D840" s="71"/>
    </row>
    <row r="841" spans="1:4" ht="13.2">
      <c r="A841" s="71"/>
      <c r="B841" s="72"/>
      <c r="C841" s="71"/>
      <c r="D841" s="71"/>
    </row>
    <row r="842" spans="1:4" ht="13.2">
      <c r="A842" s="71"/>
      <c r="B842" s="72"/>
      <c r="C842" s="71"/>
      <c r="D842" s="71"/>
    </row>
    <row r="843" spans="1:4" ht="13.2">
      <c r="A843" s="71"/>
      <c r="B843" s="72"/>
      <c r="C843" s="71"/>
      <c r="D843" s="71"/>
    </row>
    <row r="844" spans="1:4" ht="13.2">
      <c r="A844" s="71"/>
      <c r="B844" s="72"/>
      <c r="C844" s="71"/>
      <c r="D844" s="71"/>
    </row>
    <row r="845" spans="1:4" ht="13.2">
      <c r="A845" s="71"/>
      <c r="B845" s="72"/>
      <c r="C845" s="71"/>
      <c r="D845" s="71"/>
    </row>
    <row r="846" spans="1:4" ht="13.2">
      <c r="A846" s="71"/>
      <c r="B846" s="72"/>
      <c r="C846" s="71"/>
      <c r="D846" s="71"/>
    </row>
    <row r="847" spans="1:4" ht="13.2">
      <c r="A847" s="71"/>
      <c r="B847" s="72"/>
      <c r="C847" s="71"/>
      <c r="D847" s="71"/>
    </row>
    <row r="848" spans="1:4" ht="13.2">
      <c r="A848" s="71"/>
      <c r="B848" s="72"/>
      <c r="C848" s="71"/>
      <c r="D848" s="71"/>
    </row>
    <row r="849" spans="1:4" ht="13.2">
      <c r="A849" s="71"/>
      <c r="B849" s="72"/>
      <c r="C849" s="71"/>
      <c r="D849" s="71"/>
    </row>
    <row r="850" spans="1:4" ht="13.2">
      <c r="A850" s="71"/>
      <c r="B850" s="72"/>
      <c r="C850" s="71"/>
      <c r="D850" s="71"/>
    </row>
    <row r="851" spans="1:4" ht="13.2">
      <c r="A851" s="71"/>
      <c r="B851" s="72"/>
      <c r="C851" s="71"/>
      <c r="D851" s="71"/>
    </row>
    <row r="852" spans="1:4" ht="13.2">
      <c r="A852" s="71"/>
      <c r="B852" s="72"/>
      <c r="C852" s="71"/>
      <c r="D852" s="71"/>
    </row>
    <row r="853" spans="1:4" ht="13.2">
      <c r="A853" s="71"/>
      <c r="B853" s="72"/>
      <c r="C853" s="71"/>
      <c r="D853" s="71"/>
    </row>
    <row r="854" spans="1:4" ht="13.2">
      <c r="A854" s="71"/>
      <c r="B854" s="72"/>
      <c r="C854" s="71"/>
      <c r="D854" s="71"/>
    </row>
    <row r="855" spans="1:4" ht="13.2">
      <c r="A855" s="71"/>
      <c r="B855" s="72"/>
      <c r="C855" s="71"/>
      <c r="D855" s="71"/>
    </row>
    <row r="856" spans="1:4" ht="13.2">
      <c r="A856" s="71"/>
      <c r="B856" s="72"/>
      <c r="C856" s="71"/>
      <c r="D856" s="71"/>
    </row>
    <row r="857" spans="1:4" ht="13.2">
      <c r="A857" s="71"/>
      <c r="B857" s="72"/>
      <c r="C857" s="71"/>
      <c r="D857" s="71"/>
    </row>
    <row r="858" spans="1:4" ht="13.2">
      <c r="A858" s="71"/>
      <c r="B858" s="72"/>
      <c r="C858" s="71"/>
      <c r="D858" s="71"/>
    </row>
    <row r="859" spans="1:4" ht="13.2">
      <c r="A859" s="71"/>
      <c r="B859" s="72"/>
      <c r="C859" s="71"/>
      <c r="D859" s="71"/>
    </row>
    <row r="860" spans="1:4" ht="13.2">
      <c r="A860" s="71"/>
      <c r="B860" s="72"/>
      <c r="C860" s="71"/>
      <c r="D860" s="71"/>
    </row>
    <row r="861" spans="1:4" ht="13.2">
      <c r="A861" s="71"/>
      <c r="B861" s="72"/>
      <c r="C861" s="71"/>
      <c r="D861" s="71"/>
    </row>
    <row r="862" spans="1:4" ht="13.2">
      <c r="A862" s="71"/>
      <c r="B862" s="72"/>
      <c r="C862" s="71"/>
      <c r="D862" s="71"/>
    </row>
    <row r="863" spans="1:4" ht="13.2">
      <c r="A863" s="71"/>
      <c r="B863" s="72"/>
      <c r="C863" s="71"/>
      <c r="D863" s="71"/>
    </row>
    <row r="864" spans="1:4" ht="13.2">
      <c r="A864" s="71"/>
      <c r="B864" s="72"/>
      <c r="C864" s="71"/>
      <c r="D864" s="71"/>
    </row>
    <row r="865" spans="1:4" ht="13.2">
      <c r="A865" s="71"/>
      <c r="B865" s="72"/>
      <c r="C865" s="71"/>
      <c r="D865" s="71"/>
    </row>
    <row r="866" spans="1:4" ht="13.2">
      <c r="A866" s="71"/>
      <c r="B866" s="72"/>
      <c r="C866" s="71"/>
      <c r="D866" s="71"/>
    </row>
    <row r="867" spans="1:4" ht="13.2">
      <c r="A867" s="71"/>
      <c r="B867" s="72"/>
      <c r="C867" s="71"/>
      <c r="D867" s="71"/>
    </row>
    <row r="868" spans="1:4" ht="13.2">
      <c r="A868" s="71"/>
      <c r="B868" s="72"/>
      <c r="C868" s="71"/>
      <c r="D868" s="71"/>
    </row>
    <row r="869" spans="1:4" ht="13.2">
      <c r="A869" s="71"/>
      <c r="B869" s="72"/>
      <c r="C869" s="71"/>
      <c r="D869" s="71"/>
    </row>
    <row r="870" spans="1:4" ht="13.2">
      <c r="A870" s="71"/>
      <c r="B870" s="72"/>
      <c r="C870" s="71"/>
      <c r="D870" s="71"/>
    </row>
    <row r="871" spans="1:4" ht="13.2">
      <c r="A871" s="71"/>
      <c r="B871" s="72"/>
      <c r="C871" s="71"/>
      <c r="D871" s="71"/>
    </row>
    <row r="872" spans="1:4" ht="13.2">
      <c r="A872" s="71"/>
      <c r="B872" s="72"/>
      <c r="C872" s="71"/>
      <c r="D872" s="71"/>
    </row>
    <row r="873" spans="1:4" ht="13.2">
      <c r="A873" s="71"/>
      <c r="B873" s="72"/>
      <c r="C873" s="71"/>
      <c r="D873" s="71"/>
    </row>
    <row r="874" spans="1:4" ht="13.2">
      <c r="A874" s="71"/>
      <c r="B874" s="72"/>
      <c r="C874" s="71"/>
      <c r="D874" s="71"/>
    </row>
    <row r="875" spans="1:4" ht="13.2">
      <c r="A875" s="71"/>
      <c r="B875" s="72"/>
      <c r="C875" s="71"/>
      <c r="D875" s="71"/>
    </row>
    <row r="876" spans="1:4" ht="13.2">
      <c r="A876" s="71"/>
      <c r="B876" s="72"/>
      <c r="C876" s="71"/>
      <c r="D876" s="71"/>
    </row>
    <row r="877" spans="1:4" ht="13.2">
      <c r="A877" s="71"/>
      <c r="B877" s="72"/>
      <c r="C877" s="71"/>
      <c r="D877" s="71"/>
    </row>
    <row r="878" spans="1:4" ht="13.2">
      <c r="A878" s="71"/>
      <c r="B878" s="72"/>
      <c r="C878" s="71"/>
      <c r="D878" s="71"/>
    </row>
    <row r="879" spans="1:4" ht="13.2">
      <c r="A879" s="71"/>
      <c r="B879" s="72"/>
      <c r="C879" s="71"/>
      <c r="D879" s="71"/>
    </row>
    <row r="880" spans="1:4" ht="13.2">
      <c r="A880" s="71"/>
      <c r="B880" s="72"/>
      <c r="C880" s="71"/>
      <c r="D880" s="71"/>
    </row>
    <row r="881" spans="1:4" ht="13.2">
      <c r="A881" s="71"/>
      <c r="B881" s="72"/>
      <c r="C881" s="71"/>
      <c r="D881" s="71"/>
    </row>
    <row r="882" spans="1:4" ht="13.2">
      <c r="A882" s="71"/>
      <c r="B882" s="72"/>
      <c r="C882" s="71"/>
      <c r="D882" s="71"/>
    </row>
    <row r="883" spans="1:4" ht="13.2">
      <c r="A883" s="71"/>
      <c r="B883" s="72"/>
      <c r="C883" s="71"/>
      <c r="D883" s="71"/>
    </row>
    <row r="884" spans="1:4" ht="13.2">
      <c r="A884" s="71"/>
      <c r="B884" s="72"/>
      <c r="C884" s="71"/>
      <c r="D884" s="71"/>
    </row>
    <row r="885" spans="1:4" ht="13.2">
      <c r="A885" s="71"/>
      <c r="B885" s="72"/>
      <c r="C885" s="71"/>
      <c r="D885" s="71"/>
    </row>
    <row r="886" spans="1:4" ht="13.2">
      <c r="A886" s="71"/>
      <c r="B886" s="72"/>
      <c r="C886" s="71"/>
      <c r="D886" s="71"/>
    </row>
    <row r="887" spans="1:4" ht="13.2">
      <c r="A887" s="71"/>
      <c r="B887" s="72"/>
      <c r="C887" s="71"/>
      <c r="D887" s="71"/>
    </row>
    <row r="888" spans="1:4" ht="13.2">
      <c r="A888" s="71"/>
      <c r="B888" s="72"/>
      <c r="C888" s="71"/>
      <c r="D888" s="71"/>
    </row>
    <row r="889" spans="1:4" ht="13.2">
      <c r="A889" s="71"/>
      <c r="B889" s="72"/>
      <c r="C889" s="71"/>
      <c r="D889" s="71"/>
    </row>
    <row r="890" spans="1:4" ht="13.2">
      <c r="A890" s="71"/>
      <c r="B890" s="72"/>
      <c r="C890" s="71"/>
      <c r="D890" s="71"/>
    </row>
    <row r="891" spans="1:4" ht="13.2">
      <c r="A891" s="71"/>
      <c r="B891" s="72"/>
      <c r="C891" s="71"/>
      <c r="D891" s="71"/>
    </row>
    <row r="892" spans="1:4" ht="13.2">
      <c r="A892" s="71"/>
      <c r="B892" s="72"/>
      <c r="C892" s="71"/>
      <c r="D892" s="71"/>
    </row>
    <row r="893" spans="1:4" ht="13.2">
      <c r="A893" s="71"/>
      <c r="B893" s="72"/>
      <c r="C893" s="71"/>
      <c r="D893" s="71"/>
    </row>
    <row r="894" spans="1:4" ht="13.2">
      <c r="A894" s="71"/>
      <c r="B894" s="72"/>
      <c r="C894" s="71"/>
      <c r="D894" s="71"/>
    </row>
    <row r="895" spans="1:4" ht="13.2">
      <c r="A895" s="71"/>
      <c r="B895" s="72"/>
      <c r="C895" s="71"/>
      <c r="D895" s="71"/>
    </row>
    <row r="896" spans="1:4" ht="13.2">
      <c r="A896" s="71"/>
      <c r="B896" s="72"/>
      <c r="C896" s="71"/>
      <c r="D896" s="71"/>
    </row>
    <row r="897" spans="1:4" ht="13.2">
      <c r="A897" s="71"/>
      <c r="B897" s="72"/>
      <c r="C897" s="71"/>
      <c r="D897" s="71"/>
    </row>
    <row r="898" spans="1:4" ht="13.2">
      <c r="A898" s="71"/>
      <c r="B898" s="72"/>
      <c r="C898" s="71"/>
      <c r="D898" s="71"/>
    </row>
    <row r="899" spans="1:4" ht="13.2">
      <c r="A899" s="71"/>
      <c r="B899" s="72"/>
      <c r="C899" s="71"/>
      <c r="D899" s="71"/>
    </row>
    <row r="900" spans="1:4" ht="13.2">
      <c r="A900" s="71"/>
      <c r="B900" s="72"/>
      <c r="C900" s="71"/>
      <c r="D900" s="71"/>
    </row>
    <row r="901" spans="1:4" ht="13.2">
      <c r="A901" s="71"/>
      <c r="B901" s="72"/>
      <c r="C901" s="71"/>
      <c r="D901" s="71"/>
    </row>
    <row r="902" spans="1:4" ht="13.2">
      <c r="A902" s="71"/>
      <c r="B902" s="72"/>
      <c r="C902" s="71"/>
      <c r="D902" s="71"/>
    </row>
    <row r="903" spans="1:4" ht="13.2">
      <c r="A903" s="71"/>
      <c r="B903" s="72"/>
      <c r="C903" s="71"/>
      <c r="D903" s="71"/>
    </row>
    <row r="904" spans="1:4" ht="13.2">
      <c r="A904" s="71"/>
      <c r="B904" s="72"/>
      <c r="C904" s="71"/>
      <c r="D904" s="71"/>
    </row>
    <row r="905" spans="1:4" ht="13.2">
      <c r="A905" s="71"/>
      <c r="B905" s="72"/>
      <c r="C905" s="71"/>
      <c r="D905" s="71"/>
    </row>
    <row r="906" spans="1:4" ht="13.2">
      <c r="A906" s="71"/>
      <c r="B906" s="72"/>
      <c r="C906" s="71"/>
      <c r="D906" s="71"/>
    </row>
    <row r="907" spans="1:4" ht="13.2">
      <c r="A907" s="71"/>
      <c r="B907" s="72"/>
      <c r="C907" s="71"/>
      <c r="D907" s="71"/>
    </row>
    <row r="908" spans="1:4" ht="13.2">
      <c r="A908" s="71"/>
      <c r="B908" s="72"/>
      <c r="C908" s="71"/>
      <c r="D908" s="71"/>
    </row>
    <row r="909" spans="1:4" ht="13.2">
      <c r="A909" s="71"/>
      <c r="B909" s="72"/>
      <c r="C909" s="71"/>
      <c r="D909" s="71"/>
    </row>
    <row r="910" spans="1:4" ht="13.2">
      <c r="A910" s="71"/>
      <c r="B910" s="72"/>
      <c r="C910" s="71"/>
      <c r="D910" s="71"/>
    </row>
    <row r="911" spans="1:4" ht="13.2">
      <c r="A911" s="71"/>
      <c r="B911" s="72"/>
      <c r="C911" s="71"/>
      <c r="D911" s="71"/>
    </row>
    <row r="912" spans="1:4" ht="13.2">
      <c r="A912" s="71"/>
      <c r="B912" s="72"/>
      <c r="C912" s="71"/>
      <c r="D912" s="71"/>
    </row>
    <row r="913" spans="1:4" ht="13.2">
      <c r="A913" s="71"/>
      <c r="B913" s="72"/>
      <c r="C913" s="71"/>
      <c r="D913" s="71"/>
    </row>
    <row r="914" spans="1:4" ht="13.2">
      <c r="A914" s="71"/>
      <c r="B914" s="72"/>
      <c r="C914" s="71"/>
      <c r="D914" s="71"/>
    </row>
    <row r="915" spans="1:4" ht="13.2">
      <c r="A915" s="71"/>
      <c r="B915" s="72"/>
      <c r="C915" s="71"/>
      <c r="D915" s="71"/>
    </row>
    <row r="916" spans="1:4" ht="13.2">
      <c r="A916" s="71"/>
      <c r="B916" s="72"/>
      <c r="C916" s="71"/>
      <c r="D916" s="71"/>
    </row>
    <row r="917" spans="1:4" ht="13.2">
      <c r="A917" s="71"/>
      <c r="B917" s="72"/>
      <c r="C917" s="71"/>
      <c r="D917" s="71"/>
    </row>
    <row r="918" spans="1:4" ht="13.2">
      <c r="A918" s="71"/>
      <c r="B918" s="72"/>
      <c r="C918" s="71"/>
      <c r="D918" s="71"/>
    </row>
    <row r="919" spans="1:4" ht="13.2">
      <c r="A919" s="71"/>
      <c r="B919" s="72"/>
      <c r="C919" s="71"/>
      <c r="D919" s="71"/>
    </row>
    <row r="920" spans="1:4" ht="13.2">
      <c r="A920" s="71"/>
      <c r="B920" s="72"/>
      <c r="C920" s="71"/>
      <c r="D920" s="71"/>
    </row>
    <row r="921" spans="1:4" ht="13.2">
      <c r="A921" s="71"/>
      <c r="B921" s="72"/>
      <c r="C921" s="71"/>
      <c r="D921" s="71"/>
    </row>
    <row r="922" spans="1:4" ht="13.2">
      <c r="A922" s="71"/>
      <c r="B922" s="72"/>
      <c r="C922" s="71"/>
      <c r="D922" s="71"/>
    </row>
    <row r="923" spans="1:4" ht="13.2">
      <c r="A923" s="71"/>
      <c r="B923" s="72"/>
      <c r="C923" s="71"/>
      <c r="D923" s="71"/>
    </row>
    <row r="924" spans="1:4" ht="13.2">
      <c r="A924" s="71"/>
      <c r="B924" s="72"/>
      <c r="C924" s="71"/>
      <c r="D924" s="71"/>
    </row>
    <row r="925" spans="1:4" ht="13.2">
      <c r="A925" s="71"/>
      <c r="B925" s="72"/>
      <c r="C925" s="71"/>
      <c r="D925" s="71"/>
    </row>
    <row r="926" spans="1:4" ht="13.2">
      <c r="A926" s="71"/>
      <c r="B926" s="72"/>
      <c r="C926" s="71"/>
      <c r="D926" s="71"/>
    </row>
    <row r="927" spans="1:4" ht="13.2">
      <c r="A927" s="71"/>
      <c r="B927" s="72"/>
      <c r="C927" s="71"/>
      <c r="D927" s="71"/>
    </row>
    <row r="928" spans="1:4" ht="13.2">
      <c r="A928" s="71"/>
      <c r="B928" s="72"/>
      <c r="C928" s="71"/>
      <c r="D928" s="71"/>
    </row>
    <row r="929" spans="1:4" ht="13.2">
      <c r="A929" s="71"/>
      <c r="B929" s="72"/>
      <c r="C929" s="71"/>
      <c r="D929" s="71"/>
    </row>
    <row r="930" spans="1:4" ht="13.2">
      <c r="A930" s="71"/>
      <c r="B930" s="72"/>
      <c r="C930" s="71"/>
      <c r="D930" s="71"/>
    </row>
    <row r="931" spans="1:4" ht="13.2">
      <c r="A931" s="71"/>
      <c r="B931" s="72"/>
      <c r="C931" s="71"/>
      <c r="D931" s="71"/>
    </row>
    <row r="932" spans="1:4" ht="13.2">
      <c r="A932" s="71"/>
      <c r="B932" s="72"/>
      <c r="C932" s="71"/>
      <c r="D932" s="71"/>
    </row>
    <row r="933" spans="1:4" ht="13.2">
      <c r="A933" s="71"/>
      <c r="B933" s="72"/>
      <c r="C933" s="71"/>
      <c r="D933" s="71"/>
    </row>
    <row r="934" spans="1:4" ht="13.2">
      <c r="A934" s="71"/>
      <c r="B934" s="72"/>
      <c r="C934" s="71"/>
      <c r="D934" s="71"/>
    </row>
    <row r="935" spans="1:4" ht="13.2">
      <c r="A935" s="71"/>
      <c r="B935" s="72"/>
      <c r="C935" s="71"/>
      <c r="D935" s="71"/>
    </row>
    <row r="936" spans="1:4" ht="13.2">
      <c r="A936" s="71"/>
      <c r="B936" s="72"/>
      <c r="C936" s="71"/>
      <c r="D936" s="71"/>
    </row>
    <row r="937" spans="1:4" ht="13.2">
      <c r="A937" s="71"/>
      <c r="B937" s="72"/>
      <c r="C937" s="71"/>
      <c r="D937" s="71"/>
    </row>
    <row r="938" spans="1:4" ht="13.2">
      <c r="A938" s="71"/>
      <c r="B938" s="72"/>
      <c r="C938" s="71"/>
      <c r="D938" s="71"/>
    </row>
    <row r="939" spans="1:4" ht="13.2">
      <c r="A939" s="71"/>
      <c r="B939" s="72"/>
      <c r="C939" s="71"/>
      <c r="D939" s="71"/>
    </row>
    <row r="940" spans="1:4" ht="13.2">
      <c r="A940" s="71"/>
      <c r="B940" s="72"/>
      <c r="C940" s="71"/>
      <c r="D940" s="71"/>
    </row>
    <row r="941" spans="1:4" ht="13.2">
      <c r="A941" s="71"/>
      <c r="B941" s="72"/>
      <c r="C941" s="71"/>
      <c r="D941" s="71"/>
    </row>
    <row r="942" spans="1:4" ht="13.2">
      <c r="A942" s="71"/>
      <c r="B942" s="72"/>
      <c r="C942" s="71"/>
      <c r="D942" s="71"/>
    </row>
    <row r="943" spans="1:4" ht="13.2">
      <c r="A943" s="71"/>
      <c r="B943" s="72"/>
      <c r="C943" s="71"/>
      <c r="D943" s="71"/>
    </row>
    <row r="944" spans="1:4" ht="13.2">
      <c r="A944" s="71"/>
      <c r="B944" s="72"/>
      <c r="C944" s="71"/>
      <c r="D944" s="71"/>
    </row>
    <row r="945" spans="1:4" ht="13.2">
      <c r="A945" s="71"/>
      <c r="B945" s="72"/>
      <c r="C945" s="71"/>
      <c r="D945" s="71"/>
    </row>
    <row r="946" spans="1:4" ht="13.2">
      <c r="A946" s="71"/>
      <c r="B946" s="72"/>
      <c r="C946" s="71"/>
      <c r="D946" s="71"/>
    </row>
    <row r="947" spans="1:4" ht="13.2">
      <c r="A947" s="71"/>
      <c r="B947" s="72"/>
      <c r="C947" s="71"/>
      <c r="D947" s="71"/>
    </row>
    <row r="948" spans="1:4" ht="13.2">
      <c r="A948" s="71"/>
      <c r="B948" s="72"/>
      <c r="C948" s="71"/>
      <c r="D948" s="71"/>
    </row>
    <row r="949" spans="1:4" ht="13.2">
      <c r="A949" s="71"/>
      <c r="B949" s="72"/>
      <c r="C949" s="71"/>
      <c r="D949" s="71"/>
    </row>
    <row r="950" spans="1:4" ht="13.2">
      <c r="A950" s="71"/>
      <c r="B950" s="72"/>
      <c r="C950" s="71"/>
      <c r="D950" s="71"/>
    </row>
    <row r="951" spans="1:4" ht="13.2">
      <c r="A951" s="71"/>
      <c r="B951" s="72"/>
      <c r="C951" s="71"/>
      <c r="D951" s="71"/>
    </row>
    <row r="952" spans="1:4" ht="13.2">
      <c r="A952" s="71"/>
      <c r="B952" s="72"/>
      <c r="C952" s="71"/>
      <c r="D952" s="71"/>
    </row>
    <row r="953" spans="1:4" ht="13.2">
      <c r="A953" s="71"/>
      <c r="B953" s="72"/>
      <c r="C953" s="71"/>
      <c r="D953" s="71"/>
    </row>
    <row r="954" spans="1:4" ht="13.2">
      <c r="A954" s="71"/>
      <c r="B954" s="72"/>
      <c r="C954" s="71"/>
      <c r="D954" s="71"/>
    </row>
    <row r="955" spans="1:4" ht="13.2">
      <c r="A955" s="71"/>
      <c r="B955" s="72"/>
      <c r="C955" s="71"/>
      <c r="D955" s="71"/>
    </row>
    <row r="956" spans="1:4" ht="13.2">
      <c r="A956" s="71"/>
      <c r="B956" s="72"/>
      <c r="C956" s="71"/>
      <c r="D956" s="71"/>
    </row>
    <row r="957" spans="1:4" ht="13.2">
      <c r="A957" s="71"/>
      <c r="B957" s="72"/>
      <c r="C957" s="71"/>
      <c r="D957" s="71"/>
    </row>
    <row r="958" spans="1:4" ht="13.2">
      <c r="A958" s="71"/>
      <c r="B958" s="72"/>
      <c r="C958" s="71"/>
      <c r="D958" s="71"/>
    </row>
    <row r="959" spans="1:4" ht="13.2">
      <c r="A959" s="71"/>
      <c r="B959" s="72"/>
      <c r="C959" s="71"/>
      <c r="D959" s="71"/>
    </row>
    <row r="960" spans="1:4" ht="13.2">
      <c r="A960" s="71"/>
      <c r="B960" s="72"/>
      <c r="C960" s="71"/>
      <c r="D960" s="71"/>
    </row>
    <row r="961" spans="1:4" ht="13.2">
      <c r="A961" s="71"/>
      <c r="B961" s="72"/>
      <c r="C961" s="71"/>
      <c r="D961" s="71"/>
    </row>
    <row r="962" spans="1:4" ht="13.2">
      <c r="A962" s="71"/>
      <c r="B962" s="72"/>
      <c r="C962" s="71"/>
      <c r="D962" s="71"/>
    </row>
    <row r="963" spans="1:4" ht="13.2">
      <c r="A963" s="71"/>
      <c r="B963" s="72"/>
      <c r="C963" s="71"/>
      <c r="D963" s="71"/>
    </row>
    <row r="964" spans="1:4" ht="13.2">
      <c r="A964" s="71"/>
      <c r="B964" s="72"/>
      <c r="C964" s="71"/>
      <c r="D964" s="71"/>
    </row>
    <row r="965" spans="1:4" ht="13.2">
      <c r="A965" s="71"/>
      <c r="B965" s="72"/>
      <c r="C965" s="71"/>
      <c r="D965" s="71"/>
    </row>
    <row r="966" spans="1:4" ht="13.2">
      <c r="A966" s="71"/>
      <c r="B966" s="72"/>
      <c r="C966" s="71"/>
      <c r="D966" s="71"/>
    </row>
    <row r="967" spans="1:4" ht="13.2">
      <c r="A967" s="71"/>
      <c r="B967" s="72"/>
      <c r="C967" s="71"/>
      <c r="D967" s="71"/>
    </row>
    <row r="968" spans="1:4" ht="13.2">
      <c r="A968" s="71"/>
      <c r="B968" s="72"/>
      <c r="C968" s="71"/>
      <c r="D968" s="71"/>
    </row>
    <row r="969" spans="1:4" ht="13.2">
      <c r="A969" s="71"/>
      <c r="B969" s="72"/>
      <c r="C969" s="71"/>
      <c r="D969" s="71"/>
    </row>
    <row r="970" spans="1:4" ht="13.2">
      <c r="A970" s="71"/>
      <c r="B970" s="72"/>
      <c r="C970" s="71"/>
      <c r="D970" s="71"/>
    </row>
    <row r="971" spans="1:4" ht="13.2">
      <c r="A971" s="71"/>
      <c r="B971" s="72"/>
      <c r="C971" s="71"/>
      <c r="D971" s="71"/>
    </row>
    <row r="972" spans="1:4" ht="13.2">
      <c r="A972" s="71"/>
      <c r="B972" s="72"/>
      <c r="C972" s="71"/>
      <c r="D972" s="71"/>
    </row>
    <row r="973" spans="1:4" ht="13.2">
      <c r="A973" s="71"/>
      <c r="B973" s="72"/>
      <c r="C973" s="71"/>
      <c r="D973" s="71"/>
    </row>
    <row r="974" spans="1:4" ht="13.2">
      <c r="A974" s="71"/>
      <c r="B974" s="72"/>
      <c r="C974" s="71"/>
      <c r="D974" s="71"/>
    </row>
    <row r="975" spans="1:4" ht="13.2">
      <c r="A975" s="71"/>
      <c r="B975" s="72"/>
      <c r="C975" s="71"/>
      <c r="D975" s="71"/>
    </row>
    <row r="976" spans="1:4" ht="13.2">
      <c r="A976" s="71"/>
      <c r="B976" s="72"/>
      <c r="C976" s="71"/>
      <c r="D976" s="71"/>
    </row>
    <row r="977" spans="1:4" ht="13.2">
      <c r="A977" s="71"/>
      <c r="B977" s="72"/>
      <c r="C977" s="71"/>
      <c r="D977" s="71"/>
    </row>
    <row r="978" spans="1:4" ht="13.2">
      <c r="A978" s="71"/>
      <c r="B978" s="72"/>
      <c r="C978" s="71"/>
      <c r="D978" s="71"/>
    </row>
    <row r="979" spans="1:4" ht="13.2">
      <c r="A979" s="71"/>
      <c r="B979" s="72"/>
      <c r="C979" s="71"/>
      <c r="D979" s="71"/>
    </row>
    <row r="980" spans="1:4" ht="13.2">
      <c r="A980" s="71"/>
      <c r="B980" s="72"/>
      <c r="C980" s="71"/>
      <c r="D980" s="71"/>
    </row>
    <row r="981" spans="1:4" ht="13.2">
      <c r="A981" s="71"/>
      <c r="B981" s="72"/>
      <c r="C981" s="71"/>
      <c r="D981" s="71"/>
    </row>
    <row r="982" spans="1:4" ht="13.2">
      <c r="A982" s="71"/>
      <c r="B982" s="72"/>
      <c r="C982" s="71"/>
      <c r="D982" s="71"/>
    </row>
    <row r="983" spans="1:4" ht="13.2">
      <c r="A983" s="71"/>
      <c r="B983" s="72"/>
      <c r="C983" s="71"/>
      <c r="D983" s="71"/>
    </row>
    <row r="984" spans="1:4" ht="13.2">
      <c r="A984" s="71"/>
      <c r="B984" s="72"/>
      <c r="C984" s="71"/>
      <c r="D984" s="71"/>
    </row>
    <row r="985" spans="1:4" ht="13.2">
      <c r="A985" s="71"/>
      <c r="B985" s="72"/>
      <c r="C985" s="71"/>
      <c r="D985" s="71"/>
    </row>
    <row r="986" spans="1:4" ht="13.2">
      <c r="A986" s="71"/>
      <c r="B986" s="72"/>
      <c r="C986" s="71"/>
      <c r="D986" s="71"/>
    </row>
    <row r="987" spans="1:4" ht="13.2">
      <c r="A987" s="71"/>
      <c r="B987" s="72"/>
      <c r="C987" s="71"/>
      <c r="D987" s="71"/>
    </row>
    <row r="988" spans="1:4" ht="13.2">
      <c r="A988" s="71"/>
      <c r="B988" s="72"/>
      <c r="C988" s="71"/>
      <c r="D988" s="71"/>
    </row>
    <row r="989" spans="1:4" ht="13.2">
      <c r="A989" s="71"/>
      <c r="B989" s="72"/>
      <c r="C989" s="71"/>
      <c r="D989" s="71"/>
    </row>
    <row r="990" spans="1:4" ht="13.2">
      <c r="A990" s="71"/>
      <c r="B990" s="72"/>
      <c r="C990" s="71"/>
      <c r="D990" s="71"/>
    </row>
    <row r="991" spans="1:4" ht="13.2">
      <c r="A991" s="71"/>
      <c r="B991" s="72"/>
      <c r="C991" s="71"/>
      <c r="D991" s="71"/>
    </row>
    <row r="992" spans="1:4" ht="13.2">
      <c r="A992" s="71"/>
      <c r="B992" s="72"/>
      <c r="C992" s="71"/>
      <c r="D992" s="71"/>
    </row>
    <row r="993" spans="1:4" ht="13.2">
      <c r="A993" s="71"/>
      <c r="B993" s="72"/>
      <c r="C993" s="71"/>
      <c r="D993" s="71"/>
    </row>
    <row r="994" spans="1:4" ht="13.2">
      <c r="A994" s="71"/>
      <c r="B994" s="72"/>
      <c r="C994" s="71"/>
      <c r="D994" s="71"/>
    </row>
    <row r="995" spans="1:4" ht="13.2">
      <c r="A995" s="71"/>
      <c r="B995" s="72"/>
      <c r="C995" s="71"/>
      <c r="D995" s="71"/>
    </row>
    <row r="996" spans="1:4" ht="13.2">
      <c r="A996" s="71"/>
      <c r="B996" s="72"/>
      <c r="C996" s="71"/>
      <c r="D996" s="71"/>
    </row>
    <row r="997" spans="1:4" ht="13.2">
      <c r="A997" s="71"/>
      <c r="B997" s="72"/>
      <c r="C997" s="71"/>
      <c r="D997" s="71"/>
    </row>
    <row r="998" spans="1:4" ht="13.2">
      <c r="A998" s="71"/>
      <c r="B998" s="72"/>
      <c r="C998" s="71"/>
      <c r="D998" s="71"/>
    </row>
    <row r="999" spans="1:4" ht="13.2">
      <c r="A999" s="71"/>
      <c r="B999" s="72"/>
      <c r="C999" s="71"/>
      <c r="D999" s="71"/>
    </row>
    <row r="1000" spans="1:4" ht="13.2">
      <c r="A1000" s="71"/>
      <c r="B1000" s="72"/>
      <c r="C1000" s="71"/>
      <c r="D1000" s="7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Z1000"/>
  <sheetViews>
    <sheetView workbookViewId="0"/>
  </sheetViews>
  <sheetFormatPr baseColWidth="10" defaultColWidth="12.6640625" defaultRowHeight="15.75" customHeight="1"/>
  <cols>
    <col min="1" max="1" width="14" customWidth="1"/>
  </cols>
  <sheetData>
    <row r="1" spans="1:26" ht="15.75" customHeight="1">
      <c r="A1" s="46" t="s">
        <v>376</v>
      </c>
      <c r="B1" s="73" t="s">
        <v>362</v>
      </c>
      <c r="C1" s="46" t="s">
        <v>377</v>
      </c>
      <c r="D1" s="46" t="s">
        <v>367</v>
      </c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.75" customHeight="1">
      <c r="A2" s="53">
        <v>1</v>
      </c>
      <c r="B2" s="61" t="s">
        <v>369</v>
      </c>
      <c r="C2" s="53">
        <v>106956167.16296129</v>
      </c>
      <c r="D2" s="53">
        <v>133651292.00892639</v>
      </c>
    </row>
    <row r="3" spans="1:26" ht="15.75" customHeight="1">
      <c r="A3" s="53">
        <v>2</v>
      </c>
      <c r="B3" s="61" t="s">
        <v>48</v>
      </c>
      <c r="C3" s="53">
        <v>777759553.32296205</v>
      </c>
      <c r="D3" s="53">
        <v>895794054.5089798</v>
      </c>
    </row>
    <row r="4" spans="1:26" ht="15.75" customHeight="1">
      <c r="A4" s="53">
        <v>3</v>
      </c>
      <c r="B4" s="61" t="s">
        <v>372</v>
      </c>
      <c r="C4" s="53">
        <v>520423561.00495142</v>
      </c>
      <c r="D4" s="53">
        <v>643797564.53366089</v>
      </c>
    </row>
    <row r="5" spans="1:26" ht="15.75" customHeight="1">
      <c r="A5" s="53">
        <v>4</v>
      </c>
      <c r="B5" s="61" t="s">
        <v>183</v>
      </c>
      <c r="C5" s="53">
        <v>98751131.003827915</v>
      </c>
      <c r="D5" s="53">
        <v>112015657.00138092</v>
      </c>
    </row>
    <row r="6" spans="1:26" ht="15.75" customHeight="1">
      <c r="A6" s="53">
        <v>5</v>
      </c>
      <c r="B6" s="61" t="s">
        <v>218</v>
      </c>
      <c r="C6" s="53">
        <v>88122143.073027775</v>
      </c>
      <c r="D6" s="53">
        <v>112127154.50502014</v>
      </c>
    </row>
    <row r="7" spans="1:26" ht="15.75" customHeight="1">
      <c r="A7" s="53">
        <v>6</v>
      </c>
      <c r="B7" s="61" t="s">
        <v>260</v>
      </c>
      <c r="C7" s="53">
        <v>143097904.97564501</v>
      </c>
      <c r="D7" s="53">
        <v>175588679.00317383</v>
      </c>
    </row>
    <row r="8" spans="1:26" ht="15.75" customHeight="1">
      <c r="A8" s="53">
        <v>7</v>
      </c>
      <c r="B8" s="61" t="s">
        <v>375</v>
      </c>
      <c r="C8" s="53">
        <v>1359217794.9520559</v>
      </c>
      <c r="D8" s="53">
        <v>1706772251.0161591</v>
      </c>
    </row>
    <row r="9" spans="1:26" ht="15.75" customHeight="1">
      <c r="A9" s="53">
        <v>8</v>
      </c>
      <c r="B9" s="61" t="s">
        <v>370</v>
      </c>
      <c r="C9" s="53">
        <v>110463879.01405314</v>
      </c>
      <c r="D9" s="53">
        <v>204766793.99804688</v>
      </c>
    </row>
    <row r="10" spans="1:26" ht="15.75" customHeight="1">
      <c r="A10" s="53">
        <v>9</v>
      </c>
      <c r="B10" s="61" t="s">
        <v>374</v>
      </c>
      <c r="C10" s="53">
        <v>28580975.526221924</v>
      </c>
      <c r="D10" s="53">
        <v>48564074.002655029</v>
      </c>
    </row>
    <row r="11" spans="1:26" ht="15.75" customHeight="1">
      <c r="A11" s="53">
        <v>10</v>
      </c>
      <c r="B11" s="61" t="s">
        <v>373</v>
      </c>
      <c r="C11" s="53">
        <v>15318677.331370862</v>
      </c>
      <c r="D11" s="53">
        <v>18920485.333658855</v>
      </c>
    </row>
    <row r="12" spans="1:26" ht="15.75" customHeight="1">
      <c r="A12" s="53">
        <v>11</v>
      </c>
      <c r="B12" s="61" t="s">
        <v>371</v>
      </c>
      <c r="C12" s="53">
        <v>3233373110.035706</v>
      </c>
      <c r="D12" s="53">
        <v>4033077520.5780029</v>
      </c>
    </row>
    <row r="13" spans="1:26" ht="13.2">
      <c r="A13" s="71"/>
      <c r="B13" s="72"/>
      <c r="C13" s="71"/>
      <c r="D13" s="71"/>
    </row>
    <row r="14" spans="1:26" ht="13.2">
      <c r="A14" s="71"/>
      <c r="B14" s="72"/>
      <c r="C14" s="71"/>
      <c r="D14" s="71"/>
    </row>
    <row r="15" spans="1:26" ht="13.2">
      <c r="A15" s="71"/>
      <c r="B15" s="72"/>
      <c r="C15" s="71"/>
      <c r="D15" s="71"/>
    </row>
    <row r="16" spans="1:26" ht="13.2">
      <c r="A16" s="71"/>
      <c r="B16" s="72"/>
      <c r="C16" s="71"/>
      <c r="D16" s="71"/>
    </row>
    <row r="17" spans="1:4" ht="13.2">
      <c r="A17" s="71"/>
      <c r="B17" s="72"/>
      <c r="C17" s="71"/>
      <c r="D17" s="71"/>
    </row>
    <row r="18" spans="1:4" ht="13.2">
      <c r="A18" s="71"/>
      <c r="B18" s="72"/>
      <c r="C18" s="71"/>
      <c r="D18" s="71"/>
    </row>
    <row r="19" spans="1:4" ht="13.2">
      <c r="A19" s="71"/>
      <c r="B19" s="72"/>
      <c r="C19" s="71"/>
      <c r="D19" s="71"/>
    </row>
    <row r="20" spans="1:4" ht="13.2">
      <c r="A20" s="71"/>
      <c r="B20" s="72"/>
      <c r="C20" s="71"/>
      <c r="D20" s="71"/>
    </row>
    <row r="21" spans="1:4" ht="13.2">
      <c r="A21" s="71"/>
      <c r="B21" s="72"/>
      <c r="C21" s="71"/>
      <c r="D21" s="71"/>
    </row>
    <row r="22" spans="1:4" ht="13.2">
      <c r="A22" s="71"/>
      <c r="B22" s="72"/>
      <c r="C22" s="71"/>
      <c r="D22" s="71"/>
    </row>
    <row r="23" spans="1:4" ht="13.2">
      <c r="A23" s="71"/>
      <c r="B23" s="72"/>
      <c r="C23" s="71"/>
      <c r="D23" s="71"/>
    </row>
    <row r="24" spans="1:4" ht="13.2">
      <c r="A24" s="71"/>
      <c r="B24" s="72"/>
      <c r="C24" s="71"/>
      <c r="D24" s="71"/>
    </row>
    <row r="25" spans="1:4" ht="13.2">
      <c r="A25" s="71"/>
      <c r="B25" s="72"/>
      <c r="C25" s="71"/>
      <c r="D25" s="71"/>
    </row>
    <row r="26" spans="1:4" ht="13.2">
      <c r="A26" s="71"/>
      <c r="B26" s="72"/>
      <c r="C26" s="71"/>
      <c r="D26" s="71"/>
    </row>
    <row r="27" spans="1:4" ht="13.2">
      <c r="A27" s="71"/>
      <c r="B27" s="72"/>
      <c r="C27" s="71"/>
      <c r="D27" s="71"/>
    </row>
    <row r="28" spans="1:4" ht="13.2">
      <c r="A28" s="71"/>
      <c r="B28" s="72"/>
      <c r="C28" s="71"/>
      <c r="D28" s="71"/>
    </row>
    <row r="29" spans="1:4" ht="13.2">
      <c r="A29" s="71"/>
      <c r="B29" s="72"/>
      <c r="C29" s="71"/>
      <c r="D29" s="71"/>
    </row>
    <row r="30" spans="1:4" ht="13.2">
      <c r="A30" s="71"/>
      <c r="B30" s="72"/>
      <c r="C30" s="71"/>
      <c r="D30" s="71"/>
    </row>
    <row r="31" spans="1:4" ht="13.2">
      <c r="A31" s="71"/>
      <c r="B31" s="72"/>
      <c r="C31" s="71"/>
      <c r="D31" s="71"/>
    </row>
    <row r="32" spans="1:4" ht="13.2">
      <c r="A32" s="71"/>
      <c r="B32" s="72"/>
      <c r="C32" s="71"/>
      <c r="D32" s="71"/>
    </row>
    <row r="33" spans="1:4" ht="13.2">
      <c r="A33" s="71"/>
      <c r="B33" s="72"/>
      <c r="C33" s="71"/>
      <c r="D33" s="71"/>
    </row>
    <row r="34" spans="1:4" ht="13.2">
      <c r="A34" s="71"/>
      <c r="B34" s="72"/>
      <c r="C34" s="71"/>
      <c r="D34" s="71"/>
    </row>
    <row r="35" spans="1:4" ht="13.2">
      <c r="A35" s="71"/>
      <c r="B35" s="72"/>
      <c r="C35" s="71"/>
      <c r="D35" s="71"/>
    </row>
    <row r="36" spans="1:4" ht="13.2">
      <c r="A36" s="71"/>
      <c r="B36" s="72"/>
      <c r="C36" s="71"/>
      <c r="D36" s="71"/>
    </row>
    <row r="37" spans="1:4" ht="13.2">
      <c r="A37" s="71"/>
      <c r="B37" s="72"/>
      <c r="C37" s="71"/>
      <c r="D37" s="71"/>
    </row>
    <row r="38" spans="1:4" ht="13.2">
      <c r="A38" s="71"/>
      <c r="B38" s="72"/>
      <c r="C38" s="71"/>
      <c r="D38" s="71"/>
    </row>
    <row r="39" spans="1:4" ht="13.2">
      <c r="A39" s="71"/>
      <c r="B39" s="72"/>
      <c r="C39" s="71"/>
      <c r="D39" s="71"/>
    </row>
    <row r="40" spans="1:4" ht="13.2">
      <c r="A40" s="71"/>
      <c r="B40" s="72"/>
      <c r="C40" s="71"/>
      <c r="D40" s="71"/>
    </row>
    <row r="41" spans="1:4" ht="13.2">
      <c r="A41" s="71"/>
      <c r="B41" s="72"/>
      <c r="C41" s="71"/>
      <c r="D41" s="71"/>
    </row>
    <row r="42" spans="1:4" ht="13.2">
      <c r="A42" s="71"/>
      <c r="B42" s="72"/>
      <c r="C42" s="71"/>
      <c r="D42" s="71"/>
    </row>
    <row r="43" spans="1:4" ht="13.2">
      <c r="A43" s="71"/>
      <c r="B43" s="72"/>
      <c r="C43" s="71"/>
      <c r="D43" s="71"/>
    </row>
    <row r="44" spans="1:4" ht="13.2">
      <c r="A44" s="71"/>
      <c r="B44" s="72"/>
      <c r="C44" s="71"/>
      <c r="D44" s="71"/>
    </row>
    <row r="45" spans="1:4" ht="13.2">
      <c r="A45" s="71"/>
      <c r="B45" s="72"/>
      <c r="C45" s="71"/>
      <c r="D45" s="71"/>
    </row>
    <row r="46" spans="1:4" ht="13.2">
      <c r="A46" s="71"/>
      <c r="B46" s="72"/>
      <c r="C46" s="71"/>
      <c r="D46" s="71"/>
    </row>
    <row r="47" spans="1:4" ht="13.2">
      <c r="A47" s="71"/>
      <c r="B47" s="72"/>
      <c r="C47" s="71"/>
      <c r="D47" s="71"/>
    </row>
    <row r="48" spans="1:4" ht="13.2">
      <c r="A48" s="71"/>
      <c r="B48" s="72"/>
      <c r="C48" s="71"/>
      <c r="D48" s="71"/>
    </row>
    <row r="49" spans="1:4" ht="13.2">
      <c r="A49" s="71"/>
      <c r="B49" s="72"/>
      <c r="C49" s="71"/>
      <c r="D49" s="71"/>
    </row>
    <row r="50" spans="1:4" ht="13.2">
      <c r="A50" s="71"/>
      <c r="B50" s="72"/>
      <c r="C50" s="71"/>
      <c r="D50" s="71"/>
    </row>
    <row r="51" spans="1:4" ht="13.2">
      <c r="A51" s="71"/>
      <c r="B51" s="72"/>
      <c r="C51" s="71"/>
      <c r="D51" s="71"/>
    </row>
    <row r="52" spans="1:4" ht="13.2">
      <c r="A52" s="71"/>
      <c r="B52" s="72"/>
      <c r="C52" s="71"/>
      <c r="D52" s="71"/>
    </row>
    <row r="53" spans="1:4" ht="13.2">
      <c r="A53" s="71"/>
      <c r="B53" s="72"/>
      <c r="C53" s="71"/>
      <c r="D53" s="71"/>
    </row>
    <row r="54" spans="1:4" ht="13.2">
      <c r="A54" s="71"/>
      <c r="B54" s="72"/>
      <c r="C54" s="71"/>
      <c r="D54" s="71"/>
    </row>
    <row r="55" spans="1:4" ht="13.2">
      <c r="A55" s="71"/>
      <c r="B55" s="72"/>
      <c r="C55" s="71"/>
      <c r="D55" s="71"/>
    </row>
    <row r="56" spans="1:4" ht="13.2">
      <c r="A56" s="71"/>
      <c r="B56" s="72"/>
      <c r="C56" s="71"/>
      <c r="D56" s="71"/>
    </row>
    <row r="57" spans="1:4" ht="13.2">
      <c r="A57" s="71"/>
      <c r="B57" s="72"/>
      <c r="C57" s="71"/>
      <c r="D57" s="71"/>
    </row>
    <row r="58" spans="1:4" ht="13.2">
      <c r="A58" s="71"/>
      <c r="B58" s="72"/>
      <c r="C58" s="71"/>
      <c r="D58" s="71"/>
    </row>
    <row r="59" spans="1:4" ht="13.2">
      <c r="A59" s="71"/>
      <c r="B59" s="72"/>
      <c r="C59" s="71"/>
      <c r="D59" s="71"/>
    </row>
    <row r="60" spans="1:4" ht="13.2">
      <c r="A60" s="71"/>
      <c r="B60" s="72"/>
      <c r="C60" s="71"/>
      <c r="D60" s="71"/>
    </row>
    <row r="61" spans="1:4" ht="13.2">
      <c r="A61" s="71"/>
      <c r="B61" s="72"/>
      <c r="C61" s="71"/>
      <c r="D61" s="71"/>
    </row>
    <row r="62" spans="1:4" ht="13.2">
      <c r="A62" s="71"/>
      <c r="B62" s="72"/>
      <c r="C62" s="71"/>
      <c r="D62" s="71"/>
    </row>
    <row r="63" spans="1:4" ht="13.2">
      <c r="A63" s="71"/>
      <c r="B63" s="72"/>
      <c r="C63" s="71"/>
      <c r="D63" s="71"/>
    </row>
    <row r="64" spans="1:4" ht="13.2">
      <c r="A64" s="71"/>
      <c r="B64" s="72"/>
      <c r="C64" s="71"/>
      <c r="D64" s="71"/>
    </row>
    <row r="65" spans="1:4" ht="13.2">
      <c r="A65" s="71"/>
      <c r="B65" s="72"/>
      <c r="C65" s="71"/>
      <c r="D65" s="71"/>
    </row>
    <row r="66" spans="1:4" ht="13.2">
      <c r="A66" s="71"/>
      <c r="B66" s="72"/>
      <c r="C66" s="71"/>
      <c r="D66" s="71"/>
    </row>
    <row r="67" spans="1:4" ht="13.2">
      <c r="A67" s="71"/>
      <c r="B67" s="72"/>
      <c r="C67" s="71"/>
      <c r="D67" s="71"/>
    </row>
    <row r="68" spans="1:4" ht="13.2">
      <c r="A68" s="71"/>
      <c r="B68" s="72"/>
      <c r="C68" s="71"/>
      <c r="D68" s="71"/>
    </row>
    <row r="69" spans="1:4" ht="13.2">
      <c r="A69" s="71"/>
      <c r="B69" s="72"/>
      <c r="C69" s="71"/>
      <c r="D69" s="71"/>
    </row>
    <row r="70" spans="1:4" ht="13.2">
      <c r="A70" s="71"/>
      <c r="B70" s="72"/>
      <c r="C70" s="71"/>
      <c r="D70" s="71"/>
    </row>
    <row r="71" spans="1:4" ht="13.2">
      <c r="A71" s="71"/>
      <c r="B71" s="72"/>
      <c r="C71" s="71"/>
      <c r="D71" s="71"/>
    </row>
    <row r="72" spans="1:4" ht="13.2">
      <c r="A72" s="71"/>
      <c r="B72" s="72"/>
      <c r="C72" s="71"/>
      <c r="D72" s="71"/>
    </row>
    <row r="73" spans="1:4" ht="13.2">
      <c r="A73" s="71"/>
      <c r="B73" s="72"/>
      <c r="C73" s="71"/>
      <c r="D73" s="71"/>
    </row>
    <row r="74" spans="1:4" ht="13.2">
      <c r="A74" s="71"/>
      <c r="B74" s="72"/>
      <c r="C74" s="71"/>
      <c r="D74" s="71"/>
    </row>
    <row r="75" spans="1:4" ht="13.2">
      <c r="A75" s="71"/>
      <c r="B75" s="72"/>
      <c r="C75" s="71"/>
      <c r="D75" s="71"/>
    </row>
    <row r="76" spans="1:4" ht="13.2">
      <c r="A76" s="71"/>
      <c r="B76" s="72"/>
      <c r="C76" s="71"/>
      <c r="D76" s="71"/>
    </row>
    <row r="77" spans="1:4" ht="13.2">
      <c r="A77" s="71"/>
      <c r="B77" s="72"/>
      <c r="C77" s="71"/>
      <c r="D77" s="71"/>
    </row>
    <row r="78" spans="1:4" ht="13.2">
      <c r="A78" s="71"/>
      <c r="B78" s="72"/>
      <c r="C78" s="71"/>
      <c r="D78" s="71"/>
    </row>
    <row r="79" spans="1:4" ht="13.2">
      <c r="A79" s="71"/>
      <c r="B79" s="72"/>
      <c r="C79" s="71"/>
      <c r="D79" s="71"/>
    </row>
    <row r="80" spans="1:4" ht="13.2">
      <c r="A80" s="71"/>
      <c r="B80" s="72"/>
      <c r="C80" s="71"/>
      <c r="D80" s="71"/>
    </row>
    <row r="81" spans="1:4" ht="13.2">
      <c r="A81" s="71"/>
      <c r="B81" s="72"/>
      <c r="C81" s="71"/>
      <c r="D81" s="71"/>
    </row>
    <row r="82" spans="1:4" ht="13.2">
      <c r="A82" s="71"/>
      <c r="B82" s="72"/>
      <c r="C82" s="71"/>
      <c r="D82" s="71"/>
    </row>
    <row r="83" spans="1:4" ht="13.2">
      <c r="A83" s="71"/>
      <c r="B83" s="72"/>
      <c r="C83" s="71"/>
      <c r="D83" s="71"/>
    </row>
    <row r="84" spans="1:4" ht="13.2">
      <c r="A84" s="71"/>
      <c r="B84" s="72"/>
      <c r="C84" s="71"/>
      <c r="D84" s="71"/>
    </row>
    <row r="85" spans="1:4" ht="13.2">
      <c r="A85" s="71"/>
      <c r="B85" s="72"/>
      <c r="C85" s="71"/>
      <c r="D85" s="71"/>
    </row>
    <row r="86" spans="1:4" ht="13.2">
      <c r="A86" s="71"/>
      <c r="B86" s="72"/>
      <c r="C86" s="71"/>
      <c r="D86" s="71"/>
    </row>
    <row r="87" spans="1:4" ht="13.2">
      <c r="A87" s="71"/>
      <c r="B87" s="72"/>
      <c r="C87" s="71"/>
      <c r="D87" s="71"/>
    </row>
    <row r="88" spans="1:4" ht="13.2">
      <c r="A88" s="71"/>
      <c r="B88" s="72"/>
      <c r="C88" s="71"/>
      <c r="D88" s="71"/>
    </row>
    <row r="89" spans="1:4" ht="13.2">
      <c r="A89" s="71"/>
      <c r="B89" s="72"/>
      <c r="C89" s="71"/>
      <c r="D89" s="71"/>
    </row>
    <row r="90" spans="1:4" ht="13.2">
      <c r="A90" s="71"/>
      <c r="B90" s="72"/>
      <c r="C90" s="71"/>
      <c r="D90" s="71"/>
    </row>
    <row r="91" spans="1:4" ht="13.2">
      <c r="A91" s="71"/>
      <c r="B91" s="72"/>
      <c r="C91" s="71"/>
      <c r="D91" s="71"/>
    </row>
    <row r="92" spans="1:4" ht="13.2">
      <c r="A92" s="71"/>
      <c r="B92" s="72"/>
      <c r="C92" s="71"/>
      <c r="D92" s="71"/>
    </row>
    <row r="93" spans="1:4" ht="13.2">
      <c r="A93" s="71"/>
      <c r="B93" s="72"/>
      <c r="C93" s="71"/>
      <c r="D93" s="71"/>
    </row>
    <row r="94" spans="1:4" ht="13.2">
      <c r="A94" s="71"/>
      <c r="B94" s="72"/>
      <c r="C94" s="71"/>
      <c r="D94" s="71"/>
    </row>
    <row r="95" spans="1:4" ht="13.2">
      <c r="A95" s="71"/>
      <c r="B95" s="72"/>
      <c r="C95" s="71"/>
      <c r="D95" s="71"/>
    </row>
    <row r="96" spans="1:4" ht="13.2">
      <c r="A96" s="71"/>
      <c r="B96" s="72"/>
      <c r="C96" s="71"/>
      <c r="D96" s="71"/>
    </row>
    <row r="97" spans="1:4" ht="13.2">
      <c r="A97" s="71"/>
      <c r="B97" s="72"/>
      <c r="C97" s="71"/>
      <c r="D97" s="71"/>
    </row>
    <row r="98" spans="1:4" ht="13.2">
      <c r="A98" s="71"/>
      <c r="B98" s="72"/>
      <c r="C98" s="71"/>
      <c r="D98" s="71"/>
    </row>
    <row r="99" spans="1:4" ht="13.2">
      <c r="A99" s="71"/>
      <c r="B99" s="72"/>
      <c r="C99" s="71"/>
      <c r="D99" s="71"/>
    </row>
    <row r="100" spans="1:4" ht="13.2">
      <c r="A100" s="71"/>
      <c r="B100" s="72"/>
      <c r="C100" s="71"/>
      <c r="D100" s="71"/>
    </row>
    <row r="101" spans="1:4" ht="13.2">
      <c r="A101" s="71"/>
      <c r="B101" s="72"/>
      <c r="C101" s="71"/>
      <c r="D101" s="71"/>
    </row>
    <row r="102" spans="1:4" ht="13.2">
      <c r="A102" s="71"/>
      <c r="B102" s="72"/>
      <c r="C102" s="71"/>
      <c r="D102" s="71"/>
    </row>
    <row r="103" spans="1:4" ht="13.2">
      <c r="A103" s="71"/>
      <c r="B103" s="72"/>
      <c r="C103" s="71"/>
      <c r="D103" s="71"/>
    </row>
    <row r="104" spans="1:4" ht="13.2">
      <c r="A104" s="71"/>
      <c r="B104" s="72"/>
      <c r="C104" s="71"/>
      <c r="D104" s="71"/>
    </row>
    <row r="105" spans="1:4" ht="13.2">
      <c r="A105" s="71"/>
      <c r="B105" s="72"/>
      <c r="C105" s="71"/>
      <c r="D105" s="71"/>
    </row>
    <row r="106" spans="1:4" ht="13.2">
      <c r="A106" s="71"/>
      <c r="B106" s="72"/>
      <c r="C106" s="71"/>
      <c r="D106" s="71"/>
    </row>
    <row r="107" spans="1:4" ht="13.2">
      <c r="A107" s="71"/>
      <c r="B107" s="72"/>
      <c r="C107" s="71"/>
      <c r="D107" s="71"/>
    </row>
    <row r="108" spans="1:4" ht="13.2">
      <c r="A108" s="71"/>
      <c r="B108" s="72"/>
      <c r="C108" s="71"/>
      <c r="D108" s="71"/>
    </row>
    <row r="109" spans="1:4" ht="13.2">
      <c r="A109" s="71"/>
      <c r="B109" s="72"/>
      <c r="C109" s="71"/>
      <c r="D109" s="71"/>
    </row>
    <row r="110" spans="1:4" ht="13.2">
      <c r="A110" s="71"/>
      <c r="B110" s="72"/>
      <c r="C110" s="71"/>
      <c r="D110" s="71"/>
    </row>
    <row r="111" spans="1:4" ht="13.2">
      <c r="A111" s="71"/>
      <c r="B111" s="72"/>
      <c r="C111" s="71"/>
      <c r="D111" s="71"/>
    </row>
    <row r="112" spans="1:4" ht="13.2">
      <c r="A112" s="71"/>
      <c r="B112" s="72"/>
      <c r="C112" s="71"/>
      <c r="D112" s="71"/>
    </row>
    <row r="113" spans="1:4" ht="13.2">
      <c r="A113" s="71"/>
      <c r="B113" s="72"/>
      <c r="C113" s="71"/>
      <c r="D113" s="71"/>
    </row>
    <row r="114" spans="1:4" ht="13.2">
      <c r="A114" s="71"/>
      <c r="B114" s="72"/>
      <c r="C114" s="71"/>
      <c r="D114" s="71"/>
    </row>
    <row r="115" spans="1:4" ht="13.2">
      <c r="A115" s="71"/>
      <c r="B115" s="72"/>
      <c r="C115" s="71"/>
      <c r="D115" s="71"/>
    </row>
    <row r="116" spans="1:4" ht="13.2">
      <c r="A116" s="71"/>
      <c r="B116" s="72"/>
      <c r="C116" s="71"/>
      <c r="D116" s="71"/>
    </row>
    <row r="117" spans="1:4" ht="13.2">
      <c r="A117" s="71"/>
      <c r="B117" s="72"/>
      <c r="C117" s="71"/>
      <c r="D117" s="71"/>
    </row>
    <row r="118" spans="1:4" ht="13.2">
      <c r="A118" s="71"/>
      <c r="B118" s="72"/>
      <c r="C118" s="71"/>
      <c r="D118" s="71"/>
    </row>
    <row r="119" spans="1:4" ht="13.2">
      <c r="A119" s="71"/>
      <c r="B119" s="72"/>
      <c r="C119" s="71"/>
      <c r="D119" s="71"/>
    </row>
    <row r="120" spans="1:4" ht="13.2">
      <c r="A120" s="71"/>
      <c r="B120" s="72"/>
      <c r="C120" s="71"/>
      <c r="D120" s="71"/>
    </row>
    <row r="121" spans="1:4" ht="13.2">
      <c r="A121" s="71"/>
      <c r="B121" s="72"/>
      <c r="C121" s="71"/>
      <c r="D121" s="71"/>
    </row>
    <row r="122" spans="1:4" ht="13.2">
      <c r="A122" s="71"/>
      <c r="B122" s="72"/>
      <c r="C122" s="71"/>
      <c r="D122" s="71"/>
    </row>
    <row r="123" spans="1:4" ht="13.2">
      <c r="A123" s="71"/>
      <c r="B123" s="72"/>
      <c r="C123" s="71"/>
      <c r="D123" s="71"/>
    </row>
    <row r="124" spans="1:4" ht="13.2">
      <c r="A124" s="71"/>
      <c r="B124" s="72"/>
      <c r="C124" s="71"/>
      <c r="D124" s="71"/>
    </row>
    <row r="125" spans="1:4" ht="13.2">
      <c r="A125" s="71"/>
      <c r="B125" s="72"/>
      <c r="C125" s="71"/>
      <c r="D125" s="71"/>
    </row>
    <row r="126" spans="1:4" ht="13.2">
      <c r="A126" s="71"/>
      <c r="B126" s="72"/>
      <c r="C126" s="71"/>
      <c r="D126" s="71"/>
    </row>
    <row r="127" spans="1:4" ht="13.2">
      <c r="A127" s="71"/>
      <c r="B127" s="72"/>
      <c r="C127" s="71"/>
      <c r="D127" s="71"/>
    </row>
    <row r="128" spans="1:4" ht="13.2">
      <c r="A128" s="71"/>
      <c r="B128" s="72"/>
      <c r="C128" s="71"/>
      <c r="D128" s="71"/>
    </row>
    <row r="129" spans="1:4" ht="13.2">
      <c r="A129" s="71"/>
      <c r="B129" s="72"/>
      <c r="C129" s="71"/>
      <c r="D129" s="71"/>
    </row>
    <row r="130" spans="1:4" ht="13.2">
      <c r="A130" s="71"/>
      <c r="B130" s="72"/>
      <c r="C130" s="71"/>
      <c r="D130" s="71"/>
    </row>
    <row r="131" spans="1:4" ht="13.2">
      <c r="A131" s="71"/>
      <c r="B131" s="72"/>
      <c r="C131" s="71"/>
      <c r="D131" s="71"/>
    </row>
    <row r="132" spans="1:4" ht="13.2">
      <c r="A132" s="71"/>
      <c r="B132" s="72"/>
      <c r="C132" s="71"/>
      <c r="D132" s="71"/>
    </row>
    <row r="133" spans="1:4" ht="13.2">
      <c r="A133" s="71"/>
      <c r="B133" s="72"/>
      <c r="C133" s="71"/>
      <c r="D133" s="71"/>
    </row>
    <row r="134" spans="1:4" ht="13.2">
      <c r="A134" s="71"/>
      <c r="B134" s="72"/>
      <c r="C134" s="71"/>
      <c r="D134" s="71"/>
    </row>
    <row r="135" spans="1:4" ht="13.2">
      <c r="A135" s="71"/>
      <c r="B135" s="72"/>
      <c r="C135" s="71"/>
      <c r="D135" s="71"/>
    </row>
    <row r="136" spans="1:4" ht="13.2">
      <c r="A136" s="71"/>
      <c r="B136" s="72"/>
      <c r="C136" s="71"/>
      <c r="D136" s="71"/>
    </row>
    <row r="137" spans="1:4" ht="13.2">
      <c r="A137" s="71"/>
      <c r="B137" s="72"/>
      <c r="C137" s="71"/>
      <c r="D137" s="71"/>
    </row>
    <row r="138" spans="1:4" ht="13.2">
      <c r="A138" s="71"/>
      <c r="B138" s="72"/>
      <c r="C138" s="71"/>
      <c r="D138" s="71"/>
    </row>
    <row r="139" spans="1:4" ht="13.2">
      <c r="A139" s="71"/>
      <c r="B139" s="72"/>
      <c r="C139" s="71"/>
      <c r="D139" s="71"/>
    </row>
    <row r="140" spans="1:4" ht="13.2">
      <c r="A140" s="71"/>
      <c r="B140" s="72"/>
      <c r="C140" s="71"/>
      <c r="D140" s="71"/>
    </row>
    <row r="141" spans="1:4" ht="13.2">
      <c r="A141" s="71"/>
      <c r="B141" s="72"/>
      <c r="C141" s="71"/>
      <c r="D141" s="71"/>
    </row>
    <row r="142" spans="1:4" ht="13.2">
      <c r="A142" s="71"/>
      <c r="B142" s="72"/>
      <c r="C142" s="71"/>
      <c r="D142" s="71"/>
    </row>
    <row r="143" spans="1:4" ht="13.2">
      <c r="A143" s="71"/>
      <c r="B143" s="72"/>
      <c r="C143" s="71"/>
      <c r="D143" s="71"/>
    </row>
    <row r="144" spans="1:4" ht="13.2">
      <c r="A144" s="71"/>
      <c r="B144" s="72"/>
      <c r="C144" s="71"/>
      <c r="D144" s="71"/>
    </row>
    <row r="145" spans="1:4" ht="13.2">
      <c r="A145" s="71"/>
      <c r="B145" s="72"/>
      <c r="C145" s="71"/>
      <c r="D145" s="71"/>
    </row>
    <row r="146" spans="1:4" ht="13.2">
      <c r="A146" s="71"/>
      <c r="B146" s="72"/>
      <c r="C146" s="71"/>
      <c r="D146" s="71"/>
    </row>
    <row r="147" spans="1:4" ht="13.2">
      <c r="A147" s="71"/>
      <c r="B147" s="72"/>
      <c r="C147" s="71"/>
      <c r="D147" s="71"/>
    </row>
    <row r="148" spans="1:4" ht="13.2">
      <c r="A148" s="71"/>
      <c r="B148" s="72"/>
      <c r="C148" s="71"/>
      <c r="D148" s="71"/>
    </row>
    <row r="149" spans="1:4" ht="13.2">
      <c r="A149" s="71"/>
      <c r="B149" s="72"/>
      <c r="C149" s="71"/>
      <c r="D149" s="71"/>
    </row>
    <row r="150" spans="1:4" ht="13.2">
      <c r="A150" s="71"/>
      <c r="B150" s="72"/>
      <c r="C150" s="71"/>
      <c r="D150" s="71"/>
    </row>
    <row r="151" spans="1:4" ht="13.2">
      <c r="A151" s="71"/>
      <c r="B151" s="72"/>
      <c r="C151" s="71"/>
      <c r="D151" s="71"/>
    </row>
    <row r="152" spans="1:4" ht="13.2">
      <c r="A152" s="71"/>
      <c r="B152" s="72"/>
      <c r="C152" s="71"/>
      <c r="D152" s="71"/>
    </row>
    <row r="153" spans="1:4" ht="13.2">
      <c r="A153" s="71"/>
      <c r="B153" s="72"/>
      <c r="C153" s="71"/>
      <c r="D153" s="71"/>
    </row>
    <row r="154" spans="1:4" ht="13.2">
      <c r="A154" s="71"/>
      <c r="B154" s="72"/>
      <c r="C154" s="71"/>
      <c r="D154" s="71"/>
    </row>
    <row r="155" spans="1:4" ht="13.2">
      <c r="A155" s="71"/>
      <c r="B155" s="72"/>
      <c r="C155" s="71"/>
      <c r="D155" s="71"/>
    </row>
    <row r="156" spans="1:4" ht="13.2">
      <c r="A156" s="71"/>
      <c r="B156" s="72"/>
      <c r="C156" s="71"/>
      <c r="D156" s="71"/>
    </row>
    <row r="157" spans="1:4" ht="13.2">
      <c r="A157" s="71"/>
      <c r="B157" s="72"/>
      <c r="C157" s="71"/>
      <c r="D157" s="71"/>
    </row>
    <row r="158" spans="1:4" ht="13.2">
      <c r="A158" s="71"/>
      <c r="B158" s="72"/>
      <c r="C158" s="71"/>
      <c r="D158" s="71"/>
    </row>
    <row r="159" spans="1:4" ht="13.2">
      <c r="A159" s="71"/>
      <c r="B159" s="72"/>
      <c r="C159" s="71"/>
      <c r="D159" s="71"/>
    </row>
    <row r="160" spans="1:4" ht="13.2">
      <c r="A160" s="71"/>
      <c r="B160" s="72"/>
      <c r="C160" s="71"/>
      <c r="D160" s="71"/>
    </row>
    <row r="161" spans="1:4" ht="13.2">
      <c r="A161" s="71"/>
      <c r="B161" s="72"/>
      <c r="C161" s="71"/>
      <c r="D161" s="71"/>
    </row>
    <row r="162" spans="1:4" ht="13.2">
      <c r="A162" s="71"/>
      <c r="B162" s="72"/>
      <c r="C162" s="71"/>
      <c r="D162" s="71"/>
    </row>
    <row r="163" spans="1:4" ht="13.2">
      <c r="A163" s="71"/>
      <c r="B163" s="72"/>
      <c r="C163" s="71"/>
      <c r="D163" s="71"/>
    </row>
    <row r="164" spans="1:4" ht="13.2">
      <c r="A164" s="71"/>
      <c r="B164" s="72"/>
      <c r="C164" s="71"/>
      <c r="D164" s="71"/>
    </row>
    <row r="165" spans="1:4" ht="13.2">
      <c r="A165" s="71"/>
      <c r="B165" s="72"/>
      <c r="C165" s="71"/>
      <c r="D165" s="71"/>
    </row>
    <row r="166" spans="1:4" ht="13.2">
      <c r="A166" s="71"/>
      <c r="B166" s="72"/>
      <c r="C166" s="71"/>
      <c r="D166" s="71"/>
    </row>
    <row r="167" spans="1:4" ht="13.2">
      <c r="A167" s="71"/>
      <c r="B167" s="72"/>
      <c r="C167" s="71"/>
      <c r="D167" s="71"/>
    </row>
    <row r="168" spans="1:4" ht="13.2">
      <c r="A168" s="71"/>
      <c r="B168" s="72"/>
      <c r="C168" s="71"/>
      <c r="D168" s="71"/>
    </row>
    <row r="169" spans="1:4" ht="13.2">
      <c r="A169" s="71"/>
      <c r="B169" s="72"/>
      <c r="C169" s="71"/>
      <c r="D169" s="71"/>
    </row>
    <row r="170" spans="1:4" ht="13.2">
      <c r="A170" s="71"/>
      <c r="B170" s="72"/>
      <c r="C170" s="71"/>
      <c r="D170" s="71"/>
    </row>
    <row r="171" spans="1:4" ht="13.2">
      <c r="A171" s="71"/>
      <c r="B171" s="72"/>
      <c r="C171" s="71"/>
      <c r="D171" s="71"/>
    </row>
    <row r="172" spans="1:4" ht="13.2">
      <c r="A172" s="71"/>
      <c r="B172" s="72"/>
      <c r="C172" s="71"/>
      <c r="D172" s="71"/>
    </row>
    <row r="173" spans="1:4" ht="13.2">
      <c r="A173" s="71"/>
      <c r="B173" s="72"/>
      <c r="C173" s="71"/>
      <c r="D173" s="71"/>
    </row>
    <row r="174" spans="1:4" ht="13.2">
      <c r="A174" s="71"/>
      <c r="B174" s="72"/>
      <c r="C174" s="71"/>
      <c r="D174" s="71"/>
    </row>
    <row r="175" spans="1:4" ht="13.2">
      <c r="A175" s="71"/>
      <c r="B175" s="72"/>
      <c r="C175" s="71"/>
      <c r="D175" s="71"/>
    </row>
    <row r="176" spans="1:4" ht="13.2">
      <c r="A176" s="71"/>
      <c r="B176" s="72"/>
      <c r="C176" s="71"/>
      <c r="D176" s="71"/>
    </row>
    <row r="177" spans="1:4" ht="13.2">
      <c r="A177" s="71"/>
      <c r="B177" s="72"/>
      <c r="C177" s="71"/>
      <c r="D177" s="71"/>
    </row>
    <row r="178" spans="1:4" ht="13.2">
      <c r="A178" s="71"/>
      <c r="B178" s="72"/>
      <c r="C178" s="71"/>
      <c r="D178" s="71"/>
    </row>
    <row r="179" spans="1:4" ht="13.2">
      <c r="A179" s="71"/>
      <c r="B179" s="72"/>
      <c r="C179" s="71"/>
      <c r="D179" s="71"/>
    </row>
    <row r="180" spans="1:4" ht="13.2">
      <c r="A180" s="71"/>
      <c r="B180" s="72"/>
      <c r="C180" s="71"/>
      <c r="D180" s="71"/>
    </row>
    <row r="181" spans="1:4" ht="13.2">
      <c r="A181" s="71"/>
      <c r="B181" s="72"/>
      <c r="C181" s="71"/>
      <c r="D181" s="71"/>
    </row>
    <row r="182" spans="1:4" ht="13.2">
      <c r="A182" s="71"/>
      <c r="B182" s="72"/>
      <c r="C182" s="71"/>
      <c r="D182" s="71"/>
    </row>
    <row r="183" spans="1:4" ht="13.2">
      <c r="A183" s="71"/>
      <c r="B183" s="72"/>
      <c r="C183" s="71"/>
      <c r="D183" s="71"/>
    </row>
    <row r="184" spans="1:4" ht="13.2">
      <c r="A184" s="71"/>
      <c r="B184" s="72"/>
      <c r="C184" s="71"/>
      <c r="D184" s="71"/>
    </row>
    <row r="185" spans="1:4" ht="13.2">
      <c r="A185" s="71"/>
      <c r="B185" s="72"/>
      <c r="C185" s="71"/>
      <c r="D185" s="71"/>
    </row>
    <row r="186" spans="1:4" ht="13.2">
      <c r="A186" s="71"/>
      <c r="B186" s="72"/>
      <c r="C186" s="71"/>
      <c r="D186" s="71"/>
    </row>
    <row r="187" spans="1:4" ht="13.2">
      <c r="A187" s="71"/>
      <c r="B187" s="72"/>
      <c r="C187" s="71"/>
      <c r="D187" s="71"/>
    </row>
    <row r="188" spans="1:4" ht="13.2">
      <c r="A188" s="71"/>
      <c r="B188" s="72"/>
      <c r="C188" s="71"/>
      <c r="D188" s="71"/>
    </row>
    <row r="189" spans="1:4" ht="13.2">
      <c r="A189" s="71"/>
      <c r="B189" s="72"/>
      <c r="C189" s="71"/>
      <c r="D189" s="71"/>
    </row>
    <row r="190" spans="1:4" ht="13.2">
      <c r="A190" s="71"/>
      <c r="B190" s="72"/>
      <c r="C190" s="71"/>
      <c r="D190" s="71"/>
    </row>
    <row r="191" spans="1:4" ht="13.2">
      <c r="A191" s="71"/>
      <c r="B191" s="72"/>
      <c r="C191" s="71"/>
      <c r="D191" s="71"/>
    </row>
    <row r="192" spans="1:4" ht="13.2">
      <c r="A192" s="71"/>
      <c r="B192" s="72"/>
      <c r="C192" s="71"/>
      <c r="D192" s="71"/>
    </row>
    <row r="193" spans="1:4" ht="13.2">
      <c r="A193" s="71"/>
      <c r="B193" s="72"/>
      <c r="C193" s="71"/>
      <c r="D193" s="71"/>
    </row>
    <row r="194" spans="1:4" ht="13.2">
      <c r="A194" s="71"/>
      <c r="B194" s="72"/>
      <c r="C194" s="71"/>
      <c r="D194" s="71"/>
    </row>
    <row r="195" spans="1:4" ht="13.2">
      <c r="A195" s="71"/>
      <c r="B195" s="72"/>
      <c r="C195" s="71"/>
      <c r="D195" s="71"/>
    </row>
    <row r="196" spans="1:4" ht="13.2">
      <c r="A196" s="71"/>
      <c r="B196" s="72"/>
      <c r="C196" s="71"/>
      <c r="D196" s="71"/>
    </row>
    <row r="197" spans="1:4" ht="13.2">
      <c r="A197" s="71"/>
      <c r="B197" s="72"/>
      <c r="C197" s="71"/>
      <c r="D197" s="71"/>
    </row>
    <row r="198" spans="1:4" ht="13.2">
      <c r="A198" s="71"/>
      <c r="B198" s="72"/>
      <c r="C198" s="71"/>
      <c r="D198" s="71"/>
    </row>
    <row r="199" spans="1:4" ht="13.2">
      <c r="A199" s="71"/>
      <c r="B199" s="72"/>
      <c r="C199" s="71"/>
      <c r="D199" s="71"/>
    </row>
    <row r="200" spans="1:4" ht="13.2">
      <c r="A200" s="71"/>
      <c r="B200" s="72"/>
      <c r="C200" s="71"/>
      <c r="D200" s="71"/>
    </row>
    <row r="201" spans="1:4" ht="13.2">
      <c r="A201" s="71"/>
      <c r="B201" s="72"/>
      <c r="C201" s="71"/>
      <c r="D201" s="71"/>
    </row>
    <row r="202" spans="1:4" ht="13.2">
      <c r="A202" s="71"/>
      <c r="B202" s="72"/>
      <c r="C202" s="71"/>
      <c r="D202" s="71"/>
    </row>
    <row r="203" spans="1:4" ht="13.2">
      <c r="A203" s="71"/>
      <c r="B203" s="72"/>
      <c r="C203" s="71"/>
      <c r="D203" s="71"/>
    </row>
    <row r="204" spans="1:4" ht="13.2">
      <c r="A204" s="71"/>
      <c r="B204" s="72"/>
      <c r="C204" s="71"/>
      <c r="D204" s="71"/>
    </row>
    <row r="205" spans="1:4" ht="13.2">
      <c r="A205" s="71"/>
      <c r="B205" s="72"/>
      <c r="C205" s="71"/>
      <c r="D205" s="71"/>
    </row>
    <row r="206" spans="1:4" ht="13.2">
      <c r="A206" s="71"/>
      <c r="B206" s="72"/>
      <c r="C206" s="71"/>
      <c r="D206" s="71"/>
    </row>
    <row r="207" spans="1:4" ht="13.2">
      <c r="A207" s="71"/>
      <c r="B207" s="72"/>
      <c r="C207" s="71"/>
      <c r="D207" s="71"/>
    </row>
    <row r="208" spans="1:4" ht="13.2">
      <c r="A208" s="71"/>
      <c r="B208" s="72"/>
      <c r="C208" s="71"/>
      <c r="D208" s="71"/>
    </row>
    <row r="209" spans="1:4" ht="13.2">
      <c r="A209" s="71"/>
      <c r="B209" s="72"/>
      <c r="C209" s="71"/>
      <c r="D209" s="71"/>
    </row>
    <row r="210" spans="1:4" ht="13.2">
      <c r="A210" s="71"/>
      <c r="B210" s="72"/>
      <c r="C210" s="71"/>
      <c r="D210" s="71"/>
    </row>
    <row r="211" spans="1:4" ht="13.2">
      <c r="A211" s="71"/>
      <c r="B211" s="72"/>
      <c r="C211" s="71"/>
      <c r="D211" s="71"/>
    </row>
    <row r="212" spans="1:4" ht="13.2">
      <c r="A212" s="71"/>
      <c r="B212" s="72"/>
      <c r="C212" s="71"/>
      <c r="D212" s="71"/>
    </row>
    <row r="213" spans="1:4" ht="13.2">
      <c r="A213" s="71"/>
      <c r="B213" s="72"/>
      <c r="C213" s="71"/>
      <c r="D213" s="71"/>
    </row>
    <row r="214" spans="1:4" ht="13.2">
      <c r="A214" s="71"/>
      <c r="B214" s="72"/>
      <c r="C214" s="71"/>
      <c r="D214" s="71"/>
    </row>
    <row r="215" spans="1:4" ht="13.2">
      <c r="A215" s="71"/>
      <c r="B215" s="72"/>
      <c r="C215" s="71"/>
      <c r="D215" s="71"/>
    </row>
    <row r="216" spans="1:4" ht="13.2">
      <c r="A216" s="71"/>
      <c r="B216" s="72"/>
      <c r="C216" s="71"/>
      <c r="D216" s="71"/>
    </row>
    <row r="217" spans="1:4" ht="13.2">
      <c r="A217" s="71"/>
      <c r="B217" s="72"/>
      <c r="C217" s="71"/>
      <c r="D217" s="71"/>
    </row>
    <row r="218" spans="1:4" ht="13.2">
      <c r="A218" s="71"/>
      <c r="B218" s="72"/>
      <c r="C218" s="71"/>
      <c r="D218" s="71"/>
    </row>
    <row r="219" spans="1:4" ht="13.2">
      <c r="A219" s="71"/>
      <c r="B219" s="72"/>
      <c r="C219" s="71"/>
      <c r="D219" s="71"/>
    </row>
    <row r="220" spans="1:4" ht="13.2">
      <c r="A220" s="71"/>
      <c r="B220" s="72"/>
      <c r="C220" s="71"/>
      <c r="D220" s="71"/>
    </row>
    <row r="221" spans="1:4" ht="13.2">
      <c r="A221" s="71"/>
      <c r="B221" s="72"/>
      <c r="C221" s="71"/>
      <c r="D221" s="71"/>
    </row>
    <row r="222" spans="1:4" ht="13.2">
      <c r="A222" s="71"/>
      <c r="B222" s="72"/>
      <c r="C222" s="71"/>
      <c r="D222" s="71"/>
    </row>
    <row r="223" spans="1:4" ht="13.2">
      <c r="A223" s="71"/>
      <c r="B223" s="72"/>
      <c r="C223" s="71"/>
      <c r="D223" s="71"/>
    </row>
    <row r="224" spans="1:4" ht="13.2">
      <c r="A224" s="71"/>
      <c r="B224" s="72"/>
      <c r="C224" s="71"/>
      <c r="D224" s="71"/>
    </row>
    <row r="225" spans="1:4" ht="13.2">
      <c r="A225" s="71"/>
      <c r="B225" s="72"/>
      <c r="C225" s="71"/>
      <c r="D225" s="71"/>
    </row>
    <row r="226" spans="1:4" ht="13.2">
      <c r="A226" s="71"/>
      <c r="B226" s="72"/>
      <c r="C226" s="71"/>
      <c r="D226" s="71"/>
    </row>
    <row r="227" spans="1:4" ht="13.2">
      <c r="A227" s="71"/>
      <c r="B227" s="72"/>
      <c r="C227" s="71"/>
      <c r="D227" s="71"/>
    </row>
    <row r="228" spans="1:4" ht="13.2">
      <c r="A228" s="71"/>
      <c r="B228" s="72"/>
      <c r="C228" s="71"/>
      <c r="D228" s="71"/>
    </row>
    <row r="229" spans="1:4" ht="13.2">
      <c r="A229" s="71"/>
      <c r="B229" s="72"/>
      <c r="C229" s="71"/>
      <c r="D229" s="71"/>
    </row>
    <row r="230" spans="1:4" ht="13.2">
      <c r="A230" s="71"/>
      <c r="B230" s="72"/>
      <c r="C230" s="71"/>
      <c r="D230" s="71"/>
    </row>
    <row r="231" spans="1:4" ht="13.2">
      <c r="A231" s="71"/>
      <c r="B231" s="72"/>
      <c r="C231" s="71"/>
      <c r="D231" s="71"/>
    </row>
    <row r="232" spans="1:4" ht="13.2">
      <c r="A232" s="71"/>
      <c r="B232" s="72"/>
      <c r="C232" s="71"/>
      <c r="D232" s="71"/>
    </row>
    <row r="233" spans="1:4" ht="13.2">
      <c r="A233" s="71"/>
      <c r="B233" s="72"/>
      <c r="C233" s="71"/>
      <c r="D233" s="71"/>
    </row>
    <row r="234" spans="1:4" ht="13.2">
      <c r="A234" s="71"/>
      <c r="B234" s="72"/>
      <c r="C234" s="71"/>
      <c r="D234" s="71"/>
    </row>
    <row r="235" spans="1:4" ht="13.2">
      <c r="A235" s="71"/>
      <c r="B235" s="72"/>
      <c r="C235" s="71"/>
      <c r="D235" s="71"/>
    </row>
    <row r="236" spans="1:4" ht="13.2">
      <c r="A236" s="71"/>
      <c r="B236" s="72"/>
      <c r="C236" s="71"/>
      <c r="D236" s="71"/>
    </row>
    <row r="237" spans="1:4" ht="13.2">
      <c r="A237" s="71"/>
      <c r="B237" s="72"/>
      <c r="C237" s="71"/>
      <c r="D237" s="71"/>
    </row>
    <row r="238" spans="1:4" ht="13.2">
      <c r="A238" s="71"/>
      <c r="B238" s="72"/>
      <c r="C238" s="71"/>
      <c r="D238" s="71"/>
    </row>
    <row r="239" spans="1:4" ht="13.2">
      <c r="A239" s="71"/>
      <c r="B239" s="72"/>
      <c r="C239" s="71"/>
      <c r="D239" s="71"/>
    </row>
    <row r="240" spans="1:4" ht="13.2">
      <c r="A240" s="71"/>
      <c r="B240" s="72"/>
      <c r="C240" s="71"/>
      <c r="D240" s="71"/>
    </row>
    <row r="241" spans="1:4" ht="13.2">
      <c r="A241" s="71"/>
      <c r="B241" s="72"/>
      <c r="C241" s="71"/>
      <c r="D241" s="71"/>
    </row>
    <row r="242" spans="1:4" ht="13.2">
      <c r="A242" s="71"/>
      <c r="B242" s="72"/>
      <c r="C242" s="71"/>
      <c r="D242" s="71"/>
    </row>
    <row r="243" spans="1:4" ht="13.2">
      <c r="A243" s="71"/>
      <c r="B243" s="72"/>
      <c r="C243" s="71"/>
      <c r="D243" s="71"/>
    </row>
    <row r="244" spans="1:4" ht="13.2">
      <c r="A244" s="71"/>
      <c r="B244" s="72"/>
      <c r="C244" s="71"/>
      <c r="D244" s="71"/>
    </row>
    <row r="245" spans="1:4" ht="13.2">
      <c r="A245" s="71"/>
      <c r="B245" s="72"/>
      <c r="C245" s="71"/>
      <c r="D245" s="71"/>
    </row>
    <row r="246" spans="1:4" ht="13.2">
      <c r="A246" s="71"/>
      <c r="B246" s="72"/>
      <c r="C246" s="71"/>
      <c r="D246" s="71"/>
    </row>
    <row r="247" spans="1:4" ht="13.2">
      <c r="A247" s="71"/>
      <c r="B247" s="72"/>
      <c r="C247" s="71"/>
      <c r="D247" s="71"/>
    </row>
    <row r="248" spans="1:4" ht="13.2">
      <c r="A248" s="71"/>
      <c r="B248" s="72"/>
      <c r="C248" s="71"/>
      <c r="D248" s="71"/>
    </row>
    <row r="249" spans="1:4" ht="13.2">
      <c r="A249" s="71"/>
      <c r="B249" s="72"/>
      <c r="C249" s="71"/>
      <c r="D249" s="71"/>
    </row>
    <row r="250" spans="1:4" ht="13.2">
      <c r="A250" s="71"/>
      <c r="B250" s="72"/>
      <c r="C250" s="71"/>
      <c r="D250" s="71"/>
    </row>
    <row r="251" spans="1:4" ht="13.2">
      <c r="A251" s="71"/>
      <c r="B251" s="72"/>
      <c r="C251" s="71"/>
      <c r="D251" s="71"/>
    </row>
    <row r="252" spans="1:4" ht="13.2">
      <c r="A252" s="71"/>
      <c r="B252" s="72"/>
      <c r="C252" s="71"/>
      <c r="D252" s="71"/>
    </row>
    <row r="253" spans="1:4" ht="13.2">
      <c r="A253" s="71"/>
      <c r="B253" s="72"/>
      <c r="C253" s="71"/>
      <c r="D253" s="71"/>
    </row>
    <row r="254" spans="1:4" ht="13.2">
      <c r="A254" s="71"/>
      <c r="B254" s="72"/>
      <c r="C254" s="71"/>
      <c r="D254" s="71"/>
    </row>
    <row r="255" spans="1:4" ht="13.2">
      <c r="A255" s="71"/>
      <c r="B255" s="72"/>
      <c r="C255" s="71"/>
      <c r="D255" s="71"/>
    </row>
    <row r="256" spans="1:4" ht="13.2">
      <c r="A256" s="71"/>
      <c r="B256" s="72"/>
      <c r="C256" s="71"/>
      <c r="D256" s="71"/>
    </row>
    <row r="257" spans="1:4" ht="13.2">
      <c r="A257" s="71"/>
      <c r="B257" s="72"/>
      <c r="C257" s="71"/>
      <c r="D257" s="71"/>
    </row>
    <row r="258" spans="1:4" ht="13.2">
      <c r="A258" s="71"/>
      <c r="B258" s="72"/>
      <c r="C258" s="71"/>
      <c r="D258" s="71"/>
    </row>
    <row r="259" spans="1:4" ht="13.2">
      <c r="A259" s="71"/>
      <c r="B259" s="72"/>
      <c r="C259" s="71"/>
      <c r="D259" s="71"/>
    </row>
    <row r="260" spans="1:4" ht="13.2">
      <c r="A260" s="71"/>
      <c r="B260" s="72"/>
      <c r="C260" s="71"/>
      <c r="D260" s="71"/>
    </row>
    <row r="261" spans="1:4" ht="13.2">
      <c r="A261" s="71"/>
      <c r="B261" s="72"/>
      <c r="C261" s="71"/>
      <c r="D261" s="71"/>
    </row>
    <row r="262" spans="1:4" ht="13.2">
      <c r="A262" s="71"/>
      <c r="B262" s="72"/>
      <c r="C262" s="71"/>
      <c r="D262" s="71"/>
    </row>
    <row r="263" spans="1:4" ht="13.2">
      <c r="A263" s="71"/>
      <c r="B263" s="72"/>
      <c r="C263" s="71"/>
      <c r="D263" s="71"/>
    </row>
    <row r="264" spans="1:4" ht="13.2">
      <c r="A264" s="71"/>
      <c r="B264" s="72"/>
      <c r="C264" s="71"/>
      <c r="D264" s="71"/>
    </row>
    <row r="265" spans="1:4" ht="13.2">
      <c r="A265" s="71"/>
      <c r="B265" s="72"/>
      <c r="C265" s="71"/>
      <c r="D265" s="71"/>
    </row>
    <row r="266" spans="1:4" ht="13.2">
      <c r="A266" s="71"/>
      <c r="B266" s="72"/>
      <c r="C266" s="71"/>
      <c r="D266" s="71"/>
    </row>
    <row r="267" spans="1:4" ht="13.2">
      <c r="A267" s="71"/>
      <c r="B267" s="72"/>
      <c r="C267" s="71"/>
      <c r="D267" s="71"/>
    </row>
    <row r="268" spans="1:4" ht="13.2">
      <c r="A268" s="71"/>
      <c r="B268" s="72"/>
      <c r="C268" s="71"/>
      <c r="D268" s="71"/>
    </row>
    <row r="269" spans="1:4" ht="13.2">
      <c r="A269" s="71"/>
      <c r="B269" s="72"/>
      <c r="C269" s="71"/>
      <c r="D269" s="71"/>
    </row>
    <row r="270" spans="1:4" ht="13.2">
      <c r="A270" s="71"/>
      <c r="B270" s="72"/>
      <c r="C270" s="71"/>
      <c r="D270" s="71"/>
    </row>
    <row r="271" spans="1:4" ht="13.2">
      <c r="A271" s="71"/>
      <c r="B271" s="72"/>
      <c r="C271" s="71"/>
      <c r="D271" s="71"/>
    </row>
    <row r="272" spans="1:4" ht="13.2">
      <c r="A272" s="71"/>
      <c r="B272" s="72"/>
      <c r="C272" s="71"/>
      <c r="D272" s="71"/>
    </row>
    <row r="273" spans="1:4" ht="13.2">
      <c r="A273" s="71"/>
      <c r="B273" s="72"/>
      <c r="C273" s="71"/>
      <c r="D273" s="71"/>
    </row>
    <row r="274" spans="1:4" ht="13.2">
      <c r="A274" s="71"/>
      <c r="B274" s="72"/>
      <c r="C274" s="71"/>
      <c r="D274" s="71"/>
    </row>
    <row r="275" spans="1:4" ht="13.2">
      <c r="A275" s="71"/>
      <c r="B275" s="72"/>
      <c r="C275" s="71"/>
      <c r="D275" s="71"/>
    </row>
    <row r="276" spans="1:4" ht="13.2">
      <c r="A276" s="71"/>
      <c r="B276" s="72"/>
      <c r="C276" s="71"/>
      <c r="D276" s="71"/>
    </row>
    <row r="277" spans="1:4" ht="13.2">
      <c r="A277" s="71"/>
      <c r="B277" s="72"/>
      <c r="C277" s="71"/>
      <c r="D277" s="71"/>
    </row>
    <row r="278" spans="1:4" ht="13.2">
      <c r="A278" s="71"/>
      <c r="B278" s="72"/>
      <c r="C278" s="71"/>
      <c r="D278" s="71"/>
    </row>
    <row r="279" spans="1:4" ht="13.2">
      <c r="A279" s="71"/>
      <c r="B279" s="72"/>
      <c r="C279" s="71"/>
      <c r="D279" s="71"/>
    </row>
    <row r="280" spans="1:4" ht="13.2">
      <c r="A280" s="71"/>
      <c r="B280" s="72"/>
      <c r="C280" s="71"/>
      <c r="D280" s="71"/>
    </row>
    <row r="281" spans="1:4" ht="13.2">
      <c r="A281" s="71"/>
      <c r="B281" s="72"/>
      <c r="C281" s="71"/>
      <c r="D281" s="71"/>
    </row>
    <row r="282" spans="1:4" ht="13.2">
      <c r="A282" s="71"/>
      <c r="B282" s="72"/>
      <c r="C282" s="71"/>
      <c r="D282" s="71"/>
    </row>
    <row r="283" spans="1:4" ht="13.2">
      <c r="A283" s="71"/>
      <c r="B283" s="72"/>
      <c r="C283" s="71"/>
      <c r="D283" s="71"/>
    </row>
    <row r="284" spans="1:4" ht="13.2">
      <c r="A284" s="71"/>
      <c r="B284" s="72"/>
      <c r="C284" s="71"/>
      <c r="D284" s="71"/>
    </row>
    <row r="285" spans="1:4" ht="13.2">
      <c r="A285" s="71"/>
      <c r="B285" s="72"/>
      <c r="C285" s="71"/>
      <c r="D285" s="71"/>
    </row>
    <row r="286" spans="1:4" ht="13.2">
      <c r="A286" s="71"/>
      <c r="B286" s="72"/>
      <c r="C286" s="71"/>
      <c r="D286" s="71"/>
    </row>
    <row r="287" spans="1:4" ht="13.2">
      <c r="A287" s="71"/>
      <c r="B287" s="72"/>
      <c r="C287" s="71"/>
      <c r="D287" s="71"/>
    </row>
    <row r="288" spans="1:4" ht="13.2">
      <c r="A288" s="71"/>
      <c r="B288" s="72"/>
      <c r="C288" s="71"/>
      <c r="D288" s="71"/>
    </row>
    <row r="289" spans="1:4" ht="13.2">
      <c r="A289" s="71"/>
      <c r="B289" s="72"/>
      <c r="C289" s="71"/>
      <c r="D289" s="71"/>
    </row>
    <row r="290" spans="1:4" ht="13.2">
      <c r="A290" s="71"/>
      <c r="B290" s="72"/>
      <c r="C290" s="71"/>
      <c r="D290" s="71"/>
    </row>
    <row r="291" spans="1:4" ht="13.2">
      <c r="A291" s="71"/>
      <c r="B291" s="72"/>
      <c r="C291" s="71"/>
      <c r="D291" s="71"/>
    </row>
    <row r="292" spans="1:4" ht="13.2">
      <c r="A292" s="71"/>
      <c r="B292" s="72"/>
      <c r="C292" s="71"/>
      <c r="D292" s="71"/>
    </row>
    <row r="293" spans="1:4" ht="13.2">
      <c r="A293" s="71"/>
      <c r="B293" s="72"/>
      <c r="C293" s="71"/>
      <c r="D293" s="71"/>
    </row>
    <row r="294" spans="1:4" ht="13.2">
      <c r="A294" s="71"/>
      <c r="B294" s="72"/>
      <c r="C294" s="71"/>
      <c r="D294" s="71"/>
    </row>
    <row r="295" spans="1:4" ht="13.2">
      <c r="A295" s="71"/>
      <c r="B295" s="72"/>
      <c r="C295" s="71"/>
      <c r="D295" s="71"/>
    </row>
    <row r="296" spans="1:4" ht="13.2">
      <c r="A296" s="71"/>
      <c r="B296" s="72"/>
      <c r="C296" s="71"/>
      <c r="D296" s="71"/>
    </row>
    <row r="297" spans="1:4" ht="13.2">
      <c r="A297" s="71"/>
      <c r="B297" s="72"/>
      <c r="C297" s="71"/>
      <c r="D297" s="71"/>
    </row>
    <row r="298" spans="1:4" ht="13.2">
      <c r="A298" s="71"/>
      <c r="B298" s="72"/>
      <c r="C298" s="71"/>
      <c r="D298" s="71"/>
    </row>
    <row r="299" spans="1:4" ht="13.2">
      <c r="A299" s="71"/>
      <c r="B299" s="72"/>
      <c r="C299" s="71"/>
      <c r="D299" s="71"/>
    </row>
    <row r="300" spans="1:4" ht="13.2">
      <c r="A300" s="71"/>
      <c r="B300" s="72"/>
      <c r="C300" s="71"/>
      <c r="D300" s="71"/>
    </row>
    <row r="301" spans="1:4" ht="13.2">
      <c r="A301" s="71"/>
      <c r="B301" s="72"/>
      <c r="C301" s="71"/>
      <c r="D301" s="71"/>
    </row>
    <row r="302" spans="1:4" ht="13.2">
      <c r="A302" s="71"/>
      <c r="B302" s="72"/>
      <c r="C302" s="71"/>
      <c r="D302" s="71"/>
    </row>
    <row r="303" spans="1:4" ht="13.2">
      <c r="A303" s="71"/>
      <c r="B303" s="72"/>
      <c r="C303" s="71"/>
      <c r="D303" s="71"/>
    </row>
    <row r="304" spans="1:4" ht="13.2">
      <c r="A304" s="71"/>
      <c r="B304" s="72"/>
      <c r="C304" s="71"/>
      <c r="D304" s="71"/>
    </row>
    <row r="305" spans="1:4" ht="13.2">
      <c r="A305" s="71"/>
      <c r="B305" s="72"/>
      <c r="C305" s="71"/>
      <c r="D305" s="71"/>
    </row>
    <row r="306" spans="1:4" ht="13.2">
      <c r="A306" s="71"/>
      <c r="B306" s="72"/>
      <c r="C306" s="71"/>
      <c r="D306" s="71"/>
    </row>
    <row r="307" spans="1:4" ht="13.2">
      <c r="A307" s="71"/>
      <c r="B307" s="72"/>
      <c r="C307" s="71"/>
      <c r="D307" s="71"/>
    </row>
    <row r="308" spans="1:4" ht="13.2">
      <c r="A308" s="71"/>
      <c r="B308" s="72"/>
      <c r="C308" s="71"/>
      <c r="D308" s="71"/>
    </row>
    <row r="309" spans="1:4" ht="13.2">
      <c r="A309" s="71"/>
      <c r="B309" s="72"/>
      <c r="C309" s="71"/>
      <c r="D309" s="71"/>
    </row>
    <row r="310" spans="1:4" ht="13.2">
      <c r="A310" s="71"/>
      <c r="B310" s="72"/>
      <c r="C310" s="71"/>
      <c r="D310" s="71"/>
    </row>
    <row r="311" spans="1:4" ht="13.2">
      <c r="A311" s="71"/>
      <c r="B311" s="72"/>
      <c r="C311" s="71"/>
      <c r="D311" s="71"/>
    </row>
    <row r="312" spans="1:4" ht="13.2">
      <c r="A312" s="71"/>
      <c r="B312" s="72"/>
      <c r="C312" s="71"/>
      <c r="D312" s="71"/>
    </row>
    <row r="313" spans="1:4" ht="13.2">
      <c r="A313" s="71"/>
      <c r="B313" s="72"/>
      <c r="C313" s="71"/>
      <c r="D313" s="71"/>
    </row>
    <row r="314" spans="1:4" ht="13.2">
      <c r="A314" s="71"/>
      <c r="B314" s="72"/>
      <c r="C314" s="71"/>
      <c r="D314" s="71"/>
    </row>
    <row r="315" spans="1:4" ht="13.2">
      <c r="A315" s="71"/>
      <c r="B315" s="72"/>
      <c r="C315" s="71"/>
      <c r="D315" s="71"/>
    </row>
    <row r="316" spans="1:4" ht="13.2">
      <c r="A316" s="71"/>
      <c r="B316" s="72"/>
      <c r="C316" s="71"/>
      <c r="D316" s="71"/>
    </row>
    <row r="317" spans="1:4" ht="13.2">
      <c r="A317" s="71"/>
      <c r="B317" s="72"/>
      <c r="C317" s="71"/>
      <c r="D317" s="71"/>
    </row>
    <row r="318" spans="1:4" ht="13.2">
      <c r="A318" s="71"/>
      <c r="B318" s="72"/>
      <c r="C318" s="71"/>
      <c r="D318" s="71"/>
    </row>
    <row r="319" spans="1:4" ht="13.2">
      <c r="A319" s="71"/>
      <c r="B319" s="72"/>
      <c r="C319" s="71"/>
      <c r="D319" s="71"/>
    </row>
    <row r="320" spans="1:4" ht="13.2">
      <c r="A320" s="71"/>
      <c r="B320" s="72"/>
      <c r="C320" s="71"/>
      <c r="D320" s="71"/>
    </row>
    <row r="321" spans="1:4" ht="13.2">
      <c r="A321" s="71"/>
      <c r="B321" s="72"/>
      <c r="C321" s="71"/>
      <c r="D321" s="71"/>
    </row>
    <row r="322" spans="1:4" ht="13.2">
      <c r="A322" s="71"/>
      <c r="B322" s="72"/>
      <c r="C322" s="71"/>
      <c r="D322" s="71"/>
    </row>
    <row r="323" spans="1:4" ht="13.2">
      <c r="A323" s="71"/>
      <c r="B323" s="72"/>
      <c r="C323" s="71"/>
      <c r="D323" s="71"/>
    </row>
    <row r="324" spans="1:4" ht="13.2">
      <c r="A324" s="71"/>
      <c r="B324" s="72"/>
      <c r="C324" s="71"/>
      <c r="D324" s="71"/>
    </row>
    <row r="325" spans="1:4" ht="13.2">
      <c r="A325" s="71"/>
      <c r="B325" s="72"/>
      <c r="C325" s="71"/>
      <c r="D325" s="71"/>
    </row>
    <row r="326" spans="1:4" ht="13.2">
      <c r="A326" s="71"/>
      <c r="B326" s="72"/>
      <c r="C326" s="71"/>
      <c r="D326" s="71"/>
    </row>
    <row r="327" spans="1:4" ht="13.2">
      <c r="A327" s="71"/>
      <c r="B327" s="72"/>
      <c r="C327" s="71"/>
      <c r="D327" s="71"/>
    </row>
    <row r="328" spans="1:4" ht="13.2">
      <c r="A328" s="71"/>
      <c r="B328" s="72"/>
      <c r="C328" s="71"/>
      <c r="D328" s="71"/>
    </row>
    <row r="329" spans="1:4" ht="13.2">
      <c r="A329" s="71"/>
      <c r="B329" s="72"/>
      <c r="C329" s="71"/>
      <c r="D329" s="71"/>
    </row>
    <row r="330" spans="1:4" ht="13.2">
      <c r="A330" s="71"/>
      <c r="B330" s="72"/>
      <c r="C330" s="71"/>
      <c r="D330" s="71"/>
    </row>
    <row r="331" spans="1:4" ht="13.2">
      <c r="A331" s="71"/>
      <c r="B331" s="72"/>
      <c r="C331" s="71"/>
      <c r="D331" s="71"/>
    </row>
    <row r="332" spans="1:4" ht="13.2">
      <c r="A332" s="71"/>
      <c r="B332" s="72"/>
      <c r="C332" s="71"/>
      <c r="D332" s="71"/>
    </row>
    <row r="333" spans="1:4" ht="13.2">
      <c r="A333" s="71"/>
      <c r="B333" s="72"/>
      <c r="C333" s="71"/>
      <c r="D333" s="71"/>
    </row>
    <row r="334" spans="1:4" ht="13.2">
      <c r="A334" s="71"/>
      <c r="B334" s="72"/>
      <c r="C334" s="71"/>
      <c r="D334" s="71"/>
    </row>
    <row r="335" spans="1:4" ht="13.2">
      <c r="A335" s="71"/>
      <c r="B335" s="72"/>
      <c r="C335" s="71"/>
      <c r="D335" s="71"/>
    </row>
    <row r="336" spans="1:4" ht="13.2">
      <c r="A336" s="71"/>
      <c r="B336" s="72"/>
      <c r="C336" s="71"/>
      <c r="D336" s="71"/>
    </row>
    <row r="337" spans="1:4" ht="13.2">
      <c r="A337" s="71"/>
      <c r="B337" s="72"/>
      <c r="C337" s="71"/>
      <c r="D337" s="71"/>
    </row>
    <row r="338" spans="1:4" ht="13.2">
      <c r="A338" s="71"/>
      <c r="B338" s="72"/>
      <c r="C338" s="71"/>
      <c r="D338" s="71"/>
    </row>
    <row r="339" spans="1:4" ht="13.2">
      <c r="A339" s="71"/>
      <c r="B339" s="72"/>
      <c r="C339" s="71"/>
      <c r="D339" s="71"/>
    </row>
    <row r="340" spans="1:4" ht="13.2">
      <c r="A340" s="71"/>
      <c r="B340" s="72"/>
      <c r="C340" s="71"/>
      <c r="D340" s="71"/>
    </row>
    <row r="341" spans="1:4" ht="13.2">
      <c r="A341" s="71"/>
      <c r="B341" s="72"/>
      <c r="C341" s="71"/>
      <c r="D341" s="71"/>
    </row>
    <row r="342" spans="1:4" ht="13.2">
      <c r="A342" s="71"/>
      <c r="B342" s="72"/>
      <c r="C342" s="71"/>
      <c r="D342" s="71"/>
    </row>
    <row r="343" spans="1:4" ht="13.2">
      <c r="A343" s="71"/>
      <c r="B343" s="72"/>
      <c r="C343" s="71"/>
      <c r="D343" s="71"/>
    </row>
    <row r="344" spans="1:4" ht="13.2">
      <c r="A344" s="71"/>
      <c r="B344" s="72"/>
      <c r="C344" s="71"/>
      <c r="D344" s="71"/>
    </row>
    <row r="345" spans="1:4" ht="13.2">
      <c r="A345" s="71"/>
      <c r="B345" s="72"/>
      <c r="C345" s="71"/>
      <c r="D345" s="71"/>
    </row>
    <row r="346" spans="1:4" ht="13.2">
      <c r="A346" s="71"/>
      <c r="B346" s="72"/>
      <c r="C346" s="71"/>
      <c r="D346" s="71"/>
    </row>
    <row r="347" spans="1:4" ht="13.2">
      <c r="A347" s="71"/>
      <c r="B347" s="72"/>
      <c r="C347" s="71"/>
      <c r="D347" s="71"/>
    </row>
    <row r="348" spans="1:4" ht="13.2">
      <c r="A348" s="71"/>
      <c r="B348" s="72"/>
      <c r="C348" s="71"/>
      <c r="D348" s="71"/>
    </row>
    <row r="349" spans="1:4" ht="13.2">
      <c r="A349" s="71"/>
      <c r="B349" s="72"/>
      <c r="C349" s="71"/>
      <c r="D349" s="71"/>
    </row>
    <row r="350" spans="1:4" ht="13.2">
      <c r="A350" s="71"/>
      <c r="B350" s="72"/>
      <c r="C350" s="71"/>
      <c r="D350" s="71"/>
    </row>
    <row r="351" spans="1:4" ht="13.2">
      <c r="A351" s="71"/>
      <c r="B351" s="72"/>
      <c r="C351" s="71"/>
      <c r="D351" s="71"/>
    </row>
    <row r="352" spans="1:4" ht="13.2">
      <c r="A352" s="71"/>
      <c r="B352" s="72"/>
      <c r="C352" s="71"/>
      <c r="D352" s="71"/>
    </row>
    <row r="353" spans="1:4" ht="13.2">
      <c r="A353" s="71"/>
      <c r="B353" s="72"/>
      <c r="C353" s="71"/>
      <c r="D353" s="71"/>
    </row>
    <row r="354" spans="1:4" ht="13.2">
      <c r="A354" s="71"/>
      <c r="B354" s="72"/>
      <c r="C354" s="71"/>
      <c r="D354" s="71"/>
    </row>
    <row r="355" spans="1:4" ht="13.2">
      <c r="A355" s="71"/>
      <c r="B355" s="72"/>
      <c r="C355" s="71"/>
      <c r="D355" s="71"/>
    </row>
    <row r="356" spans="1:4" ht="13.2">
      <c r="A356" s="71"/>
      <c r="B356" s="72"/>
      <c r="C356" s="71"/>
      <c r="D356" s="71"/>
    </row>
    <row r="357" spans="1:4" ht="13.2">
      <c r="A357" s="71"/>
      <c r="B357" s="72"/>
      <c r="C357" s="71"/>
      <c r="D357" s="71"/>
    </row>
    <row r="358" spans="1:4" ht="13.2">
      <c r="A358" s="71"/>
      <c r="B358" s="72"/>
      <c r="C358" s="71"/>
      <c r="D358" s="71"/>
    </row>
    <row r="359" spans="1:4" ht="13.2">
      <c r="A359" s="71"/>
      <c r="B359" s="72"/>
      <c r="C359" s="71"/>
      <c r="D359" s="71"/>
    </row>
    <row r="360" spans="1:4" ht="13.2">
      <c r="A360" s="71"/>
      <c r="B360" s="72"/>
      <c r="C360" s="71"/>
      <c r="D360" s="71"/>
    </row>
    <row r="361" spans="1:4" ht="13.2">
      <c r="A361" s="71"/>
      <c r="B361" s="72"/>
      <c r="C361" s="71"/>
      <c r="D361" s="71"/>
    </row>
    <row r="362" spans="1:4" ht="13.2">
      <c r="A362" s="71"/>
      <c r="B362" s="72"/>
      <c r="C362" s="71"/>
      <c r="D362" s="71"/>
    </row>
    <row r="363" spans="1:4" ht="13.2">
      <c r="A363" s="71"/>
      <c r="B363" s="72"/>
      <c r="C363" s="71"/>
      <c r="D363" s="71"/>
    </row>
    <row r="364" spans="1:4" ht="13.2">
      <c r="A364" s="71"/>
      <c r="B364" s="72"/>
      <c r="C364" s="71"/>
      <c r="D364" s="71"/>
    </row>
    <row r="365" spans="1:4" ht="13.2">
      <c r="A365" s="71"/>
      <c r="B365" s="72"/>
      <c r="C365" s="71"/>
      <c r="D365" s="71"/>
    </row>
    <row r="366" spans="1:4" ht="13.2">
      <c r="A366" s="71"/>
      <c r="B366" s="72"/>
      <c r="C366" s="71"/>
      <c r="D366" s="71"/>
    </row>
    <row r="367" spans="1:4" ht="13.2">
      <c r="A367" s="71"/>
      <c r="B367" s="72"/>
      <c r="C367" s="71"/>
      <c r="D367" s="71"/>
    </row>
    <row r="368" spans="1:4" ht="13.2">
      <c r="A368" s="71"/>
      <c r="B368" s="72"/>
      <c r="C368" s="71"/>
      <c r="D368" s="71"/>
    </row>
    <row r="369" spans="1:4" ht="13.2">
      <c r="A369" s="71"/>
      <c r="B369" s="72"/>
      <c r="C369" s="71"/>
      <c r="D369" s="71"/>
    </row>
    <row r="370" spans="1:4" ht="13.2">
      <c r="A370" s="71"/>
      <c r="B370" s="72"/>
      <c r="C370" s="71"/>
      <c r="D370" s="71"/>
    </row>
    <row r="371" spans="1:4" ht="13.2">
      <c r="A371" s="71"/>
      <c r="B371" s="72"/>
      <c r="C371" s="71"/>
      <c r="D371" s="71"/>
    </row>
    <row r="372" spans="1:4" ht="13.2">
      <c r="A372" s="71"/>
      <c r="B372" s="72"/>
      <c r="C372" s="71"/>
      <c r="D372" s="71"/>
    </row>
    <row r="373" spans="1:4" ht="13.2">
      <c r="A373" s="71"/>
      <c r="B373" s="72"/>
      <c r="C373" s="71"/>
      <c r="D373" s="71"/>
    </row>
    <row r="374" spans="1:4" ht="13.2">
      <c r="A374" s="71"/>
      <c r="B374" s="72"/>
      <c r="C374" s="71"/>
      <c r="D374" s="71"/>
    </row>
    <row r="375" spans="1:4" ht="13.2">
      <c r="A375" s="71"/>
      <c r="B375" s="72"/>
      <c r="C375" s="71"/>
      <c r="D375" s="71"/>
    </row>
    <row r="376" spans="1:4" ht="13.2">
      <c r="A376" s="71"/>
      <c r="B376" s="72"/>
      <c r="C376" s="71"/>
      <c r="D376" s="71"/>
    </row>
    <row r="377" spans="1:4" ht="13.2">
      <c r="A377" s="71"/>
      <c r="B377" s="72"/>
      <c r="C377" s="71"/>
      <c r="D377" s="71"/>
    </row>
    <row r="378" spans="1:4" ht="13.2">
      <c r="A378" s="71"/>
      <c r="B378" s="72"/>
      <c r="C378" s="71"/>
      <c r="D378" s="71"/>
    </row>
    <row r="379" spans="1:4" ht="13.2">
      <c r="A379" s="71"/>
      <c r="B379" s="72"/>
      <c r="C379" s="71"/>
      <c r="D379" s="71"/>
    </row>
    <row r="380" spans="1:4" ht="13.2">
      <c r="A380" s="71"/>
      <c r="B380" s="72"/>
      <c r="C380" s="71"/>
      <c r="D380" s="71"/>
    </row>
    <row r="381" spans="1:4" ht="13.2">
      <c r="A381" s="71"/>
      <c r="B381" s="72"/>
      <c r="C381" s="71"/>
      <c r="D381" s="71"/>
    </row>
    <row r="382" spans="1:4" ht="13.2">
      <c r="A382" s="71"/>
      <c r="B382" s="72"/>
      <c r="C382" s="71"/>
      <c r="D382" s="71"/>
    </row>
    <row r="383" spans="1:4" ht="13.2">
      <c r="A383" s="71"/>
      <c r="B383" s="72"/>
      <c r="C383" s="71"/>
      <c r="D383" s="71"/>
    </row>
    <row r="384" spans="1:4" ht="13.2">
      <c r="A384" s="71"/>
      <c r="B384" s="72"/>
      <c r="C384" s="71"/>
      <c r="D384" s="71"/>
    </row>
    <row r="385" spans="1:4" ht="13.2">
      <c r="A385" s="71"/>
      <c r="B385" s="72"/>
      <c r="C385" s="71"/>
      <c r="D385" s="71"/>
    </row>
    <row r="386" spans="1:4" ht="13.2">
      <c r="A386" s="71"/>
      <c r="B386" s="72"/>
      <c r="C386" s="71"/>
      <c r="D386" s="71"/>
    </row>
    <row r="387" spans="1:4" ht="13.2">
      <c r="A387" s="71"/>
      <c r="B387" s="72"/>
      <c r="C387" s="71"/>
      <c r="D387" s="71"/>
    </row>
    <row r="388" spans="1:4" ht="13.2">
      <c r="A388" s="71"/>
      <c r="B388" s="72"/>
      <c r="C388" s="71"/>
      <c r="D388" s="71"/>
    </row>
    <row r="389" spans="1:4" ht="13.2">
      <c r="A389" s="71"/>
      <c r="B389" s="72"/>
      <c r="C389" s="71"/>
      <c r="D389" s="71"/>
    </row>
    <row r="390" spans="1:4" ht="13.2">
      <c r="A390" s="71"/>
      <c r="B390" s="72"/>
      <c r="C390" s="71"/>
      <c r="D390" s="71"/>
    </row>
    <row r="391" spans="1:4" ht="13.2">
      <c r="A391" s="71"/>
      <c r="B391" s="72"/>
      <c r="C391" s="71"/>
      <c r="D391" s="71"/>
    </row>
    <row r="392" spans="1:4" ht="13.2">
      <c r="A392" s="71"/>
      <c r="B392" s="72"/>
      <c r="C392" s="71"/>
      <c r="D392" s="71"/>
    </row>
    <row r="393" spans="1:4" ht="13.2">
      <c r="A393" s="71"/>
      <c r="B393" s="72"/>
      <c r="C393" s="71"/>
      <c r="D393" s="71"/>
    </row>
    <row r="394" spans="1:4" ht="13.2">
      <c r="A394" s="71"/>
      <c r="B394" s="72"/>
      <c r="C394" s="71"/>
      <c r="D394" s="71"/>
    </row>
    <row r="395" spans="1:4" ht="13.2">
      <c r="A395" s="71"/>
      <c r="B395" s="72"/>
      <c r="C395" s="71"/>
      <c r="D395" s="71"/>
    </row>
    <row r="396" spans="1:4" ht="13.2">
      <c r="A396" s="71"/>
      <c r="B396" s="72"/>
      <c r="C396" s="71"/>
      <c r="D396" s="71"/>
    </row>
    <row r="397" spans="1:4" ht="13.2">
      <c r="A397" s="71"/>
      <c r="B397" s="72"/>
      <c r="C397" s="71"/>
      <c r="D397" s="71"/>
    </row>
    <row r="398" spans="1:4" ht="13.2">
      <c r="A398" s="71"/>
      <c r="B398" s="72"/>
      <c r="C398" s="71"/>
      <c r="D398" s="71"/>
    </row>
    <row r="399" spans="1:4" ht="13.2">
      <c r="A399" s="71"/>
      <c r="B399" s="72"/>
      <c r="C399" s="71"/>
      <c r="D399" s="71"/>
    </row>
    <row r="400" spans="1:4" ht="13.2">
      <c r="A400" s="71"/>
      <c r="B400" s="72"/>
      <c r="C400" s="71"/>
      <c r="D400" s="71"/>
    </row>
    <row r="401" spans="1:4" ht="13.2">
      <c r="A401" s="71"/>
      <c r="B401" s="72"/>
      <c r="C401" s="71"/>
      <c r="D401" s="71"/>
    </row>
    <row r="402" spans="1:4" ht="13.2">
      <c r="A402" s="71"/>
      <c r="B402" s="72"/>
      <c r="C402" s="71"/>
      <c r="D402" s="71"/>
    </row>
    <row r="403" spans="1:4" ht="13.2">
      <c r="A403" s="71"/>
      <c r="B403" s="72"/>
      <c r="C403" s="71"/>
      <c r="D403" s="71"/>
    </row>
    <row r="404" spans="1:4" ht="13.2">
      <c r="A404" s="71"/>
      <c r="B404" s="72"/>
      <c r="C404" s="71"/>
      <c r="D404" s="71"/>
    </row>
    <row r="405" spans="1:4" ht="13.2">
      <c r="A405" s="71"/>
      <c r="B405" s="72"/>
      <c r="C405" s="71"/>
      <c r="D405" s="71"/>
    </row>
    <row r="406" spans="1:4" ht="13.2">
      <c r="A406" s="71"/>
      <c r="B406" s="72"/>
      <c r="C406" s="71"/>
      <c r="D406" s="71"/>
    </row>
    <row r="407" spans="1:4" ht="13.2">
      <c r="A407" s="71"/>
      <c r="B407" s="72"/>
      <c r="C407" s="71"/>
      <c r="D407" s="71"/>
    </row>
    <row r="408" spans="1:4" ht="13.2">
      <c r="A408" s="71"/>
      <c r="B408" s="72"/>
      <c r="C408" s="71"/>
      <c r="D408" s="71"/>
    </row>
    <row r="409" spans="1:4" ht="13.2">
      <c r="A409" s="71"/>
      <c r="B409" s="72"/>
      <c r="C409" s="71"/>
      <c r="D409" s="71"/>
    </row>
    <row r="410" spans="1:4" ht="13.2">
      <c r="A410" s="71"/>
      <c r="B410" s="72"/>
      <c r="C410" s="71"/>
      <c r="D410" s="71"/>
    </row>
    <row r="411" spans="1:4" ht="13.2">
      <c r="A411" s="71"/>
      <c r="B411" s="72"/>
      <c r="C411" s="71"/>
      <c r="D411" s="71"/>
    </row>
    <row r="412" spans="1:4" ht="13.2">
      <c r="A412" s="71"/>
      <c r="B412" s="72"/>
      <c r="C412" s="71"/>
      <c r="D412" s="71"/>
    </row>
    <row r="413" spans="1:4" ht="13.2">
      <c r="A413" s="71"/>
      <c r="B413" s="72"/>
      <c r="C413" s="71"/>
      <c r="D413" s="71"/>
    </row>
    <row r="414" spans="1:4" ht="13.2">
      <c r="A414" s="71"/>
      <c r="B414" s="72"/>
      <c r="C414" s="71"/>
      <c r="D414" s="71"/>
    </row>
    <row r="415" spans="1:4" ht="13.2">
      <c r="A415" s="71"/>
      <c r="B415" s="72"/>
      <c r="C415" s="71"/>
      <c r="D415" s="71"/>
    </row>
    <row r="416" spans="1:4" ht="13.2">
      <c r="A416" s="71"/>
      <c r="B416" s="72"/>
      <c r="C416" s="71"/>
      <c r="D416" s="71"/>
    </row>
    <row r="417" spans="1:4" ht="13.2">
      <c r="A417" s="71"/>
      <c r="B417" s="72"/>
      <c r="C417" s="71"/>
      <c r="D417" s="71"/>
    </row>
    <row r="418" spans="1:4" ht="13.2">
      <c r="A418" s="71"/>
      <c r="B418" s="72"/>
      <c r="C418" s="71"/>
      <c r="D418" s="71"/>
    </row>
    <row r="419" spans="1:4" ht="13.2">
      <c r="A419" s="71"/>
      <c r="B419" s="72"/>
      <c r="C419" s="71"/>
      <c r="D419" s="71"/>
    </row>
    <row r="420" spans="1:4" ht="13.2">
      <c r="A420" s="71"/>
      <c r="B420" s="72"/>
      <c r="C420" s="71"/>
      <c r="D420" s="71"/>
    </row>
    <row r="421" spans="1:4" ht="13.2">
      <c r="A421" s="71"/>
      <c r="B421" s="72"/>
      <c r="C421" s="71"/>
      <c r="D421" s="71"/>
    </row>
    <row r="422" spans="1:4" ht="13.2">
      <c r="A422" s="71"/>
      <c r="B422" s="72"/>
      <c r="C422" s="71"/>
      <c r="D422" s="71"/>
    </row>
    <row r="423" spans="1:4" ht="13.2">
      <c r="A423" s="71"/>
      <c r="B423" s="72"/>
      <c r="C423" s="71"/>
      <c r="D423" s="71"/>
    </row>
    <row r="424" spans="1:4" ht="13.2">
      <c r="A424" s="71"/>
      <c r="B424" s="72"/>
      <c r="C424" s="71"/>
      <c r="D424" s="71"/>
    </row>
    <row r="425" spans="1:4" ht="13.2">
      <c r="A425" s="71"/>
      <c r="B425" s="72"/>
      <c r="C425" s="71"/>
      <c r="D425" s="71"/>
    </row>
    <row r="426" spans="1:4" ht="13.2">
      <c r="A426" s="71"/>
      <c r="B426" s="72"/>
      <c r="C426" s="71"/>
      <c r="D426" s="71"/>
    </row>
    <row r="427" spans="1:4" ht="13.2">
      <c r="A427" s="71"/>
      <c r="B427" s="72"/>
      <c r="C427" s="71"/>
      <c r="D427" s="71"/>
    </row>
    <row r="428" spans="1:4" ht="13.2">
      <c r="A428" s="71"/>
      <c r="B428" s="72"/>
      <c r="C428" s="71"/>
      <c r="D428" s="71"/>
    </row>
    <row r="429" spans="1:4" ht="13.2">
      <c r="A429" s="71"/>
      <c r="B429" s="72"/>
      <c r="C429" s="71"/>
      <c r="D429" s="71"/>
    </row>
    <row r="430" spans="1:4" ht="13.2">
      <c r="A430" s="71"/>
      <c r="B430" s="72"/>
      <c r="C430" s="71"/>
      <c r="D430" s="71"/>
    </row>
    <row r="431" spans="1:4" ht="13.2">
      <c r="A431" s="71"/>
      <c r="B431" s="72"/>
      <c r="C431" s="71"/>
      <c r="D431" s="71"/>
    </row>
    <row r="432" spans="1:4" ht="13.2">
      <c r="A432" s="71"/>
      <c r="B432" s="72"/>
      <c r="C432" s="71"/>
      <c r="D432" s="71"/>
    </row>
    <row r="433" spans="1:4" ht="13.2">
      <c r="A433" s="71"/>
      <c r="B433" s="72"/>
      <c r="C433" s="71"/>
      <c r="D433" s="71"/>
    </row>
    <row r="434" spans="1:4" ht="13.2">
      <c r="A434" s="71"/>
      <c r="B434" s="72"/>
      <c r="C434" s="71"/>
      <c r="D434" s="71"/>
    </row>
    <row r="435" spans="1:4" ht="13.2">
      <c r="A435" s="71"/>
      <c r="B435" s="72"/>
      <c r="C435" s="71"/>
      <c r="D435" s="71"/>
    </row>
    <row r="436" spans="1:4" ht="13.2">
      <c r="A436" s="71"/>
      <c r="B436" s="72"/>
      <c r="C436" s="71"/>
      <c r="D436" s="71"/>
    </row>
    <row r="437" spans="1:4" ht="13.2">
      <c r="A437" s="71"/>
      <c r="B437" s="72"/>
      <c r="C437" s="71"/>
      <c r="D437" s="71"/>
    </row>
    <row r="438" spans="1:4" ht="13.2">
      <c r="A438" s="71"/>
      <c r="B438" s="72"/>
      <c r="C438" s="71"/>
      <c r="D438" s="71"/>
    </row>
    <row r="439" spans="1:4" ht="13.2">
      <c r="A439" s="71"/>
      <c r="B439" s="72"/>
      <c r="C439" s="71"/>
      <c r="D439" s="71"/>
    </row>
    <row r="440" spans="1:4" ht="13.2">
      <c r="A440" s="71"/>
      <c r="B440" s="72"/>
      <c r="C440" s="71"/>
      <c r="D440" s="71"/>
    </row>
    <row r="441" spans="1:4" ht="13.2">
      <c r="A441" s="71"/>
      <c r="B441" s="72"/>
      <c r="C441" s="71"/>
      <c r="D441" s="71"/>
    </row>
    <row r="442" spans="1:4" ht="13.2">
      <c r="A442" s="71"/>
      <c r="B442" s="72"/>
      <c r="C442" s="71"/>
      <c r="D442" s="71"/>
    </row>
    <row r="443" spans="1:4" ht="13.2">
      <c r="A443" s="71"/>
      <c r="B443" s="72"/>
      <c r="C443" s="71"/>
      <c r="D443" s="71"/>
    </row>
    <row r="444" spans="1:4" ht="13.2">
      <c r="A444" s="71"/>
      <c r="B444" s="72"/>
      <c r="C444" s="71"/>
      <c r="D444" s="71"/>
    </row>
    <row r="445" spans="1:4" ht="13.2">
      <c r="A445" s="71"/>
      <c r="B445" s="72"/>
      <c r="C445" s="71"/>
      <c r="D445" s="71"/>
    </row>
    <row r="446" spans="1:4" ht="13.2">
      <c r="A446" s="71"/>
      <c r="B446" s="72"/>
      <c r="C446" s="71"/>
      <c r="D446" s="71"/>
    </row>
    <row r="447" spans="1:4" ht="13.2">
      <c r="A447" s="71"/>
      <c r="B447" s="72"/>
      <c r="C447" s="71"/>
      <c r="D447" s="71"/>
    </row>
    <row r="448" spans="1:4" ht="13.2">
      <c r="A448" s="71"/>
      <c r="B448" s="72"/>
      <c r="C448" s="71"/>
      <c r="D448" s="71"/>
    </row>
    <row r="449" spans="1:4" ht="13.2">
      <c r="A449" s="71"/>
      <c r="B449" s="72"/>
      <c r="C449" s="71"/>
      <c r="D449" s="71"/>
    </row>
    <row r="450" spans="1:4" ht="13.2">
      <c r="A450" s="71"/>
      <c r="B450" s="72"/>
      <c r="C450" s="71"/>
      <c r="D450" s="71"/>
    </row>
    <row r="451" spans="1:4" ht="13.2">
      <c r="A451" s="71"/>
      <c r="B451" s="72"/>
      <c r="C451" s="71"/>
      <c r="D451" s="71"/>
    </row>
    <row r="452" spans="1:4" ht="13.2">
      <c r="A452" s="71"/>
      <c r="B452" s="72"/>
      <c r="C452" s="71"/>
      <c r="D452" s="71"/>
    </row>
    <row r="453" spans="1:4" ht="13.2">
      <c r="A453" s="71"/>
      <c r="B453" s="72"/>
      <c r="C453" s="71"/>
      <c r="D453" s="71"/>
    </row>
    <row r="454" spans="1:4" ht="13.2">
      <c r="A454" s="71"/>
      <c r="B454" s="72"/>
      <c r="C454" s="71"/>
      <c r="D454" s="71"/>
    </row>
    <row r="455" spans="1:4" ht="13.2">
      <c r="A455" s="71"/>
      <c r="B455" s="72"/>
      <c r="C455" s="71"/>
      <c r="D455" s="71"/>
    </row>
    <row r="456" spans="1:4" ht="13.2">
      <c r="A456" s="71"/>
      <c r="B456" s="72"/>
      <c r="C456" s="71"/>
      <c r="D456" s="71"/>
    </row>
    <row r="457" spans="1:4" ht="13.2">
      <c r="A457" s="71"/>
      <c r="B457" s="72"/>
      <c r="C457" s="71"/>
      <c r="D457" s="71"/>
    </row>
    <row r="458" spans="1:4" ht="13.2">
      <c r="A458" s="71"/>
      <c r="B458" s="72"/>
      <c r="C458" s="71"/>
      <c r="D458" s="71"/>
    </row>
    <row r="459" spans="1:4" ht="13.2">
      <c r="A459" s="71"/>
      <c r="B459" s="72"/>
      <c r="C459" s="71"/>
      <c r="D459" s="71"/>
    </row>
    <row r="460" spans="1:4" ht="13.2">
      <c r="A460" s="71"/>
      <c r="B460" s="72"/>
      <c r="C460" s="71"/>
      <c r="D460" s="71"/>
    </row>
    <row r="461" spans="1:4" ht="13.2">
      <c r="A461" s="71"/>
      <c r="B461" s="72"/>
      <c r="C461" s="71"/>
      <c r="D461" s="71"/>
    </row>
    <row r="462" spans="1:4" ht="13.2">
      <c r="A462" s="71"/>
      <c r="B462" s="72"/>
      <c r="C462" s="71"/>
      <c r="D462" s="71"/>
    </row>
    <row r="463" spans="1:4" ht="13.2">
      <c r="A463" s="71"/>
      <c r="B463" s="72"/>
      <c r="C463" s="71"/>
      <c r="D463" s="71"/>
    </row>
    <row r="464" spans="1:4" ht="13.2">
      <c r="A464" s="71"/>
      <c r="B464" s="72"/>
      <c r="C464" s="71"/>
      <c r="D464" s="71"/>
    </row>
    <row r="465" spans="1:4" ht="13.2">
      <c r="A465" s="71"/>
      <c r="B465" s="72"/>
      <c r="C465" s="71"/>
      <c r="D465" s="71"/>
    </row>
    <row r="466" spans="1:4" ht="13.2">
      <c r="A466" s="71"/>
      <c r="B466" s="72"/>
      <c r="C466" s="71"/>
      <c r="D466" s="71"/>
    </row>
    <row r="467" spans="1:4" ht="13.2">
      <c r="A467" s="71"/>
      <c r="B467" s="72"/>
      <c r="C467" s="71"/>
      <c r="D467" s="71"/>
    </row>
    <row r="468" spans="1:4" ht="13.2">
      <c r="A468" s="71"/>
      <c r="B468" s="72"/>
      <c r="C468" s="71"/>
      <c r="D468" s="71"/>
    </row>
    <row r="469" spans="1:4" ht="13.2">
      <c r="A469" s="71"/>
      <c r="B469" s="72"/>
      <c r="C469" s="71"/>
      <c r="D469" s="71"/>
    </row>
    <row r="470" spans="1:4" ht="13.2">
      <c r="A470" s="71"/>
      <c r="B470" s="72"/>
      <c r="C470" s="71"/>
      <c r="D470" s="71"/>
    </row>
    <row r="471" spans="1:4" ht="13.2">
      <c r="A471" s="71"/>
      <c r="B471" s="72"/>
      <c r="C471" s="71"/>
      <c r="D471" s="71"/>
    </row>
    <row r="472" spans="1:4" ht="13.2">
      <c r="A472" s="71"/>
      <c r="B472" s="72"/>
      <c r="C472" s="71"/>
      <c r="D472" s="71"/>
    </row>
    <row r="473" spans="1:4" ht="13.2">
      <c r="A473" s="71"/>
      <c r="B473" s="72"/>
      <c r="C473" s="71"/>
      <c r="D473" s="71"/>
    </row>
    <row r="474" spans="1:4" ht="13.2">
      <c r="A474" s="71"/>
      <c r="B474" s="72"/>
      <c r="C474" s="71"/>
      <c r="D474" s="71"/>
    </row>
    <row r="475" spans="1:4" ht="13.2">
      <c r="A475" s="71"/>
      <c r="B475" s="72"/>
      <c r="C475" s="71"/>
      <c r="D475" s="71"/>
    </row>
    <row r="476" spans="1:4" ht="13.2">
      <c r="A476" s="71"/>
      <c r="B476" s="72"/>
      <c r="C476" s="71"/>
      <c r="D476" s="71"/>
    </row>
    <row r="477" spans="1:4" ht="13.2">
      <c r="A477" s="71"/>
      <c r="B477" s="72"/>
      <c r="C477" s="71"/>
      <c r="D477" s="71"/>
    </row>
    <row r="478" spans="1:4" ht="13.2">
      <c r="A478" s="71"/>
      <c r="B478" s="72"/>
      <c r="C478" s="71"/>
      <c r="D478" s="71"/>
    </row>
    <row r="479" spans="1:4" ht="13.2">
      <c r="A479" s="71"/>
      <c r="B479" s="72"/>
      <c r="C479" s="71"/>
      <c r="D479" s="71"/>
    </row>
    <row r="480" spans="1:4" ht="13.2">
      <c r="A480" s="71"/>
      <c r="B480" s="72"/>
      <c r="C480" s="71"/>
      <c r="D480" s="71"/>
    </row>
    <row r="481" spans="1:4" ht="13.2">
      <c r="A481" s="71"/>
      <c r="B481" s="72"/>
      <c r="C481" s="71"/>
      <c r="D481" s="71"/>
    </row>
    <row r="482" spans="1:4" ht="13.2">
      <c r="A482" s="71"/>
      <c r="B482" s="72"/>
      <c r="C482" s="71"/>
      <c r="D482" s="71"/>
    </row>
    <row r="483" spans="1:4" ht="13.2">
      <c r="A483" s="71"/>
      <c r="B483" s="72"/>
      <c r="C483" s="71"/>
      <c r="D483" s="71"/>
    </row>
    <row r="484" spans="1:4" ht="13.2">
      <c r="A484" s="71"/>
      <c r="B484" s="72"/>
      <c r="C484" s="71"/>
      <c r="D484" s="71"/>
    </row>
    <row r="485" spans="1:4" ht="13.2">
      <c r="A485" s="71"/>
      <c r="B485" s="72"/>
      <c r="C485" s="71"/>
      <c r="D485" s="71"/>
    </row>
    <row r="486" spans="1:4" ht="13.2">
      <c r="A486" s="71"/>
      <c r="B486" s="72"/>
      <c r="C486" s="71"/>
      <c r="D486" s="71"/>
    </row>
    <row r="487" spans="1:4" ht="13.2">
      <c r="A487" s="71"/>
      <c r="B487" s="72"/>
      <c r="C487" s="71"/>
      <c r="D487" s="71"/>
    </row>
    <row r="488" spans="1:4" ht="13.2">
      <c r="A488" s="71"/>
      <c r="B488" s="72"/>
      <c r="C488" s="71"/>
      <c r="D488" s="71"/>
    </row>
    <row r="489" spans="1:4" ht="13.2">
      <c r="A489" s="71"/>
      <c r="B489" s="72"/>
      <c r="C489" s="71"/>
      <c r="D489" s="71"/>
    </row>
    <row r="490" spans="1:4" ht="13.2">
      <c r="A490" s="71"/>
      <c r="B490" s="72"/>
      <c r="C490" s="71"/>
      <c r="D490" s="71"/>
    </row>
    <row r="491" spans="1:4" ht="13.2">
      <c r="A491" s="71"/>
      <c r="B491" s="72"/>
      <c r="C491" s="71"/>
      <c r="D491" s="71"/>
    </row>
    <row r="492" spans="1:4" ht="13.2">
      <c r="A492" s="71"/>
      <c r="B492" s="72"/>
      <c r="C492" s="71"/>
      <c r="D492" s="71"/>
    </row>
    <row r="493" spans="1:4" ht="13.2">
      <c r="A493" s="71"/>
      <c r="B493" s="72"/>
      <c r="C493" s="71"/>
      <c r="D493" s="71"/>
    </row>
    <row r="494" spans="1:4" ht="13.2">
      <c r="A494" s="71"/>
      <c r="B494" s="72"/>
      <c r="C494" s="71"/>
      <c r="D494" s="71"/>
    </row>
    <row r="495" spans="1:4" ht="13.2">
      <c r="A495" s="71"/>
      <c r="B495" s="72"/>
      <c r="C495" s="71"/>
      <c r="D495" s="71"/>
    </row>
    <row r="496" spans="1:4" ht="13.2">
      <c r="A496" s="71"/>
      <c r="B496" s="72"/>
      <c r="C496" s="71"/>
      <c r="D496" s="71"/>
    </row>
    <row r="497" spans="1:4" ht="13.2">
      <c r="A497" s="71"/>
      <c r="B497" s="72"/>
      <c r="C497" s="71"/>
      <c r="D497" s="71"/>
    </row>
    <row r="498" spans="1:4" ht="13.2">
      <c r="A498" s="71"/>
      <c r="B498" s="72"/>
      <c r="C498" s="71"/>
      <c r="D498" s="71"/>
    </row>
    <row r="499" spans="1:4" ht="13.2">
      <c r="A499" s="71"/>
      <c r="B499" s="72"/>
      <c r="C499" s="71"/>
      <c r="D499" s="71"/>
    </row>
    <row r="500" spans="1:4" ht="13.2">
      <c r="A500" s="71"/>
      <c r="B500" s="72"/>
      <c r="C500" s="71"/>
      <c r="D500" s="71"/>
    </row>
    <row r="501" spans="1:4" ht="13.2">
      <c r="A501" s="71"/>
      <c r="B501" s="72"/>
      <c r="C501" s="71"/>
      <c r="D501" s="71"/>
    </row>
    <row r="502" spans="1:4" ht="13.2">
      <c r="A502" s="71"/>
      <c r="B502" s="72"/>
      <c r="C502" s="71"/>
      <c r="D502" s="71"/>
    </row>
    <row r="503" spans="1:4" ht="13.2">
      <c r="A503" s="71"/>
      <c r="B503" s="72"/>
      <c r="C503" s="71"/>
      <c r="D503" s="71"/>
    </row>
    <row r="504" spans="1:4" ht="13.2">
      <c r="A504" s="71"/>
      <c r="B504" s="72"/>
      <c r="C504" s="71"/>
      <c r="D504" s="71"/>
    </row>
    <row r="505" spans="1:4" ht="13.2">
      <c r="A505" s="71"/>
      <c r="B505" s="72"/>
      <c r="C505" s="71"/>
      <c r="D505" s="71"/>
    </row>
    <row r="506" spans="1:4" ht="13.2">
      <c r="A506" s="71"/>
      <c r="B506" s="72"/>
      <c r="C506" s="71"/>
      <c r="D506" s="71"/>
    </row>
    <row r="507" spans="1:4" ht="13.2">
      <c r="A507" s="71"/>
      <c r="B507" s="72"/>
      <c r="C507" s="71"/>
      <c r="D507" s="71"/>
    </row>
    <row r="508" spans="1:4" ht="13.2">
      <c r="A508" s="71"/>
      <c r="B508" s="72"/>
      <c r="C508" s="71"/>
      <c r="D508" s="71"/>
    </row>
    <row r="509" spans="1:4" ht="13.2">
      <c r="A509" s="71"/>
      <c r="B509" s="72"/>
      <c r="C509" s="71"/>
      <c r="D509" s="71"/>
    </row>
    <row r="510" spans="1:4" ht="13.2">
      <c r="A510" s="71"/>
      <c r="B510" s="72"/>
      <c r="C510" s="71"/>
      <c r="D510" s="71"/>
    </row>
    <row r="511" spans="1:4" ht="13.2">
      <c r="A511" s="71"/>
      <c r="B511" s="72"/>
      <c r="C511" s="71"/>
      <c r="D511" s="71"/>
    </row>
    <row r="512" spans="1:4" ht="13.2">
      <c r="A512" s="71"/>
      <c r="B512" s="72"/>
      <c r="C512" s="71"/>
      <c r="D512" s="71"/>
    </row>
    <row r="513" spans="1:4" ht="13.2">
      <c r="A513" s="71"/>
      <c r="B513" s="72"/>
      <c r="C513" s="71"/>
      <c r="D513" s="71"/>
    </row>
    <row r="514" spans="1:4" ht="13.2">
      <c r="A514" s="71"/>
      <c r="B514" s="72"/>
      <c r="C514" s="71"/>
      <c r="D514" s="71"/>
    </row>
    <row r="515" spans="1:4" ht="13.2">
      <c r="A515" s="71"/>
      <c r="B515" s="72"/>
      <c r="C515" s="71"/>
      <c r="D515" s="71"/>
    </row>
    <row r="516" spans="1:4" ht="13.2">
      <c r="A516" s="71"/>
      <c r="B516" s="72"/>
      <c r="C516" s="71"/>
      <c r="D516" s="71"/>
    </row>
    <row r="517" spans="1:4" ht="13.2">
      <c r="A517" s="71"/>
      <c r="B517" s="72"/>
      <c r="C517" s="71"/>
      <c r="D517" s="71"/>
    </row>
    <row r="518" spans="1:4" ht="13.2">
      <c r="A518" s="71"/>
      <c r="B518" s="72"/>
      <c r="C518" s="71"/>
      <c r="D518" s="71"/>
    </row>
    <row r="519" spans="1:4" ht="13.2">
      <c r="A519" s="71"/>
      <c r="B519" s="72"/>
      <c r="C519" s="71"/>
      <c r="D519" s="71"/>
    </row>
    <row r="520" spans="1:4" ht="13.2">
      <c r="A520" s="71"/>
      <c r="B520" s="72"/>
      <c r="C520" s="71"/>
      <c r="D520" s="71"/>
    </row>
    <row r="521" spans="1:4" ht="13.2">
      <c r="A521" s="71"/>
      <c r="B521" s="72"/>
      <c r="C521" s="71"/>
      <c r="D521" s="71"/>
    </row>
    <row r="522" spans="1:4" ht="13.2">
      <c r="A522" s="71"/>
      <c r="B522" s="72"/>
      <c r="C522" s="71"/>
      <c r="D522" s="71"/>
    </row>
    <row r="523" spans="1:4" ht="13.2">
      <c r="A523" s="71"/>
      <c r="B523" s="72"/>
      <c r="C523" s="71"/>
      <c r="D523" s="71"/>
    </row>
    <row r="524" spans="1:4" ht="13.2">
      <c r="A524" s="71"/>
      <c r="B524" s="72"/>
      <c r="C524" s="71"/>
      <c r="D524" s="71"/>
    </row>
    <row r="525" spans="1:4" ht="13.2">
      <c r="A525" s="71"/>
      <c r="B525" s="72"/>
      <c r="C525" s="71"/>
      <c r="D525" s="71"/>
    </row>
    <row r="526" spans="1:4" ht="13.2">
      <c r="A526" s="71"/>
      <c r="B526" s="72"/>
      <c r="C526" s="71"/>
      <c r="D526" s="71"/>
    </row>
    <row r="527" spans="1:4" ht="13.2">
      <c r="A527" s="71"/>
      <c r="B527" s="72"/>
      <c r="C527" s="71"/>
      <c r="D527" s="71"/>
    </row>
    <row r="528" spans="1:4" ht="13.2">
      <c r="A528" s="71"/>
      <c r="B528" s="72"/>
      <c r="C528" s="71"/>
      <c r="D528" s="71"/>
    </row>
    <row r="529" spans="1:4" ht="13.2">
      <c r="A529" s="71"/>
      <c r="B529" s="72"/>
      <c r="C529" s="71"/>
      <c r="D529" s="71"/>
    </row>
    <row r="530" spans="1:4" ht="13.2">
      <c r="A530" s="71"/>
      <c r="B530" s="72"/>
      <c r="C530" s="71"/>
      <c r="D530" s="71"/>
    </row>
    <row r="531" spans="1:4" ht="13.2">
      <c r="A531" s="71"/>
      <c r="B531" s="72"/>
      <c r="C531" s="71"/>
      <c r="D531" s="71"/>
    </row>
    <row r="532" spans="1:4" ht="13.2">
      <c r="A532" s="71"/>
      <c r="B532" s="72"/>
      <c r="C532" s="71"/>
      <c r="D532" s="71"/>
    </row>
    <row r="533" spans="1:4" ht="13.2">
      <c r="A533" s="71"/>
      <c r="B533" s="72"/>
      <c r="C533" s="71"/>
      <c r="D533" s="71"/>
    </row>
    <row r="534" spans="1:4" ht="13.2">
      <c r="A534" s="71"/>
      <c r="B534" s="72"/>
      <c r="C534" s="71"/>
      <c r="D534" s="71"/>
    </row>
    <row r="535" spans="1:4" ht="13.2">
      <c r="A535" s="71"/>
      <c r="B535" s="72"/>
      <c r="C535" s="71"/>
      <c r="D535" s="71"/>
    </row>
    <row r="536" spans="1:4" ht="13.2">
      <c r="A536" s="71"/>
      <c r="B536" s="72"/>
      <c r="C536" s="71"/>
      <c r="D536" s="71"/>
    </row>
    <row r="537" spans="1:4" ht="13.2">
      <c r="A537" s="71"/>
      <c r="B537" s="72"/>
      <c r="C537" s="71"/>
      <c r="D537" s="71"/>
    </row>
    <row r="538" spans="1:4" ht="13.2">
      <c r="A538" s="71"/>
      <c r="B538" s="72"/>
      <c r="C538" s="71"/>
      <c r="D538" s="71"/>
    </row>
    <row r="539" spans="1:4" ht="13.2">
      <c r="A539" s="71"/>
      <c r="B539" s="72"/>
      <c r="C539" s="71"/>
      <c r="D539" s="71"/>
    </row>
    <row r="540" spans="1:4" ht="13.2">
      <c r="A540" s="71"/>
      <c r="B540" s="72"/>
      <c r="C540" s="71"/>
      <c r="D540" s="71"/>
    </row>
    <row r="541" spans="1:4" ht="13.2">
      <c r="A541" s="71"/>
      <c r="B541" s="72"/>
      <c r="C541" s="71"/>
      <c r="D541" s="71"/>
    </row>
    <row r="542" spans="1:4" ht="13.2">
      <c r="A542" s="71"/>
      <c r="B542" s="72"/>
      <c r="C542" s="71"/>
      <c r="D542" s="71"/>
    </row>
    <row r="543" spans="1:4" ht="13.2">
      <c r="A543" s="71"/>
      <c r="B543" s="72"/>
      <c r="C543" s="71"/>
      <c r="D543" s="71"/>
    </row>
    <row r="544" spans="1:4" ht="13.2">
      <c r="A544" s="71"/>
      <c r="B544" s="72"/>
      <c r="C544" s="71"/>
      <c r="D544" s="71"/>
    </row>
    <row r="545" spans="1:4" ht="13.2">
      <c r="A545" s="71"/>
      <c r="B545" s="72"/>
      <c r="C545" s="71"/>
      <c r="D545" s="71"/>
    </row>
    <row r="546" spans="1:4" ht="13.2">
      <c r="A546" s="71"/>
      <c r="B546" s="72"/>
      <c r="C546" s="71"/>
      <c r="D546" s="71"/>
    </row>
    <row r="547" spans="1:4" ht="13.2">
      <c r="A547" s="71"/>
      <c r="B547" s="72"/>
      <c r="C547" s="71"/>
      <c r="D547" s="71"/>
    </row>
    <row r="548" spans="1:4" ht="13.2">
      <c r="A548" s="71"/>
      <c r="B548" s="72"/>
      <c r="C548" s="71"/>
      <c r="D548" s="71"/>
    </row>
    <row r="549" spans="1:4" ht="13.2">
      <c r="A549" s="71"/>
      <c r="B549" s="72"/>
      <c r="C549" s="71"/>
      <c r="D549" s="71"/>
    </row>
    <row r="550" spans="1:4" ht="13.2">
      <c r="A550" s="71"/>
      <c r="B550" s="72"/>
      <c r="C550" s="71"/>
      <c r="D550" s="71"/>
    </row>
    <row r="551" spans="1:4" ht="13.2">
      <c r="A551" s="71"/>
      <c r="B551" s="72"/>
      <c r="C551" s="71"/>
      <c r="D551" s="71"/>
    </row>
    <row r="552" spans="1:4" ht="13.2">
      <c r="A552" s="71"/>
      <c r="B552" s="72"/>
      <c r="C552" s="71"/>
      <c r="D552" s="71"/>
    </row>
    <row r="553" spans="1:4" ht="13.2">
      <c r="A553" s="71"/>
      <c r="B553" s="72"/>
      <c r="C553" s="71"/>
      <c r="D553" s="71"/>
    </row>
    <row r="554" spans="1:4" ht="13.2">
      <c r="A554" s="71"/>
      <c r="B554" s="72"/>
      <c r="C554" s="71"/>
      <c r="D554" s="71"/>
    </row>
    <row r="555" spans="1:4" ht="13.2">
      <c r="A555" s="71"/>
      <c r="B555" s="72"/>
      <c r="C555" s="71"/>
      <c r="D555" s="71"/>
    </row>
    <row r="556" spans="1:4" ht="13.2">
      <c r="A556" s="71"/>
      <c r="B556" s="72"/>
      <c r="C556" s="71"/>
      <c r="D556" s="71"/>
    </row>
    <row r="557" spans="1:4" ht="13.2">
      <c r="A557" s="71"/>
      <c r="B557" s="72"/>
      <c r="C557" s="71"/>
      <c r="D557" s="71"/>
    </row>
    <row r="558" spans="1:4" ht="13.2">
      <c r="A558" s="71"/>
      <c r="B558" s="72"/>
      <c r="C558" s="71"/>
      <c r="D558" s="71"/>
    </row>
    <row r="559" spans="1:4" ht="13.2">
      <c r="A559" s="71"/>
      <c r="B559" s="72"/>
      <c r="C559" s="71"/>
      <c r="D559" s="71"/>
    </row>
    <row r="560" spans="1:4" ht="13.2">
      <c r="A560" s="71"/>
      <c r="B560" s="72"/>
      <c r="C560" s="71"/>
      <c r="D560" s="71"/>
    </row>
    <row r="561" spans="1:4" ht="13.2">
      <c r="A561" s="71"/>
      <c r="B561" s="72"/>
      <c r="C561" s="71"/>
      <c r="D561" s="71"/>
    </row>
    <row r="562" spans="1:4" ht="13.2">
      <c r="A562" s="71"/>
      <c r="B562" s="72"/>
      <c r="C562" s="71"/>
      <c r="D562" s="71"/>
    </row>
    <row r="563" spans="1:4" ht="13.2">
      <c r="A563" s="71"/>
      <c r="B563" s="72"/>
      <c r="C563" s="71"/>
      <c r="D563" s="71"/>
    </row>
    <row r="564" spans="1:4" ht="13.2">
      <c r="A564" s="71"/>
      <c r="B564" s="72"/>
      <c r="C564" s="71"/>
      <c r="D564" s="71"/>
    </row>
    <row r="565" spans="1:4" ht="13.2">
      <c r="A565" s="71"/>
      <c r="B565" s="72"/>
      <c r="C565" s="71"/>
      <c r="D565" s="71"/>
    </row>
    <row r="566" spans="1:4" ht="13.2">
      <c r="A566" s="71"/>
      <c r="B566" s="72"/>
      <c r="C566" s="71"/>
      <c r="D566" s="71"/>
    </row>
    <row r="567" spans="1:4" ht="13.2">
      <c r="A567" s="71"/>
      <c r="B567" s="72"/>
      <c r="C567" s="71"/>
      <c r="D567" s="71"/>
    </row>
    <row r="568" spans="1:4" ht="13.2">
      <c r="A568" s="71"/>
      <c r="B568" s="72"/>
      <c r="C568" s="71"/>
      <c r="D568" s="71"/>
    </row>
    <row r="569" spans="1:4" ht="13.2">
      <c r="A569" s="71"/>
      <c r="B569" s="72"/>
      <c r="C569" s="71"/>
      <c r="D569" s="71"/>
    </row>
    <row r="570" spans="1:4" ht="13.2">
      <c r="A570" s="71"/>
      <c r="B570" s="72"/>
      <c r="C570" s="71"/>
      <c r="D570" s="71"/>
    </row>
    <row r="571" spans="1:4" ht="13.2">
      <c r="A571" s="71"/>
      <c r="B571" s="72"/>
      <c r="C571" s="71"/>
      <c r="D571" s="71"/>
    </row>
    <row r="572" spans="1:4" ht="13.2">
      <c r="A572" s="71"/>
      <c r="B572" s="72"/>
      <c r="C572" s="71"/>
      <c r="D572" s="71"/>
    </row>
    <row r="573" spans="1:4" ht="13.2">
      <c r="A573" s="71"/>
      <c r="B573" s="72"/>
      <c r="C573" s="71"/>
      <c r="D573" s="71"/>
    </row>
    <row r="574" spans="1:4" ht="13.2">
      <c r="A574" s="71"/>
      <c r="B574" s="72"/>
      <c r="C574" s="71"/>
      <c r="D574" s="71"/>
    </row>
    <row r="575" spans="1:4" ht="13.2">
      <c r="A575" s="71"/>
      <c r="B575" s="72"/>
      <c r="C575" s="71"/>
      <c r="D575" s="71"/>
    </row>
    <row r="576" spans="1:4" ht="13.2">
      <c r="A576" s="71"/>
      <c r="B576" s="72"/>
      <c r="C576" s="71"/>
      <c r="D576" s="71"/>
    </row>
    <row r="577" spans="1:4" ht="13.2">
      <c r="A577" s="71"/>
      <c r="B577" s="72"/>
      <c r="C577" s="71"/>
      <c r="D577" s="71"/>
    </row>
    <row r="578" spans="1:4" ht="13.2">
      <c r="A578" s="71"/>
      <c r="B578" s="72"/>
      <c r="C578" s="71"/>
      <c r="D578" s="71"/>
    </row>
    <row r="579" spans="1:4" ht="13.2">
      <c r="A579" s="71"/>
      <c r="B579" s="72"/>
      <c r="C579" s="71"/>
      <c r="D579" s="71"/>
    </row>
    <row r="580" spans="1:4" ht="13.2">
      <c r="A580" s="71"/>
      <c r="B580" s="72"/>
      <c r="C580" s="71"/>
      <c r="D580" s="71"/>
    </row>
    <row r="581" spans="1:4" ht="13.2">
      <c r="A581" s="71"/>
      <c r="B581" s="72"/>
      <c r="C581" s="71"/>
      <c r="D581" s="71"/>
    </row>
    <row r="582" spans="1:4" ht="13.2">
      <c r="A582" s="71"/>
      <c r="B582" s="72"/>
      <c r="C582" s="71"/>
      <c r="D582" s="71"/>
    </row>
    <row r="583" spans="1:4" ht="13.2">
      <c r="A583" s="71"/>
      <c r="B583" s="72"/>
      <c r="C583" s="71"/>
      <c r="D583" s="71"/>
    </row>
    <row r="584" spans="1:4" ht="13.2">
      <c r="A584" s="71"/>
      <c r="B584" s="72"/>
      <c r="C584" s="71"/>
      <c r="D584" s="71"/>
    </row>
    <row r="585" spans="1:4" ht="13.2">
      <c r="A585" s="71"/>
      <c r="B585" s="72"/>
      <c r="C585" s="71"/>
      <c r="D585" s="71"/>
    </row>
    <row r="586" spans="1:4" ht="13.2">
      <c r="A586" s="71"/>
      <c r="B586" s="72"/>
      <c r="C586" s="71"/>
      <c r="D586" s="71"/>
    </row>
    <row r="587" spans="1:4" ht="13.2">
      <c r="A587" s="71"/>
      <c r="B587" s="72"/>
      <c r="C587" s="71"/>
      <c r="D587" s="71"/>
    </row>
    <row r="588" spans="1:4" ht="13.2">
      <c r="A588" s="71"/>
      <c r="B588" s="72"/>
      <c r="C588" s="71"/>
      <c r="D588" s="71"/>
    </row>
    <row r="589" spans="1:4" ht="13.2">
      <c r="A589" s="71"/>
      <c r="B589" s="72"/>
      <c r="C589" s="71"/>
      <c r="D589" s="71"/>
    </row>
    <row r="590" spans="1:4" ht="13.2">
      <c r="A590" s="71"/>
      <c r="B590" s="72"/>
      <c r="C590" s="71"/>
      <c r="D590" s="71"/>
    </row>
    <row r="591" spans="1:4" ht="13.2">
      <c r="A591" s="71"/>
      <c r="B591" s="72"/>
      <c r="C591" s="71"/>
      <c r="D591" s="71"/>
    </row>
    <row r="592" spans="1:4" ht="13.2">
      <c r="A592" s="71"/>
      <c r="B592" s="72"/>
      <c r="C592" s="71"/>
      <c r="D592" s="71"/>
    </row>
    <row r="593" spans="1:4" ht="13.2">
      <c r="A593" s="71"/>
      <c r="B593" s="72"/>
      <c r="C593" s="71"/>
      <c r="D593" s="71"/>
    </row>
    <row r="594" spans="1:4" ht="13.2">
      <c r="A594" s="71"/>
      <c r="B594" s="72"/>
      <c r="C594" s="71"/>
      <c r="D594" s="71"/>
    </row>
    <row r="595" spans="1:4" ht="13.2">
      <c r="A595" s="71"/>
      <c r="B595" s="72"/>
      <c r="C595" s="71"/>
      <c r="D595" s="71"/>
    </row>
    <row r="596" spans="1:4" ht="13.2">
      <c r="A596" s="71"/>
      <c r="B596" s="72"/>
      <c r="C596" s="71"/>
      <c r="D596" s="71"/>
    </row>
    <row r="597" spans="1:4" ht="13.2">
      <c r="A597" s="71"/>
      <c r="B597" s="72"/>
      <c r="C597" s="71"/>
      <c r="D597" s="71"/>
    </row>
    <row r="598" spans="1:4" ht="13.2">
      <c r="A598" s="71"/>
      <c r="B598" s="72"/>
      <c r="C598" s="71"/>
      <c r="D598" s="71"/>
    </row>
    <row r="599" spans="1:4" ht="13.2">
      <c r="A599" s="71"/>
      <c r="B599" s="72"/>
      <c r="C599" s="71"/>
      <c r="D599" s="71"/>
    </row>
    <row r="600" spans="1:4" ht="13.2">
      <c r="A600" s="71"/>
      <c r="B600" s="72"/>
      <c r="C600" s="71"/>
      <c r="D600" s="71"/>
    </row>
    <row r="601" spans="1:4" ht="13.2">
      <c r="A601" s="71"/>
      <c r="B601" s="72"/>
      <c r="C601" s="71"/>
      <c r="D601" s="71"/>
    </row>
    <row r="602" spans="1:4" ht="13.2">
      <c r="A602" s="71"/>
      <c r="B602" s="72"/>
      <c r="C602" s="71"/>
      <c r="D602" s="71"/>
    </row>
    <row r="603" spans="1:4" ht="13.2">
      <c r="A603" s="71"/>
      <c r="B603" s="72"/>
      <c r="C603" s="71"/>
      <c r="D603" s="71"/>
    </row>
    <row r="604" spans="1:4" ht="13.2">
      <c r="A604" s="71"/>
      <c r="B604" s="72"/>
      <c r="C604" s="71"/>
      <c r="D604" s="71"/>
    </row>
    <row r="605" spans="1:4" ht="13.2">
      <c r="A605" s="71"/>
      <c r="B605" s="72"/>
      <c r="C605" s="71"/>
      <c r="D605" s="71"/>
    </row>
    <row r="606" spans="1:4" ht="13.2">
      <c r="A606" s="71"/>
      <c r="B606" s="72"/>
      <c r="C606" s="71"/>
      <c r="D606" s="71"/>
    </row>
    <row r="607" spans="1:4" ht="13.2">
      <c r="A607" s="71"/>
      <c r="B607" s="72"/>
      <c r="C607" s="71"/>
      <c r="D607" s="71"/>
    </row>
    <row r="608" spans="1:4" ht="13.2">
      <c r="A608" s="71"/>
      <c r="B608" s="72"/>
      <c r="C608" s="71"/>
      <c r="D608" s="71"/>
    </row>
    <row r="609" spans="1:4" ht="13.2">
      <c r="A609" s="71"/>
      <c r="B609" s="72"/>
      <c r="C609" s="71"/>
      <c r="D609" s="71"/>
    </row>
    <row r="610" spans="1:4" ht="13.2">
      <c r="A610" s="71"/>
      <c r="B610" s="72"/>
      <c r="C610" s="71"/>
      <c r="D610" s="71"/>
    </row>
    <row r="611" spans="1:4" ht="13.2">
      <c r="A611" s="71"/>
      <c r="B611" s="72"/>
      <c r="C611" s="71"/>
      <c r="D611" s="71"/>
    </row>
    <row r="612" spans="1:4" ht="13.2">
      <c r="A612" s="71"/>
      <c r="B612" s="72"/>
      <c r="C612" s="71"/>
      <c r="D612" s="71"/>
    </row>
    <row r="613" spans="1:4" ht="13.2">
      <c r="A613" s="71"/>
      <c r="B613" s="72"/>
      <c r="C613" s="71"/>
      <c r="D613" s="71"/>
    </row>
    <row r="614" spans="1:4" ht="13.2">
      <c r="A614" s="71"/>
      <c r="B614" s="72"/>
      <c r="C614" s="71"/>
      <c r="D614" s="71"/>
    </row>
    <row r="615" spans="1:4" ht="13.2">
      <c r="A615" s="71"/>
      <c r="B615" s="72"/>
      <c r="C615" s="71"/>
      <c r="D615" s="71"/>
    </row>
    <row r="616" spans="1:4" ht="13.2">
      <c r="A616" s="71"/>
      <c r="B616" s="72"/>
      <c r="C616" s="71"/>
      <c r="D616" s="71"/>
    </row>
    <row r="617" spans="1:4" ht="13.2">
      <c r="A617" s="71"/>
      <c r="B617" s="72"/>
      <c r="C617" s="71"/>
      <c r="D617" s="71"/>
    </row>
    <row r="618" spans="1:4" ht="13.2">
      <c r="A618" s="71"/>
      <c r="B618" s="72"/>
      <c r="C618" s="71"/>
      <c r="D618" s="71"/>
    </row>
    <row r="619" spans="1:4" ht="13.2">
      <c r="A619" s="71"/>
      <c r="B619" s="72"/>
      <c r="C619" s="71"/>
      <c r="D619" s="71"/>
    </row>
    <row r="620" spans="1:4" ht="13.2">
      <c r="A620" s="71"/>
      <c r="B620" s="72"/>
      <c r="C620" s="71"/>
      <c r="D620" s="71"/>
    </row>
    <row r="621" spans="1:4" ht="13.2">
      <c r="A621" s="71"/>
      <c r="B621" s="72"/>
      <c r="C621" s="71"/>
      <c r="D621" s="71"/>
    </row>
    <row r="622" spans="1:4" ht="13.2">
      <c r="A622" s="71"/>
      <c r="B622" s="72"/>
      <c r="C622" s="71"/>
      <c r="D622" s="71"/>
    </row>
    <row r="623" spans="1:4" ht="13.2">
      <c r="A623" s="71"/>
      <c r="B623" s="72"/>
      <c r="C623" s="71"/>
      <c r="D623" s="71"/>
    </row>
    <row r="624" spans="1:4" ht="13.2">
      <c r="A624" s="71"/>
      <c r="B624" s="72"/>
      <c r="C624" s="71"/>
      <c r="D624" s="71"/>
    </row>
    <row r="625" spans="1:4" ht="13.2">
      <c r="A625" s="71"/>
      <c r="B625" s="72"/>
      <c r="C625" s="71"/>
      <c r="D625" s="71"/>
    </row>
    <row r="626" spans="1:4" ht="13.2">
      <c r="A626" s="71"/>
      <c r="B626" s="72"/>
      <c r="C626" s="71"/>
      <c r="D626" s="71"/>
    </row>
    <row r="627" spans="1:4" ht="13.2">
      <c r="A627" s="71"/>
      <c r="B627" s="72"/>
      <c r="C627" s="71"/>
      <c r="D627" s="71"/>
    </row>
    <row r="628" spans="1:4" ht="13.2">
      <c r="A628" s="71"/>
      <c r="B628" s="72"/>
      <c r="C628" s="71"/>
      <c r="D628" s="71"/>
    </row>
    <row r="629" spans="1:4" ht="13.2">
      <c r="A629" s="71"/>
      <c r="B629" s="72"/>
      <c r="C629" s="71"/>
      <c r="D629" s="71"/>
    </row>
    <row r="630" spans="1:4" ht="13.2">
      <c r="A630" s="71"/>
      <c r="B630" s="72"/>
      <c r="C630" s="71"/>
      <c r="D630" s="71"/>
    </row>
    <row r="631" spans="1:4" ht="13.2">
      <c r="A631" s="71"/>
      <c r="B631" s="72"/>
      <c r="C631" s="71"/>
      <c r="D631" s="71"/>
    </row>
    <row r="632" spans="1:4" ht="13.2">
      <c r="A632" s="71"/>
      <c r="B632" s="72"/>
      <c r="C632" s="71"/>
      <c r="D632" s="71"/>
    </row>
    <row r="633" spans="1:4" ht="13.2">
      <c r="A633" s="71"/>
      <c r="B633" s="72"/>
      <c r="C633" s="71"/>
      <c r="D633" s="71"/>
    </row>
    <row r="634" spans="1:4" ht="13.2">
      <c r="A634" s="71"/>
      <c r="B634" s="72"/>
      <c r="C634" s="71"/>
      <c r="D634" s="71"/>
    </row>
    <row r="635" spans="1:4" ht="13.2">
      <c r="A635" s="71"/>
      <c r="B635" s="72"/>
      <c r="C635" s="71"/>
      <c r="D635" s="71"/>
    </row>
    <row r="636" spans="1:4" ht="13.2">
      <c r="A636" s="71"/>
      <c r="B636" s="72"/>
      <c r="C636" s="71"/>
      <c r="D636" s="71"/>
    </row>
    <row r="637" spans="1:4" ht="13.2">
      <c r="A637" s="71"/>
      <c r="B637" s="72"/>
      <c r="C637" s="71"/>
      <c r="D637" s="71"/>
    </row>
    <row r="638" spans="1:4" ht="13.2">
      <c r="A638" s="71"/>
      <c r="B638" s="72"/>
      <c r="C638" s="71"/>
      <c r="D638" s="71"/>
    </row>
    <row r="639" spans="1:4" ht="13.2">
      <c r="A639" s="71"/>
      <c r="B639" s="72"/>
      <c r="C639" s="71"/>
      <c r="D639" s="71"/>
    </row>
    <row r="640" spans="1:4" ht="13.2">
      <c r="A640" s="71"/>
      <c r="B640" s="72"/>
      <c r="C640" s="71"/>
      <c r="D640" s="71"/>
    </row>
    <row r="641" spans="1:4" ht="13.2">
      <c r="A641" s="71"/>
      <c r="B641" s="72"/>
      <c r="C641" s="71"/>
      <c r="D641" s="71"/>
    </row>
    <row r="642" spans="1:4" ht="13.2">
      <c r="A642" s="71"/>
      <c r="B642" s="72"/>
      <c r="C642" s="71"/>
      <c r="D642" s="71"/>
    </row>
    <row r="643" spans="1:4" ht="13.2">
      <c r="A643" s="71"/>
      <c r="B643" s="72"/>
      <c r="C643" s="71"/>
      <c r="D643" s="71"/>
    </row>
    <row r="644" spans="1:4" ht="13.2">
      <c r="A644" s="71"/>
      <c r="B644" s="72"/>
      <c r="C644" s="71"/>
      <c r="D644" s="71"/>
    </row>
    <row r="645" spans="1:4" ht="13.2">
      <c r="A645" s="71"/>
      <c r="B645" s="72"/>
      <c r="C645" s="71"/>
      <c r="D645" s="71"/>
    </row>
    <row r="646" spans="1:4" ht="13.2">
      <c r="A646" s="71"/>
      <c r="B646" s="72"/>
      <c r="C646" s="71"/>
      <c r="D646" s="71"/>
    </row>
    <row r="647" spans="1:4" ht="13.2">
      <c r="A647" s="71"/>
      <c r="B647" s="72"/>
      <c r="C647" s="71"/>
      <c r="D647" s="71"/>
    </row>
    <row r="648" spans="1:4" ht="13.2">
      <c r="A648" s="71"/>
      <c r="B648" s="72"/>
      <c r="C648" s="71"/>
      <c r="D648" s="71"/>
    </row>
    <row r="649" spans="1:4" ht="13.2">
      <c r="A649" s="71"/>
      <c r="B649" s="72"/>
      <c r="C649" s="71"/>
      <c r="D649" s="71"/>
    </row>
    <row r="650" spans="1:4" ht="13.2">
      <c r="A650" s="71"/>
      <c r="B650" s="72"/>
      <c r="C650" s="71"/>
      <c r="D650" s="71"/>
    </row>
    <row r="651" spans="1:4" ht="13.2">
      <c r="A651" s="71"/>
      <c r="B651" s="72"/>
      <c r="C651" s="71"/>
      <c r="D651" s="71"/>
    </row>
    <row r="652" spans="1:4" ht="13.2">
      <c r="A652" s="71"/>
      <c r="B652" s="72"/>
      <c r="C652" s="71"/>
      <c r="D652" s="71"/>
    </row>
    <row r="653" spans="1:4" ht="13.2">
      <c r="A653" s="71"/>
      <c r="B653" s="72"/>
      <c r="C653" s="71"/>
      <c r="D653" s="71"/>
    </row>
    <row r="654" spans="1:4" ht="13.2">
      <c r="A654" s="71"/>
      <c r="B654" s="72"/>
      <c r="C654" s="71"/>
      <c r="D654" s="71"/>
    </row>
    <row r="655" spans="1:4" ht="13.2">
      <c r="A655" s="71"/>
      <c r="B655" s="72"/>
      <c r="C655" s="71"/>
      <c r="D655" s="71"/>
    </row>
    <row r="656" spans="1:4" ht="13.2">
      <c r="A656" s="71"/>
      <c r="B656" s="72"/>
      <c r="C656" s="71"/>
      <c r="D656" s="71"/>
    </row>
    <row r="657" spans="1:4" ht="13.2">
      <c r="A657" s="71"/>
      <c r="B657" s="72"/>
      <c r="C657" s="71"/>
      <c r="D657" s="71"/>
    </row>
    <row r="658" spans="1:4" ht="13.2">
      <c r="A658" s="71"/>
      <c r="B658" s="72"/>
      <c r="C658" s="71"/>
      <c r="D658" s="71"/>
    </row>
    <row r="659" spans="1:4" ht="13.2">
      <c r="A659" s="71"/>
      <c r="B659" s="72"/>
      <c r="C659" s="71"/>
      <c r="D659" s="71"/>
    </row>
    <row r="660" spans="1:4" ht="13.2">
      <c r="A660" s="71"/>
      <c r="B660" s="72"/>
      <c r="C660" s="71"/>
      <c r="D660" s="71"/>
    </row>
    <row r="661" spans="1:4" ht="13.2">
      <c r="A661" s="71"/>
      <c r="B661" s="72"/>
      <c r="C661" s="71"/>
      <c r="D661" s="71"/>
    </row>
    <row r="662" spans="1:4" ht="13.2">
      <c r="A662" s="71"/>
      <c r="B662" s="72"/>
      <c r="C662" s="71"/>
      <c r="D662" s="71"/>
    </row>
    <row r="663" spans="1:4" ht="13.2">
      <c r="A663" s="71"/>
      <c r="B663" s="72"/>
      <c r="C663" s="71"/>
      <c r="D663" s="71"/>
    </row>
    <row r="664" spans="1:4" ht="13.2">
      <c r="A664" s="71"/>
      <c r="B664" s="72"/>
      <c r="C664" s="71"/>
      <c r="D664" s="71"/>
    </row>
    <row r="665" spans="1:4" ht="13.2">
      <c r="A665" s="71"/>
      <c r="B665" s="72"/>
      <c r="C665" s="71"/>
      <c r="D665" s="71"/>
    </row>
    <row r="666" spans="1:4" ht="13.2">
      <c r="A666" s="71"/>
      <c r="B666" s="72"/>
      <c r="C666" s="71"/>
      <c r="D666" s="71"/>
    </row>
    <row r="667" spans="1:4" ht="13.2">
      <c r="A667" s="71"/>
      <c r="B667" s="72"/>
      <c r="C667" s="71"/>
      <c r="D667" s="71"/>
    </row>
    <row r="668" spans="1:4" ht="13.2">
      <c r="A668" s="71"/>
      <c r="B668" s="72"/>
      <c r="C668" s="71"/>
      <c r="D668" s="71"/>
    </row>
    <row r="669" spans="1:4" ht="13.2">
      <c r="A669" s="71"/>
      <c r="B669" s="72"/>
      <c r="C669" s="71"/>
      <c r="D669" s="71"/>
    </row>
    <row r="670" spans="1:4" ht="13.2">
      <c r="A670" s="71"/>
      <c r="B670" s="72"/>
      <c r="C670" s="71"/>
      <c r="D670" s="71"/>
    </row>
    <row r="671" spans="1:4" ht="13.2">
      <c r="A671" s="71"/>
      <c r="B671" s="72"/>
      <c r="C671" s="71"/>
      <c r="D671" s="71"/>
    </row>
    <row r="672" spans="1:4" ht="13.2">
      <c r="A672" s="71"/>
      <c r="B672" s="72"/>
      <c r="C672" s="71"/>
      <c r="D672" s="71"/>
    </row>
    <row r="673" spans="1:4" ht="13.2">
      <c r="A673" s="71"/>
      <c r="B673" s="72"/>
      <c r="C673" s="71"/>
      <c r="D673" s="71"/>
    </row>
    <row r="674" spans="1:4" ht="13.2">
      <c r="A674" s="71"/>
      <c r="B674" s="72"/>
      <c r="C674" s="71"/>
      <c r="D674" s="71"/>
    </row>
    <row r="675" spans="1:4" ht="13.2">
      <c r="A675" s="71"/>
      <c r="B675" s="72"/>
      <c r="C675" s="71"/>
      <c r="D675" s="71"/>
    </row>
    <row r="676" spans="1:4" ht="13.2">
      <c r="A676" s="71"/>
      <c r="B676" s="72"/>
      <c r="C676" s="71"/>
      <c r="D676" s="71"/>
    </row>
    <row r="677" spans="1:4" ht="13.2">
      <c r="A677" s="71"/>
      <c r="B677" s="72"/>
      <c r="C677" s="71"/>
      <c r="D677" s="71"/>
    </row>
    <row r="678" spans="1:4" ht="13.2">
      <c r="A678" s="71"/>
      <c r="B678" s="72"/>
      <c r="C678" s="71"/>
      <c r="D678" s="71"/>
    </row>
    <row r="679" spans="1:4" ht="13.2">
      <c r="A679" s="71"/>
      <c r="B679" s="72"/>
      <c r="C679" s="71"/>
      <c r="D679" s="71"/>
    </row>
    <row r="680" spans="1:4" ht="13.2">
      <c r="A680" s="71"/>
      <c r="B680" s="72"/>
      <c r="C680" s="71"/>
      <c r="D680" s="71"/>
    </row>
    <row r="681" spans="1:4" ht="13.2">
      <c r="A681" s="71"/>
      <c r="B681" s="72"/>
      <c r="C681" s="71"/>
      <c r="D681" s="71"/>
    </row>
    <row r="682" spans="1:4" ht="13.2">
      <c r="A682" s="71"/>
      <c r="B682" s="72"/>
      <c r="C682" s="71"/>
      <c r="D682" s="71"/>
    </row>
    <row r="683" spans="1:4" ht="13.2">
      <c r="A683" s="71"/>
      <c r="B683" s="72"/>
      <c r="C683" s="71"/>
      <c r="D683" s="71"/>
    </row>
    <row r="684" spans="1:4" ht="13.2">
      <c r="A684" s="71"/>
      <c r="B684" s="72"/>
      <c r="C684" s="71"/>
      <c r="D684" s="71"/>
    </row>
    <row r="685" spans="1:4" ht="13.2">
      <c r="A685" s="71"/>
      <c r="B685" s="72"/>
      <c r="C685" s="71"/>
      <c r="D685" s="71"/>
    </row>
    <row r="686" spans="1:4" ht="13.2">
      <c r="A686" s="71"/>
      <c r="B686" s="72"/>
      <c r="C686" s="71"/>
      <c r="D686" s="71"/>
    </row>
    <row r="687" spans="1:4" ht="13.2">
      <c r="A687" s="71"/>
      <c r="B687" s="72"/>
      <c r="C687" s="71"/>
      <c r="D687" s="71"/>
    </row>
    <row r="688" spans="1:4" ht="13.2">
      <c r="A688" s="71"/>
      <c r="B688" s="72"/>
      <c r="C688" s="71"/>
      <c r="D688" s="71"/>
    </row>
    <row r="689" spans="1:4" ht="13.2">
      <c r="A689" s="71"/>
      <c r="B689" s="72"/>
      <c r="C689" s="71"/>
      <c r="D689" s="71"/>
    </row>
    <row r="690" spans="1:4" ht="13.2">
      <c r="A690" s="71"/>
      <c r="B690" s="72"/>
      <c r="C690" s="71"/>
      <c r="D690" s="71"/>
    </row>
    <row r="691" spans="1:4" ht="13.2">
      <c r="A691" s="71"/>
      <c r="B691" s="72"/>
      <c r="C691" s="71"/>
      <c r="D691" s="71"/>
    </row>
    <row r="692" spans="1:4" ht="13.2">
      <c r="A692" s="71"/>
      <c r="B692" s="72"/>
      <c r="C692" s="71"/>
      <c r="D692" s="71"/>
    </row>
    <row r="693" spans="1:4" ht="13.2">
      <c r="A693" s="71"/>
      <c r="B693" s="72"/>
      <c r="C693" s="71"/>
      <c r="D693" s="71"/>
    </row>
    <row r="694" spans="1:4" ht="13.2">
      <c r="A694" s="71"/>
      <c r="B694" s="72"/>
      <c r="C694" s="71"/>
      <c r="D694" s="71"/>
    </row>
    <row r="695" spans="1:4" ht="13.2">
      <c r="A695" s="71"/>
      <c r="B695" s="72"/>
      <c r="C695" s="71"/>
      <c r="D695" s="71"/>
    </row>
    <row r="696" spans="1:4" ht="13.2">
      <c r="A696" s="71"/>
      <c r="B696" s="72"/>
      <c r="C696" s="71"/>
      <c r="D696" s="71"/>
    </row>
    <row r="697" spans="1:4" ht="13.2">
      <c r="A697" s="71"/>
      <c r="B697" s="72"/>
      <c r="C697" s="71"/>
      <c r="D697" s="71"/>
    </row>
    <row r="698" spans="1:4" ht="13.2">
      <c r="A698" s="71"/>
      <c r="B698" s="72"/>
      <c r="C698" s="71"/>
      <c r="D698" s="71"/>
    </row>
    <row r="699" spans="1:4" ht="13.2">
      <c r="A699" s="71"/>
      <c r="B699" s="72"/>
      <c r="C699" s="71"/>
      <c r="D699" s="71"/>
    </row>
    <row r="700" spans="1:4" ht="13.2">
      <c r="A700" s="71"/>
      <c r="B700" s="72"/>
      <c r="C700" s="71"/>
      <c r="D700" s="71"/>
    </row>
    <row r="701" spans="1:4" ht="13.2">
      <c r="A701" s="71"/>
      <c r="B701" s="72"/>
      <c r="C701" s="71"/>
      <c r="D701" s="71"/>
    </row>
    <row r="702" spans="1:4" ht="13.2">
      <c r="A702" s="71"/>
      <c r="B702" s="72"/>
      <c r="C702" s="71"/>
      <c r="D702" s="71"/>
    </row>
    <row r="703" spans="1:4" ht="13.2">
      <c r="A703" s="71"/>
      <c r="B703" s="72"/>
      <c r="C703" s="71"/>
      <c r="D703" s="71"/>
    </row>
    <row r="704" spans="1:4" ht="13.2">
      <c r="A704" s="71"/>
      <c r="B704" s="72"/>
      <c r="C704" s="71"/>
      <c r="D704" s="71"/>
    </row>
    <row r="705" spans="1:4" ht="13.2">
      <c r="A705" s="71"/>
      <c r="B705" s="72"/>
      <c r="C705" s="71"/>
      <c r="D705" s="71"/>
    </row>
    <row r="706" spans="1:4" ht="13.2">
      <c r="A706" s="71"/>
      <c r="B706" s="72"/>
      <c r="C706" s="71"/>
      <c r="D706" s="71"/>
    </row>
    <row r="707" spans="1:4" ht="13.2">
      <c r="A707" s="71"/>
      <c r="B707" s="72"/>
      <c r="C707" s="71"/>
      <c r="D707" s="71"/>
    </row>
    <row r="708" spans="1:4" ht="13.2">
      <c r="A708" s="71"/>
      <c r="B708" s="72"/>
      <c r="C708" s="71"/>
      <c r="D708" s="71"/>
    </row>
    <row r="709" spans="1:4" ht="13.2">
      <c r="A709" s="71"/>
      <c r="B709" s="72"/>
      <c r="C709" s="71"/>
      <c r="D709" s="71"/>
    </row>
    <row r="710" spans="1:4" ht="13.2">
      <c r="A710" s="71"/>
      <c r="B710" s="72"/>
      <c r="C710" s="71"/>
      <c r="D710" s="71"/>
    </row>
    <row r="711" spans="1:4" ht="13.2">
      <c r="A711" s="71"/>
      <c r="B711" s="72"/>
      <c r="C711" s="71"/>
      <c r="D711" s="71"/>
    </row>
    <row r="712" spans="1:4" ht="13.2">
      <c r="A712" s="71"/>
      <c r="B712" s="72"/>
      <c r="C712" s="71"/>
      <c r="D712" s="71"/>
    </row>
    <row r="713" spans="1:4" ht="13.2">
      <c r="A713" s="71"/>
      <c r="B713" s="72"/>
      <c r="C713" s="71"/>
      <c r="D713" s="71"/>
    </row>
    <row r="714" spans="1:4" ht="13.2">
      <c r="A714" s="71"/>
      <c r="B714" s="72"/>
      <c r="C714" s="71"/>
      <c r="D714" s="71"/>
    </row>
    <row r="715" spans="1:4" ht="13.2">
      <c r="A715" s="71"/>
      <c r="B715" s="72"/>
      <c r="C715" s="71"/>
      <c r="D715" s="71"/>
    </row>
    <row r="716" spans="1:4" ht="13.2">
      <c r="A716" s="71"/>
      <c r="B716" s="72"/>
      <c r="C716" s="71"/>
      <c r="D716" s="71"/>
    </row>
    <row r="717" spans="1:4" ht="13.2">
      <c r="A717" s="71"/>
      <c r="B717" s="72"/>
      <c r="C717" s="71"/>
      <c r="D717" s="71"/>
    </row>
    <row r="718" spans="1:4" ht="13.2">
      <c r="A718" s="71"/>
      <c r="B718" s="72"/>
      <c r="C718" s="71"/>
      <c r="D718" s="71"/>
    </row>
    <row r="719" spans="1:4" ht="13.2">
      <c r="A719" s="71"/>
      <c r="B719" s="72"/>
      <c r="C719" s="71"/>
      <c r="D719" s="71"/>
    </row>
    <row r="720" spans="1:4" ht="13.2">
      <c r="A720" s="71"/>
      <c r="B720" s="72"/>
      <c r="C720" s="71"/>
      <c r="D720" s="71"/>
    </row>
    <row r="721" spans="1:4" ht="13.2">
      <c r="A721" s="71"/>
      <c r="B721" s="72"/>
      <c r="C721" s="71"/>
      <c r="D721" s="71"/>
    </row>
    <row r="722" spans="1:4" ht="13.2">
      <c r="A722" s="71"/>
      <c r="B722" s="72"/>
      <c r="C722" s="71"/>
      <c r="D722" s="71"/>
    </row>
    <row r="723" spans="1:4" ht="13.2">
      <c r="A723" s="71"/>
      <c r="B723" s="72"/>
      <c r="C723" s="71"/>
      <c r="D723" s="71"/>
    </row>
    <row r="724" spans="1:4" ht="13.2">
      <c r="A724" s="71"/>
      <c r="B724" s="72"/>
      <c r="C724" s="71"/>
      <c r="D724" s="71"/>
    </row>
    <row r="725" spans="1:4" ht="13.2">
      <c r="A725" s="71"/>
      <c r="B725" s="72"/>
      <c r="C725" s="71"/>
      <c r="D725" s="71"/>
    </row>
    <row r="726" spans="1:4" ht="13.2">
      <c r="A726" s="71"/>
      <c r="B726" s="72"/>
      <c r="C726" s="71"/>
      <c r="D726" s="71"/>
    </row>
    <row r="727" spans="1:4" ht="13.2">
      <c r="A727" s="71"/>
      <c r="B727" s="72"/>
      <c r="C727" s="71"/>
      <c r="D727" s="71"/>
    </row>
    <row r="728" spans="1:4" ht="13.2">
      <c r="A728" s="71"/>
      <c r="B728" s="72"/>
      <c r="C728" s="71"/>
      <c r="D728" s="71"/>
    </row>
    <row r="729" spans="1:4" ht="13.2">
      <c r="A729" s="71"/>
      <c r="B729" s="72"/>
      <c r="C729" s="71"/>
      <c r="D729" s="71"/>
    </row>
    <row r="730" spans="1:4" ht="13.2">
      <c r="A730" s="71"/>
      <c r="B730" s="72"/>
      <c r="C730" s="71"/>
      <c r="D730" s="71"/>
    </row>
    <row r="731" spans="1:4" ht="13.2">
      <c r="A731" s="71"/>
      <c r="B731" s="72"/>
      <c r="C731" s="71"/>
      <c r="D731" s="71"/>
    </row>
    <row r="732" spans="1:4" ht="13.2">
      <c r="A732" s="71"/>
      <c r="B732" s="72"/>
      <c r="C732" s="71"/>
      <c r="D732" s="71"/>
    </row>
    <row r="733" spans="1:4" ht="13.2">
      <c r="A733" s="71"/>
      <c r="B733" s="72"/>
      <c r="C733" s="71"/>
      <c r="D733" s="71"/>
    </row>
    <row r="734" spans="1:4" ht="13.2">
      <c r="A734" s="71"/>
      <c r="B734" s="72"/>
      <c r="C734" s="71"/>
      <c r="D734" s="71"/>
    </row>
    <row r="735" spans="1:4" ht="13.2">
      <c r="A735" s="71"/>
      <c r="B735" s="72"/>
      <c r="C735" s="71"/>
      <c r="D735" s="71"/>
    </row>
    <row r="736" spans="1:4" ht="13.2">
      <c r="A736" s="71"/>
      <c r="B736" s="72"/>
      <c r="C736" s="71"/>
      <c r="D736" s="71"/>
    </row>
    <row r="737" spans="1:4" ht="13.2">
      <c r="A737" s="71"/>
      <c r="B737" s="72"/>
      <c r="C737" s="71"/>
      <c r="D737" s="71"/>
    </row>
    <row r="738" spans="1:4" ht="13.2">
      <c r="A738" s="71"/>
      <c r="B738" s="72"/>
      <c r="C738" s="71"/>
      <c r="D738" s="71"/>
    </row>
    <row r="739" spans="1:4" ht="13.2">
      <c r="A739" s="71"/>
      <c r="B739" s="72"/>
      <c r="C739" s="71"/>
      <c r="D739" s="71"/>
    </row>
    <row r="740" spans="1:4" ht="13.2">
      <c r="A740" s="71"/>
      <c r="B740" s="72"/>
      <c r="C740" s="71"/>
      <c r="D740" s="71"/>
    </row>
    <row r="741" spans="1:4" ht="13.2">
      <c r="A741" s="71"/>
      <c r="B741" s="72"/>
      <c r="C741" s="71"/>
      <c r="D741" s="71"/>
    </row>
    <row r="742" spans="1:4" ht="13.2">
      <c r="A742" s="71"/>
      <c r="B742" s="72"/>
      <c r="C742" s="71"/>
      <c r="D742" s="71"/>
    </row>
    <row r="743" spans="1:4" ht="13.2">
      <c r="A743" s="71"/>
      <c r="B743" s="72"/>
      <c r="C743" s="71"/>
      <c r="D743" s="71"/>
    </row>
    <row r="744" spans="1:4" ht="13.2">
      <c r="A744" s="71"/>
      <c r="B744" s="72"/>
      <c r="C744" s="71"/>
      <c r="D744" s="71"/>
    </row>
    <row r="745" spans="1:4" ht="13.2">
      <c r="A745" s="71"/>
      <c r="B745" s="72"/>
      <c r="C745" s="71"/>
      <c r="D745" s="71"/>
    </row>
    <row r="746" spans="1:4" ht="13.2">
      <c r="A746" s="71"/>
      <c r="B746" s="72"/>
      <c r="C746" s="71"/>
      <c r="D746" s="71"/>
    </row>
    <row r="747" spans="1:4" ht="13.2">
      <c r="A747" s="71"/>
      <c r="B747" s="72"/>
      <c r="C747" s="71"/>
      <c r="D747" s="71"/>
    </row>
    <row r="748" spans="1:4" ht="13.2">
      <c r="A748" s="71"/>
      <c r="B748" s="72"/>
      <c r="C748" s="71"/>
      <c r="D748" s="71"/>
    </row>
    <row r="749" spans="1:4" ht="13.2">
      <c r="A749" s="71"/>
      <c r="B749" s="72"/>
      <c r="C749" s="71"/>
      <c r="D749" s="71"/>
    </row>
    <row r="750" spans="1:4" ht="13.2">
      <c r="A750" s="71"/>
      <c r="B750" s="72"/>
      <c r="C750" s="71"/>
      <c r="D750" s="71"/>
    </row>
    <row r="751" spans="1:4" ht="13.2">
      <c r="A751" s="71"/>
      <c r="B751" s="72"/>
      <c r="C751" s="71"/>
      <c r="D751" s="71"/>
    </row>
    <row r="752" spans="1:4" ht="13.2">
      <c r="A752" s="71"/>
      <c r="B752" s="72"/>
      <c r="C752" s="71"/>
      <c r="D752" s="71"/>
    </row>
    <row r="753" spans="1:4" ht="13.2">
      <c r="A753" s="71"/>
      <c r="B753" s="72"/>
      <c r="C753" s="71"/>
      <c r="D753" s="71"/>
    </row>
    <row r="754" spans="1:4" ht="13.2">
      <c r="A754" s="71"/>
      <c r="B754" s="72"/>
      <c r="C754" s="71"/>
      <c r="D754" s="71"/>
    </row>
    <row r="755" spans="1:4" ht="13.2">
      <c r="A755" s="71"/>
      <c r="B755" s="72"/>
      <c r="C755" s="71"/>
      <c r="D755" s="71"/>
    </row>
    <row r="756" spans="1:4" ht="13.2">
      <c r="A756" s="71"/>
      <c r="B756" s="72"/>
      <c r="C756" s="71"/>
      <c r="D756" s="71"/>
    </row>
    <row r="757" spans="1:4" ht="13.2">
      <c r="A757" s="71"/>
      <c r="B757" s="72"/>
      <c r="C757" s="71"/>
      <c r="D757" s="71"/>
    </row>
    <row r="758" spans="1:4" ht="13.2">
      <c r="A758" s="71"/>
      <c r="B758" s="72"/>
      <c r="C758" s="71"/>
      <c r="D758" s="71"/>
    </row>
    <row r="759" spans="1:4" ht="13.2">
      <c r="A759" s="71"/>
      <c r="B759" s="72"/>
      <c r="C759" s="71"/>
      <c r="D759" s="71"/>
    </row>
    <row r="760" spans="1:4" ht="13.2">
      <c r="A760" s="71"/>
      <c r="B760" s="72"/>
      <c r="C760" s="71"/>
      <c r="D760" s="71"/>
    </row>
    <row r="761" spans="1:4" ht="13.2">
      <c r="A761" s="71"/>
      <c r="B761" s="72"/>
      <c r="C761" s="71"/>
      <c r="D761" s="71"/>
    </row>
    <row r="762" spans="1:4" ht="13.2">
      <c r="A762" s="71"/>
      <c r="B762" s="72"/>
      <c r="C762" s="71"/>
      <c r="D762" s="71"/>
    </row>
    <row r="763" spans="1:4" ht="13.2">
      <c r="A763" s="71"/>
      <c r="B763" s="72"/>
      <c r="C763" s="71"/>
      <c r="D763" s="71"/>
    </row>
    <row r="764" spans="1:4" ht="13.2">
      <c r="A764" s="71"/>
      <c r="B764" s="72"/>
      <c r="C764" s="71"/>
      <c r="D764" s="71"/>
    </row>
    <row r="765" spans="1:4" ht="13.2">
      <c r="A765" s="71"/>
      <c r="B765" s="72"/>
      <c r="C765" s="71"/>
      <c r="D765" s="71"/>
    </row>
    <row r="766" spans="1:4" ht="13.2">
      <c r="A766" s="71"/>
      <c r="B766" s="72"/>
      <c r="C766" s="71"/>
      <c r="D766" s="71"/>
    </row>
    <row r="767" spans="1:4" ht="13.2">
      <c r="A767" s="71"/>
      <c r="B767" s="72"/>
      <c r="C767" s="71"/>
      <c r="D767" s="71"/>
    </row>
    <row r="768" spans="1:4" ht="13.2">
      <c r="A768" s="71"/>
      <c r="B768" s="72"/>
      <c r="C768" s="71"/>
      <c r="D768" s="71"/>
    </row>
    <row r="769" spans="1:4" ht="13.2">
      <c r="A769" s="71"/>
      <c r="B769" s="72"/>
      <c r="C769" s="71"/>
      <c r="D769" s="71"/>
    </row>
    <row r="770" spans="1:4" ht="13.2">
      <c r="A770" s="71"/>
      <c r="B770" s="72"/>
      <c r="C770" s="71"/>
      <c r="D770" s="71"/>
    </row>
    <row r="771" spans="1:4" ht="13.2">
      <c r="A771" s="71"/>
      <c r="B771" s="72"/>
      <c r="C771" s="71"/>
      <c r="D771" s="71"/>
    </row>
    <row r="772" spans="1:4" ht="13.2">
      <c r="A772" s="71"/>
      <c r="B772" s="72"/>
      <c r="C772" s="71"/>
      <c r="D772" s="71"/>
    </row>
    <row r="773" spans="1:4" ht="13.2">
      <c r="A773" s="71"/>
      <c r="B773" s="72"/>
      <c r="C773" s="71"/>
      <c r="D773" s="71"/>
    </row>
    <row r="774" spans="1:4" ht="13.2">
      <c r="A774" s="71"/>
      <c r="B774" s="72"/>
      <c r="C774" s="71"/>
      <c r="D774" s="71"/>
    </row>
    <row r="775" spans="1:4" ht="13.2">
      <c r="A775" s="71"/>
      <c r="B775" s="72"/>
      <c r="C775" s="71"/>
      <c r="D775" s="71"/>
    </row>
    <row r="776" spans="1:4" ht="13.2">
      <c r="A776" s="71"/>
      <c r="B776" s="72"/>
      <c r="C776" s="71"/>
      <c r="D776" s="71"/>
    </row>
    <row r="777" spans="1:4" ht="13.2">
      <c r="A777" s="71"/>
      <c r="B777" s="72"/>
      <c r="C777" s="71"/>
      <c r="D777" s="71"/>
    </row>
    <row r="778" spans="1:4" ht="13.2">
      <c r="A778" s="71"/>
      <c r="B778" s="72"/>
      <c r="C778" s="71"/>
      <c r="D778" s="71"/>
    </row>
    <row r="779" spans="1:4" ht="13.2">
      <c r="A779" s="71"/>
      <c r="B779" s="72"/>
      <c r="C779" s="71"/>
      <c r="D779" s="71"/>
    </row>
    <row r="780" spans="1:4" ht="13.2">
      <c r="A780" s="71"/>
      <c r="B780" s="72"/>
      <c r="C780" s="71"/>
      <c r="D780" s="71"/>
    </row>
    <row r="781" spans="1:4" ht="13.2">
      <c r="A781" s="71"/>
      <c r="B781" s="72"/>
      <c r="C781" s="71"/>
      <c r="D781" s="71"/>
    </row>
    <row r="782" spans="1:4" ht="13.2">
      <c r="A782" s="71"/>
      <c r="B782" s="72"/>
      <c r="C782" s="71"/>
      <c r="D782" s="71"/>
    </row>
    <row r="783" spans="1:4" ht="13.2">
      <c r="A783" s="71"/>
      <c r="B783" s="72"/>
      <c r="C783" s="71"/>
      <c r="D783" s="71"/>
    </row>
    <row r="784" spans="1:4" ht="13.2">
      <c r="A784" s="71"/>
      <c r="B784" s="72"/>
      <c r="C784" s="71"/>
      <c r="D784" s="71"/>
    </row>
    <row r="785" spans="1:4" ht="13.2">
      <c r="A785" s="71"/>
      <c r="B785" s="72"/>
      <c r="C785" s="71"/>
      <c r="D785" s="71"/>
    </row>
    <row r="786" spans="1:4" ht="13.2">
      <c r="A786" s="71"/>
      <c r="B786" s="72"/>
      <c r="C786" s="71"/>
      <c r="D786" s="71"/>
    </row>
    <row r="787" spans="1:4" ht="13.2">
      <c r="A787" s="71"/>
      <c r="B787" s="72"/>
      <c r="C787" s="71"/>
      <c r="D787" s="71"/>
    </row>
    <row r="788" spans="1:4" ht="13.2">
      <c r="A788" s="71"/>
      <c r="B788" s="72"/>
      <c r="C788" s="71"/>
      <c r="D788" s="71"/>
    </row>
    <row r="789" spans="1:4" ht="13.2">
      <c r="A789" s="71"/>
      <c r="B789" s="72"/>
      <c r="C789" s="71"/>
      <c r="D789" s="71"/>
    </row>
    <row r="790" spans="1:4" ht="13.2">
      <c r="A790" s="71"/>
      <c r="B790" s="72"/>
      <c r="C790" s="71"/>
      <c r="D790" s="71"/>
    </row>
    <row r="791" spans="1:4" ht="13.2">
      <c r="A791" s="71"/>
      <c r="B791" s="72"/>
      <c r="C791" s="71"/>
      <c r="D791" s="71"/>
    </row>
    <row r="792" spans="1:4" ht="13.2">
      <c r="A792" s="71"/>
      <c r="B792" s="72"/>
      <c r="C792" s="71"/>
      <c r="D792" s="71"/>
    </row>
    <row r="793" spans="1:4" ht="13.2">
      <c r="A793" s="71"/>
      <c r="B793" s="72"/>
      <c r="C793" s="71"/>
      <c r="D793" s="71"/>
    </row>
    <row r="794" spans="1:4" ht="13.2">
      <c r="A794" s="71"/>
      <c r="B794" s="72"/>
      <c r="C794" s="71"/>
      <c r="D794" s="71"/>
    </row>
    <row r="795" spans="1:4" ht="13.2">
      <c r="A795" s="71"/>
      <c r="B795" s="72"/>
      <c r="C795" s="71"/>
      <c r="D795" s="71"/>
    </row>
    <row r="796" spans="1:4" ht="13.2">
      <c r="A796" s="71"/>
      <c r="B796" s="72"/>
      <c r="C796" s="71"/>
      <c r="D796" s="71"/>
    </row>
    <row r="797" spans="1:4" ht="13.2">
      <c r="A797" s="71"/>
      <c r="B797" s="72"/>
      <c r="C797" s="71"/>
      <c r="D797" s="71"/>
    </row>
    <row r="798" spans="1:4" ht="13.2">
      <c r="A798" s="71"/>
      <c r="B798" s="72"/>
      <c r="C798" s="71"/>
      <c r="D798" s="71"/>
    </row>
    <row r="799" spans="1:4" ht="13.2">
      <c r="A799" s="71"/>
      <c r="B799" s="72"/>
      <c r="C799" s="71"/>
      <c r="D799" s="71"/>
    </row>
    <row r="800" spans="1:4" ht="13.2">
      <c r="A800" s="71"/>
      <c r="B800" s="72"/>
      <c r="C800" s="71"/>
      <c r="D800" s="71"/>
    </row>
    <row r="801" spans="1:4" ht="13.2">
      <c r="A801" s="71"/>
      <c r="B801" s="72"/>
      <c r="C801" s="71"/>
      <c r="D801" s="71"/>
    </row>
    <row r="802" spans="1:4" ht="13.2">
      <c r="A802" s="71"/>
      <c r="B802" s="72"/>
      <c r="C802" s="71"/>
      <c r="D802" s="71"/>
    </row>
    <row r="803" spans="1:4" ht="13.2">
      <c r="A803" s="71"/>
      <c r="B803" s="72"/>
      <c r="C803" s="71"/>
      <c r="D803" s="71"/>
    </row>
    <row r="804" spans="1:4" ht="13.2">
      <c r="A804" s="71"/>
      <c r="B804" s="72"/>
      <c r="C804" s="71"/>
      <c r="D804" s="71"/>
    </row>
    <row r="805" spans="1:4" ht="13.2">
      <c r="A805" s="71"/>
      <c r="B805" s="72"/>
      <c r="C805" s="71"/>
      <c r="D805" s="71"/>
    </row>
    <row r="806" spans="1:4" ht="13.2">
      <c r="A806" s="71"/>
      <c r="B806" s="72"/>
      <c r="C806" s="71"/>
      <c r="D806" s="71"/>
    </row>
    <row r="807" spans="1:4" ht="13.2">
      <c r="A807" s="71"/>
      <c r="B807" s="72"/>
      <c r="C807" s="71"/>
      <c r="D807" s="71"/>
    </row>
    <row r="808" spans="1:4" ht="13.2">
      <c r="A808" s="71"/>
      <c r="B808" s="72"/>
      <c r="C808" s="71"/>
      <c r="D808" s="71"/>
    </row>
    <row r="809" spans="1:4" ht="13.2">
      <c r="A809" s="71"/>
      <c r="B809" s="72"/>
      <c r="C809" s="71"/>
      <c r="D809" s="71"/>
    </row>
    <row r="810" spans="1:4" ht="13.2">
      <c r="A810" s="71"/>
      <c r="B810" s="72"/>
      <c r="C810" s="71"/>
      <c r="D810" s="71"/>
    </row>
    <row r="811" spans="1:4" ht="13.2">
      <c r="A811" s="71"/>
      <c r="B811" s="72"/>
      <c r="C811" s="71"/>
      <c r="D811" s="71"/>
    </row>
    <row r="812" spans="1:4" ht="13.2">
      <c r="A812" s="71"/>
      <c r="B812" s="72"/>
      <c r="C812" s="71"/>
      <c r="D812" s="71"/>
    </row>
    <row r="813" spans="1:4" ht="13.2">
      <c r="A813" s="71"/>
      <c r="B813" s="72"/>
      <c r="C813" s="71"/>
      <c r="D813" s="71"/>
    </row>
    <row r="814" spans="1:4" ht="13.2">
      <c r="A814" s="71"/>
      <c r="B814" s="72"/>
      <c r="C814" s="71"/>
      <c r="D814" s="71"/>
    </row>
    <row r="815" spans="1:4" ht="13.2">
      <c r="A815" s="71"/>
      <c r="B815" s="72"/>
      <c r="C815" s="71"/>
      <c r="D815" s="71"/>
    </row>
    <row r="816" spans="1:4" ht="13.2">
      <c r="A816" s="71"/>
      <c r="B816" s="72"/>
      <c r="C816" s="71"/>
      <c r="D816" s="71"/>
    </row>
    <row r="817" spans="1:4" ht="13.2">
      <c r="A817" s="71"/>
      <c r="B817" s="72"/>
      <c r="C817" s="71"/>
      <c r="D817" s="71"/>
    </row>
    <row r="818" spans="1:4" ht="13.2">
      <c r="A818" s="71"/>
      <c r="B818" s="72"/>
      <c r="C818" s="71"/>
      <c r="D818" s="71"/>
    </row>
    <row r="819" spans="1:4" ht="13.2">
      <c r="A819" s="71"/>
      <c r="B819" s="72"/>
      <c r="C819" s="71"/>
      <c r="D819" s="71"/>
    </row>
    <row r="820" spans="1:4" ht="13.2">
      <c r="A820" s="71"/>
      <c r="B820" s="72"/>
      <c r="C820" s="71"/>
      <c r="D820" s="71"/>
    </row>
    <row r="821" spans="1:4" ht="13.2">
      <c r="A821" s="71"/>
      <c r="B821" s="72"/>
      <c r="C821" s="71"/>
      <c r="D821" s="71"/>
    </row>
    <row r="822" spans="1:4" ht="13.2">
      <c r="A822" s="71"/>
      <c r="B822" s="72"/>
      <c r="C822" s="71"/>
      <c r="D822" s="71"/>
    </row>
    <row r="823" spans="1:4" ht="13.2">
      <c r="A823" s="71"/>
      <c r="B823" s="72"/>
      <c r="C823" s="71"/>
      <c r="D823" s="71"/>
    </row>
    <row r="824" spans="1:4" ht="13.2">
      <c r="A824" s="71"/>
      <c r="B824" s="72"/>
      <c r="C824" s="71"/>
      <c r="D824" s="71"/>
    </row>
    <row r="825" spans="1:4" ht="13.2">
      <c r="A825" s="71"/>
      <c r="B825" s="72"/>
      <c r="C825" s="71"/>
      <c r="D825" s="71"/>
    </row>
    <row r="826" spans="1:4" ht="13.2">
      <c r="A826" s="71"/>
      <c r="B826" s="72"/>
      <c r="C826" s="71"/>
      <c r="D826" s="71"/>
    </row>
    <row r="827" spans="1:4" ht="13.2">
      <c r="A827" s="71"/>
      <c r="B827" s="72"/>
      <c r="C827" s="71"/>
      <c r="D827" s="71"/>
    </row>
    <row r="828" spans="1:4" ht="13.2">
      <c r="A828" s="71"/>
      <c r="B828" s="72"/>
      <c r="C828" s="71"/>
      <c r="D828" s="71"/>
    </row>
    <row r="829" spans="1:4" ht="13.2">
      <c r="A829" s="71"/>
      <c r="B829" s="72"/>
      <c r="C829" s="71"/>
      <c r="D829" s="71"/>
    </row>
    <row r="830" spans="1:4" ht="13.2">
      <c r="A830" s="71"/>
      <c r="B830" s="72"/>
      <c r="C830" s="71"/>
      <c r="D830" s="71"/>
    </row>
    <row r="831" spans="1:4" ht="13.2">
      <c r="A831" s="71"/>
      <c r="B831" s="72"/>
      <c r="C831" s="71"/>
      <c r="D831" s="71"/>
    </row>
    <row r="832" spans="1:4" ht="13.2">
      <c r="A832" s="71"/>
      <c r="B832" s="72"/>
      <c r="C832" s="71"/>
      <c r="D832" s="71"/>
    </row>
    <row r="833" spans="1:4" ht="13.2">
      <c r="A833" s="71"/>
      <c r="B833" s="72"/>
      <c r="C833" s="71"/>
      <c r="D833" s="71"/>
    </row>
    <row r="834" spans="1:4" ht="13.2">
      <c r="A834" s="71"/>
      <c r="B834" s="72"/>
      <c r="C834" s="71"/>
      <c r="D834" s="71"/>
    </row>
    <row r="835" spans="1:4" ht="13.2">
      <c r="A835" s="71"/>
      <c r="B835" s="72"/>
      <c r="C835" s="71"/>
      <c r="D835" s="71"/>
    </row>
    <row r="836" spans="1:4" ht="13.2">
      <c r="A836" s="71"/>
      <c r="B836" s="72"/>
      <c r="C836" s="71"/>
      <c r="D836" s="71"/>
    </row>
    <row r="837" spans="1:4" ht="13.2">
      <c r="A837" s="71"/>
      <c r="B837" s="72"/>
      <c r="C837" s="71"/>
      <c r="D837" s="71"/>
    </row>
    <row r="838" spans="1:4" ht="13.2">
      <c r="A838" s="71"/>
      <c r="B838" s="72"/>
      <c r="C838" s="71"/>
      <c r="D838" s="71"/>
    </row>
    <row r="839" spans="1:4" ht="13.2">
      <c r="A839" s="71"/>
      <c r="B839" s="72"/>
      <c r="C839" s="71"/>
      <c r="D839" s="71"/>
    </row>
    <row r="840" spans="1:4" ht="13.2">
      <c r="A840" s="71"/>
      <c r="B840" s="72"/>
      <c r="C840" s="71"/>
      <c r="D840" s="71"/>
    </row>
    <row r="841" spans="1:4" ht="13.2">
      <c r="A841" s="71"/>
      <c r="B841" s="72"/>
      <c r="C841" s="71"/>
      <c r="D841" s="71"/>
    </row>
    <row r="842" spans="1:4" ht="13.2">
      <c r="A842" s="71"/>
      <c r="B842" s="72"/>
      <c r="C842" s="71"/>
      <c r="D842" s="71"/>
    </row>
    <row r="843" spans="1:4" ht="13.2">
      <c r="A843" s="71"/>
      <c r="B843" s="72"/>
      <c r="C843" s="71"/>
      <c r="D843" s="71"/>
    </row>
    <row r="844" spans="1:4" ht="13.2">
      <c r="A844" s="71"/>
      <c r="B844" s="72"/>
      <c r="C844" s="71"/>
      <c r="D844" s="71"/>
    </row>
    <row r="845" spans="1:4" ht="13.2">
      <c r="A845" s="71"/>
      <c r="B845" s="72"/>
      <c r="C845" s="71"/>
      <c r="D845" s="71"/>
    </row>
    <row r="846" spans="1:4" ht="13.2">
      <c r="A846" s="71"/>
      <c r="B846" s="72"/>
      <c r="C846" s="71"/>
      <c r="D846" s="71"/>
    </row>
    <row r="847" spans="1:4" ht="13.2">
      <c r="A847" s="71"/>
      <c r="B847" s="72"/>
      <c r="C847" s="71"/>
      <c r="D847" s="71"/>
    </row>
    <row r="848" spans="1:4" ht="13.2">
      <c r="A848" s="71"/>
      <c r="B848" s="72"/>
      <c r="C848" s="71"/>
      <c r="D848" s="71"/>
    </row>
    <row r="849" spans="1:4" ht="13.2">
      <c r="A849" s="71"/>
      <c r="B849" s="72"/>
      <c r="C849" s="71"/>
      <c r="D849" s="71"/>
    </row>
    <row r="850" spans="1:4" ht="13.2">
      <c r="A850" s="71"/>
      <c r="B850" s="72"/>
      <c r="C850" s="71"/>
      <c r="D850" s="71"/>
    </row>
    <row r="851" spans="1:4" ht="13.2">
      <c r="A851" s="71"/>
      <c r="B851" s="72"/>
      <c r="C851" s="71"/>
      <c r="D851" s="71"/>
    </row>
    <row r="852" spans="1:4" ht="13.2">
      <c r="A852" s="71"/>
      <c r="B852" s="72"/>
      <c r="C852" s="71"/>
      <c r="D852" s="71"/>
    </row>
    <row r="853" spans="1:4" ht="13.2">
      <c r="A853" s="71"/>
      <c r="B853" s="72"/>
      <c r="C853" s="71"/>
      <c r="D853" s="71"/>
    </row>
    <row r="854" spans="1:4" ht="13.2">
      <c r="A854" s="71"/>
      <c r="B854" s="72"/>
      <c r="C854" s="71"/>
      <c r="D854" s="71"/>
    </row>
    <row r="855" spans="1:4" ht="13.2">
      <c r="A855" s="71"/>
      <c r="B855" s="72"/>
      <c r="C855" s="71"/>
      <c r="D855" s="71"/>
    </row>
    <row r="856" spans="1:4" ht="13.2">
      <c r="A856" s="71"/>
      <c r="B856" s="72"/>
      <c r="C856" s="71"/>
      <c r="D856" s="71"/>
    </row>
    <row r="857" spans="1:4" ht="13.2">
      <c r="A857" s="71"/>
      <c r="B857" s="72"/>
      <c r="C857" s="71"/>
      <c r="D857" s="71"/>
    </row>
    <row r="858" spans="1:4" ht="13.2">
      <c r="A858" s="71"/>
      <c r="B858" s="72"/>
      <c r="C858" s="71"/>
      <c r="D858" s="71"/>
    </row>
    <row r="859" spans="1:4" ht="13.2">
      <c r="A859" s="71"/>
      <c r="B859" s="72"/>
      <c r="C859" s="71"/>
      <c r="D859" s="71"/>
    </row>
    <row r="860" spans="1:4" ht="13.2">
      <c r="A860" s="71"/>
      <c r="B860" s="72"/>
      <c r="C860" s="71"/>
      <c r="D860" s="71"/>
    </row>
    <row r="861" spans="1:4" ht="13.2">
      <c r="A861" s="71"/>
      <c r="B861" s="72"/>
      <c r="C861" s="71"/>
      <c r="D861" s="71"/>
    </row>
    <row r="862" spans="1:4" ht="13.2">
      <c r="A862" s="71"/>
      <c r="B862" s="72"/>
      <c r="C862" s="71"/>
      <c r="D862" s="71"/>
    </row>
    <row r="863" spans="1:4" ht="13.2">
      <c r="A863" s="71"/>
      <c r="B863" s="72"/>
      <c r="C863" s="71"/>
      <c r="D863" s="71"/>
    </row>
    <row r="864" spans="1:4" ht="13.2">
      <c r="A864" s="71"/>
      <c r="B864" s="72"/>
      <c r="C864" s="71"/>
      <c r="D864" s="71"/>
    </row>
    <row r="865" spans="1:4" ht="13.2">
      <c r="A865" s="71"/>
      <c r="B865" s="72"/>
      <c r="C865" s="71"/>
      <c r="D865" s="71"/>
    </row>
    <row r="866" spans="1:4" ht="13.2">
      <c r="A866" s="71"/>
      <c r="B866" s="72"/>
      <c r="C866" s="71"/>
      <c r="D866" s="71"/>
    </row>
    <row r="867" spans="1:4" ht="13.2">
      <c r="A867" s="71"/>
      <c r="B867" s="72"/>
      <c r="C867" s="71"/>
      <c r="D867" s="71"/>
    </row>
    <row r="868" spans="1:4" ht="13.2">
      <c r="A868" s="71"/>
      <c r="B868" s="72"/>
      <c r="C868" s="71"/>
      <c r="D868" s="71"/>
    </row>
    <row r="869" spans="1:4" ht="13.2">
      <c r="A869" s="71"/>
      <c r="B869" s="72"/>
      <c r="C869" s="71"/>
      <c r="D869" s="71"/>
    </row>
    <row r="870" spans="1:4" ht="13.2">
      <c r="A870" s="71"/>
      <c r="B870" s="72"/>
      <c r="C870" s="71"/>
      <c r="D870" s="71"/>
    </row>
    <row r="871" spans="1:4" ht="13.2">
      <c r="A871" s="71"/>
      <c r="B871" s="72"/>
      <c r="C871" s="71"/>
      <c r="D871" s="71"/>
    </row>
    <row r="872" spans="1:4" ht="13.2">
      <c r="A872" s="71"/>
      <c r="B872" s="72"/>
      <c r="C872" s="71"/>
      <c r="D872" s="71"/>
    </row>
    <row r="873" spans="1:4" ht="13.2">
      <c r="A873" s="71"/>
      <c r="B873" s="72"/>
      <c r="C873" s="71"/>
      <c r="D873" s="71"/>
    </row>
    <row r="874" spans="1:4" ht="13.2">
      <c r="A874" s="71"/>
      <c r="B874" s="72"/>
      <c r="C874" s="71"/>
      <c r="D874" s="71"/>
    </row>
    <row r="875" spans="1:4" ht="13.2">
      <c r="A875" s="71"/>
      <c r="B875" s="72"/>
      <c r="C875" s="71"/>
      <c r="D875" s="71"/>
    </row>
    <row r="876" spans="1:4" ht="13.2">
      <c r="A876" s="71"/>
      <c r="B876" s="72"/>
      <c r="C876" s="71"/>
      <c r="D876" s="71"/>
    </row>
    <row r="877" spans="1:4" ht="13.2">
      <c r="A877" s="71"/>
      <c r="B877" s="72"/>
      <c r="C877" s="71"/>
      <c r="D877" s="71"/>
    </row>
    <row r="878" spans="1:4" ht="13.2">
      <c r="A878" s="71"/>
      <c r="B878" s="72"/>
      <c r="C878" s="71"/>
      <c r="D878" s="71"/>
    </row>
    <row r="879" spans="1:4" ht="13.2">
      <c r="A879" s="71"/>
      <c r="B879" s="72"/>
      <c r="C879" s="71"/>
      <c r="D879" s="71"/>
    </row>
    <row r="880" spans="1:4" ht="13.2">
      <c r="A880" s="71"/>
      <c r="B880" s="72"/>
      <c r="C880" s="71"/>
      <c r="D880" s="71"/>
    </row>
    <row r="881" spans="1:4" ht="13.2">
      <c r="A881" s="71"/>
      <c r="B881" s="72"/>
      <c r="C881" s="71"/>
      <c r="D881" s="71"/>
    </row>
    <row r="882" spans="1:4" ht="13.2">
      <c r="A882" s="71"/>
      <c r="B882" s="72"/>
      <c r="C882" s="71"/>
      <c r="D882" s="71"/>
    </row>
    <row r="883" spans="1:4" ht="13.2">
      <c r="A883" s="71"/>
      <c r="B883" s="72"/>
      <c r="C883" s="71"/>
      <c r="D883" s="71"/>
    </row>
    <row r="884" spans="1:4" ht="13.2">
      <c r="A884" s="71"/>
      <c r="B884" s="72"/>
      <c r="C884" s="71"/>
      <c r="D884" s="71"/>
    </row>
    <row r="885" spans="1:4" ht="13.2">
      <c r="A885" s="71"/>
      <c r="B885" s="72"/>
      <c r="C885" s="71"/>
      <c r="D885" s="71"/>
    </row>
    <row r="886" spans="1:4" ht="13.2">
      <c r="A886" s="71"/>
      <c r="B886" s="72"/>
      <c r="C886" s="71"/>
      <c r="D886" s="71"/>
    </row>
    <row r="887" spans="1:4" ht="13.2">
      <c r="A887" s="71"/>
      <c r="B887" s="72"/>
      <c r="C887" s="71"/>
      <c r="D887" s="71"/>
    </row>
    <row r="888" spans="1:4" ht="13.2">
      <c r="A888" s="71"/>
      <c r="B888" s="72"/>
      <c r="C888" s="71"/>
      <c r="D888" s="71"/>
    </row>
    <row r="889" spans="1:4" ht="13.2">
      <c r="A889" s="71"/>
      <c r="B889" s="72"/>
      <c r="C889" s="71"/>
      <c r="D889" s="71"/>
    </row>
    <row r="890" spans="1:4" ht="13.2">
      <c r="A890" s="71"/>
      <c r="B890" s="72"/>
      <c r="C890" s="71"/>
      <c r="D890" s="71"/>
    </row>
    <row r="891" spans="1:4" ht="13.2">
      <c r="A891" s="71"/>
      <c r="B891" s="72"/>
      <c r="C891" s="71"/>
      <c r="D891" s="71"/>
    </row>
    <row r="892" spans="1:4" ht="13.2">
      <c r="A892" s="71"/>
      <c r="B892" s="72"/>
      <c r="C892" s="71"/>
      <c r="D892" s="71"/>
    </row>
    <row r="893" spans="1:4" ht="13.2">
      <c r="A893" s="71"/>
      <c r="B893" s="72"/>
      <c r="C893" s="71"/>
      <c r="D893" s="71"/>
    </row>
    <row r="894" spans="1:4" ht="13.2">
      <c r="A894" s="71"/>
      <c r="B894" s="72"/>
      <c r="C894" s="71"/>
      <c r="D894" s="71"/>
    </row>
    <row r="895" spans="1:4" ht="13.2">
      <c r="A895" s="71"/>
      <c r="B895" s="72"/>
      <c r="C895" s="71"/>
      <c r="D895" s="71"/>
    </row>
    <row r="896" spans="1:4" ht="13.2">
      <c r="A896" s="71"/>
      <c r="B896" s="72"/>
      <c r="C896" s="71"/>
      <c r="D896" s="71"/>
    </row>
    <row r="897" spans="1:4" ht="13.2">
      <c r="A897" s="71"/>
      <c r="B897" s="72"/>
      <c r="C897" s="71"/>
      <c r="D897" s="71"/>
    </row>
    <row r="898" spans="1:4" ht="13.2">
      <c r="A898" s="71"/>
      <c r="B898" s="72"/>
      <c r="C898" s="71"/>
      <c r="D898" s="71"/>
    </row>
    <row r="899" spans="1:4" ht="13.2">
      <c r="A899" s="71"/>
      <c r="B899" s="72"/>
      <c r="C899" s="71"/>
      <c r="D899" s="71"/>
    </row>
    <row r="900" spans="1:4" ht="13.2">
      <c r="A900" s="71"/>
      <c r="B900" s="72"/>
      <c r="C900" s="71"/>
      <c r="D900" s="71"/>
    </row>
    <row r="901" spans="1:4" ht="13.2">
      <c r="A901" s="71"/>
      <c r="B901" s="72"/>
      <c r="C901" s="71"/>
      <c r="D901" s="71"/>
    </row>
    <row r="902" spans="1:4" ht="13.2">
      <c r="A902" s="71"/>
      <c r="B902" s="72"/>
      <c r="C902" s="71"/>
      <c r="D902" s="71"/>
    </row>
    <row r="903" spans="1:4" ht="13.2">
      <c r="A903" s="71"/>
      <c r="B903" s="72"/>
      <c r="C903" s="71"/>
      <c r="D903" s="71"/>
    </row>
    <row r="904" spans="1:4" ht="13.2">
      <c r="A904" s="71"/>
      <c r="B904" s="72"/>
      <c r="C904" s="71"/>
      <c r="D904" s="71"/>
    </row>
    <row r="905" spans="1:4" ht="13.2">
      <c r="A905" s="71"/>
      <c r="B905" s="72"/>
      <c r="C905" s="71"/>
      <c r="D905" s="71"/>
    </row>
    <row r="906" spans="1:4" ht="13.2">
      <c r="A906" s="71"/>
      <c r="B906" s="72"/>
      <c r="C906" s="71"/>
      <c r="D906" s="71"/>
    </row>
    <row r="907" spans="1:4" ht="13.2">
      <c r="A907" s="71"/>
      <c r="B907" s="72"/>
      <c r="C907" s="71"/>
      <c r="D907" s="71"/>
    </row>
    <row r="908" spans="1:4" ht="13.2">
      <c r="A908" s="71"/>
      <c r="B908" s="72"/>
      <c r="C908" s="71"/>
      <c r="D908" s="71"/>
    </row>
    <row r="909" spans="1:4" ht="13.2">
      <c r="A909" s="71"/>
      <c r="B909" s="72"/>
      <c r="C909" s="71"/>
      <c r="D909" s="71"/>
    </row>
    <row r="910" spans="1:4" ht="13.2">
      <c r="A910" s="71"/>
      <c r="B910" s="72"/>
      <c r="C910" s="71"/>
      <c r="D910" s="71"/>
    </row>
    <row r="911" spans="1:4" ht="13.2">
      <c r="A911" s="71"/>
      <c r="B911" s="72"/>
      <c r="C911" s="71"/>
      <c r="D911" s="71"/>
    </row>
    <row r="912" spans="1:4" ht="13.2">
      <c r="A912" s="71"/>
      <c r="B912" s="72"/>
      <c r="C912" s="71"/>
      <c r="D912" s="71"/>
    </row>
    <row r="913" spans="1:4" ht="13.2">
      <c r="A913" s="71"/>
      <c r="B913" s="72"/>
      <c r="C913" s="71"/>
      <c r="D913" s="71"/>
    </row>
    <row r="914" spans="1:4" ht="13.2">
      <c r="A914" s="71"/>
      <c r="B914" s="72"/>
      <c r="C914" s="71"/>
      <c r="D914" s="71"/>
    </row>
    <row r="915" spans="1:4" ht="13.2">
      <c r="A915" s="71"/>
      <c r="B915" s="72"/>
      <c r="C915" s="71"/>
      <c r="D915" s="71"/>
    </row>
    <row r="916" spans="1:4" ht="13.2">
      <c r="A916" s="71"/>
      <c r="B916" s="72"/>
      <c r="C916" s="71"/>
      <c r="D916" s="71"/>
    </row>
    <row r="917" spans="1:4" ht="13.2">
      <c r="A917" s="71"/>
      <c r="B917" s="72"/>
      <c r="C917" s="71"/>
      <c r="D917" s="71"/>
    </row>
    <row r="918" spans="1:4" ht="13.2">
      <c r="A918" s="71"/>
      <c r="B918" s="72"/>
      <c r="C918" s="71"/>
      <c r="D918" s="71"/>
    </row>
    <row r="919" spans="1:4" ht="13.2">
      <c r="A919" s="71"/>
      <c r="B919" s="72"/>
      <c r="C919" s="71"/>
      <c r="D919" s="71"/>
    </row>
    <row r="920" spans="1:4" ht="13.2">
      <c r="A920" s="71"/>
      <c r="B920" s="72"/>
      <c r="C920" s="71"/>
      <c r="D920" s="71"/>
    </row>
    <row r="921" spans="1:4" ht="13.2">
      <c r="A921" s="71"/>
      <c r="B921" s="72"/>
      <c r="C921" s="71"/>
      <c r="D921" s="71"/>
    </row>
    <row r="922" spans="1:4" ht="13.2">
      <c r="A922" s="71"/>
      <c r="B922" s="72"/>
      <c r="C922" s="71"/>
      <c r="D922" s="71"/>
    </row>
    <row r="923" spans="1:4" ht="13.2">
      <c r="A923" s="71"/>
      <c r="B923" s="72"/>
      <c r="C923" s="71"/>
      <c r="D923" s="71"/>
    </row>
    <row r="924" spans="1:4" ht="13.2">
      <c r="A924" s="71"/>
      <c r="B924" s="72"/>
      <c r="C924" s="71"/>
      <c r="D924" s="71"/>
    </row>
    <row r="925" spans="1:4" ht="13.2">
      <c r="A925" s="71"/>
      <c r="B925" s="72"/>
      <c r="C925" s="71"/>
      <c r="D925" s="71"/>
    </row>
    <row r="926" spans="1:4" ht="13.2">
      <c r="A926" s="71"/>
      <c r="B926" s="72"/>
      <c r="C926" s="71"/>
      <c r="D926" s="71"/>
    </row>
    <row r="927" spans="1:4" ht="13.2">
      <c r="A927" s="71"/>
      <c r="B927" s="72"/>
      <c r="C927" s="71"/>
      <c r="D927" s="71"/>
    </row>
    <row r="928" spans="1:4" ht="13.2">
      <c r="A928" s="71"/>
      <c r="B928" s="72"/>
      <c r="C928" s="71"/>
      <c r="D928" s="71"/>
    </row>
    <row r="929" spans="1:4" ht="13.2">
      <c r="A929" s="71"/>
      <c r="B929" s="72"/>
      <c r="C929" s="71"/>
      <c r="D929" s="71"/>
    </row>
    <row r="930" spans="1:4" ht="13.2">
      <c r="A930" s="71"/>
      <c r="B930" s="72"/>
      <c r="C930" s="71"/>
      <c r="D930" s="71"/>
    </row>
    <row r="931" spans="1:4" ht="13.2">
      <c r="A931" s="71"/>
      <c r="B931" s="72"/>
      <c r="C931" s="71"/>
      <c r="D931" s="71"/>
    </row>
    <row r="932" spans="1:4" ht="13.2">
      <c r="A932" s="71"/>
      <c r="B932" s="72"/>
      <c r="C932" s="71"/>
      <c r="D932" s="71"/>
    </row>
    <row r="933" spans="1:4" ht="13.2">
      <c r="A933" s="71"/>
      <c r="B933" s="72"/>
      <c r="C933" s="71"/>
      <c r="D933" s="71"/>
    </row>
    <row r="934" spans="1:4" ht="13.2">
      <c r="A934" s="71"/>
      <c r="B934" s="72"/>
      <c r="C934" s="71"/>
      <c r="D934" s="71"/>
    </row>
    <row r="935" spans="1:4" ht="13.2">
      <c r="A935" s="71"/>
      <c r="B935" s="72"/>
      <c r="C935" s="71"/>
      <c r="D935" s="71"/>
    </row>
    <row r="936" spans="1:4" ht="13.2">
      <c r="A936" s="71"/>
      <c r="B936" s="72"/>
      <c r="C936" s="71"/>
      <c r="D936" s="71"/>
    </row>
    <row r="937" spans="1:4" ht="13.2">
      <c r="A937" s="71"/>
      <c r="B937" s="72"/>
      <c r="C937" s="71"/>
      <c r="D937" s="71"/>
    </row>
    <row r="938" spans="1:4" ht="13.2">
      <c r="A938" s="71"/>
      <c r="B938" s="72"/>
      <c r="C938" s="71"/>
      <c r="D938" s="71"/>
    </row>
    <row r="939" spans="1:4" ht="13.2">
      <c r="A939" s="71"/>
      <c r="B939" s="72"/>
      <c r="C939" s="71"/>
      <c r="D939" s="71"/>
    </row>
    <row r="940" spans="1:4" ht="13.2">
      <c r="A940" s="71"/>
      <c r="B940" s="72"/>
      <c r="C940" s="71"/>
      <c r="D940" s="71"/>
    </row>
    <row r="941" spans="1:4" ht="13.2">
      <c r="A941" s="71"/>
      <c r="B941" s="72"/>
      <c r="C941" s="71"/>
      <c r="D941" s="71"/>
    </row>
    <row r="942" spans="1:4" ht="13.2">
      <c r="A942" s="71"/>
      <c r="B942" s="72"/>
      <c r="C942" s="71"/>
      <c r="D942" s="71"/>
    </row>
    <row r="943" spans="1:4" ht="13.2">
      <c r="A943" s="71"/>
      <c r="B943" s="72"/>
      <c r="C943" s="71"/>
      <c r="D943" s="71"/>
    </row>
    <row r="944" spans="1:4" ht="13.2">
      <c r="A944" s="71"/>
      <c r="B944" s="72"/>
      <c r="C944" s="71"/>
      <c r="D944" s="71"/>
    </row>
    <row r="945" spans="1:4" ht="13.2">
      <c r="A945" s="71"/>
      <c r="B945" s="72"/>
      <c r="C945" s="71"/>
      <c r="D945" s="71"/>
    </row>
    <row r="946" spans="1:4" ht="13.2">
      <c r="A946" s="71"/>
      <c r="B946" s="72"/>
      <c r="C946" s="71"/>
      <c r="D946" s="71"/>
    </row>
    <row r="947" spans="1:4" ht="13.2">
      <c r="A947" s="71"/>
      <c r="B947" s="72"/>
      <c r="C947" s="71"/>
      <c r="D947" s="71"/>
    </row>
    <row r="948" spans="1:4" ht="13.2">
      <c r="A948" s="71"/>
      <c r="B948" s="72"/>
      <c r="C948" s="71"/>
      <c r="D948" s="71"/>
    </row>
    <row r="949" spans="1:4" ht="13.2">
      <c r="A949" s="71"/>
      <c r="B949" s="72"/>
      <c r="C949" s="71"/>
      <c r="D949" s="71"/>
    </row>
    <row r="950" spans="1:4" ht="13.2">
      <c r="A950" s="71"/>
      <c r="B950" s="72"/>
      <c r="C950" s="71"/>
      <c r="D950" s="71"/>
    </row>
    <row r="951" spans="1:4" ht="13.2">
      <c r="A951" s="71"/>
      <c r="B951" s="72"/>
      <c r="C951" s="71"/>
      <c r="D951" s="71"/>
    </row>
    <row r="952" spans="1:4" ht="13.2">
      <c r="A952" s="71"/>
      <c r="B952" s="72"/>
      <c r="C952" s="71"/>
      <c r="D952" s="71"/>
    </row>
    <row r="953" spans="1:4" ht="13.2">
      <c r="A953" s="71"/>
      <c r="B953" s="72"/>
      <c r="C953" s="71"/>
      <c r="D953" s="71"/>
    </row>
    <row r="954" spans="1:4" ht="13.2">
      <c r="A954" s="71"/>
      <c r="B954" s="72"/>
      <c r="C954" s="71"/>
      <c r="D954" s="71"/>
    </row>
    <row r="955" spans="1:4" ht="13.2">
      <c r="A955" s="71"/>
      <c r="B955" s="72"/>
      <c r="C955" s="71"/>
      <c r="D955" s="71"/>
    </row>
    <row r="956" spans="1:4" ht="13.2">
      <c r="A956" s="71"/>
      <c r="B956" s="72"/>
      <c r="C956" s="71"/>
      <c r="D956" s="71"/>
    </row>
    <row r="957" spans="1:4" ht="13.2">
      <c r="A957" s="71"/>
      <c r="B957" s="72"/>
      <c r="C957" s="71"/>
      <c r="D957" s="71"/>
    </row>
    <row r="958" spans="1:4" ht="13.2">
      <c r="A958" s="71"/>
      <c r="B958" s="72"/>
      <c r="C958" s="71"/>
      <c r="D958" s="71"/>
    </row>
    <row r="959" spans="1:4" ht="13.2">
      <c r="A959" s="71"/>
      <c r="B959" s="72"/>
      <c r="C959" s="71"/>
      <c r="D959" s="71"/>
    </row>
    <row r="960" spans="1:4" ht="13.2">
      <c r="A960" s="71"/>
      <c r="B960" s="72"/>
      <c r="C960" s="71"/>
      <c r="D960" s="71"/>
    </row>
    <row r="961" spans="1:4" ht="13.2">
      <c r="A961" s="71"/>
      <c r="B961" s="72"/>
      <c r="C961" s="71"/>
      <c r="D961" s="71"/>
    </row>
    <row r="962" spans="1:4" ht="13.2">
      <c r="A962" s="71"/>
      <c r="B962" s="72"/>
      <c r="C962" s="71"/>
      <c r="D962" s="71"/>
    </row>
    <row r="963" spans="1:4" ht="13.2">
      <c r="A963" s="71"/>
      <c r="B963" s="72"/>
      <c r="C963" s="71"/>
      <c r="D963" s="71"/>
    </row>
    <row r="964" spans="1:4" ht="13.2">
      <c r="A964" s="71"/>
      <c r="B964" s="72"/>
      <c r="C964" s="71"/>
      <c r="D964" s="71"/>
    </row>
    <row r="965" spans="1:4" ht="13.2">
      <c r="A965" s="71"/>
      <c r="B965" s="72"/>
      <c r="C965" s="71"/>
      <c r="D965" s="71"/>
    </row>
    <row r="966" spans="1:4" ht="13.2">
      <c r="A966" s="71"/>
      <c r="B966" s="72"/>
      <c r="C966" s="71"/>
      <c r="D966" s="71"/>
    </row>
    <row r="967" spans="1:4" ht="13.2">
      <c r="A967" s="71"/>
      <c r="B967" s="72"/>
      <c r="C967" s="71"/>
      <c r="D967" s="71"/>
    </row>
    <row r="968" spans="1:4" ht="13.2">
      <c r="A968" s="71"/>
      <c r="B968" s="72"/>
      <c r="C968" s="71"/>
      <c r="D968" s="71"/>
    </row>
    <row r="969" spans="1:4" ht="13.2">
      <c r="A969" s="71"/>
      <c r="B969" s="72"/>
      <c r="C969" s="71"/>
      <c r="D969" s="71"/>
    </row>
    <row r="970" spans="1:4" ht="13.2">
      <c r="A970" s="71"/>
      <c r="B970" s="72"/>
      <c r="C970" s="71"/>
      <c r="D970" s="71"/>
    </row>
    <row r="971" spans="1:4" ht="13.2">
      <c r="A971" s="71"/>
      <c r="B971" s="72"/>
      <c r="C971" s="71"/>
      <c r="D971" s="71"/>
    </row>
    <row r="972" spans="1:4" ht="13.2">
      <c r="A972" s="71"/>
      <c r="B972" s="72"/>
      <c r="C972" s="71"/>
      <c r="D972" s="71"/>
    </row>
    <row r="973" spans="1:4" ht="13.2">
      <c r="A973" s="71"/>
      <c r="B973" s="72"/>
      <c r="C973" s="71"/>
      <c r="D973" s="71"/>
    </row>
    <row r="974" spans="1:4" ht="13.2">
      <c r="A974" s="71"/>
      <c r="B974" s="72"/>
      <c r="C974" s="71"/>
      <c r="D974" s="71"/>
    </row>
    <row r="975" spans="1:4" ht="13.2">
      <c r="A975" s="71"/>
      <c r="B975" s="72"/>
      <c r="C975" s="71"/>
      <c r="D975" s="71"/>
    </row>
    <row r="976" spans="1:4" ht="13.2">
      <c r="A976" s="71"/>
      <c r="B976" s="72"/>
      <c r="C976" s="71"/>
      <c r="D976" s="71"/>
    </row>
    <row r="977" spans="1:4" ht="13.2">
      <c r="A977" s="71"/>
      <c r="B977" s="72"/>
      <c r="C977" s="71"/>
      <c r="D977" s="71"/>
    </row>
    <row r="978" spans="1:4" ht="13.2">
      <c r="A978" s="71"/>
      <c r="B978" s="72"/>
      <c r="C978" s="71"/>
      <c r="D978" s="71"/>
    </row>
    <row r="979" spans="1:4" ht="13.2">
      <c r="A979" s="71"/>
      <c r="B979" s="72"/>
      <c r="C979" s="71"/>
      <c r="D979" s="71"/>
    </row>
    <row r="980" spans="1:4" ht="13.2">
      <c r="A980" s="71"/>
      <c r="B980" s="72"/>
      <c r="C980" s="71"/>
      <c r="D980" s="71"/>
    </row>
    <row r="981" spans="1:4" ht="13.2">
      <c r="A981" s="71"/>
      <c r="B981" s="72"/>
      <c r="C981" s="71"/>
      <c r="D981" s="71"/>
    </row>
    <row r="982" spans="1:4" ht="13.2">
      <c r="A982" s="71"/>
      <c r="B982" s="72"/>
      <c r="C982" s="71"/>
      <c r="D982" s="71"/>
    </row>
    <row r="983" spans="1:4" ht="13.2">
      <c r="A983" s="71"/>
      <c r="B983" s="72"/>
      <c r="C983" s="71"/>
      <c r="D983" s="71"/>
    </row>
    <row r="984" spans="1:4" ht="13.2">
      <c r="A984" s="71"/>
      <c r="B984" s="72"/>
      <c r="C984" s="71"/>
      <c r="D984" s="71"/>
    </row>
    <row r="985" spans="1:4" ht="13.2">
      <c r="A985" s="71"/>
      <c r="B985" s="72"/>
      <c r="C985" s="71"/>
      <c r="D985" s="71"/>
    </row>
    <row r="986" spans="1:4" ht="13.2">
      <c r="A986" s="71"/>
      <c r="B986" s="72"/>
      <c r="C986" s="71"/>
      <c r="D986" s="71"/>
    </row>
    <row r="987" spans="1:4" ht="13.2">
      <c r="A987" s="71"/>
      <c r="B987" s="72"/>
      <c r="C987" s="71"/>
      <c r="D987" s="71"/>
    </row>
    <row r="988" spans="1:4" ht="13.2">
      <c r="A988" s="71"/>
      <c r="B988" s="72"/>
      <c r="C988" s="71"/>
      <c r="D988" s="71"/>
    </row>
    <row r="989" spans="1:4" ht="13.2">
      <c r="A989" s="71"/>
      <c r="B989" s="72"/>
      <c r="C989" s="71"/>
      <c r="D989" s="71"/>
    </row>
    <row r="990" spans="1:4" ht="13.2">
      <c r="A990" s="71"/>
      <c r="B990" s="72"/>
      <c r="C990" s="71"/>
      <c r="D990" s="71"/>
    </row>
    <row r="991" spans="1:4" ht="13.2">
      <c r="A991" s="71"/>
      <c r="B991" s="72"/>
      <c r="C991" s="71"/>
      <c r="D991" s="71"/>
    </row>
    <row r="992" spans="1:4" ht="13.2">
      <c r="A992" s="71"/>
      <c r="B992" s="72"/>
      <c r="C992" s="71"/>
      <c r="D992" s="71"/>
    </row>
    <row r="993" spans="1:4" ht="13.2">
      <c r="A993" s="71"/>
      <c r="B993" s="72"/>
      <c r="C993" s="71"/>
      <c r="D993" s="71"/>
    </row>
    <row r="994" spans="1:4" ht="13.2">
      <c r="A994" s="71"/>
      <c r="B994" s="72"/>
      <c r="C994" s="71"/>
      <c r="D994" s="71"/>
    </row>
    <row r="995" spans="1:4" ht="13.2">
      <c r="A995" s="71"/>
      <c r="B995" s="72"/>
      <c r="C995" s="71"/>
      <c r="D995" s="71"/>
    </row>
    <row r="996" spans="1:4" ht="13.2">
      <c r="A996" s="71"/>
      <c r="B996" s="72"/>
      <c r="C996" s="71"/>
      <c r="D996" s="71"/>
    </row>
    <row r="997" spans="1:4" ht="13.2">
      <c r="A997" s="71"/>
      <c r="B997" s="72"/>
      <c r="C997" s="71"/>
      <c r="D997" s="71"/>
    </row>
    <row r="998" spans="1:4" ht="13.2">
      <c r="A998" s="71"/>
      <c r="B998" s="72"/>
      <c r="C998" s="71"/>
      <c r="D998" s="71"/>
    </row>
    <row r="999" spans="1:4" ht="13.2">
      <c r="A999" s="71"/>
      <c r="B999" s="72"/>
      <c r="C999" s="71"/>
      <c r="D999" s="71"/>
    </row>
    <row r="1000" spans="1:4" ht="13.2">
      <c r="A1000" s="71"/>
      <c r="B1000" s="72"/>
      <c r="C1000" s="71"/>
      <c r="D1000" s="7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Z7"/>
  <sheetViews>
    <sheetView workbookViewId="0"/>
  </sheetViews>
  <sheetFormatPr baseColWidth="10" defaultColWidth="12.6640625" defaultRowHeight="15.75" customHeight="1"/>
  <sheetData>
    <row r="1" spans="1:26" ht="15.75" customHeight="1">
      <c r="A1" s="75" t="s">
        <v>385</v>
      </c>
      <c r="B1" s="75" t="s">
        <v>386</v>
      </c>
      <c r="C1" s="76" t="s">
        <v>387</v>
      </c>
      <c r="D1" s="76" t="s">
        <v>388</v>
      </c>
      <c r="E1" s="77" t="s">
        <v>389</v>
      </c>
      <c r="F1" s="77" t="s">
        <v>390</v>
      </c>
      <c r="G1" s="78" t="s">
        <v>391</v>
      </c>
      <c r="H1" s="78" t="s">
        <v>392</v>
      </c>
      <c r="I1" s="79" t="s">
        <v>393</v>
      </c>
      <c r="J1" s="79" t="s">
        <v>394</v>
      </c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</row>
    <row r="2" spans="1:26" ht="15.75" customHeight="1">
      <c r="A2" s="57">
        <v>10</v>
      </c>
      <c r="B2" s="43" t="s">
        <v>395</v>
      </c>
      <c r="C2" s="52">
        <v>631.4</v>
      </c>
      <c r="D2" s="81">
        <v>171.0747970490219</v>
      </c>
      <c r="E2" s="81">
        <v>171.0747970490219</v>
      </c>
      <c r="F2" s="81">
        <v>111.41841554138522</v>
      </c>
      <c r="G2" s="81">
        <v>111.41841554138522</v>
      </c>
      <c r="H2" s="57">
        <v>52</v>
      </c>
      <c r="I2" s="57">
        <v>52</v>
      </c>
      <c r="J2" s="57">
        <v>0</v>
      </c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</row>
    <row r="4" spans="1:26" ht="15.75" customHeight="1">
      <c r="C4" s="50"/>
    </row>
    <row r="5" spans="1:26" ht="15.75" customHeight="1">
      <c r="C5" s="50"/>
      <c r="D5" s="70"/>
    </row>
    <row r="6" spans="1:26" ht="15.75" customHeight="1">
      <c r="C6" s="50"/>
      <c r="D6" s="70"/>
    </row>
    <row r="7" spans="1:26" ht="13.2">
      <c r="D7" s="7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intermedios 2016</vt:lpstr>
      <vt:lpstr>Datos intermedios 2024</vt:lpstr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2026-06-08T14:32:53Z</dcterms:modified>
</cp:coreProperties>
</file>