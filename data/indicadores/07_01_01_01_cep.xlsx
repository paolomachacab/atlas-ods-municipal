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os intermedios 2016" sheetId="1" r:id="rId4"/>
    <sheet state="visible" name="Datos intermedios 2024" sheetId="2" r:id="rId5"/>
    <sheet state="visible" name="Datos Procesados" sheetId="3" r:id="rId6"/>
    <sheet state="visible" name="Indicador_MUN" sheetId="4" r:id="rId7"/>
    <sheet state="visible" name="Absoluto_MUN" sheetId="5" r:id="rId8"/>
    <sheet state="visible" name="Indicador_DEP" sheetId="6" r:id="rId9"/>
    <sheet state="visible" name="Absoluto_DEP" sheetId="7" r:id="rId10"/>
    <sheet state="visible" name="Umbral" sheetId="8" r:id="rId11"/>
    <sheet state="visible" name="Mapa" sheetId="9" r:id="rId12"/>
  </sheets>
  <definedNames/>
  <calcPr/>
  <pivotCaches>
    <pivotCache cacheId="0" r:id="rId13"/>
  </pivotCaches>
  <extLst>
    <ext uri="GoogleSheetsCustomDataVersion2">
      <go:sheetsCustomData xmlns:go="http://customooxmlschemas.google.com/" r:id="rId14" roundtripDataChecksum="HeJ2i9NgGpI/ZLz6fuN3RyT4FKw009Ug+ByKJHiz9nM="/>
    </ext>
  </extLst>
</workbook>
</file>

<file path=xl/sharedStrings.xml><?xml version="1.0" encoding="utf-8"?>
<sst xmlns="http://schemas.openxmlformats.org/spreadsheetml/2006/main" count="2230" uniqueCount="414">
  <si>
    <t>NÚMERO DE VIVIENDAS</t>
  </si>
  <si>
    <t>NÚMERO DE VIVIENDAS INTERPOLADAS PARTICULARES CON PERSONAS PRESENTES</t>
  </si>
  <si>
    <t>calculos adicionales</t>
  </si>
  <si>
    <t xml:space="preserve">Mediana de medidores </t>
  </si>
  <si>
    <t>Cantidad total de viviendas particulares ocupadas y desocupadas</t>
  </si>
  <si>
    <t>Codigo</t>
  </si>
  <si>
    <t>Municipio</t>
  </si>
  <si>
    <t xml:space="preserve"> interpoladas 2016</t>
  </si>
  <si>
    <t>Total</t>
  </si>
  <si>
    <t>Red de empresa eléctrica (servicio público)</t>
  </si>
  <si>
    <t>Motor propio</t>
  </si>
  <si>
    <t>Panel solar</t>
  </si>
  <si>
    <t>Otra</t>
  </si>
  <si>
    <t>No tiene</t>
  </si>
  <si>
    <t>Servicio público de energía eléctrica</t>
  </si>
  <si>
    <t>Total de medidores 2016 en la base de electricidad</t>
  </si>
  <si>
    <t>Total de medidores faltantes para 2016 en la base de electricidad</t>
  </si>
  <si>
    <t>Total de medidores a reemplazar con 0 en la base de electricidad</t>
  </si>
  <si>
    <t>Cantidad de viviendas/residencias estimadas 2016</t>
  </si>
  <si>
    <t>Sucre</t>
  </si>
  <si>
    <t>Yotala</t>
  </si>
  <si>
    <t>Poroma</t>
  </si>
  <si>
    <t>Azurduy</t>
  </si>
  <si>
    <t>Tarvita</t>
  </si>
  <si>
    <t>Zudáñez</t>
  </si>
  <si>
    <t>Presto</t>
  </si>
  <si>
    <t>Mojocoya</t>
  </si>
  <si>
    <t>Icla</t>
  </si>
  <si>
    <t>Padilla</t>
  </si>
  <si>
    <t>Tomina</t>
  </si>
  <si>
    <t>Sopachuy</t>
  </si>
  <si>
    <t>Villa Alcalá</t>
  </si>
  <si>
    <t>El Villar</t>
  </si>
  <si>
    <t>Monteagudo</t>
  </si>
  <si>
    <t>Huacareta</t>
  </si>
  <si>
    <t>Tarabuco</t>
  </si>
  <si>
    <t>Yamparáez</t>
  </si>
  <si>
    <t>Camargo</t>
  </si>
  <si>
    <t>San Lucas</t>
  </si>
  <si>
    <t>Incahuasi</t>
  </si>
  <si>
    <t>Villa Charcas</t>
  </si>
  <si>
    <t>Villa Serrano</t>
  </si>
  <si>
    <t>Villa Abecia (Camataqui)</t>
  </si>
  <si>
    <t>Culpina</t>
  </si>
  <si>
    <t>Las Carreras</t>
  </si>
  <si>
    <t>Muyupampa (Villa Vaca Gúzman)</t>
  </si>
  <si>
    <t>Huacaya</t>
  </si>
  <si>
    <t>Macharéti</t>
  </si>
  <si>
    <t>La Paz</t>
  </si>
  <si>
    <t>Palca</t>
  </si>
  <si>
    <t>Mecapaca</t>
  </si>
  <si>
    <t>Achocalla</t>
  </si>
  <si>
    <t>El Alto</t>
  </si>
  <si>
    <t>Achacachi</t>
  </si>
  <si>
    <t>Ancoraimes</t>
  </si>
  <si>
    <t>Chua Cocani</t>
  </si>
  <si>
    <t>Huarina</t>
  </si>
  <si>
    <t>Santiago de Huata</t>
  </si>
  <si>
    <t>Huatajata</t>
  </si>
  <si>
    <t>Corocoro</t>
  </si>
  <si>
    <t>Caquiaviri</t>
  </si>
  <si>
    <t>Calacoto</t>
  </si>
  <si>
    <t>Comanche</t>
  </si>
  <si>
    <t>Charaña</t>
  </si>
  <si>
    <t>Waldo Ballivián</t>
  </si>
  <si>
    <t>Nazacara de Pacajes</t>
  </si>
  <si>
    <t>Callapa</t>
  </si>
  <si>
    <t>Puerto Acosta</t>
  </si>
  <si>
    <t>Mocomoco</t>
  </si>
  <si>
    <t>Pto. Carabuco</t>
  </si>
  <si>
    <t>Humanata</t>
  </si>
  <si>
    <t>Escoma</t>
  </si>
  <si>
    <t>Chuma</t>
  </si>
  <si>
    <t>Ayata</t>
  </si>
  <si>
    <t>Aucapata</t>
  </si>
  <si>
    <t>Sorata</t>
  </si>
  <si>
    <t>Guanay</t>
  </si>
  <si>
    <t>Tacacoma</t>
  </si>
  <si>
    <t>Quiabaya</t>
  </si>
  <si>
    <t>Combaya</t>
  </si>
  <si>
    <t>Tipuani</t>
  </si>
  <si>
    <t>Mapiri</t>
  </si>
  <si>
    <t>Teoponte</t>
  </si>
  <si>
    <t>Apolo</t>
  </si>
  <si>
    <t>Pelechuco</t>
  </si>
  <si>
    <t>Viacha</t>
  </si>
  <si>
    <t>Guaqui</t>
  </si>
  <si>
    <t>Tiawanacu</t>
  </si>
  <si>
    <t>Desaguadero</t>
  </si>
  <si>
    <t>San Andres de Machaca</t>
  </si>
  <si>
    <t>Jesús de Machaca</t>
  </si>
  <si>
    <t>Taraco</t>
  </si>
  <si>
    <t>Luribay</t>
  </si>
  <si>
    <t>Sapahaqui</t>
  </si>
  <si>
    <t>Yaco</t>
  </si>
  <si>
    <t>Malla</t>
  </si>
  <si>
    <t>Cairoma</t>
  </si>
  <si>
    <t>Inquisivi</t>
  </si>
  <si>
    <t>Quime</t>
  </si>
  <si>
    <t>Cajuata</t>
  </si>
  <si>
    <t>Colquiri</t>
  </si>
  <si>
    <t>Ichoca</t>
  </si>
  <si>
    <t>Villa Libertad Licoma</t>
  </si>
  <si>
    <t>Chulumani</t>
  </si>
  <si>
    <t>Irupana</t>
  </si>
  <si>
    <t>Yanacachi</t>
  </si>
  <si>
    <t>Palos Blancos</t>
  </si>
  <si>
    <t>La Asunta</t>
  </si>
  <si>
    <t>Pucarani</t>
  </si>
  <si>
    <t>Laja</t>
  </si>
  <si>
    <t>Batallas</t>
  </si>
  <si>
    <t>Puerto Pérez</t>
  </si>
  <si>
    <t>Sica Sica</t>
  </si>
  <si>
    <t>Umala</t>
  </si>
  <si>
    <t>Ayo Ayo</t>
  </si>
  <si>
    <t>Calamarca</t>
  </si>
  <si>
    <t>Patacamaya</t>
  </si>
  <si>
    <t>Colquencha</t>
  </si>
  <si>
    <t>Collana</t>
  </si>
  <si>
    <t>Coroico</t>
  </si>
  <si>
    <t>Coripata</t>
  </si>
  <si>
    <t xml:space="preserve">Ixiamas </t>
  </si>
  <si>
    <t>San Buenaventura</t>
  </si>
  <si>
    <t>Charazani</t>
  </si>
  <si>
    <t>Curva</t>
  </si>
  <si>
    <t>Copacabana</t>
  </si>
  <si>
    <t>San Pedro de Tiquina</t>
  </si>
  <si>
    <t>Tito Yupanqui</t>
  </si>
  <si>
    <t>San Pedro de Curahuara</t>
  </si>
  <si>
    <t>Papel Pampa</t>
  </si>
  <si>
    <t>Chacarilla</t>
  </si>
  <si>
    <t>Santiago de Machaca</t>
  </si>
  <si>
    <t>Catacora</t>
  </si>
  <si>
    <t>Caranavi</t>
  </si>
  <si>
    <t>Alto Beni</t>
  </si>
  <si>
    <t xml:space="preserve">Cochabamba </t>
  </si>
  <si>
    <t>Aiquile</t>
  </si>
  <si>
    <t>Pasorapa</t>
  </si>
  <si>
    <t>Omereque</t>
  </si>
  <si>
    <t>Independencia</t>
  </si>
  <si>
    <t>Morochata</t>
  </si>
  <si>
    <t>Cocapata</t>
  </si>
  <si>
    <t xml:space="preserve">Tarata </t>
  </si>
  <si>
    <t>Anzaldo</t>
  </si>
  <si>
    <t>Arbieto</t>
  </si>
  <si>
    <t>Sacabamba</t>
  </si>
  <si>
    <t>Arani</t>
  </si>
  <si>
    <t>Vacas</t>
  </si>
  <si>
    <t xml:space="preserve">Arque </t>
  </si>
  <si>
    <t>Tacopaya</t>
  </si>
  <si>
    <t>Capinota</t>
  </si>
  <si>
    <t>Santivañez</t>
  </si>
  <si>
    <t>Sicaya</t>
  </si>
  <si>
    <t>Cliza</t>
  </si>
  <si>
    <t>Toko</t>
  </si>
  <si>
    <t>Tolata</t>
  </si>
  <si>
    <t>Quillacollo</t>
  </si>
  <si>
    <t>Sipesipe</t>
  </si>
  <si>
    <t>Tiquipaya</t>
  </si>
  <si>
    <t xml:space="preserve">Vinto </t>
  </si>
  <si>
    <t>Colcapirhua</t>
  </si>
  <si>
    <t>Sacaba</t>
  </si>
  <si>
    <t>Colomi</t>
  </si>
  <si>
    <t>Villa Tunari</t>
  </si>
  <si>
    <t>Tapacarí</t>
  </si>
  <si>
    <t xml:space="preserve">Totora </t>
  </si>
  <si>
    <t>Pojo</t>
  </si>
  <si>
    <t>Pocona</t>
  </si>
  <si>
    <t>Chimoré</t>
  </si>
  <si>
    <t>Puerto Villarroel</t>
  </si>
  <si>
    <t>Entre Ríos</t>
  </si>
  <si>
    <t>Mizque</t>
  </si>
  <si>
    <t>Vila Vila</t>
  </si>
  <si>
    <t>Alalay</t>
  </si>
  <si>
    <t>TIOC-Raqaypampa</t>
  </si>
  <si>
    <t>Punata</t>
  </si>
  <si>
    <t>Villa Rivero</t>
  </si>
  <si>
    <t>San Benito</t>
  </si>
  <si>
    <t>Tacachi</t>
  </si>
  <si>
    <t>Cuchumuela</t>
  </si>
  <si>
    <t>Bolivar</t>
  </si>
  <si>
    <t>Tiraque</t>
  </si>
  <si>
    <t>Shinahota</t>
  </si>
  <si>
    <t>Oruro</t>
  </si>
  <si>
    <t>Caracollo</t>
  </si>
  <si>
    <t>El Choro</t>
  </si>
  <si>
    <t>Pari - Paría - Soracachi</t>
  </si>
  <si>
    <t>Challapata</t>
  </si>
  <si>
    <t>Quillacas</t>
  </si>
  <si>
    <t>Corque</t>
  </si>
  <si>
    <t>Choque Cota</t>
  </si>
  <si>
    <t>Curahuara de Carangas</t>
  </si>
  <si>
    <t>Turco</t>
  </si>
  <si>
    <t>Huachacalla</t>
  </si>
  <si>
    <t>Escara</t>
  </si>
  <si>
    <t>Cruz de Machacamarca</t>
  </si>
  <si>
    <t>Yunguyo de Litoral</t>
  </si>
  <si>
    <t>Esmeralda</t>
  </si>
  <si>
    <t>Poopó</t>
  </si>
  <si>
    <t>Pazña</t>
  </si>
  <si>
    <t>Antequera</t>
  </si>
  <si>
    <t>Huanuni</t>
  </si>
  <si>
    <t>Machacamarca</t>
  </si>
  <si>
    <t>Salinas de García Mendoza</t>
  </si>
  <si>
    <t>Pampa Aullagas</t>
  </si>
  <si>
    <t>Sabaya</t>
  </si>
  <si>
    <t>Coipasa</t>
  </si>
  <si>
    <t>Chipaya</t>
  </si>
  <si>
    <t>Toledo</t>
  </si>
  <si>
    <t>Eucaliptus</t>
  </si>
  <si>
    <t>Santiago de Andamarca</t>
  </si>
  <si>
    <t>Belén de Andamarca</t>
  </si>
  <si>
    <t>San Pedro de Totora</t>
  </si>
  <si>
    <t>Huari</t>
  </si>
  <si>
    <t>La Rivera</t>
  </si>
  <si>
    <t>Todos Santos</t>
  </si>
  <si>
    <t>Carangas</t>
  </si>
  <si>
    <t>Huayllamarca</t>
  </si>
  <si>
    <t>Potosí</t>
  </si>
  <si>
    <t>Tinguipaya</t>
  </si>
  <si>
    <t>Yocalla</t>
  </si>
  <si>
    <t>Urmiri</t>
  </si>
  <si>
    <t xml:space="preserve">Uncía </t>
  </si>
  <si>
    <t>Chayanta</t>
  </si>
  <si>
    <t>Llallagua</t>
  </si>
  <si>
    <t>Chuquiuta</t>
  </si>
  <si>
    <t>Betanzos</t>
  </si>
  <si>
    <t>Chaquí</t>
  </si>
  <si>
    <t>Tacobamba</t>
  </si>
  <si>
    <t>Colquechaca</t>
  </si>
  <si>
    <t>Ravelo</t>
  </si>
  <si>
    <t>Pocoata</t>
  </si>
  <si>
    <t>Ocurí</t>
  </si>
  <si>
    <t>San Pedro de Macha</t>
  </si>
  <si>
    <t>S. P. de Buena Vista</t>
  </si>
  <si>
    <t>Toro Toro</t>
  </si>
  <si>
    <t>Cotagaita</t>
  </si>
  <si>
    <t>Vitichi</t>
  </si>
  <si>
    <t>Villa de Sacaca</t>
  </si>
  <si>
    <t>Caripuyo</t>
  </si>
  <si>
    <t>Tupiza</t>
  </si>
  <si>
    <t>Atocha</t>
  </si>
  <si>
    <t>Colcha "K"</t>
  </si>
  <si>
    <t>San Pedro de Quemes</t>
  </si>
  <si>
    <t>San Pablo de Lipez</t>
  </si>
  <si>
    <t>Mojinete</t>
  </si>
  <si>
    <t>San Antonio de Esmoruco</t>
  </si>
  <si>
    <t>Puna</t>
  </si>
  <si>
    <t>Caiza "D"</t>
  </si>
  <si>
    <t>Ckochas</t>
  </si>
  <si>
    <t>Uyuni</t>
  </si>
  <si>
    <t>Tomave</t>
  </si>
  <si>
    <t>Porco</t>
  </si>
  <si>
    <t>TIOC-Jatun Ayllu Yura</t>
  </si>
  <si>
    <t>Arampampa</t>
  </si>
  <si>
    <t>Acasio</t>
  </si>
  <si>
    <t>Llica</t>
  </si>
  <si>
    <t>Tahua</t>
  </si>
  <si>
    <t>Villazón</t>
  </si>
  <si>
    <t>San Agustín</t>
  </si>
  <si>
    <t>Tarija</t>
  </si>
  <si>
    <t>Padcaya</t>
  </si>
  <si>
    <t>Bermejo</t>
  </si>
  <si>
    <t>Yacuiba</t>
  </si>
  <si>
    <t>Caraparí</t>
  </si>
  <si>
    <t>Villamontes</t>
  </si>
  <si>
    <t>Uriondo</t>
  </si>
  <si>
    <t>Yunchará</t>
  </si>
  <si>
    <t>Villa San Lorenzo</t>
  </si>
  <si>
    <t>El Puente</t>
  </si>
  <si>
    <t>Santa Cruz de la Sierra</t>
  </si>
  <si>
    <t>Cotoca</t>
  </si>
  <si>
    <t>Porongo</t>
  </si>
  <si>
    <t>La Guardia</t>
  </si>
  <si>
    <t>El Torno</t>
  </si>
  <si>
    <t>Warnes</t>
  </si>
  <si>
    <t>Okinawa Uno</t>
  </si>
  <si>
    <t>San Ignacio de Velazco</t>
  </si>
  <si>
    <t>San Miguel de Velazco</t>
  </si>
  <si>
    <t>San Rafael</t>
  </si>
  <si>
    <t>Buena Vista</t>
  </si>
  <si>
    <t>San Carlos</t>
  </si>
  <si>
    <t>Yapacaní</t>
  </si>
  <si>
    <t>San Juan de Yapacaní</t>
  </si>
  <si>
    <t>San José de Chiquitos</t>
  </si>
  <si>
    <t>Pailón</t>
  </si>
  <si>
    <t>Roboré</t>
  </si>
  <si>
    <t>Portachuelo</t>
  </si>
  <si>
    <t>Santa Rosa del Sara</t>
  </si>
  <si>
    <t>Colpa Belgica</t>
  </si>
  <si>
    <t>Lagunillas</t>
  </si>
  <si>
    <t>Charagua</t>
  </si>
  <si>
    <t>Cabezas</t>
  </si>
  <si>
    <t xml:space="preserve">Cuevo </t>
  </si>
  <si>
    <t>Gutiérrez</t>
  </si>
  <si>
    <t>Camiri</t>
  </si>
  <si>
    <t>Boyuibe</t>
  </si>
  <si>
    <t>Vallegrande</t>
  </si>
  <si>
    <t xml:space="preserve">Trigal </t>
  </si>
  <si>
    <t>Moro Moro</t>
  </si>
  <si>
    <t>Postrer Valle</t>
  </si>
  <si>
    <t>Pucará</t>
  </si>
  <si>
    <t>Samaipata</t>
  </si>
  <si>
    <t>Pampa Grande</t>
  </si>
  <si>
    <t>Mairana</t>
  </si>
  <si>
    <t>Quirusillas</t>
  </si>
  <si>
    <t>Montero</t>
  </si>
  <si>
    <t>Gral. Saavedra</t>
  </si>
  <si>
    <t>Mineros</t>
  </si>
  <si>
    <t>Fernández Alonzo</t>
  </si>
  <si>
    <t>San Pedro</t>
  </si>
  <si>
    <t>Concepción</t>
  </si>
  <si>
    <t>San Javier</t>
  </si>
  <si>
    <t>San Ramón</t>
  </si>
  <si>
    <t>San Julián</t>
  </si>
  <si>
    <t>San Antonio de Lomerío</t>
  </si>
  <si>
    <t>Cuatro Cañadas</t>
  </si>
  <si>
    <t>San Matías</t>
  </si>
  <si>
    <t>Comarapa</t>
  </si>
  <si>
    <t>Saipina</t>
  </si>
  <si>
    <t>Puerto Suárez</t>
  </si>
  <si>
    <t>Puerto Quijarro</t>
  </si>
  <si>
    <t>Carmen Rivero Tórrez</t>
  </si>
  <si>
    <t>Ascensión de Guarayos</t>
  </si>
  <si>
    <t>Urubichá</t>
  </si>
  <si>
    <t>Trinidad</t>
  </si>
  <si>
    <t>Riberalta</t>
  </si>
  <si>
    <t>Guayaramerín</t>
  </si>
  <si>
    <t>Reyes</t>
  </si>
  <si>
    <t>San Borja</t>
  </si>
  <si>
    <t>Santa Rosa</t>
  </si>
  <si>
    <t>Rurrenabaque</t>
  </si>
  <si>
    <t>Santa Ana de Yacuma</t>
  </si>
  <si>
    <t>Exaltación</t>
  </si>
  <si>
    <t>San Ignacio</t>
  </si>
  <si>
    <t>Loreto</t>
  </si>
  <si>
    <t>San Andrés</t>
  </si>
  <si>
    <t>San Joaquín</t>
  </si>
  <si>
    <t>Puerto Siles</t>
  </si>
  <si>
    <t>Magdalena</t>
  </si>
  <si>
    <t>Baures</t>
  </si>
  <si>
    <t>Huacaraje</t>
  </si>
  <si>
    <t>TIOC-Territorio Indígena Multiétnico</t>
  </si>
  <si>
    <t xml:space="preserve">Cobija </t>
  </si>
  <si>
    <t>Porvenir</t>
  </si>
  <si>
    <t>Bolpebra</t>
  </si>
  <si>
    <t>Bella Flor</t>
  </si>
  <si>
    <t xml:space="preserve">Puerto Rico </t>
  </si>
  <si>
    <t>Filadelfia</t>
  </si>
  <si>
    <t>Puerto Gonzalez Moreno</t>
  </si>
  <si>
    <t>San Lorenzo</t>
  </si>
  <si>
    <t>Sena</t>
  </si>
  <si>
    <t xml:space="preserve">Santa Rosa </t>
  </si>
  <si>
    <t>Ingavi</t>
  </si>
  <si>
    <t>Nueva Esperanza</t>
  </si>
  <si>
    <t>Villa Nueva (Loma Alta)</t>
  </si>
  <si>
    <t>Santos Mercado</t>
  </si>
  <si>
    <t xml:space="preserve">2,516,760 </t>
  </si>
  <si>
    <t>Total de medidores 2024 en la base de electricidad</t>
  </si>
  <si>
    <t>Total de medidores faltantes para 2024 en la base de electricidad</t>
  </si>
  <si>
    <t>Cantidad de viviendas/residencias estimadas 2024</t>
  </si>
  <si>
    <t>id</t>
  </si>
  <si>
    <t>Departamento</t>
  </si>
  <si>
    <t>Población2016</t>
  </si>
  <si>
    <t>consumo_kwh_anual_2016 (sin 4 nuevos municipios)</t>
  </si>
  <si>
    <t>consumo_per_capita_2016</t>
  </si>
  <si>
    <t>Población2024</t>
  </si>
  <si>
    <t>consumo_kwh_anual_2024</t>
  </si>
  <si>
    <t>consumo_per_capita_2024</t>
  </si>
  <si>
    <t>SUM of consumo_kwh_anual_2016 (sin 4 nuevos municipios)</t>
  </si>
  <si>
    <t>SUM of consumo_kwh_anual_2024</t>
  </si>
  <si>
    <t>SUM of Población2016</t>
  </si>
  <si>
    <t>SUM of Población2024</t>
  </si>
  <si>
    <t>Chuquisaca</t>
  </si>
  <si>
    <t>Beni</t>
  </si>
  <si>
    <t>tier 4-800kwh</t>
  </si>
  <si>
    <t>Bolivia</t>
  </si>
  <si>
    <t>Cochabamba</t>
  </si>
  <si>
    <t>CPV 2012</t>
  </si>
  <si>
    <t>CPV 2024</t>
  </si>
  <si>
    <t>Gran Chaco</t>
  </si>
  <si>
    <t>ODS alcanzado</t>
  </si>
  <si>
    <t>Próximo a alcanzarse</t>
  </si>
  <si>
    <t>Quedan retos importantes</t>
  </si>
  <si>
    <t>Pando</t>
  </si>
  <si>
    <t>Quedan retos grandes</t>
  </si>
  <si>
    <t>Informacion no disponible</t>
  </si>
  <si>
    <t>Santa Cruz</t>
  </si>
  <si>
    <t>TOTAL</t>
  </si>
  <si>
    <t>Suma total</t>
  </si>
  <si>
    <t>https://openknowledge.worldbank.org/entities/publication/63daaa86-e68d-40ae-9c3e-50dcba8f92cd</t>
  </si>
  <si>
    <t>id_departamento</t>
  </si>
  <si>
    <t>consumo_kwh_anual_2016</t>
  </si>
  <si>
    <t xml:space="preserve">max </t>
  </si>
  <si>
    <t>promedio</t>
  </si>
  <si>
    <t>0*5desv</t>
  </si>
  <si>
    <t>max</t>
  </si>
  <si>
    <t>min</t>
  </si>
  <si>
    <t>promedio de los top 5</t>
  </si>
  <si>
    <t>2,5 percentil inferior</t>
  </si>
  <si>
    <t xml:space="preserve">consumo_kwh_anual_2016 </t>
  </si>
  <si>
    <t>ODS</t>
  </si>
  <si>
    <t>Indicador</t>
  </si>
  <si>
    <t>Meta Alcanzada max</t>
  </si>
  <si>
    <t>Meta Alcanzada min</t>
  </si>
  <si>
    <t>Próximo a Alcanzarse max</t>
  </si>
  <si>
    <t>Próximo a Alcanzarse min</t>
  </si>
  <si>
    <t>Quedan Retos Importantes max</t>
  </si>
  <si>
    <t>Quedan Retos Importantes min</t>
  </si>
  <si>
    <t>Quedan Retos Grandes max</t>
  </si>
  <si>
    <t>Quedan Retos Grandes min</t>
  </si>
  <si>
    <t>Criterio Umbral Verde</t>
  </si>
  <si>
    <t>Consumo de electricidad residencial per cápita</t>
  </si>
  <si>
    <t>World Bank, 2025. An Evaluation of the World Bank Group's Support to Electricity Access in Sub-Saharan Africa, 2015-24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</si>
</sst>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00"/>
    <numFmt numFmtId="165" formatCode="_-* #,##0_-;\-* #,##0_-;_-* &quot;-&quot;??_-;_-@"/>
  </numFmts>
  <fonts count="14">
    <font>
      <sz val="10.0"/>
      <color rgb="FF000000"/>
      <name val="Arial"/>
      <scheme val="minor"/>
    </font>
    <font>
      <sz val="10.0"/>
      <color theme="1"/>
      <name val="Arial"/>
    </font>
    <font>
      <b/>
      <sz val="10.0"/>
      <color theme="1"/>
      <name val="Arial"/>
    </font>
    <font/>
    <font>
      <sz val="11.0"/>
      <color theme="1"/>
      <name val="Calibri"/>
    </font>
    <font>
      <b/>
      <sz val="11.0"/>
      <color theme="1"/>
      <name val="Calibri"/>
    </font>
    <font>
      <sz val="9.0"/>
      <color theme="1"/>
      <name val="Arial"/>
    </font>
    <font>
      <sz val="10.0"/>
      <color rgb="FF000000"/>
      <name val="Arial"/>
    </font>
    <font>
      <sz val="11.0"/>
      <color rgb="FF000000"/>
      <name val="Arial"/>
    </font>
    <font>
      <sz val="11.0"/>
      <color rgb="FF000000"/>
      <name val="Calibri"/>
    </font>
    <font>
      <u/>
      <sz val="11.0"/>
      <color theme="1"/>
      <name val="Calibri"/>
    </font>
    <font>
      <color theme="1"/>
      <name val="Arial"/>
      <scheme val="minor"/>
    </font>
    <font>
      <b/>
      <sz val="9.0"/>
      <color theme="1"/>
      <name val="Play"/>
    </font>
    <font>
      <sz val="11.0"/>
      <color theme="1"/>
      <name val="Aptos Narrow"/>
    </font>
  </fonts>
  <fills count="1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5D8CAF"/>
        <bgColor rgb="FF5D8CAF"/>
      </patternFill>
    </fill>
    <fill>
      <patternFill patternType="solid">
        <fgColor rgb="FF6FA8DC"/>
        <bgColor rgb="FF6FA8DC"/>
      </patternFill>
    </fill>
    <fill>
      <patternFill patternType="solid">
        <fgColor rgb="FF5B95F9"/>
        <bgColor rgb="FF5B95F9"/>
      </patternFill>
    </fill>
    <fill>
      <patternFill patternType="solid">
        <fgColor rgb="FFD8ECEF"/>
        <bgColor rgb="FFD8ECEF"/>
      </patternFill>
    </fill>
    <fill>
      <patternFill patternType="solid">
        <fgColor rgb="FFEAD1DC"/>
        <bgColor rgb="FFEAD1DC"/>
      </patternFill>
    </fill>
    <fill>
      <patternFill patternType="solid">
        <fgColor rgb="FFE8F0FE"/>
        <bgColor rgb="FFE8F0FE"/>
      </patternFill>
    </fill>
    <fill>
      <patternFill patternType="solid">
        <fgColor rgb="FFFF9900"/>
        <bgColor rgb="FFFF9900"/>
      </patternFill>
    </fill>
    <fill>
      <patternFill patternType="solid">
        <fgColor rgb="FFE69138"/>
        <bgColor rgb="FFE69138"/>
      </patternFill>
    </fill>
    <fill>
      <patternFill patternType="solid">
        <fgColor rgb="FFFFD966"/>
        <bgColor rgb="FFFFD966"/>
      </patternFill>
    </fill>
    <fill>
      <patternFill patternType="solid">
        <fgColor rgb="FF7F7F7F"/>
        <bgColor rgb="FF7F7F7F"/>
      </patternFill>
    </fill>
    <fill>
      <patternFill patternType="solid">
        <fgColor rgb="FF00B050"/>
        <bgColor rgb="FF00B050"/>
      </patternFill>
    </fill>
    <fill>
      <patternFill patternType="solid">
        <fgColor rgb="FFFFFF00"/>
        <bgColor rgb="FFFFFF00"/>
      </patternFill>
    </fill>
    <fill>
      <patternFill patternType="solid">
        <fgColor rgb="FFE97132"/>
        <bgColor rgb="FFE97132"/>
      </patternFill>
    </fill>
    <fill>
      <patternFill patternType="solid">
        <fgColor rgb="FFEE0000"/>
        <bgColor rgb="FFEE0000"/>
      </patternFill>
    </fill>
    <fill>
      <patternFill patternType="solid">
        <fgColor rgb="FFB6D7A8"/>
        <bgColor rgb="FFB6D7A8"/>
      </patternFill>
    </fill>
  </fills>
  <borders count="2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/>
      <top/>
      <bottom/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999999"/>
      </left>
      <top style="thin">
        <color rgb="FF999999"/>
      </top>
    </border>
    <border>
      <left style="thin">
        <color rgb="FFFFFFFF"/>
      </left>
      <top style="thin">
        <color rgb="FF999999"/>
      </top>
    </border>
    <border>
      <left style="thin">
        <color rgb="FFFFFFFF"/>
      </left>
      <right style="thin">
        <color rgb="FF999999"/>
      </right>
      <top style="thin">
        <color rgb="FF999999"/>
      </top>
    </border>
    <border>
      <top style="thin">
        <color rgb="FF999999"/>
      </top>
    </border>
    <border>
      <right style="thin">
        <color rgb="FF999999"/>
      </right>
      <top style="thin">
        <color rgb="FF999999"/>
      </top>
    </border>
    <border>
      <left style="thin">
        <color rgb="FF999999"/>
      </left>
    </border>
    <border>
      <right style="thin">
        <color rgb="FF999999"/>
      </right>
    </border>
    <border>
      <right style="thin">
        <color rgb="FF000000"/>
      </right>
      <bottom style="thin">
        <color rgb="FF000000"/>
      </bottom>
    </border>
    <border>
      <left style="thin">
        <color rgb="FF999999"/>
      </left>
      <top style="thin">
        <color rgb="FF999999"/>
      </top>
      <bottom style="thin">
        <color rgb="FF999999"/>
      </bottom>
    </border>
    <border>
      <top style="thin">
        <color rgb="FF999999"/>
      </top>
      <bottom style="thin">
        <color rgb="FF999999"/>
      </bottom>
    </border>
    <border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borderId="0" fillId="0" fontId="0" numFmtId="0" applyAlignment="1" applyFont="1"/>
  </cellStyleXfs>
  <cellXfs count="132">
    <xf borderId="0" fillId="0" fontId="0" numFmtId="0" xfId="0" applyAlignment="1" applyFont="1">
      <alignment readingOrder="0" shrinkToFit="0" vertical="bottom" wrapText="0"/>
    </xf>
    <xf borderId="1" fillId="2" fontId="1" numFmtId="164" xfId="0" applyBorder="1" applyFill="1" applyFont="1" applyNumberFormat="1"/>
    <xf borderId="1" fillId="2" fontId="1" numFmtId="0" xfId="0" applyBorder="1" applyFont="1"/>
    <xf borderId="2" fillId="3" fontId="2" numFmtId="0" xfId="0" applyAlignment="1" applyBorder="1" applyFill="1" applyFont="1">
      <alignment horizontal="center" shrinkToFit="0" wrapText="1"/>
    </xf>
    <xf borderId="3" fillId="0" fontId="3" numFmtId="0" xfId="0" applyBorder="1" applyFont="1"/>
    <xf borderId="4" fillId="0" fontId="3" numFmtId="0" xfId="0" applyBorder="1" applyFont="1"/>
    <xf borderId="2" fillId="4" fontId="2" numFmtId="0" xfId="0" applyAlignment="1" applyBorder="1" applyFill="1" applyFont="1">
      <alignment horizontal="center" shrinkToFit="0" wrapText="1"/>
    </xf>
    <xf borderId="2" fillId="0" fontId="2" numFmtId="0" xfId="0" applyAlignment="1" applyBorder="1" applyFont="1">
      <alignment horizontal="center"/>
    </xf>
    <xf borderId="5" fillId="2" fontId="2" numFmtId="0" xfId="0" applyAlignment="1" applyBorder="1" applyFont="1">
      <alignment horizontal="center" shrinkToFit="0" wrapText="1"/>
    </xf>
    <xf borderId="6" fillId="2" fontId="1" numFmtId="0" xfId="0" applyBorder="1" applyFont="1"/>
    <xf borderId="7" fillId="3" fontId="2" numFmtId="0" xfId="0" applyAlignment="1" applyBorder="1" applyFont="1">
      <alignment horizontal="center" shrinkToFit="0" wrapText="1"/>
    </xf>
    <xf borderId="8" fillId="0" fontId="3" numFmtId="0" xfId="0" applyBorder="1" applyFont="1"/>
    <xf borderId="9" fillId="0" fontId="3" numFmtId="0" xfId="0" applyBorder="1" applyFont="1"/>
    <xf borderId="0" fillId="0" fontId="4" numFmtId="0" xfId="0" applyFont="1"/>
    <xf borderId="5" fillId="0" fontId="5" numFmtId="3" xfId="0" applyBorder="1" applyFont="1" applyNumberFormat="1"/>
    <xf borderId="5" fillId="0" fontId="5" numFmtId="0" xfId="0" applyBorder="1" applyFont="1"/>
    <xf borderId="1" fillId="0" fontId="1" numFmtId="0" xfId="0" applyBorder="1" applyFont="1"/>
    <xf borderId="10" fillId="0" fontId="3" numFmtId="0" xfId="0" applyBorder="1" applyFont="1"/>
    <xf borderId="6" fillId="2" fontId="1" numFmtId="164" xfId="0" applyBorder="1" applyFont="1" applyNumberFormat="1"/>
    <xf borderId="1" fillId="3" fontId="2" numFmtId="164" xfId="0" applyAlignment="1" applyBorder="1" applyFont="1" applyNumberFormat="1">
      <alignment horizontal="center" shrinkToFit="0" wrapText="1"/>
    </xf>
    <xf borderId="1" fillId="3" fontId="2" numFmtId="3" xfId="0" applyAlignment="1" applyBorder="1" applyFont="1" applyNumberFormat="1">
      <alignment horizontal="center" shrinkToFit="0" wrapText="1"/>
    </xf>
    <xf borderId="11" fillId="0" fontId="3" numFmtId="0" xfId="0" applyBorder="1" applyFont="1"/>
    <xf borderId="1" fillId="3" fontId="2" numFmtId="0" xfId="0" applyAlignment="1" applyBorder="1" applyFont="1">
      <alignment horizontal="center" shrinkToFit="0" wrapText="1"/>
    </xf>
    <xf borderId="1" fillId="4" fontId="2" numFmtId="0" xfId="0" applyAlignment="1" applyBorder="1" applyFont="1">
      <alignment horizontal="center" shrinkToFit="0" wrapText="1"/>
    </xf>
    <xf borderId="1" fillId="5" fontId="5" numFmtId="0" xfId="0" applyAlignment="1" applyBorder="1" applyFill="1" applyFont="1">
      <alignment horizontal="center" shrinkToFit="0" wrapText="1"/>
    </xf>
    <xf borderId="1" fillId="2" fontId="2" numFmtId="3" xfId="0" applyAlignment="1" applyBorder="1" applyFont="1" applyNumberFormat="1">
      <alignment horizontal="center" shrinkToFit="0" wrapText="1"/>
    </xf>
    <xf borderId="1" fillId="2" fontId="4" numFmtId="164" xfId="0" applyAlignment="1" applyBorder="1" applyFont="1" applyNumberFormat="1">
      <alignment horizontal="right"/>
    </xf>
    <xf borderId="1" fillId="2" fontId="4" numFmtId="3" xfId="0" applyBorder="1" applyFont="1" applyNumberFormat="1"/>
    <xf borderId="12" fillId="6" fontId="6" numFmtId="3" xfId="0" applyAlignment="1" applyBorder="1" applyFill="1" applyFont="1" applyNumberFormat="1">
      <alignment horizontal="right"/>
    </xf>
    <xf borderId="6" fillId="7" fontId="1" numFmtId="3" xfId="0" applyAlignment="1" applyBorder="1" applyFill="1" applyFont="1" applyNumberFormat="1">
      <alignment horizontal="right"/>
    </xf>
    <xf borderId="6" fillId="2" fontId="1" numFmtId="3" xfId="0" applyAlignment="1" applyBorder="1" applyFont="1" applyNumberFormat="1">
      <alignment horizontal="right"/>
    </xf>
    <xf borderId="6" fillId="2" fontId="6" numFmtId="3" xfId="0" applyAlignment="1" applyBorder="1" applyFont="1" applyNumberFormat="1">
      <alignment horizontal="right"/>
    </xf>
    <xf borderId="6" fillId="7" fontId="6" numFmtId="3" xfId="0" applyAlignment="1" applyBorder="1" applyFont="1" applyNumberFormat="1">
      <alignment horizontal="right"/>
    </xf>
    <xf borderId="6" fillId="2" fontId="1" numFmtId="3" xfId="0" applyBorder="1" applyFont="1" applyNumberFormat="1"/>
    <xf borderId="1" fillId="8" fontId="4" numFmtId="164" xfId="0" applyAlignment="1" applyBorder="1" applyFill="1" applyFont="1" applyNumberFormat="1">
      <alignment horizontal="right"/>
    </xf>
    <xf borderId="1" fillId="8" fontId="4" numFmtId="3" xfId="0" applyBorder="1" applyFont="1" applyNumberFormat="1"/>
    <xf borderId="6" fillId="8" fontId="1" numFmtId="3" xfId="0" applyAlignment="1" applyBorder="1" applyFont="1" applyNumberFormat="1">
      <alignment horizontal="right"/>
    </xf>
    <xf borderId="6" fillId="8" fontId="1" numFmtId="0" xfId="0" applyAlignment="1" applyBorder="1" applyFont="1">
      <alignment horizontal="right"/>
    </xf>
    <xf borderId="6" fillId="2" fontId="1" numFmtId="0" xfId="0" applyAlignment="1" applyBorder="1" applyFont="1">
      <alignment horizontal="right"/>
    </xf>
    <xf borderId="6" fillId="8" fontId="1" numFmtId="164" xfId="0" applyBorder="1" applyFont="1" applyNumberFormat="1"/>
    <xf borderId="6" fillId="8" fontId="1" numFmtId="0" xfId="0" applyBorder="1" applyFont="1"/>
    <xf borderId="6" fillId="9" fontId="4" numFmtId="3" xfId="0" applyAlignment="1" applyBorder="1" applyFill="1" applyFont="1" applyNumberFormat="1">
      <alignment horizontal="right"/>
    </xf>
    <xf borderId="6" fillId="10" fontId="4" numFmtId="3" xfId="0" applyAlignment="1" applyBorder="1" applyFill="1" applyFont="1" applyNumberFormat="1">
      <alignment horizontal="right"/>
    </xf>
    <xf borderId="6" fillId="8" fontId="1" numFmtId="3" xfId="0" applyBorder="1" applyFont="1" applyNumberFormat="1"/>
    <xf borderId="1" fillId="10" fontId="6" numFmtId="3" xfId="0" applyAlignment="1" applyBorder="1" applyFont="1" applyNumberFormat="1">
      <alignment horizontal="right"/>
    </xf>
    <xf borderId="6" fillId="2" fontId="4" numFmtId="3" xfId="0" applyAlignment="1" applyBorder="1" applyFont="1" applyNumberFormat="1">
      <alignment horizontal="right"/>
    </xf>
    <xf borderId="6" fillId="2" fontId="4" numFmtId="0" xfId="0" applyBorder="1" applyFont="1"/>
    <xf borderId="0" fillId="0" fontId="1" numFmtId="164" xfId="0" applyFont="1" applyNumberFormat="1"/>
    <xf borderId="0" fillId="0" fontId="1" numFmtId="0" xfId="0" applyFont="1"/>
    <xf borderId="6" fillId="7" fontId="1" numFmtId="0" xfId="0" applyBorder="1" applyFont="1"/>
    <xf borderId="0" fillId="0" fontId="4" numFmtId="3" xfId="0" applyAlignment="1" applyFont="1" applyNumberFormat="1">
      <alignment horizontal="right"/>
    </xf>
    <xf borderId="6" fillId="2" fontId="4" numFmtId="3" xfId="0" applyBorder="1" applyFont="1" applyNumberFormat="1"/>
    <xf borderId="6" fillId="11" fontId="4" numFmtId="3" xfId="0" applyAlignment="1" applyBorder="1" applyFill="1" applyFont="1" applyNumberFormat="1">
      <alignment horizontal="right"/>
    </xf>
    <xf borderId="2" fillId="2" fontId="2" numFmtId="0" xfId="0" applyAlignment="1" applyBorder="1" applyFont="1">
      <alignment horizontal="center"/>
    </xf>
    <xf borderId="5" fillId="2" fontId="2" numFmtId="3" xfId="0" applyAlignment="1" applyBorder="1" applyFont="1" applyNumberFormat="1">
      <alignment horizontal="center" shrinkToFit="0" wrapText="1"/>
    </xf>
    <xf borderId="6" fillId="2" fontId="6" numFmtId="0" xfId="0" applyAlignment="1" applyBorder="1" applyFont="1">
      <alignment horizontal="right"/>
    </xf>
    <xf borderId="0" fillId="0" fontId="4" numFmtId="1" xfId="0" applyAlignment="1" applyFont="1" applyNumberFormat="1">
      <alignment horizontal="right"/>
    </xf>
    <xf borderId="1" fillId="0" fontId="4" numFmtId="0" xfId="0" applyBorder="1" applyFont="1"/>
    <xf borderId="1" fillId="0" fontId="4" numFmtId="1" xfId="0" applyAlignment="1" applyBorder="1" applyFont="1" applyNumberFormat="1">
      <alignment shrinkToFit="0" wrapText="1"/>
    </xf>
    <xf borderId="1" fillId="0" fontId="4" numFmtId="3" xfId="0" applyBorder="1" applyFont="1" applyNumberFormat="1"/>
    <xf borderId="1" fillId="0" fontId="4" numFmtId="3" xfId="0" applyAlignment="1" applyBorder="1" applyFont="1" applyNumberFormat="1">
      <alignment shrinkToFit="0" wrapText="1"/>
    </xf>
    <xf borderId="1" fillId="0" fontId="4" numFmtId="2" xfId="0" applyAlignment="1" applyBorder="1" applyFont="1" applyNumberFormat="1">
      <alignment shrinkToFit="0" wrapText="1"/>
    </xf>
    <xf borderId="0" fillId="0" fontId="5" numFmtId="0" xfId="0" applyFont="1"/>
    <xf borderId="0" fillId="0" fontId="5" numFmtId="0" xfId="0" applyAlignment="1" applyFont="1">
      <alignment horizontal="right"/>
    </xf>
    <xf borderId="13" fillId="0" fontId="7" numFmtId="1" xfId="0" applyBorder="1" applyFont="1" applyNumberFormat="1"/>
    <xf borderId="13" fillId="0" fontId="7" numFmtId="0" xfId="0" applyBorder="1" applyFont="1"/>
    <xf borderId="14" fillId="0" fontId="7" numFmtId="0" xfId="0" applyBorder="1" applyFont="1"/>
    <xf borderId="15" fillId="0" fontId="7" numFmtId="0" xfId="0" applyBorder="1" applyFont="1"/>
    <xf borderId="0" fillId="0" fontId="4" numFmtId="1" xfId="0" applyFont="1" applyNumberFormat="1"/>
    <xf borderId="1" fillId="0" fontId="4" numFmtId="1" xfId="0" applyAlignment="1" applyBorder="1" applyFont="1" applyNumberFormat="1">
      <alignment horizontal="right"/>
    </xf>
    <xf borderId="1" fillId="0" fontId="4" numFmtId="1" xfId="0" applyBorder="1" applyFont="1" applyNumberFormat="1"/>
    <xf borderId="1" fillId="0" fontId="4" numFmtId="3" xfId="0" applyAlignment="1" applyBorder="1" applyFont="1" applyNumberFormat="1">
      <alignment horizontal="right"/>
    </xf>
    <xf borderId="1" fillId="0" fontId="4" numFmtId="1" xfId="0" applyAlignment="1" applyBorder="1" applyFont="1" applyNumberFormat="1">
      <alignment horizontal="right" shrinkToFit="0" wrapText="1"/>
    </xf>
    <xf borderId="0" fillId="0" fontId="4" numFmtId="0" xfId="0" applyAlignment="1" applyFont="1">
      <alignment horizontal="right"/>
    </xf>
    <xf borderId="13" fillId="0" fontId="7" numFmtId="3" xfId="0" applyBorder="1" applyFont="1" applyNumberFormat="1"/>
    <xf borderId="16" fillId="0" fontId="7" numFmtId="3" xfId="0" applyBorder="1" applyFont="1" applyNumberFormat="1"/>
    <xf borderId="17" fillId="0" fontId="7" numFmtId="3" xfId="0" applyBorder="1" applyFont="1" applyNumberFormat="1"/>
    <xf borderId="0" fillId="0" fontId="4" numFmtId="0" xfId="0" applyAlignment="1" applyFont="1">
      <alignment horizontal="right" readingOrder="0"/>
    </xf>
    <xf borderId="18" fillId="0" fontId="7" numFmtId="1" xfId="0" applyBorder="1" applyFont="1" applyNumberFormat="1"/>
    <xf borderId="18" fillId="0" fontId="7" numFmtId="3" xfId="0" applyBorder="1" applyFont="1" applyNumberFormat="1"/>
    <xf borderId="0" fillId="0" fontId="7" numFmtId="3" xfId="0" applyFont="1" applyNumberFormat="1"/>
    <xf borderId="19" fillId="0" fontId="7" numFmtId="3" xfId="0" applyBorder="1" applyFont="1" applyNumberFormat="1"/>
    <xf borderId="1" fillId="0" fontId="8" numFmtId="0" xfId="0" applyAlignment="1" applyBorder="1" applyFont="1">
      <alignment shrinkToFit="0" vertical="bottom" wrapText="0"/>
    </xf>
    <xf borderId="4" fillId="0" fontId="9" numFmtId="3" xfId="0" applyAlignment="1" applyBorder="1" applyFont="1" applyNumberFormat="1">
      <alignment readingOrder="0" shrinkToFit="0" vertical="bottom" wrapText="0"/>
    </xf>
    <xf borderId="1" fillId="0" fontId="9" numFmtId="1" xfId="0" applyAlignment="1" applyBorder="1" applyFont="1" applyNumberFormat="1">
      <alignment readingOrder="0" shrinkToFit="0" vertical="bottom" wrapText="0"/>
    </xf>
    <xf borderId="1" fillId="0" fontId="9" numFmtId="0" xfId="0" applyAlignment="1" applyBorder="1" applyFont="1">
      <alignment readingOrder="0" shrinkToFit="0" vertical="bottom" wrapText="0"/>
    </xf>
    <xf borderId="20" fillId="0" fontId="9" numFmtId="3" xfId="0" applyAlignment="1" applyBorder="1" applyFont="1" applyNumberFormat="1">
      <alignment horizontal="right" readingOrder="0" shrinkToFit="0" vertical="bottom" wrapText="0"/>
    </xf>
    <xf borderId="20" fillId="0" fontId="9" numFmtId="3" xfId="0" applyAlignment="1" applyBorder="1" applyFont="1" applyNumberFormat="1">
      <alignment shrinkToFit="0" vertical="bottom" wrapText="0"/>
    </xf>
    <xf borderId="20" fillId="0" fontId="9" numFmtId="1" xfId="0" applyAlignment="1" applyBorder="1" applyFont="1" applyNumberFormat="1">
      <alignment shrinkToFit="0" vertical="bottom" wrapText="0"/>
    </xf>
    <xf borderId="1" fillId="0" fontId="8" numFmtId="0" xfId="0" applyAlignment="1" applyBorder="1" applyFont="1">
      <alignment readingOrder="0" shrinkToFit="0" vertical="bottom" wrapText="0"/>
    </xf>
    <xf borderId="21" fillId="0" fontId="7" numFmtId="1" xfId="0" applyBorder="1" applyFont="1" applyNumberFormat="1"/>
    <xf borderId="21" fillId="0" fontId="7" numFmtId="0" xfId="0" applyBorder="1" applyFont="1"/>
    <xf borderId="22" fillId="0" fontId="7" numFmtId="0" xfId="0" applyBorder="1" applyFont="1"/>
    <xf borderId="23" fillId="0" fontId="7" numFmtId="0" xfId="0" applyBorder="1" applyFont="1"/>
    <xf borderId="0" fillId="0" fontId="10" numFmtId="0" xfId="0" applyAlignment="1" applyFont="1">
      <alignment horizontal="right" readingOrder="0"/>
    </xf>
    <xf borderId="0" fillId="0" fontId="4" numFmtId="3" xfId="0" applyFont="1" applyNumberFormat="1"/>
    <xf borderId="1" fillId="0" fontId="4" numFmtId="0" xfId="0" applyAlignment="1" applyBorder="1" applyFont="1">
      <alignment horizontal="right"/>
    </xf>
    <xf borderId="0" fillId="0" fontId="4" numFmtId="3" xfId="0" applyAlignment="1" applyFont="1" applyNumberFormat="1">
      <alignment horizontal="right" readingOrder="0"/>
    </xf>
    <xf borderId="0" fillId="0" fontId="4" numFmtId="0" xfId="0" applyAlignment="1" applyFont="1">
      <alignment shrinkToFit="0" vertical="top" wrapText="1"/>
    </xf>
    <xf borderId="0" fillId="0" fontId="4" numFmtId="165" xfId="0" applyFont="1" applyNumberFormat="1"/>
    <xf borderId="0" fillId="0" fontId="4" numFmtId="2" xfId="0" applyFont="1" applyNumberFormat="1"/>
    <xf borderId="1" fillId="2" fontId="9" numFmtId="164" xfId="0" applyBorder="1" applyFont="1" applyNumberFormat="1"/>
    <xf borderId="1" fillId="2" fontId="9" numFmtId="49" xfId="0" applyBorder="1" applyFont="1" applyNumberFormat="1"/>
    <xf borderId="1" fillId="2" fontId="9" numFmtId="4" xfId="0" applyAlignment="1" applyBorder="1" applyFont="1" applyNumberFormat="1">
      <alignment shrinkToFit="0" wrapText="1"/>
    </xf>
    <xf borderId="1" fillId="2" fontId="4" numFmtId="49" xfId="0" applyBorder="1" applyFont="1" applyNumberFormat="1"/>
    <xf borderId="1" fillId="2" fontId="4" numFmtId="4" xfId="0" applyAlignment="1" applyBorder="1" applyFont="1" applyNumberFormat="1">
      <alignment horizontal="right" shrinkToFit="0" wrapText="1"/>
    </xf>
    <xf borderId="0" fillId="2" fontId="1" numFmtId="164" xfId="0" applyFont="1" applyNumberFormat="1"/>
    <xf borderId="0" fillId="2" fontId="1" numFmtId="49" xfId="0" applyFont="1" applyNumberFormat="1"/>
    <xf borderId="0" fillId="2" fontId="4" numFmtId="4" xfId="0" applyAlignment="1" applyFont="1" applyNumberFormat="1">
      <alignment horizontal="right" shrinkToFit="0" wrapText="1"/>
    </xf>
    <xf borderId="0" fillId="2" fontId="4" numFmtId="49" xfId="0" applyFont="1" applyNumberFormat="1"/>
    <xf borderId="0" fillId="2" fontId="1" numFmtId="4" xfId="0" applyFont="1" applyNumberFormat="1"/>
    <xf borderId="0" fillId="2" fontId="11" numFmtId="0" xfId="0" applyFont="1"/>
    <xf borderId="1" fillId="0" fontId="4" numFmtId="164" xfId="0" applyBorder="1" applyFont="1" applyNumberFormat="1"/>
    <xf borderId="1" fillId="0" fontId="4" numFmtId="49" xfId="0" applyBorder="1" applyFont="1" applyNumberFormat="1"/>
    <xf borderId="1" fillId="0" fontId="4" numFmtId="164" xfId="0" applyAlignment="1" applyBorder="1" applyFont="1" applyNumberFormat="1">
      <alignment horizontal="right"/>
    </xf>
    <xf borderId="0" fillId="0" fontId="1" numFmtId="49" xfId="0" applyFont="1" applyNumberFormat="1"/>
    <xf borderId="0" fillId="0" fontId="1" numFmtId="3" xfId="0" applyFont="1" applyNumberFormat="1"/>
    <xf borderId="0" fillId="0" fontId="4" numFmtId="49" xfId="0" applyFont="1" applyNumberFormat="1"/>
    <xf borderId="0" fillId="0" fontId="1" numFmtId="1" xfId="0" applyFont="1" applyNumberFormat="1"/>
    <xf borderId="1" fillId="0" fontId="4" numFmtId="49" xfId="0" applyAlignment="1" applyBorder="1" applyFont="1" applyNumberFormat="1">
      <alignment shrinkToFit="0" wrapText="1"/>
    </xf>
    <xf borderId="0" fillId="0" fontId="1" numFmtId="0" xfId="0" applyAlignment="1" applyFont="1">
      <alignment shrinkToFit="0" wrapText="1"/>
    </xf>
    <xf borderId="1" fillId="12" fontId="5" numFmtId="0" xfId="0" applyBorder="1" applyFill="1" applyFont="1"/>
    <xf borderId="1" fillId="13" fontId="12" numFmtId="0" xfId="0" applyAlignment="1" applyBorder="1" applyFill="1" applyFont="1">
      <alignment horizontal="center" shrinkToFit="0" wrapText="1"/>
    </xf>
    <xf borderId="1" fillId="14" fontId="12" numFmtId="0" xfId="0" applyAlignment="1" applyBorder="1" applyFill="1" applyFont="1">
      <alignment horizontal="center" shrinkToFit="0" wrapText="1"/>
    </xf>
    <xf borderId="1" fillId="15" fontId="12" numFmtId="0" xfId="0" applyAlignment="1" applyBorder="1" applyFill="1" applyFont="1">
      <alignment horizontal="center" shrinkToFit="0" wrapText="1"/>
    </xf>
    <xf borderId="1" fillId="16" fontId="12" numFmtId="0" xfId="0" applyAlignment="1" applyBorder="1" applyFill="1" applyFont="1">
      <alignment horizontal="center" shrinkToFit="0" wrapText="1"/>
    </xf>
    <xf borderId="1" fillId="17" fontId="5" numFmtId="0" xfId="0" applyAlignment="1" applyBorder="1" applyFill="1" applyFont="1">
      <alignment horizontal="center" shrinkToFit="0" vertical="bottom" wrapText="1"/>
    </xf>
    <xf borderId="0" fillId="0" fontId="13" numFmtId="0" xfId="0" applyFont="1"/>
    <xf borderId="1" fillId="0" fontId="4" numFmtId="1" xfId="0" applyAlignment="1" applyBorder="1" applyFont="1" applyNumberFormat="1">
      <alignment readingOrder="0"/>
    </xf>
    <xf borderId="1" fillId="0" fontId="1" numFmtId="1" xfId="0" applyAlignment="1" applyBorder="1" applyFont="1" applyNumberFormat="1">
      <alignment readingOrder="0"/>
    </xf>
    <xf borderId="1" fillId="0" fontId="4" numFmtId="0" xfId="0" applyAlignment="1" applyBorder="1" applyFont="1">
      <alignment horizontal="right" readingOrder="0"/>
    </xf>
    <xf borderId="1" fillId="0" fontId="4" numFmtId="0" xfId="0" applyAlignment="1" applyBorder="1" applyFont="1">
      <alignment horizontal="center" readingOrder="0" shrinkToFit="0" vertical="bottom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B3CEFA"/>
          <bgColor rgb="FFB3CEFA"/>
        </patternFill>
      </fill>
      <border/>
    </dxf>
    <dxf>
      <font/>
      <fill>
        <patternFill patternType="solid">
          <fgColor rgb="FFD9E6FC"/>
          <bgColor rgb="FFD9E6FC"/>
        </patternFill>
      </fill>
      <border/>
    </dxf>
  </dxfs>
  <tableStyles count="1">
    <tableStyle count="3" pivot="0" name="Indicador_MUN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I346" sheet="Datos Procesados"/>
  </cacheSource>
  <cacheFields>
    <cacheField name="id" numFmtId="1">
      <sharedItems containsSemiMixedTypes="0" containsString="0" containsNumber="1" containsInteger="1">
        <n v="10101.0"/>
        <n v="10102.0"/>
        <n v="10103.0"/>
        <n v="10201.0"/>
        <n v="10202.0"/>
        <n v="10301.0"/>
        <n v="10302.0"/>
        <n v="10303.0"/>
        <n v="10304.0"/>
        <n v="10401.0"/>
        <n v="10402.0"/>
        <n v="10403.0"/>
        <n v="10404.0"/>
        <n v="10405.0"/>
        <n v="10501.0"/>
        <n v="10502.0"/>
        <n v="10601.0"/>
        <n v="10602.0"/>
        <n v="10701.0"/>
        <n v="10702.0"/>
        <n v="10703.0"/>
        <n v="10704.0"/>
        <n v="10801.0"/>
        <n v="10901.0"/>
        <n v="10902.0"/>
        <n v="10903.0"/>
        <n v="11001.0"/>
        <n v="11002.0"/>
        <n v="11003.0"/>
        <n v="20101.0"/>
        <n v="20102.0"/>
        <n v="20103.0"/>
        <n v="20104.0"/>
        <n v="20105.0"/>
        <n v="20201.0"/>
        <n v="20202.0"/>
        <n v="20203.0"/>
        <n v="20204.0"/>
        <n v="20205.0"/>
        <n v="20206.0"/>
        <n v="20301.0"/>
        <n v="20302.0"/>
        <n v="20303.0"/>
        <n v="20304.0"/>
        <n v="20305.0"/>
        <n v="20306.0"/>
        <n v="20307.0"/>
        <n v="20308.0"/>
        <n v="20401.0"/>
        <n v="20402.0"/>
        <n v="20403.0"/>
        <n v="20404.0"/>
        <n v="20405.0"/>
        <n v="20501.0"/>
        <n v="20502.0"/>
        <n v="20503.0"/>
        <n v="20601.0"/>
        <n v="20602.0"/>
        <n v="20603.0"/>
        <n v="20604.0"/>
        <n v="20605.0"/>
        <n v="20606.0"/>
        <n v="20607.0"/>
        <n v="20608.0"/>
        <n v="20701.0"/>
        <n v="20702.0"/>
        <n v="20801.0"/>
        <n v="20802.0"/>
        <n v="20803.0"/>
        <n v="20804.0"/>
        <n v="20805.0"/>
        <n v="20806.0"/>
        <n v="20807.0"/>
        <n v="20901.0"/>
        <n v="20902.0"/>
        <n v="20903.0"/>
        <n v="20904.0"/>
        <n v="20905.0"/>
        <n v="21001.0"/>
        <n v="21002.0"/>
        <n v="21003.0"/>
        <n v="21004.0"/>
        <n v="21005.0"/>
        <n v="21006.0"/>
        <n v="21101.0"/>
        <n v="21102.0"/>
        <n v="21103.0"/>
        <n v="21104.0"/>
        <n v="21105.0"/>
        <n v="21201.0"/>
        <n v="21202.0"/>
        <n v="21203.0"/>
        <n v="21204.0"/>
        <n v="21301.0"/>
        <n v="21302.0"/>
        <n v="21303.0"/>
        <n v="21304.0"/>
        <n v="21305.0"/>
        <n v="21306.0"/>
        <n v="21307.0"/>
        <n v="21401.0"/>
        <n v="21402.0"/>
        <n v="21501.0"/>
        <n v="21502.0"/>
        <n v="21601.0"/>
        <n v="21602.0"/>
        <n v="21701.0"/>
        <n v="21702.0"/>
        <n v="21703.0"/>
        <n v="21801.0"/>
        <n v="21802.0"/>
        <n v="21803.0"/>
        <n v="21901.0"/>
        <n v="21902.0"/>
        <n v="22001.0"/>
        <n v="22002.0"/>
        <n v="30101.0"/>
        <n v="30201.0"/>
        <n v="30202.0"/>
        <n v="30203.0"/>
        <n v="30301.0"/>
        <n v="30302.0"/>
        <n v="30303.0"/>
        <n v="30401.0"/>
        <n v="30402.0"/>
        <n v="30403.0"/>
        <n v="30404.0"/>
        <n v="30501.0"/>
        <n v="30502.0"/>
        <n v="30601.0"/>
        <n v="30602.0"/>
        <n v="30701.0"/>
        <n v="30702.0"/>
        <n v="30703.0"/>
        <n v="30801.0"/>
        <n v="30802.0"/>
        <n v="30803.0"/>
        <n v="30901.0"/>
        <n v="30902.0"/>
        <n v="30903.0"/>
        <n v="30904.0"/>
        <n v="30905.0"/>
        <n v="31001.0"/>
        <n v="31002.0"/>
        <n v="31003.0"/>
        <n v="31101.0"/>
        <n v="31201.0"/>
        <n v="31202.0"/>
        <n v="31203.0"/>
        <n v="31204.0"/>
        <n v="31205.0"/>
        <n v="31206.0"/>
        <n v="31301.0"/>
        <n v="31302.0"/>
        <n v="31303.0"/>
        <n v="31304.0"/>
        <n v="31401.0"/>
        <n v="31402.0"/>
        <n v="31403.0"/>
        <n v="31404.0"/>
        <n v="31405.0"/>
        <n v="31501.0"/>
        <n v="31601.0"/>
        <n v="31602.0"/>
        <n v="40101.0"/>
        <n v="40102.0"/>
        <n v="40103.0"/>
        <n v="40104.0"/>
        <n v="40201.0"/>
        <n v="40202.0"/>
        <n v="40301.0"/>
        <n v="40302.0"/>
        <n v="40401.0"/>
        <n v="40402.0"/>
        <n v="40501.0"/>
        <n v="40502.0"/>
        <n v="40503.0"/>
        <n v="40504.0"/>
        <n v="40505.0"/>
        <n v="40601.0"/>
        <n v="40602.0"/>
        <n v="40603.0"/>
        <n v="40701.0"/>
        <n v="40702.0"/>
        <n v="40801.0"/>
        <n v="40802.0"/>
        <n v="40901.0"/>
        <n v="40902.0"/>
        <n v="40903.0"/>
        <n v="41001.0"/>
        <n v="41101.0"/>
        <n v="41201.0"/>
        <n v="41202.0"/>
        <n v="41301.0"/>
        <n v="41401.0"/>
        <n v="41501.0"/>
        <n v="41502.0"/>
        <n v="41503.0"/>
        <n v="41601.0"/>
        <n v="50101.0"/>
        <n v="50102.0"/>
        <n v="50103.0"/>
        <n v="50104.0"/>
        <n v="50201.0"/>
        <n v="50202.0"/>
        <n v="50203.0"/>
        <n v="50204.0"/>
        <n v="50301.0"/>
        <n v="50302.0"/>
        <n v="50303.0"/>
        <n v="50401.0"/>
        <n v="50402.0"/>
        <n v="50403.0"/>
        <n v="50404.0"/>
        <n v="50405.0"/>
        <n v="50501.0"/>
        <n v="50502.0"/>
        <n v="50601.0"/>
        <n v="50602.0"/>
        <n v="50701.0"/>
        <n v="50702.0"/>
        <n v="50801.0"/>
        <n v="50802.0"/>
        <n v="50901.0"/>
        <n v="50902.0"/>
        <n v="51001.0"/>
        <n v="51002.0"/>
        <n v="51003.0"/>
        <n v="51101.0"/>
        <n v="51102.0"/>
        <n v="51103.0"/>
        <n v="51201.0"/>
        <n v="51202.0"/>
        <n v="51203.0"/>
        <n v="51204.0"/>
        <n v="51301.0"/>
        <n v="51302.0"/>
        <n v="51401.0"/>
        <n v="51402.0"/>
        <n v="51501.0"/>
        <n v="51601.0"/>
        <n v="60101.0"/>
        <n v="60201.0"/>
        <n v="60202.0"/>
        <n v="60301.0"/>
        <n v="60302.0"/>
        <n v="60303.0"/>
        <n v="60401.0"/>
        <n v="60402.0"/>
        <n v="60501.0"/>
        <n v="60502.0"/>
        <n v="60601.0"/>
        <n v="70101.0"/>
        <n v="70102.0"/>
        <n v="70103.0"/>
        <n v="70104.0"/>
        <n v="70105.0"/>
        <n v="70201.0"/>
        <n v="70202.0"/>
        <n v="70301.0"/>
        <n v="70302.0"/>
        <n v="70303.0"/>
        <n v="70401.0"/>
        <n v="70402.0"/>
        <n v="70403.0"/>
        <n v="70404.0"/>
        <n v="70501.0"/>
        <n v="70502.0"/>
        <n v="70503.0"/>
        <n v="70601.0"/>
        <n v="70602.0"/>
        <n v="70603.0"/>
        <n v="70701.0"/>
        <n v="70702.0"/>
        <n v="70703.0"/>
        <n v="70704.0"/>
        <n v="70705.0"/>
        <n v="70706.0"/>
        <n v="70707.0"/>
        <n v="70801.0"/>
        <n v="70802.0"/>
        <n v="70803.0"/>
        <n v="70804.0"/>
        <n v="70805.0"/>
        <n v="70901.0"/>
        <n v="70902.0"/>
        <n v="70903.0"/>
        <n v="70904.0"/>
        <n v="71001.0"/>
        <n v="71002.0"/>
        <n v="71003.0"/>
        <n v="71004.0"/>
        <n v="71005.0"/>
        <n v="71101.0"/>
        <n v="71102.0"/>
        <n v="71103.0"/>
        <n v="71104.0"/>
        <n v="71105.0"/>
        <n v="71106.0"/>
        <n v="71201.0"/>
        <n v="71301.0"/>
        <n v="71302.0"/>
        <n v="71401.0"/>
        <n v="71402.0"/>
        <n v="71403.0"/>
        <n v="71501.0"/>
        <n v="71502.0"/>
        <n v="71503.0"/>
        <n v="80101.0"/>
        <n v="80102.0"/>
        <n v="80201.0"/>
        <n v="80202.0"/>
        <n v="80301.0"/>
        <n v="80302.0"/>
        <n v="80303.0"/>
        <n v="80304.0"/>
        <n v="80401.0"/>
        <n v="80402.0"/>
        <n v="80501.0"/>
        <n v="80601.0"/>
        <n v="80602.0"/>
        <n v="80701.0"/>
        <n v="80702.0"/>
        <n v="80703.0"/>
        <n v="80801.0"/>
        <n v="80802.0"/>
        <n v="80803.0"/>
        <n v="80901.0"/>
        <n v="90101.0"/>
        <n v="90102.0"/>
        <n v="90103.0"/>
        <n v="90104.0"/>
        <n v="90201.0"/>
        <n v="90202.0"/>
        <n v="90203.0"/>
        <n v="90301.0"/>
        <n v="90302.0"/>
        <n v="90303.0"/>
        <n v="90401.0"/>
        <n v="90402.0"/>
        <n v="90501.0"/>
        <n v="90502.0"/>
        <n v="90503.0"/>
        <n v="10.0"/>
        <n v="11.0"/>
      </sharedItems>
    </cacheField>
    <cacheField name="Municipio" numFmtId="1">
      <sharedItems containsBlank="1">
        <s v="Sucre"/>
        <s v="Yotala"/>
        <s v="Poroma"/>
        <s v="Azurduy"/>
        <s v="Tarvita"/>
        <s v="Zudáñez"/>
        <s v="Presto"/>
        <s v="Mojocoya"/>
        <s v="Icla"/>
        <s v="Padilla"/>
        <s v="Tomina"/>
        <s v="Sopachuy"/>
        <s v="Villa Alcalá"/>
        <s v="El Villar"/>
        <s v="Monteagudo"/>
        <s v="Huacareta"/>
        <s v="Tarabuco"/>
        <s v="Yamparáez"/>
        <s v="Camargo"/>
        <s v="San Lucas"/>
        <s v="Incahuasi"/>
        <s v="Villa Charcas"/>
        <s v="Villa Serrano"/>
        <s v="Villa Abecia (Camataqui)"/>
        <s v="Culpina"/>
        <s v="Las Carreras"/>
        <s v="Muyupampa (Villa Vaca Gúzman)"/>
        <s v="Huacaya"/>
        <s v="Macharéti"/>
        <s v="La Paz"/>
        <s v="Palca"/>
        <s v="Mecapaca"/>
        <s v="Achocalla"/>
        <s v="El Alto"/>
        <s v="Achacachi"/>
        <s v="Ancoraimes"/>
        <s v="Chua Cocani"/>
        <s v="Huarina"/>
        <s v="Santiago de Huata"/>
        <s v="Huatajata"/>
        <s v="Corocoro"/>
        <s v="Caquiaviri"/>
        <s v="Calacoto"/>
        <s v="Comanche"/>
        <s v="Charaña"/>
        <s v="Waldo Ballivián"/>
        <s v="Nazacara de Pacajes"/>
        <s v="Callapa"/>
        <s v="Puerto Acosta"/>
        <s v="Mocomoco"/>
        <s v="Pto. Carabuco"/>
        <s v="Humanata"/>
        <s v="Escoma"/>
        <s v="Chuma"/>
        <s v="Ayata"/>
        <s v="Aucapata"/>
        <s v="Sorata"/>
        <s v="Guanay"/>
        <s v="Tacacoma"/>
        <s v="Quiabaya"/>
        <s v="Combaya"/>
        <s v="Tipuani"/>
        <s v="Mapiri"/>
        <s v="Teoponte"/>
        <s v="Apolo"/>
        <s v="Pelechuco"/>
        <s v="Viacha"/>
        <s v="Guaqui"/>
        <s v="Tiawanacu"/>
        <s v="Desaguadero"/>
        <s v="San Andres de Machaca"/>
        <s v="Jesús de Machaca"/>
        <s v="Taraco"/>
        <s v="Luribay"/>
        <s v="Sapahaqui"/>
        <s v="Yaco"/>
        <s v="Malla"/>
        <s v="Cairoma"/>
        <s v="Inquisivi"/>
        <s v="Quime"/>
        <s v="Cajuata"/>
        <s v="Colquiri"/>
        <s v="Ichoca"/>
        <s v="Villa Libertad Licoma"/>
        <s v="Chulumani"/>
        <s v="Irupana"/>
        <s v="Yanacachi"/>
        <s v="Palos Blancos"/>
        <s v="La Asunta"/>
        <s v="Pucarani"/>
        <s v="Laja"/>
        <s v="Batallas"/>
        <s v="Puerto Pérez"/>
        <s v="Sica Sica"/>
        <s v="Umala"/>
        <s v="Ayo Ayo"/>
        <s v="Calamarca"/>
        <s v="Patacamaya"/>
        <s v="Colquencha"/>
        <s v="Collana"/>
        <s v="Coroico"/>
        <s v="Coripata"/>
        <s v="Ixiamas "/>
        <s v="San Buenaventura"/>
        <s v="Charazani"/>
        <s v="Curva"/>
        <s v="Copacabana"/>
        <s v="San Pedro de Tiquina"/>
        <s v="Tito Yupanqui"/>
        <s v="San Pedro de Curahuara"/>
        <s v="Papel Pampa"/>
        <s v="Chacarilla"/>
        <s v="Santiago de Machaca"/>
        <s v="Catacora"/>
        <s v="Caranavi"/>
        <s v="Alto Beni"/>
        <s v="Cochabamba "/>
        <s v="Aiquile"/>
        <s v="Pasorapa"/>
        <s v="Omereque"/>
        <s v="Independencia"/>
        <s v="Morochata"/>
        <s v="Cocapata"/>
        <s v="Tarata "/>
        <s v="Anzaldo"/>
        <s v="Arbieto"/>
        <s v="Sacabamba"/>
        <s v="Arani"/>
        <s v="Vacas"/>
        <s v="Arque "/>
        <s v="Tacopaya"/>
        <s v="Capinota"/>
        <s v="Santivañez"/>
        <s v="Sicaya"/>
        <s v="Cliza"/>
        <s v="Toko"/>
        <s v="Tolata"/>
        <s v="Quillacollo"/>
        <s v="Sipesipe"/>
        <s v="Tiquipaya"/>
        <s v="Vinto "/>
        <s v="Colcapirhua"/>
        <s v="Sacaba"/>
        <s v="Colomi"/>
        <s v="Villa Tunari"/>
        <s v="Tapacarí"/>
        <s v="Totora "/>
        <s v="Pojo"/>
        <s v="Pocona"/>
        <s v="Chimoré"/>
        <s v="Puerto Villarroel"/>
        <s v="Entre Ríos"/>
        <s v="Mizque"/>
        <s v="Vila Vila"/>
        <s v="Alalay"/>
        <s v="TIOC-Raqaypampa"/>
        <s v="Punata"/>
        <s v="Villa Rivero"/>
        <s v="San Benito"/>
        <s v="Tacachi"/>
        <s v="Cuchumuela"/>
        <s v="Bolivar"/>
        <s v="Tiraque"/>
        <s v="Shinahota"/>
        <s v="Oruro"/>
        <s v="Caracollo"/>
        <s v="El Choro"/>
        <s v="Pari - Paría - Soracachi"/>
        <s v="Challapata"/>
        <s v="Quillacas"/>
        <s v="Corque"/>
        <s v="Choque Cota"/>
        <s v="Curahuara de Carangas"/>
        <s v="Turco"/>
        <s v="Huachacalla"/>
        <s v="Escara"/>
        <s v="Cruz de Machacamarca"/>
        <s v="Yunguyo de Litoral"/>
        <s v="Esmeralda"/>
        <s v="Poopó"/>
        <s v="Pazña"/>
        <s v="Antequera"/>
        <s v="Huanuni"/>
        <s v="Machacamarca"/>
        <s v="Salinas de García Mendoza"/>
        <s v="Pampa Aullagas"/>
        <s v="Sabaya"/>
        <s v="Coipasa"/>
        <s v="Chipaya"/>
        <s v="Toledo"/>
        <s v="Eucaliptus"/>
        <s v="Santiago de Andamarca"/>
        <s v="Belén de Andamarca"/>
        <s v="San Pedro de Totora"/>
        <s v="Huari"/>
        <s v="La Rivera"/>
        <s v="Todos Santos"/>
        <s v="Carangas"/>
        <s v="Huayllamarca"/>
        <s v="Potosí"/>
        <s v="Tinguipaya"/>
        <s v="Yocalla"/>
        <s v="Urmiri"/>
        <s v="Uncía "/>
        <s v="Chayanta"/>
        <s v="Llallagua"/>
        <s v="Chuquiuta"/>
        <s v="Betanzos"/>
        <s v="Chaquí"/>
        <s v="Tacobamba"/>
        <s v="Colquechaca"/>
        <s v="Ravelo"/>
        <s v="Pocoata"/>
        <s v="Ocurí"/>
        <s v="San Pedro de Macha"/>
        <s v="S. P. de Buena Vista"/>
        <s v="Toro Toro"/>
        <s v="Cotagaita"/>
        <s v="Vitichi"/>
        <s v="Villa de Sacaca"/>
        <s v="Caripuyo"/>
        <s v="Tupiza"/>
        <s v="Atocha"/>
        <s v="Colcha &quot;K&quot;"/>
        <s v="San Pedro de Quemes"/>
        <s v="San Pablo de Lipez"/>
        <s v="Mojinete"/>
        <s v="San Antonio de Esmoruco"/>
        <s v="Puna"/>
        <s v="Caiza &quot;D&quot;"/>
        <s v="Ckochas"/>
        <s v="Uyuni"/>
        <s v="Tomave"/>
        <s v="Porco"/>
        <s v="TIOC-Jatun Ayllu Yura"/>
        <s v="Arampampa"/>
        <s v="Acasio"/>
        <s v="Llica"/>
        <s v="Tahua"/>
        <s v="Villazón"/>
        <s v="San Agustín"/>
        <s v="Tarija"/>
        <s v="Padcaya"/>
        <s v="Bermejo"/>
        <s v="Yacuiba"/>
        <s v="Caraparí"/>
        <s v="Villamontes"/>
        <s v="Uriondo"/>
        <s v="Yunchará"/>
        <s v="Villa San Lorenzo"/>
        <s v="El Puente"/>
        <s v="Santa Cruz de la Sierra"/>
        <s v="Cotoca"/>
        <s v="Porongo"/>
        <s v="La Guardia"/>
        <s v="El Torno"/>
        <s v="Warnes"/>
        <s v="Okinawa Uno"/>
        <s v="San Ignacio de Velazco"/>
        <s v="San Miguel de Velazco"/>
        <s v="San Rafael"/>
        <s v="Buena Vista"/>
        <s v="San Carlos"/>
        <s v="Yapacaní"/>
        <s v="San Juan de Yapacaní"/>
        <s v="San José de Chiquitos"/>
        <s v="Pailón"/>
        <s v="Roboré"/>
        <s v="Portachuelo"/>
        <s v="Santa Rosa del Sara"/>
        <s v="Colpa Belgica"/>
        <s v="Lagunillas"/>
        <s v="Charagua"/>
        <s v="Cabezas"/>
        <s v="Cuevo "/>
        <s v="Gutiérrez"/>
        <s v="Camiri"/>
        <s v="Boyuibe"/>
        <s v="Vallegrande"/>
        <s v="Trigal "/>
        <s v="Moro Moro"/>
        <s v="Postrer Valle"/>
        <s v="Pucará"/>
        <s v="Samaipata"/>
        <s v="Pampa Grande"/>
        <s v="Mairana"/>
        <s v="Quirusillas"/>
        <s v="Montero"/>
        <s v="Gral. Saavedra"/>
        <s v="Mineros"/>
        <s v="Fernández Alonzo"/>
        <s v="San Pedro"/>
        <s v="Concepción"/>
        <s v="San Javier"/>
        <s v="San Ramón"/>
        <s v="San Julián"/>
        <s v="San Antonio de Lomerío"/>
        <s v="Cuatro Cañadas"/>
        <s v="San Matías"/>
        <s v="Comarapa"/>
        <s v="Saipina"/>
        <s v="Puerto Suárez"/>
        <s v="Puerto Quijarro"/>
        <s v="Carmen Rivero Tórrez"/>
        <s v="Ascensión de Guarayos"/>
        <s v="Urubichá"/>
        <s v="Trinidad"/>
        <s v="Riberalta"/>
        <s v="Guayaramerín"/>
        <s v="Reyes"/>
        <s v="San Borja"/>
        <s v="Santa Rosa"/>
        <s v="Rurrenabaque"/>
        <s v="Santa Ana de Yacuma"/>
        <s v="Exaltación"/>
        <s v="San Ignacio"/>
        <s v="Loreto"/>
        <s v="San Andrés"/>
        <s v="San Joaquín"/>
        <s v="Puerto Siles"/>
        <s v="Magdalena"/>
        <s v="Baures"/>
        <s v="Huacaraje"/>
        <s v="TIOC-Territorio Indígena Multiétnico"/>
        <s v="Cobija "/>
        <s v="Porvenir"/>
        <s v="Bolpebra"/>
        <s v="Bella Flor"/>
        <s v="Puerto Rico "/>
        <s v="Filadelfia"/>
        <s v="Puerto Gonzalez Moreno"/>
        <s v="San Lorenzo"/>
        <s v="Sena"/>
        <s v="Santa Rosa "/>
        <s v="Ingavi"/>
        <s v="Nueva Esperanza"/>
        <s v="Villa Nueva (Loma Alta)"/>
        <s v="Santos Mercado"/>
        <m/>
      </sharedItems>
    </cacheField>
    <cacheField name="Departamento" numFmtId="1">
      <sharedItems>
        <s v="Chuquisaca"/>
        <s v="La Paz"/>
        <s v="Cochabamba"/>
        <s v="Oruro"/>
        <s v="Potosí"/>
        <s v="Tarija"/>
        <s v="Santa Cruz"/>
        <s v="Beni"/>
        <s v="Pando"/>
        <s v="Gran Chaco"/>
        <s v="Bolivia"/>
      </sharedItems>
    </cacheField>
    <cacheField name="Población2016" numFmtId="3">
      <sharedItems containsSemiMixedTypes="0" containsString="0" containsNumber="1">
        <n v="273330.0"/>
        <n v="9393.0"/>
        <n v="15571.0"/>
        <n v="9736.0"/>
        <n v="15111.0"/>
        <n v="12139.0"/>
        <n v="12436.0"/>
        <n v="8397.0"/>
        <n v="8234.0"/>
        <n v="9986.0"/>
        <n v="8499.0"/>
        <n v="7189.0"/>
        <n v="4524.0"/>
        <n v="4861.0"/>
        <n v="24384.0"/>
        <n v="7966.0"/>
        <n v="15737.0"/>
        <n v="9567.0"/>
        <n v="15334.0"/>
        <n v="30585.0"/>
        <n v="14199.0"/>
        <n v="15527.0"/>
        <n v="10476.0"/>
        <n v="4134.0"/>
        <n v="16770.0"/>
        <n v="4397.0"/>
        <n v="10907.0"/>
        <n v="2543.0"/>
        <n v="7357.0"/>
        <n v="763456.0"/>
        <n v="18324.0"/>
        <n v="17371.0"/>
        <n v="30350.0"/>
        <n v="860910.0"/>
        <n v="46458.0"/>
        <n v="14408.0"/>
        <n v="5744.0"/>
        <n v="8192.0"/>
        <n v="8804.0"/>
        <n v="4324.0"/>
        <n v="11615.0"/>
        <n v="14981.0"/>
        <n v="10659.0"/>
        <n v="4333.0"/>
        <n v="3571.0"/>
        <n v="5527.0"/>
        <n v="1753.333333"/>
        <n v="7538.0"/>
        <n v="12197.0"/>
        <n v="16380.0"/>
        <n v="15505.0"/>
        <n v="5447.0"/>
        <n v="7736.0"/>
        <n v="13592.0"/>
        <n v="8616.0"/>
        <n v="5904.0"/>
        <n v="25702.0"/>
        <n v="15321.0"/>
        <n v="8708.0"/>
        <n v="3197.0"/>
        <n v="3664.0"/>
        <n v="9229.0"/>
        <n v="16542.0"/>
        <n v="10692.0"/>
        <n v="19924.0"/>
        <n v="7540.0"/>
        <n v="91667.0"/>
        <n v="7716.0"/>
        <n v="12675.0"/>
        <n v="7290.0"/>
        <n v="6742.0"/>
        <n v="15698.0"/>
        <n v="6915.0"/>
        <n v="10994.0"/>
        <n v="13822.0"/>
        <n v="8975.0"/>
        <n v="5219.0"/>
        <n v="12103.0"/>
        <n v="16038.0"/>
        <n v="9140.0"/>
        <n v="12160.0"/>
        <n v="20915.0"/>
        <n v="8459.0"/>
        <n v="6284.0"/>
        <n v="17983.0"/>
        <n v="19277.0"/>
        <n v="6818.0"/>
        <n v="25533.0"/>
        <n v="41981.0"/>
        <n v="36699.0"/>
        <n v="29238.0"/>
        <n v="18486.0"/>
        <n v="6965.0"/>
        <n v="32170.0"/>
        <n v="8969.0"/>
        <n v="8951.0"/>
        <n v="13384.0"/>
        <n v="23621.0"/>
        <n v="10749.0"/>
        <n v="5203.0"/>
        <n v="22168.0"/>
        <n v="19130.0"/>
        <n v="10440.0"/>
        <n v="9176.0"/>
        <n v="13936.0"/>
        <n v="4394.0"/>
        <n v="15775.0"/>
        <n v="7089.0"/>
        <n v="6682.0"/>
        <n v="8978.0"/>
        <n v="6885.0"/>
        <n v="2020.0"/>
        <n v="5330.0"/>
        <n v="3704.0"/>
        <n v="53445.0"/>
        <n v="10991.0"/>
        <n v="643177.0"/>
        <n v="23219.0"/>
        <n v="6727.0"/>
        <n v="5995.0"/>
        <n v="23044.0"/>
        <n v="13438.0"/>
        <n v="18587.0"/>
        <n v="9252.0"/>
        <n v="7240.0"/>
        <n v="21422.0"/>
        <n v="4573.0"/>
        <n v="10064.0"/>
        <n v="8763.0"/>
        <n v="10609.0"/>
        <n v="10419.0"/>
        <n v="19460.0"/>
        <n v="6998.0"/>
        <n v="3820.0"/>
        <n v="21651.0"/>
        <n v="7165.0"/>
        <n v="6590.0"/>
        <n v="147035.0"/>
        <n v="46350.0"/>
        <n v="56549.0"/>
        <n v="53333.0"/>
        <n v="56828.0"/>
        <n v="188008.0"/>
        <n v="20139.0"/>
        <n v="78840.0"/>
        <n v="24639.0"/>
        <n v="14717.0"/>
        <n v="10726.0"/>
        <n v="11253.0"/>
        <n v="23664.0"/>
        <n v="52616.0"/>
        <n v="36293.0"/>
        <n v="19875.0"/>
        <n v="5387.0"/>
        <n v="3469.0"/>
        <n v="7376.0"/>
        <n v="31007.0"/>
        <n v="8290.0"/>
        <n v="13393.0"/>
        <n v="1298.0"/>
        <n v="3119.0"/>
        <n v="7613.0"/>
        <n v="20312.0"/>
        <n v="22951.0"/>
        <n v="276079.0"/>
        <n v="23027.0"/>
        <n v="9149.0"/>
        <n v="13819.0"/>
        <n v="31088.0"/>
        <n v="4421.0"/>
        <n v="11514.0"/>
        <n v="2068.0"/>
        <n v="5017.0"/>
        <n v="5406.0"/>
        <n v="2006.0"/>
        <n v="4226.0"/>
        <n v="1817.0"/>
        <n v="634.3333333"/>
        <n v="3095.0"/>
        <n v="8121.0"/>
        <n v="3398.0"/>
        <n v="23157.0"/>
        <n v="5253.0"/>
        <n v="13230.0"/>
        <n v="3048.0"/>
        <n v="10513.0"/>
        <n v="1070.666667"/>
        <n v="2120.0"/>
        <n v="10833.0"/>
        <n v="5290.0"/>
        <n v="5581.0"/>
        <n v="2364.0"/>
        <n v="5900.0"/>
        <n v="13356.0"/>
        <n v="760.0"/>
        <n v="864.6666667"/>
        <n v="936.3333333"/>
        <n v="5667.0"/>
        <n v="200435.0"/>
        <n v="27781.0"/>
        <n v="10070.0"/>
        <n v="2880.0"/>
        <n v="22269.0"/>
        <n v="16093.0"/>
        <n v="41298.0"/>
        <n v="8086.0"/>
        <n v="33249.0"/>
        <n v="9702.0"/>
        <n v="12679.0"/>
        <n v="15628.0"/>
        <n v="19778.0"/>
        <n v="28434.0"/>
        <n v="15589.0"/>
        <n v="20296.0"/>
        <n v="29480.0"/>
        <n v="10818.0"/>
        <n v="30941.0"/>
        <n v="10492.0"/>
        <n v="18809.0"/>
        <n v="8622.0"/>
        <n v="45073.0"/>
        <n v="10693.0"/>
        <n v="12911.0"/>
        <n v="1247.0"/>
        <n v="3297.0"/>
        <n v="1128.0"/>
        <n v="2168.0"/>
        <n v="20074.0"/>
        <n v="12378.0"/>
        <n v="31554.0"/>
        <n v="8518.0"/>
        <n v="12129.0"/>
        <n v="5896.0"/>
        <n v="4002.0"/>
        <n v="5598.0"/>
        <n v="4162.0"/>
        <n v="1649.0"/>
        <n v="46384.0"/>
        <n v="1831.0"/>
        <n v="216500.0"/>
        <n v="18393.0"/>
        <n v="35327.0"/>
        <n v="94041.0"/>
        <n v="15430.0"/>
        <n v="41935.0"/>
        <n v="15162.0"/>
        <n v="5245.0"/>
        <n v="26024.0"/>
        <n v="10744.0"/>
        <n v="21615.0"/>
        <n v="1499944.0"/>
        <n v="72623.0"/>
        <n v="17920.0"/>
        <n v="108765.0"/>
        <n v="51667.0"/>
        <n v="114687.0"/>
        <n v="11876.0"/>
        <n v="57276.0"/>
        <n v="12631.0"/>
        <n v="7040.0"/>
        <n v="13136.0"/>
        <n v="19709.0"/>
        <n v="52970.0"/>
        <n v="9527.0"/>
        <n v="32939.0"/>
        <n v="43409.0"/>
        <n v="16682.0"/>
        <n v="18838.0"/>
        <n v="18811.0"/>
        <n v="6048.0"/>
        <n v="5559.0"/>
        <n v="34264.0"/>
        <n v="28610.0"/>
        <n v="5146.0"/>
        <n v="12978.0"/>
        <n v="33320.0"/>
        <n v="5262.0"/>
        <n v="17222.0"/>
        <n v="2210.0"/>
        <n v="2776.0"/>
        <n v="2195.0"/>
        <n v="2056.0"/>
        <n v="10929.0"/>
        <n v="9363.0"/>
        <n v="11030.0"/>
        <n v="3025.0"/>
        <n v="115307.0"/>
        <n v="15005.0"/>
        <n v="23204.0"/>
        <n v="14948.0"/>
        <n v="17817.0"/>
        <n v="22573.0"/>
        <n v="14043.0"/>
        <n v="7840.0"/>
        <n v="46580.0"/>
        <n v="6442.0"/>
        <n v="23649.0"/>
        <n v="14773.0"/>
        <n v="16344.0"/>
        <n v="6943.0"/>
        <n v="19025.0"/>
        <n v="17097.0"/>
        <n v="7167.0"/>
        <n v="29406.0"/>
        <n v="6869.0"/>
        <n v="15233.0"/>
        <n v="113927.0"/>
        <n v="6156.0"/>
        <n v="96115.0"/>
        <n v="41886.0"/>
        <n v="12657.0"/>
        <n v="42509.0"/>
        <n v="10026.0"/>
        <n v="19877.0"/>
        <n v="17409.0"/>
        <n v="6912.0"/>
        <n v="20029.0"/>
        <n v="3975.0"/>
        <n v="13525.0"/>
        <n v="6881.0"/>
        <n v="5133.0"/>
        <n v="993.6666667"/>
        <n v="11846.0"/>
        <n v="6473.0"/>
        <n v="4284.0"/>
        <n v="3479.0"/>
        <n v="49216.0"/>
        <n v="8416.0"/>
        <n v="2261.0"/>
        <n v="3816.0"/>
        <n v="6615.0"/>
        <n v="3167.0"/>
        <n v="6519.0"/>
        <n v="9584.0"/>
        <n v="8379.0"/>
        <n v="9013.0"/>
        <n v="2560.0"/>
        <n v="1969.0"/>
        <n v="1911.0"/>
        <n v="2704.0"/>
        <n v="2226.0"/>
        <n v="50468.666666666664"/>
        <n v="1.0495009000000002E7"/>
      </sharedItems>
    </cacheField>
    <cacheField name="consumo_kwh_anual_2016 (sin 4 nuevos municipios)" numFmtId="3">
      <sharedItems containsSemiMixedTypes="0" containsString="0" containsNumber="1">
        <n v="8.72188110316391E7"/>
        <n v="1514645.0007061008"/>
        <n v="164048.00001277123"/>
        <n v="332622.99985741545"/>
        <n v="368937.9999489747"/>
        <n v="547490.0011562966"/>
        <n v="301381.99968357757"/>
        <n v="477168.0007606605"/>
        <n v="292426.00066685956"/>
        <n v="1085138.998737716"/>
        <n v="594318.9994132379"/>
        <n v="409769.999410511"/>
        <n v="240179.00059062708"/>
        <n v="220819.99998136982"/>
        <n v="3844243.0018868167"/>
        <n v="696201.9998434642"/>
        <n v="667795.0002400232"/>
        <n v="428958.9992509829"/>
        <n v="1637008.8285805145"/>
        <n v="1066175.0014413195"/>
        <n v="315024.6007393589"/>
        <n v="480408.32970217895"/>
        <n v="952519.0007081432"/>
        <n v="226172.50034896377"/>
        <n v="783372.3689375455"/>
        <n v="264995.4998532217"/>
        <n v="731736.9993764926"/>
        <n v="188970.00016951282"/>
        <n v="904826.9993175082"/>
        <n v="4.4019085631290305E8"/>
        <n v="1263825.000716295"/>
        <n v="3261487.001011139"/>
        <n v="3315720.0051131174"/>
        <n v="2.4424667599197575E8"/>
        <n v="3804495.999041967"/>
        <n v="606002.999063232"/>
        <n v="361336.9999500634"/>
        <n v="507928.0004194416"/>
        <n v="396459.99974527024"/>
        <n v="189293.9998116903"/>
        <n v="587096.9993395442"/>
        <n v="338323.0004296405"/>
        <n v="133297.00011182483"/>
        <n v="130819.99970084522"/>
        <n v="116293.99996375386"/>
        <n v="55771.00022594351"/>
        <n v="10263.9999772273"/>
        <n v="94520.00009374227"/>
        <n v="438529.0002327915"/>
        <n v="439120.0003388785"/>
        <n v="628261.0008863872"/>
        <n v="149952.00008942094"/>
        <n v="295706.0001887791"/>
        <n v="434830.0001381757"/>
        <n v="280883.9999154266"/>
        <n v="235743.00011892244"/>
        <n v="1826242.0011776965"/>
        <n v="2661360.9978773417"/>
        <n v="692744.0015957942"/>
        <n v="168873.99971847702"/>
        <n v="104777.99965818971"/>
        <n v="1456717.0011001406"/>
        <n v="1516831.001722943"/>
        <n v="1220453.9986649882"/>
        <n v="1071545.0009628003"/>
        <n v="422709.99938289635"/>
        <n v="1.5409294005469613E7"/>
        <n v="578625.001391354"/>
        <n v="646290.0003924118"/>
        <n v="834517.0008714478"/>
        <n v="167805.9994258918"/>
        <n v="401394.0003096685"/>
        <n v="252396.00021193922"/>
        <n v="648981.0003759926"/>
        <n v="804514.0000176085"/>
        <n v="241683.00101705827"/>
        <n v="58290.99995852914"/>
        <n v="579867.9995934013"/>
        <n v="458955.00023799017"/>
        <n v="702049.0011424366"/>
        <n v="1815846.998253758"/>
        <n v="309460.00009526126"/>
        <n v="147730.00028283335"/>
        <n v="215762.9998341864"/>
        <n v="2795163.9999010786"/>
        <n v="1962885.0002256362"/>
        <n v="769276.9994540187"/>
        <n v="2627562.0000553485"/>
        <n v="3913222.000697688"/>
        <n v="1806873.0000927849"/>
        <n v="1685275.9989302466"/>
        <n v="1501055.001019217"/>
        <n v="370191.99920715764"/>
        <n v="1336496.0024705194"/>
        <n v="339288.00040807296"/>
        <n v="344290.99988170806"/>
        <n v="638846.9997758558"/>
        <n v="2477796.0002241656"/>
        <n v="513844.99931334145"/>
        <n v="134630.00010117423"/>
        <n v="2586713.0004410893"/>
        <n v="3164111.000326247"/>
        <n v="1028598.9999556551"/>
        <n v="1035885.0001133084"/>
        <n v="301051.0000577327"/>
        <n v="48999.99983458128"/>
        <n v="2115474.9984045075"/>
        <n v="474047.0011710832"/>
        <n v="80069.00001476519"/>
        <n v="33261.00008515641"/>
        <n v="14979.000057975762"/>
        <n v="38561.00015930366"/>
        <n v="141640.0003090566"/>
        <n v="31080.999877316877"/>
        <n v="4812211.998315876"/>
        <n v="706957.9998353738"/>
        <n v="2.788911860043631E8"/>
        <n v="2559556.0005089147"/>
        <n v="254207.0001061987"/>
        <n v="614123.0000102753"/>
        <n v="598887.0002952544"/>
        <n v="304985.0004417235"/>
        <n v="396558.9997583581"/>
        <n v="1520142.0003358908"/>
        <n v="271436.00045514293"/>
        <n v="2516753.498214664"/>
        <n v="224107.00050216634"/>
        <n v="1907851.4979518848"/>
        <n v="302223.00025526714"/>
        <n v="206101.00002764445"/>
        <n v="148420.0000754241"/>
        <n v="3478721.0017391667"/>
        <n v="1135769.0000126967"/>
        <n v="208101.00007884763"/>
        <n v="4846450.998363441"/>
        <n v="733240.500016436"/>
        <n v="1593179.9992441107"/>
        <n v="4.8729985997995175E7"/>
        <n v="9111536.50415894"/>
        <n v="2.106805700849795E7"/>
        <n v="1.2661829999839395E7"/>
        <n v="2.109960799572236E7"/>
        <n v="5.0168160485634565E7"/>
        <n v="2433604.998180435"/>
        <n v="1.0361196500695225E7"/>
        <n v="553993.0000124732"/>
        <n v="817274.00021296"/>
        <n v="709660.0002770247"/>
        <n v="917127.9991086368"/>
        <n v="3801190.99878788"/>
        <n v="8649165.003996193"/>
        <n v="6999093.001536882"/>
        <n v="2523402.5001531187"/>
        <n v="109365.00006354973"/>
        <n v="57372.50006655231"/>
        <n v="0.0"/>
        <n v="7175862.502895114"/>
        <n v="1034120.000390321"/>
        <n v="3110593.5015466763"/>
        <n v="88303.99992523249"/>
        <n v="170061.00025380962"/>
        <n v="1775845.9994051699"/>
        <n v="3585151.0028390633"/>
        <n v="8.540816300252405E7"/>
        <n v="1257855.0008685244"/>
        <n v="81553.9993623048"/>
        <n v="519538.9999715518"/>
        <n v="2504958.0007918514"/>
        <n v="62790.00004203152"/>
        <n v="264297.99965532776"/>
        <n v="47246.999916911125"/>
        <n v="143756.00008965842"/>
        <n v="117855.00018742308"/>
        <n v="183777.00013738032"/>
        <n v="8289.999977324158"/>
        <n v="14427.00036949385"/>
        <n v="10825.999946177006"/>
        <n v="12500.00010740757"/>
        <n v="13669.00004781317"/>
        <n v="195530.000221245"/>
        <n v="2514.0000056922436"/>
        <n v="5055554.999263692"/>
        <n v="530641.00029431"/>
        <n v="677831.0008056657"/>
        <n v="47059.99995390326"/>
        <n v="327032.999522388"/>
        <n v="82661.00024309754"/>
        <n v="84576.00003077555"/>
        <n v="203753.00030716695"/>
        <n v="45323.00022884831"/>
        <n v="191195.9997679582"/>
        <n v="49112.00013186876"/>
        <n v="15607.000008354895"/>
        <n v="542637.9990727687"/>
        <n v="8289.000012712553"/>
        <n v="5425.999999840744"/>
        <n v="4779.000058887526"/>
        <n v="30102.999903494492"/>
        <n v="4.337751700140578E7"/>
        <n v="397256.00032300316"/>
        <n v="307584.999970451"/>
        <n v="36874.999912686646"/>
        <n v="1426072.0009021321"/>
        <n v="191135.00024271663"/>
        <n v="5060579.001320232"/>
        <n v="2070967.9996444788"/>
        <n v="578104.0000115056"/>
        <n v="261834.00023239665"/>
        <n v="1256872.5027173702"/>
        <n v="435560.00046448316"/>
        <n v="850680.4994308883"/>
        <n v="292788.0003542742"/>
        <n v="411384.00039204676"/>
        <n v="360519.0002337331"/>
        <n v="1886947.2697542673"/>
        <n v="503846.9995762082"/>
        <n v="574275.0001613349"/>
        <n v="206720.00022223126"/>
        <n v="7749116.999235776"/>
        <n v="1554925.9997890517"/>
        <n v="941276.0021534497"/>
        <n v="167378.99982671533"/>
        <n v="224970.9997583246"/>
        <n v="85395.99973329902"/>
        <n v="1215403.9990719175"/>
        <n v="782980.0002475893"/>
        <n v="218936.00005751196"/>
        <n v="5743515.790856812"/>
        <n v="390067.0004912"/>
        <n v="1388611.0015958818"/>
        <n v="103547.00015135575"/>
        <n v="160743.99969359487"/>
        <n v="421723.0003740778"/>
        <n v="85354.00022754911"/>
        <n v="6258757.002827316"/>
        <n v="141920.99966413341"/>
        <n v="7.275823597907254E7"/>
        <n v="2216052.0012944005"/>
        <n v="1.0859125997742966E7"/>
        <n v="2.7599333002010867E7"/>
        <n v="3270193.0006595375"/>
        <n v="1.5086505991442185E7"/>
        <n v="2445990.9998423895"/>
        <n v="153720.00002265163"/>
        <n v="4947866.001290562"/>
        <n v="806355.0003722664"/>
        <n v="2954527.001894653"/>
        <n v="9.747382049207565E8"/>
        <n v="2.1231941016358484E7"/>
        <n v="1.6918527997320183E7"/>
        <n v="4.272420802108264E7"/>
        <n v="1.4483068992929038E7"/>
        <n v="4.5514298992391974E7"/>
        <n v="4183504.0023819916"/>
        <n v="1.0134821996028926E7"/>
        <n v="1819209.9997632513"/>
        <n v="968591.9995806646"/>
        <n v="3722826.002081111"/>
        <n v="5067303.003959936"/>
        <n v="1.3475819989712108E7"/>
        <n v="2698972.9982697032"/>
        <n v="6105850.000894358"/>
        <n v="1.2391794004371278E7"/>
        <n v="4441643.000641487"/>
        <n v="7805129.99180993"/>
        <n v="3670194.002852373"/>
        <n v="1918077.9997633677"/>
        <n v="759410.9996175226"/>
        <n v="2921668.0016149255"/>
        <n v="5383326.990362401"/>
        <n v="526307.0002609538"/>
        <n v="1001456.9994421564"/>
        <n v="1.2673717005906273E7"/>
        <n v="965606.0021210602"/>
        <n v="3483949.003287417"/>
        <n v="323829.00094444957"/>
        <n v="255241.99945543148"/>
        <n v="196323.00001523923"/>
        <n v="2712498.004895242"/>
        <n v="1470213.0014048005"/>
        <n v="2274516.998378434"/>
        <n v="207381.99992794357"/>
        <n v="4.984077598825733E7"/>
        <n v="3373195.9956203867"/>
        <n v="7093516.000062666"/>
        <n v="3326805.003268132"/>
        <n v="3902191.007270933"/>
        <n v="3781056.001036017"/>
        <n v="2651415.000608718"/>
        <n v="2063611.9991964512"/>
        <n v="1.0184307002994064E7"/>
        <n v="708414.9999723146"/>
        <n v="9607958.006211417"/>
        <n v="3259157.9980929596"/>
        <n v="2467396.0003083833"/>
        <n v="803668.0007799324"/>
        <n v="7722680.004833687"/>
        <n v="8600121.006346613"/>
        <n v="1379133.9999175249"/>
        <n v="6305981.997392422"/>
        <n v="855568.9998159232"/>
        <n v="2121404.9994864576"/>
        <n v="5.1759909005797595E7"/>
        <n v="312333.000259812"/>
        <n v="2.0338121007570855E7"/>
        <n v="1.146025399340142E7"/>
        <n v="1927539.0007418906"/>
        <n v="6582143.00114262"/>
        <n v="1458203.0004765633"/>
        <n v="4302058.00379261"/>
        <n v="3464398.0005378947"/>
        <n v="2555922.9992597364"/>
        <n v="239932.9999756012"/>
        <n v="1194177.0009360788"/>
        <n v="1560814.9998645047"/>
        <n v="1283759.0014658775"/>
        <n v="1665268.9990930036"/>
        <n v="231877.99961601384"/>
        <n v="127167.00012107939"/>
        <n v="2.3776788244639225E7"/>
        <n v="1289749.1708425088"/>
        <n v="185920.9995722724"/>
        <n v="914805.1112410333"/>
        <n v="81834.99987585098"/>
        <n v="944520.9998827092"/>
        <n v="186030.00017465465"/>
        <n v="303570.50026059896"/>
        <n v="723820.499534213"/>
        <n v="96837.0000496339"/>
        <n v="77098.00014922023"/>
        <n v="1.5318677331370862E7"/>
        <n v="3.233373110035706E9"/>
      </sharedItems>
    </cacheField>
    <cacheField name="consumo_per_capita_2016" numFmtId="1">
      <sharedItems containsSemiMixedTypes="0" containsString="0" containsNumber="1">
        <n v="319.09710251944205"/>
        <n v="161.2525285538274"/>
        <n v="10.53548262878243"/>
        <n v="34.16423581115606"/>
        <n v="24.415194225992636"/>
        <n v="45.101738294447365"/>
        <n v="24.2346413383385"/>
        <n v="56.826009379618974"/>
        <n v="35.5144523520597"/>
        <n v="108.66603231901824"/>
        <n v="69.92810912027744"/>
        <n v="56.99958261378648"/>
        <n v="53.089964763622255"/>
        <n v="45.42686689598227"/>
        <n v="157.65432258394097"/>
        <n v="87.39668589548886"/>
        <n v="42.43470802821524"/>
        <n v="44.83735750506772"/>
        <n v="106.75680374204477"/>
        <n v="34.85940825376228"/>
        <n v="22.186393460057676"/>
        <n v="30.94018997244664"/>
        <n v="90.92392141162115"/>
        <n v="54.71032906361001"/>
        <n v="46.71272325208977"/>
        <n v="60.26734133573384"/>
        <n v="67.0887502866501"/>
        <n v="74.30987029866803"/>
        <n v="122.98858220980131"/>
        <n v="576.5765889755311"/>
        <n v="68.97102165009251"/>
        <n v="187.75470617760283"/>
        <n v="109.24942356221145"/>
        <n v="283.707560595156"/>
        <n v="81.89108439971517"/>
        <n v="42.06017483781454"/>
        <n v="62.90685932278263"/>
        <n v="62.00292973870137"/>
        <n v="45.031803696645866"/>
        <n v="43.77752077051117"/>
        <n v="50.546448501036956"/>
        <n v="22.5834724270503"/>
        <n v="12.505582147652204"/>
        <n v="30.191553127358695"/>
        <n v="32.56622793720354"/>
        <n v="10.090645960908905"/>
        <n v="5.853992383561957"/>
        <n v="12.539135061520598"/>
        <n v="35.953841127555265"/>
        <n v="26.808302828991362"/>
        <n v="40.51989686464929"/>
        <n v="27.52928219009013"/>
        <n v="38.22466393339957"/>
        <n v="31.991612723526757"/>
        <n v="32.60027854171618"/>
        <n v="39.92936993884188"/>
        <n v="71.05447051504538"/>
        <n v="173.70674224119455"/>
        <n v="79.55259549790931"/>
        <n v="52.82264614278293"/>
        <n v="28.596615627235185"/>
        <n v="157.84126136094275"/>
        <n v="91.69574427052007"/>
        <n v="114.14646452160383"/>
        <n v="53.78162020491871"/>
        <n v="56.062334135662645"/>
        <n v="168.1007778750217"/>
        <n v="74.99028011811224"/>
        <n v="50.989349143385546"/>
        <n v="114.47421136782549"/>
        <n v="24.889646903870037"/>
        <n v="25.56975412853029"/>
        <n v="36.499783110909505"/>
        <n v="59.0304712002904"/>
        <n v="58.205324845724824"/>
        <n v="26.928468079895072"/>
        <n v="11.168997884370404"/>
        <n v="47.911096388779754"/>
        <n v="28.616722798228594"/>
        <n v="76.81061281645916"/>
        <n v="149.32952288271036"/>
        <n v="14.7960793734287"/>
        <n v="17.464239305217326"/>
        <n v="34.33529596342877"/>
        <n v="155.4336873659055"/>
        <n v="101.82523215363574"/>
        <n v="112.83030206131104"/>
        <n v="102.90847139213365"/>
        <n v="93.21412069025722"/>
        <n v="49.234938284225315"/>
        <n v="57.639920614619555"/>
        <n v="81.19955647620995"/>
        <n v="53.15032292995802"/>
        <n v="41.54479336246563"/>
        <n v="37.82896648545802"/>
        <n v="38.46397049287321"/>
        <n v="47.73214284039568"/>
        <n v="104.89801448813199"/>
        <n v="47.803981701864494"/>
        <n v="25.875456486868003"/>
        <n v="116.68680081383478"/>
        <n v="165.40047048229206"/>
        <n v="98.52480842487118"/>
        <n v="112.89069312481566"/>
        <n v="21.60239667463639"/>
        <n v="11.151570285521457"/>
        <n v="134.10301099236182"/>
        <n v="66.87078588955892"/>
        <n v="11.982789586166595"/>
        <n v="3.704722664864826"/>
        <n v="2.175599136960895"/>
        <n v="19.089604039259235"/>
        <n v="26.57410887599561"/>
        <n v="8.391198670981879"/>
        <n v="90.04045277043458"/>
        <n v="64.32153578704157"/>
        <n v="433.6149862391894"/>
        <n v="110.235410676985"/>
        <n v="37.789059031692986"/>
        <n v="102.43919933449129"/>
        <n v="25.98884743513515"/>
        <n v="22.69571368073549"/>
        <n v="21.335288091588644"/>
        <n v="164.30415049026058"/>
        <n v="37.49116028385952"/>
        <n v="117.48452517107012"/>
        <n v="49.00656035472695"/>
        <n v="189.5718897011014"/>
        <n v="34.488531354018846"/>
        <n v="19.426995949443345"/>
        <n v="14.245129098322689"/>
        <n v="178.76264140489036"/>
        <n v="162.29908545480092"/>
        <n v="54.47670159132137"/>
        <n v="223.84421035349132"/>
        <n v="102.33642707835813"/>
        <n v="241.75720777604107"/>
        <n v="331.4175944366659"/>
        <n v="196.5811543507862"/>
        <n v="372.56285714155774"/>
        <n v="237.4107963144656"/>
        <n v="371.28894199553673"/>
        <n v="266.8405625592239"/>
        <n v="120.84040906601297"/>
        <n v="131.42055429598204"/>
        <n v="22.48439465938038"/>
        <n v="55.5326493315866"/>
        <n v="66.16259558801275"/>
        <n v="81.50075527491663"/>
        <n v="160.63180353228026"/>
        <n v="164.3827923824729"/>
        <n v="192.84966802239774"/>
        <n v="126.96364780644623"/>
        <n v="20.30165213728415"/>
        <n v="16.53862786582655"/>
        <n v="0.0"/>
        <n v="231.42717782742974"/>
        <n v="124.7430639795321"/>
        <n v="232.25517072699742"/>
        <n v="68.03081658338405"/>
        <n v="22.338237259136953"/>
        <n v="87.42841667020332"/>
        <n v="156.2089234821604"/>
        <n v="309.36131687858926"/>
        <n v="54.62522260253287"/>
        <n v="8.913979600208199"/>
        <n v="37.59599102478847"/>
        <n v="80.57636389577495"/>
        <n v="14.202669088901045"/>
        <n v="22.954490155925633"/>
        <n v="22.846711758661087"/>
        <n v="28.653777175534866"/>
        <n v="21.800776949208856"/>
        <n v="91.61365909141591"/>
        <n v="1.961665872532929"/>
        <n v="7.940011210508448"/>
        <n v="17.066736647523747"/>
        <n v="4.0387722479507495"/>
        <n v="1.6831671035356692"/>
        <n v="36.29664010047243"/>
        <n v="0.7398469704803542"/>
        <n v="218.31649174174945"/>
        <n v="101.0167523880278"/>
        <n v="51.234391595288415"/>
        <n v="15.439632530808156"/>
        <n v="31.107485924321125"/>
        <n v="77.2051683225677"/>
        <n v="39.89433963715828"/>
        <n v="18.808547983676448"/>
        <n v="8.567674901483612"/>
        <n v="34.25837659343454"/>
        <n v="20.77495775459761"/>
        <n v="2.6452542387042195"/>
        <n v="40.62878100275297"/>
        <n v="10.906578964095464"/>
        <n v="6.275250577831422"/>
        <n v="5.10395164726699"/>
        <n v="5.311981631108963"/>
        <n v="216.41687829673353"/>
        <n v="14.299557262985607"/>
        <n v="30.544687186737935"/>
        <n v="12.803819414127307"/>
        <n v="64.03843912623522"/>
        <n v="11.87690301638704"/>
        <n v="122.53811325779049"/>
        <n v="62.28662515096631"/>
        <n v="59.586064730107765"/>
        <n v="20.65099773108263"/>
        <n v="80.42439868936333"/>
        <n v="22.022449209449043"/>
        <n v="29.917721721561804"/>
        <n v="18.781705071157493"/>
        <n v="13.954681153054503"/>
        <n v="33.32584583414061"/>
        <n v="60.98533563085444"/>
        <n v="48.02201673429357"/>
        <n v="30.531926214117437"/>
        <n v="23.97587569267354"/>
        <n v="171.92370153386233"/>
        <n v="145.41531841289176"/>
        <n v="72.90496492552472"/>
        <n v="134.22534067900187"/>
        <n v="68.23506210443573"/>
        <n v="39.38929876997187"/>
        <n v="60.54617909095933"/>
        <n v="63.25577639744622"/>
        <n v="14.28992885957261"/>
        <n v="182.02179726363732"/>
        <n v="45.79326138661658"/>
        <n v="114.48684983064406"/>
        <n v="25.8738131312733"/>
        <n v="28.714540852732203"/>
        <n v="101.32700633687598"/>
        <n v="51.76106745151553"/>
        <n v="134.93353317582174"/>
        <n v="77.51010358499913"/>
        <n v="336.0657550996422"/>
        <n v="120.48344485915297"/>
        <n v="307.3888526549938"/>
        <n v="293.4819174829156"/>
        <n v="211.9373299196071"/>
        <n v="359.75929394162836"/>
        <n v="161.32376994079868"/>
        <n v="29.307912301744828"/>
        <n v="190.12703663120817"/>
        <n v="75.0516567732936"/>
        <n v="136.68873476264875"/>
        <n v="649.8497310037951"/>
        <n v="292.35835777038244"/>
        <n v="944.1142855647423"/>
        <n v="392.812099674368"/>
        <n v="280.3156558911692"/>
        <n v="396.85665325967176"/>
        <n v="352.2654094292684"/>
        <n v="176.9470981917195"/>
        <n v="144.02739290343214"/>
        <n v="137.5840908495262"/>
        <n v="283.40636434844026"/>
        <n v="257.1060431254724"/>
        <n v="254.40475721563354"/>
        <n v="283.2972602361397"/>
        <n v="185.3684082969841"/>
        <n v="285.466009453599"/>
        <n v="266.25362670192345"/>
        <n v="414.3290153843258"/>
        <n v="195.1089257802548"/>
        <n v="317.14252641590076"/>
        <n v="136.60928217620483"/>
        <n v="85.26932061682598"/>
        <n v="188.16242538840967"/>
        <n v="102.27497090185655"/>
        <n v="77.16574198198154"/>
        <n v="380.36365563944395"/>
        <n v="183.50551161555686"/>
        <n v="202.29642337053866"/>
        <n v="146.52895970337084"/>
        <n v="91.94596522169722"/>
        <n v="89.44100228484703"/>
        <n v="248.19269877346892"/>
        <n v="157.02371049928448"/>
        <n v="206.2118765528952"/>
        <n v="68.55603303403093"/>
        <n v="432.24414812853803"/>
        <n v="224.80479810865623"/>
        <n v="305.7022927108544"/>
        <n v="222.55853647766472"/>
        <n v="219.01504222208752"/>
        <n v="167.50347765188576"/>
        <n v="188.8068789153826"/>
        <n v="263.21581622403716"/>
        <n v="218.64119800330752"/>
        <n v="109.9681775803034"/>
        <n v="406.27333105887845"/>
        <n v="220.61585311669666"/>
        <n v="150.9664708950308"/>
        <n v="115.75226858417577"/>
        <n v="405.92273349979956"/>
        <n v="503.0193020030773"/>
        <n v="192.4283521581589"/>
        <n v="214.4454192135082"/>
        <n v="124.55510260822874"/>
        <n v="139.26376941419664"/>
        <n v="454.3252170758257"/>
        <n v="50.736354818033135"/>
        <n v="211.60194566478546"/>
        <n v="273.60583472762784"/>
        <n v="152.29035322287197"/>
        <n v="154.84116307470467"/>
        <n v="145.4421504564695"/>
        <n v="216.43396909959299"/>
        <n v="199.00040212177004"/>
        <n v="127.61111384790735"/>
        <n v="60.36050313851603"/>
        <n v="88.29404812836073"/>
        <n v="226.82967589950655"/>
        <n v="250.09916256884424"/>
        <n v="140.5764814361813"/>
        <n v="35.8223388870715"/>
        <n v="29.684173697730948"/>
        <n v="483.110944502585"/>
        <n v="153.24966383584942"/>
        <n v="48.72143594661227"/>
        <n v="138.29253382328545"/>
        <n v="25.83991154905304"/>
        <n v="144.8874060258796"/>
        <n v="19.410475811211878"/>
        <n v="36.229920069292156"/>
        <n v="80.30849878333662"/>
        <n v="50.673469413727844"/>
        <n v="28.512574019682038"/>
        <n v="303.528473073145"/>
        <n v="308.08674009099997"/>
      </sharedItems>
    </cacheField>
    <cacheField name="Población2024" numFmtId="3">
      <sharedItems containsSemiMixedTypes="0" containsString="0" containsNumber="1" containsInteger="1">
        <n v="296746.0"/>
        <n v="9256.0"/>
        <n v="13649.0"/>
        <n v="7903.0"/>
        <n v="16812.0"/>
        <n v="13694.0"/>
        <n v="12539.0"/>
        <n v="9055.0"/>
        <n v="9155.0"/>
        <n v="9192.0"/>
        <n v="8509.0"/>
        <n v="6942.0"/>
        <n v="3768.0"/>
        <n v="5654.0"/>
        <n v="24546.0"/>
        <n v="7200.0"/>
        <n v="13323.0"/>
        <n v="8480.0"/>
        <n v="14713.0"/>
        <n v="26715.0"/>
        <n v="16484.0"/>
        <n v="14282.0"/>
        <n v="9107.0"/>
        <n v="5375.0"/>
        <n v="14848.0"/>
        <n v="5016.0"/>
        <n v="13282.0"/>
        <n v="2547.0"/>
        <n v="7235.0"/>
        <n v="757431.0"/>
        <n v="21729.0"/>
        <n v="20446.0"/>
        <n v="46188.0"/>
        <n v="885825.0"/>
        <n v="47257.0"/>
        <n v="16953.0"/>
        <n v="8679.0"/>
        <n v="9287.0"/>
        <n v="5118.0"/>
        <n v="7226.0"/>
        <n v="13551.0"/>
        <n v="15570.0"/>
        <n v="12219.0"/>
        <n v="5238.0"/>
        <n v="4221.0"/>
        <n v="6442.0"/>
        <n v="4022.0"/>
        <n v="8037.0"/>
        <n v="14012.0"/>
        <n v="17811.0"/>
        <n v="17336.0"/>
        <n v="5658.0"/>
        <n v="8837.0"/>
        <n v="17830.0"/>
        <n v="9029.0"/>
        <n v="6721.0"/>
        <n v="30083.0"/>
        <n v="16386.0"/>
        <n v="9761.0"/>
        <n v="4224.0"/>
        <n v="3529.0"/>
        <n v="7716.0"/>
        <n v="21843.0"/>
        <n v="13379.0"/>
        <n v="19156.0"/>
        <n v="9060.0"/>
        <n v="113554.0"/>
        <n v="8592.0"/>
        <n v="13648.0"/>
        <n v="7897.0"/>
        <n v="7936.0"/>
        <n v="17016.0"/>
        <n v="7540.0"/>
        <n v="10703.0"/>
        <n v="16497.0"/>
        <n v="12296.0"/>
        <n v="5297.0"/>
        <n v="13598.0"/>
        <n v="18679.0"/>
        <n v="10887.0"/>
        <n v="15565.0"/>
        <n v="23505.0"/>
        <n v="9552.0"/>
        <n v="7877.0"/>
        <n v="18303.0"/>
        <n v="23279.0"/>
        <n v="7615.0"/>
        <n v="27137.0"/>
        <n v="45587.0"/>
        <n v="49850.0"/>
        <n v="38652.0"/>
        <n v="20607.0"/>
        <n v="7900.0"/>
        <n v="33885.0"/>
        <n v="9102.0"/>
        <n v="11258.0"/>
        <n v="15327.0"/>
        <n v="25148.0"/>
        <n v="12490.0"/>
        <n v="5526.0"/>
        <n v="27711.0"/>
        <n v="23530.0"/>
        <n v="12595.0"/>
        <n v="10105.0"/>
        <n v="15763.0"/>
        <n v="6611.0"/>
        <n v="17463.0"/>
        <n v="9164.0"/>
        <n v="7525.0"/>
        <n v="9217.0"/>
        <n v="6649.0"/>
        <n v="2052.0"/>
        <n v="6805.0"/>
        <n v="5351.0"/>
        <n v="59676.0"/>
        <n v="10585.0"/>
        <n v="665505.0"/>
        <n v="23123.0"/>
        <n v="6475.0"/>
        <n v="6700.0"/>
        <n v="21815.0"/>
        <n v="14720.0"/>
        <n v="19608.0"/>
        <n v="11273.0"/>
        <n v="7335.0"/>
        <n v="29375.0"/>
        <n v="4987.0"/>
        <n v="11183.0"/>
        <n v="8409.0"/>
        <n v="10632.0"/>
        <n v="10750.0"/>
        <n v="19427.0"/>
        <n v="7940.0"/>
        <n v="3980.0"/>
        <n v="21155.0"/>
        <n v="7382.0"/>
        <n v="8687.0"/>
        <n v="166741.0"/>
        <n v="55908.0"/>
        <n v="61840.0"/>
        <n v="56064.0"/>
        <n v="66505.0"/>
        <n v="219092.0"/>
        <n v="21846.0"/>
        <n v="93747.0"/>
        <n v="24666.0"/>
        <n v="14821.0"/>
        <n v="11865.0"/>
        <n v="12258.0"/>
        <n v="27521.0"/>
        <n v="64595.0"/>
        <n v="45780.0"/>
        <n v="19896.0"/>
        <n v="5244.0"/>
        <n v="3512.0"/>
        <n v="8056.0"/>
        <n v="35248.0"/>
        <n v="8599.0"/>
        <n v="13054.0"/>
        <n v="1287.0"/>
        <n v="3822.0"/>
        <n v="8282.0"/>
        <n v="18475.0"/>
        <n v="27172.0"/>
        <n v="298350.0"/>
        <n v="22850.0"/>
        <n v="9997.0"/>
        <n v="15764.0"/>
        <n v="35427.0"/>
        <n v="5161.0"/>
        <n v="16101.0"/>
        <n v="2504.0"/>
        <n v="6683.0"/>
        <n v="5803.0"/>
        <n v="4011.0"/>
        <n v="4231.0"/>
        <n v="1517.0"/>
        <n v="875.0"/>
        <n v="3882.0"/>
        <n v="9189.0"/>
        <n v="4251.0"/>
        <n v="3666.0"/>
        <n v="20118.0"/>
        <n v="6120.0"/>
        <n v="15934.0"/>
        <n v="3197.0"/>
        <n v="15504.0"/>
        <n v="1406.0"/>
        <n v="2355.0"/>
        <n v="12202.0"/>
        <n v="5335.0"/>
        <n v="6311.0"/>
        <n v="3061.0"/>
        <n v="6637.0"/>
        <n v="13502.0"/>
        <n v="1262.0"/>
        <n v="1140.0"/>
        <n v="1129.0"/>
        <n v="5996.0"/>
        <n v="218702.0"/>
        <n v="28942.0"/>
        <n v="12253.0"/>
        <n v="3121.0"/>
        <n v="22768.0"/>
        <n v="16021.0"/>
        <n v="41686.0"/>
        <n v="8220.0"/>
        <n v="31904.0"/>
        <n v="9285.0"/>
        <n v="14366.0"/>
        <n v="16363.0"/>
        <n v="16909.0"/>
        <n v="32641.0"/>
        <n v="14532.0"/>
        <n v="21011.0"/>
        <n v="28416.0"/>
        <n v="10714.0"/>
        <n v="29221.0"/>
        <n v="10184.0"/>
        <n v="17205.0"/>
        <n v="8458.0"/>
        <n v="45590.0"/>
        <n v="9610.0"/>
        <n v="12740.0"/>
        <n v="1621.0"/>
        <n v="3150.0"/>
        <n v="1025.0"/>
        <n v="1936.0"/>
        <n v="16389.0"/>
        <n v="12999.0"/>
        <n v="14338.0"/>
        <n v="35318.0"/>
        <n v="7845.0"/>
        <n v="14654.0"/>
        <n v="5819.0"/>
        <n v="4471.0"/>
        <n v="4187.0"/>
        <n v="1546.0"/>
        <n v="49340.0"/>
        <n v="2126.0"/>
        <n v="238749.0"/>
        <n v="17817.0"/>
        <n v="36970.0"/>
        <n v="97634.0"/>
        <n v="15559.0"/>
        <n v="46071.0"/>
        <n v="15923.0"/>
        <n v="4754.0"/>
        <n v="30346.0"/>
        <n v="9523.0"/>
        <n v="20864.0"/>
        <n v="1610982.0"/>
        <n v="106603.0"/>
        <n v="23126.0"/>
        <n v="147726.0"/>
        <n v="55697.0"/>
        <n v="151248.0"/>
        <n v="10665.0"/>
        <n v="67103.0"/>
        <n v="15239.0"/>
        <n v="8842.0"/>
        <n v="13651.0"/>
        <n v="18942.0"/>
        <n v="57794.0"/>
        <n v="10200.0"/>
        <n v="40974.0"/>
        <n v="54495.0"/>
        <n v="18763.0"/>
        <n v="20743.0"/>
        <n v="17999.0"/>
        <n v="6007.0"/>
        <n v="5946.0"/>
        <n v="38420.0"/>
        <n v="32961.0"/>
        <n v="14389.0"/>
        <n v="32285.0"/>
        <n v="5612.0"/>
        <n v="17249.0"/>
        <n v="2359.0"/>
        <n v="2793.0"/>
        <n v="1806.0"/>
        <n v="2015.0"/>
        <n v="11843.0"/>
        <n v="9692.0"/>
        <n v="12735.0"/>
        <n v="3086.0"/>
        <n v="126886.0"/>
        <n v="16598.0"/>
        <n v="23110.0"/>
        <n v="14610.0"/>
        <n v="15246.0"/>
        <n v="30118.0"/>
        <n v="14888.0"/>
        <n v="44909.0"/>
        <n v="6364.0"/>
        <n v="8541.0"/>
        <n v="25258.0"/>
        <n v="15378.0"/>
        <n v="17195.0"/>
        <n v="6048.0"/>
        <n v="17417.0"/>
        <n v="17974.0"/>
        <n v="8816.0"/>
        <n v="34079.0"/>
        <n v="6555.0"/>
        <n v="17290.0"/>
        <n v="128589.0"/>
        <n v="7913.0"/>
        <n v="110302.0"/>
        <n v="42031.0"/>
        <n v="11478.0"/>
        <n v="45798.0"/>
        <n v="11122.0"/>
        <n v="21240.0"/>
        <n v="18088.0"/>
        <n v="8012.0"/>
        <n v="21584.0"/>
        <n v="4269.0"/>
        <n v="6808.0"/>
        <n v="5489.0"/>
        <n v="1091.0"/>
        <n v="12785.0"/>
        <n v="7488.0"/>
        <n v="4630.0"/>
        <n v="3973.0"/>
        <n v="55114.0"/>
        <n v="9353.0"/>
        <n v="2437.0"/>
        <n v="3630.0"/>
        <n v="7367.0"/>
        <n v="3518.0"/>
        <n v="8045.0"/>
        <n v="12431.0"/>
        <n v="9832.0"/>
        <n v="10522.0"/>
        <n v="2889.0"/>
        <n v="2600.0"/>
        <n v="1598.0"/>
        <n v="2511.0"/>
        <n v="2347.0"/>
        <n v="53088.0"/>
        <n v="1.1365333E7"/>
      </sharedItems>
    </cacheField>
    <cacheField name="consumo_kwh_anual_2024" numFmtId="3">
      <sharedItems containsSemiMixedTypes="0" containsString="0" containsNumber="1">
        <n v="1.0425159400765991E8"/>
        <n v="1992966.9989318848"/>
        <n v="414412.00005340576"/>
        <n v="459137.9998931885"/>
        <n v="516629.00005340576"/>
        <n v="78013.0"/>
        <n v="788514.9999465942"/>
        <n v="646082.000213623"/>
        <n v="404900.0002822876"/>
        <n v="1423640.9997024536"/>
        <n v="791278.0000534058"/>
        <n v="569414.0"/>
        <n v="345372.0003051758"/>
        <n v="357923.0001449585"/>
        <n v="5186557.999954224"/>
        <n v="1111469.0001983643"/>
        <n v="841465.0002822876"/>
        <n v="572712.0001754761"/>
        <n v="2073499.0000305176"/>
        <n v="1497780.0003509521"/>
        <n v="426205.0"/>
        <n v="665573.0002059937"/>
        <n v="1334275.0001907349"/>
        <n v="350558.00006866455"/>
        <n v="1010910.0001220703"/>
        <n v="363616.00018310547"/>
        <n v="1845489.0000991821"/>
        <n v="87905.0"/>
        <n v="3243399.999824524"/>
        <n v="4.294344680086365E8"/>
        <n v="2007219.9990844727"/>
        <n v="7136473.999633789"/>
        <n v="6604605.000259399"/>
        <n v="2.98946404003067E8"/>
        <n v="3802112.0003814697"/>
        <n v="471038.99991607666"/>
        <n v="342661.999961853"/>
        <n v="515176.00009155273"/>
        <n v="438681.0001296997"/>
        <n v="262075.9998703003"/>
        <n v="572989.9998321533"/>
        <n v="341835.00004577637"/>
        <n v="157014.0"/>
        <n v="156003.99995422363"/>
        <n v="440725.0"/>
        <n v="0.0"/>
        <n v="33409.0"/>
        <n v="106318.00005340576"/>
        <n v="496802.00009155273"/>
        <n v="387883.00008392334"/>
        <n v="673681.0002365112"/>
        <n v="138693.0000076294"/>
        <n v="411464.9999008179"/>
        <n v="541776.9999923706"/>
        <n v="267015.0"/>
        <n v="657724.9963226318"/>
        <n v="2985638.9999694824"/>
        <n v="5694304.999099731"/>
        <n v="1116845.0003814697"/>
        <n v="226132.99994659424"/>
        <n v="90994.0000076294"/>
        <n v="2618249.000152588"/>
        <n v="9565757.998779297"/>
        <n v="5031421.998626709"/>
        <n v="2757229.0000686646"/>
        <n v="615826.0001983643"/>
        <n v="2.2984970002464294E7"/>
        <n v="661035.9998855591"/>
        <n v="833757.9997787476"/>
        <n v="1075695.0004119873"/>
        <n v="280576.0000076294"/>
        <n v="903516.9998550415"/>
        <n v="1008846.000038147"/>
        <n v="234704.99992370605"/>
        <n v="76229.00003814697"/>
        <n v="839524.0002288818"/>
        <n v="685609.9998779297"/>
        <n v="1277700.5000534058"/>
        <n v="2356197.0"/>
        <n v="294485.0001144409"/>
        <n v="165399.00004577637"/>
        <n v="426309.0001068115"/>
        <n v="4344043.000259399"/>
        <n v="3436808.000190735"/>
        <n v="1087012.0001068115"/>
        <n v="4941014.9998703"/>
        <n v="9305408.00099945"/>
        <n v="1.170823000012207E7"/>
        <n v="2771224.0005111694"/>
        <n v="1643978.9997711182"/>
        <n v="1552734.9997406006"/>
        <n v="340995.99991607666"/>
        <n v="412383.99991607666"/>
        <n v="789331.0000839233"/>
        <n v="3253823.9994125366"/>
        <n v="564564.9998092651"/>
        <n v="173404.9999923706"/>
        <n v="5043189.000061035"/>
        <n v="3620872.0004730225"/>
        <n v="1987538.9997558594"/>
        <n v="1913410.0006408691"/>
        <n v="586770.9998245239"/>
        <n v="149167.00003051758"/>
        <n v="2051569.000137329"/>
        <n v="376368.9999694824"/>
        <n v="111727.00010681152"/>
        <n v="249310.0"/>
        <n v="188381.99991607666"/>
        <n v="53932.00003051758"/>
        <n v="221964.0001220703"/>
        <n v="51887.0"/>
        <n v="1.071452399912262E7"/>
        <n v="1997274.0004730225"/>
        <n v="6.361470685336151E8"/>
        <n v="419802.00006103516"/>
        <n v="1880595.0"/>
        <n v="45036.0"/>
        <n v="135504.99996948242"/>
        <n v="35283.0"/>
        <n v="247495.0000152588"/>
        <n v="15498.0"/>
        <n v="21756.0"/>
        <n v="72633.0"/>
        <n v="3480.0"/>
        <n v="12420.0"/>
        <n v="9152.0"/>
        <n v="24070.0"/>
        <n v="8241.0"/>
        <n v="77970.0"/>
        <n v="34932.0"/>
        <n v="25200.0"/>
        <n v="12581.0"/>
        <n v="9222.0"/>
        <n v="29512.0"/>
        <n v="536670.0"/>
        <n v="184036.0"/>
        <n v="422646.0"/>
        <n v="97148.0"/>
        <n v="104652.0"/>
        <n v="703424.0"/>
        <n v="122972.0"/>
        <n v="749056.0"/>
        <n v="58714.0"/>
        <n v="174064.0"/>
        <n v="97569.0"/>
        <n v="54417.0"/>
        <n v="206976.0"/>
        <n v="256672.0"/>
        <n v="198800.0"/>
        <n v="246976.0"/>
        <n v="36334.0"/>
        <n v="13446.0"/>
        <n v="24480.0"/>
        <n v="5888.0"/>
        <n v="16005.0"/>
        <n v="18520.0"/>
        <n v="11988.0"/>
        <n v="22655.0"/>
        <n v="166005.0"/>
        <n v="9.57115619995346E7"/>
        <n v="1764913.0001678467"/>
        <n v="147931.00008392334"/>
        <n v="691314.9999313354"/>
        <n v="3477756.000099182"/>
        <n v="230249.00002288818"/>
        <n v="362450.9999847412"/>
        <n v="91991.99992370605"/>
        <n v="181751.99990081787"/>
        <n v="122664.00001525879"/>
        <n v="173824.99980926514"/>
        <n v="105901.99996948242"/>
        <n v="4261.0"/>
        <n v="10000.0"/>
        <n v="35925.0"/>
        <n v="105137.00006866455"/>
        <n v="147914.00004577637"/>
        <n v="31543.0"/>
        <n v="4648743.001220703"/>
        <n v="641742.9999542236"/>
        <n v="558529.0001220703"/>
        <n v="54897.00002288818"/>
        <n v="632862.0001144409"/>
        <n v="52390.0"/>
        <n v="84476.00003814697"/>
        <n v="257120.99993133545"/>
        <n v="298861.99994659424"/>
        <n v="183901.9999923706"/>
        <n v="2862.0"/>
        <n v="132936.9999923706"/>
        <n v="581877.0000305176"/>
        <n v="46626.99995422363"/>
        <n v="36699.00005340576"/>
        <n v="231241.0002975464"/>
        <n v="172797.0001525879"/>
        <n v="5.608441000274658E7"/>
        <n v="481511.9998626709"/>
        <n v="295977.99995422363"/>
        <n v="35223.999992370605"/>
        <n v="2220178.000022888"/>
        <n v="210661.00006103516"/>
        <n v="6760114.498939514"/>
        <n v="34120.999992370605"/>
        <n v="2458583.00050354"/>
        <n v="522848.99994659424"/>
        <n v="380404.00025177"/>
        <n v="923351.0000457764"/>
        <n v="427380.9998703003"/>
        <n v="796979.9999389648"/>
        <n v="331317.00007629395"/>
        <n v="609190.0000610352"/>
        <n v="678357.0001907349"/>
        <n v="704108.9999694824"/>
        <n v="2246474.999725342"/>
        <n v="585248.9998474121"/>
        <n v="574276.9999542236"/>
        <n v="169965.9999923706"/>
        <n v="9660578.000930786"/>
        <n v="1551002.0003128052"/>
        <n v="2740239.9999542236"/>
        <n v="218578.00009155273"/>
        <n v="134546.99993896484"/>
        <n v="34942.000061035156"/>
        <n v="79425.0000076294"/>
        <n v="1214809.0001296997"/>
        <n v="1059734.999710083"/>
        <n v="205271.9999847412"/>
        <n v="6184928.000190735"/>
        <n v="400953.00022125244"/>
        <n v="1799144.0006713867"/>
        <n v="94049.99990844727"/>
        <n v="188712.00003051758"/>
        <n v="541037.0003433228"/>
        <n v="111310.0000076294"/>
        <n v="8111311.00037384"/>
        <n v="265895.00020599365"/>
        <n v="8.45655130030365E7"/>
        <n v="3614576.9999694824"/>
        <n v="1.4963420000335693E7"/>
        <n v="3.554562600147247E7"/>
        <n v="3603740.0003814697"/>
        <n v="1.761208999912262E7"/>
        <n v="3130266.9995040894"/>
        <n v="299665.9999923706"/>
        <n v="7137820.999382019"/>
        <n v="1188905.9999847412"/>
        <n v="3927052.9999923706"/>
        <n v="1.2332439080282822E9"/>
        <n v="3.822834800141907E7"/>
        <n v="3.782153299433136E7"/>
        <n v="7.096424900210571E7"/>
        <n v="1.984595400035858E7"/>
        <n v="7.913208699408722E7"/>
        <n v="4850435.004989624"/>
        <n v="2040708.0000610352"/>
        <n v="666201.0"/>
        <n v="5579636.999938965"/>
        <n v="5786640.00163269"/>
        <n v="7450905.9998703"/>
        <n v="2.8979426000076294E7"/>
        <n v="4897167.999328613"/>
        <n v="3772785.0001220703"/>
        <n v="2.164281199671936E7"/>
        <n v="882945.9999542236"/>
        <n v="9846306.000442505"/>
        <n v="1.169009900087738E7"/>
        <n v="2290655.9998016357"/>
        <n v="118933.00006103516"/>
        <n v="2404882.9999465942"/>
        <n v="8277245.000556946"/>
        <n v="121588.00007629395"/>
        <n v="215228.00007629395"/>
        <n v="2358126.9995422363"/>
        <n v="235137.00004577637"/>
        <n v="696383.9998474121"/>
        <n v="32278.00001525879"/>
        <n v="66601.99996948242"/>
        <n v="92153.0"/>
        <n v="707841.9998550415"/>
        <n v="198142.0"/>
        <n v="255577.99978637695"/>
        <n v="38744.99996948242"/>
        <n v="6.402000999663544E7"/>
        <n v="4305286.000236511"/>
        <n v="8456277.998542786"/>
        <n v="4181084.9981536865"/>
        <n v="5385238.998794556"/>
        <n v="1507510.0000152588"/>
        <n v="470792.0001220703"/>
        <n v="2540811.999885559"/>
        <n v="2312765.999206543"/>
        <n v="299220.0"/>
        <n v="274252.0"/>
        <n v="290093.9998550415"/>
        <n v="100802.0"/>
        <n v="520378.0004577637"/>
        <n v="964467.9996032715"/>
        <n v="1993679.0"/>
        <n v="1806654.0003814697"/>
        <n v="605416.0"/>
        <n v="1305841.0001220703"/>
        <n v="8.09838689986496E7"/>
        <n v="4351053.000282288"/>
        <n v="3.146384600061035E7"/>
        <n v="1.875028500138092E7"/>
        <n v="3129698.9989242554"/>
        <n v="1.4745362000343323E7"/>
        <n v="3183756.0006103516"/>
        <n v="6618789.001335144"/>
        <n v="6607459.998214722"/>
        <n v="1089460.9999160767"/>
        <n v="4747115.999343872"/>
        <n v="3535019.0"/>
        <n v="7884026.999435425"/>
        <n v="2645097.999671936"/>
        <n v="4523530.999397278"/>
        <n v="6959532.999931335"/>
        <n v="1817620.9998016357"/>
        <n v="1731269.0001983643"/>
        <n v="3.3061341500198364E7"/>
        <n v="3592961.5010681152"/>
        <n v="932741.0001907349"/>
        <n v="1585179.5001449585"/>
        <n v="353813.5003128052"/>
        <n v="5176547.499481201"/>
        <n v="741663.5008773804"/>
        <n v="1892991.0003128052"/>
        <n v="1226835.0000686646"/>
        <n v="1.8920485333658855E7"/>
        <n v="4.033077520578003E9"/>
      </sharedItems>
    </cacheField>
    <cacheField name="consumo_per_capita_2024" numFmtId="1">
      <sharedItems containsSemiMixedTypes="0" containsString="0" containsNumber="1">
        <n v="351.3159200382142"/>
        <n v="215.31622719661675"/>
        <n v="30.36207781181081"/>
        <n v="58.09667213630121"/>
        <n v="30.729776353402674"/>
        <n v="5.696874543595736"/>
        <n v="62.88499879947318"/>
        <n v="71.3508559043206"/>
        <n v="44.22719828315539"/>
        <n v="154.87826367520165"/>
        <n v="92.99306617151319"/>
        <n v="82.02448861999424"/>
        <n v="91.65923574978126"/>
        <n v="63.304386300841614"/>
        <n v="211.29951926807723"/>
        <n v="154.37069447199502"/>
        <n v="63.158823109081105"/>
        <n v="67.53679247352312"/>
        <n v="140.92972201661914"/>
        <n v="56.065131961480525"/>
        <n v="25.855678233438486"/>
        <n v="46.602226593333825"/>
        <n v="146.51092568252278"/>
        <n v="65.22009303603062"/>
        <n v="68.0839170340834"/>
        <n v="72.49122810667971"/>
        <n v="138.94661949248473"/>
        <n v="34.51315272870043"/>
        <n v="448.29302001721135"/>
        <n v="566.9618328384189"/>
        <n v="92.37516678560783"/>
        <n v="349.04010562622466"/>
        <n v="142.99395947560836"/>
        <n v="337.4779488082488"/>
        <n v="80.45605942784074"/>
        <n v="27.78499380145559"/>
        <n v="39.48173752296959"/>
        <n v="55.47281146673336"/>
        <n v="85.713364620887"/>
        <n v="36.26847493361476"/>
        <n v="42.283964270692444"/>
        <n v="21.954720619510365"/>
        <n v="12.849987724036337"/>
        <n v="29.783123320775797"/>
        <n v="104.41246150201374"/>
        <n v="0.0"/>
        <n v="8.30656389855793"/>
        <n v="13.228567880229658"/>
        <n v="35.45546674932577"/>
        <n v="21.777721637410778"/>
        <n v="38.86023305471338"/>
        <n v="24.512725345993175"/>
        <n v="46.56161592178543"/>
        <n v="30.385698260929367"/>
        <n v="29.57304241887252"/>
        <n v="97.86118082467368"/>
        <n v="99.24671741413697"/>
        <n v="347.5103746551771"/>
        <n v="114.41911693284189"/>
        <n v="53.53527460856871"/>
        <n v="25.78464154367509"/>
        <n v="339.32724211412494"/>
        <n v="437.9324268085564"/>
        <n v="376.0686148910015"/>
        <n v="143.9355293416509"/>
        <n v="67.97196470180621"/>
        <n v="202.4144460121554"/>
        <n v="76.93621972597289"/>
        <n v="61.090123078747624"/>
        <n v="136.21565156540296"/>
        <n v="37.21167108854501"/>
        <n v="84.41717274175852"/>
        <n v="61.15330060242147"/>
        <n v="19.0879147628258"/>
        <n v="14.39097603136624"/>
        <n v="61.738785132290175"/>
        <n v="36.704855713792476"/>
        <n v="117.3602002437224"/>
        <n v="151.37789913266946"/>
        <n v="12.528610938712653"/>
        <n v="17.31564070830992"/>
        <n v="54.12073125641888"/>
        <n v="237.3404906441239"/>
        <n v="147.6355513634922"/>
        <n v="142.74615891094044"/>
        <n v="182.07668496408226"/>
        <n v="204.1241582249205"/>
        <n v="234.86920762531736"/>
        <n v="71.69678155104961"/>
        <n v="79.77769688800495"/>
        <n v="45.82366828214846"/>
        <n v="37.463854088780124"/>
        <n v="36.63030732955025"/>
        <n v="51.49938018424501"/>
        <n v="129.3869890016119"/>
        <n v="45.20136107360009"/>
        <n v="31.379840751424286"/>
        <n v="181.99231352390873"/>
        <n v="153.88321293977995"/>
        <n v="157.80381101674152"/>
        <n v="189.35279570914093"/>
        <n v="37.224576528866585"/>
        <n v="22.56345485259682"/>
        <n v="117.48090248739214"/>
        <n v="41.07038410841144"/>
        <n v="14.847441874659339"/>
        <n v="27.048931322556147"/>
        <n v="28.332380796522283"/>
        <n v="26.28265108699687"/>
        <n v="32.6177810612888"/>
        <n v="9.6966922070641"/>
        <n v="179.54494267582646"/>
        <n v="188.68908837723404"/>
        <n v="955.8862345641508"/>
        <n v="18.15517017951975"/>
        <n v="290.4393822393822"/>
        <n v="6.721791044776119"/>
        <n v="6.211551683221748"/>
        <n v="2.396942934782609"/>
        <n v="12.62214402362601"/>
        <n v="1.3747893196132353"/>
        <n v="2.9660531697341512"/>
        <n v="2.4726127659574466"/>
        <n v="0.6978143172247845"/>
        <n v="1.1106143253152105"/>
        <n v="1.0883577119752645"/>
        <n v="2.2639202407825434"/>
        <n v="0.7666046511627908"/>
        <n v="4.013486384928193"/>
        <n v="4.399496221662469"/>
        <n v="6.331658291457287"/>
        <n v="0.5947057433230915"/>
        <n v="1.249254944459496"/>
        <n v="3.3972602739726026"/>
        <n v="3.2185845113079568"/>
        <n v="3.2917650425699363"/>
        <n v="6.8345084087968955"/>
        <n v="1.7328053652968036"/>
        <n v="1.5735959702278024"/>
        <n v="3.2106329761013637"/>
        <n v="5.629039641124233"/>
        <n v="7.990186352629951"/>
        <n v="2.380361631395443"/>
        <n v="11.744416706025234"/>
        <n v="8.223261694058154"/>
        <n v="4.43930494371023"/>
        <n v="7.520656952872352"/>
        <n v="3.9735583249477515"/>
        <n v="4.342507645259939"/>
        <n v="12.413349416968234"/>
        <n v="6.9286803966437835"/>
        <n v="3.828587699316629"/>
        <n v="0.6945074897866546"/>
        <n v="0.6847307826491452"/>
        <n v="1.2260609774781677"/>
        <n v="14.39005439005439"/>
        <n v="1.4474764549625694"/>
        <n v="1.2262516914749662"/>
        <n v="6.109414102752834"/>
        <n v="320.802956257867"/>
        <n v="77.23908097014646"/>
        <n v="14.797539270173386"/>
        <n v="43.854034504652084"/>
        <n v="98.16682191828781"/>
        <n v="44.6132532499299"/>
        <n v="22.511086266985977"/>
        <n v="36.738019138860246"/>
        <n v="27.196169370165773"/>
        <n v="21.13803205501616"/>
        <n v="43.33707300156199"/>
        <n v="25.030016537339264"/>
        <n v="2.80883322346737"/>
        <n v="11.428571428571429"/>
        <n v="9.254250386398764"/>
        <n v="11.441614981898416"/>
        <n v="34.79510704440752"/>
        <n v="8.604200763775232"/>
        <n v="231.07381455515971"/>
        <n v="104.85996731278163"/>
        <n v="35.052654708301134"/>
        <n v="17.171410704688203"/>
        <n v="40.81927245320181"/>
        <n v="37.261735419630156"/>
        <n v="35.87091296736602"/>
        <n v="21.07203736529548"/>
        <n v="56.01911901529414"/>
        <n v="29.13991443390439"/>
        <n v="0.9349885658281607"/>
        <n v="20.02968208412997"/>
        <n v="43.09561546663588"/>
        <n v="36.94690963092206"/>
        <n v="32.192105310005054"/>
        <n v="204.81930938666642"/>
        <n v="28.8187125004316"/>
        <n v="256.4421450318085"/>
        <n v="16.63713633690384"/>
        <n v="24.15555373820482"/>
        <n v="11.286126239144698"/>
        <n v="97.51308854633206"/>
        <n v="13.149054369954133"/>
        <n v="162.1675022535027"/>
        <n v="4.150973235081582"/>
        <n v="77.06190447917315"/>
        <n v="56.31114700555673"/>
        <n v="26.47946542195253"/>
        <n v="56.42920002724295"/>
        <n v="25.275356311449542"/>
        <n v="24.41653135439983"/>
        <n v="22.799132953226945"/>
        <n v="28.993860361764558"/>
        <n v="23.872360648604126"/>
        <n v="65.7185924929515"/>
        <n v="76.87878579533013"/>
        <n v="57.46749802115201"/>
        <n v="33.37849462099527"/>
        <n v="20.095294394936225"/>
        <n v="211.90125029459938"/>
        <n v="161.39458900237307"/>
        <n v="215.08948194303167"/>
        <n v="134.84145594790422"/>
        <n v="42.713333313957094"/>
        <n v="34.089756157107466"/>
        <n v="41.02530992129618"/>
        <n v="74.12343645919212"/>
        <n v="81.52434800446827"/>
        <n v="14.316641092533214"/>
        <n v="175.12112804209568"/>
        <n v="51.10936905305959"/>
        <n v="122.77494204117556"/>
        <n v="25.65466445947825"/>
        <n v="42.208007164061186"/>
        <n v="129.21829480375513"/>
        <n v="71.99870634387412"/>
        <n v="164.39625051426512"/>
        <n v="125.06820329538742"/>
        <n v="354.20258515443624"/>
        <n v="202.87236908399183"/>
        <n v="404.7449283293398"/>
        <n v="364.0701600003326"/>
        <n v="231.61771324516164"/>
        <n v="382.28147856835363"/>
        <n v="196.58776609332975"/>
        <n v="63.034497263855826"/>
        <n v="235.21455873531994"/>
        <n v="124.84574188645817"/>
        <n v="188.22148197816193"/>
        <n v="765.5230834536216"/>
        <n v="358.6048047561426"/>
        <n v="1635.4550287266004"/>
        <n v="480.3775164974731"/>
        <n v="356.31998133397815"/>
        <n v="523.1942702983657"/>
        <n v="454.79934411529524"/>
        <n v="30.41157623446098"/>
        <n v="43.71684493733184"/>
        <n v="631.037887348899"/>
        <n v="423.89861560564725"/>
        <n v="393.3537113224739"/>
        <n v="501.426203413439"/>
        <n v="480.11450973809934"/>
        <n v="92.07753697764608"/>
        <n v="397.15225244002863"/>
        <n v="47.05782657113594"/>
        <n v="474.68090442281755"/>
        <n v="649.4860270502461"/>
        <n v="381.33111366766036"/>
        <n v="20.002186354025422"/>
        <n v="62.59456012354488"/>
        <n v="251.1223870803964"/>
        <n v="22.790627943072906"/>
        <n v="14.957815002869827"/>
        <n v="73.040947794401"/>
        <n v="41.898966508513254"/>
        <n v="40.372427378248716"/>
        <n v="13.682916496506481"/>
        <n v="23.846043669703697"/>
        <n v="51.02602436323367"/>
        <n v="59.76880856666736"/>
        <n v="20.44387123400743"/>
        <n v="20.06894383874181"/>
        <n v="12.555087482009858"/>
        <n v="504.5474677792305"/>
        <n v="259.38582963227566"/>
        <n v="365.9142361983031"/>
        <n v="286.1796713315323"/>
        <n v="353.2230748258268"/>
        <n v="50.05345640531439"/>
        <n v="31.622246112444273"/>
        <n v="56.57689995069049"/>
        <n v="363.41389051014187"/>
        <n v="35.03336845802599"/>
        <n v="17.834048640915594"/>
        <n v="16.87083453649558"/>
        <n v="16.666997354497354"/>
        <n v="29.87759088578766"/>
        <n v="53.65906306905928"/>
        <n v="226.14326225045372"/>
        <n v="53.01370346493353"/>
        <n v="92.35942028985507"/>
        <n v="75.52579526443438"/>
        <n v="629.7884655658695"/>
        <n v="549.8613674058242"/>
        <n v="285.25181774229253"/>
        <n v="446.1060883962057"/>
        <n v="272.66936739190237"/>
        <n v="321.9651949941771"/>
        <n v="286.2575076973882"/>
        <n v="311.6190678594701"/>
        <n v="365.2952232537993"/>
        <n v="135.97865700400357"/>
        <n v="219.93680501037213"/>
        <n v="828.0672288592176"/>
        <n v="506.360115570676"/>
        <n v="388.52790829493773"/>
        <n v="824.1083985056072"/>
        <n v="544.351427448677"/>
        <n v="242.73784719573126"/>
        <n v="373.9241901076381"/>
        <n v="599.8719290960257"/>
        <n v="384.15070042426123"/>
        <n v="256.9534435787148"/>
        <n v="215.1730012413409"/>
        <n v="100.57234232882466"/>
        <n v="643.4490366042512"/>
        <n v="75.43363515839914"/>
        <n v="179.9079072716979"/>
        <n v="424.6573208960417"/>
        <n v="356.39853325909536"/>
        <n v="354.85784011590357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Datos Procesados" cacheId="0" dataCaption="" compact="0" compactData="0">
  <location ref="M1:Q13" firstHeaderRow="0" firstDataRow="2" firstDataCol="0"/>
  <pivotFields>
    <pivotField name="id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t="default"/>
      </items>
    </pivotField>
    <pivotField name="Municipio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t="default"/>
      </items>
    </pivotField>
    <pivotField name="Departamento" axis="axisRow" compact="0" numFmtId="1" outline="0" multipleItemSelectionAllowed="1" showAll="0" sortType="ascending">
      <items>
        <item x="7"/>
        <item x="10"/>
        <item x="0"/>
        <item x="2"/>
        <item x="9"/>
        <item x="1"/>
        <item x="3"/>
        <item x="8"/>
        <item x="4"/>
        <item x="6"/>
        <item x="5"/>
        <item t="default"/>
      </items>
    </pivotField>
    <pivotField name="Población2016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t="default"/>
      </items>
    </pivotField>
    <pivotField name="consumo_kwh_anual_2016 (sin 4 nuevos municipios)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t="default"/>
      </items>
    </pivotField>
    <pivotField name="consumo_per_capita_2016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t="default"/>
      </items>
    </pivotField>
    <pivotField name="Población2024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t="default"/>
      </items>
    </pivotField>
    <pivotField name="consumo_kwh_anual_2024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t="default"/>
      </items>
    </pivotField>
    <pivotField name="consumo_per_capita_2024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t="default"/>
      </items>
    </pivotField>
  </pivotFields>
  <rowFields>
    <field x="2"/>
  </rowFields>
  <colFields>
    <field x="-2"/>
  </colFields>
  <dataFields>
    <dataField name="SUM of consumo_kwh_anual_2016 (sin 4 nuevos municipios)" fld="4" baseField="0"/>
    <dataField name="SUM of consumo_kwh_anual_2024" fld="7" baseField="0"/>
    <dataField name="SUM of Población2016" fld="3" baseField="0"/>
    <dataField name="SUM of Población2024" fld="6" baseField="0"/>
  </dataFields>
</pivotTableDefinition>
</file>

<file path=xl/tables/table1.xml><?xml version="1.0" encoding="utf-8"?>
<table xmlns="http://schemas.openxmlformats.org/spreadsheetml/2006/main" ref="A1:D344" displayName="Table_1" name="Table_1" id="1">
  <tableColumns count="4">
    <tableColumn name="id" id="1"/>
    <tableColumn name="Municipio" id="2"/>
    <tableColumn name="consumo_per_capita_2016" id="3"/>
    <tableColumn name="consumo_per_capita_2024" id="4"/>
  </tableColumns>
  <tableStyleInfo name="Indicador_MU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hyperlink" Target="https://openknowledge.worldbank.org/entities/publication/63daaa86-e68d-40ae-9c3e-50dcba8f92cd" TargetMode="External"/><Relationship Id="rId3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1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6.25"/>
    <col customWidth="1" min="2" max="2" width="12.63"/>
    <col customWidth="1" min="3" max="4" width="8.25"/>
    <col customWidth="1" min="5" max="5" width="9.0"/>
    <col customWidth="1" min="6" max="6" width="7.5"/>
    <col customWidth="1" min="7" max="7" width="6.63"/>
    <col customWidth="1" min="8" max="8" width="6.0"/>
    <col customWidth="1" min="9" max="9" width="5.13"/>
    <col customWidth="1" min="10" max="10" width="9.0"/>
    <col customWidth="1" min="11" max="11" width="8.38"/>
    <col customWidth="1" min="12" max="12" width="8.88"/>
    <col customWidth="1" min="13" max="13" width="6.25"/>
    <col customWidth="1" min="14" max="14" width="5.63"/>
    <col customWidth="1" min="15" max="15" width="7.13"/>
    <col customWidth="1" min="16" max="16" width="8.38"/>
    <col customWidth="1" min="17" max="17" width="7.0"/>
    <col customWidth="1" min="18" max="18" width="7.5"/>
    <col customWidth="1" min="19" max="19" width="6.0"/>
    <col customWidth="1" min="20" max="20" width="5.5"/>
    <col customWidth="1" min="21" max="21" width="11.13"/>
    <col customWidth="1" min="22" max="22" width="12.5"/>
    <col customWidth="1" min="23" max="23" width="11.13"/>
    <col customWidth="1" min="24" max="24" width="9.75"/>
    <col customWidth="1" min="25" max="25" width="10.75"/>
    <col customWidth="1" min="26" max="26" width="8.75"/>
    <col customWidth="1" min="27" max="27" width="9.25"/>
    <col customWidth="1" min="29" max="29" width="8.75"/>
  </cols>
  <sheetData>
    <row r="1" ht="15.75" customHeight="1">
      <c r="A1" s="1"/>
      <c r="B1" s="2"/>
      <c r="C1" s="3" t="s">
        <v>0</v>
      </c>
      <c r="D1" s="4"/>
      <c r="E1" s="4"/>
      <c r="F1" s="4"/>
      <c r="G1" s="4"/>
      <c r="H1" s="4"/>
      <c r="I1" s="4"/>
      <c r="J1" s="4"/>
      <c r="K1" s="4"/>
      <c r="L1" s="4"/>
      <c r="M1" s="4"/>
      <c r="N1" s="5"/>
      <c r="O1" s="6" t="s">
        <v>1</v>
      </c>
      <c r="P1" s="4"/>
      <c r="Q1" s="4"/>
      <c r="R1" s="4"/>
      <c r="S1" s="4"/>
      <c r="T1" s="5"/>
      <c r="U1" s="7" t="s">
        <v>2</v>
      </c>
      <c r="V1" s="4"/>
      <c r="W1" s="4"/>
      <c r="X1" s="5"/>
      <c r="Y1" s="8" t="s">
        <v>3</v>
      </c>
      <c r="Z1" s="9"/>
      <c r="AA1" s="10" t="s">
        <v>4</v>
      </c>
      <c r="AB1" s="11"/>
      <c r="AC1" s="12"/>
      <c r="AD1" s="13"/>
      <c r="AE1" s="13"/>
      <c r="AF1" s="13"/>
      <c r="AG1" s="13"/>
      <c r="AH1" s="13"/>
      <c r="AI1" s="13"/>
      <c r="AJ1" s="13"/>
      <c r="AK1" s="13"/>
      <c r="AL1" s="13"/>
    </row>
    <row r="2" ht="15.75" customHeight="1">
      <c r="A2" s="14" t="s">
        <v>5</v>
      </c>
      <c r="B2" s="15" t="s">
        <v>6</v>
      </c>
      <c r="C2" s="3">
        <v>2012.0</v>
      </c>
      <c r="D2" s="4"/>
      <c r="E2" s="4"/>
      <c r="F2" s="4"/>
      <c r="G2" s="4"/>
      <c r="H2" s="5"/>
      <c r="I2" s="3">
        <v>2024.0</v>
      </c>
      <c r="J2" s="4"/>
      <c r="K2" s="4"/>
      <c r="L2" s="4"/>
      <c r="M2" s="4"/>
      <c r="N2" s="5"/>
      <c r="O2" s="6">
        <v>2016.0</v>
      </c>
      <c r="P2" s="4"/>
      <c r="Q2" s="4"/>
      <c r="R2" s="4"/>
      <c r="S2" s="4"/>
      <c r="T2" s="5"/>
      <c r="U2" s="16"/>
      <c r="V2" s="1"/>
      <c r="W2" s="1"/>
      <c r="X2" s="1"/>
      <c r="Y2" s="17"/>
      <c r="Z2" s="18"/>
      <c r="AA2" s="19">
        <v>2012.0</v>
      </c>
      <c r="AB2" s="20" t="s">
        <v>7</v>
      </c>
      <c r="AC2" s="19">
        <v>2024.0</v>
      </c>
      <c r="AD2" s="13"/>
      <c r="AE2" s="13"/>
      <c r="AF2" s="13"/>
      <c r="AG2" s="13"/>
      <c r="AH2" s="13"/>
      <c r="AI2" s="13"/>
      <c r="AJ2" s="13"/>
      <c r="AK2" s="13"/>
      <c r="AL2" s="13"/>
    </row>
    <row r="3" ht="82.5" customHeight="1">
      <c r="A3" s="21"/>
      <c r="B3" s="21"/>
      <c r="C3" s="22" t="s">
        <v>8</v>
      </c>
      <c r="D3" s="22" t="s">
        <v>9</v>
      </c>
      <c r="E3" s="22" t="s">
        <v>10</v>
      </c>
      <c r="F3" s="22" t="s">
        <v>11</v>
      </c>
      <c r="G3" s="22" t="s">
        <v>12</v>
      </c>
      <c r="H3" s="22" t="s">
        <v>13</v>
      </c>
      <c r="I3" s="22" t="s">
        <v>8</v>
      </c>
      <c r="J3" s="22" t="s">
        <v>14</v>
      </c>
      <c r="K3" s="22" t="s">
        <v>10</v>
      </c>
      <c r="L3" s="22" t="s">
        <v>11</v>
      </c>
      <c r="M3" s="22" t="s">
        <v>12</v>
      </c>
      <c r="N3" s="22" t="s">
        <v>13</v>
      </c>
      <c r="O3" s="23" t="s">
        <v>8</v>
      </c>
      <c r="P3" s="23" t="s">
        <v>9</v>
      </c>
      <c r="Q3" s="23" t="s">
        <v>10</v>
      </c>
      <c r="R3" s="23" t="s">
        <v>11</v>
      </c>
      <c r="S3" s="23" t="s">
        <v>12</v>
      </c>
      <c r="T3" s="23" t="s">
        <v>13</v>
      </c>
      <c r="U3" s="24" t="s">
        <v>15</v>
      </c>
      <c r="V3" s="25" t="s">
        <v>16</v>
      </c>
      <c r="W3" s="25" t="s">
        <v>17</v>
      </c>
      <c r="X3" s="25" t="s">
        <v>18</v>
      </c>
      <c r="Y3" s="21"/>
      <c r="Z3" s="9"/>
      <c r="AA3" s="22" t="s">
        <v>8</v>
      </c>
      <c r="AB3" s="22" t="s">
        <v>8</v>
      </c>
      <c r="AC3" s="22" t="s">
        <v>8</v>
      </c>
      <c r="AD3" s="13"/>
      <c r="AE3" s="13"/>
      <c r="AF3" s="13"/>
      <c r="AG3" s="13"/>
      <c r="AH3" s="13"/>
      <c r="AI3" s="13"/>
      <c r="AJ3" s="13"/>
      <c r="AK3" s="13"/>
      <c r="AL3" s="13"/>
    </row>
    <row r="4" ht="15.75" customHeight="1">
      <c r="A4" s="26">
        <v>10101.0</v>
      </c>
      <c r="B4" s="27" t="s">
        <v>19</v>
      </c>
      <c r="C4" s="28">
        <v>69949.0</v>
      </c>
      <c r="D4" s="28">
        <v>64063.0</v>
      </c>
      <c r="E4" s="28">
        <v>160.0</v>
      </c>
      <c r="F4" s="28">
        <v>40.0</v>
      </c>
      <c r="G4" s="28">
        <v>335.0</v>
      </c>
      <c r="H4" s="28">
        <v>5351.0</v>
      </c>
      <c r="I4" s="28">
        <v>92531.0</v>
      </c>
      <c r="J4" s="28">
        <v>88605.0</v>
      </c>
      <c r="K4" s="28">
        <v>409.0</v>
      </c>
      <c r="L4" s="28">
        <v>164.0</v>
      </c>
      <c r="M4" s="28">
        <v>192.0</v>
      </c>
      <c r="N4" s="28">
        <v>3161.0</v>
      </c>
      <c r="O4" s="29">
        <f t="shared" ref="O4:T4" si="1">ROUND(C4 + ((2016-2012)*(I4-C4))/(2024-2012),0)</f>
        <v>77476</v>
      </c>
      <c r="P4" s="30">
        <f t="shared" si="1"/>
        <v>72244</v>
      </c>
      <c r="Q4" s="30">
        <f t="shared" si="1"/>
        <v>243</v>
      </c>
      <c r="R4" s="30">
        <f t="shared" si="1"/>
        <v>81</v>
      </c>
      <c r="S4" s="30">
        <f t="shared" si="1"/>
        <v>287</v>
      </c>
      <c r="T4" s="30">
        <f t="shared" si="1"/>
        <v>4621</v>
      </c>
      <c r="U4" s="30">
        <v>67610.0</v>
      </c>
      <c r="V4" s="31">
        <f t="shared" ref="V4:V346" si="3">P4-U4</f>
        <v>4634</v>
      </c>
      <c r="W4" s="31">
        <f t="shared" ref="W4:W346" si="4">IF(V4&gt;0,V4,0)</f>
        <v>4634</v>
      </c>
      <c r="X4" s="32">
        <f t="shared" ref="X4:X346" si="5">SUM(Q4:T4,U4,W4)</f>
        <v>77476</v>
      </c>
      <c r="Y4" s="31">
        <v>1029.9999713897705</v>
      </c>
      <c r="Z4" s="33"/>
      <c r="AA4" s="28">
        <v>76578.0</v>
      </c>
      <c r="AB4" s="30">
        <f>ROUND(AA4+((2016-2012)*(AC4-AA4))/(2024-2012),0)</f>
        <v>88613</v>
      </c>
      <c r="AC4" s="28">
        <v>112684.0</v>
      </c>
      <c r="AD4" s="13"/>
      <c r="AE4" s="13"/>
      <c r="AF4" s="13"/>
      <c r="AG4" s="13"/>
      <c r="AH4" s="13"/>
      <c r="AI4" s="13"/>
      <c r="AJ4" s="13"/>
      <c r="AK4" s="13"/>
      <c r="AL4" s="13"/>
    </row>
    <row r="5" ht="15.75" customHeight="1">
      <c r="A5" s="34">
        <v>10102.0</v>
      </c>
      <c r="B5" s="35" t="s">
        <v>20</v>
      </c>
      <c r="C5" s="28">
        <v>2646.0</v>
      </c>
      <c r="D5" s="28">
        <v>1994.0</v>
      </c>
      <c r="E5" s="28">
        <v>3.0</v>
      </c>
      <c r="F5" s="28">
        <v>10.0</v>
      </c>
      <c r="G5" s="28">
        <v>17.0</v>
      </c>
      <c r="H5" s="28">
        <v>622.0</v>
      </c>
      <c r="I5" s="28">
        <v>3056.0</v>
      </c>
      <c r="J5" s="28">
        <v>2645.0</v>
      </c>
      <c r="K5" s="28">
        <v>16.0</v>
      </c>
      <c r="L5" s="28">
        <v>33.0</v>
      </c>
      <c r="M5" s="28">
        <v>11.0</v>
      </c>
      <c r="N5" s="28">
        <v>351.0</v>
      </c>
      <c r="O5" s="29">
        <f t="shared" ref="O5:T5" si="2">ROUND(C5 + ((2016-2012)*(I5-C5))/(2024-2012),0)</f>
        <v>2783</v>
      </c>
      <c r="P5" s="36">
        <f t="shared" si="2"/>
        <v>2211</v>
      </c>
      <c r="Q5" s="36">
        <f t="shared" si="2"/>
        <v>7</v>
      </c>
      <c r="R5" s="36">
        <f t="shared" si="2"/>
        <v>18</v>
      </c>
      <c r="S5" s="36">
        <f t="shared" si="2"/>
        <v>15</v>
      </c>
      <c r="T5" s="36">
        <f t="shared" si="2"/>
        <v>532</v>
      </c>
      <c r="U5" s="36">
        <v>2464.0</v>
      </c>
      <c r="V5" s="31">
        <f t="shared" si="3"/>
        <v>-253</v>
      </c>
      <c r="W5" s="31">
        <f t="shared" si="4"/>
        <v>0</v>
      </c>
      <c r="X5" s="32">
        <f t="shared" si="5"/>
        <v>3036</v>
      </c>
      <c r="Y5" s="31">
        <v>339.4999951124191</v>
      </c>
      <c r="Z5" s="33"/>
      <c r="AA5" s="28">
        <v>3449.0</v>
      </c>
      <c r="AB5" s="36">
        <f t="shared" ref="AB5:AB346" si="7">ROUND(AA5 + ((2016-2012)*(AC5-AA5))/(2024-2012),0)</f>
        <v>3935</v>
      </c>
      <c r="AC5" s="28">
        <v>4906.0</v>
      </c>
      <c r="AD5" s="13"/>
      <c r="AE5" s="13"/>
      <c r="AF5" s="13"/>
      <c r="AG5" s="13"/>
      <c r="AH5" s="13"/>
      <c r="AI5" s="13"/>
      <c r="AJ5" s="13"/>
      <c r="AK5" s="13"/>
      <c r="AL5" s="13"/>
    </row>
    <row r="6" ht="15.75" customHeight="1">
      <c r="A6" s="26">
        <v>10103.0</v>
      </c>
      <c r="B6" s="27" t="s">
        <v>21</v>
      </c>
      <c r="C6" s="28">
        <v>4660.0</v>
      </c>
      <c r="D6" s="28">
        <v>594.0</v>
      </c>
      <c r="E6" s="28">
        <v>19.0</v>
      </c>
      <c r="F6" s="28">
        <v>76.0</v>
      </c>
      <c r="G6" s="28">
        <v>56.0</v>
      </c>
      <c r="H6" s="28">
        <v>3915.0</v>
      </c>
      <c r="I6" s="28">
        <v>4654.0</v>
      </c>
      <c r="J6" s="28">
        <v>2054.0</v>
      </c>
      <c r="K6" s="28">
        <v>5.0</v>
      </c>
      <c r="L6" s="28">
        <v>70.0</v>
      </c>
      <c r="M6" s="28">
        <v>44.0</v>
      </c>
      <c r="N6" s="28">
        <v>2481.0</v>
      </c>
      <c r="O6" s="29">
        <f t="shared" ref="O6:T6" si="6">ROUND(C6 + ((2016-2012)*(I6-C6))/(2024-2012),0)</f>
        <v>4658</v>
      </c>
      <c r="P6" s="30">
        <f t="shared" si="6"/>
        <v>1081</v>
      </c>
      <c r="Q6" s="30">
        <f t="shared" si="6"/>
        <v>14</v>
      </c>
      <c r="R6" s="30">
        <f t="shared" si="6"/>
        <v>74</v>
      </c>
      <c r="S6" s="30">
        <f t="shared" si="6"/>
        <v>52</v>
      </c>
      <c r="T6" s="30">
        <f t="shared" si="6"/>
        <v>3437</v>
      </c>
      <c r="U6" s="30">
        <v>933.0</v>
      </c>
      <c r="V6" s="31">
        <f t="shared" si="3"/>
        <v>148</v>
      </c>
      <c r="W6" s="31">
        <f t="shared" si="4"/>
        <v>148</v>
      </c>
      <c r="X6" s="32">
        <f t="shared" si="5"/>
        <v>4658</v>
      </c>
      <c r="Y6" s="31">
        <v>74.00000095367432</v>
      </c>
      <c r="Z6" s="33"/>
      <c r="AA6" s="28">
        <v>5594.0</v>
      </c>
      <c r="AB6" s="30">
        <f t="shared" si="7"/>
        <v>5964</v>
      </c>
      <c r="AC6" s="28">
        <v>6703.0</v>
      </c>
      <c r="AD6" s="13"/>
      <c r="AE6" s="13"/>
      <c r="AF6" s="13"/>
      <c r="AG6" s="13"/>
      <c r="AH6" s="13"/>
      <c r="AI6" s="13"/>
      <c r="AJ6" s="13"/>
      <c r="AK6" s="13"/>
      <c r="AL6" s="13"/>
    </row>
    <row r="7" ht="15.75" customHeight="1">
      <c r="A7" s="34">
        <v>10201.0</v>
      </c>
      <c r="B7" s="35" t="s">
        <v>22</v>
      </c>
      <c r="C7" s="28">
        <v>2538.0</v>
      </c>
      <c r="D7" s="28">
        <v>368.0</v>
      </c>
      <c r="E7" s="28">
        <v>15.0</v>
      </c>
      <c r="F7" s="28">
        <v>105.0</v>
      </c>
      <c r="G7" s="28">
        <v>11.0</v>
      </c>
      <c r="H7" s="28">
        <v>2039.0</v>
      </c>
      <c r="I7" s="28">
        <v>2450.0</v>
      </c>
      <c r="J7" s="28">
        <v>1171.0</v>
      </c>
      <c r="K7" s="28">
        <v>8.0</v>
      </c>
      <c r="L7" s="28">
        <v>173.0</v>
      </c>
      <c r="M7" s="28">
        <v>3.0</v>
      </c>
      <c r="N7" s="28">
        <v>1095.0</v>
      </c>
      <c r="O7" s="29">
        <f t="shared" ref="O7:T7" si="8">ROUND(C7 + ((2016-2012)*(I7-C7))/(2024-2012),0)</f>
        <v>2509</v>
      </c>
      <c r="P7" s="36">
        <f t="shared" si="8"/>
        <v>636</v>
      </c>
      <c r="Q7" s="36">
        <f t="shared" si="8"/>
        <v>13</v>
      </c>
      <c r="R7" s="36">
        <f t="shared" si="8"/>
        <v>128</v>
      </c>
      <c r="S7" s="36">
        <f t="shared" si="8"/>
        <v>8</v>
      </c>
      <c r="T7" s="36">
        <f t="shared" si="8"/>
        <v>1724</v>
      </c>
      <c r="U7" s="36">
        <v>752.0</v>
      </c>
      <c r="V7" s="31">
        <f t="shared" si="3"/>
        <v>-116</v>
      </c>
      <c r="W7" s="31">
        <f t="shared" si="4"/>
        <v>0</v>
      </c>
      <c r="X7" s="32">
        <f t="shared" si="5"/>
        <v>2625</v>
      </c>
      <c r="Y7" s="31">
        <v>177.50000208616257</v>
      </c>
      <c r="Z7" s="33"/>
      <c r="AA7" s="28">
        <v>3120.0</v>
      </c>
      <c r="AB7" s="36">
        <f t="shared" si="7"/>
        <v>3516</v>
      </c>
      <c r="AC7" s="28">
        <v>4308.0</v>
      </c>
      <c r="AD7" s="13"/>
      <c r="AE7" s="13"/>
      <c r="AF7" s="13"/>
      <c r="AG7" s="13"/>
      <c r="AH7" s="13"/>
      <c r="AI7" s="13"/>
      <c r="AJ7" s="13"/>
      <c r="AK7" s="13"/>
      <c r="AL7" s="13"/>
    </row>
    <row r="8" ht="15.75" customHeight="1">
      <c r="A8" s="26">
        <v>10202.0</v>
      </c>
      <c r="B8" s="27" t="s">
        <v>23</v>
      </c>
      <c r="C8" s="28">
        <v>3418.0</v>
      </c>
      <c r="D8" s="28">
        <v>808.0</v>
      </c>
      <c r="E8" s="28">
        <v>32.0</v>
      </c>
      <c r="F8" s="28">
        <v>41.0</v>
      </c>
      <c r="G8" s="28">
        <v>258.0</v>
      </c>
      <c r="H8" s="28">
        <v>2279.0</v>
      </c>
      <c r="I8" s="28">
        <v>4598.0</v>
      </c>
      <c r="J8" s="28">
        <v>2971.0</v>
      </c>
      <c r="K8" s="28">
        <v>9.0</v>
      </c>
      <c r="L8" s="28">
        <v>88.0</v>
      </c>
      <c r="M8" s="28">
        <v>74.0</v>
      </c>
      <c r="N8" s="28">
        <v>1456.0</v>
      </c>
      <c r="O8" s="29">
        <f t="shared" ref="O8:T8" si="9">ROUND(C8 + ((2016-2012)*(I8-C8))/(2024-2012),0)</f>
        <v>3811</v>
      </c>
      <c r="P8" s="30">
        <f t="shared" si="9"/>
        <v>1529</v>
      </c>
      <c r="Q8" s="30">
        <f t="shared" si="9"/>
        <v>24</v>
      </c>
      <c r="R8" s="30">
        <f t="shared" si="9"/>
        <v>57</v>
      </c>
      <c r="S8" s="30">
        <f t="shared" si="9"/>
        <v>197</v>
      </c>
      <c r="T8" s="30">
        <f t="shared" si="9"/>
        <v>2005</v>
      </c>
      <c r="U8" s="30">
        <v>1610.0</v>
      </c>
      <c r="V8" s="31">
        <f t="shared" si="3"/>
        <v>-81</v>
      </c>
      <c r="W8" s="31">
        <f t="shared" si="4"/>
        <v>0</v>
      </c>
      <c r="X8" s="32">
        <f t="shared" si="5"/>
        <v>3893</v>
      </c>
      <c r="Y8" s="31">
        <v>92.00000017881393</v>
      </c>
      <c r="Z8" s="33"/>
      <c r="AA8" s="28">
        <v>4428.0</v>
      </c>
      <c r="AB8" s="30">
        <f t="shared" si="7"/>
        <v>5149</v>
      </c>
      <c r="AC8" s="28">
        <v>6591.0</v>
      </c>
      <c r="AD8" s="13"/>
      <c r="AE8" s="13"/>
      <c r="AF8" s="13"/>
      <c r="AG8" s="13"/>
      <c r="AH8" s="13"/>
      <c r="AI8" s="13"/>
      <c r="AJ8" s="13"/>
      <c r="AK8" s="13"/>
      <c r="AL8" s="13"/>
    </row>
    <row r="9" ht="15.75" customHeight="1">
      <c r="A9" s="34">
        <v>10301.0</v>
      </c>
      <c r="B9" s="35" t="s">
        <v>24</v>
      </c>
      <c r="C9" s="28">
        <v>2586.0</v>
      </c>
      <c r="D9" s="28">
        <v>1186.0</v>
      </c>
      <c r="E9" s="28">
        <v>7.0</v>
      </c>
      <c r="F9" s="28">
        <v>28.0</v>
      </c>
      <c r="G9" s="28">
        <v>47.0</v>
      </c>
      <c r="H9" s="28">
        <v>1318.0</v>
      </c>
      <c r="I9" s="28">
        <v>3187.0</v>
      </c>
      <c r="J9" s="28">
        <v>2361.0</v>
      </c>
      <c r="K9" s="28">
        <v>7.0</v>
      </c>
      <c r="L9" s="28">
        <v>343.0</v>
      </c>
      <c r="M9" s="28">
        <v>3.0</v>
      </c>
      <c r="N9" s="28">
        <v>473.0</v>
      </c>
      <c r="O9" s="29">
        <f t="shared" ref="O9:T9" si="10">ROUND(C9 + ((2016-2012)*(I9-C9))/(2024-2012),0)</f>
        <v>2786</v>
      </c>
      <c r="P9" s="36">
        <f t="shared" si="10"/>
        <v>1578</v>
      </c>
      <c r="Q9" s="36">
        <f t="shared" si="10"/>
        <v>7</v>
      </c>
      <c r="R9" s="36">
        <f t="shared" si="10"/>
        <v>133</v>
      </c>
      <c r="S9" s="36">
        <f t="shared" si="10"/>
        <v>32</v>
      </c>
      <c r="T9" s="36">
        <f t="shared" si="10"/>
        <v>1036</v>
      </c>
      <c r="U9" s="37">
        <v>1090.0</v>
      </c>
      <c r="V9" s="31">
        <f t="shared" si="3"/>
        <v>488</v>
      </c>
      <c r="W9" s="31">
        <f t="shared" si="4"/>
        <v>488</v>
      </c>
      <c r="X9" s="32">
        <f t="shared" si="5"/>
        <v>2786</v>
      </c>
      <c r="Y9" s="31">
        <v>258.0000013113022</v>
      </c>
      <c r="Z9" s="33"/>
      <c r="AA9" s="28">
        <v>2968.0</v>
      </c>
      <c r="AB9" s="36">
        <f t="shared" si="7"/>
        <v>3193</v>
      </c>
      <c r="AC9" s="28">
        <v>3644.0</v>
      </c>
      <c r="AD9" s="13"/>
      <c r="AE9" s="13"/>
      <c r="AF9" s="13"/>
      <c r="AG9" s="13"/>
      <c r="AH9" s="13"/>
      <c r="AI9" s="13"/>
      <c r="AJ9" s="13"/>
      <c r="AK9" s="13"/>
      <c r="AL9" s="13"/>
    </row>
    <row r="10" ht="15.75" customHeight="1">
      <c r="A10" s="26">
        <v>10302.0</v>
      </c>
      <c r="B10" s="27" t="s">
        <v>25</v>
      </c>
      <c r="C10" s="28">
        <v>2717.0</v>
      </c>
      <c r="D10" s="28">
        <v>896.0</v>
      </c>
      <c r="E10" s="28">
        <v>25.0</v>
      </c>
      <c r="F10" s="28">
        <v>31.0</v>
      </c>
      <c r="G10" s="28">
        <v>85.0</v>
      </c>
      <c r="H10" s="28">
        <v>1680.0</v>
      </c>
      <c r="I10" s="28">
        <v>3271.0</v>
      </c>
      <c r="J10" s="28">
        <v>2076.0</v>
      </c>
      <c r="K10" s="28">
        <v>7.0</v>
      </c>
      <c r="L10" s="28">
        <v>256.0</v>
      </c>
      <c r="M10" s="28">
        <v>23.0</v>
      </c>
      <c r="N10" s="28">
        <v>909.0</v>
      </c>
      <c r="O10" s="29">
        <f t="shared" ref="O10:T10" si="11">ROUND(C10 + ((2016-2012)*(I10-C10))/(2024-2012),0)</f>
        <v>2902</v>
      </c>
      <c r="P10" s="30">
        <f t="shared" si="11"/>
        <v>1289</v>
      </c>
      <c r="Q10" s="30">
        <f t="shared" si="11"/>
        <v>19</v>
      </c>
      <c r="R10" s="30">
        <f t="shared" si="11"/>
        <v>106</v>
      </c>
      <c r="S10" s="30">
        <f t="shared" si="11"/>
        <v>64</v>
      </c>
      <c r="T10" s="30">
        <f t="shared" si="11"/>
        <v>1423</v>
      </c>
      <c r="U10" s="30">
        <v>1060.0</v>
      </c>
      <c r="V10" s="31">
        <f t="shared" si="3"/>
        <v>229</v>
      </c>
      <c r="W10" s="31">
        <f t="shared" si="4"/>
        <v>229</v>
      </c>
      <c r="X10" s="32">
        <f t="shared" si="5"/>
        <v>2901</v>
      </c>
      <c r="Y10" s="31">
        <v>141.50000363588333</v>
      </c>
      <c r="Z10" s="33"/>
      <c r="AA10" s="28">
        <v>3237.0</v>
      </c>
      <c r="AB10" s="30">
        <f t="shared" si="7"/>
        <v>3589</v>
      </c>
      <c r="AC10" s="28">
        <v>4293.0</v>
      </c>
      <c r="AD10" s="13"/>
      <c r="AE10" s="13"/>
      <c r="AF10" s="13"/>
      <c r="AG10" s="13"/>
      <c r="AH10" s="13"/>
      <c r="AI10" s="13"/>
      <c r="AJ10" s="13"/>
      <c r="AK10" s="13"/>
      <c r="AL10" s="13"/>
    </row>
    <row r="11" ht="15.75" customHeight="1">
      <c r="A11" s="34">
        <v>10303.0</v>
      </c>
      <c r="B11" s="35" t="s">
        <v>26</v>
      </c>
      <c r="C11" s="28">
        <v>1982.0</v>
      </c>
      <c r="D11" s="28">
        <v>884.0</v>
      </c>
      <c r="E11" s="28">
        <v>6.0</v>
      </c>
      <c r="F11" s="28">
        <v>238.0</v>
      </c>
      <c r="G11" s="28">
        <v>16.0</v>
      </c>
      <c r="H11" s="28">
        <v>838.0</v>
      </c>
      <c r="I11" s="28">
        <v>2543.0</v>
      </c>
      <c r="J11" s="28">
        <v>1871.0</v>
      </c>
      <c r="K11" s="28">
        <v>5.0</v>
      </c>
      <c r="L11" s="28">
        <v>94.0</v>
      </c>
      <c r="M11" s="28">
        <v>21.0</v>
      </c>
      <c r="N11" s="28">
        <v>552.0</v>
      </c>
      <c r="O11" s="29">
        <f t="shared" ref="O11:T11" si="12">ROUND(C11 + ((2016-2012)*(I11-C11))/(2024-2012),0)</f>
        <v>2169</v>
      </c>
      <c r="P11" s="36">
        <f t="shared" si="12"/>
        <v>1213</v>
      </c>
      <c r="Q11" s="36">
        <f t="shared" si="12"/>
        <v>6</v>
      </c>
      <c r="R11" s="36">
        <f t="shared" si="12"/>
        <v>190</v>
      </c>
      <c r="S11" s="36">
        <f t="shared" si="12"/>
        <v>18</v>
      </c>
      <c r="T11" s="36">
        <f t="shared" si="12"/>
        <v>743</v>
      </c>
      <c r="U11" s="36">
        <v>1282.0</v>
      </c>
      <c r="V11" s="31">
        <f t="shared" si="3"/>
        <v>-69</v>
      </c>
      <c r="W11" s="31">
        <f t="shared" si="4"/>
        <v>0</v>
      </c>
      <c r="X11" s="32">
        <f t="shared" si="5"/>
        <v>2239</v>
      </c>
      <c r="Y11" s="31">
        <v>209.4999998807907</v>
      </c>
      <c r="Z11" s="33"/>
      <c r="AA11" s="28">
        <v>2984.0</v>
      </c>
      <c r="AB11" s="36">
        <f t="shared" si="7"/>
        <v>3316</v>
      </c>
      <c r="AC11" s="28">
        <v>3980.0</v>
      </c>
      <c r="AD11" s="13"/>
      <c r="AE11" s="13"/>
      <c r="AF11" s="13"/>
      <c r="AG11" s="13"/>
      <c r="AH11" s="13"/>
      <c r="AI11" s="13"/>
      <c r="AJ11" s="13"/>
      <c r="AK11" s="13"/>
      <c r="AL11" s="13"/>
    </row>
    <row r="12" ht="15.75" customHeight="1">
      <c r="A12" s="26">
        <v>10304.0</v>
      </c>
      <c r="B12" s="27" t="s">
        <v>27</v>
      </c>
      <c r="C12" s="28">
        <v>1831.0</v>
      </c>
      <c r="D12" s="28">
        <v>912.0</v>
      </c>
      <c r="E12" s="28">
        <v>4.0</v>
      </c>
      <c r="F12" s="28">
        <v>5.0</v>
      </c>
      <c r="G12" s="28">
        <v>93.0</v>
      </c>
      <c r="H12" s="28">
        <v>817.0</v>
      </c>
      <c r="I12" s="28">
        <v>2635.0</v>
      </c>
      <c r="J12" s="28">
        <v>1749.0</v>
      </c>
      <c r="K12" s="28">
        <v>0.0</v>
      </c>
      <c r="L12" s="28">
        <v>97.0</v>
      </c>
      <c r="M12" s="28">
        <v>16.0</v>
      </c>
      <c r="N12" s="28">
        <v>773.0</v>
      </c>
      <c r="O12" s="29">
        <f t="shared" ref="O12:T12" si="13">ROUND(C12 + ((2016-2012)*(I12-C12))/(2024-2012),0)</f>
        <v>2099</v>
      </c>
      <c r="P12" s="30">
        <f t="shared" si="13"/>
        <v>1191</v>
      </c>
      <c r="Q12" s="30">
        <f t="shared" si="13"/>
        <v>3</v>
      </c>
      <c r="R12" s="30">
        <f t="shared" si="13"/>
        <v>36</v>
      </c>
      <c r="S12" s="30">
        <f t="shared" si="13"/>
        <v>67</v>
      </c>
      <c r="T12" s="30">
        <f t="shared" si="13"/>
        <v>802</v>
      </c>
      <c r="U12" s="30">
        <v>1294.0</v>
      </c>
      <c r="V12" s="31">
        <f t="shared" si="3"/>
        <v>-103</v>
      </c>
      <c r="W12" s="31">
        <f t="shared" si="4"/>
        <v>0</v>
      </c>
      <c r="X12" s="32">
        <f t="shared" si="5"/>
        <v>2202</v>
      </c>
      <c r="Y12" s="31">
        <v>111.00000143051147</v>
      </c>
      <c r="Z12" s="33"/>
      <c r="AA12" s="28">
        <v>2285.0</v>
      </c>
      <c r="AB12" s="30">
        <f t="shared" si="7"/>
        <v>2900</v>
      </c>
      <c r="AC12" s="28">
        <v>4129.0</v>
      </c>
      <c r="AD12" s="13"/>
      <c r="AE12" s="13"/>
      <c r="AF12" s="13"/>
      <c r="AG12" s="13"/>
      <c r="AH12" s="13"/>
      <c r="AI12" s="13"/>
      <c r="AJ12" s="13"/>
      <c r="AK12" s="13"/>
      <c r="AL12" s="13"/>
    </row>
    <row r="13" ht="15.75" customHeight="1">
      <c r="A13" s="34">
        <v>10401.0</v>
      </c>
      <c r="B13" s="35" t="s">
        <v>28</v>
      </c>
      <c r="C13" s="28">
        <v>2810.0</v>
      </c>
      <c r="D13" s="28">
        <v>1136.0</v>
      </c>
      <c r="E13" s="28">
        <v>21.0</v>
      </c>
      <c r="F13" s="28">
        <v>227.0</v>
      </c>
      <c r="G13" s="28">
        <v>32.0</v>
      </c>
      <c r="H13" s="28">
        <v>1394.0</v>
      </c>
      <c r="I13" s="28">
        <v>3186.0</v>
      </c>
      <c r="J13" s="28">
        <v>2348.0</v>
      </c>
      <c r="K13" s="28">
        <v>9.0</v>
      </c>
      <c r="L13" s="28">
        <v>198.0</v>
      </c>
      <c r="M13" s="28">
        <v>9.0</v>
      </c>
      <c r="N13" s="28">
        <v>622.0</v>
      </c>
      <c r="O13" s="29">
        <f t="shared" ref="O13:T13" si="14">ROUND(C13 + ((2016-2012)*(I13-C13))/(2024-2012),0)</f>
        <v>2935</v>
      </c>
      <c r="P13" s="36">
        <f t="shared" si="14"/>
        <v>1540</v>
      </c>
      <c r="Q13" s="36">
        <f t="shared" si="14"/>
        <v>17</v>
      </c>
      <c r="R13" s="36">
        <f t="shared" si="14"/>
        <v>217</v>
      </c>
      <c r="S13" s="36">
        <f t="shared" si="14"/>
        <v>24</v>
      </c>
      <c r="T13" s="36">
        <f t="shared" si="14"/>
        <v>1137</v>
      </c>
      <c r="U13" s="36">
        <v>1777.0</v>
      </c>
      <c r="V13" s="31">
        <f t="shared" si="3"/>
        <v>-237</v>
      </c>
      <c r="W13" s="31">
        <f t="shared" si="4"/>
        <v>0</v>
      </c>
      <c r="X13" s="32">
        <f t="shared" si="5"/>
        <v>3172</v>
      </c>
      <c r="Y13" s="31">
        <v>331.9999873638153</v>
      </c>
      <c r="Z13" s="33"/>
      <c r="AA13" s="28">
        <v>3628.0</v>
      </c>
      <c r="AB13" s="36">
        <f t="shared" si="7"/>
        <v>4049</v>
      </c>
      <c r="AC13" s="28">
        <v>4891.0</v>
      </c>
      <c r="AD13" s="13"/>
      <c r="AE13" s="13"/>
      <c r="AF13" s="13"/>
      <c r="AG13" s="13"/>
      <c r="AH13" s="13"/>
      <c r="AI13" s="13"/>
      <c r="AJ13" s="13"/>
      <c r="AK13" s="13"/>
      <c r="AL13" s="13"/>
    </row>
    <row r="14" ht="15.75" customHeight="1">
      <c r="A14" s="26">
        <v>10402.0</v>
      </c>
      <c r="B14" s="27" t="s">
        <v>29</v>
      </c>
      <c r="C14" s="28">
        <v>2113.0</v>
      </c>
      <c r="D14" s="28">
        <v>993.0</v>
      </c>
      <c r="E14" s="28">
        <v>17.0</v>
      </c>
      <c r="F14" s="28">
        <v>5.0</v>
      </c>
      <c r="G14" s="28">
        <v>63.0</v>
      </c>
      <c r="H14" s="28">
        <v>1035.0</v>
      </c>
      <c r="I14" s="28">
        <v>2243.0</v>
      </c>
      <c r="J14" s="28">
        <v>1882.0</v>
      </c>
      <c r="K14" s="28">
        <v>2.0</v>
      </c>
      <c r="L14" s="28">
        <v>112.0</v>
      </c>
      <c r="M14" s="28">
        <v>1.0</v>
      </c>
      <c r="N14" s="28">
        <v>246.0</v>
      </c>
      <c r="O14" s="29">
        <f t="shared" ref="O14:T14" si="15">ROUND(C14 + ((2016-2012)*(I14-C14))/(2024-2012),0)</f>
        <v>2156</v>
      </c>
      <c r="P14" s="30">
        <f t="shared" si="15"/>
        <v>1289</v>
      </c>
      <c r="Q14" s="30">
        <f t="shared" si="15"/>
        <v>12</v>
      </c>
      <c r="R14" s="30">
        <f t="shared" si="15"/>
        <v>41</v>
      </c>
      <c r="S14" s="30">
        <f t="shared" si="15"/>
        <v>42</v>
      </c>
      <c r="T14" s="30">
        <f t="shared" si="15"/>
        <v>772</v>
      </c>
      <c r="U14" s="30">
        <v>1456.0</v>
      </c>
      <c r="V14" s="31">
        <f t="shared" si="3"/>
        <v>-167</v>
      </c>
      <c r="W14" s="31">
        <f t="shared" si="4"/>
        <v>0</v>
      </c>
      <c r="X14" s="32">
        <f t="shared" si="5"/>
        <v>2323</v>
      </c>
      <c r="Y14" s="31">
        <v>215.0000035762787</v>
      </c>
      <c r="Z14" s="33"/>
      <c r="AA14" s="28">
        <v>2584.0</v>
      </c>
      <c r="AB14" s="30">
        <f t="shared" si="7"/>
        <v>2926</v>
      </c>
      <c r="AC14" s="28">
        <v>3610.0</v>
      </c>
      <c r="AD14" s="13"/>
      <c r="AE14" s="13"/>
      <c r="AF14" s="13"/>
      <c r="AG14" s="13"/>
      <c r="AH14" s="13"/>
      <c r="AI14" s="13"/>
      <c r="AJ14" s="13"/>
      <c r="AK14" s="13"/>
      <c r="AL14" s="13"/>
    </row>
    <row r="15" ht="15.75" customHeight="1">
      <c r="A15" s="34">
        <v>10403.0</v>
      </c>
      <c r="B15" s="35" t="s">
        <v>30</v>
      </c>
      <c r="C15" s="28">
        <v>2010.0</v>
      </c>
      <c r="D15" s="28">
        <v>741.0</v>
      </c>
      <c r="E15" s="28">
        <v>24.0</v>
      </c>
      <c r="F15" s="28">
        <v>16.0</v>
      </c>
      <c r="G15" s="28">
        <v>19.0</v>
      </c>
      <c r="H15" s="28">
        <v>1210.0</v>
      </c>
      <c r="I15" s="28">
        <v>2087.0</v>
      </c>
      <c r="J15" s="28">
        <v>1379.0</v>
      </c>
      <c r="K15" s="28">
        <v>8.0</v>
      </c>
      <c r="L15" s="28">
        <v>13.0</v>
      </c>
      <c r="M15" s="28">
        <v>1.0</v>
      </c>
      <c r="N15" s="28">
        <v>686.0</v>
      </c>
      <c r="O15" s="29">
        <f t="shared" ref="O15:T15" si="16">ROUND(C15 + ((2016-2012)*(I15-C15))/(2024-2012),0)</f>
        <v>2036</v>
      </c>
      <c r="P15" s="36">
        <f t="shared" si="16"/>
        <v>954</v>
      </c>
      <c r="Q15" s="36">
        <f t="shared" si="16"/>
        <v>19</v>
      </c>
      <c r="R15" s="36">
        <f t="shared" si="16"/>
        <v>15</v>
      </c>
      <c r="S15" s="36">
        <f t="shared" si="16"/>
        <v>13</v>
      </c>
      <c r="T15" s="36">
        <f t="shared" si="16"/>
        <v>1035</v>
      </c>
      <c r="U15" s="36">
        <v>798.0</v>
      </c>
      <c r="V15" s="31">
        <f t="shared" si="3"/>
        <v>156</v>
      </c>
      <c r="W15" s="31">
        <f t="shared" si="4"/>
        <v>156</v>
      </c>
      <c r="X15" s="32">
        <f t="shared" si="5"/>
        <v>2036</v>
      </c>
      <c r="Y15" s="31">
        <v>356.4999997615814</v>
      </c>
      <c r="Z15" s="33"/>
      <c r="AA15" s="28">
        <v>2612.0</v>
      </c>
      <c r="AB15" s="36">
        <f t="shared" si="7"/>
        <v>2769</v>
      </c>
      <c r="AC15" s="28">
        <v>3084.0</v>
      </c>
      <c r="AD15" s="13"/>
      <c r="AE15" s="13"/>
      <c r="AF15" s="13"/>
      <c r="AG15" s="13"/>
      <c r="AH15" s="13"/>
      <c r="AI15" s="13"/>
      <c r="AJ15" s="13"/>
      <c r="AK15" s="13"/>
      <c r="AL15" s="13"/>
    </row>
    <row r="16" ht="15.75" customHeight="1">
      <c r="A16" s="26">
        <v>10404.0</v>
      </c>
      <c r="B16" s="27" t="s">
        <v>31</v>
      </c>
      <c r="C16" s="28">
        <v>1072.0</v>
      </c>
      <c r="D16" s="28">
        <v>524.0</v>
      </c>
      <c r="E16" s="28">
        <v>4.0</v>
      </c>
      <c r="F16" s="28">
        <v>17.0</v>
      </c>
      <c r="G16" s="28">
        <v>0.0</v>
      </c>
      <c r="H16" s="28">
        <v>527.0</v>
      </c>
      <c r="I16" s="28">
        <v>1189.0</v>
      </c>
      <c r="J16" s="28">
        <v>1083.0</v>
      </c>
      <c r="K16" s="28">
        <v>0.0</v>
      </c>
      <c r="L16" s="28">
        <v>5.0</v>
      </c>
      <c r="M16" s="28">
        <v>1.0</v>
      </c>
      <c r="N16" s="28">
        <v>100.0</v>
      </c>
      <c r="O16" s="29">
        <f t="shared" ref="O16:T16" si="17">ROUND(C16 + ((2016-2012)*(I16-C16))/(2024-2012),0)</f>
        <v>1111</v>
      </c>
      <c r="P16" s="30">
        <f t="shared" si="17"/>
        <v>710</v>
      </c>
      <c r="Q16" s="30">
        <f t="shared" si="17"/>
        <v>3</v>
      </c>
      <c r="R16" s="30">
        <f t="shared" si="17"/>
        <v>13</v>
      </c>
      <c r="S16" s="30">
        <f t="shared" si="17"/>
        <v>0</v>
      </c>
      <c r="T16" s="30">
        <f t="shared" si="17"/>
        <v>385</v>
      </c>
      <c r="U16" s="30">
        <v>852.0</v>
      </c>
      <c r="V16" s="31">
        <f t="shared" si="3"/>
        <v>-142</v>
      </c>
      <c r="W16" s="31">
        <f t="shared" si="4"/>
        <v>0</v>
      </c>
      <c r="X16" s="32">
        <f t="shared" si="5"/>
        <v>1253</v>
      </c>
      <c r="Y16" s="31">
        <v>128.00000607967377</v>
      </c>
      <c r="Z16" s="33"/>
      <c r="AA16" s="28">
        <v>1272.0</v>
      </c>
      <c r="AB16" s="30">
        <f t="shared" si="7"/>
        <v>1404</v>
      </c>
      <c r="AC16" s="28">
        <v>1667.0</v>
      </c>
      <c r="AD16" s="13"/>
      <c r="AE16" s="13"/>
      <c r="AF16" s="13"/>
      <c r="AG16" s="13"/>
      <c r="AH16" s="13"/>
      <c r="AI16" s="13"/>
      <c r="AJ16" s="13"/>
      <c r="AK16" s="13"/>
      <c r="AL16" s="13"/>
    </row>
    <row r="17" ht="15.75" customHeight="1">
      <c r="A17" s="34">
        <v>10405.0</v>
      </c>
      <c r="B17" s="35" t="s">
        <v>32</v>
      </c>
      <c r="C17" s="28">
        <v>1212.0</v>
      </c>
      <c r="D17" s="28">
        <v>332.0</v>
      </c>
      <c r="E17" s="28">
        <v>38.0</v>
      </c>
      <c r="F17" s="28">
        <v>44.0</v>
      </c>
      <c r="G17" s="28">
        <v>8.0</v>
      </c>
      <c r="H17" s="28">
        <v>790.0</v>
      </c>
      <c r="I17" s="28">
        <v>1439.0</v>
      </c>
      <c r="J17" s="28">
        <v>1041.0</v>
      </c>
      <c r="K17" s="28">
        <v>1.0</v>
      </c>
      <c r="L17" s="28">
        <v>30.0</v>
      </c>
      <c r="M17" s="28">
        <v>5.0</v>
      </c>
      <c r="N17" s="28">
        <v>362.0</v>
      </c>
      <c r="O17" s="29">
        <f t="shared" ref="O17:T17" si="18">ROUND(C17 + ((2016-2012)*(I17-C17))/(2024-2012),0)</f>
        <v>1288</v>
      </c>
      <c r="P17" s="36">
        <f t="shared" si="18"/>
        <v>568</v>
      </c>
      <c r="Q17" s="36">
        <f t="shared" si="18"/>
        <v>26</v>
      </c>
      <c r="R17" s="36">
        <f t="shared" si="18"/>
        <v>39</v>
      </c>
      <c r="S17" s="36">
        <f t="shared" si="18"/>
        <v>7</v>
      </c>
      <c r="T17" s="36">
        <f t="shared" si="18"/>
        <v>647</v>
      </c>
      <c r="U17" s="36">
        <v>867.0</v>
      </c>
      <c r="V17" s="31">
        <f t="shared" si="3"/>
        <v>-299</v>
      </c>
      <c r="W17" s="31">
        <f t="shared" si="4"/>
        <v>0</v>
      </c>
      <c r="X17" s="32">
        <f t="shared" si="5"/>
        <v>1586</v>
      </c>
      <c r="Y17" s="31">
        <v>92.00000017881393</v>
      </c>
      <c r="Z17" s="33"/>
      <c r="AA17" s="28">
        <v>1433.0</v>
      </c>
      <c r="AB17" s="36">
        <f t="shared" si="7"/>
        <v>1605</v>
      </c>
      <c r="AC17" s="28">
        <v>1950.0</v>
      </c>
      <c r="AD17" s="13"/>
      <c r="AE17" s="13"/>
      <c r="AF17" s="13"/>
      <c r="AG17" s="13"/>
      <c r="AH17" s="13"/>
      <c r="AI17" s="13"/>
      <c r="AJ17" s="13"/>
      <c r="AK17" s="13"/>
      <c r="AL17" s="13"/>
    </row>
    <row r="18" ht="15.75" customHeight="1">
      <c r="A18" s="26">
        <v>10501.0</v>
      </c>
      <c r="B18" s="27" t="s">
        <v>33</v>
      </c>
      <c r="C18" s="28">
        <v>6079.0</v>
      </c>
      <c r="D18" s="28">
        <v>3703.0</v>
      </c>
      <c r="E18" s="28">
        <v>38.0</v>
      </c>
      <c r="F18" s="28">
        <v>374.0</v>
      </c>
      <c r="G18" s="28">
        <v>26.0</v>
      </c>
      <c r="H18" s="28">
        <v>1938.0</v>
      </c>
      <c r="I18" s="28">
        <v>7742.0</v>
      </c>
      <c r="J18" s="28">
        <v>6320.0</v>
      </c>
      <c r="K18" s="28">
        <v>33.0</v>
      </c>
      <c r="L18" s="28">
        <v>347.0</v>
      </c>
      <c r="M18" s="28">
        <v>38.0</v>
      </c>
      <c r="N18" s="28">
        <v>1004.0</v>
      </c>
      <c r="O18" s="29">
        <f t="shared" ref="O18:T18" si="19">ROUND(C18 + ((2016-2012)*(I18-C18))/(2024-2012),0)</f>
        <v>6633</v>
      </c>
      <c r="P18" s="30">
        <f t="shared" si="19"/>
        <v>4575</v>
      </c>
      <c r="Q18" s="30">
        <f t="shared" si="19"/>
        <v>36</v>
      </c>
      <c r="R18" s="30">
        <f t="shared" si="19"/>
        <v>365</v>
      </c>
      <c r="S18" s="30">
        <f t="shared" si="19"/>
        <v>30</v>
      </c>
      <c r="T18" s="30">
        <f t="shared" si="19"/>
        <v>1627</v>
      </c>
      <c r="U18" s="30">
        <v>4522.0</v>
      </c>
      <c r="V18" s="31">
        <f t="shared" si="3"/>
        <v>53</v>
      </c>
      <c r="W18" s="31">
        <f t="shared" si="4"/>
        <v>53</v>
      </c>
      <c r="X18" s="32">
        <f t="shared" si="5"/>
        <v>6633</v>
      </c>
      <c r="Y18" s="31">
        <v>569.0000057220459</v>
      </c>
      <c r="Z18" s="33"/>
      <c r="AA18" s="28">
        <v>6968.0</v>
      </c>
      <c r="AB18" s="30">
        <f t="shared" si="7"/>
        <v>7945</v>
      </c>
      <c r="AC18" s="28">
        <v>9899.0</v>
      </c>
      <c r="AD18" s="13"/>
      <c r="AE18" s="13"/>
      <c r="AF18" s="13"/>
      <c r="AG18" s="13"/>
      <c r="AH18" s="13"/>
      <c r="AI18" s="13"/>
      <c r="AJ18" s="13"/>
      <c r="AK18" s="13"/>
      <c r="AL18" s="13"/>
    </row>
    <row r="19" ht="15.75" customHeight="1">
      <c r="A19" s="34">
        <v>10502.0</v>
      </c>
      <c r="B19" s="35" t="s">
        <v>34</v>
      </c>
      <c r="C19" s="28">
        <v>2079.0</v>
      </c>
      <c r="D19" s="28">
        <v>731.0</v>
      </c>
      <c r="E19" s="28">
        <v>69.0</v>
      </c>
      <c r="F19" s="28">
        <v>172.0</v>
      </c>
      <c r="G19" s="28">
        <v>81.0</v>
      </c>
      <c r="H19" s="28">
        <v>1026.0</v>
      </c>
      <c r="I19" s="28">
        <v>2301.0</v>
      </c>
      <c r="J19" s="28">
        <v>1773.0</v>
      </c>
      <c r="K19" s="28">
        <v>13.0</v>
      </c>
      <c r="L19" s="28">
        <v>117.0</v>
      </c>
      <c r="M19" s="28">
        <v>11.0</v>
      </c>
      <c r="N19" s="28">
        <v>387.0</v>
      </c>
      <c r="O19" s="29">
        <f t="shared" ref="O19:T19" si="20">ROUND(C19 + ((2016-2012)*(I19-C19))/(2024-2012),0)</f>
        <v>2153</v>
      </c>
      <c r="P19" s="36">
        <f t="shared" si="20"/>
        <v>1078</v>
      </c>
      <c r="Q19" s="36">
        <f t="shared" si="20"/>
        <v>50</v>
      </c>
      <c r="R19" s="36">
        <f t="shared" si="20"/>
        <v>154</v>
      </c>
      <c r="S19" s="36">
        <f t="shared" si="20"/>
        <v>58</v>
      </c>
      <c r="T19" s="36">
        <f t="shared" si="20"/>
        <v>813</v>
      </c>
      <c r="U19" s="36">
        <v>1030.0</v>
      </c>
      <c r="V19" s="31">
        <f t="shared" si="3"/>
        <v>48</v>
      </c>
      <c r="W19" s="31">
        <f t="shared" si="4"/>
        <v>48</v>
      </c>
      <c r="X19" s="32">
        <f t="shared" si="5"/>
        <v>2153</v>
      </c>
      <c r="Y19" s="31">
        <v>412.9999876022339</v>
      </c>
      <c r="Z19" s="33"/>
      <c r="AA19" s="28">
        <v>2485.0</v>
      </c>
      <c r="AB19" s="36">
        <f t="shared" si="7"/>
        <v>2715</v>
      </c>
      <c r="AC19" s="28">
        <v>3175.0</v>
      </c>
      <c r="AD19" s="13"/>
      <c r="AE19" s="13"/>
      <c r="AF19" s="13"/>
      <c r="AG19" s="13"/>
      <c r="AH19" s="13"/>
      <c r="AI19" s="13"/>
      <c r="AJ19" s="13"/>
      <c r="AK19" s="13"/>
      <c r="AL19" s="13"/>
    </row>
    <row r="20" ht="15.75" customHeight="1">
      <c r="A20" s="26">
        <v>10601.0</v>
      </c>
      <c r="B20" s="27" t="s">
        <v>35</v>
      </c>
      <c r="C20" s="28">
        <v>4386.0</v>
      </c>
      <c r="D20" s="28">
        <v>2090.0</v>
      </c>
      <c r="E20" s="28">
        <v>12.0</v>
      </c>
      <c r="F20" s="28">
        <v>131.0</v>
      </c>
      <c r="G20" s="28">
        <v>35.0</v>
      </c>
      <c r="H20" s="28">
        <v>2118.0</v>
      </c>
      <c r="I20" s="28">
        <v>4279.0</v>
      </c>
      <c r="J20" s="28">
        <v>3402.0</v>
      </c>
      <c r="K20" s="28">
        <v>32.0</v>
      </c>
      <c r="L20" s="28">
        <v>72.0</v>
      </c>
      <c r="M20" s="28">
        <v>39.0</v>
      </c>
      <c r="N20" s="28">
        <v>734.0</v>
      </c>
      <c r="O20" s="29">
        <f t="shared" ref="O20:T20" si="21">ROUND(C20 + ((2016-2012)*(I20-C20))/(2024-2012),0)</f>
        <v>4350</v>
      </c>
      <c r="P20" s="30">
        <f t="shared" si="21"/>
        <v>2527</v>
      </c>
      <c r="Q20" s="30">
        <f t="shared" si="21"/>
        <v>19</v>
      </c>
      <c r="R20" s="30">
        <f t="shared" si="21"/>
        <v>111</v>
      </c>
      <c r="S20" s="30">
        <f t="shared" si="21"/>
        <v>36</v>
      </c>
      <c r="T20" s="30">
        <f t="shared" si="21"/>
        <v>1657</v>
      </c>
      <c r="U20" s="30">
        <v>2438.0</v>
      </c>
      <c r="V20" s="31">
        <f t="shared" si="3"/>
        <v>89</v>
      </c>
      <c r="W20" s="31">
        <f t="shared" si="4"/>
        <v>89</v>
      </c>
      <c r="X20" s="32">
        <f t="shared" si="5"/>
        <v>4350</v>
      </c>
      <c r="Y20" s="31">
        <v>166.99999570846558</v>
      </c>
      <c r="Z20" s="33"/>
      <c r="AA20" s="28">
        <v>5528.0</v>
      </c>
      <c r="AB20" s="30">
        <f t="shared" si="7"/>
        <v>5766</v>
      </c>
      <c r="AC20" s="28">
        <v>6243.0</v>
      </c>
      <c r="AD20" s="13"/>
      <c r="AE20" s="13"/>
      <c r="AF20" s="13"/>
      <c r="AG20" s="13"/>
      <c r="AH20" s="13"/>
      <c r="AI20" s="13"/>
      <c r="AJ20" s="13"/>
      <c r="AK20" s="13"/>
      <c r="AL20" s="13"/>
    </row>
    <row r="21" ht="15.75" customHeight="1">
      <c r="A21" s="34">
        <v>10602.0</v>
      </c>
      <c r="B21" s="35" t="s">
        <v>36</v>
      </c>
      <c r="C21" s="28">
        <v>2950.0</v>
      </c>
      <c r="D21" s="28">
        <v>1417.0</v>
      </c>
      <c r="E21" s="28">
        <v>27.0</v>
      </c>
      <c r="F21" s="28">
        <v>15.0</v>
      </c>
      <c r="G21" s="28">
        <v>38.0</v>
      </c>
      <c r="H21" s="28">
        <v>1453.0</v>
      </c>
      <c r="I21" s="28">
        <v>3069.0</v>
      </c>
      <c r="J21" s="28">
        <v>2437.0</v>
      </c>
      <c r="K21" s="28">
        <v>8.0</v>
      </c>
      <c r="L21" s="28">
        <v>77.0</v>
      </c>
      <c r="M21" s="28">
        <v>27.0</v>
      </c>
      <c r="N21" s="28">
        <v>520.0</v>
      </c>
      <c r="O21" s="29">
        <f t="shared" ref="O21:T21" si="22">ROUND(C21 + ((2016-2012)*(I21-C21))/(2024-2012),0)</f>
        <v>2990</v>
      </c>
      <c r="P21" s="36">
        <f t="shared" si="22"/>
        <v>1757</v>
      </c>
      <c r="Q21" s="36">
        <f t="shared" si="22"/>
        <v>21</v>
      </c>
      <c r="R21" s="36">
        <f t="shared" si="22"/>
        <v>36</v>
      </c>
      <c r="S21" s="36">
        <f t="shared" si="22"/>
        <v>34</v>
      </c>
      <c r="T21" s="36">
        <f t="shared" si="22"/>
        <v>1142</v>
      </c>
      <c r="U21" s="36">
        <v>1749.0</v>
      </c>
      <c r="V21" s="31">
        <f t="shared" si="3"/>
        <v>8</v>
      </c>
      <c r="W21" s="31">
        <f t="shared" si="4"/>
        <v>8</v>
      </c>
      <c r="X21" s="32">
        <f t="shared" si="5"/>
        <v>2990</v>
      </c>
      <c r="Y21" s="31">
        <v>135.00000536441803</v>
      </c>
      <c r="Z21" s="33"/>
      <c r="AA21" s="28">
        <v>3614.0</v>
      </c>
      <c r="AB21" s="36">
        <f t="shared" si="7"/>
        <v>3752</v>
      </c>
      <c r="AC21" s="28">
        <v>4029.0</v>
      </c>
      <c r="AD21" s="13"/>
      <c r="AE21" s="13"/>
      <c r="AF21" s="13"/>
      <c r="AG21" s="13"/>
      <c r="AH21" s="13"/>
      <c r="AI21" s="13"/>
      <c r="AJ21" s="13"/>
      <c r="AK21" s="13"/>
      <c r="AL21" s="13"/>
    </row>
    <row r="22" ht="15.75" customHeight="1">
      <c r="A22" s="26">
        <v>10701.0</v>
      </c>
      <c r="B22" s="27" t="s">
        <v>37</v>
      </c>
      <c r="C22" s="28">
        <v>4325.0</v>
      </c>
      <c r="D22" s="28">
        <v>2941.0</v>
      </c>
      <c r="E22" s="28">
        <v>20.0</v>
      </c>
      <c r="F22" s="28">
        <v>35.0</v>
      </c>
      <c r="G22" s="28">
        <v>33.0</v>
      </c>
      <c r="H22" s="28">
        <v>1296.0</v>
      </c>
      <c r="I22" s="28">
        <v>5047.0</v>
      </c>
      <c r="J22" s="28">
        <v>4300.0</v>
      </c>
      <c r="K22" s="28">
        <v>14.0</v>
      </c>
      <c r="L22" s="28">
        <v>59.0</v>
      </c>
      <c r="M22" s="28">
        <v>15.0</v>
      </c>
      <c r="N22" s="28">
        <v>659.0</v>
      </c>
      <c r="O22" s="29">
        <f t="shared" ref="O22:T22" si="23">ROUND(C22 + ((2016-2012)*(I22-C22))/(2024-2012),0)</f>
        <v>4566</v>
      </c>
      <c r="P22" s="30">
        <f t="shared" si="23"/>
        <v>3394</v>
      </c>
      <c r="Q22" s="30">
        <f t="shared" si="23"/>
        <v>18</v>
      </c>
      <c r="R22" s="30">
        <f t="shared" si="23"/>
        <v>43</v>
      </c>
      <c r="S22" s="30">
        <f t="shared" si="23"/>
        <v>27</v>
      </c>
      <c r="T22" s="30">
        <f t="shared" si="23"/>
        <v>1084</v>
      </c>
      <c r="U22" s="30">
        <v>3815.0</v>
      </c>
      <c r="V22" s="31">
        <f t="shared" si="3"/>
        <v>-421</v>
      </c>
      <c r="W22" s="31">
        <f t="shared" si="4"/>
        <v>0</v>
      </c>
      <c r="X22" s="32">
        <f t="shared" si="5"/>
        <v>4987</v>
      </c>
      <c r="Y22" s="31">
        <v>209.99999344348907</v>
      </c>
      <c r="Z22" s="33"/>
      <c r="AA22" s="28">
        <v>5494.0</v>
      </c>
      <c r="AB22" s="30">
        <f t="shared" si="7"/>
        <v>6015</v>
      </c>
      <c r="AC22" s="28">
        <v>7056.0</v>
      </c>
      <c r="AD22" s="13"/>
      <c r="AE22" s="13"/>
      <c r="AF22" s="13"/>
      <c r="AG22" s="13"/>
      <c r="AH22" s="13"/>
      <c r="AI22" s="13"/>
      <c r="AJ22" s="13"/>
      <c r="AK22" s="13"/>
      <c r="AL22" s="13"/>
    </row>
    <row r="23" ht="15.75" customHeight="1">
      <c r="A23" s="34">
        <v>10702.0</v>
      </c>
      <c r="B23" s="35" t="s">
        <v>38</v>
      </c>
      <c r="C23" s="28">
        <v>8008.0</v>
      </c>
      <c r="D23" s="28">
        <v>2606.0</v>
      </c>
      <c r="E23" s="28">
        <v>55.0</v>
      </c>
      <c r="F23" s="28">
        <v>628.0</v>
      </c>
      <c r="G23" s="28">
        <v>185.0</v>
      </c>
      <c r="H23" s="28">
        <v>4534.0</v>
      </c>
      <c r="I23" s="28">
        <v>8651.0</v>
      </c>
      <c r="J23" s="28">
        <v>6050.0</v>
      </c>
      <c r="K23" s="28">
        <v>18.0</v>
      </c>
      <c r="L23" s="28">
        <v>435.0</v>
      </c>
      <c r="M23" s="28">
        <v>44.0</v>
      </c>
      <c r="N23" s="28">
        <v>2104.0</v>
      </c>
      <c r="O23" s="29">
        <f t="shared" ref="O23:T23" si="24">ROUND(C23 + ((2016-2012)*(I23-C23))/(2024-2012),0)</f>
        <v>8222</v>
      </c>
      <c r="P23" s="36">
        <f t="shared" si="24"/>
        <v>3754</v>
      </c>
      <c r="Q23" s="36">
        <f t="shared" si="24"/>
        <v>43</v>
      </c>
      <c r="R23" s="36">
        <f t="shared" si="24"/>
        <v>564</v>
      </c>
      <c r="S23" s="36">
        <f t="shared" si="24"/>
        <v>138</v>
      </c>
      <c r="T23" s="36">
        <f t="shared" si="24"/>
        <v>3724</v>
      </c>
      <c r="U23" s="36">
        <v>3871.0</v>
      </c>
      <c r="V23" s="31">
        <f t="shared" si="3"/>
        <v>-117</v>
      </c>
      <c r="W23" s="31">
        <f t="shared" si="4"/>
        <v>0</v>
      </c>
      <c r="X23" s="32">
        <f t="shared" si="5"/>
        <v>8340</v>
      </c>
      <c r="Y23" s="31">
        <v>136.00000739097595</v>
      </c>
      <c r="Z23" s="33"/>
      <c r="AA23" s="28">
        <v>10932.0</v>
      </c>
      <c r="AB23" s="36">
        <f t="shared" si="7"/>
        <v>12280</v>
      </c>
      <c r="AC23" s="28">
        <v>14977.0</v>
      </c>
      <c r="AD23" s="13"/>
      <c r="AE23" s="13"/>
      <c r="AF23" s="13"/>
      <c r="AG23" s="13"/>
      <c r="AH23" s="13"/>
      <c r="AI23" s="13"/>
      <c r="AJ23" s="13"/>
      <c r="AK23" s="13"/>
      <c r="AL23" s="13"/>
    </row>
    <row r="24" ht="15.75" customHeight="1">
      <c r="A24" s="26">
        <v>10703.0</v>
      </c>
      <c r="B24" s="27" t="s">
        <v>39</v>
      </c>
      <c r="C24" s="28">
        <v>2779.0</v>
      </c>
      <c r="D24" s="28">
        <v>746.0</v>
      </c>
      <c r="E24" s="28">
        <v>41.0</v>
      </c>
      <c r="F24" s="28">
        <v>84.0</v>
      </c>
      <c r="G24" s="28">
        <v>17.0</v>
      </c>
      <c r="H24" s="28">
        <v>1891.0</v>
      </c>
      <c r="I24" s="28">
        <v>4071.0</v>
      </c>
      <c r="J24" s="28">
        <v>2006.0</v>
      </c>
      <c r="K24" s="28">
        <v>12.0</v>
      </c>
      <c r="L24" s="28">
        <v>381.0</v>
      </c>
      <c r="M24" s="28">
        <v>33.0</v>
      </c>
      <c r="N24" s="28">
        <v>1639.0</v>
      </c>
      <c r="O24" s="29">
        <f t="shared" ref="O24:T24" si="25">ROUND(C24 + ((2016-2012)*(I24-C24))/(2024-2012),0)</f>
        <v>3210</v>
      </c>
      <c r="P24" s="30">
        <f t="shared" si="25"/>
        <v>1166</v>
      </c>
      <c r="Q24" s="30">
        <f t="shared" si="25"/>
        <v>31</v>
      </c>
      <c r="R24" s="30">
        <f t="shared" si="25"/>
        <v>183</v>
      </c>
      <c r="S24" s="30">
        <f t="shared" si="25"/>
        <v>22</v>
      </c>
      <c r="T24" s="30">
        <f t="shared" si="25"/>
        <v>1807</v>
      </c>
      <c r="U24" s="30">
        <v>1015.0</v>
      </c>
      <c r="V24" s="31">
        <f t="shared" si="3"/>
        <v>151</v>
      </c>
      <c r="W24" s="31">
        <f t="shared" si="4"/>
        <v>151</v>
      </c>
      <c r="X24" s="32">
        <f t="shared" si="5"/>
        <v>3209</v>
      </c>
      <c r="Y24" s="31">
        <v>184.00000035762787</v>
      </c>
      <c r="Z24" s="33"/>
      <c r="AA24" s="28">
        <v>3166.0</v>
      </c>
      <c r="AB24" s="30">
        <f t="shared" si="7"/>
        <v>3641</v>
      </c>
      <c r="AC24" s="28">
        <v>4590.0</v>
      </c>
      <c r="AD24" s="13"/>
      <c r="AE24" s="13"/>
      <c r="AF24" s="13"/>
      <c r="AG24" s="13"/>
      <c r="AH24" s="13"/>
      <c r="AI24" s="13"/>
      <c r="AJ24" s="13"/>
      <c r="AK24" s="13"/>
      <c r="AL24" s="13"/>
    </row>
    <row r="25" ht="15.75" customHeight="1">
      <c r="A25" s="34">
        <v>10704.0</v>
      </c>
      <c r="B25" s="35" t="s">
        <v>40</v>
      </c>
      <c r="C25" s="28">
        <v>3475.0</v>
      </c>
      <c r="D25" s="28">
        <v>1204.0</v>
      </c>
      <c r="E25" s="28">
        <v>24.0</v>
      </c>
      <c r="F25" s="28">
        <v>68.0</v>
      </c>
      <c r="G25" s="28">
        <v>29.0</v>
      </c>
      <c r="H25" s="28">
        <v>2150.0</v>
      </c>
      <c r="I25" s="28">
        <v>4000.0</v>
      </c>
      <c r="J25" s="28">
        <v>2814.0</v>
      </c>
      <c r="K25" s="28">
        <v>6.0</v>
      </c>
      <c r="L25" s="28">
        <v>100.0</v>
      </c>
      <c r="M25" s="28">
        <v>5.0</v>
      </c>
      <c r="N25" s="28">
        <v>1075.0</v>
      </c>
      <c r="O25" s="29">
        <f t="shared" ref="O25:T25" si="26">ROUND(C25 + ((2016-2012)*(I25-C25))/(2024-2012),0)</f>
        <v>3650</v>
      </c>
      <c r="P25" s="36">
        <f t="shared" si="26"/>
        <v>1741</v>
      </c>
      <c r="Q25" s="36">
        <f t="shared" si="26"/>
        <v>18</v>
      </c>
      <c r="R25" s="36">
        <f t="shared" si="26"/>
        <v>79</v>
      </c>
      <c r="S25" s="36">
        <f t="shared" si="26"/>
        <v>21</v>
      </c>
      <c r="T25" s="36">
        <f t="shared" si="26"/>
        <v>1792</v>
      </c>
      <c r="U25" s="36">
        <v>1924.0</v>
      </c>
      <c r="V25" s="31">
        <f t="shared" si="3"/>
        <v>-183</v>
      </c>
      <c r="W25" s="31">
        <f t="shared" si="4"/>
        <v>0</v>
      </c>
      <c r="X25" s="32">
        <f t="shared" si="5"/>
        <v>3834</v>
      </c>
      <c r="Y25" s="31">
        <v>148.00000190734863</v>
      </c>
      <c r="Z25" s="33"/>
      <c r="AA25" s="28">
        <v>3912.0</v>
      </c>
      <c r="AB25" s="36">
        <f t="shared" si="7"/>
        <v>4424</v>
      </c>
      <c r="AC25" s="28">
        <v>5447.0</v>
      </c>
      <c r="AD25" s="13"/>
      <c r="AE25" s="13"/>
      <c r="AF25" s="13"/>
      <c r="AG25" s="13"/>
      <c r="AH25" s="13"/>
      <c r="AI25" s="13"/>
      <c r="AJ25" s="13"/>
      <c r="AK25" s="13"/>
      <c r="AL25" s="13"/>
    </row>
    <row r="26" ht="15.75" customHeight="1">
      <c r="A26" s="26">
        <v>10801.0</v>
      </c>
      <c r="B26" s="27" t="s">
        <v>41</v>
      </c>
      <c r="C26" s="28">
        <v>3196.0</v>
      </c>
      <c r="D26" s="28">
        <v>1730.0</v>
      </c>
      <c r="E26" s="28">
        <v>5.0</v>
      </c>
      <c r="F26" s="28">
        <v>203.0</v>
      </c>
      <c r="G26" s="28">
        <v>35.0</v>
      </c>
      <c r="H26" s="28">
        <v>1223.0</v>
      </c>
      <c r="I26" s="28">
        <v>3187.0</v>
      </c>
      <c r="J26" s="28">
        <v>2673.0</v>
      </c>
      <c r="K26" s="28">
        <v>2.0</v>
      </c>
      <c r="L26" s="28">
        <v>75.0</v>
      </c>
      <c r="M26" s="28">
        <v>4.0</v>
      </c>
      <c r="N26" s="28">
        <v>433.0</v>
      </c>
      <c r="O26" s="29">
        <f t="shared" ref="O26:T26" si="27">ROUND(C26 + ((2016-2012)*(I26-C26))/(2024-2012),0)</f>
        <v>3193</v>
      </c>
      <c r="P26" s="30">
        <f t="shared" si="27"/>
        <v>2044</v>
      </c>
      <c r="Q26" s="30">
        <f t="shared" si="27"/>
        <v>4</v>
      </c>
      <c r="R26" s="30">
        <f t="shared" si="27"/>
        <v>160</v>
      </c>
      <c r="S26" s="30">
        <f t="shared" si="27"/>
        <v>25</v>
      </c>
      <c r="T26" s="30">
        <f t="shared" si="27"/>
        <v>960</v>
      </c>
      <c r="U26" s="30">
        <v>2237.0</v>
      </c>
      <c r="V26" s="31">
        <f t="shared" si="3"/>
        <v>-193</v>
      </c>
      <c r="W26" s="31">
        <f t="shared" si="4"/>
        <v>0</v>
      </c>
      <c r="X26" s="32">
        <f t="shared" si="5"/>
        <v>3386</v>
      </c>
      <c r="Y26" s="31">
        <v>203.99999618530273</v>
      </c>
      <c r="Z26" s="33"/>
      <c r="AA26" s="28">
        <v>4489.0</v>
      </c>
      <c r="AB26" s="30">
        <f t="shared" si="7"/>
        <v>4928</v>
      </c>
      <c r="AC26" s="28">
        <v>5806.0</v>
      </c>
      <c r="AD26" s="13"/>
      <c r="AE26" s="13"/>
      <c r="AF26" s="13"/>
      <c r="AG26" s="13"/>
      <c r="AH26" s="13"/>
      <c r="AI26" s="13"/>
      <c r="AJ26" s="13"/>
      <c r="AK26" s="13"/>
      <c r="AL26" s="13"/>
    </row>
    <row r="27" ht="15.75" customHeight="1">
      <c r="A27" s="34">
        <v>10901.0</v>
      </c>
      <c r="B27" s="35" t="s">
        <v>42</v>
      </c>
      <c r="C27" s="28">
        <v>965.0</v>
      </c>
      <c r="D27" s="28">
        <v>431.0</v>
      </c>
      <c r="E27" s="28">
        <v>2.0</v>
      </c>
      <c r="F27" s="28">
        <v>7.0</v>
      </c>
      <c r="G27" s="28">
        <v>2.0</v>
      </c>
      <c r="H27" s="28">
        <v>523.0</v>
      </c>
      <c r="I27" s="28">
        <v>1371.0</v>
      </c>
      <c r="J27" s="28">
        <v>1145.0</v>
      </c>
      <c r="K27" s="28">
        <v>3.0</v>
      </c>
      <c r="L27" s="28">
        <v>22.0</v>
      </c>
      <c r="M27" s="28">
        <v>2.0</v>
      </c>
      <c r="N27" s="28">
        <v>199.0</v>
      </c>
      <c r="O27" s="29">
        <f t="shared" ref="O27:T27" si="28">ROUND(C27 + ((2016-2012)*(I27-C27))/(2024-2012),0)</f>
        <v>1100</v>
      </c>
      <c r="P27" s="36">
        <f t="shared" si="28"/>
        <v>669</v>
      </c>
      <c r="Q27" s="36">
        <f t="shared" si="28"/>
        <v>2</v>
      </c>
      <c r="R27" s="36">
        <f t="shared" si="28"/>
        <v>12</v>
      </c>
      <c r="S27" s="36">
        <f t="shared" si="28"/>
        <v>2</v>
      </c>
      <c r="T27" s="36">
        <f t="shared" si="28"/>
        <v>415</v>
      </c>
      <c r="U27" s="36">
        <v>882.0</v>
      </c>
      <c r="V27" s="31">
        <f t="shared" si="3"/>
        <v>-213</v>
      </c>
      <c r="W27" s="31">
        <f t="shared" si="4"/>
        <v>0</v>
      </c>
      <c r="X27" s="32">
        <f t="shared" si="5"/>
        <v>1313</v>
      </c>
      <c r="Y27" s="31">
        <v>117.49999970197678</v>
      </c>
      <c r="Z27" s="33"/>
      <c r="AA27" s="28">
        <v>1489.0</v>
      </c>
      <c r="AB27" s="36">
        <f t="shared" si="7"/>
        <v>1600</v>
      </c>
      <c r="AC27" s="28">
        <v>1821.0</v>
      </c>
      <c r="AD27" s="13"/>
      <c r="AE27" s="13"/>
      <c r="AF27" s="13"/>
      <c r="AG27" s="13"/>
      <c r="AH27" s="13"/>
      <c r="AI27" s="13"/>
      <c r="AJ27" s="13"/>
      <c r="AK27" s="13"/>
      <c r="AL27" s="13"/>
    </row>
    <row r="28" ht="15.75" customHeight="1">
      <c r="A28" s="26">
        <v>10902.0</v>
      </c>
      <c r="B28" s="27" t="s">
        <v>43</v>
      </c>
      <c r="C28" s="28">
        <v>4347.0</v>
      </c>
      <c r="D28" s="28">
        <v>1639.0</v>
      </c>
      <c r="E28" s="28">
        <v>24.0</v>
      </c>
      <c r="F28" s="28">
        <v>758.0</v>
      </c>
      <c r="G28" s="28">
        <v>24.0</v>
      </c>
      <c r="H28" s="28">
        <v>1902.0</v>
      </c>
      <c r="I28" s="28">
        <v>4660.0</v>
      </c>
      <c r="J28" s="28">
        <v>2747.0</v>
      </c>
      <c r="K28" s="28">
        <v>8.0</v>
      </c>
      <c r="L28" s="28">
        <v>485.0</v>
      </c>
      <c r="M28" s="28">
        <v>29.0</v>
      </c>
      <c r="N28" s="28">
        <v>1391.0</v>
      </c>
      <c r="O28" s="29">
        <f t="shared" ref="O28:T28" si="29">ROUND(C28 + ((2016-2012)*(I28-C28))/(2024-2012),0)</f>
        <v>4451</v>
      </c>
      <c r="P28" s="30">
        <f t="shared" si="29"/>
        <v>2008</v>
      </c>
      <c r="Q28" s="30">
        <f t="shared" si="29"/>
        <v>19</v>
      </c>
      <c r="R28" s="30">
        <f t="shared" si="29"/>
        <v>667</v>
      </c>
      <c r="S28" s="30">
        <f t="shared" si="29"/>
        <v>26</v>
      </c>
      <c r="T28" s="30">
        <f t="shared" si="29"/>
        <v>1732</v>
      </c>
      <c r="U28" s="30">
        <v>2575.0</v>
      </c>
      <c r="V28" s="31">
        <f t="shared" si="3"/>
        <v>-567</v>
      </c>
      <c r="W28" s="31">
        <f t="shared" si="4"/>
        <v>0</v>
      </c>
      <c r="X28" s="32">
        <f t="shared" si="5"/>
        <v>5019</v>
      </c>
      <c r="Y28" s="31">
        <v>151.99999511241913</v>
      </c>
      <c r="Z28" s="33"/>
      <c r="AA28" s="28">
        <v>5186.0</v>
      </c>
      <c r="AB28" s="30">
        <f t="shared" si="7"/>
        <v>5859</v>
      </c>
      <c r="AC28" s="28">
        <v>7205.0</v>
      </c>
      <c r="AD28" s="13"/>
      <c r="AE28" s="13"/>
      <c r="AF28" s="13"/>
      <c r="AG28" s="13"/>
      <c r="AH28" s="13"/>
      <c r="AI28" s="13"/>
      <c r="AJ28" s="13"/>
      <c r="AK28" s="13"/>
      <c r="AL28" s="13"/>
    </row>
    <row r="29" ht="15.75" customHeight="1">
      <c r="A29" s="34">
        <v>10903.0</v>
      </c>
      <c r="B29" s="35" t="s">
        <v>44</v>
      </c>
      <c r="C29" s="28">
        <v>1062.0</v>
      </c>
      <c r="D29" s="28">
        <v>583.0</v>
      </c>
      <c r="E29" s="28">
        <v>22.0</v>
      </c>
      <c r="F29" s="28">
        <v>31.0</v>
      </c>
      <c r="G29" s="28">
        <v>4.0</v>
      </c>
      <c r="H29" s="28">
        <v>422.0</v>
      </c>
      <c r="I29" s="28">
        <v>1280.0</v>
      </c>
      <c r="J29" s="28">
        <v>1110.0</v>
      </c>
      <c r="K29" s="28">
        <v>23.0</v>
      </c>
      <c r="L29" s="28">
        <v>17.0</v>
      </c>
      <c r="M29" s="28">
        <v>4.0</v>
      </c>
      <c r="N29" s="28">
        <v>126.0</v>
      </c>
      <c r="O29" s="29">
        <f t="shared" ref="O29:T29" si="30">ROUND(C29 + ((2016-2012)*(I29-C29))/(2024-2012),0)</f>
        <v>1135</v>
      </c>
      <c r="P29" s="36">
        <f t="shared" si="30"/>
        <v>759</v>
      </c>
      <c r="Q29" s="36">
        <f t="shared" si="30"/>
        <v>22</v>
      </c>
      <c r="R29" s="36">
        <f t="shared" si="30"/>
        <v>26</v>
      </c>
      <c r="S29" s="36">
        <f t="shared" si="30"/>
        <v>4</v>
      </c>
      <c r="T29" s="36">
        <f t="shared" si="30"/>
        <v>323</v>
      </c>
      <c r="U29" s="37">
        <v>822.0</v>
      </c>
      <c r="V29" s="31">
        <f t="shared" si="3"/>
        <v>-63</v>
      </c>
      <c r="W29" s="31">
        <f t="shared" si="4"/>
        <v>0</v>
      </c>
      <c r="X29" s="32">
        <f t="shared" si="5"/>
        <v>1197</v>
      </c>
      <c r="Y29" s="31">
        <v>155.0000011920929</v>
      </c>
      <c r="Z29" s="33"/>
      <c r="AA29" s="28">
        <v>1301.0</v>
      </c>
      <c r="AB29" s="36">
        <f t="shared" si="7"/>
        <v>1350</v>
      </c>
      <c r="AC29" s="28">
        <v>1449.0</v>
      </c>
      <c r="AD29" s="13"/>
      <c r="AE29" s="13"/>
      <c r="AF29" s="13"/>
      <c r="AG29" s="13"/>
      <c r="AH29" s="13"/>
      <c r="AI29" s="13"/>
      <c r="AJ29" s="13"/>
      <c r="AK29" s="13"/>
      <c r="AL29" s="13"/>
    </row>
    <row r="30" ht="15.75" customHeight="1">
      <c r="A30" s="26">
        <v>11001.0</v>
      </c>
      <c r="B30" s="27" t="s">
        <v>45</v>
      </c>
      <c r="C30" s="28">
        <v>2532.0</v>
      </c>
      <c r="D30" s="28">
        <v>1272.0</v>
      </c>
      <c r="E30" s="28">
        <v>48.0</v>
      </c>
      <c r="F30" s="28">
        <v>229.0</v>
      </c>
      <c r="G30" s="28">
        <v>35.0</v>
      </c>
      <c r="H30" s="28">
        <v>948.0</v>
      </c>
      <c r="I30" s="28">
        <v>3136.0</v>
      </c>
      <c r="J30" s="28">
        <v>2398.0</v>
      </c>
      <c r="K30" s="28">
        <v>9.0</v>
      </c>
      <c r="L30" s="28">
        <v>119.0</v>
      </c>
      <c r="M30" s="28">
        <v>6.0</v>
      </c>
      <c r="N30" s="28">
        <v>604.0</v>
      </c>
      <c r="O30" s="29">
        <f t="shared" ref="O30:T30" si="31">ROUND(C30 + ((2016-2012)*(I30-C30))/(2024-2012),0)</f>
        <v>2733</v>
      </c>
      <c r="P30" s="30">
        <f t="shared" si="31"/>
        <v>1647</v>
      </c>
      <c r="Q30" s="30">
        <f t="shared" si="31"/>
        <v>35</v>
      </c>
      <c r="R30" s="30">
        <f t="shared" si="31"/>
        <v>192</v>
      </c>
      <c r="S30" s="30">
        <f t="shared" si="31"/>
        <v>25</v>
      </c>
      <c r="T30" s="30">
        <f t="shared" si="31"/>
        <v>833</v>
      </c>
      <c r="U30" s="30">
        <v>1206.0</v>
      </c>
      <c r="V30" s="31">
        <f t="shared" si="3"/>
        <v>441</v>
      </c>
      <c r="W30" s="31">
        <f t="shared" si="4"/>
        <v>441</v>
      </c>
      <c r="X30" s="32">
        <f t="shared" si="5"/>
        <v>2732</v>
      </c>
      <c r="Y30" s="31">
        <v>398.499995470047</v>
      </c>
      <c r="Z30" s="33"/>
      <c r="AA30" s="28">
        <v>2887.0</v>
      </c>
      <c r="AB30" s="30">
        <f t="shared" si="7"/>
        <v>3176</v>
      </c>
      <c r="AC30" s="28">
        <v>3753.0</v>
      </c>
      <c r="AD30" s="13"/>
      <c r="AE30" s="13"/>
      <c r="AF30" s="13"/>
      <c r="AG30" s="13"/>
      <c r="AH30" s="13"/>
      <c r="AI30" s="13"/>
      <c r="AJ30" s="13"/>
      <c r="AK30" s="13"/>
      <c r="AL30" s="13"/>
    </row>
    <row r="31" ht="15.75" customHeight="1">
      <c r="A31" s="34">
        <v>11002.0</v>
      </c>
      <c r="B31" s="35" t="s">
        <v>46</v>
      </c>
      <c r="C31" s="28">
        <v>603.0</v>
      </c>
      <c r="D31" s="28">
        <v>131.0</v>
      </c>
      <c r="E31" s="28">
        <v>14.0</v>
      </c>
      <c r="F31" s="28">
        <v>69.0</v>
      </c>
      <c r="G31" s="28">
        <v>32.0</v>
      </c>
      <c r="H31" s="28">
        <v>357.0</v>
      </c>
      <c r="I31" s="28">
        <v>818.0</v>
      </c>
      <c r="J31" s="28">
        <v>623.0</v>
      </c>
      <c r="K31" s="28">
        <v>0.0</v>
      </c>
      <c r="L31" s="28">
        <v>93.0</v>
      </c>
      <c r="M31" s="28">
        <v>6.0</v>
      </c>
      <c r="N31" s="28">
        <v>96.0</v>
      </c>
      <c r="O31" s="29">
        <f t="shared" ref="O31:T31" si="32">ROUND(C31 + ((2016-2012)*(I31-C31))/(2024-2012),0)</f>
        <v>675</v>
      </c>
      <c r="P31" s="36">
        <f t="shared" si="32"/>
        <v>295</v>
      </c>
      <c r="Q31" s="36">
        <f t="shared" si="32"/>
        <v>9</v>
      </c>
      <c r="R31" s="36">
        <f t="shared" si="32"/>
        <v>77</v>
      </c>
      <c r="S31" s="36">
        <f t="shared" si="32"/>
        <v>23</v>
      </c>
      <c r="T31" s="36">
        <f t="shared" si="32"/>
        <v>270</v>
      </c>
      <c r="U31" s="37">
        <v>263.0</v>
      </c>
      <c r="V31" s="31">
        <f t="shared" si="3"/>
        <v>32</v>
      </c>
      <c r="W31" s="31">
        <f t="shared" si="4"/>
        <v>32</v>
      </c>
      <c r="X31" s="32">
        <f t="shared" si="5"/>
        <v>674</v>
      </c>
      <c r="Y31" s="31">
        <v>423.0000078678131</v>
      </c>
      <c r="Z31" s="33"/>
      <c r="AA31" s="28">
        <v>680.0</v>
      </c>
      <c r="AB31" s="36">
        <f t="shared" si="7"/>
        <v>788</v>
      </c>
      <c r="AC31" s="28">
        <v>1004.0</v>
      </c>
      <c r="AD31" s="13"/>
      <c r="AE31" s="13"/>
      <c r="AF31" s="13"/>
      <c r="AG31" s="13"/>
      <c r="AH31" s="13"/>
      <c r="AI31" s="13"/>
      <c r="AJ31" s="13"/>
      <c r="AK31" s="13"/>
      <c r="AL31" s="13"/>
    </row>
    <row r="32" ht="15.75" customHeight="1">
      <c r="A32" s="26">
        <v>11003.0</v>
      </c>
      <c r="B32" s="27" t="s">
        <v>47</v>
      </c>
      <c r="C32" s="28">
        <v>1751.0</v>
      </c>
      <c r="D32" s="28">
        <v>824.0</v>
      </c>
      <c r="E32" s="28">
        <v>31.0</v>
      </c>
      <c r="F32" s="28">
        <v>180.0</v>
      </c>
      <c r="G32" s="28">
        <v>27.0</v>
      </c>
      <c r="H32" s="28">
        <v>689.0</v>
      </c>
      <c r="I32" s="28">
        <v>2288.0</v>
      </c>
      <c r="J32" s="28">
        <v>1413.0</v>
      </c>
      <c r="K32" s="28">
        <v>54.0</v>
      </c>
      <c r="L32" s="28">
        <v>295.0</v>
      </c>
      <c r="M32" s="28">
        <v>24.0</v>
      </c>
      <c r="N32" s="28">
        <v>502.0</v>
      </c>
      <c r="O32" s="29">
        <f t="shared" ref="O32:T32" si="33">ROUND(C32 + ((2016-2012)*(I32-C32))/(2024-2012),0)</f>
        <v>1930</v>
      </c>
      <c r="P32" s="30">
        <f t="shared" si="33"/>
        <v>1020</v>
      </c>
      <c r="Q32" s="30">
        <f t="shared" si="33"/>
        <v>39</v>
      </c>
      <c r="R32" s="30">
        <f t="shared" si="33"/>
        <v>218</v>
      </c>
      <c r="S32" s="30">
        <f t="shared" si="33"/>
        <v>26</v>
      </c>
      <c r="T32" s="30">
        <f t="shared" si="33"/>
        <v>627</v>
      </c>
      <c r="U32" s="38">
        <v>925.0</v>
      </c>
      <c r="V32" s="31">
        <f t="shared" si="3"/>
        <v>95</v>
      </c>
      <c r="W32" s="31">
        <f t="shared" si="4"/>
        <v>95</v>
      </c>
      <c r="X32" s="32">
        <f t="shared" si="5"/>
        <v>1930</v>
      </c>
      <c r="Y32" s="31">
        <v>583.9999914169312</v>
      </c>
      <c r="Z32" s="33"/>
      <c r="AA32" s="28">
        <v>2016.0</v>
      </c>
      <c r="AB32" s="30">
        <f t="shared" si="7"/>
        <v>2251</v>
      </c>
      <c r="AC32" s="28">
        <v>2722.0</v>
      </c>
      <c r="AD32" s="13"/>
      <c r="AE32" s="13"/>
      <c r="AF32" s="13"/>
      <c r="AG32" s="13"/>
      <c r="AH32" s="13"/>
      <c r="AI32" s="13"/>
      <c r="AJ32" s="13"/>
      <c r="AK32" s="13"/>
      <c r="AL32" s="13"/>
    </row>
    <row r="33" ht="15.75" customHeight="1">
      <c r="A33" s="34">
        <v>20101.0</v>
      </c>
      <c r="B33" s="35" t="s">
        <v>48</v>
      </c>
      <c r="C33" s="28">
        <v>226458.0</v>
      </c>
      <c r="D33" s="28">
        <v>222302.0</v>
      </c>
      <c r="E33" s="28">
        <v>313.0</v>
      </c>
      <c r="F33" s="28">
        <v>30.0</v>
      </c>
      <c r="G33" s="28">
        <v>230.0</v>
      </c>
      <c r="H33" s="28">
        <v>3583.0</v>
      </c>
      <c r="I33" s="28">
        <v>250931.0</v>
      </c>
      <c r="J33" s="28">
        <v>246265.0</v>
      </c>
      <c r="K33" s="28">
        <v>712.0</v>
      </c>
      <c r="L33" s="28">
        <v>344.0</v>
      </c>
      <c r="M33" s="28">
        <v>598.0</v>
      </c>
      <c r="N33" s="28">
        <v>3012.0</v>
      </c>
      <c r="O33" s="29">
        <f t="shared" ref="O33:T33" si="34">ROUND(C33 + ((2016-2012)*(I33-C33))/(2024-2012),0)</f>
        <v>234616</v>
      </c>
      <c r="P33" s="36">
        <f t="shared" si="34"/>
        <v>230290</v>
      </c>
      <c r="Q33" s="36">
        <f t="shared" si="34"/>
        <v>446</v>
      </c>
      <c r="R33" s="36">
        <f t="shared" si="34"/>
        <v>135</v>
      </c>
      <c r="S33" s="36">
        <f t="shared" si="34"/>
        <v>353</v>
      </c>
      <c r="T33" s="36">
        <f t="shared" si="34"/>
        <v>3393</v>
      </c>
      <c r="U33" s="36">
        <v>255553.0</v>
      </c>
      <c r="V33" s="31">
        <f t="shared" si="3"/>
        <v>-25263</v>
      </c>
      <c r="W33" s="31">
        <f t="shared" si="4"/>
        <v>0</v>
      </c>
      <c r="X33" s="32">
        <f t="shared" si="5"/>
        <v>259880</v>
      </c>
      <c r="Y33" s="31">
        <v>1243.99995803833</v>
      </c>
      <c r="Z33" s="33"/>
      <c r="AA33" s="28">
        <v>246477.0</v>
      </c>
      <c r="AB33" s="36">
        <f t="shared" si="7"/>
        <v>268134</v>
      </c>
      <c r="AC33" s="28">
        <v>311448.0</v>
      </c>
      <c r="AD33" s="13"/>
      <c r="AE33" s="13"/>
      <c r="AF33" s="13"/>
      <c r="AG33" s="13"/>
      <c r="AH33" s="13"/>
      <c r="AI33" s="13"/>
      <c r="AJ33" s="13"/>
      <c r="AK33" s="13"/>
      <c r="AL33" s="13"/>
    </row>
    <row r="34" ht="15.75" customHeight="1">
      <c r="A34" s="26">
        <v>20102.0</v>
      </c>
      <c r="B34" s="27" t="s">
        <v>49</v>
      </c>
      <c r="C34" s="28">
        <v>4853.0</v>
      </c>
      <c r="D34" s="28">
        <v>3820.0</v>
      </c>
      <c r="E34" s="28">
        <v>5.0</v>
      </c>
      <c r="F34" s="28">
        <v>4.0</v>
      </c>
      <c r="G34" s="28">
        <v>15.0</v>
      </c>
      <c r="H34" s="28">
        <v>1009.0</v>
      </c>
      <c r="I34" s="28">
        <v>7585.0</v>
      </c>
      <c r="J34" s="28">
        <v>6462.0</v>
      </c>
      <c r="K34" s="28">
        <v>27.0</v>
      </c>
      <c r="L34" s="28">
        <v>80.0</v>
      </c>
      <c r="M34" s="28">
        <v>24.0</v>
      </c>
      <c r="N34" s="28">
        <v>992.0</v>
      </c>
      <c r="O34" s="29">
        <f t="shared" ref="O34:T34" si="35">ROUND(C34 + ((2016-2012)*(I34-C34))/(2024-2012),0)</f>
        <v>5764</v>
      </c>
      <c r="P34" s="30">
        <f t="shared" si="35"/>
        <v>4701</v>
      </c>
      <c r="Q34" s="30">
        <f t="shared" si="35"/>
        <v>12</v>
      </c>
      <c r="R34" s="30">
        <f t="shared" si="35"/>
        <v>29</v>
      </c>
      <c r="S34" s="30">
        <f t="shared" si="35"/>
        <v>18</v>
      </c>
      <c r="T34" s="30">
        <f t="shared" si="35"/>
        <v>1003</v>
      </c>
      <c r="U34" s="30">
        <v>3806.0</v>
      </c>
      <c r="V34" s="31">
        <f t="shared" si="3"/>
        <v>895</v>
      </c>
      <c r="W34" s="31">
        <f t="shared" si="4"/>
        <v>895</v>
      </c>
      <c r="X34" s="32">
        <f t="shared" si="5"/>
        <v>5763</v>
      </c>
      <c r="Y34" s="31">
        <v>175.99999904632568</v>
      </c>
      <c r="Z34" s="33"/>
      <c r="AA34" s="28">
        <v>5246.0</v>
      </c>
      <c r="AB34" s="30">
        <f t="shared" si="7"/>
        <v>6476</v>
      </c>
      <c r="AC34" s="28">
        <v>8935.0</v>
      </c>
      <c r="AD34" s="13"/>
      <c r="AE34" s="13"/>
      <c r="AF34" s="13"/>
      <c r="AG34" s="13"/>
      <c r="AH34" s="13"/>
      <c r="AI34" s="13"/>
      <c r="AJ34" s="13"/>
      <c r="AK34" s="13"/>
      <c r="AL34" s="13"/>
    </row>
    <row r="35" ht="15.75" customHeight="1">
      <c r="A35" s="34">
        <v>20103.0</v>
      </c>
      <c r="B35" s="35" t="s">
        <v>50</v>
      </c>
      <c r="C35" s="28">
        <v>4772.0</v>
      </c>
      <c r="D35" s="28">
        <v>4003.0</v>
      </c>
      <c r="E35" s="28">
        <v>13.0</v>
      </c>
      <c r="F35" s="28">
        <v>5.0</v>
      </c>
      <c r="G35" s="28">
        <v>13.0</v>
      </c>
      <c r="H35" s="28">
        <v>738.0</v>
      </c>
      <c r="I35" s="28">
        <v>6849.0</v>
      </c>
      <c r="J35" s="28">
        <v>6167.0</v>
      </c>
      <c r="K35" s="28">
        <v>15.0</v>
      </c>
      <c r="L35" s="28">
        <v>49.0</v>
      </c>
      <c r="M35" s="28">
        <v>33.0</v>
      </c>
      <c r="N35" s="28">
        <v>585.0</v>
      </c>
      <c r="O35" s="29">
        <f t="shared" ref="O35:T35" si="36">ROUND(C35 + ((2016-2012)*(I35-C35))/(2024-2012),0)</f>
        <v>5464</v>
      </c>
      <c r="P35" s="36">
        <f t="shared" si="36"/>
        <v>4724</v>
      </c>
      <c r="Q35" s="36">
        <f t="shared" si="36"/>
        <v>14</v>
      </c>
      <c r="R35" s="36">
        <f t="shared" si="36"/>
        <v>20</v>
      </c>
      <c r="S35" s="36">
        <f t="shared" si="36"/>
        <v>20</v>
      </c>
      <c r="T35" s="36">
        <f t="shared" si="36"/>
        <v>687</v>
      </c>
      <c r="U35" s="36">
        <v>4466.0</v>
      </c>
      <c r="V35" s="31">
        <f t="shared" si="3"/>
        <v>258</v>
      </c>
      <c r="W35" s="31">
        <f t="shared" si="4"/>
        <v>258</v>
      </c>
      <c r="X35" s="32">
        <f t="shared" si="5"/>
        <v>5465</v>
      </c>
      <c r="Y35" s="31">
        <v>314.9999976158142</v>
      </c>
      <c r="Z35" s="33"/>
      <c r="AA35" s="28">
        <v>5617.0</v>
      </c>
      <c r="AB35" s="36">
        <f t="shared" si="7"/>
        <v>6766</v>
      </c>
      <c r="AC35" s="28">
        <v>9064.0</v>
      </c>
      <c r="AD35" s="13"/>
      <c r="AE35" s="13"/>
      <c r="AF35" s="13"/>
      <c r="AG35" s="13"/>
      <c r="AH35" s="13"/>
      <c r="AI35" s="13"/>
      <c r="AJ35" s="13"/>
      <c r="AK35" s="13"/>
      <c r="AL35" s="13"/>
    </row>
    <row r="36" ht="15.75" customHeight="1">
      <c r="A36" s="26">
        <v>20104.0</v>
      </c>
      <c r="B36" s="27" t="s">
        <v>51</v>
      </c>
      <c r="C36" s="28">
        <v>7151.0</v>
      </c>
      <c r="D36" s="28">
        <v>5474.0</v>
      </c>
      <c r="E36" s="28">
        <v>22.0</v>
      </c>
      <c r="F36" s="28">
        <v>7.0</v>
      </c>
      <c r="G36" s="28">
        <v>113.0</v>
      </c>
      <c r="H36" s="28">
        <v>1535.0</v>
      </c>
      <c r="I36" s="28">
        <v>16297.0</v>
      </c>
      <c r="J36" s="28">
        <v>13397.0</v>
      </c>
      <c r="K36" s="28">
        <v>149.0</v>
      </c>
      <c r="L36" s="28">
        <v>103.0</v>
      </c>
      <c r="M36" s="28">
        <v>212.0</v>
      </c>
      <c r="N36" s="28">
        <v>2436.0</v>
      </c>
      <c r="O36" s="29">
        <f t="shared" ref="O36:T36" si="37">ROUND(C36 + ((2016-2012)*(I36-C36))/(2024-2012),0)</f>
        <v>10200</v>
      </c>
      <c r="P36" s="30">
        <f t="shared" si="37"/>
        <v>8115</v>
      </c>
      <c r="Q36" s="30">
        <f t="shared" si="37"/>
        <v>64</v>
      </c>
      <c r="R36" s="30">
        <f t="shared" si="37"/>
        <v>39</v>
      </c>
      <c r="S36" s="30">
        <f t="shared" si="37"/>
        <v>146</v>
      </c>
      <c r="T36" s="30">
        <f t="shared" si="37"/>
        <v>1835</v>
      </c>
      <c r="U36" s="30">
        <v>5811.0</v>
      </c>
      <c r="V36" s="31">
        <f t="shared" si="3"/>
        <v>2304</v>
      </c>
      <c r="W36" s="31">
        <f t="shared" si="4"/>
        <v>2304</v>
      </c>
      <c r="X36" s="32">
        <f t="shared" si="5"/>
        <v>10199</v>
      </c>
      <c r="Y36" s="31">
        <v>297.49999940395355</v>
      </c>
      <c r="Z36" s="33"/>
      <c r="AA36" s="28">
        <v>8093.0</v>
      </c>
      <c r="AB36" s="30">
        <f t="shared" si="7"/>
        <v>12351</v>
      </c>
      <c r="AC36" s="28">
        <v>20868.0</v>
      </c>
      <c r="AD36" s="13"/>
      <c r="AE36" s="13"/>
      <c r="AF36" s="13"/>
      <c r="AG36" s="13"/>
      <c r="AH36" s="13"/>
      <c r="AI36" s="13"/>
      <c r="AJ36" s="13"/>
      <c r="AK36" s="13"/>
      <c r="AL36" s="13"/>
    </row>
    <row r="37" ht="15.75" customHeight="1">
      <c r="A37" s="34">
        <v>20105.0</v>
      </c>
      <c r="B37" s="35" t="s">
        <v>52</v>
      </c>
      <c r="C37" s="28">
        <v>256852.0</v>
      </c>
      <c r="D37" s="28">
        <v>234389.0</v>
      </c>
      <c r="E37" s="28">
        <v>247.0</v>
      </c>
      <c r="F37" s="28">
        <v>57.0</v>
      </c>
      <c r="G37" s="28">
        <v>854.0</v>
      </c>
      <c r="H37" s="28">
        <v>21305.0</v>
      </c>
      <c r="I37" s="28">
        <v>297898.0</v>
      </c>
      <c r="J37" s="28">
        <v>287136.0</v>
      </c>
      <c r="K37" s="28">
        <v>885.0</v>
      </c>
      <c r="L37" s="28">
        <v>419.0</v>
      </c>
      <c r="M37" s="28">
        <v>1017.0</v>
      </c>
      <c r="N37" s="28">
        <v>8441.0</v>
      </c>
      <c r="O37" s="29">
        <f t="shared" ref="O37:T37" si="38">ROUND(C37 + ((2016-2012)*(I37-C37))/(2024-2012),0)</f>
        <v>270534</v>
      </c>
      <c r="P37" s="36">
        <f t="shared" si="38"/>
        <v>251971</v>
      </c>
      <c r="Q37" s="36">
        <f t="shared" si="38"/>
        <v>460</v>
      </c>
      <c r="R37" s="36">
        <f t="shared" si="38"/>
        <v>178</v>
      </c>
      <c r="S37" s="36">
        <f t="shared" si="38"/>
        <v>908</v>
      </c>
      <c r="T37" s="36">
        <f t="shared" si="38"/>
        <v>17017</v>
      </c>
      <c r="U37" s="36">
        <v>267033.0</v>
      </c>
      <c r="V37" s="31">
        <f t="shared" si="3"/>
        <v>-15062</v>
      </c>
      <c r="W37" s="31">
        <f t="shared" si="4"/>
        <v>0</v>
      </c>
      <c r="X37" s="32">
        <f t="shared" si="5"/>
        <v>285596</v>
      </c>
      <c r="Y37" s="31">
        <v>643.0000066757202</v>
      </c>
      <c r="Z37" s="33"/>
      <c r="AA37" s="28">
        <v>277673.0</v>
      </c>
      <c r="AB37" s="36">
        <f t="shared" si="7"/>
        <v>312261</v>
      </c>
      <c r="AC37" s="28">
        <v>381438.0</v>
      </c>
      <c r="AD37" s="13"/>
      <c r="AE37" s="13"/>
      <c r="AF37" s="13"/>
      <c r="AG37" s="13"/>
      <c r="AH37" s="13"/>
      <c r="AI37" s="13"/>
      <c r="AJ37" s="13"/>
      <c r="AK37" s="13"/>
      <c r="AL37" s="13"/>
    </row>
    <row r="38" ht="15.75" customHeight="1">
      <c r="A38" s="26">
        <v>20201.0</v>
      </c>
      <c r="B38" s="27" t="s">
        <v>53</v>
      </c>
      <c r="C38" s="28">
        <v>16228.0</v>
      </c>
      <c r="D38" s="28">
        <v>12147.0</v>
      </c>
      <c r="E38" s="28">
        <v>31.0</v>
      </c>
      <c r="F38" s="28">
        <v>23.0</v>
      </c>
      <c r="G38" s="28">
        <v>55.0</v>
      </c>
      <c r="H38" s="28">
        <v>3972.0</v>
      </c>
      <c r="I38" s="28">
        <v>18316.0</v>
      </c>
      <c r="J38" s="28">
        <v>15257.0</v>
      </c>
      <c r="K38" s="28">
        <v>43.0</v>
      </c>
      <c r="L38" s="28">
        <v>64.0</v>
      </c>
      <c r="M38" s="28">
        <v>113.0</v>
      </c>
      <c r="N38" s="28">
        <v>2839.0</v>
      </c>
      <c r="O38" s="29">
        <f t="shared" ref="O38:T38" si="39">ROUND(C38 + ((2016-2012)*(I38-C38))/(2024-2012),0)</f>
        <v>16924</v>
      </c>
      <c r="P38" s="30">
        <f t="shared" si="39"/>
        <v>13184</v>
      </c>
      <c r="Q38" s="30">
        <f t="shared" si="39"/>
        <v>35</v>
      </c>
      <c r="R38" s="30">
        <f t="shared" si="39"/>
        <v>37</v>
      </c>
      <c r="S38" s="30">
        <f t="shared" si="39"/>
        <v>74</v>
      </c>
      <c r="T38" s="30">
        <f t="shared" si="39"/>
        <v>3594</v>
      </c>
      <c r="U38" s="30">
        <v>18546.0</v>
      </c>
      <c r="V38" s="31">
        <f t="shared" si="3"/>
        <v>-5362</v>
      </c>
      <c r="W38" s="31">
        <f t="shared" si="4"/>
        <v>0</v>
      </c>
      <c r="X38" s="32">
        <f t="shared" si="5"/>
        <v>22286</v>
      </c>
      <c r="Y38" s="31">
        <v>56.0000017285347</v>
      </c>
      <c r="Z38" s="33"/>
      <c r="AA38" s="28">
        <v>17452.0</v>
      </c>
      <c r="AB38" s="30">
        <f t="shared" si="7"/>
        <v>19456</v>
      </c>
      <c r="AC38" s="28">
        <v>23465.0</v>
      </c>
      <c r="AD38" s="13"/>
      <c r="AE38" s="13"/>
      <c r="AF38" s="13"/>
      <c r="AG38" s="13"/>
      <c r="AH38" s="13"/>
      <c r="AI38" s="13"/>
      <c r="AJ38" s="13"/>
      <c r="AK38" s="13"/>
      <c r="AL38" s="13"/>
    </row>
    <row r="39" ht="15.75" customHeight="1">
      <c r="A39" s="34">
        <v>20202.0</v>
      </c>
      <c r="B39" s="35" t="s">
        <v>54</v>
      </c>
      <c r="C39" s="28">
        <v>5027.0</v>
      </c>
      <c r="D39" s="28">
        <v>3231.0</v>
      </c>
      <c r="E39" s="28">
        <v>11.0</v>
      </c>
      <c r="F39" s="28">
        <v>9.0</v>
      </c>
      <c r="G39" s="28">
        <v>106.0</v>
      </c>
      <c r="H39" s="28">
        <v>1670.0</v>
      </c>
      <c r="I39" s="28">
        <v>6737.0</v>
      </c>
      <c r="J39" s="28">
        <v>4907.0</v>
      </c>
      <c r="K39" s="28">
        <v>11.0</v>
      </c>
      <c r="L39" s="28">
        <v>52.0</v>
      </c>
      <c r="M39" s="28">
        <v>60.0</v>
      </c>
      <c r="N39" s="28">
        <v>1707.0</v>
      </c>
      <c r="O39" s="29">
        <f t="shared" ref="O39:T39" si="40">ROUND(C39 + ((2016-2012)*(I39-C39))/(2024-2012),0)</f>
        <v>5597</v>
      </c>
      <c r="P39" s="36">
        <f t="shared" si="40"/>
        <v>3790</v>
      </c>
      <c r="Q39" s="36">
        <f t="shared" si="40"/>
        <v>11</v>
      </c>
      <c r="R39" s="36">
        <f t="shared" si="40"/>
        <v>23</v>
      </c>
      <c r="S39" s="36">
        <f t="shared" si="40"/>
        <v>91</v>
      </c>
      <c r="T39" s="36">
        <f t="shared" si="40"/>
        <v>1682</v>
      </c>
      <c r="U39" s="36">
        <v>3243.0</v>
      </c>
      <c r="V39" s="31">
        <f t="shared" si="3"/>
        <v>547</v>
      </c>
      <c r="W39" s="31">
        <f t="shared" si="4"/>
        <v>547</v>
      </c>
      <c r="X39" s="32">
        <f t="shared" si="5"/>
        <v>5597</v>
      </c>
      <c r="Y39" s="31">
        <v>103.00000011920929</v>
      </c>
      <c r="Z39" s="33"/>
      <c r="AA39" s="28">
        <v>5427.0</v>
      </c>
      <c r="AB39" s="36">
        <f t="shared" si="7"/>
        <v>6206</v>
      </c>
      <c r="AC39" s="28">
        <v>7765.0</v>
      </c>
      <c r="AD39" s="13"/>
      <c r="AE39" s="13"/>
      <c r="AF39" s="13"/>
      <c r="AG39" s="13"/>
      <c r="AH39" s="13"/>
      <c r="AI39" s="13"/>
      <c r="AJ39" s="13"/>
      <c r="AK39" s="13"/>
      <c r="AL39" s="13"/>
    </row>
    <row r="40" ht="15.75" customHeight="1">
      <c r="A40" s="26">
        <v>20203.0</v>
      </c>
      <c r="B40" s="27" t="s">
        <v>55</v>
      </c>
      <c r="C40" s="28">
        <v>2032.0</v>
      </c>
      <c r="D40" s="28">
        <v>1406.0</v>
      </c>
      <c r="E40" s="28">
        <v>0.0</v>
      </c>
      <c r="F40" s="28">
        <v>2.0</v>
      </c>
      <c r="G40" s="28">
        <v>20.0</v>
      </c>
      <c r="H40" s="28">
        <v>604.0</v>
      </c>
      <c r="I40" s="28">
        <v>2631.0</v>
      </c>
      <c r="J40" s="28">
        <v>1962.0</v>
      </c>
      <c r="K40" s="28">
        <v>5.0</v>
      </c>
      <c r="L40" s="28">
        <v>11.0</v>
      </c>
      <c r="M40" s="28">
        <v>49.0</v>
      </c>
      <c r="N40" s="28">
        <v>604.0</v>
      </c>
      <c r="O40" s="29">
        <f t="shared" ref="O40:T40" si="41">ROUND(C40 + ((2016-2012)*(I40-C40))/(2024-2012),0)</f>
        <v>2232</v>
      </c>
      <c r="P40" s="30">
        <f t="shared" si="41"/>
        <v>1591</v>
      </c>
      <c r="Q40" s="30">
        <f t="shared" si="41"/>
        <v>2</v>
      </c>
      <c r="R40" s="30">
        <f t="shared" si="41"/>
        <v>5</v>
      </c>
      <c r="S40" s="30">
        <f t="shared" si="41"/>
        <v>30</v>
      </c>
      <c r="T40" s="30">
        <f t="shared" si="41"/>
        <v>604</v>
      </c>
      <c r="U40" s="30">
        <v>1790.0</v>
      </c>
      <c r="V40" s="31">
        <f t="shared" si="3"/>
        <v>-199</v>
      </c>
      <c r="W40" s="31">
        <f t="shared" si="4"/>
        <v>0</v>
      </c>
      <c r="X40" s="32">
        <f t="shared" si="5"/>
        <v>2431</v>
      </c>
      <c r="Y40" s="31">
        <v>87.99999952316284</v>
      </c>
      <c r="Z40" s="33"/>
      <c r="AA40" s="28">
        <v>2215.0</v>
      </c>
      <c r="AB40" s="30">
        <f t="shared" si="7"/>
        <v>2466</v>
      </c>
      <c r="AC40" s="28">
        <v>2967.0</v>
      </c>
      <c r="AD40" s="13"/>
      <c r="AE40" s="13"/>
      <c r="AF40" s="13"/>
      <c r="AG40" s="13"/>
      <c r="AH40" s="13"/>
      <c r="AI40" s="13"/>
      <c r="AJ40" s="13"/>
      <c r="AK40" s="13"/>
      <c r="AL40" s="13"/>
    </row>
    <row r="41" ht="15.75" customHeight="1">
      <c r="A41" s="34">
        <v>20204.0</v>
      </c>
      <c r="B41" s="35" t="s">
        <v>56</v>
      </c>
      <c r="C41" s="28">
        <v>3297.0</v>
      </c>
      <c r="D41" s="28">
        <v>2315.0</v>
      </c>
      <c r="E41" s="28">
        <v>8.0</v>
      </c>
      <c r="F41" s="28">
        <v>6.0</v>
      </c>
      <c r="G41" s="28">
        <v>30.0</v>
      </c>
      <c r="H41" s="28">
        <v>938.0</v>
      </c>
      <c r="I41" s="28">
        <v>3956.0</v>
      </c>
      <c r="J41" s="28">
        <v>3045.0</v>
      </c>
      <c r="K41" s="28">
        <v>6.0</v>
      </c>
      <c r="L41" s="28">
        <v>12.0</v>
      </c>
      <c r="M41" s="28">
        <v>21.0</v>
      </c>
      <c r="N41" s="28">
        <v>872.0</v>
      </c>
      <c r="O41" s="29">
        <f t="shared" ref="O41:T41" si="42">ROUND(C41 + ((2016-2012)*(I41-C41))/(2024-2012),0)</f>
        <v>3517</v>
      </c>
      <c r="P41" s="36">
        <f t="shared" si="42"/>
        <v>2558</v>
      </c>
      <c r="Q41" s="36">
        <f t="shared" si="42"/>
        <v>7</v>
      </c>
      <c r="R41" s="36">
        <f t="shared" si="42"/>
        <v>8</v>
      </c>
      <c r="S41" s="36">
        <f t="shared" si="42"/>
        <v>27</v>
      </c>
      <c r="T41" s="36">
        <f t="shared" si="42"/>
        <v>916</v>
      </c>
      <c r="U41" s="36">
        <v>2613.0</v>
      </c>
      <c r="V41" s="31">
        <f t="shared" si="3"/>
        <v>-55</v>
      </c>
      <c r="W41" s="31">
        <f t="shared" si="4"/>
        <v>0</v>
      </c>
      <c r="X41" s="32">
        <f t="shared" si="5"/>
        <v>3571</v>
      </c>
      <c r="Y41" s="31">
        <v>93.00000220537186</v>
      </c>
      <c r="Z41" s="33"/>
      <c r="AA41" s="28">
        <v>3702.0</v>
      </c>
      <c r="AB41" s="36">
        <f t="shared" si="7"/>
        <v>4150</v>
      </c>
      <c r="AC41" s="28">
        <v>5045.0</v>
      </c>
      <c r="AD41" s="13"/>
      <c r="AE41" s="13"/>
      <c r="AF41" s="13"/>
      <c r="AG41" s="13"/>
      <c r="AH41" s="13"/>
      <c r="AI41" s="13"/>
      <c r="AJ41" s="13"/>
      <c r="AK41" s="13"/>
      <c r="AL41" s="13"/>
    </row>
    <row r="42" ht="15.75" customHeight="1">
      <c r="A42" s="26">
        <v>20205.0</v>
      </c>
      <c r="B42" s="27" t="s">
        <v>57</v>
      </c>
      <c r="C42" s="28">
        <v>3797.0</v>
      </c>
      <c r="D42" s="28">
        <v>2553.0</v>
      </c>
      <c r="E42" s="28">
        <v>10.0</v>
      </c>
      <c r="F42" s="28">
        <v>3.0</v>
      </c>
      <c r="G42" s="28">
        <v>33.0</v>
      </c>
      <c r="H42" s="28">
        <v>1198.0</v>
      </c>
      <c r="I42" s="28">
        <v>4479.0</v>
      </c>
      <c r="J42" s="28">
        <v>3568.0</v>
      </c>
      <c r="K42" s="28">
        <v>8.0</v>
      </c>
      <c r="L42" s="28">
        <v>27.0</v>
      </c>
      <c r="M42" s="28">
        <v>42.0</v>
      </c>
      <c r="N42" s="28">
        <v>834.0</v>
      </c>
      <c r="O42" s="29">
        <f t="shared" ref="O42:T42" si="43">ROUND(C42 + ((2016-2012)*(I42-C42))/(2024-2012),0)</f>
        <v>4024</v>
      </c>
      <c r="P42" s="30">
        <f t="shared" si="43"/>
        <v>2891</v>
      </c>
      <c r="Q42" s="30">
        <f t="shared" si="43"/>
        <v>9</v>
      </c>
      <c r="R42" s="30">
        <f t="shared" si="43"/>
        <v>11</v>
      </c>
      <c r="S42" s="30">
        <f t="shared" si="43"/>
        <v>36</v>
      </c>
      <c r="T42" s="30">
        <f t="shared" si="43"/>
        <v>1077</v>
      </c>
      <c r="U42" s="30">
        <v>2794.0</v>
      </c>
      <c r="V42" s="31">
        <f t="shared" si="3"/>
        <v>97</v>
      </c>
      <c r="W42" s="31">
        <f t="shared" si="4"/>
        <v>97</v>
      </c>
      <c r="X42" s="32">
        <f t="shared" si="5"/>
        <v>4024</v>
      </c>
      <c r="Y42" s="31">
        <v>54.00000140070915</v>
      </c>
      <c r="Z42" s="33"/>
      <c r="AA42" s="28">
        <v>4125.0</v>
      </c>
      <c r="AB42" s="30">
        <f t="shared" si="7"/>
        <v>4618</v>
      </c>
      <c r="AC42" s="28">
        <v>5604.0</v>
      </c>
      <c r="AD42" s="13"/>
      <c r="AE42" s="13"/>
      <c r="AF42" s="13"/>
      <c r="AG42" s="13"/>
      <c r="AH42" s="13"/>
      <c r="AI42" s="13"/>
      <c r="AJ42" s="13"/>
      <c r="AK42" s="13"/>
      <c r="AL42" s="13"/>
    </row>
    <row r="43" ht="15.75" customHeight="1">
      <c r="A43" s="34">
        <v>20206.0</v>
      </c>
      <c r="B43" s="35" t="s">
        <v>58</v>
      </c>
      <c r="C43" s="28">
        <v>1662.0</v>
      </c>
      <c r="D43" s="28">
        <v>1357.0</v>
      </c>
      <c r="E43" s="28">
        <v>4.0</v>
      </c>
      <c r="F43" s="28">
        <v>2.0</v>
      </c>
      <c r="G43" s="28">
        <v>6.0</v>
      </c>
      <c r="H43" s="28">
        <v>293.0</v>
      </c>
      <c r="I43" s="28">
        <v>2509.0</v>
      </c>
      <c r="J43" s="28">
        <v>2120.0</v>
      </c>
      <c r="K43" s="28">
        <v>3.0</v>
      </c>
      <c r="L43" s="28">
        <v>3.0</v>
      </c>
      <c r="M43" s="28">
        <v>30.0</v>
      </c>
      <c r="N43" s="28">
        <v>353.0</v>
      </c>
      <c r="O43" s="29">
        <f t="shared" ref="O43:T43" si="44">ROUND(C43 + ((2016-2012)*(I43-C43))/(2024-2012),0)</f>
        <v>1944</v>
      </c>
      <c r="P43" s="36">
        <f t="shared" si="44"/>
        <v>1611</v>
      </c>
      <c r="Q43" s="36">
        <f t="shared" si="44"/>
        <v>4</v>
      </c>
      <c r="R43" s="36">
        <f t="shared" si="44"/>
        <v>2</v>
      </c>
      <c r="S43" s="36">
        <f t="shared" si="44"/>
        <v>14</v>
      </c>
      <c r="T43" s="36">
        <f t="shared" si="44"/>
        <v>313</v>
      </c>
      <c r="U43" s="36">
        <v>1293.0</v>
      </c>
      <c r="V43" s="31">
        <f t="shared" si="3"/>
        <v>318</v>
      </c>
      <c r="W43" s="31">
        <f t="shared" si="4"/>
        <v>318</v>
      </c>
      <c r="X43" s="32">
        <f t="shared" si="5"/>
        <v>1944</v>
      </c>
      <c r="Y43" s="31">
        <v>46.99999839067459</v>
      </c>
      <c r="Z43" s="33"/>
      <c r="AA43" s="28">
        <v>1803.0</v>
      </c>
      <c r="AB43" s="36">
        <f t="shared" si="7"/>
        <v>2189</v>
      </c>
      <c r="AC43" s="28">
        <v>2960.0</v>
      </c>
      <c r="AD43" s="13"/>
      <c r="AE43" s="13"/>
      <c r="AF43" s="13"/>
      <c r="AG43" s="13"/>
      <c r="AH43" s="13"/>
      <c r="AI43" s="13"/>
      <c r="AJ43" s="13"/>
      <c r="AK43" s="13"/>
      <c r="AL43" s="13"/>
    </row>
    <row r="44" ht="15.75" customHeight="1">
      <c r="A44" s="26">
        <v>20301.0</v>
      </c>
      <c r="B44" s="27" t="s">
        <v>59</v>
      </c>
      <c r="C44" s="28">
        <v>3740.0</v>
      </c>
      <c r="D44" s="28">
        <v>1917.0</v>
      </c>
      <c r="E44" s="28">
        <v>8.0</v>
      </c>
      <c r="F44" s="28">
        <v>71.0</v>
      </c>
      <c r="G44" s="28">
        <v>36.0</v>
      </c>
      <c r="H44" s="28">
        <v>1708.0</v>
      </c>
      <c r="I44" s="28">
        <v>5244.0</v>
      </c>
      <c r="J44" s="28">
        <v>3709.0</v>
      </c>
      <c r="K44" s="28">
        <v>17.0</v>
      </c>
      <c r="L44" s="28">
        <v>63.0</v>
      </c>
      <c r="M44" s="28">
        <v>62.0</v>
      </c>
      <c r="N44" s="28">
        <v>1393.0</v>
      </c>
      <c r="O44" s="29">
        <f t="shared" ref="O44:T44" si="45">ROUND(C44 + ((2016-2012)*(I44-C44))/(2024-2012),0)</f>
        <v>4241</v>
      </c>
      <c r="P44" s="30">
        <f t="shared" si="45"/>
        <v>2514</v>
      </c>
      <c r="Q44" s="30">
        <f t="shared" si="45"/>
        <v>11</v>
      </c>
      <c r="R44" s="30">
        <f t="shared" si="45"/>
        <v>68</v>
      </c>
      <c r="S44" s="30">
        <f t="shared" si="45"/>
        <v>45</v>
      </c>
      <c r="T44" s="30">
        <f t="shared" si="45"/>
        <v>1603</v>
      </c>
      <c r="U44" s="30">
        <v>2959.0</v>
      </c>
      <c r="V44" s="31">
        <f t="shared" si="3"/>
        <v>-445</v>
      </c>
      <c r="W44" s="31">
        <f t="shared" si="4"/>
        <v>0</v>
      </c>
      <c r="X44" s="32">
        <f t="shared" si="5"/>
        <v>4686</v>
      </c>
      <c r="Y44" s="31">
        <v>68.9999982714653</v>
      </c>
      <c r="Z44" s="33"/>
      <c r="AA44" s="28">
        <v>4355.0</v>
      </c>
      <c r="AB44" s="30">
        <f t="shared" si="7"/>
        <v>5260</v>
      </c>
      <c r="AC44" s="28">
        <v>7070.0</v>
      </c>
      <c r="AD44" s="13"/>
      <c r="AE44" s="13"/>
      <c r="AF44" s="13"/>
      <c r="AG44" s="13"/>
      <c r="AH44" s="13"/>
      <c r="AI44" s="13"/>
      <c r="AJ44" s="13"/>
      <c r="AK44" s="13"/>
      <c r="AL44" s="13"/>
    </row>
    <row r="45" ht="15.75" customHeight="1">
      <c r="A45" s="34">
        <v>20302.0</v>
      </c>
      <c r="B45" s="35" t="s">
        <v>60</v>
      </c>
      <c r="C45" s="28">
        <v>4269.0</v>
      </c>
      <c r="D45" s="28">
        <v>1512.0</v>
      </c>
      <c r="E45" s="28">
        <v>13.0</v>
      </c>
      <c r="F45" s="28">
        <v>91.0</v>
      </c>
      <c r="G45" s="28">
        <v>35.0</v>
      </c>
      <c r="H45" s="28">
        <v>2618.0</v>
      </c>
      <c r="I45" s="28">
        <v>5233.0</v>
      </c>
      <c r="J45" s="28">
        <v>3745.0</v>
      </c>
      <c r="K45" s="28">
        <v>17.0</v>
      </c>
      <c r="L45" s="28">
        <v>186.0</v>
      </c>
      <c r="M45" s="28">
        <v>52.0</v>
      </c>
      <c r="N45" s="28">
        <v>1233.0</v>
      </c>
      <c r="O45" s="29">
        <f t="shared" ref="O45:T45" si="46">ROUND(C45 + ((2016-2012)*(I45-C45))/(2024-2012),0)</f>
        <v>4590</v>
      </c>
      <c r="P45" s="36">
        <f t="shared" si="46"/>
        <v>2256</v>
      </c>
      <c r="Q45" s="36">
        <f t="shared" si="46"/>
        <v>14</v>
      </c>
      <c r="R45" s="36">
        <f t="shared" si="46"/>
        <v>123</v>
      </c>
      <c r="S45" s="36">
        <f t="shared" si="46"/>
        <v>41</v>
      </c>
      <c r="T45" s="36">
        <f t="shared" si="46"/>
        <v>2156</v>
      </c>
      <c r="U45" s="36">
        <v>3381.0</v>
      </c>
      <c r="V45" s="31">
        <f t="shared" si="3"/>
        <v>-1125</v>
      </c>
      <c r="W45" s="31">
        <f t="shared" si="4"/>
        <v>0</v>
      </c>
      <c r="X45" s="32">
        <f t="shared" si="5"/>
        <v>5715</v>
      </c>
      <c r="Y45" s="31">
        <v>50.00000074505806</v>
      </c>
      <c r="Z45" s="33"/>
      <c r="AA45" s="28">
        <v>4483.0</v>
      </c>
      <c r="AB45" s="36">
        <f t="shared" si="7"/>
        <v>5301</v>
      </c>
      <c r="AC45" s="28">
        <v>6936.0</v>
      </c>
      <c r="AD45" s="13"/>
      <c r="AE45" s="13"/>
      <c r="AF45" s="13"/>
      <c r="AG45" s="13"/>
      <c r="AH45" s="13"/>
      <c r="AI45" s="13"/>
      <c r="AJ45" s="13"/>
      <c r="AK45" s="13"/>
      <c r="AL45" s="13"/>
    </row>
    <row r="46" ht="15.75" customHeight="1">
      <c r="A46" s="26">
        <v>20303.0</v>
      </c>
      <c r="B46" s="27" t="s">
        <v>61</v>
      </c>
      <c r="C46" s="28">
        <v>3533.0</v>
      </c>
      <c r="D46" s="28">
        <v>635.0</v>
      </c>
      <c r="E46" s="28">
        <v>11.0</v>
      </c>
      <c r="F46" s="28">
        <v>195.0</v>
      </c>
      <c r="G46" s="28">
        <v>165.0</v>
      </c>
      <c r="H46" s="28">
        <v>2527.0</v>
      </c>
      <c r="I46" s="28">
        <v>5108.0</v>
      </c>
      <c r="J46" s="28">
        <v>2331.0</v>
      </c>
      <c r="K46" s="28">
        <v>5.0</v>
      </c>
      <c r="L46" s="28">
        <v>422.0</v>
      </c>
      <c r="M46" s="28">
        <v>99.0</v>
      </c>
      <c r="N46" s="28">
        <v>2251.0</v>
      </c>
      <c r="O46" s="29">
        <f t="shared" ref="O46:T46" si="47">ROUND(C46 + ((2016-2012)*(I46-C46))/(2024-2012),0)</f>
        <v>4058</v>
      </c>
      <c r="P46" s="30">
        <f t="shared" si="47"/>
        <v>1200</v>
      </c>
      <c r="Q46" s="30">
        <f t="shared" si="47"/>
        <v>9</v>
      </c>
      <c r="R46" s="30">
        <f t="shared" si="47"/>
        <v>271</v>
      </c>
      <c r="S46" s="30">
        <f t="shared" si="47"/>
        <v>143</v>
      </c>
      <c r="T46" s="30">
        <f t="shared" si="47"/>
        <v>2435</v>
      </c>
      <c r="U46" s="30">
        <v>1139.0</v>
      </c>
      <c r="V46" s="31">
        <f t="shared" si="3"/>
        <v>61</v>
      </c>
      <c r="W46" s="31">
        <f t="shared" si="4"/>
        <v>61</v>
      </c>
      <c r="X46" s="32">
        <f t="shared" si="5"/>
        <v>4058</v>
      </c>
      <c r="Y46" s="31">
        <v>37.00000047683716</v>
      </c>
      <c r="Z46" s="33"/>
      <c r="AA46" s="28">
        <v>4089.0</v>
      </c>
      <c r="AB46" s="30">
        <f t="shared" si="7"/>
        <v>5243</v>
      </c>
      <c r="AC46" s="28">
        <v>7552.0</v>
      </c>
      <c r="AD46" s="13"/>
      <c r="AE46" s="13"/>
      <c r="AF46" s="13"/>
      <c r="AG46" s="13"/>
      <c r="AH46" s="13"/>
      <c r="AI46" s="13"/>
      <c r="AJ46" s="13"/>
      <c r="AK46" s="13"/>
      <c r="AL46" s="13"/>
    </row>
    <row r="47" ht="15.75" customHeight="1">
      <c r="A47" s="34">
        <v>20304.0</v>
      </c>
      <c r="B47" s="35" t="s">
        <v>62</v>
      </c>
      <c r="C47" s="28">
        <v>1311.0</v>
      </c>
      <c r="D47" s="28">
        <v>481.0</v>
      </c>
      <c r="E47" s="28">
        <v>4.0</v>
      </c>
      <c r="F47" s="28">
        <v>36.0</v>
      </c>
      <c r="G47" s="28">
        <v>26.0</v>
      </c>
      <c r="H47" s="28">
        <v>764.0</v>
      </c>
      <c r="I47" s="28">
        <v>1930.0</v>
      </c>
      <c r="J47" s="28">
        <v>1514.0</v>
      </c>
      <c r="K47" s="28">
        <v>7.0</v>
      </c>
      <c r="L47" s="28">
        <v>29.0</v>
      </c>
      <c r="M47" s="28">
        <v>11.0</v>
      </c>
      <c r="N47" s="28">
        <v>369.0</v>
      </c>
      <c r="O47" s="29">
        <f t="shared" ref="O47:T47" si="48">ROUND(C47 + ((2016-2012)*(I47-C47))/(2024-2012),0)</f>
        <v>1517</v>
      </c>
      <c r="P47" s="36">
        <f t="shared" si="48"/>
        <v>825</v>
      </c>
      <c r="Q47" s="36">
        <f t="shared" si="48"/>
        <v>5</v>
      </c>
      <c r="R47" s="36">
        <f t="shared" si="48"/>
        <v>34</v>
      </c>
      <c r="S47" s="36">
        <f t="shared" si="48"/>
        <v>21</v>
      </c>
      <c r="T47" s="36">
        <f t="shared" si="48"/>
        <v>632</v>
      </c>
      <c r="U47" s="36">
        <v>962.0</v>
      </c>
      <c r="V47" s="31">
        <f t="shared" si="3"/>
        <v>-137</v>
      </c>
      <c r="W47" s="31">
        <f t="shared" si="4"/>
        <v>0</v>
      </c>
      <c r="X47" s="32">
        <f t="shared" si="5"/>
        <v>1654</v>
      </c>
      <c r="Y47" s="31">
        <v>35.999998450279236</v>
      </c>
      <c r="Z47" s="33"/>
      <c r="AA47" s="28">
        <v>1606.0</v>
      </c>
      <c r="AB47" s="36">
        <f t="shared" si="7"/>
        <v>1796</v>
      </c>
      <c r="AC47" s="28">
        <v>2177.0</v>
      </c>
      <c r="AD47" s="13"/>
      <c r="AE47" s="13"/>
      <c r="AF47" s="13"/>
      <c r="AG47" s="13"/>
      <c r="AH47" s="13"/>
      <c r="AI47" s="13"/>
      <c r="AJ47" s="13"/>
      <c r="AK47" s="13"/>
      <c r="AL47" s="13"/>
    </row>
    <row r="48" ht="15.75" customHeight="1">
      <c r="A48" s="26">
        <v>20305.0</v>
      </c>
      <c r="B48" s="27" t="s">
        <v>63</v>
      </c>
      <c r="C48" s="28">
        <v>1159.0</v>
      </c>
      <c r="D48" s="28">
        <v>348.0</v>
      </c>
      <c r="E48" s="28">
        <v>1.0</v>
      </c>
      <c r="F48" s="28">
        <v>70.0</v>
      </c>
      <c r="G48" s="28">
        <v>69.0</v>
      </c>
      <c r="H48" s="28">
        <v>671.0</v>
      </c>
      <c r="I48" s="28">
        <v>1742.0</v>
      </c>
      <c r="J48" s="28">
        <v>459.0</v>
      </c>
      <c r="K48" s="28">
        <v>2.0</v>
      </c>
      <c r="L48" s="28">
        <v>236.0</v>
      </c>
      <c r="M48" s="28">
        <v>67.0</v>
      </c>
      <c r="N48" s="28">
        <v>978.0</v>
      </c>
      <c r="O48" s="29">
        <f t="shared" ref="O48:T48" si="49">ROUND(C48 + ((2016-2012)*(I48-C48))/(2024-2012),0)</f>
        <v>1353</v>
      </c>
      <c r="P48" s="30">
        <f t="shared" si="49"/>
        <v>385</v>
      </c>
      <c r="Q48" s="30">
        <f t="shared" si="49"/>
        <v>1</v>
      </c>
      <c r="R48" s="30">
        <f t="shared" si="49"/>
        <v>125</v>
      </c>
      <c r="S48" s="30">
        <f t="shared" si="49"/>
        <v>68</v>
      </c>
      <c r="T48" s="30">
        <f t="shared" si="49"/>
        <v>773</v>
      </c>
      <c r="U48" s="38">
        <v>349.0</v>
      </c>
      <c r="V48" s="31">
        <f t="shared" si="3"/>
        <v>36</v>
      </c>
      <c r="W48" s="31">
        <f t="shared" si="4"/>
        <v>36</v>
      </c>
      <c r="X48" s="32">
        <f t="shared" si="5"/>
        <v>1352</v>
      </c>
      <c r="Y48" s="31">
        <v>127.00000405311584</v>
      </c>
      <c r="Z48" s="33"/>
      <c r="AA48" s="28">
        <v>1361.0</v>
      </c>
      <c r="AB48" s="30">
        <f t="shared" si="7"/>
        <v>1709</v>
      </c>
      <c r="AC48" s="28">
        <v>2405.0</v>
      </c>
      <c r="AD48" s="13"/>
      <c r="AE48" s="13"/>
      <c r="AF48" s="13"/>
      <c r="AG48" s="13"/>
      <c r="AH48" s="13"/>
      <c r="AI48" s="13"/>
      <c r="AJ48" s="13"/>
      <c r="AK48" s="13"/>
      <c r="AL48" s="13"/>
    </row>
    <row r="49" ht="15.75" customHeight="1">
      <c r="A49" s="34">
        <v>20306.0</v>
      </c>
      <c r="B49" s="35" t="s">
        <v>64</v>
      </c>
      <c r="C49" s="28">
        <v>1070.0</v>
      </c>
      <c r="D49" s="28">
        <v>663.0</v>
      </c>
      <c r="E49" s="28">
        <v>2.0</v>
      </c>
      <c r="F49" s="28">
        <v>7.0</v>
      </c>
      <c r="G49" s="28">
        <v>19.0</v>
      </c>
      <c r="H49" s="28">
        <v>379.0</v>
      </c>
      <c r="I49" s="28">
        <v>1463.0</v>
      </c>
      <c r="J49" s="28">
        <v>1000.0</v>
      </c>
      <c r="K49" s="28">
        <v>1.0</v>
      </c>
      <c r="L49" s="28">
        <v>66.0</v>
      </c>
      <c r="M49" s="28">
        <v>20.0</v>
      </c>
      <c r="N49" s="28">
        <v>376.0</v>
      </c>
      <c r="O49" s="29">
        <f t="shared" ref="O49:T49" si="50">ROUND(C49 + ((2016-2012)*(I49-C49))/(2024-2012),0)</f>
        <v>1201</v>
      </c>
      <c r="P49" s="36">
        <f t="shared" si="50"/>
        <v>775</v>
      </c>
      <c r="Q49" s="36">
        <f t="shared" si="50"/>
        <v>2</v>
      </c>
      <c r="R49" s="36">
        <f t="shared" si="50"/>
        <v>27</v>
      </c>
      <c r="S49" s="36">
        <f t="shared" si="50"/>
        <v>19</v>
      </c>
      <c r="T49" s="36">
        <f t="shared" si="50"/>
        <v>378</v>
      </c>
      <c r="U49" s="37">
        <v>375.0</v>
      </c>
      <c r="V49" s="31">
        <f t="shared" si="3"/>
        <v>400</v>
      </c>
      <c r="W49" s="31">
        <f t="shared" si="4"/>
        <v>400</v>
      </c>
      <c r="X49" s="32">
        <f t="shared" si="5"/>
        <v>1201</v>
      </c>
      <c r="Y49" s="31">
        <v>92.00000017881393</v>
      </c>
      <c r="Z49" s="33"/>
      <c r="AA49" s="28">
        <v>1157.0</v>
      </c>
      <c r="AB49" s="36">
        <f t="shared" si="7"/>
        <v>1282</v>
      </c>
      <c r="AC49" s="28">
        <v>1531.0</v>
      </c>
      <c r="AD49" s="13"/>
      <c r="AE49" s="13"/>
      <c r="AF49" s="13"/>
      <c r="AG49" s="13"/>
      <c r="AH49" s="13"/>
      <c r="AI49" s="13"/>
      <c r="AJ49" s="13"/>
      <c r="AK49" s="13"/>
      <c r="AL49" s="13"/>
    </row>
    <row r="50" ht="15.75" customHeight="1">
      <c r="A50" s="26">
        <v>20307.0</v>
      </c>
      <c r="B50" s="27" t="s">
        <v>65</v>
      </c>
      <c r="C50" s="28">
        <v>289.0</v>
      </c>
      <c r="D50" s="28">
        <v>108.0</v>
      </c>
      <c r="E50" s="28">
        <v>0.0</v>
      </c>
      <c r="F50" s="28">
        <v>13.0</v>
      </c>
      <c r="G50" s="28">
        <v>1.0</v>
      </c>
      <c r="H50" s="28">
        <v>167.0</v>
      </c>
      <c r="I50" s="28">
        <v>1213.0</v>
      </c>
      <c r="J50" s="28">
        <v>826.0</v>
      </c>
      <c r="K50" s="28">
        <v>5.0</v>
      </c>
      <c r="L50" s="28">
        <v>16.0</v>
      </c>
      <c r="M50" s="28">
        <v>6.0</v>
      </c>
      <c r="N50" s="28">
        <v>360.0</v>
      </c>
      <c r="O50" s="29">
        <f t="shared" ref="O50:T50" si="51">ROUND(C50 + ((2016-2012)*(I50-C50))/(2024-2012),0)</f>
        <v>597</v>
      </c>
      <c r="P50" s="30">
        <f t="shared" si="51"/>
        <v>347</v>
      </c>
      <c r="Q50" s="30">
        <f t="shared" si="51"/>
        <v>2</v>
      </c>
      <c r="R50" s="30">
        <f t="shared" si="51"/>
        <v>14</v>
      </c>
      <c r="S50" s="30">
        <f t="shared" si="51"/>
        <v>3</v>
      </c>
      <c r="T50" s="30">
        <f t="shared" si="51"/>
        <v>231</v>
      </c>
      <c r="U50" s="38">
        <v>101.0</v>
      </c>
      <c r="V50" s="31">
        <f t="shared" si="3"/>
        <v>246</v>
      </c>
      <c r="W50" s="31">
        <f t="shared" si="4"/>
        <v>246</v>
      </c>
      <c r="X50" s="32">
        <f t="shared" si="5"/>
        <v>597</v>
      </c>
      <c r="Y50" s="31">
        <v>39.000000804662704</v>
      </c>
      <c r="Z50" s="33"/>
      <c r="AA50" s="28">
        <v>290.0</v>
      </c>
      <c r="AB50" s="30">
        <f t="shared" si="7"/>
        <v>685</v>
      </c>
      <c r="AC50" s="28">
        <v>1476.0</v>
      </c>
      <c r="AD50" s="13"/>
      <c r="AE50" s="13"/>
      <c r="AF50" s="13"/>
      <c r="AG50" s="13"/>
      <c r="AH50" s="13"/>
      <c r="AI50" s="13"/>
      <c r="AJ50" s="13"/>
      <c r="AK50" s="13"/>
      <c r="AL50" s="13"/>
    </row>
    <row r="51" ht="15.75" customHeight="1">
      <c r="A51" s="34">
        <v>20308.0</v>
      </c>
      <c r="B51" s="35" t="s">
        <v>66</v>
      </c>
      <c r="C51" s="28">
        <v>2790.0</v>
      </c>
      <c r="D51" s="28">
        <v>364.0</v>
      </c>
      <c r="E51" s="28">
        <v>2.0</v>
      </c>
      <c r="F51" s="28">
        <v>37.0</v>
      </c>
      <c r="G51" s="28">
        <v>8.0</v>
      </c>
      <c r="H51" s="28">
        <v>2379.0</v>
      </c>
      <c r="I51" s="28">
        <v>3569.0</v>
      </c>
      <c r="J51" s="28">
        <v>1944.0</v>
      </c>
      <c r="K51" s="28">
        <v>5.0</v>
      </c>
      <c r="L51" s="28">
        <v>125.0</v>
      </c>
      <c r="M51" s="28">
        <v>33.0</v>
      </c>
      <c r="N51" s="28">
        <v>1462.0</v>
      </c>
      <c r="O51" s="29">
        <f t="shared" ref="O51:T51" si="52">ROUND(C51 + ((2016-2012)*(I51-C51))/(2024-2012),0)</f>
        <v>3050</v>
      </c>
      <c r="P51" s="36">
        <f t="shared" si="52"/>
        <v>891</v>
      </c>
      <c r="Q51" s="36">
        <f t="shared" si="52"/>
        <v>3</v>
      </c>
      <c r="R51" s="36">
        <f t="shared" si="52"/>
        <v>66</v>
      </c>
      <c r="S51" s="36">
        <f t="shared" si="52"/>
        <v>16</v>
      </c>
      <c r="T51" s="36">
        <f t="shared" si="52"/>
        <v>2073</v>
      </c>
      <c r="U51" s="36">
        <v>418.0</v>
      </c>
      <c r="V51" s="31">
        <f t="shared" si="3"/>
        <v>473</v>
      </c>
      <c r="W51" s="31">
        <f t="shared" si="4"/>
        <v>473</v>
      </c>
      <c r="X51" s="32">
        <f t="shared" si="5"/>
        <v>3049</v>
      </c>
      <c r="Y51" s="31">
        <v>68.9999982714653</v>
      </c>
      <c r="Z51" s="33"/>
      <c r="AA51" s="28">
        <v>3263.0</v>
      </c>
      <c r="AB51" s="36">
        <f t="shared" si="7"/>
        <v>3776</v>
      </c>
      <c r="AC51" s="28">
        <v>4803.0</v>
      </c>
      <c r="AD51" s="13"/>
      <c r="AE51" s="13"/>
      <c r="AF51" s="13"/>
      <c r="AG51" s="13"/>
      <c r="AH51" s="13"/>
      <c r="AI51" s="13"/>
      <c r="AJ51" s="13"/>
      <c r="AK51" s="13"/>
      <c r="AL51" s="13"/>
    </row>
    <row r="52" ht="15.75" customHeight="1">
      <c r="A52" s="26">
        <v>20401.0</v>
      </c>
      <c r="B52" s="27" t="s">
        <v>67</v>
      </c>
      <c r="C52" s="28">
        <v>5011.0</v>
      </c>
      <c r="D52" s="28">
        <v>2707.0</v>
      </c>
      <c r="E52" s="28">
        <v>3.0</v>
      </c>
      <c r="F52" s="28">
        <v>13.0</v>
      </c>
      <c r="G52" s="28">
        <v>72.0</v>
      </c>
      <c r="H52" s="28">
        <v>2216.0</v>
      </c>
      <c r="I52" s="28">
        <v>6604.0</v>
      </c>
      <c r="J52" s="28">
        <v>4592.0</v>
      </c>
      <c r="K52" s="28">
        <v>8.0</v>
      </c>
      <c r="L52" s="28">
        <v>27.0</v>
      </c>
      <c r="M52" s="28">
        <v>38.0</v>
      </c>
      <c r="N52" s="28">
        <v>1939.0</v>
      </c>
      <c r="O52" s="29">
        <f t="shared" ref="O52:T52" si="53">ROUND(C52 + ((2016-2012)*(I52-C52))/(2024-2012),0)</f>
        <v>5542</v>
      </c>
      <c r="P52" s="30">
        <f t="shared" si="53"/>
        <v>3335</v>
      </c>
      <c r="Q52" s="30">
        <f t="shared" si="53"/>
        <v>5</v>
      </c>
      <c r="R52" s="30">
        <f t="shared" si="53"/>
        <v>18</v>
      </c>
      <c r="S52" s="30">
        <f t="shared" si="53"/>
        <v>61</v>
      </c>
      <c r="T52" s="30">
        <f t="shared" si="53"/>
        <v>2124</v>
      </c>
      <c r="U52" s="30">
        <v>5268.0</v>
      </c>
      <c r="V52" s="31">
        <f t="shared" si="3"/>
        <v>-1933</v>
      </c>
      <c r="W52" s="31">
        <f t="shared" si="4"/>
        <v>0</v>
      </c>
      <c r="X52" s="32">
        <f t="shared" si="5"/>
        <v>7476</v>
      </c>
      <c r="Y52" s="31">
        <v>18.99999938905239</v>
      </c>
      <c r="Z52" s="33"/>
      <c r="AA52" s="28">
        <v>5402.0</v>
      </c>
      <c r="AB52" s="30">
        <f t="shared" si="7"/>
        <v>6292</v>
      </c>
      <c r="AC52" s="28">
        <v>8072.0</v>
      </c>
      <c r="AD52" s="13"/>
      <c r="AE52" s="13"/>
      <c r="AF52" s="13"/>
      <c r="AG52" s="13"/>
      <c r="AH52" s="13"/>
      <c r="AI52" s="13"/>
      <c r="AJ52" s="13"/>
      <c r="AK52" s="13"/>
      <c r="AL52" s="13"/>
    </row>
    <row r="53" ht="15.75" customHeight="1">
      <c r="A53" s="34">
        <v>20402.0</v>
      </c>
      <c r="B53" s="35" t="s">
        <v>68</v>
      </c>
      <c r="C53" s="28">
        <v>6606.0</v>
      </c>
      <c r="D53" s="28">
        <v>3081.0</v>
      </c>
      <c r="E53" s="28">
        <v>27.0</v>
      </c>
      <c r="F53" s="28">
        <v>12.0</v>
      </c>
      <c r="G53" s="28">
        <v>63.0</v>
      </c>
      <c r="H53" s="28">
        <v>3423.0</v>
      </c>
      <c r="I53" s="28">
        <v>8013.0</v>
      </c>
      <c r="J53" s="28">
        <v>5543.0</v>
      </c>
      <c r="K53" s="28">
        <v>18.0</v>
      </c>
      <c r="L53" s="28">
        <v>42.0</v>
      </c>
      <c r="M53" s="28">
        <v>45.0</v>
      </c>
      <c r="N53" s="28">
        <v>2365.0</v>
      </c>
      <c r="O53" s="29">
        <f t="shared" ref="O53:T53" si="54">ROUND(C53 + ((2016-2012)*(I53-C53))/(2024-2012),0)</f>
        <v>7075</v>
      </c>
      <c r="P53" s="36">
        <f t="shared" si="54"/>
        <v>3902</v>
      </c>
      <c r="Q53" s="36">
        <f t="shared" si="54"/>
        <v>24</v>
      </c>
      <c r="R53" s="36">
        <f t="shared" si="54"/>
        <v>22</v>
      </c>
      <c r="S53" s="36">
        <f t="shared" si="54"/>
        <v>57</v>
      </c>
      <c r="T53" s="36">
        <f t="shared" si="54"/>
        <v>3070</v>
      </c>
      <c r="U53" s="36">
        <v>3351.0</v>
      </c>
      <c r="V53" s="31">
        <f t="shared" si="3"/>
        <v>551</v>
      </c>
      <c r="W53" s="31">
        <f t="shared" si="4"/>
        <v>551</v>
      </c>
      <c r="X53" s="32">
        <f t="shared" si="5"/>
        <v>7075</v>
      </c>
      <c r="Y53" s="31">
        <v>83.99999886751175</v>
      </c>
      <c r="Z53" s="33"/>
      <c r="AA53" s="28">
        <v>7467.0</v>
      </c>
      <c r="AB53" s="36">
        <f t="shared" si="7"/>
        <v>8096</v>
      </c>
      <c r="AC53" s="28">
        <v>9353.0</v>
      </c>
      <c r="AD53" s="13"/>
      <c r="AE53" s="13"/>
      <c r="AF53" s="13"/>
      <c r="AG53" s="13"/>
      <c r="AH53" s="13"/>
      <c r="AI53" s="13"/>
      <c r="AJ53" s="13"/>
      <c r="AK53" s="13"/>
      <c r="AL53" s="13"/>
    </row>
    <row r="54" ht="15.75" customHeight="1">
      <c r="A54" s="26">
        <v>20403.0</v>
      </c>
      <c r="B54" s="27" t="s">
        <v>69</v>
      </c>
      <c r="C54" s="28">
        <v>5347.0</v>
      </c>
      <c r="D54" s="28">
        <v>2774.0</v>
      </c>
      <c r="E54" s="28">
        <v>10.0</v>
      </c>
      <c r="F54" s="28">
        <v>27.0</v>
      </c>
      <c r="G54" s="28">
        <v>74.0</v>
      </c>
      <c r="H54" s="28">
        <v>2462.0</v>
      </c>
      <c r="I54" s="28">
        <v>7065.0</v>
      </c>
      <c r="J54" s="28">
        <v>5324.0</v>
      </c>
      <c r="K54" s="28">
        <v>19.0</v>
      </c>
      <c r="L54" s="28">
        <v>48.0</v>
      </c>
      <c r="M54" s="28">
        <v>42.0</v>
      </c>
      <c r="N54" s="28">
        <v>1632.0</v>
      </c>
      <c r="O54" s="29">
        <f t="shared" ref="O54:T54" si="55">ROUND(C54 + ((2016-2012)*(I54-C54))/(2024-2012),0)</f>
        <v>5920</v>
      </c>
      <c r="P54" s="30">
        <f t="shared" si="55"/>
        <v>3624</v>
      </c>
      <c r="Q54" s="30">
        <f t="shared" si="55"/>
        <v>13</v>
      </c>
      <c r="R54" s="30">
        <f t="shared" si="55"/>
        <v>34</v>
      </c>
      <c r="S54" s="30">
        <f t="shared" si="55"/>
        <v>63</v>
      </c>
      <c r="T54" s="30">
        <f t="shared" si="55"/>
        <v>2185</v>
      </c>
      <c r="U54" s="30">
        <v>3526.0</v>
      </c>
      <c r="V54" s="31">
        <f t="shared" si="3"/>
        <v>98</v>
      </c>
      <c r="W54" s="31">
        <f t="shared" si="4"/>
        <v>98</v>
      </c>
      <c r="X54" s="32">
        <f t="shared" si="5"/>
        <v>5919</v>
      </c>
      <c r="Y54" s="31">
        <v>96.00000083446503</v>
      </c>
      <c r="Z54" s="33"/>
      <c r="AA54" s="28">
        <v>5667.0</v>
      </c>
      <c r="AB54" s="30">
        <f t="shared" si="7"/>
        <v>6510</v>
      </c>
      <c r="AC54" s="28">
        <v>8196.0</v>
      </c>
      <c r="AD54" s="13"/>
      <c r="AE54" s="13"/>
      <c r="AF54" s="13"/>
      <c r="AG54" s="13"/>
      <c r="AH54" s="13"/>
      <c r="AI54" s="13"/>
      <c r="AJ54" s="13"/>
      <c r="AK54" s="13"/>
      <c r="AL54" s="13"/>
    </row>
    <row r="55" ht="15.75" customHeight="1">
      <c r="A55" s="34">
        <v>20404.0</v>
      </c>
      <c r="B55" s="35" t="s">
        <v>70</v>
      </c>
      <c r="C55" s="28">
        <v>2108.0</v>
      </c>
      <c r="D55" s="28">
        <v>1204.0</v>
      </c>
      <c r="E55" s="28">
        <v>1.0</v>
      </c>
      <c r="F55" s="28">
        <v>20.0</v>
      </c>
      <c r="G55" s="28">
        <v>56.0</v>
      </c>
      <c r="H55" s="28">
        <v>827.0</v>
      </c>
      <c r="I55" s="28">
        <v>2527.0</v>
      </c>
      <c r="J55" s="28">
        <v>1783.0</v>
      </c>
      <c r="K55" s="28">
        <v>7.0</v>
      </c>
      <c r="L55" s="28">
        <v>14.0</v>
      </c>
      <c r="M55" s="28">
        <v>16.0</v>
      </c>
      <c r="N55" s="28">
        <v>707.0</v>
      </c>
      <c r="O55" s="29">
        <f t="shared" ref="O55:T55" si="56">ROUND(C55 + ((2016-2012)*(I55-C55))/(2024-2012),0)</f>
        <v>2248</v>
      </c>
      <c r="P55" s="36">
        <f t="shared" si="56"/>
        <v>1397</v>
      </c>
      <c r="Q55" s="36">
        <f t="shared" si="56"/>
        <v>3</v>
      </c>
      <c r="R55" s="36">
        <f t="shared" si="56"/>
        <v>18</v>
      </c>
      <c r="S55" s="36">
        <f t="shared" si="56"/>
        <v>43</v>
      </c>
      <c r="T55" s="36">
        <f t="shared" si="56"/>
        <v>787</v>
      </c>
      <c r="U55" s="36">
        <v>1142.0</v>
      </c>
      <c r="V55" s="31">
        <f t="shared" si="3"/>
        <v>255</v>
      </c>
      <c r="W55" s="31">
        <f t="shared" si="4"/>
        <v>255</v>
      </c>
      <c r="X55" s="32">
        <f t="shared" si="5"/>
        <v>2248</v>
      </c>
      <c r="Y55" s="31">
        <v>82.99999684095383</v>
      </c>
      <c r="Z55" s="33"/>
      <c r="AA55" s="28">
        <v>2293.0</v>
      </c>
      <c r="AB55" s="36">
        <f t="shared" si="7"/>
        <v>2498</v>
      </c>
      <c r="AC55" s="28">
        <v>2907.0</v>
      </c>
      <c r="AD55" s="13"/>
      <c r="AE55" s="13"/>
      <c r="AF55" s="13"/>
      <c r="AG55" s="13"/>
      <c r="AH55" s="13"/>
      <c r="AI55" s="13"/>
      <c r="AJ55" s="13"/>
      <c r="AK55" s="13"/>
      <c r="AL55" s="13"/>
    </row>
    <row r="56" ht="15.75" customHeight="1">
      <c r="A56" s="26">
        <v>20405.0</v>
      </c>
      <c r="B56" s="27" t="s">
        <v>71</v>
      </c>
      <c r="C56" s="28">
        <v>3027.0</v>
      </c>
      <c r="D56" s="28">
        <v>1856.0</v>
      </c>
      <c r="E56" s="28">
        <v>12.0</v>
      </c>
      <c r="F56" s="28">
        <v>7.0</v>
      </c>
      <c r="G56" s="28">
        <v>72.0</v>
      </c>
      <c r="H56" s="28">
        <v>1080.0</v>
      </c>
      <c r="I56" s="28">
        <v>4116.0</v>
      </c>
      <c r="J56" s="28">
        <v>2870.0</v>
      </c>
      <c r="K56" s="28">
        <v>6.0</v>
      </c>
      <c r="L56" s="28">
        <v>27.0</v>
      </c>
      <c r="M56" s="28">
        <v>17.0</v>
      </c>
      <c r="N56" s="28">
        <v>1196.0</v>
      </c>
      <c r="O56" s="29">
        <f t="shared" ref="O56:T56" si="57">ROUND(C56 + ((2016-2012)*(I56-C56))/(2024-2012),0)</f>
        <v>3390</v>
      </c>
      <c r="P56" s="30">
        <f t="shared" si="57"/>
        <v>2194</v>
      </c>
      <c r="Q56" s="30">
        <f t="shared" si="57"/>
        <v>10</v>
      </c>
      <c r="R56" s="30">
        <f t="shared" si="57"/>
        <v>14</v>
      </c>
      <c r="S56" s="30">
        <f t="shared" si="57"/>
        <v>54</v>
      </c>
      <c r="T56" s="30">
        <f t="shared" si="57"/>
        <v>1119</v>
      </c>
      <c r="U56" s="30">
        <v>1905.0</v>
      </c>
      <c r="V56" s="31">
        <f t="shared" si="3"/>
        <v>289</v>
      </c>
      <c r="W56" s="31">
        <f t="shared" si="4"/>
        <v>289</v>
      </c>
      <c r="X56" s="32">
        <f t="shared" si="5"/>
        <v>3391</v>
      </c>
      <c r="Y56" s="31">
        <v>76.99999958276749</v>
      </c>
      <c r="Z56" s="33"/>
      <c r="AA56" s="28">
        <v>3279.0</v>
      </c>
      <c r="AB56" s="30">
        <f t="shared" si="7"/>
        <v>3747</v>
      </c>
      <c r="AC56" s="28">
        <v>4682.0</v>
      </c>
      <c r="AD56" s="13"/>
      <c r="AE56" s="13"/>
      <c r="AF56" s="13"/>
      <c r="AG56" s="13"/>
      <c r="AH56" s="13"/>
      <c r="AI56" s="13"/>
      <c r="AJ56" s="13"/>
      <c r="AK56" s="13"/>
      <c r="AL56" s="13"/>
    </row>
    <row r="57" ht="15.75" customHeight="1">
      <c r="A57" s="34">
        <v>20501.0</v>
      </c>
      <c r="B57" s="35" t="s">
        <v>72</v>
      </c>
      <c r="C57" s="28">
        <v>3938.0</v>
      </c>
      <c r="D57" s="28">
        <v>2437.0</v>
      </c>
      <c r="E57" s="28">
        <v>6.0</v>
      </c>
      <c r="F57" s="28">
        <v>3.0</v>
      </c>
      <c r="G57" s="28">
        <v>14.0</v>
      </c>
      <c r="H57" s="28">
        <v>1478.0</v>
      </c>
      <c r="I57" s="28">
        <v>6388.0</v>
      </c>
      <c r="J57" s="28">
        <v>4840.0</v>
      </c>
      <c r="K57" s="28">
        <v>19.0</v>
      </c>
      <c r="L57" s="28">
        <v>48.0</v>
      </c>
      <c r="M57" s="28">
        <v>19.0</v>
      </c>
      <c r="N57" s="28">
        <v>1462.0</v>
      </c>
      <c r="O57" s="29">
        <f t="shared" ref="O57:T57" si="58">ROUND(C57 + ((2016-2012)*(I57-C57))/(2024-2012),0)</f>
        <v>4755</v>
      </c>
      <c r="P57" s="36">
        <f t="shared" si="58"/>
        <v>3238</v>
      </c>
      <c r="Q57" s="36">
        <f t="shared" si="58"/>
        <v>10</v>
      </c>
      <c r="R57" s="36">
        <f t="shared" si="58"/>
        <v>18</v>
      </c>
      <c r="S57" s="36">
        <f t="shared" si="58"/>
        <v>16</v>
      </c>
      <c r="T57" s="36">
        <f t="shared" si="58"/>
        <v>1473</v>
      </c>
      <c r="U57" s="36">
        <v>2309.0</v>
      </c>
      <c r="V57" s="31">
        <f t="shared" si="3"/>
        <v>929</v>
      </c>
      <c r="W57" s="31">
        <f t="shared" si="4"/>
        <v>929</v>
      </c>
      <c r="X57" s="32">
        <f t="shared" si="5"/>
        <v>4755</v>
      </c>
      <c r="Y57" s="31">
        <v>109.99999940395355</v>
      </c>
      <c r="Z57" s="33"/>
      <c r="AA57" s="28">
        <v>4283.0</v>
      </c>
      <c r="AB57" s="36">
        <f t="shared" si="7"/>
        <v>5308</v>
      </c>
      <c r="AC57" s="28">
        <v>7359.0</v>
      </c>
      <c r="AD57" s="13"/>
      <c r="AE57" s="13"/>
      <c r="AF57" s="13"/>
      <c r="AG57" s="13"/>
      <c r="AH57" s="13"/>
      <c r="AI57" s="13"/>
      <c r="AJ57" s="13"/>
      <c r="AK57" s="13"/>
      <c r="AL57" s="13"/>
    </row>
    <row r="58" ht="15.75" customHeight="1">
      <c r="A58" s="26">
        <v>20502.0</v>
      </c>
      <c r="B58" s="27" t="s">
        <v>73</v>
      </c>
      <c r="C58" s="28">
        <v>2747.0</v>
      </c>
      <c r="D58" s="28">
        <v>1397.0</v>
      </c>
      <c r="E58" s="28">
        <v>113.0</v>
      </c>
      <c r="F58" s="28">
        <v>24.0</v>
      </c>
      <c r="G58" s="28">
        <v>28.0</v>
      </c>
      <c r="H58" s="28">
        <v>1185.0</v>
      </c>
      <c r="I58" s="28">
        <v>3494.0</v>
      </c>
      <c r="J58" s="28">
        <v>2635.0</v>
      </c>
      <c r="K58" s="28">
        <v>45.0</v>
      </c>
      <c r="L58" s="28">
        <v>41.0</v>
      </c>
      <c r="M58" s="28">
        <v>51.0</v>
      </c>
      <c r="N58" s="28">
        <v>722.0</v>
      </c>
      <c r="O58" s="29">
        <f t="shared" ref="O58:T58" si="59">ROUND(C58 + ((2016-2012)*(I58-C58))/(2024-2012),0)</f>
        <v>2996</v>
      </c>
      <c r="P58" s="30">
        <f t="shared" si="59"/>
        <v>1810</v>
      </c>
      <c r="Q58" s="30">
        <f t="shared" si="59"/>
        <v>90</v>
      </c>
      <c r="R58" s="30">
        <f t="shared" si="59"/>
        <v>30</v>
      </c>
      <c r="S58" s="30">
        <f t="shared" si="59"/>
        <v>36</v>
      </c>
      <c r="T58" s="30">
        <f t="shared" si="59"/>
        <v>1031</v>
      </c>
      <c r="U58" s="30">
        <v>1503.0</v>
      </c>
      <c r="V58" s="31">
        <f t="shared" si="3"/>
        <v>307</v>
      </c>
      <c r="W58" s="31">
        <f t="shared" si="4"/>
        <v>307</v>
      </c>
      <c r="X58" s="32">
        <f t="shared" si="5"/>
        <v>2997</v>
      </c>
      <c r="Y58" s="31">
        <v>98.9999994635582</v>
      </c>
      <c r="Z58" s="33"/>
      <c r="AA58" s="28">
        <v>2824.0</v>
      </c>
      <c r="AB58" s="30">
        <f t="shared" si="7"/>
        <v>3408</v>
      </c>
      <c r="AC58" s="28">
        <v>4577.0</v>
      </c>
      <c r="AD58" s="13"/>
      <c r="AE58" s="13"/>
      <c r="AF58" s="13"/>
      <c r="AG58" s="13"/>
      <c r="AH58" s="13"/>
      <c r="AI58" s="13"/>
      <c r="AJ58" s="13"/>
      <c r="AK58" s="13"/>
      <c r="AL58" s="13"/>
    </row>
    <row r="59" ht="15.75" customHeight="1">
      <c r="A59" s="34">
        <v>20503.0</v>
      </c>
      <c r="B59" s="35" t="s">
        <v>74</v>
      </c>
      <c r="C59" s="28">
        <v>1938.0</v>
      </c>
      <c r="D59" s="28">
        <v>1236.0</v>
      </c>
      <c r="E59" s="28">
        <v>27.0</v>
      </c>
      <c r="F59" s="28">
        <v>9.0</v>
      </c>
      <c r="G59" s="28">
        <v>71.0</v>
      </c>
      <c r="H59" s="28">
        <v>595.0</v>
      </c>
      <c r="I59" s="28">
        <v>2500.0</v>
      </c>
      <c r="J59" s="28">
        <v>1844.0</v>
      </c>
      <c r="K59" s="28">
        <v>61.0</v>
      </c>
      <c r="L59" s="28">
        <v>88.0</v>
      </c>
      <c r="M59" s="28">
        <v>20.0</v>
      </c>
      <c r="N59" s="28">
        <v>487.0</v>
      </c>
      <c r="O59" s="29">
        <f t="shared" ref="O59:T59" si="60">ROUND(C59 + ((2016-2012)*(I59-C59))/(2024-2012),0)</f>
        <v>2125</v>
      </c>
      <c r="P59" s="36">
        <f t="shared" si="60"/>
        <v>1439</v>
      </c>
      <c r="Q59" s="36">
        <f t="shared" si="60"/>
        <v>38</v>
      </c>
      <c r="R59" s="36">
        <f t="shared" si="60"/>
        <v>35</v>
      </c>
      <c r="S59" s="36">
        <f t="shared" si="60"/>
        <v>54</v>
      </c>
      <c r="T59" s="36">
        <f t="shared" si="60"/>
        <v>559</v>
      </c>
      <c r="U59" s="36">
        <v>840.0</v>
      </c>
      <c r="V59" s="31">
        <f t="shared" si="3"/>
        <v>599</v>
      </c>
      <c r="W59" s="31">
        <f t="shared" si="4"/>
        <v>599</v>
      </c>
      <c r="X59" s="32">
        <f t="shared" si="5"/>
        <v>2125</v>
      </c>
      <c r="Y59" s="31">
        <v>137.9999965429306</v>
      </c>
      <c r="Z59" s="33"/>
      <c r="AA59" s="28">
        <v>2285.0</v>
      </c>
      <c r="AB59" s="36">
        <f t="shared" si="7"/>
        <v>2565</v>
      </c>
      <c r="AC59" s="28">
        <v>3126.0</v>
      </c>
      <c r="AD59" s="13"/>
      <c r="AE59" s="13"/>
      <c r="AF59" s="13"/>
      <c r="AG59" s="13"/>
      <c r="AH59" s="13"/>
      <c r="AI59" s="13"/>
      <c r="AJ59" s="13"/>
      <c r="AK59" s="13"/>
      <c r="AL59" s="13"/>
    </row>
    <row r="60" ht="15.75" customHeight="1">
      <c r="A60" s="26">
        <v>20601.0</v>
      </c>
      <c r="B60" s="27" t="s">
        <v>75</v>
      </c>
      <c r="C60" s="28">
        <v>8775.0</v>
      </c>
      <c r="D60" s="28">
        <v>5375.0</v>
      </c>
      <c r="E60" s="28">
        <v>86.0</v>
      </c>
      <c r="F60" s="28">
        <v>25.0</v>
      </c>
      <c r="G60" s="28">
        <v>302.0</v>
      </c>
      <c r="H60" s="28">
        <v>2987.0</v>
      </c>
      <c r="I60" s="28">
        <v>11459.0</v>
      </c>
      <c r="J60" s="28">
        <v>9113.0</v>
      </c>
      <c r="K60" s="28">
        <v>205.0</v>
      </c>
      <c r="L60" s="28">
        <v>106.0</v>
      </c>
      <c r="M60" s="28">
        <v>31.0</v>
      </c>
      <c r="N60" s="28">
        <v>2004.0</v>
      </c>
      <c r="O60" s="29">
        <f t="shared" ref="O60:T60" si="61">ROUND(C60 + ((2016-2012)*(I60-C60))/(2024-2012),0)</f>
        <v>9670</v>
      </c>
      <c r="P60" s="30">
        <f t="shared" si="61"/>
        <v>6621</v>
      </c>
      <c r="Q60" s="30">
        <f t="shared" si="61"/>
        <v>126</v>
      </c>
      <c r="R60" s="30">
        <f t="shared" si="61"/>
        <v>52</v>
      </c>
      <c r="S60" s="30">
        <f t="shared" si="61"/>
        <v>212</v>
      </c>
      <c r="T60" s="30">
        <f t="shared" si="61"/>
        <v>2659</v>
      </c>
      <c r="U60" s="30">
        <v>5433.0</v>
      </c>
      <c r="V60" s="31">
        <f t="shared" si="3"/>
        <v>1188</v>
      </c>
      <c r="W60" s="31">
        <f t="shared" si="4"/>
        <v>1188</v>
      </c>
      <c r="X60" s="32">
        <f t="shared" si="5"/>
        <v>9670</v>
      </c>
      <c r="Y60" s="31">
        <v>144.99999582767487</v>
      </c>
      <c r="Z60" s="33"/>
      <c r="AA60" s="28">
        <v>9605.0</v>
      </c>
      <c r="AB60" s="30">
        <f t="shared" si="7"/>
        <v>10801</v>
      </c>
      <c r="AC60" s="28">
        <v>13193.0</v>
      </c>
      <c r="AD60" s="13"/>
      <c r="AE60" s="13"/>
      <c r="AF60" s="13"/>
      <c r="AG60" s="13"/>
      <c r="AH60" s="13"/>
      <c r="AI60" s="13"/>
      <c r="AJ60" s="13"/>
      <c r="AK60" s="13"/>
      <c r="AL60" s="13"/>
    </row>
    <row r="61" ht="15.75" customHeight="1">
      <c r="A61" s="34">
        <v>20602.0</v>
      </c>
      <c r="B61" s="35" t="s">
        <v>76</v>
      </c>
      <c r="C61" s="28">
        <v>4681.0</v>
      </c>
      <c r="D61" s="28">
        <v>2699.0</v>
      </c>
      <c r="E61" s="28">
        <v>276.0</v>
      </c>
      <c r="F61" s="28">
        <v>35.0</v>
      </c>
      <c r="G61" s="28">
        <v>110.0</v>
      </c>
      <c r="H61" s="28">
        <v>1561.0</v>
      </c>
      <c r="I61" s="28">
        <v>6269.0</v>
      </c>
      <c r="J61" s="28">
        <v>4260.0</v>
      </c>
      <c r="K61" s="28">
        <v>387.0</v>
      </c>
      <c r="L61" s="28">
        <v>263.0</v>
      </c>
      <c r="M61" s="28">
        <v>94.0</v>
      </c>
      <c r="N61" s="28">
        <v>1265.0</v>
      </c>
      <c r="O61" s="29">
        <f t="shared" ref="O61:T61" si="62">ROUND(C61 + ((2016-2012)*(I61-C61))/(2024-2012),0)</f>
        <v>5210</v>
      </c>
      <c r="P61" s="36">
        <f t="shared" si="62"/>
        <v>3219</v>
      </c>
      <c r="Q61" s="36">
        <f t="shared" si="62"/>
        <v>313</v>
      </c>
      <c r="R61" s="36">
        <f t="shared" si="62"/>
        <v>111</v>
      </c>
      <c r="S61" s="36">
        <f t="shared" si="62"/>
        <v>105</v>
      </c>
      <c r="T61" s="36">
        <f t="shared" si="62"/>
        <v>1462</v>
      </c>
      <c r="U61" s="36">
        <v>2504.0</v>
      </c>
      <c r="V61" s="31">
        <f t="shared" si="3"/>
        <v>715</v>
      </c>
      <c r="W61" s="31">
        <f t="shared" si="4"/>
        <v>715</v>
      </c>
      <c r="X61" s="32">
        <f t="shared" si="5"/>
        <v>5210</v>
      </c>
      <c r="Y61" s="31">
        <v>661.4999771118164</v>
      </c>
      <c r="Z61" s="33"/>
      <c r="AA61" s="28">
        <v>4987.0</v>
      </c>
      <c r="AB61" s="36">
        <f t="shared" si="7"/>
        <v>5712</v>
      </c>
      <c r="AC61" s="28">
        <v>7161.0</v>
      </c>
      <c r="AD61" s="13"/>
      <c r="AE61" s="13"/>
      <c r="AF61" s="13"/>
      <c r="AG61" s="13"/>
      <c r="AH61" s="13"/>
      <c r="AI61" s="13"/>
      <c r="AJ61" s="13"/>
      <c r="AK61" s="13"/>
      <c r="AL61" s="13"/>
    </row>
    <row r="62" ht="15.75" customHeight="1">
      <c r="A62" s="26">
        <v>20603.0</v>
      </c>
      <c r="B62" s="27" t="s">
        <v>77</v>
      </c>
      <c r="C62" s="28">
        <v>2980.0</v>
      </c>
      <c r="D62" s="28">
        <v>1611.0</v>
      </c>
      <c r="E62" s="28">
        <v>181.0</v>
      </c>
      <c r="F62" s="28">
        <v>14.0</v>
      </c>
      <c r="G62" s="28">
        <v>63.0</v>
      </c>
      <c r="H62" s="28">
        <v>1111.0</v>
      </c>
      <c r="I62" s="28">
        <v>4152.0</v>
      </c>
      <c r="J62" s="28">
        <v>2892.0</v>
      </c>
      <c r="K62" s="28">
        <v>193.0</v>
      </c>
      <c r="L62" s="28">
        <v>89.0</v>
      </c>
      <c r="M62" s="28">
        <v>49.0</v>
      </c>
      <c r="N62" s="28">
        <v>929.0</v>
      </c>
      <c r="O62" s="29">
        <f t="shared" ref="O62:T62" si="63">ROUND(C62 + ((2016-2012)*(I62-C62))/(2024-2012),0)</f>
        <v>3371</v>
      </c>
      <c r="P62" s="30">
        <f t="shared" si="63"/>
        <v>2038</v>
      </c>
      <c r="Q62" s="30">
        <f t="shared" si="63"/>
        <v>185</v>
      </c>
      <c r="R62" s="30">
        <f t="shared" si="63"/>
        <v>39</v>
      </c>
      <c r="S62" s="30">
        <f t="shared" si="63"/>
        <v>58</v>
      </c>
      <c r="T62" s="30">
        <f t="shared" si="63"/>
        <v>1050</v>
      </c>
      <c r="U62" s="30">
        <v>1445.0</v>
      </c>
      <c r="V62" s="31">
        <f t="shared" si="3"/>
        <v>593</v>
      </c>
      <c r="W62" s="31">
        <f t="shared" si="4"/>
        <v>593</v>
      </c>
      <c r="X62" s="32">
        <f t="shared" si="5"/>
        <v>3370</v>
      </c>
      <c r="Y62" s="31">
        <v>263.9999985694885</v>
      </c>
      <c r="Z62" s="33"/>
      <c r="AA62" s="28">
        <v>3091.0</v>
      </c>
      <c r="AB62" s="30">
        <f t="shared" si="7"/>
        <v>3575</v>
      </c>
      <c r="AC62" s="28">
        <v>4544.0</v>
      </c>
      <c r="AD62" s="13"/>
      <c r="AE62" s="13"/>
      <c r="AF62" s="13"/>
      <c r="AG62" s="13"/>
      <c r="AH62" s="13"/>
      <c r="AI62" s="13"/>
      <c r="AJ62" s="13"/>
      <c r="AK62" s="13"/>
      <c r="AL62" s="13"/>
    </row>
    <row r="63" ht="15.75" customHeight="1">
      <c r="A63" s="34">
        <v>20604.0</v>
      </c>
      <c r="B63" s="35" t="s">
        <v>78</v>
      </c>
      <c r="C63" s="28">
        <v>1027.0</v>
      </c>
      <c r="D63" s="28">
        <v>677.0</v>
      </c>
      <c r="E63" s="28">
        <v>1.0</v>
      </c>
      <c r="F63" s="28">
        <v>3.0</v>
      </c>
      <c r="G63" s="28">
        <v>5.0</v>
      </c>
      <c r="H63" s="28">
        <v>341.0</v>
      </c>
      <c r="I63" s="28">
        <v>1391.0</v>
      </c>
      <c r="J63" s="28">
        <v>1066.0</v>
      </c>
      <c r="K63" s="28">
        <v>1.0</v>
      </c>
      <c r="L63" s="28">
        <v>10.0</v>
      </c>
      <c r="M63" s="28">
        <v>8.0</v>
      </c>
      <c r="N63" s="28">
        <v>306.0</v>
      </c>
      <c r="O63" s="29">
        <f t="shared" ref="O63:T63" si="64">ROUND(C63 + ((2016-2012)*(I63-C63))/(2024-2012),0)</f>
        <v>1148</v>
      </c>
      <c r="P63" s="36">
        <f t="shared" si="64"/>
        <v>807</v>
      </c>
      <c r="Q63" s="36">
        <f t="shared" si="64"/>
        <v>1</v>
      </c>
      <c r="R63" s="36">
        <f t="shared" si="64"/>
        <v>5</v>
      </c>
      <c r="S63" s="36">
        <f t="shared" si="64"/>
        <v>6</v>
      </c>
      <c r="T63" s="36">
        <f t="shared" si="64"/>
        <v>329</v>
      </c>
      <c r="U63" s="37">
        <v>790.0</v>
      </c>
      <c r="V63" s="31">
        <f t="shared" si="3"/>
        <v>17</v>
      </c>
      <c r="W63" s="31">
        <f t="shared" si="4"/>
        <v>17</v>
      </c>
      <c r="X63" s="32">
        <f t="shared" si="5"/>
        <v>1148</v>
      </c>
      <c r="Y63" s="31">
        <v>135.500006377697</v>
      </c>
      <c r="Z63" s="33"/>
      <c r="AA63" s="28">
        <v>1154.0</v>
      </c>
      <c r="AB63" s="36">
        <f t="shared" si="7"/>
        <v>1268</v>
      </c>
      <c r="AC63" s="28">
        <v>1495.0</v>
      </c>
      <c r="AD63" s="13"/>
      <c r="AE63" s="13"/>
      <c r="AF63" s="13"/>
      <c r="AG63" s="13"/>
      <c r="AH63" s="13"/>
      <c r="AI63" s="13"/>
      <c r="AJ63" s="13"/>
      <c r="AK63" s="13"/>
      <c r="AL63" s="13"/>
    </row>
    <row r="64" ht="15.75" customHeight="1">
      <c r="A64" s="26">
        <v>20605.0</v>
      </c>
      <c r="B64" s="27" t="s">
        <v>79</v>
      </c>
      <c r="C64" s="28">
        <v>994.0</v>
      </c>
      <c r="D64" s="28">
        <v>681.0</v>
      </c>
      <c r="E64" s="28">
        <v>1.0</v>
      </c>
      <c r="F64" s="28">
        <v>1.0</v>
      </c>
      <c r="G64" s="28">
        <v>10.0</v>
      </c>
      <c r="H64" s="28">
        <v>301.0</v>
      </c>
      <c r="I64" s="28">
        <v>1425.0</v>
      </c>
      <c r="J64" s="28">
        <v>1082.0</v>
      </c>
      <c r="K64" s="28">
        <v>2.0</v>
      </c>
      <c r="L64" s="28">
        <v>11.0</v>
      </c>
      <c r="M64" s="28">
        <v>6.0</v>
      </c>
      <c r="N64" s="28">
        <v>324.0</v>
      </c>
      <c r="O64" s="29">
        <f t="shared" ref="O64:T64" si="65">ROUND(C64 + ((2016-2012)*(I64-C64))/(2024-2012),0)</f>
        <v>1138</v>
      </c>
      <c r="P64" s="30">
        <f t="shared" si="65"/>
        <v>815</v>
      </c>
      <c r="Q64" s="30">
        <f t="shared" si="65"/>
        <v>1</v>
      </c>
      <c r="R64" s="30">
        <f t="shared" si="65"/>
        <v>4</v>
      </c>
      <c r="S64" s="30">
        <f t="shared" si="65"/>
        <v>9</v>
      </c>
      <c r="T64" s="30">
        <f t="shared" si="65"/>
        <v>309</v>
      </c>
      <c r="U64" s="38">
        <v>640.0</v>
      </c>
      <c r="V64" s="31">
        <f t="shared" si="3"/>
        <v>175</v>
      </c>
      <c r="W64" s="31">
        <f t="shared" si="4"/>
        <v>175</v>
      </c>
      <c r="X64" s="32">
        <f t="shared" si="5"/>
        <v>1138</v>
      </c>
      <c r="Y64" s="31">
        <v>71.00000232458115</v>
      </c>
      <c r="Z64" s="33"/>
      <c r="AA64" s="28">
        <v>1103.0</v>
      </c>
      <c r="AB64" s="30">
        <f t="shared" si="7"/>
        <v>1253</v>
      </c>
      <c r="AC64" s="28">
        <v>1552.0</v>
      </c>
      <c r="AD64" s="13"/>
      <c r="AE64" s="13"/>
      <c r="AF64" s="13"/>
      <c r="AG64" s="13"/>
      <c r="AH64" s="13"/>
      <c r="AI64" s="13"/>
      <c r="AJ64" s="13"/>
      <c r="AK64" s="13"/>
      <c r="AL64" s="13"/>
    </row>
    <row r="65" ht="15.75" customHeight="1">
      <c r="A65" s="34">
        <v>20606.0</v>
      </c>
      <c r="B65" s="35" t="s">
        <v>80</v>
      </c>
      <c r="C65" s="28">
        <v>3457.0</v>
      </c>
      <c r="D65" s="28">
        <v>2983.0</v>
      </c>
      <c r="E65" s="28">
        <v>27.0</v>
      </c>
      <c r="F65" s="28">
        <v>6.0</v>
      </c>
      <c r="G65" s="28">
        <v>55.0</v>
      </c>
      <c r="H65" s="28">
        <v>386.0</v>
      </c>
      <c r="I65" s="28">
        <v>3243.0</v>
      </c>
      <c r="J65" s="28">
        <v>2810.0</v>
      </c>
      <c r="K65" s="28">
        <v>76.0</v>
      </c>
      <c r="L65" s="28">
        <v>11.0</v>
      </c>
      <c r="M65" s="28">
        <v>98.0</v>
      </c>
      <c r="N65" s="28">
        <v>248.0</v>
      </c>
      <c r="O65" s="29">
        <f t="shared" ref="O65:T65" si="66">ROUND(C65 + ((2016-2012)*(I65-C65))/(2024-2012),0)</f>
        <v>3386</v>
      </c>
      <c r="P65" s="36">
        <f t="shared" si="66"/>
        <v>2925</v>
      </c>
      <c r="Q65" s="36">
        <f t="shared" si="66"/>
        <v>43</v>
      </c>
      <c r="R65" s="36">
        <f t="shared" si="66"/>
        <v>8</v>
      </c>
      <c r="S65" s="36">
        <f t="shared" si="66"/>
        <v>69</v>
      </c>
      <c r="T65" s="36">
        <f t="shared" si="66"/>
        <v>340</v>
      </c>
      <c r="U65" s="36">
        <v>1863.0</v>
      </c>
      <c r="V65" s="31">
        <f t="shared" si="3"/>
        <v>1062</v>
      </c>
      <c r="W65" s="31">
        <f t="shared" si="4"/>
        <v>1062</v>
      </c>
      <c r="X65" s="32">
        <f t="shared" si="5"/>
        <v>3385</v>
      </c>
      <c r="Y65" s="31">
        <v>540.0000214576721</v>
      </c>
      <c r="Z65" s="33"/>
      <c r="AA65" s="28">
        <v>4104.0</v>
      </c>
      <c r="AB65" s="36">
        <f t="shared" si="7"/>
        <v>4162</v>
      </c>
      <c r="AC65" s="28">
        <v>4277.0</v>
      </c>
      <c r="AD65" s="13"/>
      <c r="AE65" s="13"/>
      <c r="AF65" s="13"/>
      <c r="AG65" s="13"/>
      <c r="AH65" s="13"/>
      <c r="AI65" s="13"/>
      <c r="AJ65" s="13"/>
      <c r="AK65" s="13"/>
      <c r="AL65" s="13"/>
    </row>
    <row r="66" ht="15.75" customHeight="1">
      <c r="A66" s="26">
        <v>20607.0</v>
      </c>
      <c r="B66" s="27" t="s">
        <v>81</v>
      </c>
      <c r="C66" s="28">
        <v>4050.0</v>
      </c>
      <c r="D66" s="28">
        <v>3526.0</v>
      </c>
      <c r="E66" s="28">
        <v>62.0</v>
      </c>
      <c r="F66" s="28">
        <v>4.0</v>
      </c>
      <c r="G66" s="28">
        <v>51.0</v>
      </c>
      <c r="H66" s="28">
        <v>407.0</v>
      </c>
      <c r="I66" s="28">
        <v>6898.0</v>
      </c>
      <c r="J66" s="28">
        <v>6280.0</v>
      </c>
      <c r="K66" s="28">
        <v>139.0</v>
      </c>
      <c r="L66" s="28">
        <v>63.0</v>
      </c>
      <c r="M66" s="28">
        <v>70.0</v>
      </c>
      <c r="N66" s="28">
        <v>346.0</v>
      </c>
      <c r="O66" s="29">
        <f t="shared" ref="O66:T66" si="67">ROUND(C66 + ((2016-2012)*(I66-C66))/(2024-2012),0)</f>
        <v>4999</v>
      </c>
      <c r="P66" s="30">
        <f t="shared" si="67"/>
        <v>4444</v>
      </c>
      <c r="Q66" s="30">
        <f t="shared" si="67"/>
        <v>88</v>
      </c>
      <c r="R66" s="30">
        <f t="shared" si="67"/>
        <v>24</v>
      </c>
      <c r="S66" s="30">
        <f t="shared" si="67"/>
        <v>57</v>
      </c>
      <c r="T66" s="30">
        <f t="shared" si="67"/>
        <v>387</v>
      </c>
      <c r="U66" s="30">
        <v>1962.0</v>
      </c>
      <c r="V66" s="31">
        <f t="shared" si="3"/>
        <v>2482</v>
      </c>
      <c r="W66" s="31">
        <f t="shared" si="4"/>
        <v>2482</v>
      </c>
      <c r="X66" s="32">
        <f t="shared" si="5"/>
        <v>5000</v>
      </c>
      <c r="Y66" s="31">
        <v>539.4999980926514</v>
      </c>
      <c r="Z66" s="33"/>
      <c r="AA66" s="28">
        <v>4203.0</v>
      </c>
      <c r="AB66" s="30">
        <f t="shared" si="7"/>
        <v>5340</v>
      </c>
      <c r="AC66" s="28">
        <v>7615.0</v>
      </c>
      <c r="AD66" s="13"/>
      <c r="AE66" s="13"/>
      <c r="AF66" s="13"/>
      <c r="AG66" s="13"/>
      <c r="AH66" s="13"/>
      <c r="AI66" s="13"/>
      <c r="AJ66" s="13"/>
      <c r="AK66" s="13"/>
      <c r="AL66" s="13"/>
    </row>
    <row r="67" ht="15.75" customHeight="1">
      <c r="A67" s="34">
        <v>20608.0</v>
      </c>
      <c r="B67" s="35" t="s">
        <v>82</v>
      </c>
      <c r="C67" s="28">
        <v>3487.0</v>
      </c>
      <c r="D67" s="28">
        <v>1413.0</v>
      </c>
      <c r="E67" s="28">
        <v>64.0</v>
      </c>
      <c r="F67" s="28">
        <v>29.0</v>
      </c>
      <c r="G67" s="28">
        <v>41.0</v>
      </c>
      <c r="H67" s="28">
        <v>1940.0</v>
      </c>
      <c r="I67" s="28">
        <v>4602.0</v>
      </c>
      <c r="J67" s="28">
        <v>2777.0</v>
      </c>
      <c r="K67" s="28">
        <v>120.0</v>
      </c>
      <c r="L67" s="28">
        <v>118.0</v>
      </c>
      <c r="M67" s="28">
        <v>34.0</v>
      </c>
      <c r="N67" s="28">
        <v>1553.0</v>
      </c>
      <c r="O67" s="29">
        <f t="shared" ref="O67:T67" si="68">ROUND(C67 + ((2016-2012)*(I67-C67))/(2024-2012),0)</f>
        <v>3859</v>
      </c>
      <c r="P67" s="36">
        <f t="shared" si="68"/>
        <v>1868</v>
      </c>
      <c r="Q67" s="36">
        <f t="shared" si="68"/>
        <v>83</v>
      </c>
      <c r="R67" s="36">
        <f t="shared" si="68"/>
        <v>59</v>
      </c>
      <c r="S67" s="36">
        <f t="shared" si="68"/>
        <v>39</v>
      </c>
      <c r="T67" s="36">
        <f t="shared" si="68"/>
        <v>1811</v>
      </c>
      <c r="U67" s="36">
        <v>1610.0</v>
      </c>
      <c r="V67" s="31">
        <f t="shared" si="3"/>
        <v>258</v>
      </c>
      <c r="W67" s="31">
        <f t="shared" si="4"/>
        <v>258</v>
      </c>
      <c r="X67" s="32">
        <f t="shared" si="5"/>
        <v>3860</v>
      </c>
      <c r="Y67" s="31">
        <v>401.50000154972076</v>
      </c>
      <c r="Z67" s="33"/>
      <c r="AA67" s="28">
        <v>3782.0</v>
      </c>
      <c r="AB67" s="36">
        <f t="shared" si="7"/>
        <v>4212</v>
      </c>
      <c r="AC67" s="28">
        <v>5073.0</v>
      </c>
      <c r="AD67" s="13"/>
      <c r="AE67" s="13"/>
      <c r="AF67" s="13"/>
      <c r="AG67" s="13"/>
      <c r="AH67" s="13"/>
      <c r="AI67" s="13"/>
      <c r="AJ67" s="13"/>
      <c r="AK67" s="13"/>
      <c r="AL67" s="13"/>
    </row>
    <row r="68" ht="15.75" customHeight="1">
      <c r="A68" s="26">
        <v>20701.0</v>
      </c>
      <c r="B68" s="27" t="s">
        <v>83</v>
      </c>
      <c r="C68" s="28">
        <v>4625.0</v>
      </c>
      <c r="D68" s="28">
        <v>2828.0</v>
      </c>
      <c r="E68" s="28">
        <v>65.0</v>
      </c>
      <c r="F68" s="28">
        <v>111.0</v>
      </c>
      <c r="G68" s="28">
        <v>39.0</v>
      </c>
      <c r="H68" s="28">
        <v>1582.0</v>
      </c>
      <c r="I68" s="28">
        <v>6164.0</v>
      </c>
      <c r="J68" s="28">
        <v>4238.0</v>
      </c>
      <c r="K68" s="28">
        <v>143.0</v>
      </c>
      <c r="L68" s="28">
        <v>267.0</v>
      </c>
      <c r="M68" s="28">
        <v>81.0</v>
      </c>
      <c r="N68" s="28">
        <v>1435.0</v>
      </c>
      <c r="O68" s="29">
        <f t="shared" ref="O68:T68" si="69">ROUND(C68 + ((2016-2012)*(I68-C68))/(2024-2012),0)</f>
        <v>5138</v>
      </c>
      <c r="P68" s="30">
        <f t="shared" si="69"/>
        <v>3298</v>
      </c>
      <c r="Q68" s="30">
        <f t="shared" si="69"/>
        <v>91</v>
      </c>
      <c r="R68" s="30">
        <f t="shared" si="69"/>
        <v>163</v>
      </c>
      <c r="S68" s="30">
        <f t="shared" si="69"/>
        <v>53</v>
      </c>
      <c r="T68" s="30">
        <f t="shared" si="69"/>
        <v>1533</v>
      </c>
      <c r="U68" s="30">
        <v>2934.0</v>
      </c>
      <c r="V68" s="31">
        <f t="shared" si="3"/>
        <v>364</v>
      </c>
      <c r="W68" s="31">
        <f t="shared" si="4"/>
        <v>364</v>
      </c>
      <c r="X68" s="32">
        <f t="shared" si="5"/>
        <v>5138</v>
      </c>
      <c r="Y68" s="31">
        <v>202.9999941587448</v>
      </c>
      <c r="Z68" s="33"/>
      <c r="AA68" s="28">
        <v>5116.0</v>
      </c>
      <c r="AB68" s="30">
        <f t="shared" si="7"/>
        <v>6134</v>
      </c>
      <c r="AC68" s="28">
        <v>8169.0</v>
      </c>
      <c r="AD68" s="13"/>
      <c r="AE68" s="13"/>
      <c r="AF68" s="13"/>
      <c r="AG68" s="13"/>
      <c r="AH68" s="13"/>
      <c r="AI68" s="13"/>
      <c r="AJ68" s="13"/>
      <c r="AK68" s="13"/>
      <c r="AL68" s="13"/>
    </row>
    <row r="69" ht="15.75" customHeight="1">
      <c r="A69" s="34">
        <v>20702.0</v>
      </c>
      <c r="B69" s="35" t="s">
        <v>84</v>
      </c>
      <c r="C69" s="28">
        <v>2230.0</v>
      </c>
      <c r="D69" s="28">
        <v>801.0</v>
      </c>
      <c r="E69" s="28">
        <v>94.0</v>
      </c>
      <c r="F69" s="28">
        <v>166.0</v>
      </c>
      <c r="G69" s="28">
        <v>152.0</v>
      </c>
      <c r="H69" s="28">
        <v>1017.0</v>
      </c>
      <c r="I69" s="28">
        <v>3068.0</v>
      </c>
      <c r="J69" s="28">
        <v>2193.0</v>
      </c>
      <c r="K69" s="28">
        <v>79.0</v>
      </c>
      <c r="L69" s="28">
        <v>150.0</v>
      </c>
      <c r="M69" s="28">
        <v>57.0</v>
      </c>
      <c r="N69" s="28">
        <v>589.0</v>
      </c>
      <c r="O69" s="29">
        <f t="shared" ref="O69:T69" si="70">ROUND(C69 + ((2016-2012)*(I69-C69))/(2024-2012),0)</f>
        <v>2509</v>
      </c>
      <c r="P69" s="36">
        <f t="shared" si="70"/>
        <v>1265</v>
      </c>
      <c r="Q69" s="36">
        <f t="shared" si="70"/>
        <v>89</v>
      </c>
      <c r="R69" s="36">
        <f t="shared" si="70"/>
        <v>161</v>
      </c>
      <c r="S69" s="36">
        <f t="shared" si="70"/>
        <v>120</v>
      </c>
      <c r="T69" s="36">
        <f t="shared" si="70"/>
        <v>874</v>
      </c>
      <c r="U69" s="36">
        <v>966.0</v>
      </c>
      <c r="V69" s="31">
        <f t="shared" si="3"/>
        <v>299</v>
      </c>
      <c r="W69" s="31">
        <f t="shared" si="4"/>
        <v>299</v>
      </c>
      <c r="X69" s="32">
        <f t="shared" si="5"/>
        <v>2509</v>
      </c>
      <c r="Y69" s="31">
        <v>185.50000339746475</v>
      </c>
      <c r="Z69" s="33"/>
      <c r="AA69" s="28">
        <v>2872.0</v>
      </c>
      <c r="AB69" s="36">
        <f t="shared" si="7"/>
        <v>3313</v>
      </c>
      <c r="AC69" s="28">
        <v>4196.0</v>
      </c>
      <c r="AD69" s="13"/>
      <c r="AE69" s="13"/>
      <c r="AF69" s="13"/>
      <c r="AG69" s="13"/>
      <c r="AH69" s="13"/>
      <c r="AI69" s="13"/>
      <c r="AJ69" s="13"/>
      <c r="AK69" s="13"/>
      <c r="AL69" s="13"/>
    </row>
    <row r="70" ht="15.75" customHeight="1">
      <c r="A70" s="26">
        <v>20801.0</v>
      </c>
      <c r="B70" s="27" t="s">
        <v>85</v>
      </c>
      <c r="C70" s="28">
        <v>26248.0</v>
      </c>
      <c r="D70" s="28">
        <v>20077.0</v>
      </c>
      <c r="E70" s="28">
        <v>53.0</v>
      </c>
      <c r="F70" s="28">
        <v>26.0</v>
      </c>
      <c r="G70" s="28">
        <v>184.0</v>
      </c>
      <c r="H70" s="28">
        <v>5908.0</v>
      </c>
      <c r="I70" s="28">
        <v>41941.0</v>
      </c>
      <c r="J70" s="28">
        <v>36532.0</v>
      </c>
      <c r="K70" s="28">
        <v>138.0</v>
      </c>
      <c r="L70" s="28">
        <v>209.0</v>
      </c>
      <c r="M70" s="28">
        <v>305.0</v>
      </c>
      <c r="N70" s="28">
        <v>4757.0</v>
      </c>
      <c r="O70" s="29">
        <f t="shared" ref="O70:T70" si="71">ROUND(C70 + ((2016-2012)*(I70-C70))/(2024-2012),0)</f>
        <v>31479</v>
      </c>
      <c r="P70" s="30">
        <f t="shared" si="71"/>
        <v>25562</v>
      </c>
      <c r="Q70" s="30">
        <f t="shared" si="71"/>
        <v>81</v>
      </c>
      <c r="R70" s="30">
        <f t="shared" si="71"/>
        <v>87</v>
      </c>
      <c r="S70" s="30">
        <f t="shared" si="71"/>
        <v>224</v>
      </c>
      <c r="T70" s="30">
        <f t="shared" si="71"/>
        <v>5524</v>
      </c>
      <c r="U70" s="30">
        <v>28571.0</v>
      </c>
      <c r="V70" s="31">
        <f t="shared" si="3"/>
        <v>-3009</v>
      </c>
      <c r="W70" s="31">
        <f t="shared" si="4"/>
        <v>0</v>
      </c>
      <c r="X70" s="32">
        <f t="shared" si="5"/>
        <v>34487</v>
      </c>
      <c r="Y70" s="31">
        <v>307.0000112056732</v>
      </c>
      <c r="Z70" s="33"/>
      <c r="AA70" s="28">
        <v>29225.0</v>
      </c>
      <c r="AB70" s="30">
        <f t="shared" si="7"/>
        <v>37293</v>
      </c>
      <c r="AC70" s="28">
        <v>53430.0</v>
      </c>
      <c r="AD70" s="13"/>
      <c r="AE70" s="13"/>
      <c r="AF70" s="13"/>
      <c r="AG70" s="13"/>
      <c r="AH70" s="13"/>
      <c r="AI70" s="13"/>
      <c r="AJ70" s="13"/>
      <c r="AK70" s="13"/>
      <c r="AL70" s="13"/>
    </row>
    <row r="71" ht="15.75" customHeight="1">
      <c r="A71" s="34">
        <v>20802.0</v>
      </c>
      <c r="B71" s="35" t="s">
        <v>86</v>
      </c>
      <c r="C71" s="28">
        <v>2731.0</v>
      </c>
      <c r="D71" s="28">
        <v>2101.0</v>
      </c>
      <c r="E71" s="28">
        <v>4.0</v>
      </c>
      <c r="F71" s="28">
        <v>10.0</v>
      </c>
      <c r="G71" s="28">
        <v>9.0</v>
      </c>
      <c r="H71" s="28">
        <v>607.0</v>
      </c>
      <c r="I71" s="28">
        <v>3220.0</v>
      </c>
      <c r="J71" s="28">
        <v>2645.0</v>
      </c>
      <c r="K71" s="28">
        <v>8.0</v>
      </c>
      <c r="L71" s="28">
        <v>22.0</v>
      </c>
      <c r="M71" s="28">
        <v>24.0</v>
      </c>
      <c r="N71" s="28">
        <v>521.0</v>
      </c>
      <c r="O71" s="29">
        <f t="shared" ref="O71:T71" si="72">ROUND(C71 + ((2016-2012)*(I71-C71))/(2024-2012),0)</f>
        <v>2894</v>
      </c>
      <c r="P71" s="36">
        <f t="shared" si="72"/>
        <v>2282</v>
      </c>
      <c r="Q71" s="36">
        <f t="shared" si="72"/>
        <v>5</v>
      </c>
      <c r="R71" s="36">
        <f t="shared" si="72"/>
        <v>14</v>
      </c>
      <c r="S71" s="36">
        <f t="shared" si="72"/>
        <v>14</v>
      </c>
      <c r="T71" s="36">
        <f t="shared" si="72"/>
        <v>578</v>
      </c>
      <c r="U71" s="36">
        <v>2377.0</v>
      </c>
      <c r="V71" s="31">
        <f t="shared" si="3"/>
        <v>-95</v>
      </c>
      <c r="W71" s="31">
        <f t="shared" si="4"/>
        <v>0</v>
      </c>
      <c r="X71" s="32">
        <f t="shared" si="5"/>
        <v>2988</v>
      </c>
      <c r="Y71" s="31">
        <v>115.00000208616257</v>
      </c>
      <c r="Z71" s="33"/>
      <c r="AA71" s="28">
        <v>3216.0</v>
      </c>
      <c r="AB71" s="36">
        <f t="shared" si="7"/>
        <v>3601</v>
      </c>
      <c r="AC71" s="28">
        <v>4371.0</v>
      </c>
      <c r="AD71" s="13"/>
      <c r="AE71" s="13"/>
      <c r="AF71" s="13"/>
      <c r="AG71" s="13"/>
      <c r="AH71" s="13"/>
      <c r="AI71" s="13"/>
      <c r="AJ71" s="13"/>
      <c r="AK71" s="13"/>
      <c r="AL71" s="13"/>
    </row>
    <row r="72" ht="15.75" customHeight="1">
      <c r="A72" s="26">
        <v>20803.0</v>
      </c>
      <c r="B72" s="27" t="s">
        <v>87</v>
      </c>
      <c r="C72" s="28">
        <v>3594.0</v>
      </c>
      <c r="D72" s="28">
        <v>2652.0</v>
      </c>
      <c r="E72" s="28">
        <v>5.0</v>
      </c>
      <c r="F72" s="28">
        <v>7.0</v>
      </c>
      <c r="G72" s="28">
        <v>17.0</v>
      </c>
      <c r="H72" s="28">
        <v>913.0</v>
      </c>
      <c r="I72" s="28">
        <v>4653.0</v>
      </c>
      <c r="J72" s="28">
        <v>3576.0</v>
      </c>
      <c r="K72" s="28">
        <v>13.0</v>
      </c>
      <c r="L72" s="28">
        <v>41.0</v>
      </c>
      <c r="M72" s="28">
        <v>30.0</v>
      </c>
      <c r="N72" s="28">
        <v>993.0</v>
      </c>
      <c r="O72" s="29">
        <f t="shared" ref="O72:T72" si="73">ROUND(C72 + ((2016-2012)*(I72-C72))/(2024-2012),0)</f>
        <v>3947</v>
      </c>
      <c r="P72" s="30">
        <f t="shared" si="73"/>
        <v>2960</v>
      </c>
      <c r="Q72" s="30">
        <f t="shared" si="73"/>
        <v>8</v>
      </c>
      <c r="R72" s="30">
        <f t="shared" si="73"/>
        <v>18</v>
      </c>
      <c r="S72" s="30">
        <f t="shared" si="73"/>
        <v>21</v>
      </c>
      <c r="T72" s="30">
        <f t="shared" si="73"/>
        <v>940</v>
      </c>
      <c r="U72" s="30">
        <v>2756.0</v>
      </c>
      <c r="V72" s="31">
        <f t="shared" si="3"/>
        <v>204</v>
      </c>
      <c r="W72" s="31">
        <f t="shared" si="4"/>
        <v>204</v>
      </c>
      <c r="X72" s="32">
        <f t="shared" si="5"/>
        <v>3947</v>
      </c>
      <c r="Y72" s="31">
        <v>128.00000607967377</v>
      </c>
      <c r="Z72" s="33"/>
      <c r="AA72" s="28">
        <v>3998.0</v>
      </c>
      <c r="AB72" s="30">
        <f t="shared" si="7"/>
        <v>4539</v>
      </c>
      <c r="AC72" s="28">
        <v>5620.0</v>
      </c>
      <c r="AD72" s="13"/>
      <c r="AE72" s="13"/>
      <c r="AF72" s="13"/>
      <c r="AG72" s="13"/>
      <c r="AH72" s="13"/>
      <c r="AI72" s="13"/>
      <c r="AJ72" s="13"/>
      <c r="AK72" s="13"/>
      <c r="AL72" s="13"/>
    </row>
    <row r="73" ht="15.75" customHeight="1">
      <c r="A73" s="34">
        <v>20804.0</v>
      </c>
      <c r="B73" s="35" t="s">
        <v>88</v>
      </c>
      <c r="C73" s="28">
        <v>2250.0</v>
      </c>
      <c r="D73" s="28">
        <v>1930.0</v>
      </c>
      <c r="E73" s="28">
        <v>0.0</v>
      </c>
      <c r="F73" s="28">
        <v>3.0</v>
      </c>
      <c r="G73" s="28">
        <v>3.0</v>
      </c>
      <c r="H73" s="28">
        <v>314.0</v>
      </c>
      <c r="I73" s="28">
        <v>2675.0</v>
      </c>
      <c r="J73" s="28">
        <v>2469.0</v>
      </c>
      <c r="K73" s="28">
        <v>19.0</v>
      </c>
      <c r="L73" s="28">
        <v>8.0</v>
      </c>
      <c r="M73" s="28">
        <v>13.0</v>
      </c>
      <c r="N73" s="28">
        <v>166.0</v>
      </c>
      <c r="O73" s="29">
        <f t="shared" ref="O73:T73" si="74">ROUND(C73 + ((2016-2012)*(I73-C73))/(2024-2012),0)</f>
        <v>2392</v>
      </c>
      <c r="P73" s="36">
        <f t="shared" si="74"/>
        <v>2110</v>
      </c>
      <c r="Q73" s="36">
        <f t="shared" si="74"/>
        <v>6</v>
      </c>
      <c r="R73" s="36">
        <f t="shared" si="74"/>
        <v>5</v>
      </c>
      <c r="S73" s="36">
        <f t="shared" si="74"/>
        <v>6</v>
      </c>
      <c r="T73" s="36">
        <f t="shared" si="74"/>
        <v>265</v>
      </c>
      <c r="U73" s="36">
        <v>1800.0</v>
      </c>
      <c r="V73" s="31">
        <f t="shared" si="3"/>
        <v>310</v>
      </c>
      <c r="W73" s="31">
        <f t="shared" si="4"/>
        <v>310</v>
      </c>
      <c r="X73" s="32">
        <f t="shared" si="5"/>
        <v>2392</v>
      </c>
      <c r="Y73" s="31">
        <v>245.9999993443489</v>
      </c>
      <c r="Z73" s="33"/>
      <c r="AA73" s="28">
        <v>2555.0</v>
      </c>
      <c r="AB73" s="36">
        <f t="shared" si="7"/>
        <v>2839</v>
      </c>
      <c r="AC73" s="28">
        <v>3408.0</v>
      </c>
      <c r="AD73" s="13"/>
      <c r="AE73" s="13"/>
      <c r="AF73" s="13"/>
      <c r="AG73" s="13"/>
      <c r="AH73" s="13"/>
      <c r="AI73" s="13"/>
      <c r="AJ73" s="13"/>
      <c r="AK73" s="13"/>
      <c r="AL73" s="13"/>
    </row>
    <row r="74" ht="15.75" customHeight="1">
      <c r="A74" s="26">
        <v>20805.0</v>
      </c>
      <c r="B74" s="27" t="s">
        <v>89</v>
      </c>
      <c r="C74" s="28">
        <v>2391.0</v>
      </c>
      <c r="D74" s="28">
        <v>568.0</v>
      </c>
      <c r="E74" s="28">
        <v>7.0</v>
      </c>
      <c r="F74" s="28">
        <v>101.0</v>
      </c>
      <c r="G74" s="28">
        <v>62.0</v>
      </c>
      <c r="H74" s="28">
        <v>1653.0</v>
      </c>
      <c r="I74" s="28">
        <v>3114.0</v>
      </c>
      <c r="J74" s="28">
        <v>2175.0</v>
      </c>
      <c r="K74" s="28">
        <v>3.0</v>
      </c>
      <c r="L74" s="28">
        <v>41.0</v>
      </c>
      <c r="M74" s="28">
        <v>21.0</v>
      </c>
      <c r="N74" s="28">
        <v>874.0</v>
      </c>
      <c r="O74" s="29">
        <f t="shared" ref="O74:T74" si="75">ROUND(C74 + ((2016-2012)*(I74-C74))/(2024-2012),0)</f>
        <v>2632</v>
      </c>
      <c r="P74" s="30">
        <f t="shared" si="75"/>
        <v>1104</v>
      </c>
      <c r="Q74" s="30">
        <f t="shared" si="75"/>
        <v>6</v>
      </c>
      <c r="R74" s="30">
        <f t="shared" si="75"/>
        <v>81</v>
      </c>
      <c r="S74" s="30">
        <f t="shared" si="75"/>
        <v>48</v>
      </c>
      <c r="T74" s="30">
        <f t="shared" si="75"/>
        <v>1393</v>
      </c>
      <c r="U74" s="38">
        <v>1449.0</v>
      </c>
      <c r="V74" s="31">
        <f t="shared" si="3"/>
        <v>-345</v>
      </c>
      <c r="W74" s="31">
        <f t="shared" si="4"/>
        <v>0</v>
      </c>
      <c r="X74" s="32">
        <f t="shared" si="5"/>
        <v>2977</v>
      </c>
      <c r="Y74" s="31">
        <v>54.999999701976776</v>
      </c>
      <c r="Z74" s="33"/>
      <c r="AA74" s="28">
        <v>2849.0</v>
      </c>
      <c r="AB74" s="30">
        <f t="shared" si="7"/>
        <v>3225</v>
      </c>
      <c r="AC74" s="28">
        <v>3977.0</v>
      </c>
      <c r="AD74" s="13"/>
      <c r="AE74" s="13"/>
      <c r="AF74" s="13"/>
      <c r="AG74" s="13"/>
      <c r="AH74" s="13"/>
      <c r="AI74" s="13"/>
      <c r="AJ74" s="13"/>
      <c r="AK74" s="13"/>
      <c r="AL74" s="13"/>
    </row>
    <row r="75" ht="15.75" customHeight="1">
      <c r="A75" s="34">
        <v>20806.0</v>
      </c>
      <c r="B75" s="35" t="s">
        <v>90</v>
      </c>
      <c r="C75" s="28">
        <v>4967.0</v>
      </c>
      <c r="D75" s="28">
        <v>2775.0</v>
      </c>
      <c r="E75" s="28">
        <v>14.0</v>
      </c>
      <c r="F75" s="28">
        <v>11.0</v>
      </c>
      <c r="G75" s="28">
        <v>4.0</v>
      </c>
      <c r="H75" s="28">
        <v>2163.0</v>
      </c>
      <c r="I75" s="28">
        <v>5887.0</v>
      </c>
      <c r="J75" s="28">
        <v>4111.0</v>
      </c>
      <c r="K75" s="28">
        <v>10.0</v>
      </c>
      <c r="L75" s="28">
        <v>148.0</v>
      </c>
      <c r="M75" s="28">
        <v>49.0</v>
      </c>
      <c r="N75" s="28">
        <v>1569.0</v>
      </c>
      <c r="O75" s="29">
        <f t="shared" ref="O75:T75" si="76">ROUND(C75 + ((2016-2012)*(I75-C75))/(2024-2012),0)</f>
        <v>5274</v>
      </c>
      <c r="P75" s="36">
        <f t="shared" si="76"/>
        <v>3220</v>
      </c>
      <c r="Q75" s="36">
        <f t="shared" si="76"/>
        <v>13</v>
      </c>
      <c r="R75" s="36">
        <f t="shared" si="76"/>
        <v>57</v>
      </c>
      <c r="S75" s="36">
        <f t="shared" si="76"/>
        <v>19</v>
      </c>
      <c r="T75" s="36">
        <f t="shared" si="76"/>
        <v>1965</v>
      </c>
      <c r="U75" s="37">
        <v>3333.0</v>
      </c>
      <c r="V75" s="31">
        <f t="shared" si="3"/>
        <v>-113</v>
      </c>
      <c r="W75" s="31">
        <f t="shared" si="4"/>
        <v>0</v>
      </c>
      <c r="X75" s="32">
        <f t="shared" si="5"/>
        <v>5387</v>
      </c>
      <c r="Y75" s="31">
        <v>59.99999865889549</v>
      </c>
      <c r="Z75" s="33"/>
      <c r="AA75" s="28">
        <v>5849.0</v>
      </c>
      <c r="AB75" s="36">
        <f t="shared" si="7"/>
        <v>6412</v>
      </c>
      <c r="AC75" s="28">
        <v>7537.0</v>
      </c>
      <c r="AD75" s="13"/>
      <c r="AE75" s="13"/>
      <c r="AF75" s="13"/>
      <c r="AG75" s="13"/>
      <c r="AH75" s="13"/>
      <c r="AI75" s="13"/>
      <c r="AJ75" s="13"/>
      <c r="AK75" s="13"/>
      <c r="AL75" s="13"/>
    </row>
    <row r="76" ht="15.75" customHeight="1">
      <c r="A76" s="26">
        <v>20807.0</v>
      </c>
      <c r="B76" s="27" t="s">
        <v>91</v>
      </c>
      <c r="C76" s="28">
        <v>1819.0</v>
      </c>
      <c r="D76" s="28">
        <v>1411.0</v>
      </c>
      <c r="E76" s="28">
        <v>1.0</v>
      </c>
      <c r="F76" s="28">
        <v>1.0</v>
      </c>
      <c r="G76" s="28">
        <v>13.0</v>
      </c>
      <c r="H76" s="28">
        <v>393.0</v>
      </c>
      <c r="I76" s="28">
        <v>2562.0</v>
      </c>
      <c r="J76" s="28">
        <v>2124.0</v>
      </c>
      <c r="K76" s="28">
        <v>6.0</v>
      </c>
      <c r="L76" s="28">
        <v>12.0</v>
      </c>
      <c r="M76" s="28">
        <v>18.0</v>
      </c>
      <c r="N76" s="28">
        <v>402.0</v>
      </c>
      <c r="O76" s="29">
        <f t="shared" ref="O76:T76" si="77">ROUND(C76 + ((2016-2012)*(I76-C76))/(2024-2012),0)</f>
        <v>2067</v>
      </c>
      <c r="P76" s="30">
        <f t="shared" si="77"/>
        <v>1649</v>
      </c>
      <c r="Q76" s="30">
        <f t="shared" si="77"/>
        <v>3</v>
      </c>
      <c r="R76" s="30">
        <f t="shared" si="77"/>
        <v>5</v>
      </c>
      <c r="S76" s="30">
        <f t="shared" si="77"/>
        <v>15</v>
      </c>
      <c r="T76" s="30">
        <f t="shared" si="77"/>
        <v>396</v>
      </c>
      <c r="U76" s="30">
        <v>1477.0</v>
      </c>
      <c r="V76" s="31">
        <f t="shared" si="3"/>
        <v>172</v>
      </c>
      <c r="W76" s="31">
        <f t="shared" si="4"/>
        <v>172</v>
      </c>
      <c r="X76" s="32">
        <f t="shared" si="5"/>
        <v>2068</v>
      </c>
      <c r="Y76" s="31">
        <v>86.0000029206276</v>
      </c>
      <c r="Z76" s="33"/>
      <c r="AA76" s="28">
        <v>1883.0</v>
      </c>
      <c r="AB76" s="30">
        <f t="shared" si="7"/>
        <v>2289</v>
      </c>
      <c r="AC76" s="28">
        <v>3101.0</v>
      </c>
      <c r="AD76" s="13"/>
      <c r="AE76" s="13"/>
      <c r="AF76" s="13"/>
      <c r="AG76" s="13"/>
      <c r="AH76" s="13"/>
      <c r="AI76" s="13"/>
      <c r="AJ76" s="13"/>
      <c r="AK76" s="13"/>
      <c r="AL76" s="13"/>
    </row>
    <row r="77" ht="15.75" customHeight="1">
      <c r="A77" s="34">
        <v>20901.0</v>
      </c>
      <c r="B77" s="35" t="s">
        <v>92</v>
      </c>
      <c r="C77" s="28">
        <v>3913.0</v>
      </c>
      <c r="D77" s="28">
        <v>2786.0</v>
      </c>
      <c r="E77" s="28">
        <v>5.0</v>
      </c>
      <c r="F77" s="28">
        <v>3.0</v>
      </c>
      <c r="G77" s="28">
        <v>3.0</v>
      </c>
      <c r="H77" s="28">
        <v>1116.0</v>
      </c>
      <c r="I77" s="28">
        <v>4434.0</v>
      </c>
      <c r="J77" s="28">
        <v>3541.0</v>
      </c>
      <c r="K77" s="28">
        <v>7.0</v>
      </c>
      <c r="L77" s="28">
        <v>39.0</v>
      </c>
      <c r="M77" s="28">
        <v>41.0</v>
      </c>
      <c r="N77" s="28">
        <v>806.0</v>
      </c>
      <c r="O77" s="29">
        <f t="shared" ref="O77:T77" si="78">ROUND(C77 + ((2016-2012)*(I77-C77))/(2024-2012),0)</f>
        <v>4087</v>
      </c>
      <c r="P77" s="36">
        <f t="shared" si="78"/>
        <v>3038</v>
      </c>
      <c r="Q77" s="36">
        <f t="shared" si="78"/>
        <v>6</v>
      </c>
      <c r="R77" s="36">
        <f t="shared" si="78"/>
        <v>15</v>
      </c>
      <c r="S77" s="36">
        <f t="shared" si="78"/>
        <v>16</v>
      </c>
      <c r="T77" s="36">
        <f t="shared" si="78"/>
        <v>1013</v>
      </c>
      <c r="U77" s="36">
        <v>2633.0</v>
      </c>
      <c r="V77" s="31">
        <f t="shared" si="3"/>
        <v>405</v>
      </c>
      <c r="W77" s="31">
        <f t="shared" si="4"/>
        <v>405</v>
      </c>
      <c r="X77" s="32">
        <f t="shared" si="5"/>
        <v>4088</v>
      </c>
      <c r="Y77" s="31">
        <v>150.9999930858612</v>
      </c>
      <c r="Z77" s="33"/>
      <c r="AA77" s="28">
        <v>4230.0</v>
      </c>
      <c r="AB77" s="36">
        <f t="shared" si="7"/>
        <v>4627</v>
      </c>
      <c r="AC77" s="28">
        <v>5422.0</v>
      </c>
      <c r="AD77" s="13"/>
      <c r="AE77" s="13"/>
      <c r="AF77" s="13"/>
      <c r="AG77" s="13"/>
      <c r="AH77" s="13"/>
      <c r="AI77" s="13"/>
      <c r="AJ77" s="13"/>
      <c r="AK77" s="13"/>
      <c r="AL77" s="13"/>
    </row>
    <row r="78" ht="15.75" customHeight="1">
      <c r="A78" s="26">
        <v>20902.0</v>
      </c>
      <c r="B78" s="27" t="s">
        <v>93</v>
      </c>
      <c r="C78" s="28">
        <v>4624.0</v>
      </c>
      <c r="D78" s="28">
        <v>2790.0</v>
      </c>
      <c r="E78" s="28">
        <v>9.0</v>
      </c>
      <c r="F78" s="28">
        <v>12.0</v>
      </c>
      <c r="G78" s="28">
        <v>21.0</v>
      </c>
      <c r="H78" s="28">
        <v>1792.0</v>
      </c>
      <c r="I78" s="28">
        <v>6638.0</v>
      </c>
      <c r="J78" s="28">
        <v>5080.0</v>
      </c>
      <c r="K78" s="28">
        <v>8.0</v>
      </c>
      <c r="L78" s="28">
        <v>78.0</v>
      </c>
      <c r="M78" s="28">
        <v>52.0</v>
      </c>
      <c r="N78" s="28">
        <v>1420.0</v>
      </c>
      <c r="O78" s="29">
        <f t="shared" ref="O78:T78" si="79">ROUND(C78 + ((2016-2012)*(I78-C78))/(2024-2012),0)</f>
        <v>5295</v>
      </c>
      <c r="P78" s="30">
        <f t="shared" si="79"/>
        <v>3553</v>
      </c>
      <c r="Q78" s="30">
        <f t="shared" si="79"/>
        <v>9</v>
      </c>
      <c r="R78" s="30">
        <f t="shared" si="79"/>
        <v>34</v>
      </c>
      <c r="S78" s="30">
        <f t="shared" si="79"/>
        <v>31</v>
      </c>
      <c r="T78" s="30">
        <f t="shared" si="79"/>
        <v>1668</v>
      </c>
      <c r="U78" s="30">
        <v>3207.0</v>
      </c>
      <c r="V78" s="31">
        <f t="shared" si="3"/>
        <v>346</v>
      </c>
      <c r="W78" s="31">
        <f t="shared" si="4"/>
        <v>346</v>
      </c>
      <c r="X78" s="32">
        <f t="shared" si="5"/>
        <v>5295</v>
      </c>
      <c r="Y78" s="31">
        <v>143.00000667572021</v>
      </c>
      <c r="Z78" s="33"/>
      <c r="AA78" s="28">
        <v>5003.0</v>
      </c>
      <c r="AB78" s="30">
        <f t="shared" si="7"/>
        <v>5906</v>
      </c>
      <c r="AC78" s="28">
        <v>7713.0</v>
      </c>
      <c r="AD78" s="13"/>
      <c r="AE78" s="13"/>
      <c r="AF78" s="13"/>
      <c r="AG78" s="13"/>
      <c r="AH78" s="13"/>
      <c r="AI78" s="13"/>
      <c r="AJ78" s="13"/>
      <c r="AK78" s="13"/>
      <c r="AL78" s="13"/>
    </row>
    <row r="79" ht="15.75" customHeight="1">
      <c r="A79" s="34">
        <v>20903.0</v>
      </c>
      <c r="B79" s="35" t="s">
        <v>94</v>
      </c>
      <c r="C79" s="28">
        <v>2306.0</v>
      </c>
      <c r="D79" s="28">
        <v>1520.0</v>
      </c>
      <c r="E79" s="28">
        <v>11.0</v>
      </c>
      <c r="F79" s="28">
        <v>3.0</v>
      </c>
      <c r="G79" s="28">
        <v>8.0</v>
      </c>
      <c r="H79" s="28">
        <v>764.0</v>
      </c>
      <c r="I79" s="28">
        <v>4142.0</v>
      </c>
      <c r="J79" s="28">
        <v>2864.0</v>
      </c>
      <c r="K79" s="28">
        <v>25.0</v>
      </c>
      <c r="L79" s="28">
        <v>63.0</v>
      </c>
      <c r="M79" s="28">
        <v>39.0</v>
      </c>
      <c r="N79" s="28">
        <v>1151.0</v>
      </c>
      <c r="O79" s="29">
        <f t="shared" ref="O79:T79" si="80">ROUND(C79 + ((2016-2012)*(I79-C79))/(2024-2012),0)</f>
        <v>2918</v>
      </c>
      <c r="P79" s="36">
        <f t="shared" si="80"/>
        <v>1968</v>
      </c>
      <c r="Q79" s="36">
        <f t="shared" si="80"/>
        <v>16</v>
      </c>
      <c r="R79" s="36">
        <f t="shared" si="80"/>
        <v>23</v>
      </c>
      <c r="S79" s="36">
        <f t="shared" si="80"/>
        <v>18</v>
      </c>
      <c r="T79" s="36">
        <f t="shared" si="80"/>
        <v>893</v>
      </c>
      <c r="U79" s="36">
        <v>1556.0</v>
      </c>
      <c r="V79" s="31">
        <f t="shared" si="3"/>
        <v>412</v>
      </c>
      <c r="W79" s="31">
        <f t="shared" si="4"/>
        <v>412</v>
      </c>
      <c r="X79" s="32">
        <f t="shared" si="5"/>
        <v>2918</v>
      </c>
      <c r="Y79" s="31">
        <v>75.00000298023224</v>
      </c>
      <c r="Z79" s="33"/>
      <c r="AA79" s="28">
        <v>2811.0</v>
      </c>
      <c r="AB79" s="36">
        <f t="shared" si="7"/>
        <v>3438</v>
      </c>
      <c r="AC79" s="28">
        <v>4691.0</v>
      </c>
      <c r="AD79" s="13"/>
      <c r="AE79" s="13"/>
      <c r="AF79" s="13"/>
      <c r="AG79" s="13"/>
      <c r="AH79" s="13"/>
      <c r="AI79" s="13"/>
      <c r="AJ79" s="13"/>
      <c r="AK79" s="13"/>
      <c r="AL79" s="13"/>
    </row>
    <row r="80" ht="15.75" customHeight="1">
      <c r="A80" s="26">
        <v>20904.0</v>
      </c>
      <c r="B80" s="27" t="s">
        <v>95</v>
      </c>
      <c r="C80" s="28">
        <v>1234.0</v>
      </c>
      <c r="D80" s="28">
        <v>729.0</v>
      </c>
      <c r="E80" s="28">
        <v>99.0</v>
      </c>
      <c r="F80" s="28">
        <v>18.0</v>
      </c>
      <c r="G80" s="28">
        <v>52.0</v>
      </c>
      <c r="H80" s="28">
        <v>336.0</v>
      </c>
      <c r="I80" s="28">
        <v>1777.0</v>
      </c>
      <c r="J80" s="28">
        <v>1040.0</v>
      </c>
      <c r="K80" s="28">
        <v>49.0</v>
      </c>
      <c r="L80" s="28">
        <v>56.0</v>
      </c>
      <c r="M80" s="28">
        <v>22.0</v>
      </c>
      <c r="N80" s="28">
        <v>610.0</v>
      </c>
      <c r="O80" s="29">
        <f t="shared" ref="O80:T80" si="81">ROUND(C80 + ((2016-2012)*(I80-C80))/(2024-2012),0)</f>
        <v>1415</v>
      </c>
      <c r="P80" s="30">
        <f t="shared" si="81"/>
        <v>833</v>
      </c>
      <c r="Q80" s="30">
        <f t="shared" si="81"/>
        <v>82</v>
      </c>
      <c r="R80" s="30">
        <f t="shared" si="81"/>
        <v>31</v>
      </c>
      <c r="S80" s="30">
        <f t="shared" si="81"/>
        <v>42</v>
      </c>
      <c r="T80" s="30">
        <f t="shared" si="81"/>
        <v>427</v>
      </c>
      <c r="U80" s="38">
        <v>277.0</v>
      </c>
      <c r="V80" s="31">
        <f t="shared" si="3"/>
        <v>556</v>
      </c>
      <c r="W80" s="31">
        <f t="shared" si="4"/>
        <v>556</v>
      </c>
      <c r="X80" s="32">
        <f t="shared" si="5"/>
        <v>1415</v>
      </c>
      <c r="Y80" s="31">
        <v>79.00000363588333</v>
      </c>
      <c r="Z80" s="33"/>
      <c r="AA80" s="28">
        <v>1369.0</v>
      </c>
      <c r="AB80" s="30">
        <f t="shared" si="7"/>
        <v>1608</v>
      </c>
      <c r="AC80" s="28">
        <v>2086.0</v>
      </c>
      <c r="AD80" s="13"/>
      <c r="AE80" s="13"/>
      <c r="AF80" s="13"/>
      <c r="AG80" s="13"/>
      <c r="AH80" s="13"/>
      <c r="AI80" s="13"/>
      <c r="AJ80" s="13"/>
      <c r="AK80" s="13"/>
      <c r="AL80" s="13"/>
    </row>
    <row r="81" ht="15.75" customHeight="1">
      <c r="A81" s="34">
        <v>20905.0</v>
      </c>
      <c r="B81" s="35" t="s">
        <v>96</v>
      </c>
      <c r="C81" s="28">
        <v>3070.0</v>
      </c>
      <c r="D81" s="28">
        <v>2409.0</v>
      </c>
      <c r="E81" s="28">
        <v>4.0</v>
      </c>
      <c r="F81" s="28">
        <v>6.0</v>
      </c>
      <c r="G81" s="28">
        <v>1.0</v>
      </c>
      <c r="H81" s="28">
        <v>650.0</v>
      </c>
      <c r="I81" s="28">
        <v>4892.0</v>
      </c>
      <c r="J81" s="28">
        <v>4132.0</v>
      </c>
      <c r="K81" s="28">
        <v>9.0</v>
      </c>
      <c r="L81" s="28">
        <v>47.0</v>
      </c>
      <c r="M81" s="28">
        <v>13.0</v>
      </c>
      <c r="N81" s="28">
        <v>691.0</v>
      </c>
      <c r="O81" s="29">
        <f t="shared" ref="O81:T81" si="82">ROUND(C81 + ((2016-2012)*(I81-C81))/(2024-2012),0)</f>
        <v>3677</v>
      </c>
      <c r="P81" s="36">
        <f t="shared" si="82"/>
        <v>2983</v>
      </c>
      <c r="Q81" s="36">
        <f t="shared" si="82"/>
        <v>6</v>
      </c>
      <c r="R81" s="36">
        <f t="shared" si="82"/>
        <v>20</v>
      </c>
      <c r="S81" s="36">
        <f t="shared" si="82"/>
        <v>5</v>
      </c>
      <c r="T81" s="36">
        <f t="shared" si="82"/>
        <v>664</v>
      </c>
      <c r="U81" s="36">
        <v>2171.0</v>
      </c>
      <c r="V81" s="31">
        <f t="shared" si="3"/>
        <v>812</v>
      </c>
      <c r="W81" s="31">
        <f t="shared" si="4"/>
        <v>812</v>
      </c>
      <c r="X81" s="32">
        <f t="shared" si="5"/>
        <v>3678</v>
      </c>
      <c r="Y81" s="31">
        <v>100.00000149011612</v>
      </c>
      <c r="Z81" s="33"/>
      <c r="AA81" s="28">
        <v>3146.0</v>
      </c>
      <c r="AB81" s="36">
        <f t="shared" si="7"/>
        <v>3966</v>
      </c>
      <c r="AC81" s="28">
        <v>5606.0</v>
      </c>
      <c r="AD81" s="13"/>
      <c r="AE81" s="13"/>
      <c r="AF81" s="13"/>
      <c r="AG81" s="13"/>
      <c r="AH81" s="13"/>
      <c r="AI81" s="13"/>
      <c r="AJ81" s="13"/>
      <c r="AK81" s="13"/>
      <c r="AL81" s="13"/>
    </row>
    <row r="82" ht="15.75" customHeight="1">
      <c r="A82" s="26">
        <v>21001.0</v>
      </c>
      <c r="B82" s="27" t="s">
        <v>97</v>
      </c>
      <c r="C82" s="28">
        <v>4894.0</v>
      </c>
      <c r="D82" s="28">
        <v>1107.0</v>
      </c>
      <c r="E82" s="28">
        <v>86.0</v>
      </c>
      <c r="F82" s="28">
        <v>505.0</v>
      </c>
      <c r="G82" s="28">
        <v>140.0</v>
      </c>
      <c r="H82" s="28">
        <v>3056.0</v>
      </c>
      <c r="I82" s="28">
        <v>7144.0</v>
      </c>
      <c r="J82" s="28">
        <v>3536.0</v>
      </c>
      <c r="K82" s="28">
        <v>109.0</v>
      </c>
      <c r="L82" s="28">
        <v>1186.0</v>
      </c>
      <c r="M82" s="28">
        <v>109.0</v>
      </c>
      <c r="N82" s="28">
        <v>2204.0</v>
      </c>
      <c r="O82" s="29">
        <f t="shared" ref="O82:T82" si="83">ROUND(C82 + ((2016-2012)*(I82-C82))/(2024-2012),0)</f>
        <v>5644</v>
      </c>
      <c r="P82" s="30">
        <f t="shared" si="83"/>
        <v>1917</v>
      </c>
      <c r="Q82" s="30">
        <f t="shared" si="83"/>
        <v>94</v>
      </c>
      <c r="R82" s="30">
        <f t="shared" si="83"/>
        <v>732</v>
      </c>
      <c r="S82" s="30">
        <f t="shared" si="83"/>
        <v>130</v>
      </c>
      <c r="T82" s="30">
        <f t="shared" si="83"/>
        <v>2772</v>
      </c>
      <c r="U82" s="30">
        <v>2224.0</v>
      </c>
      <c r="V82" s="31">
        <f t="shared" si="3"/>
        <v>-307</v>
      </c>
      <c r="W82" s="31">
        <f t="shared" si="4"/>
        <v>0</v>
      </c>
      <c r="X82" s="32">
        <f t="shared" si="5"/>
        <v>5952</v>
      </c>
      <c r="Y82" s="31">
        <v>90.00000357627869</v>
      </c>
      <c r="Z82" s="33"/>
      <c r="AA82" s="28">
        <v>5428.0</v>
      </c>
      <c r="AB82" s="30">
        <f t="shared" si="7"/>
        <v>6426</v>
      </c>
      <c r="AC82" s="28">
        <v>8423.0</v>
      </c>
      <c r="AD82" s="13"/>
      <c r="AE82" s="13"/>
      <c r="AF82" s="13"/>
      <c r="AG82" s="13"/>
      <c r="AH82" s="13"/>
      <c r="AI82" s="13"/>
      <c r="AJ82" s="13"/>
      <c r="AK82" s="13"/>
      <c r="AL82" s="13"/>
    </row>
    <row r="83" ht="15.75" customHeight="1">
      <c r="A83" s="34">
        <v>21002.0</v>
      </c>
      <c r="B83" s="35" t="s">
        <v>98</v>
      </c>
      <c r="C83" s="28">
        <v>3387.0</v>
      </c>
      <c r="D83" s="28">
        <v>2395.0</v>
      </c>
      <c r="E83" s="28">
        <v>34.0</v>
      </c>
      <c r="F83" s="28">
        <v>34.0</v>
      </c>
      <c r="G83" s="28">
        <v>52.0</v>
      </c>
      <c r="H83" s="28">
        <v>872.0</v>
      </c>
      <c r="I83" s="28">
        <v>4434.0</v>
      </c>
      <c r="J83" s="28">
        <v>3434.0</v>
      </c>
      <c r="K83" s="28">
        <v>72.0</v>
      </c>
      <c r="L83" s="28">
        <v>103.0</v>
      </c>
      <c r="M83" s="28">
        <v>70.0</v>
      </c>
      <c r="N83" s="28">
        <v>755.0</v>
      </c>
      <c r="O83" s="29">
        <f t="shared" ref="O83:T83" si="84">ROUND(C83 + ((2016-2012)*(I83-C83))/(2024-2012),0)</f>
        <v>3736</v>
      </c>
      <c r="P83" s="36">
        <f t="shared" si="84"/>
        <v>2741</v>
      </c>
      <c r="Q83" s="36">
        <f t="shared" si="84"/>
        <v>47</v>
      </c>
      <c r="R83" s="36">
        <f t="shared" si="84"/>
        <v>57</v>
      </c>
      <c r="S83" s="36">
        <f t="shared" si="84"/>
        <v>58</v>
      </c>
      <c r="T83" s="36">
        <f t="shared" si="84"/>
        <v>833</v>
      </c>
      <c r="U83" s="36">
        <v>1410.0</v>
      </c>
      <c r="V83" s="31">
        <f t="shared" si="3"/>
        <v>1331</v>
      </c>
      <c r="W83" s="31">
        <f t="shared" si="4"/>
        <v>1331</v>
      </c>
      <c r="X83" s="32">
        <f t="shared" si="5"/>
        <v>3736</v>
      </c>
      <c r="Y83" s="31">
        <v>266.00000262260437</v>
      </c>
      <c r="Z83" s="33"/>
      <c r="AA83" s="28">
        <v>3858.0</v>
      </c>
      <c r="AB83" s="36">
        <f t="shared" si="7"/>
        <v>4416</v>
      </c>
      <c r="AC83" s="28">
        <v>5532.0</v>
      </c>
      <c r="AD83" s="13"/>
      <c r="AE83" s="13"/>
      <c r="AF83" s="13"/>
      <c r="AG83" s="13"/>
      <c r="AH83" s="13"/>
      <c r="AI83" s="13"/>
      <c r="AJ83" s="13"/>
      <c r="AK83" s="13"/>
      <c r="AL83" s="13"/>
    </row>
    <row r="84" ht="15.75" customHeight="1">
      <c r="A84" s="26">
        <v>21003.0</v>
      </c>
      <c r="B84" s="27" t="s">
        <v>99</v>
      </c>
      <c r="C84" s="28">
        <v>3019.0</v>
      </c>
      <c r="D84" s="28">
        <v>2490.0</v>
      </c>
      <c r="E84" s="28">
        <v>11.0</v>
      </c>
      <c r="F84" s="28">
        <v>10.0</v>
      </c>
      <c r="G84" s="28">
        <v>24.0</v>
      </c>
      <c r="H84" s="28">
        <v>484.0</v>
      </c>
      <c r="I84" s="28">
        <v>5809.0</v>
      </c>
      <c r="J84" s="28">
        <v>4995.0</v>
      </c>
      <c r="K84" s="28">
        <v>22.0</v>
      </c>
      <c r="L84" s="28">
        <v>60.0</v>
      </c>
      <c r="M84" s="28">
        <v>6.0</v>
      </c>
      <c r="N84" s="28">
        <v>726.0</v>
      </c>
      <c r="O84" s="29">
        <f t="shared" ref="O84:T84" si="85">ROUND(C84 + ((2016-2012)*(I84-C84))/(2024-2012),0)</f>
        <v>3949</v>
      </c>
      <c r="P84" s="30">
        <f t="shared" si="85"/>
        <v>3325</v>
      </c>
      <c r="Q84" s="30">
        <f t="shared" si="85"/>
        <v>15</v>
      </c>
      <c r="R84" s="30">
        <f t="shared" si="85"/>
        <v>27</v>
      </c>
      <c r="S84" s="30">
        <f t="shared" si="85"/>
        <v>18</v>
      </c>
      <c r="T84" s="30">
        <f t="shared" si="85"/>
        <v>565</v>
      </c>
      <c r="U84" s="30">
        <v>3407.0</v>
      </c>
      <c r="V84" s="31">
        <f t="shared" si="3"/>
        <v>-82</v>
      </c>
      <c r="W84" s="31">
        <f t="shared" si="4"/>
        <v>0</v>
      </c>
      <c r="X84" s="32">
        <f t="shared" si="5"/>
        <v>4032</v>
      </c>
      <c r="Y84" s="31">
        <v>365.9999966621399</v>
      </c>
      <c r="Z84" s="33"/>
      <c r="AA84" s="28">
        <v>3121.0</v>
      </c>
      <c r="AB84" s="30">
        <f t="shared" si="7"/>
        <v>4222</v>
      </c>
      <c r="AC84" s="28">
        <v>6424.0</v>
      </c>
      <c r="AD84" s="13"/>
      <c r="AE84" s="13"/>
      <c r="AF84" s="13"/>
      <c r="AG84" s="13"/>
      <c r="AH84" s="13"/>
      <c r="AI84" s="13"/>
      <c r="AJ84" s="13"/>
      <c r="AK84" s="13"/>
      <c r="AL84" s="13"/>
    </row>
    <row r="85" ht="15.75" customHeight="1">
      <c r="A85" s="34">
        <v>21004.0</v>
      </c>
      <c r="B85" s="35" t="s">
        <v>100</v>
      </c>
      <c r="C85" s="28">
        <v>5830.0</v>
      </c>
      <c r="D85" s="28">
        <v>4497.0</v>
      </c>
      <c r="E85" s="28">
        <v>7.0</v>
      </c>
      <c r="F85" s="28">
        <v>14.0</v>
      </c>
      <c r="G85" s="28">
        <v>10.0</v>
      </c>
      <c r="H85" s="28">
        <v>1302.0</v>
      </c>
      <c r="I85" s="28">
        <v>7870.0</v>
      </c>
      <c r="J85" s="28">
        <v>6428.0</v>
      </c>
      <c r="K85" s="28">
        <v>20.0</v>
      </c>
      <c r="L85" s="28">
        <v>88.0</v>
      </c>
      <c r="M85" s="28">
        <v>27.0</v>
      </c>
      <c r="N85" s="28">
        <v>1307.0</v>
      </c>
      <c r="O85" s="29">
        <f t="shared" ref="O85:T85" si="86">ROUND(C85 + ((2016-2012)*(I85-C85))/(2024-2012),0)</f>
        <v>6510</v>
      </c>
      <c r="P85" s="36">
        <f t="shared" si="86"/>
        <v>5141</v>
      </c>
      <c r="Q85" s="36">
        <f t="shared" si="86"/>
        <v>11</v>
      </c>
      <c r="R85" s="36">
        <f t="shared" si="86"/>
        <v>39</v>
      </c>
      <c r="S85" s="36">
        <f t="shared" si="86"/>
        <v>16</v>
      </c>
      <c r="T85" s="36">
        <f t="shared" si="86"/>
        <v>1304</v>
      </c>
      <c r="U85" s="36">
        <v>1968.0</v>
      </c>
      <c r="V85" s="31">
        <f t="shared" si="3"/>
        <v>3173</v>
      </c>
      <c r="W85" s="31">
        <f t="shared" si="4"/>
        <v>3173</v>
      </c>
      <c r="X85" s="32">
        <f t="shared" si="5"/>
        <v>6511</v>
      </c>
      <c r="Y85" s="31">
        <v>64.00000303983688</v>
      </c>
      <c r="Z85" s="33"/>
      <c r="AA85" s="28">
        <v>6196.0</v>
      </c>
      <c r="AB85" s="36">
        <f t="shared" si="7"/>
        <v>7387</v>
      </c>
      <c r="AC85" s="28">
        <v>9768.0</v>
      </c>
      <c r="AD85" s="13"/>
      <c r="AE85" s="13"/>
      <c r="AF85" s="13"/>
      <c r="AG85" s="13"/>
      <c r="AH85" s="13"/>
      <c r="AI85" s="13"/>
      <c r="AJ85" s="13"/>
      <c r="AK85" s="13"/>
      <c r="AL85" s="13"/>
    </row>
    <row r="86" ht="15.75" customHeight="1">
      <c r="A86" s="26">
        <v>21005.0</v>
      </c>
      <c r="B86" s="27" t="s">
        <v>101</v>
      </c>
      <c r="C86" s="28">
        <v>1695.0</v>
      </c>
      <c r="D86" s="28">
        <v>781.0</v>
      </c>
      <c r="E86" s="28">
        <v>6.0</v>
      </c>
      <c r="F86" s="28">
        <v>1.0</v>
      </c>
      <c r="G86" s="28">
        <v>8.0</v>
      </c>
      <c r="H86" s="28">
        <v>899.0</v>
      </c>
      <c r="I86" s="28">
        <v>3455.0</v>
      </c>
      <c r="J86" s="28">
        <v>2057.0</v>
      </c>
      <c r="K86" s="28">
        <v>31.0</v>
      </c>
      <c r="L86" s="28">
        <v>52.0</v>
      </c>
      <c r="M86" s="28">
        <v>11.0</v>
      </c>
      <c r="N86" s="28">
        <v>1304.0</v>
      </c>
      <c r="O86" s="29">
        <f t="shared" ref="O86:T86" si="87">ROUND(C86 + ((2016-2012)*(I86-C86))/(2024-2012),0)</f>
        <v>2282</v>
      </c>
      <c r="P86" s="30">
        <f t="shared" si="87"/>
        <v>1206</v>
      </c>
      <c r="Q86" s="30">
        <f t="shared" si="87"/>
        <v>14</v>
      </c>
      <c r="R86" s="30">
        <f t="shared" si="87"/>
        <v>18</v>
      </c>
      <c r="S86" s="30">
        <f t="shared" si="87"/>
        <v>9</v>
      </c>
      <c r="T86" s="30">
        <f t="shared" si="87"/>
        <v>1034</v>
      </c>
      <c r="U86" s="30">
        <v>1039.0</v>
      </c>
      <c r="V86" s="31">
        <f t="shared" si="3"/>
        <v>167</v>
      </c>
      <c r="W86" s="31">
        <f t="shared" si="4"/>
        <v>167</v>
      </c>
      <c r="X86" s="32">
        <f t="shared" si="5"/>
        <v>2281</v>
      </c>
      <c r="Y86" s="31">
        <v>64.99999761581421</v>
      </c>
      <c r="Z86" s="33"/>
      <c r="AA86" s="28">
        <v>1815.0</v>
      </c>
      <c r="AB86" s="30">
        <f t="shared" si="7"/>
        <v>2510</v>
      </c>
      <c r="AC86" s="28">
        <v>3900.0</v>
      </c>
      <c r="AD86" s="13"/>
      <c r="AE86" s="13"/>
      <c r="AF86" s="13"/>
      <c r="AG86" s="13"/>
      <c r="AH86" s="13"/>
      <c r="AI86" s="13"/>
      <c r="AJ86" s="13"/>
      <c r="AK86" s="13"/>
      <c r="AL86" s="13"/>
    </row>
    <row r="87" ht="15.75" customHeight="1">
      <c r="A87" s="34">
        <v>21006.0</v>
      </c>
      <c r="B87" s="35" t="s">
        <v>102</v>
      </c>
      <c r="C87" s="28">
        <v>1021.0</v>
      </c>
      <c r="D87" s="28">
        <v>561.0</v>
      </c>
      <c r="E87" s="28">
        <v>3.0</v>
      </c>
      <c r="F87" s="28">
        <v>5.0</v>
      </c>
      <c r="G87" s="28">
        <v>1.0</v>
      </c>
      <c r="H87" s="28">
        <v>451.0</v>
      </c>
      <c r="I87" s="28">
        <v>1871.0</v>
      </c>
      <c r="J87" s="28">
        <v>1585.0</v>
      </c>
      <c r="K87" s="28">
        <v>12.0</v>
      </c>
      <c r="L87" s="28">
        <v>6.0</v>
      </c>
      <c r="M87" s="28">
        <v>5.0</v>
      </c>
      <c r="N87" s="28">
        <v>263.0</v>
      </c>
      <c r="O87" s="29">
        <f t="shared" ref="O87:T87" si="88">ROUND(C87 + ((2016-2012)*(I87-C87))/(2024-2012),0)</f>
        <v>1304</v>
      </c>
      <c r="P87" s="36">
        <f t="shared" si="88"/>
        <v>902</v>
      </c>
      <c r="Q87" s="36">
        <f t="shared" si="88"/>
        <v>6</v>
      </c>
      <c r="R87" s="36">
        <f t="shared" si="88"/>
        <v>5</v>
      </c>
      <c r="S87" s="36">
        <f t="shared" si="88"/>
        <v>2</v>
      </c>
      <c r="T87" s="36">
        <f t="shared" si="88"/>
        <v>388</v>
      </c>
      <c r="U87" s="37">
        <v>649.0</v>
      </c>
      <c r="V87" s="31">
        <f t="shared" si="3"/>
        <v>253</v>
      </c>
      <c r="W87" s="31">
        <f t="shared" si="4"/>
        <v>253</v>
      </c>
      <c r="X87" s="32">
        <f t="shared" si="5"/>
        <v>1303</v>
      </c>
      <c r="Y87" s="31">
        <v>182.99999833106995</v>
      </c>
      <c r="Z87" s="33"/>
      <c r="AA87" s="28">
        <v>1022.0</v>
      </c>
      <c r="AB87" s="36">
        <f t="shared" si="7"/>
        <v>1326</v>
      </c>
      <c r="AC87" s="28">
        <v>1934.0</v>
      </c>
      <c r="AD87" s="13"/>
      <c r="AE87" s="13"/>
      <c r="AF87" s="13"/>
      <c r="AG87" s="13"/>
      <c r="AH87" s="13"/>
      <c r="AI87" s="13"/>
      <c r="AJ87" s="13"/>
      <c r="AK87" s="13"/>
      <c r="AL87" s="13"/>
    </row>
    <row r="88" ht="15.75" customHeight="1">
      <c r="A88" s="26">
        <v>21101.0</v>
      </c>
      <c r="B88" s="27" t="s">
        <v>103</v>
      </c>
      <c r="C88" s="28">
        <v>6079.0</v>
      </c>
      <c r="D88" s="28">
        <v>4871.0</v>
      </c>
      <c r="E88" s="28">
        <v>12.0</v>
      </c>
      <c r="F88" s="28">
        <v>16.0</v>
      </c>
      <c r="G88" s="28">
        <v>27.0</v>
      </c>
      <c r="H88" s="28">
        <v>1153.0</v>
      </c>
      <c r="I88" s="28">
        <v>7214.0</v>
      </c>
      <c r="J88" s="28">
        <v>6533.0</v>
      </c>
      <c r="K88" s="28">
        <v>53.0</v>
      </c>
      <c r="L88" s="28">
        <v>25.0</v>
      </c>
      <c r="M88" s="28">
        <v>17.0</v>
      </c>
      <c r="N88" s="28">
        <v>586.0</v>
      </c>
      <c r="O88" s="29">
        <f t="shared" ref="O88:T88" si="89">ROUND(C88 + ((2016-2012)*(I88-C88))/(2024-2012),0)</f>
        <v>6457</v>
      </c>
      <c r="P88" s="30">
        <f t="shared" si="89"/>
        <v>5425</v>
      </c>
      <c r="Q88" s="30">
        <f t="shared" si="89"/>
        <v>26</v>
      </c>
      <c r="R88" s="30">
        <f t="shared" si="89"/>
        <v>19</v>
      </c>
      <c r="S88" s="30">
        <f t="shared" si="89"/>
        <v>24</v>
      </c>
      <c r="T88" s="30">
        <f t="shared" si="89"/>
        <v>964</v>
      </c>
      <c r="U88" s="30">
        <v>4610.0</v>
      </c>
      <c r="V88" s="31">
        <f t="shared" si="3"/>
        <v>815</v>
      </c>
      <c r="W88" s="31">
        <f t="shared" si="4"/>
        <v>815</v>
      </c>
      <c r="X88" s="32">
        <f t="shared" si="5"/>
        <v>6458</v>
      </c>
      <c r="Y88" s="31">
        <v>444.9999928474426</v>
      </c>
      <c r="Z88" s="33"/>
      <c r="AA88" s="28">
        <v>6759.0</v>
      </c>
      <c r="AB88" s="30">
        <f t="shared" si="7"/>
        <v>7512</v>
      </c>
      <c r="AC88" s="28">
        <v>9017.0</v>
      </c>
      <c r="AD88" s="13"/>
      <c r="AE88" s="13"/>
      <c r="AF88" s="13"/>
      <c r="AG88" s="13"/>
      <c r="AH88" s="13"/>
      <c r="AI88" s="13"/>
      <c r="AJ88" s="13"/>
      <c r="AK88" s="13"/>
      <c r="AL88" s="13"/>
    </row>
    <row r="89" ht="15.75" customHeight="1">
      <c r="A89" s="34">
        <v>21102.0</v>
      </c>
      <c r="B89" s="35" t="s">
        <v>104</v>
      </c>
      <c r="C89" s="28">
        <v>6499.0</v>
      </c>
      <c r="D89" s="28">
        <v>4033.0</v>
      </c>
      <c r="E89" s="28">
        <v>75.0</v>
      </c>
      <c r="F89" s="28">
        <v>151.0</v>
      </c>
      <c r="G89" s="28">
        <v>69.0</v>
      </c>
      <c r="H89" s="28">
        <v>2171.0</v>
      </c>
      <c r="I89" s="28">
        <v>9458.0</v>
      </c>
      <c r="J89" s="28">
        <v>7801.0</v>
      </c>
      <c r="K89" s="28">
        <v>55.0</v>
      </c>
      <c r="L89" s="28">
        <v>102.0</v>
      </c>
      <c r="M89" s="28">
        <v>37.0</v>
      </c>
      <c r="N89" s="28">
        <v>1463.0</v>
      </c>
      <c r="O89" s="29">
        <f t="shared" ref="O89:T89" si="90">ROUND(C89 + ((2016-2012)*(I89-C89))/(2024-2012),0)</f>
        <v>7485</v>
      </c>
      <c r="P89" s="36">
        <f t="shared" si="90"/>
        <v>5289</v>
      </c>
      <c r="Q89" s="36">
        <f t="shared" si="90"/>
        <v>68</v>
      </c>
      <c r="R89" s="36">
        <f t="shared" si="90"/>
        <v>135</v>
      </c>
      <c r="S89" s="36">
        <f t="shared" si="90"/>
        <v>58</v>
      </c>
      <c r="T89" s="36">
        <f t="shared" si="90"/>
        <v>1935</v>
      </c>
      <c r="U89" s="36">
        <v>4369.0</v>
      </c>
      <c r="V89" s="31">
        <f t="shared" si="3"/>
        <v>920</v>
      </c>
      <c r="W89" s="31">
        <f t="shared" si="4"/>
        <v>920</v>
      </c>
      <c r="X89" s="32">
        <f t="shared" si="5"/>
        <v>7485</v>
      </c>
      <c r="Y89" s="31">
        <v>259.99999046325684</v>
      </c>
      <c r="Z89" s="33"/>
      <c r="AA89" s="28">
        <v>7224.0</v>
      </c>
      <c r="AB89" s="36">
        <f t="shared" si="7"/>
        <v>8583</v>
      </c>
      <c r="AC89" s="28">
        <v>11302.0</v>
      </c>
      <c r="AD89" s="13"/>
      <c r="AE89" s="13"/>
      <c r="AF89" s="13"/>
      <c r="AG89" s="13"/>
      <c r="AH89" s="13"/>
      <c r="AI89" s="13"/>
      <c r="AJ89" s="13"/>
      <c r="AK89" s="13"/>
      <c r="AL89" s="13"/>
    </row>
    <row r="90" ht="15.75" customHeight="1">
      <c r="A90" s="26">
        <v>21103.0</v>
      </c>
      <c r="B90" s="27" t="s">
        <v>105</v>
      </c>
      <c r="C90" s="28">
        <v>2308.0</v>
      </c>
      <c r="D90" s="28">
        <v>1938.0</v>
      </c>
      <c r="E90" s="28">
        <v>8.0</v>
      </c>
      <c r="F90" s="28">
        <v>14.0</v>
      </c>
      <c r="G90" s="28">
        <v>3.0</v>
      </c>
      <c r="H90" s="28">
        <v>345.0</v>
      </c>
      <c r="I90" s="28">
        <v>2998.0</v>
      </c>
      <c r="J90" s="28">
        <v>2470.0</v>
      </c>
      <c r="K90" s="28">
        <v>71.0</v>
      </c>
      <c r="L90" s="28">
        <v>41.0</v>
      </c>
      <c r="M90" s="28">
        <v>115.0</v>
      </c>
      <c r="N90" s="28">
        <v>301.0</v>
      </c>
      <c r="O90" s="29">
        <f t="shared" ref="O90:T90" si="91">ROUND(C90 + ((2016-2012)*(I90-C90))/(2024-2012),0)</f>
        <v>2538</v>
      </c>
      <c r="P90" s="30">
        <f t="shared" si="91"/>
        <v>2115</v>
      </c>
      <c r="Q90" s="30">
        <f t="shared" si="91"/>
        <v>29</v>
      </c>
      <c r="R90" s="30">
        <f t="shared" si="91"/>
        <v>23</v>
      </c>
      <c r="S90" s="30">
        <f t="shared" si="91"/>
        <v>40</v>
      </c>
      <c r="T90" s="30">
        <f t="shared" si="91"/>
        <v>330</v>
      </c>
      <c r="U90" s="30">
        <v>1395.0</v>
      </c>
      <c r="V90" s="31">
        <f t="shared" si="3"/>
        <v>720</v>
      </c>
      <c r="W90" s="31">
        <f t="shared" si="4"/>
        <v>720</v>
      </c>
      <c r="X90" s="32">
        <f t="shared" si="5"/>
        <v>2537</v>
      </c>
      <c r="Y90" s="31">
        <v>360.00001430511475</v>
      </c>
      <c r="Z90" s="33"/>
      <c r="AA90" s="28">
        <v>2403.0</v>
      </c>
      <c r="AB90" s="30">
        <f t="shared" si="7"/>
        <v>2735</v>
      </c>
      <c r="AC90" s="28">
        <v>3400.0</v>
      </c>
      <c r="AD90" s="13"/>
      <c r="AE90" s="13"/>
      <c r="AF90" s="13"/>
      <c r="AG90" s="13"/>
      <c r="AH90" s="13"/>
      <c r="AI90" s="13"/>
      <c r="AJ90" s="13"/>
      <c r="AK90" s="13"/>
      <c r="AL90" s="13"/>
    </row>
    <row r="91" ht="15.75" customHeight="1">
      <c r="A91" s="34">
        <v>21104.0</v>
      </c>
      <c r="B91" s="35" t="s">
        <v>106</v>
      </c>
      <c r="C91" s="28">
        <v>9246.0</v>
      </c>
      <c r="D91" s="28">
        <v>4908.0</v>
      </c>
      <c r="E91" s="28">
        <v>69.0</v>
      </c>
      <c r="F91" s="28">
        <v>39.0</v>
      </c>
      <c r="G91" s="28">
        <v>80.0</v>
      </c>
      <c r="H91" s="28">
        <v>4150.0</v>
      </c>
      <c r="I91" s="28">
        <v>11630.0</v>
      </c>
      <c r="J91" s="28">
        <v>7134.0</v>
      </c>
      <c r="K91" s="28">
        <v>64.0</v>
      </c>
      <c r="L91" s="28">
        <v>188.0</v>
      </c>
      <c r="M91" s="28">
        <v>127.0</v>
      </c>
      <c r="N91" s="28">
        <v>4117.0</v>
      </c>
      <c r="O91" s="29">
        <f t="shared" ref="O91:T91" si="92">ROUND(C91 + ((2016-2012)*(I91-C91))/(2024-2012),0)</f>
        <v>10041</v>
      </c>
      <c r="P91" s="36">
        <f t="shared" si="92"/>
        <v>5650</v>
      </c>
      <c r="Q91" s="36">
        <f t="shared" si="92"/>
        <v>67</v>
      </c>
      <c r="R91" s="36">
        <f t="shared" si="92"/>
        <v>89</v>
      </c>
      <c r="S91" s="36">
        <f t="shared" si="92"/>
        <v>96</v>
      </c>
      <c r="T91" s="36">
        <f t="shared" si="92"/>
        <v>4139</v>
      </c>
      <c r="U91" s="36">
        <v>5345.0</v>
      </c>
      <c r="V91" s="31">
        <f t="shared" si="3"/>
        <v>305</v>
      </c>
      <c r="W91" s="31">
        <f t="shared" si="4"/>
        <v>305</v>
      </c>
      <c r="X91" s="32">
        <f t="shared" si="5"/>
        <v>10041</v>
      </c>
      <c r="Y91" s="31">
        <v>316.0000145435333</v>
      </c>
      <c r="Z91" s="33"/>
      <c r="AA91" s="28">
        <v>9660.0</v>
      </c>
      <c r="AB91" s="36">
        <f t="shared" si="7"/>
        <v>10765</v>
      </c>
      <c r="AC91" s="28">
        <v>12975.0</v>
      </c>
      <c r="AD91" s="13"/>
      <c r="AE91" s="13"/>
      <c r="AF91" s="13"/>
      <c r="AG91" s="13"/>
      <c r="AH91" s="13"/>
      <c r="AI91" s="13"/>
      <c r="AJ91" s="13"/>
      <c r="AK91" s="13"/>
      <c r="AL91" s="13"/>
    </row>
    <row r="92" ht="15.75" customHeight="1">
      <c r="A92" s="26">
        <v>21105.0</v>
      </c>
      <c r="B92" s="27" t="s">
        <v>107</v>
      </c>
      <c r="C92" s="28">
        <v>13638.0</v>
      </c>
      <c r="D92" s="28">
        <v>1307.0</v>
      </c>
      <c r="E92" s="28">
        <v>1624.0</v>
      </c>
      <c r="F92" s="28">
        <v>300.0</v>
      </c>
      <c r="G92" s="28">
        <v>1986.0</v>
      </c>
      <c r="H92" s="28">
        <v>8421.0</v>
      </c>
      <c r="I92" s="28">
        <v>18380.0</v>
      </c>
      <c r="J92" s="28">
        <v>13089.0</v>
      </c>
      <c r="K92" s="28">
        <v>131.0</v>
      </c>
      <c r="L92" s="28">
        <v>572.0</v>
      </c>
      <c r="M92" s="28">
        <v>72.0</v>
      </c>
      <c r="N92" s="28">
        <v>4516.0</v>
      </c>
      <c r="O92" s="29">
        <f t="shared" ref="O92:T92" si="93">ROUND(C92 + ((2016-2012)*(I92-C92))/(2024-2012),0)</f>
        <v>15219</v>
      </c>
      <c r="P92" s="30">
        <f t="shared" si="93"/>
        <v>5234</v>
      </c>
      <c r="Q92" s="30">
        <f t="shared" si="93"/>
        <v>1126</v>
      </c>
      <c r="R92" s="30">
        <f t="shared" si="93"/>
        <v>391</v>
      </c>
      <c r="S92" s="30">
        <f t="shared" si="93"/>
        <v>1348</v>
      </c>
      <c r="T92" s="30">
        <f t="shared" si="93"/>
        <v>7119</v>
      </c>
      <c r="U92" s="30">
        <v>7001.0</v>
      </c>
      <c r="V92" s="31">
        <f t="shared" si="3"/>
        <v>-1767</v>
      </c>
      <c r="W92" s="31">
        <f t="shared" si="4"/>
        <v>0</v>
      </c>
      <c r="X92" s="32">
        <f t="shared" si="5"/>
        <v>16985</v>
      </c>
      <c r="Y92" s="31">
        <v>268.99999380111694</v>
      </c>
      <c r="Z92" s="33"/>
      <c r="AA92" s="28">
        <v>14539.0</v>
      </c>
      <c r="AB92" s="30">
        <f t="shared" si="7"/>
        <v>16753</v>
      </c>
      <c r="AC92" s="28">
        <v>21182.0</v>
      </c>
      <c r="AD92" s="13"/>
      <c r="AE92" s="13"/>
      <c r="AF92" s="13"/>
      <c r="AG92" s="13"/>
      <c r="AH92" s="13"/>
      <c r="AI92" s="13"/>
      <c r="AJ92" s="13"/>
      <c r="AK92" s="13"/>
      <c r="AL92" s="13"/>
    </row>
    <row r="93" ht="15.75" customHeight="1">
      <c r="A93" s="34">
        <v>21201.0</v>
      </c>
      <c r="B93" s="35" t="s">
        <v>108</v>
      </c>
      <c r="C93" s="28">
        <v>11121.0</v>
      </c>
      <c r="D93" s="28">
        <v>7055.0</v>
      </c>
      <c r="E93" s="28">
        <v>25.0</v>
      </c>
      <c r="F93" s="28">
        <v>102.0</v>
      </c>
      <c r="G93" s="28">
        <v>166.0</v>
      </c>
      <c r="H93" s="28">
        <v>3773.0</v>
      </c>
      <c r="I93" s="28">
        <v>21459.0</v>
      </c>
      <c r="J93" s="28">
        <v>15390.0</v>
      </c>
      <c r="K93" s="28">
        <v>62.0</v>
      </c>
      <c r="L93" s="28">
        <v>312.0</v>
      </c>
      <c r="M93" s="28">
        <v>307.0</v>
      </c>
      <c r="N93" s="28">
        <v>5388.0</v>
      </c>
      <c r="O93" s="29">
        <f t="shared" ref="O93:T93" si="94">ROUND(C93 + ((2016-2012)*(I93-C93))/(2024-2012),0)</f>
        <v>14567</v>
      </c>
      <c r="P93" s="36">
        <f t="shared" si="94"/>
        <v>9833</v>
      </c>
      <c r="Q93" s="36">
        <f t="shared" si="94"/>
        <v>37</v>
      </c>
      <c r="R93" s="36">
        <f t="shared" si="94"/>
        <v>172</v>
      </c>
      <c r="S93" s="36">
        <f t="shared" si="94"/>
        <v>213</v>
      </c>
      <c r="T93" s="36">
        <f t="shared" si="94"/>
        <v>4311</v>
      </c>
      <c r="U93" s="36">
        <v>6996.0</v>
      </c>
      <c r="V93" s="31">
        <f t="shared" si="3"/>
        <v>2837</v>
      </c>
      <c r="W93" s="31">
        <f t="shared" si="4"/>
        <v>2837</v>
      </c>
      <c r="X93" s="32">
        <f t="shared" si="5"/>
        <v>14566</v>
      </c>
      <c r="Y93" s="31">
        <v>142.50000566244125</v>
      </c>
      <c r="Z93" s="33"/>
      <c r="AA93" s="28">
        <v>12318.0</v>
      </c>
      <c r="AB93" s="36">
        <f t="shared" si="7"/>
        <v>16919</v>
      </c>
      <c r="AC93" s="28">
        <v>26122.0</v>
      </c>
      <c r="AD93" s="13"/>
      <c r="AE93" s="13"/>
      <c r="AF93" s="13"/>
      <c r="AG93" s="13"/>
      <c r="AH93" s="13"/>
      <c r="AI93" s="13"/>
      <c r="AJ93" s="13"/>
      <c r="AK93" s="13"/>
      <c r="AL93" s="13"/>
    </row>
    <row r="94" ht="15.75" customHeight="1">
      <c r="A94" s="26">
        <v>21202.0</v>
      </c>
      <c r="B94" s="27" t="s">
        <v>109</v>
      </c>
      <c r="C94" s="28">
        <v>7761.0</v>
      </c>
      <c r="D94" s="28">
        <v>5379.0</v>
      </c>
      <c r="E94" s="28">
        <v>9.0</v>
      </c>
      <c r="F94" s="28">
        <v>21.0</v>
      </c>
      <c r="G94" s="28">
        <v>51.0</v>
      </c>
      <c r="H94" s="28">
        <v>2301.0</v>
      </c>
      <c r="I94" s="28">
        <v>13613.0</v>
      </c>
      <c r="J94" s="28">
        <v>10527.0</v>
      </c>
      <c r="K94" s="28">
        <v>47.0</v>
      </c>
      <c r="L94" s="28">
        <v>153.0</v>
      </c>
      <c r="M94" s="28">
        <v>148.0</v>
      </c>
      <c r="N94" s="28">
        <v>2738.0</v>
      </c>
      <c r="O94" s="29">
        <f t="shared" ref="O94:T94" si="95">ROUND(C94 + ((2016-2012)*(I94-C94))/(2024-2012),0)</f>
        <v>9712</v>
      </c>
      <c r="P94" s="30">
        <f t="shared" si="95"/>
        <v>7095</v>
      </c>
      <c r="Q94" s="30">
        <f t="shared" si="95"/>
        <v>22</v>
      </c>
      <c r="R94" s="30">
        <f t="shared" si="95"/>
        <v>65</v>
      </c>
      <c r="S94" s="30">
        <f t="shared" si="95"/>
        <v>83</v>
      </c>
      <c r="T94" s="30">
        <f t="shared" si="95"/>
        <v>2447</v>
      </c>
      <c r="U94" s="30">
        <v>7194.0</v>
      </c>
      <c r="V94" s="31">
        <f t="shared" si="3"/>
        <v>-99</v>
      </c>
      <c r="W94" s="31">
        <f t="shared" si="4"/>
        <v>0</v>
      </c>
      <c r="X94" s="32">
        <f t="shared" si="5"/>
        <v>9811</v>
      </c>
      <c r="Y94" s="31">
        <v>127.00000405311584</v>
      </c>
      <c r="Z94" s="33"/>
      <c r="AA94" s="28">
        <v>8012.0</v>
      </c>
      <c r="AB94" s="30">
        <f t="shared" si="7"/>
        <v>10848</v>
      </c>
      <c r="AC94" s="28">
        <v>16521.0</v>
      </c>
      <c r="AD94" s="13"/>
      <c r="AE94" s="13"/>
      <c r="AF94" s="13"/>
      <c r="AG94" s="13"/>
      <c r="AH94" s="13"/>
      <c r="AI94" s="13"/>
      <c r="AJ94" s="13"/>
      <c r="AK94" s="13"/>
      <c r="AL94" s="13"/>
    </row>
    <row r="95" ht="15.75" customHeight="1">
      <c r="A95" s="34">
        <v>21203.0</v>
      </c>
      <c r="B95" s="35" t="s">
        <v>110</v>
      </c>
      <c r="C95" s="28">
        <v>6062.0</v>
      </c>
      <c r="D95" s="28">
        <v>4344.0</v>
      </c>
      <c r="E95" s="28">
        <v>4.0</v>
      </c>
      <c r="F95" s="28">
        <v>12.0</v>
      </c>
      <c r="G95" s="28">
        <v>57.0</v>
      </c>
      <c r="H95" s="28">
        <v>1645.0</v>
      </c>
      <c r="I95" s="28">
        <v>8503.0</v>
      </c>
      <c r="J95" s="28">
        <v>6509.0</v>
      </c>
      <c r="K95" s="28">
        <v>22.0</v>
      </c>
      <c r="L95" s="28">
        <v>93.0</v>
      </c>
      <c r="M95" s="28">
        <v>63.0</v>
      </c>
      <c r="N95" s="28">
        <v>1816.0</v>
      </c>
      <c r="O95" s="29">
        <f t="shared" ref="O95:T95" si="96">ROUND(C95 + ((2016-2012)*(I95-C95))/(2024-2012),0)</f>
        <v>6876</v>
      </c>
      <c r="P95" s="36">
        <f t="shared" si="96"/>
        <v>5066</v>
      </c>
      <c r="Q95" s="36">
        <f t="shared" si="96"/>
        <v>10</v>
      </c>
      <c r="R95" s="36">
        <f t="shared" si="96"/>
        <v>39</v>
      </c>
      <c r="S95" s="36">
        <f t="shared" si="96"/>
        <v>59</v>
      </c>
      <c r="T95" s="36">
        <f t="shared" si="96"/>
        <v>1702</v>
      </c>
      <c r="U95" s="36">
        <v>5088.0</v>
      </c>
      <c r="V95" s="31">
        <f t="shared" si="3"/>
        <v>-22</v>
      </c>
      <c r="W95" s="31">
        <f t="shared" si="4"/>
        <v>0</v>
      </c>
      <c r="X95" s="32">
        <f t="shared" si="5"/>
        <v>6898</v>
      </c>
      <c r="Y95" s="31">
        <v>163.00000250339508</v>
      </c>
      <c r="Z95" s="33"/>
      <c r="AA95" s="28">
        <v>7004.0</v>
      </c>
      <c r="AB95" s="36">
        <f t="shared" si="7"/>
        <v>8163</v>
      </c>
      <c r="AC95" s="28">
        <v>10482.0</v>
      </c>
      <c r="AD95" s="13"/>
      <c r="AE95" s="13"/>
      <c r="AF95" s="13"/>
      <c r="AG95" s="13"/>
      <c r="AH95" s="13"/>
      <c r="AI95" s="13"/>
      <c r="AJ95" s="13"/>
      <c r="AK95" s="13"/>
      <c r="AL95" s="13"/>
    </row>
    <row r="96" ht="15.75" customHeight="1">
      <c r="A96" s="26">
        <v>21204.0</v>
      </c>
      <c r="B96" s="27" t="s">
        <v>111</v>
      </c>
      <c r="C96" s="28">
        <v>2348.0</v>
      </c>
      <c r="D96" s="28">
        <v>1762.0</v>
      </c>
      <c r="E96" s="28">
        <v>4.0</v>
      </c>
      <c r="F96" s="28">
        <v>3.0</v>
      </c>
      <c r="G96" s="28">
        <v>30.0</v>
      </c>
      <c r="H96" s="28">
        <v>549.0</v>
      </c>
      <c r="I96" s="28">
        <v>3188.0</v>
      </c>
      <c r="J96" s="28">
        <v>2497.0</v>
      </c>
      <c r="K96" s="28">
        <v>6.0</v>
      </c>
      <c r="L96" s="28">
        <v>31.0</v>
      </c>
      <c r="M96" s="28">
        <v>26.0</v>
      </c>
      <c r="N96" s="28">
        <v>628.0</v>
      </c>
      <c r="O96" s="29">
        <f t="shared" ref="O96:T96" si="97">ROUND(C96 + ((2016-2012)*(I96-C96))/(2024-2012),0)</f>
        <v>2628</v>
      </c>
      <c r="P96" s="30">
        <f t="shared" si="97"/>
        <v>2007</v>
      </c>
      <c r="Q96" s="30">
        <f t="shared" si="97"/>
        <v>5</v>
      </c>
      <c r="R96" s="30">
        <f t="shared" si="97"/>
        <v>12</v>
      </c>
      <c r="S96" s="30">
        <f t="shared" si="97"/>
        <v>29</v>
      </c>
      <c r="T96" s="30">
        <f t="shared" si="97"/>
        <v>575</v>
      </c>
      <c r="U96" s="38">
        <v>1873.0</v>
      </c>
      <c r="V96" s="31">
        <f t="shared" si="3"/>
        <v>134</v>
      </c>
      <c r="W96" s="31">
        <f t="shared" si="4"/>
        <v>134</v>
      </c>
      <c r="X96" s="32">
        <f t="shared" si="5"/>
        <v>2628</v>
      </c>
      <c r="Y96" s="31">
        <v>100.00000149011612</v>
      </c>
      <c r="Z96" s="33"/>
      <c r="AA96" s="28">
        <v>2564.0</v>
      </c>
      <c r="AB96" s="30">
        <f t="shared" si="7"/>
        <v>2893</v>
      </c>
      <c r="AC96" s="28">
        <v>3552.0</v>
      </c>
      <c r="AD96" s="13"/>
      <c r="AE96" s="13"/>
      <c r="AF96" s="13"/>
      <c r="AG96" s="13"/>
      <c r="AH96" s="13"/>
      <c r="AI96" s="13"/>
      <c r="AJ96" s="13"/>
      <c r="AK96" s="13"/>
      <c r="AL96" s="13"/>
    </row>
    <row r="97" ht="15.75" customHeight="1">
      <c r="A97" s="34">
        <v>21301.0</v>
      </c>
      <c r="B97" s="35" t="s">
        <v>112</v>
      </c>
      <c r="C97" s="28">
        <v>9420.0</v>
      </c>
      <c r="D97" s="28">
        <v>6169.0</v>
      </c>
      <c r="E97" s="28">
        <v>20.0</v>
      </c>
      <c r="F97" s="28">
        <v>13.0</v>
      </c>
      <c r="G97" s="28">
        <v>61.0</v>
      </c>
      <c r="H97" s="28">
        <v>3157.0</v>
      </c>
      <c r="I97" s="28">
        <v>12627.0</v>
      </c>
      <c r="J97" s="28">
        <v>9370.0</v>
      </c>
      <c r="K97" s="28">
        <v>32.0</v>
      </c>
      <c r="L97" s="28">
        <v>94.0</v>
      </c>
      <c r="M97" s="28">
        <v>118.0</v>
      </c>
      <c r="N97" s="28">
        <v>3013.0</v>
      </c>
      <c r="O97" s="29">
        <f t="shared" ref="O97:T97" si="98">ROUND(C97 + ((2016-2012)*(I97-C97))/(2024-2012),0)</f>
        <v>10489</v>
      </c>
      <c r="P97" s="36">
        <f t="shared" si="98"/>
        <v>7236</v>
      </c>
      <c r="Q97" s="36">
        <f t="shared" si="98"/>
        <v>24</v>
      </c>
      <c r="R97" s="36">
        <f t="shared" si="98"/>
        <v>40</v>
      </c>
      <c r="S97" s="36">
        <f t="shared" si="98"/>
        <v>80</v>
      </c>
      <c r="T97" s="36">
        <f t="shared" si="98"/>
        <v>3109</v>
      </c>
      <c r="U97" s="36">
        <v>5055.0</v>
      </c>
      <c r="V97" s="31">
        <f t="shared" si="3"/>
        <v>2181</v>
      </c>
      <c r="W97" s="31">
        <f t="shared" si="4"/>
        <v>2181</v>
      </c>
      <c r="X97" s="32">
        <f t="shared" si="5"/>
        <v>10489</v>
      </c>
      <c r="Y97" s="31">
        <v>134.0000033378601</v>
      </c>
      <c r="Z97" s="33"/>
      <c r="AA97" s="28">
        <v>10511.0</v>
      </c>
      <c r="AB97" s="36">
        <f t="shared" si="7"/>
        <v>12049</v>
      </c>
      <c r="AC97" s="28">
        <v>15126.0</v>
      </c>
      <c r="AD97" s="13"/>
      <c r="AE97" s="13"/>
      <c r="AF97" s="13"/>
      <c r="AG97" s="13"/>
      <c r="AH97" s="13"/>
      <c r="AI97" s="13"/>
      <c r="AJ97" s="13"/>
      <c r="AK97" s="13"/>
      <c r="AL97" s="13"/>
    </row>
    <row r="98" ht="15.75" customHeight="1">
      <c r="A98" s="26">
        <v>21302.0</v>
      </c>
      <c r="B98" s="27" t="s">
        <v>113</v>
      </c>
      <c r="C98" s="28">
        <v>3249.0</v>
      </c>
      <c r="D98" s="28">
        <v>1814.0</v>
      </c>
      <c r="E98" s="28">
        <v>3.0</v>
      </c>
      <c r="F98" s="28">
        <v>9.0</v>
      </c>
      <c r="G98" s="28">
        <v>34.0</v>
      </c>
      <c r="H98" s="28">
        <v>1389.0</v>
      </c>
      <c r="I98" s="28">
        <v>3921.0</v>
      </c>
      <c r="J98" s="28">
        <v>2939.0</v>
      </c>
      <c r="K98" s="28">
        <v>6.0</v>
      </c>
      <c r="L98" s="28">
        <v>39.0</v>
      </c>
      <c r="M98" s="28">
        <v>21.0</v>
      </c>
      <c r="N98" s="28">
        <v>916.0</v>
      </c>
      <c r="O98" s="29">
        <f t="shared" ref="O98:T98" si="99">ROUND(C98 + ((2016-2012)*(I98-C98))/(2024-2012),0)</f>
        <v>3473</v>
      </c>
      <c r="P98" s="30">
        <f t="shared" si="99"/>
        <v>2189</v>
      </c>
      <c r="Q98" s="30">
        <f t="shared" si="99"/>
        <v>4</v>
      </c>
      <c r="R98" s="30">
        <f t="shared" si="99"/>
        <v>19</v>
      </c>
      <c r="S98" s="30">
        <f t="shared" si="99"/>
        <v>30</v>
      </c>
      <c r="T98" s="30">
        <f t="shared" si="99"/>
        <v>1231</v>
      </c>
      <c r="U98" s="30">
        <v>2177.0</v>
      </c>
      <c r="V98" s="31">
        <f t="shared" si="3"/>
        <v>12</v>
      </c>
      <c r="W98" s="31">
        <f t="shared" si="4"/>
        <v>12</v>
      </c>
      <c r="X98" s="32">
        <f t="shared" si="5"/>
        <v>3473</v>
      </c>
      <c r="Y98" s="31">
        <v>65.99999964237213</v>
      </c>
      <c r="Z98" s="33"/>
      <c r="AA98" s="28">
        <v>3741.0</v>
      </c>
      <c r="AB98" s="30">
        <f t="shared" si="7"/>
        <v>4584</v>
      </c>
      <c r="AC98" s="28">
        <v>6271.0</v>
      </c>
      <c r="AD98" s="13"/>
      <c r="AE98" s="13"/>
      <c r="AF98" s="13"/>
      <c r="AG98" s="13"/>
      <c r="AH98" s="13"/>
      <c r="AI98" s="13"/>
      <c r="AJ98" s="13"/>
      <c r="AK98" s="13"/>
      <c r="AL98" s="13"/>
    </row>
    <row r="99" ht="15.75" customHeight="1">
      <c r="A99" s="34">
        <v>21303.0</v>
      </c>
      <c r="B99" s="35" t="s">
        <v>114</v>
      </c>
      <c r="C99" s="28">
        <v>2823.0</v>
      </c>
      <c r="D99" s="28">
        <v>1618.0</v>
      </c>
      <c r="E99" s="28">
        <v>8.0</v>
      </c>
      <c r="F99" s="28">
        <v>14.0</v>
      </c>
      <c r="G99" s="28">
        <v>58.0</v>
      </c>
      <c r="H99" s="28">
        <v>1125.0</v>
      </c>
      <c r="I99" s="28">
        <v>4794.0</v>
      </c>
      <c r="J99" s="28">
        <v>3104.0</v>
      </c>
      <c r="K99" s="28">
        <v>11.0</v>
      </c>
      <c r="L99" s="28">
        <v>52.0</v>
      </c>
      <c r="M99" s="28">
        <v>53.0</v>
      </c>
      <c r="N99" s="28">
        <v>1574.0</v>
      </c>
      <c r="O99" s="29">
        <f t="shared" ref="O99:T99" si="100">ROUND(C99 + ((2016-2012)*(I99-C99))/(2024-2012),0)</f>
        <v>3480</v>
      </c>
      <c r="P99" s="36">
        <f t="shared" si="100"/>
        <v>2113</v>
      </c>
      <c r="Q99" s="36">
        <f t="shared" si="100"/>
        <v>9</v>
      </c>
      <c r="R99" s="36">
        <f t="shared" si="100"/>
        <v>27</v>
      </c>
      <c r="S99" s="36">
        <f t="shared" si="100"/>
        <v>56</v>
      </c>
      <c r="T99" s="36">
        <f t="shared" si="100"/>
        <v>1275</v>
      </c>
      <c r="U99" s="36">
        <v>1906.0</v>
      </c>
      <c r="V99" s="31">
        <f t="shared" si="3"/>
        <v>207</v>
      </c>
      <c r="W99" s="31">
        <f t="shared" si="4"/>
        <v>207</v>
      </c>
      <c r="X99" s="32">
        <f t="shared" si="5"/>
        <v>3480</v>
      </c>
      <c r="Y99" s="31">
        <v>92.5000011920929</v>
      </c>
      <c r="Z99" s="33"/>
      <c r="AA99" s="28">
        <v>3225.0</v>
      </c>
      <c r="AB99" s="36">
        <f t="shared" si="7"/>
        <v>4032</v>
      </c>
      <c r="AC99" s="28">
        <v>5646.0</v>
      </c>
      <c r="AD99" s="13"/>
      <c r="AE99" s="13"/>
      <c r="AF99" s="13"/>
      <c r="AG99" s="13"/>
      <c r="AH99" s="13"/>
      <c r="AI99" s="13"/>
      <c r="AJ99" s="13"/>
      <c r="AK99" s="13"/>
      <c r="AL99" s="13"/>
    </row>
    <row r="100" ht="15.75" customHeight="1">
      <c r="A100" s="26">
        <v>21304.0</v>
      </c>
      <c r="B100" s="27" t="s">
        <v>115</v>
      </c>
      <c r="C100" s="28">
        <v>3827.0</v>
      </c>
      <c r="D100" s="28">
        <v>2471.0</v>
      </c>
      <c r="E100" s="28">
        <v>16.0</v>
      </c>
      <c r="F100" s="28">
        <v>12.0</v>
      </c>
      <c r="G100" s="28">
        <v>56.0</v>
      </c>
      <c r="H100" s="28">
        <v>1272.0</v>
      </c>
      <c r="I100" s="28">
        <v>5467.0</v>
      </c>
      <c r="J100" s="28">
        <v>4308.0</v>
      </c>
      <c r="K100" s="28">
        <v>11.0</v>
      </c>
      <c r="L100" s="28">
        <v>33.0</v>
      </c>
      <c r="M100" s="28">
        <v>70.0</v>
      </c>
      <c r="N100" s="28">
        <v>1045.0</v>
      </c>
      <c r="O100" s="29">
        <f t="shared" ref="O100:T100" si="101">ROUND(C100 + ((2016-2012)*(I100-C100))/(2024-2012),0)</f>
        <v>4374</v>
      </c>
      <c r="P100" s="30">
        <f t="shared" si="101"/>
        <v>3083</v>
      </c>
      <c r="Q100" s="30">
        <f t="shared" si="101"/>
        <v>14</v>
      </c>
      <c r="R100" s="30">
        <f t="shared" si="101"/>
        <v>19</v>
      </c>
      <c r="S100" s="30">
        <f t="shared" si="101"/>
        <v>61</v>
      </c>
      <c r="T100" s="30">
        <f t="shared" si="101"/>
        <v>1196</v>
      </c>
      <c r="U100" s="30">
        <v>2851.0</v>
      </c>
      <c r="V100" s="31">
        <f t="shared" si="3"/>
        <v>232</v>
      </c>
      <c r="W100" s="31">
        <f t="shared" si="4"/>
        <v>232</v>
      </c>
      <c r="X100" s="32">
        <f t="shared" si="5"/>
        <v>4373</v>
      </c>
      <c r="Y100" s="31">
        <v>104.99999672174454</v>
      </c>
      <c r="Z100" s="33"/>
      <c r="AA100" s="28">
        <v>4132.0</v>
      </c>
      <c r="AB100" s="30">
        <f t="shared" si="7"/>
        <v>4910</v>
      </c>
      <c r="AC100" s="28">
        <v>6467.0</v>
      </c>
      <c r="AD100" s="13"/>
      <c r="AE100" s="13"/>
      <c r="AF100" s="13"/>
      <c r="AG100" s="13"/>
      <c r="AH100" s="13"/>
      <c r="AI100" s="13"/>
      <c r="AJ100" s="13"/>
      <c r="AK100" s="13"/>
      <c r="AL100" s="13"/>
    </row>
    <row r="101" ht="15.75" customHeight="1">
      <c r="A101" s="34">
        <v>21305.0</v>
      </c>
      <c r="B101" s="35" t="s">
        <v>116</v>
      </c>
      <c r="C101" s="28">
        <v>7497.0</v>
      </c>
      <c r="D101" s="28">
        <v>5507.0</v>
      </c>
      <c r="E101" s="28">
        <v>24.0</v>
      </c>
      <c r="F101" s="28">
        <v>10.0</v>
      </c>
      <c r="G101" s="28">
        <v>57.0</v>
      </c>
      <c r="H101" s="28">
        <v>1899.0</v>
      </c>
      <c r="I101" s="28">
        <v>9347.0</v>
      </c>
      <c r="J101" s="28">
        <v>7763.0</v>
      </c>
      <c r="K101" s="28">
        <v>23.0</v>
      </c>
      <c r="L101" s="28">
        <v>45.0</v>
      </c>
      <c r="M101" s="28">
        <v>77.0</v>
      </c>
      <c r="N101" s="28">
        <v>1439.0</v>
      </c>
      <c r="O101" s="29">
        <f t="shared" ref="O101:T101" si="102">ROUND(C101 + ((2016-2012)*(I101-C101))/(2024-2012),0)</f>
        <v>8114</v>
      </c>
      <c r="P101" s="36">
        <f t="shared" si="102"/>
        <v>6259</v>
      </c>
      <c r="Q101" s="36">
        <f t="shared" si="102"/>
        <v>24</v>
      </c>
      <c r="R101" s="36">
        <f t="shared" si="102"/>
        <v>22</v>
      </c>
      <c r="S101" s="36">
        <f t="shared" si="102"/>
        <v>64</v>
      </c>
      <c r="T101" s="36">
        <f t="shared" si="102"/>
        <v>1746</v>
      </c>
      <c r="U101" s="36">
        <v>5767.0</v>
      </c>
      <c r="V101" s="31">
        <f t="shared" si="3"/>
        <v>492</v>
      </c>
      <c r="W101" s="31">
        <f t="shared" si="4"/>
        <v>492</v>
      </c>
      <c r="X101" s="32">
        <f t="shared" si="5"/>
        <v>8115</v>
      </c>
      <c r="Y101" s="31">
        <v>239.99999463558197</v>
      </c>
      <c r="Z101" s="33"/>
      <c r="AA101" s="28">
        <v>8087.0</v>
      </c>
      <c r="AB101" s="36">
        <f t="shared" si="7"/>
        <v>9446</v>
      </c>
      <c r="AC101" s="28">
        <v>12164.0</v>
      </c>
      <c r="AD101" s="13"/>
      <c r="AE101" s="13"/>
      <c r="AF101" s="13"/>
      <c r="AG101" s="13"/>
      <c r="AH101" s="13"/>
      <c r="AI101" s="13"/>
      <c r="AJ101" s="13"/>
      <c r="AK101" s="13"/>
      <c r="AL101" s="13"/>
    </row>
    <row r="102" ht="15.75" customHeight="1">
      <c r="A102" s="26">
        <v>21306.0</v>
      </c>
      <c r="B102" s="27" t="s">
        <v>117</v>
      </c>
      <c r="C102" s="28">
        <v>3200.0</v>
      </c>
      <c r="D102" s="28">
        <v>1843.0</v>
      </c>
      <c r="E102" s="28">
        <v>4.0</v>
      </c>
      <c r="F102" s="28">
        <v>5.0</v>
      </c>
      <c r="G102" s="28">
        <v>55.0</v>
      </c>
      <c r="H102" s="28">
        <v>1293.0</v>
      </c>
      <c r="I102" s="28">
        <v>4480.0</v>
      </c>
      <c r="J102" s="28">
        <v>3240.0</v>
      </c>
      <c r="K102" s="28">
        <v>16.0</v>
      </c>
      <c r="L102" s="28">
        <v>106.0</v>
      </c>
      <c r="M102" s="28">
        <v>56.0</v>
      </c>
      <c r="N102" s="28">
        <v>1062.0</v>
      </c>
      <c r="O102" s="29">
        <f t="shared" ref="O102:T102" si="103">ROUND(C102 + ((2016-2012)*(I102-C102))/(2024-2012),0)</f>
        <v>3627</v>
      </c>
      <c r="P102" s="30">
        <f t="shared" si="103"/>
        <v>2309</v>
      </c>
      <c r="Q102" s="30">
        <f t="shared" si="103"/>
        <v>8</v>
      </c>
      <c r="R102" s="30">
        <f t="shared" si="103"/>
        <v>39</v>
      </c>
      <c r="S102" s="30">
        <f t="shared" si="103"/>
        <v>55</v>
      </c>
      <c r="T102" s="30">
        <f t="shared" si="103"/>
        <v>1216</v>
      </c>
      <c r="U102" s="30">
        <v>1792.0</v>
      </c>
      <c r="V102" s="31">
        <f t="shared" si="3"/>
        <v>517</v>
      </c>
      <c r="W102" s="31">
        <f t="shared" si="4"/>
        <v>517</v>
      </c>
      <c r="X102" s="32">
        <f t="shared" si="5"/>
        <v>3627</v>
      </c>
      <c r="Y102" s="31">
        <v>181.99999630451202</v>
      </c>
      <c r="Z102" s="33"/>
      <c r="AA102" s="28">
        <v>3771.0</v>
      </c>
      <c r="AB102" s="30">
        <f t="shared" si="7"/>
        <v>4366</v>
      </c>
      <c r="AC102" s="28">
        <v>5555.0</v>
      </c>
      <c r="AD102" s="13"/>
      <c r="AE102" s="13"/>
      <c r="AF102" s="13"/>
      <c r="AG102" s="13"/>
      <c r="AH102" s="13"/>
      <c r="AI102" s="13"/>
      <c r="AJ102" s="13"/>
      <c r="AK102" s="13"/>
      <c r="AL102" s="13"/>
    </row>
    <row r="103" ht="15.75" customHeight="1">
      <c r="A103" s="34">
        <v>21307.0</v>
      </c>
      <c r="B103" s="35" t="s">
        <v>118</v>
      </c>
      <c r="C103" s="28">
        <v>1272.0</v>
      </c>
      <c r="D103" s="28">
        <v>842.0</v>
      </c>
      <c r="E103" s="28">
        <v>3.0</v>
      </c>
      <c r="F103" s="28">
        <v>10.0</v>
      </c>
      <c r="G103" s="28">
        <v>11.0</v>
      </c>
      <c r="H103" s="28">
        <v>406.0</v>
      </c>
      <c r="I103" s="28">
        <v>1653.0</v>
      </c>
      <c r="J103" s="28">
        <v>1352.0</v>
      </c>
      <c r="K103" s="28">
        <v>4.0</v>
      </c>
      <c r="L103" s="28">
        <v>34.0</v>
      </c>
      <c r="M103" s="28">
        <v>20.0</v>
      </c>
      <c r="N103" s="28">
        <v>243.0</v>
      </c>
      <c r="O103" s="29">
        <f t="shared" ref="O103:T103" si="104">ROUND(C103 + ((2016-2012)*(I103-C103))/(2024-2012),0)</f>
        <v>1399</v>
      </c>
      <c r="P103" s="36">
        <f t="shared" si="104"/>
        <v>1012</v>
      </c>
      <c r="Q103" s="36">
        <f t="shared" si="104"/>
        <v>3</v>
      </c>
      <c r="R103" s="36">
        <f t="shared" si="104"/>
        <v>18</v>
      </c>
      <c r="S103" s="36">
        <f t="shared" si="104"/>
        <v>14</v>
      </c>
      <c r="T103" s="36">
        <f t="shared" si="104"/>
        <v>352</v>
      </c>
      <c r="U103" s="37">
        <v>623.0</v>
      </c>
      <c r="V103" s="31">
        <f t="shared" si="3"/>
        <v>389</v>
      </c>
      <c r="W103" s="31">
        <f t="shared" si="4"/>
        <v>389</v>
      </c>
      <c r="X103" s="32">
        <f t="shared" si="5"/>
        <v>1399</v>
      </c>
      <c r="Y103" s="31">
        <v>107.00000077486038</v>
      </c>
      <c r="Z103" s="33"/>
      <c r="AA103" s="28">
        <v>1347.0</v>
      </c>
      <c r="AB103" s="36">
        <f t="shared" si="7"/>
        <v>1546</v>
      </c>
      <c r="AC103" s="28">
        <v>1943.0</v>
      </c>
      <c r="AD103" s="13"/>
      <c r="AE103" s="13"/>
      <c r="AF103" s="13"/>
      <c r="AG103" s="13"/>
      <c r="AH103" s="13"/>
      <c r="AI103" s="13"/>
      <c r="AJ103" s="13"/>
      <c r="AK103" s="13"/>
      <c r="AL103" s="13"/>
    </row>
    <row r="104" ht="15.75" customHeight="1">
      <c r="A104" s="26">
        <v>21401.0</v>
      </c>
      <c r="B104" s="27" t="s">
        <v>119</v>
      </c>
      <c r="C104" s="28">
        <v>6996.0</v>
      </c>
      <c r="D104" s="28">
        <v>4861.0</v>
      </c>
      <c r="E104" s="28">
        <v>60.0</v>
      </c>
      <c r="F104" s="28">
        <v>12.0</v>
      </c>
      <c r="G104" s="28">
        <v>130.0</v>
      </c>
      <c r="H104" s="28">
        <v>1933.0</v>
      </c>
      <c r="I104" s="28">
        <v>10376.0</v>
      </c>
      <c r="J104" s="28">
        <v>7872.0</v>
      </c>
      <c r="K104" s="28">
        <v>104.0</v>
      </c>
      <c r="L104" s="28">
        <v>192.0</v>
      </c>
      <c r="M104" s="28">
        <v>69.0</v>
      </c>
      <c r="N104" s="28">
        <v>2139.0</v>
      </c>
      <c r="O104" s="29">
        <f t="shared" ref="O104:T104" si="105">ROUND(C104 + ((2016-2012)*(I104-C104))/(2024-2012),0)</f>
        <v>8123</v>
      </c>
      <c r="P104" s="30">
        <f t="shared" si="105"/>
        <v>5865</v>
      </c>
      <c r="Q104" s="30">
        <f t="shared" si="105"/>
        <v>75</v>
      </c>
      <c r="R104" s="30">
        <f t="shared" si="105"/>
        <v>72</v>
      </c>
      <c r="S104" s="30">
        <f t="shared" si="105"/>
        <v>110</v>
      </c>
      <c r="T104" s="30">
        <f t="shared" si="105"/>
        <v>2002</v>
      </c>
      <c r="U104" s="30">
        <v>4959.0</v>
      </c>
      <c r="V104" s="31">
        <f t="shared" si="3"/>
        <v>906</v>
      </c>
      <c r="W104" s="31">
        <f t="shared" si="4"/>
        <v>906</v>
      </c>
      <c r="X104" s="32">
        <f t="shared" si="5"/>
        <v>8124</v>
      </c>
      <c r="Y104" s="31">
        <v>395.9999978542328</v>
      </c>
      <c r="Z104" s="33"/>
      <c r="AA104" s="28">
        <v>7164.0</v>
      </c>
      <c r="AB104" s="30">
        <f t="shared" si="7"/>
        <v>8573</v>
      </c>
      <c r="AC104" s="28">
        <v>11392.0</v>
      </c>
      <c r="AD104" s="13"/>
      <c r="AE104" s="13"/>
      <c r="AF104" s="13"/>
      <c r="AG104" s="13"/>
      <c r="AH104" s="13"/>
      <c r="AI104" s="13"/>
      <c r="AJ104" s="13"/>
      <c r="AK104" s="13"/>
      <c r="AL104" s="13"/>
    </row>
    <row r="105" ht="15.75" customHeight="1">
      <c r="A105" s="34">
        <v>21402.0</v>
      </c>
      <c r="B105" s="35" t="s">
        <v>120</v>
      </c>
      <c r="C105" s="28">
        <v>5380.0</v>
      </c>
      <c r="D105" s="28">
        <v>4629.0</v>
      </c>
      <c r="E105" s="28">
        <v>24.0</v>
      </c>
      <c r="F105" s="28">
        <v>16.0</v>
      </c>
      <c r="G105" s="28">
        <v>5.0</v>
      </c>
      <c r="H105" s="28">
        <v>706.0</v>
      </c>
      <c r="I105" s="28">
        <v>8913.0</v>
      </c>
      <c r="J105" s="28">
        <v>7919.0</v>
      </c>
      <c r="K105" s="28">
        <v>253.0</v>
      </c>
      <c r="L105" s="28">
        <v>51.0</v>
      </c>
      <c r="M105" s="28">
        <v>118.0</v>
      </c>
      <c r="N105" s="28">
        <v>572.0</v>
      </c>
      <c r="O105" s="29">
        <f t="shared" ref="O105:T105" si="106">ROUND(C105 + ((2016-2012)*(I105-C105))/(2024-2012),0)</f>
        <v>6558</v>
      </c>
      <c r="P105" s="36">
        <f t="shared" si="106"/>
        <v>5726</v>
      </c>
      <c r="Q105" s="36">
        <f t="shared" si="106"/>
        <v>100</v>
      </c>
      <c r="R105" s="36">
        <f t="shared" si="106"/>
        <v>28</v>
      </c>
      <c r="S105" s="36">
        <f t="shared" si="106"/>
        <v>43</v>
      </c>
      <c r="T105" s="36">
        <f t="shared" si="106"/>
        <v>661</v>
      </c>
      <c r="U105" s="36">
        <v>5476.0</v>
      </c>
      <c r="V105" s="31">
        <f t="shared" si="3"/>
        <v>250</v>
      </c>
      <c r="W105" s="31">
        <f t="shared" si="4"/>
        <v>250</v>
      </c>
      <c r="X105" s="32">
        <f t="shared" si="5"/>
        <v>6558</v>
      </c>
      <c r="Y105" s="31">
        <v>310.9999895095825</v>
      </c>
      <c r="Z105" s="33"/>
      <c r="AA105" s="28">
        <v>5648.0</v>
      </c>
      <c r="AB105" s="36">
        <f t="shared" si="7"/>
        <v>7213</v>
      </c>
      <c r="AC105" s="28">
        <v>10342.0</v>
      </c>
      <c r="AD105" s="13"/>
      <c r="AE105" s="13"/>
      <c r="AF105" s="13"/>
      <c r="AG105" s="13"/>
      <c r="AH105" s="13"/>
      <c r="AI105" s="13"/>
      <c r="AJ105" s="13"/>
      <c r="AK105" s="13"/>
      <c r="AL105" s="13"/>
    </row>
    <row r="106" ht="15.75" customHeight="1">
      <c r="A106" s="26">
        <v>21501.0</v>
      </c>
      <c r="B106" s="27" t="s">
        <v>121</v>
      </c>
      <c r="C106" s="28">
        <v>2270.0</v>
      </c>
      <c r="D106" s="28">
        <v>834.0</v>
      </c>
      <c r="E106" s="28">
        <v>315.0</v>
      </c>
      <c r="F106" s="28">
        <v>49.0</v>
      </c>
      <c r="G106" s="28">
        <v>86.0</v>
      </c>
      <c r="H106" s="28">
        <v>986.0</v>
      </c>
      <c r="I106" s="28">
        <v>3306.0</v>
      </c>
      <c r="J106" s="28">
        <v>1470.0</v>
      </c>
      <c r="K106" s="28">
        <v>337.0</v>
      </c>
      <c r="L106" s="28">
        <v>353.0</v>
      </c>
      <c r="M106" s="28">
        <v>103.0</v>
      </c>
      <c r="N106" s="28">
        <v>1043.0</v>
      </c>
      <c r="O106" s="29">
        <f t="shared" ref="O106:T106" si="107">ROUND(C106 + ((2016-2012)*(I106-C106))/(2024-2012),0)</f>
        <v>2615</v>
      </c>
      <c r="P106" s="30">
        <f t="shared" si="107"/>
        <v>1046</v>
      </c>
      <c r="Q106" s="30">
        <f t="shared" si="107"/>
        <v>322</v>
      </c>
      <c r="R106" s="30">
        <f t="shared" si="107"/>
        <v>150</v>
      </c>
      <c r="S106" s="30">
        <f t="shared" si="107"/>
        <v>92</v>
      </c>
      <c r="T106" s="30">
        <f t="shared" si="107"/>
        <v>1005</v>
      </c>
      <c r="U106" s="30">
        <v>844.0</v>
      </c>
      <c r="V106" s="31">
        <f t="shared" si="3"/>
        <v>202</v>
      </c>
      <c r="W106" s="31">
        <f t="shared" si="4"/>
        <v>202</v>
      </c>
      <c r="X106" s="32">
        <f t="shared" si="5"/>
        <v>2615</v>
      </c>
      <c r="Y106" s="31">
        <v>601.0000109672546</v>
      </c>
      <c r="Z106" s="33"/>
      <c r="AA106" s="28">
        <v>2462.0</v>
      </c>
      <c r="AB106" s="30">
        <f t="shared" si="7"/>
        <v>2982</v>
      </c>
      <c r="AC106" s="28">
        <v>4023.0</v>
      </c>
      <c r="AD106" s="13"/>
      <c r="AE106" s="13"/>
      <c r="AF106" s="13"/>
      <c r="AG106" s="13"/>
      <c r="AH106" s="13"/>
      <c r="AI106" s="13"/>
      <c r="AJ106" s="13"/>
      <c r="AK106" s="13"/>
      <c r="AL106" s="13"/>
    </row>
    <row r="107" ht="15.75" customHeight="1">
      <c r="A107" s="34">
        <v>21502.0</v>
      </c>
      <c r="B107" s="35" t="s">
        <v>122</v>
      </c>
      <c r="C107" s="28">
        <v>2005.0</v>
      </c>
      <c r="D107" s="28">
        <v>1186.0</v>
      </c>
      <c r="E107" s="28">
        <v>85.0</v>
      </c>
      <c r="F107" s="28">
        <v>37.0</v>
      </c>
      <c r="G107" s="28">
        <v>35.0</v>
      </c>
      <c r="H107" s="28">
        <v>662.0</v>
      </c>
      <c r="I107" s="28">
        <v>2849.0</v>
      </c>
      <c r="J107" s="28">
        <v>2480.0</v>
      </c>
      <c r="K107" s="28">
        <v>13.0</v>
      </c>
      <c r="L107" s="28">
        <v>20.0</v>
      </c>
      <c r="M107" s="28">
        <v>6.0</v>
      </c>
      <c r="N107" s="28">
        <v>330.0</v>
      </c>
      <c r="O107" s="29">
        <f t="shared" ref="O107:T107" si="108">ROUND(C107 + ((2016-2012)*(I107-C107))/(2024-2012),0)</f>
        <v>2286</v>
      </c>
      <c r="P107" s="36">
        <f t="shared" si="108"/>
        <v>1617</v>
      </c>
      <c r="Q107" s="36">
        <f t="shared" si="108"/>
        <v>61</v>
      </c>
      <c r="R107" s="36">
        <f t="shared" si="108"/>
        <v>31</v>
      </c>
      <c r="S107" s="36">
        <f t="shared" si="108"/>
        <v>25</v>
      </c>
      <c r="T107" s="36">
        <f t="shared" si="108"/>
        <v>551</v>
      </c>
      <c r="U107" s="36">
        <v>1461.0</v>
      </c>
      <c r="V107" s="31">
        <f t="shared" si="3"/>
        <v>156</v>
      </c>
      <c r="W107" s="31">
        <f t="shared" si="4"/>
        <v>156</v>
      </c>
      <c r="X107" s="32">
        <f t="shared" si="5"/>
        <v>2285</v>
      </c>
      <c r="Y107" s="31">
        <v>462.4999910593033</v>
      </c>
      <c r="Z107" s="33"/>
      <c r="AA107" s="28">
        <v>2108.0</v>
      </c>
      <c r="AB107" s="36">
        <f t="shared" si="7"/>
        <v>2595</v>
      </c>
      <c r="AC107" s="28">
        <v>3569.0</v>
      </c>
      <c r="AD107" s="13"/>
      <c r="AE107" s="13"/>
      <c r="AF107" s="13"/>
      <c r="AG107" s="13"/>
      <c r="AH107" s="13"/>
      <c r="AI107" s="13"/>
      <c r="AJ107" s="13"/>
      <c r="AK107" s="13"/>
      <c r="AL107" s="13"/>
    </row>
    <row r="108" ht="15.75" customHeight="1">
      <c r="A108" s="26">
        <v>21601.0</v>
      </c>
      <c r="B108" s="27" t="s">
        <v>123</v>
      </c>
      <c r="C108" s="28">
        <v>3550.0</v>
      </c>
      <c r="D108" s="28">
        <v>1834.0</v>
      </c>
      <c r="E108" s="28">
        <v>27.0</v>
      </c>
      <c r="F108" s="28">
        <v>47.0</v>
      </c>
      <c r="G108" s="28">
        <v>44.0</v>
      </c>
      <c r="H108" s="28">
        <v>1598.0</v>
      </c>
      <c r="I108" s="28">
        <v>5022.0</v>
      </c>
      <c r="J108" s="28">
        <v>3863.0</v>
      </c>
      <c r="K108" s="28">
        <v>10.0</v>
      </c>
      <c r="L108" s="28">
        <v>49.0</v>
      </c>
      <c r="M108" s="28">
        <v>30.0</v>
      </c>
      <c r="N108" s="28">
        <v>1070.0</v>
      </c>
      <c r="O108" s="29">
        <f t="shared" ref="O108:T108" si="109">ROUND(C108 + ((2016-2012)*(I108-C108))/(2024-2012),0)</f>
        <v>4041</v>
      </c>
      <c r="P108" s="30">
        <f t="shared" si="109"/>
        <v>2510</v>
      </c>
      <c r="Q108" s="30">
        <f t="shared" si="109"/>
        <v>21</v>
      </c>
      <c r="R108" s="30">
        <f t="shared" si="109"/>
        <v>48</v>
      </c>
      <c r="S108" s="30">
        <f t="shared" si="109"/>
        <v>39</v>
      </c>
      <c r="T108" s="30">
        <f t="shared" si="109"/>
        <v>1422</v>
      </c>
      <c r="U108" s="30">
        <v>1906.0</v>
      </c>
      <c r="V108" s="31">
        <f t="shared" si="3"/>
        <v>604</v>
      </c>
      <c r="W108" s="31">
        <f t="shared" si="4"/>
        <v>604</v>
      </c>
      <c r="X108" s="32">
        <f t="shared" si="5"/>
        <v>4040</v>
      </c>
      <c r="Y108" s="31">
        <v>92.00000017881393</v>
      </c>
      <c r="Z108" s="33"/>
      <c r="AA108" s="28">
        <v>3851.0</v>
      </c>
      <c r="AB108" s="30">
        <f t="shared" si="7"/>
        <v>4508</v>
      </c>
      <c r="AC108" s="28">
        <v>5823.0</v>
      </c>
      <c r="AD108" s="13"/>
      <c r="AE108" s="13"/>
      <c r="AF108" s="13"/>
      <c r="AG108" s="13"/>
      <c r="AH108" s="13"/>
      <c r="AI108" s="13"/>
      <c r="AJ108" s="13"/>
      <c r="AK108" s="13"/>
      <c r="AL108" s="13"/>
    </row>
    <row r="109" ht="15.75" customHeight="1">
      <c r="A109" s="34">
        <v>21602.0</v>
      </c>
      <c r="B109" s="35" t="s">
        <v>124</v>
      </c>
      <c r="C109" s="28">
        <v>982.0</v>
      </c>
      <c r="D109" s="28">
        <v>426.0</v>
      </c>
      <c r="E109" s="28">
        <v>4.0</v>
      </c>
      <c r="F109" s="28">
        <v>37.0</v>
      </c>
      <c r="G109" s="28">
        <v>35.0</v>
      </c>
      <c r="H109" s="28">
        <v>480.0</v>
      </c>
      <c r="I109" s="28">
        <v>1656.0</v>
      </c>
      <c r="J109" s="28">
        <v>1017.0</v>
      </c>
      <c r="K109" s="28">
        <v>5.0</v>
      </c>
      <c r="L109" s="28">
        <v>77.0</v>
      </c>
      <c r="M109" s="28">
        <v>12.0</v>
      </c>
      <c r="N109" s="28">
        <v>545.0</v>
      </c>
      <c r="O109" s="29">
        <f t="shared" ref="O109:T109" si="110">ROUND(C109 + ((2016-2012)*(I109-C109))/(2024-2012),0)</f>
        <v>1207</v>
      </c>
      <c r="P109" s="36">
        <f t="shared" si="110"/>
        <v>623</v>
      </c>
      <c r="Q109" s="36">
        <f t="shared" si="110"/>
        <v>4</v>
      </c>
      <c r="R109" s="36">
        <f t="shared" si="110"/>
        <v>50</v>
      </c>
      <c r="S109" s="36">
        <f t="shared" si="110"/>
        <v>27</v>
      </c>
      <c r="T109" s="36">
        <f t="shared" si="110"/>
        <v>502</v>
      </c>
      <c r="U109" s="37">
        <v>316.0</v>
      </c>
      <c r="V109" s="31">
        <f t="shared" si="3"/>
        <v>307</v>
      </c>
      <c r="W109" s="31">
        <f t="shared" si="4"/>
        <v>307</v>
      </c>
      <c r="X109" s="32">
        <f t="shared" si="5"/>
        <v>1206</v>
      </c>
      <c r="Y109" s="31">
        <v>81.50000125169754</v>
      </c>
      <c r="Z109" s="33"/>
      <c r="AA109" s="28">
        <v>1077.0</v>
      </c>
      <c r="AB109" s="36">
        <f t="shared" si="7"/>
        <v>1366</v>
      </c>
      <c r="AC109" s="28">
        <v>1944.0</v>
      </c>
      <c r="AD109" s="13"/>
      <c r="AE109" s="13"/>
      <c r="AF109" s="13"/>
      <c r="AG109" s="13"/>
      <c r="AH109" s="13"/>
      <c r="AI109" s="13"/>
      <c r="AJ109" s="13"/>
      <c r="AK109" s="13"/>
      <c r="AL109" s="13"/>
    </row>
    <row r="110" ht="15.75" customHeight="1">
      <c r="A110" s="26">
        <v>21701.0</v>
      </c>
      <c r="B110" s="27" t="s">
        <v>125</v>
      </c>
      <c r="C110" s="28">
        <v>5144.0</v>
      </c>
      <c r="D110" s="28">
        <v>4068.0</v>
      </c>
      <c r="E110" s="28">
        <v>8.0</v>
      </c>
      <c r="F110" s="28">
        <v>32.0</v>
      </c>
      <c r="G110" s="28">
        <v>16.0</v>
      </c>
      <c r="H110" s="28">
        <v>1020.0</v>
      </c>
      <c r="I110" s="28">
        <v>6817.0</v>
      </c>
      <c r="J110" s="28">
        <v>5348.0</v>
      </c>
      <c r="K110" s="28">
        <v>11.0</v>
      </c>
      <c r="L110" s="28">
        <v>52.0</v>
      </c>
      <c r="M110" s="28">
        <v>45.0</v>
      </c>
      <c r="N110" s="28">
        <v>1361.0</v>
      </c>
      <c r="O110" s="29">
        <f t="shared" ref="O110:T110" si="111">ROUND(C110 + ((2016-2012)*(I110-C110))/(2024-2012),0)</f>
        <v>5702</v>
      </c>
      <c r="P110" s="30">
        <f t="shared" si="111"/>
        <v>4495</v>
      </c>
      <c r="Q110" s="30">
        <f t="shared" si="111"/>
        <v>9</v>
      </c>
      <c r="R110" s="30">
        <f t="shared" si="111"/>
        <v>39</v>
      </c>
      <c r="S110" s="30">
        <f t="shared" si="111"/>
        <v>26</v>
      </c>
      <c r="T110" s="30">
        <f t="shared" si="111"/>
        <v>1134</v>
      </c>
      <c r="U110" s="30">
        <v>4809.0</v>
      </c>
      <c r="V110" s="31">
        <f t="shared" si="3"/>
        <v>-314</v>
      </c>
      <c r="W110" s="31">
        <f t="shared" si="4"/>
        <v>0</v>
      </c>
      <c r="X110" s="32">
        <f t="shared" si="5"/>
        <v>6017</v>
      </c>
      <c r="Y110" s="31">
        <v>202.9999941587448</v>
      </c>
      <c r="Z110" s="33"/>
      <c r="AA110" s="28">
        <v>6205.0</v>
      </c>
      <c r="AB110" s="30">
        <f t="shared" si="7"/>
        <v>7161</v>
      </c>
      <c r="AC110" s="28">
        <v>9072.0</v>
      </c>
      <c r="AD110" s="13"/>
      <c r="AE110" s="13"/>
      <c r="AF110" s="13"/>
      <c r="AG110" s="13"/>
      <c r="AH110" s="13"/>
      <c r="AI110" s="13"/>
      <c r="AJ110" s="13"/>
      <c r="AK110" s="13"/>
      <c r="AL110" s="13"/>
    </row>
    <row r="111" ht="15.75" customHeight="1">
      <c r="A111" s="34">
        <v>21702.0</v>
      </c>
      <c r="B111" s="35" t="s">
        <v>126</v>
      </c>
      <c r="C111" s="28">
        <v>2467.0</v>
      </c>
      <c r="D111" s="28">
        <v>1641.0</v>
      </c>
      <c r="E111" s="28">
        <v>3.0</v>
      </c>
      <c r="F111" s="28">
        <v>1.0</v>
      </c>
      <c r="G111" s="28">
        <v>16.0</v>
      </c>
      <c r="H111" s="28">
        <v>806.0</v>
      </c>
      <c r="I111" s="28">
        <v>3631.0</v>
      </c>
      <c r="J111" s="28">
        <v>2882.0</v>
      </c>
      <c r="K111" s="28">
        <v>4.0</v>
      </c>
      <c r="L111" s="28">
        <v>18.0</v>
      </c>
      <c r="M111" s="28">
        <v>18.0</v>
      </c>
      <c r="N111" s="28">
        <v>709.0</v>
      </c>
      <c r="O111" s="29">
        <f t="shared" ref="O111:T111" si="112">ROUND(C111 + ((2016-2012)*(I111-C111))/(2024-2012),0)</f>
        <v>2855</v>
      </c>
      <c r="P111" s="36">
        <f t="shared" si="112"/>
        <v>2055</v>
      </c>
      <c r="Q111" s="36">
        <f t="shared" si="112"/>
        <v>3</v>
      </c>
      <c r="R111" s="36">
        <f t="shared" si="112"/>
        <v>7</v>
      </c>
      <c r="S111" s="36">
        <f t="shared" si="112"/>
        <v>17</v>
      </c>
      <c r="T111" s="36">
        <f t="shared" si="112"/>
        <v>774</v>
      </c>
      <c r="U111" s="36">
        <v>1758.0</v>
      </c>
      <c r="V111" s="31">
        <f t="shared" si="3"/>
        <v>297</v>
      </c>
      <c r="W111" s="31">
        <f t="shared" si="4"/>
        <v>297</v>
      </c>
      <c r="X111" s="32">
        <f t="shared" si="5"/>
        <v>2856</v>
      </c>
      <c r="Y111" s="31">
        <v>103.00000011920929</v>
      </c>
      <c r="Z111" s="33"/>
      <c r="AA111" s="28">
        <v>2895.0</v>
      </c>
      <c r="AB111" s="36">
        <f t="shared" si="7"/>
        <v>3398</v>
      </c>
      <c r="AC111" s="28">
        <v>4405.0</v>
      </c>
      <c r="AD111" s="13"/>
      <c r="AE111" s="13"/>
      <c r="AF111" s="13"/>
      <c r="AG111" s="13"/>
      <c r="AH111" s="13"/>
      <c r="AI111" s="13"/>
      <c r="AJ111" s="13"/>
      <c r="AK111" s="13"/>
      <c r="AL111" s="13"/>
    </row>
    <row r="112" ht="15.75" customHeight="1">
      <c r="A112" s="26">
        <v>21703.0</v>
      </c>
      <c r="B112" s="27" t="s">
        <v>127</v>
      </c>
      <c r="C112" s="28">
        <v>1295.0</v>
      </c>
      <c r="D112" s="28">
        <v>775.0</v>
      </c>
      <c r="E112" s="28">
        <v>1.0</v>
      </c>
      <c r="F112" s="28">
        <v>2.0</v>
      </c>
      <c r="G112" s="28">
        <v>21.0</v>
      </c>
      <c r="H112" s="28">
        <v>496.0</v>
      </c>
      <c r="I112" s="28">
        <v>1474.0</v>
      </c>
      <c r="J112" s="28">
        <v>1011.0</v>
      </c>
      <c r="K112" s="28">
        <v>2.0</v>
      </c>
      <c r="L112" s="28">
        <v>4.0</v>
      </c>
      <c r="M112" s="28">
        <v>11.0</v>
      </c>
      <c r="N112" s="28">
        <v>446.0</v>
      </c>
      <c r="O112" s="29">
        <f t="shared" ref="O112:T112" si="113">ROUND(C112 + ((2016-2012)*(I112-C112))/(2024-2012),0)</f>
        <v>1355</v>
      </c>
      <c r="P112" s="30">
        <f t="shared" si="113"/>
        <v>854</v>
      </c>
      <c r="Q112" s="30">
        <f t="shared" si="113"/>
        <v>1</v>
      </c>
      <c r="R112" s="30">
        <f t="shared" si="113"/>
        <v>3</v>
      </c>
      <c r="S112" s="30">
        <f t="shared" si="113"/>
        <v>18</v>
      </c>
      <c r="T112" s="30">
        <f t="shared" si="113"/>
        <v>479</v>
      </c>
      <c r="U112" s="38">
        <v>467.0</v>
      </c>
      <c r="V112" s="31">
        <f t="shared" si="3"/>
        <v>387</v>
      </c>
      <c r="W112" s="31">
        <f t="shared" si="4"/>
        <v>387</v>
      </c>
      <c r="X112" s="32">
        <f t="shared" si="5"/>
        <v>1355</v>
      </c>
      <c r="Y112" s="31">
        <v>70.00000029802322</v>
      </c>
      <c r="Z112" s="33"/>
      <c r="AA112" s="28">
        <v>1304.0</v>
      </c>
      <c r="AB112" s="30">
        <f t="shared" si="7"/>
        <v>1378</v>
      </c>
      <c r="AC112" s="28">
        <v>1526.0</v>
      </c>
      <c r="AD112" s="13"/>
      <c r="AE112" s="13"/>
      <c r="AF112" s="13"/>
      <c r="AG112" s="13"/>
      <c r="AH112" s="13"/>
      <c r="AI112" s="13"/>
      <c r="AJ112" s="13"/>
      <c r="AK112" s="13"/>
      <c r="AL112" s="13"/>
    </row>
    <row r="113" ht="15.75" customHeight="1">
      <c r="A113" s="34">
        <v>21801.0</v>
      </c>
      <c r="B113" s="35" t="s">
        <v>128</v>
      </c>
      <c r="C113" s="28">
        <v>2828.0</v>
      </c>
      <c r="D113" s="28">
        <v>1107.0</v>
      </c>
      <c r="E113" s="28">
        <v>3.0</v>
      </c>
      <c r="F113" s="28">
        <v>1.0</v>
      </c>
      <c r="G113" s="28">
        <v>137.0</v>
      </c>
      <c r="H113" s="28">
        <v>1580.0</v>
      </c>
      <c r="I113" s="28">
        <v>3484.0</v>
      </c>
      <c r="J113" s="28">
        <v>2542.0</v>
      </c>
      <c r="K113" s="28">
        <v>9.0</v>
      </c>
      <c r="L113" s="28">
        <v>23.0</v>
      </c>
      <c r="M113" s="28">
        <v>32.0</v>
      </c>
      <c r="N113" s="28">
        <v>878.0</v>
      </c>
      <c r="O113" s="29">
        <f t="shared" ref="O113:T113" si="114">ROUND(C113 + ((2016-2012)*(I113-C113))/(2024-2012),0)</f>
        <v>3047</v>
      </c>
      <c r="P113" s="36">
        <f t="shared" si="114"/>
        <v>1585</v>
      </c>
      <c r="Q113" s="36">
        <f t="shared" si="114"/>
        <v>5</v>
      </c>
      <c r="R113" s="36">
        <f t="shared" si="114"/>
        <v>8</v>
      </c>
      <c r="S113" s="36">
        <f t="shared" si="114"/>
        <v>102</v>
      </c>
      <c r="T113" s="36">
        <f t="shared" si="114"/>
        <v>1346</v>
      </c>
      <c r="U113" s="36">
        <v>157.0</v>
      </c>
      <c r="V113" s="31">
        <f t="shared" si="3"/>
        <v>1428</v>
      </c>
      <c r="W113" s="31">
        <f t="shared" si="4"/>
        <v>1428</v>
      </c>
      <c r="X113" s="32">
        <f t="shared" si="5"/>
        <v>3046</v>
      </c>
      <c r="Y113" s="31">
        <v>75.00000298023224</v>
      </c>
      <c r="Z113" s="33"/>
      <c r="AA113" s="28">
        <v>3568.0</v>
      </c>
      <c r="AB113" s="36">
        <f t="shared" si="7"/>
        <v>4141</v>
      </c>
      <c r="AC113" s="28">
        <v>5287.0</v>
      </c>
      <c r="AD113" s="13"/>
      <c r="AE113" s="13"/>
      <c r="AF113" s="13"/>
      <c r="AG113" s="13"/>
      <c r="AH113" s="13"/>
      <c r="AI113" s="13"/>
      <c r="AJ113" s="13"/>
      <c r="AK113" s="13"/>
      <c r="AL113" s="13"/>
    </row>
    <row r="114" ht="15.75" customHeight="1">
      <c r="A114" s="26">
        <v>21802.0</v>
      </c>
      <c r="B114" s="27" t="s">
        <v>129</v>
      </c>
      <c r="C114" s="28">
        <v>2429.0</v>
      </c>
      <c r="D114" s="28">
        <v>1142.0</v>
      </c>
      <c r="E114" s="28">
        <v>5.0</v>
      </c>
      <c r="F114" s="28">
        <v>2.0</v>
      </c>
      <c r="G114" s="28">
        <v>63.0</v>
      </c>
      <c r="H114" s="28">
        <v>1217.0</v>
      </c>
      <c r="I114" s="28">
        <v>2888.0</v>
      </c>
      <c r="J114" s="28">
        <v>1970.0</v>
      </c>
      <c r="K114" s="28">
        <v>7.0</v>
      </c>
      <c r="L114" s="28">
        <v>34.0</v>
      </c>
      <c r="M114" s="28">
        <v>15.0</v>
      </c>
      <c r="N114" s="28">
        <v>862.0</v>
      </c>
      <c r="O114" s="29">
        <f t="shared" ref="O114:T114" si="115">ROUND(C114 + ((2016-2012)*(I114-C114))/(2024-2012),0)</f>
        <v>2582</v>
      </c>
      <c r="P114" s="30">
        <f t="shared" si="115"/>
        <v>1418</v>
      </c>
      <c r="Q114" s="30">
        <f t="shared" si="115"/>
        <v>6</v>
      </c>
      <c r="R114" s="30">
        <f t="shared" si="115"/>
        <v>13</v>
      </c>
      <c r="S114" s="30">
        <f t="shared" si="115"/>
        <v>47</v>
      </c>
      <c r="T114" s="30">
        <f t="shared" si="115"/>
        <v>1099</v>
      </c>
      <c r="U114" s="30">
        <v>1085.0</v>
      </c>
      <c r="V114" s="31">
        <f t="shared" si="3"/>
        <v>333</v>
      </c>
      <c r="W114" s="31">
        <f t="shared" si="4"/>
        <v>333</v>
      </c>
      <c r="X114" s="32">
        <f t="shared" si="5"/>
        <v>2583</v>
      </c>
      <c r="Y114" s="31">
        <v>8.00000037997961</v>
      </c>
      <c r="Z114" s="33"/>
      <c r="AA114" s="28">
        <v>3203.0</v>
      </c>
      <c r="AB114" s="30">
        <f t="shared" si="7"/>
        <v>3685</v>
      </c>
      <c r="AC114" s="28">
        <v>4649.0</v>
      </c>
      <c r="AD114" s="13"/>
      <c r="AE114" s="13"/>
      <c r="AF114" s="13"/>
      <c r="AG114" s="13"/>
      <c r="AH114" s="13"/>
      <c r="AI114" s="13"/>
      <c r="AJ114" s="13"/>
      <c r="AK114" s="13"/>
      <c r="AL114" s="13"/>
    </row>
    <row r="115" ht="15.75" customHeight="1">
      <c r="A115" s="34">
        <v>21803.0</v>
      </c>
      <c r="B115" s="35" t="s">
        <v>130</v>
      </c>
      <c r="C115" s="28">
        <v>769.0</v>
      </c>
      <c r="D115" s="28">
        <v>449.0</v>
      </c>
      <c r="E115" s="28">
        <v>1.0</v>
      </c>
      <c r="F115" s="28">
        <v>2.0</v>
      </c>
      <c r="G115" s="28">
        <v>0.0</v>
      </c>
      <c r="H115" s="28">
        <v>317.0</v>
      </c>
      <c r="I115" s="28">
        <v>881.0</v>
      </c>
      <c r="J115" s="28">
        <v>549.0</v>
      </c>
      <c r="K115" s="28">
        <v>14.0</v>
      </c>
      <c r="L115" s="28">
        <v>5.0</v>
      </c>
      <c r="M115" s="28">
        <v>0.0</v>
      </c>
      <c r="N115" s="28">
        <v>313.0</v>
      </c>
      <c r="O115" s="29">
        <f t="shared" ref="O115:T115" si="116">ROUND(C115 + ((2016-2012)*(I115-C115))/(2024-2012),0)</f>
        <v>806</v>
      </c>
      <c r="P115" s="36">
        <f t="shared" si="116"/>
        <v>482</v>
      </c>
      <c r="Q115" s="36">
        <f t="shared" si="116"/>
        <v>5</v>
      </c>
      <c r="R115" s="36">
        <f t="shared" si="116"/>
        <v>3</v>
      </c>
      <c r="S115" s="36">
        <f t="shared" si="116"/>
        <v>0</v>
      </c>
      <c r="T115" s="36">
        <f t="shared" si="116"/>
        <v>316</v>
      </c>
      <c r="U115" s="37">
        <v>300.0</v>
      </c>
      <c r="V115" s="31">
        <f t="shared" si="3"/>
        <v>182</v>
      </c>
      <c r="W115" s="31">
        <f t="shared" si="4"/>
        <v>182</v>
      </c>
      <c r="X115" s="32">
        <f t="shared" si="5"/>
        <v>806</v>
      </c>
      <c r="Y115" s="31">
        <v>69.49999928474426</v>
      </c>
      <c r="Z115" s="33"/>
      <c r="AA115" s="28">
        <v>866.0</v>
      </c>
      <c r="AB115" s="36">
        <f t="shared" si="7"/>
        <v>990</v>
      </c>
      <c r="AC115" s="28">
        <v>1237.0</v>
      </c>
      <c r="AD115" s="13"/>
      <c r="AE115" s="13"/>
      <c r="AF115" s="13"/>
      <c r="AG115" s="13"/>
      <c r="AH115" s="13"/>
      <c r="AI115" s="13"/>
      <c r="AJ115" s="13"/>
      <c r="AK115" s="13"/>
      <c r="AL115" s="13"/>
    </row>
    <row r="116" ht="15.75" customHeight="1">
      <c r="A116" s="26">
        <v>21901.0</v>
      </c>
      <c r="B116" s="27" t="s">
        <v>131</v>
      </c>
      <c r="C116" s="28">
        <v>1830.0</v>
      </c>
      <c r="D116" s="28">
        <v>517.0</v>
      </c>
      <c r="E116" s="28">
        <v>1.0</v>
      </c>
      <c r="F116" s="28">
        <v>63.0</v>
      </c>
      <c r="G116" s="28">
        <v>185.0</v>
      </c>
      <c r="H116" s="28">
        <v>1064.0</v>
      </c>
      <c r="I116" s="28">
        <v>2956.0</v>
      </c>
      <c r="J116" s="28">
        <v>2180.0</v>
      </c>
      <c r="K116" s="28">
        <v>9.0</v>
      </c>
      <c r="L116" s="28">
        <v>47.0</v>
      </c>
      <c r="M116" s="28">
        <v>9.0</v>
      </c>
      <c r="N116" s="28">
        <v>711.0</v>
      </c>
      <c r="O116" s="29">
        <f t="shared" ref="O116:T116" si="117">ROUND(C116 + ((2016-2012)*(I116-C116))/(2024-2012),0)</f>
        <v>2205</v>
      </c>
      <c r="P116" s="30">
        <f t="shared" si="117"/>
        <v>1071</v>
      </c>
      <c r="Q116" s="30">
        <f t="shared" si="117"/>
        <v>4</v>
      </c>
      <c r="R116" s="30">
        <f t="shared" si="117"/>
        <v>58</v>
      </c>
      <c r="S116" s="30">
        <f t="shared" si="117"/>
        <v>126</v>
      </c>
      <c r="T116" s="30">
        <f t="shared" si="117"/>
        <v>946</v>
      </c>
      <c r="U116" s="30">
        <v>1272.0</v>
      </c>
      <c r="V116" s="31">
        <f t="shared" si="3"/>
        <v>-201</v>
      </c>
      <c r="W116" s="31">
        <f t="shared" si="4"/>
        <v>0</v>
      </c>
      <c r="X116" s="32">
        <f t="shared" si="5"/>
        <v>2406</v>
      </c>
      <c r="Y116" s="31">
        <v>35.999998450279236</v>
      </c>
      <c r="Z116" s="33"/>
      <c r="AA116" s="28">
        <v>2734.0</v>
      </c>
      <c r="AB116" s="30">
        <f t="shared" si="7"/>
        <v>3165</v>
      </c>
      <c r="AC116" s="28">
        <v>4027.0</v>
      </c>
      <c r="AD116" s="13"/>
      <c r="AE116" s="13"/>
      <c r="AF116" s="13"/>
      <c r="AG116" s="13"/>
      <c r="AH116" s="13"/>
      <c r="AI116" s="13"/>
      <c r="AJ116" s="13"/>
      <c r="AK116" s="13"/>
      <c r="AL116" s="13"/>
    </row>
    <row r="117" ht="15.75" customHeight="1">
      <c r="A117" s="34">
        <v>21902.0</v>
      </c>
      <c r="B117" s="35" t="s">
        <v>132</v>
      </c>
      <c r="C117" s="28">
        <v>736.0</v>
      </c>
      <c r="D117" s="28">
        <v>374.0</v>
      </c>
      <c r="E117" s="28">
        <v>0.0</v>
      </c>
      <c r="F117" s="28">
        <v>8.0</v>
      </c>
      <c r="G117" s="28">
        <v>16.0</v>
      </c>
      <c r="H117" s="28">
        <v>338.0</v>
      </c>
      <c r="I117" s="28">
        <v>1695.0</v>
      </c>
      <c r="J117" s="28">
        <v>1235.0</v>
      </c>
      <c r="K117" s="28">
        <v>7.0</v>
      </c>
      <c r="L117" s="28">
        <v>61.0</v>
      </c>
      <c r="M117" s="28">
        <v>12.0</v>
      </c>
      <c r="N117" s="28">
        <v>380.0</v>
      </c>
      <c r="O117" s="29">
        <f t="shared" ref="O117:T117" si="118">ROUND(C117 + ((2016-2012)*(I117-C117))/(2024-2012),0)</f>
        <v>1056</v>
      </c>
      <c r="P117" s="36">
        <f t="shared" si="118"/>
        <v>661</v>
      </c>
      <c r="Q117" s="36">
        <f t="shared" si="118"/>
        <v>2</v>
      </c>
      <c r="R117" s="36">
        <f t="shared" si="118"/>
        <v>26</v>
      </c>
      <c r="S117" s="36">
        <f t="shared" si="118"/>
        <v>15</v>
      </c>
      <c r="T117" s="36">
        <f t="shared" si="118"/>
        <v>352</v>
      </c>
      <c r="U117" s="37">
        <v>197.0</v>
      </c>
      <c r="V117" s="31">
        <f t="shared" si="3"/>
        <v>464</v>
      </c>
      <c r="W117" s="31">
        <f t="shared" si="4"/>
        <v>464</v>
      </c>
      <c r="X117" s="32">
        <f t="shared" si="5"/>
        <v>1056</v>
      </c>
      <c r="Y117" s="31">
        <v>76.99999958276749</v>
      </c>
      <c r="Z117" s="33"/>
      <c r="AA117" s="28">
        <v>776.0</v>
      </c>
      <c r="AB117" s="36">
        <f t="shared" si="7"/>
        <v>1157</v>
      </c>
      <c r="AC117" s="28">
        <v>1920.0</v>
      </c>
      <c r="AD117" s="13"/>
      <c r="AE117" s="13"/>
      <c r="AF117" s="13"/>
      <c r="AG117" s="13"/>
      <c r="AH117" s="13"/>
      <c r="AI117" s="13"/>
      <c r="AJ117" s="13"/>
      <c r="AK117" s="13"/>
      <c r="AL117" s="13"/>
    </row>
    <row r="118" ht="15.75" customHeight="1">
      <c r="A118" s="26">
        <v>22001.0</v>
      </c>
      <c r="B118" s="27" t="s">
        <v>133</v>
      </c>
      <c r="C118" s="28">
        <v>17021.0</v>
      </c>
      <c r="D118" s="28">
        <v>9633.0</v>
      </c>
      <c r="E118" s="28">
        <v>106.0</v>
      </c>
      <c r="F118" s="28">
        <v>308.0</v>
      </c>
      <c r="G118" s="28">
        <v>171.0</v>
      </c>
      <c r="H118" s="28">
        <v>6803.0</v>
      </c>
      <c r="I118" s="28">
        <v>21081.0</v>
      </c>
      <c r="J118" s="28">
        <v>17101.0</v>
      </c>
      <c r="K118" s="28">
        <v>33.0</v>
      </c>
      <c r="L118" s="28">
        <v>184.0</v>
      </c>
      <c r="M118" s="28">
        <v>203.0</v>
      </c>
      <c r="N118" s="28">
        <v>3560.0</v>
      </c>
      <c r="O118" s="29">
        <f t="shared" ref="O118:T118" si="119">ROUND(C118 + ((2016-2012)*(I118-C118))/(2024-2012),0)</f>
        <v>18374</v>
      </c>
      <c r="P118" s="30">
        <f t="shared" si="119"/>
        <v>12122</v>
      </c>
      <c r="Q118" s="30">
        <f t="shared" si="119"/>
        <v>82</v>
      </c>
      <c r="R118" s="30">
        <f t="shared" si="119"/>
        <v>267</v>
      </c>
      <c r="S118" s="30">
        <f t="shared" si="119"/>
        <v>182</v>
      </c>
      <c r="T118" s="30">
        <f t="shared" si="119"/>
        <v>5722</v>
      </c>
      <c r="U118" s="30">
        <v>11285.0</v>
      </c>
      <c r="V118" s="31">
        <f t="shared" si="3"/>
        <v>837</v>
      </c>
      <c r="W118" s="31">
        <f t="shared" si="4"/>
        <v>837</v>
      </c>
      <c r="X118" s="32">
        <f t="shared" si="5"/>
        <v>18375</v>
      </c>
      <c r="Y118" s="31">
        <v>195.99999487400055</v>
      </c>
      <c r="Z118" s="33"/>
      <c r="AA118" s="28">
        <v>17456.0</v>
      </c>
      <c r="AB118" s="30">
        <f t="shared" si="7"/>
        <v>19556</v>
      </c>
      <c r="AC118" s="28">
        <v>23756.0</v>
      </c>
      <c r="AD118" s="13"/>
      <c r="AE118" s="13"/>
      <c r="AF118" s="13"/>
      <c r="AG118" s="13"/>
      <c r="AH118" s="13"/>
      <c r="AI118" s="13"/>
      <c r="AJ118" s="13"/>
      <c r="AK118" s="13"/>
      <c r="AL118" s="13"/>
    </row>
    <row r="119" ht="15.75" customHeight="1">
      <c r="A119" s="34">
        <v>22002.0</v>
      </c>
      <c r="B119" s="35" t="s">
        <v>134</v>
      </c>
      <c r="C119" s="28">
        <v>4210.0</v>
      </c>
      <c r="D119" s="28">
        <v>1807.0</v>
      </c>
      <c r="E119" s="28">
        <v>27.0</v>
      </c>
      <c r="F119" s="28">
        <v>32.0</v>
      </c>
      <c r="G119" s="28">
        <v>90.0</v>
      </c>
      <c r="H119" s="28">
        <v>2254.0</v>
      </c>
      <c r="I119" s="28">
        <v>4491.0</v>
      </c>
      <c r="J119" s="28">
        <v>2622.0</v>
      </c>
      <c r="K119" s="28">
        <v>20.0</v>
      </c>
      <c r="L119" s="28">
        <v>96.0</v>
      </c>
      <c r="M119" s="28">
        <v>26.0</v>
      </c>
      <c r="N119" s="28">
        <v>1727.0</v>
      </c>
      <c r="O119" s="29">
        <f t="shared" ref="O119:T119" si="120">ROUND(C119 + ((2016-2012)*(I119-C119))/(2024-2012),0)</f>
        <v>4304</v>
      </c>
      <c r="P119" s="36">
        <f t="shared" si="120"/>
        <v>2079</v>
      </c>
      <c r="Q119" s="36">
        <f t="shared" si="120"/>
        <v>25</v>
      </c>
      <c r="R119" s="36">
        <f t="shared" si="120"/>
        <v>53</v>
      </c>
      <c r="S119" s="36">
        <f t="shared" si="120"/>
        <v>69</v>
      </c>
      <c r="T119" s="36">
        <f t="shared" si="120"/>
        <v>2078</v>
      </c>
      <c r="U119" s="36">
        <v>1933.0</v>
      </c>
      <c r="V119" s="31">
        <f t="shared" si="3"/>
        <v>146</v>
      </c>
      <c r="W119" s="31">
        <f t="shared" si="4"/>
        <v>146</v>
      </c>
      <c r="X119" s="32">
        <f t="shared" si="5"/>
        <v>4304</v>
      </c>
      <c r="Y119" s="31">
        <v>166.99999570846558</v>
      </c>
      <c r="Z119" s="33"/>
      <c r="AA119" s="28">
        <v>4318.0</v>
      </c>
      <c r="AB119" s="36">
        <f t="shared" si="7"/>
        <v>4566</v>
      </c>
      <c r="AC119" s="28">
        <v>5063.0</v>
      </c>
      <c r="AD119" s="13"/>
      <c r="AE119" s="13"/>
      <c r="AF119" s="13"/>
      <c r="AG119" s="13"/>
      <c r="AH119" s="13"/>
      <c r="AI119" s="13"/>
      <c r="AJ119" s="13"/>
      <c r="AK119" s="13"/>
      <c r="AL119" s="13"/>
    </row>
    <row r="120" ht="15.75" customHeight="1">
      <c r="A120" s="26">
        <v>30101.0</v>
      </c>
      <c r="B120" s="27" t="s">
        <v>135</v>
      </c>
      <c r="C120" s="28">
        <v>177376.0</v>
      </c>
      <c r="D120" s="28">
        <v>169837.0</v>
      </c>
      <c r="E120" s="28">
        <v>299.0</v>
      </c>
      <c r="F120" s="28">
        <v>32.0</v>
      </c>
      <c r="G120" s="28">
        <v>204.0</v>
      </c>
      <c r="H120" s="28">
        <v>7004.0</v>
      </c>
      <c r="I120" s="28">
        <v>212273.0</v>
      </c>
      <c r="J120" s="28">
        <v>205803.0</v>
      </c>
      <c r="K120" s="28">
        <v>605.0</v>
      </c>
      <c r="L120" s="28">
        <v>807.0</v>
      </c>
      <c r="M120" s="28">
        <v>427.0</v>
      </c>
      <c r="N120" s="28">
        <v>4631.0</v>
      </c>
      <c r="O120" s="29">
        <f t="shared" ref="O120:T120" si="121">ROUND(C120 + ((2016-2012)*(I120-C120))/(2024-2012),0)</f>
        <v>189008</v>
      </c>
      <c r="P120" s="30">
        <f t="shared" si="121"/>
        <v>181826</v>
      </c>
      <c r="Q120" s="30">
        <f t="shared" si="121"/>
        <v>401</v>
      </c>
      <c r="R120" s="30">
        <f t="shared" si="121"/>
        <v>290</v>
      </c>
      <c r="S120" s="30">
        <f t="shared" si="121"/>
        <v>278</v>
      </c>
      <c r="T120" s="30">
        <f t="shared" si="121"/>
        <v>6213</v>
      </c>
      <c r="U120" s="30">
        <v>207056.0</v>
      </c>
      <c r="V120" s="31">
        <f t="shared" si="3"/>
        <v>-25230</v>
      </c>
      <c r="W120" s="31">
        <f t="shared" si="4"/>
        <v>0</v>
      </c>
      <c r="X120" s="32">
        <f t="shared" si="5"/>
        <v>214238</v>
      </c>
      <c r="Y120" s="31">
        <v>1041.0000085830688</v>
      </c>
      <c r="Z120" s="33"/>
      <c r="AA120" s="28">
        <v>193738.0</v>
      </c>
      <c r="AB120" s="30">
        <f t="shared" si="7"/>
        <v>214783</v>
      </c>
      <c r="AC120" s="28">
        <v>256874.0</v>
      </c>
      <c r="AD120" s="13"/>
      <c r="AE120" s="13"/>
      <c r="AF120" s="13"/>
      <c r="AG120" s="13"/>
      <c r="AH120" s="13"/>
      <c r="AI120" s="13"/>
      <c r="AJ120" s="13"/>
      <c r="AK120" s="13"/>
      <c r="AL120" s="13"/>
    </row>
    <row r="121" ht="15.75" customHeight="1">
      <c r="A121" s="34">
        <v>30201.0</v>
      </c>
      <c r="B121" s="35" t="s">
        <v>136</v>
      </c>
      <c r="C121" s="28">
        <v>6499.0</v>
      </c>
      <c r="D121" s="28">
        <v>3620.0</v>
      </c>
      <c r="E121" s="28">
        <v>35.0</v>
      </c>
      <c r="F121" s="28">
        <v>255.0</v>
      </c>
      <c r="G121" s="28">
        <v>83.0</v>
      </c>
      <c r="H121" s="28">
        <v>2506.0</v>
      </c>
      <c r="I121" s="28">
        <v>7123.0</v>
      </c>
      <c r="J121" s="28">
        <v>4854.0</v>
      </c>
      <c r="K121" s="28">
        <v>19.0</v>
      </c>
      <c r="L121" s="28">
        <v>727.0</v>
      </c>
      <c r="M121" s="28">
        <v>47.0</v>
      </c>
      <c r="N121" s="28">
        <v>1476.0</v>
      </c>
      <c r="O121" s="29">
        <f t="shared" ref="O121:T121" si="122">ROUND(C121 + ((2016-2012)*(I121-C121))/(2024-2012),0)</f>
        <v>6707</v>
      </c>
      <c r="P121" s="36">
        <f t="shared" si="122"/>
        <v>4031</v>
      </c>
      <c r="Q121" s="36">
        <f t="shared" si="122"/>
        <v>30</v>
      </c>
      <c r="R121" s="36">
        <f t="shared" si="122"/>
        <v>412</v>
      </c>
      <c r="S121" s="36">
        <f t="shared" si="122"/>
        <v>71</v>
      </c>
      <c r="T121" s="36">
        <f t="shared" si="122"/>
        <v>2163</v>
      </c>
      <c r="U121" s="37">
        <v>4324.0</v>
      </c>
      <c r="V121" s="31">
        <f t="shared" si="3"/>
        <v>-293</v>
      </c>
      <c r="W121" s="31">
        <f t="shared" si="4"/>
        <v>0</v>
      </c>
      <c r="X121" s="32">
        <f t="shared" si="5"/>
        <v>7000</v>
      </c>
      <c r="Y121" s="31">
        <v>375.49999356269836</v>
      </c>
      <c r="Z121" s="33"/>
      <c r="AA121" s="28">
        <v>8375.0</v>
      </c>
      <c r="AB121" s="36">
        <f t="shared" si="7"/>
        <v>9145</v>
      </c>
      <c r="AC121" s="28">
        <v>10686.0</v>
      </c>
      <c r="AD121" s="13"/>
      <c r="AE121" s="13"/>
      <c r="AF121" s="13"/>
      <c r="AG121" s="13"/>
      <c r="AH121" s="13"/>
      <c r="AI121" s="13"/>
      <c r="AJ121" s="13"/>
      <c r="AK121" s="13"/>
      <c r="AL121" s="13"/>
    </row>
    <row r="122" ht="15.75" customHeight="1">
      <c r="A122" s="26">
        <v>30202.0</v>
      </c>
      <c r="B122" s="27" t="s">
        <v>137</v>
      </c>
      <c r="C122" s="28">
        <v>1537.0</v>
      </c>
      <c r="D122" s="28">
        <v>646.0</v>
      </c>
      <c r="E122" s="28">
        <v>9.0</v>
      </c>
      <c r="F122" s="28">
        <v>170.0</v>
      </c>
      <c r="G122" s="28">
        <v>12.0</v>
      </c>
      <c r="H122" s="28">
        <v>700.0</v>
      </c>
      <c r="I122" s="28">
        <v>1753.0</v>
      </c>
      <c r="J122" s="28">
        <v>742.0</v>
      </c>
      <c r="K122" s="28">
        <v>8.0</v>
      </c>
      <c r="L122" s="28">
        <v>470.0</v>
      </c>
      <c r="M122" s="28">
        <v>51.0</v>
      </c>
      <c r="N122" s="28">
        <v>482.0</v>
      </c>
      <c r="O122" s="29">
        <f t="shared" ref="O122:T122" si="123">ROUND(C122 + ((2016-2012)*(I122-C122))/(2024-2012),0)</f>
        <v>1609</v>
      </c>
      <c r="P122" s="30">
        <f t="shared" si="123"/>
        <v>678</v>
      </c>
      <c r="Q122" s="30">
        <f t="shared" si="123"/>
        <v>9</v>
      </c>
      <c r="R122" s="30">
        <f t="shared" si="123"/>
        <v>270</v>
      </c>
      <c r="S122" s="30">
        <f t="shared" si="123"/>
        <v>25</v>
      </c>
      <c r="T122" s="30">
        <f t="shared" si="123"/>
        <v>627</v>
      </c>
      <c r="U122" s="38">
        <v>726.0</v>
      </c>
      <c r="V122" s="31">
        <f t="shared" si="3"/>
        <v>-48</v>
      </c>
      <c r="W122" s="31">
        <f t="shared" si="4"/>
        <v>0</v>
      </c>
      <c r="X122" s="32">
        <f t="shared" si="5"/>
        <v>1657</v>
      </c>
      <c r="Y122" s="31">
        <v>163.00000250339508</v>
      </c>
      <c r="Z122" s="33"/>
      <c r="AA122" s="28">
        <v>1760.0</v>
      </c>
      <c r="AB122" s="30">
        <f t="shared" si="7"/>
        <v>1848</v>
      </c>
      <c r="AC122" s="28">
        <v>2024.0</v>
      </c>
      <c r="AD122" s="13"/>
      <c r="AE122" s="13"/>
      <c r="AF122" s="13"/>
      <c r="AG122" s="13"/>
      <c r="AH122" s="13"/>
      <c r="AI122" s="13"/>
      <c r="AJ122" s="13"/>
      <c r="AK122" s="13"/>
      <c r="AL122" s="13"/>
    </row>
    <row r="123" ht="15.75" customHeight="1">
      <c r="A123" s="34">
        <v>30203.0</v>
      </c>
      <c r="B123" s="35" t="s">
        <v>138</v>
      </c>
      <c r="C123" s="28">
        <v>1434.0</v>
      </c>
      <c r="D123" s="28">
        <v>1036.0</v>
      </c>
      <c r="E123" s="28">
        <v>7.0</v>
      </c>
      <c r="F123" s="28">
        <v>38.0</v>
      </c>
      <c r="G123" s="28">
        <v>7.0</v>
      </c>
      <c r="H123" s="28">
        <v>346.0</v>
      </c>
      <c r="I123" s="28">
        <v>1920.0</v>
      </c>
      <c r="J123" s="28">
        <v>1616.0</v>
      </c>
      <c r="K123" s="28">
        <v>5.0</v>
      </c>
      <c r="L123" s="28">
        <v>95.0</v>
      </c>
      <c r="M123" s="28">
        <v>8.0</v>
      </c>
      <c r="N123" s="28">
        <v>196.0</v>
      </c>
      <c r="O123" s="29">
        <f t="shared" ref="O123:T123" si="124">ROUND(C123 + ((2016-2012)*(I123-C123))/(2024-2012),0)</f>
        <v>1596</v>
      </c>
      <c r="P123" s="36">
        <f t="shared" si="124"/>
        <v>1229</v>
      </c>
      <c r="Q123" s="36">
        <f t="shared" si="124"/>
        <v>6</v>
      </c>
      <c r="R123" s="36">
        <f t="shared" si="124"/>
        <v>57</v>
      </c>
      <c r="S123" s="36">
        <f t="shared" si="124"/>
        <v>7</v>
      </c>
      <c r="T123" s="36">
        <f t="shared" si="124"/>
        <v>296</v>
      </c>
      <c r="U123" s="37">
        <v>2313.0</v>
      </c>
      <c r="V123" s="31">
        <f t="shared" si="3"/>
        <v>-1084</v>
      </c>
      <c r="W123" s="31">
        <f t="shared" si="4"/>
        <v>0</v>
      </c>
      <c r="X123" s="32">
        <f t="shared" si="5"/>
        <v>2679</v>
      </c>
      <c r="Y123" s="31">
        <v>181.99999630451202</v>
      </c>
      <c r="Z123" s="33"/>
      <c r="AA123" s="28">
        <v>1860.0</v>
      </c>
      <c r="AB123" s="36">
        <f t="shared" si="7"/>
        <v>2090</v>
      </c>
      <c r="AC123" s="28">
        <v>2550.0</v>
      </c>
      <c r="AD123" s="13"/>
      <c r="AE123" s="13"/>
      <c r="AF123" s="13"/>
      <c r="AG123" s="13"/>
      <c r="AH123" s="13"/>
      <c r="AI123" s="13"/>
      <c r="AJ123" s="13"/>
      <c r="AK123" s="13"/>
      <c r="AL123" s="13"/>
    </row>
    <row r="124" ht="15.75" customHeight="1">
      <c r="A124" s="26">
        <v>30301.0</v>
      </c>
      <c r="B124" s="27" t="s">
        <v>139</v>
      </c>
      <c r="C124" s="28">
        <v>7347.0</v>
      </c>
      <c r="D124" s="28">
        <v>3299.0</v>
      </c>
      <c r="E124" s="28">
        <v>35.0</v>
      </c>
      <c r="F124" s="28">
        <v>64.0</v>
      </c>
      <c r="G124" s="28">
        <v>124.0</v>
      </c>
      <c r="H124" s="28">
        <v>3825.0</v>
      </c>
      <c r="I124" s="28">
        <v>8442.0</v>
      </c>
      <c r="J124" s="28">
        <v>5195.0</v>
      </c>
      <c r="K124" s="28">
        <v>32.0</v>
      </c>
      <c r="L124" s="28">
        <v>718.0</v>
      </c>
      <c r="M124" s="28">
        <v>82.0</v>
      </c>
      <c r="N124" s="28">
        <v>2415.0</v>
      </c>
      <c r="O124" s="29">
        <f t="shared" ref="O124:T124" si="125">ROUND(C124 + ((2016-2012)*(I124-C124))/(2024-2012),0)</f>
        <v>7712</v>
      </c>
      <c r="P124" s="30">
        <f t="shared" si="125"/>
        <v>3931</v>
      </c>
      <c r="Q124" s="30">
        <f t="shared" si="125"/>
        <v>34</v>
      </c>
      <c r="R124" s="30">
        <f t="shared" si="125"/>
        <v>282</v>
      </c>
      <c r="S124" s="30">
        <f t="shared" si="125"/>
        <v>110</v>
      </c>
      <c r="T124" s="30">
        <f t="shared" si="125"/>
        <v>3355</v>
      </c>
      <c r="U124" s="38">
        <v>3155.0</v>
      </c>
      <c r="V124" s="31">
        <f t="shared" si="3"/>
        <v>776</v>
      </c>
      <c r="W124" s="31">
        <f t="shared" si="4"/>
        <v>776</v>
      </c>
      <c r="X124" s="32">
        <f t="shared" si="5"/>
        <v>7712</v>
      </c>
      <c r="Y124" s="31">
        <v>85.00000089406967</v>
      </c>
      <c r="Z124" s="33"/>
      <c r="AA124" s="28">
        <v>9694.0</v>
      </c>
      <c r="AB124" s="30">
        <f t="shared" si="7"/>
        <v>10364</v>
      </c>
      <c r="AC124" s="28">
        <v>11704.0</v>
      </c>
      <c r="AD124" s="13"/>
      <c r="AE124" s="13"/>
      <c r="AF124" s="13"/>
      <c r="AG124" s="13"/>
      <c r="AH124" s="13"/>
      <c r="AI124" s="13"/>
      <c r="AJ124" s="13"/>
      <c r="AK124" s="13"/>
      <c r="AL124" s="13"/>
    </row>
    <row r="125" ht="15.75" customHeight="1">
      <c r="A125" s="34">
        <v>30302.0</v>
      </c>
      <c r="B125" s="35" t="s">
        <v>140</v>
      </c>
      <c r="C125" s="28">
        <v>3936.0</v>
      </c>
      <c r="D125" s="28">
        <v>1572.0</v>
      </c>
      <c r="E125" s="28">
        <v>25.0</v>
      </c>
      <c r="F125" s="28">
        <v>87.0</v>
      </c>
      <c r="G125" s="28">
        <v>113.0</v>
      </c>
      <c r="H125" s="28">
        <v>2139.0</v>
      </c>
      <c r="I125" s="28">
        <v>5081.0</v>
      </c>
      <c r="J125" s="28">
        <v>2538.0</v>
      </c>
      <c r="K125" s="28">
        <v>9.0</v>
      </c>
      <c r="L125" s="28">
        <v>539.0</v>
      </c>
      <c r="M125" s="28">
        <v>71.0</v>
      </c>
      <c r="N125" s="28">
        <v>1924.0</v>
      </c>
      <c r="O125" s="29">
        <f t="shared" ref="O125:T125" si="126">ROUND(C125 + ((2016-2012)*(I125-C125))/(2024-2012),0)</f>
        <v>4318</v>
      </c>
      <c r="P125" s="36">
        <f t="shared" si="126"/>
        <v>1894</v>
      </c>
      <c r="Q125" s="36">
        <f t="shared" si="126"/>
        <v>20</v>
      </c>
      <c r="R125" s="36">
        <f t="shared" si="126"/>
        <v>238</v>
      </c>
      <c r="S125" s="36">
        <f t="shared" si="126"/>
        <v>99</v>
      </c>
      <c r="T125" s="36">
        <f t="shared" si="126"/>
        <v>2067</v>
      </c>
      <c r="U125" s="37">
        <v>1569.0</v>
      </c>
      <c r="V125" s="31">
        <f t="shared" si="3"/>
        <v>325</v>
      </c>
      <c r="W125" s="31">
        <f t="shared" si="4"/>
        <v>325</v>
      </c>
      <c r="X125" s="32">
        <f t="shared" si="5"/>
        <v>4318</v>
      </c>
      <c r="Y125" s="31">
        <v>108.99999737739563</v>
      </c>
      <c r="Z125" s="33"/>
      <c r="AA125" s="28">
        <v>4715.0</v>
      </c>
      <c r="AB125" s="36">
        <f t="shared" si="7"/>
        <v>5258</v>
      </c>
      <c r="AC125" s="28">
        <v>6344.0</v>
      </c>
      <c r="AD125" s="13"/>
      <c r="AE125" s="13"/>
      <c r="AF125" s="13"/>
      <c r="AG125" s="13"/>
      <c r="AH125" s="13"/>
      <c r="AI125" s="13"/>
      <c r="AJ125" s="13"/>
      <c r="AK125" s="13"/>
      <c r="AL125" s="13"/>
    </row>
    <row r="126" ht="15.75" customHeight="1">
      <c r="A126" s="26">
        <v>30303.0</v>
      </c>
      <c r="B126" s="27" t="s">
        <v>141</v>
      </c>
      <c r="C126" s="28">
        <v>4920.0</v>
      </c>
      <c r="D126" s="28">
        <v>1060.0</v>
      </c>
      <c r="E126" s="28">
        <v>30.0</v>
      </c>
      <c r="F126" s="28">
        <v>1272.0</v>
      </c>
      <c r="G126" s="28">
        <v>110.0</v>
      </c>
      <c r="H126" s="28">
        <v>2448.0</v>
      </c>
      <c r="I126" s="28">
        <v>7511.0</v>
      </c>
      <c r="J126" s="28">
        <v>2875.0</v>
      </c>
      <c r="K126" s="28">
        <v>44.0</v>
      </c>
      <c r="L126" s="28">
        <v>1542.0</v>
      </c>
      <c r="M126" s="28">
        <v>134.0</v>
      </c>
      <c r="N126" s="28">
        <v>2916.0</v>
      </c>
      <c r="O126" s="29">
        <f t="shared" ref="O126:T126" si="127">ROUND(C126 + ((2016-2012)*(I126-C126))/(2024-2012),0)</f>
        <v>5784</v>
      </c>
      <c r="P126" s="30">
        <f t="shared" si="127"/>
        <v>1665</v>
      </c>
      <c r="Q126" s="30">
        <f t="shared" si="127"/>
        <v>35</v>
      </c>
      <c r="R126" s="30">
        <f t="shared" si="127"/>
        <v>1362</v>
      </c>
      <c r="S126" s="30">
        <f t="shared" si="127"/>
        <v>118</v>
      </c>
      <c r="T126" s="30">
        <f t="shared" si="127"/>
        <v>2604</v>
      </c>
      <c r="U126" s="38">
        <v>1175.0</v>
      </c>
      <c r="V126" s="31">
        <f t="shared" si="3"/>
        <v>490</v>
      </c>
      <c r="W126" s="31">
        <f t="shared" si="4"/>
        <v>490</v>
      </c>
      <c r="X126" s="32">
        <f t="shared" si="5"/>
        <v>5784</v>
      </c>
      <c r="Y126" s="31">
        <v>123.00000339746475</v>
      </c>
      <c r="Z126" s="33"/>
      <c r="AA126" s="28">
        <v>5552.0</v>
      </c>
      <c r="AB126" s="30">
        <f t="shared" si="7"/>
        <v>6766</v>
      </c>
      <c r="AC126" s="28">
        <v>9193.0</v>
      </c>
      <c r="AD126" s="13"/>
      <c r="AE126" s="13"/>
      <c r="AF126" s="13"/>
      <c r="AG126" s="13"/>
      <c r="AH126" s="13"/>
      <c r="AI126" s="13"/>
      <c r="AJ126" s="13"/>
      <c r="AK126" s="13"/>
      <c r="AL126" s="13"/>
    </row>
    <row r="127" ht="15.75" customHeight="1">
      <c r="A127" s="34">
        <v>30401.0</v>
      </c>
      <c r="B127" s="35" t="s">
        <v>142</v>
      </c>
      <c r="C127" s="28">
        <v>2593.0</v>
      </c>
      <c r="D127" s="28">
        <v>1827.0</v>
      </c>
      <c r="E127" s="28">
        <v>4.0</v>
      </c>
      <c r="F127" s="28">
        <v>4.0</v>
      </c>
      <c r="G127" s="28">
        <v>7.0</v>
      </c>
      <c r="H127" s="28">
        <v>751.0</v>
      </c>
      <c r="I127" s="28">
        <v>4030.0</v>
      </c>
      <c r="J127" s="28">
        <v>3031.0</v>
      </c>
      <c r="K127" s="28">
        <v>5.0</v>
      </c>
      <c r="L127" s="28">
        <v>28.0</v>
      </c>
      <c r="M127" s="28">
        <v>9.0</v>
      </c>
      <c r="N127" s="28">
        <v>957.0</v>
      </c>
      <c r="O127" s="29">
        <f t="shared" ref="O127:T127" si="128">ROUND(C127 + ((2016-2012)*(I127-C127))/(2024-2012),0)</f>
        <v>3072</v>
      </c>
      <c r="P127" s="36">
        <f t="shared" si="128"/>
        <v>2228</v>
      </c>
      <c r="Q127" s="36">
        <f t="shared" si="128"/>
        <v>4</v>
      </c>
      <c r="R127" s="36">
        <f t="shared" si="128"/>
        <v>12</v>
      </c>
      <c r="S127" s="36">
        <f t="shared" si="128"/>
        <v>8</v>
      </c>
      <c r="T127" s="36">
        <f t="shared" si="128"/>
        <v>820</v>
      </c>
      <c r="U127" s="37">
        <v>2561.0</v>
      </c>
      <c r="V127" s="31">
        <f t="shared" si="3"/>
        <v>-333</v>
      </c>
      <c r="W127" s="31">
        <f t="shared" si="4"/>
        <v>0</v>
      </c>
      <c r="X127" s="32">
        <f t="shared" si="5"/>
        <v>3405</v>
      </c>
      <c r="Y127" s="31">
        <v>342.99999475479126</v>
      </c>
      <c r="Z127" s="33"/>
      <c r="AA127" s="28">
        <v>3168.0</v>
      </c>
      <c r="AB127" s="36">
        <f t="shared" si="7"/>
        <v>3864</v>
      </c>
      <c r="AC127" s="28">
        <v>5257.0</v>
      </c>
      <c r="AD127" s="13"/>
      <c r="AE127" s="13"/>
      <c r="AF127" s="13"/>
      <c r="AG127" s="13"/>
      <c r="AH127" s="13"/>
      <c r="AI127" s="13"/>
      <c r="AJ127" s="13"/>
      <c r="AK127" s="13"/>
      <c r="AL127" s="13"/>
    </row>
    <row r="128" ht="15.75" customHeight="1">
      <c r="A128" s="26">
        <v>30402.0</v>
      </c>
      <c r="B128" s="27" t="s">
        <v>143</v>
      </c>
      <c r="C128" s="28">
        <v>2636.0</v>
      </c>
      <c r="D128" s="28">
        <v>1092.0</v>
      </c>
      <c r="E128" s="28">
        <v>24.0</v>
      </c>
      <c r="F128" s="28">
        <v>228.0</v>
      </c>
      <c r="G128" s="28">
        <v>25.0</v>
      </c>
      <c r="H128" s="28">
        <v>1267.0</v>
      </c>
      <c r="I128" s="28">
        <v>3362.0</v>
      </c>
      <c r="J128" s="28">
        <v>1805.0</v>
      </c>
      <c r="K128" s="28">
        <v>4.0</v>
      </c>
      <c r="L128" s="28">
        <v>211.0</v>
      </c>
      <c r="M128" s="28">
        <v>44.0</v>
      </c>
      <c r="N128" s="28">
        <v>1298.0</v>
      </c>
      <c r="O128" s="29">
        <f t="shared" ref="O128:T128" si="129">ROUND(C128 + ((2016-2012)*(I128-C128))/(2024-2012),0)</f>
        <v>2878</v>
      </c>
      <c r="P128" s="30">
        <f t="shared" si="129"/>
        <v>1330</v>
      </c>
      <c r="Q128" s="30">
        <f t="shared" si="129"/>
        <v>17</v>
      </c>
      <c r="R128" s="30">
        <f t="shared" si="129"/>
        <v>222</v>
      </c>
      <c r="S128" s="30">
        <f t="shared" si="129"/>
        <v>31</v>
      </c>
      <c r="T128" s="30">
        <f t="shared" si="129"/>
        <v>1277</v>
      </c>
      <c r="U128" s="38">
        <v>925.0</v>
      </c>
      <c r="V128" s="31">
        <f t="shared" si="3"/>
        <v>405</v>
      </c>
      <c r="W128" s="31">
        <f t="shared" si="4"/>
        <v>405</v>
      </c>
      <c r="X128" s="32">
        <f t="shared" si="5"/>
        <v>2877</v>
      </c>
      <c r="Y128" s="31">
        <v>114.00000005960464</v>
      </c>
      <c r="Z128" s="33"/>
      <c r="AA128" s="28">
        <v>3600.0</v>
      </c>
      <c r="AB128" s="30">
        <f t="shared" si="7"/>
        <v>3864</v>
      </c>
      <c r="AC128" s="28">
        <v>4393.0</v>
      </c>
      <c r="AD128" s="13"/>
      <c r="AE128" s="13"/>
      <c r="AF128" s="13"/>
      <c r="AG128" s="13"/>
      <c r="AH128" s="13"/>
      <c r="AI128" s="13"/>
      <c r="AJ128" s="13"/>
      <c r="AK128" s="13"/>
      <c r="AL128" s="13"/>
    </row>
    <row r="129" ht="15.75" customHeight="1">
      <c r="A129" s="34">
        <v>30403.0</v>
      </c>
      <c r="B129" s="35" t="s">
        <v>144</v>
      </c>
      <c r="C129" s="28">
        <v>5532.0</v>
      </c>
      <c r="D129" s="28">
        <v>4137.0</v>
      </c>
      <c r="E129" s="28">
        <v>18.0</v>
      </c>
      <c r="F129" s="28">
        <v>11.0</v>
      </c>
      <c r="G129" s="28">
        <v>34.0</v>
      </c>
      <c r="H129" s="28">
        <v>1332.0</v>
      </c>
      <c r="I129" s="28">
        <v>10848.0</v>
      </c>
      <c r="J129" s="28">
        <v>7558.0</v>
      </c>
      <c r="K129" s="28">
        <v>37.0</v>
      </c>
      <c r="L129" s="28">
        <v>118.0</v>
      </c>
      <c r="M129" s="28">
        <v>58.0</v>
      </c>
      <c r="N129" s="28">
        <v>3077.0</v>
      </c>
      <c r="O129" s="29">
        <f t="shared" ref="O129:T129" si="130">ROUND(C129 + ((2016-2012)*(I129-C129))/(2024-2012),0)</f>
        <v>7304</v>
      </c>
      <c r="P129" s="36">
        <f t="shared" si="130"/>
        <v>5277</v>
      </c>
      <c r="Q129" s="36">
        <f t="shared" si="130"/>
        <v>24</v>
      </c>
      <c r="R129" s="36">
        <f t="shared" si="130"/>
        <v>47</v>
      </c>
      <c r="S129" s="36">
        <f t="shared" si="130"/>
        <v>42</v>
      </c>
      <c r="T129" s="36">
        <f t="shared" si="130"/>
        <v>1914</v>
      </c>
      <c r="U129" s="37">
        <v>4972.0</v>
      </c>
      <c r="V129" s="31">
        <f t="shared" si="3"/>
        <v>305</v>
      </c>
      <c r="W129" s="31">
        <f t="shared" si="4"/>
        <v>305</v>
      </c>
      <c r="X129" s="32">
        <f t="shared" si="5"/>
        <v>7304</v>
      </c>
      <c r="Y129" s="31">
        <v>287.00000047683716</v>
      </c>
      <c r="Z129" s="33"/>
      <c r="AA129" s="28">
        <v>6651.0</v>
      </c>
      <c r="AB129" s="36">
        <f t="shared" si="7"/>
        <v>9305</v>
      </c>
      <c r="AC129" s="28">
        <v>14612.0</v>
      </c>
      <c r="AD129" s="13"/>
      <c r="AE129" s="13"/>
      <c r="AF129" s="13"/>
      <c r="AG129" s="13"/>
      <c r="AH129" s="13"/>
      <c r="AI129" s="13"/>
      <c r="AJ129" s="13"/>
      <c r="AK129" s="13"/>
      <c r="AL129" s="13"/>
    </row>
    <row r="130" ht="15.75" customHeight="1">
      <c r="A130" s="26">
        <v>30404.0</v>
      </c>
      <c r="B130" s="27" t="s">
        <v>145</v>
      </c>
      <c r="C130" s="28">
        <v>1473.0</v>
      </c>
      <c r="D130" s="28">
        <v>697.0</v>
      </c>
      <c r="E130" s="28">
        <v>0.0</v>
      </c>
      <c r="F130" s="28">
        <v>2.0</v>
      </c>
      <c r="G130" s="28">
        <v>3.0</v>
      </c>
      <c r="H130" s="28">
        <v>771.0</v>
      </c>
      <c r="I130" s="28">
        <v>1856.0</v>
      </c>
      <c r="J130" s="28">
        <v>987.0</v>
      </c>
      <c r="K130" s="28">
        <v>1.0</v>
      </c>
      <c r="L130" s="28">
        <v>14.0</v>
      </c>
      <c r="M130" s="28">
        <v>25.0</v>
      </c>
      <c r="N130" s="28">
        <v>829.0</v>
      </c>
      <c r="O130" s="29">
        <f t="shared" ref="O130:T130" si="131">ROUND(C130 + ((2016-2012)*(I130-C130))/(2024-2012),0)</f>
        <v>1601</v>
      </c>
      <c r="P130" s="30">
        <f t="shared" si="131"/>
        <v>794</v>
      </c>
      <c r="Q130" s="30">
        <f t="shared" si="131"/>
        <v>0</v>
      </c>
      <c r="R130" s="30">
        <f t="shared" si="131"/>
        <v>6</v>
      </c>
      <c r="S130" s="30">
        <f t="shared" si="131"/>
        <v>10</v>
      </c>
      <c r="T130" s="30">
        <f t="shared" si="131"/>
        <v>790</v>
      </c>
      <c r="U130" s="38">
        <v>1170.0</v>
      </c>
      <c r="V130" s="31">
        <f t="shared" si="3"/>
        <v>-376</v>
      </c>
      <c r="W130" s="31">
        <f t="shared" si="4"/>
        <v>0</v>
      </c>
      <c r="X130" s="32">
        <f t="shared" si="5"/>
        <v>1976</v>
      </c>
      <c r="Y130" s="31">
        <v>109.99999940395355</v>
      </c>
      <c r="Z130" s="33"/>
      <c r="AA130" s="28">
        <v>1963.0</v>
      </c>
      <c r="AB130" s="30">
        <f t="shared" si="7"/>
        <v>2108</v>
      </c>
      <c r="AC130" s="28">
        <v>2398.0</v>
      </c>
      <c r="AD130" s="13"/>
      <c r="AE130" s="13"/>
      <c r="AF130" s="13"/>
      <c r="AG130" s="13"/>
      <c r="AH130" s="13"/>
      <c r="AI130" s="13"/>
      <c r="AJ130" s="13"/>
      <c r="AK130" s="13"/>
      <c r="AL130" s="13"/>
    </row>
    <row r="131" ht="15.75" customHeight="1">
      <c r="A131" s="34">
        <v>30501.0</v>
      </c>
      <c r="B131" s="35" t="s">
        <v>146</v>
      </c>
      <c r="C131" s="28">
        <v>3144.0</v>
      </c>
      <c r="D131" s="28">
        <v>2606.0</v>
      </c>
      <c r="E131" s="28">
        <v>5.0</v>
      </c>
      <c r="F131" s="28">
        <v>0.0</v>
      </c>
      <c r="G131" s="28">
        <v>4.0</v>
      </c>
      <c r="H131" s="28">
        <v>529.0</v>
      </c>
      <c r="I131" s="28">
        <v>4241.0</v>
      </c>
      <c r="J131" s="28">
        <v>3744.0</v>
      </c>
      <c r="K131" s="28">
        <v>7.0</v>
      </c>
      <c r="L131" s="28">
        <v>15.0</v>
      </c>
      <c r="M131" s="28">
        <v>14.0</v>
      </c>
      <c r="N131" s="28">
        <v>461.0</v>
      </c>
      <c r="O131" s="29">
        <f t="shared" ref="O131:T131" si="132">ROUND(C131 + ((2016-2012)*(I131-C131))/(2024-2012),0)</f>
        <v>3510</v>
      </c>
      <c r="P131" s="36">
        <f t="shared" si="132"/>
        <v>2985</v>
      </c>
      <c r="Q131" s="36">
        <f t="shared" si="132"/>
        <v>6</v>
      </c>
      <c r="R131" s="36">
        <f t="shared" si="132"/>
        <v>5</v>
      </c>
      <c r="S131" s="36">
        <f t="shared" si="132"/>
        <v>7</v>
      </c>
      <c r="T131" s="36">
        <f t="shared" si="132"/>
        <v>506</v>
      </c>
      <c r="U131" s="37">
        <v>4767.0</v>
      </c>
      <c r="V131" s="31">
        <f t="shared" si="3"/>
        <v>-1782</v>
      </c>
      <c r="W131" s="31">
        <f t="shared" si="4"/>
        <v>0</v>
      </c>
      <c r="X131" s="32">
        <f t="shared" si="5"/>
        <v>5291</v>
      </c>
      <c r="Y131" s="31">
        <v>226.99999809265137</v>
      </c>
      <c r="Z131" s="33"/>
      <c r="AA131" s="28">
        <v>4415.0</v>
      </c>
      <c r="AB131" s="36">
        <f t="shared" si="7"/>
        <v>4937</v>
      </c>
      <c r="AC131" s="28">
        <v>5982.0</v>
      </c>
      <c r="AD131" s="13"/>
      <c r="AE131" s="13"/>
      <c r="AF131" s="13"/>
      <c r="AG131" s="13"/>
      <c r="AH131" s="13"/>
      <c r="AI131" s="13"/>
      <c r="AJ131" s="13"/>
      <c r="AK131" s="13"/>
      <c r="AL131" s="13"/>
    </row>
    <row r="132" ht="15.75" customHeight="1">
      <c r="A132" s="26">
        <v>30502.0</v>
      </c>
      <c r="B132" s="27" t="s">
        <v>147</v>
      </c>
      <c r="C132" s="28">
        <v>3202.0</v>
      </c>
      <c r="D132" s="28">
        <v>2033.0</v>
      </c>
      <c r="E132" s="28">
        <v>6.0</v>
      </c>
      <c r="F132" s="28">
        <v>6.0</v>
      </c>
      <c r="G132" s="28">
        <v>52.0</v>
      </c>
      <c r="H132" s="28">
        <v>1105.0</v>
      </c>
      <c r="I132" s="28">
        <v>3606.0</v>
      </c>
      <c r="J132" s="28">
        <v>2570.0</v>
      </c>
      <c r="K132" s="28">
        <v>7.0</v>
      </c>
      <c r="L132" s="28">
        <v>71.0</v>
      </c>
      <c r="M132" s="28">
        <v>26.0</v>
      </c>
      <c r="N132" s="28">
        <v>932.0</v>
      </c>
      <c r="O132" s="29">
        <f t="shared" ref="O132:T132" si="133">ROUND(C132 + ((2016-2012)*(I132-C132))/(2024-2012),0)</f>
        <v>3337</v>
      </c>
      <c r="P132" s="30">
        <f t="shared" si="133"/>
        <v>2212</v>
      </c>
      <c r="Q132" s="30">
        <f t="shared" si="133"/>
        <v>6</v>
      </c>
      <c r="R132" s="30">
        <f t="shared" si="133"/>
        <v>28</v>
      </c>
      <c r="S132" s="30">
        <f t="shared" si="133"/>
        <v>43</v>
      </c>
      <c r="T132" s="30">
        <f t="shared" si="133"/>
        <v>1047</v>
      </c>
      <c r="U132" s="38">
        <v>1349.0</v>
      </c>
      <c r="V132" s="31">
        <f t="shared" si="3"/>
        <v>863</v>
      </c>
      <c r="W132" s="31">
        <f t="shared" si="4"/>
        <v>863</v>
      </c>
      <c r="X132" s="32">
        <f t="shared" si="5"/>
        <v>3336</v>
      </c>
      <c r="Y132" s="31">
        <v>115.99999666213989</v>
      </c>
      <c r="Z132" s="33"/>
      <c r="AA132" s="28">
        <v>4842.0</v>
      </c>
      <c r="AB132" s="30">
        <f t="shared" si="7"/>
        <v>5079</v>
      </c>
      <c r="AC132" s="28">
        <v>5553.0</v>
      </c>
      <c r="AD132" s="13"/>
      <c r="AE132" s="13"/>
      <c r="AF132" s="13"/>
      <c r="AG132" s="13"/>
      <c r="AH132" s="13"/>
      <c r="AI132" s="13"/>
      <c r="AJ132" s="13"/>
      <c r="AK132" s="13"/>
      <c r="AL132" s="13"/>
    </row>
    <row r="133" ht="15.75" customHeight="1">
      <c r="A133" s="34">
        <v>30601.0</v>
      </c>
      <c r="B133" s="35" t="s">
        <v>148</v>
      </c>
      <c r="C133" s="28">
        <v>3303.0</v>
      </c>
      <c r="D133" s="28">
        <v>1100.0</v>
      </c>
      <c r="E133" s="28">
        <v>13.0</v>
      </c>
      <c r="F133" s="28">
        <v>101.0</v>
      </c>
      <c r="G133" s="28">
        <v>142.0</v>
      </c>
      <c r="H133" s="28">
        <v>1947.0</v>
      </c>
      <c r="I133" s="28">
        <v>3900.0</v>
      </c>
      <c r="J133" s="28">
        <v>2201.0</v>
      </c>
      <c r="K133" s="28">
        <v>15.0</v>
      </c>
      <c r="L133" s="28">
        <v>233.0</v>
      </c>
      <c r="M133" s="28">
        <v>42.0</v>
      </c>
      <c r="N133" s="28">
        <v>1409.0</v>
      </c>
      <c r="O133" s="29">
        <f t="shared" ref="O133:T133" si="134">ROUND(C133 + ((2016-2012)*(I133-C133))/(2024-2012),0)</f>
        <v>3502</v>
      </c>
      <c r="P133" s="36">
        <f t="shared" si="134"/>
        <v>1467</v>
      </c>
      <c r="Q133" s="36">
        <f t="shared" si="134"/>
        <v>14</v>
      </c>
      <c r="R133" s="36">
        <f t="shared" si="134"/>
        <v>145</v>
      </c>
      <c r="S133" s="36">
        <f t="shared" si="134"/>
        <v>109</v>
      </c>
      <c r="T133" s="36">
        <f t="shared" si="134"/>
        <v>1768</v>
      </c>
      <c r="U133" s="37">
        <v>981.0</v>
      </c>
      <c r="V133" s="31">
        <f t="shared" si="3"/>
        <v>486</v>
      </c>
      <c r="W133" s="31">
        <f t="shared" si="4"/>
        <v>486</v>
      </c>
      <c r="X133" s="32">
        <f t="shared" si="5"/>
        <v>3503</v>
      </c>
      <c r="Y133" s="31">
        <v>101.00000351667404</v>
      </c>
      <c r="Z133" s="33"/>
      <c r="AA133" s="28">
        <v>4287.0</v>
      </c>
      <c r="AB133" s="36">
        <f t="shared" si="7"/>
        <v>4877</v>
      </c>
      <c r="AC133" s="28">
        <v>6056.0</v>
      </c>
      <c r="AD133" s="13"/>
      <c r="AE133" s="13"/>
      <c r="AF133" s="13"/>
      <c r="AG133" s="13"/>
      <c r="AH133" s="13"/>
      <c r="AI133" s="13"/>
      <c r="AJ133" s="13"/>
      <c r="AK133" s="13"/>
      <c r="AL133" s="13"/>
    </row>
    <row r="134" ht="15.75" customHeight="1">
      <c r="A134" s="26">
        <v>30602.0</v>
      </c>
      <c r="B134" s="27" t="s">
        <v>149</v>
      </c>
      <c r="C134" s="28">
        <v>3337.0</v>
      </c>
      <c r="D134" s="28">
        <v>1094.0</v>
      </c>
      <c r="E134" s="28">
        <v>5.0</v>
      </c>
      <c r="F134" s="28">
        <v>360.0</v>
      </c>
      <c r="G134" s="28">
        <v>55.0</v>
      </c>
      <c r="H134" s="28">
        <v>1823.0</v>
      </c>
      <c r="I134" s="28">
        <v>4226.0</v>
      </c>
      <c r="J134" s="28">
        <v>2615.0</v>
      </c>
      <c r="K134" s="28">
        <v>8.0</v>
      </c>
      <c r="L134" s="28">
        <v>155.0</v>
      </c>
      <c r="M134" s="28">
        <v>38.0</v>
      </c>
      <c r="N134" s="28">
        <v>1410.0</v>
      </c>
      <c r="O134" s="29">
        <f t="shared" ref="O134:T134" si="135">ROUND(C134 + ((2016-2012)*(I134-C134))/(2024-2012),0)</f>
        <v>3633</v>
      </c>
      <c r="P134" s="30">
        <f t="shared" si="135"/>
        <v>1601</v>
      </c>
      <c r="Q134" s="30">
        <f t="shared" si="135"/>
        <v>6</v>
      </c>
      <c r="R134" s="30">
        <f t="shared" si="135"/>
        <v>292</v>
      </c>
      <c r="S134" s="30">
        <f t="shared" si="135"/>
        <v>49</v>
      </c>
      <c r="T134" s="30">
        <f t="shared" si="135"/>
        <v>1685</v>
      </c>
      <c r="U134" s="38">
        <v>1114.0</v>
      </c>
      <c r="V134" s="31">
        <f t="shared" si="3"/>
        <v>487</v>
      </c>
      <c r="W134" s="31">
        <f t="shared" si="4"/>
        <v>487</v>
      </c>
      <c r="X134" s="32">
        <f t="shared" si="5"/>
        <v>3633</v>
      </c>
      <c r="Y134" s="31">
        <v>71.99999690055847</v>
      </c>
      <c r="Z134" s="33"/>
      <c r="AA134" s="28">
        <v>3792.0</v>
      </c>
      <c r="AB134" s="30">
        <f t="shared" si="7"/>
        <v>4427</v>
      </c>
      <c r="AC134" s="28">
        <v>5698.0</v>
      </c>
      <c r="AD134" s="13"/>
      <c r="AE134" s="13"/>
      <c r="AF134" s="13"/>
      <c r="AG134" s="13"/>
      <c r="AH134" s="13"/>
      <c r="AI134" s="13"/>
      <c r="AJ134" s="13"/>
      <c r="AK134" s="13"/>
      <c r="AL134" s="13"/>
    </row>
    <row r="135" ht="15.75" customHeight="1">
      <c r="A135" s="34">
        <v>30701.0</v>
      </c>
      <c r="B135" s="35" t="s">
        <v>150</v>
      </c>
      <c r="C135" s="28">
        <v>5928.0</v>
      </c>
      <c r="D135" s="28">
        <v>4279.0</v>
      </c>
      <c r="E135" s="28">
        <v>14.0</v>
      </c>
      <c r="F135" s="28">
        <v>9.0</v>
      </c>
      <c r="G135" s="28">
        <v>67.0</v>
      </c>
      <c r="H135" s="28">
        <v>1559.0</v>
      </c>
      <c r="I135" s="28">
        <v>6991.0</v>
      </c>
      <c r="J135" s="28">
        <v>5398.0</v>
      </c>
      <c r="K135" s="28">
        <v>39.0</v>
      </c>
      <c r="L135" s="28">
        <v>70.0</v>
      </c>
      <c r="M135" s="28">
        <v>59.0</v>
      </c>
      <c r="N135" s="28">
        <v>1425.0</v>
      </c>
      <c r="O135" s="29">
        <f t="shared" ref="O135:T135" si="136">ROUND(C135 + ((2016-2012)*(I135-C135))/(2024-2012),0)</f>
        <v>6282</v>
      </c>
      <c r="P135" s="36">
        <f t="shared" si="136"/>
        <v>4652</v>
      </c>
      <c r="Q135" s="36">
        <f t="shared" si="136"/>
        <v>22</v>
      </c>
      <c r="R135" s="36">
        <f t="shared" si="136"/>
        <v>29</v>
      </c>
      <c r="S135" s="36">
        <f t="shared" si="136"/>
        <v>64</v>
      </c>
      <c r="T135" s="36">
        <f t="shared" si="136"/>
        <v>1514</v>
      </c>
      <c r="U135" s="37">
        <v>5840.0</v>
      </c>
      <c r="V135" s="31">
        <f t="shared" si="3"/>
        <v>-1188</v>
      </c>
      <c r="W135" s="31">
        <f t="shared" si="4"/>
        <v>0</v>
      </c>
      <c r="X135" s="32">
        <f t="shared" si="5"/>
        <v>7469</v>
      </c>
      <c r="Y135" s="31">
        <v>377.00000405311584</v>
      </c>
      <c r="Z135" s="33"/>
      <c r="AA135" s="28">
        <v>6779.0</v>
      </c>
      <c r="AB135" s="36">
        <f t="shared" si="7"/>
        <v>7639</v>
      </c>
      <c r="AC135" s="28">
        <v>9358.0</v>
      </c>
      <c r="AD135" s="13"/>
      <c r="AE135" s="13"/>
      <c r="AF135" s="13"/>
      <c r="AG135" s="13"/>
      <c r="AH135" s="13"/>
      <c r="AI135" s="13"/>
      <c r="AJ135" s="13"/>
      <c r="AK135" s="13"/>
      <c r="AL135" s="13"/>
    </row>
    <row r="136" ht="15.75" customHeight="1">
      <c r="A136" s="26">
        <v>30702.0</v>
      </c>
      <c r="B136" s="27" t="s">
        <v>151</v>
      </c>
      <c r="C136" s="28">
        <v>2403.0</v>
      </c>
      <c r="D136" s="28">
        <v>1664.0</v>
      </c>
      <c r="E136" s="28">
        <v>14.0</v>
      </c>
      <c r="F136" s="28">
        <v>8.0</v>
      </c>
      <c r="G136" s="28">
        <v>9.0</v>
      </c>
      <c r="H136" s="28">
        <v>708.0</v>
      </c>
      <c r="I136" s="28">
        <v>3008.0</v>
      </c>
      <c r="J136" s="28">
        <v>2495.0</v>
      </c>
      <c r="K136" s="28">
        <v>13.0</v>
      </c>
      <c r="L136" s="28">
        <v>40.0</v>
      </c>
      <c r="M136" s="28">
        <v>29.0</v>
      </c>
      <c r="N136" s="28">
        <v>431.0</v>
      </c>
      <c r="O136" s="29">
        <f t="shared" ref="O136:T136" si="137">ROUND(C136 + ((2016-2012)*(I136-C136))/(2024-2012),0)</f>
        <v>2605</v>
      </c>
      <c r="P136" s="30">
        <f t="shared" si="137"/>
        <v>1941</v>
      </c>
      <c r="Q136" s="30">
        <f t="shared" si="137"/>
        <v>14</v>
      </c>
      <c r="R136" s="30">
        <f t="shared" si="137"/>
        <v>19</v>
      </c>
      <c r="S136" s="30">
        <f t="shared" si="137"/>
        <v>16</v>
      </c>
      <c r="T136" s="30">
        <f t="shared" si="137"/>
        <v>616</v>
      </c>
      <c r="U136" s="38">
        <v>2273.0</v>
      </c>
      <c r="V136" s="31">
        <f t="shared" si="3"/>
        <v>-332</v>
      </c>
      <c r="W136" s="31">
        <f t="shared" si="4"/>
        <v>0</v>
      </c>
      <c r="X136" s="32">
        <f t="shared" si="5"/>
        <v>2938</v>
      </c>
      <c r="Y136" s="31">
        <v>289.000004529953</v>
      </c>
      <c r="Z136" s="33"/>
      <c r="AA136" s="28">
        <v>2782.0</v>
      </c>
      <c r="AB136" s="30">
        <f t="shared" si="7"/>
        <v>3290</v>
      </c>
      <c r="AC136" s="28">
        <v>4307.0</v>
      </c>
      <c r="AD136" s="13"/>
      <c r="AE136" s="13"/>
      <c r="AF136" s="13"/>
      <c r="AG136" s="13"/>
      <c r="AH136" s="13"/>
      <c r="AI136" s="13"/>
      <c r="AJ136" s="13"/>
      <c r="AK136" s="13"/>
      <c r="AL136" s="13"/>
    </row>
    <row r="137" ht="15.75" customHeight="1">
      <c r="A137" s="34">
        <v>30703.0</v>
      </c>
      <c r="B137" s="35" t="s">
        <v>152</v>
      </c>
      <c r="C137" s="28">
        <v>1083.0</v>
      </c>
      <c r="D137" s="28">
        <v>565.0</v>
      </c>
      <c r="E137" s="28">
        <v>1.0</v>
      </c>
      <c r="F137" s="28">
        <v>4.0</v>
      </c>
      <c r="G137" s="28">
        <v>3.0</v>
      </c>
      <c r="H137" s="28">
        <v>510.0</v>
      </c>
      <c r="I137" s="28">
        <v>1319.0</v>
      </c>
      <c r="J137" s="28">
        <v>940.0</v>
      </c>
      <c r="K137" s="28">
        <v>3.0</v>
      </c>
      <c r="L137" s="28">
        <v>43.0</v>
      </c>
      <c r="M137" s="28">
        <v>38.0</v>
      </c>
      <c r="N137" s="28">
        <v>295.0</v>
      </c>
      <c r="O137" s="29">
        <f t="shared" ref="O137:T137" si="138">ROUND(C137 + ((2016-2012)*(I137-C137))/(2024-2012),0)</f>
        <v>1162</v>
      </c>
      <c r="P137" s="36">
        <f t="shared" si="138"/>
        <v>690</v>
      </c>
      <c r="Q137" s="36">
        <f t="shared" si="138"/>
        <v>2</v>
      </c>
      <c r="R137" s="36">
        <f t="shared" si="138"/>
        <v>17</v>
      </c>
      <c r="S137" s="36">
        <f t="shared" si="138"/>
        <v>15</v>
      </c>
      <c r="T137" s="36">
        <f t="shared" si="138"/>
        <v>438</v>
      </c>
      <c r="U137" s="37">
        <v>1138.0</v>
      </c>
      <c r="V137" s="31">
        <f t="shared" si="3"/>
        <v>-448</v>
      </c>
      <c r="W137" s="31">
        <f t="shared" si="4"/>
        <v>0</v>
      </c>
      <c r="X137" s="32">
        <f t="shared" si="5"/>
        <v>1610</v>
      </c>
      <c r="Y137" s="31">
        <v>70.50000131130219</v>
      </c>
      <c r="Z137" s="33"/>
      <c r="AA137" s="28">
        <v>1225.0</v>
      </c>
      <c r="AB137" s="36">
        <f t="shared" si="7"/>
        <v>1341</v>
      </c>
      <c r="AC137" s="28">
        <v>1573.0</v>
      </c>
      <c r="AD137" s="13"/>
      <c r="AE137" s="13"/>
      <c r="AF137" s="13"/>
      <c r="AG137" s="13"/>
      <c r="AH137" s="13"/>
      <c r="AI137" s="13"/>
      <c r="AJ137" s="13"/>
      <c r="AK137" s="13"/>
      <c r="AL137" s="13"/>
    </row>
    <row r="138" ht="15.75" customHeight="1">
      <c r="A138" s="26">
        <v>30801.0</v>
      </c>
      <c r="B138" s="27" t="s">
        <v>153</v>
      </c>
      <c r="C138" s="28">
        <v>5960.0</v>
      </c>
      <c r="D138" s="28">
        <v>5575.0</v>
      </c>
      <c r="E138" s="28">
        <v>14.0</v>
      </c>
      <c r="F138" s="28">
        <v>2.0</v>
      </c>
      <c r="G138" s="28">
        <v>4.0</v>
      </c>
      <c r="H138" s="28">
        <v>365.0</v>
      </c>
      <c r="I138" s="28">
        <v>6338.0</v>
      </c>
      <c r="J138" s="28">
        <v>6152.0</v>
      </c>
      <c r="K138" s="28">
        <v>11.0</v>
      </c>
      <c r="L138" s="28">
        <v>10.0</v>
      </c>
      <c r="M138" s="28">
        <v>2.0</v>
      </c>
      <c r="N138" s="28">
        <v>163.0</v>
      </c>
      <c r="O138" s="29">
        <f t="shared" ref="O138:T138" si="139">ROUND(C138 + ((2016-2012)*(I138-C138))/(2024-2012),0)</f>
        <v>6086</v>
      </c>
      <c r="P138" s="30">
        <f t="shared" si="139"/>
        <v>5767</v>
      </c>
      <c r="Q138" s="30">
        <f t="shared" si="139"/>
        <v>13</v>
      </c>
      <c r="R138" s="30">
        <f t="shared" si="139"/>
        <v>5</v>
      </c>
      <c r="S138" s="30">
        <f t="shared" si="139"/>
        <v>3</v>
      </c>
      <c r="T138" s="30">
        <f t="shared" si="139"/>
        <v>298</v>
      </c>
      <c r="U138" s="38">
        <v>6665.0</v>
      </c>
      <c r="V138" s="31">
        <f t="shared" si="3"/>
        <v>-898</v>
      </c>
      <c r="W138" s="31">
        <f t="shared" si="4"/>
        <v>0</v>
      </c>
      <c r="X138" s="32">
        <f t="shared" si="5"/>
        <v>6984</v>
      </c>
      <c r="Y138" s="31">
        <v>558.0000281333923</v>
      </c>
      <c r="Z138" s="33"/>
      <c r="AA138" s="28">
        <v>6970.0</v>
      </c>
      <c r="AB138" s="30">
        <f t="shared" si="7"/>
        <v>7452</v>
      </c>
      <c r="AC138" s="28">
        <v>8417.0</v>
      </c>
      <c r="AD138" s="13"/>
      <c r="AE138" s="13"/>
      <c r="AF138" s="13"/>
      <c r="AG138" s="13"/>
      <c r="AH138" s="13"/>
      <c r="AI138" s="13"/>
      <c r="AJ138" s="13"/>
      <c r="AK138" s="13"/>
      <c r="AL138" s="13"/>
    </row>
    <row r="139" ht="15.75" customHeight="1">
      <c r="A139" s="34">
        <v>30802.0</v>
      </c>
      <c r="B139" s="35" t="s">
        <v>154</v>
      </c>
      <c r="C139" s="28">
        <v>2061.0</v>
      </c>
      <c r="D139" s="28">
        <v>1785.0</v>
      </c>
      <c r="E139" s="28">
        <v>1.0</v>
      </c>
      <c r="F139" s="28">
        <v>3.0</v>
      </c>
      <c r="G139" s="28">
        <v>7.0</v>
      </c>
      <c r="H139" s="28">
        <v>265.0</v>
      </c>
      <c r="I139" s="28">
        <v>2572.0</v>
      </c>
      <c r="J139" s="28">
        <v>2204.0</v>
      </c>
      <c r="K139" s="28">
        <v>6.0</v>
      </c>
      <c r="L139" s="28">
        <v>15.0</v>
      </c>
      <c r="M139" s="28">
        <v>8.0</v>
      </c>
      <c r="N139" s="28">
        <v>339.0</v>
      </c>
      <c r="O139" s="29">
        <f t="shared" ref="O139:T139" si="140">ROUND(C139 + ((2016-2012)*(I139-C139))/(2024-2012),0)</f>
        <v>2231</v>
      </c>
      <c r="P139" s="36">
        <f t="shared" si="140"/>
        <v>1925</v>
      </c>
      <c r="Q139" s="36">
        <f t="shared" si="140"/>
        <v>3</v>
      </c>
      <c r="R139" s="36">
        <f t="shared" si="140"/>
        <v>7</v>
      </c>
      <c r="S139" s="36">
        <f t="shared" si="140"/>
        <v>7</v>
      </c>
      <c r="T139" s="36">
        <f t="shared" si="140"/>
        <v>290</v>
      </c>
      <c r="U139" s="37">
        <v>1728.0</v>
      </c>
      <c r="V139" s="31">
        <f t="shared" si="3"/>
        <v>197</v>
      </c>
      <c r="W139" s="31">
        <f t="shared" si="4"/>
        <v>197</v>
      </c>
      <c r="X139" s="32">
        <f t="shared" si="5"/>
        <v>2232</v>
      </c>
      <c r="Y139" s="31">
        <v>289.99999165534973</v>
      </c>
      <c r="Z139" s="33"/>
      <c r="AA139" s="28">
        <v>2244.0</v>
      </c>
      <c r="AB139" s="36">
        <f t="shared" si="7"/>
        <v>2551</v>
      </c>
      <c r="AC139" s="28">
        <v>3166.0</v>
      </c>
      <c r="AD139" s="13"/>
      <c r="AE139" s="13"/>
      <c r="AF139" s="13"/>
      <c r="AG139" s="13"/>
      <c r="AH139" s="13"/>
      <c r="AI139" s="13"/>
      <c r="AJ139" s="13"/>
      <c r="AK139" s="13"/>
      <c r="AL139" s="13"/>
    </row>
    <row r="140" ht="15.75" customHeight="1">
      <c r="A140" s="26">
        <v>30803.0</v>
      </c>
      <c r="B140" s="27" t="s">
        <v>155</v>
      </c>
      <c r="C140" s="28">
        <v>1470.0</v>
      </c>
      <c r="D140" s="28">
        <v>1385.0</v>
      </c>
      <c r="E140" s="28">
        <v>0.0</v>
      </c>
      <c r="F140" s="28">
        <v>3.0</v>
      </c>
      <c r="G140" s="28">
        <v>2.0</v>
      </c>
      <c r="H140" s="28">
        <v>80.0</v>
      </c>
      <c r="I140" s="28">
        <v>2516.0</v>
      </c>
      <c r="J140" s="28">
        <v>1909.0</v>
      </c>
      <c r="K140" s="28">
        <v>13.0</v>
      </c>
      <c r="L140" s="28">
        <v>38.0</v>
      </c>
      <c r="M140" s="28">
        <v>11.0</v>
      </c>
      <c r="N140" s="28">
        <v>545.0</v>
      </c>
      <c r="O140" s="29">
        <f t="shared" ref="O140:T140" si="141">ROUND(C140 + ((2016-2012)*(I140-C140))/(2024-2012),0)</f>
        <v>1819</v>
      </c>
      <c r="P140" s="30">
        <f t="shared" si="141"/>
        <v>1560</v>
      </c>
      <c r="Q140" s="30">
        <f t="shared" si="141"/>
        <v>4</v>
      </c>
      <c r="R140" s="30">
        <f t="shared" si="141"/>
        <v>15</v>
      </c>
      <c r="S140" s="30">
        <f t="shared" si="141"/>
        <v>5</v>
      </c>
      <c r="T140" s="30">
        <f t="shared" si="141"/>
        <v>235</v>
      </c>
      <c r="U140" s="38">
        <v>1936.0</v>
      </c>
      <c r="V140" s="31">
        <f t="shared" si="3"/>
        <v>-376</v>
      </c>
      <c r="W140" s="31">
        <f t="shared" si="4"/>
        <v>0</v>
      </c>
      <c r="X140" s="32">
        <f t="shared" si="5"/>
        <v>2195</v>
      </c>
      <c r="Y140" s="31">
        <v>564.5000040531158</v>
      </c>
      <c r="Z140" s="33"/>
      <c r="AA140" s="28">
        <v>1821.0</v>
      </c>
      <c r="AB140" s="30">
        <f t="shared" si="7"/>
        <v>2403</v>
      </c>
      <c r="AC140" s="28">
        <v>3566.0</v>
      </c>
      <c r="AD140" s="13"/>
      <c r="AE140" s="13"/>
      <c r="AF140" s="13"/>
      <c r="AG140" s="13"/>
      <c r="AH140" s="13"/>
      <c r="AI140" s="13"/>
      <c r="AJ140" s="13"/>
      <c r="AK140" s="13"/>
      <c r="AL140" s="13"/>
    </row>
    <row r="141" ht="15.75" customHeight="1">
      <c r="A141" s="34">
        <v>30901.0</v>
      </c>
      <c r="B141" s="35" t="s">
        <v>156</v>
      </c>
      <c r="C141" s="28">
        <v>35931.0</v>
      </c>
      <c r="D141" s="28">
        <v>34446.0</v>
      </c>
      <c r="E141" s="28">
        <v>51.0</v>
      </c>
      <c r="F141" s="28">
        <v>57.0</v>
      </c>
      <c r="G141" s="28">
        <v>68.0</v>
      </c>
      <c r="H141" s="28">
        <v>1309.0</v>
      </c>
      <c r="I141" s="28">
        <v>49171.0</v>
      </c>
      <c r="J141" s="28">
        <v>47490.0</v>
      </c>
      <c r="K141" s="28">
        <v>137.0</v>
      </c>
      <c r="L141" s="28">
        <v>363.0</v>
      </c>
      <c r="M141" s="28">
        <v>103.0</v>
      </c>
      <c r="N141" s="28">
        <v>1078.0</v>
      </c>
      <c r="O141" s="29">
        <f t="shared" ref="O141:T141" si="142">ROUND(C141 + ((2016-2012)*(I141-C141))/(2024-2012),0)</f>
        <v>40344</v>
      </c>
      <c r="P141" s="36">
        <f t="shared" si="142"/>
        <v>38794</v>
      </c>
      <c r="Q141" s="36">
        <f t="shared" si="142"/>
        <v>80</v>
      </c>
      <c r="R141" s="36">
        <f t="shared" si="142"/>
        <v>159</v>
      </c>
      <c r="S141" s="36">
        <f t="shared" si="142"/>
        <v>80</v>
      </c>
      <c r="T141" s="36">
        <f t="shared" si="142"/>
        <v>1232</v>
      </c>
      <c r="U141" s="37">
        <v>39097.0</v>
      </c>
      <c r="V141" s="31">
        <f t="shared" si="3"/>
        <v>-303</v>
      </c>
      <c r="W141" s="31">
        <f t="shared" si="4"/>
        <v>0</v>
      </c>
      <c r="X141" s="32">
        <f t="shared" si="5"/>
        <v>40648</v>
      </c>
      <c r="Y141" s="31">
        <v>992.9999709129333</v>
      </c>
      <c r="Z141" s="33"/>
      <c r="AA141" s="28">
        <v>38787.0</v>
      </c>
      <c r="AB141" s="36">
        <f t="shared" si="7"/>
        <v>45375</v>
      </c>
      <c r="AC141" s="28">
        <v>58550.0</v>
      </c>
      <c r="AD141" s="13"/>
      <c r="AE141" s="13"/>
      <c r="AF141" s="13"/>
      <c r="AG141" s="13"/>
      <c r="AH141" s="13"/>
      <c r="AI141" s="13"/>
      <c r="AJ141" s="13"/>
      <c r="AK141" s="13"/>
      <c r="AL141" s="13"/>
    </row>
    <row r="142" ht="15.75" customHeight="1">
      <c r="A142" s="26">
        <v>30902.0</v>
      </c>
      <c r="B142" s="27" t="s">
        <v>157</v>
      </c>
      <c r="C142" s="28">
        <v>11603.0</v>
      </c>
      <c r="D142" s="28">
        <v>9847.0</v>
      </c>
      <c r="E142" s="28">
        <v>33.0</v>
      </c>
      <c r="F142" s="28">
        <v>20.0</v>
      </c>
      <c r="G142" s="28">
        <v>34.0</v>
      </c>
      <c r="H142" s="28">
        <v>1669.0</v>
      </c>
      <c r="I142" s="28">
        <v>17824.0</v>
      </c>
      <c r="J142" s="28">
        <v>16413.0</v>
      </c>
      <c r="K142" s="28">
        <v>38.0</v>
      </c>
      <c r="L142" s="28">
        <v>250.0</v>
      </c>
      <c r="M142" s="28">
        <v>43.0</v>
      </c>
      <c r="N142" s="28">
        <v>1080.0</v>
      </c>
      <c r="O142" s="29">
        <f t="shared" ref="O142:T142" si="143">ROUND(C142 + ((2016-2012)*(I142-C142))/(2024-2012),0)</f>
        <v>13677</v>
      </c>
      <c r="P142" s="30">
        <f t="shared" si="143"/>
        <v>12036</v>
      </c>
      <c r="Q142" s="30">
        <f t="shared" si="143"/>
        <v>35</v>
      </c>
      <c r="R142" s="30">
        <f t="shared" si="143"/>
        <v>97</v>
      </c>
      <c r="S142" s="30">
        <f t="shared" si="143"/>
        <v>37</v>
      </c>
      <c r="T142" s="30">
        <f t="shared" si="143"/>
        <v>1473</v>
      </c>
      <c r="U142" s="38">
        <v>14326.0</v>
      </c>
      <c r="V142" s="31">
        <f t="shared" si="3"/>
        <v>-2290</v>
      </c>
      <c r="W142" s="31">
        <f t="shared" si="4"/>
        <v>0</v>
      </c>
      <c r="X142" s="32">
        <f t="shared" si="5"/>
        <v>15968</v>
      </c>
      <c r="Y142" s="31">
        <v>409.0000092983246</v>
      </c>
      <c r="Z142" s="33"/>
      <c r="AA142" s="28">
        <v>13479.0</v>
      </c>
      <c r="AB142" s="30">
        <f t="shared" si="7"/>
        <v>16338</v>
      </c>
      <c r="AC142" s="28">
        <v>22057.0</v>
      </c>
      <c r="AD142" s="13"/>
      <c r="AE142" s="13"/>
      <c r="AF142" s="13"/>
      <c r="AG142" s="13"/>
      <c r="AH142" s="13"/>
      <c r="AI142" s="13"/>
      <c r="AJ142" s="13"/>
      <c r="AK142" s="13"/>
      <c r="AL142" s="13"/>
    </row>
    <row r="143" ht="15.75" customHeight="1">
      <c r="A143" s="34">
        <v>30903.0</v>
      </c>
      <c r="B143" s="35" t="s">
        <v>158</v>
      </c>
      <c r="C143" s="28">
        <v>13857.0</v>
      </c>
      <c r="D143" s="28">
        <v>12412.0</v>
      </c>
      <c r="E143" s="28">
        <v>51.0</v>
      </c>
      <c r="F143" s="28">
        <v>313.0</v>
      </c>
      <c r="G143" s="28">
        <v>50.0</v>
      </c>
      <c r="H143" s="28">
        <v>1031.0</v>
      </c>
      <c r="I143" s="28">
        <v>17932.0</v>
      </c>
      <c r="J143" s="28">
        <v>17051.0</v>
      </c>
      <c r="K143" s="28">
        <v>39.0</v>
      </c>
      <c r="L143" s="28">
        <v>322.0</v>
      </c>
      <c r="M143" s="28">
        <v>45.0</v>
      </c>
      <c r="N143" s="28">
        <v>475.0</v>
      </c>
      <c r="O143" s="29">
        <f t="shared" ref="O143:T143" si="144">ROUND(C143 + ((2016-2012)*(I143-C143))/(2024-2012),0)</f>
        <v>15215</v>
      </c>
      <c r="P143" s="36">
        <f t="shared" si="144"/>
        <v>13958</v>
      </c>
      <c r="Q143" s="36">
        <f t="shared" si="144"/>
        <v>47</v>
      </c>
      <c r="R143" s="36">
        <f t="shared" si="144"/>
        <v>316</v>
      </c>
      <c r="S143" s="36">
        <f t="shared" si="144"/>
        <v>48</v>
      </c>
      <c r="T143" s="36">
        <f t="shared" si="144"/>
        <v>846</v>
      </c>
      <c r="U143" s="37">
        <v>15449.0</v>
      </c>
      <c r="V143" s="31">
        <f t="shared" si="3"/>
        <v>-1491</v>
      </c>
      <c r="W143" s="31">
        <f t="shared" si="4"/>
        <v>0</v>
      </c>
      <c r="X143" s="32">
        <f t="shared" si="5"/>
        <v>16706</v>
      </c>
      <c r="Y143" s="31">
        <v>985.0000143051147</v>
      </c>
      <c r="Z143" s="33"/>
      <c r="AA143" s="28">
        <v>15296.0</v>
      </c>
      <c r="AB143" s="36">
        <f t="shared" si="7"/>
        <v>17328</v>
      </c>
      <c r="AC143" s="28">
        <v>21393.0</v>
      </c>
      <c r="AD143" s="13"/>
      <c r="AE143" s="13"/>
      <c r="AF143" s="13"/>
      <c r="AG143" s="13"/>
      <c r="AH143" s="13"/>
      <c r="AI143" s="13"/>
      <c r="AJ143" s="13"/>
      <c r="AK143" s="13"/>
      <c r="AL143" s="13"/>
    </row>
    <row r="144" ht="15.75" customHeight="1">
      <c r="A144" s="26">
        <v>30904.0</v>
      </c>
      <c r="B144" s="27" t="s">
        <v>159</v>
      </c>
      <c r="C144" s="28">
        <v>14312.0</v>
      </c>
      <c r="D144" s="28">
        <v>12974.0</v>
      </c>
      <c r="E144" s="28">
        <v>14.0</v>
      </c>
      <c r="F144" s="28">
        <v>21.0</v>
      </c>
      <c r="G144" s="28">
        <v>22.0</v>
      </c>
      <c r="H144" s="28">
        <v>1281.0</v>
      </c>
      <c r="I144" s="28">
        <v>17058.0</v>
      </c>
      <c r="J144" s="28">
        <v>16448.0</v>
      </c>
      <c r="K144" s="28">
        <v>27.0</v>
      </c>
      <c r="L144" s="28">
        <v>100.0</v>
      </c>
      <c r="M144" s="28">
        <v>22.0</v>
      </c>
      <c r="N144" s="28">
        <v>461.0</v>
      </c>
      <c r="O144" s="29">
        <f t="shared" ref="O144:T144" si="145">ROUND(C144 + ((2016-2012)*(I144-C144))/(2024-2012),0)</f>
        <v>15227</v>
      </c>
      <c r="P144" s="30">
        <f t="shared" si="145"/>
        <v>14132</v>
      </c>
      <c r="Q144" s="30">
        <f t="shared" si="145"/>
        <v>18</v>
      </c>
      <c r="R144" s="30">
        <f t="shared" si="145"/>
        <v>47</v>
      </c>
      <c r="S144" s="30">
        <f t="shared" si="145"/>
        <v>22</v>
      </c>
      <c r="T144" s="30">
        <f t="shared" si="145"/>
        <v>1008</v>
      </c>
      <c r="U144" s="38">
        <v>14540.0</v>
      </c>
      <c r="V144" s="31">
        <f t="shared" si="3"/>
        <v>-408</v>
      </c>
      <c r="W144" s="31">
        <f t="shared" si="4"/>
        <v>0</v>
      </c>
      <c r="X144" s="32">
        <f t="shared" si="5"/>
        <v>15635</v>
      </c>
      <c r="Y144" s="31">
        <v>648.0000019073486</v>
      </c>
      <c r="Z144" s="33"/>
      <c r="AA144" s="28">
        <v>16088.0</v>
      </c>
      <c r="AB144" s="30">
        <f t="shared" si="7"/>
        <v>17626</v>
      </c>
      <c r="AC144" s="28">
        <v>20702.0</v>
      </c>
      <c r="AD144" s="13"/>
      <c r="AE144" s="13"/>
      <c r="AF144" s="13"/>
      <c r="AG144" s="13"/>
      <c r="AH144" s="13"/>
      <c r="AI144" s="13"/>
      <c r="AJ144" s="13"/>
      <c r="AK144" s="13"/>
      <c r="AL144" s="13"/>
    </row>
    <row r="145" ht="15.75" customHeight="1">
      <c r="A145" s="34">
        <v>30905.0</v>
      </c>
      <c r="B145" s="35" t="s">
        <v>160</v>
      </c>
      <c r="C145" s="28">
        <v>13514.0</v>
      </c>
      <c r="D145" s="28">
        <v>13401.0</v>
      </c>
      <c r="E145" s="28">
        <v>20.0</v>
      </c>
      <c r="F145" s="28">
        <v>3.0</v>
      </c>
      <c r="G145" s="28">
        <v>2.0</v>
      </c>
      <c r="H145" s="28">
        <v>88.0</v>
      </c>
      <c r="I145" s="28">
        <v>19190.0</v>
      </c>
      <c r="J145" s="28">
        <v>19000.0</v>
      </c>
      <c r="K145" s="28">
        <v>39.0</v>
      </c>
      <c r="L145" s="28">
        <v>48.0</v>
      </c>
      <c r="M145" s="28">
        <v>15.0</v>
      </c>
      <c r="N145" s="28">
        <v>88.0</v>
      </c>
      <c r="O145" s="29">
        <f t="shared" ref="O145:T145" si="146">ROUND(C145 + ((2016-2012)*(I145-C145))/(2024-2012),0)</f>
        <v>15406</v>
      </c>
      <c r="P145" s="36">
        <f t="shared" si="146"/>
        <v>15267</v>
      </c>
      <c r="Q145" s="36">
        <f t="shared" si="146"/>
        <v>26</v>
      </c>
      <c r="R145" s="36">
        <f t="shared" si="146"/>
        <v>18</v>
      </c>
      <c r="S145" s="36">
        <f t="shared" si="146"/>
        <v>6</v>
      </c>
      <c r="T145" s="36">
        <f t="shared" si="146"/>
        <v>88</v>
      </c>
      <c r="U145" s="37">
        <v>15360.0</v>
      </c>
      <c r="V145" s="31">
        <f t="shared" si="3"/>
        <v>-93</v>
      </c>
      <c r="W145" s="31">
        <f t="shared" si="4"/>
        <v>0</v>
      </c>
      <c r="X145" s="32">
        <f t="shared" si="5"/>
        <v>15498</v>
      </c>
      <c r="Y145" s="31">
        <v>1156.999945640564</v>
      </c>
      <c r="Z145" s="33"/>
      <c r="AA145" s="28">
        <v>14753.0</v>
      </c>
      <c r="AB145" s="36">
        <f t="shared" si="7"/>
        <v>17308</v>
      </c>
      <c r="AC145" s="28">
        <v>22418.0</v>
      </c>
      <c r="AD145" s="13"/>
      <c r="AE145" s="13"/>
      <c r="AF145" s="13"/>
      <c r="AG145" s="13"/>
      <c r="AH145" s="13"/>
      <c r="AI145" s="13"/>
      <c r="AJ145" s="13"/>
      <c r="AK145" s="13"/>
      <c r="AL145" s="13"/>
    </row>
    <row r="146" ht="15.75" customHeight="1">
      <c r="A146" s="26">
        <v>31001.0</v>
      </c>
      <c r="B146" s="27" t="s">
        <v>161</v>
      </c>
      <c r="C146" s="28">
        <v>47536.0</v>
      </c>
      <c r="D146" s="28">
        <v>42843.0</v>
      </c>
      <c r="E146" s="28">
        <v>128.0</v>
      </c>
      <c r="F146" s="28">
        <v>44.0</v>
      </c>
      <c r="G146" s="28">
        <v>171.0</v>
      </c>
      <c r="H146" s="28">
        <v>4350.0</v>
      </c>
      <c r="I146" s="28">
        <v>69313.0</v>
      </c>
      <c r="J146" s="28">
        <v>63868.0</v>
      </c>
      <c r="K146" s="28">
        <v>179.0</v>
      </c>
      <c r="L146" s="28">
        <v>378.0</v>
      </c>
      <c r="M146" s="28">
        <v>371.0</v>
      </c>
      <c r="N146" s="28">
        <v>4517.0</v>
      </c>
      <c r="O146" s="29">
        <f t="shared" ref="O146:T146" si="147">ROUND(C146 + ((2016-2012)*(I146-C146))/(2024-2012),0)</f>
        <v>54795</v>
      </c>
      <c r="P146" s="30">
        <f t="shared" si="147"/>
        <v>49851</v>
      </c>
      <c r="Q146" s="30">
        <f t="shared" si="147"/>
        <v>145</v>
      </c>
      <c r="R146" s="30">
        <f t="shared" si="147"/>
        <v>155</v>
      </c>
      <c r="S146" s="30">
        <f t="shared" si="147"/>
        <v>238</v>
      </c>
      <c r="T146" s="30">
        <f t="shared" si="147"/>
        <v>4406</v>
      </c>
      <c r="U146" s="38">
        <v>50068.0</v>
      </c>
      <c r="V146" s="31">
        <f t="shared" si="3"/>
        <v>-217</v>
      </c>
      <c r="W146" s="31">
        <f t="shared" si="4"/>
        <v>0</v>
      </c>
      <c r="X146" s="32">
        <f t="shared" si="5"/>
        <v>55012</v>
      </c>
      <c r="Y146" s="31">
        <v>725.0000238418579</v>
      </c>
      <c r="Z146" s="33"/>
      <c r="AA146" s="28">
        <v>53648.0</v>
      </c>
      <c r="AB146" s="30">
        <f t="shared" si="7"/>
        <v>63702</v>
      </c>
      <c r="AC146" s="28">
        <v>83811.0</v>
      </c>
      <c r="AD146" s="13"/>
      <c r="AE146" s="13"/>
      <c r="AF146" s="13"/>
      <c r="AG146" s="13"/>
      <c r="AH146" s="13"/>
      <c r="AI146" s="13"/>
      <c r="AJ146" s="13"/>
      <c r="AK146" s="13"/>
      <c r="AL146" s="13"/>
    </row>
    <row r="147" ht="15.75" customHeight="1">
      <c r="A147" s="34">
        <v>31002.0</v>
      </c>
      <c r="B147" s="35" t="s">
        <v>162</v>
      </c>
      <c r="C147" s="28">
        <v>6022.0</v>
      </c>
      <c r="D147" s="28">
        <v>3995.0</v>
      </c>
      <c r="E147" s="28">
        <v>32.0</v>
      </c>
      <c r="F147" s="28">
        <v>10.0</v>
      </c>
      <c r="G147" s="28">
        <v>59.0</v>
      </c>
      <c r="H147" s="28">
        <v>1926.0</v>
      </c>
      <c r="I147" s="28">
        <v>8493.0</v>
      </c>
      <c r="J147" s="28">
        <v>5661.0</v>
      </c>
      <c r="K147" s="28">
        <v>35.0</v>
      </c>
      <c r="L147" s="28">
        <v>244.0</v>
      </c>
      <c r="M147" s="28">
        <v>154.0</v>
      </c>
      <c r="N147" s="28">
        <v>2399.0</v>
      </c>
      <c r="O147" s="29">
        <f t="shared" ref="O147:T147" si="148">ROUND(C147 + ((2016-2012)*(I147-C147))/(2024-2012),0)</f>
        <v>6846</v>
      </c>
      <c r="P147" s="36">
        <f t="shared" si="148"/>
        <v>4550</v>
      </c>
      <c r="Q147" s="36">
        <f t="shared" si="148"/>
        <v>33</v>
      </c>
      <c r="R147" s="36">
        <f t="shared" si="148"/>
        <v>88</v>
      </c>
      <c r="S147" s="36">
        <f t="shared" si="148"/>
        <v>91</v>
      </c>
      <c r="T147" s="36">
        <f t="shared" si="148"/>
        <v>2084</v>
      </c>
      <c r="U147" s="37">
        <v>5192.0</v>
      </c>
      <c r="V147" s="31">
        <f t="shared" si="3"/>
        <v>-642</v>
      </c>
      <c r="W147" s="31">
        <f t="shared" si="4"/>
        <v>0</v>
      </c>
      <c r="X147" s="32">
        <f t="shared" si="5"/>
        <v>7488</v>
      </c>
      <c r="Y147" s="31">
        <v>303.99999022483826</v>
      </c>
      <c r="Z147" s="33"/>
      <c r="AA147" s="28">
        <v>7691.0</v>
      </c>
      <c r="AB147" s="36">
        <f t="shared" si="7"/>
        <v>8868</v>
      </c>
      <c r="AC147" s="28">
        <v>11221.0</v>
      </c>
      <c r="AD147" s="13"/>
      <c r="AE147" s="13"/>
      <c r="AF147" s="13"/>
      <c r="AG147" s="13"/>
      <c r="AH147" s="13"/>
      <c r="AI147" s="13"/>
      <c r="AJ147" s="13"/>
      <c r="AK147" s="13"/>
      <c r="AL147" s="13"/>
    </row>
    <row r="148" ht="15.75" customHeight="1">
      <c r="A148" s="26">
        <v>31003.0</v>
      </c>
      <c r="B148" s="27" t="s">
        <v>163</v>
      </c>
      <c r="C148" s="28">
        <v>26725.0</v>
      </c>
      <c r="D148" s="28">
        <v>10645.0</v>
      </c>
      <c r="E148" s="28">
        <v>442.0</v>
      </c>
      <c r="F148" s="28">
        <v>300.0</v>
      </c>
      <c r="G148" s="28">
        <v>411.0</v>
      </c>
      <c r="H148" s="28">
        <v>14927.0</v>
      </c>
      <c r="I148" s="28">
        <v>41951.0</v>
      </c>
      <c r="J148" s="28">
        <v>25384.0</v>
      </c>
      <c r="K148" s="28">
        <v>145.0</v>
      </c>
      <c r="L148" s="28">
        <v>1053.0</v>
      </c>
      <c r="M148" s="28">
        <v>474.0</v>
      </c>
      <c r="N148" s="28">
        <v>14895.0</v>
      </c>
      <c r="O148" s="29">
        <f t="shared" ref="O148:T148" si="149">ROUND(C148 + ((2016-2012)*(I148-C148))/(2024-2012),0)</f>
        <v>31800</v>
      </c>
      <c r="P148" s="30">
        <f t="shared" si="149"/>
        <v>15558</v>
      </c>
      <c r="Q148" s="30">
        <f t="shared" si="149"/>
        <v>343</v>
      </c>
      <c r="R148" s="30">
        <f t="shared" si="149"/>
        <v>551</v>
      </c>
      <c r="S148" s="30">
        <f t="shared" si="149"/>
        <v>432</v>
      </c>
      <c r="T148" s="30">
        <f t="shared" si="149"/>
        <v>14916</v>
      </c>
      <c r="U148" s="38">
        <v>17301.0</v>
      </c>
      <c r="V148" s="31">
        <f t="shared" si="3"/>
        <v>-1743</v>
      </c>
      <c r="W148" s="31">
        <f t="shared" si="4"/>
        <v>0</v>
      </c>
      <c r="X148" s="32">
        <f t="shared" si="5"/>
        <v>33543</v>
      </c>
      <c r="Y148" s="31">
        <v>354.99998927116394</v>
      </c>
      <c r="Z148" s="33"/>
      <c r="AA148" s="28">
        <v>31560.0</v>
      </c>
      <c r="AB148" s="30">
        <f t="shared" si="7"/>
        <v>37742</v>
      </c>
      <c r="AC148" s="28">
        <v>50107.0</v>
      </c>
      <c r="AD148" s="13"/>
      <c r="AE148" s="13"/>
      <c r="AF148" s="13"/>
      <c r="AG148" s="13"/>
      <c r="AH148" s="13"/>
      <c r="AI148" s="13"/>
      <c r="AJ148" s="13"/>
      <c r="AK148" s="13"/>
      <c r="AL148" s="13"/>
    </row>
    <row r="149" ht="15.75" customHeight="1">
      <c r="A149" s="34">
        <v>31101.0</v>
      </c>
      <c r="B149" s="35" t="s">
        <v>164</v>
      </c>
      <c r="C149" s="28">
        <v>8113.0</v>
      </c>
      <c r="D149" s="28">
        <v>2093.0</v>
      </c>
      <c r="E149" s="28">
        <v>29.0</v>
      </c>
      <c r="F149" s="28">
        <v>422.0</v>
      </c>
      <c r="G149" s="28">
        <v>209.0</v>
      </c>
      <c r="H149" s="28">
        <v>5360.0</v>
      </c>
      <c r="I149" s="28">
        <v>9638.0</v>
      </c>
      <c r="J149" s="28">
        <v>4471.0</v>
      </c>
      <c r="K149" s="28">
        <v>17.0</v>
      </c>
      <c r="L149" s="28">
        <v>745.0</v>
      </c>
      <c r="M149" s="28">
        <v>185.0</v>
      </c>
      <c r="N149" s="28">
        <v>4220.0</v>
      </c>
      <c r="O149" s="29">
        <f t="shared" ref="O149:T149" si="150">ROUND(C149 + ((2016-2012)*(I149-C149))/(2024-2012),0)</f>
        <v>8621</v>
      </c>
      <c r="P149" s="36">
        <f t="shared" si="150"/>
        <v>2886</v>
      </c>
      <c r="Q149" s="36">
        <f t="shared" si="150"/>
        <v>25</v>
      </c>
      <c r="R149" s="36">
        <f t="shared" si="150"/>
        <v>530</v>
      </c>
      <c r="S149" s="36">
        <f t="shared" si="150"/>
        <v>201</v>
      </c>
      <c r="T149" s="36">
        <f t="shared" si="150"/>
        <v>4980</v>
      </c>
      <c r="U149" s="37">
        <v>2043.0</v>
      </c>
      <c r="V149" s="31">
        <f t="shared" si="3"/>
        <v>843</v>
      </c>
      <c r="W149" s="31">
        <f t="shared" si="4"/>
        <v>843</v>
      </c>
      <c r="X149" s="32">
        <f t="shared" si="5"/>
        <v>8622</v>
      </c>
      <c r="Y149" s="31">
        <v>125.0</v>
      </c>
      <c r="Z149" s="33"/>
      <c r="AA149" s="28">
        <v>9522.0</v>
      </c>
      <c r="AB149" s="36">
        <f t="shared" si="7"/>
        <v>10628</v>
      </c>
      <c r="AC149" s="28">
        <v>12840.0</v>
      </c>
      <c r="AD149" s="13"/>
      <c r="AE149" s="13"/>
      <c r="AF149" s="13"/>
      <c r="AG149" s="13"/>
      <c r="AH149" s="13"/>
      <c r="AI149" s="13"/>
      <c r="AJ149" s="13"/>
      <c r="AK149" s="13"/>
      <c r="AL149" s="13"/>
    </row>
    <row r="150" ht="15.75" customHeight="1">
      <c r="A150" s="26">
        <v>31201.0</v>
      </c>
      <c r="B150" s="27" t="s">
        <v>165</v>
      </c>
      <c r="C150" s="28">
        <v>4729.0</v>
      </c>
      <c r="D150" s="28">
        <v>1520.0</v>
      </c>
      <c r="E150" s="28">
        <v>32.0</v>
      </c>
      <c r="F150" s="28">
        <v>448.0</v>
      </c>
      <c r="G150" s="28">
        <v>206.0</v>
      </c>
      <c r="H150" s="28">
        <v>2523.0</v>
      </c>
      <c r="I150" s="28">
        <v>5351.0</v>
      </c>
      <c r="J150" s="28">
        <v>2757.0</v>
      </c>
      <c r="K150" s="28">
        <v>8.0</v>
      </c>
      <c r="L150" s="28">
        <v>946.0</v>
      </c>
      <c r="M150" s="28">
        <v>58.0</v>
      </c>
      <c r="N150" s="28">
        <v>1582.0</v>
      </c>
      <c r="O150" s="29">
        <f t="shared" ref="O150:T150" si="151">ROUND(C150 + ((2016-2012)*(I150-C150))/(2024-2012),0)</f>
        <v>4936</v>
      </c>
      <c r="P150" s="30">
        <f t="shared" si="151"/>
        <v>1932</v>
      </c>
      <c r="Q150" s="30">
        <f t="shared" si="151"/>
        <v>24</v>
      </c>
      <c r="R150" s="30">
        <f t="shared" si="151"/>
        <v>614</v>
      </c>
      <c r="S150" s="30">
        <f t="shared" si="151"/>
        <v>157</v>
      </c>
      <c r="T150" s="30">
        <f t="shared" si="151"/>
        <v>2209</v>
      </c>
      <c r="U150" s="38">
        <v>3378.0</v>
      </c>
      <c r="V150" s="31">
        <f t="shared" si="3"/>
        <v>-1446</v>
      </c>
      <c r="W150" s="31">
        <f t="shared" si="4"/>
        <v>0</v>
      </c>
      <c r="X150" s="32">
        <f t="shared" si="5"/>
        <v>6382</v>
      </c>
      <c r="Y150" s="31">
        <v>68.00000369548798</v>
      </c>
      <c r="Z150" s="33"/>
      <c r="AA150" s="28">
        <v>6071.0</v>
      </c>
      <c r="AB150" s="30">
        <f t="shared" si="7"/>
        <v>6745</v>
      </c>
      <c r="AC150" s="28">
        <v>8092.0</v>
      </c>
      <c r="AD150" s="13"/>
      <c r="AE150" s="13"/>
      <c r="AF150" s="13"/>
      <c r="AG150" s="13"/>
      <c r="AH150" s="13"/>
      <c r="AI150" s="13"/>
      <c r="AJ150" s="13"/>
      <c r="AK150" s="13"/>
      <c r="AL150" s="13"/>
    </row>
    <row r="151" ht="15.75" customHeight="1">
      <c r="A151" s="34">
        <v>31202.0</v>
      </c>
      <c r="B151" s="35" t="s">
        <v>166</v>
      </c>
      <c r="C151" s="28">
        <v>3003.0</v>
      </c>
      <c r="D151" s="28">
        <v>977.0</v>
      </c>
      <c r="E151" s="28">
        <v>18.0</v>
      </c>
      <c r="F151" s="28">
        <v>381.0</v>
      </c>
      <c r="G151" s="28">
        <v>150.0</v>
      </c>
      <c r="H151" s="28">
        <v>1477.0</v>
      </c>
      <c r="I151" s="28">
        <v>3705.0</v>
      </c>
      <c r="J151" s="28">
        <v>2047.0</v>
      </c>
      <c r="K151" s="28">
        <v>9.0</v>
      </c>
      <c r="L151" s="28">
        <v>296.0</v>
      </c>
      <c r="M151" s="28">
        <v>28.0</v>
      </c>
      <c r="N151" s="28">
        <v>1325.0</v>
      </c>
      <c r="O151" s="29">
        <f t="shared" ref="O151:T151" si="152">ROUND(C151 + ((2016-2012)*(I151-C151))/(2024-2012),0)</f>
        <v>3237</v>
      </c>
      <c r="P151" s="36">
        <f t="shared" si="152"/>
        <v>1334</v>
      </c>
      <c r="Q151" s="36">
        <f t="shared" si="152"/>
        <v>15</v>
      </c>
      <c r="R151" s="36">
        <f t="shared" si="152"/>
        <v>353</v>
      </c>
      <c r="S151" s="36">
        <f t="shared" si="152"/>
        <v>109</v>
      </c>
      <c r="T151" s="36">
        <f t="shared" si="152"/>
        <v>1426</v>
      </c>
      <c r="U151" s="37">
        <v>1781.0</v>
      </c>
      <c r="V151" s="31">
        <f t="shared" si="3"/>
        <v>-447</v>
      </c>
      <c r="W151" s="31">
        <f t="shared" si="4"/>
        <v>0</v>
      </c>
      <c r="X151" s="32">
        <f t="shared" si="5"/>
        <v>3684</v>
      </c>
      <c r="Y151" s="31">
        <v>190.99999964237213</v>
      </c>
      <c r="Z151" s="33"/>
      <c r="AA151" s="28">
        <v>3790.0</v>
      </c>
      <c r="AB151" s="36">
        <f t="shared" si="7"/>
        <v>4343</v>
      </c>
      <c r="AC151" s="28">
        <v>5449.0</v>
      </c>
      <c r="AD151" s="13"/>
      <c r="AE151" s="13"/>
      <c r="AF151" s="13"/>
      <c r="AG151" s="13"/>
      <c r="AH151" s="13"/>
      <c r="AI151" s="13"/>
      <c r="AJ151" s="13"/>
      <c r="AK151" s="13"/>
      <c r="AL151" s="13"/>
    </row>
    <row r="152" ht="15.75" customHeight="1">
      <c r="A152" s="26">
        <v>31203.0</v>
      </c>
      <c r="B152" s="27" t="s">
        <v>167</v>
      </c>
      <c r="C152" s="28">
        <v>3544.0</v>
      </c>
      <c r="D152" s="28">
        <v>2301.0</v>
      </c>
      <c r="E152" s="28">
        <v>10.0</v>
      </c>
      <c r="F152" s="28">
        <v>113.0</v>
      </c>
      <c r="G152" s="28">
        <v>20.0</v>
      </c>
      <c r="H152" s="28">
        <v>1100.0</v>
      </c>
      <c r="I152" s="28">
        <v>4853.0</v>
      </c>
      <c r="J152" s="28">
        <v>3471.0</v>
      </c>
      <c r="K152" s="28">
        <v>14.0</v>
      </c>
      <c r="L152" s="28">
        <v>232.0</v>
      </c>
      <c r="M152" s="28">
        <v>45.0</v>
      </c>
      <c r="N152" s="28">
        <v>1091.0</v>
      </c>
      <c r="O152" s="29">
        <f t="shared" ref="O152:T152" si="153">ROUND(C152 + ((2016-2012)*(I152-C152))/(2024-2012),0)</f>
        <v>3980</v>
      </c>
      <c r="P152" s="30">
        <f t="shared" si="153"/>
        <v>2691</v>
      </c>
      <c r="Q152" s="30">
        <f t="shared" si="153"/>
        <v>11</v>
      </c>
      <c r="R152" s="30">
        <f t="shared" si="153"/>
        <v>153</v>
      </c>
      <c r="S152" s="30">
        <f t="shared" si="153"/>
        <v>28</v>
      </c>
      <c r="T152" s="30">
        <f t="shared" si="153"/>
        <v>1097</v>
      </c>
      <c r="U152" s="38">
        <v>2518.0</v>
      </c>
      <c r="V152" s="31">
        <f t="shared" si="3"/>
        <v>173</v>
      </c>
      <c r="W152" s="31">
        <f t="shared" si="4"/>
        <v>173</v>
      </c>
      <c r="X152" s="32">
        <f t="shared" si="5"/>
        <v>3980</v>
      </c>
      <c r="Y152" s="31">
        <v>240.9999966621399</v>
      </c>
      <c r="Z152" s="33"/>
      <c r="AA152" s="28">
        <v>4624.0</v>
      </c>
      <c r="AB152" s="30">
        <f t="shared" si="7"/>
        <v>5368</v>
      </c>
      <c r="AC152" s="28">
        <v>6855.0</v>
      </c>
      <c r="AD152" s="13"/>
      <c r="AE152" s="13"/>
      <c r="AF152" s="13"/>
      <c r="AG152" s="13"/>
      <c r="AH152" s="13"/>
      <c r="AI152" s="13"/>
      <c r="AJ152" s="13"/>
      <c r="AK152" s="13"/>
      <c r="AL152" s="13"/>
    </row>
    <row r="153" ht="15.75" customHeight="1">
      <c r="A153" s="34">
        <v>31204.0</v>
      </c>
      <c r="B153" s="35" t="s">
        <v>168</v>
      </c>
      <c r="C153" s="28">
        <v>7263.0</v>
      </c>
      <c r="D153" s="28">
        <v>3606.0</v>
      </c>
      <c r="E153" s="28">
        <v>205.0</v>
      </c>
      <c r="F153" s="28">
        <v>99.0</v>
      </c>
      <c r="G153" s="28">
        <v>78.0</v>
      </c>
      <c r="H153" s="28">
        <v>3275.0</v>
      </c>
      <c r="I153" s="28">
        <v>10557.0</v>
      </c>
      <c r="J153" s="28">
        <v>7001.0</v>
      </c>
      <c r="K153" s="28">
        <v>158.0</v>
      </c>
      <c r="L153" s="28">
        <v>166.0</v>
      </c>
      <c r="M153" s="28">
        <v>68.0</v>
      </c>
      <c r="N153" s="28">
        <v>3164.0</v>
      </c>
      <c r="O153" s="29">
        <f t="shared" ref="O153:T153" si="154">ROUND(C153 + ((2016-2012)*(I153-C153))/(2024-2012),0)</f>
        <v>8361</v>
      </c>
      <c r="P153" s="36">
        <f t="shared" si="154"/>
        <v>4738</v>
      </c>
      <c r="Q153" s="36">
        <f t="shared" si="154"/>
        <v>189</v>
      </c>
      <c r="R153" s="36">
        <f t="shared" si="154"/>
        <v>121</v>
      </c>
      <c r="S153" s="36">
        <f t="shared" si="154"/>
        <v>75</v>
      </c>
      <c r="T153" s="36">
        <f t="shared" si="154"/>
        <v>3238</v>
      </c>
      <c r="U153" s="37">
        <v>4837.0</v>
      </c>
      <c r="V153" s="31">
        <f t="shared" si="3"/>
        <v>-99</v>
      </c>
      <c r="W153" s="31">
        <f t="shared" si="4"/>
        <v>0</v>
      </c>
      <c r="X153" s="32">
        <f t="shared" si="5"/>
        <v>8460</v>
      </c>
      <c r="Y153" s="31">
        <v>536.5000069141388</v>
      </c>
      <c r="Z153" s="33"/>
      <c r="AA153" s="28">
        <v>7848.0</v>
      </c>
      <c r="AB153" s="36">
        <f t="shared" si="7"/>
        <v>9455</v>
      </c>
      <c r="AC153" s="28">
        <v>12669.0</v>
      </c>
      <c r="AD153" s="13"/>
      <c r="AE153" s="13"/>
      <c r="AF153" s="13"/>
      <c r="AG153" s="13"/>
      <c r="AH153" s="13"/>
      <c r="AI153" s="13"/>
      <c r="AJ153" s="13"/>
      <c r="AK153" s="13"/>
      <c r="AL153" s="13"/>
    </row>
    <row r="154" ht="15.75" customHeight="1">
      <c r="A154" s="26">
        <v>31205.0</v>
      </c>
      <c r="B154" s="27" t="s">
        <v>169</v>
      </c>
      <c r="C154" s="28">
        <v>16951.0</v>
      </c>
      <c r="D154" s="28">
        <v>9234.0</v>
      </c>
      <c r="E154" s="28">
        <v>179.0</v>
      </c>
      <c r="F154" s="28">
        <v>72.0</v>
      </c>
      <c r="G154" s="28">
        <v>174.0</v>
      </c>
      <c r="H154" s="28">
        <v>7292.0</v>
      </c>
      <c r="I154" s="28">
        <v>25497.0</v>
      </c>
      <c r="J154" s="28">
        <v>18442.0</v>
      </c>
      <c r="K154" s="28">
        <v>78.0</v>
      </c>
      <c r="L154" s="28">
        <v>183.0</v>
      </c>
      <c r="M154" s="28">
        <v>155.0</v>
      </c>
      <c r="N154" s="28">
        <v>6639.0</v>
      </c>
      <c r="O154" s="29">
        <f t="shared" ref="O154:T154" si="155">ROUND(C154 + ((2016-2012)*(I154-C154))/(2024-2012),0)</f>
        <v>19800</v>
      </c>
      <c r="P154" s="30">
        <f t="shared" si="155"/>
        <v>12303</v>
      </c>
      <c r="Q154" s="30">
        <f t="shared" si="155"/>
        <v>145</v>
      </c>
      <c r="R154" s="30">
        <f t="shared" si="155"/>
        <v>109</v>
      </c>
      <c r="S154" s="30">
        <f t="shared" si="155"/>
        <v>168</v>
      </c>
      <c r="T154" s="30">
        <f t="shared" si="155"/>
        <v>7074</v>
      </c>
      <c r="U154" s="38">
        <v>11142.0</v>
      </c>
      <c r="V154" s="31">
        <f t="shared" si="3"/>
        <v>1161</v>
      </c>
      <c r="W154" s="31">
        <f t="shared" si="4"/>
        <v>1161</v>
      </c>
      <c r="X154" s="32">
        <f t="shared" si="5"/>
        <v>19799</v>
      </c>
      <c r="Y154" s="31">
        <v>495.9999918937683</v>
      </c>
      <c r="Z154" s="33"/>
      <c r="AA154" s="28">
        <v>18797.0</v>
      </c>
      <c r="AB154" s="30">
        <f t="shared" si="7"/>
        <v>22520</v>
      </c>
      <c r="AC154" s="28">
        <v>29966.0</v>
      </c>
      <c r="AD154" s="13"/>
      <c r="AE154" s="13"/>
      <c r="AF154" s="13"/>
      <c r="AG154" s="13"/>
      <c r="AH154" s="13"/>
      <c r="AI154" s="13"/>
      <c r="AJ154" s="13"/>
      <c r="AK154" s="13"/>
      <c r="AL154" s="13"/>
    </row>
    <row r="155" ht="15.75" customHeight="1">
      <c r="A155" s="34">
        <v>31206.0</v>
      </c>
      <c r="B155" s="35" t="s">
        <v>170</v>
      </c>
      <c r="C155" s="28">
        <v>12475.0</v>
      </c>
      <c r="D155" s="28">
        <v>6067.0</v>
      </c>
      <c r="E155" s="28">
        <v>104.0</v>
      </c>
      <c r="F155" s="28">
        <v>66.0</v>
      </c>
      <c r="G155" s="28">
        <v>259.0</v>
      </c>
      <c r="H155" s="28">
        <v>5979.0</v>
      </c>
      <c r="I155" s="28">
        <v>18178.0</v>
      </c>
      <c r="J155" s="28">
        <v>12643.0</v>
      </c>
      <c r="K155" s="28">
        <v>56.0</v>
      </c>
      <c r="L155" s="28">
        <v>121.0</v>
      </c>
      <c r="M155" s="28">
        <v>103.0</v>
      </c>
      <c r="N155" s="28">
        <v>5255.0</v>
      </c>
      <c r="O155" s="29">
        <f t="shared" ref="O155:T155" si="156">ROUND(C155 + ((2016-2012)*(I155-C155))/(2024-2012),0)</f>
        <v>14376</v>
      </c>
      <c r="P155" s="36">
        <f t="shared" si="156"/>
        <v>8259</v>
      </c>
      <c r="Q155" s="36">
        <f t="shared" si="156"/>
        <v>88</v>
      </c>
      <c r="R155" s="36">
        <f t="shared" si="156"/>
        <v>84</v>
      </c>
      <c r="S155" s="36">
        <f t="shared" si="156"/>
        <v>207</v>
      </c>
      <c r="T155" s="36">
        <f t="shared" si="156"/>
        <v>5738</v>
      </c>
      <c r="U155" s="37">
        <v>6932.0</v>
      </c>
      <c r="V155" s="31">
        <f t="shared" si="3"/>
        <v>1327</v>
      </c>
      <c r="W155" s="31">
        <f t="shared" si="4"/>
        <v>1327</v>
      </c>
      <c r="X155" s="32">
        <f t="shared" si="5"/>
        <v>14376</v>
      </c>
      <c r="Y155" s="31">
        <v>675.5000054836273</v>
      </c>
      <c r="Z155" s="33"/>
      <c r="AA155" s="28">
        <v>13412.0</v>
      </c>
      <c r="AB155" s="36">
        <f t="shared" si="7"/>
        <v>15588</v>
      </c>
      <c r="AC155" s="28">
        <v>19941.0</v>
      </c>
      <c r="AD155" s="13"/>
      <c r="AE155" s="13"/>
      <c r="AF155" s="13"/>
      <c r="AG155" s="13"/>
      <c r="AH155" s="13"/>
      <c r="AI155" s="13"/>
      <c r="AJ155" s="13"/>
      <c r="AK155" s="13"/>
      <c r="AL155" s="13"/>
    </row>
    <row r="156" ht="15.75" customHeight="1">
      <c r="A156" s="26">
        <v>31301.0</v>
      </c>
      <c r="B156" s="27" t="s">
        <v>171</v>
      </c>
      <c r="C156" s="28">
        <v>5920.0</v>
      </c>
      <c r="D156" s="28">
        <v>3525.0</v>
      </c>
      <c r="E156" s="28">
        <v>26.0</v>
      </c>
      <c r="F156" s="28">
        <v>61.0</v>
      </c>
      <c r="G156" s="28">
        <v>129.0</v>
      </c>
      <c r="H156" s="28">
        <v>2179.0</v>
      </c>
      <c r="I156" s="28">
        <v>6879.0</v>
      </c>
      <c r="J156" s="28">
        <v>4929.0</v>
      </c>
      <c r="K156" s="28">
        <v>16.0</v>
      </c>
      <c r="L156" s="28">
        <v>483.0</v>
      </c>
      <c r="M156" s="28">
        <v>45.0</v>
      </c>
      <c r="N156" s="28">
        <v>1406.0</v>
      </c>
      <c r="O156" s="29">
        <f t="shared" ref="O156:T156" si="157">ROUND(C156 + ((2016-2012)*(I156-C156))/(2024-2012),0)</f>
        <v>6240</v>
      </c>
      <c r="P156" s="30">
        <f t="shared" si="157"/>
        <v>3993</v>
      </c>
      <c r="Q156" s="30">
        <f t="shared" si="157"/>
        <v>23</v>
      </c>
      <c r="R156" s="30">
        <f t="shared" si="157"/>
        <v>202</v>
      </c>
      <c r="S156" s="30">
        <f t="shared" si="157"/>
        <v>101</v>
      </c>
      <c r="T156" s="30">
        <f t="shared" si="157"/>
        <v>1921</v>
      </c>
      <c r="U156" s="38">
        <v>5163.0</v>
      </c>
      <c r="V156" s="31">
        <f t="shared" si="3"/>
        <v>-1170</v>
      </c>
      <c r="W156" s="31">
        <f t="shared" si="4"/>
        <v>0</v>
      </c>
      <c r="X156" s="32">
        <f t="shared" si="5"/>
        <v>7410</v>
      </c>
      <c r="Y156" s="31">
        <v>305.0000071525574</v>
      </c>
      <c r="Z156" s="33"/>
      <c r="AA156" s="28">
        <v>7594.0</v>
      </c>
      <c r="AB156" s="30">
        <f t="shared" si="7"/>
        <v>8194</v>
      </c>
      <c r="AC156" s="28">
        <v>9393.0</v>
      </c>
      <c r="AD156" s="13"/>
      <c r="AE156" s="13"/>
      <c r="AF156" s="13"/>
      <c r="AG156" s="13"/>
      <c r="AH156" s="13"/>
      <c r="AI156" s="13"/>
      <c r="AJ156" s="13"/>
      <c r="AK156" s="13"/>
      <c r="AL156" s="13"/>
    </row>
    <row r="157" ht="15.75" customHeight="1">
      <c r="A157" s="34">
        <v>31302.0</v>
      </c>
      <c r="B157" s="35" t="s">
        <v>172</v>
      </c>
      <c r="C157" s="28">
        <v>1540.0</v>
      </c>
      <c r="D157" s="28">
        <v>342.0</v>
      </c>
      <c r="E157" s="28">
        <v>23.0</v>
      </c>
      <c r="F157" s="28">
        <v>10.0</v>
      </c>
      <c r="G157" s="28">
        <v>16.0</v>
      </c>
      <c r="H157" s="28">
        <v>1149.0</v>
      </c>
      <c r="I157" s="28">
        <v>1867.0</v>
      </c>
      <c r="J157" s="28">
        <v>685.0</v>
      </c>
      <c r="K157" s="28">
        <v>1.0</v>
      </c>
      <c r="L157" s="28">
        <v>264.0</v>
      </c>
      <c r="M157" s="28">
        <v>5.0</v>
      </c>
      <c r="N157" s="28">
        <v>912.0</v>
      </c>
      <c r="O157" s="29">
        <f t="shared" ref="O157:T157" si="158">ROUND(C157 + ((2016-2012)*(I157-C157))/(2024-2012),0)</f>
        <v>1649</v>
      </c>
      <c r="P157" s="36">
        <f t="shared" si="158"/>
        <v>456</v>
      </c>
      <c r="Q157" s="36">
        <f t="shared" si="158"/>
        <v>16</v>
      </c>
      <c r="R157" s="36">
        <f t="shared" si="158"/>
        <v>95</v>
      </c>
      <c r="S157" s="36">
        <f t="shared" si="158"/>
        <v>12</v>
      </c>
      <c r="T157" s="36">
        <f t="shared" si="158"/>
        <v>1070</v>
      </c>
      <c r="U157" s="37">
        <v>484.0</v>
      </c>
      <c r="V157" s="31">
        <f t="shared" si="3"/>
        <v>-28</v>
      </c>
      <c r="W157" s="31">
        <f t="shared" si="4"/>
        <v>0</v>
      </c>
      <c r="X157" s="32">
        <f t="shared" si="5"/>
        <v>1677</v>
      </c>
      <c r="Y157" s="31">
        <v>97.50000014901161</v>
      </c>
      <c r="Z157" s="33"/>
      <c r="AA157" s="28">
        <v>1786.0</v>
      </c>
      <c r="AB157" s="36">
        <f t="shared" si="7"/>
        <v>1945</v>
      </c>
      <c r="AC157" s="28">
        <v>2262.0</v>
      </c>
      <c r="AD157" s="13"/>
      <c r="AE157" s="13"/>
      <c r="AF157" s="13"/>
      <c r="AG157" s="13"/>
      <c r="AH157" s="13"/>
      <c r="AI157" s="13"/>
      <c r="AJ157" s="13"/>
      <c r="AK157" s="13"/>
      <c r="AL157" s="13"/>
    </row>
    <row r="158" ht="15.75" customHeight="1">
      <c r="A158" s="26">
        <v>31303.0</v>
      </c>
      <c r="B158" s="27" t="s">
        <v>173</v>
      </c>
      <c r="C158" s="28">
        <v>1122.0</v>
      </c>
      <c r="D158" s="28">
        <v>133.0</v>
      </c>
      <c r="E158" s="28">
        <v>6.0</v>
      </c>
      <c r="F158" s="28">
        <v>5.0</v>
      </c>
      <c r="G158" s="28">
        <v>7.0</v>
      </c>
      <c r="H158" s="28">
        <v>971.0</v>
      </c>
      <c r="I158" s="28">
        <v>1278.0</v>
      </c>
      <c r="J158" s="28">
        <v>368.0</v>
      </c>
      <c r="K158" s="28">
        <v>6.0</v>
      </c>
      <c r="L158" s="28">
        <v>200.0</v>
      </c>
      <c r="M158" s="28">
        <v>43.0</v>
      </c>
      <c r="N158" s="28">
        <v>661.0</v>
      </c>
      <c r="O158" s="29">
        <f t="shared" ref="O158:T158" si="159">ROUND(C158 + ((2016-2012)*(I158-C158))/(2024-2012),0)</f>
        <v>1174</v>
      </c>
      <c r="P158" s="30">
        <f t="shared" si="159"/>
        <v>211</v>
      </c>
      <c r="Q158" s="30">
        <f t="shared" si="159"/>
        <v>6</v>
      </c>
      <c r="R158" s="30">
        <f t="shared" si="159"/>
        <v>70</v>
      </c>
      <c r="S158" s="30">
        <f t="shared" si="159"/>
        <v>19</v>
      </c>
      <c r="T158" s="30">
        <f t="shared" si="159"/>
        <v>868</v>
      </c>
      <c r="U158" s="38">
        <v>297.0</v>
      </c>
      <c r="V158" s="31">
        <f t="shared" si="3"/>
        <v>-86</v>
      </c>
      <c r="W158" s="31">
        <f t="shared" si="4"/>
        <v>0</v>
      </c>
      <c r="X158" s="32">
        <f t="shared" si="5"/>
        <v>1260</v>
      </c>
      <c r="Y158" s="31">
        <v>104.99999672174454</v>
      </c>
      <c r="Z158" s="33"/>
      <c r="AA158" s="28">
        <v>1438.0</v>
      </c>
      <c r="AB158" s="30">
        <f t="shared" si="7"/>
        <v>1507</v>
      </c>
      <c r="AC158" s="28">
        <v>1644.0</v>
      </c>
      <c r="AD158" s="13"/>
      <c r="AE158" s="13"/>
      <c r="AF158" s="13"/>
      <c r="AG158" s="13"/>
      <c r="AH158" s="13"/>
      <c r="AI158" s="13"/>
      <c r="AJ158" s="13"/>
      <c r="AK158" s="13"/>
      <c r="AL158" s="13"/>
    </row>
    <row r="159" ht="15.75" customHeight="1">
      <c r="A159" s="34">
        <v>31304.0</v>
      </c>
      <c r="B159" s="35" t="s">
        <v>174</v>
      </c>
      <c r="C159" s="28">
        <v>1991.0</v>
      </c>
      <c r="D159" s="28">
        <v>376.0</v>
      </c>
      <c r="E159" s="28">
        <v>46.0</v>
      </c>
      <c r="F159" s="28">
        <v>16.0</v>
      </c>
      <c r="G159" s="28">
        <v>50.0</v>
      </c>
      <c r="H159" s="28">
        <v>1503.0</v>
      </c>
      <c r="I159" s="28">
        <v>2644.0</v>
      </c>
      <c r="J159" s="28">
        <v>811.0</v>
      </c>
      <c r="K159" s="28">
        <v>4.0</v>
      </c>
      <c r="L159" s="28">
        <v>195.0</v>
      </c>
      <c r="M159" s="28">
        <v>76.0</v>
      </c>
      <c r="N159" s="28">
        <v>1558.0</v>
      </c>
      <c r="O159" s="29">
        <f t="shared" ref="O159:T159" si="160">ROUND(C159 + ((2016-2012)*(I159-C159))/(2024-2012),0)</f>
        <v>2209</v>
      </c>
      <c r="P159" s="36">
        <f t="shared" si="160"/>
        <v>521</v>
      </c>
      <c r="Q159" s="36">
        <f t="shared" si="160"/>
        <v>32</v>
      </c>
      <c r="R159" s="36">
        <f t="shared" si="160"/>
        <v>76</v>
      </c>
      <c r="S159" s="36">
        <f t="shared" si="160"/>
        <v>59</v>
      </c>
      <c r="T159" s="36">
        <f t="shared" si="160"/>
        <v>1521</v>
      </c>
      <c r="U159" s="37">
        <v>0.0</v>
      </c>
      <c r="V159" s="31">
        <f t="shared" si="3"/>
        <v>521</v>
      </c>
      <c r="W159" s="31">
        <f t="shared" si="4"/>
        <v>521</v>
      </c>
      <c r="X159" s="32">
        <f t="shared" si="5"/>
        <v>2209</v>
      </c>
      <c r="Y159" s="31">
        <v>0.0</v>
      </c>
      <c r="Z159" s="33"/>
      <c r="AA159" s="28">
        <v>3046.0</v>
      </c>
      <c r="AB159" s="36">
        <f t="shared" si="7"/>
        <v>3574</v>
      </c>
      <c r="AC159" s="28">
        <v>4629.0</v>
      </c>
      <c r="AD159" s="13"/>
      <c r="AE159" s="13"/>
      <c r="AF159" s="13"/>
      <c r="AG159" s="13"/>
      <c r="AH159" s="13"/>
      <c r="AI159" s="13"/>
      <c r="AJ159" s="13"/>
      <c r="AK159" s="13"/>
      <c r="AL159" s="13"/>
    </row>
    <row r="160" ht="15.75" customHeight="1">
      <c r="A160" s="26">
        <v>31401.0</v>
      </c>
      <c r="B160" s="27" t="s">
        <v>175</v>
      </c>
      <c r="C160" s="28">
        <v>8784.0</v>
      </c>
      <c r="D160" s="28">
        <v>8346.0</v>
      </c>
      <c r="E160" s="28">
        <v>15.0</v>
      </c>
      <c r="F160" s="28">
        <v>5.0</v>
      </c>
      <c r="G160" s="28">
        <v>10.0</v>
      </c>
      <c r="H160" s="28">
        <v>408.0</v>
      </c>
      <c r="I160" s="28">
        <v>11318.0</v>
      </c>
      <c r="J160" s="28">
        <v>10961.0</v>
      </c>
      <c r="K160" s="28">
        <v>15.0</v>
      </c>
      <c r="L160" s="28">
        <v>21.0</v>
      </c>
      <c r="M160" s="28">
        <v>9.0</v>
      </c>
      <c r="N160" s="28">
        <v>312.0</v>
      </c>
      <c r="O160" s="29">
        <f t="shared" ref="O160:T160" si="161">ROUND(C160 + ((2016-2012)*(I160-C160))/(2024-2012),0)</f>
        <v>9629</v>
      </c>
      <c r="P160" s="30">
        <f t="shared" si="161"/>
        <v>9218</v>
      </c>
      <c r="Q160" s="30">
        <f t="shared" si="161"/>
        <v>15</v>
      </c>
      <c r="R160" s="30">
        <f t="shared" si="161"/>
        <v>10</v>
      </c>
      <c r="S160" s="30">
        <f t="shared" si="161"/>
        <v>10</v>
      </c>
      <c r="T160" s="30">
        <f t="shared" si="161"/>
        <v>376</v>
      </c>
      <c r="U160" s="38">
        <v>9916.0</v>
      </c>
      <c r="V160" s="31">
        <f t="shared" si="3"/>
        <v>-698</v>
      </c>
      <c r="W160" s="31">
        <f t="shared" si="4"/>
        <v>0</v>
      </c>
      <c r="X160" s="32">
        <f t="shared" si="5"/>
        <v>10327</v>
      </c>
      <c r="Y160" s="31">
        <v>527.0000100135803</v>
      </c>
      <c r="Z160" s="33"/>
      <c r="AA160" s="28">
        <v>10718.0</v>
      </c>
      <c r="AB160" s="30">
        <f t="shared" si="7"/>
        <v>12141</v>
      </c>
      <c r="AC160" s="28">
        <v>14987.0</v>
      </c>
      <c r="AD160" s="13"/>
      <c r="AE160" s="13"/>
      <c r="AF160" s="13"/>
      <c r="AG160" s="13"/>
      <c r="AH160" s="13"/>
      <c r="AI160" s="13"/>
      <c r="AJ160" s="13"/>
      <c r="AK160" s="13"/>
      <c r="AL160" s="13"/>
    </row>
    <row r="161" ht="15.75" customHeight="1">
      <c r="A161" s="34">
        <v>31402.0</v>
      </c>
      <c r="B161" s="35" t="s">
        <v>176</v>
      </c>
      <c r="C161" s="28">
        <v>3042.0</v>
      </c>
      <c r="D161" s="28">
        <v>2618.0</v>
      </c>
      <c r="E161" s="28">
        <v>5.0</v>
      </c>
      <c r="F161" s="28">
        <v>3.0</v>
      </c>
      <c r="G161" s="28">
        <v>9.0</v>
      </c>
      <c r="H161" s="28">
        <v>407.0</v>
      </c>
      <c r="I161" s="28">
        <v>3262.0</v>
      </c>
      <c r="J161" s="28">
        <v>2883.0</v>
      </c>
      <c r="K161" s="28">
        <v>5.0</v>
      </c>
      <c r="L161" s="28">
        <v>13.0</v>
      </c>
      <c r="M161" s="28">
        <v>5.0</v>
      </c>
      <c r="N161" s="28">
        <v>356.0</v>
      </c>
      <c r="O161" s="29">
        <f t="shared" ref="O161:T161" si="162">ROUND(C161 + ((2016-2012)*(I161-C161))/(2024-2012),0)</f>
        <v>3115</v>
      </c>
      <c r="P161" s="36">
        <f t="shared" si="162"/>
        <v>2706</v>
      </c>
      <c r="Q161" s="36">
        <f t="shared" si="162"/>
        <v>5</v>
      </c>
      <c r="R161" s="36">
        <f t="shared" si="162"/>
        <v>6</v>
      </c>
      <c r="S161" s="36">
        <f t="shared" si="162"/>
        <v>8</v>
      </c>
      <c r="T161" s="36">
        <f t="shared" si="162"/>
        <v>390</v>
      </c>
      <c r="U161" s="37">
        <v>3091.0</v>
      </c>
      <c r="V161" s="31">
        <f t="shared" si="3"/>
        <v>-385</v>
      </c>
      <c r="W161" s="31">
        <f t="shared" si="4"/>
        <v>0</v>
      </c>
      <c r="X161" s="32">
        <f t="shared" si="5"/>
        <v>3500</v>
      </c>
      <c r="Y161" s="31">
        <v>188.9999955892563</v>
      </c>
      <c r="Z161" s="33"/>
      <c r="AA161" s="28">
        <v>3663.0</v>
      </c>
      <c r="AB161" s="36">
        <f t="shared" si="7"/>
        <v>4098</v>
      </c>
      <c r="AC161" s="28">
        <v>4969.0</v>
      </c>
      <c r="AD161" s="13"/>
      <c r="AE161" s="13"/>
      <c r="AF161" s="13"/>
      <c r="AG161" s="13"/>
      <c r="AH161" s="13"/>
      <c r="AI161" s="13"/>
      <c r="AJ161" s="13"/>
      <c r="AK161" s="13"/>
      <c r="AL161" s="13"/>
    </row>
    <row r="162" ht="15.75" customHeight="1">
      <c r="A162" s="26">
        <v>31403.0</v>
      </c>
      <c r="B162" s="27" t="s">
        <v>177</v>
      </c>
      <c r="C162" s="28">
        <v>3924.0</v>
      </c>
      <c r="D162" s="28">
        <v>3523.0</v>
      </c>
      <c r="E162" s="28">
        <v>2.0</v>
      </c>
      <c r="F162" s="28">
        <v>2.0</v>
      </c>
      <c r="G162" s="28">
        <v>17.0</v>
      </c>
      <c r="H162" s="28">
        <v>380.0</v>
      </c>
      <c r="I162" s="28">
        <v>4327.0</v>
      </c>
      <c r="J162" s="28">
        <v>4100.0</v>
      </c>
      <c r="K162" s="28">
        <v>14.0</v>
      </c>
      <c r="L162" s="28">
        <v>9.0</v>
      </c>
      <c r="M162" s="28">
        <v>10.0</v>
      </c>
      <c r="N162" s="28">
        <v>194.0</v>
      </c>
      <c r="O162" s="29">
        <f t="shared" ref="O162:T162" si="163">ROUND(C162 + ((2016-2012)*(I162-C162))/(2024-2012),0)</f>
        <v>4058</v>
      </c>
      <c r="P162" s="30">
        <f t="shared" si="163"/>
        <v>3715</v>
      </c>
      <c r="Q162" s="30">
        <f t="shared" si="163"/>
        <v>6</v>
      </c>
      <c r="R162" s="30">
        <f t="shared" si="163"/>
        <v>4</v>
      </c>
      <c r="S162" s="30">
        <f t="shared" si="163"/>
        <v>15</v>
      </c>
      <c r="T162" s="30">
        <f t="shared" si="163"/>
        <v>318</v>
      </c>
      <c r="U162" s="38">
        <v>4575.0</v>
      </c>
      <c r="V162" s="31">
        <f t="shared" si="3"/>
        <v>-860</v>
      </c>
      <c r="W162" s="31">
        <f t="shared" si="4"/>
        <v>0</v>
      </c>
      <c r="X162" s="32">
        <f t="shared" si="5"/>
        <v>4918</v>
      </c>
      <c r="Y162" s="31">
        <v>488.99999260902405</v>
      </c>
      <c r="Z162" s="33"/>
      <c r="AA162" s="28">
        <v>5175.0</v>
      </c>
      <c r="AB162" s="30">
        <f t="shared" si="7"/>
        <v>5606</v>
      </c>
      <c r="AC162" s="28">
        <v>6468.0</v>
      </c>
      <c r="AD162" s="13"/>
      <c r="AE162" s="13"/>
      <c r="AF162" s="13"/>
      <c r="AG162" s="13"/>
      <c r="AH162" s="13"/>
      <c r="AI162" s="13"/>
      <c r="AJ162" s="13"/>
      <c r="AK162" s="13"/>
      <c r="AL162" s="13"/>
    </row>
    <row r="163" ht="15.75" customHeight="1">
      <c r="A163" s="34">
        <v>31404.0</v>
      </c>
      <c r="B163" s="35" t="s">
        <v>178</v>
      </c>
      <c r="C163" s="28">
        <v>359.0</v>
      </c>
      <c r="D163" s="28">
        <v>311.0</v>
      </c>
      <c r="E163" s="28">
        <v>0.0</v>
      </c>
      <c r="F163" s="28">
        <v>2.0</v>
      </c>
      <c r="G163" s="28">
        <v>2.0</v>
      </c>
      <c r="H163" s="28">
        <v>44.0</v>
      </c>
      <c r="I163" s="28">
        <v>485.0</v>
      </c>
      <c r="J163" s="28">
        <v>444.0</v>
      </c>
      <c r="K163" s="28">
        <v>4.0</v>
      </c>
      <c r="L163" s="28">
        <v>4.0</v>
      </c>
      <c r="M163" s="28">
        <v>0.0</v>
      </c>
      <c r="N163" s="28">
        <v>33.0</v>
      </c>
      <c r="O163" s="29">
        <f t="shared" ref="O163:T163" si="164">ROUND(C163 + ((2016-2012)*(I163-C163))/(2024-2012),0)</f>
        <v>401</v>
      </c>
      <c r="P163" s="36">
        <f t="shared" si="164"/>
        <v>355</v>
      </c>
      <c r="Q163" s="36">
        <f t="shared" si="164"/>
        <v>1</v>
      </c>
      <c r="R163" s="36">
        <f t="shared" si="164"/>
        <v>3</v>
      </c>
      <c r="S163" s="36">
        <f t="shared" si="164"/>
        <v>1</v>
      </c>
      <c r="T163" s="36">
        <f t="shared" si="164"/>
        <v>40</v>
      </c>
      <c r="U163" s="37">
        <v>293.0</v>
      </c>
      <c r="V163" s="31">
        <f t="shared" si="3"/>
        <v>62</v>
      </c>
      <c r="W163" s="31">
        <f t="shared" si="4"/>
        <v>62</v>
      </c>
      <c r="X163" s="32">
        <f t="shared" si="5"/>
        <v>400</v>
      </c>
      <c r="Y163" s="31">
        <v>157.00000524520874</v>
      </c>
      <c r="Z163" s="33"/>
      <c r="AA163" s="28">
        <v>438.0</v>
      </c>
      <c r="AB163" s="36">
        <f t="shared" si="7"/>
        <v>528</v>
      </c>
      <c r="AC163" s="28">
        <v>707.0</v>
      </c>
      <c r="AD163" s="13"/>
      <c r="AE163" s="13"/>
      <c r="AF163" s="13"/>
      <c r="AG163" s="13"/>
      <c r="AH163" s="13"/>
      <c r="AI163" s="13"/>
      <c r="AJ163" s="13"/>
      <c r="AK163" s="13"/>
      <c r="AL163" s="13"/>
    </row>
    <row r="164" ht="15.75" customHeight="1">
      <c r="A164" s="26">
        <v>31405.0</v>
      </c>
      <c r="B164" s="27" t="s">
        <v>179</v>
      </c>
      <c r="C164" s="28">
        <v>701.0</v>
      </c>
      <c r="D164" s="28">
        <v>398.0</v>
      </c>
      <c r="E164" s="28">
        <v>4.0</v>
      </c>
      <c r="F164" s="28">
        <v>1.0</v>
      </c>
      <c r="G164" s="28">
        <v>2.0</v>
      </c>
      <c r="H164" s="28">
        <v>296.0</v>
      </c>
      <c r="I164" s="28">
        <v>1057.0</v>
      </c>
      <c r="J164" s="28">
        <v>756.0</v>
      </c>
      <c r="K164" s="28">
        <v>6.0</v>
      </c>
      <c r="L164" s="28">
        <v>12.0</v>
      </c>
      <c r="M164" s="28">
        <v>2.0</v>
      </c>
      <c r="N164" s="28">
        <v>281.0</v>
      </c>
      <c r="O164" s="29">
        <f t="shared" ref="O164:T164" si="165">ROUND(C164 + ((2016-2012)*(I164-C164))/(2024-2012),0)</f>
        <v>820</v>
      </c>
      <c r="P164" s="30">
        <f t="shared" si="165"/>
        <v>517</v>
      </c>
      <c r="Q164" s="30">
        <f t="shared" si="165"/>
        <v>5</v>
      </c>
      <c r="R164" s="30">
        <f t="shared" si="165"/>
        <v>5</v>
      </c>
      <c r="S164" s="30">
        <f t="shared" si="165"/>
        <v>2</v>
      </c>
      <c r="T164" s="30">
        <f t="shared" si="165"/>
        <v>291</v>
      </c>
      <c r="U164" s="38">
        <v>0.0</v>
      </c>
      <c r="V164" s="31">
        <f t="shared" si="3"/>
        <v>517</v>
      </c>
      <c r="W164" s="31">
        <f t="shared" si="4"/>
        <v>517</v>
      </c>
      <c r="X164" s="32">
        <f t="shared" si="5"/>
        <v>820</v>
      </c>
      <c r="Y164" s="31">
        <v>0.0</v>
      </c>
      <c r="Z164" s="33"/>
      <c r="AA164" s="28">
        <v>730.0</v>
      </c>
      <c r="AB164" s="30">
        <f t="shared" si="7"/>
        <v>894</v>
      </c>
      <c r="AC164" s="28">
        <v>1223.0</v>
      </c>
      <c r="AD164" s="13"/>
      <c r="AE164" s="13"/>
      <c r="AF164" s="13"/>
      <c r="AG164" s="13"/>
      <c r="AH164" s="13"/>
      <c r="AI164" s="13"/>
      <c r="AJ164" s="13"/>
      <c r="AK164" s="13"/>
      <c r="AL164" s="13"/>
    </row>
    <row r="165" ht="15.75" customHeight="1">
      <c r="A165" s="34">
        <v>31501.0</v>
      </c>
      <c r="B165" s="35" t="s">
        <v>180</v>
      </c>
      <c r="C165" s="28">
        <v>2366.0</v>
      </c>
      <c r="D165" s="28">
        <v>1115.0</v>
      </c>
      <c r="E165" s="28">
        <v>3.0</v>
      </c>
      <c r="F165" s="28">
        <v>5.0</v>
      </c>
      <c r="G165" s="28">
        <v>33.0</v>
      </c>
      <c r="H165" s="28">
        <v>1210.0</v>
      </c>
      <c r="I165" s="28">
        <v>3211.0</v>
      </c>
      <c r="J165" s="28">
        <v>1948.0</v>
      </c>
      <c r="K165" s="28">
        <v>2.0</v>
      </c>
      <c r="L165" s="28">
        <v>146.0</v>
      </c>
      <c r="M165" s="28">
        <v>74.0</v>
      </c>
      <c r="N165" s="28">
        <v>1041.0</v>
      </c>
      <c r="O165" s="29">
        <f t="shared" ref="O165:T165" si="166">ROUND(C165 + ((2016-2012)*(I165-C165))/(2024-2012),0)</f>
        <v>2648</v>
      </c>
      <c r="P165" s="36">
        <f t="shared" si="166"/>
        <v>1393</v>
      </c>
      <c r="Q165" s="36">
        <f t="shared" si="166"/>
        <v>3</v>
      </c>
      <c r="R165" s="36">
        <f t="shared" si="166"/>
        <v>52</v>
      </c>
      <c r="S165" s="36">
        <f t="shared" si="166"/>
        <v>47</v>
      </c>
      <c r="T165" s="36">
        <f t="shared" si="166"/>
        <v>1154</v>
      </c>
      <c r="U165" s="37">
        <v>908.0</v>
      </c>
      <c r="V165" s="31">
        <f t="shared" si="3"/>
        <v>485</v>
      </c>
      <c r="W165" s="31">
        <f t="shared" si="4"/>
        <v>485</v>
      </c>
      <c r="X165" s="32">
        <f t="shared" si="5"/>
        <v>2649</v>
      </c>
      <c r="Y165" s="31">
        <v>105.00000044703484</v>
      </c>
      <c r="Z165" s="33"/>
      <c r="AA165" s="28">
        <v>2804.0</v>
      </c>
      <c r="AB165" s="36">
        <f t="shared" si="7"/>
        <v>3317</v>
      </c>
      <c r="AC165" s="28">
        <v>4343.0</v>
      </c>
      <c r="AD165" s="13"/>
      <c r="AE165" s="13"/>
      <c r="AF165" s="13"/>
      <c r="AG165" s="13"/>
      <c r="AH165" s="13"/>
      <c r="AI165" s="13"/>
      <c r="AJ165" s="13"/>
      <c r="AK165" s="13"/>
      <c r="AL165" s="13"/>
    </row>
    <row r="166" ht="15.75" customHeight="1">
      <c r="A166" s="26">
        <v>31601.0</v>
      </c>
      <c r="B166" s="27" t="s">
        <v>181</v>
      </c>
      <c r="C166" s="28">
        <v>6496.0</v>
      </c>
      <c r="D166" s="28">
        <v>4684.0</v>
      </c>
      <c r="E166" s="28">
        <v>20.0</v>
      </c>
      <c r="F166" s="28">
        <v>12.0</v>
      </c>
      <c r="G166" s="28">
        <v>46.0</v>
      </c>
      <c r="H166" s="28">
        <v>1734.0</v>
      </c>
      <c r="I166" s="28">
        <v>6678.0</v>
      </c>
      <c r="J166" s="28">
        <v>5258.0</v>
      </c>
      <c r="K166" s="28">
        <v>14.0</v>
      </c>
      <c r="L166" s="28">
        <v>80.0</v>
      </c>
      <c r="M166" s="28">
        <v>21.0</v>
      </c>
      <c r="N166" s="28">
        <v>1305.0</v>
      </c>
      <c r="O166" s="29">
        <f t="shared" ref="O166:T166" si="167">ROUND(C166 + ((2016-2012)*(I166-C166))/(2024-2012),0)</f>
        <v>6557</v>
      </c>
      <c r="P166" s="30">
        <f t="shared" si="167"/>
        <v>4875</v>
      </c>
      <c r="Q166" s="30">
        <f t="shared" si="167"/>
        <v>18</v>
      </c>
      <c r="R166" s="30">
        <f t="shared" si="167"/>
        <v>35</v>
      </c>
      <c r="S166" s="30">
        <f t="shared" si="167"/>
        <v>38</v>
      </c>
      <c r="T166" s="30">
        <f t="shared" si="167"/>
        <v>1591</v>
      </c>
      <c r="U166" s="38">
        <v>5476.0</v>
      </c>
      <c r="V166" s="31">
        <f t="shared" si="3"/>
        <v>-601</v>
      </c>
      <c r="W166" s="31">
        <f t="shared" si="4"/>
        <v>0</v>
      </c>
      <c r="X166" s="32">
        <f t="shared" si="5"/>
        <v>7158</v>
      </c>
      <c r="Y166" s="31">
        <v>239.499993622303</v>
      </c>
      <c r="Z166" s="33"/>
      <c r="AA166" s="28">
        <v>8827.0</v>
      </c>
      <c r="AB166" s="30">
        <f t="shared" si="7"/>
        <v>9473</v>
      </c>
      <c r="AC166" s="28">
        <v>10764.0</v>
      </c>
      <c r="AD166" s="13"/>
      <c r="AE166" s="13"/>
      <c r="AF166" s="13"/>
      <c r="AG166" s="13"/>
      <c r="AH166" s="13"/>
      <c r="AI166" s="13"/>
      <c r="AJ166" s="13"/>
      <c r="AK166" s="13"/>
      <c r="AL166" s="13"/>
    </row>
    <row r="167" ht="15.75" customHeight="1">
      <c r="A167" s="34">
        <v>31602.0</v>
      </c>
      <c r="B167" s="35" t="s">
        <v>182</v>
      </c>
      <c r="C167" s="28">
        <v>7611.0</v>
      </c>
      <c r="D167" s="28">
        <v>3898.0</v>
      </c>
      <c r="E167" s="28">
        <v>59.0</v>
      </c>
      <c r="F167" s="28">
        <v>15.0</v>
      </c>
      <c r="G167" s="28">
        <v>120.0</v>
      </c>
      <c r="H167" s="28">
        <v>3519.0</v>
      </c>
      <c r="I167" s="28">
        <v>10431.0</v>
      </c>
      <c r="J167" s="28">
        <v>7156.0</v>
      </c>
      <c r="K167" s="28">
        <v>29.0</v>
      </c>
      <c r="L167" s="28">
        <v>135.0</v>
      </c>
      <c r="M167" s="28">
        <v>53.0</v>
      </c>
      <c r="N167" s="28">
        <v>3058.0</v>
      </c>
      <c r="O167" s="29">
        <f t="shared" ref="O167:T167" si="168">ROUND(C167 + ((2016-2012)*(I167-C167))/(2024-2012),0)</f>
        <v>8551</v>
      </c>
      <c r="P167" s="36">
        <f t="shared" si="168"/>
        <v>4984</v>
      </c>
      <c r="Q167" s="36">
        <f t="shared" si="168"/>
        <v>49</v>
      </c>
      <c r="R167" s="36">
        <f t="shared" si="168"/>
        <v>55</v>
      </c>
      <c r="S167" s="36">
        <f t="shared" si="168"/>
        <v>98</v>
      </c>
      <c r="T167" s="36">
        <f t="shared" si="168"/>
        <v>3365</v>
      </c>
      <c r="U167" s="37">
        <v>4850.0</v>
      </c>
      <c r="V167" s="31">
        <f t="shared" si="3"/>
        <v>134</v>
      </c>
      <c r="W167" s="31">
        <f t="shared" si="4"/>
        <v>134</v>
      </c>
      <c r="X167" s="32">
        <f t="shared" si="5"/>
        <v>8551</v>
      </c>
      <c r="Y167" s="31">
        <v>514.9999856948853</v>
      </c>
      <c r="Z167" s="33"/>
      <c r="AA167" s="28">
        <v>8285.0</v>
      </c>
      <c r="AB167" s="36">
        <f t="shared" si="7"/>
        <v>9677</v>
      </c>
      <c r="AC167" s="28">
        <v>12461.0</v>
      </c>
      <c r="AD167" s="13"/>
      <c r="AE167" s="13"/>
      <c r="AF167" s="13"/>
      <c r="AG167" s="13"/>
      <c r="AH167" s="13"/>
      <c r="AI167" s="13"/>
      <c r="AJ167" s="13"/>
      <c r="AK167" s="13"/>
      <c r="AL167" s="13"/>
    </row>
    <row r="168" ht="15.75" customHeight="1">
      <c r="A168" s="26">
        <v>40101.0</v>
      </c>
      <c r="B168" s="27" t="s">
        <v>183</v>
      </c>
      <c r="C168" s="28">
        <v>76724.0</v>
      </c>
      <c r="D168" s="28">
        <v>71178.0</v>
      </c>
      <c r="E168" s="28">
        <v>142.0</v>
      </c>
      <c r="F168" s="28">
        <v>17.0</v>
      </c>
      <c r="G168" s="28">
        <v>194.0</v>
      </c>
      <c r="H168" s="28">
        <v>5193.0</v>
      </c>
      <c r="I168" s="28">
        <v>96123.0</v>
      </c>
      <c r="J168" s="28">
        <v>92957.0</v>
      </c>
      <c r="K168" s="28">
        <v>344.0</v>
      </c>
      <c r="L168" s="28">
        <v>153.0</v>
      </c>
      <c r="M168" s="28">
        <v>287.0</v>
      </c>
      <c r="N168" s="28">
        <v>2382.0</v>
      </c>
      <c r="O168" s="29">
        <f t="shared" ref="O168:T168" si="169">ROUND(C168 + ((2016-2012)*(I168-C168))/(2024-2012),0)</f>
        <v>83190</v>
      </c>
      <c r="P168" s="30">
        <f t="shared" si="169"/>
        <v>78438</v>
      </c>
      <c r="Q168" s="30">
        <f t="shared" si="169"/>
        <v>209</v>
      </c>
      <c r="R168" s="30">
        <f t="shared" si="169"/>
        <v>62</v>
      </c>
      <c r="S168" s="30">
        <f t="shared" si="169"/>
        <v>225</v>
      </c>
      <c r="T168" s="30">
        <f t="shared" si="169"/>
        <v>4256</v>
      </c>
      <c r="U168" s="30">
        <v>90611.0</v>
      </c>
      <c r="V168" s="31">
        <f t="shared" si="3"/>
        <v>-12173</v>
      </c>
      <c r="W168" s="31">
        <f t="shared" si="4"/>
        <v>0</v>
      </c>
      <c r="X168" s="32">
        <f t="shared" si="5"/>
        <v>95363</v>
      </c>
      <c r="Y168" s="31">
        <v>624.0000128746033</v>
      </c>
      <c r="Z168" s="33"/>
      <c r="AA168" s="28">
        <v>87587.0</v>
      </c>
      <c r="AB168" s="30">
        <f t="shared" si="7"/>
        <v>102642</v>
      </c>
      <c r="AC168" s="28">
        <v>132752.0</v>
      </c>
      <c r="AD168" s="13"/>
      <c r="AE168" s="13"/>
      <c r="AF168" s="13"/>
      <c r="AG168" s="13"/>
      <c r="AH168" s="13"/>
      <c r="AI168" s="13"/>
      <c r="AJ168" s="13"/>
      <c r="AK168" s="13"/>
      <c r="AL168" s="13"/>
    </row>
    <row r="169" ht="15.75" customHeight="1">
      <c r="A169" s="34">
        <v>40102.0</v>
      </c>
      <c r="B169" s="35" t="s">
        <v>184</v>
      </c>
      <c r="C169" s="28">
        <v>6690.0</v>
      </c>
      <c r="D169" s="28">
        <v>4658.0</v>
      </c>
      <c r="E169" s="28">
        <v>9.0</v>
      </c>
      <c r="F169" s="28">
        <v>49.0</v>
      </c>
      <c r="G169" s="28">
        <v>18.0</v>
      </c>
      <c r="H169" s="28">
        <v>1956.0</v>
      </c>
      <c r="I169" s="28">
        <v>7972.0</v>
      </c>
      <c r="J169" s="28">
        <v>6673.0</v>
      </c>
      <c r="K169" s="28">
        <v>34.0</v>
      </c>
      <c r="L169" s="28">
        <v>57.0</v>
      </c>
      <c r="M169" s="28">
        <v>54.0</v>
      </c>
      <c r="N169" s="28">
        <v>1154.0</v>
      </c>
      <c r="O169" s="29">
        <f t="shared" ref="O169:T169" si="170">ROUND(C169 + ((2016-2012)*(I169-C169))/(2024-2012),0)</f>
        <v>7117</v>
      </c>
      <c r="P169" s="36">
        <f t="shared" si="170"/>
        <v>5330</v>
      </c>
      <c r="Q169" s="36">
        <f t="shared" si="170"/>
        <v>17</v>
      </c>
      <c r="R169" s="36">
        <f t="shared" si="170"/>
        <v>52</v>
      </c>
      <c r="S169" s="36">
        <f t="shared" si="170"/>
        <v>30</v>
      </c>
      <c r="T169" s="36">
        <f t="shared" si="170"/>
        <v>1689</v>
      </c>
      <c r="U169" s="36">
        <v>4642.0</v>
      </c>
      <c r="V169" s="31">
        <f t="shared" si="3"/>
        <v>688</v>
      </c>
      <c r="W169" s="31">
        <f t="shared" si="4"/>
        <v>688</v>
      </c>
      <c r="X169" s="32">
        <f t="shared" si="5"/>
        <v>7118</v>
      </c>
      <c r="Y169" s="31">
        <v>141.00000262260437</v>
      </c>
      <c r="Z169" s="33"/>
      <c r="AA169" s="28">
        <v>7730.0</v>
      </c>
      <c r="AB169" s="36">
        <f t="shared" si="7"/>
        <v>8779</v>
      </c>
      <c r="AC169" s="28">
        <v>10876.0</v>
      </c>
      <c r="AD169" s="13"/>
      <c r="AE169" s="13"/>
      <c r="AF169" s="13"/>
      <c r="AG169" s="13"/>
      <c r="AH169" s="13"/>
      <c r="AI169" s="13"/>
      <c r="AJ169" s="13"/>
      <c r="AK169" s="13"/>
      <c r="AL169" s="13"/>
    </row>
    <row r="170" ht="15.75" customHeight="1">
      <c r="A170" s="26">
        <v>40103.0</v>
      </c>
      <c r="B170" s="27" t="s">
        <v>185</v>
      </c>
      <c r="C170" s="28">
        <v>3261.0</v>
      </c>
      <c r="D170" s="28">
        <v>336.0</v>
      </c>
      <c r="E170" s="28">
        <v>12.0</v>
      </c>
      <c r="F170" s="28">
        <v>180.0</v>
      </c>
      <c r="G170" s="28">
        <v>106.0</v>
      </c>
      <c r="H170" s="28">
        <v>2627.0</v>
      </c>
      <c r="I170" s="28">
        <v>3844.0</v>
      </c>
      <c r="J170" s="28">
        <v>740.0</v>
      </c>
      <c r="K170" s="28">
        <v>12.0</v>
      </c>
      <c r="L170" s="28">
        <v>373.0</v>
      </c>
      <c r="M170" s="28">
        <v>121.0</v>
      </c>
      <c r="N170" s="28">
        <v>2598.0</v>
      </c>
      <c r="O170" s="29">
        <f t="shared" ref="O170:T170" si="171">ROUND(C170 + ((2016-2012)*(I170-C170))/(2024-2012),0)</f>
        <v>3455</v>
      </c>
      <c r="P170" s="30">
        <f t="shared" si="171"/>
        <v>471</v>
      </c>
      <c r="Q170" s="30">
        <f t="shared" si="171"/>
        <v>12</v>
      </c>
      <c r="R170" s="30">
        <f t="shared" si="171"/>
        <v>244</v>
      </c>
      <c r="S170" s="30">
        <f t="shared" si="171"/>
        <v>111</v>
      </c>
      <c r="T170" s="30">
        <f t="shared" si="171"/>
        <v>2617</v>
      </c>
      <c r="U170" s="38">
        <v>87.0</v>
      </c>
      <c r="V170" s="31">
        <f t="shared" si="3"/>
        <v>384</v>
      </c>
      <c r="W170" s="31">
        <f t="shared" si="4"/>
        <v>384</v>
      </c>
      <c r="X170" s="32">
        <f t="shared" si="5"/>
        <v>3455</v>
      </c>
      <c r="Y170" s="31">
        <v>122.00000137090683</v>
      </c>
      <c r="Z170" s="33"/>
      <c r="AA170" s="28">
        <v>4332.0</v>
      </c>
      <c r="AB170" s="30">
        <f t="shared" si="7"/>
        <v>4454</v>
      </c>
      <c r="AC170" s="28">
        <v>4697.0</v>
      </c>
      <c r="AD170" s="13"/>
      <c r="AE170" s="13"/>
      <c r="AF170" s="13"/>
      <c r="AG170" s="13"/>
      <c r="AH170" s="13"/>
      <c r="AI170" s="13"/>
      <c r="AJ170" s="13"/>
      <c r="AK170" s="13"/>
      <c r="AL170" s="13"/>
    </row>
    <row r="171" ht="15.75" customHeight="1">
      <c r="A171" s="34">
        <v>40104.0</v>
      </c>
      <c r="B171" s="35" t="s">
        <v>186</v>
      </c>
      <c r="C171" s="28">
        <v>3460.0</v>
      </c>
      <c r="D171" s="28">
        <v>2427.0</v>
      </c>
      <c r="E171" s="28">
        <v>20.0</v>
      </c>
      <c r="F171" s="28">
        <v>133.0</v>
      </c>
      <c r="G171" s="28">
        <v>61.0</v>
      </c>
      <c r="H171" s="28">
        <v>819.0</v>
      </c>
      <c r="I171" s="28">
        <v>5464.0</v>
      </c>
      <c r="J171" s="28">
        <v>4467.0</v>
      </c>
      <c r="K171" s="28">
        <v>22.0</v>
      </c>
      <c r="L171" s="28">
        <v>93.0</v>
      </c>
      <c r="M171" s="28">
        <v>39.0</v>
      </c>
      <c r="N171" s="28">
        <v>843.0</v>
      </c>
      <c r="O171" s="29">
        <f t="shared" ref="O171:T171" si="172">ROUND(C171 + ((2016-2012)*(I171-C171))/(2024-2012),0)</f>
        <v>4128</v>
      </c>
      <c r="P171" s="36">
        <f t="shared" si="172"/>
        <v>3107</v>
      </c>
      <c r="Q171" s="36">
        <f t="shared" si="172"/>
        <v>21</v>
      </c>
      <c r="R171" s="36">
        <f t="shared" si="172"/>
        <v>120</v>
      </c>
      <c r="S171" s="36">
        <f t="shared" si="172"/>
        <v>54</v>
      </c>
      <c r="T171" s="36">
        <f t="shared" si="172"/>
        <v>827</v>
      </c>
      <c r="U171" s="36">
        <v>12282.0</v>
      </c>
      <c r="V171" s="31">
        <f t="shared" si="3"/>
        <v>-9175</v>
      </c>
      <c r="W171" s="31">
        <f t="shared" si="4"/>
        <v>0</v>
      </c>
      <c r="X171" s="32">
        <f t="shared" si="5"/>
        <v>13304</v>
      </c>
      <c r="Y171" s="31">
        <v>13.000000268220901</v>
      </c>
      <c r="Z171" s="33"/>
      <c r="AA171" s="28">
        <v>3841.0</v>
      </c>
      <c r="AB171" s="36">
        <f t="shared" si="7"/>
        <v>4863</v>
      </c>
      <c r="AC171" s="28">
        <v>6907.0</v>
      </c>
      <c r="AD171" s="13"/>
      <c r="AE171" s="13"/>
      <c r="AF171" s="13"/>
      <c r="AG171" s="13"/>
      <c r="AH171" s="13"/>
      <c r="AI171" s="13"/>
      <c r="AJ171" s="13"/>
      <c r="AK171" s="13"/>
      <c r="AL171" s="13"/>
    </row>
    <row r="172" ht="15.75" customHeight="1">
      <c r="A172" s="26">
        <v>40201.0</v>
      </c>
      <c r="B172" s="27" t="s">
        <v>187</v>
      </c>
      <c r="C172" s="28">
        <v>9873.0</v>
      </c>
      <c r="D172" s="28">
        <v>6361.0</v>
      </c>
      <c r="E172" s="28">
        <v>15.0</v>
      </c>
      <c r="F172" s="28">
        <v>94.0</v>
      </c>
      <c r="G172" s="28">
        <v>115.0</v>
      </c>
      <c r="H172" s="28">
        <v>3288.0</v>
      </c>
      <c r="I172" s="28">
        <v>13543.0</v>
      </c>
      <c r="J172" s="28">
        <v>10703.0</v>
      </c>
      <c r="K172" s="28">
        <v>31.0</v>
      </c>
      <c r="L172" s="28">
        <v>106.0</v>
      </c>
      <c r="M172" s="28">
        <v>125.0</v>
      </c>
      <c r="N172" s="28">
        <v>2578.0</v>
      </c>
      <c r="O172" s="29">
        <f t="shared" ref="O172:T172" si="173">ROUND(C172 + ((2016-2012)*(I172-C172))/(2024-2012),0)</f>
        <v>11096</v>
      </c>
      <c r="P172" s="30">
        <f t="shared" si="173"/>
        <v>7808</v>
      </c>
      <c r="Q172" s="30">
        <f t="shared" si="173"/>
        <v>20</v>
      </c>
      <c r="R172" s="30">
        <f t="shared" si="173"/>
        <v>98</v>
      </c>
      <c r="S172" s="30">
        <f t="shared" si="173"/>
        <v>118</v>
      </c>
      <c r="T172" s="30">
        <f t="shared" si="173"/>
        <v>3051</v>
      </c>
      <c r="U172" s="30">
        <v>8429.0</v>
      </c>
      <c r="V172" s="31">
        <f t="shared" si="3"/>
        <v>-621</v>
      </c>
      <c r="W172" s="31">
        <f t="shared" si="4"/>
        <v>0</v>
      </c>
      <c r="X172" s="32">
        <f t="shared" si="5"/>
        <v>11716</v>
      </c>
      <c r="Y172" s="31">
        <v>149.00000393390656</v>
      </c>
      <c r="Z172" s="33"/>
      <c r="AA172" s="28">
        <v>11328.0</v>
      </c>
      <c r="AB172" s="30">
        <f t="shared" si="7"/>
        <v>14201</v>
      </c>
      <c r="AC172" s="28">
        <v>19946.0</v>
      </c>
      <c r="AD172" s="13"/>
      <c r="AE172" s="13"/>
      <c r="AF172" s="13"/>
      <c r="AG172" s="13"/>
      <c r="AH172" s="13"/>
      <c r="AI172" s="13"/>
      <c r="AJ172" s="13"/>
      <c r="AK172" s="13"/>
      <c r="AL172" s="13"/>
    </row>
    <row r="173" ht="15.75" customHeight="1">
      <c r="A173" s="34">
        <v>40202.0</v>
      </c>
      <c r="B173" s="35" t="s">
        <v>188</v>
      </c>
      <c r="C173" s="28">
        <v>1555.0</v>
      </c>
      <c r="D173" s="28">
        <v>846.0</v>
      </c>
      <c r="E173" s="28">
        <v>2.0</v>
      </c>
      <c r="F173" s="28">
        <v>110.0</v>
      </c>
      <c r="G173" s="28">
        <v>19.0</v>
      </c>
      <c r="H173" s="28">
        <v>578.0</v>
      </c>
      <c r="I173" s="28">
        <v>2326.0</v>
      </c>
      <c r="J173" s="28">
        <v>1360.0</v>
      </c>
      <c r="K173" s="28">
        <v>16.0</v>
      </c>
      <c r="L173" s="28">
        <v>156.0</v>
      </c>
      <c r="M173" s="28">
        <v>35.0</v>
      </c>
      <c r="N173" s="28">
        <v>759.0</v>
      </c>
      <c r="O173" s="29">
        <f t="shared" ref="O173:T173" si="174">ROUND(C173 + ((2016-2012)*(I173-C173))/(2024-2012),0)</f>
        <v>1812</v>
      </c>
      <c r="P173" s="36">
        <f t="shared" si="174"/>
        <v>1017</v>
      </c>
      <c r="Q173" s="36">
        <f t="shared" si="174"/>
        <v>7</v>
      </c>
      <c r="R173" s="36">
        <f t="shared" si="174"/>
        <v>125</v>
      </c>
      <c r="S173" s="36">
        <f t="shared" si="174"/>
        <v>24</v>
      </c>
      <c r="T173" s="36">
        <f t="shared" si="174"/>
        <v>638</v>
      </c>
      <c r="U173" s="37">
        <v>881.0</v>
      </c>
      <c r="V173" s="31">
        <f t="shared" si="3"/>
        <v>136</v>
      </c>
      <c r="W173" s="31">
        <f t="shared" si="4"/>
        <v>136</v>
      </c>
      <c r="X173" s="32">
        <f t="shared" si="5"/>
        <v>1811</v>
      </c>
      <c r="Y173" s="31">
        <v>39.000000804662704</v>
      </c>
      <c r="Z173" s="33"/>
      <c r="AA173" s="28">
        <v>2049.0</v>
      </c>
      <c r="AB173" s="36">
        <f t="shared" si="7"/>
        <v>2499</v>
      </c>
      <c r="AC173" s="28">
        <v>3399.0</v>
      </c>
      <c r="AD173" s="13"/>
      <c r="AE173" s="13"/>
      <c r="AF173" s="13"/>
      <c r="AG173" s="13"/>
      <c r="AH173" s="13"/>
      <c r="AI173" s="13"/>
      <c r="AJ173" s="13"/>
      <c r="AK173" s="13"/>
      <c r="AL173" s="13"/>
    </row>
    <row r="174" ht="15.75" customHeight="1">
      <c r="A174" s="26">
        <v>40301.0</v>
      </c>
      <c r="B174" s="27" t="s">
        <v>189</v>
      </c>
      <c r="C174" s="28">
        <v>3172.0</v>
      </c>
      <c r="D174" s="28">
        <v>877.0</v>
      </c>
      <c r="E174" s="28">
        <v>3.0</v>
      </c>
      <c r="F174" s="28">
        <v>466.0</v>
      </c>
      <c r="G174" s="28">
        <v>183.0</v>
      </c>
      <c r="H174" s="28">
        <v>1643.0</v>
      </c>
      <c r="I174" s="28">
        <v>4667.0</v>
      </c>
      <c r="J174" s="28">
        <v>2769.0</v>
      </c>
      <c r="K174" s="28">
        <v>12.0</v>
      </c>
      <c r="L174" s="28">
        <v>374.0</v>
      </c>
      <c r="M174" s="28">
        <v>61.0</v>
      </c>
      <c r="N174" s="28">
        <v>1451.0</v>
      </c>
      <c r="O174" s="29">
        <f t="shared" ref="O174:T174" si="175">ROUND(C174 + ((2016-2012)*(I174-C174))/(2024-2012),0)</f>
        <v>3670</v>
      </c>
      <c r="P174" s="30">
        <f t="shared" si="175"/>
        <v>1508</v>
      </c>
      <c r="Q174" s="30">
        <f t="shared" si="175"/>
        <v>6</v>
      </c>
      <c r="R174" s="30">
        <f t="shared" si="175"/>
        <v>435</v>
      </c>
      <c r="S174" s="30">
        <f t="shared" si="175"/>
        <v>142</v>
      </c>
      <c r="T174" s="30">
        <f t="shared" si="175"/>
        <v>1579</v>
      </c>
      <c r="U174" s="30">
        <v>1397.0</v>
      </c>
      <c r="V174" s="31">
        <f t="shared" si="3"/>
        <v>111</v>
      </c>
      <c r="W174" s="31">
        <f t="shared" si="4"/>
        <v>111</v>
      </c>
      <c r="X174" s="32">
        <f t="shared" si="5"/>
        <v>3670</v>
      </c>
      <c r="Y174" s="31">
        <v>64.00000303983688</v>
      </c>
      <c r="Z174" s="33"/>
      <c r="AA174" s="28">
        <v>4287.0</v>
      </c>
      <c r="AB174" s="30">
        <f t="shared" si="7"/>
        <v>5493</v>
      </c>
      <c r="AC174" s="28">
        <v>7906.0</v>
      </c>
      <c r="AD174" s="13"/>
      <c r="AE174" s="13"/>
      <c r="AF174" s="13"/>
      <c r="AG174" s="13"/>
      <c r="AH174" s="13"/>
      <c r="AI174" s="13"/>
      <c r="AJ174" s="13"/>
      <c r="AK174" s="13"/>
      <c r="AL174" s="13"/>
    </row>
    <row r="175" ht="15.75" customHeight="1">
      <c r="A175" s="34">
        <v>40302.0</v>
      </c>
      <c r="B175" s="35" t="s">
        <v>190</v>
      </c>
      <c r="C175" s="28">
        <v>516.0</v>
      </c>
      <c r="D175" s="28">
        <v>91.0</v>
      </c>
      <c r="E175" s="28">
        <v>4.0</v>
      </c>
      <c r="F175" s="28">
        <v>124.0</v>
      </c>
      <c r="G175" s="28">
        <v>34.0</v>
      </c>
      <c r="H175" s="28">
        <v>263.0</v>
      </c>
      <c r="I175" s="28">
        <v>671.0</v>
      </c>
      <c r="J175" s="28">
        <v>305.0</v>
      </c>
      <c r="K175" s="28">
        <v>4.0</v>
      </c>
      <c r="L175" s="28">
        <v>177.0</v>
      </c>
      <c r="M175" s="28">
        <v>17.0</v>
      </c>
      <c r="N175" s="28">
        <v>168.0</v>
      </c>
      <c r="O175" s="29">
        <f t="shared" ref="O175:T175" si="176">ROUND(C175 + ((2016-2012)*(I175-C175))/(2024-2012),0)</f>
        <v>568</v>
      </c>
      <c r="P175" s="36">
        <f t="shared" si="176"/>
        <v>162</v>
      </c>
      <c r="Q175" s="36">
        <f t="shared" si="176"/>
        <v>4</v>
      </c>
      <c r="R175" s="36">
        <f t="shared" si="176"/>
        <v>142</v>
      </c>
      <c r="S175" s="36">
        <f t="shared" si="176"/>
        <v>28</v>
      </c>
      <c r="T175" s="36">
        <f t="shared" si="176"/>
        <v>231</v>
      </c>
      <c r="U175" s="37">
        <v>239.0</v>
      </c>
      <c r="V175" s="31">
        <f t="shared" si="3"/>
        <v>-77</v>
      </c>
      <c r="W175" s="31">
        <f t="shared" si="4"/>
        <v>0</v>
      </c>
      <c r="X175" s="32">
        <f t="shared" si="5"/>
        <v>644</v>
      </c>
      <c r="Y175" s="31">
        <v>61.99999898672104</v>
      </c>
      <c r="Z175" s="33"/>
      <c r="AA175" s="28">
        <v>1006.0</v>
      </c>
      <c r="AB175" s="36">
        <f t="shared" si="7"/>
        <v>1070</v>
      </c>
      <c r="AC175" s="28">
        <v>1197.0</v>
      </c>
      <c r="AD175" s="13"/>
      <c r="AE175" s="13"/>
      <c r="AF175" s="13"/>
      <c r="AG175" s="13"/>
      <c r="AH175" s="13"/>
      <c r="AI175" s="13"/>
      <c r="AJ175" s="13"/>
      <c r="AK175" s="13"/>
      <c r="AL175" s="13"/>
    </row>
    <row r="176" ht="15.75" customHeight="1">
      <c r="A176" s="26">
        <v>40401.0</v>
      </c>
      <c r="B176" s="27" t="s">
        <v>191</v>
      </c>
      <c r="C176" s="28">
        <v>1355.0</v>
      </c>
      <c r="D176" s="28">
        <v>550.0</v>
      </c>
      <c r="E176" s="28">
        <v>1.0</v>
      </c>
      <c r="F176" s="28">
        <v>295.0</v>
      </c>
      <c r="G176" s="28">
        <v>59.0</v>
      </c>
      <c r="H176" s="28">
        <v>450.0</v>
      </c>
      <c r="I176" s="28">
        <v>1987.0</v>
      </c>
      <c r="J176" s="28">
        <v>1552.0</v>
      </c>
      <c r="K176" s="28">
        <v>8.0</v>
      </c>
      <c r="L176" s="28">
        <v>60.0</v>
      </c>
      <c r="M176" s="28">
        <v>27.0</v>
      </c>
      <c r="N176" s="28">
        <v>340.0</v>
      </c>
      <c r="O176" s="29">
        <f t="shared" ref="O176:T176" si="177">ROUND(C176 + ((2016-2012)*(I176-C176))/(2024-2012),0)</f>
        <v>1566</v>
      </c>
      <c r="P176" s="30">
        <f t="shared" si="177"/>
        <v>884</v>
      </c>
      <c r="Q176" s="30">
        <f t="shared" si="177"/>
        <v>3</v>
      </c>
      <c r="R176" s="30">
        <f t="shared" si="177"/>
        <v>217</v>
      </c>
      <c r="S176" s="30">
        <f t="shared" si="177"/>
        <v>48</v>
      </c>
      <c r="T176" s="30">
        <f t="shared" si="177"/>
        <v>413</v>
      </c>
      <c r="U176" s="38">
        <v>882.0</v>
      </c>
      <c r="V176" s="31">
        <f t="shared" si="3"/>
        <v>2</v>
      </c>
      <c r="W176" s="31">
        <f t="shared" si="4"/>
        <v>2</v>
      </c>
      <c r="X176" s="32">
        <f t="shared" si="5"/>
        <v>1565</v>
      </c>
      <c r="Y176" s="31">
        <v>27.000000700354576</v>
      </c>
      <c r="Z176" s="33"/>
      <c r="AA176" s="28">
        <v>1983.0</v>
      </c>
      <c r="AB176" s="30">
        <f t="shared" si="7"/>
        <v>2493</v>
      </c>
      <c r="AC176" s="28">
        <v>3512.0</v>
      </c>
      <c r="AD176" s="13"/>
      <c r="AE176" s="13"/>
      <c r="AF176" s="13"/>
      <c r="AG176" s="13"/>
      <c r="AH176" s="13"/>
      <c r="AI176" s="13"/>
      <c r="AJ176" s="13"/>
      <c r="AK176" s="13"/>
      <c r="AL176" s="13"/>
    </row>
    <row r="177" ht="15.75" customHeight="1">
      <c r="A177" s="34">
        <v>40402.0</v>
      </c>
      <c r="B177" s="35" t="s">
        <v>192</v>
      </c>
      <c r="C177" s="28">
        <v>1556.0</v>
      </c>
      <c r="D177" s="28">
        <v>526.0</v>
      </c>
      <c r="E177" s="28">
        <v>14.0</v>
      </c>
      <c r="F177" s="28">
        <v>363.0</v>
      </c>
      <c r="G177" s="28">
        <v>37.0</v>
      </c>
      <c r="H177" s="28">
        <v>616.0</v>
      </c>
      <c r="I177" s="28">
        <v>1760.0</v>
      </c>
      <c r="J177" s="28">
        <v>739.0</v>
      </c>
      <c r="K177" s="28">
        <v>4.0</v>
      </c>
      <c r="L177" s="28">
        <v>267.0</v>
      </c>
      <c r="M177" s="28">
        <v>22.0</v>
      </c>
      <c r="N177" s="28">
        <v>728.0</v>
      </c>
      <c r="O177" s="29">
        <f t="shared" ref="O177:T177" si="178">ROUND(C177 + ((2016-2012)*(I177-C177))/(2024-2012),0)</f>
        <v>1624</v>
      </c>
      <c r="P177" s="36">
        <f t="shared" si="178"/>
        <v>597</v>
      </c>
      <c r="Q177" s="36">
        <f t="shared" si="178"/>
        <v>11</v>
      </c>
      <c r="R177" s="36">
        <f t="shared" si="178"/>
        <v>331</v>
      </c>
      <c r="S177" s="36">
        <f t="shared" si="178"/>
        <v>32</v>
      </c>
      <c r="T177" s="36">
        <f t="shared" si="178"/>
        <v>653</v>
      </c>
      <c r="U177" s="37">
        <v>451.0</v>
      </c>
      <c r="V177" s="31">
        <f t="shared" si="3"/>
        <v>146</v>
      </c>
      <c r="W177" s="31">
        <f t="shared" si="4"/>
        <v>146</v>
      </c>
      <c r="X177" s="32">
        <f t="shared" si="5"/>
        <v>1624</v>
      </c>
      <c r="Y177" s="31">
        <v>64.00000303983688</v>
      </c>
      <c r="Z177" s="33"/>
      <c r="AA177" s="28">
        <v>2518.0</v>
      </c>
      <c r="AB177" s="36">
        <f t="shared" si="7"/>
        <v>2682</v>
      </c>
      <c r="AC177" s="28">
        <v>3011.0</v>
      </c>
      <c r="AD177" s="13"/>
      <c r="AE177" s="13"/>
      <c r="AF177" s="13"/>
      <c r="AG177" s="13"/>
      <c r="AH177" s="13"/>
      <c r="AI177" s="13"/>
      <c r="AJ177" s="13"/>
      <c r="AK177" s="13"/>
      <c r="AL177" s="13"/>
    </row>
    <row r="178" ht="15.75" customHeight="1">
      <c r="A178" s="26">
        <v>40501.0</v>
      </c>
      <c r="B178" s="27" t="s">
        <v>193</v>
      </c>
      <c r="C178" s="28">
        <v>349.0</v>
      </c>
      <c r="D178" s="28">
        <v>322.0</v>
      </c>
      <c r="E178" s="28">
        <v>0.0</v>
      </c>
      <c r="F178" s="28">
        <v>0.0</v>
      </c>
      <c r="G178" s="28">
        <v>1.0</v>
      </c>
      <c r="H178" s="28">
        <v>26.0</v>
      </c>
      <c r="I178" s="28">
        <v>1192.0</v>
      </c>
      <c r="J178" s="28">
        <v>1134.0</v>
      </c>
      <c r="K178" s="28">
        <v>4.0</v>
      </c>
      <c r="L178" s="28">
        <v>8.0</v>
      </c>
      <c r="M178" s="28">
        <v>3.0</v>
      </c>
      <c r="N178" s="28">
        <v>43.0</v>
      </c>
      <c r="O178" s="29">
        <f t="shared" ref="O178:T178" si="179">ROUND(C178 + ((2016-2012)*(I178-C178))/(2024-2012),0)</f>
        <v>630</v>
      </c>
      <c r="P178" s="30">
        <f t="shared" si="179"/>
        <v>593</v>
      </c>
      <c r="Q178" s="30">
        <f t="shared" si="179"/>
        <v>1</v>
      </c>
      <c r="R178" s="30">
        <f t="shared" si="179"/>
        <v>3</v>
      </c>
      <c r="S178" s="30">
        <f t="shared" si="179"/>
        <v>2</v>
      </c>
      <c r="T178" s="30">
        <f t="shared" si="179"/>
        <v>32</v>
      </c>
      <c r="U178" s="38">
        <v>569.0</v>
      </c>
      <c r="V178" s="31">
        <f t="shared" si="3"/>
        <v>24</v>
      </c>
      <c r="W178" s="31">
        <f t="shared" si="4"/>
        <v>24</v>
      </c>
      <c r="X178" s="32">
        <f t="shared" si="5"/>
        <v>631</v>
      </c>
      <c r="Y178" s="31">
        <v>136.00000739097595</v>
      </c>
      <c r="Z178" s="33"/>
      <c r="AA178" s="28">
        <v>786.0</v>
      </c>
      <c r="AB178" s="30">
        <f t="shared" si="7"/>
        <v>1084</v>
      </c>
      <c r="AC178" s="28">
        <v>1681.0</v>
      </c>
      <c r="AD178" s="13"/>
      <c r="AE178" s="13"/>
      <c r="AF178" s="13"/>
      <c r="AG178" s="13"/>
      <c r="AH178" s="13"/>
      <c r="AI178" s="13"/>
      <c r="AJ178" s="13"/>
      <c r="AK178" s="13"/>
      <c r="AL178" s="13"/>
    </row>
    <row r="179" ht="15.75" customHeight="1">
      <c r="A179" s="34">
        <v>40502.0</v>
      </c>
      <c r="B179" s="35" t="s">
        <v>194</v>
      </c>
      <c r="C179" s="28">
        <v>1082.0</v>
      </c>
      <c r="D179" s="28">
        <v>475.0</v>
      </c>
      <c r="E179" s="28">
        <v>5.0</v>
      </c>
      <c r="F179" s="28">
        <v>72.0</v>
      </c>
      <c r="G179" s="28">
        <v>3.0</v>
      </c>
      <c r="H179" s="28">
        <v>527.0</v>
      </c>
      <c r="I179" s="28">
        <v>1055.0</v>
      </c>
      <c r="J179" s="28">
        <v>726.0</v>
      </c>
      <c r="K179" s="28">
        <v>7.0</v>
      </c>
      <c r="L179" s="28">
        <v>78.0</v>
      </c>
      <c r="M179" s="28">
        <v>18.0</v>
      </c>
      <c r="N179" s="28">
        <v>226.0</v>
      </c>
      <c r="O179" s="29">
        <f t="shared" ref="O179:T179" si="180">ROUND(C179 + ((2016-2012)*(I179-C179))/(2024-2012),0)</f>
        <v>1073</v>
      </c>
      <c r="P179" s="36">
        <f t="shared" si="180"/>
        <v>559</v>
      </c>
      <c r="Q179" s="36">
        <f t="shared" si="180"/>
        <v>6</v>
      </c>
      <c r="R179" s="36">
        <f t="shared" si="180"/>
        <v>74</v>
      </c>
      <c r="S179" s="36">
        <f t="shared" si="180"/>
        <v>8</v>
      </c>
      <c r="T179" s="36">
        <f t="shared" si="180"/>
        <v>427</v>
      </c>
      <c r="U179" s="37">
        <v>28.0</v>
      </c>
      <c r="V179" s="31">
        <f t="shared" si="3"/>
        <v>531</v>
      </c>
      <c r="W179" s="31">
        <f t="shared" si="4"/>
        <v>531</v>
      </c>
      <c r="X179" s="32">
        <f t="shared" si="5"/>
        <v>1074</v>
      </c>
      <c r="Y179" s="31">
        <v>50.999999046325684</v>
      </c>
      <c r="Z179" s="33"/>
      <c r="AA179" s="28">
        <v>1110.0</v>
      </c>
      <c r="AB179" s="36">
        <f t="shared" si="7"/>
        <v>1153</v>
      </c>
      <c r="AC179" s="28">
        <v>1239.0</v>
      </c>
      <c r="AD179" s="13"/>
      <c r="AE179" s="13"/>
      <c r="AF179" s="13"/>
      <c r="AG179" s="13"/>
      <c r="AH179" s="13"/>
      <c r="AI179" s="13"/>
      <c r="AJ179" s="13"/>
      <c r="AK179" s="13"/>
      <c r="AL179" s="13"/>
    </row>
    <row r="180" ht="15.75" customHeight="1">
      <c r="A180" s="26">
        <v>40503.0</v>
      </c>
      <c r="B180" s="27" t="s">
        <v>195</v>
      </c>
      <c r="C180" s="28">
        <v>584.0</v>
      </c>
      <c r="D180" s="28">
        <v>254.0</v>
      </c>
      <c r="E180" s="28">
        <v>1.0</v>
      </c>
      <c r="F180" s="28">
        <v>6.0</v>
      </c>
      <c r="G180" s="28">
        <v>2.0</v>
      </c>
      <c r="H180" s="28">
        <v>321.0</v>
      </c>
      <c r="I180" s="28">
        <v>352.0</v>
      </c>
      <c r="J180" s="28">
        <v>298.0</v>
      </c>
      <c r="K180" s="28">
        <v>2.0</v>
      </c>
      <c r="L180" s="28">
        <v>15.0</v>
      </c>
      <c r="M180" s="28">
        <v>5.0</v>
      </c>
      <c r="N180" s="28">
        <v>32.0</v>
      </c>
      <c r="O180" s="29">
        <f t="shared" ref="O180:T180" si="181">ROUND(C180 + ((2016-2012)*(I180-C180))/(2024-2012),0)</f>
        <v>507</v>
      </c>
      <c r="P180" s="30">
        <f t="shared" si="181"/>
        <v>269</v>
      </c>
      <c r="Q180" s="30">
        <f t="shared" si="181"/>
        <v>1</v>
      </c>
      <c r="R180" s="30">
        <f t="shared" si="181"/>
        <v>9</v>
      </c>
      <c r="S180" s="30">
        <f t="shared" si="181"/>
        <v>3</v>
      </c>
      <c r="T180" s="30">
        <f t="shared" si="181"/>
        <v>225</v>
      </c>
      <c r="U180" s="38">
        <v>63.0</v>
      </c>
      <c r="V180" s="31">
        <f t="shared" si="3"/>
        <v>206</v>
      </c>
      <c r="W180" s="31">
        <f t="shared" si="4"/>
        <v>206</v>
      </c>
      <c r="X180" s="32">
        <f t="shared" si="5"/>
        <v>507</v>
      </c>
      <c r="Y180" s="31">
        <v>46.99999839067459</v>
      </c>
      <c r="Z180" s="33"/>
      <c r="AA180" s="28">
        <v>627.0</v>
      </c>
      <c r="AB180" s="30">
        <f t="shared" si="7"/>
        <v>651</v>
      </c>
      <c r="AC180" s="28">
        <v>700.0</v>
      </c>
      <c r="AD180" s="13"/>
      <c r="AE180" s="13"/>
      <c r="AF180" s="13"/>
      <c r="AG180" s="13"/>
      <c r="AH180" s="13"/>
      <c r="AI180" s="13"/>
      <c r="AJ180" s="13"/>
      <c r="AK180" s="13"/>
      <c r="AL180" s="13"/>
    </row>
    <row r="181" ht="15.75" customHeight="1">
      <c r="A181" s="34">
        <v>40504.0</v>
      </c>
      <c r="B181" s="35" t="s">
        <v>196</v>
      </c>
      <c r="C181" s="28">
        <v>169.0</v>
      </c>
      <c r="D181" s="28">
        <v>78.0</v>
      </c>
      <c r="E181" s="28">
        <v>0.0</v>
      </c>
      <c r="F181" s="28">
        <v>3.0</v>
      </c>
      <c r="G181" s="28">
        <v>0.0</v>
      </c>
      <c r="H181" s="28">
        <v>88.0</v>
      </c>
      <c r="I181" s="28">
        <v>173.0</v>
      </c>
      <c r="J181" s="28">
        <v>155.0</v>
      </c>
      <c r="K181" s="28">
        <v>1.0</v>
      </c>
      <c r="L181" s="28">
        <v>0.0</v>
      </c>
      <c r="M181" s="28">
        <v>3.0</v>
      </c>
      <c r="N181" s="28">
        <v>14.0</v>
      </c>
      <c r="O181" s="29">
        <f t="shared" ref="O181:T181" si="182">ROUND(C181 + ((2016-2012)*(I181-C181))/(2024-2012),0)</f>
        <v>170</v>
      </c>
      <c r="P181" s="36">
        <f t="shared" si="182"/>
        <v>104</v>
      </c>
      <c r="Q181" s="36">
        <f t="shared" si="182"/>
        <v>0</v>
      </c>
      <c r="R181" s="36">
        <f t="shared" si="182"/>
        <v>2</v>
      </c>
      <c r="S181" s="36">
        <f t="shared" si="182"/>
        <v>1</v>
      </c>
      <c r="T181" s="36">
        <f t="shared" si="182"/>
        <v>63</v>
      </c>
      <c r="U181" s="37">
        <v>58.0</v>
      </c>
      <c r="V181" s="31">
        <f t="shared" si="3"/>
        <v>46</v>
      </c>
      <c r="W181" s="31">
        <f t="shared" si="4"/>
        <v>46</v>
      </c>
      <c r="X181" s="32">
        <f t="shared" si="5"/>
        <v>170</v>
      </c>
      <c r="Y181" s="31">
        <v>5.499999970197678</v>
      </c>
      <c r="Z181" s="33"/>
      <c r="AA181" s="28">
        <v>203.0</v>
      </c>
      <c r="AB181" s="36">
        <f t="shared" si="7"/>
        <v>218</v>
      </c>
      <c r="AC181" s="28">
        <v>249.0</v>
      </c>
      <c r="AD181" s="13"/>
      <c r="AE181" s="13"/>
      <c r="AF181" s="13"/>
      <c r="AG181" s="13"/>
      <c r="AH181" s="13"/>
      <c r="AI181" s="13"/>
      <c r="AJ181" s="13"/>
      <c r="AK181" s="13"/>
      <c r="AL181" s="13"/>
    </row>
    <row r="182" ht="15.75" customHeight="1">
      <c r="A182" s="26">
        <v>40505.0</v>
      </c>
      <c r="B182" s="27" t="s">
        <v>197</v>
      </c>
      <c r="C182" s="28">
        <v>719.0</v>
      </c>
      <c r="D182" s="28">
        <v>497.0</v>
      </c>
      <c r="E182" s="28">
        <v>0.0</v>
      </c>
      <c r="F182" s="28">
        <v>68.0</v>
      </c>
      <c r="G182" s="28">
        <v>4.0</v>
      </c>
      <c r="H182" s="28">
        <v>150.0</v>
      </c>
      <c r="I182" s="28">
        <v>873.0</v>
      </c>
      <c r="J182" s="28">
        <v>739.0</v>
      </c>
      <c r="K182" s="28">
        <v>0.0</v>
      </c>
      <c r="L182" s="28">
        <v>40.0</v>
      </c>
      <c r="M182" s="28">
        <v>8.0</v>
      </c>
      <c r="N182" s="28">
        <v>86.0</v>
      </c>
      <c r="O182" s="29">
        <f t="shared" ref="O182:T182" si="183">ROUND(C182 + ((2016-2012)*(I182-C182))/(2024-2012),0)</f>
        <v>770</v>
      </c>
      <c r="P182" s="30">
        <f t="shared" si="183"/>
        <v>578</v>
      </c>
      <c r="Q182" s="30">
        <f t="shared" si="183"/>
        <v>0</v>
      </c>
      <c r="R182" s="30">
        <f t="shared" si="183"/>
        <v>59</v>
      </c>
      <c r="S182" s="30">
        <f t="shared" si="183"/>
        <v>5</v>
      </c>
      <c r="T182" s="30">
        <f t="shared" si="183"/>
        <v>129</v>
      </c>
      <c r="U182" s="38">
        <v>63.0</v>
      </c>
      <c r="V182" s="31">
        <f t="shared" si="3"/>
        <v>515</v>
      </c>
      <c r="W182" s="31">
        <f t="shared" si="4"/>
        <v>515</v>
      </c>
      <c r="X182" s="32">
        <f t="shared" si="5"/>
        <v>771</v>
      </c>
      <c r="Y182" s="31">
        <v>48.00000041723251</v>
      </c>
      <c r="Z182" s="33"/>
      <c r="AA182" s="28">
        <v>779.0</v>
      </c>
      <c r="AB182" s="30">
        <f t="shared" si="7"/>
        <v>826</v>
      </c>
      <c r="AC182" s="28">
        <v>919.0</v>
      </c>
      <c r="AD182" s="13"/>
      <c r="AE182" s="13"/>
      <c r="AF182" s="13"/>
      <c r="AG182" s="13"/>
      <c r="AH182" s="13"/>
      <c r="AI182" s="13"/>
      <c r="AJ182" s="13"/>
      <c r="AK182" s="13"/>
      <c r="AL182" s="13"/>
    </row>
    <row r="183" ht="15.75" customHeight="1">
      <c r="A183" s="34">
        <v>40601.0</v>
      </c>
      <c r="B183" s="35" t="s">
        <v>198</v>
      </c>
      <c r="C183" s="28">
        <v>2839.0</v>
      </c>
      <c r="D183" s="28">
        <v>1790.0</v>
      </c>
      <c r="E183" s="28">
        <v>12.0</v>
      </c>
      <c r="F183" s="28">
        <v>120.0</v>
      </c>
      <c r="G183" s="28">
        <v>17.0</v>
      </c>
      <c r="H183" s="28">
        <v>900.0</v>
      </c>
      <c r="I183" s="28">
        <v>3662.0</v>
      </c>
      <c r="J183" s="28">
        <v>2812.0</v>
      </c>
      <c r="K183" s="28">
        <v>11.0</v>
      </c>
      <c r="L183" s="28">
        <v>37.0</v>
      </c>
      <c r="M183" s="28">
        <v>43.0</v>
      </c>
      <c r="N183" s="28">
        <v>759.0</v>
      </c>
      <c r="O183" s="29">
        <f t="shared" ref="O183:T183" si="184">ROUND(C183 + ((2016-2012)*(I183-C183))/(2024-2012),0)</f>
        <v>3113</v>
      </c>
      <c r="P183" s="36">
        <f t="shared" si="184"/>
        <v>2131</v>
      </c>
      <c r="Q183" s="36">
        <f t="shared" si="184"/>
        <v>12</v>
      </c>
      <c r="R183" s="36">
        <f t="shared" si="184"/>
        <v>92</v>
      </c>
      <c r="S183" s="36">
        <f t="shared" si="184"/>
        <v>26</v>
      </c>
      <c r="T183" s="36">
        <f t="shared" si="184"/>
        <v>853</v>
      </c>
      <c r="U183" s="37">
        <v>172.0</v>
      </c>
      <c r="V183" s="31">
        <f t="shared" si="3"/>
        <v>1959</v>
      </c>
      <c r="W183" s="31">
        <f t="shared" si="4"/>
        <v>1959</v>
      </c>
      <c r="X183" s="32">
        <f t="shared" si="5"/>
        <v>3114</v>
      </c>
      <c r="Y183" s="31">
        <v>5.499999970197678</v>
      </c>
      <c r="Z183" s="33"/>
      <c r="AA183" s="28">
        <v>3815.0</v>
      </c>
      <c r="AB183" s="36">
        <f t="shared" si="7"/>
        <v>4079</v>
      </c>
      <c r="AC183" s="28">
        <v>4608.0</v>
      </c>
      <c r="AD183" s="13"/>
      <c r="AE183" s="13"/>
      <c r="AF183" s="13"/>
      <c r="AG183" s="13"/>
      <c r="AH183" s="13"/>
      <c r="AI183" s="13"/>
      <c r="AJ183" s="13"/>
      <c r="AK183" s="13"/>
      <c r="AL183" s="13"/>
    </row>
    <row r="184" ht="15.75" customHeight="1">
      <c r="A184" s="26">
        <v>40602.0</v>
      </c>
      <c r="B184" s="27" t="s">
        <v>199</v>
      </c>
      <c r="C184" s="28">
        <v>2185.0</v>
      </c>
      <c r="D184" s="28">
        <v>1631.0</v>
      </c>
      <c r="E184" s="28">
        <v>11.0</v>
      </c>
      <c r="F184" s="28">
        <v>47.0</v>
      </c>
      <c r="G184" s="28">
        <v>21.0</v>
      </c>
      <c r="H184" s="28">
        <v>475.0</v>
      </c>
      <c r="I184" s="28">
        <v>1769.0</v>
      </c>
      <c r="J184" s="28">
        <v>1503.0</v>
      </c>
      <c r="K184" s="28">
        <v>1.0</v>
      </c>
      <c r="L184" s="28">
        <v>18.0</v>
      </c>
      <c r="M184" s="28">
        <v>5.0</v>
      </c>
      <c r="N184" s="28">
        <v>242.0</v>
      </c>
      <c r="O184" s="29">
        <f t="shared" ref="O184:T184" si="185">ROUND(C184 + ((2016-2012)*(I184-C184))/(2024-2012),0)</f>
        <v>2046</v>
      </c>
      <c r="P184" s="30">
        <f t="shared" si="185"/>
        <v>1588</v>
      </c>
      <c r="Q184" s="30">
        <f t="shared" si="185"/>
        <v>8</v>
      </c>
      <c r="R184" s="30">
        <f t="shared" si="185"/>
        <v>37</v>
      </c>
      <c r="S184" s="30">
        <f t="shared" si="185"/>
        <v>16</v>
      </c>
      <c r="T184" s="30">
        <f t="shared" si="185"/>
        <v>397</v>
      </c>
      <c r="U184" s="30">
        <v>2763.0</v>
      </c>
      <c r="V184" s="31">
        <f t="shared" si="3"/>
        <v>-1175</v>
      </c>
      <c r="W184" s="31">
        <f t="shared" si="4"/>
        <v>0</v>
      </c>
      <c r="X184" s="32">
        <f t="shared" si="5"/>
        <v>3221</v>
      </c>
      <c r="Y184" s="31">
        <v>19.999999552965164</v>
      </c>
      <c r="Z184" s="33"/>
      <c r="AA184" s="28">
        <v>2643.0</v>
      </c>
      <c r="AB184" s="30">
        <f t="shared" si="7"/>
        <v>2633</v>
      </c>
      <c r="AC184" s="28">
        <v>2613.0</v>
      </c>
      <c r="AD184" s="13"/>
      <c r="AE184" s="13"/>
      <c r="AF184" s="13"/>
      <c r="AG184" s="13"/>
      <c r="AH184" s="13"/>
      <c r="AI184" s="13"/>
      <c r="AJ184" s="13"/>
      <c r="AK184" s="13"/>
      <c r="AL184" s="13"/>
    </row>
    <row r="185" ht="15.75" customHeight="1">
      <c r="A185" s="34">
        <v>40603.0</v>
      </c>
      <c r="B185" s="35" t="s">
        <v>200</v>
      </c>
      <c r="C185" s="28">
        <v>1158.0</v>
      </c>
      <c r="D185" s="28">
        <v>924.0</v>
      </c>
      <c r="E185" s="28">
        <v>4.0</v>
      </c>
      <c r="F185" s="28">
        <v>14.0</v>
      </c>
      <c r="G185" s="28">
        <v>3.0</v>
      </c>
      <c r="H185" s="28">
        <v>213.0</v>
      </c>
      <c r="I185" s="28">
        <v>1450.0</v>
      </c>
      <c r="J185" s="28">
        <v>1268.0</v>
      </c>
      <c r="K185" s="28">
        <v>3.0</v>
      </c>
      <c r="L185" s="28">
        <v>12.0</v>
      </c>
      <c r="M185" s="28">
        <v>9.0</v>
      </c>
      <c r="N185" s="28">
        <v>158.0</v>
      </c>
      <c r="O185" s="29">
        <f t="shared" ref="O185:T185" si="186">ROUND(C185 + ((2016-2012)*(I185-C185))/(2024-2012),0)</f>
        <v>1255</v>
      </c>
      <c r="P185" s="36">
        <f t="shared" si="186"/>
        <v>1039</v>
      </c>
      <c r="Q185" s="36">
        <f t="shared" si="186"/>
        <v>4</v>
      </c>
      <c r="R185" s="36">
        <f t="shared" si="186"/>
        <v>13</v>
      </c>
      <c r="S185" s="36">
        <f t="shared" si="186"/>
        <v>5</v>
      </c>
      <c r="T185" s="36">
        <f t="shared" si="186"/>
        <v>195</v>
      </c>
      <c r="U185" s="37">
        <v>6.0</v>
      </c>
      <c r="V185" s="31">
        <f t="shared" si="3"/>
        <v>1033</v>
      </c>
      <c r="W185" s="31">
        <f t="shared" si="4"/>
        <v>1033</v>
      </c>
      <c r="X185" s="32">
        <f t="shared" si="5"/>
        <v>1256</v>
      </c>
      <c r="Y185" s="31">
        <v>91.00000187754631</v>
      </c>
      <c r="Z185" s="33"/>
      <c r="AA185" s="28">
        <v>1521.0</v>
      </c>
      <c r="AB185" s="36">
        <f t="shared" si="7"/>
        <v>1826</v>
      </c>
      <c r="AC185" s="28">
        <v>2436.0</v>
      </c>
      <c r="AD185" s="13"/>
      <c r="AE185" s="13"/>
      <c r="AF185" s="13"/>
      <c r="AG185" s="13"/>
      <c r="AH185" s="13"/>
      <c r="AI185" s="13"/>
      <c r="AJ185" s="13"/>
      <c r="AK185" s="13"/>
      <c r="AL185" s="13"/>
    </row>
    <row r="186" ht="15.75" customHeight="1">
      <c r="A186" s="26">
        <v>40701.0</v>
      </c>
      <c r="B186" s="27" t="s">
        <v>201</v>
      </c>
      <c r="C186" s="28">
        <v>7189.0</v>
      </c>
      <c r="D186" s="28">
        <v>6757.0</v>
      </c>
      <c r="E186" s="28">
        <v>20.0</v>
      </c>
      <c r="F186" s="28">
        <v>11.0</v>
      </c>
      <c r="G186" s="28">
        <v>18.0</v>
      </c>
      <c r="H186" s="28">
        <v>383.0</v>
      </c>
      <c r="I186" s="28">
        <v>6423.0</v>
      </c>
      <c r="J186" s="28">
        <v>6165.0</v>
      </c>
      <c r="K186" s="28">
        <v>11.0</v>
      </c>
      <c r="L186" s="28">
        <v>24.0</v>
      </c>
      <c r="M186" s="28">
        <v>14.0</v>
      </c>
      <c r="N186" s="28">
        <v>209.0</v>
      </c>
      <c r="O186" s="29">
        <f t="shared" ref="O186:T186" si="187">ROUND(C186 + ((2016-2012)*(I186-C186))/(2024-2012),0)</f>
        <v>6934</v>
      </c>
      <c r="P186" s="30">
        <f t="shared" si="187"/>
        <v>6560</v>
      </c>
      <c r="Q186" s="30">
        <f t="shared" si="187"/>
        <v>17</v>
      </c>
      <c r="R186" s="30">
        <f t="shared" si="187"/>
        <v>15</v>
      </c>
      <c r="S186" s="30">
        <f t="shared" si="187"/>
        <v>17</v>
      </c>
      <c r="T186" s="30">
        <f t="shared" si="187"/>
        <v>325</v>
      </c>
      <c r="U186" s="30">
        <v>5668.0</v>
      </c>
      <c r="V186" s="31">
        <f t="shared" si="3"/>
        <v>892</v>
      </c>
      <c r="W186" s="31">
        <f t="shared" si="4"/>
        <v>892</v>
      </c>
      <c r="X186" s="32">
        <f t="shared" si="5"/>
        <v>6934</v>
      </c>
      <c r="Y186" s="31">
        <v>714.9999737739563</v>
      </c>
      <c r="Z186" s="33"/>
      <c r="AA186" s="28">
        <v>8115.0</v>
      </c>
      <c r="AB186" s="30">
        <f t="shared" si="7"/>
        <v>8231</v>
      </c>
      <c r="AC186" s="28">
        <v>8464.0</v>
      </c>
      <c r="AD186" s="13"/>
      <c r="AE186" s="13"/>
      <c r="AF186" s="13"/>
      <c r="AG186" s="13"/>
      <c r="AH186" s="13"/>
      <c r="AI186" s="13"/>
      <c r="AJ186" s="13"/>
      <c r="AK186" s="13"/>
      <c r="AL186" s="13"/>
    </row>
    <row r="187" ht="15.75" customHeight="1">
      <c r="A187" s="34">
        <v>40702.0</v>
      </c>
      <c r="B187" s="35" t="s">
        <v>202</v>
      </c>
      <c r="C187" s="28">
        <v>1558.0</v>
      </c>
      <c r="D187" s="28">
        <v>1327.0</v>
      </c>
      <c r="E187" s="28">
        <v>2.0</v>
      </c>
      <c r="F187" s="28">
        <v>23.0</v>
      </c>
      <c r="G187" s="28">
        <v>21.0</v>
      </c>
      <c r="H187" s="28">
        <v>185.0</v>
      </c>
      <c r="I187" s="28">
        <v>2176.0</v>
      </c>
      <c r="J187" s="28">
        <v>1989.0</v>
      </c>
      <c r="K187" s="28">
        <v>7.0</v>
      </c>
      <c r="L187" s="28">
        <v>33.0</v>
      </c>
      <c r="M187" s="28">
        <v>13.0</v>
      </c>
      <c r="N187" s="28">
        <v>134.0</v>
      </c>
      <c r="O187" s="29">
        <f t="shared" ref="O187:T187" si="188">ROUND(C187 + ((2016-2012)*(I187-C187))/(2024-2012),0)</f>
        <v>1764</v>
      </c>
      <c r="P187" s="36">
        <f t="shared" si="188"/>
        <v>1548</v>
      </c>
      <c r="Q187" s="36">
        <f t="shared" si="188"/>
        <v>4</v>
      </c>
      <c r="R187" s="36">
        <f t="shared" si="188"/>
        <v>26</v>
      </c>
      <c r="S187" s="36">
        <f t="shared" si="188"/>
        <v>18</v>
      </c>
      <c r="T187" s="36">
        <f t="shared" si="188"/>
        <v>168</v>
      </c>
      <c r="U187" s="36">
        <v>992.0</v>
      </c>
      <c r="V187" s="31">
        <f t="shared" si="3"/>
        <v>556</v>
      </c>
      <c r="W187" s="31">
        <f t="shared" si="4"/>
        <v>556</v>
      </c>
      <c r="X187" s="32">
        <f t="shared" si="5"/>
        <v>1764</v>
      </c>
      <c r="Y187" s="31">
        <v>385.99999248981476</v>
      </c>
      <c r="Z187" s="33"/>
      <c r="AA187" s="28">
        <v>1994.0</v>
      </c>
      <c r="AB187" s="36">
        <f t="shared" si="7"/>
        <v>2274</v>
      </c>
      <c r="AC187" s="28">
        <v>2834.0</v>
      </c>
      <c r="AD187" s="13"/>
      <c r="AE187" s="13"/>
      <c r="AF187" s="13"/>
      <c r="AG187" s="13"/>
      <c r="AH187" s="13"/>
      <c r="AI187" s="13"/>
      <c r="AJ187" s="13"/>
      <c r="AK187" s="13"/>
      <c r="AL187" s="13"/>
    </row>
    <row r="188" ht="15.75" customHeight="1">
      <c r="A188" s="26">
        <v>40801.0</v>
      </c>
      <c r="B188" s="27" t="s">
        <v>203</v>
      </c>
      <c r="C188" s="28">
        <v>3927.0</v>
      </c>
      <c r="D188" s="28">
        <v>2396.0</v>
      </c>
      <c r="E188" s="28">
        <v>11.0</v>
      </c>
      <c r="F188" s="28">
        <v>109.0</v>
      </c>
      <c r="G188" s="28">
        <v>27.0</v>
      </c>
      <c r="H188" s="28">
        <v>1384.0</v>
      </c>
      <c r="I188" s="28">
        <v>5969.0</v>
      </c>
      <c r="J188" s="28">
        <v>4585.0</v>
      </c>
      <c r="K188" s="28">
        <v>35.0</v>
      </c>
      <c r="L188" s="28">
        <v>139.0</v>
      </c>
      <c r="M188" s="28">
        <v>54.0</v>
      </c>
      <c r="N188" s="28">
        <v>1156.0</v>
      </c>
      <c r="O188" s="29">
        <f t="shared" ref="O188:T188" si="189">ROUND(C188 + ((2016-2012)*(I188-C188))/(2024-2012),0)</f>
        <v>4608</v>
      </c>
      <c r="P188" s="30">
        <f t="shared" si="189"/>
        <v>3126</v>
      </c>
      <c r="Q188" s="30">
        <f t="shared" si="189"/>
        <v>19</v>
      </c>
      <c r="R188" s="30">
        <f t="shared" si="189"/>
        <v>119</v>
      </c>
      <c r="S188" s="30">
        <f t="shared" si="189"/>
        <v>36</v>
      </c>
      <c r="T188" s="30">
        <f t="shared" si="189"/>
        <v>1308</v>
      </c>
      <c r="U188" s="30">
        <v>3521.0</v>
      </c>
      <c r="V188" s="31">
        <f t="shared" si="3"/>
        <v>-395</v>
      </c>
      <c r="W188" s="31">
        <f t="shared" si="4"/>
        <v>0</v>
      </c>
      <c r="X188" s="32">
        <f t="shared" si="5"/>
        <v>5003</v>
      </c>
      <c r="Y188" s="31">
        <v>71.00000232458115</v>
      </c>
      <c r="Z188" s="33"/>
      <c r="AA188" s="28">
        <v>5038.0</v>
      </c>
      <c r="AB188" s="30">
        <f t="shared" si="7"/>
        <v>5986</v>
      </c>
      <c r="AC188" s="28">
        <v>7883.0</v>
      </c>
      <c r="AD188" s="13"/>
      <c r="AE188" s="13"/>
      <c r="AF188" s="13"/>
      <c r="AG188" s="13"/>
      <c r="AH188" s="13"/>
      <c r="AI188" s="13"/>
      <c r="AJ188" s="13"/>
      <c r="AK188" s="13"/>
      <c r="AL188" s="13"/>
    </row>
    <row r="189" ht="15.75" customHeight="1">
      <c r="A189" s="34">
        <v>40802.0</v>
      </c>
      <c r="B189" s="35" t="s">
        <v>204</v>
      </c>
      <c r="C189" s="28">
        <v>1040.0</v>
      </c>
      <c r="D189" s="28">
        <v>573.0</v>
      </c>
      <c r="E189" s="28">
        <v>4.0</v>
      </c>
      <c r="F189" s="28">
        <v>45.0</v>
      </c>
      <c r="G189" s="28">
        <v>8.0</v>
      </c>
      <c r="H189" s="28">
        <v>410.0</v>
      </c>
      <c r="I189" s="28">
        <v>1275.0</v>
      </c>
      <c r="J189" s="28">
        <v>898.0</v>
      </c>
      <c r="K189" s="28">
        <v>4.0</v>
      </c>
      <c r="L189" s="28">
        <v>58.0</v>
      </c>
      <c r="M189" s="28">
        <v>8.0</v>
      </c>
      <c r="N189" s="28">
        <v>307.0</v>
      </c>
      <c r="O189" s="29">
        <f t="shared" ref="O189:T189" si="190">ROUND(C189 + ((2016-2012)*(I189-C189))/(2024-2012),0)</f>
        <v>1118</v>
      </c>
      <c r="P189" s="36">
        <f t="shared" si="190"/>
        <v>681</v>
      </c>
      <c r="Q189" s="36">
        <f t="shared" si="190"/>
        <v>4</v>
      </c>
      <c r="R189" s="36">
        <f t="shared" si="190"/>
        <v>49</v>
      </c>
      <c r="S189" s="36">
        <f t="shared" si="190"/>
        <v>8</v>
      </c>
      <c r="T189" s="36">
        <f t="shared" si="190"/>
        <v>376</v>
      </c>
      <c r="U189" s="37">
        <v>180.0</v>
      </c>
      <c r="V189" s="31">
        <f t="shared" si="3"/>
        <v>501</v>
      </c>
      <c r="W189" s="31">
        <f t="shared" si="4"/>
        <v>501</v>
      </c>
      <c r="X189" s="32">
        <f t="shared" si="5"/>
        <v>1118</v>
      </c>
      <c r="Y189" s="31">
        <v>120.49999833106995</v>
      </c>
      <c r="Z189" s="33"/>
      <c r="AA189" s="28">
        <v>1570.0</v>
      </c>
      <c r="AB189" s="36">
        <f t="shared" si="7"/>
        <v>1744</v>
      </c>
      <c r="AC189" s="28">
        <v>2093.0</v>
      </c>
      <c r="AD189" s="13"/>
      <c r="AE189" s="13"/>
      <c r="AF189" s="13"/>
      <c r="AG189" s="13"/>
      <c r="AH189" s="13"/>
      <c r="AI189" s="13"/>
      <c r="AJ189" s="13"/>
      <c r="AK189" s="13"/>
      <c r="AL189" s="13"/>
    </row>
    <row r="190" ht="15.75" customHeight="1">
      <c r="A190" s="26">
        <v>40901.0</v>
      </c>
      <c r="B190" s="27" t="s">
        <v>205</v>
      </c>
      <c r="C190" s="28">
        <v>2247.0</v>
      </c>
      <c r="D190" s="28">
        <v>1547.0</v>
      </c>
      <c r="E190" s="28">
        <v>6.0</v>
      </c>
      <c r="F190" s="28">
        <v>94.0</v>
      </c>
      <c r="G190" s="28">
        <v>7.0</v>
      </c>
      <c r="H190" s="28">
        <v>593.0</v>
      </c>
      <c r="I190" s="28">
        <v>3855.0</v>
      </c>
      <c r="J190" s="28">
        <v>3210.0</v>
      </c>
      <c r="K190" s="28">
        <v>21.0</v>
      </c>
      <c r="L190" s="28">
        <v>179.0</v>
      </c>
      <c r="M190" s="28">
        <v>66.0</v>
      </c>
      <c r="N190" s="28">
        <v>379.0</v>
      </c>
      <c r="O190" s="29">
        <f t="shared" ref="O190:T190" si="191">ROUND(C190 + ((2016-2012)*(I190-C190))/(2024-2012),0)</f>
        <v>2783</v>
      </c>
      <c r="P190" s="30">
        <f t="shared" si="191"/>
        <v>2101</v>
      </c>
      <c r="Q190" s="30">
        <f t="shared" si="191"/>
        <v>11</v>
      </c>
      <c r="R190" s="30">
        <f t="shared" si="191"/>
        <v>122</v>
      </c>
      <c r="S190" s="30">
        <f t="shared" si="191"/>
        <v>27</v>
      </c>
      <c r="T190" s="30">
        <f t="shared" si="191"/>
        <v>522</v>
      </c>
      <c r="U190" s="30">
        <v>767.0</v>
      </c>
      <c r="V190" s="31">
        <f t="shared" si="3"/>
        <v>1334</v>
      </c>
      <c r="W190" s="31">
        <f t="shared" si="4"/>
        <v>1334</v>
      </c>
      <c r="X190" s="32">
        <f t="shared" si="5"/>
        <v>2783</v>
      </c>
      <c r="Y190" s="31">
        <v>128.9999932050705</v>
      </c>
      <c r="Z190" s="33"/>
      <c r="AA190" s="28">
        <v>2959.0</v>
      </c>
      <c r="AB190" s="30">
        <f t="shared" si="7"/>
        <v>3713</v>
      </c>
      <c r="AC190" s="28">
        <v>5221.0</v>
      </c>
      <c r="AD190" s="13"/>
      <c r="AE190" s="13"/>
      <c r="AF190" s="13"/>
      <c r="AG190" s="13"/>
      <c r="AH190" s="13"/>
      <c r="AI190" s="13"/>
      <c r="AJ190" s="13"/>
      <c r="AK190" s="13"/>
      <c r="AL190" s="13"/>
    </row>
    <row r="191" ht="15.75" customHeight="1">
      <c r="A191" s="34">
        <v>40902.0</v>
      </c>
      <c r="B191" s="35" t="s">
        <v>206</v>
      </c>
      <c r="C191" s="28">
        <v>253.0</v>
      </c>
      <c r="D191" s="28">
        <v>196.0</v>
      </c>
      <c r="E191" s="28">
        <v>3.0</v>
      </c>
      <c r="F191" s="28">
        <v>0.0</v>
      </c>
      <c r="G191" s="28">
        <v>0.0</v>
      </c>
      <c r="H191" s="28">
        <v>54.0</v>
      </c>
      <c r="I191" s="28">
        <v>357.0</v>
      </c>
      <c r="J191" s="28">
        <v>301.0</v>
      </c>
      <c r="K191" s="28">
        <v>0.0</v>
      </c>
      <c r="L191" s="28">
        <v>19.0</v>
      </c>
      <c r="M191" s="28">
        <v>2.0</v>
      </c>
      <c r="N191" s="28">
        <v>35.0</v>
      </c>
      <c r="O191" s="29">
        <f t="shared" ref="O191:T191" si="192">ROUND(C191 + ((2016-2012)*(I191-C191))/(2024-2012),0)</f>
        <v>288</v>
      </c>
      <c r="P191" s="36">
        <f t="shared" si="192"/>
        <v>231</v>
      </c>
      <c r="Q191" s="36">
        <f t="shared" si="192"/>
        <v>2</v>
      </c>
      <c r="R191" s="36">
        <f t="shared" si="192"/>
        <v>6</v>
      </c>
      <c r="S191" s="36">
        <f t="shared" si="192"/>
        <v>1</v>
      </c>
      <c r="T191" s="36">
        <f t="shared" si="192"/>
        <v>48</v>
      </c>
      <c r="U191" s="37">
        <v>132.0</v>
      </c>
      <c r="V191" s="31">
        <f t="shared" si="3"/>
        <v>99</v>
      </c>
      <c r="W191" s="31">
        <f t="shared" si="4"/>
        <v>99</v>
      </c>
      <c r="X191" s="32">
        <f t="shared" si="5"/>
        <v>288</v>
      </c>
      <c r="Y191" s="31">
        <v>467.99999475479126</v>
      </c>
      <c r="Z191" s="33"/>
      <c r="AA191" s="28">
        <v>337.0</v>
      </c>
      <c r="AB191" s="36">
        <f t="shared" si="7"/>
        <v>356</v>
      </c>
      <c r="AC191" s="28">
        <v>395.0</v>
      </c>
      <c r="AD191" s="13"/>
      <c r="AE191" s="13"/>
      <c r="AF191" s="13"/>
      <c r="AG191" s="13"/>
      <c r="AH191" s="13"/>
      <c r="AI191" s="13"/>
      <c r="AJ191" s="13"/>
      <c r="AK191" s="13"/>
      <c r="AL191" s="13"/>
    </row>
    <row r="192" ht="15.75" customHeight="1">
      <c r="A192" s="26">
        <v>40903.0</v>
      </c>
      <c r="B192" s="27" t="s">
        <v>207</v>
      </c>
      <c r="C192" s="28">
        <v>590.0</v>
      </c>
      <c r="D192" s="28">
        <v>232.0</v>
      </c>
      <c r="E192" s="28">
        <v>0.0</v>
      </c>
      <c r="F192" s="28">
        <v>208.0</v>
      </c>
      <c r="G192" s="28">
        <v>12.0</v>
      </c>
      <c r="H192" s="28">
        <v>138.0</v>
      </c>
      <c r="I192" s="28">
        <v>1105.0</v>
      </c>
      <c r="J192" s="28">
        <v>463.0</v>
      </c>
      <c r="K192" s="28">
        <v>1.0</v>
      </c>
      <c r="L192" s="28">
        <v>71.0</v>
      </c>
      <c r="M192" s="28">
        <v>18.0</v>
      </c>
      <c r="N192" s="28">
        <v>552.0</v>
      </c>
      <c r="O192" s="29">
        <f t="shared" ref="O192:T192" si="193">ROUND(C192 + ((2016-2012)*(I192-C192))/(2024-2012),0)</f>
        <v>762</v>
      </c>
      <c r="P192" s="30">
        <f t="shared" si="193"/>
        <v>309</v>
      </c>
      <c r="Q192" s="30">
        <f t="shared" si="193"/>
        <v>0</v>
      </c>
      <c r="R192" s="30">
        <f t="shared" si="193"/>
        <v>162</v>
      </c>
      <c r="S192" s="30">
        <f t="shared" si="193"/>
        <v>14</v>
      </c>
      <c r="T192" s="30">
        <f t="shared" si="193"/>
        <v>276</v>
      </c>
      <c r="U192" s="38">
        <v>342.0</v>
      </c>
      <c r="V192" s="31">
        <f t="shared" si="3"/>
        <v>-33</v>
      </c>
      <c r="W192" s="31">
        <f t="shared" si="4"/>
        <v>0</v>
      </c>
      <c r="X192" s="32">
        <f t="shared" si="5"/>
        <v>794</v>
      </c>
      <c r="Y192" s="31">
        <v>105.99999874830246</v>
      </c>
      <c r="Z192" s="33"/>
      <c r="AA192" s="28">
        <v>1226.0</v>
      </c>
      <c r="AB192" s="30">
        <f t="shared" si="7"/>
        <v>1434</v>
      </c>
      <c r="AC192" s="28">
        <v>1851.0</v>
      </c>
      <c r="AD192" s="13"/>
      <c r="AE192" s="13"/>
      <c r="AF192" s="13"/>
      <c r="AG192" s="13"/>
      <c r="AH192" s="13"/>
      <c r="AI192" s="13"/>
      <c r="AJ192" s="13"/>
      <c r="AK192" s="13"/>
      <c r="AL192" s="13"/>
    </row>
    <row r="193" ht="15.75" customHeight="1">
      <c r="A193" s="34">
        <v>41001.0</v>
      </c>
      <c r="B193" s="35" t="s">
        <v>208</v>
      </c>
      <c r="C193" s="28">
        <v>4331.0</v>
      </c>
      <c r="D193" s="28">
        <v>873.0</v>
      </c>
      <c r="E193" s="28">
        <v>9.0</v>
      </c>
      <c r="F193" s="28">
        <v>666.0</v>
      </c>
      <c r="G193" s="28">
        <v>173.0</v>
      </c>
      <c r="H193" s="28">
        <v>2610.0</v>
      </c>
      <c r="I193" s="28">
        <v>4732.0</v>
      </c>
      <c r="J193" s="28">
        <v>2091.0</v>
      </c>
      <c r="K193" s="28">
        <v>10.0</v>
      </c>
      <c r="L193" s="28">
        <v>329.0</v>
      </c>
      <c r="M193" s="28">
        <v>137.0</v>
      </c>
      <c r="N193" s="28">
        <v>2165.0</v>
      </c>
      <c r="O193" s="29">
        <f t="shared" ref="O193:T193" si="194">ROUND(C193 + ((2016-2012)*(I193-C193))/(2024-2012),0)</f>
        <v>4465</v>
      </c>
      <c r="P193" s="36">
        <f t="shared" si="194"/>
        <v>1279</v>
      </c>
      <c r="Q193" s="36">
        <f t="shared" si="194"/>
        <v>9</v>
      </c>
      <c r="R193" s="36">
        <f t="shared" si="194"/>
        <v>554</v>
      </c>
      <c r="S193" s="36">
        <f t="shared" si="194"/>
        <v>161</v>
      </c>
      <c r="T193" s="36">
        <f t="shared" si="194"/>
        <v>2462</v>
      </c>
      <c r="U193" s="36">
        <v>817.0</v>
      </c>
      <c r="V193" s="31">
        <f t="shared" si="3"/>
        <v>462</v>
      </c>
      <c r="W193" s="31">
        <f t="shared" si="4"/>
        <v>462</v>
      </c>
      <c r="X193" s="32">
        <f t="shared" si="5"/>
        <v>4465</v>
      </c>
      <c r="Y193" s="31">
        <v>39.99999910593033</v>
      </c>
      <c r="Z193" s="33"/>
      <c r="AA193" s="28">
        <v>5839.0</v>
      </c>
      <c r="AB193" s="36">
        <f t="shared" si="7"/>
        <v>5971</v>
      </c>
      <c r="AC193" s="28">
        <v>6234.0</v>
      </c>
      <c r="AD193" s="13"/>
      <c r="AE193" s="13"/>
      <c r="AF193" s="13"/>
      <c r="AG193" s="13"/>
      <c r="AH193" s="13"/>
      <c r="AI193" s="13"/>
      <c r="AJ193" s="13"/>
      <c r="AK193" s="13"/>
      <c r="AL193" s="13"/>
    </row>
    <row r="194" ht="15.75" customHeight="1">
      <c r="A194" s="26">
        <v>41101.0</v>
      </c>
      <c r="B194" s="27" t="s">
        <v>209</v>
      </c>
      <c r="C194" s="28">
        <v>1898.0</v>
      </c>
      <c r="D194" s="28">
        <v>1530.0</v>
      </c>
      <c r="E194" s="28">
        <v>3.0</v>
      </c>
      <c r="F194" s="28">
        <v>5.0</v>
      </c>
      <c r="G194" s="28">
        <v>11.0</v>
      </c>
      <c r="H194" s="28">
        <v>349.0</v>
      </c>
      <c r="I194" s="28">
        <v>1936.0</v>
      </c>
      <c r="J194" s="28">
        <v>1692.0</v>
      </c>
      <c r="K194" s="28">
        <v>7.0</v>
      </c>
      <c r="L194" s="28">
        <v>8.0</v>
      </c>
      <c r="M194" s="28">
        <v>16.0</v>
      </c>
      <c r="N194" s="28">
        <v>213.0</v>
      </c>
      <c r="O194" s="29">
        <f t="shared" ref="O194:T194" si="195">ROUND(C194 + ((2016-2012)*(I194-C194))/(2024-2012),0)</f>
        <v>1911</v>
      </c>
      <c r="P194" s="30">
        <f t="shared" si="195"/>
        <v>1584</v>
      </c>
      <c r="Q194" s="30">
        <f t="shared" si="195"/>
        <v>4</v>
      </c>
      <c r="R194" s="30">
        <f t="shared" si="195"/>
        <v>6</v>
      </c>
      <c r="S194" s="30">
        <f t="shared" si="195"/>
        <v>13</v>
      </c>
      <c r="T194" s="30">
        <f t="shared" si="195"/>
        <v>304</v>
      </c>
      <c r="U194" s="30">
        <v>2272.0</v>
      </c>
      <c r="V194" s="31">
        <f t="shared" si="3"/>
        <v>-688</v>
      </c>
      <c r="W194" s="31">
        <f t="shared" si="4"/>
        <v>0</v>
      </c>
      <c r="X194" s="32">
        <f t="shared" si="5"/>
        <v>2599</v>
      </c>
      <c r="Y194" s="31">
        <v>13.000000268220901</v>
      </c>
      <c r="Z194" s="33"/>
      <c r="AA194" s="28">
        <v>2531.0</v>
      </c>
      <c r="AB194" s="30">
        <f t="shared" si="7"/>
        <v>2617</v>
      </c>
      <c r="AC194" s="28">
        <v>2789.0</v>
      </c>
      <c r="AD194" s="13"/>
      <c r="AE194" s="13"/>
      <c r="AF194" s="13"/>
      <c r="AG194" s="13"/>
      <c r="AH194" s="13"/>
      <c r="AI194" s="13"/>
      <c r="AJ194" s="13"/>
      <c r="AK194" s="13"/>
      <c r="AL194" s="13"/>
    </row>
    <row r="195" ht="15.75" customHeight="1">
      <c r="A195" s="34">
        <v>41201.0</v>
      </c>
      <c r="B195" s="35" t="s">
        <v>210</v>
      </c>
      <c r="C195" s="28">
        <v>1992.0</v>
      </c>
      <c r="D195" s="28">
        <v>741.0</v>
      </c>
      <c r="E195" s="28">
        <v>3.0</v>
      </c>
      <c r="F195" s="28">
        <v>134.0</v>
      </c>
      <c r="G195" s="28">
        <v>33.0</v>
      </c>
      <c r="H195" s="28">
        <v>1081.0</v>
      </c>
      <c r="I195" s="28">
        <v>2285.0</v>
      </c>
      <c r="J195" s="28">
        <v>1291.0</v>
      </c>
      <c r="K195" s="28">
        <v>1.0</v>
      </c>
      <c r="L195" s="28">
        <v>125.0</v>
      </c>
      <c r="M195" s="28">
        <v>24.0</v>
      </c>
      <c r="N195" s="28">
        <v>844.0</v>
      </c>
      <c r="O195" s="29">
        <f t="shared" ref="O195:T195" si="196">ROUND(C195 + ((2016-2012)*(I195-C195))/(2024-2012),0)</f>
        <v>2090</v>
      </c>
      <c r="P195" s="36">
        <f t="shared" si="196"/>
        <v>924</v>
      </c>
      <c r="Q195" s="36">
        <f t="shared" si="196"/>
        <v>2</v>
      </c>
      <c r="R195" s="36">
        <f t="shared" si="196"/>
        <v>131</v>
      </c>
      <c r="S195" s="36">
        <f t="shared" si="196"/>
        <v>30</v>
      </c>
      <c r="T195" s="36">
        <f t="shared" si="196"/>
        <v>1002</v>
      </c>
      <c r="U195" s="36">
        <v>1189.0</v>
      </c>
      <c r="V195" s="31">
        <f t="shared" si="3"/>
        <v>-265</v>
      </c>
      <c r="W195" s="31">
        <f t="shared" si="4"/>
        <v>0</v>
      </c>
      <c r="X195" s="32">
        <f t="shared" si="5"/>
        <v>2354</v>
      </c>
      <c r="Y195" s="31">
        <v>48.00000041723251</v>
      </c>
      <c r="Z195" s="33"/>
      <c r="AA195" s="28">
        <v>3195.0</v>
      </c>
      <c r="AB195" s="36">
        <f t="shared" si="7"/>
        <v>3700</v>
      </c>
      <c r="AC195" s="28">
        <v>4710.0</v>
      </c>
      <c r="AD195" s="13"/>
      <c r="AE195" s="13"/>
      <c r="AF195" s="13"/>
      <c r="AG195" s="13"/>
      <c r="AH195" s="13"/>
      <c r="AI195" s="13"/>
      <c r="AJ195" s="13"/>
      <c r="AK195" s="13"/>
      <c r="AL195" s="13"/>
    </row>
    <row r="196" ht="15.75" customHeight="1">
      <c r="A196" s="26">
        <v>41202.0</v>
      </c>
      <c r="B196" s="27" t="s">
        <v>211</v>
      </c>
      <c r="C196" s="28">
        <v>728.0</v>
      </c>
      <c r="D196" s="28">
        <v>422.0</v>
      </c>
      <c r="E196" s="28">
        <v>1.0</v>
      </c>
      <c r="F196" s="28">
        <v>26.0</v>
      </c>
      <c r="G196" s="28">
        <v>11.0</v>
      </c>
      <c r="H196" s="28">
        <v>268.0</v>
      </c>
      <c r="I196" s="28">
        <v>1099.0</v>
      </c>
      <c r="J196" s="28">
        <v>647.0</v>
      </c>
      <c r="K196" s="28">
        <v>1.0</v>
      </c>
      <c r="L196" s="28">
        <v>37.0</v>
      </c>
      <c r="M196" s="28">
        <v>14.0</v>
      </c>
      <c r="N196" s="28">
        <v>400.0</v>
      </c>
      <c r="O196" s="29">
        <f t="shared" ref="O196:T196" si="197">ROUND(C196 + ((2016-2012)*(I196-C196))/(2024-2012),0)</f>
        <v>852</v>
      </c>
      <c r="P196" s="30">
        <f t="shared" si="197"/>
        <v>497</v>
      </c>
      <c r="Q196" s="30">
        <f t="shared" si="197"/>
        <v>1</v>
      </c>
      <c r="R196" s="30">
        <f t="shared" si="197"/>
        <v>30</v>
      </c>
      <c r="S196" s="30">
        <f t="shared" si="197"/>
        <v>12</v>
      </c>
      <c r="T196" s="30">
        <f t="shared" si="197"/>
        <v>312</v>
      </c>
      <c r="U196" s="38">
        <v>381.0</v>
      </c>
      <c r="V196" s="31">
        <f t="shared" si="3"/>
        <v>116</v>
      </c>
      <c r="W196" s="31">
        <f t="shared" si="4"/>
        <v>116</v>
      </c>
      <c r="X196" s="32">
        <f t="shared" si="5"/>
        <v>852</v>
      </c>
      <c r="Y196" s="31">
        <v>32.999999821186066</v>
      </c>
      <c r="Z196" s="33"/>
      <c r="AA196" s="28">
        <v>1217.0</v>
      </c>
      <c r="AB196" s="30">
        <f t="shared" si="7"/>
        <v>1369</v>
      </c>
      <c r="AC196" s="28">
        <v>1674.0</v>
      </c>
      <c r="AD196" s="13"/>
      <c r="AE196" s="13"/>
      <c r="AF196" s="13"/>
      <c r="AG196" s="13"/>
      <c r="AH196" s="13"/>
      <c r="AI196" s="13"/>
      <c r="AJ196" s="13"/>
      <c r="AK196" s="13"/>
      <c r="AL196" s="13"/>
    </row>
    <row r="197" ht="15.75" customHeight="1">
      <c r="A197" s="34">
        <v>41301.0</v>
      </c>
      <c r="B197" s="35" t="s">
        <v>212</v>
      </c>
      <c r="C197" s="28">
        <v>1886.0</v>
      </c>
      <c r="D197" s="28">
        <v>448.0</v>
      </c>
      <c r="E197" s="28">
        <v>5.0</v>
      </c>
      <c r="F197" s="28">
        <v>237.0</v>
      </c>
      <c r="G197" s="28">
        <v>121.0</v>
      </c>
      <c r="H197" s="28">
        <v>1075.0</v>
      </c>
      <c r="I197" s="28">
        <v>2648.0</v>
      </c>
      <c r="J197" s="28">
        <v>1007.0</v>
      </c>
      <c r="K197" s="28">
        <v>4.0</v>
      </c>
      <c r="L197" s="28">
        <v>155.0</v>
      </c>
      <c r="M197" s="28">
        <v>80.0</v>
      </c>
      <c r="N197" s="28">
        <v>1402.0</v>
      </c>
      <c r="O197" s="29">
        <f t="shared" ref="O197:T197" si="198">ROUND(C197 + ((2016-2012)*(I197-C197))/(2024-2012),0)</f>
        <v>2140</v>
      </c>
      <c r="P197" s="36">
        <f t="shared" si="198"/>
        <v>634</v>
      </c>
      <c r="Q197" s="36">
        <f t="shared" si="198"/>
        <v>5</v>
      </c>
      <c r="R197" s="36">
        <f t="shared" si="198"/>
        <v>210</v>
      </c>
      <c r="S197" s="36">
        <f t="shared" si="198"/>
        <v>107</v>
      </c>
      <c r="T197" s="36">
        <f t="shared" si="198"/>
        <v>1184</v>
      </c>
      <c r="U197" s="37">
        <v>520.0</v>
      </c>
      <c r="V197" s="31">
        <f t="shared" si="3"/>
        <v>114</v>
      </c>
      <c r="W197" s="31">
        <f t="shared" si="4"/>
        <v>114</v>
      </c>
      <c r="X197" s="32">
        <f t="shared" si="5"/>
        <v>2140</v>
      </c>
      <c r="Y197" s="31">
        <v>13.000000268220901</v>
      </c>
      <c r="Z197" s="33"/>
      <c r="AA197" s="28">
        <v>2832.0</v>
      </c>
      <c r="AB197" s="36">
        <f t="shared" si="7"/>
        <v>3406</v>
      </c>
      <c r="AC197" s="28">
        <v>4555.0</v>
      </c>
      <c r="AD197" s="13"/>
      <c r="AE197" s="13"/>
      <c r="AF197" s="13"/>
      <c r="AG197" s="13"/>
      <c r="AH197" s="13"/>
      <c r="AI197" s="13"/>
      <c r="AJ197" s="13"/>
      <c r="AK197" s="13"/>
      <c r="AL197" s="13"/>
    </row>
    <row r="198" ht="15.75" customHeight="1">
      <c r="A198" s="26">
        <v>41401.0</v>
      </c>
      <c r="B198" s="27" t="s">
        <v>213</v>
      </c>
      <c r="C198" s="28">
        <v>4302.0</v>
      </c>
      <c r="D198" s="28">
        <v>2395.0</v>
      </c>
      <c r="E198" s="28">
        <v>12.0</v>
      </c>
      <c r="F198" s="28">
        <v>172.0</v>
      </c>
      <c r="G198" s="28">
        <v>42.0</v>
      </c>
      <c r="H198" s="28">
        <v>1681.0</v>
      </c>
      <c r="I198" s="28">
        <v>4639.0</v>
      </c>
      <c r="J198" s="28">
        <v>3446.0</v>
      </c>
      <c r="K198" s="28">
        <v>11.0</v>
      </c>
      <c r="L198" s="28">
        <v>80.0</v>
      </c>
      <c r="M198" s="28">
        <v>31.0</v>
      </c>
      <c r="N198" s="28">
        <v>1071.0</v>
      </c>
      <c r="O198" s="29">
        <f t="shared" ref="O198:T198" si="199">ROUND(C198 + ((2016-2012)*(I198-C198))/(2024-2012),0)</f>
        <v>4414</v>
      </c>
      <c r="P198" s="30">
        <f t="shared" si="199"/>
        <v>2745</v>
      </c>
      <c r="Q198" s="30">
        <f t="shared" si="199"/>
        <v>12</v>
      </c>
      <c r="R198" s="30">
        <f t="shared" si="199"/>
        <v>141</v>
      </c>
      <c r="S198" s="30">
        <f t="shared" si="199"/>
        <v>38</v>
      </c>
      <c r="T198" s="30">
        <f t="shared" si="199"/>
        <v>1478</v>
      </c>
      <c r="U198" s="30">
        <v>1339.0</v>
      </c>
      <c r="V198" s="31">
        <f t="shared" si="3"/>
        <v>1406</v>
      </c>
      <c r="W198" s="31">
        <f t="shared" si="4"/>
        <v>1406</v>
      </c>
      <c r="X198" s="32">
        <f t="shared" si="5"/>
        <v>4414</v>
      </c>
      <c r="Y198" s="31">
        <v>219.9999988079071</v>
      </c>
      <c r="Z198" s="33"/>
      <c r="AA198" s="28">
        <v>5257.0</v>
      </c>
      <c r="AB198" s="30">
        <f t="shared" si="7"/>
        <v>5765</v>
      </c>
      <c r="AC198" s="28">
        <v>6780.0</v>
      </c>
      <c r="AD198" s="13"/>
      <c r="AE198" s="13"/>
      <c r="AF198" s="13"/>
      <c r="AG198" s="13"/>
      <c r="AH198" s="13"/>
      <c r="AI198" s="13"/>
      <c r="AJ198" s="13"/>
      <c r="AK198" s="13"/>
      <c r="AL198" s="13"/>
    </row>
    <row r="199" ht="15.75" customHeight="1">
      <c r="A199" s="34">
        <v>41501.0</v>
      </c>
      <c r="B199" s="35" t="s">
        <v>214</v>
      </c>
      <c r="C199" s="28">
        <v>181.0</v>
      </c>
      <c r="D199" s="28">
        <v>52.0</v>
      </c>
      <c r="E199" s="28">
        <v>0.0</v>
      </c>
      <c r="F199" s="28">
        <v>42.0</v>
      </c>
      <c r="G199" s="28">
        <v>0.0</v>
      </c>
      <c r="H199" s="28">
        <v>87.0</v>
      </c>
      <c r="I199" s="28">
        <v>283.0</v>
      </c>
      <c r="J199" s="28">
        <v>183.0</v>
      </c>
      <c r="K199" s="28">
        <v>3.0</v>
      </c>
      <c r="L199" s="28">
        <v>32.0</v>
      </c>
      <c r="M199" s="28">
        <v>5.0</v>
      </c>
      <c r="N199" s="28">
        <v>60.0</v>
      </c>
      <c r="O199" s="29">
        <f t="shared" ref="O199:T199" si="200">ROUND(C199 + ((2016-2012)*(I199-C199))/(2024-2012),0)</f>
        <v>215</v>
      </c>
      <c r="P199" s="36">
        <f t="shared" si="200"/>
        <v>96</v>
      </c>
      <c r="Q199" s="36">
        <f t="shared" si="200"/>
        <v>1</v>
      </c>
      <c r="R199" s="36">
        <f t="shared" si="200"/>
        <v>39</v>
      </c>
      <c r="S199" s="36">
        <f t="shared" si="200"/>
        <v>2</v>
      </c>
      <c r="T199" s="36">
        <f t="shared" si="200"/>
        <v>78</v>
      </c>
      <c r="U199" s="37">
        <v>65.0</v>
      </c>
      <c r="V199" s="31">
        <f t="shared" si="3"/>
        <v>31</v>
      </c>
      <c r="W199" s="31">
        <f t="shared" si="4"/>
        <v>31</v>
      </c>
      <c r="X199" s="32">
        <f t="shared" si="5"/>
        <v>216</v>
      </c>
      <c r="Y199" s="31">
        <v>41.999999433755875</v>
      </c>
      <c r="Z199" s="33"/>
      <c r="AA199" s="28">
        <v>189.0</v>
      </c>
      <c r="AB199" s="36">
        <f t="shared" si="7"/>
        <v>264</v>
      </c>
      <c r="AC199" s="28">
        <v>414.0</v>
      </c>
      <c r="AD199" s="13"/>
      <c r="AE199" s="13"/>
      <c r="AF199" s="13"/>
      <c r="AG199" s="13"/>
      <c r="AH199" s="13"/>
      <c r="AI199" s="13"/>
      <c r="AJ199" s="13"/>
      <c r="AK199" s="13"/>
      <c r="AL199" s="13"/>
    </row>
    <row r="200" ht="15.75" customHeight="1">
      <c r="A200" s="26">
        <v>41502.0</v>
      </c>
      <c r="B200" s="27" t="s">
        <v>215</v>
      </c>
      <c r="C200" s="28">
        <v>193.0</v>
      </c>
      <c r="D200" s="28">
        <v>68.0</v>
      </c>
      <c r="E200" s="28">
        <v>1.0</v>
      </c>
      <c r="F200" s="28">
        <v>21.0</v>
      </c>
      <c r="G200" s="28">
        <v>6.0</v>
      </c>
      <c r="H200" s="28">
        <v>97.0</v>
      </c>
      <c r="I200" s="28">
        <v>329.0</v>
      </c>
      <c r="J200" s="28">
        <v>246.0</v>
      </c>
      <c r="K200" s="28">
        <v>1.0</v>
      </c>
      <c r="L200" s="28">
        <v>17.0</v>
      </c>
      <c r="M200" s="28">
        <v>8.0</v>
      </c>
      <c r="N200" s="28">
        <v>57.0</v>
      </c>
      <c r="O200" s="29">
        <f t="shared" ref="O200:T200" si="201">ROUND(C200 + ((2016-2012)*(I200-C200))/(2024-2012),0)</f>
        <v>238</v>
      </c>
      <c r="P200" s="30">
        <f t="shared" si="201"/>
        <v>127</v>
      </c>
      <c r="Q200" s="30">
        <f t="shared" si="201"/>
        <v>1</v>
      </c>
      <c r="R200" s="30">
        <f t="shared" si="201"/>
        <v>20</v>
      </c>
      <c r="S200" s="30">
        <f t="shared" si="201"/>
        <v>7</v>
      </c>
      <c r="T200" s="30">
        <f t="shared" si="201"/>
        <v>84</v>
      </c>
      <c r="U200" s="38">
        <v>93.0</v>
      </c>
      <c r="V200" s="31">
        <f t="shared" si="3"/>
        <v>34</v>
      </c>
      <c r="W200" s="31">
        <f t="shared" si="4"/>
        <v>34</v>
      </c>
      <c r="X200" s="32">
        <f t="shared" si="5"/>
        <v>239</v>
      </c>
      <c r="Y200" s="31">
        <v>24.000000208616257</v>
      </c>
      <c r="Z200" s="33"/>
      <c r="AA200" s="28">
        <v>278.0</v>
      </c>
      <c r="AB200" s="30">
        <f t="shared" si="7"/>
        <v>339</v>
      </c>
      <c r="AC200" s="28">
        <v>460.0</v>
      </c>
      <c r="AD200" s="13"/>
      <c r="AE200" s="13"/>
      <c r="AF200" s="13"/>
      <c r="AG200" s="13"/>
      <c r="AH200" s="13"/>
      <c r="AI200" s="13"/>
      <c r="AJ200" s="13"/>
      <c r="AK200" s="13"/>
      <c r="AL200" s="13"/>
    </row>
    <row r="201" ht="15.75" customHeight="1">
      <c r="A201" s="34">
        <v>41503.0</v>
      </c>
      <c r="B201" s="35" t="s">
        <v>216</v>
      </c>
      <c r="C201" s="28">
        <v>245.0</v>
      </c>
      <c r="D201" s="28">
        <v>73.0</v>
      </c>
      <c r="E201" s="28">
        <v>9.0</v>
      </c>
      <c r="F201" s="28">
        <v>38.0</v>
      </c>
      <c r="G201" s="28">
        <v>12.0</v>
      </c>
      <c r="H201" s="28">
        <v>113.0</v>
      </c>
      <c r="I201" s="28">
        <v>257.0</v>
      </c>
      <c r="J201" s="28">
        <v>181.0</v>
      </c>
      <c r="K201" s="28">
        <v>5.0</v>
      </c>
      <c r="L201" s="28">
        <v>31.0</v>
      </c>
      <c r="M201" s="28">
        <v>2.0</v>
      </c>
      <c r="N201" s="28">
        <v>38.0</v>
      </c>
      <c r="O201" s="29">
        <f t="shared" ref="O201:T201" si="202">ROUND(C201 + ((2016-2012)*(I201-C201))/(2024-2012),0)</f>
        <v>249</v>
      </c>
      <c r="P201" s="36">
        <f t="shared" si="202"/>
        <v>109</v>
      </c>
      <c r="Q201" s="36">
        <f t="shared" si="202"/>
        <v>8</v>
      </c>
      <c r="R201" s="36">
        <f t="shared" si="202"/>
        <v>36</v>
      </c>
      <c r="S201" s="36">
        <f t="shared" si="202"/>
        <v>9</v>
      </c>
      <c r="T201" s="36">
        <f t="shared" si="202"/>
        <v>88</v>
      </c>
      <c r="U201" s="37">
        <v>66.0</v>
      </c>
      <c r="V201" s="31">
        <f t="shared" si="3"/>
        <v>43</v>
      </c>
      <c r="W201" s="31">
        <f t="shared" si="4"/>
        <v>43</v>
      </c>
      <c r="X201" s="32">
        <f t="shared" si="5"/>
        <v>250</v>
      </c>
      <c r="Y201" s="31">
        <v>7.500000298023224</v>
      </c>
      <c r="Z201" s="33"/>
      <c r="AA201" s="28">
        <v>302.0</v>
      </c>
      <c r="AB201" s="36">
        <f t="shared" si="7"/>
        <v>324</v>
      </c>
      <c r="AC201" s="28">
        <v>367.0</v>
      </c>
      <c r="AD201" s="13"/>
      <c r="AE201" s="13"/>
      <c r="AF201" s="13"/>
      <c r="AG201" s="13"/>
      <c r="AH201" s="13"/>
      <c r="AI201" s="13"/>
      <c r="AJ201" s="13"/>
      <c r="AK201" s="13"/>
      <c r="AL201" s="13"/>
    </row>
    <row r="202" ht="15.75" customHeight="1">
      <c r="A202" s="26">
        <v>41601.0</v>
      </c>
      <c r="B202" s="27" t="s">
        <v>217</v>
      </c>
      <c r="C202" s="28">
        <v>2254.0</v>
      </c>
      <c r="D202" s="28">
        <v>667.0</v>
      </c>
      <c r="E202" s="28">
        <v>7.0</v>
      </c>
      <c r="F202" s="28">
        <v>100.0</v>
      </c>
      <c r="G202" s="28">
        <v>41.0</v>
      </c>
      <c r="H202" s="28">
        <v>1439.0</v>
      </c>
      <c r="I202" s="28">
        <v>2722.0</v>
      </c>
      <c r="J202" s="28">
        <v>1466.0</v>
      </c>
      <c r="K202" s="28">
        <v>2.0</v>
      </c>
      <c r="L202" s="28">
        <v>63.0</v>
      </c>
      <c r="M202" s="28">
        <v>13.0</v>
      </c>
      <c r="N202" s="28">
        <v>1178.0</v>
      </c>
      <c r="O202" s="29">
        <f t="shared" ref="O202:T202" si="203">ROUND(C202 + ((2016-2012)*(I202-C202))/(2024-2012),0)</f>
        <v>2410</v>
      </c>
      <c r="P202" s="30">
        <f t="shared" si="203"/>
        <v>933</v>
      </c>
      <c r="Q202" s="30">
        <f t="shared" si="203"/>
        <v>5</v>
      </c>
      <c r="R202" s="30">
        <f t="shared" si="203"/>
        <v>88</v>
      </c>
      <c r="S202" s="30">
        <f t="shared" si="203"/>
        <v>32</v>
      </c>
      <c r="T202" s="30">
        <f t="shared" si="203"/>
        <v>1352</v>
      </c>
      <c r="U202" s="30">
        <v>1035.0</v>
      </c>
      <c r="V202" s="31">
        <f t="shared" si="3"/>
        <v>-102</v>
      </c>
      <c r="W202" s="31">
        <f t="shared" si="4"/>
        <v>0</v>
      </c>
      <c r="X202" s="32">
        <f t="shared" si="5"/>
        <v>2512</v>
      </c>
      <c r="Y202" s="31">
        <v>8.00000037997961</v>
      </c>
      <c r="Z202" s="33"/>
      <c r="AA202" s="28">
        <v>3476.0</v>
      </c>
      <c r="AB202" s="30">
        <f t="shared" si="7"/>
        <v>3878</v>
      </c>
      <c r="AC202" s="28">
        <v>4681.0</v>
      </c>
      <c r="AD202" s="13"/>
      <c r="AE202" s="13"/>
      <c r="AF202" s="13"/>
      <c r="AG202" s="13"/>
      <c r="AH202" s="13"/>
      <c r="AI202" s="13"/>
      <c r="AJ202" s="13"/>
      <c r="AK202" s="13"/>
      <c r="AL202" s="13"/>
    </row>
    <row r="203" ht="15.75" customHeight="1">
      <c r="A203" s="34">
        <v>50101.0</v>
      </c>
      <c r="B203" s="35" t="s">
        <v>218</v>
      </c>
      <c r="C203" s="28">
        <v>51606.0</v>
      </c>
      <c r="D203" s="28">
        <v>48667.0</v>
      </c>
      <c r="E203" s="28">
        <v>85.0</v>
      </c>
      <c r="F203" s="28">
        <v>40.0</v>
      </c>
      <c r="G203" s="28">
        <v>103.0</v>
      </c>
      <c r="H203" s="28">
        <v>2711.0</v>
      </c>
      <c r="I203" s="28">
        <v>67379.0</v>
      </c>
      <c r="J203" s="28">
        <v>63321.0</v>
      </c>
      <c r="K203" s="28">
        <v>380.0</v>
      </c>
      <c r="L203" s="28">
        <v>125.0</v>
      </c>
      <c r="M203" s="28">
        <v>385.0</v>
      </c>
      <c r="N203" s="28">
        <v>3168.0</v>
      </c>
      <c r="O203" s="29">
        <f t="shared" ref="O203:T203" si="204">ROUND(C203 + ((2016-2012)*(I203-C203))/(2024-2012),0)</f>
        <v>56864</v>
      </c>
      <c r="P203" s="36">
        <f t="shared" si="204"/>
        <v>53552</v>
      </c>
      <c r="Q203" s="36">
        <f t="shared" si="204"/>
        <v>183</v>
      </c>
      <c r="R203" s="36">
        <f t="shared" si="204"/>
        <v>68</v>
      </c>
      <c r="S203" s="36">
        <f t="shared" si="204"/>
        <v>197</v>
      </c>
      <c r="T203" s="36">
        <f t="shared" si="204"/>
        <v>2863</v>
      </c>
      <c r="U203" s="36">
        <v>42222.0</v>
      </c>
      <c r="V203" s="31">
        <f t="shared" si="3"/>
        <v>11330</v>
      </c>
      <c r="W203" s="31">
        <f t="shared" si="4"/>
        <v>11330</v>
      </c>
      <c r="X203" s="32">
        <f t="shared" si="5"/>
        <v>56863</v>
      </c>
      <c r="Y203" s="31">
        <v>794.0000295639038</v>
      </c>
      <c r="Z203" s="33"/>
      <c r="AA203" s="28">
        <v>54852.0</v>
      </c>
      <c r="AB203" s="36">
        <f t="shared" si="7"/>
        <v>62719</v>
      </c>
      <c r="AC203" s="28">
        <v>78452.0</v>
      </c>
      <c r="AD203" s="13"/>
      <c r="AE203" s="13"/>
      <c r="AF203" s="13"/>
      <c r="AG203" s="13"/>
      <c r="AH203" s="13"/>
      <c r="AI203" s="13"/>
      <c r="AJ203" s="13"/>
      <c r="AK203" s="13"/>
      <c r="AL203" s="13"/>
    </row>
    <row r="204" ht="15.75" customHeight="1">
      <c r="A204" s="26">
        <v>50102.0</v>
      </c>
      <c r="B204" s="27" t="s">
        <v>219</v>
      </c>
      <c r="C204" s="28">
        <v>7545.0</v>
      </c>
      <c r="D204" s="28">
        <v>2849.0</v>
      </c>
      <c r="E204" s="28">
        <v>19.0</v>
      </c>
      <c r="F204" s="28">
        <v>25.0</v>
      </c>
      <c r="G204" s="28">
        <v>77.0</v>
      </c>
      <c r="H204" s="28">
        <v>4575.0</v>
      </c>
      <c r="I204" s="28">
        <v>9796.0</v>
      </c>
      <c r="J204" s="28">
        <v>7270.0</v>
      </c>
      <c r="K204" s="28">
        <v>9.0</v>
      </c>
      <c r="L204" s="28">
        <v>58.0</v>
      </c>
      <c r="M204" s="28">
        <v>52.0</v>
      </c>
      <c r="N204" s="28">
        <v>2407.0</v>
      </c>
      <c r="O204" s="29">
        <f t="shared" ref="O204:T204" si="205">ROUND(C204 + ((2016-2012)*(I204-C204))/(2024-2012),0)</f>
        <v>8295</v>
      </c>
      <c r="P204" s="30">
        <f t="shared" si="205"/>
        <v>4323</v>
      </c>
      <c r="Q204" s="30">
        <f t="shared" si="205"/>
        <v>16</v>
      </c>
      <c r="R204" s="30">
        <f t="shared" si="205"/>
        <v>36</v>
      </c>
      <c r="S204" s="30">
        <f t="shared" si="205"/>
        <v>69</v>
      </c>
      <c r="T204" s="30">
        <f t="shared" si="205"/>
        <v>3852</v>
      </c>
      <c r="U204" s="30">
        <v>3401.0</v>
      </c>
      <c r="V204" s="31">
        <f t="shared" si="3"/>
        <v>922</v>
      </c>
      <c r="W204" s="31">
        <f t="shared" si="4"/>
        <v>922</v>
      </c>
      <c r="X204" s="32">
        <f t="shared" si="5"/>
        <v>8296</v>
      </c>
      <c r="Y204" s="31">
        <v>54.00000140070915</v>
      </c>
      <c r="Z204" s="33"/>
      <c r="AA204" s="28">
        <v>8959.0</v>
      </c>
      <c r="AB204" s="30">
        <f t="shared" si="7"/>
        <v>9774</v>
      </c>
      <c r="AC204" s="28">
        <v>11404.0</v>
      </c>
      <c r="AD204" s="13"/>
      <c r="AE204" s="13"/>
      <c r="AF204" s="13"/>
      <c r="AG204" s="13"/>
      <c r="AH204" s="13"/>
      <c r="AI204" s="13"/>
      <c r="AJ204" s="13"/>
      <c r="AK204" s="13"/>
      <c r="AL204" s="13"/>
    </row>
    <row r="205" ht="15.75" customHeight="1">
      <c r="A205" s="34">
        <v>50103.0</v>
      </c>
      <c r="B205" s="35" t="s">
        <v>220</v>
      </c>
      <c r="C205" s="28">
        <v>2916.0</v>
      </c>
      <c r="D205" s="28">
        <v>2223.0</v>
      </c>
      <c r="E205" s="28">
        <v>3.0</v>
      </c>
      <c r="F205" s="28">
        <v>4.0</v>
      </c>
      <c r="G205" s="28">
        <v>32.0</v>
      </c>
      <c r="H205" s="28">
        <v>654.0</v>
      </c>
      <c r="I205" s="28">
        <v>4191.0</v>
      </c>
      <c r="J205" s="28">
        <v>3562.0</v>
      </c>
      <c r="K205" s="28">
        <v>17.0</v>
      </c>
      <c r="L205" s="28">
        <v>40.0</v>
      </c>
      <c r="M205" s="28">
        <v>21.0</v>
      </c>
      <c r="N205" s="28">
        <v>551.0</v>
      </c>
      <c r="O205" s="29">
        <f t="shared" ref="O205:T205" si="206">ROUND(C205 + ((2016-2012)*(I205-C205))/(2024-2012),0)</f>
        <v>3341</v>
      </c>
      <c r="P205" s="36">
        <f t="shared" si="206"/>
        <v>2669</v>
      </c>
      <c r="Q205" s="36">
        <f t="shared" si="206"/>
        <v>8</v>
      </c>
      <c r="R205" s="36">
        <f t="shared" si="206"/>
        <v>16</v>
      </c>
      <c r="S205" s="36">
        <f t="shared" si="206"/>
        <v>28</v>
      </c>
      <c r="T205" s="36">
        <f t="shared" si="206"/>
        <v>620</v>
      </c>
      <c r="U205" s="36">
        <v>1486.0</v>
      </c>
      <c r="V205" s="31">
        <f t="shared" si="3"/>
        <v>1183</v>
      </c>
      <c r="W205" s="31">
        <f t="shared" si="4"/>
        <v>1183</v>
      </c>
      <c r="X205" s="32">
        <f t="shared" si="5"/>
        <v>3341</v>
      </c>
      <c r="Y205" s="31">
        <v>168.99999976158142</v>
      </c>
      <c r="Z205" s="33"/>
      <c r="AA205" s="28">
        <v>3330.0</v>
      </c>
      <c r="AB205" s="36">
        <f t="shared" si="7"/>
        <v>3874</v>
      </c>
      <c r="AC205" s="28">
        <v>4963.0</v>
      </c>
      <c r="AD205" s="13"/>
      <c r="AE205" s="13"/>
      <c r="AF205" s="13"/>
      <c r="AG205" s="13"/>
      <c r="AH205" s="13"/>
      <c r="AI205" s="13"/>
      <c r="AJ205" s="13"/>
      <c r="AK205" s="13"/>
      <c r="AL205" s="13"/>
    </row>
    <row r="206" ht="15.75" customHeight="1">
      <c r="A206" s="26">
        <v>50104.0</v>
      </c>
      <c r="B206" s="27" t="s">
        <v>221</v>
      </c>
      <c r="C206" s="28">
        <v>1102.0</v>
      </c>
      <c r="D206" s="28">
        <v>495.0</v>
      </c>
      <c r="E206" s="28">
        <v>0.0</v>
      </c>
      <c r="F206" s="28">
        <v>21.0</v>
      </c>
      <c r="G206" s="28">
        <v>10.0</v>
      </c>
      <c r="H206" s="28">
        <v>576.0</v>
      </c>
      <c r="I206" s="28">
        <v>1221.0</v>
      </c>
      <c r="J206" s="28">
        <v>548.0</v>
      </c>
      <c r="K206" s="28">
        <v>1.0</v>
      </c>
      <c r="L206" s="28">
        <v>31.0</v>
      </c>
      <c r="M206" s="28">
        <v>7.0</v>
      </c>
      <c r="N206" s="28">
        <v>634.0</v>
      </c>
      <c r="O206" s="29">
        <f t="shared" ref="O206:T206" si="207">ROUND(C206 + ((2016-2012)*(I206-C206))/(2024-2012),0)</f>
        <v>1142</v>
      </c>
      <c r="P206" s="30">
        <f t="shared" si="207"/>
        <v>513</v>
      </c>
      <c r="Q206" s="30">
        <f t="shared" si="207"/>
        <v>0</v>
      </c>
      <c r="R206" s="30">
        <f t="shared" si="207"/>
        <v>24</v>
      </c>
      <c r="S206" s="30">
        <f t="shared" si="207"/>
        <v>9</v>
      </c>
      <c r="T206" s="30">
        <f t="shared" si="207"/>
        <v>595</v>
      </c>
      <c r="U206" s="38">
        <v>286.0</v>
      </c>
      <c r="V206" s="31">
        <f t="shared" si="3"/>
        <v>227</v>
      </c>
      <c r="W206" s="31">
        <f t="shared" si="4"/>
        <v>227</v>
      </c>
      <c r="X206" s="32">
        <f t="shared" si="5"/>
        <v>1141</v>
      </c>
      <c r="Y206" s="31">
        <v>68.50000098347664</v>
      </c>
      <c r="Z206" s="33"/>
      <c r="AA206" s="28">
        <v>1611.0</v>
      </c>
      <c r="AB206" s="30">
        <f t="shared" si="7"/>
        <v>1689</v>
      </c>
      <c r="AC206" s="28">
        <v>1845.0</v>
      </c>
      <c r="AD206" s="13"/>
      <c r="AE206" s="13"/>
      <c r="AF206" s="13"/>
      <c r="AG206" s="13"/>
      <c r="AH206" s="13"/>
      <c r="AI206" s="13"/>
      <c r="AJ206" s="13"/>
      <c r="AK206" s="13"/>
      <c r="AL206" s="13"/>
    </row>
    <row r="207" ht="15.75" customHeight="1">
      <c r="A207" s="34">
        <v>50201.0</v>
      </c>
      <c r="B207" s="35" t="s">
        <v>222</v>
      </c>
      <c r="C207" s="28">
        <v>6620.0</v>
      </c>
      <c r="D207" s="28">
        <v>4691.0</v>
      </c>
      <c r="E207" s="28">
        <v>14.0</v>
      </c>
      <c r="F207" s="28">
        <v>4.0</v>
      </c>
      <c r="G207" s="28">
        <v>18.0</v>
      </c>
      <c r="H207" s="28">
        <v>1893.0</v>
      </c>
      <c r="I207" s="28">
        <v>8437.0</v>
      </c>
      <c r="J207" s="28">
        <v>6677.0</v>
      </c>
      <c r="K207" s="28">
        <v>19.0</v>
      </c>
      <c r="L207" s="28">
        <v>54.0</v>
      </c>
      <c r="M207" s="28">
        <v>38.0</v>
      </c>
      <c r="N207" s="28">
        <v>1649.0</v>
      </c>
      <c r="O207" s="29">
        <f t="shared" ref="O207:T207" si="208">ROUND(C207 + ((2016-2012)*(I207-C207))/(2024-2012),0)</f>
        <v>7226</v>
      </c>
      <c r="P207" s="36">
        <f t="shared" si="208"/>
        <v>5353</v>
      </c>
      <c r="Q207" s="36">
        <f t="shared" si="208"/>
        <v>16</v>
      </c>
      <c r="R207" s="36">
        <f t="shared" si="208"/>
        <v>21</v>
      </c>
      <c r="S207" s="36">
        <f t="shared" si="208"/>
        <v>25</v>
      </c>
      <c r="T207" s="36">
        <f t="shared" si="208"/>
        <v>1812</v>
      </c>
      <c r="U207" s="36">
        <v>4236.0</v>
      </c>
      <c r="V207" s="31">
        <f t="shared" si="3"/>
        <v>1117</v>
      </c>
      <c r="W207" s="31">
        <f t="shared" si="4"/>
        <v>1117</v>
      </c>
      <c r="X207" s="32">
        <f t="shared" si="5"/>
        <v>7227</v>
      </c>
      <c r="Y207" s="31">
        <v>219.9999988079071</v>
      </c>
      <c r="Z207" s="33"/>
      <c r="AA207" s="28">
        <v>7127.0</v>
      </c>
      <c r="AB207" s="36">
        <f t="shared" si="7"/>
        <v>8289</v>
      </c>
      <c r="AC207" s="28">
        <v>10613.0</v>
      </c>
      <c r="AD207" s="13"/>
      <c r="AE207" s="13"/>
      <c r="AF207" s="13"/>
      <c r="AG207" s="13"/>
      <c r="AH207" s="13"/>
      <c r="AI207" s="13"/>
      <c r="AJ207" s="13"/>
      <c r="AK207" s="13"/>
      <c r="AL207" s="13"/>
    </row>
    <row r="208" ht="15.75" customHeight="1">
      <c r="A208" s="26">
        <v>50202.0</v>
      </c>
      <c r="B208" s="27" t="s">
        <v>223</v>
      </c>
      <c r="C208" s="28">
        <v>4667.0</v>
      </c>
      <c r="D208" s="28">
        <v>3425.0</v>
      </c>
      <c r="E208" s="28">
        <v>8.0</v>
      </c>
      <c r="F208" s="28">
        <v>8.0</v>
      </c>
      <c r="G208" s="28">
        <v>8.0</v>
      </c>
      <c r="H208" s="28">
        <v>1218.0</v>
      </c>
      <c r="I208" s="28">
        <v>5658.0</v>
      </c>
      <c r="J208" s="28">
        <v>4788.0</v>
      </c>
      <c r="K208" s="28">
        <v>16.0</v>
      </c>
      <c r="L208" s="28">
        <v>47.0</v>
      </c>
      <c r="M208" s="28">
        <v>16.0</v>
      </c>
      <c r="N208" s="28">
        <v>791.0</v>
      </c>
      <c r="O208" s="29">
        <f t="shared" ref="O208:T208" si="209">ROUND(C208 + ((2016-2012)*(I208-C208))/(2024-2012),0)</f>
        <v>4997</v>
      </c>
      <c r="P208" s="30">
        <f t="shared" si="209"/>
        <v>3879</v>
      </c>
      <c r="Q208" s="30">
        <f t="shared" si="209"/>
        <v>11</v>
      </c>
      <c r="R208" s="30">
        <f t="shared" si="209"/>
        <v>21</v>
      </c>
      <c r="S208" s="30">
        <f t="shared" si="209"/>
        <v>11</v>
      </c>
      <c r="T208" s="30">
        <f t="shared" si="209"/>
        <v>1076</v>
      </c>
      <c r="U208" s="30">
        <v>1252.0</v>
      </c>
      <c r="V208" s="31">
        <f t="shared" si="3"/>
        <v>2627</v>
      </c>
      <c r="W208" s="31">
        <f t="shared" si="4"/>
        <v>2627</v>
      </c>
      <c r="X208" s="32">
        <f t="shared" si="5"/>
        <v>4998</v>
      </c>
      <c r="Y208" s="31">
        <v>140.00000059604645</v>
      </c>
      <c r="Z208" s="33"/>
      <c r="AA208" s="28">
        <v>5106.0</v>
      </c>
      <c r="AB208" s="30">
        <f t="shared" si="7"/>
        <v>5720</v>
      </c>
      <c r="AC208" s="28">
        <v>6948.0</v>
      </c>
      <c r="AD208" s="13"/>
      <c r="AE208" s="13"/>
      <c r="AF208" s="13"/>
      <c r="AG208" s="13"/>
      <c r="AH208" s="13"/>
      <c r="AI208" s="13"/>
      <c r="AJ208" s="13"/>
      <c r="AK208" s="13"/>
      <c r="AL208" s="13"/>
    </row>
    <row r="209" ht="15.75" customHeight="1">
      <c r="A209" s="34">
        <v>50203.0</v>
      </c>
      <c r="B209" s="35" t="s">
        <v>224</v>
      </c>
      <c r="C209" s="28">
        <v>12409.0</v>
      </c>
      <c r="D209" s="28">
        <v>10422.0</v>
      </c>
      <c r="E209" s="28">
        <v>67.0</v>
      </c>
      <c r="F209" s="28">
        <v>1.0</v>
      </c>
      <c r="G209" s="28">
        <v>24.0</v>
      </c>
      <c r="H209" s="28">
        <v>1895.0</v>
      </c>
      <c r="I209" s="28">
        <v>16017.0</v>
      </c>
      <c r="J209" s="28">
        <v>14270.0</v>
      </c>
      <c r="K209" s="28">
        <v>78.0</v>
      </c>
      <c r="L209" s="28">
        <v>58.0</v>
      </c>
      <c r="M209" s="28">
        <v>41.0</v>
      </c>
      <c r="N209" s="28">
        <v>1570.0</v>
      </c>
      <c r="O209" s="29">
        <f t="shared" ref="O209:T209" si="210">ROUND(C209 + ((2016-2012)*(I209-C209))/(2024-2012),0)</f>
        <v>13612</v>
      </c>
      <c r="P209" s="36">
        <f t="shared" si="210"/>
        <v>11705</v>
      </c>
      <c r="Q209" s="36">
        <f t="shared" si="210"/>
        <v>71</v>
      </c>
      <c r="R209" s="36">
        <f t="shared" si="210"/>
        <v>20</v>
      </c>
      <c r="S209" s="36">
        <f t="shared" si="210"/>
        <v>30</v>
      </c>
      <c r="T209" s="36">
        <f t="shared" si="210"/>
        <v>1787</v>
      </c>
      <c r="U209" s="36">
        <v>7946.0</v>
      </c>
      <c r="V209" s="31">
        <f t="shared" si="3"/>
        <v>3759</v>
      </c>
      <c r="W209" s="31">
        <f t="shared" si="4"/>
        <v>3759</v>
      </c>
      <c r="X209" s="32">
        <f t="shared" si="5"/>
        <v>13613</v>
      </c>
      <c r="Y209" s="31">
        <v>495.49999833106995</v>
      </c>
      <c r="Z209" s="33"/>
      <c r="AA209" s="28">
        <v>14135.0</v>
      </c>
      <c r="AB209" s="36">
        <f t="shared" si="7"/>
        <v>15996</v>
      </c>
      <c r="AC209" s="28">
        <v>19717.0</v>
      </c>
      <c r="AD209" s="13"/>
      <c r="AE209" s="13"/>
      <c r="AF209" s="13"/>
      <c r="AG209" s="13"/>
      <c r="AH209" s="13"/>
      <c r="AI209" s="13"/>
      <c r="AJ209" s="13"/>
      <c r="AK209" s="13"/>
      <c r="AL209" s="13"/>
    </row>
    <row r="210" ht="15.75" customHeight="1">
      <c r="A210" s="26">
        <v>50204.0</v>
      </c>
      <c r="B210" s="27" t="s">
        <v>225</v>
      </c>
      <c r="C210" s="28">
        <v>2269.0</v>
      </c>
      <c r="D210" s="28">
        <v>1525.0</v>
      </c>
      <c r="E210" s="28">
        <v>2.0</v>
      </c>
      <c r="F210" s="28">
        <v>10.0</v>
      </c>
      <c r="G210" s="28">
        <v>2.0</v>
      </c>
      <c r="H210" s="28">
        <v>730.0</v>
      </c>
      <c r="I210" s="28">
        <v>3032.0</v>
      </c>
      <c r="J210" s="28">
        <v>2446.0</v>
      </c>
      <c r="K210" s="28">
        <v>7.0</v>
      </c>
      <c r="L210" s="28">
        <v>18.0</v>
      </c>
      <c r="M210" s="28">
        <v>14.0</v>
      </c>
      <c r="N210" s="28">
        <v>547.0</v>
      </c>
      <c r="O210" s="29">
        <f t="shared" ref="O210:T210" si="211">ROUND(C210 + ((2016-2012)*(I210-C210))/(2024-2012),0)</f>
        <v>2523</v>
      </c>
      <c r="P210" s="30">
        <f t="shared" si="211"/>
        <v>1832</v>
      </c>
      <c r="Q210" s="30">
        <f t="shared" si="211"/>
        <v>4</v>
      </c>
      <c r="R210" s="30">
        <f t="shared" si="211"/>
        <v>13</v>
      </c>
      <c r="S210" s="30">
        <f t="shared" si="211"/>
        <v>6</v>
      </c>
      <c r="T210" s="30">
        <f t="shared" si="211"/>
        <v>669</v>
      </c>
      <c r="U210" s="38">
        <v>0.0</v>
      </c>
      <c r="V210" s="31">
        <f t="shared" si="3"/>
        <v>1832</v>
      </c>
      <c r="W210" s="31">
        <f t="shared" si="4"/>
        <v>1832</v>
      </c>
      <c r="X210" s="32">
        <f t="shared" si="5"/>
        <v>2524</v>
      </c>
      <c r="Y210" s="31">
        <v>0.0</v>
      </c>
      <c r="Z210" s="33"/>
      <c r="AA210" s="28">
        <v>2456.0</v>
      </c>
      <c r="AB210" s="30">
        <f t="shared" si="7"/>
        <v>2877</v>
      </c>
      <c r="AC210" s="28">
        <v>3718.0</v>
      </c>
      <c r="AD210" s="13"/>
      <c r="AE210" s="13"/>
      <c r="AF210" s="13"/>
      <c r="AG210" s="13"/>
      <c r="AH210" s="13"/>
      <c r="AI210" s="13"/>
      <c r="AJ210" s="13"/>
      <c r="AK210" s="13"/>
      <c r="AL210" s="13"/>
    </row>
    <row r="211" ht="15.75" customHeight="1">
      <c r="A211" s="34">
        <v>50301.0</v>
      </c>
      <c r="B211" s="35" t="s">
        <v>226</v>
      </c>
      <c r="C211" s="28">
        <v>9721.0</v>
      </c>
      <c r="D211" s="28">
        <v>6149.0</v>
      </c>
      <c r="E211" s="28">
        <v>33.0</v>
      </c>
      <c r="F211" s="28">
        <v>130.0</v>
      </c>
      <c r="G211" s="28">
        <v>431.0</v>
      </c>
      <c r="H211" s="28">
        <v>2978.0</v>
      </c>
      <c r="I211" s="28">
        <v>10921.0</v>
      </c>
      <c r="J211" s="28">
        <v>8439.0</v>
      </c>
      <c r="K211" s="28">
        <v>21.0</v>
      </c>
      <c r="L211" s="28">
        <v>92.0</v>
      </c>
      <c r="M211" s="28">
        <v>61.0</v>
      </c>
      <c r="N211" s="28">
        <v>2308.0</v>
      </c>
      <c r="O211" s="29">
        <f t="shared" ref="O211:T211" si="212">ROUND(C211 + ((2016-2012)*(I211-C211))/(2024-2012),0)</f>
        <v>10121</v>
      </c>
      <c r="P211" s="36">
        <f t="shared" si="212"/>
        <v>6912</v>
      </c>
      <c r="Q211" s="36">
        <f t="shared" si="212"/>
        <v>29</v>
      </c>
      <c r="R211" s="36">
        <f t="shared" si="212"/>
        <v>117</v>
      </c>
      <c r="S211" s="36">
        <f t="shared" si="212"/>
        <v>308</v>
      </c>
      <c r="T211" s="36">
        <f t="shared" si="212"/>
        <v>2755</v>
      </c>
      <c r="U211" s="36">
        <v>6280.0</v>
      </c>
      <c r="V211" s="31">
        <f t="shared" si="3"/>
        <v>632</v>
      </c>
      <c r="W211" s="31">
        <f t="shared" si="4"/>
        <v>632</v>
      </c>
      <c r="X211" s="32">
        <f t="shared" si="5"/>
        <v>10121</v>
      </c>
      <c r="Y211" s="31">
        <v>188.9999955892563</v>
      </c>
      <c r="Z211" s="33"/>
      <c r="AA211" s="28">
        <v>11467.0</v>
      </c>
      <c r="AB211" s="36">
        <f t="shared" si="7"/>
        <v>12164</v>
      </c>
      <c r="AC211" s="28">
        <v>13559.0</v>
      </c>
      <c r="AD211" s="13"/>
      <c r="AE211" s="13"/>
      <c r="AF211" s="13"/>
      <c r="AG211" s="13"/>
      <c r="AH211" s="13"/>
      <c r="AI211" s="13"/>
      <c r="AJ211" s="13"/>
      <c r="AK211" s="13"/>
      <c r="AL211" s="13"/>
    </row>
    <row r="212" ht="15.75" customHeight="1">
      <c r="A212" s="26">
        <v>50302.0</v>
      </c>
      <c r="B212" s="27" t="s">
        <v>227</v>
      </c>
      <c r="C212" s="28">
        <v>3222.0</v>
      </c>
      <c r="D212" s="28">
        <v>2048.0</v>
      </c>
      <c r="E212" s="28">
        <v>2.0</v>
      </c>
      <c r="F212" s="28">
        <v>52.0</v>
      </c>
      <c r="G212" s="28">
        <v>76.0</v>
      </c>
      <c r="H212" s="28">
        <v>1044.0</v>
      </c>
      <c r="I212" s="28">
        <v>3482.0</v>
      </c>
      <c r="J212" s="28">
        <v>2705.0</v>
      </c>
      <c r="K212" s="28">
        <v>9.0</v>
      </c>
      <c r="L212" s="28">
        <v>20.0</v>
      </c>
      <c r="M212" s="28">
        <v>16.0</v>
      </c>
      <c r="N212" s="28">
        <v>732.0</v>
      </c>
      <c r="O212" s="29">
        <f t="shared" ref="O212:T212" si="213">ROUND(C212 + ((2016-2012)*(I212-C212))/(2024-2012),0)</f>
        <v>3309</v>
      </c>
      <c r="P212" s="30">
        <f t="shared" si="213"/>
        <v>2267</v>
      </c>
      <c r="Q212" s="30">
        <f t="shared" si="213"/>
        <v>4</v>
      </c>
      <c r="R212" s="30">
        <f t="shared" si="213"/>
        <v>41</v>
      </c>
      <c r="S212" s="30">
        <f t="shared" si="213"/>
        <v>56</v>
      </c>
      <c r="T212" s="30">
        <f t="shared" si="213"/>
        <v>940</v>
      </c>
      <c r="U212" s="30">
        <v>2300.0</v>
      </c>
      <c r="V212" s="31">
        <f t="shared" si="3"/>
        <v>-33</v>
      </c>
      <c r="W212" s="31">
        <f t="shared" si="4"/>
        <v>0</v>
      </c>
      <c r="X212" s="32">
        <f t="shared" si="5"/>
        <v>3341</v>
      </c>
      <c r="Y212" s="31">
        <v>200.00000298023224</v>
      </c>
      <c r="Z212" s="33"/>
      <c r="AA212" s="28">
        <v>3631.0</v>
      </c>
      <c r="AB212" s="30">
        <f t="shared" si="7"/>
        <v>3963</v>
      </c>
      <c r="AC212" s="28">
        <v>4628.0</v>
      </c>
      <c r="AD212" s="13"/>
      <c r="AE212" s="13"/>
      <c r="AF212" s="13"/>
      <c r="AG212" s="13"/>
      <c r="AH212" s="13"/>
      <c r="AI212" s="13"/>
      <c r="AJ212" s="13"/>
      <c r="AK212" s="13"/>
      <c r="AL212" s="13"/>
    </row>
    <row r="213" ht="15.75" customHeight="1">
      <c r="A213" s="34">
        <v>50303.0</v>
      </c>
      <c r="B213" s="35" t="s">
        <v>228</v>
      </c>
      <c r="C213" s="28">
        <v>3897.0</v>
      </c>
      <c r="D213" s="28">
        <v>905.0</v>
      </c>
      <c r="E213" s="28">
        <v>13.0</v>
      </c>
      <c r="F213" s="28">
        <v>174.0</v>
      </c>
      <c r="G213" s="28">
        <v>79.0</v>
      </c>
      <c r="H213" s="28">
        <v>2726.0</v>
      </c>
      <c r="I213" s="28">
        <v>5181.0</v>
      </c>
      <c r="J213" s="28">
        <v>2376.0</v>
      </c>
      <c r="K213" s="28">
        <v>14.0</v>
      </c>
      <c r="L213" s="28">
        <v>603.0</v>
      </c>
      <c r="M213" s="28">
        <v>52.0</v>
      </c>
      <c r="N213" s="28">
        <v>2136.0</v>
      </c>
      <c r="O213" s="29">
        <f t="shared" ref="O213:T213" si="214">ROUND(C213 + ((2016-2012)*(I213-C213))/(2024-2012),0)</f>
        <v>4325</v>
      </c>
      <c r="P213" s="36">
        <f t="shared" si="214"/>
        <v>1395</v>
      </c>
      <c r="Q213" s="36">
        <f t="shared" si="214"/>
        <v>13</v>
      </c>
      <c r="R213" s="36">
        <f t="shared" si="214"/>
        <v>317</v>
      </c>
      <c r="S213" s="36">
        <f t="shared" si="214"/>
        <v>70</v>
      </c>
      <c r="T213" s="36">
        <f t="shared" si="214"/>
        <v>2529</v>
      </c>
      <c r="U213" s="36">
        <v>743.0</v>
      </c>
      <c r="V213" s="31">
        <f t="shared" si="3"/>
        <v>652</v>
      </c>
      <c r="W213" s="31">
        <f t="shared" si="4"/>
        <v>652</v>
      </c>
      <c r="X213" s="32">
        <f t="shared" si="5"/>
        <v>4324</v>
      </c>
      <c r="Y213" s="31">
        <v>200.00000298023224</v>
      </c>
      <c r="Z213" s="33"/>
      <c r="AA213" s="28">
        <v>4379.0</v>
      </c>
      <c r="AB213" s="36">
        <f t="shared" si="7"/>
        <v>4968</v>
      </c>
      <c r="AC213" s="28">
        <v>6147.0</v>
      </c>
      <c r="AD213" s="13"/>
      <c r="AE213" s="13"/>
      <c r="AF213" s="13"/>
      <c r="AG213" s="13"/>
      <c r="AH213" s="13"/>
      <c r="AI213" s="13"/>
      <c r="AJ213" s="13"/>
      <c r="AK213" s="13"/>
      <c r="AL213" s="13"/>
    </row>
    <row r="214" ht="15.75" customHeight="1">
      <c r="A214" s="26">
        <v>50401.0</v>
      </c>
      <c r="B214" s="27" t="s">
        <v>229</v>
      </c>
      <c r="C214" s="28">
        <v>4286.0</v>
      </c>
      <c r="D214" s="28">
        <v>2012.0</v>
      </c>
      <c r="E214" s="28">
        <v>22.0</v>
      </c>
      <c r="F214" s="28">
        <v>108.0</v>
      </c>
      <c r="G214" s="28">
        <v>8.0</v>
      </c>
      <c r="H214" s="28">
        <v>2136.0</v>
      </c>
      <c r="I214" s="28">
        <v>6497.0</v>
      </c>
      <c r="J214" s="28">
        <v>4321.0</v>
      </c>
      <c r="K214" s="28">
        <v>17.0</v>
      </c>
      <c r="L214" s="28">
        <v>85.0</v>
      </c>
      <c r="M214" s="28">
        <v>16.0</v>
      </c>
      <c r="N214" s="28">
        <v>2058.0</v>
      </c>
      <c r="O214" s="29">
        <f t="shared" ref="O214:T214" si="215">ROUND(C214 + ((2016-2012)*(I214-C214))/(2024-2012),0)</f>
        <v>5023</v>
      </c>
      <c r="P214" s="30">
        <f t="shared" si="215"/>
        <v>2782</v>
      </c>
      <c r="Q214" s="30">
        <f t="shared" si="215"/>
        <v>20</v>
      </c>
      <c r="R214" s="30">
        <f t="shared" si="215"/>
        <v>100</v>
      </c>
      <c r="S214" s="30">
        <f t="shared" si="215"/>
        <v>11</v>
      </c>
      <c r="T214" s="30">
        <f t="shared" si="215"/>
        <v>2110</v>
      </c>
      <c r="U214" s="30">
        <v>5079.0</v>
      </c>
      <c r="V214" s="31">
        <f t="shared" si="3"/>
        <v>-2297</v>
      </c>
      <c r="W214" s="31">
        <f t="shared" si="4"/>
        <v>0</v>
      </c>
      <c r="X214" s="32">
        <f t="shared" si="5"/>
        <v>7320</v>
      </c>
      <c r="Y214" s="31">
        <v>126.00000202655792</v>
      </c>
      <c r="Z214" s="33"/>
      <c r="AA214" s="28">
        <v>4465.0</v>
      </c>
      <c r="AB214" s="30">
        <f t="shared" si="7"/>
        <v>5435</v>
      </c>
      <c r="AC214" s="28">
        <v>7375.0</v>
      </c>
      <c r="AD214" s="13"/>
      <c r="AE214" s="13"/>
      <c r="AF214" s="13"/>
      <c r="AG214" s="13"/>
      <c r="AH214" s="13"/>
      <c r="AI214" s="13"/>
      <c r="AJ214" s="13"/>
      <c r="AK214" s="13"/>
      <c r="AL214" s="13"/>
    </row>
    <row r="215" ht="15.75" customHeight="1">
      <c r="A215" s="34">
        <v>50402.0</v>
      </c>
      <c r="B215" s="35" t="s">
        <v>230</v>
      </c>
      <c r="C215" s="28">
        <v>6685.0</v>
      </c>
      <c r="D215" s="28">
        <v>1918.0</v>
      </c>
      <c r="E215" s="28">
        <v>57.0</v>
      </c>
      <c r="F215" s="28">
        <v>127.0</v>
      </c>
      <c r="G215" s="28">
        <v>36.0</v>
      </c>
      <c r="H215" s="28">
        <v>4547.0</v>
      </c>
      <c r="I215" s="28">
        <v>6880.0</v>
      </c>
      <c r="J215" s="28">
        <v>3663.0</v>
      </c>
      <c r="K215" s="28">
        <v>8.0</v>
      </c>
      <c r="L215" s="28">
        <v>532.0</v>
      </c>
      <c r="M215" s="28">
        <v>42.0</v>
      </c>
      <c r="N215" s="28">
        <v>2635.0</v>
      </c>
      <c r="O215" s="29">
        <f t="shared" ref="O215:T215" si="216">ROUND(C215 + ((2016-2012)*(I215-C215))/(2024-2012),0)</f>
        <v>6750</v>
      </c>
      <c r="P215" s="36">
        <f t="shared" si="216"/>
        <v>2500</v>
      </c>
      <c r="Q215" s="36">
        <f t="shared" si="216"/>
        <v>41</v>
      </c>
      <c r="R215" s="36">
        <f t="shared" si="216"/>
        <v>262</v>
      </c>
      <c r="S215" s="36">
        <f t="shared" si="216"/>
        <v>38</v>
      </c>
      <c r="T215" s="36">
        <f t="shared" si="216"/>
        <v>3910</v>
      </c>
      <c r="U215" s="36">
        <v>3006.0</v>
      </c>
      <c r="V215" s="31">
        <f t="shared" si="3"/>
        <v>-506</v>
      </c>
      <c r="W215" s="31">
        <f t="shared" si="4"/>
        <v>0</v>
      </c>
      <c r="X215" s="32">
        <f t="shared" si="5"/>
        <v>7257</v>
      </c>
      <c r="Y215" s="31">
        <v>75.00000298023224</v>
      </c>
      <c r="Z215" s="33"/>
      <c r="AA215" s="28">
        <v>8124.0</v>
      </c>
      <c r="AB215" s="36">
        <f t="shared" si="7"/>
        <v>8725</v>
      </c>
      <c r="AC215" s="28">
        <v>9928.0</v>
      </c>
      <c r="AD215" s="13"/>
      <c r="AE215" s="13"/>
      <c r="AF215" s="13"/>
      <c r="AG215" s="13"/>
      <c r="AH215" s="13"/>
      <c r="AI215" s="13"/>
      <c r="AJ215" s="13"/>
      <c r="AK215" s="13"/>
      <c r="AL215" s="13"/>
    </row>
    <row r="216" ht="15.75" customHeight="1">
      <c r="A216" s="26">
        <v>50403.0</v>
      </c>
      <c r="B216" s="27" t="s">
        <v>231</v>
      </c>
      <c r="C216" s="28">
        <v>8436.0</v>
      </c>
      <c r="D216" s="28">
        <v>3907.0</v>
      </c>
      <c r="E216" s="28">
        <v>21.0</v>
      </c>
      <c r="F216" s="28">
        <v>23.0</v>
      </c>
      <c r="G216" s="28">
        <v>54.0</v>
      </c>
      <c r="H216" s="28">
        <v>4431.0</v>
      </c>
      <c r="I216" s="28">
        <v>12538.0</v>
      </c>
      <c r="J216" s="28">
        <v>8358.0</v>
      </c>
      <c r="K216" s="28">
        <v>26.0</v>
      </c>
      <c r="L216" s="28">
        <v>126.0</v>
      </c>
      <c r="M216" s="28">
        <v>107.0</v>
      </c>
      <c r="N216" s="28">
        <v>3921.0</v>
      </c>
      <c r="O216" s="29">
        <f t="shared" ref="O216:T216" si="217">ROUND(C216 + ((2016-2012)*(I216-C216))/(2024-2012),0)</f>
        <v>9803</v>
      </c>
      <c r="P216" s="30">
        <f t="shared" si="217"/>
        <v>5391</v>
      </c>
      <c r="Q216" s="30">
        <f t="shared" si="217"/>
        <v>23</v>
      </c>
      <c r="R216" s="30">
        <f t="shared" si="217"/>
        <v>57</v>
      </c>
      <c r="S216" s="30">
        <f t="shared" si="217"/>
        <v>72</v>
      </c>
      <c r="T216" s="30">
        <f t="shared" si="217"/>
        <v>4261</v>
      </c>
      <c r="U216" s="30">
        <v>4351.0</v>
      </c>
      <c r="V216" s="31">
        <f t="shared" si="3"/>
        <v>1040</v>
      </c>
      <c r="W216" s="31">
        <f t="shared" si="4"/>
        <v>1040</v>
      </c>
      <c r="X216" s="32">
        <f t="shared" si="5"/>
        <v>9804</v>
      </c>
      <c r="Y216" s="31">
        <v>111.00000143051147</v>
      </c>
      <c r="Z216" s="33"/>
      <c r="AA216" s="28">
        <v>9374.0</v>
      </c>
      <c r="AB216" s="30">
        <f t="shared" si="7"/>
        <v>11137</v>
      </c>
      <c r="AC216" s="28">
        <v>14662.0</v>
      </c>
      <c r="AD216" s="13"/>
      <c r="AE216" s="13"/>
      <c r="AF216" s="13"/>
      <c r="AG216" s="13"/>
      <c r="AH216" s="13"/>
      <c r="AI216" s="13"/>
      <c r="AJ216" s="13"/>
      <c r="AK216" s="13"/>
      <c r="AL216" s="13"/>
    </row>
    <row r="217" ht="15.75" customHeight="1">
      <c r="A217" s="34">
        <v>50404.0</v>
      </c>
      <c r="B217" s="35" t="s">
        <v>232</v>
      </c>
      <c r="C217" s="28">
        <v>5093.0</v>
      </c>
      <c r="D217" s="28">
        <v>1897.0</v>
      </c>
      <c r="E217" s="28">
        <v>58.0</v>
      </c>
      <c r="F217" s="28">
        <v>34.0</v>
      </c>
      <c r="G217" s="28">
        <v>51.0</v>
      </c>
      <c r="H217" s="28">
        <v>3053.0</v>
      </c>
      <c r="I217" s="28">
        <v>6181.0</v>
      </c>
      <c r="J217" s="28">
        <v>3529.0</v>
      </c>
      <c r="K217" s="28">
        <v>10.0</v>
      </c>
      <c r="L217" s="28">
        <v>147.0</v>
      </c>
      <c r="M217" s="28">
        <v>41.0</v>
      </c>
      <c r="N217" s="28">
        <v>2454.0</v>
      </c>
      <c r="O217" s="29">
        <f t="shared" ref="O217:T217" si="218">ROUND(C217 + ((2016-2012)*(I217-C217))/(2024-2012),0)</f>
        <v>5456</v>
      </c>
      <c r="P217" s="36">
        <f t="shared" si="218"/>
        <v>2441</v>
      </c>
      <c r="Q217" s="36">
        <f t="shared" si="218"/>
        <v>42</v>
      </c>
      <c r="R217" s="36">
        <f t="shared" si="218"/>
        <v>72</v>
      </c>
      <c r="S217" s="36">
        <f t="shared" si="218"/>
        <v>48</v>
      </c>
      <c r="T217" s="36">
        <f t="shared" si="218"/>
        <v>2853</v>
      </c>
      <c r="U217" s="36">
        <v>1614.0</v>
      </c>
      <c r="V217" s="31">
        <f t="shared" si="3"/>
        <v>827</v>
      </c>
      <c r="W217" s="31">
        <f t="shared" si="4"/>
        <v>827</v>
      </c>
      <c r="X217" s="32">
        <f t="shared" si="5"/>
        <v>5456</v>
      </c>
      <c r="Y217" s="31">
        <v>97.00000286102295</v>
      </c>
      <c r="Z217" s="33"/>
      <c r="AA217" s="28">
        <v>5801.0</v>
      </c>
      <c r="AB217" s="36">
        <f t="shared" si="7"/>
        <v>6266</v>
      </c>
      <c r="AC217" s="28">
        <v>7197.0</v>
      </c>
      <c r="AD217" s="13"/>
      <c r="AE217" s="13"/>
      <c r="AF217" s="13"/>
      <c r="AG217" s="13"/>
      <c r="AH217" s="13"/>
      <c r="AI217" s="13"/>
      <c r="AJ217" s="13"/>
      <c r="AK217" s="13"/>
      <c r="AL217" s="13"/>
    </row>
    <row r="218" ht="15.75" customHeight="1">
      <c r="A218" s="26">
        <v>50405.0</v>
      </c>
      <c r="B218" s="27" t="s">
        <v>233</v>
      </c>
      <c r="C218" s="28">
        <v>6364.0</v>
      </c>
      <c r="D218" s="28">
        <v>3707.0</v>
      </c>
      <c r="E218" s="28">
        <v>13.0</v>
      </c>
      <c r="F218" s="28">
        <v>91.0</v>
      </c>
      <c r="G218" s="28">
        <v>39.0</v>
      </c>
      <c r="H218" s="28">
        <v>2514.0</v>
      </c>
      <c r="I218" s="28">
        <v>8438.0</v>
      </c>
      <c r="J218" s="28">
        <v>5664.0</v>
      </c>
      <c r="K218" s="28">
        <v>12.0</v>
      </c>
      <c r="L218" s="28">
        <v>99.0</v>
      </c>
      <c r="M218" s="28">
        <v>51.0</v>
      </c>
      <c r="N218" s="28">
        <v>2612.0</v>
      </c>
      <c r="O218" s="29">
        <f t="shared" ref="O218:T218" si="219">ROUND(C218 + ((2016-2012)*(I218-C218))/(2024-2012),0)</f>
        <v>7055</v>
      </c>
      <c r="P218" s="30">
        <f t="shared" si="219"/>
        <v>4359</v>
      </c>
      <c r="Q218" s="30">
        <f t="shared" si="219"/>
        <v>13</v>
      </c>
      <c r="R218" s="30">
        <f t="shared" si="219"/>
        <v>94</v>
      </c>
      <c r="S218" s="30">
        <f t="shared" si="219"/>
        <v>43</v>
      </c>
      <c r="T218" s="30">
        <f t="shared" si="219"/>
        <v>2547</v>
      </c>
      <c r="U218" s="30">
        <v>0.0</v>
      </c>
      <c r="V218" s="31">
        <f t="shared" si="3"/>
        <v>4359</v>
      </c>
      <c r="W218" s="31">
        <f t="shared" si="4"/>
        <v>4359</v>
      </c>
      <c r="X218" s="32">
        <f t="shared" si="5"/>
        <v>7056</v>
      </c>
      <c r="Y218" s="31">
        <v>0.0</v>
      </c>
      <c r="Z218" s="33"/>
      <c r="AA218" s="28">
        <v>7313.0</v>
      </c>
      <c r="AB218" s="30">
        <f t="shared" si="7"/>
        <v>8469</v>
      </c>
      <c r="AC218" s="28">
        <v>10782.0</v>
      </c>
      <c r="AD218" s="13"/>
      <c r="AE218" s="13"/>
      <c r="AF218" s="13"/>
      <c r="AG218" s="13"/>
      <c r="AH218" s="13"/>
      <c r="AI218" s="13"/>
      <c r="AJ218" s="13"/>
      <c r="AK218" s="13"/>
      <c r="AL218" s="13"/>
    </row>
    <row r="219" ht="15.75" customHeight="1">
      <c r="A219" s="34">
        <v>50501.0</v>
      </c>
      <c r="B219" s="35" t="s">
        <v>234</v>
      </c>
      <c r="C219" s="28">
        <v>8277.0</v>
      </c>
      <c r="D219" s="28">
        <v>1513.0</v>
      </c>
      <c r="E219" s="28">
        <v>39.0</v>
      </c>
      <c r="F219" s="28">
        <v>235.0</v>
      </c>
      <c r="G219" s="28">
        <v>63.0</v>
      </c>
      <c r="H219" s="28">
        <v>6427.0</v>
      </c>
      <c r="I219" s="28">
        <v>11303.0</v>
      </c>
      <c r="J219" s="28">
        <v>4565.0</v>
      </c>
      <c r="K219" s="28">
        <v>22.0</v>
      </c>
      <c r="L219" s="28">
        <v>341.0</v>
      </c>
      <c r="M219" s="28">
        <v>63.0</v>
      </c>
      <c r="N219" s="28">
        <v>6312.0</v>
      </c>
      <c r="O219" s="29">
        <f t="shared" ref="O219:T219" si="220">ROUND(C219 + ((2016-2012)*(I219-C219))/(2024-2012),0)</f>
        <v>9286</v>
      </c>
      <c r="P219" s="36">
        <f t="shared" si="220"/>
        <v>2530</v>
      </c>
      <c r="Q219" s="36">
        <f t="shared" si="220"/>
        <v>33</v>
      </c>
      <c r="R219" s="36">
        <f t="shared" si="220"/>
        <v>270</v>
      </c>
      <c r="S219" s="36">
        <f t="shared" si="220"/>
        <v>63</v>
      </c>
      <c r="T219" s="36">
        <f t="shared" si="220"/>
        <v>6389</v>
      </c>
      <c r="U219" s="36">
        <v>1602.0</v>
      </c>
      <c r="V219" s="31">
        <f t="shared" si="3"/>
        <v>928</v>
      </c>
      <c r="W219" s="31">
        <f t="shared" si="4"/>
        <v>928</v>
      </c>
      <c r="X219" s="32">
        <f t="shared" si="5"/>
        <v>9285</v>
      </c>
      <c r="Y219" s="31">
        <v>121.50000035762787</v>
      </c>
      <c r="Z219" s="33"/>
      <c r="AA219" s="28">
        <v>9323.0</v>
      </c>
      <c r="AB219" s="36">
        <f t="shared" si="7"/>
        <v>11221</v>
      </c>
      <c r="AC219" s="28">
        <v>15016.0</v>
      </c>
      <c r="AD219" s="13"/>
      <c r="AE219" s="13"/>
      <c r="AF219" s="13"/>
      <c r="AG219" s="13"/>
      <c r="AH219" s="13"/>
      <c r="AI219" s="13"/>
      <c r="AJ219" s="13"/>
      <c r="AK219" s="13"/>
      <c r="AL219" s="13"/>
    </row>
    <row r="220" ht="15.75" customHeight="1">
      <c r="A220" s="26">
        <v>50502.0</v>
      </c>
      <c r="B220" s="27" t="s">
        <v>235</v>
      </c>
      <c r="C220" s="28">
        <v>3511.0</v>
      </c>
      <c r="D220" s="28">
        <v>1019.0</v>
      </c>
      <c r="E220" s="28">
        <v>16.0</v>
      </c>
      <c r="F220" s="28">
        <v>182.0</v>
      </c>
      <c r="G220" s="28">
        <v>34.0</v>
      </c>
      <c r="H220" s="28">
        <v>2260.0</v>
      </c>
      <c r="I220" s="28">
        <v>4192.0</v>
      </c>
      <c r="J220" s="28">
        <v>1960.0</v>
      </c>
      <c r="K220" s="28">
        <v>5.0</v>
      </c>
      <c r="L220" s="28">
        <v>207.0</v>
      </c>
      <c r="M220" s="28">
        <v>12.0</v>
      </c>
      <c r="N220" s="28">
        <v>2008.0</v>
      </c>
      <c r="O220" s="29">
        <f t="shared" ref="O220:T220" si="221">ROUND(C220 + ((2016-2012)*(I220-C220))/(2024-2012),0)</f>
        <v>3738</v>
      </c>
      <c r="P220" s="30">
        <f t="shared" si="221"/>
        <v>1333</v>
      </c>
      <c r="Q220" s="30">
        <f t="shared" si="221"/>
        <v>12</v>
      </c>
      <c r="R220" s="30">
        <f t="shared" si="221"/>
        <v>190</v>
      </c>
      <c r="S220" s="30">
        <f t="shared" si="221"/>
        <v>27</v>
      </c>
      <c r="T220" s="30">
        <f t="shared" si="221"/>
        <v>2176</v>
      </c>
      <c r="U220" s="30">
        <v>1401.0</v>
      </c>
      <c r="V220" s="31">
        <f t="shared" si="3"/>
        <v>-68</v>
      </c>
      <c r="W220" s="31">
        <f t="shared" si="4"/>
        <v>0</v>
      </c>
      <c r="X220" s="32">
        <f t="shared" si="5"/>
        <v>3806</v>
      </c>
      <c r="Y220" s="31">
        <v>125.0</v>
      </c>
      <c r="Z220" s="33"/>
      <c r="AA220" s="28">
        <v>4188.0</v>
      </c>
      <c r="AB220" s="30">
        <f t="shared" si="7"/>
        <v>4677</v>
      </c>
      <c r="AC220" s="28">
        <v>5655.0</v>
      </c>
      <c r="AD220" s="13"/>
      <c r="AE220" s="13"/>
      <c r="AF220" s="13"/>
      <c r="AG220" s="13"/>
      <c r="AH220" s="13"/>
      <c r="AI220" s="13"/>
      <c r="AJ220" s="13"/>
      <c r="AK220" s="13"/>
      <c r="AL220" s="13"/>
    </row>
    <row r="221" ht="15.75" customHeight="1">
      <c r="A221" s="34">
        <v>50601.0</v>
      </c>
      <c r="B221" s="35" t="s">
        <v>236</v>
      </c>
      <c r="C221" s="28">
        <v>9471.0</v>
      </c>
      <c r="D221" s="28">
        <v>5965.0</v>
      </c>
      <c r="E221" s="28">
        <v>132.0</v>
      </c>
      <c r="F221" s="28">
        <v>296.0</v>
      </c>
      <c r="G221" s="28">
        <v>9.0</v>
      </c>
      <c r="H221" s="28">
        <v>3069.0</v>
      </c>
      <c r="I221" s="28">
        <v>11224.0</v>
      </c>
      <c r="J221" s="28">
        <v>8436.0</v>
      </c>
      <c r="K221" s="28">
        <v>27.0</v>
      </c>
      <c r="L221" s="28">
        <v>87.0</v>
      </c>
      <c r="M221" s="28">
        <v>17.0</v>
      </c>
      <c r="N221" s="28">
        <v>2657.0</v>
      </c>
      <c r="O221" s="29">
        <f t="shared" ref="O221:T221" si="222">ROUND(C221 + ((2016-2012)*(I221-C221))/(2024-2012),0)</f>
        <v>10055</v>
      </c>
      <c r="P221" s="36">
        <f t="shared" si="222"/>
        <v>6789</v>
      </c>
      <c r="Q221" s="36">
        <f t="shared" si="222"/>
        <v>97</v>
      </c>
      <c r="R221" s="36">
        <f t="shared" si="222"/>
        <v>226</v>
      </c>
      <c r="S221" s="36">
        <f t="shared" si="222"/>
        <v>12</v>
      </c>
      <c r="T221" s="36">
        <f t="shared" si="222"/>
        <v>2932</v>
      </c>
      <c r="U221" s="36">
        <v>5524.0</v>
      </c>
      <c r="V221" s="31">
        <f t="shared" si="3"/>
        <v>1265</v>
      </c>
      <c r="W221" s="31">
        <f t="shared" si="4"/>
        <v>1265</v>
      </c>
      <c r="X221" s="32">
        <f t="shared" si="5"/>
        <v>10056</v>
      </c>
      <c r="Y221" s="31">
        <v>167.9999977350235</v>
      </c>
      <c r="Z221" s="33"/>
      <c r="AA221" s="28">
        <v>10362.0</v>
      </c>
      <c r="AB221" s="36">
        <f t="shared" si="7"/>
        <v>11309</v>
      </c>
      <c r="AC221" s="28">
        <v>13204.0</v>
      </c>
      <c r="AD221" s="13"/>
      <c r="AE221" s="13"/>
      <c r="AF221" s="13"/>
      <c r="AG221" s="13"/>
      <c r="AH221" s="13"/>
      <c r="AI221" s="13"/>
      <c r="AJ221" s="13"/>
      <c r="AK221" s="13"/>
      <c r="AL221" s="13"/>
    </row>
    <row r="222" ht="15.75" customHeight="1">
      <c r="A222" s="26">
        <v>50602.0</v>
      </c>
      <c r="B222" s="27" t="s">
        <v>237</v>
      </c>
      <c r="C222" s="28">
        <v>3124.0</v>
      </c>
      <c r="D222" s="28">
        <v>2265.0</v>
      </c>
      <c r="E222" s="28">
        <v>45.0</v>
      </c>
      <c r="F222" s="28">
        <v>13.0</v>
      </c>
      <c r="G222" s="28">
        <v>9.0</v>
      </c>
      <c r="H222" s="28">
        <v>792.0</v>
      </c>
      <c r="I222" s="28">
        <v>3880.0</v>
      </c>
      <c r="J222" s="28">
        <v>2976.0</v>
      </c>
      <c r="K222" s="28">
        <v>2.0</v>
      </c>
      <c r="L222" s="28">
        <v>22.0</v>
      </c>
      <c r="M222" s="28">
        <v>9.0</v>
      </c>
      <c r="N222" s="28">
        <v>871.0</v>
      </c>
      <c r="O222" s="29">
        <f t="shared" ref="O222:T222" si="223">ROUND(C222 + ((2016-2012)*(I222-C222))/(2024-2012),0)</f>
        <v>3376</v>
      </c>
      <c r="P222" s="30">
        <f t="shared" si="223"/>
        <v>2502</v>
      </c>
      <c r="Q222" s="30">
        <f t="shared" si="223"/>
        <v>31</v>
      </c>
      <c r="R222" s="30">
        <f t="shared" si="223"/>
        <v>16</v>
      </c>
      <c r="S222" s="30">
        <f t="shared" si="223"/>
        <v>9</v>
      </c>
      <c r="T222" s="30">
        <f t="shared" si="223"/>
        <v>818</v>
      </c>
      <c r="U222" s="30">
        <v>2296.0</v>
      </c>
      <c r="V222" s="31">
        <f t="shared" si="3"/>
        <v>206</v>
      </c>
      <c r="W222" s="31">
        <f t="shared" si="4"/>
        <v>206</v>
      </c>
      <c r="X222" s="32">
        <f t="shared" si="5"/>
        <v>3376</v>
      </c>
      <c r="Y222" s="31">
        <v>164.50000554323196</v>
      </c>
      <c r="Z222" s="33"/>
      <c r="AA222" s="28">
        <v>4106.0</v>
      </c>
      <c r="AB222" s="30">
        <f t="shared" si="7"/>
        <v>4783</v>
      </c>
      <c r="AC222" s="28">
        <v>6137.0</v>
      </c>
      <c r="AD222" s="13"/>
      <c r="AE222" s="13"/>
      <c r="AF222" s="13"/>
      <c r="AG222" s="13"/>
      <c r="AH222" s="13"/>
      <c r="AI222" s="13"/>
      <c r="AJ222" s="13"/>
      <c r="AK222" s="13"/>
      <c r="AL222" s="13"/>
    </row>
    <row r="223" ht="15.75" customHeight="1">
      <c r="A223" s="34">
        <v>50701.0</v>
      </c>
      <c r="B223" s="35" t="s">
        <v>238</v>
      </c>
      <c r="C223" s="28">
        <v>5618.0</v>
      </c>
      <c r="D223" s="28">
        <v>3155.0</v>
      </c>
      <c r="E223" s="28">
        <v>24.0</v>
      </c>
      <c r="F223" s="28">
        <v>11.0</v>
      </c>
      <c r="G223" s="28">
        <v>51.0</v>
      </c>
      <c r="H223" s="28">
        <v>2377.0</v>
      </c>
      <c r="I223" s="28">
        <v>6779.0</v>
      </c>
      <c r="J223" s="28">
        <v>4933.0</v>
      </c>
      <c r="K223" s="28">
        <v>24.0</v>
      </c>
      <c r="L223" s="28">
        <v>96.0</v>
      </c>
      <c r="M223" s="28">
        <v>33.0</v>
      </c>
      <c r="N223" s="28">
        <v>1693.0</v>
      </c>
      <c r="O223" s="29">
        <f t="shared" ref="O223:T223" si="224">ROUND(C223 + ((2016-2012)*(I223-C223))/(2024-2012),0)</f>
        <v>6005</v>
      </c>
      <c r="P223" s="36">
        <f t="shared" si="224"/>
        <v>3748</v>
      </c>
      <c r="Q223" s="36">
        <f t="shared" si="224"/>
        <v>24</v>
      </c>
      <c r="R223" s="36">
        <f t="shared" si="224"/>
        <v>39</v>
      </c>
      <c r="S223" s="36">
        <f t="shared" si="224"/>
        <v>45</v>
      </c>
      <c r="T223" s="36">
        <f t="shared" si="224"/>
        <v>2149</v>
      </c>
      <c r="U223" s="36">
        <v>2858.0</v>
      </c>
      <c r="V223" s="31">
        <f t="shared" si="3"/>
        <v>890</v>
      </c>
      <c r="W223" s="31">
        <f t="shared" si="4"/>
        <v>890</v>
      </c>
      <c r="X223" s="32">
        <f t="shared" si="5"/>
        <v>6005</v>
      </c>
      <c r="Y223" s="31">
        <v>145.9999978542328</v>
      </c>
      <c r="Z223" s="33"/>
      <c r="AA223" s="28">
        <v>6252.0</v>
      </c>
      <c r="AB223" s="36">
        <f t="shared" si="7"/>
        <v>7235</v>
      </c>
      <c r="AC223" s="28">
        <v>9202.0</v>
      </c>
      <c r="AD223" s="13"/>
      <c r="AE223" s="13"/>
      <c r="AF223" s="13"/>
      <c r="AG223" s="13"/>
      <c r="AH223" s="13"/>
      <c r="AI223" s="13"/>
      <c r="AJ223" s="13"/>
      <c r="AK223" s="13"/>
      <c r="AL223" s="13"/>
    </row>
    <row r="224" ht="15.75" customHeight="1">
      <c r="A224" s="26">
        <v>50702.0</v>
      </c>
      <c r="B224" s="27" t="s">
        <v>239</v>
      </c>
      <c r="C224" s="28">
        <v>2741.0</v>
      </c>
      <c r="D224" s="28">
        <v>1246.0</v>
      </c>
      <c r="E224" s="28">
        <v>5.0</v>
      </c>
      <c r="F224" s="28">
        <v>5.0</v>
      </c>
      <c r="G224" s="28">
        <v>16.0</v>
      </c>
      <c r="H224" s="28">
        <v>1469.0</v>
      </c>
      <c r="I224" s="28">
        <v>3517.0</v>
      </c>
      <c r="J224" s="28">
        <v>2410.0</v>
      </c>
      <c r="K224" s="28">
        <v>7.0</v>
      </c>
      <c r="L224" s="28">
        <v>54.0</v>
      </c>
      <c r="M224" s="28">
        <v>20.0</v>
      </c>
      <c r="N224" s="28">
        <v>1026.0</v>
      </c>
      <c r="O224" s="29">
        <f t="shared" ref="O224:T224" si="225">ROUND(C224 + ((2016-2012)*(I224-C224))/(2024-2012),0)</f>
        <v>3000</v>
      </c>
      <c r="P224" s="30">
        <f t="shared" si="225"/>
        <v>1634</v>
      </c>
      <c r="Q224" s="30">
        <f t="shared" si="225"/>
        <v>6</v>
      </c>
      <c r="R224" s="30">
        <f t="shared" si="225"/>
        <v>21</v>
      </c>
      <c r="S224" s="30">
        <f t="shared" si="225"/>
        <v>17</v>
      </c>
      <c r="T224" s="30">
        <f t="shared" si="225"/>
        <v>1321</v>
      </c>
      <c r="U224" s="30">
        <v>1273.0</v>
      </c>
      <c r="V224" s="31">
        <f t="shared" si="3"/>
        <v>361</v>
      </c>
      <c r="W224" s="31">
        <f t="shared" si="4"/>
        <v>361</v>
      </c>
      <c r="X224" s="32">
        <f t="shared" si="5"/>
        <v>2999</v>
      </c>
      <c r="Y224" s="31">
        <v>128.9999932050705</v>
      </c>
      <c r="Z224" s="33"/>
      <c r="AA224" s="28">
        <v>3214.0</v>
      </c>
      <c r="AB224" s="30">
        <f t="shared" si="7"/>
        <v>3775</v>
      </c>
      <c r="AC224" s="28">
        <v>4896.0</v>
      </c>
      <c r="AD224" s="13"/>
      <c r="AE224" s="13"/>
      <c r="AF224" s="13"/>
      <c r="AG224" s="13"/>
      <c r="AH224" s="13"/>
      <c r="AI224" s="13"/>
      <c r="AJ224" s="13"/>
      <c r="AK224" s="13"/>
      <c r="AL224" s="13"/>
    </row>
    <row r="225" ht="15.75" customHeight="1">
      <c r="A225" s="34">
        <v>50801.0</v>
      </c>
      <c r="B225" s="35" t="s">
        <v>240</v>
      </c>
      <c r="C225" s="28">
        <v>13319.0</v>
      </c>
      <c r="D225" s="28">
        <v>10966.0</v>
      </c>
      <c r="E225" s="28">
        <v>111.0</v>
      </c>
      <c r="F225" s="28">
        <v>104.0</v>
      </c>
      <c r="G225" s="28">
        <v>54.0</v>
      </c>
      <c r="H225" s="28">
        <v>2084.0</v>
      </c>
      <c r="I225" s="28">
        <v>15876.0</v>
      </c>
      <c r="J225" s="28">
        <v>14084.0</v>
      </c>
      <c r="K225" s="28">
        <v>86.0</v>
      </c>
      <c r="L225" s="28">
        <v>162.0</v>
      </c>
      <c r="M225" s="28">
        <v>111.0</v>
      </c>
      <c r="N225" s="28">
        <v>1433.0</v>
      </c>
      <c r="O225" s="29">
        <f t="shared" ref="O225:T225" si="226">ROUND(C225 + ((2016-2012)*(I225-C225))/(2024-2012),0)</f>
        <v>14171</v>
      </c>
      <c r="P225" s="36">
        <f t="shared" si="226"/>
        <v>12005</v>
      </c>
      <c r="Q225" s="36">
        <f t="shared" si="226"/>
        <v>103</v>
      </c>
      <c r="R225" s="36">
        <f t="shared" si="226"/>
        <v>123</v>
      </c>
      <c r="S225" s="36">
        <f t="shared" si="226"/>
        <v>73</v>
      </c>
      <c r="T225" s="36">
        <f t="shared" si="226"/>
        <v>1867</v>
      </c>
      <c r="U225" s="36">
        <v>12608.0</v>
      </c>
      <c r="V225" s="31">
        <f t="shared" si="3"/>
        <v>-603</v>
      </c>
      <c r="W225" s="31">
        <f t="shared" si="4"/>
        <v>0</v>
      </c>
      <c r="X225" s="32">
        <f t="shared" si="5"/>
        <v>14774</v>
      </c>
      <c r="Y225" s="31">
        <v>453.99999618530273</v>
      </c>
      <c r="Z225" s="33"/>
      <c r="AA225" s="28">
        <v>15537.0</v>
      </c>
      <c r="AB225" s="36">
        <f t="shared" si="7"/>
        <v>16955</v>
      </c>
      <c r="AC225" s="28">
        <v>19790.0</v>
      </c>
      <c r="AD225" s="13"/>
      <c r="AE225" s="13"/>
      <c r="AF225" s="13"/>
      <c r="AG225" s="13"/>
      <c r="AH225" s="13"/>
      <c r="AI225" s="13"/>
      <c r="AJ225" s="13"/>
      <c r="AK225" s="13"/>
      <c r="AL225" s="13"/>
    </row>
    <row r="226" ht="15.75" customHeight="1">
      <c r="A226" s="26">
        <v>50802.0</v>
      </c>
      <c r="B226" s="27" t="s">
        <v>241</v>
      </c>
      <c r="C226" s="28">
        <v>3576.0</v>
      </c>
      <c r="D226" s="28">
        <v>3182.0</v>
      </c>
      <c r="E226" s="28">
        <v>44.0</v>
      </c>
      <c r="F226" s="28">
        <v>86.0</v>
      </c>
      <c r="G226" s="28">
        <v>10.0</v>
      </c>
      <c r="H226" s="28">
        <v>254.0</v>
      </c>
      <c r="I226" s="28">
        <v>3751.0</v>
      </c>
      <c r="J226" s="28">
        <v>3374.0</v>
      </c>
      <c r="K226" s="28">
        <v>62.0</v>
      </c>
      <c r="L226" s="28">
        <v>79.0</v>
      </c>
      <c r="M226" s="28">
        <v>15.0</v>
      </c>
      <c r="N226" s="28">
        <v>221.0</v>
      </c>
      <c r="O226" s="29">
        <f t="shared" ref="O226:T226" si="227">ROUND(C226 + ((2016-2012)*(I226-C226))/(2024-2012),0)</f>
        <v>3634</v>
      </c>
      <c r="P226" s="30">
        <f t="shared" si="227"/>
        <v>3246</v>
      </c>
      <c r="Q226" s="30">
        <f t="shared" si="227"/>
        <v>50</v>
      </c>
      <c r="R226" s="30">
        <f t="shared" si="227"/>
        <v>84</v>
      </c>
      <c r="S226" s="30">
        <f t="shared" si="227"/>
        <v>12</v>
      </c>
      <c r="T226" s="30">
        <f t="shared" si="227"/>
        <v>243</v>
      </c>
      <c r="U226" s="30">
        <v>3137.0</v>
      </c>
      <c r="V226" s="31">
        <f t="shared" si="3"/>
        <v>109</v>
      </c>
      <c r="W226" s="31">
        <f t="shared" si="4"/>
        <v>109</v>
      </c>
      <c r="X226" s="32">
        <f t="shared" si="5"/>
        <v>3635</v>
      </c>
      <c r="Y226" s="31">
        <v>379.9999952316284</v>
      </c>
      <c r="Z226" s="33"/>
      <c r="AA226" s="28">
        <v>4290.0</v>
      </c>
      <c r="AB226" s="30">
        <f t="shared" si="7"/>
        <v>4446</v>
      </c>
      <c r="AC226" s="28">
        <v>4757.0</v>
      </c>
      <c r="AD226" s="13"/>
      <c r="AE226" s="13"/>
      <c r="AF226" s="13"/>
      <c r="AG226" s="13"/>
      <c r="AH226" s="13"/>
      <c r="AI226" s="13"/>
      <c r="AJ226" s="13"/>
      <c r="AK226" s="13"/>
      <c r="AL226" s="13"/>
    </row>
    <row r="227" ht="15.75" customHeight="1">
      <c r="A227" s="34">
        <v>50901.0</v>
      </c>
      <c r="B227" s="35" t="s">
        <v>242</v>
      </c>
      <c r="C227" s="28">
        <v>3307.0</v>
      </c>
      <c r="D227" s="28">
        <v>1906.0</v>
      </c>
      <c r="E227" s="28">
        <v>46.0</v>
      </c>
      <c r="F227" s="28">
        <v>263.0</v>
      </c>
      <c r="G227" s="28">
        <v>215.0</v>
      </c>
      <c r="H227" s="28">
        <v>877.0</v>
      </c>
      <c r="I227" s="28">
        <v>4165.0</v>
      </c>
      <c r="J227" s="28">
        <v>3362.0</v>
      </c>
      <c r="K227" s="28">
        <v>20.0</v>
      </c>
      <c r="L227" s="28">
        <v>290.0</v>
      </c>
      <c r="M227" s="28">
        <v>47.0</v>
      </c>
      <c r="N227" s="28">
        <v>446.0</v>
      </c>
      <c r="O227" s="29">
        <f t="shared" ref="O227:T227" si="228">ROUND(C227 + ((2016-2012)*(I227-C227))/(2024-2012),0)</f>
        <v>3593</v>
      </c>
      <c r="P227" s="36">
        <f t="shared" si="228"/>
        <v>2391</v>
      </c>
      <c r="Q227" s="36">
        <f t="shared" si="228"/>
        <v>37</v>
      </c>
      <c r="R227" s="36">
        <f t="shared" si="228"/>
        <v>272</v>
      </c>
      <c r="S227" s="36">
        <f t="shared" si="228"/>
        <v>159</v>
      </c>
      <c r="T227" s="36">
        <f t="shared" si="228"/>
        <v>733</v>
      </c>
      <c r="U227" s="36">
        <v>1212.0</v>
      </c>
      <c r="V227" s="31">
        <f t="shared" si="3"/>
        <v>1179</v>
      </c>
      <c r="W227" s="31">
        <f t="shared" si="4"/>
        <v>1179</v>
      </c>
      <c r="X227" s="32">
        <f t="shared" si="5"/>
        <v>3592</v>
      </c>
      <c r="Y227" s="31">
        <v>364.00000751018524</v>
      </c>
      <c r="Z227" s="33"/>
      <c r="AA227" s="28">
        <v>4094.0</v>
      </c>
      <c r="AB227" s="36">
        <f t="shared" si="7"/>
        <v>4918</v>
      </c>
      <c r="AC227" s="28">
        <v>6567.0</v>
      </c>
      <c r="AD227" s="13"/>
      <c r="AE227" s="13"/>
      <c r="AF227" s="13"/>
      <c r="AG227" s="13"/>
      <c r="AH227" s="13"/>
      <c r="AI227" s="13"/>
      <c r="AJ227" s="13"/>
      <c r="AK227" s="13"/>
      <c r="AL227" s="13"/>
    </row>
    <row r="228" ht="15.75" customHeight="1">
      <c r="A228" s="26">
        <v>50902.0</v>
      </c>
      <c r="B228" s="27" t="s">
        <v>243</v>
      </c>
      <c r="C228" s="28">
        <v>372.0</v>
      </c>
      <c r="D228" s="28">
        <v>187.0</v>
      </c>
      <c r="E228" s="28">
        <v>14.0</v>
      </c>
      <c r="F228" s="28">
        <v>9.0</v>
      </c>
      <c r="G228" s="28">
        <v>22.0</v>
      </c>
      <c r="H228" s="28">
        <v>140.0</v>
      </c>
      <c r="I228" s="28">
        <v>657.0</v>
      </c>
      <c r="J228" s="28">
        <v>427.0</v>
      </c>
      <c r="K228" s="28">
        <v>64.0</v>
      </c>
      <c r="L228" s="28">
        <v>35.0</v>
      </c>
      <c r="M228" s="28">
        <v>11.0</v>
      </c>
      <c r="N228" s="28">
        <v>120.0</v>
      </c>
      <c r="O228" s="29">
        <f t="shared" ref="O228:T228" si="229">ROUND(C228 + ((2016-2012)*(I228-C228))/(2024-2012),0)</f>
        <v>467</v>
      </c>
      <c r="P228" s="30">
        <f t="shared" si="229"/>
        <v>267</v>
      </c>
      <c r="Q228" s="30">
        <f t="shared" si="229"/>
        <v>31</v>
      </c>
      <c r="R228" s="30">
        <f t="shared" si="229"/>
        <v>18</v>
      </c>
      <c r="S228" s="30">
        <f t="shared" si="229"/>
        <v>18</v>
      </c>
      <c r="T228" s="30">
        <f t="shared" si="229"/>
        <v>133</v>
      </c>
      <c r="U228" s="38">
        <v>534.0</v>
      </c>
      <c r="V228" s="31">
        <f t="shared" si="3"/>
        <v>-267</v>
      </c>
      <c r="W228" s="31">
        <f t="shared" si="4"/>
        <v>0</v>
      </c>
      <c r="X228" s="32">
        <f t="shared" si="5"/>
        <v>734</v>
      </c>
      <c r="Y228" s="31">
        <v>175.49999803304672</v>
      </c>
      <c r="Z228" s="33"/>
      <c r="AA228" s="28">
        <v>493.0</v>
      </c>
      <c r="AB228" s="30">
        <f t="shared" si="7"/>
        <v>622</v>
      </c>
      <c r="AC228" s="28">
        <v>879.0</v>
      </c>
      <c r="AD228" s="13"/>
      <c r="AE228" s="13"/>
      <c r="AF228" s="13"/>
      <c r="AG228" s="13"/>
      <c r="AH228" s="13"/>
      <c r="AI228" s="13"/>
      <c r="AJ228" s="13"/>
      <c r="AK228" s="13"/>
      <c r="AL228" s="13"/>
    </row>
    <row r="229" ht="15.75" customHeight="1">
      <c r="A229" s="34">
        <v>51001.0</v>
      </c>
      <c r="B229" s="35" t="s">
        <v>244</v>
      </c>
      <c r="C229" s="28">
        <v>871.0</v>
      </c>
      <c r="D229" s="28">
        <v>358.0</v>
      </c>
      <c r="E229" s="28">
        <v>7.0</v>
      </c>
      <c r="F229" s="28">
        <v>305.0</v>
      </c>
      <c r="G229" s="28">
        <v>9.0</v>
      </c>
      <c r="H229" s="28">
        <v>192.0</v>
      </c>
      <c r="I229" s="28">
        <v>1111.0</v>
      </c>
      <c r="J229" s="28">
        <v>347.0</v>
      </c>
      <c r="K229" s="28">
        <v>51.0</v>
      </c>
      <c r="L229" s="28">
        <v>246.0</v>
      </c>
      <c r="M229" s="28">
        <v>85.0</v>
      </c>
      <c r="N229" s="28">
        <v>382.0</v>
      </c>
      <c r="O229" s="29">
        <f t="shared" ref="O229:T229" si="230">ROUND(C229 + ((2016-2012)*(I229-C229))/(2024-2012),0)</f>
        <v>951</v>
      </c>
      <c r="P229" s="36">
        <f t="shared" si="230"/>
        <v>354</v>
      </c>
      <c r="Q229" s="36">
        <f t="shared" si="230"/>
        <v>22</v>
      </c>
      <c r="R229" s="36">
        <f t="shared" si="230"/>
        <v>285</v>
      </c>
      <c r="S229" s="36">
        <f t="shared" si="230"/>
        <v>34</v>
      </c>
      <c r="T229" s="36">
        <f t="shared" si="230"/>
        <v>255</v>
      </c>
      <c r="U229" s="37">
        <v>552.0</v>
      </c>
      <c r="V229" s="31">
        <f t="shared" si="3"/>
        <v>-198</v>
      </c>
      <c r="W229" s="31">
        <f t="shared" si="4"/>
        <v>0</v>
      </c>
      <c r="X229" s="32">
        <f t="shared" si="5"/>
        <v>1148</v>
      </c>
      <c r="Y229" s="31">
        <v>172.99999296665192</v>
      </c>
      <c r="Z229" s="33"/>
      <c r="AA229" s="28">
        <v>1208.0</v>
      </c>
      <c r="AB229" s="36">
        <f t="shared" si="7"/>
        <v>1377</v>
      </c>
      <c r="AC229" s="28">
        <v>1715.0</v>
      </c>
      <c r="AD229" s="13"/>
      <c r="AE229" s="13"/>
      <c r="AF229" s="13"/>
      <c r="AG229" s="13"/>
      <c r="AH229" s="13"/>
      <c r="AI229" s="13"/>
      <c r="AJ229" s="13"/>
      <c r="AK229" s="13"/>
      <c r="AL229" s="13"/>
    </row>
    <row r="230" ht="15.75" customHeight="1">
      <c r="A230" s="26">
        <v>51002.0</v>
      </c>
      <c r="B230" s="27" t="s">
        <v>245</v>
      </c>
      <c r="C230" s="28">
        <v>358.0</v>
      </c>
      <c r="D230" s="28">
        <v>74.0</v>
      </c>
      <c r="E230" s="28">
        <v>3.0</v>
      </c>
      <c r="F230" s="28">
        <v>38.0</v>
      </c>
      <c r="G230" s="28">
        <v>1.0</v>
      </c>
      <c r="H230" s="28">
        <v>242.0</v>
      </c>
      <c r="I230" s="28">
        <v>324.0</v>
      </c>
      <c r="J230" s="28">
        <v>74.0</v>
      </c>
      <c r="K230" s="28">
        <v>8.0</v>
      </c>
      <c r="L230" s="28">
        <v>29.0</v>
      </c>
      <c r="M230" s="28">
        <v>1.0</v>
      </c>
      <c r="N230" s="28">
        <v>212.0</v>
      </c>
      <c r="O230" s="29">
        <f t="shared" ref="O230:T230" si="231">ROUND(C230 + ((2016-2012)*(I230-C230))/(2024-2012),0)</f>
        <v>347</v>
      </c>
      <c r="P230" s="30">
        <f t="shared" si="231"/>
        <v>74</v>
      </c>
      <c r="Q230" s="30">
        <f t="shared" si="231"/>
        <v>5</v>
      </c>
      <c r="R230" s="30">
        <f t="shared" si="231"/>
        <v>35</v>
      </c>
      <c r="S230" s="30">
        <f t="shared" si="231"/>
        <v>1</v>
      </c>
      <c r="T230" s="30">
        <f t="shared" si="231"/>
        <v>232</v>
      </c>
      <c r="U230" s="38">
        <v>0.0</v>
      </c>
      <c r="V230" s="31">
        <f t="shared" si="3"/>
        <v>74</v>
      </c>
      <c r="W230" s="31">
        <f t="shared" si="4"/>
        <v>74</v>
      </c>
      <c r="X230" s="32">
        <f t="shared" si="5"/>
        <v>347</v>
      </c>
      <c r="Y230" s="31">
        <v>0.0</v>
      </c>
      <c r="Z230" s="33"/>
      <c r="AA230" s="28">
        <v>428.0</v>
      </c>
      <c r="AB230" s="30">
        <f t="shared" si="7"/>
        <v>429</v>
      </c>
      <c r="AC230" s="28">
        <v>431.0</v>
      </c>
      <c r="AD230" s="13"/>
      <c r="AE230" s="13"/>
      <c r="AF230" s="13"/>
      <c r="AG230" s="13"/>
      <c r="AH230" s="13"/>
      <c r="AI230" s="13"/>
      <c r="AJ230" s="13"/>
      <c r="AK230" s="13"/>
      <c r="AL230" s="13"/>
    </row>
    <row r="231" ht="15.75" customHeight="1">
      <c r="A231" s="34">
        <v>51003.0</v>
      </c>
      <c r="B231" s="35" t="s">
        <v>246</v>
      </c>
      <c r="C231" s="28">
        <v>715.0</v>
      </c>
      <c r="D231" s="28">
        <v>224.0</v>
      </c>
      <c r="E231" s="28">
        <v>2.0</v>
      </c>
      <c r="F231" s="28">
        <v>226.0</v>
      </c>
      <c r="G231" s="28">
        <v>2.0</v>
      </c>
      <c r="H231" s="28">
        <v>261.0</v>
      </c>
      <c r="I231" s="28">
        <v>690.0</v>
      </c>
      <c r="J231" s="28">
        <v>240.0</v>
      </c>
      <c r="K231" s="28">
        <v>4.0</v>
      </c>
      <c r="L231" s="28">
        <v>38.0</v>
      </c>
      <c r="M231" s="28">
        <v>0.0</v>
      </c>
      <c r="N231" s="28">
        <v>408.0</v>
      </c>
      <c r="O231" s="29">
        <f t="shared" ref="O231:T231" si="232">ROUND(C231 + ((2016-2012)*(I231-C231))/(2024-2012),0)</f>
        <v>707</v>
      </c>
      <c r="P231" s="36">
        <f t="shared" si="232"/>
        <v>229</v>
      </c>
      <c r="Q231" s="36">
        <f t="shared" si="232"/>
        <v>3</v>
      </c>
      <c r="R231" s="36">
        <f t="shared" si="232"/>
        <v>163</v>
      </c>
      <c r="S231" s="36">
        <f t="shared" si="232"/>
        <v>1</v>
      </c>
      <c r="T231" s="36">
        <f t="shared" si="232"/>
        <v>310</v>
      </c>
      <c r="U231" s="37">
        <v>147.0</v>
      </c>
      <c r="V231" s="31">
        <f t="shared" si="3"/>
        <v>82</v>
      </c>
      <c r="W231" s="31">
        <f t="shared" si="4"/>
        <v>82</v>
      </c>
      <c r="X231" s="32">
        <f t="shared" si="5"/>
        <v>706</v>
      </c>
      <c r="Y231" s="31">
        <v>216.99999272823334</v>
      </c>
      <c r="Z231" s="33"/>
      <c r="AA231" s="28">
        <v>939.0</v>
      </c>
      <c r="AB231" s="36">
        <f t="shared" si="7"/>
        <v>993</v>
      </c>
      <c r="AC231" s="28">
        <v>1100.0</v>
      </c>
      <c r="AD231" s="13"/>
      <c r="AE231" s="13"/>
      <c r="AF231" s="13"/>
      <c r="AG231" s="13"/>
      <c r="AH231" s="13"/>
      <c r="AI231" s="13"/>
      <c r="AJ231" s="13"/>
      <c r="AK231" s="13"/>
      <c r="AL231" s="13"/>
    </row>
    <row r="232" ht="15.75" customHeight="1">
      <c r="A232" s="26">
        <v>51101.0</v>
      </c>
      <c r="B232" s="27" t="s">
        <v>247</v>
      </c>
      <c r="C232" s="28">
        <v>7103.0</v>
      </c>
      <c r="D232" s="28">
        <v>4779.0</v>
      </c>
      <c r="E232" s="28">
        <v>13.0</v>
      </c>
      <c r="F232" s="28">
        <v>23.0</v>
      </c>
      <c r="G232" s="28">
        <v>48.0</v>
      </c>
      <c r="H232" s="28">
        <v>2240.0</v>
      </c>
      <c r="I232" s="28">
        <v>6251.0</v>
      </c>
      <c r="J232" s="28">
        <v>4963.0</v>
      </c>
      <c r="K232" s="28">
        <v>14.0</v>
      </c>
      <c r="L232" s="28">
        <v>41.0</v>
      </c>
      <c r="M232" s="28">
        <v>32.0</v>
      </c>
      <c r="N232" s="28">
        <v>1201.0</v>
      </c>
      <c r="O232" s="29">
        <f t="shared" ref="O232:T232" si="233">ROUND(C232 + ((2016-2012)*(I232-C232))/(2024-2012),0)</f>
        <v>6819</v>
      </c>
      <c r="P232" s="30">
        <f t="shared" si="233"/>
        <v>4840</v>
      </c>
      <c r="Q232" s="30">
        <f t="shared" si="233"/>
        <v>13</v>
      </c>
      <c r="R232" s="30">
        <f t="shared" si="233"/>
        <v>29</v>
      </c>
      <c r="S232" s="30">
        <f t="shared" si="233"/>
        <v>43</v>
      </c>
      <c r="T232" s="30">
        <f t="shared" si="233"/>
        <v>1894</v>
      </c>
      <c r="U232" s="30">
        <v>5346.0</v>
      </c>
      <c r="V232" s="31">
        <f t="shared" si="3"/>
        <v>-506</v>
      </c>
      <c r="W232" s="31">
        <f t="shared" si="4"/>
        <v>0</v>
      </c>
      <c r="X232" s="32">
        <f t="shared" si="5"/>
        <v>7325</v>
      </c>
      <c r="Y232" s="31">
        <v>150.00000596046448</v>
      </c>
      <c r="Z232" s="33"/>
      <c r="AA232" s="28">
        <v>8970.0</v>
      </c>
      <c r="AB232" s="30">
        <f t="shared" si="7"/>
        <v>9394</v>
      </c>
      <c r="AC232" s="28">
        <v>10242.0</v>
      </c>
      <c r="AD232" s="13"/>
      <c r="AE232" s="13"/>
      <c r="AF232" s="13"/>
      <c r="AG232" s="13"/>
      <c r="AH232" s="13"/>
      <c r="AI232" s="13"/>
      <c r="AJ232" s="13"/>
      <c r="AK232" s="13"/>
      <c r="AL232" s="13"/>
    </row>
    <row r="233" ht="15.75" customHeight="1">
      <c r="A233" s="34">
        <v>51102.0</v>
      </c>
      <c r="B233" s="35" t="s">
        <v>248</v>
      </c>
      <c r="C233" s="28">
        <v>3543.0</v>
      </c>
      <c r="D233" s="28">
        <v>2345.0</v>
      </c>
      <c r="E233" s="28">
        <v>11.0</v>
      </c>
      <c r="F233" s="28">
        <v>32.0</v>
      </c>
      <c r="G233" s="28">
        <v>13.0</v>
      </c>
      <c r="H233" s="28">
        <v>1142.0</v>
      </c>
      <c r="I233" s="28">
        <v>4643.0</v>
      </c>
      <c r="J233" s="28">
        <v>3521.0</v>
      </c>
      <c r="K233" s="28">
        <v>20.0</v>
      </c>
      <c r="L233" s="28">
        <v>67.0</v>
      </c>
      <c r="M233" s="28">
        <v>43.0</v>
      </c>
      <c r="N233" s="28">
        <v>992.0</v>
      </c>
      <c r="O233" s="29">
        <f t="shared" ref="O233:T233" si="234">ROUND(C233 + ((2016-2012)*(I233-C233))/(2024-2012),0)</f>
        <v>3910</v>
      </c>
      <c r="P233" s="36">
        <f t="shared" si="234"/>
        <v>2737</v>
      </c>
      <c r="Q233" s="36">
        <f t="shared" si="234"/>
        <v>14</v>
      </c>
      <c r="R233" s="36">
        <f t="shared" si="234"/>
        <v>44</v>
      </c>
      <c r="S233" s="36">
        <f t="shared" si="234"/>
        <v>23</v>
      </c>
      <c r="T233" s="36">
        <f t="shared" si="234"/>
        <v>1092</v>
      </c>
      <c r="U233" s="36">
        <v>2831.0</v>
      </c>
      <c r="V233" s="31">
        <f t="shared" si="3"/>
        <v>-94</v>
      </c>
      <c r="W233" s="31">
        <f t="shared" si="4"/>
        <v>0</v>
      </c>
      <c r="X233" s="32">
        <f t="shared" si="5"/>
        <v>4004</v>
      </c>
      <c r="Y233" s="31">
        <v>167.9999977350235</v>
      </c>
      <c r="Z233" s="33"/>
      <c r="AA233" s="28">
        <v>3984.0</v>
      </c>
      <c r="AB233" s="36">
        <f t="shared" si="7"/>
        <v>4667</v>
      </c>
      <c r="AC233" s="28">
        <v>6032.0</v>
      </c>
      <c r="AD233" s="13"/>
      <c r="AE233" s="13"/>
      <c r="AF233" s="13"/>
      <c r="AG233" s="13"/>
      <c r="AH233" s="13"/>
      <c r="AI233" s="13"/>
      <c r="AJ233" s="13"/>
      <c r="AK233" s="13"/>
      <c r="AL233" s="13"/>
    </row>
    <row r="234" ht="15.75" customHeight="1">
      <c r="A234" s="26">
        <v>51103.0</v>
      </c>
      <c r="B234" s="27" t="s">
        <v>249</v>
      </c>
      <c r="C234" s="28">
        <v>3826.0</v>
      </c>
      <c r="D234" s="28">
        <v>1491.0</v>
      </c>
      <c r="E234" s="28">
        <v>8.0</v>
      </c>
      <c r="F234" s="28">
        <v>355.0</v>
      </c>
      <c r="G234" s="28">
        <v>123.0</v>
      </c>
      <c r="H234" s="28">
        <v>1849.0</v>
      </c>
      <c r="I234" s="28">
        <v>4203.0</v>
      </c>
      <c r="J234" s="28">
        <v>2750.0</v>
      </c>
      <c r="K234" s="28">
        <v>8.0</v>
      </c>
      <c r="L234" s="28">
        <v>98.0</v>
      </c>
      <c r="M234" s="28">
        <v>30.0</v>
      </c>
      <c r="N234" s="28">
        <v>1317.0</v>
      </c>
      <c r="O234" s="29">
        <f t="shared" ref="O234:T234" si="235">ROUND(C234 + ((2016-2012)*(I234-C234))/(2024-2012),0)</f>
        <v>3952</v>
      </c>
      <c r="P234" s="30">
        <f t="shared" si="235"/>
        <v>1911</v>
      </c>
      <c r="Q234" s="30">
        <f t="shared" si="235"/>
        <v>8</v>
      </c>
      <c r="R234" s="30">
        <f t="shared" si="235"/>
        <v>269</v>
      </c>
      <c r="S234" s="30">
        <f t="shared" si="235"/>
        <v>92</v>
      </c>
      <c r="T234" s="30">
        <f t="shared" si="235"/>
        <v>1672</v>
      </c>
      <c r="U234" s="30">
        <v>998.0</v>
      </c>
      <c r="V234" s="31">
        <f t="shared" si="3"/>
        <v>913</v>
      </c>
      <c r="W234" s="31">
        <f t="shared" si="4"/>
        <v>913</v>
      </c>
      <c r="X234" s="32">
        <f t="shared" si="5"/>
        <v>3952</v>
      </c>
      <c r="Y234" s="31">
        <v>131.99999928474426</v>
      </c>
      <c r="Z234" s="33"/>
      <c r="AA234" s="28">
        <v>4315.0</v>
      </c>
      <c r="AB234" s="30">
        <f t="shared" si="7"/>
        <v>4803</v>
      </c>
      <c r="AC234" s="28">
        <v>5780.0</v>
      </c>
      <c r="AD234" s="13"/>
      <c r="AE234" s="13"/>
      <c r="AF234" s="13"/>
      <c r="AG234" s="13"/>
      <c r="AH234" s="13"/>
      <c r="AI234" s="13"/>
      <c r="AJ234" s="13"/>
      <c r="AK234" s="13"/>
      <c r="AL234" s="13"/>
    </row>
    <row r="235" ht="15.75" customHeight="1">
      <c r="A235" s="34">
        <v>51201.0</v>
      </c>
      <c r="B235" s="35" t="s">
        <v>250</v>
      </c>
      <c r="C235" s="28">
        <v>9597.0</v>
      </c>
      <c r="D235" s="28">
        <v>7458.0</v>
      </c>
      <c r="E235" s="28">
        <v>41.0</v>
      </c>
      <c r="F235" s="28">
        <v>181.0</v>
      </c>
      <c r="G235" s="28">
        <v>52.0</v>
      </c>
      <c r="H235" s="28">
        <v>1865.0</v>
      </c>
      <c r="I235" s="28">
        <v>13134.0</v>
      </c>
      <c r="J235" s="28">
        <v>11718.0</v>
      </c>
      <c r="K235" s="28">
        <v>37.0</v>
      </c>
      <c r="L235" s="28">
        <v>159.0</v>
      </c>
      <c r="M235" s="28">
        <v>70.0</v>
      </c>
      <c r="N235" s="28">
        <v>1150.0</v>
      </c>
      <c r="O235" s="29">
        <f t="shared" ref="O235:T235" si="236">ROUND(C235 + ((2016-2012)*(I235-C235))/(2024-2012),0)</f>
        <v>10776</v>
      </c>
      <c r="P235" s="36">
        <f t="shared" si="236"/>
        <v>8878</v>
      </c>
      <c r="Q235" s="36">
        <f t="shared" si="236"/>
        <v>40</v>
      </c>
      <c r="R235" s="36">
        <f t="shared" si="236"/>
        <v>174</v>
      </c>
      <c r="S235" s="36">
        <f t="shared" si="236"/>
        <v>58</v>
      </c>
      <c r="T235" s="36">
        <f t="shared" si="236"/>
        <v>1627</v>
      </c>
      <c r="U235" s="36">
        <v>8657.0</v>
      </c>
      <c r="V235" s="31">
        <f t="shared" si="3"/>
        <v>221</v>
      </c>
      <c r="W235" s="31">
        <f t="shared" si="4"/>
        <v>221</v>
      </c>
      <c r="X235" s="32">
        <f t="shared" si="5"/>
        <v>10777</v>
      </c>
      <c r="Y235" s="31">
        <v>381.99999928474426</v>
      </c>
      <c r="Z235" s="33"/>
      <c r="AA235" s="28">
        <v>11486.0</v>
      </c>
      <c r="AB235" s="36">
        <f t="shared" si="7"/>
        <v>13250</v>
      </c>
      <c r="AC235" s="28">
        <v>16778.0</v>
      </c>
      <c r="AD235" s="13"/>
      <c r="AE235" s="13"/>
      <c r="AF235" s="13"/>
      <c r="AG235" s="13"/>
      <c r="AH235" s="13"/>
      <c r="AI235" s="13"/>
      <c r="AJ235" s="13"/>
      <c r="AK235" s="13"/>
      <c r="AL235" s="13"/>
    </row>
    <row r="236" ht="15.75" customHeight="1">
      <c r="A236" s="26">
        <v>51202.0</v>
      </c>
      <c r="B236" s="27" t="s">
        <v>251</v>
      </c>
      <c r="C236" s="28">
        <v>3077.0</v>
      </c>
      <c r="D236" s="28">
        <v>1612.0</v>
      </c>
      <c r="E236" s="28">
        <v>29.0</v>
      </c>
      <c r="F236" s="28">
        <v>113.0</v>
      </c>
      <c r="G236" s="28">
        <v>17.0</v>
      </c>
      <c r="H236" s="28">
        <v>1306.0</v>
      </c>
      <c r="I236" s="28">
        <v>3317.0</v>
      </c>
      <c r="J236" s="28">
        <v>2456.0</v>
      </c>
      <c r="K236" s="28">
        <v>4.0</v>
      </c>
      <c r="L236" s="28">
        <v>112.0</v>
      </c>
      <c r="M236" s="28">
        <v>12.0</v>
      </c>
      <c r="N236" s="28">
        <v>733.0</v>
      </c>
      <c r="O236" s="29">
        <f t="shared" ref="O236:T236" si="237">ROUND(C236 + ((2016-2012)*(I236-C236))/(2024-2012),0)</f>
        <v>3157</v>
      </c>
      <c r="P236" s="30">
        <f t="shared" si="237"/>
        <v>1893</v>
      </c>
      <c r="Q236" s="30">
        <f t="shared" si="237"/>
        <v>21</v>
      </c>
      <c r="R236" s="30">
        <f t="shared" si="237"/>
        <v>113</v>
      </c>
      <c r="S236" s="30">
        <f t="shared" si="237"/>
        <v>15</v>
      </c>
      <c r="T236" s="30">
        <f t="shared" si="237"/>
        <v>1115</v>
      </c>
      <c r="U236" s="30">
        <v>2138.0</v>
      </c>
      <c r="V236" s="31">
        <f t="shared" si="3"/>
        <v>-245</v>
      </c>
      <c r="W236" s="31">
        <f t="shared" si="4"/>
        <v>0</v>
      </c>
      <c r="X236" s="32">
        <f t="shared" si="5"/>
        <v>3402</v>
      </c>
      <c r="Y236" s="31">
        <v>129.99999523162842</v>
      </c>
      <c r="Z236" s="33"/>
      <c r="AA236" s="28">
        <v>3882.0</v>
      </c>
      <c r="AB236" s="30">
        <f t="shared" si="7"/>
        <v>4216</v>
      </c>
      <c r="AC236" s="28">
        <v>4884.0</v>
      </c>
      <c r="AD236" s="13"/>
      <c r="AE236" s="13"/>
      <c r="AF236" s="13"/>
      <c r="AG236" s="13"/>
      <c r="AH236" s="13"/>
      <c r="AI236" s="13"/>
      <c r="AJ236" s="13"/>
      <c r="AK236" s="13"/>
      <c r="AL236" s="13"/>
    </row>
    <row r="237" ht="15.75" customHeight="1">
      <c r="A237" s="34">
        <v>51203.0</v>
      </c>
      <c r="B237" s="35" t="s">
        <v>252</v>
      </c>
      <c r="C237" s="28">
        <v>3156.0</v>
      </c>
      <c r="D237" s="28">
        <v>2465.0</v>
      </c>
      <c r="E237" s="28">
        <v>13.0</v>
      </c>
      <c r="F237" s="28">
        <v>21.0</v>
      </c>
      <c r="G237" s="28">
        <v>38.0</v>
      </c>
      <c r="H237" s="28">
        <v>619.0</v>
      </c>
      <c r="I237" s="28">
        <v>5286.0</v>
      </c>
      <c r="J237" s="28">
        <v>4880.0</v>
      </c>
      <c r="K237" s="28">
        <v>18.0</v>
      </c>
      <c r="L237" s="28">
        <v>75.0</v>
      </c>
      <c r="M237" s="28">
        <v>8.0</v>
      </c>
      <c r="N237" s="28">
        <v>305.0</v>
      </c>
      <c r="O237" s="29">
        <f t="shared" ref="O237:T237" si="238">ROUND(C237 + ((2016-2012)*(I237-C237))/(2024-2012),0)</f>
        <v>3866</v>
      </c>
      <c r="P237" s="36">
        <f t="shared" si="238"/>
        <v>3270</v>
      </c>
      <c r="Q237" s="36">
        <f t="shared" si="238"/>
        <v>15</v>
      </c>
      <c r="R237" s="36">
        <f t="shared" si="238"/>
        <v>39</v>
      </c>
      <c r="S237" s="36">
        <f t="shared" si="238"/>
        <v>28</v>
      </c>
      <c r="T237" s="36">
        <f t="shared" si="238"/>
        <v>514</v>
      </c>
      <c r="U237" s="36">
        <v>1905.0</v>
      </c>
      <c r="V237" s="31">
        <f t="shared" si="3"/>
        <v>1365</v>
      </c>
      <c r="W237" s="31">
        <f t="shared" si="4"/>
        <v>1365</v>
      </c>
      <c r="X237" s="32">
        <f t="shared" si="5"/>
        <v>3866</v>
      </c>
      <c r="Y237" s="31">
        <v>527.999997138977</v>
      </c>
      <c r="Z237" s="33"/>
      <c r="AA237" s="28">
        <v>3433.0</v>
      </c>
      <c r="AB237" s="36">
        <f t="shared" si="7"/>
        <v>4256</v>
      </c>
      <c r="AC237" s="28">
        <v>5902.0</v>
      </c>
      <c r="AD237" s="13"/>
      <c r="AE237" s="13"/>
      <c r="AF237" s="13"/>
      <c r="AG237" s="13"/>
      <c r="AH237" s="13"/>
      <c r="AI237" s="13"/>
      <c r="AJ237" s="13"/>
      <c r="AK237" s="13"/>
      <c r="AL237" s="13"/>
    </row>
    <row r="238" ht="15.75" customHeight="1">
      <c r="A238" s="26">
        <v>51204.0</v>
      </c>
      <c r="B238" s="27" t="s">
        <v>253</v>
      </c>
      <c r="C238" s="28">
        <v>2139.0</v>
      </c>
      <c r="D238" s="28">
        <v>1369.0</v>
      </c>
      <c r="E238" s="28">
        <v>2.0</v>
      </c>
      <c r="F238" s="28">
        <v>14.0</v>
      </c>
      <c r="G238" s="28">
        <v>0.0</v>
      </c>
      <c r="H238" s="28">
        <v>754.0</v>
      </c>
      <c r="I238" s="28">
        <v>2607.0</v>
      </c>
      <c r="J238" s="28">
        <v>1942.0</v>
      </c>
      <c r="K238" s="28">
        <v>2.0</v>
      </c>
      <c r="L238" s="28">
        <v>34.0</v>
      </c>
      <c r="M238" s="28">
        <v>16.0</v>
      </c>
      <c r="N238" s="28">
        <v>613.0</v>
      </c>
      <c r="O238" s="29">
        <f t="shared" ref="O238:T238" si="239">ROUND(C238 + ((2016-2012)*(I238-C238))/(2024-2012),0)</f>
        <v>2295</v>
      </c>
      <c r="P238" s="30">
        <f t="shared" si="239"/>
        <v>1560</v>
      </c>
      <c r="Q238" s="30">
        <f t="shared" si="239"/>
        <v>2</v>
      </c>
      <c r="R238" s="30">
        <f t="shared" si="239"/>
        <v>21</v>
      </c>
      <c r="S238" s="30">
        <f t="shared" si="239"/>
        <v>5</v>
      </c>
      <c r="T238" s="30">
        <f t="shared" si="239"/>
        <v>707</v>
      </c>
      <c r="U238" s="38">
        <v>0.0</v>
      </c>
      <c r="V238" s="31">
        <f t="shared" si="3"/>
        <v>1560</v>
      </c>
      <c r="W238" s="31">
        <f t="shared" si="4"/>
        <v>1560</v>
      </c>
      <c r="X238" s="32">
        <f t="shared" si="5"/>
        <v>2295</v>
      </c>
      <c r="Y238" s="31">
        <v>0.0</v>
      </c>
      <c r="Z238" s="33"/>
      <c r="AA238" s="28">
        <v>2864.0</v>
      </c>
      <c r="AB238" s="30">
        <f t="shared" si="7"/>
        <v>3147</v>
      </c>
      <c r="AC238" s="28">
        <v>3712.0</v>
      </c>
      <c r="AD238" s="13"/>
      <c r="AE238" s="13"/>
      <c r="AF238" s="13"/>
      <c r="AG238" s="13"/>
      <c r="AH238" s="13"/>
      <c r="AI238" s="13"/>
      <c r="AJ238" s="13"/>
      <c r="AK238" s="13"/>
      <c r="AL238" s="13"/>
    </row>
    <row r="239" ht="15.75" customHeight="1">
      <c r="A239" s="34">
        <v>51301.0</v>
      </c>
      <c r="B239" s="35" t="s">
        <v>254</v>
      </c>
      <c r="C239" s="28">
        <v>1298.0</v>
      </c>
      <c r="D239" s="28">
        <v>557.0</v>
      </c>
      <c r="E239" s="28">
        <v>19.0</v>
      </c>
      <c r="F239" s="28">
        <v>15.0</v>
      </c>
      <c r="G239" s="28">
        <v>0.0</v>
      </c>
      <c r="H239" s="28">
        <v>707.0</v>
      </c>
      <c r="I239" s="28">
        <v>1457.0</v>
      </c>
      <c r="J239" s="28">
        <v>1001.0</v>
      </c>
      <c r="K239" s="28">
        <v>1.0</v>
      </c>
      <c r="L239" s="28">
        <v>10.0</v>
      </c>
      <c r="M239" s="28">
        <v>6.0</v>
      </c>
      <c r="N239" s="28">
        <v>439.0</v>
      </c>
      <c r="O239" s="29">
        <f t="shared" ref="O239:T239" si="240">ROUND(C239 + ((2016-2012)*(I239-C239))/(2024-2012),0)</f>
        <v>1351</v>
      </c>
      <c r="P239" s="36">
        <f t="shared" si="240"/>
        <v>705</v>
      </c>
      <c r="Q239" s="36">
        <f t="shared" si="240"/>
        <v>13</v>
      </c>
      <c r="R239" s="36">
        <f t="shared" si="240"/>
        <v>13</v>
      </c>
      <c r="S239" s="36">
        <f t="shared" si="240"/>
        <v>2</v>
      </c>
      <c r="T239" s="36">
        <f t="shared" si="240"/>
        <v>618</v>
      </c>
      <c r="U239" s="37">
        <v>633.0</v>
      </c>
      <c r="V239" s="31">
        <f t="shared" si="3"/>
        <v>72</v>
      </c>
      <c r="W239" s="31">
        <f t="shared" si="4"/>
        <v>72</v>
      </c>
      <c r="X239" s="32">
        <f t="shared" si="5"/>
        <v>1351</v>
      </c>
      <c r="Y239" s="31">
        <v>85.00000089406967</v>
      </c>
      <c r="Z239" s="33"/>
      <c r="AA239" s="28">
        <v>1572.0</v>
      </c>
      <c r="AB239" s="36">
        <f t="shared" si="7"/>
        <v>1752</v>
      </c>
      <c r="AC239" s="28">
        <v>2112.0</v>
      </c>
      <c r="AD239" s="13"/>
      <c r="AE239" s="13"/>
      <c r="AF239" s="13"/>
      <c r="AG239" s="13"/>
      <c r="AH239" s="13"/>
      <c r="AI239" s="13"/>
      <c r="AJ239" s="13"/>
      <c r="AK239" s="13"/>
      <c r="AL239" s="13"/>
    </row>
    <row r="240" ht="15.75" customHeight="1">
      <c r="A240" s="26">
        <v>51302.0</v>
      </c>
      <c r="B240" s="27" t="s">
        <v>255</v>
      </c>
      <c r="C240" s="28">
        <v>1719.0</v>
      </c>
      <c r="D240" s="28">
        <v>1080.0</v>
      </c>
      <c r="E240" s="28">
        <v>3.0</v>
      </c>
      <c r="F240" s="28">
        <v>4.0</v>
      </c>
      <c r="G240" s="28">
        <v>2.0</v>
      </c>
      <c r="H240" s="28">
        <v>630.0</v>
      </c>
      <c r="I240" s="28">
        <v>1831.0</v>
      </c>
      <c r="J240" s="28">
        <v>1301.0</v>
      </c>
      <c r="K240" s="28">
        <v>2.0</v>
      </c>
      <c r="L240" s="28">
        <v>27.0</v>
      </c>
      <c r="M240" s="28">
        <v>4.0</v>
      </c>
      <c r="N240" s="28">
        <v>497.0</v>
      </c>
      <c r="O240" s="29">
        <f t="shared" ref="O240:T240" si="241">ROUND(C240 + ((2016-2012)*(I240-C240))/(2024-2012),0)</f>
        <v>1756</v>
      </c>
      <c r="P240" s="30">
        <f t="shared" si="241"/>
        <v>1154</v>
      </c>
      <c r="Q240" s="30">
        <f t="shared" si="241"/>
        <v>3</v>
      </c>
      <c r="R240" s="30">
        <f t="shared" si="241"/>
        <v>12</v>
      </c>
      <c r="S240" s="30">
        <f t="shared" si="241"/>
        <v>3</v>
      </c>
      <c r="T240" s="30">
        <f t="shared" si="241"/>
        <v>586</v>
      </c>
      <c r="U240" s="30">
        <v>1106.0</v>
      </c>
      <c r="V240" s="31">
        <f t="shared" si="3"/>
        <v>48</v>
      </c>
      <c r="W240" s="31">
        <f t="shared" si="4"/>
        <v>48</v>
      </c>
      <c r="X240" s="32">
        <f t="shared" si="5"/>
        <v>1758</v>
      </c>
      <c r="Y240" s="31">
        <v>82.99999684095383</v>
      </c>
      <c r="Z240" s="33"/>
      <c r="AA240" s="28">
        <v>2069.0</v>
      </c>
      <c r="AB240" s="30">
        <f t="shared" si="7"/>
        <v>2288</v>
      </c>
      <c r="AC240" s="28">
        <v>2727.0</v>
      </c>
      <c r="AD240" s="13"/>
      <c r="AE240" s="13"/>
      <c r="AF240" s="13"/>
      <c r="AG240" s="13"/>
      <c r="AH240" s="13"/>
      <c r="AI240" s="13"/>
      <c r="AJ240" s="13"/>
      <c r="AK240" s="13"/>
      <c r="AL240" s="13"/>
    </row>
    <row r="241" ht="15.75" customHeight="1">
      <c r="A241" s="34">
        <v>51401.0</v>
      </c>
      <c r="B241" s="35" t="s">
        <v>256</v>
      </c>
      <c r="C241" s="28">
        <v>1504.0</v>
      </c>
      <c r="D241" s="28">
        <v>608.0</v>
      </c>
      <c r="E241" s="28">
        <v>25.0</v>
      </c>
      <c r="F241" s="28">
        <v>173.0</v>
      </c>
      <c r="G241" s="28">
        <v>18.0</v>
      </c>
      <c r="H241" s="28">
        <v>680.0</v>
      </c>
      <c r="I241" s="28">
        <v>1856.0</v>
      </c>
      <c r="J241" s="28">
        <v>1675.0</v>
      </c>
      <c r="K241" s="28">
        <v>5.0</v>
      </c>
      <c r="L241" s="28">
        <v>21.0</v>
      </c>
      <c r="M241" s="28">
        <v>11.0</v>
      </c>
      <c r="N241" s="28">
        <v>144.0</v>
      </c>
      <c r="O241" s="29">
        <f t="shared" ref="O241:T241" si="242">ROUND(C241 + ((2016-2012)*(I241-C241))/(2024-2012),0)</f>
        <v>1621</v>
      </c>
      <c r="P241" s="36">
        <f t="shared" si="242"/>
        <v>964</v>
      </c>
      <c r="Q241" s="36">
        <f t="shared" si="242"/>
        <v>18</v>
      </c>
      <c r="R241" s="36">
        <f t="shared" si="242"/>
        <v>122</v>
      </c>
      <c r="S241" s="36">
        <f t="shared" si="242"/>
        <v>16</v>
      </c>
      <c r="T241" s="36">
        <f t="shared" si="242"/>
        <v>501</v>
      </c>
      <c r="U241" s="36">
        <v>1208.0</v>
      </c>
      <c r="V241" s="31">
        <f t="shared" si="3"/>
        <v>-244</v>
      </c>
      <c r="W241" s="31">
        <f t="shared" si="4"/>
        <v>0</v>
      </c>
      <c r="X241" s="32">
        <f t="shared" si="5"/>
        <v>1865</v>
      </c>
      <c r="Y241" s="31">
        <v>159.9999964237213</v>
      </c>
      <c r="Z241" s="33"/>
      <c r="AA241" s="28">
        <v>2244.0</v>
      </c>
      <c r="AB241" s="36">
        <f t="shared" si="7"/>
        <v>2419</v>
      </c>
      <c r="AC241" s="28">
        <v>2769.0</v>
      </c>
      <c r="AD241" s="13"/>
      <c r="AE241" s="13"/>
      <c r="AF241" s="13"/>
      <c r="AG241" s="13"/>
      <c r="AH241" s="13"/>
      <c r="AI241" s="13"/>
      <c r="AJ241" s="13"/>
      <c r="AK241" s="13"/>
      <c r="AL241" s="13"/>
    </row>
    <row r="242" ht="15.75" customHeight="1">
      <c r="A242" s="26">
        <v>51402.0</v>
      </c>
      <c r="B242" s="27" t="s">
        <v>257</v>
      </c>
      <c r="C242" s="28">
        <v>679.0</v>
      </c>
      <c r="D242" s="28">
        <v>471.0</v>
      </c>
      <c r="E242" s="28">
        <v>5.0</v>
      </c>
      <c r="F242" s="28">
        <v>7.0</v>
      </c>
      <c r="G242" s="28">
        <v>2.0</v>
      </c>
      <c r="H242" s="28">
        <v>194.0</v>
      </c>
      <c r="I242" s="28">
        <v>742.0</v>
      </c>
      <c r="J242" s="28">
        <v>545.0</v>
      </c>
      <c r="K242" s="28">
        <v>1.0</v>
      </c>
      <c r="L242" s="28">
        <v>9.0</v>
      </c>
      <c r="M242" s="28">
        <v>5.0</v>
      </c>
      <c r="N242" s="28">
        <v>182.0</v>
      </c>
      <c r="O242" s="29">
        <f t="shared" ref="O242:T242" si="243">ROUND(C242 + ((2016-2012)*(I242-C242))/(2024-2012),0)</f>
        <v>700</v>
      </c>
      <c r="P242" s="30">
        <f t="shared" si="243"/>
        <v>496</v>
      </c>
      <c r="Q242" s="30">
        <f t="shared" si="243"/>
        <v>4</v>
      </c>
      <c r="R242" s="30">
        <f t="shared" si="243"/>
        <v>8</v>
      </c>
      <c r="S242" s="30">
        <f t="shared" si="243"/>
        <v>3</v>
      </c>
      <c r="T242" s="30">
        <f t="shared" si="243"/>
        <v>190</v>
      </c>
      <c r="U242" s="38">
        <v>429.0</v>
      </c>
      <c r="V242" s="31">
        <f t="shared" si="3"/>
        <v>67</v>
      </c>
      <c r="W242" s="31">
        <f t="shared" si="4"/>
        <v>67</v>
      </c>
      <c r="X242" s="32">
        <f t="shared" si="5"/>
        <v>701</v>
      </c>
      <c r="Y242" s="31">
        <v>64.99999761581421</v>
      </c>
      <c r="Z242" s="33"/>
      <c r="AA242" s="28">
        <v>824.0</v>
      </c>
      <c r="AB242" s="30">
        <f t="shared" si="7"/>
        <v>862</v>
      </c>
      <c r="AC242" s="28">
        <v>939.0</v>
      </c>
      <c r="AD242" s="13"/>
      <c r="AE242" s="13"/>
      <c r="AF242" s="13"/>
      <c r="AG242" s="13"/>
      <c r="AH242" s="13"/>
      <c r="AI242" s="13"/>
      <c r="AJ242" s="13"/>
      <c r="AK242" s="13"/>
      <c r="AL242" s="13"/>
    </row>
    <row r="243" ht="15.75" customHeight="1">
      <c r="A243" s="34">
        <v>51501.0</v>
      </c>
      <c r="B243" s="35" t="s">
        <v>258</v>
      </c>
      <c r="C243" s="28">
        <v>12074.0</v>
      </c>
      <c r="D243" s="28">
        <v>10354.0</v>
      </c>
      <c r="E243" s="28">
        <v>60.0</v>
      </c>
      <c r="F243" s="28">
        <v>101.0</v>
      </c>
      <c r="G243" s="28">
        <v>20.0</v>
      </c>
      <c r="H243" s="28">
        <v>1539.0</v>
      </c>
      <c r="I243" s="28">
        <v>14433.0</v>
      </c>
      <c r="J243" s="28">
        <v>13302.0</v>
      </c>
      <c r="K243" s="28">
        <v>34.0</v>
      </c>
      <c r="L243" s="28">
        <v>63.0</v>
      </c>
      <c r="M243" s="28">
        <v>69.0</v>
      </c>
      <c r="N243" s="28">
        <v>965.0</v>
      </c>
      <c r="O243" s="29">
        <f t="shared" ref="O243:T243" si="244">ROUND(C243 + ((2016-2012)*(I243-C243))/(2024-2012),0)</f>
        <v>12860</v>
      </c>
      <c r="P243" s="36">
        <f t="shared" si="244"/>
        <v>11337</v>
      </c>
      <c r="Q243" s="36">
        <f t="shared" si="244"/>
        <v>51</v>
      </c>
      <c r="R243" s="36">
        <f t="shared" si="244"/>
        <v>88</v>
      </c>
      <c r="S243" s="36">
        <f t="shared" si="244"/>
        <v>36</v>
      </c>
      <c r="T243" s="36">
        <f t="shared" si="244"/>
        <v>1348</v>
      </c>
      <c r="U243" s="36">
        <v>8987.0</v>
      </c>
      <c r="V243" s="31">
        <f t="shared" si="3"/>
        <v>2350</v>
      </c>
      <c r="W243" s="31">
        <f t="shared" si="4"/>
        <v>2350</v>
      </c>
      <c r="X243" s="32">
        <f t="shared" si="5"/>
        <v>12860</v>
      </c>
      <c r="Y243" s="31">
        <v>555.9999942779541</v>
      </c>
      <c r="Z243" s="33"/>
      <c r="AA243" s="28">
        <v>13611.0</v>
      </c>
      <c r="AB243" s="36">
        <f t="shared" si="7"/>
        <v>14719</v>
      </c>
      <c r="AC243" s="28">
        <v>16936.0</v>
      </c>
      <c r="AD243" s="13"/>
      <c r="AE243" s="13"/>
      <c r="AF243" s="13"/>
      <c r="AG243" s="13"/>
      <c r="AH243" s="13"/>
      <c r="AI243" s="13"/>
      <c r="AJ243" s="13"/>
      <c r="AK243" s="13"/>
      <c r="AL243" s="13"/>
    </row>
    <row r="244" ht="15.75" customHeight="1">
      <c r="A244" s="26">
        <v>51601.0</v>
      </c>
      <c r="B244" s="27" t="s">
        <v>259</v>
      </c>
      <c r="C244" s="28">
        <v>489.0</v>
      </c>
      <c r="D244" s="28">
        <v>206.0</v>
      </c>
      <c r="E244" s="28">
        <v>22.0</v>
      </c>
      <c r="F244" s="28">
        <v>54.0</v>
      </c>
      <c r="G244" s="28">
        <v>30.0</v>
      </c>
      <c r="H244" s="28">
        <v>177.0</v>
      </c>
      <c r="I244" s="28">
        <v>667.0</v>
      </c>
      <c r="J244" s="28">
        <v>550.0</v>
      </c>
      <c r="K244" s="28">
        <v>3.0</v>
      </c>
      <c r="L244" s="28">
        <v>40.0</v>
      </c>
      <c r="M244" s="28">
        <v>15.0</v>
      </c>
      <c r="N244" s="28">
        <v>59.0</v>
      </c>
      <c r="O244" s="29">
        <f t="shared" ref="O244:T244" si="245">ROUND(C244 + ((2016-2012)*(I244-C244))/(2024-2012),0)</f>
        <v>548</v>
      </c>
      <c r="P244" s="30">
        <f t="shared" si="245"/>
        <v>321</v>
      </c>
      <c r="Q244" s="30">
        <f t="shared" si="245"/>
        <v>16</v>
      </c>
      <c r="R244" s="30">
        <f t="shared" si="245"/>
        <v>49</v>
      </c>
      <c r="S244" s="30">
        <f t="shared" si="245"/>
        <v>25</v>
      </c>
      <c r="T244" s="30">
        <f t="shared" si="245"/>
        <v>138</v>
      </c>
      <c r="U244" s="38">
        <v>226.0</v>
      </c>
      <c r="V244" s="31">
        <f t="shared" si="3"/>
        <v>95</v>
      </c>
      <c r="W244" s="31">
        <f t="shared" si="4"/>
        <v>95</v>
      </c>
      <c r="X244" s="32">
        <f t="shared" si="5"/>
        <v>549</v>
      </c>
      <c r="Y244" s="31">
        <v>371.99999392032623</v>
      </c>
      <c r="Z244" s="33"/>
      <c r="AA244" s="28">
        <v>724.0</v>
      </c>
      <c r="AB244" s="30">
        <f t="shared" si="7"/>
        <v>884</v>
      </c>
      <c r="AC244" s="28">
        <v>1204.0</v>
      </c>
      <c r="AD244" s="13"/>
      <c r="AE244" s="13"/>
      <c r="AF244" s="13"/>
      <c r="AG244" s="13"/>
      <c r="AH244" s="13"/>
      <c r="AI244" s="13"/>
      <c r="AJ244" s="13"/>
      <c r="AK244" s="13"/>
      <c r="AL244" s="13"/>
    </row>
    <row r="245" ht="15.75" customHeight="1">
      <c r="A245" s="34">
        <v>60101.0</v>
      </c>
      <c r="B245" s="35" t="s">
        <v>260</v>
      </c>
      <c r="C245" s="28">
        <v>54926.0</v>
      </c>
      <c r="D245" s="28">
        <v>51411.0</v>
      </c>
      <c r="E245" s="28">
        <v>92.0</v>
      </c>
      <c r="F245" s="28">
        <v>115.0</v>
      </c>
      <c r="G245" s="28">
        <v>109.0</v>
      </c>
      <c r="H245" s="28">
        <v>3199.0</v>
      </c>
      <c r="I245" s="28">
        <v>72709.0</v>
      </c>
      <c r="J245" s="28">
        <v>70904.0</v>
      </c>
      <c r="K245" s="28">
        <v>185.0</v>
      </c>
      <c r="L245" s="28">
        <v>69.0</v>
      </c>
      <c r="M245" s="28">
        <v>222.0</v>
      </c>
      <c r="N245" s="28">
        <v>1329.0</v>
      </c>
      <c r="O245" s="29">
        <f t="shared" ref="O245:T245" si="246">ROUND(C245 + ((2016-2012)*(I245-C245))/(2024-2012),0)</f>
        <v>60854</v>
      </c>
      <c r="P245" s="36">
        <f t="shared" si="246"/>
        <v>57909</v>
      </c>
      <c r="Q245" s="36">
        <f t="shared" si="246"/>
        <v>123</v>
      </c>
      <c r="R245" s="36">
        <f t="shared" si="246"/>
        <v>100</v>
      </c>
      <c r="S245" s="36">
        <f t="shared" si="246"/>
        <v>147</v>
      </c>
      <c r="T245" s="36">
        <f t="shared" si="246"/>
        <v>2576</v>
      </c>
      <c r="U245" s="36">
        <v>52494.0</v>
      </c>
      <c r="V245" s="31">
        <f t="shared" si="3"/>
        <v>5415</v>
      </c>
      <c r="W245" s="31">
        <f t="shared" si="4"/>
        <v>5415</v>
      </c>
      <c r="X245" s="32">
        <f t="shared" si="5"/>
        <v>60855</v>
      </c>
      <c r="Y245" s="31">
        <v>1128.999948501587</v>
      </c>
      <c r="Z245" s="33"/>
      <c r="AA245" s="28">
        <v>61716.0</v>
      </c>
      <c r="AB245" s="36">
        <f t="shared" si="7"/>
        <v>71064</v>
      </c>
      <c r="AC245" s="28">
        <v>89760.0</v>
      </c>
      <c r="AD245" s="13"/>
      <c r="AE245" s="13"/>
      <c r="AF245" s="13"/>
      <c r="AG245" s="13"/>
      <c r="AH245" s="13"/>
      <c r="AI245" s="13"/>
      <c r="AJ245" s="13"/>
      <c r="AK245" s="13"/>
      <c r="AL245" s="13"/>
    </row>
    <row r="246" ht="15.75" customHeight="1">
      <c r="A246" s="26">
        <v>60201.0</v>
      </c>
      <c r="B246" s="27" t="s">
        <v>261</v>
      </c>
      <c r="C246" s="28">
        <v>5090.0</v>
      </c>
      <c r="D246" s="28">
        <v>3652.0</v>
      </c>
      <c r="E246" s="28">
        <v>29.0</v>
      </c>
      <c r="F246" s="28">
        <v>564.0</v>
      </c>
      <c r="G246" s="28">
        <v>14.0</v>
      </c>
      <c r="H246" s="28">
        <v>831.0</v>
      </c>
      <c r="I246" s="28">
        <v>5649.0</v>
      </c>
      <c r="J246" s="28">
        <v>4732.0</v>
      </c>
      <c r="K246" s="28">
        <v>21.0</v>
      </c>
      <c r="L246" s="28">
        <v>173.0</v>
      </c>
      <c r="M246" s="28">
        <v>18.0</v>
      </c>
      <c r="N246" s="28">
        <v>705.0</v>
      </c>
      <c r="O246" s="29">
        <f t="shared" ref="O246:T246" si="247">ROUND(C246 + ((2016-2012)*(I246-C246))/(2024-2012),0)</f>
        <v>5276</v>
      </c>
      <c r="P246" s="30">
        <f t="shared" si="247"/>
        <v>4012</v>
      </c>
      <c r="Q246" s="30">
        <f t="shared" si="247"/>
        <v>26</v>
      </c>
      <c r="R246" s="30">
        <f t="shared" si="247"/>
        <v>434</v>
      </c>
      <c r="S246" s="30">
        <f t="shared" si="247"/>
        <v>15</v>
      </c>
      <c r="T246" s="30">
        <f t="shared" si="247"/>
        <v>789</v>
      </c>
      <c r="U246" s="30">
        <v>4322.0</v>
      </c>
      <c r="V246" s="31">
        <f t="shared" si="3"/>
        <v>-310</v>
      </c>
      <c r="W246" s="31">
        <f t="shared" si="4"/>
        <v>0</v>
      </c>
      <c r="X246" s="32">
        <f t="shared" si="5"/>
        <v>5586</v>
      </c>
      <c r="Y246" s="31">
        <v>298.0000078678131</v>
      </c>
      <c r="Z246" s="33"/>
      <c r="AA246" s="28">
        <v>6316.0</v>
      </c>
      <c r="AB246" s="30">
        <f t="shared" si="7"/>
        <v>6891</v>
      </c>
      <c r="AC246" s="28">
        <v>8042.0</v>
      </c>
      <c r="AD246" s="13"/>
      <c r="AE246" s="13"/>
      <c r="AF246" s="13"/>
      <c r="AG246" s="13"/>
      <c r="AH246" s="13"/>
      <c r="AI246" s="13"/>
      <c r="AJ246" s="13"/>
      <c r="AK246" s="13"/>
      <c r="AL246" s="13"/>
    </row>
    <row r="247" ht="15.75" customHeight="1">
      <c r="A247" s="34">
        <v>60202.0</v>
      </c>
      <c r="B247" s="35" t="s">
        <v>262</v>
      </c>
      <c r="C247" s="28">
        <v>9012.0</v>
      </c>
      <c r="D247" s="28">
        <v>8417.0</v>
      </c>
      <c r="E247" s="28">
        <v>13.0</v>
      </c>
      <c r="F247" s="28">
        <v>10.0</v>
      </c>
      <c r="G247" s="28">
        <v>7.0</v>
      </c>
      <c r="H247" s="28">
        <v>565.0</v>
      </c>
      <c r="I247" s="28">
        <v>10626.0</v>
      </c>
      <c r="J247" s="28">
        <v>10347.0</v>
      </c>
      <c r="K247" s="28">
        <v>24.0</v>
      </c>
      <c r="L247" s="28">
        <v>54.0</v>
      </c>
      <c r="M247" s="28">
        <v>8.0</v>
      </c>
      <c r="N247" s="28">
        <v>193.0</v>
      </c>
      <c r="O247" s="29">
        <f t="shared" ref="O247:T247" si="248">ROUND(C247 + ((2016-2012)*(I247-C247))/(2024-2012),0)</f>
        <v>9550</v>
      </c>
      <c r="P247" s="36">
        <f t="shared" si="248"/>
        <v>9060</v>
      </c>
      <c r="Q247" s="36">
        <f t="shared" si="248"/>
        <v>17</v>
      </c>
      <c r="R247" s="36">
        <f t="shared" si="248"/>
        <v>25</v>
      </c>
      <c r="S247" s="36">
        <f t="shared" si="248"/>
        <v>7</v>
      </c>
      <c r="T247" s="36">
        <f t="shared" si="248"/>
        <v>441</v>
      </c>
      <c r="U247" s="36">
        <v>10061.0</v>
      </c>
      <c r="V247" s="31">
        <f t="shared" si="3"/>
        <v>-1001</v>
      </c>
      <c r="W247" s="31">
        <f t="shared" si="4"/>
        <v>0</v>
      </c>
      <c r="X247" s="32">
        <f t="shared" si="5"/>
        <v>10551</v>
      </c>
      <c r="Y247" s="31">
        <v>845.0000286102295</v>
      </c>
      <c r="Z247" s="33"/>
      <c r="AA247" s="28">
        <v>10093.0</v>
      </c>
      <c r="AB247" s="36">
        <f t="shared" si="7"/>
        <v>10795</v>
      </c>
      <c r="AC247" s="28">
        <v>12200.0</v>
      </c>
      <c r="AD247" s="13"/>
      <c r="AE247" s="13"/>
      <c r="AF247" s="13"/>
      <c r="AG247" s="13"/>
      <c r="AH247" s="13"/>
      <c r="AI247" s="13"/>
      <c r="AJ247" s="13"/>
      <c r="AK247" s="13"/>
      <c r="AL247" s="13"/>
    </row>
    <row r="248" ht="15.75" customHeight="1">
      <c r="A248" s="26">
        <v>60301.0</v>
      </c>
      <c r="B248" s="27" t="s">
        <v>263</v>
      </c>
      <c r="C248" s="28">
        <v>22138.0</v>
      </c>
      <c r="D248" s="28">
        <v>20275.0</v>
      </c>
      <c r="E248" s="28">
        <v>381.0</v>
      </c>
      <c r="F248" s="28">
        <v>34.0</v>
      </c>
      <c r="G248" s="28">
        <v>59.0</v>
      </c>
      <c r="H248" s="28">
        <v>1389.0</v>
      </c>
      <c r="I248" s="28">
        <v>27308.0</v>
      </c>
      <c r="J248" s="28">
        <v>26042.0</v>
      </c>
      <c r="K248" s="28">
        <v>467.0</v>
      </c>
      <c r="L248" s="28">
        <v>137.0</v>
      </c>
      <c r="M248" s="28">
        <v>89.0</v>
      </c>
      <c r="N248" s="28">
        <v>573.0</v>
      </c>
      <c r="O248" s="29">
        <f t="shared" ref="O248:T248" si="249">ROUND(C248 + ((2016-2012)*(I248-C248))/(2024-2012),0)</f>
        <v>23861</v>
      </c>
      <c r="P248" s="30">
        <f t="shared" si="249"/>
        <v>22197</v>
      </c>
      <c r="Q248" s="30">
        <f t="shared" si="249"/>
        <v>410</v>
      </c>
      <c r="R248" s="30">
        <f t="shared" si="249"/>
        <v>68</v>
      </c>
      <c r="S248" s="30">
        <f t="shared" si="249"/>
        <v>69</v>
      </c>
      <c r="T248" s="30">
        <f t="shared" si="249"/>
        <v>1117</v>
      </c>
      <c r="U248" s="30">
        <v>24365.0</v>
      </c>
      <c r="V248" s="31">
        <f t="shared" si="3"/>
        <v>-2168</v>
      </c>
      <c r="W248" s="31">
        <f t="shared" si="4"/>
        <v>0</v>
      </c>
      <c r="X248" s="32">
        <f t="shared" si="5"/>
        <v>26029</v>
      </c>
      <c r="Y248" s="31">
        <v>824.999988079071</v>
      </c>
      <c r="Z248" s="33"/>
      <c r="AA248" s="28">
        <v>24047.0</v>
      </c>
      <c r="AB248" s="30">
        <f t="shared" si="7"/>
        <v>26494</v>
      </c>
      <c r="AC248" s="28">
        <v>31389.0</v>
      </c>
      <c r="AD248" s="13"/>
      <c r="AE248" s="13"/>
      <c r="AF248" s="13"/>
      <c r="AG248" s="13"/>
      <c r="AH248" s="13"/>
      <c r="AI248" s="13"/>
      <c r="AJ248" s="13"/>
      <c r="AK248" s="13"/>
      <c r="AL248" s="13"/>
    </row>
    <row r="249" ht="15.75" customHeight="1">
      <c r="A249" s="34">
        <v>60302.0</v>
      </c>
      <c r="B249" s="35" t="s">
        <v>264</v>
      </c>
      <c r="C249" s="28">
        <v>3995.0</v>
      </c>
      <c r="D249" s="28">
        <v>3457.0</v>
      </c>
      <c r="E249" s="28">
        <v>6.0</v>
      </c>
      <c r="F249" s="28">
        <v>14.0</v>
      </c>
      <c r="G249" s="28">
        <v>6.0</v>
      </c>
      <c r="H249" s="28">
        <v>512.0</v>
      </c>
      <c r="I249" s="28">
        <v>4684.0</v>
      </c>
      <c r="J249" s="28">
        <v>4313.0</v>
      </c>
      <c r="K249" s="28">
        <v>11.0</v>
      </c>
      <c r="L249" s="28">
        <v>20.0</v>
      </c>
      <c r="M249" s="28">
        <v>18.0</v>
      </c>
      <c r="N249" s="28">
        <v>322.0</v>
      </c>
      <c r="O249" s="29">
        <f t="shared" ref="O249:T249" si="250">ROUND(C249 + ((2016-2012)*(I249-C249))/(2024-2012),0)</f>
        <v>4225</v>
      </c>
      <c r="P249" s="36">
        <f t="shared" si="250"/>
        <v>3742</v>
      </c>
      <c r="Q249" s="36">
        <f t="shared" si="250"/>
        <v>8</v>
      </c>
      <c r="R249" s="36">
        <f t="shared" si="250"/>
        <v>16</v>
      </c>
      <c r="S249" s="36">
        <f t="shared" si="250"/>
        <v>10</v>
      </c>
      <c r="T249" s="36">
        <f t="shared" si="250"/>
        <v>449</v>
      </c>
      <c r="U249" s="36">
        <v>4355.0</v>
      </c>
      <c r="V249" s="31">
        <f t="shared" si="3"/>
        <v>-613</v>
      </c>
      <c r="W249" s="31">
        <f t="shared" si="4"/>
        <v>0</v>
      </c>
      <c r="X249" s="32">
        <f t="shared" si="5"/>
        <v>4838</v>
      </c>
      <c r="Y249" s="31">
        <v>504.9999952316284</v>
      </c>
      <c r="Z249" s="33"/>
      <c r="AA249" s="28">
        <v>4308.0</v>
      </c>
      <c r="AB249" s="36">
        <f t="shared" si="7"/>
        <v>4770</v>
      </c>
      <c r="AC249" s="28">
        <v>5693.0</v>
      </c>
      <c r="AD249" s="13"/>
      <c r="AE249" s="13"/>
      <c r="AF249" s="13"/>
      <c r="AG249" s="13"/>
      <c r="AH249" s="13"/>
      <c r="AI249" s="13"/>
      <c r="AJ249" s="13"/>
      <c r="AK249" s="13"/>
      <c r="AL249" s="13"/>
    </row>
    <row r="250" ht="15.75" customHeight="1">
      <c r="A250" s="26">
        <v>60303.0</v>
      </c>
      <c r="B250" s="27" t="s">
        <v>265</v>
      </c>
      <c r="C250" s="28">
        <v>10289.0</v>
      </c>
      <c r="D250" s="28">
        <v>8549.0</v>
      </c>
      <c r="E250" s="28">
        <v>163.0</v>
      </c>
      <c r="F250" s="28">
        <v>250.0</v>
      </c>
      <c r="G250" s="28">
        <v>76.0</v>
      </c>
      <c r="H250" s="28">
        <v>1251.0</v>
      </c>
      <c r="I250" s="28">
        <v>14040.0</v>
      </c>
      <c r="J250" s="28">
        <v>12593.0</v>
      </c>
      <c r="K250" s="28">
        <v>193.0</v>
      </c>
      <c r="L250" s="28">
        <v>333.0</v>
      </c>
      <c r="M250" s="28">
        <v>89.0</v>
      </c>
      <c r="N250" s="28">
        <v>832.0</v>
      </c>
      <c r="O250" s="29">
        <f t="shared" ref="O250:T250" si="251">ROUND(C250 + ((2016-2012)*(I250-C250))/(2024-2012),0)</f>
        <v>11539</v>
      </c>
      <c r="P250" s="30">
        <f t="shared" si="251"/>
        <v>9897</v>
      </c>
      <c r="Q250" s="30">
        <f t="shared" si="251"/>
        <v>173</v>
      </c>
      <c r="R250" s="30">
        <f t="shared" si="251"/>
        <v>278</v>
      </c>
      <c r="S250" s="30">
        <f t="shared" si="251"/>
        <v>80</v>
      </c>
      <c r="T250" s="30">
        <f t="shared" si="251"/>
        <v>1111</v>
      </c>
      <c r="U250" s="30">
        <v>13582.0</v>
      </c>
      <c r="V250" s="31">
        <f t="shared" si="3"/>
        <v>-3685</v>
      </c>
      <c r="W250" s="31">
        <f t="shared" si="4"/>
        <v>0</v>
      </c>
      <c r="X250" s="32">
        <f t="shared" si="5"/>
        <v>15224</v>
      </c>
      <c r="Y250" s="31">
        <v>757.0000290870667</v>
      </c>
      <c r="Z250" s="33"/>
      <c r="AA250" s="28">
        <v>11503.0</v>
      </c>
      <c r="AB250" s="30">
        <f t="shared" si="7"/>
        <v>13458</v>
      </c>
      <c r="AC250" s="28">
        <v>17369.0</v>
      </c>
      <c r="AD250" s="13"/>
      <c r="AE250" s="13"/>
      <c r="AF250" s="13"/>
      <c r="AG250" s="13"/>
      <c r="AH250" s="13"/>
      <c r="AI250" s="13"/>
      <c r="AJ250" s="13"/>
      <c r="AK250" s="13"/>
      <c r="AL250" s="13"/>
    </row>
    <row r="251" ht="15.75" customHeight="1">
      <c r="A251" s="34">
        <v>60401.0</v>
      </c>
      <c r="B251" s="35" t="s">
        <v>266</v>
      </c>
      <c r="C251" s="28">
        <v>4162.0</v>
      </c>
      <c r="D251" s="28">
        <v>3096.0</v>
      </c>
      <c r="E251" s="28">
        <v>24.0</v>
      </c>
      <c r="F251" s="28">
        <v>34.0</v>
      </c>
      <c r="G251" s="28">
        <v>21.0</v>
      </c>
      <c r="H251" s="28">
        <v>987.0</v>
      </c>
      <c r="I251" s="28">
        <v>4916.0</v>
      </c>
      <c r="J251" s="28">
        <v>4474.0</v>
      </c>
      <c r="K251" s="28">
        <v>10.0</v>
      </c>
      <c r="L251" s="28">
        <v>18.0</v>
      </c>
      <c r="M251" s="28">
        <v>12.0</v>
      </c>
      <c r="N251" s="28">
        <v>402.0</v>
      </c>
      <c r="O251" s="29">
        <f t="shared" ref="O251:T251" si="252">ROUND(C251 + ((2016-2012)*(I251-C251))/(2024-2012),0)</f>
        <v>4413</v>
      </c>
      <c r="P251" s="36">
        <f t="shared" si="252"/>
        <v>3555</v>
      </c>
      <c r="Q251" s="36">
        <f t="shared" si="252"/>
        <v>19</v>
      </c>
      <c r="R251" s="36">
        <f t="shared" si="252"/>
        <v>29</v>
      </c>
      <c r="S251" s="36">
        <f t="shared" si="252"/>
        <v>18</v>
      </c>
      <c r="T251" s="36">
        <f t="shared" si="252"/>
        <v>792</v>
      </c>
      <c r="U251" s="36">
        <v>3450.0</v>
      </c>
      <c r="V251" s="31">
        <f t="shared" si="3"/>
        <v>105</v>
      </c>
      <c r="W251" s="31">
        <f t="shared" si="4"/>
        <v>105</v>
      </c>
      <c r="X251" s="32">
        <f t="shared" si="5"/>
        <v>4413</v>
      </c>
      <c r="Y251" s="31">
        <v>538.9999747276306</v>
      </c>
      <c r="Z251" s="33"/>
      <c r="AA251" s="28">
        <v>4885.0</v>
      </c>
      <c r="AB251" s="36">
        <f t="shared" si="7"/>
        <v>5534</v>
      </c>
      <c r="AC251" s="28">
        <v>6833.0</v>
      </c>
      <c r="AD251" s="13"/>
      <c r="AE251" s="13"/>
      <c r="AF251" s="13"/>
      <c r="AG251" s="13"/>
      <c r="AH251" s="13"/>
      <c r="AI251" s="13"/>
      <c r="AJ251" s="13"/>
      <c r="AK251" s="13"/>
      <c r="AL251" s="13"/>
    </row>
    <row r="252" ht="15.75" customHeight="1">
      <c r="A252" s="26">
        <v>60402.0</v>
      </c>
      <c r="B252" s="27" t="s">
        <v>267</v>
      </c>
      <c r="C252" s="28">
        <v>1484.0</v>
      </c>
      <c r="D252" s="28">
        <v>1032.0</v>
      </c>
      <c r="E252" s="28">
        <v>2.0</v>
      </c>
      <c r="F252" s="28">
        <v>117.0</v>
      </c>
      <c r="G252" s="28">
        <v>0.0</v>
      </c>
      <c r="H252" s="28">
        <v>333.0</v>
      </c>
      <c r="I252" s="28">
        <v>1530.0</v>
      </c>
      <c r="J252" s="28">
        <v>1364.0</v>
      </c>
      <c r="K252" s="28">
        <v>0.0</v>
      </c>
      <c r="L252" s="28">
        <v>22.0</v>
      </c>
      <c r="M252" s="28">
        <v>3.0</v>
      </c>
      <c r="N252" s="28">
        <v>141.0</v>
      </c>
      <c r="O252" s="29">
        <f t="shared" ref="O252:T252" si="253">ROUND(C252 + ((2016-2012)*(I252-C252))/(2024-2012),0)</f>
        <v>1499</v>
      </c>
      <c r="P252" s="30">
        <f t="shared" si="253"/>
        <v>1143</v>
      </c>
      <c r="Q252" s="30">
        <f t="shared" si="253"/>
        <v>1</v>
      </c>
      <c r="R252" s="30">
        <f t="shared" si="253"/>
        <v>85</v>
      </c>
      <c r="S252" s="30">
        <f t="shared" si="253"/>
        <v>1</v>
      </c>
      <c r="T252" s="30">
        <f t="shared" si="253"/>
        <v>269</v>
      </c>
      <c r="U252" s="30">
        <v>1084.0</v>
      </c>
      <c r="V252" s="31">
        <f t="shared" si="3"/>
        <v>59</v>
      </c>
      <c r="W252" s="31">
        <f t="shared" si="4"/>
        <v>59</v>
      </c>
      <c r="X252" s="32">
        <f t="shared" si="5"/>
        <v>1499</v>
      </c>
      <c r="Y252" s="31">
        <v>79.00000363588333</v>
      </c>
      <c r="Z252" s="33"/>
      <c r="AA252" s="28">
        <v>1879.0</v>
      </c>
      <c r="AB252" s="30">
        <f t="shared" si="7"/>
        <v>1953</v>
      </c>
      <c r="AC252" s="28">
        <v>2102.0</v>
      </c>
      <c r="AD252" s="13"/>
      <c r="AE252" s="13"/>
      <c r="AF252" s="13"/>
      <c r="AG252" s="13"/>
      <c r="AH252" s="13"/>
      <c r="AI252" s="13"/>
      <c r="AJ252" s="13"/>
      <c r="AK252" s="13"/>
      <c r="AL252" s="13"/>
    </row>
    <row r="253" ht="15.75" customHeight="1">
      <c r="A253" s="34">
        <v>60501.0</v>
      </c>
      <c r="B253" s="35" t="s">
        <v>268</v>
      </c>
      <c r="C253" s="28">
        <v>6484.0</v>
      </c>
      <c r="D253" s="28">
        <v>4808.0</v>
      </c>
      <c r="E253" s="28">
        <v>24.0</v>
      </c>
      <c r="F253" s="28">
        <v>261.0</v>
      </c>
      <c r="G253" s="28">
        <v>27.0</v>
      </c>
      <c r="H253" s="28">
        <v>1364.0</v>
      </c>
      <c r="I253" s="28">
        <v>9336.0</v>
      </c>
      <c r="J253" s="28">
        <v>7895.0</v>
      </c>
      <c r="K253" s="28">
        <v>34.0</v>
      </c>
      <c r="L253" s="28">
        <v>279.0</v>
      </c>
      <c r="M253" s="28">
        <v>45.0</v>
      </c>
      <c r="N253" s="28">
        <v>1083.0</v>
      </c>
      <c r="O253" s="29">
        <f t="shared" ref="O253:T253" si="254">ROUND(C253 + ((2016-2012)*(I253-C253))/(2024-2012),0)</f>
        <v>7435</v>
      </c>
      <c r="P253" s="36">
        <f t="shared" si="254"/>
        <v>5837</v>
      </c>
      <c r="Q253" s="36">
        <f t="shared" si="254"/>
        <v>27</v>
      </c>
      <c r="R253" s="36">
        <f t="shared" si="254"/>
        <v>267</v>
      </c>
      <c r="S253" s="36">
        <f t="shared" si="254"/>
        <v>33</v>
      </c>
      <c r="T253" s="36">
        <f t="shared" si="254"/>
        <v>1270</v>
      </c>
      <c r="U253" s="36">
        <v>6294.0</v>
      </c>
      <c r="V253" s="31">
        <f t="shared" si="3"/>
        <v>-457</v>
      </c>
      <c r="W253" s="31">
        <f t="shared" si="4"/>
        <v>0</v>
      </c>
      <c r="X253" s="32">
        <f t="shared" si="5"/>
        <v>7891</v>
      </c>
      <c r="Y253" s="31">
        <v>518.0000066757202</v>
      </c>
      <c r="Z253" s="33"/>
      <c r="AA253" s="28">
        <v>7874.0</v>
      </c>
      <c r="AB253" s="36">
        <f t="shared" si="7"/>
        <v>9546</v>
      </c>
      <c r="AC253" s="28">
        <v>12889.0</v>
      </c>
      <c r="AD253" s="13"/>
      <c r="AE253" s="13"/>
      <c r="AF253" s="13"/>
      <c r="AG253" s="13"/>
      <c r="AH253" s="13"/>
      <c r="AI253" s="13"/>
      <c r="AJ253" s="13"/>
      <c r="AK253" s="13"/>
      <c r="AL253" s="13"/>
    </row>
    <row r="254" ht="15.75" customHeight="1">
      <c r="A254" s="26">
        <v>60502.0</v>
      </c>
      <c r="B254" s="27" t="s">
        <v>269</v>
      </c>
      <c r="C254" s="28">
        <v>3253.0</v>
      </c>
      <c r="D254" s="28">
        <v>2523.0</v>
      </c>
      <c r="E254" s="28">
        <v>3.0</v>
      </c>
      <c r="F254" s="28">
        <v>173.0</v>
      </c>
      <c r="G254" s="28">
        <v>27.0</v>
      </c>
      <c r="H254" s="28">
        <v>527.0</v>
      </c>
      <c r="I254" s="28">
        <v>3240.0</v>
      </c>
      <c r="J254" s="28">
        <v>2935.0</v>
      </c>
      <c r="K254" s="28">
        <v>4.0</v>
      </c>
      <c r="L254" s="28">
        <v>84.0</v>
      </c>
      <c r="M254" s="28">
        <v>26.0</v>
      </c>
      <c r="N254" s="28">
        <v>191.0</v>
      </c>
      <c r="O254" s="29">
        <f t="shared" ref="O254:T254" si="255">ROUND(C254 + ((2016-2012)*(I254-C254))/(2024-2012),0)</f>
        <v>3249</v>
      </c>
      <c r="P254" s="30">
        <f t="shared" si="255"/>
        <v>2660</v>
      </c>
      <c r="Q254" s="30">
        <f t="shared" si="255"/>
        <v>3</v>
      </c>
      <c r="R254" s="30">
        <f t="shared" si="255"/>
        <v>143</v>
      </c>
      <c r="S254" s="30">
        <f t="shared" si="255"/>
        <v>27</v>
      </c>
      <c r="T254" s="30">
        <f t="shared" si="255"/>
        <v>415</v>
      </c>
      <c r="U254" s="30">
        <v>2701.0</v>
      </c>
      <c r="V254" s="31">
        <f t="shared" si="3"/>
        <v>-41</v>
      </c>
      <c r="W254" s="31">
        <f t="shared" si="4"/>
        <v>0</v>
      </c>
      <c r="X254" s="32">
        <f t="shared" si="5"/>
        <v>3289</v>
      </c>
      <c r="Y254" s="31">
        <v>143.99999380111694</v>
      </c>
      <c r="Z254" s="33"/>
      <c r="AA254" s="28">
        <v>4281.0</v>
      </c>
      <c r="AB254" s="30">
        <f t="shared" si="7"/>
        <v>4354</v>
      </c>
      <c r="AC254" s="28">
        <v>4500.0</v>
      </c>
      <c r="AD254" s="13"/>
      <c r="AE254" s="13"/>
      <c r="AF254" s="13"/>
      <c r="AG254" s="13"/>
      <c r="AH254" s="13"/>
      <c r="AI254" s="13"/>
      <c r="AJ254" s="13"/>
      <c r="AK254" s="13"/>
      <c r="AL254" s="13"/>
    </row>
    <row r="255" ht="15.75" customHeight="1">
      <c r="A255" s="34">
        <v>60601.0</v>
      </c>
      <c r="B255" s="35" t="s">
        <v>170</v>
      </c>
      <c r="C255" s="28">
        <v>5415.0</v>
      </c>
      <c r="D255" s="28">
        <v>3135.0</v>
      </c>
      <c r="E255" s="28">
        <v>154.0</v>
      </c>
      <c r="F255" s="28">
        <v>328.0</v>
      </c>
      <c r="G255" s="28">
        <v>62.0</v>
      </c>
      <c r="H255" s="28">
        <v>1736.0</v>
      </c>
      <c r="I255" s="28">
        <v>6216.0</v>
      </c>
      <c r="J255" s="28">
        <v>5498.0</v>
      </c>
      <c r="K255" s="28">
        <v>15.0</v>
      </c>
      <c r="L255" s="28">
        <v>74.0</v>
      </c>
      <c r="M255" s="28">
        <v>6.0</v>
      </c>
      <c r="N255" s="28">
        <v>623.0</v>
      </c>
      <c r="O255" s="29">
        <f t="shared" ref="O255:T255" si="256">ROUND(C255 + ((2016-2012)*(I255-C255))/(2024-2012),0)</f>
        <v>5682</v>
      </c>
      <c r="P255" s="36">
        <f t="shared" si="256"/>
        <v>3923</v>
      </c>
      <c r="Q255" s="36">
        <f t="shared" si="256"/>
        <v>108</v>
      </c>
      <c r="R255" s="36">
        <f t="shared" si="256"/>
        <v>243</v>
      </c>
      <c r="S255" s="36">
        <f t="shared" si="256"/>
        <v>43</v>
      </c>
      <c r="T255" s="36">
        <f t="shared" si="256"/>
        <v>1365</v>
      </c>
      <c r="U255" s="36">
        <v>5625.0</v>
      </c>
      <c r="V255" s="31">
        <f t="shared" si="3"/>
        <v>-1702</v>
      </c>
      <c r="W255" s="31">
        <f t="shared" si="4"/>
        <v>0</v>
      </c>
      <c r="X255" s="32">
        <f t="shared" si="5"/>
        <v>7384</v>
      </c>
      <c r="Y255" s="31">
        <v>286.00001335144043</v>
      </c>
      <c r="Z255" s="33"/>
      <c r="AA255" s="28">
        <v>6222.0</v>
      </c>
      <c r="AB255" s="36">
        <f t="shared" si="7"/>
        <v>6854</v>
      </c>
      <c r="AC255" s="28">
        <v>8118.0</v>
      </c>
      <c r="AD255" s="13"/>
      <c r="AE255" s="13"/>
      <c r="AF255" s="13"/>
      <c r="AG255" s="13"/>
      <c r="AH255" s="13"/>
      <c r="AI255" s="13"/>
      <c r="AJ255" s="13"/>
      <c r="AK255" s="13"/>
      <c r="AL255" s="13"/>
    </row>
    <row r="256" ht="15.75" customHeight="1">
      <c r="A256" s="26">
        <v>70101.0</v>
      </c>
      <c r="B256" s="27" t="s">
        <v>270</v>
      </c>
      <c r="C256" s="28">
        <v>360441.0</v>
      </c>
      <c r="D256" s="28">
        <v>354684.0</v>
      </c>
      <c r="E256" s="28">
        <v>839.0</v>
      </c>
      <c r="F256" s="28">
        <v>82.0</v>
      </c>
      <c r="G256" s="28">
        <v>757.0</v>
      </c>
      <c r="H256" s="28">
        <v>4079.0</v>
      </c>
      <c r="I256" s="28">
        <v>453158.0</v>
      </c>
      <c r="J256" s="28">
        <v>448041.0</v>
      </c>
      <c r="K256" s="28">
        <v>1756.0</v>
      </c>
      <c r="L256" s="28">
        <v>216.0</v>
      </c>
      <c r="M256" s="28">
        <v>1535.0</v>
      </c>
      <c r="N256" s="28">
        <v>1610.0</v>
      </c>
      <c r="O256" s="29">
        <f t="shared" ref="O256:T256" si="257">ROUND(C256 + ((2016-2012)*(I256-C256))/(2024-2012),0)</f>
        <v>391347</v>
      </c>
      <c r="P256" s="30">
        <f t="shared" si="257"/>
        <v>385803</v>
      </c>
      <c r="Q256" s="30">
        <f t="shared" si="257"/>
        <v>1145</v>
      </c>
      <c r="R256" s="30">
        <f t="shared" si="257"/>
        <v>127</v>
      </c>
      <c r="S256" s="30">
        <f t="shared" si="257"/>
        <v>1016</v>
      </c>
      <c r="T256" s="30">
        <f t="shared" si="257"/>
        <v>3256</v>
      </c>
      <c r="U256" s="30">
        <v>331478.0</v>
      </c>
      <c r="V256" s="31">
        <f t="shared" si="3"/>
        <v>54325</v>
      </c>
      <c r="W256" s="31">
        <f t="shared" si="4"/>
        <v>54325</v>
      </c>
      <c r="X256" s="32">
        <f t="shared" si="5"/>
        <v>391347</v>
      </c>
      <c r="Y256" s="31">
        <v>2062.000036239624</v>
      </c>
      <c r="Z256" s="33"/>
      <c r="AA256" s="28">
        <v>386109.0</v>
      </c>
      <c r="AB256" s="30">
        <f t="shared" si="7"/>
        <v>428725</v>
      </c>
      <c r="AC256" s="28">
        <v>513956.0</v>
      </c>
      <c r="AD256" s="13"/>
      <c r="AE256" s="13"/>
      <c r="AF256" s="13"/>
      <c r="AG256" s="13"/>
      <c r="AH256" s="13"/>
      <c r="AI256" s="13"/>
      <c r="AJ256" s="13"/>
      <c r="AK256" s="13"/>
      <c r="AL256" s="13"/>
    </row>
    <row r="257" ht="15.75" customHeight="1">
      <c r="A257" s="34">
        <v>70102.0</v>
      </c>
      <c r="B257" s="35" t="s">
        <v>271</v>
      </c>
      <c r="C257" s="28">
        <v>12677.0</v>
      </c>
      <c r="D257" s="28">
        <v>11590.0</v>
      </c>
      <c r="E257" s="28">
        <v>69.0</v>
      </c>
      <c r="F257" s="28">
        <v>19.0</v>
      </c>
      <c r="G257" s="28">
        <v>106.0</v>
      </c>
      <c r="H257" s="28">
        <v>893.0</v>
      </c>
      <c r="I257" s="28">
        <v>27833.0</v>
      </c>
      <c r="J257" s="28">
        <v>26622.0</v>
      </c>
      <c r="K257" s="28">
        <v>96.0</v>
      </c>
      <c r="L257" s="28">
        <v>291.0</v>
      </c>
      <c r="M257" s="28">
        <v>131.0</v>
      </c>
      <c r="N257" s="28">
        <v>693.0</v>
      </c>
      <c r="O257" s="29">
        <f t="shared" ref="O257:T257" si="258">ROUND(C257 + ((2016-2012)*(I257-C257))/(2024-2012),0)</f>
        <v>17729</v>
      </c>
      <c r="P257" s="36">
        <f t="shared" si="258"/>
        <v>16601</v>
      </c>
      <c r="Q257" s="36">
        <f t="shared" si="258"/>
        <v>78</v>
      </c>
      <c r="R257" s="36">
        <f t="shared" si="258"/>
        <v>110</v>
      </c>
      <c r="S257" s="36">
        <f t="shared" si="258"/>
        <v>114</v>
      </c>
      <c r="T257" s="36">
        <f t="shared" si="258"/>
        <v>826</v>
      </c>
      <c r="U257" s="36">
        <v>12067.0</v>
      </c>
      <c r="V257" s="31">
        <f t="shared" si="3"/>
        <v>4534</v>
      </c>
      <c r="W257" s="31">
        <f t="shared" si="4"/>
        <v>4534</v>
      </c>
      <c r="X257" s="32">
        <f t="shared" si="5"/>
        <v>17729</v>
      </c>
      <c r="Y257" s="31">
        <v>1207.0000171661377</v>
      </c>
      <c r="Z257" s="33"/>
      <c r="AA257" s="28">
        <v>13916.0</v>
      </c>
      <c r="AB257" s="36">
        <f t="shared" si="7"/>
        <v>20520</v>
      </c>
      <c r="AC257" s="28">
        <v>33728.0</v>
      </c>
      <c r="AD257" s="13"/>
      <c r="AE257" s="13"/>
      <c r="AF257" s="13"/>
      <c r="AG257" s="13"/>
      <c r="AH257" s="13"/>
      <c r="AI257" s="13"/>
      <c r="AJ257" s="13"/>
      <c r="AK257" s="13"/>
      <c r="AL257" s="13"/>
    </row>
    <row r="258" ht="15.75" customHeight="1">
      <c r="A258" s="26">
        <v>70103.0</v>
      </c>
      <c r="B258" s="27" t="s">
        <v>272</v>
      </c>
      <c r="C258" s="28">
        <v>3622.0</v>
      </c>
      <c r="D258" s="28">
        <v>2643.0</v>
      </c>
      <c r="E258" s="28">
        <v>122.0</v>
      </c>
      <c r="F258" s="28">
        <v>149.0</v>
      </c>
      <c r="G258" s="28">
        <v>43.0</v>
      </c>
      <c r="H258" s="28">
        <v>665.0</v>
      </c>
      <c r="I258" s="28">
        <v>6642.0</v>
      </c>
      <c r="J258" s="28">
        <v>6044.0</v>
      </c>
      <c r="K258" s="28">
        <v>59.0</v>
      </c>
      <c r="L258" s="28">
        <v>158.0</v>
      </c>
      <c r="M258" s="28">
        <v>18.0</v>
      </c>
      <c r="N258" s="28">
        <v>363.0</v>
      </c>
      <c r="O258" s="29">
        <f t="shared" ref="O258:T258" si="259">ROUND(C258 + ((2016-2012)*(I258-C258))/(2024-2012),0)</f>
        <v>4629</v>
      </c>
      <c r="P258" s="30">
        <f t="shared" si="259"/>
        <v>3777</v>
      </c>
      <c r="Q258" s="30">
        <f t="shared" si="259"/>
        <v>101</v>
      </c>
      <c r="R258" s="30">
        <f t="shared" si="259"/>
        <v>152</v>
      </c>
      <c r="S258" s="30">
        <f t="shared" si="259"/>
        <v>35</v>
      </c>
      <c r="T258" s="30">
        <f t="shared" si="259"/>
        <v>564</v>
      </c>
      <c r="U258" s="30">
        <v>4034.0</v>
      </c>
      <c r="V258" s="31">
        <f t="shared" si="3"/>
        <v>-257</v>
      </c>
      <c r="W258" s="31">
        <f t="shared" si="4"/>
        <v>0</v>
      </c>
      <c r="X258" s="32">
        <f t="shared" si="5"/>
        <v>4886</v>
      </c>
      <c r="Y258" s="31">
        <v>1733.9999675750732</v>
      </c>
      <c r="Z258" s="33"/>
      <c r="AA258" s="28">
        <v>4379.0</v>
      </c>
      <c r="AB258" s="30">
        <f t="shared" si="7"/>
        <v>5626</v>
      </c>
      <c r="AC258" s="28">
        <v>8119.0</v>
      </c>
      <c r="AD258" s="13"/>
      <c r="AE258" s="13"/>
      <c r="AF258" s="13"/>
      <c r="AG258" s="13"/>
      <c r="AH258" s="13"/>
      <c r="AI258" s="13"/>
      <c r="AJ258" s="13"/>
      <c r="AK258" s="13"/>
      <c r="AL258" s="13"/>
    </row>
    <row r="259" ht="15.75" customHeight="1">
      <c r="A259" s="34">
        <v>70104.0</v>
      </c>
      <c r="B259" s="35" t="s">
        <v>273</v>
      </c>
      <c r="C259" s="28">
        <v>21314.0</v>
      </c>
      <c r="D259" s="28">
        <v>19800.0</v>
      </c>
      <c r="E259" s="28">
        <v>471.0</v>
      </c>
      <c r="F259" s="28">
        <v>20.0</v>
      </c>
      <c r="G259" s="28">
        <v>143.0</v>
      </c>
      <c r="H259" s="28">
        <v>880.0</v>
      </c>
      <c r="I259" s="28">
        <v>40267.0</v>
      </c>
      <c r="J259" s="28">
        <v>39509.0</v>
      </c>
      <c r="K259" s="28">
        <v>171.0</v>
      </c>
      <c r="L259" s="28">
        <v>64.0</v>
      </c>
      <c r="M259" s="28">
        <v>160.0</v>
      </c>
      <c r="N259" s="28">
        <v>363.0</v>
      </c>
      <c r="O259" s="29">
        <f t="shared" ref="O259:T259" si="260">ROUND(C259 + ((2016-2012)*(I259-C259))/(2024-2012),0)</f>
        <v>27632</v>
      </c>
      <c r="P259" s="36">
        <f t="shared" si="260"/>
        <v>26370</v>
      </c>
      <c r="Q259" s="36">
        <f t="shared" si="260"/>
        <v>371</v>
      </c>
      <c r="R259" s="36">
        <f t="shared" si="260"/>
        <v>35</v>
      </c>
      <c r="S259" s="36">
        <f t="shared" si="260"/>
        <v>149</v>
      </c>
      <c r="T259" s="36">
        <f t="shared" si="260"/>
        <v>708</v>
      </c>
      <c r="U259" s="36">
        <v>25023.0</v>
      </c>
      <c r="V259" s="31">
        <f t="shared" si="3"/>
        <v>1347</v>
      </c>
      <c r="W259" s="31">
        <f t="shared" si="4"/>
        <v>1347</v>
      </c>
      <c r="X259" s="32">
        <f t="shared" si="5"/>
        <v>27633</v>
      </c>
      <c r="Y259" s="31">
        <v>1269.9999809265137</v>
      </c>
      <c r="Z259" s="33"/>
      <c r="AA259" s="28">
        <v>22965.0</v>
      </c>
      <c r="AB259" s="36">
        <f t="shared" si="7"/>
        <v>30620</v>
      </c>
      <c r="AC259" s="28">
        <v>45930.0</v>
      </c>
      <c r="AD259" s="13"/>
      <c r="AE259" s="13"/>
      <c r="AF259" s="13"/>
      <c r="AG259" s="13"/>
      <c r="AH259" s="13"/>
      <c r="AI259" s="13"/>
      <c r="AJ259" s="13"/>
      <c r="AK259" s="13"/>
      <c r="AL259" s="13"/>
    </row>
    <row r="260" ht="15.75" customHeight="1">
      <c r="A260" s="26">
        <v>70105.0</v>
      </c>
      <c r="B260" s="27" t="s">
        <v>274</v>
      </c>
      <c r="C260" s="28">
        <v>12235.0</v>
      </c>
      <c r="D260" s="28">
        <v>10310.0</v>
      </c>
      <c r="E260" s="28">
        <v>48.0</v>
      </c>
      <c r="F260" s="28">
        <v>222.0</v>
      </c>
      <c r="G260" s="28">
        <v>111.0</v>
      </c>
      <c r="H260" s="28">
        <v>1544.0</v>
      </c>
      <c r="I260" s="28">
        <v>16612.0</v>
      </c>
      <c r="J260" s="28">
        <v>15466.0</v>
      </c>
      <c r="K260" s="28">
        <v>45.0</v>
      </c>
      <c r="L260" s="28">
        <v>337.0</v>
      </c>
      <c r="M260" s="28">
        <v>76.0</v>
      </c>
      <c r="N260" s="28">
        <v>688.0</v>
      </c>
      <c r="O260" s="29">
        <f t="shared" ref="O260:T260" si="261">ROUND(C260 + ((2016-2012)*(I260-C260))/(2024-2012),0)</f>
        <v>13694</v>
      </c>
      <c r="P260" s="30">
        <f t="shared" si="261"/>
        <v>12029</v>
      </c>
      <c r="Q260" s="30">
        <f t="shared" si="261"/>
        <v>47</v>
      </c>
      <c r="R260" s="30">
        <f t="shared" si="261"/>
        <v>260</v>
      </c>
      <c r="S260" s="30">
        <f t="shared" si="261"/>
        <v>99</v>
      </c>
      <c r="T260" s="30">
        <f t="shared" si="261"/>
        <v>1259</v>
      </c>
      <c r="U260" s="30">
        <v>10976.0</v>
      </c>
      <c r="V260" s="31">
        <f t="shared" si="3"/>
        <v>1053</v>
      </c>
      <c r="W260" s="31">
        <f t="shared" si="4"/>
        <v>1053</v>
      </c>
      <c r="X260" s="32">
        <f t="shared" si="5"/>
        <v>13694</v>
      </c>
      <c r="Y260" s="31">
        <v>911.0000133514404</v>
      </c>
      <c r="Z260" s="33"/>
      <c r="AA260" s="28">
        <v>13424.0</v>
      </c>
      <c r="AB260" s="30">
        <f t="shared" si="7"/>
        <v>15454</v>
      </c>
      <c r="AC260" s="28">
        <v>19514.0</v>
      </c>
      <c r="AD260" s="13"/>
      <c r="AE260" s="13"/>
      <c r="AF260" s="13"/>
      <c r="AG260" s="13"/>
      <c r="AH260" s="13"/>
      <c r="AI260" s="13"/>
      <c r="AJ260" s="13"/>
      <c r="AK260" s="13"/>
      <c r="AL260" s="13"/>
    </row>
    <row r="261" ht="15.75" customHeight="1">
      <c r="A261" s="34">
        <v>70201.0</v>
      </c>
      <c r="B261" s="35" t="s">
        <v>275</v>
      </c>
      <c r="C261" s="28">
        <v>23218.0</v>
      </c>
      <c r="D261" s="28">
        <v>21627.0</v>
      </c>
      <c r="E261" s="28">
        <v>75.0</v>
      </c>
      <c r="F261" s="28">
        <v>34.0</v>
      </c>
      <c r="G261" s="28">
        <v>112.0</v>
      </c>
      <c r="H261" s="28">
        <v>1370.0</v>
      </c>
      <c r="I261" s="28">
        <v>40597.0</v>
      </c>
      <c r="J261" s="28">
        <v>39425.0</v>
      </c>
      <c r="K261" s="28">
        <v>107.0</v>
      </c>
      <c r="L261" s="28">
        <v>144.0</v>
      </c>
      <c r="M261" s="28">
        <v>207.0</v>
      </c>
      <c r="N261" s="28">
        <v>714.0</v>
      </c>
      <c r="O261" s="29">
        <f t="shared" ref="O261:T261" si="262">ROUND(C261 + ((2016-2012)*(I261-C261))/(2024-2012),0)</f>
        <v>29011</v>
      </c>
      <c r="P261" s="36">
        <f t="shared" si="262"/>
        <v>27560</v>
      </c>
      <c r="Q261" s="36">
        <f t="shared" si="262"/>
        <v>86</v>
      </c>
      <c r="R261" s="36">
        <f t="shared" si="262"/>
        <v>71</v>
      </c>
      <c r="S261" s="36">
        <f t="shared" si="262"/>
        <v>144</v>
      </c>
      <c r="T261" s="36">
        <f t="shared" si="262"/>
        <v>1151</v>
      </c>
      <c r="U261" s="36">
        <v>28556.0</v>
      </c>
      <c r="V261" s="31">
        <f t="shared" si="3"/>
        <v>-996</v>
      </c>
      <c r="W261" s="31">
        <f t="shared" si="4"/>
        <v>0</v>
      </c>
      <c r="X261" s="32">
        <f t="shared" si="5"/>
        <v>30008</v>
      </c>
      <c r="Y261" s="31">
        <v>1146.9999551773071</v>
      </c>
      <c r="Z261" s="33"/>
      <c r="AA261" s="28">
        <v>25279.0</v>
      </c>
      <c r="AB261" s="36">
        <f t="shared" si="7"/>
        <v>32725</v>
      </c>
      <c r="AC261" s="28">
        <v>47617.0</v>
      </c>
      <c r="AD261" s="13"/>
      <c r="AE261" s="13"/>
      <c r="AF261" s="13"/>
      <c r="AG261" s="13"/>
      <c r="AH261" s="13"/>
      <c r="AI261" s="13"/>
      <c r="AJ261" s="13"/>
      <c r="AK261" s="13"/>
      <c r="AL261" s="13"/>
    </row>
    <row r="262" ht="15.75" customHeight="1">
      <c r="A262" s="26">
        <v>70202.0</v>
      </c>
      <c r="B262" s="27" t="s">
        <v>276</v>
      </c>
      <c r="C262" s="28">
        <v>2560.0</v>
      </c>
      <c r="D262" s="28">
        <v>2295.0</v>
      </c>
      <c r="E262" s="28">
        <v>14.0</v>
      </c>
      <c r="F262" s="28">
        <v>22.0</v>
      </c>
      <c r="G262" s="28">
        <v>25.0</v>
      </c>
      <c r="H262" s="28">
        <v>204.0</v>
      </c>
      <c r="I262" s="28">
        <v>2896.0</v>
      </c>
      <c r="J262" s="28">
        <v>2761.0</v>
      </c>
      <c r="K262" s="28">
        <v>25.0</v>
      </c>
      <c r="L262" s="28">
        <v>27.0</v>
      </c>
      <c r="M262" s="28">
        <v>8.0</v>
      </c>
      <c r="N262" s="28">
        <v>75.0</v>
      </c>
      <c r="O262" s="29">
        <f t="shared" ref="O262:T262" si="263">ROUND(C262 + ((2016-2012)*(I262-C262))/(2024-2012),0)</f>
        <v>2672</v>
      </c>
      <c r="P262" s="30">
        <f t="shared" si="263"/>
        <v>2450</v>
      </c>
      <c r="Q262" s="30">
        <f t="shared" si="263"/>
        <v>18</v>
      </c>
      <c r="R262" s="30">
        <f t="shared" si="263"/>
        <v>24</v>
      </c>
      <c r="S262" s="30">
        <f t="shared" si="263"/>
        <v>19</v>
      </c>
      <c r="T262" s="30">
        <f t="shared" si="263"/>
        <v>161</v>
      </c>
      <c r="U262" s="30">
        <v>1912.0</v>
      </c>
      <c r="V262" s="31">
        <f t="shared" si="3"/>
        <v>538</v>
      </c>
      <c r="W262" s="31">
        <f t="shared" si="4"/>
        <v>538</v>
      </c>
      <c r="X262" s="32">
        <f t="shared" si="5"/>
        <v>2672</v>
      </c>
      <c r="Y262" s="31">
        <v>1334.500014781952</v>
      </c>
      <c r="Z262" s="33"/>
      <c r="AA262" s="28">
        <v>2756.0</v>
      </c>
      <c r="AB262" s="30">
        <f t="shared" si="7"/>
        <v>2991</v>
      </c>
      <c r="AC262" s="28">
        <v>3462.0</v>
      </c>
      <c r="AD262" s="13"/>
      <c r="AE262" s="13"/>
      <c r="AF262" s="13"/>
      <c r="AG262" s="13"/>
      <c r="AH262" s="13"/>
      <c r="AI262" s="13"/>
      <c r="AJ262" s="13"/>
      <c r="AK262" s="13"/>
      <c r="AL262" s="13"/>
    </row>
    <row r="263" ht="15.75" customHeight="1">
      <c r="A263" s="34">
        <v>70301.0</v>
      </c>
      <c r="B263" s="35" t="s">
        <v>277</v>
      </c>
      <c r="C263" s="28">
        <v>10825.0</v>
      </c>
      <c r="D263" s="28">
        <v>6666.0</v>
      </c>
      <c r="E263" s="28">
        <v>666.0</v>
      </c>
      <c r="F263" s="28">
        <v>313.0</v>
      </c>
      <c r="G263" s="28">
        <v>325.0</v>
      </c>
      <c r="H263" s="28">
        <v>2855.0</v>
      </c>
      <c r="I263" s="28">
        <v>17760.0</v>
      </c>
      <c r="J263" s="28">
        <v>12961.0</v>
      </c>
      <c r="K263" s="28">
        <v>533.0</v>
      </c>
      <c r="L263" s="28">
        <v>1082.0</v>
      </c>
      <c r="M263" s="28">
        <v>422.0</v>
      </c>
      <c r="N263" s="28">
        <v>2762.0</v>
      </c>
      <c r="O263" s="29">
        <f t="shared" ref="O263:T263" si="264">ROUND(C263 + ((2016-2012)*(I263-C263))/(2024-2012),0)</f>
        <v>13137</v>
      </c>
      <c r="P263" s="36">
        <f t="shared" si="264"/>
        <v>8764</v>
      </c>
      <c r="Q263" s="36">
        <f t="shared" si="264"/>
        <v>622</v>
      </c>
      <c r="R263" s="36">
        <f t="shared" si="264"/>
        <v>569</v>
      </c>
      <c r="S263" s="36">
        <f t="shared" si="264"/>
        <v>357</v>
      </c>
      <c r="T263" s="36">
        <f t="shared" si="264"/>
        <v>2824</v>
      </c>
      <c r="U263" s="37">
        <v>7165.0</v>
      </c>
      <c r="V263" s="31">
        <f t="shared" si="3"/>
        <v>1599</v>
      </c>
      <c r="W263" s="31">
        <f t="shared" si="4"/>
        <v>1599</v>
      </c>
      <c r="X263" s="32">
        <f t="shared" si="5"/>
        <v>13136</v>
      </c>
      <c r="Y263" s="31">
        <v>834.4999849796295</v>
      </c>
      <c r="Z263" s="33"/>
      <c r="AA263" s="28">
        <v>11610.0</v>
      </c>
      <c r="AB263" s="36">
        <f t="shared" si="7"/>
        <v>14237</v>
      </c>
      <c r="AC263" s="28">
        <v>19491.0</v>
      </c>
      <c r="AD263" s="13"/>
      <c r="AE263" s="13"/>
      <c r="AF263" s="13"/>
      <c r="AG263" s="13"/>
      <c r="AH263" s="13"/>
      <c r="AI263" s="13"/>
      <c r="AJ263" s="13"/>
      <c r="AK263" s="13"/>
      <c r="AL263" s="13"/>
    </row>
    <row r="264" ht="15.75" customHeight="1">
      <c r="A264" s="26">
        <v>70302.0</v>
      </c>
      <c r="B264" s="27" t="s">
        <v>278</v>
      </c>
      <c r="C264" s="28">
        <v>2582.0</v>
      </c>
      <c r="D264" s="28">
        <v>1287.0</v>
      </c>
      <c r="E264" s="28">
        <v>104.0</v>
      </c>
      <c r="F264" s="28">
        <v>34.0</v>
      </c>
      <c r="G264" s="28">
        <v>22.0</v>
      </c>
      <c r="H264" s="28">
        <v>1135.0</v>
      </c>
      <c r="I264" s="28">
        <v>4447.0</v>
      </c>
      <c r="J264" s="28">
        <v>2296.0</v>
      </c>
      <c r="K264" s="28">
        <v>261.0</v>
      </c>
      <c r="L264" s="28">
        <v>444.0</v>
      </c>
      <c r="M264" s="28">
        <v>95.0</v>
      </c>
      <c r="N264" s="28">
        <v>1351.0</v>
      </c>
      <c r="O264" s="29">
        <f t="shared" ref="O264:T264" si="265">ROUND(C264 + ((2016-2012)*(I264-C264))/(2024-2012),0)</f>
        <v>3204</v>
      </c>
      <c r="P264" s="30">
        <f t="shared" si="265"/>
        <v>1623</v>
      </c>
      <c r="Q264" s="30">
        <f t="shared" si="265"/>
        <v>156</v>
      </c>
      <c r="R264" s="30">
        <f t="shared" si="265"/>
        <v>171</v>
      </c>
      <c r="S264" s="30">
        <f t="shared" si="265"/>
        <v>46</v>
      </c>
      <c r="T264" s="30">
        <f t="shared" si="265"/>
        <v>1207</v>
      </c>
      <c r="U264" s="38">
        <v>1758.0</v>
      </c>
      <c r="V264" s="31">
        <f t="shared" si="3"/>
        <v>-135</v>
      </c>
      <c r="W264" s="31">
        <f t="shared" si="4"/>
        <v>0</v>
      </c>
      <c r="X264" s="32">
        <f t="shared" si="5"/>
        <v>3338</v>
      </c>
      <c r="Y264" s="31">
        <v>653.4999907016754</v>
      </c>
      <c r="Z264" s="33"/>
      <c r="AA264" s="28">
        <v>3048.0</v>
      </c>
      <c r="AB264" s="30">
        <f t="shared" si="7"/>
        <v>3764</v>
      </c>
      <c r="AC264" s="28">
        <v>5195.0</v>
      </c>
      <c r="AD264" s="13"/>
      <c r="AE264" s="13"/>
      <c r="AF264" s="13"/>
      <c r="AG264" s="13"/>
      <c r="AH264" s="13"/>
      <c r="AI264" s="13"/>
      <c r="AJ264" s="13"/>
      <c r="AK264" s="13"/>
      <c r="AL264" s="13"/>
    </row>
    <row r="265" ht="15.75" customHeight="1">
      <c r="A265" s="34">
        <v>70303.0</v>
      </c>
      <c r="B265" s="35" t="s">
        <v>279</v>
      </c>
      <c r="C265" s="28">
        <v>1139.0</v>
      </c>
      <c r="D265" s="28">
        <v>624.0</v>
      </c>
      <c r="E265" s="28">
        <v>79.0</v>
      </c>
      <c r="F265" s="28">
        <v>33.0</v>
      </c>
      <c r="G265" s="28">
        <v>23.0</v>
      </c>
      <c r="H265" s="28">
        <v>380.0</v>
      </c>
      <c r="I265" s="28">
        <v>2897.0</v>
      </c>
      <c r="J265" s="28">
        <v>1128.0</v>
      </c>
      <c r="K265" s="28">
        <v>169.0</v>
      </c>
      <c r="L265" s="28">
        <v>405.0</v>
      </c>
      <c r="M265" s="28">
        <v>93.0</v>
      </c>
      <c r="N265" s="28">
        <v>1102.0</v>
      </c>
      <c r="O265" s="29">
        <f t="shared" ref="O265:T265" si="266">ROUND(C265 + ((2016-2012)*(I265-C265))/(2024-2012),0)</f>
        <v>1725</v>
      </c>
      <c r="P265" s="36">
        <f t="shared" si="266"/>
        <v>792</v>
      </c>
      <c r="Q265" s="36">
        <f t="shared" si="266"/>
        <v>109</v>
      </c>
      <c r="R265" s="36">
        <f t="shared" si="266"/>
        <v>157</v>
      </c>
      <c r="S265" s="36">
        <f t="shared" si="266"/>
        <v>46</v>
      </c>
      <c r="T265" s="36">
        <f t="shared" si="266"/>
        <v>621</v>
      </c>
      <c r="U265" s="37">
        <v>594.0</v>
      </c>
      <c r="V265" s="31">
        <f t="shared" si="3"/>
        <v>198</v>
      </c>
      <c r="W265" s="31">
        <f t="shared" si="4"/>
        <v>198</v>
      </c>
      <c r="X265" s="32">
        <f t="shared" si="5"/>
        <v>1725</v>
      </c>
      <c r="Y265" s="31">
        <v>849.9999940395355</v>
      </c>
      <c r="Z265" s="33"/>
      <c r="AA265" s="28">
        <v>1280.0</v>
      </c>
      <c r="AB265" s="36">
        <f t="shared" si="7"/>
        <v>1921</v>
      </c>
      <c r="AC265" s="28">
        <v>3204.0</v>
      </c>
      <c r="AD265" s="13"/>
      <c r="AE265" s="13"/>
      <c r="AF265" s="13"/>
      <c r="AG265" s="13"/>
      <c r="AH265" s="13"/>
      <c r="AI265" s="13"/>
      <c r="AJ265" s="13"/>
      <c r="AK265" s="13"/>
      <c r="AL265" s="13"/>
    </row>
    <row r="266" ht="15.75" customHeight="1">
      <c r="A266" s="26">
        <v>70401.0</v>
      </c>
      <c r="B266" s="27" t="s">
        <v>280</v>
      </c>
      <c r="C266" s="28">
        <v>3171.0</v>
      </c>
      <c r="D266" s="28">
        <v>2359.0</v>
      </c>
      <c r="E266" s="28">
        <v>29.0</v>
      </c>
      <c r="F266" s="28">
        <v>120.0</v>
      </c>
      <c r="G266" s="28">
        <v>43.0</v>
      </c>
      <c r="H266" s="28">
        <v>620.0</v>
      </c>
      <c r="I266" s="28">
        <v>3776.0</v>
      </c>
      <c r="J266" s="28">
        <v>3416.0</v>
      </c>
      <c r="K266" s="28">
        <v>22.0</v>
      </c>
      <c r="L266" s="28">
        <v>55.0</v>
      </c>
      <c r="M266" s="28">
        <v>18.0</v>
      </c>
      <c r="N266" s="28">
        <v>265.0</v>
      </c>
      <c r="O266" s="29">
        <f t="shared" ref="O266:T266" si="267">ROUND(C266 + ((2016-2012)*(I266-C266))/(2024-2012),0)</f>
        <v>3373</v>
      </c>
      <c r="P266" s="30">
        <f t="shared" si="267"/>
        <v>2711</v>
      </c>
      <c r="Q266" s="30">
        <f t="shared" si="267"/>
        <v>27</v>
      </c>
      <c r="R266" s="30">
        <f t="shared" si="267"/>
        <v>98</v>
      </c>
      <c r="S266" s="30">
        <f t="shared" si="267"/>
        <v>35</v>
      </c>
      <c r="T266" s="30">
        <f t="shared" si="267"/>
        <v>502</v>
      </c>
      <c r="U266" s="30">
        <v>2932.0</v>
      </c>
      <c r="V266" s="31">
        <f t="shared" si="3"/>
        <v>-221</v>
      </c>
      <c r="W266" s="31">
        <f t="shared" si="4"/>
        <v>0</v>
      </c>
      <c r="X266" s="32">
        <f t="shared" si="5"/>
        <v>3594</v>
      </c>
      <c r="Y266" s="31">
        <v>829.9999833106995</v>
      </c>
      <c r="Z266" s="33"/>
      <c r="AA266" s="28">
        <v>3721.0</v>
      </c>
      <c r="AB266" s="30">
        <f t="shared" si="7"/>
        <v>4070</v>
      </c>
      <c r="AC266" s="28">
        <v>4767.0</v>
      </c>
      <c r="AD266" s="13"/>
      <c r="AE266" s="13"/>
      <c r="AF266" s="13"/>
      <c r="AG266" s="13"/>
      <c r="AH266" s="13"/>
      <c r="AI266" s="13"/>
      <c r="AJ266" s="13"/>
      <c r="AK266" s="13"/>
      <c r="AL266" s="13"/>
    </row>
    <row r="267" ht="15.75" customHeight="1">
      <c r="A267" s="34">
        <v>70402.0</v>
      </c>
      <c r="B267" s="35" t="s">
        <v>281</v>
      </c>
      <c r="C267" s="28">
        <v>4573.0</v>
      </c>
      <c r="D267" s="28">
        <v>3455.0</v>
      </c>
      <c r="E267" s="28">
        <v>56.0</v>
      </c>
      <c r="F267" s="28">
        <v>53.0</v>
      </c>
      <c r="G267" s="28">
        <v>63.0</v>
      </c>
      <c r="H267" s="28">
        <v>946.0</v>
      </c>
      <c r="I267" s="28">
        <v>5523.0</v>
      </c>
      <c r="J267" s="28">
        <v>4790.0</v>
      </c>
      <c r="K267" s="28">
        <v>25.0</v>
      </c>
      <c r="L267" s="28">
        <v>122.0</v>
      </c>
      <c r="M267" s="28">
        <v>35.0</v>
      </c>
      <c r="N267" s="28">
        <v>551.0</v>
      </c>
      <c r="O267" s="29">
        <f t="shared" ref="O267:T267" si="268">ROUND(C267 + ((2016-2012)*(I267-C267))/(2024-2012),0)</f>
        <v>4890</v>
      </c>
      <c r="P267" s="36">
        <f t="shared" si="268"/>
        <v>3900</v>
      </c>
      <c r="Q267" s="36">
        <f t="shared" si="268"/>
        <v>46</v>
      </c>
      <c r="R267" s="36">
        <f t="shared" si="268"/>
        <v>76</v>
      </c>
      <c r="S267" s="36">
        <f t="shared" si="268"/>
        <v>54</v>
      </c>
      <c r="T267" s="36">
        <f t="shared" si="268"/>
        <v>814</v>
      </c>
      <c r="U267" s="36">
        <v>3700.0</v>
      </c>
      <c r="V267" s="31">
        <f t="shared" si="3"/>
        <v>200</v>
      </c>
      <c r="W267" s="31">
        <f t="shared" si="4"/>
        <v>200</v>
      </c>
      <c r="X267" s="32">
        <f t="shared" si="5"/>
        <v>4890</v>
      </c>
      <c r="Y267" s="31">
        <v>978.4999787807465</v>
      </c>
      <c r="Z267" s="33"/>
      <c r="AA267" s="28">
        <v>4901.0</v>
      </c>
      <c r="AB267" s="36">
        <f t="shared" si="7"/>
        <v>5432</v>
      </c>
      <c r="AC267" s="28">
        <v>6494.0</v>
      </c>
      <c r="AD267" s="13"/>
      <c r="AE267" s="13"/>
      <c r="AF267" s="13"/>
      <c r="AG267" s="13"/>
      <c r="AH267" s="13"/>
      <c r="AI267" s="13"/>
      <c r="AJ267" s="13"/>
      <c r="AK267" s="13"/>
      <c r="AL267" s="13"/>
    </row>
    <row r="268" ht="15.75" customHeight="1">
      <c r="A268" s="26">
        <v>70403.0</v>
      </c>
      <c r="B268" s="27" t="s">
        <v>282</v>
      </c>
      <c r="C268" s="28">
        <v>14775.0</v>
      </c>
      <c r="D268" s="28">
        <v>8215.0</v>
      </c>
      <c r="E268" s="28">
        <v>241.0</v>
      </c>
      <c r="F268" s="28">
        <v>181.0</v>
      </c>
      <c r="G268" s="28">
        <v>235.0</v>
      </c>
      <c r="H268" s="28">
        <v>5903.0</v>
      </c>
      <c r="I268" s="28">
        <v>20075.0</v>
      </c>
      <c r="J268" s="28">
        <v>13724.0</v>
      </c>
      <c r="K268" s="28">
        <v>84.0</v>
      </c>
      <c r="L268" s="28">
        <v>800.0</v>
      </c>
      <c r="M268" s="28">
        <v>286.0</v>
      </c>
      <c r="N268" s="28">
        <v>5181.0</v>
      </c>
      <c r="O268" s="29">
        <f t="shared" ref="O268:T268" si="269">ROUND(C268 + ((2016-2012)*(I268-C268))/(2024-2012),0)</f>
        <v>16542</v>
      </c>
      <c r="P268" s="30">
        <f t="shared" si="269"/>
        <v>10051</v>
      </c>
      <c r="Q268" s="30">
        <f t="shared" si="269"/>
        <v>189</v>
      </c>
      <c r="R268" s="30">
        <f t="shared" si="269"/>
        <v>387</v>
      </c>
      <c r="S268" s="30">
        <f t="shared" si="269"/>
        <v>252</v>
      </c>
      <c r="T268" s="30">
        <f t="shared" si="269"/>
        <v>5662</v>
      </c>
      <c r="U268" s="30">
        <v>9414.0</v>
      </c>
      <c r="V268" s="31">
        <f t="shared" si="3"/>
        <v>637</v>
      </c>
      <c r="W268" s="31">
        <f t="shared" si="4"/>
        <v>637</v>
      </c>
      <c r="X268" s="32">
        <f t="shared" si="5"/>
        <v>16541</v>
      </c>
      <c r="Y268" s="31">
        <v>989.0000224113464</v>
      </c>
      <c r="Z268" s="33"/>
      <c r="AA268" s="28">
        <v>16020.0</v>
      </c>
      <c r="AB268" s="30">
        <f t="shared" si="7"/>
        <v>18525</v>
      </c>
      <c r="AC268" s="28">
        <v>23535.0</v>
      </c>
      <c r="AD268" s="13"/>
      <c r="AE268" s="13"/>
      <c r="AF268" s="13"/>
      <c r="AG268" s="13"/>
      <c r="AH268" s="13"/>
      <c r="AI268" s="13"/>
      <c r="AJ268" s="13"/>
      <c r="AK268" s="13"/>
      <c r="AL268" s="13"/>
    </row>
    <row r="269" ht="15.75" customHeight="1">
      <c r="A269" s="34">
        <v>70404.0</v>
      </c>
      <c r="B269" s="35" t="s">
        <v>283</v>
      </c>
      <c r="C269" s="28">
        <v>2055.0</v>
      </c>
      <c r="D269" s="28">
        <v>1381.0</v>
      </c>
      <c r="E269" s="28">
        <v>58.0</v>
      </c>
      <c r="F269" s="28">
        <v>39.0</v>
      </c>
      <c r="G269" s="28">
        <v>24.0</v>
      </c>
      <c r="H269" s="28">
        <v>553.0</v>
      </c>
      <c r="I269" s="28">
        <v>2957.0</v>
      </c>
      <c r="J269" s="28">
        <v>2335.0</v>
      </c>
      <c r="K269" s="28">
        <v>20.0</v>
      </c>
      <c r="L269" s="28">
        <v>104.0</v>
      </c>
      <c r="M269" s="28">
        <v>51.0</v>
      </c>
      <c r="N269" s="28">
        <v>447.0</v>
      </c>
      <c r="O269" s="29">
        <f t="shared" ref="O269:T269" si="270">ROUND(C269 + ((2016-2012)*(I269-C269))/(2024-2012),0)</f>
        <v>2356</v>
      </c>
      <c r="P269" s="36">
        <f t="shared" si="270"/>
        <v>1699</v>
      </c>
      <c r="Q269" s="36">
        <f t="shared" si="270"/>
        <v>45</v>
      </c>
      <c r="R269" s="36">
        <f t="shared" si="270"/>
        <v>61</v>
      </c>
      <c r="S269" s="36">
        <f t="shared" si="270"/>
        <v>33</v>
      </c>
      <c r="T269" s="36">
        <f t="shared" si="270"/>
        <v>518</v>
      </c>
      <c r="U269" s="36">
        <v>1289.0</v>
      </c>
      <c r="V269" s="31">
        <f t="shared" si="3"/>
        <v>410</v>
      </c>
      <c r="W269" s="31">
        <f t="shared" si="4"/>
        <v>410</v>
      </c>
      <c r="X269" s="32">
        <f t="shared" si="5"/>
        <v>2356</v>
      </c>
      <c r="Y269" s="31">
        <v>1134.9999904632568</v>
      </c>
      <c r="Z269" s="33"/>
      <c r="AA269" s="28">
        <v>2175.0</v>
      </c>
      <c r="AB269" s="36">
        <f t="shared" si="7"/>
        <v>2575</v>
      </c>
      <c r="AC269" s="28">
        <v>3376.0</v>
      </c>
      <c r="AD269" s="13"/>
      <c r="AE269" s="13"/>
      <c r="AF269" s="13"/>
      <c r="AG269" s="13"/>
      <c r="AH269" s="13"/>
      <c r="AI269" s="13"/>
      <c r="AJ269" s="13"/>
      <c r="AK269" s="13"/>
      <c r="AL269" s="13"/>
    </row>
    <row r="270" ht="15.75" customHeight="1">
      <c r="A270" s="26">
        <v>70501.0</v>
      </c>
      <c r="B270" s="27" t="s">
        <v>284</v>
      </c>
      <c r="C270" s="28">
        <v>4566.0</v>
      </c>
      <c r="D270" s="28">
        <v>3536.0</v>
      </c>
      <c r="E270" s="28">
        <v>560.0</v>
      </c>
      <c r="F270" s="28">
        <v>31.0</v>
      </c>
      <c r="G270" s="28">
        <v>30.0</v>
      </c>
      <c r="H270" s="28">
        <v>409.0</v>
      </c>
      <c r="I270" s="28">
        <v>11607.0</v>
      </c>
      <c r="J270" s="28">
        <v>4597.0</v>
      </c>
      <c r="K270" s="28">
        <v>1521.0</v>
      </c>
      <c r="L270" s="28">
        <v>1467.0</v>
      </c>
      <c r="M270" s="28">
        <v>826.0</v>
      </c>
      <c r="N270" s="28">
        <v>3196.0</v>
      </c>
      <c r="O270" s="29">
        <f t="shared" ref="O270:T270" si="271">ROUND(C270 + ((2016-2012)*(I270-C270))/(2024-2012),0)</f>
        <v>6913</v>
      </c>
      <c r="P270" s="30">
        <f t="shared" si="271"/>
        <v>3890</v>
      </c>
      <c r="Q270" s="30">
        <f t="shared" si="271"/>
        <v>880</v>
      </c>
      <c r="R270" s="30">
        <f t="shared" si="271"/>
        <v>510</v>
      </c>
      <c r="S270" s="30">
        <f t="shared" si="271"/>
        <v>295</v>
      </c>
      <c r="T270" s="30">
        <f t="shared" si="271"/>
        <v>1338</v>
      </c>
      <c r="U270" s="38">
        <v>3194.0</v>
      </c>
      <c r="V270" s="31">
        <f t="shared" si="3"/>
        <v>696</v>
      </c>
      <c r="W270" s="31">
        <f t="shared" si="4"/>
        <v>696</v>
      </c>
      <c r="X270" s="32">
        <f t="shared" si="5"/>
        <v>6913</v>
      </c>
      <c r="Y270" s="31">
        <v>1034.000039100647</v>
      </c>
      <c r="Z270" s="33"/>
      <c r="AA270" s="28">
        <v>4804.0</v>
      </c>
      <c r="AB270" s="30">
        <f t="shared" si="7"/>
        <v>7511</v>
      </c>
      <c r="AC270" s="28">
        <v>12926.0</v>
      </c>
      <c r="AD270" s="13"/>
      <c r="AE270" s="13"/>
      <c r="AF270" s="13"/>
      <c r="AG270" s="13"/>
      <c r="AH270" s="13"/>
      <c r="AI270" s="13"/>
      <c r="AJ270" s="13"/>
      <c r="AK270" s="13"/>
      <c r="AL270" s="13"/>
    </row>
    <row r="271" ht="15.75" customHeight="1">
      <c r="A271" s="34">
        <v>70502.0</v>
      </c>
      <c r="B271" s="35" t="s">
        <v>285</v>
      </c>
      <c r="C271" s="28">
        <v>7182.0</v>
      </c>
      <c r="D271" s="28">
        <v>3802.0</v>
      </c>
      <c r="E271" s="28">
        <v>1763.0</v>
      </c>
      <c r="F271" s="28">
        <v>180.0</v>
      </c>
      <c r="G271" s="28">
        <v>196.0</v>
      </c>
      <c r="H271" s="28">
        <v>1241.0</v>
      </c>
      <c r="I271" s="28">
        <v>12970.0</v>
      </c>
      <c r="J271" s="28">
        <v>7513.0</v>
      </c>
      <c r="K271" s="28">
        <v>2323.0</v>
      </c>
      <c r="L271" s="28">
        <v>1355.0</v>
      </c>
      <c r="M271" s="28">
        <v>312.0</v>
      </c>
      <c r="N271" s="28">
        <v>1467.0</v>
      </c>
      <c r="O271" s="29">
        <f t="shared" ref="O271:T271" si="272">ROUND(C271 + ((2016-2012)*(I271-C271))/(2024-2012),0)</f>
        <v>9111</v>
      </c>
      <c r="P271" s="36">
        <f t="shared" si="272"/>
        <v>5039</v>
      </c>
      <c r="Q271" s="36">
        <f t="shared" si="272"/>
        <v>1950</v>
      </c>
      <c r="R271" s="36">
        <f t="shared" si="272"/>
        <v>572</v>
      </c>
      <c r="S271" s="36">
        <f t="shared" si="272"/>
        <v>235</v>
      </c>
      <c r="T271" s="36">
        <f t="shared" si="272"/>
        <v>1316</v>
      </c>
      <c r="U271" s="36">
        <v>4217.0</v>
      </c>
      <c r="V271" s="31">
        <f t="shared" si="3"/>
        <v>822</v>
      </c>
      <c r="W271" s="31">
        <f t="shared" si="4"/>
        <v>822</v>
      </c>
      <c r="X271" s="32">
        <f t="shared" si="5"/>
        <v>9112</v>
      </c>
      <c r="Y271" s="31">
        <v>1271.0000276565552</v>
      </c>
      <c r="Z271" s="33"/>
      <c r="AA271" s="28">
        <v>7414.0</v>
      </c>
      <c r="AB271" s="36">
        <f t="shared" si="7"/>
        <v>9758</v>
      </c>
      <c r="AC271" s="28">
        <v>14445.0</v>
      </c>
      <c r="AD271" s="13"/>
      <c r="AE271" s="13"/>
      <c r="AF271" s="13"/>
      <c r="AG271" s="13"/>
      <c r="AH271" s="13"/>
      <c r="AI271" s="13"/>
      <c r="AJ271" s="13"/>
      <c r="AK271" s="13"/>
      <c r="AL271" s="13"/>
    </row>
    <row r="272" ht="15.75" customHeight="1">
      <c r="A272" s="26">
        <v>70503.0</v>
      </c>
      <c r="B272" s="27" t="s">
        <v>286</v>
      </c>
      <c r="C272" s="28">
        <v>3747.0</v>
      </c>
      <c r="D272" s="28">
        <v>3132.0</v>
      </c>
      <c r="E272" s="28">
        <v>30.0</v>
      </c>
      <c r="F272" s="28">
        <v>70.0</v>
      </c>
      <c r="G272" s="28">
        <v>4.0</v>
      </c>
      <c r="H272" s="28">
        <v>511.0</v>
      </c>
      <c r="I272" s="28">
        <v>5348.0</v>
      </c>
      <c r="J272" s="28">
        <v>4535.0</v>
      </c>
      <c r="K272" s="28">
        <v>127.0</v>
      </c>
      <c r="L272" s="28">
        <v>246.0</v>
      </c>
      <c r="M272" s="28">
        <v>25.0</v>
      </c>
      <c r="N272" s="28">
        <v>415.0</v>
      </c>
      <c r="O272" s="29">
        <f t="shared" ref="O272:T272" si="273">ROUND(C272 + ((2016-2012)*(I272-C272))/(2024-2012),0)</f>
        <v>4281</v>
      </c>
      <c r="P272" s="30">
        <f t="shared" si="273"/>
        <v>3600</v>
      </c>
      <c r="Q272" s="30">
        <f t="shared" si="273"/>
        <v>62</v>
      </c>
      <c r="R272" s="30">
        <f t="shared" si="273"/>
        <v>129</v>
      </c>
      <c r="S272" s="30">
        <f t="shared" si="273"/>
        <v>11</v>
      </c>
      <c r="T272" s="30">
        <f t="shared" si="273"/>
        <v>479</v>
      </c>
      <c r="U272" s="38">
        <v>3384.0</v>
      </c>
      <c r="V272" s="31">
        <f t="shared" si="3"/>
        <v>216</v>
      </c>
      <c r="W272" s="31">
        <f t="shared" si="4"/>
        <v>216</v>
      </c>
      <c r="X272" s="32">
        <f t="shared" si="5"/>
        <v>4281</v>
      </c>
      <c r="Y272" s="31">
        <v>976.0000109672546</v>
      </c>
      <c r="Z272" s="33"/>
      <c r="AA272" s="28">
        <v>4252.0</v>
      </c>
      <c r="AB272" s="30">
        <f t="shared" si="7"/>
        <v>5284</v>
      </c>
      <c r="AC272" s="28">
        <v>7347.0</v>
      </c>
      <c r="AD272" s="13"/>
      <c r="AE272" s="13"/>
      <c r="AF272" s="13"/>
      <c r="AG272" s="13"/>
      <c r="AH272" s="13"/>
      <c r="AI272" s="13"/>
      <c r="AJ272" s="13"/>
      <c r="AK272" s="13"/>
      <c r="AL272" s="13"/>
    </row>
    <row r="273" ht="15.75" customHeight="1">
      <c r="A273" s="34">
        <v>70601.0</v>
      </c>
      <c r="B273" s="35" t="s">
        <v>287</v>
      </c>
      <c r="C273" s="28">
        <v>4119.0</v>
      </c>
      <c r="D273" s="28">
        <v>3653.0</v>
      </c>
      <c r="E273" s="28">
        <v>46.0</v>
      </c>
      <c r="F273" s="28">
        <v>74.0</v>
      </c>
      <c r="G273" s="28">
        <v>37.0</v>
      </c>
      <c r="H273" s="28">
        <v>309.0</v>
      </c>
      <c r="I273" s="28">
        <v>5445.0</v>
      </c>
      <c r="J273" s="28">
        <v>5200.0</v>
      </c>
      <c r="K273" s="28">
        <v>25.0</v>
      </c>
      <c r="L273" s="28">
        <v>89.0</v>
      </c>
      <c r="M273" s="28">
        <v>35.0</v>
      </c>
      <c r="N273" s="28">
        <v>96.0</v>
      </c>
      <c r="O273" s="29">
        <f t="shared" ref="O273:T273" si="274">ROUND(C273 + ((2016-2012)*(I273-C273))/(2024-2012),0)</f>
        <v>4561</v>
      </c>
      <c r="P273" s="36">
        <f t="shared" si="274"/>
        <v>4169</v>
      </c>
      <c r="Q273" s="36">
        <f t="shared" si="274"/>
        <v>39</v>
      </c>
      <c r="R273" s="36">
        <f t="shared" si="274"/>
        <v>79</v>
      </c>
      <c r="S273" s="36">
        <f t="shared" si="274"/>
        <v>36</v>
      </c>
      <c r="T273" s="36">
        <f t="shared" si="274"/>
        <v>238</v>
      </c>
      <c r="U273" s="36">
        <v>3847.0</v>
      </c>
      <c r="V273" s="31">
        <f t="shared" si="3"/>
        <v>322</v>
      </c>
      <c r="W273" s="31">
        <f t="shared" si="4"/>
        <v>322</v>
      </c>
      <c r="X273" s="32">
        <f t="shared" si="5"/>
        <v>4561</v>
      </c>
      <c r="Y273" s="31">
        <v>1468.999981880188</v>
      </c>
      <c r="Z273" s="33"/>
      <c r="AA273" s="28">
        <v>4519.0</v>
      </c>
      <c r="AB273" s="36">
        <f t="shared" si="7"/>
        <v>5132</v>
      </c>
      <c r="AC273" s="28">
        <v>6358.0</v>
      </c>
      <c r="AD273" s="13"/>
      <c r="AE273" s="13"/>
      <c r="AF273" s="13"/>
      <c r="AG273" s="13"/>
      <c r="AH273" s="13"/>
      <c r="AI273" s="13"/>
      <c r="AJ273" s="13"/>
      <c r="AK273" s="13"/>
      <c r="AL273" s="13"/>
    </row>
    <row r="274" ht="15.75" customHeight="1">
      <c r="A274" s="26">
        <v>70602.0</v>
      </c>
      <c r="B274" s="27" t="s">
        <v>288</v>
      </c>
      <c r="C274" s="28">
        <v>4978.0</v>
      </c>
      <c r="D274" s="28">
        <v>2288.0</v>
      </c>
      <c r="E274" s="28">
        <v>260.0</v>
      </c>
      <c r="F274" s="28">
        <v>179.0</v>
      </c>
      <c r="G274" s="28">
        <v>274.0</v>
      </c>
      <c r="H274" s="28">
        <v>1977.0</v>
      </c>
      <c r="I274" s="28">
        <v>5957.0</v>
      </c>
      <c r="J274" s="28">
        <v>3909.0</v>
      </c>
      <c r="K274" s="28">
        <v>163.0</v>
      </c>
      <c r="L274" s="28">
        <v>658.0</v>
      </c>
      <c r="M274" s="28">
        <v>89.0</v>
      </c>
      <c r="N274" s="28">
        <v>1138.0</v>
      </c>
      <c r="O274" s="29">
        <f t="shared" ref="O274:T274" si="275">ROUND(C274 + ((2016-2012)*(I274-C274))/(2024-2012),0)</f>
        <v>5304</v>
      </c>
      <c r="P274" s="30">
        <f t="shared" si="275"/>
        <v>2828</v>
      </c>
      <c r="Q274" s="30">
        <f t="shared" si="275"/>
        <v>228</v>
      </c>
      <c r="R274" s="30">
        <f t="shared" si="275"/>
        <v>339</v>
      </c>
      <c r="S274" s="30">
        <f t="shared" si="275"/>
        <v>212</v>
      </c>
      <c r="T274" s="30">
        <f t="shared" si="275"/>
        <v>1697</v>
      </c>
      <c r="U274" s="30">
        <v>2851.0</v>
      </c>
      <c r="V274" s="31">
        <f t="shared" si="3"/>
        <v>-23</v>
      </c>
      <c r="W274" s="31">
        <f t="shared" si="4"/>
        <v>0</v>
      </c>
      <c r="X274" s="32">
        <f t="shared" si="5"/>
        <v>5327</v>
      </c>
      <c r="Y274" s="31">
        <v>782.9999923706055</v>
      </c>
      <c r="Z274" s="33"/>
      <c r="AA274" s="28">
        <v>5361.0</v>
      </c>
      <c r="AB274" s="30">
        <f t="shared" si="7"/>
        <v>6037</v>
      </c>
      <c r="AC274" s="28">
        <v>7388.0</v>
      </c>
      <c r="AD274" s="13"/>
      <c r="AE274" s="13"/>
      <c r="AF274" s="13"/>
      <c r="AG274" s="13"/>
      <c r="AH274" s="13"/>
      <c r="AI274" s="13"/>
      <c r="AJ274" s="13"/>
      <c r="AK274" s="13"/>
      <c r="AL274" s="13"/>
    </row>
    <row r="275" ht="15.75" customHeight="1">
      <c r="A275" s="34">
        <v>70603.0</v>
      </c>
      <c r="B275" s="35" t="s">
        <v>289</v>
      </c>
      <c r="C275" s="28">
        <v>1354.0</v>
      </c>
      <c r="D275" s="28">
        <v>1204.0</v>
      </c>
      <c r="E275" s="28">
        <v>27.0</v>
      </c>
      <c r="F275" s="28">
        <v>16.0</v>
      </c>
      <c r="G275" s="28">
        <v>13.0</v>
      </c>
      <c r="H275" s="28">
        <v>94.0</v>
      </c>
      <c r="I275" s="28">
        <v>1533.0</v>
      </c>
      <c r="J275" s="28">
        <v>1433.0</v>
      </c>
      <c r="K275" s="28">
        <v>13.0</v>
      </c>
      <c r="L275" s="28">
        <v>29.0</v>
      </c>
      <c r="M275" s="28">
        <v>12.0</v>
      </c>
      <c r="N275" s="28">
        <v>46.0</v>
      </c>
      <c r="O275" s="29">
        <f t="shared" ref="O275:T275" si="276">ROUND(C275 + ((2016-2012)*(I275-C275))/(2024-2012),0)</f>
        <v>1414</v>
      </c>
      <c r="P275" s="36">
        <f t="shared" si="276"/>
        <v>1280</v>
      </c>
      <c r="Q275" s="36">
        <f t="shared" si="276"/>
        <v>22</v>
      </c>
      <c r="R275" s="36">
        <f t="shared" si="276"/>
        <v>20</v>
      </c>
      <c r="S275" s="36">
        <f t="shared" si="276"/>
        <v>13</v>
      </c>
      <c r="T275" s="36">
        <f t="shared" si="276"/>
        <v>78</v>
      </c>
      <c r="U275" s="36">
        <v>980.0</v>
      </c>
      <c r="V275" s="31">
        <f t="shared" si="3"/>
        <v>300</v>
      </c>
      <c r="W275" s="31">
        <f t="shared" si="4"/>
        <v>300</v>
      </c>
      <c r="X275" s="32">
        <f t="shared" si="5"/>
        <v>1413</v>
      </c>
      <c r="Y275" s="31">
        <v>1491.9999837875366</v>
      </c>
      <c r="Z275" s="33"/>
      <c r="AA275" s="28">
        <v>1393.0</v>
      </c>
      <c r="AB275" s="36">
        <f t="shared" si="7"/>
        <v>1571</v>
      </c>
      <c r="AC275" s="28">
        <v>1927.0</v>
      </c>
      <c r="AD275" s="13"/>
      <c r="AE275" s="13"/>
      <c r="AF275" s="13"/>
      <c r="AG275" s="13"/>
      <c r="AH275" s="13"/>
      <c r="AI275" s="13"/>
      <c r="AJ275" s="13"/>
      <c r="AK275" s="13"/>
      <c r="AL275" s="13"/>
    </row>
    <row r="276" ht="15.75" customHeight="1">
      <c r="A276" s="26">
        <v>70701.0</v>
      </c>
      <c r="B276" s="27" t="s">
        <v>290</v>
      </c>
      <c r="C276" s="28">
        <v>1071.0</v>
      </c>
      <c r="D276" s="28">
        <v>579.0</v>
      </c>
      <c r="E276" s="28">
        <v>16.0</v>
      </c>
      <c r="F276" s="28">
        <v>27.0</v>
      </c>
      <c r="G276" s="28">
        <v>20.0</v>
      </c>
      <c r="H276" s="28">
        <v>429.0</v>
      </c>
      <c r="I276" s="28">
        <v>1569.0</v>
      </c>
      <c r="J276" s="28">
        <v>1453.0</v>
      </c>
      <c r="K276" s="28">
        <v>2.0</v>
      </c>
      <c r="L276" s="28">
        <v>31.0</v>
      </c>
      <c r="M276" s="28">
        <v>3.0</v>
      </c>
      <c r="N276" s="28">
        <v>80.0</v>
      </c>
      <c r="O276" s="29">
        <f t="shared" ref="O276:T276" si="277">ROUND(C276 + ((2016-2012)*(I276-C276))/(2024-2012),0)</f>
        <v>1237</v>
      </c>
      <c r="P276" s="30">
        <f t="shared" si="277"/>
        <v>870</v>
      </c>
      <c r="Q276" s="30">
        <f t="shared" si="277"/>
        <v>11</v>
      </c>
      <c r="R276" s="30">
        <f t="shared" si="277"/>
        <v>28</v>
      </c>
      <c r="S276" s="30">
        <f t="shared" si="277"/>
        <v>14</v>
      </c>
      <c r="T276" s="30">
        <f t="shared" si="277"/>
        <v>313</v>
      </c>
      <c r="U276" s="38">
        <v>769.0</v>
      </c>
      <c r="V276" s="31">
        <f t="shared" si="3"/>
        <v>101</v>
      </c>
      <c r="W276" s="31">
        <f t="shared" si="4"/>
        <v>101</v>
      </c>
      <c r="X276" s="32">
        <f t="shared" si="5"/>
        <v>1236</v>
      </c>
      <c r="Y276" s="31">
        <v>606.000006198883</v>
      </c>
      <c r="Z276" s="33"/>
      <c r="AA276" s="28">
        <v>1146.0</v>
      </c>
      <c r="AB276" s="30">
        <f t="shared" si="7"/>
        <v>1418</v>
      </c>
      <c r="AC276" s="28">
        <v>1962.0</v>
      </c>
      <c r="AD276" s="13"/>
      <c r="AE276" s="13"/>
      <c r="AF276" s="13"/>
      <c r="AG276" s="13"/>
      <c r="AH276" s="13"/>
      <c r="AI276" s="13"/>
      <c r="AJ276" s="13"/>
      <c r="AK276" s="13"/>
      <c r="AL276" s="13"/>
    </row>
    <row r="277" ht="15.75" customHeight="1">
      <c r="A277" s="34">
        <v>70702.0</v>
      </c>
      <c r="B277" s="35" t="s">
        <v>291</v>
      </c>
      <c r="C277" s="28">
        <v>6289.0</v>
      </c>
      <c r="D277" s="28">
        <v>1876.0</v>
      </c>
      <c r="E277" s="28">
        <v>853.0</v>
      </c>
      <c r="F277" s="28">
        <v>299.0</v>
      </c>
      <c r="G277" s="28">
        <v>349.0</v>
      </c>
      <c r="H277" s="28">
        <v>2912.0</v>
      </c>
      <c r="I277" s="28">
        <v>9548.0</v>
      </c>
      <c r="J277" s="28">
        <v>5639.0</v>
      </c>
      <c r="K277" s="28">
        <v>1145.0</v>
      </c>
      <c r="L277" s="28">
        <v>1142.0</v>
      </c>
      <c r="M277" s="28">
        <v>196.0</v>
      </c>
      <c r="N277" s="28">
        <v>1426.0</v>
      </c>
      <c r="O277" s="29">
        <f t="shared" ref="O277:T277" si="278">ROUND(C277 + ((2016-2012)*(I277-C277))/(2024-2012),0)</f>
        <v>7375</v>
      </c>
      <c r="P277" s="36">
        <f t="shared" si="278"/>
        <v>3130</v>
      </c>
      <c r="Q277" s="36">
        <f t="shared" si="278"/>
        <v>950</v>
      </c>
      <c r="R277" s="36">
        <f t="shared" si="278"/>
        <v>580</v>
      </c>
      <c r="S277" s="36">
        <f t="shared" si="278"/>
        <v>298</v>
      </c>
      <c r="T277" s="36">
        <f t="shared" si="278"/>
        <v>2417</v>
      </c>
      <c r="U277" s="36">
        <v>2273.0</v>
      </c>
      <c r="V277" s="31">
        <f t="shared" si="3"/>
        <v>857</v>
      </c>
      <c r="W277" s="31">
        <f t="shared" si="4"/>
        <v>857</v>
      </c>
      <c r="X277" s="32">
        <f t="shared" si="5"/>
        <v>7375</v>
      </c>
      <c r="Y277" s="31">
        <v>559.5000088214874</v>
      </c>
      <c r="Z277" s="33"/>
      <c r="AA277" s="28">
        <v>6760.0</v>
      </c>
      <c r="AB277" s="36">
        <f t="shared" si="7"/>
        <v>8214</v>
      </c>
      <c r="AC277" s="28">
        <v>11121.0</v>
      </c>
      <c r="AD277" s="13"/>
      <c r="AE277" s="13"/>
      <c r="AF277" s="13"/>
      <c r="AG277" s="13"/>
      <c r="AH277" s="13"/>
      <c r="AI277" s="13"/>
      <c r="AJ277" s="13"/>
      <c r="AK277" s="13"/>
      <c r="AL277" s="13"/>
    </row>
    <row r="278" ht="15.75" customHeight="1">
      <c r="A278" s="26">
        <v>70703.0</v>
      </c>
      <c r="B278" s="27" t="s">
        <v>292</v>
      </c>
      <c r="C278" s="28">
        <v>5628.0</v>
      </c>
      <c r="D278" s="28">
        <v>2718.0</v>
      </c>
      <c r="E278" s="28">
        <v>1142.0</v>
      </c>
      <c r="F278" s="28">
        <v>281.0</v>
      </c>
      <c r="G278" s="28">
        <v>255.0</v>
      </c>
      <c r="H278" s="28">
        <v>1232.0</v>
      </c>
      <c r="I278" s="28">
        <v>8291.0</v>
      </c>
      <c r="J278" s="28">
        <v>5024.0</v>
      </c>
      <c r="K278" s="28">
        <v>1253.0</v>
      </c>
      <c r="L278" s="28">
        <v>578.0</v>
      </c>
      <c r="M278" s="28">
        <v>379.0</v>
      </c>
      <c r="N278" s="28">
        <v>1057.0</v>
      </c>
      <c r="O278" s="29">
        <f t="shared" ref="O278:T278" si="279">ROUND(C278 + ((2016-2012)*(I278-C278))/(2024-2012),0)</f>
        <v>6516</v>
      </c>
      <c r="P278" s="30">
        <f t="shared" si="279"/>
        <v>3487</v>
      </c>
      <c r="Q278" s="30">
        <f t="shared" si="279"/>
        <v>1179</v>
      </c>
      <c r="R278" s="30">
        <f t="shared" si="279"/>
        <v>380</v>
      </c>
      <c r="S278" s="30">
        <f t="shared" si="279"/>
        <v>296</v>
      </c>
      <c r="T278" s="30">
        <f t="shared" si="279"/>
        <v>1174</v>
      </c>
      <c r="U278" s="30">
        <v>3147.0</v>
      </c>
      <c r="V278" s="31">
        <f t="shared" si="3"/>
        <v>340</v>
      </c>
      <c r="W278" s="31">
        <f t="shared" si="4"/>
        <v>340</v>
      </c>
      <c r="X278" s="32">
        <f t="shared" si="5"/>
        <v>6516</v>
      </c>
      <c r="Y278" s="31">
        <v>788.9999747276306</v>
      </c>
      <c r="Z278" s="33"/>
      <c r="AA278" s="28">
        <v>6022.0</v>
      </c>
      <c r="AB278" s="30">
        <f t="shared" si="7"/>
        <v>7255</v>
      </c>
      <c r="AC278" s="28">
        <v>9722.0</v>
      </c>
      <c r="AD278" s="13"/>
      <c r="AE278" s="13"/>
      <c r="AF278" s="13"/>
      <c r="AG278" s="13"/>
      <c r="AH278" s="13"/>
      <c r="AI278" s="13"/>
      <c r="AJ278" s="13"/>
      <c r="AK278" s="13"/>
      <c r="AL278" s="13"/>
    </row>
    <row r="279" ht="15.75" customHeight="1">
      <c r="A279" s="34">
        <v>70704.0</v>
      </c>
      <c r="B279" s="35" t="s">
        <v>293</v>
      </c>
      <c r="C279" s="28">
        <v>1117.0</v>
      </c>
      <c r="D279" s="28">
        <v>692.0</v>
      </c>
      <c r="E279" s="28">
        <v>11.0</v>
      </c>
      <c r="F279" s="28">
        <v>24.0</v>
      </c>
      <c r="G279" s="28">
        <v>3.0</v>
      </c>
      <c r="H279" s="28">
        <v>387.0</v>
      </c>
      <c r="I279" s="28">
        <v>1261.0</v>
      </c>
      <c r="J279" s="28">
        <v>1124.0</v>
      </c>
      <c r="K279" s="28">
        <v>2.0</v>
      </c>
      <c r="L279" s="28">
        <v>29.0</v>
      </c>
      <c r="M279" s="28">
        <v>22.0</v>
      </c>
      <c r="N279" s="28">
        <v>84.0</v>
      </c>
      <c r="O279" s="29">
        <f t="shared" ref="O279:T279" si="280">ROUND(C279 + ((2016-2012)*(I279-C279))/(2024-2012),0)</f>
        <v>1165</v>
      </c>
      <c r="P279" s="36">
        <f t="shared" si="280"/>
        <v>836</v>
      </c>
      <c r="Q279" s="36">
        <f t="shared" si="280"/>
        <v>8</v>
      </c>
      <c r="R279" s="36">
        <f t="shared" si="280"/>
        <v>26</v>
      </c>
      <c r="S279" s="36">
        <f t="shared" si="280"/>
        <v>9</v>
      </c>
      <c r="T279" s="36">
        <f t="shared" si="280"/>
        <v>286</v>
      </c>
      <c r="U279" s="37">
        <v>656.0</v>
      </c>
      <c r="V279" s="31">
        <f t="shared" si="3"/>
        <v>180</v>
      </c>
      <c r="W279" s="31">
        <f t="shared" si="4"/>
        <v>180</v>
      </c>
      <c r="X279" s="32">
        <f t="shared" si="5"/>
        <v>1165</v>
      </c>
      <c r="Y279" s="31">
        <v>594.9999988079071</v>
      </c>
      <c r="Z279" s="33"/>
      <c r="AA279" s="28">
        <v>1125.0</v>
      </c>
      <c r="AB279" s="36">
        <f t="shared" si="7"/>
        <v>1223</v>
      </c>
      <c r="AC279" s="28">
        <v>1418.0</v>
      </c>
      <c r="AD279" s="13"/>
      <c r="AE279" s="13"/>
      <c r="AF279" s="13"/>
      <c r="AG279" s="13"/>
      <c r="AH279" s="13"/>
      <c r="AI279" s="13"/>
      <c r="AJ279" s="13"/>
      <c r="AK279" s="13"/>
      <c r="AL279" s="13"/>
    </row>
    <row r="280" ht="15.75" customHeight="1">
      <c r="A280" s="26">
        <v>70705.0</v>
      </c>
      <c r="B280" s="27" t="s">
        <v>294</v>
      </c>
      <c r="C280" s="28">
        <v>2390.0</v>
      </c>
      <c r="D280" s="28">
        <v>507.0</v>
      </c>
      <c r="E280" s="28">
        <v>101.0</v>
      </c>
      <c r="F280" s="28">
        <v>155.0</v>
      </c>
      <c r="G280" s="28">
        <v>157.0</v>
      </c>
      <c r="H280" s="28">
        <v>1470.0</v>
      </c>
      <c r="I280" s="28">
        <v>3626.0</v>
      </c>
      <c r="J280" s="28">
        <v>3123.0</v>
      </c>
      <c r="K280" s="28">
        <v>11.0</v>
      </c>
      <c r="L280" s="28">
        <v>100.0</v>
      </c>
      <c r="M280" s="28">
        <v>17.0</v>
      </c>
      <c r="N280" s="28">
        <v>375.0</v>
      </c>
      <c r="O280" s="29">
        <f t="shared" ref="O280:T280" si="281">ROUND(C280 + ((2016-2012)*(I280-C280))/(2024-2012),0)</f>
        <v>2802</v>
      </c>
      <c r="P280" s="30">
        <f t="shared" si="281"/>
        <v>1379</v>
      </c>
      <c r="Q280" s="30">
        <f t="shared" si="281"/>
        <v>71</v>
      </c>
      <c r="R280" s="30">
        <f t="shared" si="281"/>
        <v>137</v>
      </c>
      <c r="S280" s="30">
        <f t="shared" si="281"/>
        <v>110</v>
      </c>
      <c r="T280" s="30">
        <f t="shared" si="281"/>
        <v>1105</v>
      </c>
      <c r="U280" s="38">
        <v>1414.0</v>
      </c>
      <c r="V280" s="31">
        <f t="shared" si="3"/>
        <v>-35</v>
      </c>
      <c r="W280" s="31">
        <f t="shared" si="4"/>
        <v>0</v>
      </c>
      <c r="X280" s="32">
        <f t="shared" si="5"/>
        <v>2837</v>
      </c>
      <c r="Y280" s="31">
        <v>409.0000092983246</v>
      </c>
      <c r="Z280" s="33"/>
      <c r="AA280" s="28">
        <v>2494.0</v>
      </c>
      <c r="AB280" s="30">
        <f t="shared" si="7"/>
        <v>3028</v>
      </c>
      <c r="AC280" s="28">
        <v>4096.0</v>
      </c>
      <c r="AD280" s="13"/>
      <c r="AE280" s="13"/>
      <c r="AF280" s="13"/>
      <c r="AG280" s="13"/>
      <c r="AH280" s="13"/>
      <c r="AI280" s="13"/>
      <c r="AJ280" s="13"/>
      <c r="AK280" s="13"/>
      <c r="AL280" s="13"/>
    </row>
    <row r="281" ht="15.75" customHeight="1">
      <c r="A281" s="34">
        <v>70706.0</v>
      </c>
      <c r="B281" s="35" t="s">
        <v>295</v>
      </c>
      <c r="C281" s="28">
        <v>8374.0</v>
      </c>
      <c r="D281" s="28">
        <v>7774.0</v>
      </c>
      <c r="E281" s="28">
        <v>16.0</v>
      </c>
      <c r="F281" s="28">
        <v>4.0</v>
      </c>
      <c r="G281" s="28">
        <v>40.0</v>
      </c>
      <c r="H281" s="28">
        <v>540.0</v>
      </c>
      <c r="I281" s="28">
        <v>9305.0</v>
      </c>
      <c r="J281" s="28">
        <v>8985.0</v>
      </c>
      <c r="K281" s="28">
        <v>32.0</v>
      </c>
      <c r="L281" s="28">
        <v>15.0</v>
      </c>
      <c r="M281" s="28">
        <v>53.0</v>
      </c>
      <c r="N281" s="28">
        <v>220.0</v>
      </c>
      <c r="O281" s="29">
        <f t="shared" ref="O281:T281" si="282">ROUND(C281 + ((2016-2012)*(I281-C281))/(2024-2012),0)</f>
        <v>8684</v>
      </c>
      <c r="P281" s="36">
        <f t="shared" si="282"/>
        <v>8178</v>
      </c>
      <c r="Q281" s="36">
        <f t="shared" si="282"/>
        <v>21</v>
      </c>
      <c r="R281" s="36">
        <f t="shared" si="282"/>
        <v>8</v>
      </c>
      <c r="S281" s="36">
        <f t="shared" si="282"/>
        <v>44</v>
      </c>
      <c r="T281" s="36">
        <f t="shared" si="282"/>
        <v>433</v>
      </c>
      <c r="U281" s="36">
        <v>7493.0</v>
      </c>
      <c r="V281" s="31">
        <f t="shared" si="3"/>
        <v>685</v>
      </c>
      <c r="W281" s="31">
        <f t="shared" si="4"/>
        <v>685</v>
      </c>
      <c r="X281" s="32">
        <f t="shared" si="5"/>
        <v>8684</v>
      </c>
      <c r="Y281" s="31">
        <v>1347.000002861023</v>
      </c>
      <c r="Z281" s="33"/>
      <c r="AA281" s="28">
        <v>9032.0</v>
      </c>
      <c r="AB281" s="36">
        <f t="shared" si="7"/>
        <v>9686</v>
      </c>
      <c r="AC281" s="28">
        <v>10995.0</v>
      </c>
      <c r="AD281" s="13"/>
      <c r="AE281" s="13"/>
      <c r="AF281" s="13"/>
      <c r="AG281" s="13"/>
      <c r="AH281" s="13"/>
      <c r="AI281" s="13"/>
      <c r="AJ281" s="13"/>
      <c r="AK281" s="13"/>
      <c r="AL281" s="13"/>
    </row>
    <row r="282" ht="15.75" customHeight="1">
      <c r="A282" s="26">
        <v>70707.0</v>
      </c>
      <c r="B282" s="27" t="s">
        <v>296</v>
      </c>
      <c r="C282" s="28">
        <v>1013.0</v>
      </c>
      <c r="D282" s="28">
        <v>598.0</v>
      </c>
      <c r="E282" s="28">
        <v>6.0</v>
      </c>
      <c r="F282" s="28">
        <v>32.0</v>
      </c>
      <c r="G282" s="28">
        <v>22.0</v>
      </c>
      <c r="H282" s="28">
        <v>355.0</v>
      </c>
      <c r="I282" s="28">
        <v>1385.0</v>
      </c>
      <c r="J282" s="28">
        <v>1109.0</v>
      </c>
      <c r="K282" s="28">
        <v>60.0</v>
      </c>
      <c r="L282" s="28">
        <v>37.0</v>
      </c>
      <c r="M282" s="28">
        <v>26.0</v>
      </c>
      <c r="N282" s="28">
        <v>153.0</v>
      </c>
      <c r="O282" s="29">
        <f t="shared" ref="O282:T282" si="283">ROUND(C282 + ((2016-2012)*(I282-C282))/(2024-2012),0)</f>
        <v>1137</v>
      </c>
      <c r="P282" s="30">
        <f t="shared" si="283"/>
        <v>768</v>
      </c>
      <c r="Q282" s="30">
        <f t="shared" si="283"/>
        <v>24</v>
      </c>
      <c r="R282" s="30">
        <f t="shared" si="283"/>
        <v>34</v>
      </c>
      <c r="S282" s="30">
        <f t="shared" si="283"/>
        <v>23</v>
      </c>
      <c r="T282" s="30">
        <f t="shared" si="283"/>
        <v>288</v>
      </c>
      <c r="U282" s="38">
        <v>806.0</v>
      </c>
      <c r="V282" s="31">
        <f t="shared" si="3"/>
        <v>-38</v>
      </c>
      <c r="W282" s="31">
        <f t="shared" si="4"/>
        <v>0</v>
      </c>
      <c r="X282" s="32">
        <f t="shared" si="5"/>
        <v>1175</v>
      </c>
      <c r="Y282" s="31">
        <v>759.9999904632568</v>
      </c>
      <c r="Z282" s="33"/>
      <c r="AA282" s="28">
        <v>1077.0</v>
      </c>
      <c r="AB282" s="30">
        <f t="shared" si="7"/>
        <v>1247</v>
      </c>
      <c r="AC282" s="28">
        <v>1587.0</v>
      </c>
      <c r="AD282" s="13"/>
      <c r="AE282" s="13"/>
      <c r="AF282" s="13"/>
      <c r="AG282" s="13"/>
      <c r="AH282" s="13"/>
      <c r="AI282" s="13"/>
      <c r="AJ282" s="13"/>
      <c r="AK282" s="13"/>
      <c r="AL282" s="13"/>
    </row>
    <row r="283" ht="15.75" customHeight="1">
      <c r="A283" s="34">
        <v>70801.0</v>
      </c>
      <c r="B283" s="35" t="s">
        <v>297</v>
      </c>
      <c r="C283" s="28">
        <v>5275.0</v>
      </c>
      <c r="D283" s="28">
        <v>3545.0</v>
      </c>
      <c r="E283" s="28">
        <v>31.0</v>
      </c>
      <c r="F283" s="28">
        <v>336.0</v>
      </c>
      <c r="G283" s="28">
        <v>43.0</v>
      </c>
      <c r="H283" s="28">
        <v>1320.0</v>
      </c>
      <c r="I283" s="28">
        <v>6197.0</v>
      </c>
      <c r="J283" s="28">
        <v>5219.0</v>
      </c>
      <c r="K283" s="28">
        <v>9.0</v>
      </c>
      <c r="L283" s="28">
        <v>640.0</v>
      </c>
      <c r="M283" s="28">
        <v>8.0</v>
      </c>
      <c r="N283" s="28">
        <v>321.0</v>
      </c>
      <c r="O283" s="29">
        <f t="shared" ref="O283:T283" si="284">ROUND(C283 + ((2016-2012)*(I283-C283))/(2024-2012),0)</f>
        <v>5582</v>
      </c>
      <c r="P283" s="36">
        <f t="shared" si="284"/>
        <v>4103</v>
      </c>
      <c r="Q283" s="36">
        <f t="shared" si="284"/>
        <v>24</v>
      </c>
      <c r="R283" s="36">
        <f t="shared" si="284"/>
        <v>437</v>
      </c>
      <c r="S283" s="36">
        <f t="shared" si="284"/>
        <v>31</v>
      </c>
      <c r="T283" s="36">
        <f t="shared" si="284"/>
        <v>987</v>
      </c>
      <c r="U283" s="37">
        <v>4451.0</v>
      </c>
      <c r="V283" s="31">
        <f t="shared" si="3"/>
        <v>-348</v>
      </c>
      <c r="W283" s="31">
        <f t="shared" si="4"/>
        <v>0</v>
      </c>
      <c r="X283" s="32">
        <f t="shared" si="5"/>
        <v>5930</v>
      </c>
      <c r="Y283" s="31">
        <v>536.0000133514404</v>
      </c>
      <c r="Z283" s="33"/>
      <c r="AA283" s="28">
        <v>6902.0</v>
      </c>
      <c r="AB283" s="36">
        <f t="shared" si="7"/>
        <v>7741</v>
      </c>
      <c r="AC283" s="28">
        <v>9420.0</v>
      </c>
      <c r="AD283" s="13"/>
      <c r="AE283" s="13"/>
      <c r="AF283" s="13"/>
      <c r="AG283" s="13"/>
      <c r="AH283" s="13"/>
      <c r="AI283" s="13"/>
      <c r="AJ283" s="13"/>
      <c r="AK283" s="13"/>
      <c r="AL283" s="13"/>
    </row>
    <row r="284" ht="15.75" customHeight="1">
      <c r="A284" s="26">
        <v>70802.0</v>
      </c>
      <c r="B284" s="27" t="s">
        <v>298</v>
      </c>
      <c r="C284" s="28">
        <v>576.0</v>
      </c>
      <c r="D284" s="28">
        <v>428.0</v>
      </c>
      <c r="E284" s="28">
        <v>1.0</v>
      </c>
      <c r="F284" s="28">
        <v>55.0</v>
      </c>
      <c r="G284" s="28">
        <v>7.0</v>
      </c>
      <c r="H284" s="28">
        <v>85.0</v>
      </c>
      <c r="I284" s="28">
        <v>795.0</v>
      </c>
      <c r="J284" s="28">
        <v>721.0</v>
      </c>
      <c r="K284" s="28">
        <v>2.0</v>
      </c>
      <c r="L284" s="28">
        <v>44.0</v>
      </c>
      <c r="M284" s="28">
        <v>1.0</v>
      </c>
      <c r="N284" s="28">
        <v>27.0</v>
      </c>
      <c r="O284" s="29">
        <f t="shared" ref="O284:T284" si="285">ROUND(C284 + ((2016-2012)*(I284-C284))/(2024-2012),0)</f>
        <v>649</v>
      </c>
      <c r="P284" s="30">
        <f t="shared" si="285"/>
        <v>526</v>
      </c>
      <c r="Q284" s="30">
        <f t="shared" si="285"/>
        <v>1</v>
      </c>
      <c r="R284" s="30">
        <f t="shared" si="285"/>
        <v>51</v>
      </c>
      <c r="S284" s="30">
        <f t="shared" si="285"/>
        <v>5</v>
      </c>
      <c r="T284" s="30">
        <f t="shared" si="285"/>
        <v>66</v>
      </c>
      <c r="U284" s="38">
        <v>520.0</v>
      </c>
      <c r="V284" s="31">
        <f t="shared" si="3"/>
        <v>6</v>
      </c>
      <c r="W284" s="31">
        <f t="shared" si="4"/>
        <v>6</v>
      </c>
      <c r="X284" s="32">
        <f t="shared" si="5"/>
        <v>649</v>
      </c>
      <c r="Y284" s="31">
        <v>411.5000069141388</v>
      </c>
      <c r="Z284" s="33"/>
      <c r="AA284" s="28">
        <v>711.0</v>
      </c>
      <c r="AB284" s="30">
        <f t="shared" si="7"/>
        <v>789</v>
      </c>
      <c r="AC284" s="28">
        <v>946.0</v>
      </c>
      <c r="AD284" s="13"/>
      <c r="AE284" s="13"/>
      <c r="AF284" s="13"/>
      <c r="AG284" s="13"/>
      <c r="AH284" s="13"/>
      <c r="AI284" s="13"/>
      <c r="AJ284" s="13"/>
      <c r="AK284" s="13"/>
      <c r="AL284" s="13"/>
    </row>
    <row r="285" ht="15.75" customHeight="1">
      <c r="A285" s="34">
        <v>70803.0</v>
      </c>
      <c r="B285" s="35" t="s">
        <v>299</v>
      </c>
      <c r="C285" s="28">
        <v>870.0</v>
      </c>
      <c r="D285" s="28">
        <v>394.0</v>
      </c>
      <c r="E285" s="28">
        <v>2.0</v>
      </c>
      <c r="F285" s="28">
        <v>154.0</v>
      </c>
      <c r="G285" s="28">
        <v>11.0</v>
      </c>
      <c r="H285" s="28">
        <v>309.0</v>
      </c>
      <c r="I285" s="28">
        <v>991.0</v>
      </c>
      <c r="J285" s="28">
        <v>753.0</v>
      </c>
      <c r="K285" s="28">
        <v>1.0</v>
      </c>
      <c r="L285" s="28">
        <v>145.0</v>
      </c>
      <c r="M285" s="28">
        <v>4.0</v>
      </c>
      <c r="N285" s="28">
        <v>88.0</v>
      </c>
      <c r="O285" s="29">
        <f t="shared" ref="O285:T285" si="286">ROUND(C285 + ((2016-2012)*(I285-C285))/(2024-2012),0)</f>
        <v>910</v>
      </c>
      <c r="P285" s="36">
        <f t="shared" si="286"/>
        <v>514</v>
      </c>
      <c r="Q285" s="36">
        <f t="shared" si="286"/>
        <v>2</v>
      </c>
      <c r="R285" s="36">
        <f t="shared" si="286"/>
        <v>151</v>
      </c>
      <c r="S285" s="36">
        <f t="shared" si="286"/>
        <v>9</v>
      </c>
      <c r="T285" s="36">
        <f t="shared" si="286"/>
        <v>235</v>
      </c>
      <c r="U285" s="37">
        <v>646.0</v>
      </c>
      <c r="V285" s="31">
        <f t="shared" si="3"/>
        <v>-132</v>
      </c>
      <c r="W285" s="31">
        <f t="shared" si="4"/>
        <v>0</v>
      </c>
      <c r="X285" s="32">
        <f t="shared" si="5"/>
        <v>1043</v>
      </c>
      <c r="Y285" s="31">
        <v>214.00000154972076</v>
      </c>
      <c r="Z285" s="33"/>
      <c r="AA285" s="28">
        <v>1271.0</v>
      </c>
      <c r="AB285" s="36">
        <f t="shared" si="7"/>
        <v>1406</v>
      </c>
      <c r="AC285" s="28">
        <v>1677.0</v>
      </c>
      <c r="AD285" s="13"/>
      <c r="AE285" s="13"/>
      <c r="AF285" s="13"/>
      <c r="AG285" s="13"/>
      <c r="AH285" s="13"/>
      <c r="AI285" s="13"/>
      <c r="AJ285" s="13"/>
      <c r="AK285" s="13"/>
      <c r="AL285" s="13"/>
    </row>
    <row r="286" ht="15.75" customHeight="1">
      <c r="A286" s="26">
        <v>70804.0</v>
      </c>
      <c r="B286" s="27" t="s">
        <v>300</v>
      </c>
      <c r="C286" s="28">
        <v>600.0</v>
      </c>
      <c r="D286" s="28">
        <v>306.0</v>
      </c>
      <c r="E286" s="28">
        <v>1.0</v>
      </c>
      <c r="F286" s="28">
        <v>70.0</v>
      </c>
      <c r="G286" s="28">
        <v>1.0</v>
      </c>
      <c r="H286" s="28">
        <v>222.0</v>
      </c>
      <c r="I286" s="28">
        <v>606.0</v>
      </c>
      <c r="J286" s="28">
        <v>365.0</v>
      </c>
      <c r="K286" s="28">
        <v>5.0</v>
      </c>
      <c r="L286" s="28">
        <v>166.0</v>
      </c>
      <c r="M286" s="28">
        <v>2.0</v>
      </c>
      <c r="N286" s="28">
        <v>68.0</v>
      </c>
      <c r="O286" s="29">
        <f t="shared" ref="O286:T286" si="287">ROUND(C286 + ((2016-2012)*(I286-C286))/(2024-2012),0)</f>
        <v>602</v>
      </c>
      <c r="P286" s="30">
        <f t="shared" si="287"/>
        <v>326</v>
      </c>
      <c r="Q286" s="30">
        <f t="shared" si="287"/>
        <v>2</v>
      </c>
      <c r="R286" s="30">
        <f t="shared" si="287"/>
        <v>102</v>
      </c>
      <c r="S286" s="30">
        <f t="shared" si="287"/>
        <v>1</v>
      </c>
      <c r="T286" s="30">
        <f t="shared" si="287"/>
        <v>171</v>
      </c>
      <c r="U286" s="38">
        <v>356.0</v>
      </c>
      <c r="V286" s="31">
        <f t="shared" si="3"/>
        <v>-30</v>
      </c>
      <c r="W286" s="31">
        <f t="shared" si="4"/>
        <v>0</v>
      </c>
      <c r="X286" s="32">
        <f t="shared" si="5"/>
        <v>632</v>
      </c>
      <c r="Y286" s="31">
        <v>307.0000112056732</v>
      </c>
      <c r="Z286" s="33"/>
      <c r="AA286" s="28">
        <v>720.0</v>
      </c>
      <c r="AB286" s="30">
        <f t="shared" si="7"/>
        <v>777</v>
      </c>
      <c r="AC286" s="28">
        <v>891.0</v>
      </c>
      <c r="AD286" s="13"/>
      <c r="AE286" s="13"/>
      <c r="AF286" s="13"/>
      <c r="AG286" s="13"/>
      <c r="AH286" s="13"/>
      <c r="AI286" s="13"/>
      <c r="AJ286" s="13"/>
      <c r="AK286" s="13"/>
      <c r="AL286" s="13"/>
    </row>
    <row r="287" ht="15.75" customHeight="1">
      <c r="A287" s="34">
        <v>70805.0</v>
      </c>
      <c r="B287" s="35" t="s">
        <v>301</v>
      </c>
      <c r="C287" s="28">
        <v>635.0</v>
      </c>
      <c r="D287" s="28">
        <v>283.0</v>
      </c>
      <c r="E287" s="28">
        <v>4.0</v>
      </c>
      <c r="F287" s="28">
        <v>63.0</v>
      </c>
      <c r="G287" s="28">
        <v>5.0</v>
      </c>
      <c r="H287" s="28">
        <v>280.0</v>
      </c>
      <c r="I287" s="28">
        <v>749.0</v>
      </c>
      <c r="J287" s="28">
        <v>490.0</v>
      </c>
      <c r="K287" s="28">
        <v>2.0</v>
      </c>
      <c r="L287" s="28">
        <v>172.0</v>
      </c>
      <c r="M287" s="28">
        <v>0.0</v>
      </c>
      <c r="N287" s="28">
        <v>85.0</v>
      </c>
      <c r="O287" s="29">
        <f t="shared" ref="O287:T287" si="288">ROUND(C287 + ((2016-2012)*(I287-C287))/(2024-2012),0)</f>
        <v>673</v>
      </c>
      <c r="P287" s="36">
        <f t="shared" si="288"/>
        <v>352</v>
      </c>
      <c r="Q287" s="36">
        <f t="shared" si="288"/>
        <v>3</v>
      </c>
      <c r="R287" s="36">
        <f t="shared" si="288"/>
        <v>99</v>
      </c>
      <c r="S287" s="36">
        <f t="shared" si="288"/>
        <v>3</v>
      </c>
      <c r="T287" s="36">
        <f t="shared" si="288"/>
        <v>215</v>
      </c>
      <c r="U287" s="37">
        <v>0.0</v>
      </c>
      <c r="V287" s="31">
        <f t="shared" si="3"/>
        <v>352</v>
      </c>
      <c r="W287" s="31">
        <f t="shared" si="4"/>
        <v>352</v>
      </c>
      <c r="X287" s="32">
        <f t="shared" si="5"/>
        <v>672</v>
      </c>
      <c r="Y287" s="31">
        <v>0.0</v>
      </c>
      <c r="Z287" s="33"/>
      <c r="AA287" s="28">
        <v>646.0</v>
      </c>
      <c r="AB287" s="36">
        <f t="shared" si="7"/>
        <v>755</v>
      </c>
      <c r="AC287" s="28">
        <v>972.0</v>
      </c>
      <c r="AD287" s="13"/>
      <c r="AE287" s="13"/>
      <c r="AF287" s="13"/>
      <c r="AG287" s="13"/>
      <c r="AH287" s="13"/>
      <c r="AI287" s="13"/>
      <c r="AJ287" s="13"/>
      <c r="AK287" s="13"/>
      <c r="AL287" s="13"/>
    </row>
    <row r="288" ht="15.75" customHeight="1">
      <c r="A288" s="26">
        <v>70901.0</v>
      </c>
      <c r="B288" s="27" t="s">
        <v>302</v>
      </c>
      <c r="C288" s="28">
        <v>3099.0</v>
      </c>
      <c r="D288" s="28">
        <v>2317.0</v>
      </c>
      <c r="E288" s="28">
        <v>30.0</v>
      </c>
      <c r="F288" s="28">
        <v>61.0</v>
      </c>
      <c r="G288" s="28">
        <v>20.0</v>
      </c>
      <c r="H288" s="28">
        <v>671.0</v>
      </c>
      <c r="I288" s="28">
        <v>4052.0</v>
      </c>
      <c r="J288" s="28">
        <v>3456.0</v>
      </c>
      <c r="K288" s="28">
        <v>19.0</v>
      </c>
      <c r="L288" s="28">
        <v>311.0</v>
      </c>
      <c r="M288" s="28">
        <v>10.0</v>
      </c>
      <c r="N288" s="28">
        <v>256.0</v>
      </c>
      <c r="O288" s="29">
        <f t="shared" ref="O288:T288" si="289">ROUND(C288 + ((2016-2012)*(I288-C288))/(2024-2012),0)</f>
        <v>3417</v>
      </c>
      <c r="P288" s="30">
        <f t="shared" si="289"/>
        <v>2697</v>
      </c>
      <c r="Q288" s="30">
        <f t="shared" si="289"/>
        <v>26</v>
      </c>
      <c r="R288" s="30">
        <f t="shared" si="289"/>
        <v>144</v>
      </c>
      <c r="S288" s="30">
        <f t="shared" si="289"/>
        <v>17</v>
      </c>
      <c r="T288" s="30">
        <f t="shared" si="289"/>
        <v>533</v>
      </c>
      <c r="U288" s="38">
        <v>2787.0</v>
      </c>
      <c r="V288" s="31">
        <f t="shared" si="3"/>
        <v>-90</v>
      </c>
      <c r="W288" s="31">
        <f t="shared" si="4"/>
        <v>0</v>
      </c>
      <c r="X288" s="32">
        <f t="shared" si="5"/>
        <v>3507</v>
      </c>
      <c r="Y288" s="31">
        <v>606.000006198883</v>
      </c>
      <c r="Z288" s="33"/>
      <c r="AA288" s="28">
        <v>4068.0</v>
      </c>
      <c r="AB288" s="30">
        <f t="shared" si="7"/>
        <v>4640</v>
      </c>
      <c r="AC288" s="28">
        <v>5785.0</v>
      </c>
      <c r="AD288" s="13"/>
      <c r="AE288" s="13"/>
      <c r="AF288" s="13"/>
      <c r="AG288" s="13"/>
      <c r="AH288" s="13"/>
      <c r="AI288" s="13"/>
      <c r="AJ288" s="13"/>
      <c r="AK288" s="13"/>
      <c r="AL288" s="13"/>
    </row>
    <row r="289" ht="15.75" customHeight="1">
      <c r="A289" s="34">
        <v>70902.0</v>
      </c>
      <c r="B289" s="35" t="s">
        <v>303</v>
      </c>
      <c r="C289" s="28">
        <v>2714.0</v>
      </c>
      <c r="D289" s="28">
        <v>2123.0</v>
      </c>
      <c r="E289" s="28">
        <v>22.0</v>
      </c>
      <c r="F289" s="28">
        <v>68.0</v>
      </c>
      <c r="G289" s="28">
        <v>4.0</v>
      </c>
      <c r="H289" s="28">
        <v>497.0</v>
      </c>
      <c r="I289" s="28">
        <v>3050.0</v>
      </c>
      <c r="J289" s="28">
        <v>2689.0</v>
      </c>
      <c r="K289" s="28">
        <v>2.0</v>
      </c>
      <c r="L289" s="28">
        <v>38.0</v>
      </c>
      <c r="M289" s="28">
        <v>25.0</v>
      </c>
      <c r="N289" s="28">
        <v>296.0</v>
      </c>
      <c r="O289" s="29">
        <f t="shared" ref="O289:T289" si="290">ROUND(C289 + ((2016-2012)*(I289-C289))/(2024-2012),0)</f>
        <v>2826</v>
      </c>
      <c r="P289" s="36">
        <f t="shared" si="290"/>
        <v>2312</v>
      </c>
      <c r="Q289" s="36">
        <f t="shared" si="290"/>
        <v>15</v>
      </c>
      <c r="R289" s="36">
        <f t="shared" si="290"/>
        <v>58</v>
      </c>
      <c r="S289" s="36">
        <f t="shared" si="290"/>
        <v>11</v>
      </c>
      <c r="T289" s="36">
        <f t="shared" si="290"/>
        <v>430</v>
      </c>
      <c r="U289" s="37">
        <v>2302.0</v>
      </c>
      <c r="V289" s="31">
        <f t="shared" si="3"/>
        <v>10</v>
      </c>
      <c r="W289" s="31">
        <f t="shared" si="4"/>
        <v>10</v>
      </c>
      <c r="X289" s="32">
        <f t="shared" si="5"/>
        <v>2826</v>
      </c>
      <c r="Y289" s="31">
        <v>454.5000046491623</v>
      </c>
      <c r="Z289" s="33"/>
      <c r="AA289" s="28">
        <v>3324.0</v>
      </c>
      <c r="AB289" s="36">
        <f t="shared" si="7"/>
        <v>3542</v>
      </c>
      <c r="AC289" s="28">
        <v>3979.0</v>
      </c>
      <c r="AD289" s="13"/>
      <c r="AE289" s="13"/>
      <c r="AF289" s="13"/>
      <c r="AG289" s="13"/>
      <c r="AH289" s="13"/>
      <c r="AI289" s="13"/>
      <c r="AJ289" s="13"/>
      <c r="AK289" s="13"/>
      <c r="AL289" s="13"/>
    </row>
    <row r="290" ht="15.75" customHeight="1">
      <c r="A290" s="26">
        <v>70903.0</v>
      </c>
      <c r="B290" s="27" t="s">
        <v>304</v>
      </c>
      <c r="C290" s="28">
        <v>2964.0</v>
      </c>
      <c r="D290" s="28">
        <v>2541.0</v>
      </c>
      <c r="E290" s="28">
        <v>11.0</v>
      </c>
      <c r="F290" s="28">
        <v>9.0</v>
      </c>
      <c r="G290" s="28">
        <v>8.0</v>
      </c>
      <c r="H290" s="28">
        <v>395.0</v>
      </c>
      <c r="I290" s="28">
        <v>4310.0</v>
      </c>
      <c r="J290" s="28">
        <v>3646.0</v>
      </c>
      <c r="K290" s="28">
        <v>13.0</v>
      </c>
      <c r="L290" s="28">
        <v>40.0</v>
      </c>
      <c r="M290" s="28">
        <v>25.0</v>
      </c>
      <c r="N290" s="28">
        <v>586.0</v>
      </c>
      <c r="O290" s="29">
        <f t="shared" ref="O290:T290" si="291">ROUND(C290 + ((2016-2012)*(I290-C290))/(2024-2012),0)</f>
        <v>3413</v>
      </c>
      <c r="P290" s="30">
        <f t="shared" si="291"/>
        <v>2909</v>
      </c>
      <c r="Q290" s="30">
        <f t="shared" si="291"/>
        <v>12</v>
      </c>
      <c r="R290" s="30">
        <f t="shared" si="291"/>
        <v>19</v>
      </c>
      <c r="S290" s="30">
        <f t="shared" si="291"/>
        <v>14</v>
      </c>
      <c r="T290" s="30">
        <f t="shared" si="291"/>
        <v>459</v>
      </c>
      <c r="U290" s="38">
        <v>2579.0</v>
      </c>
      <c r="V290" s="31">
        <f t="shared" si="3"/>
        <v>330</v>
      </c>
      <c r="W290" s="31">
        <f t="shared" si="4"/>
        <v>330</v>
      </c>
      <c r="X290" s="32">
        <f t="shared" si="5"/>
        <v>3413</v>
      </c>
      <c r="Y290" s="31">
        <v>628.000020980835</v>
      </c>
      <c r="Z290" s="33"/>
      <c r="AA290" s="28">
        <v>3453.0</v>
      </c>
      <c r="AB290" s="30">
        <f t="shared" si="7"/>
        <v>4146</v>
      </c>
      <c r="AC290" s="28">
        <v>5532.0</v>
      </c>
      <c r="AD290" s="13"/>
      <c r="AE290" s="13"/>
      <c r="AF290" s="13"/>
      <c r="AG290" s="13"/>
      <c r="AH290" s="13"/>
      <c r="AI290" s="13"/>
      <c r="AJ290" s="13"/>
      <c r="AK290" s="13"/>
      <c r="AL290" s="13"/>
    </row>
    <row r="291" ht="15.75" customHeight="1">
      <c r="A291" s="34">
        <v>70904.0</v>
      </c>
      <c r="B291" s="35" t="s">
        <v>305</v>
      </c>
      <c r="C291" s="28">
        <v>730.0</v>
      </c>
      <c r="D291" s="28">
        <v>517.0</v>
      </c>
      <c r="E291" s="28">
        <v>5.0</v>
      </c>
      <c r="F291" s="28">
        <v>35.0</v>
      </c>
      <c r="G291" s="28">
        <v>12.0</v>
      </c>
      <c r="H291" s="28">
        <v>161.0</v>
      </c>
      <c r="I291" s="28">
        <v>787.0</v>
      </c>
      <c r="J291" s="28">
        <v>647.0</v>
      </c>
      <c r="K291" s="28">
        <v>1.0</v>
      </c>
      <c r="L291" s="28">
        <v>55.0</v>
      </c>
      <c r="M291" s="28">
        <v>1.0</v>
      </c>
      <c r="N291" s="28">
        <v>83.0</v>
      </c>
      <c r="O291" s="29">
        <f t="shared" ref="O291:T291" si="292">ROUND(C291 + ((2016-2012)*(I291-C291))/(2024-2012),0)</f>
        <v>749</v>
      </c>
      <c r="P291" s="36">
        <f t="shared" si="292"/>
        <v>560</v>
      </c>
      <c r="Q291" s="36">
        <f t="shared" si="292"/>
        <v>4</v>
      </c>
      <c r="R291" s="36">
        <f t="shared" si="292"/>
        <v>42</v>
      </c>
      <c r="S291" s="36">
        <f t="shared" si="292"/>
        <v>8</v>
      </c>
      <c r="T291" s="36">
        <f t="shared" si="292"/>
        <v>135</v>
      </c>
      <c r="U291" s="37">
        <v>406.0</v>
      </c>
      <c r="V291" s="31">
        <f t="shared" si="3"/>
        <v>154</v>
      </c>
      <c r="W291" s="31">
        <f t="shared" si="4"/>
        <v>154</v>
      </c>
      <c r="X291" s="32">
        <f t="shared" si="5"/>
        <v>749</v>
      </c>
      <c r="Y291" s="31">
        <v>337.4999910593033</v>
      </c>
      <c r="Z291" s="33"/>
      <c r="AA291" s="28">
        <v>824.0</v>
      </c>
      <c r="AB291" s="36">
        <f t="shared" si="7"/>
        <v>829</v>
      </c>
      <c r="AC291" s="28">
        <v>840.0</v>
      </c>
      <c r="AD291" s="13"/>
      <c r="AE291" s="13"/>
      <c r="AF291" s="13"/>
      <c r="AG291" s="13"/>
      <c r="AH291" s="13"/>
      <c r="AI291" s="13"/>
      <c r="AJ291" s="13"/>
      <c r="AK291" s="13"/>
      <c r="AL291" s="13"/>
    </row>
    <row r="292" ht="15.75" customHeight="1">
      <c r="A292" s="26">
        <v>71001.0</v>
      </c>
      <c r="B292" s="27" t="s">
        <v>306</v>
      </c>
      <c r="C292" s="28">
        <v>26343.0</v>
      </c>
      <c r="D292" s="28">
        <v>24524.0</v>
      </c>
      <c r="E292" s="28">
        <v>72.0</v>
      </c>
      <c r="F292" s="28">
        <v>10.0</v>
      </c>
      <c r="G292" s="28">
        <v>191.0</v>
      </c>
      <c r="H292" s="28">
        <v>1546.0</v>
      </c>
      <c r="I292" s="28">
        <v>33384.0</v>
      </c>
      <c r="J292" s="28">
        <v>32778.0</v>
      </c>
      <c r="K292" s="28">
        <v>90.0</v>
      </c>
      <c r="L292" s="28">
        <v>177.0</v>
      </c>
      <c r="M292" s="28">
        <v>76.0</v>
      </c>
      <c r="N292" s="28">
        <v>263.0</v>
      </c>
      <c r="O292" s="29">
        <f t="shared" ref="O292:T292" si="293">ROUND(C292 + ((2016-2012)*(I292-C292))/(2024-2012),0)</f>
        <v>28690</v>
      </c>
      <c r="P292" s="30">
        <f t="shared" si="293"/>
        <v>27275</v>
      </c>
      <c r="Q292" s="30">
        <f t="shared" si="293"/>
        <v>78</v>
      </c>
      <c r="R292" s="30">
        <f t="shared" si="293"/>
        <v>66</v>
      </c>
      <c r="S292" s="30">
        <f t="shared" si="293"/>
        <v>153</v>
      </c>
      <c r="T292" s="30">
        <f t="shared" si="293"/>
        <v>1118</v>
      </c>
      <c r="U292" s="30">
        <v>24628.0</v>
      </c>
      <c r="V292" s="31">
        <f t="shared" si="3"/>
        <v>2647</v>
      </c>
      <c r="W292" s="31">
        <f t="shared" si="4"/>
        <v>2647</v>
      </c>
      <c r="X292" s="32">
        <f t="shared" si="5"/>
        <v>28690</v>
      </c>
      <c r="Y292" s="31">
        <v>1455.9999704360962</v>
      </c>
      <c r="Z292" s="33"/>
      <c r="AA292" s="28">
        <v>27989.0</v>
      </c>
      <c r="AB292" s="30">
        <f t="shared" si="7"/>
        <v>31284</v>
      </c>
      <c r="AC292" s="28">
        <v>37875.0</v>
      </c>
      <c r="AD292" s="13"/>
      <c r="AE292" s="13"/>
      <c r="AF292" s="13"/>
      <c r="AG292" s="13"/>
      <c r="AH292" s="13"/>
      <c r="AI292" s="13"/>
      <c r="AJ292" s="13"/>
      <c r="AK292" s="13"/>
      <c r="AL292" s="13"/>
    </row>
    <row r="293" ht="15.75" customHeight="1">
      <c r="A293" s="34">
        <v>71002.0</v>
      </c>
      <c r="B293" s="35" t="s">
        <v>307</v>
      </c>
      <c r="C293" s="28">
        <v>3236.0</v>
      </c>
      <c r="D293" s="28">
        <v>2651.0</v>
      </c>
      <c r="E293" s="28">
        <v>32.0</v>
      </c>
      <c r="F293" s="28">
        <v>4.0</v>
      </c>
      <c r="G293" s="28">
        <v>33.0</v>
      </c>
      <c r="H293" s="28">
        <v>516.0</v>
      </c>
      <c r="I293" s="28">
        <v>4358.0</v>
      </c>
      <c r="J293" s="28">
        <v>4041.0</v>
      </c>
      <c r="K293" s="28">
        <v>29.0</v>
      </c>
      <c r="L293" s="28">
        <v>41.0</v>
      </c>
      <c r="M293" s="28">
        <v>21.0</v>
      </c>
      <c r="N293" s="28">
        <v>226.0</v>
      </c>
      <c r="O293" s="29">
        <f t="shared" ref="O293:T293" si="294">ROUND(C293 + ((2016-2012)*(I293-C293))/(2024-2012),0)</f>
        <v>3610</v>
      </c>
      <c r="P293" s="36">
        <f t="shared" si="294"/>
        <v>3114</v>
      </c>
      <c r="Q293" s="36">
        <f t="shared" si="294"/>
        <v>31</v>
      </c>
      <c r="R293" s="36">
        <f t="shared" si="294"/>
        <v>16</v>
      </c>
      <c r="S293" s="36">
        <f t="shared" si="294"/>
        <v>29</v>
      </c>
      <c r="T293" s="36">
        <f t="shared" si="294"/>
        <v>419</v>
      </c>
      <c r="U293" s="36">
        <v>2665.0</v>
      </c>
      <c r="V293" s="31">
        <f t="shared" si="3"/>
        <v>449</v>
      </c>
      <c r="W293" s="31">
        <f t="shared" si="4"/>
        <v>449</v>
      </c>
      <c r="X293" s="32">
        <f t="shared" si="5"/>
        <v>3609</v>
      </c>
      <c r="Y293" s="31">
        <v>944.9999928474426</v>
      </c>
      <c r="Z293" s="33"/>
      <c r="AA293" s="28">
        <v>3523.0</v>
      </c>
      <c r="AB293" s="36">
        <f t="shared" si="7"/>
        <v>3980</v>
      </c>
      <c r="AC293" s="28">
        <v>4894.0</v>
      </c>
      <c r="AD293" s="13"/>
      <c r="AE293" s="13"/>
      <c r="AF293" s="13"/>
      <c r="AG293" s="13"/>
      <c r="AH293" s="13"/>
      <c r="AI293" s="13"/>
      <c r="AJ293" s="13"/>
      <c r="AK293" s="13"/>
      <c r="AL293" s="13"/>
    </row>
    <row r="294" ht="15.75" customHeight="1">
      <c r="A294" s="26">
        <v>71003.0</v>
      </c>
      <c r="B294" s="27" t="s">
        <v>308</v>
      </c>
      <c r="C294" s="28">
        <v>5327.0</v>
      </c>
      <c r="D294" s="28">
        <v>4651.0</v>
      </c>
      <c r="E294" s="28">
        <v>25.0</v>
      </c>
      <c r="F294" s="28">
        <v>10.0</v>
      </c>
      <c r="G294" s="28">
        <v>51.0</v>
      </c>
      <c r="H294" s="28">
        <v>590.0</v>
      </c>
      <c r="I294" s="28">
        <v>6194.0</v>
      </c>
      <c r="J294" s="28">
        <v>5859.0</v>
      </c>
      <c r="K294" s="28">
        <v>30.0</v>
      </c>
      <c r="L294" s="28">
        <v>56.0</v>
      </c>
      <c r="M294" s="28">
        <v>48.0</v>
      </c>
      <c r="N294" s="28">
        <v>201.0</v>
      </c>
      <c r="O294" s="29">
        <f t="shared" ref="O294:T294" si="295">ROUND(C294 + ((2016-2012)*(I294-C294))/(2024-2012),0)</f>
        <v>5616</v>
      </c>
      <c r="P294" s="30">
        <f t="shared" si="295"/>
        <v>5054</v>
      </c>
      <c r="Q294" s="30">
        <f t="shared" si="295"/>
        <v>27</v>
      </c>
      <c r="R294" s="30">
        <f t="shared" si="295"/>
        <v>25</v>
      </c>
      <c r="S294" s="30">
        <f t="shared" si="295"/>
        <v>50</v>
      </c>
      <c r="T294" s="30">
        <f t="shared" si="295"/>
        <v>460</v>
      </c>
      <c r="U294" s="30">
        <v>4272.0</v>
      </c>
      <c r="V294" s="31">
        <f t="shared" si="3"/>
        <v>782</v>
      </c>
      <c r="W294" s="31">
        <f t="shared" si="4"/>
        <v>782</v>
      </c>
      <c r="X294" s="32">
        <f t="shared" si="5"/>
        <v>5616</v>
      </c>
      <c r="Y294" s="31">
        <v>1251.9999742507935</v>
      </c>
      <c r="Z294" s="33"/>
      <c r="AA294" s="28">
        <v>5713.0</v>
      </c>
      <c r="AB294" s="30">
        <f t="shared" si="7"/>
        <v>6183</v>
      </c>
      <c r="AC294" s="28">
        <v>7123.0</v>
      </c>
      <c r="AD294" s="13"/>
      <c r="AE294" s="13"/>
      <c r="AF294" s="13"/>
      <c r="AG294" s="13"/>
      <c r="AH294" s="13"/>
      <c r="AI294" s="13"/>
      <c r="AJ294" s="13"/>
      <c r="AK294" s="13"/>
      <c r="AL294" s="13"/>
    </row>
    <row r="295" ht="15.75" customHeight="1">
      <c r="A295" s="34">
        <v>71004.0</v>
      </c>
      <c r="B295" s="35" t="s">
        <v>309</v>
      </c>
      <c r="C295" s="28">
        <v>3163.0</v>
      </c>
      <c r="D295" s="28">
        <v>2525.0</v>
      </c>
      <c r="E295" s="28">
        <v>122.0</v>
      </c>
      <c r="F295" s="28">
        <v>66.0</v>
      </c>
      <c r="G295" s="28">
        <v>48.0</v>
      </c>
      <c r="H295" s="28">
        <v>402.0</v>
      </c>
      <c r="I295" s="28">
        <v>3438.0</v>
      </c>
      <c r="J295" s="28">
        <v>3100.0</v>
      </c>
      <c r="K295" s="28">
        <v>42.0</v>
      </c>
      <c r="L295" s="28">
        <v>54.0</v>
      </c>
      <c r="M295" s="28">
        <v>32.0</v>
      </c>
      <c r="N295" s="28">
        <v>210.0</v>
      </c>
      <c r="O295" s="29">
        <f t="shared" ref="O295:T295" si="296">ROUND(C295 + ((2016-2012)*(I295-C295))/(2024-2012),0)</f>
        <v>3255</v>
      </c>
      <c r="P295" s="36">
        <f t="shared" si="296"/>
        <v>2717</v>
      </c>
      <c r="Q295" s="36">
        <f t="shared" si="296"/>
        <v>95</v>
      </c>
      <c r="R295" s="36">
        <f t="shared" si="296"/>
        <v>62</v>
      </c>
      <c r="S295" s="36">
        <f t="shared" si="296"/>
        <v>43</v>
      </c>
      <c r="T295" s="36">
        <f t="shared" si="296"/>
        <v>338</v>
      </c>
      <c r="U295" s="36">
        <v>2459.0</v>
      </c>
      <c r="V295" s="31">
        <f t="shared" si="3"/>
        <v>258</v>
      </c>
      <c r="W295" s="31">
        <f t="shared" si="4"/>
        <v>258</v>
      </c>
      <c r="X295" s="32">
        <f t="shared" si="5"/>
        <v>3255</v>
      </c>
      <c r="Y295" s="31">
        <v>934.0000152587891</v>
      </c>
      <c r="Z295" s="33"/>
      <c r="AA295" s="28">
        <v>3372.0</v>
      </c>
      <c r="AB295" s="36">
        <f t="shared" si="7"/>
        <v>3593</v>
      </c>
      <c r="AC295" s="28">
        <v>4034.0</v>
      </c>
      <c r="AD295" s="13"/>
      <c r="AE295" s="13"/>
      <c r="AF295" s="13"/>
      <c r="AG295" s="13"/>
      <c r="AH295" s="13"/>
      <c r="AI295" s="13"/>
      <c r="AJ295" s="13"/>
      <c r="AK295" s="13"/>
      <c r="AL295" s="13"/>
    </row>
    <row r="296" ht="15.75" customHeight="1">
      <c r="A296" s="26">
        <v>71005.0</v>
      </c>
      <c r="B296" s="27" t="s">
        <v>310</v>
      </c>
      <c r="C296" s="28">
        <v>3477.0</v>
      </c>
      <c r="D296" s="28">
        <v>3010.0</v>
      </c>
      <c r="E296" s="28">
        <v>44.0</v>
      </c>
      <c r="F296" s="28">
        <v>6.0</v>
      </c>
      <c r="G296" s="28">
        <v>28.0</v>
      </c>
      <c r="H296" s="28">
        <v>389.0</v>
      </c>
      <c r="I296" s="28">
        <v>3775.0</v>
      </c>
      <c r="J296" s="28">
        <v>3324.0</v>
      </c>
      <c r="K296" s="28">
        <v>26.0</v>
      </c>
      <c r="L296" s="28">
        <v>90.0</v>
      </c>
      <c r="M296" s="28">
        <v>26.0</v>
      </c>
      <c r="N296" s="28">
        <v>309.0</v>
      </c>
      <c r="O296" s="29">
        <f t="shared" ref="O296:T296" si="297">ROUND(C296 + ((2016-2012)*(I296-C296))/(2024-2012),0)</f>
        <v>3576</v>
      </c>
      <c r="P296" s="30">
        <f t="shared" si="297"/>
        <v>3115</v>
      </c>
      <c r="Q296" s="30">
        <f t="shared" si="297"/>
        <v>38</v>
      </c>
      <c r="R296" s="30">
        <f t="shared" si="297"/>
        <v>34</v>
      </c>
      <c r="S296" s="30">
        <f t="shared" si="297"/>
        <v>27</v>
      </c>
      <c r="T296" s="30">
        <f t="shared" si="297"/>
        <v>362</v>
      </c>
      <c r="U296" s="30">
        <v>2865.0</v>
      </c>
      <c r="V296" s="31">
        <f t="shared" si="3"/>
        <v>250</v>
      </c>
      <c r="W296" s="31">
        <f t="shared" si="4"/>
        <v>250</v>
      </c>
      <c r="X296" s="32">
        <f t="shared" si="5"/>
        <v>3576</v>
      </c>
      <c r="Y296" s="31">
        <v>939.0000104904175</v>
      </c>
      <c r="Z296" s="33"/>
      <c r="AA296" s="28">
        <v>3682.0</v>
      </c>
      <c r="AB296" s="30">
        <f t="shared" si="7"/>
        <v>3895</v>
      </c>
      <c r="AC296" s="28">
        <v>4320.0</v>
      </c>
      <c r="AD296" s="13"/>
      <c r="AE296" s="13"/>
      <c r="AF296" s="13"/>
      <c r="AG296" s="13"/>
      <c r="AH296" s="13"/>
      <c r="AI296" s="13"/>
      <c r="AJ296" s="13"/>
      <c r="AK296" s="13"/>
      <c r="AL296" s="13"/>
    </row>
    <row r="297" ht="15.75" customHeight="1">
      <c r="A297" s="34">
        <v>71101.0</v>
      </c>
      <c r="B297" s="35" t="s">
        <v>311</v>
      </c>
      <c r="C297" s="28">
        <v>4261.0</v>
      </c>
      <c r="D297" s="28">
        <v>2107.0</v>
      </c>
      <c r="E297" s="28">
        <v>256.0</v>
      </c>
      <c r="F297" s="28">
        <v>83.0</v>
      </c>
      <c r="G297" s="28">
        <v>186.0</v>
      </c>
      <c r="H297" s="28">
        <v>1629.0</v>
      </c>
      <c r="I297" s="28">
        <v>9407.0</v>
      </c>
      <c r="J297" s="28">
        <v>5727.0</v>
      </c>
      <c r="K297" s="28">
        <v>164.0</v>
      </c>
      <c r="L297" s="28">
        <v>869.0</v>
      </c>
      <c r="M297" s="28">
        <v>246.0</v>
      </c>
      <c r="N297" s="28">
        <v>2401.0</v>
      </c>
      <c r="O297" s="29">
        <f t="shared" ref="O297:T297" si="298">ROUND(C297 + ((2016-2012)*(I297-C297))/(2024-2012),0)</f>
        <v>5976</v>
      </c>
      <c r="P297" s="36">
        <f t="shared" si="298"/>
        <v>3314</v>
      </c>
      <c r="Q297" s="36">
        <f t="shared" si="298"/>
        <v>225</v>
      </c>
      <c r="R297" s="36">
        <f t="shared" si="298"/>
        <v>345</v>
      </c>
      <c r="S297" s="36">
        <f t="shared" si="298"/>
        <v>206</v>
      </c>
      <c r="T297" s="36">
        <f t="shared" si="298"/>
        <v>1886</v>
      </c>
      <c r="U297" s="37">
        <v>3084.0</v>
      </c>
      <c r="V297" s="31">
        <f t="shared" si="3"/>
        <v>230</v>
      </c>
      <c r="W297" s="31">
        <f t="shared" si="4"/>
        <v>230</v>
      </c>
      <c r="X297" s="32">
        <f t="shared" si="5"/>
        <v>5976</v>
      </c>
      <c r="Y297" s="31">
        <v>740.5000030994415</v>
      </c>
      <c r="Z297" s="33"/>
      <c r="AA297" s="28">
        <v>4639.0</v>
      </c>
      <c r="AB297" s="36">
        <f t="shared" si="7"/>
        <v>6829</v>
      </c>
      <c r="AC297" s="28">
        <v>11208.0</v>
      </c>
      <c r="AD297" s="13"/>
      <c r="AE297" s="13"/>
      <c r="AF297" s="13"/>
      <c r="AG297" s="13"/>
      <c r="AH297" s="13"/>
      <c r="AI297" s="13"/>
      <c r="AJ297" s="13"/>
      <c r="AK297" s="13"/>
      <c r="AL297" s="13"/>
    </row>
    <row r="298" ht="15.75" customHeight="1">
      <c r="A298" s="26">
        <v>71102.0</v>
      </c>
      <c r="B298" s="27" t="s">
        <v>312</v>
      </c>
      <c r="C298" s="28">
        <v>3185.0</v>
      </c>
      <c r="D298" s="28">
        <v>1905.0</v>
      </c>
      <c r="E298" s="28">
        <v>115.0</v>
      </c>
      <c r="F298" s="28">
        <v>168.0</v>
      </c>
      <c r="G298" s="28">
        <v>94.0</v>
      </c>
      <c r="H298" s="28">
        <v>903.0</v>
      </c>
      <c r="I298" s="28">
        <v>3941.0</v>
      </c>
      <c r="J298" s="28">
        <v>3297.0</v>
      </c>
      <c r="K298" s="28">
        <v>47.0</v>
      </c>
      <c r="L298" s="28">
        <v>290.0</v>
      </c>
      <c r="M298" s="28">
        <v>39.0</v>
      </c>
      <c r="N298" s="28">
        <v>268.0</v>
      </c>
      <c r="O298" s="29">
        <f t="shared" ref="O298:T298" si="299">ROUND(C298 + ((2016-2012)*(I298-C298))/(2024-2012),0)</f>
        <v>3437</v>
      </c>
      <c r="P298" s="30">
        <f t="shared" si="299"/>
        <v>2369</v>
      </c>
      <c r="Q298" s="30">
        <f t="shared" si="299"/>
        <v>92</v>
      </c>
      <c r="R298" s="30">
        <f t="shared" si="299"/>
        <v>209</v>
      </c>
      <c r="S298" s="30">
        <f t="shared" si="299"/>
        <v>76</v>
      </c>
      <c r="T298" s="30">
        <f t="shared" si="299"/>
        <v>691</v>
      </c>
      <c r="U298" s="38">
        <v>1510.0</v>
      </c>
      <c r="V298" s="31">
        <f t="shared" si="3"/>
        <v>859</v>
      </c>
      <c r="W298" s="31">
        <f t="shared" si="4"/>
        <v>859</v>
      </c>
      <c r="X298" s="32">
        <f t="shared" si="5"/>
        <v>3437</v>
      </c>
      <c r="Y298" s="31">
        <v>1116.5000200271606</v>
      </c>
      <c r="Z298" s="33"/>
      <c r="AA298" s="28">
        <v>3283.0</v>
      </c>
      <c r="AB298" s="30">
        <f t="shared" si="7"/>
        <v>3695</v>
      </c>
      <c r="AC298" s="28">
        <v>4518.0</v>
      </c>
      <c r="AD298" s="13"/>
      <c r="AE298" s="13"/>
      <c r="AF298" s="13"/>
      <c r="AG298" s="13"/>
      <c r="AH298" s="13"/>
      <c r="AI298" s="13"/>
      <c r="AJ298" s="13"/>
      <c r="AK298" s="13"/>
      <c r="AL298" s="13"/>
    </row>
    <row r="299" ht="15.75" customHeight="1">
      <c r="A299" s="34">
        <v>71103.0</v>
      </c>
      <c r="B299" s="35" t="s">
        <v>313</v>
      </c>
      <c r="C299" s="28">
        <v>1685.0</v>
      </c>
      <c r="D299" s="28">
        <v>1253.0</v>
      </c>
      <c r="E299" s="28">
        <v>19.0</v>
      </c>
      <c r="F299" s="28">
        <v>16.0</v>
      </c>
      <c r="G299" s="28">
        <v>49.0</v>
      </c>
      <c r="H299" s="28">
        <v>348.0</v>
      </c>
      <c r="I299" s="28">
        <v>2433.0</v>
      </c>
      <c r="J299" s="28">
        <v>1968.0</v>
      </c>
      <c r="K299" s="28">
        <v>16.0</v>
      </c>
      <c r="L299" s="28">
        <v>152.0</v>
      </c>
      <c r="M299" s="28">
        <v>47.0</v>
      </c>
      <c r="N299" s="28">
        <v>250.0</v>
      </c>
      <c r="O299" s="29">
        <f t="shared" ref="O299:T299" si="300">ROUND(C299 + ((2016-2012)*(I299-C299))/(2024-2012),0)</f>
        <v>1934</v>
      </c>
      <c r="P299" s="36">
        <f t="shared" si="300"/>
        <v>1491</v>
      </c>
      <c r="Q299" s="36">
        <f t="shared" si="300"/>
        <v>18</v>
      </c>
      <c r="R299" s="36">
        <f t="shared" si="300"/>
        <v>61</v>
      </c>
      <c r="S299" s="36">
        <f t="shared" si="300"/>
        <v>48</v>
      </c>
      <c r="T299" s="36">
        <f t="shared" si="300"/>
        <v>315</v>
      </c>
      <c r="U299" s="37">
        <v>1217.0</v>
      </c>
      <c r="V299" s="31">
        <f t="shared" si="3"/>
        <v>274</v>
      </c>
      <c r="W299" s="31">
        <f t="shared" si="4"/>
        <v>274</v>
      </c>
      <c r="X299" s="32">
        <f t="shared" si="5"/>
        <v>1933</v>
      </c>
      <c r="Y299" s="31">
        <v>1107.9999804496765</v>
      </c>
      <c r="Z299" s="33"/>
      <c r="AA299" s="28">
        <v>1789.0</v>
      </c>
      <c r="AB299" s="36">
        <f t="shared" si="7"/>
        <v>2091</v>
      </c>
      <c r="AC299" s="28">
        <v>2694.0</v>
      </c>
      <c r="AD299" s="13"/>
      <c r="AE299" s="13"/>
      <c r="AF299" s="13"/>
      <c r="AG299" s="13"/>
      <c r="AH299" s="13"/>
      <c r="AI299" s="13"/>
      <c r="AJ299" s="13"/>
      <c r="AK299" s="13"/>
      <c r="AL299" s="13"/>
    </row>
    <row r="300" ht="15.75" customHeight="1">
      <c r="A300" s="26">
        <v>71104.0</v>
      </c>
      <c r="B300" s="27" t="s">
        <v>314</v>
      </c>
      <c r="C300" s="28">
        <v>12767.0</v>
      </c>
      <c r="D300" s="28">
        <v>6183.0</v>
      </c>
      <c r="E300" s="28">
        <v>605.0</v>
      </c>
      <c r="F300" s="28">
        <v>1207.0</v>
      </c>
      <c r="G300" s="28">
        <v>475.0</v>
      </c>
      <c r="H300" s="28">
        <v>4297.0</v>
      </c>
      <c r="I300" s="28">
        <v>14448.0</v>
      </c>
      <c r="J300" s="28">
        <v>12116.0</v>
      </c>
      <c r="K300" s="28">
        <v>276.0</v>
      </c>
      <c r="L300" s="28">
        <v>524.0</v>
      </c>
      <c r="M300" s="28">
        <v>147.0</v>
      </c>
      <c r="N300" s="28">
        <v>1385.0</v>
      </c>
      <c r="O300" s="29">
        <f t="shared" ref="O300:T300" si="301">ROUND(C300 + ((2016-2012)*(I300-C300))/(2024-2012),0)</f>
        <v>13327</v>
      </c>
      <c r="P300" s="30">
        <f t="shared" si="301"/>
        <v>8161</v>
      </c>
      <c r="Q300" s="30">
        <f t="shared" si="301"/>
        <v>495</v>
      </c>
      <c r="R300" s="30">
        <f t="shared" si="301"/>
        <v>979</v>
      </c>
      <c r="S300" s="30">
        <f t="shared" si="301"/>
        <v>366</v>
      </c>
      <c r="T300" s="30">
        <f t="shared" si="301"/>
        <v>3326</v>
      </c>
      <c r="U300" s="30">
        <v>7597.0</v>
      </c>
      <c r="V300" s="31">
        <f t="shared" si="3"/>
        <v>564</v>
      </c>
      <c r="W300" s="31">
        <f t="shared" si="4"/>
        <v>564</v>
      </c>
      <c r="X300" s="32">
        <f t="shared" si="5"/>
        <v>13327</v>
      </c>
      <c r="Y300" s="31">
        <v>809.0000152587891</v>
      </c>
      <c r="Z300" s="33"/>
      <c r="AA300" s="28">
        <v>13636.0</v>
      </c>
      <c r="AB300" s="30">
        <f t="shared" si="7"/>
        <v>14642</v>
      </c>
      <c r="AC300" s="28">
        <v>16654.0</v>
      </c>
      <c r="AD300" s="13"/>
      <c r="AE300" s="13"/>
      <c r="AF300" s="13"/>
      <c r="AG300" s="13"/>
      <c r="AH300" s="13"/>
      <c r="AI300" s="13"/>
      <c r="AJ300" s="13"/>
      <c r="AK300" s="13"/>
      <c r="AL300" s="13"/>
    </row>
    <row r="301" ht="15.75" customHeight="1">
      <c r="A301" s="34">
        <v>71105.0</v>
      </c>
      <c r="B301" s="35" t="s">
        <v>315</v>
      </c>
      <c r="C301" s="28">
        <v>1146.0</v>
      </c>
      <c r="D301" s="28">
        <v>882.0</v>
      </c>
      <c r="E301" s="28">
        <v>22.0</v>
      </c>
      <c r="F301" s="28">
        <v>16.0</v>
      </c>
      <c r="G301" s="28">
        <v>4.0</v>
      </c>
      <c r="H301" s="28">
        <v>222.0</v>
      </c>
      <c r="I301" s="28">
        <v>1475.0</v>
      </c>
      <c r="J301" s="28">
        <v>1348.0</v>
      </c>
      <c r="K301" s="28">
        <v>5.0</v>
      </c>
      <c r="L301" s="28">
        <v>35.0</v>
      </c>
      <c r="M301" s="28">
        <v>1.0</v>
      </c>
      <c r="N301" s="28">
        <v>86.0</v>
      </c>
      <c r="O301" s="29">
        <f t="shared" ref="O301:T301" si="302">ROUND(C301 + ((2016-2012)*(I301-C301))/(2024-2012),0)</f>
        <v>1256</v>
      </c>
      <c r="P301" s="36">
        <f t="shared" si="302"/>
        <v>1037</v>
      </c>
      <c r="Q301" s="36">
        <f t="shared" si="302"/>
        <v>16</v>
      </c>
      <c r="R301" s="36">
        <f t="shared" si="302"/>
        <v>22</v>
      </c>
      <c r="S301" s="36">
        <f t="shared" si="302"/>
        <v>3</v>
      </c>
      <c r="T301" s="36">
        <f t="shared" si="302"/>
        <v>177</v>
      </c>
      <c r="U301" s="37">
        <v>934.0</v>
      </c>
      <c r="V301" s="31">
        <f t="shared" si="3"/>
        <v>103</v>
      </c>
      <c r="W301" s="31">
        <f t="shared" si="4"/>
        <v>103</v>
      </c>
      <c r="X301" s="32">
        <f t="shared" si="5"/>
        <v>1255</v>
      </c>
      <c r="Y301" s="31">
        <v>561.4999830722809</v>
      </c>
      <c r="Z301" s="33"/>
      <c r="AA301" s="28">
        <v>1223.0</v>
      </c>
      <c r="AB301" s="36">
        <f t="shared" si="7"/>
        <v>1335</v>
      </c>
      <c r="AC301" s="28">
        <v>1559.0</v>
      </c>
      <c r="AD301" s="13"/>
      <c r="AE301" s="13"/>
      <c r="AF301" s="13"/>
      <c r="AG301" s="13"/>
      <c r="AH301" s="13"/>
      <c r="AI301" s="13"/>
      <c r="AJ301" s="13"/>
      <c r="AK301" s="13"/>
      <c r="AL301" s="13"/>
    </row>
    <row r="302" ht="15.75" customHeight="1">
      <c r="A302" s="26">
        <v>71106.0</v>
      </c>
      <c r="B302" s="27" t="s">
        <v>316</v>
      </c>
      <c r="C302" s="28">
        <v>5058.0</v>
      </c>
      <c r="D302" s="28">
        <v>3270.0</v>
      </c>
      <c r="E302" s="28">
        <v>734.0</v>
      </c>
      <c r="F302" s="28">
        <v>131.0</v>
      </c>
      <c r="G302" s="28">
        <v>133.0</v>
      </c>
      <c r="H302" s="28">
        <v>790.0</v>
      </c>
      <c r="I302" s="28">
        <v>6551.0</v>
      </c>
      <c r="J302" s="28">
        <v>5207.0</v>
      </c>
      <c r="K302" s="28">
        <v>729.0</v>
      </c>
      <c r="L302" s="28">
        <v>151.0</v>
      </c>
      <c r="M302" s="28">
        <v>94.0</v>
      </c>
      <c r="N302" s="28">
        <v>370.0</v>
      </c>
      <c r="O302" s="29">
        <f t="shared" ref="O302:T302" si="303">ROUND(C302 + ((2016-2012)*(I302-C302))/(2024-2012),0)</f>
        <v>5556</v>
      </c>
      <c r="P302" s="30">
        <f t="shared" si="303"/>
        <v>3916</v>
      </c>
      <c r="Q302" s="30">
        <f t="shared" si="303"/>
        <v>732</v>
      </c>
      <c r="R302" s="30">
        <f t="shared" si="303"/>
        <v>138</v>
      </c>
      <c r="S302" s="30">
        <f t="shared" si="303"/>
        <v>120</v>
      </c>
      <c r="T302" s="30">
        <f t="shared" si="303"/>
        <v>650</v>
      </c>
      <c r="U302" s="38">
        <v>3922.0</v>
      </c>
      <c r="V302" s="31">
        <f t="shared" si="3"/>
        <v>-6</v>
      </c>
      <c r="W302" s="31">
        <f t="shared" si="4"/>
        <v>0</v>
      </c>
      <c r="X302" s="32">
        <f t="shared" si="5"/>
        <v>5562</v>
      </c>
      <c r="Y302" s="31">
        <v>1034.999966621399</v>
      </c>
      <c r="Z302" s="33"/>
      <c r="AA302" s="28">
        <v>5563.0</v>
      </c>
      <c r="AB302" s="30">
        <f t="shared" si="7"/>
        <v>6289</v>
      </c>
      <c r="AC302" s="28">
        <v>7740.0</v>
      </c>
      <c r="AD302" s="13"/>
      <c r="AE302" s="13"/>
      <c r="AF302" s="13"/>
      <c r="AG302" s="13"/>
      <c r="AH302" s="13"/>
      <c r="AI302" s="13"/>
      <c r="AJ302" s="13"/>
      <c r="AK302" s="13"/>
      <c r="AL302" s="13"/>
    </row>
    <row r="303" ht="15.75" customHeight="1">
      <c r="A303" s="34">
        <v>71201.0</v>
      </c>
      <c r="B303" s="35" t="s">
        <v>317</v>
      </c>
      <c r="C303" s="28">
        <v>3215.0</v>
      </c>
      <c r="D303" s="28">
        <v>2197.0</v>
      </c>
      <c r="E303" s="28">
        <v>150.0</v>
      </c>
      <c r="F303" s="28">
        <v>88.0</v>
      </c>
      <c r="G303" s="28">
        <v>27.0</v>
      </c>
      <c r="H303" s="28">
        <v>753.0</v>
      </c>
      <c r="I303" s="28">
        <v>4145.0</v>
      </c>
      <c r="J303" s="28">
        <v>3501.0</v>
      </c>
      <c r="K303" s="28">
        <v>111.0</v>
      </c>
      <c r="L303" s="28">
        <v>169.0</v>
      </c>
      <c r="M303" s="28">
        <v>17.0</v>
      </c>
      <c r="N303" s="28">
        <v>347.0</v>
      </c>
      <c r="O303" s="29">
        <f t="shared" ref="O303:T303" si="304">ROUND(C303 + ((2016-2012)*(I303-C303))/(2024-2012),0)</f>
        <v>3525</v>
      </c>
      <c r="P303" s="36">
        <f t="shared" si="304"/>
        <v>2632</v>
      </c>
      <c r="Q303" s="36">
        <f t="shared" si="304"/>
        <v>137</v>
      </c>
      <c r="R303" s="36">
        <f t="shared" si="304"/>
        <v>115</v>
      </c>
      <c r="S303" s="36">
        <f t="shared" si="304"/>
        <v>24</v>
      </c>
      <c r="T303" s="36">
        <f t="shared" si="304"/>
        <v>618</v>
      </c>
      <c r="U303" s="37">
        <v>1835.0</v>
      </c>
      <c r="V303" s="31">
        <f t="shared" si="3"/>
        <v>797</v>
      </c>
      <c r="W303" s="31">
        <f t="shared" si="4"/>
        <v>797</v>
      </c>
      <c r="X303" s="32">
        <f t="shared" si="5"/>
        <v>3526</v>
      </c>
      <c r="Y303" s="31">
        <v>1202.0000219345093</v>
      </c>
      <c r="Z303" s="33"/>
      <c r="AA303" s="28">
        <v>3382.0</v>
      </c>
      <c r="AB303" s="36">
        <f t="shared" si="7"/>
        <v>3861</v>
      </c>
      <c r="AC303" s="28">
        <v>4820.0</v>
      </c>
      <c r="AD303" s="13"/>
      <c r="AE303" s="13"/>
      <c r="AF303" s="13"/>
      <c r="AG303" s="13"/>
      <c r="AH303" s="13"/>
      <c r="AI303" s="13"/>
      <c r="AJ303" s="13"/>
      <c r="AK303" s="13"/>
      <c r="AL303" s="13"/>
    </row>
    <row r="304" ht="15.75" customHeight="1">
      <c r="A304" s="26">
        <v>71301.0</v>
      </c>
      <c r="B304" s="27" t="s">
        <v>318</v>
      </c>
      <c r="C304" s="28">
        <v>4639.0</v>
      </c>
      <c r="D304" s="28">
        <v>3336.0</v>
      </c>
      <c r="E304" s="28">
        <v>19.0</v>
      </c>
      <c r="F304" s="28">
        <v>275.0</v>
      </c>
      <c r="G304" s="28">
        <v>28.0</v>
      </c>
      <c r="H304" s="28">
        <v>981.0</v>
      </c>
      <c r="I304" s="28">
        <v>5754.0</v>
      </c>
      <c r="J304" s="28">
        <v>4957.0</v>
      </c>
      <c r="K304" s="28">
        <v>10.0</v>
      </c>
      <c r="L304" s="28">
        <v>192.0</v>
      </c>
      <c r="M304" s="28">
        <v>60.0</v>
      </c>
      <c r="N304" s="28">
        <v>535.0</v>
      </c>
      <c r="O304" s="29">
        <f t="shared" ref="O304:T304" si="305">ROUND(C304 + ((2016-2012)*(I304-C304))/(2024-2012),0)</f>
        <v>5011</v>
      </c>
      <c r="P304" s="30">
        <f t="shared" si="305"/>
        <v>3876</v>
      </c>
      <c r="Q304" s="30">
        <f t="shared" si="305"/>
        <v>16</v>
      </c>
      <c r="R304" s="30">
        <f t="shared" si="305"/>
        <v>247</v>
      </c>
      <c r="S304" s="30">
        <f t="shared" si="305"/>
        <v>39</v>
      </c>
      <c r="T304" s="30">
        <f t="shared" si="305"/>
        <v>832</v>
      </c>
      <c r="U304" s="38">
        <v>3562.0</v>
      </c>
      <c r="V304" s="31">
        <f t="shared" si="3"/>
        <v>314</v>
      </c>
      <c r="W304" s="31">
        <f t="shared" si="4"/>
        <v>314</v>
      </c>
      <c r="X304" s="32">
        <f t="shared" si="5"/>
        <v>5010</v>
      </c>
      <c r="Y304" s="31">
        <v>460.999995470047</v>
      </c>
      <c r="Z304" s="33"/>
      <c r="AA304" s="28">
        <v>5461.0</v>
      </c>
      <c r="AB304" s="30">
        <f t="shared" si="7"/>
        <v>6168</v>
      </c>
      <c r="AC304" s="28">
        <v>7582.0</v>
      </c>
      <c r="AD304" s="13"/>
      <c r="AE304" s="13"/>
      <c r="AF304" s="13"/>
      <c r="AG304" s="13"/>
      <c r="AH304" s="13"/>
      <c r="AI304" s="13"/>
      <c r="AJ304" s="13"/>
      <c r="AK304" s="13"/>
      <c r="AL304" s="13"/>
    </row>
    <row r="305" ht="15.75" customHeight="1">
      <c r="A305" s="34">
        <v>71302.0</v>
      </c>
      <c r="B305" s="35" t="s">
        <v>319</v>
      </c>
      <c r="C305" s="28">
        <v>1783.0</v>
      </c>
      <c r="D305" s="28">
        <v>1438.0</v>
      </c>
      <c r="E305" s="28">
        <v>0.0</v>
      </c>
      <c r="F305" s="28">
        <v>39.0</v>
      </c>
      <c r="G305" s="28">
        <v>7.0</v>
      </c>
      <c r="H305" s="28">
        <v>299.0</v>
      </c>
      <c r="I305" s="28">
        <v>1989.0</v>
      </c>
      <c r="J305" s="28">
        <v>1809.0</v>
      </c>
      <c r="K305" s="28">
        <v>7.0</v>
      </c>
      <c r="L305" s="28">
        <v>53.0</v>
      </c>
      <c r="M305" s="28">
        <v>10.0</v>
      </c>
      <c r="N305" s="28">
        <v>110.0</v>
      </c>
      <c r="O305" s="29">
        <f t="shared" ref="O305:T305" si="306">ROUND(C305 + ((2016-2012)*(I305-C305))/(2024-2012),0)</f>
        <v>1852</v>
      </c>
      <c r="P305" s="36">
        <f t="shared" si="306"/>
        <v>1562</v>
      </c>
      <c r="Q305" s="36">
        <f t="shared" si="306"/>
        <v>2</v>
      </c>
      <c r="R305" s="36">
        <f t="shared" si="306"/>
        <v>44</v>
      </c>
      <c r="S305" s="36">
        <f t="shared" si="306"/>
        <v>8</v>
      </c>
      <c r="T305" s="36">
        <f t="shared" si="306"/>
        <v>236</v>
      </c>
      <c r="U305" s="37">
        <v>1296.0</v>
      </c>
      <c r="V305" s="31">
        <f t="shared" si="3"/>
        <v>266</v>
      </c>
      <c r="W305" s="31">
        <f t="shared" si="4"/>
        <v>266</v>
      </c>
      <c r="X305" s="32">
        <f t="shared" si="5"/>
        <v>1852</v>
      </c>
      <c r="Y305" s="31">
        <v>467.5000011920929</v>
      </c>
      <c r="Z305" s="33"/>
      <c r="AA305" s="28">
        <v>1998.0</v>
      </c>
      <c r="AB305" s="36">
        <f t="shared" si="7"/>
        <v>2151</v>
      </c>
      <c r="AC305" s="28">
        <v>2457.0</v>
      </c>
      <c r="AD305" s="13"/>
      <c r="AE305" s="13"/>
      <c r="AF305" s="13"/>
      <c r="AG305" s="13"/>
      <c r="AH305" s="13"/>
      <c r="AI305" s="13"/>
      <c r="AJ305" s="13"/>
      <c r="AK305" s="13"/>
      <c r="AL305" s="13"/>
    </row>
    <row r="306" ht="15.75" customHeight="1">
      <c r="A306" s="26">
        <v>71401.0</v>
      </c>
      <c r="B306" s="27" t="s">
        <v>320</v>
      </c>
      <c r="C306" s="28">
        <v>4554.0</v>
      </c>
      <c r="D306" s="28">
        <v>3929.0</v>
      </c>
      <c r="E306" s="28">
        <v>40.0</v>
      </c>
      <c r="F306" s="28">
        <v>15.0</v>
      </c>
      <c r="G306" s="28">
        <v>36.0</v>
      </c>
      <c r="H306" s="28">
        <v>534.0</v>
      </c>
      <c r="I306" s="28">
        <v>4859.0</v>
      </c>
      <c r="J306" s="28">
        <v>4365.0</v>
      </c>
      <c r="K306" s="28">
        <v>93.0</v>
      </c>
      <c r="L306" s="28">
        <v>72.0</v>
      </c>
      <c r="M306" s="28">
        <v>21.0</v>
      </c>
      <c r="N306" s="28">
        <v>308.0</v>
      </c>
      <c r="O306" s="29">
        <f t="shared" ref="O306:T306" si="307">ROUND(C306 + ((2016-2012)*(I306-C306))/(2024-2012),0)</f>
        <v>4656</v>
      </c>
      <c r="P306" s="30">
        <f t="shared" si="307"/>
        <v>4074</v>
      </c>
      <c r="Q306" s="30">
        <f t="shared" si="307"/>
        <v>58</v>
      </c>
      <c r="R306" s="30">
        <f t="shared" si="307"/>
        <v>34</v>
      </c>
      <c r="S306" s="30">
        <f t="shared" si="307"/>
        <v>31</v>
      </c>
      <c r="T306" s="30">
        <f t="shared" si="307"/>
        <v>459</v>
      </c>
      <c r="U306" s="38">
        <v>4065.0</v>
      </c>
      <c r="V306" s="31">
        <f t="shared" si="3"/>
        <v>9</v>
      </c>
      <c r="W306" s="31">
        <f t="shared" si="4"/>
        <v>9</v>
      </c>
      <c r="X306" s="32">
        <f t="shared" si="5"/>
        <v>4656</v>
      </c>
      <c r="Y306" s="31">
        <v>1300.9999990463257</v>
      </c>
      <c r="Z306" s="33"/>
      <c r="AA306" s="28">
        <v>4973.0</v>
      </c>
      <c r="AB306" s="30">
        <f t="shared" si="7"/>
        <v>5273</v>
      </c>
      <c r="AC306" s="28">
        <v>5872.0</v>
      </c>
      <c r="AD306" s="13"/>
      <c r="AE306" s="13"/>
      <c r="AF306" s="13"/>
      <c r="AG306" s="13"/>
      <c r="AH306" s="13"/>
      <c r="AI306" s="13"/>
      <c r="AJ306" s="13"/>
      <c r="AK306" s="13"/>
      <c r="AL306" s="13"/>
    </row>
    <row r="307" ht="15.75" customHeight="1">
      <c r="A307" s="34">
        <v>71402.0</v>
      </c>
      <c r="B307" s="35" t="s">
        <v>321</v>
      </c>
      <c r="C307" s="28">
        <v>3881.0</v>
      </c>
      <c r="D307" s="28">
        <v>3575.0</v>
      </c>
      <c r="E307" s="28">
        <v>15.0</v>
      </c>
      <c r="F307" s="28">
        <v>3.0</v>
      </c>
      <c r="G307" s="28">
        <v>30.0</v>
      </c>
      <c r="H307" s="28">
        <v>258.0</v>
      </c>
      <c r="I307" s="28">
        <v>4954.0</v>
      </c>
      <c r="J307" s="28">
        <v>4788.0</v>
      </c>
      <c r="K307" s="28">
        <v>23.0</v>
      </c>
      <c r="L307" s="28">
        <v>15.0</v>
      </c>
      <c r="M307" s="28">
        <v>33.0</v>
      </c>
      <c r="N307" s="28">
        <v>95.0</v>
      </c>
      <c r="O307" s="29">
        <f t="shared" ref="O307:T307" si="308">ROUND(C307 + ((2016-2012)*(I307-C307))/(2024-2012),0)</f>
        <v>4239</v>
      </c>
      <c r="P307" s="36">
        <f t="shared" si="308"/>
        <v>3979</v>
      </c>
      <c r="Q307" s="36">
        <f t="shared" si="308"/>
        <v>18</v>
      </c>
      <c r="R307" s="36">
        <f t="shared" si="308"/>
        <v>7</v>
      </c>
      <c r="S307" s="36">
        <f t="shared" si="308"/>
        <v>31</v>
      </c>
      <c r="T307" s="36">
        <f t="shared" si="308"/>
        <v>204</v>
      </c>
      <c r="U307" s="37">
        <v>3706.0</v>
      </c>
      <c r="V307" s="31">
        <f t="shared" si="3"/>
        <v>273</v>
      </c>
      <c r="W307" s="31">
        <f t="shared" si="4"/>
        <v>273</v>
      </c>
      <c r="X307" s="32">
        <f t="shared" si="5"/>
        <v>4239</v>
      </c>
      <c r="Y307" s="31">
        <v>1629.0000081062317</v>
      </c>
      <c r="Z307" s="33"/>
      <c r="AA307" s="28">
        <v>4312.0</v>
      </c>
      <c r="AB307" s="36">
        <f t="shared" si="7"/>
        <v>4812</v>
      </c>
      <c r="AC307" s="28">
        <v>5813.0</v>
      </c>
      <c r="AD307" s="13"/>
      <c r="AE307" s="13"/>
      <c r="AF307" s="13"/>
      <c r="AG307" s="13"/>
      <c r="AH307" s="13"/>
      <c r="AI307" s="13"/>
      <c r="AJ307" s="13"/>
      <c r="AK307" s="13"/>
      <c r="AL307" s="13"/>
    </row>
    <row r="308" ht="15.75" customHeight="1">
      <c r="A308" s="26">
        <v>71403.0</v>
      </c>
      <c r="B308" s="27" t="s">
        <v>322</v>
      </c>
      <c r="C308" s="28">
        <v>1492.0</v>
      </c>
      <c r="D308" s="28">
        <v>646.0</v>
      </c>
      <c r="E308" s="28">
        <v>179.0</v>
      </c>
      <c r="F308" s="28">
        <v>79.0</v>
      </c>
      <c r="G308" s="28">
        <v>97.0</v>
      </c>
      <c r="H308" s="28">
        <v>491.0</v>
      </c>
      <c r="I308" s="28">
        <v>2433.0</v>
      </c>
      <c r="J308" s="28">
        <v>1145.0</v>
      </c>
      <c r="K308" s="28">
        <v>308.0</v>
      </c>
      <c r="L308" s="28">
        <v>391.0</v>
      </c>
      <c r="M308" s="28">
        <v>29.0</v>
      </c>
      <c r="N308" s="28">
        <v>560.0</v>
      </c>
      <c r="O308" s="29">
        <f t="shared" ref="O308:T308" si="309">ROUND(C308 + ((2016-2012)*(I308-C308))/(2024-2012),0)</f>
        <v>1806</v>
      </c>
      <c r="P308" s="30">
        <f t="shared" si="309"/>
        <v>812</v>
      </c>
      <c r="Q308" s="30">
        <f t="shared" si="309"/>
        <v>222</v>
      </c>
      <c r="R308" s="30">
        <f t="shared" si="309"/>
        <v>183</v>
      </c>
      <c r="S308" s="30">
        <f t="shared" si="309"/>
        <v>74</v>
      </c>
      <c r="T308" s="30">
        <f t="shared" si="309"/>
        <v>514</v>
      </c>
      <c r="U308" s="38">
        <v>826.0</v>
      </c>
      <c r="V308" s="31">
        <f t="shared" si="3"/>
        <v>-14</v>
      </c>
      <c r="W308" s="31">
        <f t="shared" si="4"/>
        <v>0</v>
      </c>
      <c r="X308" s="32">
        <f t="shared" si="5"/>
        <v>1819</v>
      </c>
      <c r="Y308" s="31">
        <v>828.5000026226044</v>
      </c>
      <c r="Z308" s="33"/>
      <c r="AA308" s="28">
        <v>1622.0</v>
      </c>
      <c r="AB308" s="30">
        <f t="shared" si="7"/>
        <v>2014</v>
      </c>
      <c r="AC308" s="28">
        <v>2798.0</v>
      </c>
      <c r="AD308" s="13"/>
      <c r="AE308" s="13"/>
      <c r="AF308" s="13"/>
      <c r="AG308" s="13"/>
      <c r="AH308" s="13"/>
      <c r="AI308" s="13"/>
      <c r="AJ308" s="13"/>
      <c r="AK308" s="13"/>
      <c r="AL308" s="13"/>
    </row>
    <row r="309" ht="15.75" customHeight="1">
      <c r="A309" s="34">
        <v>71501.0</v>
      </c>
      <c r="B309" s="35" t="s">
        <v>323</v>
      </c>
      <c r="C309" s="28">
        <v>5521.0</v>
      </c>
      <c r="D309" s="28">
        <v>3927.0</v>
      </c>
      <c r="E309" s="28">
        <v>209.0</v>
      </c>
      <c r="F309" s="28">
        <v>81.0</v>
      </c>
      <c r="G309" s="28">
        <v>320.0</v>
      </c>
      <c r="H309" s="28">
        <v>984.0</v>
      </c>
      <c r="I309" s="28">
        <v>10803.0</v>
      </c>
      <c r="J309" s="28">
        <v>6852.0</v>
      </c>
      <c r="K309" s="28">
        <v>135.0</v>
      </c>
      <c r="L309" s="28">
        <v>879.0</v>
      </c>
      <c r="M309" s="28">
        <v>313.0</v>
      </c>
      <c r="N309" s="28">
        <v>2624.0</v>
      </c>
      <c r="O309" s="29">
        <f t="shared" ref="O309:T309" si="310">ROUND(C309 + ((2016-2012)*(I309-C309))/(2024-2012),0)</f>
        <v>7282</v>
      </c>
      <c r="P309" s="36">
        <f t="shared" si="310"/>
        <v>4902</v>
      </c>
      <c r="Q309" s="36">
        <f t="shared" si="310"/>
        <v>184</v>
      </c>
      <c r="R309" s="36">
        <f t="shared" si="310"/>
        <v>347</v>
      </c>
      <c r="S309" s="36">
        <f t="shared" si="310"/>
        <v>318</v>
      </c>
      <c r="T309" s="36">
        <f t="shared" si="310"/>
        <v>1531</v>
      </c>
      <c r="U309" s="37">
        <v>4350.0</v>
      </c>
      <c r="V309" s="31">
        <f t="shared" si="3"/>
        <v>552</v>
      </c>
      <c r="W309" s="31">
        <f t="shared" si="4"/>
        <v>552</v>
      </c>
      <c r="X309" s="32">
        <f t="shared" si="5"/>
        <v>7282</v>
      </c>
      <c r="Y309" s="31">
        <v>902.0000100135803</v>
      </c>
      <c r="Z309" s="33"/>
      <c r="AA309" s="28">
        <v>5831.0</v>
      </c>
      <c r="AB309" s="36">
        <f t="shared" si="7"/>
        <v>8152</v>
      </c>
      <c r="AC309" s="28">
        <v>12793.0</v>
      </c>
      <c r="AD309" s="13"/>
      <c r="AE309" s="13"/>
      <c r="AF309" s="13"/>
      <c r="AG309" s="13"/>
      <c r="AH309" s="13"/>
      <c r="AI309" s="13"/>
      <c r="AJ309" s="13"/>
      <c r="AK309" s="13"/>
      <c r="AL309" s="13"/>
    </row>
    <row r="310" ht="15.75" customHeight="1">
      <c r="A310" s="26">
        <v>71502.0</v>
      </c>
      <c r="B310" s="27" t="s">
        <v>324</v>
      </c>
      <c r="C310" s="28">
        <v>1182.0</v>
      </c>
      <c r="D310" s="28">
        <v>887.0</v>
      </c>
      <c r="E310" s="28">
        <v>21.0</v>
      </c>
      <c r="F310" s="28">
        <v>6.0</v>
      </c>
      <c r="G310" s="28">
        <v>22.0</v>
      </c>
      <c r="H310" s="28">
        <v>246.0</v>
      </c>
      <c r="I310" s="28">
        <v>1640.0</v>
      </c>
      <c r="J310" s="28">
        <v>1266.0</v>
      </c>
      <c r="K310" s="28">
        <v>19.0</v>
      </c>
      <c r="L310" s="28">
        <v>55.0</v>
      </c>
      <c r="M310" s="28">
        <v>24.0</v>
      </c>
      <c r="N310" s="28">
        <v>276.0</v>
      </c>
      <c r="O310" s="29">
        <f t="shared" ref="O310:T310" si="311">ROUND(C310 + ((2016-2012)*(I310-C310))/(2024-2012),0)</f>
        <v>1335</v>
      </c>
      <c r="P310" s="30">
        <f t="shared" si="311"/>
        <v>1013</v>
      </c>
      <c r="Q310" s="30">
        <f t="shared" si="311"/>
        <v>20</v>
      </c>
      <c r="R310" s="30">
        <f t="shared" si="311"/>
        <v>22</v>
      </c>
      <c r="S310" s="30">
        <f t="shared" si="311"/>
        <v>23</v>
      </c>
      <c r="T310" s="30">
        <f t="shared" si="311"/>
        <v>256</v>
      </c>
      <c r="U310" s="38">
        <v>894.0</v>
      </c>
      <c r="V310" s="31">
        <f t="shared" si="3"/>
        <v>119</v>
      </c>
      <c r="W310" s="31">
        <f t="shared" si="4"/>
        <v>119</v>
      </c>
      <c r="X310" s="32">
        <f t="shared" si="5"/>
        <v>1334</v>
      </c>
      <c r="Y310" s="31">
        <v>692.9999887943268</v>
      </c>
      <c r="Z310" s="33"/>
      <c r="AA310" s="28">
        <v>1275.0</v>
      </c>
      <c r="AB310" s="30">
        <f t="shared" si="7"/>
        <v>1475</v>
      </c>
      <c r="AC310" s="28">
        <v>1874.0</v>
      </c>
      <c r="AD310" s="13"/>
      <c r="AE310" s="13"/>
      <c r="AF310" s="13"/>
      <c r="AG310" s="13"/>
      <c r="AH310" s="13"/>
      <c r="AI310" s="13"/>
      <c r="AJ310" s="13"/>
      <c r="AK310" s="13"/>
      <c r="AL310" s="13"/>
    </row>
    <row r="311" ht="15.75" customHeight="1">
      <c r="A311" s="34">
        <v>71503.0</v>
      </c>
      <c r="B311" s="35" t="s">
        <v>269</v>
      </c>
      <c r="C311" s="28">
        <v>4461.0</v>
      </c>
      <c r="D311" s="28">
        <v>870.0</v>
      </c>
      <c r="E311" s="28">
        <v>320.0</v>
      </c>
      <c r="F311" s="28">
        <v>328.0</v>
      </c>
      <c r="G311" s="28">
        <v>223.0</v>
      </c>
      <c r="H311" s="28">
        <v>2720.0</v>
      </c>
      <c r="I311" s="28">
        <v>6454.0</v>
      </c>
      <c r="J311" s="28">
        <v>2779.0</v>
      </c>
      <c r="K311" s="28">
        <v>246.0</v>
      </c>
      <c r="L311" s="28">
        <v>989.0</v>
      </c>
      <c r="M311" s="28">
        <v>237.0</v>
      </c>
      <c r="N311" s="28">
        <v>2203.0</v>
      </c>
      <c r="O311" s="29">
        <f t="shared" ref="O311:T311" si="312">ROUND(C311 + ((2016-2012)*(I311-C311))/(2024-2012),0)</f>
        <v>5125</v>
      </c>
      <c r="P311" s="36">
        <f t="shared" si="312"/>
        <v>1506</v>
      </c>
      <c r="Q311" s="36">
        <f t="shared" si="312"/>
        <v>295</v>
      </c>
      <c r="R311" s="36">
        <f t="shared" si="312"/>
        <v>548</v>
      </c>
      <c r="S311" s="36">
        <f t="shared" si="312"/>
        <v>228</v>
      </c>
      <c r="T311" s="36">
        <f t="shared" si="312"/>
        <v>2548</v>
      </c>
      <c r="U311" s="37">
        <v>845.0</v>
      </c>
      <c r="V311" s="31">
        <f t="shared" si="3"/>
        <v>661</v>
      </c>
      <c r="W311" s="31">
        <f t="shared" si="4"/>
        <v>661</v>
      </c>
      <c r="X311" s="32">
        <f t="shared" si="5"/>
        <v>5125</v>
      </c>
      <c r="Y311" s="31">
        <v>952.0000219345093</v>
      </c>
      <c r="Z311" s="33"/>
      <c r="AA311" s="28">
        <v>4855.0</v>
      </c>
      <c r="AB311" s="36">
        <f t="shared" si="7"/>
        <v>5766</v>
      </c>
      <c r="AC311" s="28">
        <v>7587.0</v>
      </c>
      <c r="AD311" s="13"/>
      <c r="AE311" s="13"/>
      <c r="AF311" s="13"/>
      <c r="AG311" s="13"/>
      <c r="AH311" s="13"/>
      <c r="AI311" s="13"/>
      <c r="AJ311" s="13"/>
      <c r="AK311" s="13"/>
      <c r="AL311" s="13"/>
    </row>
    <row r="312" ht="15.75" customHeight="1">
      <c r="A312" s="26">
        <v>80101.0</v>
      </c>
      <c r="B312" s="27" t="s">
        <v>325</v>
      </c>
      <c r="C312" s="28">
        <v>24724.0</v>
      </c>
      <c r="D312" s="28">
        <v>22589.0</v>
      </c>
      <c r="E312" s="28">
        <v>226.0</v>
      </c>
      <c r="F312" s="28">
        <v>40.0</v>
      </c>
      <c r="G312" s="28">
        <v>333.0</v>
      </c>
      <c r="H312" s="28">
        <v>1536.0</v>
      </c>
      <c r="I312" s="28">
        <v>32445.0</v>
      </c>
      <c r="J312" s="28">
        <v>31294.0</v>
      </c>
      <c r="K312" s="28">
        <v>139.0</v>
      </c>
      <c r="L312" s="28">
        <v>122.0</v>
      </c>
      <c r="M312" s="28">
        <v>248.0</v>
      </c>
      <c r="N312" s="28">
        <v>642.0</v>
      </c>
      <c r="O312" s="29">
        <f t="shared" ref="O312:T312" si="313">ROUND(C312 + ((2016-2012)*(I312-C312))/(2024-2012),0)</f>
        <v>27298</v>
      </c>
      <c r="P312" s="30">
        <f t="shared" si="313"/>
        <v>25491</v>
      </c>
      <c r="Q312" s="30">
        <f t="shared" si="313"/>
        <v>197</v>
      </c>
      <c r="R312" s="30">
        <f t="shared" si="313"/>
        <v>67</v>
      </c>
      <c r="S312" s="30">
        <f t="shared" si="313"/>
        <v>305</v>
      </c>
      <c r="T312" s="30">
        <f t="shared" si="313"/>
        <v>1238</v>
      </c>
      <c r="U312" s="30">
        <v>60177.0</v>
      </c>
      <c r="V312" s="31">
        <f t="shared" si="3"/>
        <v>-34686</v>
      </c>
      <c r="W312" s="31">
        <f t="shared" si="4"/>
        <v>0</v>
      </c>
      <c r="X312" s="32">
        <f t="shared" si="5"/>
        <v>61984</v>
      </c>
      <c r="Y312" s="31">
        <v>418.9999997615814</v>
      </c>
      <c r="Z312" s="33"/>
      <c r="AA312" s="28">
        <v>26222.0</v>
      </c>
      <c r="AB312" s="30">
        <f t="shared" si="7"/>
        <v>29530</v>
      </c>
      <c r="AC312" s="28">
        <v>36145.0</v>
      </c>
      <c r="AD312" s="13"/>
      <c r="AE312" s="13"/>
      <c r="AF312" s="13"/>
      <c r="AG312" s="13"/>
      <c r="AH312" s="13"/>
      <c r="AI312" s="13"/>
      <c r="AJ312" s="13"/>
      <c r="AK312" s="13"/>
      <c r="AL312" s="13"/>
    </row>
    <row r="313" ht="15.75" customHeight="1">
      <c r="A313" s="34">
        <v>80102.0</v>
      </c>
      <c r="B313" s="35" t="s">
        <v>312</v>
      </c>
      <c r="C313" s="28">
        <v>1230.0</v>
      </c>
      <c r="D313" s="28">
        <v>178.0</v>
      </c>
      <c r="E313" s="28">
        <v>297.0</v>
      </c>
      <c r="F313" s="28">
        <v>144.0</v>
      </c>
      <c r="G313" s="28">
        <v>93.0</v>
      </c>
      <c r="H313" s="28">
        <v>518.0</v>
      </c>
      <c r="I313" s="28">
        <v>2071.0</v>
      </c>
      <c r="J313" s="28">
        <v>695.0</v>
      </c>
      <c r="K313" s="28">
        <v>299.0</v>
      </c>
      <c r="L313" s="28">
        <v>295.0</v>
      </c>
      <c r="M313" s="28">
        <v>56.0</v>
      </c>
      <c r="N313" s="28">
        <v>726.0</v>
      </c>
      <c r="O313" s="29">
        <f t="shared" ref="O313:T313" si="314">ROUND(C313 + ((2016-2012)*(I313-C313))/(2024-2012),0)</f>
        <v>1510</v>
      </c>
      <c r="P313" s="36">
        <f t="shared" si="314"/>
        <v>350</v>
      </c>
      <c r="Q313" s="36">
        <f t="shared" si="314"/>
        <v>298</v>
      </c>
      <c r="R313" s="36">
        <f t="shared" si="314"/>
        <v>194</v>
      </c>
      <c r="S313" s="36">
        <f t="shared" si="314"/>
        <v>81</v>
      </c>
      <c r="T313" s="36">
        <f t="shared" si="314"/>
        <v>587</v>
      </c>
      <c r="U313" s="37">
        <v>267.0</v>
      </c>
      <c r="V313" s="31">
        <f t="shared" si="3"/>
        <v>83</v>
      </c>
      <c r="W313" s="31">
        <f t="shared" si="4"/>
        <v>83</v>
      </c>
      <c r="X313" s="32">
        <f t="shared" si="5"/>
        <v>1510</v>
      </c>
      <c r="Y313" s="31">
        <v>319.0000057220459</v>
      </c>
      <c r="Z313" s="33"/>
      <c r="AA313" s="28">
        <v>1232.0</v>
      </c>
      <c r="AB313" s="36">
        <f t="shared" si="7"/>
        <v>1554</v>
      </c>
      <c r="AC313" s="28">
        <v>2197.0</v>
      </c>
      <c r="AD313" s="13"/>
      <c r="AE313" s="13"/>
      <c r="AF313" s="13"/>
      <c r="AG313" s="13"/>
      <c r="AH313" s="13"/>
      <c r="AI313" s="13"/>
      <c r="AJ313" s="13"/>
      <c r="AK313" s="13"/>
      <c r="AL313" s="13"/>
    </row>
    <row r="314" ht="15.75" customHeight="1">
      <c r="A314" s="26">
        <v>80201.0</v>
      </c>
      <c r="B314" s="27" t="s">
        <v>326</v>
      </c>
      <c r="C314" s="28">
        <v>19588.0</v>
      </c>
      <c r="D314" s="28">
        <v>16439.0</v>
      </c>
      <c r="E314" s="28">
        <v>386.0</v>
      </c>
      <c r="F314" s="28">
        <v>146.0</v>
      </c>
      <c r="G314" s="28">
        <v>55.0</v>
      </c>
      <c r="H314" s="28">
        <v>2562.0</v>
      </c>
      <c r="I314" s="28">
        <v>27442.0</v>
      </c>
      <c r="J314" s="28">
        <v>23121.0</v>
      </c>
      <c r="K314" s="28">
        <v>422.0</v>
      </c>
      <c r="L314" s="28">
        <v>692.0</v>
      </c>
      <c r="M314" s="28">
        <v>282.0</v>
      </c>
      <c r="N314" s="28">
        <v>2925.0</v>
      </c>
      <c r="O314" s="29">
        <f t="shared" ref="O314:T314" si="315">ROUND(C314 + ((2016-2012)*(I314-C314))/(2024-2012),0)</f>
        <v>22206</v>
      </c>
      <c r="P314" s="30">
        <f t="shared" si="315"/>
        <v>18666</v>
      </c>
      <c r="Q314" s="30">
        <f t="shared" si="315"/>
        <v>398</v>
      </c>
      <c r="R314" s="30">
        <f t="shared" si="315"/>
        <v>328</v>
      </c>
      <c r="S314" s="30">
        <f t="shared" si="315"/>
        <v>131</v>
      </c>
      <c r="T314" s="30">
        <f t="shared" si="315"/>
        <v>2683</v>
      </c>
      <c r="U314" s="30">
        <v>18824.0</v>
      </c>
      <c r="V314" s="31">
        <f t="shared" si="3"/>
        <v>-158</v>
      </c>
      <c r="W314" s="31">
        <f t="shared" si="4"/>
        <v>0</v>
      </c>
      <c r="X314" s="32">
        <f t="shared" si="5"/>
        <v>22364</v>
      </c>
      <c r="Y314" s="31">
        <v>708.0000042915344</v>
      </c>
      <c r="Z314" s="33"/>
      <c r="AA314" s="28">
        <v>20742.0</v>
      </c>
      <c r="AB314" s="30">
        <f t="shared" si="7"/>
        <v>24334</v>
      </c>
      <c r="AC314" s="28">
        <v>31518.0</v>
      </c>
      <c r="AD314" s="13"/>
      <c r="AE314" s="13"/>
      <c r="AF314" s="13"/>
      <c r="AG314" s="13"/>
      <c r="AH314" s="13"/>
      <c r="AI314" s="13"/>
      <c r="AJ314" s="13"/>
      <c r="AK314" s="13"/>
      <c r="AL314" s="13"/>
    </row>
    <row r="315" ht="15.75" customHeight="1">
      <c r="A315" s="34">
        <v>80202.0</v>
      </c>
      <c r="B315" s="35" t="s">
        <v>327</v>
      </c>
      <c r="C315" s="28">
        <v>9261.0</v>
      </c>
      <c r="D315" s="28">
        <v>7996.0</v>
      </c>
      <c r="E315" s="28">
        <v>164.0</v>
      </c>
      <c r="F315" s="28">
        <v>70.0</v>
      </c>
      <c r="G315" s="28">
        <v>70.0</v>
      </c>
      <c r="H315" s="28">
        <v>961.0</v>
      </c>
      <c r="I315" s="28">
        <v>10891.0</v>
      </c>
      <c r="J315" s="28">
        <v>9420.0</v>
      </c>
      <c r="K315" s="28">
        <v>166.0</v>
      </c>
      <c r="L315" s="28">
        <v>383.0</v>
      </c>
      <c r="M315" s="28">
        <v>97.0</v>
      </c>
      <c r="N315" s="28">
        <v>825.0</v>
      </c>
      <c r="O315" s="29">
        <f t="shared" ref="O315:T315" si="316">ROUND(C315 + ((2016-2012)*(I315-C315))/(2024-2012),0)</f>
        <v>9804</v>
      </c>
      <c r="P315" s="36">
        <f t="shared" si="316"/>
        <v>8471</v>
      </c>
      <c r="Q315" s="36">
        <f t="shared" si="316"/>
        <v>165</v>
      </c>
      <c r="R315" s="36">
        <f t="shared" si="316"/>
        <v>174</v>
      </c>
      <c r="S315" s="36">
        <f t="shared" si="316"/>
        <v>79</v>
      </c>
      <c r="T315" s="36">
        <f t="shared" si="316"/>
        <v>916</v>
      </c>
      <c r="U315" s="36">
        <v>7430.0</v>
      </c>
      <c r="V315" s="31">
        <f t="shared" si="3"/>
        <v>1041</v>
      </c>
      <c r="W315" s="31">
        <f t="shared" si="4"/>
        <v>1041</v>
      </c>
      <c r="X315" s="32">
        <f t="shared" si="5"/>
        <v>9805</v>
      </c>
      <c r="Y315" s="31">
        <v>1011.0000371932983</v>
      </c>
      <c r="Z315" s="33"/>
      <c r="AA315" s="28">
        <v>9835.0</v>
      </c>
      <c r="AB315" s="36">
        <f t="shared" si="7"/>
        <v>10789</v>
      </c>
      <c r="AC315" s="28">
        <v>12697.0</v>
      </c>
      <c r="AD315" s="13"/>
      <c r="AE315" s="13"/>
      <c r="AF315" s="13"/>
      <c r="AG315" s="13"/>
      <c r="AH315" s="13"/>
      <c r="AI315" s="13"/>
      <c r="AJ315" s="13"/>
      <c r="AK315" s="13"/>
      <c r="AL315" s="13"/>
    </row>
    <row r="316" ht="15.75" customHeight="1">
      <c r="A316" s="26">
        <v>80301.0</v>
      </c>
      <c r="B316" s="27" t="s">
        <v>328</v>
      </c>
      <c r="C316" s="28">
        <v>2962.0</v>
      </c>
      <c r="D316" s="28">
        <v>1645.0</v>
      </c>
      <c r="E316" s="28">
        <v>152.0</v>
      </c>
      <c r="F316" s="28">
        <v>105.0</v>
      </c>
      <c r="G316" s="28">
        <v>106.0</v>
      </c>
      <c r="H316" s="28">
        <v>954.0</v>
      </c>
      <c r="I316" s="28">
        <v>3417.0</v>
      </c>
      <c r="J316" s="28">
        <v>2353.0</v>
      </c>
      <c r="K316" s="28">
        <v>96.0</v>
      </c>
      <c r="L316" s="28">
        <v>213.0</v>
      </c>
      <c r="M316" s="28">
        <v>44.0</v>
      </c>
      <c r="N316" s="28">
        <v>711.0</v>
      </c>
      <c r="O316" s="29">
        <f t="shared" ref="O316:T316" si="317">ROUND(C316 + ((2016-2012)*(I316-C316))/(2024-2012),0)</f>
        <v>3114</v>
      </c>
      <c r="P316" s="30">
        <f t="shared" si="317"/>
        <v>1881</v>
      </c>
      <c r="Q316" s="30">
        <f t="shared" si="317"/>
        <v>133</v>
      </c>
      <c r="R316" s="30">
        <f t="shared" si="317"/>
        <v>141</v>
      </c>
      <c r="S316" s="30">
        <f t="shared" si="317"/>
        <v>85</v>
      </c>
      <c r="T316" s="30">
        <f t="shared" si="317"/>
        <v>873</v>
      </c>
      <c r="U316" s="30">
        <v>5235.0</v>
      </c>
      <c r="V316" s="31">
        <f t="shared" si="3"/>
        <v>-3354</v>
      </c>
      <c r="W316" s="31">
        <f t="shared" si="4"/>
        <v>0</v>
      </c>
      <c r="X316" s="32">
        <f t="shared" si="5"/>
        <v>6467</v>
      </c>
      <c r="Y316" s="31">
        <v>209.99999344348907</v>
      </c>
      <c r="Z316" s="33"/>
      <c r="AA316" s="28">
        <v>3153.0</v>
      </c>
      <c r="AB316" s="30">
        <f t="shared" si="7"/>
        <v>3458</v>
      </c>
      <c r="AC316" s="28">
        <v>4067.0</v>
      </c>
      <c r="AD316" s="13"/>
      <c r="AE316" s="13"/>
      <c r="AF316" s="13"/>
      <c r="AG316" s="13"/>
      <c r="AH316" s="13"/>
      <c r="AI316" s="13"/>
      <c r="AJ316" s="13"/>
      <c r="AK316" s="13"/>
      <c r="AL316" s="13"/>
    </row>
    <row r="317" ht="15.75" customHeight="1">
      <c r="A317" s="34">
        <v>80302.0</v>
      </c>
      <c r="B317" s="35" t="s">
        <v>329</v>
      </c>
      <c r="C317" s="28">
        <v>9412.0</v>
      </c>
      <c r="D317" s="28">
        <v>5341.0</v>
      </c>
      <c r="E317" s="28">
        <v>296.0</v>
      </c>
      <c r="F317" s="28">
        <v>130.0</v>
      </c>
      <c r="G317" s="28">
        <v>179.0</v>
      </c>
      <c r="H317" s="28">
        <v>3466.0</v>
      </c>
      <c r="I317" s="28">
        <v>13051.0</v>
      </c>
      <c r="J317" s="28">
        <v>8088.0</v>
      </c>
      <c r="K317" s="28">
        <v>91.0</v>
      </c>
      <c r="L317" s="28">
        <v>465.0</v>
      </c>
      <c r="M317" s="28">
        <v>90.0</v>
      </c>
      <c r="N317" s="28">
        <v>4317.0</v>
      </c>
      <c r="O317" s="29">
        <f t="shared" ref="O317:T317" si="318">ROUND(C317 + ((2016-2012)*(I317-C317))/(2024-2012),0)</f>
        <v>10625</v>
      </c>
      <c r="P317" s="36">
        <f t="shared" si="318"/>
        <v>6257</v>
      </c>
      <c r="Q317" s="36">
        <f t="shared" si="318"/>
        <v>228</v>
      </c>
      <c r="R317" s="36">
        <f t="shared" si="318"/>
        <v>242</v>
      </c>
      <c r="S317" s="36">
        <f t="shared" si="318"/>
        <v>149</v>
      </c>
      <c r="T317" s="36">
        <f t="shared" si="318"/>
        <v>3750</v>
      </c>
      <c r="U317" s="36">
        <v>20061.0</v>
      </c>
      <c r="V317" s="31">
        <f t="shared" si="3"/>
        <v>-13804</v>
      </c>
      <c r="W317" s="31">
        <f t="shared" si="4"/>
        <v>0</v>
      </c>
      <c r="X317" s="32">
        <f t="shared" si="5"/>
        <v>24430</v>
      </c>
      <c r="Y317" s="31">
        <v>130.99999725818634</v>
      </c>
      <c r="Z317" s="33"/>
      <c r="AA317" s="28">
        <v>10000.0</v>
      </c>
      <c r="AB317" s="36">
        <f t="shared" si="7"/>
        <v>11716</v>
      </c>
      <c r="AC317" s="28">
        <v>15149.0</v>
      </c>
      <c r="AD317" s="13"/>
      <c r="AE317" s="13"/>
      <c r="AF317" s="13"/>
      <c r="AG317" s="13"/>
      <c r="AH317" s="13"/>
      <c r="AI317" s="13"/>
      <c r="AJ317" s="13"/>
      <c r="AK317" s="13"/>
      <c r="AL317" s="13"/>
    </row>
    <row r="318" ht="15.75" customHeight="1">
      <c r="A318" s="26">
        <v>80303.0</v>
      </c>
      <c r="B318" s="27" t="s">
        <v>330</v>
      </c>
      <c r="C318" s="28">
        <v>1976.0</v>
      </c>
      <c r="D318" s="28">
        <v>1231.0</v>
      </c>
      <c r="E318" s="28">
        <v>115.0</v>
      </c>
      <c r="F318" s="28">
        <v>306.0</v>
      </c>
      <c r="G318" s="28">
        <v>13.0</v>
      </c>
      <c r="H318" s="28">
        <v>311.0</v>
      </c>
      <c r="I318" s="28">
        <v>2755.0</v>
      </c>
      <c r="J318" s="28">
        <v>1728.0</v>
      </c>
      <c r="K318" s="28">
        <v>198.0</v>
      </c>
      <c r="L318" s="28">
        <v>405.0</v>
      </c>
      <c r="M318" s="28">
        <v>17.0</v>
      </c>
      <c r="N318" s="28">
        <v>407.0</v>
      </c>
      <c r="O318" s="29">
        <f t="shared" ref="O318:T318" si="319">ROUND(C318 + ((2016-2012)*(I318-C318))/(2024-2012),0)</f>
        <v>2236</v>
      </c>
      <c r="P318" s="30">
        <f t="shared" si="319"/>
        <v>1397</v>
      </c>
      <c r="Q318" s="30">
        <f t="shared" si="319"/>
        <v>143</v>
      </c>
      <c r="R318" s="30">
        <f t="shared" si="319"/>
        <v>339</v>
      </c>
      <c r="S318" s="30">
        <f t="shared" si="319"/>
        <v>14</v>
      </c>
      <c r="T318" s="30">
        <f t="shared" si="319"/>
        <v>343</v>
      </c>
      <c r="U318" s="30">
        <v>3447.0</v>
      </c>
      <c r="V318" s="31">
        <f t="shared" si="3"/>
        <v>-2050</v>
      </c>
      <c r="W318" s="31">
        <f t="shared" si="4"/>
        <v>0</v>
      </c>
      <c r="X318" s="32">
        <f t="shared" si="5"/>
        <v>4286</v>
      </c>
      <c r="Y318" s="31">
        <v>207.0000022649765</v>
      </c>
      <c r="Z318" s="33"/>
      <c r="AA318" s="28">
        <v>2002.0</v>
      </c>
      <c r="AB318" s="30">
        <f t="shared" si="7"/>
        <v>2395</v>
      </c>
      <c r="AC318" s="28">
        <v>3182.0</v>
      </c>
      <c r="AD318" s="13"/>
      <c r="AE318" s="13"/>
      <c r="AF318" s="13"/>
      <c r="AG318" s="13"/>
      <c r="AH318" s="13"/>
      <c r="AI318" s="13"/>
      <c r="AJ318" s="13"/>
      <c r="AK318" s="13"/>
      <c r="AL318" s="13"/>
    </row>
    <row r="319" ht="15.75" customHeight="1">
      <c r="A319" s="34">
        <v>80304.0</v>
      </c>
      <c r="B319" s="35" t="s">
        <v>331</v>
      </c>
      <c r="C319" s="28">
        <v>4857.0</v>
      </c>
      <c r="D319" s="28">
        <v>3250.0</v>
      </c>
      <c r="E319" s="28">
        <v>184.0</v>
      </c>
      <c r="F319" s="28">
        <v>75.0</v>
      </c>
      <c r="G319" s="28">
        <v>27.0</v>
      </c>
      <c r="H319" s="28">
        <v>1321.0</v>
      </c>
      <c r="I319" s="28">
        <v>6875.0</v>
      </c>
      <c r="J319" s="28">
        <v>5298.0</v>
      </c>
      <c r="K319" s="28">
        <v>28.0</v>
      </c>
      <c r="L319" s="28">
        <v>110.0</v>
      </c>
      <c r="M319" s="28">
        <v>43.0</v>
      </c>
      <c r="N319" s="28">
        <v>1396.0</v>
      </c>
      <c r="O319" s="29">
        <f t="shared" ref="O319:T319" si="320">ROUND(C319 + ((2016-2012)*(I319-C319))/(2024-2012),0)</f>
        <v>5530</v>
      </c>
      <c r="P319" s="36">
        <f t="shared" si="320"/>
        <v>3933</v>
      </c>
      <c r="Q319" s="36">
        <f t="shared" si="320"/>
        <v>132</v>
      </c>
      <c r="R319" s="36">
        <f t="shared" si="320"/>
        <v>87</v>
      </c>
      <c r="S319" s="36">
        <f t="shared" si="320"/>
        <v>32</v>
      </c>
      <c r="T319" s="36">
        <f t="shared" si="320"/>
        <v>1346</v>
      </c>
      <c r="U319" s="36">
        <v>10676.0</v>
      </c>
      <c r="V319" s="31">
        <f t="shared" si="3"/>
        <v>-6743</v>
      </c>
      <c r="W319" s="31">
        <f t="shared" si="4"/>
        <v>0</v>
      </c>
      <c r="X319" s="32">
        <f t="shared" si="5"/>
        <v>12273</v>
      </c>
      <c r="Y319" s="31">
        <v>224.0000069141388</v>
      </c>
      <c r="Z319" s="33"/>
      <c r="AA319" s="28">
        <v>5151.0</v>
      </c>
      <c r="AB319" s="36">
        <f t="shared" si="7"/>
        <v>6108</v>
      </c>
      <c r="AC319" s="28">
        <v>8021.0</v>
      </c>
      <c r="AD319" s="13"/>
      <c r="AE319" s="13"/>
      <c r="AF319" s="13"/>
      <c r="AG319" s="13"/>
      <c r="AH319" s="13"/>
      <c r="AI319" s="13"/>
      <c r="AJ319" s="13"/>
      <c r="AK319" s="13"/>
      <c r="AL319" s="13"/>
    </row>
    <row r="320" ht="15.75" customHeight="1">
      <c r="A320" s="26">
        <v>80401.0</v>
      </c>
      <c r="B320" s="27" t="s">
        <v>332</v>
      </c>
      <c r="C320" s="28">
        <v>3430.0</v>
      </c>
      <c r="D320" s="28">
        <v>2468.0</v>
      </c>
      <c r="E320" s="28">
        <v>143.0</v>
      </c>
      <c r="F320" s="28">
        <v>214.0</v>
      </c>
      <c r="G320" s="28">
        <v>91.0</v>
      </c>
      <c r="H320" s="28">
        <v>514.0</v>
      </c>
      <c r="I320" s="28">
        <v>4295.0</v>
      </c>
      <c r="J320" s="28">
        <v>3173.0</v>
      </c>
      <c r="K320" s="28">
        <v>122.0</v>
      </c>
      <c r="L320" s="28">
        <v>393.0</v>
      </c>
      <c r="M320" s="28">
        <v>40.0</v>
      </c>
      <c r="N320" s="28">
        <v>567.0</v>
      </c>
      <c r="O320" s="29">
        <f t="shared" ref="O320:T320" si="321">ROUND(C320 + ((2016-2012)*(I320-C320))/(2024-2012),0)</f>
        <v>3718</v>
      </c>
      <c r="P320" s="30">
        <f t="shared" si="321"/>
        <v>2703</v>
      </c>
      <c r="Q320" s="30">
        <f t="shared" si="321"/>
        <v>136</v>
      </c>
      <c r="R320" s="30">
        <f t="shared" si="321"/>
        <v>274</v>
      </c>
      <c r="S320" s="30">
        <f t="shared" si="321"/>
        <v>74</v>
      </c>
      <c r="T320" s="30">
        <f t="shared" si="321"/>
        <v>532</v>
      </c>
      <c r="U320" s="30">
        <v>7901.0</v>
      </c>
      <c r="V320" s="31">
        <f t="shared" si="3"/>
        <v>-5198</v>
      </c>
      <c r="W320" s="31">
        <f t="shared" si="4"/>
        <v>0</v>
      </c>
      <c r="X320" s="32">
        <f t="shared" si="5"/>
        <v>8917</v>
      </c>
      <c r="Y320" s="31">
        <v>181.99999630451202</v>
      </c>
      <c r="Z320" s="33"/>
      <c r="AA320" s="28">
        <v>3667.0</v>
      </c>
      <c r="AB320" s="30">
        <f t="shared" si="7"/>
        <v>4062</v>
      </c>
      <c r="AC320" s="28">
        <v>4852.0</v>
      </c>
      <c r="AD320" s="13"/>
      <c r="AE320" s="13"/>
      <c r="AF320" s="13"/>
      <c r="AG320" s="13"/>
      <c r="AH320" s="13"/>
      <c r="AI320" s="13"/>
      <c r="AJ320" s="13"/>
      <c r="AK320" s="13"/>
      <c r="AL320" s="13"/>
    </row>
    <row r="321" ht="15.75" customHeight="1">
      <c r="A321" s="34">
        <v>80402.0</v>
      </c>
      <c r="B321" s="35" t="s">
        <v>333</v>
      </c>
      <c r="C321" s="28">
        <v>938.0</v>
      </c>
      <c r="D321" s="28">
        <v>192.0</v>
      </c>
      <c r="E321" s="28">
        <v>161.0</v>
      </c>
      <c r="F321" s="28">
        <v>244.0</v>
      </c>
      <c r="G321" s="28">
        <v>70.0</v>
      </c>
      <c r="H321" s="28">
        <v>271.0</v>
      </c>
      <c r="I321" s="28">
        <v>1455.0</v>
      </c>
      <c r="J321" s="28">
        <v>292.0</v>
      </c>
      <c r="K321" s="28">
        <v>203.0</v>
      </c>
      <c r="L321" s="28">
        <v>664.0</v>
      </c>
      <c r="M321" s="28">
        <v>23.0</v>
      </c>
      <c r="N321" s="28">
        <v>273.0</v>
      </c>
      <c r="O321" s="29">
        <f t="shared" ref="O321:T321" si="322">ROUND(C321 + ((2016-2012)*(I321-C321))/(2024-2012),0)</f>
        <v>1110</v>
      </c>
      <c r="P321" s="36">
        <f t="shared" si="322"/>
        <v>225</v>
      </c>
      <c r="Q321" s="36">
        <f t="shared" si="322"/>
        <v>175</v>
      </c>
      <c r="R321" s="36">
        <f t="shared" si="322"/>
        <v>384</v>
      </c>
      <c r="S321" s="36">
        <f t="shared" si="322"/>
        <v>54</v>
      </c>
      <c r="T321" s="36">
        <f t="shared" si="322"/>
        <v>272</v>
      </c>
      <c r="U321" s="37">
        <v>0.0</v>
      </c>
      <c r="V321" s="31">
        <f t="shared" si="3"/>
        <v>225</v>
      </c>
      <c r="W321" s="31">
        <f t="shared" si="4"/>
        <v>225</v>
      </c>
      <c r="X321" s="32">
        <f t="shared" si="5"/>
        <v>1110</v>
      </c>
      <c r="Y321" s="31">
        <v>0.0</v>
      </c>
      <c r="Z321" s="33"/>
      <c r="AA321" s="28">
        <v>955.0</v>
      </c>
      <c r="AB321" s="36">
        <f t="shared" si="7"/>
        <v>1170</v>
      </c>
      <c r="AC321" s="28">
        <v>1599.0</v>
      </c>
      <c r="AD321" s="13"/>
      <c r="AE321" s="13"/>
      <c r="AF321" s="13"/>
      <c r="AG321" s="13"/>
      <c r="AH321" s="13"/>
      <c r="AI321" s="13"/>
      <c r="AJ321" s="13"/>
      <c r="AK321" s="13"/>
      <c r="AL321" s="13"/>
    </row>
    <row r="322" ht="15.75" customHeight="1">
      <c r="A322" s="26">
        <v>80501.0</v>
      </c>
      <c r="B322" s="27" t="s">
        <v>334</v>
      </c>
      <c r="C322" s="28">
        <v>4005.0</v>
      </c>
      <c r="D322" s="28">
        <v>2348.0</v>
      </c>
      <c r="E322" s="28">
        <v>231.0</v>
      </c>
      <c r="F322" s="28">
        <v>221.0</v>
      </c>
      <c r="G322" s="28">
        <v>92.0</v>
      </c>
      <c r="H322" s="28">
        <v>1113.0</v>
      </c>
      <c r="I322" s="28">
        <v>5391.0</v>
      </c>
      <c r="J322" s="28">
        <v>3664.0</v>
      </c>
      <c r="K322" s="28">
        <v>224.0</v>
      </c>
      <c r="L322" s="28">
        <v>606.0</v>
      </c>
      <c r="M322" s="28">
        <v>33.0</v>
      </c>
      <c r="N322" s="28">
        <v>864.0</v>
      </c>
      <c r="O322" s="29">
        <f t="shared" ref="O322:T322" si="323">ROUND(C322 + ((2016-2012)*(I322-C322))/(2024-2012),0)</f>
        <v>4467</v>
      </c>
      <c r="P322" s="30">
        <f t="shared" si="323"/>
        <v>2787</v>
      </c>
      <c r="Q322" s="30">
        <f t="shared" si="323"/>
        <v>229</v>
      </c>
      <c r="R322" s="30">
        <f t="shared" si="323"/>
        <v>349</v>
      </c>
      <c r="S322" s="30">
        <f t="shared" si="323"/>
        <v>72</v>
      </c>
      <c r="T322" s="30">
        <f t="shared" si="323"/>
        <v>1030</v>
      </c>
      <c r="U322" s="30">
        <v>7548.0</v>
      </c>
      <c r="V322" s="31">
        <f t="shared" si="3"/>
        <v>-4761</v>
      </c>
      <c r="W322" s="31">
        <f t="shared" si="4"/>
        <v>0</v>
      </c>
      <c r="X322" s="32">
        <f t="shared" si="5"/>
        <v>9228</v>
      </c>
      <c r="Y322" s="31">
        <v>136.99999451637268</v>
      </c>
      <c r="Z322" s="33"/>
      <c r="AA322" s="28">
        <v>4423.0</v>
      </c>
      <c r="AB322" s="30">
        <f t="shared" si="7"/>
        <v>5151</v>
      </c>
      <c r="AC322" s="28">
        <v>6606.0</v>
      </c>
      <c r="AD322" s="13"/>
      <c r="AE322" s="13"/>
      <c r="AF322" s="13"/>
      <c r="AG322" s="13"/>
      <c r="AH322" s="13"/>
      <c r="AI322" s="13"/>
      <c r="AJ322" s="13"/>
      <c r="AK322" s="13"/>
      <c r="AL322" s="13"/>
    </row>
    <row r="323" ht="15.75" customHeight="1">
      <c r="A323" s="34">
        <v>80601.0</v>
      </c>
      <c r="B323" s="35" t="s">
        <v>335</v>
      </c>
      <c r="C323" s="28">
        <v>864.0</v>
      </c>
      <c r="D323" s="28">
        <v>237.0</v>
      </c>
      <c r="E323" s="28">
        <v>122.0</v>
      </c>
      <c r="F323" s="28">
        <v>83.0</v>
      </c>
      <c r="G323" s="28">
        <v>74.0</v>
      </c>
      <c r="H323" s="28">
        <v>348.0</v>
      </c>
      <c r="I323" s="28">
        <v>1053.0</v>
      </c>
      <c r="J323" s="28">
        <v>438.0</v>
      </c>
      <c r="K323" s="28">
        <v>106.0</v>
      </c>
      <c r="L323" s="28">
        <v>239.0</v>
      </c>
      <c r="M323" s="28">
        <v>37.0</v>
      </c>
      <c r="N323" s="28">
        <v>233.0</v>
      </c>
      <c r="O323" s="29">
        <f t="shared" ref="O323:T323" si="324">ROUND(C323 + ((2016-2012)*(I323-C323))/(2024-2012),0)</f>
        <v>927</v>
      </c>
      <c r="P323" s="36">
        <f t="shared" si="324"/>
        <v>304</v>
      </c>
      <c r="Q323" s="36">
        <f t="shared" si="324"/>
        <v>117</v>
      </c>
      <c r="R323" s="36">
        <f t="shared" si="324"/>
        <v>135</v>
      </c>
      <c r="S323" s="36">
        <f t="shared" si="324"/>
        <v>62</v>
      </c>
      <c r="T323" s="36">
        <f t="shared" si="324"/>
        <v>310</v>
      </c>
      <c r="U323" s="37">
        <v>325.0</v>
      </c>
      <c r="V323" s="31">
        <f t="shared" si="3"/>
        <v>-21</v>
      </c>
      <c r="W323" s="31">
        <f t="shared" si="4"/>
        <v>0</v>
      </c>
      <c r="X323" s="32">
        <f t="shared" si="5"/>
        <v>949</v>
      </c>
      <c r="Y323" s="31">
        <v>279.00001406669617</v>
      </c>
      <c r="Z323" s="33"/>
      <c r="AA323" s="28">
        <v>966.0</v>
      </c>
      <c r="AB323" s="36">
        <f t="shared" si="7"/>
        <v>1055</v>
      </c>
      <c r="AC323" s="28">
        <v>1234.0</v>
      </c>
      <c r="AD323" s="13"/>
      <c r="AE323" s="13"/>
      <c r="AF323" s="13"/>
      <c r="AG323" s="13"/>
      <c r="AH323" s="13"/>
      <c r="AI323" s="13"/>
      <c r="AJ323" s="13"/>
      <c r="AK323" s="13"/>
      <c r="AL323" s="13"/>
    </row>
    <row r="324" ht="15.75" customHeight="1">
      <c r="A324" s="26">
        <v>80602.0</v>
      </c>
      <c r="B324" s="27" t="s">
        <v>336</v>
      </c>
      <c r="C324" s="28">
        <v>2996.0</v>
      </c>
      <c r="D324" s="28">
        <v>1304.0</v>
      </c>
      <c r="E324" s="28">
        <v>267.0</v>
      </c>
      <c r="F324" s="28">
        <v>129.0</v>
      </c>
      <c r="G324" s="28">
        <v>73.0</v>
      </c>
      <c r="H324" s="28">
        <v>1223.0</v>
      </c>
      <c r="I324" s="28">
        <v>5270.0</v>
      </c>
      <c r="J324" s="28">
        <v>2486.0</v>
      </c>
      <c r="K324" s="28">
        <v>139.0</v>
      </c>
      <c r="L324" s="28">
        <v>560.0</v>
      </c>
      <c r="M324" s="28">
        <v>197.0</v>
      </c>
      <c r="N324" s="28">
        <v>1888.0</v>
      </c>
      <c r="O324" s="29">
        <f t="shared" ref="O324:T324" si="325">ROUND(C324 + ((2016-2012)*(I324-C324))/(2024-2012),0)</f>
        <v>3754</v>
      </c>
      <c r="P324" s="30">
        <f t="shared" si="325"/>
        <v>1698</v>
      </c>
      <c r="Q324" s="30">
        <f t="shared" si="325"/>
        <v>224</v>
      </c>
      <c r="R324" s="30">
        <f t="shared" si="325"/>
        <v>273</v>
      </c>
      <c r="S324" s="30">
        <f t="shared" si="325"/>
        <v>114</v>
      </c>
      <c r="T324" s="30">
        <f t="shared" si="325"/>
        <v>1445</v>
      </c>
      <c r="U324" s="30">
        <v>2912.0</v>
      </c>
      <c r="V324" s="31">
        <f t="shared" si="3"/>
        <v>-1214</v>
      </c>
      <c r="W324" s="31">
        <f t="shared" si="4"/>
        <v>0</v>
      </c>
      <c r="X324" s="32">
        <f t="shared" si="5"/>
        <v>4968</v>
      </c>
      <c r="Y324" s="31">
        <v>219.9999988079071</v>
      </c>
      <c r="Z324" s="33"/>
      <c r="AA324" s="28">
        <v>3082.0</v>
      </c>
      <c r="AB324" s="30">
        <f t="shared" si="7"/>
        <v>3973</v>
      </c>
      <c r="AC324" s="28">
        <v>5754.0</v>
      </c>
      <c r="AD324" s="13"/>
      <c r="AE324" s="13"/>
      <c r="AF324" s="13"/>
      <c r="AG324" s="13"/>
      <c r="AH324" s="13"/>
      <c r="AI324" s="13"/>
      <c r="AJ324" s="13"/>
      <c r="AK324" s="13"/>
      <c r="AL324" s="13"/>
    </row>
    <row r="325" ht="15.75" customHeight="1">
      <c r="A325" s="34">
        <v>80701.0</v>
      </c>
      <c r="B325" s="35" t="s">
        <v>337</v>
      </c>
      <c r="C325" s="28">
        <v>1254.0</v>
      </c>
      <c r="D325" s="28">
        <v>814.0</v>
      </c>
      <c r="E325" s="28">
        <v>68.0</v>
      </c>
      <c r="F325" s="28">
        <v>153.0</v>
      </c>
      <c r="G325" s="28">
        <v>10.0</v>
      </c>
      <c r="H325" s="28">
        <v>209.0</v>
      </c>
      <c r="I325" s="28">
        <v>1485.0</v>
      </c>
      <c r="J325" s="28">
        <v>1080.0</v>
      </c>
      <c r="K325" s="28">
        <v>80.0</v>
      </c>
      <c r="L325" s="28">
        <v>130.0</v>
      </c>
      <c r="M325" s="28">
        <v>44.0</v>
      </c>
      <c r="N325" s="28">
        <v>151.0</v>
      </c>
      <c r="O325" s="29">
        <f t="shared" ref="O325:T325" si="326">ROUND(C325 + ((2016-2012)*(I325-C325))/(2024-2012),0)</f>
        <v>1331</v>
      </c>
      <c r="P325" s="36">
        <f t="shared" si="326"/>
        <v>903</v>
      </c>
      <c r="Q325" s="36">
        <f t="shared" si="326"/>
        <v>72</v>
      </c>
      <c r="R325" s="36">
        <f t="shared" si="326"/>
        <v>145</v>
      </c>
      <c r="S325" s="36">
        <f t="shared" si="326"/>
        <v>21</v>
      </c>
      <c r="T325" s="36">
        <f t="shared" si="326"/>
        <v>190</v>
      </c>
      <c r="U325" s="36">
        <v>2712.0</v>
      </c>
      <c r="V325" s="31">
        <f t="shared" si="3"/>
        <v>-1809</v>
      </c>
      <c r="W325" s="31">
        <f t="shared" si="4"/>
        <v>0</v>
      </c>
      <c r="X325" s="32">
        <f t="shared" si="5"/>
        <v>3140</v>
      </c>
      <c r="Y325" s="31">
        <v>254.0000081062317</v>
      </c>
      <c r="Z325" s="33"/>
      <c r="AA325" s="28">
        <v>1338.0</v>
      </c>
      <c r="AB325" s="36">
        <f t="shared" si="7"/>
        <v>1439</v>
      </c>
      <c r="AC325" s="28">
        <v>1640.0</v>
      </c>
      <c r="AD325" s="13"/>
      <c r="AE325" s="13"/>
      <c r="AF325" s="13"/>
      <c r="AG325" s="13"/>
      <c r="AH325" s="13"/>
      <c r="AI325" s="13"/>
      <c r="AJ325" s="13"/>
      <c r="AK325" s="13"/>
      <c r="AL325" s="13"/>
    </row>
    <row r="326" ht="15.75" customHeight="1">
      <c r="A326" s="26">
        <v>80702.0</v>
      </c>
      <c r="B326" s="27" t="s">
        <v>313</v>
      </c>
      <c r="C326" s="28">
        <v>1160.0</v>
      </c>
      <c r="D326" s="28">
        <v>751.0</v>
      </c>
      <c r="E326" s="28">
        <v>119.0</v>
      </c>
      <c r="F326" s="28">
        <v>78.0</v>
      </c>
      <c r="G326" s="28">
        <v>4.0</v>
      </c>
      <c r="H326" s="28">
        <v>208.0</v>
      </c>
      <c r="I326" s="28">
        <v>1504.0</v>
      </c>
      <c r="J326" s="28">
        <v>1000.0</v>
      </c>
      <c r="K326" s="28">
        <v>32.0</v>
      </c>
      <c r="L326" s="28">
        <v>129.0</v>
      </c>
      <c r="M326" s="28">
        <v>64.0</v>
      </c>
      <c r="N326" s="28">
        <v>279.0</v>
      </c>
      <c r="O326" s="29">
        <f t="shared" ref="O326:T326" si="327">ROUND(C326 + ((2016-2012)*(I326-C326))/(2024-2012),0)</f>
        <v>1275</v>
      </c>
      <c r="P326" s="30">
        <f t="shared" si="327"/>
        <v>834</v>
      </c>
      <c r="Q326" s="30">
        <f t="shared" si="327"/>
        <v>90</v>
      </c>
      <c r="R326" s="30">
        <f t="shared" si="327"/>
        <v>95</v>
      </c>
      <c r="S326" s="30">
        <f t="shared" si="327"/>
        <v>24</v>
      </c>
      <c r="T326" s="30">
        <f t="shared" si="327"/>
        <v>232</v>
      </c>
      <c r="U326" s="30">
        <v>2153.0</v>
      </c>
      <c r="V326" s="31">
        <f t="shared" si="3"/>
        <v>-1319</v>
      </c>
      <c r="W326" s="31">
        <f t="shared" si="4"/>
        <v>0</v>
      </c>
      <c r="X326" s="32">
        <f t="shared" si="5"/>
        <v>2594</v>
      </c>
      <c r="Y326" s="31">
        <v>289.99999165534973</v>
      </c>
      <c r="Z326" s="33"/>
      <c r="AA326" s="28">
        <v>1270.0</v>
      </c>
      <c r="AB326" s="30">
        <f t="shared" si="7"/>
        <v>1420</v>
      </c>
      <c r="AC326" s="28">
        <v>1720.0</v>
      </c>
      <c r="AD326" s="13"/>
      <c r="AE326" s="13"/>
      <c r="AF326" s="13"/>
      <c r="AG326" s="13"/>
      <c r="AH326" s="13"/>
      <c r="AI326" s="13"/>
      <c r="AJ326" s="13"/>
      <c r="AK326" s="13"/>
      <c r="AL326" s="13"/>
    </row>
    <row r="327" ht="15.75" customHeight="1">
      <c r="A327" s="34">
        <v>80703.0</v>
      </c>
      <c r="B327" s="35" t="s">
        <v>338</v>
      </c>
      <c r="C327" s="28">
        <v>195.0</v>
      </c>
      <c r="D327" s="28">
        <v>73.0</v>
      </c>
      <c r="E327" s="28">
        <v>24.0</v>
      </c>
      <c r="F327" s="28">
        <v>33.0</v>
      </c>
      <c r="G327" s="28">
        <v>10.0</v>
      </c>
      <c r="H327" s="28">
        <v>55.0</v>
      </c>
      <c r="I327" s="28">
        <v>305.0</v>
      </c>
      <c r="J327" s="28">
        <v>187.0</v>
      </c>
      <c r="K327" s="28">
        <v>22.0</v>
      </c>
      <c r="L327" s="28">
        <v>67.0</v>
      </c>
      <c r="M327" s="28">
        <v>6.0</v>
      </c>
      <c r="N327" s="28">
        <v>23.0</v>
      </c>
      <c r="O327" s="29">
        <f t="shared" ref="O327:T327" si="328">ROUND(C327 + ((2016-2012)*(I327-C327))/(2024-2012),0)</f>
        <v>232</v>
      </c>
      <c r="P327" s="36">
        <f t="shared" si="328"/>
        <v>111</v>
      </c>
      <c r="Q327" s="36">
        <f t="shared" si="328"/>
        <v>23</v>
      </c>
      <c r="R327" s="36">
        <f t="shared" si="328"/>
        <v>44</v>
      </c>
      <c r="S327" s="36">
        <f t="shared" si="328"/>
        <v>9</v>
      </c>
      <c r="T327" s="36">
        <f t="shared" si="328"/>
        <v>44</v>
      </c>
      <c r="U327" s="37">
        <v>0.0</v>
      </c>
      <c r="V327" s="31">
        <f t="shared" si="3"/>
        <v>111</v>
      </c>
      <c r="W327" s="31">
        <f t="shared" si="4"/>
        <v>111</v>
      </c>
      <c r="X327" s="32">
        <f t="shared" si="5"/>
        <v>231</v>
      </c>
      <c r="Y327" s="31">
        <v>0.0</v>
      </c>
      <c r="Z327" s="33"/>
      <c r="AA327" s="28">
        <v>249.0</v>
      </c>
      <c r="AB327" s="36">
        <f t="shared" si="7"/>
        <v>274</v>
      </c>
      <c r="AC327" s="28">
        <v>324.0</v>
      </c>
      <c r="AD327" s="13"/>
      <c r="AE327" s="13"/>
      <c r="AF327" s="13"/>
      <c r="AG327" s="13"/>
      <c r="AH327" s="13"/>
      <c r="AI327" s="13"/>
      <c r="AJ327" s="13"/>
      <c r="AK327" s="13"/>
      <c r="AL327" s="13"/>
    </row>
    <row r="328" ht="15.75" customHeight="1">
      <c r="A328" s="26">
        <v>80801.0</v>
      </c>
      <c r="B328" s="27" t="s">
        <v>339</v>
      </c>
      <c r="C328" s="28">
        <v>2232.0</v>
      </c>
      <c r="D328" s="28">
        <v>1694.0</v>
      </c>
      <c r="E328" s="28">
        <v>117.0</v>
      </c>
      <c r="F328" s="28">
        <v>117.0</v>
      </c>
      <c r="G328" s="28">
        <v>33.0</v>
      </c>
      <c r="H328" s="28">
        <v>271.0</v>
      </c>
      <c r="I328" s="28">
        <v>2959.0</v>
      </c>
      <c r="J328" s="28">
        <v>2348.0</v>
      </c>
      <c r="K328" s="28">
        <v>115.0</v>
      </c>
      <c r="L328" s="28">
        <v>242.0</v>
      </c>
      <c r="M328" s="28">
        <v>61.0</v>
      </c>
      <c r="N328" s="28">
        <v>193.0</v>
      </c>
      <c r="O328" s="29">
        <f t="shared" ref="O328:T328" si="329">ROUND(C328 + ((2016-2012)*(I328-C328))/(2024-2012),0)</f>
        <v>2474</v>
      </c>
      <c r="P328" s="30">
        <f t="shared" si="329"/>
        <v>1912</v>
      </c>
      <c r="Q328" s="30">
        <f t="shared" si="329"/>
        <v>116</v>
      </c>
      <c r="R328" s="30">
        <f t="shared" si="329"/>
        <v>159</v>
      </c>
      <c r="S328" s="30">
        <f t="shared" si="329"/>
        <v>42</v>
      </c>
      <c r="T328" s="30">
        <f t="shared" si="329"/>
        <v>245</v>
      </c>
      <c r="U328" s="30">
        <v>4600.0</v>
      </c>
      <c r="V328" s="31">
        <f t="shared" si="3"/>
        <v>-2688</v>
      </c>
      <c r="W328" s="31">
        <f t="shared" si="4"/>
        <v>0</v>
      </c>
      <c r="X328" s="32">
        <f t="shared" si="5"/>
        <v>5162</v>
      </c>
      <c r="Y328" s="31">
        <v>172.0000058412552</v>
      </c>
      <c r="Z328" s="33"/>
      <c r="AA328" s="28">
        <v>2408.0</v>
      </c>
      <c r="AB328" s="30">
        <f t="shared" si="7"/>
        <v>2710</v>
      </c>
      <c r="AC328" s="28">
        <v>3315.0</v>
      </c>
      <c r="AD328" s="13"/>
      <c r="AE328" s="13"/>
      <c r="AF328" s="13"/>
      <c r="AG328" s="13"/>
      <c r="AH328" s="13"/>
      <c r="AI328" s="13"/>
      <c r="AJ328" s="13"/>
      <c r="AK328" s="13"/>
      <c r="AL328" s="13"/>
    </row>
    <row r="329" ht="15.75" customHeight="1">
      <c r="A329" s="34">
        <v>80802.0</v>
      </c>
      <c r="B329" s="35" t="s">
        <v>340</v>
      </c>
      <c r="C329" s="28">
        <v>1356.0</v>
      </c>
      <c r="D329" s="28">
        <v>638.0</v>
      </c>
      <c r="E329" s="28">
        <v>161.0</v>
      </c>
      <c r="F329" s="28">
        <v>86.0</v>
      </c>
      <c r="G329" s="28">
        <v>155.0</v>
      </c>
      <c r="H329" s="28">
        <v>316.0</v>
      </c>
      <c r="I329" s="28">
        <v>2064.0</v>
      </c>
      <c r="J329" s="28">
        <v>1184.0</v>
      </c>
      <c r="K329" s="28">
        <v>78.0</v>
      </c>
      <c r="L329" s="28">
        <v>362.0</v>
      </c>
      <c r="M329" s="28">
        <v>121.0</v>
      </c>
      <c r="N329" s="28">
        <v>319.0</v>
      </c>
      <c r="O329" s="29">
        <f t="shared" ref="O329:T329" si="330">ROUND(C329 + ((2016-2012)*(I329-C329))/(2024-2012),0)</f>
        <v>1592</v>
      </c>
      <c r="P329" s="36">
        <f t="shared" si="330"/>
        <v>820</v>
      </c>
      <c r="Q329" s="36">
        <f t="shared" si="330"/>
        <v>133</v>
      </c>
      <c r="R329" s="36">
        <f t="shared" si="330"/>
        <v>178</v>
      </c>
      <c r="S329" s="36">
        <f t="shared" si="330"/>
        <v>144</v>
      </c>
      <c r="T329" s="36">
        <f t="shared" si="330"/>
        <v>317</v>
      </c>
      <c r="U329" s="36">
        <v>553.0</v>
      </c>
      <c r="V329" s="31">
        <f t="shared" si="3"/>
        <v>267</v>
      </c>
      <c r="W329" s="31">
        <f t="shared" si="4"/>
        <v>267</v>
      </c>
      <c r="X329" s="32">
        <f t="shared" si="5"/>
        <v>1592</v>
      </c>
      <c r="Y329" s="31">
        <v>201.00000500679016</v>
      </c>
      <c r="Z329" s="33"/>
      <c r="AA329" s="28">
        <v>1437.0</v>
      </c>
      <c r="AB329" s="36">
        <f t="shared" si="7"/>
        <v>1724</v>
      </c>
      <c r="AC329" s="28">
        <v>2297.0</v>
      </c>
      <c r="AD329" s="13"/>
      <c r="AE329" s="13"/>
      <c r="AF329" s="13"/>
      <c r="AG329" s="13"/>
      <c r="AH329" s="13"/>
      <c r="AI329" s="13"/>
      <c r="AJ329" s="13"/>
      <c r="AK329" s="13"/>
      <c r="AL329" s="13"/>
    </row>
    <row r="330" ht="15.75" customHeight="1">
      <c r="A330" s="26">
        <v>80803.0</v>
      </c>
      <c r="B330" s="27" t="s">
        <v>341</v>
      </c>
      <c r="C330" s="28">
        <v>819.0</v>
      </c>
      <c r="D330" s="28">
        <v>602.0</v>
      </c>
      <c r="E330" s="28">
        <v>49.0</v>
      </c>
      <c r="F330" s="28">
        <v>49.0</v>
      </c>
      <c r="G330" s="28">
        <v>3.0</v>
      </c>
      <c r="H330" s="28">
        <v>116.0</v>
      </c>
      <c r="I330" s="28">
        <v>1018.0</v>
      </c>
      <c r="J330" s="28">
        <v>834.0</v>
      </c>
      <c r="K330" s="28">
        <v>35.0</v>
      </c>
      <c r="L330" s="28">
        <v>88.0</v>
      </c>
      <c r="M330" s="28">
        <v>3.0</v>
      </c>
      <c r="N330" s="28">
        <v>58.0</v>
      </c>
      <c r="O330" s="29">
        <f t="shared" ref="O330:T330" si="331">ROUND(C330 + ((2016-2012)*(I330-C330))/(2024-2012),0)</f>
        <v>885</v>
      </c>
      <c r="P330" s="30">
        <f t="shared" si="331"/>
        <v>679</v>
      </c>
      <c r="Q330" s="30">
        <f t="shared" si="331"/>
        <v>44</v>
      </c>
      <c r="R330" s="30">
        <f t="shared" si="331"/>
        <v>62</v>
      </c>
      <c r="S330" s="30">
        <f t="shared" si="331"/>
        <v>3</v>
      </c>
      <c r="T330" s="30">
        <f t="shared" si="331"/>
        <v>97</v>
      </c>
      <c r="U330" s="38">
        <v>426.0</v>
      </c>
      <c r="V330" s="31">
        <f t="shared" si="3"/>
        <v>253</v>
      </c>
      <c r="W330" s="31">
        <f t="shared" si="4"/>
        <v>253</v>
      </c>
      <c r="X330" s="32">
        <f t="shared" si="5"/>
        <v>885</v>
      </c>
      <c r="Y330" s="31">
        <v>175.49999803304672</v>
      </c>
      <c r="Z330" s="33"/>
      <c r="AA330" s="28">
        <v>875.0</v>
      </c>
      <c r="AB330" s="30">
        <f t="shared" si="7"/>
        <v>962</v>
      </c>
      <c r="AC330" s="28">
        <v>1135.0</v>
      </c>
      <c r="AD330" s="13"/>
      <c r="AE330" s="13"/>
      <c r="AF330" s="13"/>
      <c r="AG330" s="13"/>
      <c r="AH330" s="13"/>
      <c r="AI330" s="13"/>
      <c r="AJ330" s="13"/>
      <c r="AK330" s="13"/>
      <c r="AL330" s="13"/>
    </row>
    <row r="331" ht="15.75" customHeight="1">
      <c r="A331" s="34">
        <v>80901.0</v>
      </c>
      <c r="B331" s="35" t="s">
        <v>342</v>
      </c>
      <c r="C331" s="28">
        <v>631.0</v>
      </c>
      <c r="D331" s="28">
        <v>178.0</v>
      </c>
      <c r="E331" s="28">
        <v>39.0</v>
      </c>
      <c r="F331" s="28">
        <v>29.0</v>
      </c>
      <c r="G331" s="28">
        <v>26.0</v>
      </c>
      <c r="H331" s="28">
        <v>359.0</v>
      </c>
      <c r="I331" s="28">
        <v>922.0</v>
      </c>
      <c r="J331" s="28">
        <v>481.0</v>
      </c>
      <c r="K331" s="28">
        <v>10.0</v>
      </c>
      <c r="L331" s="28">
        <v>119.0</v>
      </c>
      <c r="M331" s="28">
        <v>2.0</v>
      </c>
      <c r="N331" s="28">
        <v>310.0</v>
      </c>
      <c r="O331" s="29">
        <f t="shared" ref="O331:T331" si="332">ROUND(C331 + ((2016-2012)*(I331-C331))/(2024-2012),0)</f>
        <v>728</v>
      </c>
      <c r="P331" s="36">
        <f t="shared" si="332"/>
        <v>279</v>
      </c>
      <c r="Q331" s="36">
        <f t="shared" si="332"/>
        <v>29</v>
      </c>
      <c r="R331" s="36">
        <f t="shared" si="332"/>
        <v>59</v>
      </c>
      <c r="S331" s="36">
        <f t="shared" si="332"/>
        <v>18</v>
      </c>
      <c r="T331" s="36">
        <f t="shared" si="332"/>
        <v>343</v>
      </c>
      <c r="U331" s="37">
        <v>0.0</v>
      </c>
      <c r="V331" s="31">
        <f t="shared" si="3"/>
        <v>279</v>
      </c>
      <c r="W331" s="31">
        <f t="shared" si="4"/>
        <v>279</v>
      </c>
      <c r="X331" s="32">
        <f t="shared" si="5"/>
        <v>728</v>
      </c>
      <c r="Y331" s="31">
        <v>0.0</v>
      </c>
      <c r="Z331" s="33"/>
      <c r="AA331" s="28">
        <v>679.0</v>
      </c>
      <c r="AB331" s="36">
        <f t="shared" si="7"/>
        <v>782</v>
      </c>
      <c r="AC331" s="28">
        <v>988.0</v>
      </c>
      <c r="AD331" s="13"/>
      <c r="AE331" s="13"/>
      <c r="AF331" s="13"/>
      <c r="AG331" s="13"/>
      <c r="AH331" s="13"/>
      <c r="AI331" s="13"/>
      <c r="AJ331" s="13"/>
      <c r="AK331" s="13"/>
      <c r="AL331" s="13"/>
    </row>
    <row r="332" ht="15.75" customHeight="1">
      <c r="A332" s="26">
        <v>90101.0</v>
      </c>
      <c r="B332" s="27" t="s">
        <v>343</v>
      </c>
      <c r="C332" s="28">
        <v>12304.0</v>
      </c>
      <c r="D332" s="28">
        <v>10982.0</v>
      </c>
      <c r="E332" s="28">
        <v>164.0</v>
      </c>
      <c r="F332" s="28">
        <v>77.0</v>
      </c>
      <c r="G332" s="28">
        <v>63.0</v>
      </c>
      <c r="H332" s="28">
        <v>1018.0</v>
      </c>
      <c r="I332" s="28">
        <v>15564.0</v>
      </c>
      <c r="J332" s="28">
        <v>14921.0</v>
      </c>
      <c r="K332" s="28">
        <v>50.0</v>
      </c>
      <c r="L332" s="28">
        <v>153.0</v>
      </c>
      <c r="M332" s="28">
        <v>45.0</v>
      </c>
      <c r="N332" s="28">
        <v>395.0</v>
      </c>
      <c r="O332" s="29">
        <f t="shared" ref="O332:T332" si="333">ROUND(C332 + ((2016-2012)*(I332-C332))/(2024-2012),0)</f>
        <v>13391</v>
      </c>
      <c r="P332" s="30">
        <f t="shared" si="333"/>
        <v>12295</v>
      </c>
      <c r="Q332" s="30">
        <f t="shared" si="333"/>
        <v>126</v>
      </c>
      <c r="R332" s="30">
        <f t="shared" si="333"/>
        <v>102</v>
      </c>
      <c r="S332" s="30">
        <f t="shared" si="333"/>
        <v>57</v>
      </c>
      <c r="T332" s="30">
        <f t="shared" si="333"/>
        <v>810</v>
      </c>
      <c r="U332" s="30">
        <v>12449.0</v>
      </c>
      <c r="V332" s="31">
        <f t="shared" si="3"/>
        <v>-154</v>
      </c>
      <c r="W332" s="31">
        <f t="shared" si="4"/>
        <v>0</v>
      </c>
      <c r="X332" s="32">
        <f t="shared" si="5"/>
        <v>13544</v>
      </c>
      <c r="Y332" s="31">
        <v>1240.0000095367432</v>
      </c>
      <c r="Z332" s="33"/>
      <c r="AA332" s="28">
        <v>13655.0</v>
      </c>
      <c r="AB332" s="30">
        <f t="shared" si="7"/>
        <v>15629</v>
      </c>
      <c r="AC332" s="28">
        <v>19576.0</v>
      </c>
      <c r="AD332" s="13"/>
      <c r="AE332" s="13"/>
      <c r="AF332" s="13"/>
      <c r="AG332" s="13"/>
      <c r="AH332" s="13"/>
      <c r="AI332" s="13"/>
      <c r="AJ332" s="13"/>
      <c r="AK332" s="13"/>
      <c r="AL332" s="13"/>
    </row>
    <row r="333" ht="15.75" customHeight="1">
      <c r="A333" s="34">
        <v>90102.0</v>
      </c>
      <c r="B333" s="35" t="s">
        <v>344</v>
      </c>
      <c r="C333" s="28">
        <v>1655.0</v>
      </c>
      <c r="D333" s="28">
        <v>1027.0</v>
      </c>
      <c r="E333" s="28">
        <v>76.0</v>
      </c>
      <c r="F333" s="28">
        <v>110.0</v>
      </c>
      <c r="G333" s="28">
        <v>52.0</v>
      </c>
      <c r="H333" s="28">
        <v>390.0</v>
      </c>
      <c r="I333" s="28">
        <v>2230.0</v>
      </c>
      <c r="J333" s="28">
        <v>1800.0</v>
      </c>
      <c r="K333" s="28">
        <v>61.0</v>
      </c>
      <c r="L333" s="28">
        <v>121.0</v>
      </c>
      <c r="M333" s="28">
        <v>35.0</v>
      </c>
      <c r="N333" s="28">
        <v>213.0</v>
      </c>
      <c r="O333" s="29">
        <f t="shared" ref="O333:T333" si="334">ROUND(C333 + ((2016-2012)*(I333-C333))/(2024-2012),0)</f>
        <v>1847</v>
      </c>
      <c r="P333" s="36">
        <f t="shared" si="334"/>
        <v>1285</v>
      </c>
      <c r="Q333" s="36">
        <f t="shared" si="334"/>
        <v>71</v>
      </c>
      <c r="R333" s="36">
        <f t="shared" si="334"/>
        <v>114</v>
      </c>
      <c r="S333" s="36">
        <f t="shared" si="334"/>
        <v>46</v>
      </c>
      <c r="T333" s="36">
        <f t="shared" si="334"/>
        <v>331</v>
      </c>
      <c r="U333" s="36">
        <v>958.0</v>
      </c>
      <c r="V333" s="31">
        <f t="shared" si="3"/>
        <v>327</v>
      </c>
      <c r="W333" s="31">
        <f t="shared" si="4"/>
        <v>327</v>
      </c>
      <c r="X333" s="32">
        <f t="shared" si="5"/>
        <v>1847</v>
      </c>
      <c r="Y333" s="31">
        <v>817.00000166893</v>
      </c>
      <c r="Z333" s="33"/>
      <c r="AA333" s="28">
        <v>1786.0</v>
      </c>
      <c r="AB333" s="36">
        <f t="shared" si="7"/>
        <v>2032</v>
      </c>
      <c r="AC333" s="28">
        <v>2523.0</v>
      </c>
      <c r="AD333" s="13"/>
      <c r="AE333" s="13"/>
      <c r="AF333" s="13"/>
      <c r="AG333" s="13"/>
      <c r="AH333" s="13"/>
      <c r="AI333" s="13"/>
      <c r="AJ333" s="13"/>
      <c r="AK333" s="13"/>
      <c r="AL333" s="13"/>
    </row>
    <row r="334" ht="15.75" customHeight="1">
      <c r="A334" s="26">
        <v>90103.0</v>
      </c>
      <c r="B334" s="27" t="s">
        <v>345</v>
      </c>
      <c r="C334" s="28">
        <v>545.0</v>
      </c>
      <c r="D334" s="28">
        <v>29.0</v>
      </c>
      <c r="E334" s="28">
        <v>71.0</v>
      </c>
      <c r="F334" s="28">
        <v>105.0</v>
      </c>
      <c r="G334" s="28">
        <v>36.0</v>
      </c>
      <c r="H334" s="28">
        <v>304.0</v>
      </c>
      <c r="I334" s="28">
        <v>802.0</v>
      </c>
      <c r="J334" s="28">
        <v>156.0</v>
      </c>
      <c r="K334" s="28">
        <v>160.0</v>
      </c>
      <c r="L334" s="28">
        <v>216.0</v>
      </c>
      <c r="M334" s="28">
        <v>17.0</v>
      </c>
      <c r="N334" s="28">
        <v>253.0</v>
      </c>
      <c r="O334" s="29">
        <f t="shared" ref="O334:T334" si="335">ROUND(C334 + ((2016-2012)*(I334-C334))/(2024-2012),0)</f>
        <v>631</v>
      </c>
      <c r="P334" s="30">
        <f t="shared" si="335"/>
        <v>71</v>
      </c>
      <c r="Q334" s="30">
        <f t="shared" si="335"/>
        <v>101</v>
      </c>
      <c r="R334" s="30">
        <f t="shared" si="335"/>
        <v>142</v>
      </c>
      <c r="S334" s="30">
        <f t="shared" si="335"/>
        <v>30</v>
      </c>
      <c r="T334" s="30">
        <f t="shared" si="335"/>
        <v>287</v>
      </c>
      <c r="U334" s="38">
        <v>0.0</v>
      </c>
      <c r="V334" s="31">
        <f t="shared" si="3"/>
        <v>71</v>
      </c>
      <c r="W334" s="31">
        <f t="shared" si="4"/>
        <v>71</v>
      </c>
      <c r="X334" s="32">
        <f t="shared" si="5"/>
        <v>631</v>
      </c>
      <c r="Y334" s="31">
        <v>0.0</v>
      </c>
      <c r="Z334" s="33"/>
      <c r="AA334" s="28">
        <v>601.0</v>
      </c>
      <c r="AB334" s="30">
        <f t="shared" si="7"/>
        <v>741</v>
      </c>
      <c r="AC334" s="28">
        <v>1022.0</v>
      </c>
      <c r="AD334" s="13"/>
      <c r="AE334" s="13"/>
      <c r="AF334" s="13"/>
      <c r="AG334" s="13"/>
      <c r="AH334" s="13"/>
      <c r="AI334" s="13"/>
      <c r="AJ334" s="13"/>
      <c r="AK334" s="13"/>
      <c r="AL334" s="13"/>
    </row>
    <row r="335" ht="15.75" customHeight="1">
      <c r="A335" s="34">
        <v>90104.0</v>
      </c>
      <c r="B335" s="35" t="s">
        <v>346</v>
      </c>
      <c r="C335" s="28">
        <v>944.0</v>
      </c>
      <c r="D335" s="28">
        <v>50.0</v>
      </c>
      <c r="E335" s="28">
        <v>162.0</v>
      </c>
      <c r="F335" s="28">
        <v>134.0</v>
      </c>
      <c r="G335" s="28">
        <v>179.0</v>
      </c>
      <c r="H335" s="28">
        <v>419.0</v>
      </c>
      <c r="I335" s="28">
        <v>1235.0</v>
      </c>
      <c r="J335" s="28">
        <v>569.0</v>
      </c>
      <c r="K335" s="28">
        <v>67.0</v>
      </c>
      <c r="L335" s="28">
        <v>160.0</v>
      </c>
      <c r="M335" s="28">
        <v>88.0</v>
      </c>
      <c r="N335" s="28">
        <v>351.0</v>
      </c>
      <c r="O335" s="29">
        <f t="shared" ref="O335:T335" si="336">ROUND(C335 + ((2016-2012)*(I335-C335))/(2024-2012),0)</f>
        <v>1041</v>
      </c>
      <c r="P335" s="36">
        <f t="shared" si="336"/>
        <v>223</v>
      </c>
      <c r="Q335" s="36">
        <f t="shared" si="336"/>
        <v>130</v>
      </c>
      <c r="R335" s="36">
        <f t="shared" si="336"/>
        <v>143</v>
      </c>
      <c r="S335" s="36">
        <f t="shared" si="336"/>
        <v>149</v>
      </c>
      <c r="T335" s="36">
        <f t="shared" si="336"/>
        <v>396</v>
      </c>
      <c r="U335" s="37">
        <v>203.0</v>
      </c>
      <c r="V335" s="31">
        <f t="shared" si="3"/>
        <v>20</v>
      </c>
      <c r="W335" s="31">
        <f t="shared" si="4"/>
        <v>20</v>
      </c>
      <c r="X335" s="32">
        <f t="shared" si="5"/>
        <v>1041</v>
      </c>
      <c r="Y335" s="31">
        <v>45.00000178813934</v>
      </c>
      <c r="Z335" s="33"/>
      <c r="AA335" s="28">
        <v>1154.0</v>
      </c>
      <c r="AB335" s="36">
        <f t="shared" si="7"/>
        <v>1284</v>
      </c>
      <c r="AC335" s="28">
        <v>1544.0</v>
      </c>
      <c r="AD335" s="13"/>
      <c r="AE335" s="13"/>
      <c r="AF335" s="13"/>
      <c r="AG335" s="13"/>
      <c r="AH335" s="13"/>
      <c r="AI335" s="13"/>
      <c r="AJ335" s="13"/>
      <c r="AK335" s="13"/>
      <c r="AL335" s="13"/>
    </row>
    <row r="336" ht="15.75" customHeight="1">
      <c r="A336" s="26">
        <v>90201.0</v>
      </c>
      <c r="B336" s="27" t="s">
        <v>347</v>
      </c>
      <c r="C336" s="28">
        <v>1382.0</v>
      </c>
      <c r="D336" s="28">
        <v>493.0</v>
      </c>
      <c r="E336" s="28">
        <v>321.0</v>
      </c>
      <c r="F336" s="28">
        <v>59.0</v>
      </c>
      <c r="G336" s="28">
        <v>52.0</v>
      </c>
      <c r="H336" s="28">
        <v>457.0</v>
      </c>
      <c r="I336" s="28">
        <v>1989.0</v>
      </c>
      <c r="J336" s="28">
        <v>1344.0</v>
      </c>
      <c r="K336" s="28">
        <v>233.0</v>
      </c>
      <c r="L336" s="28">
        <v>67.0</v>
      </c>
      <c r="M336" s="28">
        <v>20.0</v>
      </c>
      <c r="N336" s="28">
        <v>325.0</v>
      </c>
      <c r="O336" s="29">
        <f t="shared" ref="O336:T336" si="337">ROUND(C336 + ((2016-2012)*(I336-C336))/(2024-2012),0)</f>
        <v>1584</v>
      </c>
      <c r="P336" s="30">
        <f t="shared" si="337"/>
        <v>777</v>
      </c>
      <c r="Q336" s="30">
        <f t="shared" si="337"/>
        <v>292</v>
      </c>
      <c r="R336" s="30">
        <f t="shared" si="337"/>
        <v>62</v>
      </c>
      <c r="S336" s="30">
        <f t="shared" si="337"/>
        <v>41</v>
      </c>
      <c r="T336" s="30">
        <f t="shared" si="337"/>
        <v>413</v>
      </c>
      <c r="U336" s="30">
        <v>802.0</v>
      </c>
      <c r="V336" s="31">
        <f t="shared" si="3"/>
        <v>-25</v>
      </c>
      <c r="W336" s="31">
        <f t="shared" si="4"/>
        <v>0</v>
      </c>
      <c r="X336" s="32">
        <f t="shared" si="5"/>
        <v>1610</v>
      </c>
      <c r="Y336" s="31">
        <v>539.000004529953</v>
      </c>
      <c r="Z336" s="33"/>
      <c r="AA336" s="28">
        <v>1549.0</v>
      </c>
      <c r="AB336" s="30">
        <f t="shared" si="7"/>
        <v>1872</v>
      </c>
      <c r="AC336" s="28">
        <v>2517.0</v>
      </c>
      <c r="AD336" s="13"/>
      <c r="AE336" s="13"/>
      <c r="AF336" s="13"/>
      <c r="AG336" s="13"/>
      <c r="AH336" s="13"/>
      <c r="AI336" s="13"/>
      <c r="AJ336" s="13"/>
      <c r="AK336" s="13"/>
      <c r="AL336" s="13"/>
    </row>
    <row r="337" ht="15.75" customHeight="1">
      <c r="A337" s="34">
        <v>90202.0</v>
      </c>
      <c r="B337" s="35" t="s">
        <v>310</v>
      </c>
      <c r="C337" s="28">
        <v>611.0</v>
      </c>
      <c r="D337" s="28">
        <v>2.0</v>
      </c>
      <c r="E337" s="28">
        <v>45.0</v>
      </c>
      <c r="F337" s="28">
        <v>53.0</v>
      </c>
      <c r="G337" s="28">
        <v>74.0</v>
      </c>
      <c r="H337" s="28">
        <v>437.0</v>
      </c>
      <c r="I337" s="28">
        <v>612.0</v>
      </c>
      <c r="J337" s="28">
        <v>2.0</v>
      </c>
      <c r="K337" s="28">
        <v>136.0</v>
      </c>
      <c r="L337" s="28">
        <v>84.0</v>
      </c>
      <c r="M337" s="28">
        <v>21.0</v>
      </c>
      <c r="N337" s="28">
        <v>369.0</v>
      </c>
      <c r="O337" s="29">
        <f t="shared" ref="O337:T337" si="338">ROUND(C337 + ((2016-2012)*(I337-C337))/(2024-2012),0)</f>
        <v>611</v>
      </c>
      <c r="P337" s="36">
        <f t="shared" si="338"/>
        <v>2</v>
      </c>
      <c r="Q337" s="36">
        <f t="shared" si="338"/>
        <v>75</v>
      </c>
      <c r="R337" s="36">
        <f t="shared" si="338"/>
        <v>63</v>
      </c>
      <c r="S337" s="36">
        <f t="shared" si="338"/>
        <v>56</v>
      </c>
      <c r="T337" s="36">
        <f t="shared" si="338"/>
        <v>414</v>
      </c>
      <c r="U337" s="37">
        <v>104.0</v>
      </c>
      <c r="V337" s="31">
        <f t="shared" si="3"/>
        <v>-102</v>
      </c>
      <c r="W337" s="31">
        <f t="shared" si="4"/>
        <v>0</v>
      </c>
      <c r="X337" s="32">
        <f t="shared" si="5"/>
        <v>712</v>
      </c>
      <c r="Y337" s="31">
        <v>230.4999977350235</v>
      </c>
      <c r="Z337" s="33"/>
      <c r="AA337" s="28">
        <v>613.0</v>
      </c>
      <c r="AB337" s="36">
        <f t="shared" si="7"/>
        <v>619</v>
      </c>
      <c r="AC337" s="28">
        <v>632.0</v>
      </c>
      <c r="AD337" s="13"/>
      <c r="AE337" s="13"/>
      <c r="AF337" s="13"/>
      <c r="AG337" s="13"/>
      <c r="AH337" s="13"/>
      <c r="AI337" s="13"/>
      <c r="AJ337" s="13"/>
      <c r="AK337" s="13"/>
      <c r="AL337" s="13"/>
    </row>
    <row r="338" ht="15.75" customHeight="1">
      <c r="A338" s="26">
        <v>90203.0</v>
      </c>
      <c r="B338" s="27" t="s">
        <v>348</v>
      </c>
      <c r="C338" s="28">
        <v>1427.0</v>
      </c>
      <c r="D338" s="28">
        <v>362.0</v>
      </c>
      <c r="E338" s="28">
        <v>297.0</v>
      </c>
      <c r="F338" s="28">
        <v>52.0</v>
      </c>
      <c r="G338" s="28">
        <v>71.0</v>
      </c>
      <c r="H338" s="28">
        <v>645.0</v>
      </c>
      <c r="I338" s="28">
        <v>2514.0</v>
      </c>
      <c r="J338" s="28">
        <v>1312.0</v>
      </c>
      <c r="K338" s="28">
        <v>334.0</v>
      </c>
      <c r="L338" s="28">
        <v>240.0</v>
      </c>
      <c r="M338" s="28">
        <v>34.0</v>
      </c>
      <c r="N338" s="28">
        <v>594.0</v>
      </c>
      <c r="O338" s="29">
        <f t="shared" ref="O338:T338" si="339">ROUND(C338 + ((2016-2012)*(I338-C338))/(2024-2012),0)</f>
        <v>1789</v>
      </c>
      <c r="P338" s="30">
        <f t="shared" si="339"/>
        <v>679</v>
      </c>
      <c r="Q338" s="30">
        <f t="shared" si="339"/>
        <v>309</v>
      </c>
      <c r="R338" s="30">
        <f t="shared" si="339"/>
        <v>115</v>
      </c>
      <c r="S338" s="30">
        <f t="shared" si="339"/>
        <v>59</v>
      </c>
      <c r="T338" s="30">
        <f t="shared" si="339"/>
        <v>628</v>
      </c>
      <c r="U338" s="30">
        <v>425.0</v>
      </c>
      <c r="V338" s="31">
        <f t="shared" si="3"/>
        <v>254</v>
      </c>
      <c r="W338" s="31">
        <f t="shared" si="4"/>
        <v>254</v>
      </c>
      <c r="X338" s="32">
        <f t="shared" si="5"/>
        <v>1790</v>
      </c>
      <c r="Y338" s="31">
        <v>892.0000195503235</v>
      </c>
      <c r="Z338" s="33"/>
      <c r="AA338" s="28">
        <v>1459.0</v>
      </c>
      <c r="AB338" s="30">
        <f t="shared" si="7"/>
        <v>2013</v>
      </c>
      <c r="AC338" s="28">
        <v>3121.0</v>
      </c>
      <c r="AD338" s="13"/>
      <c r="AE338" s="13"/>
      <c r="AF338" s="13"/>
      <c r="AG338" s="13"/>
      <c r="AH338" s="13"/>
      <c r="AI338" s="13"/>
      <c r="AJ338" s="13"/>
      <c r="AK338" s="13"/>
      <c r="AL338" s="13"/>
    </row>
    <row r="339" ht="15.75" customHeight="1">
      <c r="A339" s="34">
        <v>90301.0</v>
      </c>
      <c r="B339" s="35" t="s">
        <v>349</v>
      </c>
      <c r="C339" s="28">
        <v>1026.0</v>
      </c>
      <c r="D339" s="28">
        <v>506.0</v>
      </c>
      <c r="E339" s="28">
        <v>27.0</v>
      </c>
      <c r="F339" s="28">
        <v>94.0</v>
      </c>
      <c r="G339" s="28">
        <v>29.0</v>
      </c>
      <c r="H339" s="28">
        <v>370.0</v>
      </c>
      <c r="I339" s="28">
        <v>1965.0</v>
      </c>
      <c r="J339" s="28">
        <v>1385.0</v>
      </c>
      <c r="K339" s="28">
        <v>48.0</v>
      </c>
      <c r="L339" s="28">
        <v>58.0</v>
      </c>
      <c r="M339" s="28">
        <v>126.0</v>
      </c>
      <c r="N339" s="28">
        <v>348.0</v>
      </c>
      <c r="O339" s="29">
        <f t="shared" ref="O339:T339" si="340">ROUND(C339 + ((2016-2012)*(I339-C339))/(2024-2012),0)</f>
        <v>1339</v>
      </c>
      <c r="P339" s="36">
        <f t="shared" si="340"/>
        <v>799</v>
      </c>
      <c r="Q339" s="36">
        <f t="shared" si="340"/>
        <v>34</v>
      </c>
      <c r="R339" s="36">
        <f t="shared" si="340"/>
        <v>82</v>
      </c>
      <c r="S339" s="36">
        <f t="shared" si="340"/>
        <v>61</v>
      </c>
      <c r="T339" s="36">
        <f t="shared" si="340"/>
        <v>363</v>
      </c>
      <c r="U339" s="37">
        <v>184.0</v>
      </c>
      <c r="V339" s="31">
        <f t="shared" si="3"/>
        <v>615</v>
      </c>
      <c r="W339" s="31">
        <f t="shared" si="4"/>
        <v>615</v>
      </c>
      <c r="X339" s="32">
        <f t="shared" si="5"/>
        <v>1339</v>
      </c>
      <c r="Y339" s="31">
        <v>397.50000834465027</v>
      </c>
      <c r="Z339" s="33"/>
      <c r="AA339" s="28">
        <v>1037.0</v>
      </c>
      <c r="AB339" s="36">
        <f t="shared" si="7"/>
        <v>1363</v>
      </c>
      <c r="AC339" s="28">
        <v>2015.0</v>
      </c>
      <c r="AD339" s="13"/>
      <c r="AE339" s="13"/>
      <c r="AF339" s="13"/>
      <c r="AG339" s="13"/>
      <c r="AH339" s="13"/>
      <c r="AI339" s="13"/>
      <c r="AJ339" s="13"/>
      <c r="AK339" s="13"/>
      <c r="AL339" s="13"/>
    </row>
    <row r="340" ht="15.75" customHeight="1">
      <c r="A340" s="26">
        <v>90302.0</v>
      </c>
      <c r="B340" s="27" t="s">
        <v>350</v>
      </c>
      <c r="C340" s="28">
        <v>1342.0</v>
      </c>
      <c r="D340" s="28">
        <v>574.0</v>
      </c>
      <c r="E340" s="28">
        <v>155.0</v>
      </c>
      <c r="F340" s="28">
        <v>20.0</v>
      </c>
      <c r="G340" s="28">
        <v>17.0</v>
      </c>
      <c r="H340" s="28">
        <v>576.0</v>
      </c>
      <c r="I340" s="28">
        <v>1850.0</v>
      </c>
      <c r="J340" s="28">
        <v>1288.0</v>
      </c>
      <c r="K340" s="28">
        <v>177.0</v>
      </c>
      <c r="L340" s="28">
        <v>29.0</v>
      </c>
      <c r="M340" s="28">
        <v>54.0</v>
      </c>
      <c r="N340" s="28">
        <v>302.0</v>
      </c>
      <c r="O340" s="29">
        <f t="shared" ref="O340:T340" si="341">ROUND(C340 + ((2016-2012)*(I340-C340))/(2024-2012),0)</f>
        <v>1511</v>
      </c>
      <c r="P340" s="30">
        <f t="shared" si="341"/>
        <v>812</v>
      </c>
      <c r="Q340" s="30">
        <f t="shared" si="341"/>
        <v>162</v>
      </c>
      <c r="R340" s="30">
        <f t="shared" si="341"/>
        <v>23</v>
      </c>
      <c r="S340" s="30">
        <f t="shared" si="341"/>
        <v>29</v>
      </c>
      <c r="T340" s="30">
        <f t="shared" si="341"/>
        <v>485</v>
      </c>
      <c r="U340" s="38">
        <v>190.0</v>
      </c>
      <c r="V340" s="31">
        <f t="shared" si="3"/>
        <v>622</v>
      </c>
      <c r="W340" s="31">
        <f t="shared" si="4"/>
        <v>622</v>
      </c>
      <c r="X340" s="32">
        <f t="shared" si="5"/>
        <v>1511</v>
      </c>
      <c r="Y340" s="31">
        <v>652.5000035762787</v>
      </c>
      <c r="Z340" s="33"/>
      <c r="AA340" s="28">
        <v>1347.0</v>
      </c>
      <c r="AB340" s="30">
        <f t="shared" si="7"/>
        <v>1537</v>
      </c>
      <c r="AC340" s="28">
        <v>1917.0</v>
      </c>
      <c r="AD340" s="13"/>
      <c r="AE340" s="13"/>
      <c r="AF340" s="13"/>
      <c r="AG340" s="13"/>
      <c r="AH340" s="13"/>
      <c r="AI340" s="13"/>
      <c r="AJ340" s="13"/>
      <c r="AK340" s="13"/>
      <c r="AL340" s="13"/>
    </row>
    <row r="341" ht="15.75" customHeight="1">
      <c r="A341" s="34">
        <v>90303.0</v>
      </c>
      <c r="B341" s="35" t="s">
        <v>351</v>
      </c>
      <c r="C341" s="28">
        <v>1653.0</v>
      </c>
      <c r="D341" s="28">
        <v>61.0</v>
      </c>
      <c r="E341" s="28">
        <v>135.0</v>
      </c>
      <c r="F341" s="28">
        <v>25.0</v>
      </c>
      <c r="G341" s="28">
        <v>11.0</v>
      </c>
      <c r="H341" s="28">
        <v>1421.0</v>
      </c>
      <c r="I341" s="28">
        <v>2875.0</v>
      </c>
      <c r="J341" s="28">
        <v>1120.0</v>
      </c>
      <c r="K341" s="28">
        <v>425.0</v>
      </c>
      <c r="L341" s="28">
        <v>170.0</v>
      </c>
      <c r="M341" s="28">
        <v>87.0</v>
      </c>
      <c r="N341" s="28">
        <v>1073.0</v>
      </c>
      <c r="O341" s="29">
        <f t="shared" ref="O341:T341" si="342">ROUND(C341 + ((2016-2012)*(I341-C341))/(2024-2012),0)</f>
        <v>2060</v>
      </c>
      <c r="P341" s="36">
        <f t="shared" si="342"/>
        <v>414</v>
      </c>
      <c r="Q341" s="36">
        <f t="shared" si="342"/>
        <v>232</v>
      </c>
      <c r="R341" s="36">
        <f t="shared" si="342"/>
        <v>73</v>
      </c>
      <c r="S341" s="36">
        <f t="shared" si="342"/>
        <v>36</v>
      </c>
      <c r="T341" s="36">
        <f t="shared" si="342"/>
        <v>1305</v>
      </c>
      <c r="U341" s="36">
        <v>533.0</v>
      </c>
      <c r="V341" s="31">
        <f t="shared" si="3"/>
        <v>-119</v>
      </c>
      <c r="W341" s="31">
        <f t="shared" si="4"/>
        <v>0</v>
      </c>
      <c r="X341" s="32">
        <f t="shared" si="5"/>
        <v>2179</v>
      </c>
      <c r="Y341" s="31">
        <v>573.0000138282776</v>
      </c>
      <c r="Z341" s="33"/>
      <c r="AA341" s="28">
        <v>1668.0</v>
      </c>
      <c r="AB341" s="36">
        <f t="shared" si="7"/>
        <v>2203</v>
      </c>
      <c r="AC341" s="28">
        <v>3272.0</v>
      </c>
      <c r="AD341" s="13"/>
      <c r="AE341" s="13"/>
      <c r="AF341" s="13"/>
      <c r="AG341" s="13"/>
      <c r="AH341" s="13"/>
      <c r="AI341" s="13"/>
      <c r="AJ341" s="13"/>
      <c r="AK341" s="13"/>
      <c r="AL341" s="13"/>
    </row>
    <row r="342" ht="15.75" customHeight="1">
      <c r="A342" s="26">
        <v>90401.0</v>
      </c>
      <c r="B342" s="27" t="s">
        <v>352</v>
      </c>
      <c r="C342" s="28">
        <v>611.0</v>
      </c>
      <c r="D342" s="28">
        <v>340.0</v>
      </c>
      <c r="E342" s="28">
        <v>47.0</v>
      </c>
      <c r="F342" s="28">
        <v>11.0</v>
      </c>
      <c r="G342" s="28">
        <v>7.0</v>
      </c>
      <c r="H342" s="28">
        <v>206.0</v>
      </c>
      <c r="I342" s="28">
        <v>860.0</v>
      </c>
      <c r="J342" s="28">
        <v>568.0</v>
      </c>
      <c r="K342" s="28">
        <v>85.0</v>
      </c>
      <c r="L342" s="28">
        <v>19.0</v>
      </c>
      <c r="M342" s="28">
        <v>39.0</v>
      </c>
      <c r="N342" s="28">
        <v>149.0</v>
      </c>
      <c r="O342" s="29">
        <f t="shared" ref="O342:T342" si="343">ROUND(C342 + ((2016-2012)*(I342-C342))/(2024-2012),0)</f>
        <v>694</v>
      </c>
      <c r="P342" s="30">
        <f t="shared" si="343"/>
        <v>416</v>
      </c>
      <c r="Q342" s="30">
        <f t="shared" si="343"/>
        <v>60</v>
      </c>
      <c r="R342" s="30">
        <f t="shared" si="343"/>
        <v>14</v>
      </c>
      <c r="S342" s="30">
        <f t="shared" si="343"/>
        <v>18</v>
      </c>
      <c r="T342" s="30">
        <f t="shared" si="343"/>
        <v>187</v>
      </c>
      <c r="U342" s="38">
        <v>0.0</v>
      </c>
      <c r="V342" s="31">
        <f t="shared" si="3"/>
        <v>416</v>
      </c>
      <c r="W342" s="31">
        <f t="shared" si="4"/>
        <v>416</v>
      </c>
      <c r="X342" s="32">
        <f t="shared" si="5"/>
        <v>695</v>
      </c>
      <c r="Y342" s="31">
        <v>0.0</v>
      </c>
      <c r="Z342" s="33"/>
      <c r="AA342" s="28">
        <v>634.0</v>
      </c>
      <c r="AB342" s="30">
        <f t="shared" si="7"/>
        <v>807</v>
      </c>
      <c r="AC342" s="28">
        <v>1152.0</v>
      </c>
      <c r="AD342" s="13"/>
      <c r="AE342" s="13"/>
      <c r="AF342" s="13"/>
      <c r="AG342" s="13"/>
      <c r="AH342" s="13"/>
      <c r="AI342" s="13"/>
      <c r="AJ342" s="13"/>
      <c r="AK342" s="13"/>
      <c r="AL342" s="13"/>
    </row>
    <row r="343" ht="15.75" customHeight="1">
      <c r="A343" s="34">
        <v>90402.0</v>
      </c>
      <c r="B343" s="35" t="s">
        <v>353</v>
      </c>
      <c r="C343" s="28">
        <v>344.0</v>
      </c>
      <c r="D343" s="28">
        <v>137.0</v>
      </c>
      <c r="E343" s="28">
        <v>20.0</v>
      </c>
      <c r="F343" s="28">
        <v>11.0</v>
      </c>
      <c r="G343" s="28">
        <v>42.0</v>
      </c>
      <c r="H343" s="28">
        <v>134.0</v>
      </c>
      <c r="I343" s="28">
        <v>649.0</v>
      </c>
      <c r="J343" s="28">
        <v>113.0</v>
      </c>
      <c r="K343" s="28">
        <v>161.0</v>
      </c>
      <c r="L343" s="28">
        <v>89.0</v>
      </c>
      <c r="M343" s="28">
        <v>25.0</v>
      </c>
      <c r="N343" s="28">
        <v>261.0</v>
      </c>
      <c r="O343" s="29">
        <f t="shared" ref="O343:T343" si="344">ROUND(C343 + ((2016-2012)*(I343-C343))/(2024-2012),0)</f>
        <v>446</v>
      </c>
      <c r="P343" s="36">
        <f t="shared" si="344"/>
        <v>129</v>
      </c>
      <c r="Q343" s="36">
        <f t="shared" si="344"/>
        <v>67</v>
      </c>
      <c r="R343" s="36">
        <f t="shared" si="344"/>
        <v>37</v>
      </c>
      <c r="S343" s="36">
        <f t="shared" si="344"/>
        <v>36</v>
      </c>
      <c r="T343" s="36">
        <f t="shared" si="344"/>
        <v>176</v>
      </c>
      <c r="U343" s="37">
        <v>0.0</v>
      </c>
      <c r="V343" s="31">
        <f t="shared" si="3"/>
        <v>129</v>
      </c>
      <c r="W343" s="31">
        <f t="shared" si="4"/>
        <v>129</v>
      </c>
      <c r="X343" s="32">
        <f t="shared" si="5"/>
        <v>445</v>
      </c>
      <c r="Y343" s="31">
        <v>0.0</v>
      </c>
      <c r="Z343" s="33"/>
      <c r="AA343" s="28">
        <v>347.0</v>
      </c>
      <c r="AB343" s="36">
        <f t="shared" si="7"/>
        <v>473</v>
      </c>
      <c r="AC343" s="28">
        <v>725.0</v>
      </c>
      <c r="AD343" s="13"/>
      <c r="AE343" s="13"/>
      <c r="AF343" s="13"/>
      <c r="AG343" s="13"/>
      <c r="AH343" s="13"/>
      <c r="AI343" s="13"/>
      <c r="AJ343" s="13"/>
      <c r="AK343" s="13"/>
      <c r="AL343" s="13"/>
    </row>
    <row r="344" ht="15.75" customHeight="1">
      <c r="A344" s="26">
        <v>90501.0</v>
      </c>
      <c r="B344" s="27" t="s">
        <v>354</v>
      </c>
      <c r="C344" s="28">
        <v>466.0</v>
      </c>
      <c r="D344" s="28">
        <v>90.0</v>
      </c>
      <c r="E344" s="28">
        <v>92.0</v>
      </c>
      <c r="F344" s="28">
        <v>29.0</v>
      </c>
      <c r="G344" s="28">
        <v>14.0</v>
      </c>
      <c r="H344" s="28">
        <v>241.0</v>
      </c>
      <c r="I344" s="28">
        <v>489.0</v>
      </c>
      <c r="J344" s="28">
        <v>71.0</v>
      </c>
      <c r="K344" s="28">
        <v>190.0</v>
      </c>
      <c r="L344" s="28">
        <v>59.0</v>
      </c>
      <c r="M344" s="28">
        <v>18.0</v>
      </c>
      <c r="N344" s="28">
        <v>151.0</v>
      </c>
      <c r="O344" s="29">
        <f t="shared" ref="O344:T344" si="345">ROUND(C344 + ((2016-2012)*(I344-C344))/(2024-2012),0)</f>
        <v>474</v>
      </c>
      <c r="P344" s="30">
        <f t="shared" si="345"/>
        <v>84</v>
      </c>
      <c r="Q344" s="30">
        <f t="shared" si="345"/>
        <v>125</v>
      </c>
      <c r="R344" s="30">
        <f t="shared" si="345"/>
        <v>39</v>
      </c>
      <c r="S344" s="30">
        <f t="shared" si="345"/>
        <v>15</v>
      </c>
      <c r="T344" s="30">
        <f t="shared" si="345"/>
        <v>211</v>
      </c>
      <c r="U344" s="38">
        <v>80.0</v>
      </c>
      <c r="V344" s="31">
        <f t="shared" si="3"/>
        <v>4</v>
      </c>
      <c r="W344" s="31">
        <f t="shared" si="4"/>
        <v>4</v>
      </c>
      <c r="X344" s="32">
        <f t="shared" si="5"/>
        <v>474</v>
      </c>
      <c r="Y344" s="31">
        <v>317.00000166893005</v>
      </c>
      <c r="Z344" s="33"/>
      <c r="AA344" s="28">
        <v>481.0</v>
      </c>
      <c r="AB344" s="30">
        <f t="shared" si="7"/>
        <v>538</v>
      </c>
      <c r="AC344" s="28">
        <v>652.0</v>
      </c>
      <c r="AD344" s="13"/>
      <c r="AE344" s="13"/>
      <c r="AF344" s="13"/>
      <c r="AG344" s="13"/>
      <c r="AH344" s="13"/>
      <c r="AI344" s="13"/>
      <c r="AJ344" s="13"/>
      <c r="AK344" s="13"/>
      <c r="AL344" s="13"/>
    </row>
    <row r="345" ht="15.75" customHeight="1">
      <c r="A345" s="34">
        <v>90502.0</v>
      </c>
      <c r="B345" s="35" t="s">
        <v>355</v>
      </c>
      <c r="C345" s="28">
        <v>589.0</v>
      </c>
      <c r="D345" s="28">
        <v>186.0</v>
      </c>
      <c r="E345" s="28">
        <v>105.0</v>
      </c>
      <c r="F345" s="28">
        <v>25.0</v>
      </c>
      <c r="G345" s="28">
        <v>16.0</v>
      </c>
      <c r="H345" s="28">
        <v>257.0</v>
      </c>
      <c r="I345" s="28">
        <v>708.0</v>
      </c>
      <c r="J345" s="28">
        <v>274.0</v>
      </c>
      <c r="K345" s="28">
        <v>110.0</v>
      </c>
      <c r="L345" s="28">
        <v>84.0</v>
      </c>
      <c r="M345" s="28">
        <v>27.0</v>
      </c>
      <c r="N345" s="28">
        <v>213.0</v>
      </c>
      <c r="O345" s="29">
        <f t="shared" ref="O345:T345" si="346">ROUND(C345 + ((2016-2012)*(I345-C345))/(2024-2012),0)</f>
        <v>629</v>
      </c>
      <c r="P345" s="36">
        <f t="shared" si="346"/>
        <v>215</v>
      </c>
      <c r="Q345" s="36">
        <f t="shared" si="346"/>
        <v>107</v>
      </c>
      <c r="R345" s="36">
        <f t="shared" si="346"/>
        <v>45</v>
      </c>
      <c r="S345" s="36">
        <f t="shared" si="346"/>
        <v>20</v>
      </c>
      <c r="T345" s="36">
        <f t="shared" si="346"/>
        <v>242</v>
      </c>
      <c r="U345" s="37">
        <v>116.0</v>
      </c>
      <c r="V345" s="31">
        <f t="shared" si="3"/>
        <v>99</v>
      </c>
      <c r="W345" s="31">
        <f t="shared" si="4"/>
        <v>99</v>
      </c>
      <c r="X345" s="32">
        <f t="shared" si="5"/>
        <v>629</v>
      </c>
      <c r="Y345" s="31">
        <v>217.00000017881393</v>
      </c>
      <c r="Z345" s="33"/>
      <c r="AA345" s="28">
        <v>616.0</v>
      </c>
      <c r="AB345" s="36">
        <f t="shared" si="7"/>
        <v>682</v>
      </c>
      <c r="AC345" s="28">
        <v>814.0</v>
      </c>
      <c r="AD345" s="13"/>
      <c r="AE345" s="13"/>
      <c r="AF345" s="13"/>
      <c r="AG345" s="13"/>
      <c r="AH345" s="13"/>
      <c r="AI345" s="13"/>
      <c r="AJ345" s="13"/>
      <c r="AK345" s="13"/>
      <c r="AL345" s="13"/>
    </row>
    <row r="346" ht="15.75" customHeight="1">
      <c r="A346" s="26">
        <v>90503.0</v>
      </c>
      <c r="B346" s="27" t="s">
        <v>356</v>
      </c>
      <c r="C346" s="28">
        <v>466.0</v>
      </c>
      <c r="D346" s="28">
        <v>66.0</v>
      </c>
      <c r="E346" s="28">
        <v>106.0</v>
      </c>
      <c r="F346" s="28">
        <v>43.0</v>
      </c>
      <c r="G346" s="28">
        <v>18.0</v>
      </c>
      <c r="H346" s="28">
        <v>233.0</v>
      </c>
      <c r="I346" s="28">
        <v>601.0</v>
      </c>
      <c r="J346" s="28">
        <v>188.0</v>
      </c>
      <c r="K346" s="28">
        <v>107.0</v>
      </c>
      <c r="L346" s="28">
        <v>48.0</v>
      </c>
      <c r="M346" s="28">
        <v>50.0</v>
      </c>
      <c r="N346" s="28">
        <v>208.0</v>
      </c>
      <c r="O346" s="29">
        <f t="shared" ref="O346:T346" si="347">ROUND(C346 + ((2016-2012)*(I346-C346))/(2024-2012),0)</f>
        <v>511</v>
      </c>
      <c r="P346" s="30">
        <f t="shared" si="347"/>
        <v>107</v>
      </c>
      <c r="Q346" s="30">
        <f t="shared" si="347"/>
        <v>106</v>
      </c>
      <c r="R346" s="30">
        <f t="shared" si="347"/>
        <v>45</v>
      </c>
      <c r="S346" s="30">
        <f t="shared" si="347"/>
        <v>29</v>
      </c>
      <c r="T346" s="30">
        <f t="shared" si="347"/>
        <v>225</v>
      </c>
      <c r="U346" s="38">
        <v>0.0</v>
      </c>
      <c r="V346" s="31">
        <f t="shared" si="3"/>
        <v>107</v>
      </c>
      <c r="W346" s="31">
        <f t="shared" si="4"/>
        <v>107</v>
      </c>
      <c r="X346" s="32">
        <f t="shared" si="5"/>
        <v>512</v>
      </c>
      <c r="Y346" s="31">
        <v>0.0</v>
      </c>
      <c r="Z346" s="33"/>
      <c r="AA346" s="28">
        <v>468.0</v>
      </c>
      <c r="AB346" s="30">
        <f t="shared" si="7"/>
        <v>530</v>
      </c>
      <c r="AC346" s="28">
        <v>655.0</v>
      </c>
      <c r="AD346" s="13"/>
      <c r="AE346" s="13"/>
      <c r="AF346" s="13"/>
      <c r="AG346" s="13"/>
      <c r="AH346" s="13"/>
      <c r="AI346" s="13"/>
      <c r="AJ346" s="13"/>
      <c r="AK346" s="13"/>
      <c r="AL346" s="13"/>
    </row>
    <row r="347" ht="15.75" customHeight="1">
      <c r="A347" s="39"/>
      <c r="B347" s="40"/>
      <c r="C347" s="41">
        <f t="shared" ref="C347:D347" si="348">SUM(C4:C346)</f>
        <v>2803982</v>
      </c>
      <c r="D347" s="42">
        <f t="shared" si="348"/>
        <v>2225608</v>
      </c>
      <c r="E347" s="40"/>
      <c r="F347" s="40"/>
      <c r="G347" s="40"/>
      <c r="H347" s="40"/>
      <c r="I347" s="41">
        <f t="shared" ref="I347:J347" si="349">SUM(I4:I346)</f>
        <v>3623711</v>
      </c>
      <c r="J347" s="42">
        <f t="shared" si="349"/>
        <v>3130729</v>
      </c>
      <c r="K347" s="43"/>
      <c r="L347" s="43"/>
      <c r="M347" s="40"/>
      <c r="N347" s="40"/>
      <c r="O347" s="44">
        <f t="shared" ref="O347:T347" si="350">SUM(O4:O346)</f>
        <v>3077234</v>
      </c>
      <c r="P347" s="45">
        <f t="shared" si="350"/>
        <v>2527313</v>
      </c>
      <c r="Q347" s="45">
        <f t="shared" si="350"/>
        <v>26785</v>
      </c>
      <c r="R347" s="45">
        <f t="shared" si="350"/>
        <v>41220</v>
      </c>
      <c r="S347" s="45">
        <f t="shared" si="350"/>
        <v>23761</v>
      </c>
      <c r="T347" s="45">
        <f t="shared" si="350"/>
        <v>458157</v>
      </c>
      <c r="U347" s="40"/>
      <c r="V347" s="31">
        <f>SUM(V4:V346)</f>
        <v>-24698</v>
      </c>
      <c r="W347" s="33"/>
      <c r="X347" s="32">
        <f>SUM(X4:X346)</f>
        <v>3302062</v>
      </c>
      <c r="Y347" s="9"/>
      <c r="Z347" s="9"/>
      <c r="AA347" s="40"/>
      <c r="AB347" s="40"/>
      <c r="AC347" s="43"/>
      <c r="AD347" s="46"/>
      <c r="AE347" s="13"/>
      <c r="AF347" s="13"/>
      <c r="AG347" s="13"/>
      <c r="AH347" s="13"/>
      <c r="AI347" s="13"/>
      <c r="AJ347" s="13"/>
      <c r="AK347" s="13"/>
      <c r="AL347" s="13"/>
    </row>
    <row r="348" ht="15.75" customHeight="1">
      <c r="A348" s="47"/>
      <c r="B348" s="48"/>
      <c r="C348" s="48"/>
      <c r="D348" s="48"/>
      <c r="E348" s="48"/>
      <c r="F348" s="48"/>
      <c r="G348" s="48"/>
      <c r="H348" s="48"/>
      <c r="I348" s="48"/>
      <c r="J348" s="48"/>
      <c r="K348" s="48"/>
      <c r="L348" s="48"/>
      <c r="M348" s="48"/>
      <c r="N348" s="48"/>
      <c r="O348" s="33"/>
      <c r="P348" s="33"/>
      <c r="Q348" s="33"/>
      <c r="R348" s="33"/>
      <c r="S348" s="33"/>
      <c r="T348" s="48"/>
      <c r="U348" s="48"/>
      <c r="V348" s="9"/>
      <c r="W348" s="9"/>
      <c r="X348" s="49"/>
      <c r="Y348" s="9"/>
      <c r="Z348" s="9"/>
      <c r="AA348" s="48"/>
      <c r="AB348" s="48"/>
      <c r="AC348" s="48"/>
      <c r="AD348" s="13"/>
      <c r="AE348" s="13"/>
      <c r="AF348" s="13"/>
      <c r="AG348" s="13"/>
      <c r="AH348" s="13"/>
      <c r="AI348" s="13"/>
      <c r="AJ348" s="13"/>
      <c r="AK348" s="13"/>
      <c r="AL348" s="13"/>
    </row>
    <row r="349" ht="15.75" customHeight="1">
      <c r="A349" s="47"/>
      <c r="B349" s="48"/>
      <c r="C349" s="48"/>
      <c r="D349" s="48"/>
      <c r="E349" s="48"/>
      <c r="F349" s="48"/>
      <c r="G349" s="48"/>
      <c r="H349" s="48"/>
      <c r="I349" s="48"/>
      <c r="J349" s="48"/>
      <c r="K349" s="48"/>
      <c r="L349" s="48"/>
      <c r="M349" s="48"/>
      <c r="N349" s="48"/>
      <c r="O349" s="50"/>
      <c r="P349" s="33"/>
      <c r="Q349" s="51"/>
      <c r="R349" s="45"/>
      <c r="S349" s="33"/>
      <c r="T349" s="48"/>
      <c r="U349" s="48"/>
      <c r="V349" s="9"/>
      <c r="W349" s="9"/>
      <c r="X349" s="49"/>
      <c r="Y349" s="9"/>
      <c r="Z349" s="9"/>
      <c r="AA349" s="48"/>
      <c r="AB349" s="48"/>
      <c r="AC349" s="48"/>
      <c r="AD349" s="13"/>
      <c r="AE349" s="13"/>
      <c r="AF349" s="13"/>
      <c r="AG349" s="13"/>
      <c r="AH349" s="13"/>
      <c r="AI349" s="13"/>
      <c r="AJ349" s="13"/>
      <c r="AK349" s="13"/>
      <c r="AL349" s="13"/>
    </row>
    <row r="350" ht="15.75" customHeight="1">
      <c r="A350" s="47"/>
      <c r="B350" s="48"/>
      <c r="C350" s="48"/>
      <c r="D350" s="48"/>
      <c r="E350" s="48"/>
      <c r="F350" s="48"/>
      <c r="G350" s="48"/>
      <c r="H350" s="48"/>
      <c r="I350" s="48"/>
      <c r="J350" s="48"/>
      <c r="K350" s="48"/>
      <c r="L350" s="48"/>
      <c r="M350" s="48"/>
      <c r="N350" s="48"/>
      <c r="O350" s="33"/>
      <c r="P350" s="33"/>
      <c r="Q350" s="33"/>
      <c r="R350" s="33"/>
      <c r="S350" s="33"/>
      <c r="T350" s="48"/>
      <c r="U350" s="48"/>
      <c r="V350" s="9"/>
      <c r="W350" s="9"/>
      <c r="X350" s="49"/>
      <c r="Y350" s="9"/>
      <c r="Z350" s="9"/>
      <c r="AA350" s="48"/>
      <c r="AB350" s="48"/>
      <c r="AC350" s="48"/>
      <c r="AD350" s="13"/>
      <c r="AE350" s="13"/>
      <c r="AF350" s="13"/>
      <c r="AG350" s="13"/>
      <c r="AH350" s="13"/>
      <c r="AI350" s="13"/>
      <c r="AJ350" s="13"/>
      <c r="AK350" s="13"/>
      <c r="AL350" s="13"/>
    </row>
    <row r="351" ht="15.75" customHeight="1">
      <c r="A351" s="47"/>
      <c r="B351" s="48"/>
      <c r="C351" s="48"/>
      <c r="D351" s="48"/>
      <c r="E351" s="48"/>
      <c r="F351" s="48"/>
      <c r="G351" s="48"/>
      <c r="H351" s="48"/>
      <c r="I351" s="48"/>
      <c r="J351" s="48"/>
      <c r="K351" s="48"/>
      <c r="L351" s="48"/>
      <c r="M351" s="48"/>
      <c r="N351" s="48"/>
      <c r="O351" s="45">
        <v>2552011.0</v>
      </c>
      <c r="P351" s="33"/>
      <c r="Q351" s="33"/>
      <c r="R351" s="44" t="str">
        <f>#REF!-R349</f>
        <v>#REF!</v>
      </c>
      <c r="S351" s="33"/>
      <c r="T351" s="48"/>
      <c r="U351" s="48"/>
      <c r="V351" s="9"/>
      <c r="W351" s="9"/>
      <c r="X351" s="49"/>
      <c r="Y351" s="9"/>
      <c r="Z351" s="9"/>
      <c r="AA351" s="48"/>
      <c r="AB351" s="48"/>
      <c r="AC351" s="48"/>
      <c r="AD351" s="13"/>
      <c r="AE351" s="13"/>
      <c r="AF351" s="13"/>
      <c r="AG351" s="13"/>
      <c r="AH351" s="13"/>
      <c r="AI351" s="13"/>
      <c r="AJ351" s="13"/>
      <c r="AK351" s="13"/>
      <c r="AL351" s="13"/>
    </row>
    <row r="352" ht="15.75" customHeight="1">
      <c r="A352" s="47"/>
      <c r="B352" s="48"/>
      <c r="C352" s="48"/>
      <c r="D352" s="48"/>
      <c r="E352" s="48"/>
      <c r="F352" s="48"/>
      <c r="G352" s="48"/>
      <c r="H352" s="48"/>
      <c r="I352" s="48"/>
      <c r="J352" s="48"/>
      <c r="K352" s="48"/>
      <c r="L352" s="48"/>
      <c r="M352" s="48"/>
      <c r="N352" s="48"/>
      <c r="O352" s="33"/>
      <c r="P352" s="33"/>
      <c r="Q352" s="33"/>
      <c r="R352" s="33"/>
      <c r="S352" s="33"/>
      <c r="T352" s="48"/>
      <c r="U352" s="48"/>
      <c r="V352" s="9"/>
      <c r="W352" s="9"/>
      <c r="X352" s="49"/>
      <c r="Y352" s="9"/>
      <c r="Z352" s="9"/>
      <c r="AA352" s="48"/>
      <c r="AB352" s="48"/>
      <c r="AC352" s="48"/>
      <c r="AD352" s="13"/>
      <c r="AE352" s="13"/>
      <c r="AF352" s="13"/>
      <c r="AG352" s="13"/>
      <c r="AH352" s="13"/>
      <c r="AI352" s="13"/>
      <c r="AJ352" s="13"/>
      <c r="AK352" s="13"/>
      <c r="AL352" s="13"/>
    </row>
    <row r="353" ht="15.75" customHeight="1">
      <c r="A353" s="47"/>
      <c r="B353" s="48"/>
      <c r="C353" s="48"/>
      <c r="D353" s="48"/>
      <c r="E353" s="48"/>
      <c r="F353" s="48"/>
      <c r="G353" s="48"/>
      <c r="H353" s="48"/>
      <c r="I353" s="48"/>
      <c r="J353" s="48"/>
      <c r="K353" s="48"/>
      <c r="L353" s="48"/>
      <c r="M353" s="48"/>
      <c r="N353" s="48"/>
      <c r="O353" s="52">
        <f>O351-O347</f>
        <v>-525223</v>
      </c>
      <c r="P353" s="33"/>
      <c r="Q353" s="33"/>
      <c r="R353" s="33"/>
      <c r="S353" s="33"/>
      <c r="T353" s="48"/>
      <c r="U353" s="48"/>
      <c r="V353" s="9"/>
      <c r="W353" s="9"/>
      <c r="X353" s="49"/>
      <c r="Y353" s="9"/>
      <c r="Z353" s="9"/>
      <c r="AA353" s="48"/>
      <c r="AB353" s="48"/>
      <c r="AC353" s="48"/>
      <c r="AD353" s="13"/>
      <c r="AE353" s="13"/>
      <c r="AF353" s="13"/>
      <c r="AG353" s="13"/>
      <c r="AH353" s="13"/>
      <c r="AI353" s="13"/>
      <c r="AJ353" s="13"/>
      <c r="AK353" s="13"/>
      <c r="AL353" s="13"/>
    </row>
    <row r="354" ht="15.75" customHeight="1">
      <c r="A354" s="47"/>
      <c r="B354" s="48"/>
      <c r="C354" s="48"/>
      <c r="D354" s="48"/>
      <c r="E354" s="48"/>
      <c r="F354" s="48"/>
      <c r="G354" s="48"/>
      <c r="H354" s="48"/>
      <c r="I354" s="48"/>
      <c r="J354" s="48"/>
      <c r="K354" s="48"/>
      <c r="L354" s="48"/>
      <c r="M354" s="48"/>
      <c r="N354" s="48"/>
      <c r="O354" s="33"/>
      <c r="P354" s="33"/>
      <c r="Q354" s="33"/>
      <c r="R354" s="33"/>
      <c r="S354" s="33"/>
      <c r="T354" s="48"/>
      <c r="U354" s="48"/>
      <c r="V354" s="9"/>
      <c r="W354" s="9"/>
      <c r="X354" s="49"/>
      <c r="Y354" s="9"/>
      <c r="Z354" s="9"/>
      <c r="AA354" s="48"/>
      <c r="AB354" s="48"/>
      <c r="AC354" s="48"/>
      <c r="AD354" s="13"/>
      <c r="AE354" s="13"/>
      <c r="AF354" s="13"/>
      <c r="AG354" s="13"/>
      <c r="AH354" s="13"/>
      <c r="AI354" s="13"/>
      <c r="AJ354" s="13"/>
      <c r="AK354" s="13"/>
      <c r="AL354" s="13"/>
    </row>
    <row r="355" ht="15.75" customHeight="1">
      <c r="A355" s="47"/>
      <c r="B355" s="48"/>
      <c r="C355" s="48"/>
      <c r="D355" s="48"/>
      <c r="E355" s="48"/>
      <c r="F355" s="48"/>
      <c r="G355" s="48"/>
      <c r="H355" s="48"/>
      <c r="I355" s="48"/>
      <c r="J355" s="48"/>
      <c r="K355" s="48"/>
      <c r="L355" s="48"/>
      <c r="M355" s="48"/>
      <c r="N355" s="48"/>
      <c r="O355" s="33"/>
      <c r="P355" s="33"/>
      <c r="Q355" s="33"/>
      <c r="R355" s="33"/>
      <c r="S355" s="33"/>
      <c r="T355" s="48"/>
      <c r="U355" s="48"/>
      <c r="V355" s="9"/>
      <c r="W355" s="9"/>
      <c r="X355" s="49"/>
      <c r="Y355" s="9"/>
      <c r="Z355" s="9"/>
      <c r="AA355" s="48"/>
      <c r="AB355" s="48"/>
      <c r="AC355" s="48"/>
      <c r="AD355" s="13"/>
      <c r="AE355" s="13"/>
      <c r="AF355" s="13"/>
      <c r="AG355" s="13"/>
      <c r="AH355" s="13"/>
      <c r="AI355" s="13"/>
      <c r="AJ355" s="13"/>
      <c r="AK355" s="13"/>
      <c r="AL355" s="13"/>
    </row>
    <row r="356" ht="15.75" customHeight="1">
      <c r="A356" s="47"/>
      <c r="B356" s="48"/>
      <c r="C356" s="48"/>
      <c r="D356" s="48"/>
      <c r="E356" s="48"/>
      <c r="F356" s="48"/>
      <c r="G356" s="48"/>
      <c r="H356" s="48"/>
      <c r="I356" s="48"/>
      <c r="J356" s="48"/>
      <c r="K356" s="48"/>
      <c r="L356" s="48"/>
      <c r="M356" s="48"/>
      <c r="N356" s="48"/>
      <c r="O356" s="51" t="s">
        <v>357</v>
      </c>
      <c r="P356" s="33"/>
      <c r="Q356" s="33"/>
      <c r="R356" s="33"/>
      <c r="S356" s="33"/>
      <c r="T356" s="48"/>
      <c r="U356" s="48"/>
      <c r="V356" s="9"/>
      <c r="W356" s="9"/>
      <c r="X356" s="49"/>
      <c r="Y356" s="9"/>
      <c r="Z356" s="9"/>
      <c r="AA356" s="48"/>
      <c r="AB356" s="48"/>
      <c r="AC356" s="48"/>
      <c r="AD356" s="13"/>
      <c r="AE356" s="13"/>
      <c r="AF356" s="13"/>
      <c r="AG356" s="13"/>
      <c r="AH356" s="13"/>
      <c r="AI356" s="13"/>
      <c r="AJ356" s="13"/>
      <c r="AK356" s="13"/>
      <c r="AL356" s="13"/>
    </row>
    <row r="357" ht="15.75" customHeight="1">
      <c r="A357" s="47"/>
      <c r="B357" s="48"/>
      <c r="C357" s="48"/>
      <c r="D357" s="48"/>
      <c r="E357" s="48"/>
      <c r="F357" s="48"/>
      <c r="G357" s="48"/>
      <c r="H357" s="48"/>
      <c r="I357" s="48"/>
      <c r="J357" s="48"/>
      <c r="K357" s="48"/>
      <c r="L357" s="48"/>
      <c r="M357" s="48"/>
      <c r="N357" s="48"/>
      <c r="O357" s="33"/>
      <c r="P357" s="33"/>
      <c r="Q357" s="33"/>
      <c r="R357" s="33"/>
      <c r="S357" s="33"/>
      <c r="T357" s="48"/>
      <c r="U357" s="48"/>
      <c r="V357" s="9"/>
      <c r="W357" s="9"/>
      <c r="X357" s="49"/>
      <c r="Y357" s="9"/>
      <c r="Z357" s="9"/>
      <c r="AA357" s="48"/>
      <c r="AB357" s="48"/>
      <c r="AC357" s="48"/>
      <c r="AD357" s="13"/>
      <c r="AE357" s="13"/>
      <c r="AF357" s="13"/>
      <c r="AG357" s="13"/>
      <c r="AH357" s="13"/>
      <c r="AI357" s="13"/>
      <c r="AJ357" s="13"/>
      <c r="AK357" s="13"/>
      <c r="AL357" s="13"/>
    </row>
    <row r="358" ht="15.75" customHeight="1">
      <c r="A358" s="47"/>
      <c r="B358" s="48"/>
      <c r="C358" s="48"/>
      <c r="D358" s="48"/>
      <c r="E358" s="48"/>
      <c r="F358" s="48"/>
      <c r="G358" s="48"/>
      <c r="H358" s="48"/>
      <c r="I358" s="48"/>
      <c r="J358" s="48"/>
      <c r="K358" s="48"/>
      <c r="L358" s="48"/>
      <c r="M358" s="48"/>
      <c r="N358" s="48"/>
      <c r="O358" s="33"/>
      <c r="P358" s="33"/>
      <c r="Q358" s="33"/>
      <c r="R358" s="33"/>
      <c r="S358" s="33"/>
      <c r="T358" s="48"/>
      <c r="U358" s="48"/>
      <c r="V358" s="9"/>
      <c r="W358" s="9"/>
      <c r="X358" s="49"/>
      <c r="Y358" s="9"/>
      <c r="Z358" s="9"/>
      <c r="AA358" s="48"/>
      <c r="AB358" s="48"/>
      <c r="AC358" s="48"/>
      <c r="AD358" s="13"/>
      <c r="AE358" s="13"/>
      <c r="AF358" s="13"/>
      <c r="AG358" s="13"/>
      <c r="AH358" s="13"/>
      <c r="AI358" s="13"/>
      <c r="AJ358" s="13"/>
      <c r="AK358" s="13"/>
      <c r="AL358" s="13"/>
    </row>
    <row r="359" ht="15.75" customHeight="1">
      <c r="A359" s="47"/>
      <c r="B359" s="48"/>
      <c r="C359" s="48"/>
      <c r="D359" s="48"/>
      <c r="E359" s="48"/>
      <c r="F359" s="48"/>
      <c r="G359" s="48"/>
      <c r="H359" s="48"/>
      <c r="I359" s="48"/>
      <c r="J359" s="48"/>
      <c r="K359" s="48"/>
      <c r="L359" s="48"/>
      <c r="M359" s="48"/>
      <c r="N359" s="48"/>
      <c r="O359" s="33"/>
      <c r="P359" s="33"/>
      <c r="Q359" s="33"/>
      <c r="R359" s="33"/>
      <c r="S359" s="33"/>
      <c r="T359" s="48"/>
      <c r="U359" s="48"/>
      <c r="V359" s="9"/>
      <c r="W359" s="9"/>
      <c r="X359" s="49"/>
      <c r="Y359" s="9"/>
      <c r="Z359" s="9"/>
      <c r="AA359" s="48"/>
      <c r="AB359" s="48"/>
      <c r="AC359" s="48"/>
      <c r="AD359" s="13"/>
      <c r="AE359" s="13"/>
      <c r="AF359" s="13"/>
      <c r="AG359" s="13"/>
      <c r="AH359" s="13"/>
      <c r="AI359" s="13"/>
      <c r="AJ359" s="13"/>
      <c r="AK359" s="13"/>
      <c r="AL359" s="13"/>
    </row>
    <row r="360" ht="15.75" customHeight="1">
      <c r="A360" s="47"/>
      <c r="B360" s="48"/>
      <c r="C360" s="48"/>
      <c r="D360" s="48"/>
      <c r="E360" s="48"/>
      <c r="F360" s="48"/>
      <c r="G360" s="48"/>
      <c r="H360" s="48"/>
      <c r="I360" s="48"/>
      <c r="J360" s="48"/>
      <c r="K360" s="48"/>
      <c r="L360" s="48"/>
      <c r="M360" s="48"/>
      <c r="N360" s="48"/>
      <c r="O360" s="33"/>
      <c r="P360" s="33"/>
      <c r="Q360" s="33"/>
      <c r="R360" s="33"/>
      <c r="S360" s="33"/>
      <c r="T360" s="48"/>
      <c r="U360" s="48"/>
      <c r="V360" s="9"/>
      <c r="W360" s="9"/>
      <c r="X360" s="49"/>
      <c r="Y360" s="9"/>
      <c r="Z360" s="9"/>
      <c r="AA360" s="48"/>
      <c r="AB360" s="48"/>
      <c r="AC360" s="48"/>
      <c r="AD360" s="13"/>
      <c r="AE360" s="13"/>
      <c r="AF360" s="13"/>
      <c r="AG360" s="13"/>
      <c r="AH360" s="13"/>
      <c r="AI360" s="13"/>
      <c r="AJ360" s="13"/>
      <c r="AK360" s="13"/>
      <c r="AL360" s="13"/>
    </row>
    <row r="361" ht="15.75" customHeight="1">
      <c r="A361" s="47"/>
      <c r="B361" s="48"/>
      <c r="C361" s="48"/>
      <c r="D361" s="48"/>
      <c r="E361" s="48"/>
      <c r="F361" s="48"/>
      <c r="G361" s="48"/>
      <c r="H361" s="48"/>
      <c r="I361" s="48"/>
      <c r="J361" s="48"/>
      <c r="K361" s="48"/>
      <c r="L361" s="48"/>
      <c r="M361" s="48"/>
      <c r="N361" s="48"/>
      <c r="O361" s="33"/>
      <c r="P361" s="33"/>
      <c r="Q361" s="33"/>
      <c r="R361" s="33"/>
      <c r="S361" s="33"/>
      <c r="T361" s="48"/>
      <c r="U361" s="48"/>
      <c r="V361" s="9"/>
      <c r="W361" s="9"/>
      <c r="X361" s="49"/>
      <c r="Y361" s="9"/>
      <c r="Z361" s="9"/>
      <c r="AA361" s="48"/>
      <c r="AB361" s="48"/>
      <c r="AC361" s="48"/>
      <c r="AD361" s="13"/>
      <c r="AE361" s="13"/>
      <c r="AF361" s="13"/>
      <c r="AG361" s="13"/>
      <c r="AH361" s="13"/>
      <c r="AI361" s="13"/>
      <c r="AJ361" s="13"/>
      <c r="AK361" s="13"/>
      <c r="AL361" s="13"/>
    </row>
    <row r="362" ht="15.75" customHeight="1">
      <c r="A362" s="47"/>
      <c r="B362" s="48"/>
      <c r="C362" s="48"/>
      <c r="D362" s="48"/>
      <c r="E362" s="48"/>
      <c r="F362" s="48"/>
      <c r="G362" s="48"/>
      <c r="H362" s="48"/>
      <c r="I362" s="48"/>
      <c r="J362" s="48"/>
      <c r="K362" s="48"/>
      <c r="L362" s="48"/>
      <c r="M362" s="48"/>
      <c r="N362" s="48"/>
      <c r="O362" s="33"/>
      <c r="P362" s="33"/>
      <c r="Q362" s="33"/>
      <c r="R362" s="33"/>
      <c r="S362" s="33"/>
      <c r="T362" s="48"/>
      <c r="U362" s="48"/>
      <c r="V362" s="9"/>
      <c r="W362" s="9"/>
      <c r="X362" s="49"/>
      <c r="Y362" s="9"/>
      <c r="Z362" s="9"/>
      <c r="AA362" s="48"/>
      <c r="AB362" s="48"/>
      <c r="AC362" s="48"/>
      <c r="AD362" s="13"/>
      <c r="AE362" s="13"/>
      <c r="AF362" s="13"/>
      <c r="AG362" s="13"/>
      <c r="AH362" s="13"/>
      <c r="AI362" s="13"/>
      <c r="AJ362" s="13"/>
      <c r="AK362" s="13"/>
      <c r="AL362" s="13"/>
    </row>
    <row r="363" ht="15.75" customHeight="1">
      <c r="A363" s="47"/>
      <c r="B363" s="48"/>
      <c r="C363" s="48"/>
      <c r="D363" s="48"/>
      <c r="E363" s="48"/>
      <c r="F363" s="48"/>
      <c r="G363" s="48"/>
      <c r="H363" s="48"/>
      <c r="I363" s="48"/>
      <c r="J363" s="48"/>
      <c r="K363" s="48"/>
      <c r="L363" s="48"/>
      <c r="M363" s="48"/>
      <c r="N363" s="48"/>
      <c r="O363" s="33"/>
      <c r="P363" s="33"/>
      <c r="Q363" s="33"/>
      <c r="R363" s="33"/>
      <c r="S363" s="33"/>
      <c r="T363" s="48"/>
      <c r="U363" s="48"/>
      <c r="V363" s="9"/>
      <c r="W363" s="9"/>
      <c r="X363" s="49"/>
      <c r="Y363" s="9"/>
      <c r="Z363" s="9"/>
      <c r="AA363" s="48"/>
      <c r="AB363" s="48"/>
      <c r="AC363" s="48"/>
      <c r="AD363" s="13"/>
      <c r="AE363" s="13"/>
      <c r="AF363" s="13"/>
      <c r="AG363" s="13"/>
      <c r="AH363" s="13"/>
      <c r="AI363" s="13"/>
      <c r="AJ363" s="13"/>
      <c r="AK363" s="13"/>
      <c r="AL363" s="13"/>
    </row>
    <row r="364" ht="15.75" customHeight="1">
      <c r="A364" s="47"/>
      <c r="B364" s="48"/>
      <c r="C364" s="48"/>
      <c r="D364" s="48"/>
      <c r="E364" s="48"/>
      <c r="F364" s="48"/>
      <c r="G364" s="48"/>
      <c r="H364" s="48"/>
      <c r="I364" s="48"/>
      <c r="J364" s="48"/>
      <c r="K364" s="48"/>
      <c r="L364" s="48"/>
      <c r="M364" s="48"/>
      <c r="N364" s="48"/>
      <c r="O364" s="33"/>
      <c r="P364" s="33"/>
      <c r="Q364" s="33"/>
      <c r="R364" s="33"/>
      <c r="S364" s="33"/>
      <c r="T364" s="48"/>
      <c r="U364" s="48"/>
      <c r="V364" s="9"/>
      <c r="W364" s="9"/>
      <c r="X364" s="49"/>
      <c r="Y364" s="9"/>
      <c r="Z364" s="9"/>
      <c r="AA364" s="48"/>
      <c r="AB364" s="48"/>
      <c r="AC364" s="48"/>
      <c r="AD364" s="13"/>
      <c r="AE364" s="13"/>
      <c r="AF364" s="13"/>
      <c r="AG364" s="13"/>
      <c r="AH364" s="13"/>
      <c r="AI364" s="13"/>
      <c r="AJ364" s="13"/>
      <c r="AK364" s="13"/>
      <c r="AL364" s="13"/>
    </row>
    <row r="365" ht="15.75" customHeight="1">
      <c r="A365" s="47"/>
      <c r="B365" s="48"/>
      <c r="C365" s="48"/>
      <c r="D365" s="48"/>
      <c r="E365" s="48"/>
      <c r="F365" s="48"/>
      <c r="G365" s="48"/>
      <c r="H365" s="48"/>
      <c r="I365" s="48"/>
      <c r="J365" s="48"/>
      <c r="K365" s="48"/>
      <c r="L365" s="48"/>
      <c r="M365" s="48"/>
      <c r="N365" s="48"/>
      <c r="O365" s="33"/>
      <c r="P365" s="33"/>
      <c r="Q365" s="33"/>
      <c r="R365" s="33"/>
      <c r="S365" s="33"/>
      <c r="T365" s="48"/>
      <c r="U365" s="48"/>
      <c r="V365" s="9"/>
      <c r="W365" s="9"/>
      <c r="X365" s="49"/>
      <c r="Y365" s="9"/>
      <c r="Z365" s="9"/>
      <c r="AA365" s="48"/>
      <c r="AB365" s="48"/>
      <c r="AC365" s="48"/>
      <c r="AD365" s="13"/>
      <c r="AE365" s="13"/>
      <c r="AF365" s="13"/>
      <c r="AG365" s="13"/>
      <c r="AH365" s="13"/>
      <c r="AI365" s="13"/>
      <c r="AJ365" s="13"/>
      <c r="AK365" s="13"/>
      <c r="AL365" s="13"/>
    </row>
    <row r="366" ht="15.75" customHeight="1">
      <c r="A366" s="47"/>
      <c r="B366" s="48"/>
      <c r="C366" s="48"/>
      <c r="D366" s="48"/>
      <c r="E366" s="48"/>
      <c r="F366" s="48"/>
      <c r="G366" s="48"/>
      <c r="H366" s="48"/>
      <c r="I366" s="48"/>
      <c r="J366" s="48"/>
      <c r="K366" s="48"/>
      <c r="L366" s="48"/>
      <c r="M366" s="48"/>
      <c r="N366" s="48"/>
      <c r="O366" s="33"/>
      <c r="P366" s="33"/>
      <c r="Q366" s="33"/>
      <c r="R366" s="33"/>
      <c r="S366" s="33"/>
      <c r="T366" s="48"/>
      <c r="U366" s="48"/>
      <c r="V366" s="9"/>
      <c r="W366" s="9"/>
      <c r="X366" s="49"/>
      <c r="Y366" s="9"/>
      <c r="Z366" s="9"/>
      <c r="AA366" s="48"/>
      <c r="AB366" s="48"/>
      <c r="AC366" s="48"/>
      <c r="AD366" s="13"/>
      <c r="AE366" s="13"/>
      <c r="AF366" s="13"/>
      <c r="AG366" s="13"/>
      <c r="AH366" s="13"/>
      <c r="AI366" s="13"/>
      <c r="AJ366" s="13"/>
      <c r="AK366" s="13"/>
      <c r="AL366" s="13"/>
    </row>
    <row r="367" ht="15.75" customHeight="1">
      <c r="A367" s="47"/>
      <c r="B367" s="48"/>
      <c r="C367" s="48"/>
      <c r="D367" s="48"/>
      <c r="E367" s="48"/>
      <c r="F367" s="48"/>
      <c r="G367" s="48"/>
      <c r="H367" s="48"/>
      <c r="I367" s="48"/>
      <c r="J367" s="48"/>
      <c r="K367" s="48"/>
      <c r="L367" s="48"/>
      <c r="M367" s="48"/>
      <c r="N367" s="48"/>
      <c r="O367" s="33"/>
      <c r="P367" s="33"/>
      <c r="Q367" s="33"/>
      <c r="R367" s="33"/>
      <c r="S367" s="33"/>
      <c r="T367" s="48"/>
      <c r="U367" s="48"/>
      <c r="V367" s="9"/>
      <c r="W367" s="9"/>
      <c r="X367" s="49"/>
      <c r="Y367" s="9"/>
      <c r="Z367" s="9"/>
      <c r="AA367" s="48"/>
      <c r="AB367" s="48"/>
      <c r="AC367" s="48"/>
      <c r="AD367" s="13"/>
      <c r="AE367" s="13"/>
      <c r="AF367" s="13"/>
      <c r="AG367" s="13"/>
      <c r="AH367" s="13"/>
      <c r="AI367" s="13"/>
      <c r="AJ367" s="13"/>
      <c r="AK367" s="13"/>
      <c r="AL367" s="13"/>
    </row>
    <row r="368" ht="15.75" customHeight="1">
      <c r="A368" s="47"/>
      <c r="B368" s="48"/>
      <c r="C368" s="48"/>
      <c r="D368" s="48"/>
      <c r="E368" s="48"/>
      <c r="F368" s="48"/>
      <c r="G368" s="48"/>
      <c r="H368" s="48"/>
      <c r="I368" s="48"/>
      <c r="J368" s="48"/>
      <c r="K368" s="48"/>
      <c r="L368" s="48"/>
      <c r="M368" s="48"/>
      <c r="N368" s="48"/>
      <c r="O368" s="33"/>
      <c r="P368" s="33"/>
      <c r="Q368" s="33"/>
      <c r="R368" s="33"/>
      <c r="S368" s="33"/>
      <c r="T368" s="48"/>
      <c r="U368" s="48"/>
      <c r="V368" s="9"/>
      <c r="W368" s="9"/>
      <c r="X368" s="49"/>
      <c r="Y368" s="9"/>
      <c r="Z368" s="9"/>
      <c r="AA368" s="48"/>
      <c r="AB368" s="48"/>
      <c r="AC368" s="48"/>
      <c r="AD368" s="13"/>
      <c r="AE368" s="13"/>
      <c r="AF368" s="13"/>
      <c r="AG368" s="13"/>
      <c r="AH368" s="13"/>
      <c r="AI368" s="13"/>
      <c r="AJ368" s="13"/>
      <c r="AK368" s="13"/>
      <c r="AL368" s="13"/>
    </row>
    <row r="369" ht="15.75" customHeight="1">
      <c r="A369" s="47"/>
      <c r="B369" s="48"/>
      <c r="C369" s="48"/>
      <c r="D369" s="48"/>
      <c r="E369" s="48"/>
      <c r="F369" s="48"/>
      <c r="G369" s="48"/>
      <c r="H369" s="48"/>
      <c r="I369" s="48"/>
      <c r="J369" s="48"/>
      <c r="K369" s="48"/>
      <c r="L369" s="48"/>
      <c r="M369" s="48"/>
      <c r="N369" s="48"/>
      <c r="O369" s="33"/>
      <c r="P369" s="33"/>
      <c r="Q369" s="33"/>
      <c r="R369" s="33"/>
      <c r="S369" s="33"/>
      <c r="T369" s="48"/>
      <c r="U369" s="48"/>
      <c r="V369" s="9"/>
      <c r="W369" s="9"/>
      <c r="X369" s="49"/>
      <c r="Y369" s="9"/>
      <c r="Z369" s="9"/>
      <c r="AA369" s="48"/>
      <c r="AB369" s="48"/>
      <c r="AC369" s="48"/>
      <c r="AD369" s="13"/>
      <c r="AE369" s="13"/>
      <c r="AF369" s="13"/>
      <c r="AG369" s="13"/>
      <c r="AH369" s="13"/>
      <c r="AI369" s="13"/>
      <c r="AJ369" s="13"/>
      <c r="AK369" s="13"/>
      <c r="AL369" s="13"/>
    </row>
    <row r="370" ht="15.75" customHeight="1">
      <c r="A370" s="47"/>
      <c r="B370" s="48"/>
      <c r="C370" s="48"/>
      <c r="D370" s="48"/>
      <c r="E370" s="48"/>
      <c r="F370" s="48"/>
      <c r="G370" s="48"/>
      <c r="H370" s="48"/>
      <c r="I370" s="48"/>
      <c r="J370" s="48"/>
      <c r="K370" s="48"/>
      <c r="L370" s="48"/>
      <c r="M370" s="48"/>
      <c r="N370" s="48"/>
      <c r="O370" s="33"/>
      <c r="P370" s="33"/>
      <c r="Q370" s="33"/>
      <c r="R370" s="33"/>
      <c r="S370" s="33"/>
      <c r="T370" s="48"/>
      <c r="U370" s="48"/>
      <c r="V370" s="9"/>
      <c r="W370" s="9"/>
      <c r="X370" s="49"/>
      <c r="Y370" s="9"/>
      <c r="Z370" s="9"/>
      <c r="AA370" s="48"/>
      <c r="AB370" s="48"/>
      <c r="AC370" s="48"/>
      <c r="AD370" s="13"/>
      <c r="AE370" s="13"/>
      <c r="AF370" s="13"/>
      <c r="AG370" s="13"/>
      <c r="AH370" s="13"/>
      <c r="AI370" s="13"/>
      <c r="AJ370" s="13"/>
      <c r="AK370" s="13"/>
      <c r="AL370" s="13"/>
    </row>
    <row r="371" ht="15.75" customHeight="1">
      <c r="A371" s="47"/>
      <c r="B371" s="48"/>
      <c r="C371" s="48"/>
      <c r="D371" s="48"/>
      <c r="E371" s="48"/>
      <c r="F371" s="48"/>
      <c r="G371" s="48"/>
      <c r="H371" s="48"/>
      <c r="I371" s="48"/>
      <c r="J371" s="48"/>
      <c r="K371" s="48"/>
      <c r="L371" s="48"/>
      <c r="M371" s="48"/>
      <c r="N371" s="48"/>
      <c r="O371" s="33"/>
      <c r="P371" s="33"/>
      <c r="Q371" s="33"/>
      <c r="R371" s="33"/>
      <c r="S371" s="33"/>
      <c r="T371" s="48"/>
      <c r="U371" s="48"/>
      <c r="V371" s="9"/>
      <c r="W371" s="9"/>
      <c r="X371" s="49"/>
      <c r="Y371" s="9"/>
      <c r="Z371" s="9"/>
      <c r="AA371" s="48"/>
      <c r="AB371" s="48"/>
      <c r="AC371" s="48"/>
      <c r="AD371" s="13"/>
      <c r="AE371" s="13"/>
      <c r="AF371" s="13"/>
      <c r="AG371" s="13"/>
      <c r="AH371" s="13"/>
      <c r="AI371" s="13"/>
      <c r="AJ371" s="13"/>
      <c r="AK371" s="13"/>
      <c r="AL371" s="13"/>
    </row>
    <row r="372" ht="15.75" customHeight="1">
      <c r="A372" s="47"/>
      <c r="B372" s="48"/>
      <c r="C372" s="48"/>
      <c r="D372" s="48"/>
      <c r="E372" s="48"/>
      <c r="F372" s="48"/>
      <c r="G372" s="48"/>
      <c r="H372" s="48"/>
      <c r="I372" s="48"/>
      <c r="J372" s="48"/>
      <c r="K372" s="48"/>
      <c r="L372" s="48"/>
      <c r="M372" s="48"/>
      <c r="N372" s="48"/>
      <c r="O372" s="33"/>
      <c r="P372" s="33"/>
      <c r="Q372" s="33"/>
      <c r="R372" s="33"/>
      <c r="S372" s="33"/>
      <c r="T372" s="48"/>
      <c r="U372" s="48"/>
      <c r="V372" s="9"/>
      <c r="W372" s="9"/>
      <c r="X372" s="49"/>
      <c r="Y372" s="9"/>
      <c r="Z372" s="9"/>
      <c r="AA372" s="48"/>
      <c r="AB372" s="48"/>
      <c r="AC372" s="48"/>
      <c r="AD372" s="13"/>
      <c r="AE372" s="13"/>
      <c r="AF372" s="13"/>
      <c r="AG372" s="13"/>
      <c r="AH372" s="13"/>
      <c r="AI372" s="13"/>
      <c r="AJ372" s="13"/>
      <c r="AK372" s="13"/>
      <c r="AL372" s="13"/>
    </row>
    <row r="373" ht="15.75" customHeight="1">
      <c r="A373" s="47"/>
      <c r="B373" s="48"/>
      <c r="C373" s="48"/>
      <c r="D373" s="48"/>
      <c r="E373" s="48"/>
      <c r="F373" s="48"/>
      <c r="G373" s="48"/>
      <c r="H373" s="48"/>
      <c r="I373" s="48"/>
      <c r="J373" s="48"/>
      <c r="K373" s="48"/>
      <c r="L373" s="48"/>
      <c r="M373" s="48"/>
      <c r="N373" s="48"/>
      <c r="O373" s="33"/>
      <c r="P373" s="33"/>
      <c r="Q373" s="33"/>
      <c r="R373" s="33"/>
      <c r="S373" s="33"/>
      <c r="T373" s="48"/>
      <c r="U373" s="48"/>
      <c r="V373" s="9"/>
      <c r="W373" s="9"/>
      <c r="X373" s="49"/>
      <c r="Y373" s="9"/>
      <c r="Z373" s="9"/>
      <c r="AA373" s="48"/>
      <c r="AB373" s="48"/>
      <c r="AC373" s="48"/>
      <c r="AD373" s="13"/>
      <c r="AE373" s="13"/>
      <c r="AF373" s="13"/>
      <c r="AG373" s="13"/>
      <c r="AH373" s="13"/>
      <c r="AI373" s="13"/>
      <c r="AJ373" s="13"/>
      <c r="AK373" s="13"/>
      <c r="AL373" s="13"/>
    </row>
    <row r="374" ht="15.75" customHeight="1">
      <c r="A374" s="47"/>
      <c r="B374" s="48"/>
      <c r="C374" s="48"/>
      <c r="D374" s="48"/>
      <c r="E374" s="48"/>
      <c r="F374" s="48"/>
      <c r="G374" s="48"/>
      <c r="H374" s="48"/>
      <c r="I374" s="48"/>
      <c r="J374" s="48"/>
      <c r="K374" s="48"/>
      <c r="L374" s="48"/>
      <c r="M374" s="48"/>
      <c r="N374" s="48"/>
      <c r="O374" s="33"/>
      <c r="P374" s="33"/>
      <c r="Q374" s="33"/>
      <c r="R374" s="33"/>
      <c r="S374" s="33"/>
      <c r="T374" s="48"/>
      <c r="U374" s="48"/>
      <c r="V374" s="9"/>
      <c r="W374" s="9"/>
      <c r="X374" s="49"/>
      <c r="Y374" s="9"/>
      <c r="Z374" s="9"/>
      <c r="AA374" s="48"/>
      <c r="AB374" s="48"/>
      <c r="AC374" s="48"/>
      <c r="AD374" s="13"/>
      <c r="AE374" s="13"/>
      <c r="AF374" s="13"/>
      <c r="AG374" s="13"/>
      <c r="AH374" s="13"/>
      <c r="AI374" s="13"/>
      <c r="AJ374" s="13"/>
      <c r="AK374" s="13"/>
      <c r="AL374" s="13"/>
    </row>
    <row r="375" ht="15.75" customHeight="1">
      <c r="A375" s="47"/>
      <c r="B375" s="48"/>
      <c r="C375" s="48"/>
      <c r="D375" s="48"/>
      <c r="E375" s="48"/>
      <c r="F375" s="48"/>
      <c r="G375" s="48"/>
      <c r="H375" s="48"/>
      <c r="I375" s="48"/>
      <c r="J375" s="48"/>
      <c r="K375" s="48"/>
      <c r="L375" s="48"/>
      <c r="M375" s="48"/>
      <c r="N375" s="48"/>
      <c r="O375" s="33"/>
      <c r="P375" s="33"/>
      <c r="Q375" s="33"/>
      <c r="R375" s="33"/>
      <c r="S375" s="33"/>
      <c r="T375" s="48"/>
      <c r="U375" s="48"/>
      <c r="V375" s="9"/>
      <c r="W375" s="9"/>
      <c r="X375" s="49"/>
      <c r="Y375" s="9"/>
      <c r="Z375" s="9"/>
      <c r="AA375" s="48"/>
      <c r="AB375" s="48"/>
      <c r="AC375" s="48"/>
      <c r="AD375" s="13"/>
      <c r="AE375" s="13"/>
      <c r="AF375" s="13"/>
      <c r="AG375" s="13"/>
      <c r="AH375" s="13"/>
      <c r="AI375" s="13"/>
      <c r="AJ375" s="13"/>
      <c r="AK375" s="13"/>
      <c r="AL375" s="13"/>
    </row>
    <row r="376" ht="15.75" customHeight="1">
      <c r="A376" s="47"/>
      <c r="B376" s="48"/>
      <c r="C376" s="48"/>
      <c r="D376" s="48"/>
      <c r="E376" s="48"/>
      <c r="F376" s="48"/>
      <c r="G376" s="48"/>
      <c r="H376" s="48"/>
      <c r="I376" s="48"/>
      <c r="J376" s="48"/>
      <c r="K376" s="48"/>
      <c r="L376" s="48"/>
      <c r="M376" s="48"/>
      <c r="N376" s="48"/>
      <c r="O376" s="33"/>
      <c r="P376" s="33"/>
      <c r="Q376" s="33"/>
      <c r="R376" s="33"/>
      <c r="S376" s="33"/>
      <c r="T376" s="48"/>
      <c r="U376" s="48"/>
      <c r="V376" s="9"/>
      <c r="W376" s="9"/>
      <c r="X376" s="49"/>
      <c r="Y376" s="9"/>
      <c r="Z376" s="9"/>
      <c r="AA376" s="48"/>
      <c r="AB376" s="48"/>
      <c r="AC376" s="48"/>
      <c r="AD376" s="13"/>
      <c r="AE376" s="13"/>
      <c r="AF376" s="13"/>
      <c r="AG376" s="13"/>
      <c r="AH376" s="13"/>
      <c r="AI376" s="13"/>
      <c r="AJ376" s="13"/>
      <c r="AK376" s="13"/>
      <c r="AL376" s="13"/>
    </row>
    <row r="377" ht="15.75" customHeight="1">
      <c r="A377" s="47"/>
      <c r="B377" s="48"/>
      <c r="C377" s="48"/>
      <c r="D377" s="48"/>
      <c r="E377" s="48"/>
      <c r="F377" s="48"/>
      <c r="G377" s="48"/>
      <c r="H377" s="48"/>
      <c r="I377" s="48"/>
      <c r="J377" s="48"/>
      <c r="K377" s="48"/>
      <c r="L377" s="48"/>
      <c r="M377" s="48"/>
      <c r="N377" s="48"/>
      <c r="O377" s="33"/>
      <c r="P377" s="33"/>
      <c r="Q377" s="33"/>
      <c r="R377" s="33"/>
      <c r="S377" s="33"/>
      <c r="T377" s="48"/>
      <c r="U377" s="48"/>
      <c r="V377" s="9"/>
      <c r="W377" s="9"/>
      <c r="X377" s="49"/>
      <c r="Y377" s="9"/>
      <c r="Z377" s="9"/>
      <c r="AA377" s="48"/>
      <c r="AB377" s="48"/>
      <c r="AC377" s="48"/>
      <c r="AD377" s="13"/>
      <c r="AE377" s="13"/>
      <c r="AF377" s="13"/>
      <c r="AG377" s="13"/>
      <c r="AH377" s="13"/>
      <c r="AI377" s="13"/>
      <c r="AJ377" s="13"/>
      <c r="AK377" s="13"/>
      <c r="AL377" s="13"/>
    </row>
    <row r="378" ht="15.75" customHeight="1">
      <c r="A378" s="47"/>
      <c r="B378" s="48"/>
      <c r="C378" s="48"/>
      <c r="D378" s="48"/>
      <c r="E378" s="48"/>
      <c r="F378" s="48"/>
      <c r="G378" s="48"/>
      <c r="H378" s="48"/>
      <c r="I378" s="48"/>
      <c r="J378" s="48"/>
      <c r="K378" s="48"/>
      <c r="L378" s="48"/>
      <c r="M378" s="48"/>
      <c r="N378" s="48"/>
      <c r="O378" s="33"/>
      <c r="P378" s="33"/>
      <c r="Q378" s="33"/>
      <c r="R378" s="33"/>
      <c r="S378" s="33"/>
      <c r="T378" s="48"/>
      <c r="U378" s="48"/>
      <c r="V378" s="9"/>
      <c r="W378" s="9"/>
      <c r="X378" s="49"/>
      <c r="Y378" s="9"/>
      <c r="Z378" s="9"/>
      <c r="AA378" s="48"/>
      <c r="AB378" s="48"/>
      <c r="AC378" s="48"/>
      <c r="AD378" s="13"/>
      <c r="AE378" s="13"/>
      <c r="AF378" s="13"/>
      <c r="AG378" s="13"/>
      <c r="AH378" s="13"/>
      <c r="AI378" s="13"/>
      <c r="AJ378" s="13"/>
      <c r="AK378" s="13"/>
      <c r="AL378" s="13"/>
    </row>
    <row r="379" ht="15.75" customHeight="1">
      <c r="A379" s="47"/>
      <c r="B379" s="48"/>
      <c r="C379" s="48"/>
      <c r="D379" s="48"/>
      <c r="E379" s="48"/>
      <c r="F379" s="48"/>
      <c r="G379" s="48"/>
      <c r="H379" s="48"/>
      <c r="I379" s="48"/>
      <c r="J379" s="48"/>
      <c r="K379" s="48"/>
      <c r="L379" s="48"/>
      <c r="M379" s="48"/>
      <c r="N379" s="48"/>
      <c r="O379" s="33"/>
      <c r="P379" s="33"/>
      <c r="Q379" s="33"/>
      <c r="R379" s="33"/>
      <c r="S379" s="33"/>
      <c r="T379" s="48"/>
      <c r="U379" s="48"/>
      <c r="V379" s="9"/>
      <c r="W379" s="9"/>
      <c r="X379" s="49"/>
      <c r="Y379" s="9"/>
      <c r="Z379" s="9"/>
      <c r="AA379" s="48"/>
      <c r="AB379" s="48"/>
      <c r="AC379" s="48"/>
      <c r="AD379" s="13"/>
      <c r="AE379" s="13"/>
      <c r="AF379" s="13"/>
      <c r="AG379" s="13"/>
      <c r="AH379" s="13"/>
      <c r="AI379" s="13"/>
      <c r="AJ379" s="13"/>
      <c r="AK379" s="13"/>
      <c r="AL379" s="13"/>
    </row>
    <row r="380" ht="15.75" customHeight="1">
      <c r="A380" s="47"/>
      <c r="B380" s="48"/>
      <c r="C380" s="48"/>
      <c r="D380" s="48"/>
      <c r="E380" s="48"/>
      <c r="F380" s="48"/>
      <c r="G380" s="48"/>
      <c r="H380" s="48"/>
      <c r="I380" s="48"/>
      <c r="J380" s="48"/>
      <c r="K380" s="48"/>
      <c r="L380" s="48"/>
      <c r="M380" s="48"/>
      <c r="N380" s="48"/>
      <c r="O380" s="33"/>
      <c r="P380" s="33"/>
      <c r="Q380" s="33"/>
      <c r="R380" s="33"/>
      <c r="S380" s="33"/>
      <c r="T380" s="48"/>
      <c r="U380" s="48"/>
      <c r="V380" s="9"/>
      <c r="W380" s="9"/>
      <c r="X380" s="49"/>
      <c r="Y380" s="9"/>
      <c r="Z380" s="9"/>
      <c r="AA380" s="48"/>
      <c r="AB380" s="48"/>
      <c r="AC380" s="48"/>
      <c r="AD380" s="13"/>
      <c r="AE380" s="13"/>
      <c r="AF380" s="13"/>
      <c r="AG380" s="13"/>
      <c r="AH380" s="13"/>
      <c r="AI380" s="13"/>
      <c r="AJ380" s="13"/>
      <c r="AK380" s="13"/>
      <c r="AL380" s="13"/>
    </row>
    <row r="381" ht="15.75" customHeight="1">
      <c r="A381" s="47"/>
      <c r="B381" s="48"/>
      <c r="C381" s="48"/>
      <c r="D381" s="48"/>
      <c r="E381" s="48"/>
      <c r="F381" s="48"/>
      <c r="G381" s="48"/>
      <c r="H381" s="48"/>
      <c r="I381" s="48"/>
      <c r="J381" s="48"/>
      <c r="K381" s="48"/>
      <c r="L381" s="48"/>
      <c r="M381" s="48"/>
      <c r="N381" s="48"/>
      <c r="O381" s="33"/>
      <c r="P381" s="33"/>
      <c r="Q381" s="33"/>
      <c r="R381" s="33"/>
      <c r="S381" s="33"/>
      <c r="T381" s="48"/>
      <c r="U381" s="48"/>
      <c r="V381" s="9"/>
      <c r="W381" s="9"/>
      <c r="X381" s="49"/>
      <c r="Y381" s="9"/>
      <c r="Z381" s="9"/>
      <c r="AA381" s="48"/>
      <c r="AB381" s="48"/>
      <c r="AC381" s="48"/>
      <c r="AD381" s="13"/>
      <c r="AE381" s="13"/>
      <c r="AF381" s="13"/>
      <c r="AG381" s="13"/>
      <c r="AH381" s="13"/>
      <c r="AI381" s="13"/>
      <c r="AJ381" s="13"/>
      <c r="AK381" s="13"/>
      <c r="AL381" s="13"/>
    </row>
    <row r="382" ht="15.75" customHeight="1">
      <c r="A382" s="47"/>
      <c r="B382" s="48"/>
      <c r="C382" s="48"/>
      <c r="D382" s="48"/>
      <c r="E382" s="48"/>
      <c r="F382" s="48"/>
      <c r="G382" s="48"/>
      <c r="H382" s="48"/>
      <c r="I382" s="48"/>
      <c r="J382" s="48"/>
      <c r="K382" s="48"/>
      <c r="L382" s="48"/>
      <c r="M382" s="48"/>
      <c r="N382" s="48"/>
      <c r="O382" s="33"/>
      <c r="P382" s="33"/>
      <c r="Q382" s="33"/>
      <c r="R382" s="33"/>
      <c r="S382" s="33"/>
      <c r="T382" s="48"/>
      <c r="U382" s="48"/>
      <c r="V382" s="9"/>
      <c r="W382" s="9"/>
      <c r="X382" s="49"/>
      <c r="Y382" s="9"/>
      <c r="Z382" s="9"/>
      <c r="AA382" s="48"/>
      <c r="AB382" s="48"/>
      <c r="AC382" s="48"/>
      <c r="AD382" s="13"/>
      <c r="AE382" s="13"/>
      <c r="AF382" s="13"/>
      <c r="AG382" s="13"/>
      <c r="AH382" s="13"/>
      <c r="AI382" s="13"/>
      <c r="AJ382" s="13"/>
      <c r="AK382" s="13"/>
      <c r="AL382" s="13"/>
    </row>
    <row r="383" ht="15.75" customHeight="1">
      <c r="A383" s="47"/>
      <c r="B383" s="48"/>
      <c r="C383" s="48"/>
      <c r="D383" s="48"/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33"/>
      <c r="P383" s="33"/>
      <c r="Q383" s="33"/>
      <c r="R383" s="33"/>
      <c r="S383" s="33"/>
      <c r="T383" s="48"/>
      <c r="U383" s="48"/>
      <c r="V383" s="9"/>
      <c r="W383" s="9"/>
      <c r="X383" s="49"/>
      <c r="Y383" s="9"/>
      <c r="Z383" s="9"/>
      <c r="AA383" s="48"/>
      <c r="AB383" s="48"/>
      <c r="AC383" s="48"/>
      <c r="AD383" s="13"/>
      <c r="AE383" s="13"/>
      <c r="AF383" s="13"/>
      <c r="AG383" s="13"/>
      <c r="AH383" s="13"/>
      <c r="AI383" s="13"/>
      <c r="AJ383" s="13"/>
      <c r="AK383" s="13"/>
      <c r="AL383" s="13"/>
    </row>
    <row r="384" ht="15.75" customHeight="1">
      <c r="A384" s="47"/>
      <c r="B384" s="48"/>
      <c r="C384" s="48"/>
      <c r="D384" s="48"/>
      <c r="E384" s="48"/>
      <c r="F384" s="48"/>
      <c r="G384" s="48"/>
      <c r="H384" s="48"/>
      <c r="I384" s="48"/>
      <c r="J384" s="48"/>
      <c r="K384" s="48"/>
      <c r="L384" s="48"/>
      <c r="M384" s="48"/>
      <c r="N384" s="48"/>
      <c r="O384" s="33"/>
      <c r="P384" s="33"/>
      <c r="Q384" s="33"/>
      <c r="R384" s="33"/>
      <c r="S384" s="33"/>
      <c r="T384" s="48"/>
      <c r="U384" s="48"/>
      <c r="V384" s="9"/>
      <c r="W384" s="9"/>
      <c r="X384" s="49"/>
      <c r="Y384" s="9"/>
      <c r="Z384" s="9"/>
      <c r="AA384" s="48"/>
      <c r="AB384" s="48"/>
      <c r="AC384" s="48"/>
      <c r="AD384" s="13"/>
      <c r="AE384" s="13"/>
      <c r="AF384" s="13"/>
      <c r="AG384" s="13"/>
      <c r="AH384" s="13"/>
      <c r="AI384" s="13"/>
      <c r="AJ384" s="13"/>
      <c r="AK384" s="13"/>
      <c r="AL384" s="13"/>
    </row>
    <row r="385" ht="15.75" customHeight="1">
      <c r="A385" s="47"/>
      <c r="B385" s="48"/>
      <c r="C385" s="48"/>
      <c r="D385" s="48"/>
      <c r="E385" s="48"/>
      <c r="F385" s="48"/>
      <c r="G385" s="48"/>
      <c r="H385" s="48"/>
      <c r="I385" s="48"/>
      <c r="J385" s="48"/>
      <c r="K385" s="48"/>
      <c r="L385" s="48"/>
      <c r="M385" s="48"/>
      <c r="N385" s="48"/>
      <c r="O385" s="33"/>
      <c r="P385" s="33"/>
      <c r="Q385" s="33"/>
      <c r="R385" s="33"/>
      <c r="S385" s="33"/>
      <c r="T385" s="48"/>
      <c r="U385" s="48"/>
      <c r="V385" s="9"/>
      <c r="W385" s="9"/>
      <c r="X385" s="49"/>
      <c r="Y385" s="9"/>
      <c r="Z385" s="9"/>
      <c r="AA385" s="48"/>
      <c r="AB385" s="48"/>
      <c r="AC385" s="48"/>
      <c r="AD385" s="13"/>
      <c r="AE385" s="13"/>
      <c r="AF385" s="13"/>
      <c r="AG385" s="13"/>
      <c r="AH385" s="13"/>
      <c r="AI385" s="13"/>
      <c r="AJ385" s="13"/>
      <c r="AK385" s="13"/>
      <c r="AL385" s="13"/>
    </row>
    <row r="386" ht="15.75" customHeight="1">
      <c r="A386" s="47"/>
      <c r="B386" s="48"/>
      <c r="C386" s="48"/>
      <c r="D386" s="48"/>
      <c r="E386" s="48"/>
      <c r="F386" s="48"/>
      <c r="G386" s="48"/>
      <c r="H386" s="48"/>
      <c r="I386" s="48"/>
      <c r="J386" s="48"/>
      <c r="K386" s="48"/>
      <c r="L386" s="48"/>
      <c r="M386" s="48"/>
      <c r="N386" s="48"/>
      <c r="O386" s="33"/>
      <c r="P386" s="33"/>
      <c r="Q386" s="33"/>
      <c r="R386" s="33"/>
      <c r="S386" s="33"/>
      <c r="T386" s="48"/>
      <c r="U386" s="48"/>
      <c r="V386" s="9"/>
      <c r="W386" s="9"/>
      <c r="X386" s="49"/>
      <c r="Y386" s="9"/>
      <c r="Z386" s="9"/>
      <c r="AA386" s="48"/>
      <c r="AB386" s="48"/>
      <c r="AC386" s="48"/>
      <c r="AD386" s="13"/>
      <c r="AE386" s="13"/>
      <c r="AF386" s="13"/>
      <c r="AG386" s="13"/>
      <c r="AH386" s="13"/>
      <c r="AI386" s="13"/>
      <c r="AJ386" s="13"/>
      <c r="AK386" s="13"/>
      <c r="AL386" s="13"/>
    </row>
    <row r="387" ht="15.75" customHeight="1">
      <c r="A387" s="47"/>
      <c r="B387" s="48"/>
      <c r="C387" s="48"/>
      <c r="D387" s="48"/>
      <c r="E387" s="48"/>
      <c r="F387" s="48"/>
      <c r="G387" s="48"/>
      <c r="H387" s="48"/>
      <c r="I387" s="48"/>
      <c r="J387" s="48"/>
      <c r="K387" s="48"/>
      <c r="L387" s="48"/>
      <c r="M387" s="48"/>
      <c r="N387" s="48"/>
      <c r="O387" s="33"/>
      <c r="P387" s="33"/>
      <c r="Q387" s="33"/>
      <c r="R387" s="33"/>
      <c r="S387" s="33"/>
      <c r="T387" s="48"/>
      <c r="U387" s="48"/>
      <c r="V387" s="9"/>
      <c r="W387" s="9"/>
      <c r="X387" s="49"/>
      <c r="Y387" s="9"/>
      <c r="Z387" s="9"/>
      <c r="AA387" s="48"/>
      <c r="AB387" s="48"/>
      <c r="AC387" s="48"/>
      <c r="AD387" s="13"/>
      <c r="AE387" s="13"/>
      <c r="AF387" s="13"/>
      <c r="AG387" s="13"/>
      <c r="AH387" s="13"/>
      <c r="AI387" s="13"/>
      <c r="AJ387" s="13"/>
      <c r="AK387" s="13"/>
      <c r="AL387" s="13"/>
    </row>
    <row r="388" ht="15.75" customHeight="1">
      <c r="A388" s="47"/>
      <c r="B388" s="48"/>
      <c r="C388" s="48"/>
      <c r="D388" s="48"/>
      <c r="E388" s="48"/>
      <c r="F388" s="48"/>
      <c r="G388" s="48"/>
      <c r="H388" s="48"/>
      <c r="I388" s="48"/>
      <c r="J388" s="48"/>
      <c r="K388" s="48"/>
      <c r="L388" s="48"/>
      <c r="M388" s="48"/>
      <c r="N388" s="48"/>
      <c r="O388" s="33"/>
      <c r="P388" s="33"/>
      <c r="Q388" s="33"/>
      <c r="R388" s="33"/>
      <c r="S388" s="33"/>
      <c r="T388" s="48"/>
      <c r="U388" s="48"/>
      <c r="V388" s="9"/>
      <c r="W388" s="9"/>
      <c r="X388" s="49"/>
      <c r="Y388" s="9"/>
      <c r="Z388" s="9"/>
      <c r="AA388" s="48"/>
      <c r="AB388" s="48"/>
      <c r="AC388" s="48"/>
      <c r="AD388" s="13"/>
      <c r="AE388" s="13"/>
      <c r="AF388" s="13"/>
      <c r="AG388" s="13"/>
      <c r="AH388" s="13"/>
      <c r="AI388" s="13"/>
      <c r="AJ388" s="13"/>
      <c r="AK388" s="13"/>
      <c r="AL388" s="13"/>
    </row>
    <row r="389" ht="15.75" customHeight="1">
      <c r="A389" s="47"/>
      <c r="B389" s="48"/>
      <c r="C389" s="48"/>
      <c r="D389" s="48"/>
      <c r="E389" s="48"/>
      <c r="F389" s="48"/>
      <c r="G389" s="48"/>
      <c r="H389" s="48"/>
      <c r="I389" s="48"/>
      <c r="J389" s="48"/>
      <c r="K389" s="48"/>
      <c r="L389" s="48"/>
      <c r="M389" s="48"/>
      <c r="N389" s="48"/>
      <c r="O389" s="33"/>
      <c r="P389" s="33"/>
      <c r="Q389" s="33"/>
      <c r="R389" s="33"/>
      <c r="S389" s="33"/>
      <c r="T389" s="48"/>
      <c r="U389" s="48"/>
      <c r="V389" s="9"/>
      <c r="W389" s="9"/>
      <c r="X389" s="49"/>
      <c r="Y389" s="9"/>
      <c r="Z389" s="9"/>
      <c r="AA389" s="48"/>
      <c r="AB389" s="48"/>
      <c r="AC389" s="48"/>
      <c r="AD389" s="13"/>
      <c r="AE389" s="13"/>
      <c r="AF389" s="13"/>
      <c r="AG389" s="13"/>
      <c r="AH389" s="13"/>
      <c r="AI389" s="13"/>
      <c r="AJ389" s="13"/>
      <c r="AK389" s="13"/>
      <c r="AL389" s="13"/>
    </row>
    <row r="390" ht="15.75" customHeight="1">
      <c r="A390" s="47"/>
      <c r="B390" s="48"/>
      <c r="C390" s="48"/>
      <c r="D390" s="48"/>
      <c r="E390" s="48"/>
      <c r="F390" s="48"/>
      <c r="G390" s="48"/>
      <c r="H390" s="48"/>
      <c r="I390" s="48"/>
      <c r="J390" s="48"/>
      <c r="K390" s="48"/>
      <c r="L390" s="48"/>
      <c r="M390" s="48"/>
      <c r="N390" s="48"/>
      <c r="O390" s="33"/>
      <c r="P390" s="33"/>
      <c r="Q390" s="33"/>
      <c r="R390" s="33"/>
      <c r="S390" s="33"/>
      <c r="T390" s="48"/>
      <c r="U390" s="48"/>
      <c r="V390" s="9"/>
      <c r="W390" s="9"/>
      <c r="X390" s="49"/>
      <c r="Y390" s="9"/>
      <c r="Z390" s="9"/>
      <c r="AA390" s="48"/>
      <c r="AB390" s="48"/>
      <c r="AC390" s="48"/>
      <c r="AD390" s="13"/>
      <c r="AE390" s="13"/>
      <c r="AF390" s="13"/>
      <c r="AG390" s="13"/>
      <c r="AH390" s="13"/>
      <c r="AI390" s="13"/>
      <c r="AJ390" s="13"/>
      <c r="AK390" s="13"/>
      <c r="AL390" s="13"/>
    </row>
    <row r="391" ht="15.75" customHeight="1">
      <c r="A391" s="47"/>
      <c r="B391" s="48"/>
      <c r="C391" s="48"/>
      <c r="D391" s="48"/>
      <c r="E391" s="48"/>
      <c r="F391" s="48"/>
      <c r="G391" s="48"/>
      <c r="H391" s="48"/>
      <c r="I391" s="48"/>
      <c r="J391" s="48"/>
      <c r="K391" s="48"/>
      <c r="L391" s="48"/>
      <c r="M391" s="48"/>
      <c r="N391" s="48"/>
      <c r="O391" s="33"/>
      <c r="P391" s="33"/>
      <c r="Q391" s="33"/>
      <c r="R391" s="33"/>
      <c r="S391" s="33"/>
      <c r="T391" s="48"/>
      <c r="U391" s="48"/>
      <c r="V391" s="9"/>
      <c r="W391" s="9"/>
      <c r="X391" s="49"/>
      <c r="Y391" s="9"/>
      <c r="Z391" s="9"/>
      <c r="AA391" s="48"/>
      <c r="AB391" s="48"/>
      <c r="AC391" s="48"/>
      <c r="AD391" s="13"/>
      <c r="AE391" s="13"/>
      <c r="AF391" s="13"/>
      <c r="AG391" s="13"/>
      <c r="AH391" s="13"/>
      <c r="AI391" s="13"/>
      <c r="AJ391" s="13"/>
      <c r="AK391" s="13"/>
      <c r="AL391" s="13"/>
    </row>
    <row r="392" ht="15.75" customHeight="1">
      <c r="A392" s="47"/>
      <c r="B392" s="48"/>
      <c r="C392" s="48"/>
      <c r="D392" s="48"/>
      <c r="E392" s="48"/>
      <c r="F392" s="48"/>
      <c r="G392" s="48"/>
      <c r="H392" s="48"/>
      <c r="I392" s="48"/>
      <c r="J392" s="48"/>
      <c r="K392" s="48"/>
      <c r="L392" s="48"/>
      <c r="M392" s="48"/>
      <c r="N392" s="48"/>
      <c r="O392" s="33"/>
      <c r="P392" s="33"/>
      <c r="Q392" s="33"/>
      <c r="R392" s="33"/>
      <c r="S392" s="33"/>
      <c r="T392" s="48"/>
      <c r="U392" s="48"/>
      <c r="V392" s="9"/>
      <c r="W392" s="9"/>
      <c r="X392" s="49"/>
      <c r="Y392" s="9"/>
      <c r="Z392" s="9"/>
      <c r="AA392" s="48"/>
      <c r="AB392" s="48"/>
      <c r="AC392" s="48"/>
      <c r="AD392" s="13"/>
      <c r="AE392" s="13"/>
      <c r="AF392" s="13"/>
      <c r="AG392" s="13"/>
      <c r="AH392" s="13"/>
      <c r="AI392" s="13"/>
      <c r="AJ392" s="13"/>
      <c r="AK392" s="13"/>
      <c r="AL392" s="13"/>
    </row>
    <row r="393" ht="15.75" customHeight="1">
      <c r="A393" s="47"/>
      <c r="B393" s="48"/>
      <c r="C393" s="48"/>
      <c r="D393" s="48"/>
      <c r="E393" s="48"/>
      <c r="F393" s="48"/>
      <c r="G393" s="48"/>
      <c r="H393" s="48"/>
      <c r="I393" s="48"/>
      <c r="J393" s="48"/>
      <c r="K393" s="48"/>
      <c r="L393" s="48"/>
      <c r="M393" s="48"/>
      <c r="N393" s="48"/>
      <c r="O393" s="33"/>
      <c r="P393" s="33"/>
      <c r="Q393" s="33"/>
      <c r="R393" s="33"/>
      <c r="S393" s="33"/>
      <c r="T393" s="48"/>
      <c r="U393" s="48"/>
      <c r="V393" s="9"/>
      <c r="W393" s="9"/>
      <c r="X393" s="49"/>
      <c r="Y393" s="9"/>
      <c r="Z393" s="9"/>
      <c r="AA393" s="48"/>
      <c r="AB393" s="48"/>
      <c r="AC393" s="48"/>
      <c r="AD393" s="13"/>
      <c r="AE393" s="13"/>
      <c r="AF393" s="13"/>
      <c r="AG393" s="13"/>
      <c r="AH393" s="13"/>
      <c r="AI393" s="13"/>
      <c r="AJ393" s="13"/>
      <c r="AK393" s="13"/>
      <c r="AL393" s="13"/>
    </row>
    <row r="394" ht="15.75" customHeight="1">
      <c r="A394" s="47"/>
      <c r="B394" s="48"/>
      <c r="C394" s="48"/>
      <c r="D394" s="48"/>
      <c r="E394" s="48"/>
      <c r="F394" s="48"/>
      <c r="G394" s="48"/>
      <c r="H394" s="48"/>
      <c r="I394" s="48"/>
      <c r="J394" s="48"/>
      <c r="K394" s="48"/>
      <c r="L394" s="48"/>
      <c r="M394" s="48"/>
      <c r="N394" s="48"/>
      <c r="O394" s="33"/>
      <c r="P394" s="33"/>
      <c r="Q394" s="33"/>
      <c r="R394" s="33"/>
      <c r="S394" s="33"/>
      <c r="T394" s="48"/>
      <c r="U394" s="48"/>
      <c r="V394" s="9"/>
      <c r="W394" s="9"/>
      <c r="X394" s="49"/>
      <c r="Y394" s="9"/>
      <c r="Z394" s="9"/>
      <c r="AA394" s="48"/>
      <c r="AB394" s="48"/>
      <c r="AC394" s="48"/>
      <c r="AD394" s="13"/>
      <c r="AE394" s="13"/>
      <c r="AF394" s="13"/>
      <c r="AG394" s="13"/>
      <c r="AH394" s="13"/>
      <c r="AI394" s="13"/>
      <c r="AJ394" s="13"/>
      <c r="AK394" s="13"/>
      <c r="AL394" s="13"/>
    </row>
    <row r="395" ht="15.75" customHeight="1">
      <c r="A395" s="47"/>
      <c r="B395" s="48"/>
      <c r="C395" s="48"/>
      <c r="D395" s="48"/>
      <c r="E395" s="48"/>
      <c r="F395" s="48"/>
      <c r="G395" s="48"/>
      <c r="H395" s="48"/>
      <c r="I395" s="48"/>
      <c r="J395" s="48"/>
      <c r="K395" s="48"/>
      <c r="L395" s="48"/>
      <c r="M395" s="48"/>
      <c r="N395" s="48"/>
      <c r="O395" s="33"/>
      <c r="P395" s="33"/>
      <c r="Q395" s="33"/>
      <c r="R395" s="33"/>
      <c r="S395" s="33"/>
      <c r="T395" s="48"/>
      <c r="U395" s="48"/>
      <c r="V395" s="9"/>
      <c r="W395" s="9"/>
      <c r="X395" s="49"/>
      <c r="Y395" s="9"/>
      <c r="Z395" s="9"/>
      <c r="AA395" s="48"/>
      <c r="AB395" s="48"/>
      <c r="AC395" s="48"/>
      <c r="AD395" s="13"/>
      <c r="AE395" s="13"/>
      <c r="AF395" s="13"/>
      <c r="AG395" s="13"/>
      <c r="AH395" s="13"/>
      <c r="AI395" s="13"/>
      <c r="AJ395" s="13"/>
      <c r="AK395" s="13"/>
      <c r="AL395" s="13"/>
    </row>
    <row r="396" ht="15.75" customHeight="1">
      <c r="A396" s="47"/>
      <c r="B396" s="48"/>
      <c r="C396" s="48"/>
      <c r="D396" s="48"/>
      <c r="E396" s="48"/>
      <c r="F396" s="48"/>
      <c r="G396" s="48"/>
      <c r="H396" s="48"/>
      <c r="I396" s="48"/>
      <c r="J396" s="48"/>
      <c r="K396" s="48"/>
      <c r="L396" s="48"/>
      <c r="M396" s="48"/>
      <c r="N396" s="48"/>
      <c r="O396" s="33"/>
      <c r="P396" s="33"/>
      <c r="Q396" s="33"/>
      <c r="R396" s="33"/>
      <c r="S396" s="33"/>
      <c r="T396" s="48"/>
      <c r="U396" s="48"/>
      <c r="V396" s="9"/>
      <c r="W396" s="9"/>
      <c r="X396" s="49"/>
      <c r="Y396" s="9"/>
      <c r="Z396" s="9"/>
      <c r="AA396" s="48"/>
      <c r="AB396" s="48"/>
      <c r="AC396" s="48"/>
      <c r="AD396" s="13"/>
      <c r="AE396" s="13"/>
      <c r="AF396" s="13"/>
      <c r="AG396" s="13"/>
      <c r="AH396" s="13"/>
      <c r="AI396" s="13"/>
      <c r="AJ396" s="13"/>
      <c r="AK396" s="13"/>
      <c r="AL396" s="13"/>
    </row>
    <row r="397" ht="15.75" customHeight="1">
      <c r="A397" s="47"/>
      <c r="B397" s="48"/>
      <c r="C397" s="48"/>
      <c r="D397" s="48"/>
      <c r="E397" s="48"/>
      <c r="F397" s="48"/>
      <c r="G397" s="48"/>
      <c r="H397" s="48"/>
      <c r="I397" s="48"/>
      <c r="J397" s="48"/>
      <c r="K397" s="48"/>
      <c r="L397" s="48"/>
      <c r="M397" s="48"/>
      <c r="N397" s="48"/>
      <c r="O397" s="33"/>
      <c r="P397" s="33"/>
      <c r="Q397" s="33"/>
      <c r="R397" s="33"/>
      <c r="S397" s="33"/>
      <c r="T397" s="48"/>
      <c r="U397" s="48"/>
      <c r="V397" s="9"/>
      <c r="W397" s="9"/>
      <c r="X397" s="49"/>
      <c r="Y397" s="9"/>
      <c r="Z397" s="9"/>
      <c r="AA397" s="48"/>
      <c r="AB397" s="48"/>
      <c r="AC397" s="48"/>
      <c r="AD397" s="13"/>
      <c r="AE397" s="13"/>
      <c r="AF397" s="13"/>
      <c r="AG397" s="13"/>
      <c r="AH397" s="13"/>
      <c r="AI397" s="13"/>
      <c r="AJ397" s="13"/>
      <c r="AK397" s="13"/>
      <c r="AL397" s="13"/>
    </row>
    <row r="398" ht="15.75" customHeight="1">
      <c r="A398" s="47"/>
      <c r="B398" s="48"/>
      <c r="C398" s="48"/>
      <c r="D398" s="48"/>
      <c r="E398" s="48"/>
      <c r="F398" s="48"/>
      <c r="G398" s="48"/>
      <c r="H398" s="48"/>
      <c r="I398" s="48"/>
      <c r="J398" s="48"/>
      <c r="K398" s="48"/>
      <c r="L398" s="48"/>
      <c r="M398" s="48"/>
      <c r="N398" s="48"/>
      <c r="O398" s="33"/>
      <c r="P398" s="33"/>
      <c r="Q398" s="33"/>
      <c r="R398" s="33"/>
      <c r="S398" s="33"/>
      <c r="T398" s="48"/>
      <c r="U398" s="48"/>
      <c r="V398" s="9"/>
      <c r="W398" s="9"/>
      <c r="X398" s="49"/>
      <c r="Y398" s="9"/>
      <c r="Z398" s="9"/>
      <c r="AA398" s="48"/>
      <c r="AB398" s="48"/>
      <c r="AC398" s="48"/>
      <c r="AD398" s="13"/>
      <c r="AE398" s="13"/>
      <c r="AF398" s="13"/>
      <c r="AG398" s="13"/>
      <c r="AH398" s="13"/>
      <c r="AI398" s="13"/>
      <c r="AJ398" s="13"/>
      <c r="AK398" s="13"/>
      <c r="AL398" s="13"/>
    </row>
    <row r="399" ht="15.75" customHeight="1">
      <c r="A399" s="47"/>
      <c r="B399" s="48"/>
      <c r="C399" s="48"/>
      <c r="D399" s="48"/>
      <c r="E399" s="48"/>
      <c r="F399" s="48"/>
      <c r="G399" s="48"/>
      <c r="H399" s="48"/>
      <c r="I399" s="48"/>
      <c r="J399" s="48"/>
      <c r="K399" s="48"/>
      <c r="L399" s="48"/>
      <c r="M399" s="48"/>
      <c r="N399" s="48"/>
      <c r="O399" s="33"/>
      <c r="P399" s="33"/>
      <c r="Q399" s="33"/>
      <c r="R399" s="33"/>
      <c r="S399" s="33"/>
      <c r="T399" s="48"/>
      <c r="U399" s="48"/>
      <c r="V399" s="9"/>
      <c r="W399" s="9"/>
      <c r="X399" s="49"/>
      <c r="Y399" s="9"/>
      <c r="Z399" s="9"/>
      <c r="AA399" s="48"/>
      <c r="AB399" s="48"/>
      <c r="AC399" s="48"/>
      <c r="AD399" s="13"/>
      <c r="AE399" s="13"/>
      <c r="AF399" s="13"/>
      <c r="AG399" s="13"/>
      <c r="AH399" s="13"/>
      <c r="AI399" s="13"/>
      <c r="AJ399" s="13"/>
      <c r="AK399" s="13"/>
      <c r="AL399" s="13"/>
    </row>
    <row r="400" ht="15.75" customHeight="1">
      <c r="A400" s="47"/>
      <c r="B400" s="48"/>
      <c r="C400" s="48"/>
      <c r="D400" s="48"/>
      <c r="E400" s="48"/>
      <c r="F400" s="48"/>
      <c r="G400" s="48"/>
      <c r="H400" s="48"/>
      <c r="I400" s="48"/>
      <c r="J400" s="48"/>
      <c r="K400" s="48"/>
      <c r="L400" s="48"/>
      <c r="M400" s="48"/>
      <c r="N400" s="48"/>
      <c r="O400" s="33"/>
      <c r="P400" s="33"/>
      <c r="Q400" s="33"/>
      <c r="R400" s="33"/>
      <c r="S400" s="33"/>
      <c r="T400" s="48"/>
      <c r="U400" s="48"/>
      <c r="V400" s="9"/>
      <c r="W400" s="9"/>
      <c r="X400" s="49"/>
      <c r="Y400" s="9"/>
      <c r="Z400" s="9"/>
      <c r="AA400" s="48"/>
      <c r="AB400" s="48"/>
      <c r="AC400" s="48"/>
      <c r="AD400" s="13"/>
      <c r="AE400" s="13"/>
      <c r="AF400" s="13"/>
      <c r="AG400" s="13"/>
      <c r="AH400" s="13"/>
      <c r="AI400" s="13"/>
      <c r="AJ400" s="13"/>
      <c r="AK400" s="13"/>
      <c r="AL400" s="13"/>
    </row>
    <row r="401" ht="15.75" customHeight="1">
      <c r="A401" s="47"/>
      <c r="B401" s="48"/>
      <c r="C401" s="48"/>
      <c r="D401" s="48"/>
      <c r="E401" s="48"/>
      <c r="F401" s="48"/>
      <c r="G401" s="48"/>
      <c r="H401" s="48"/>
      <c r="I401" s="48"/>
      <c r="J401" s="48"/>
      <c r="K401" s="48"/>
      <c r="L401" s="48"/>
      <c r="M401" s="48"/>
      <c r="N401" s="48"/>
      <c r="O401" s="33"/>
      <c r="P401" s="33"/>
      <c r="Q401" s="33"/>
      <c r="R401" s="33"/>
      <c r="S401" s="33"/>
      <c r="T401" s="48"/>
      <c r="U401" s="48"/>
      <c r="V401" s="9"/>
      <c r="W401" s="9"/>
      <c r="X401" s="49"/>
      <c r="Y401" s="9"/>
      <c r="Z401" s="9"/>
      <c r="AA401" s="48"/>
      <c r="AB401" s="48"/>
      <c r="AC401" s="48"/>
      <c r="AD401" s="13"/>
      <c r="AE401" s="13"/>
      <c r="AF401" s="13"/>
      <c r="AG401" s="13"/>
      <c r="AH401" s="13"/>
      <c r="AI401" s="13"/>
      <c r="AJ401" s="13"/>
      <c r="AK401" s="13"/>
      <c r="AL401" s="13"/>
    </row>
    <row r="402" ht="15.75" customHeight="1">
      <c r="A402" s="47"/>
      <c r="B402" s="48"/>
      <c r="C402" s="48"/>
      <c r="D402" s="48"/>
      <c r="E402" s="48"/>
      <c r="F402" s="48"/>
      <c r="G402" s="48"/>
      <c r="H402" s="48"/>
      <c r="I402" s="48"/>
      <c r="J402" s="48"/>
      <c r="K402" s="48"/>
      <c r="L402" s="48"/>
      <c r="M402" s="48"/>
      <c r="N402" s="48"/>
      <c r="O402" s="33"/>
      <c r="P402" s="33"/>
      <c r="Q402" s="33"/>
      <c r="R402" s="33"/>
      <c r="S402" s="33"/>
      <c r="T402" s="48"/>
      <c r="U402" s="48"/>
      <c r="V402" s="9"/>
      <c r="W402" s="9"/>
      <c r="X402" s="49"/>
      <c r="Y402" s="9"/>
      <c r="Z402" s="9"/>
      <c r="AA402" s="48"/>
      <c r="AB402" s="48"/>
      <c r="AC402" s="48"/>
      <c r="AD402" s="13"/>
      <c r="AE402" s="13"/>
      <c r="AF402" s="13"/>
      <c r="AG402" s="13"/>
      <c r="AH402" s="13"/>
      <c r="AI402" s="13"/>
      <c r="AJ402" s="13"/>
      <c r="AK402" s="13"/>
      <c r="AL402" s="13"/>
    </row>
    <row r="403" ht="15.75" customHeight="1">
      <c r="A403" s="47"/>
      <c r="B403" s="48"/>
      <c r="C403" s="48"/>
      <c r="D403" s="48"/>
      <c r="E403" s="48"/>
      <c r="F403" s="48"/>
      <c r="G403" s="48"/>
      <c r="H403" s="48"/>
      <c r="I403" s="48"/>
      <c r="J403" s="48"/>
      <c r="K403" s="48"/>
      <c r="L403" s="48"/>
      <c r="M403" s="48"/>
      <c r="N403" s="48"/>
      <c r="O403" s="33"/>
      <c r="P403" s="33"/>
      <c r="Q403" s="33"/>
      <c r="R403" s="33"/>
      <c r="S403" s="33"/>
      <c r="T403" s="48"/>
      <c r="U403" s="48"/>
      <c r="V403" s="9"/>
      <c r="W403" s="9"/>
      <c r="X403" s="49"/>
      <c r="Y403" s="9"/>
      <c r="Z403" s="9"/>
      <c r="AA403" s="48"/>
      <c r="AB403" s="48"/>
      <c r="AC403" s="48"/>
      <c r="AD403" s="13"/>
      <c r="AE403" s="13"/>
      <c r="AF403" s="13"/>
      <c r="AG403" s="13"/>
      <c r="AH403" s="13"/>
      <c r="AI403" s="13"/>
      <c r="AJ403" s="13"/>
      <c r="AK403" s="13"/>
      <c r="AL403" s="13"/>
    </row>
    <row r="404" ht="15.75" customHeight="1">
      <c r="A404" s="47"/>
      <c r="B404" s="48"/>
      <c r="C404" s="48"/>
      <c r="D404" s="48"/>
      <c r="E404" s="48"/>
      <c r="F404" s="48"/>
      <c r="G404" s="48"/>
      <c r="H404" s="48"/>
      <c r="I404" s="48"/>
      <c r="J404" s="48"/>
      <c r="K404" s="48"/>
      <c r="L404" s="48"/>
      <c r="M404" s="48"/>
      <c r="N404" s="48"/>
      <c r="O404" s="33"/>
      <c r="P404" s="33"/>
      <c r="Q404" s="33"/>
      <c r="R404" s="33"/>
      <c r="S404" s="33"/>
      <c r="T404" s="48"/>
      <c r="U404" s="48"/>
      <c r="V404" s="9"/>
      <c r="W404" s="9"/>
      <c r="X404" s="49"/>
      <c r="Y404" s="9"/>
      <c r="Z404" s="9"/>
      <c r="AA404" s="48"/>
      <c r="AB404" s="48"/>
      <c r="AC404" s="48"/>
      <c r="AD404" s="13"/>
      <c r="AE404" s="13"/>
      <c r="AF404" s="13"/>
      <c r="AG404" s="13"/>
      <c r="AH404" s="13"/>
      <c r="AI404" s="13"/>
      <c r="AJ404" s="13"/>
      <c r="AK404" s="13"/>
      <c r="AL404" s="13"/>
    </row>
    <row r="405" ht="15.75" customHeight="1">
      <c r="A405" s="47"/>
      <c r="B405" s="48"/>
      <c r="C405" s="48"/>
      <c r="D405" s="48"/>
      <c r="E405" s="48"/>
      <c r="F405" s="48"/>
      <c r="G405" s="48"/>
      <c r="H405" s="48"/>
      <c r="I405" s="48"/>
      <c r="J405" s="48"/>
      <c r="K405" s="48"/>
      <c r="L405" s="48"/>
      <c r="M405" s="48"/>
      <c r="N405" s="48"/>
      <c r="O405" s="33"/>
      <c r="P405" s="33"/>
      <c r="Q405" s="33"/>
      <c r="R405" s="33"/>
      <c r="S405" s="33"/>
      <c r="T405" s="48"/>
      <c r="U405" s="48"/>
      <c r="V405" s="9"/>
      <c r="W405" s="9"/>
      <c r="X405" s="49"/>
      <c r="Y405" s="9"/>
      <c r="Z405" s="9"/>
      <c r="AA405" s="48"/>
      <c r="AB405" s="48"/>
      <c r="AC405" s="48"/>
      <c r="AD405" s="13"/>
      <c r="AE405" s="13"/>
      <c r="AF405" s="13"/>
      <c r="AG405" s="13"/>
      <c r="AH405" s="13"/>
      <c r="AI405" s="13"/>
      <c r="AJ405" s="13"/>
      <c r="AK405" s="13"/>
      <c r="AL405" s="13"/>
    </row>
    <row r="406" ht="15.75" customHeight="1">
      <c r="A406" s="47"/>
      <c r="B406" s="48"/>
      <c r="C406" s="48"/>
      <c r="D406" s="48"/>
      <c r="E406" s="48"/>
      <c r="F406" s="48"/>
      <c r="G406" s="48"/>
      <c r="H406" s="48"/>
      <c r="I406" s="48"/>
      <c r="J406" s="48"/>
      <c r="K406" s="48"/>
      <c r="L406" s="48"/>
      <c r="M406" s="48"/>
      <c r="N406" s="48"/>
      <c r="O406" s="33"/>
      <c r="P406" s="33"/>
      <c r="Q406" s="33"/>
      <c r="R406" s="33"/>
      <c r="S406" s="33"/>
      <c r="T406" s="48"/>
      <c r="U406" s="48"/>
      <c r="V406" s="9"/>
      <c r="W406" s="9"/>
      <c r="X406" s="49"/>
      <c r="Y406" s="9"/>
      <c r="Z406" s="9"/>
      <c r="AA406" s="48"/>
      <c r="AB406" s="48"/>
      <c r="AC406" s="48"/>
      <c r="AD406" s="13"/>
      <c r="AE406" s="13"/>
      <c r="AF406" s="13"/>
      <c r="AG406" s="13"/>
      <c r="AH406" s="13"/>
      <c r="AI406" s="13"/>
      <c r="AJ406" s="13"/>
      <c r="AK406" s="13"/>
      <c r="AL406" s="13"/>
    </row>
    <row r="407" ht="15.75" customHeight="1">
      <c r="A407" s="47"/>
      <c r="B407" s="48"/>
      <c r="C407" s="48"/>
      <c r="D407" s="48"/>
      <c r="E407" s="48"/>
      <c r="F407" s="48"/>
      <c r="G407" s="48"/>
      <c r="H407" s="48"/>
      <c r="I407" s="48"/>
      <c r="J407" s="48"/>
      <c r="K407" s="48"/>
      <c r="L407" s="48"/>
      <c r="M407" s="48"/>
      <c r="N407" s="48"/>
      <c r="O407" s="33"/>
      <c r="P407" s="33"/>
      <c r="Q407" s="33"/>
      <c r="R407" s="33"/>
      <c r="S407" s="33"/>
      <c r="T407" s="48"/>
      <c r="U407" s="48"/>
      <c r="V407" s="9"/>
      <c r="W407" s="9"/>
      <c r="X407" s="49"/>
      <c r="Y407" s="9"/>
      <c r="Z407" s="9"/>
      <c r="AA407" s="48"/>
      <c r="AB407" s="48"/>
      <c r="AC407" s="48"/>
      <c r="AD407" s="13"/>
      <c r="AE407" s="13"/>
      <c r="AF407" s="13"/>
      <c r="AG407" s="13"/>
      <c r="AH407" s="13"/>
      <c r="AI407" s="13"/>
      <c r="AJ407" s="13"/>
      <c r="AK407" s="13"/>
      <c r="AL407" s="13"/>
    </row>
    <row r="408" ht="15.75" customHeight="1">
      <c r="A408" s="47"/>
      <c r="B408" s="48"/>
      <c r="C408" s="48"/>
      <c r="D408" s="48"/>
      <c r="E408" s="48"/>
      <c r="F408" s="48"/>
      <c r="G408" s="48"/>
      <c r="H408" s="48"/>
      <c r="I408" s="48"/>
      <c r="J408" s="48"/>
      <c r="K408" s="48"/>
      <c r="L408" s="48"/>
      <c r="M408" s="48"/>
      <c r="N408" s="48"/>
      <c r="O408" s="33"/>
      <c r="P408" s="33"/>
      <c r="Q408" s="33"/>
      <c r="R408" s="33"/>
      <c r="S408" s="33"/>
      <c r="T408" s="48"/>
      <c r="U408" s="48"/>
      <c r="V408" s="9"/>
      <c r="W408" s="9"/>
      <c r="X408" s="49"/>
      <c r="Y408" s="9"/>
      <c r="Z408" s="9"/>
      <c r="AA408" s="48"/>
      <c r="AB408" s="48"/>
      <c r="AC408" s="48"/>
      <c r="AD408" s="13"/>
      <c r="AE408" s="13"/>
      <c r="AF408" s="13"/>
      <c r="AG408" s="13"/>
      <c r="AH408" s="13"/>
      <c r="AI408" s="13"/>
      <c r="AJ408" s="13"/>
      <c r="AK408" s="13"/>
      <c r="AL408" s="13"/>
    </row>
    <row r="409" ht="15.75" customHeight="1">
      <c r="A409" s="47"/>
      <c r="B409" s="48"/>
      <c r="C409" s="48"/>
      <c r="D409" s="48"/>
      <c r="E409" s="48"/>
      <c r="F409" s="48"/>
      <c r="G409" s="48"/>
      <c r="H409" s="48"/>
      <c r="I409" s="48"/>
      <c r="J409" s="48"/>
      <c r="K409" s="48"/>
      <c r="L409" s="48"/>
      <c r="M409" s="48"/>
      <c r="N409" s="48"/>
      <c r="O409" s="33"/>
      <c r="P409" s="33"/>
      <c r="Q409" s="33"/>
      <c r="R409" s="33"/>
      <c r="S409" s="33"/>
      <c r="T409" s="48"/>
      <c r="U409" s="48"/>
      <c r="V409" s="9"/>
      <c r="W409" s="9"/>
      <c r="X409" s="49"/>
      <c r="Y409" s="9"/>
      <c r="Z409" s="9"/>
      <c r="AA409" s="48"/>
      <c r="AB409" s="48"/>
      <c r="AC409" s="48"/>
      <c r="AD409" s="13"/>
      <c r="AE409" s="13"/>
      <c r="AF409" s="13"/>
      <c r="AG409" s="13"/>
      <c r="AH409" s="13"/>
      <c r="AI409" s="13"/>
      <c r="AJ409" s="13"/>
      <c r="AK409" s="13"/>
      <c r="AL409" s="13"/>
    </row>
    <row r="410" ht="15.75" customHeight="1">
      <c r="A410" s="47"/>
      <c r="B410" s="48"/>
      <c r="C410" s="48"/>
      <c r="D410" s="48"/>
      <c r="E410" s="48"/>
      <c r="F410" s="48"/>
      <c r="G410" s="48"/>
      <c r="H410" s="48"/>
      <c r="I410" s="48"/>
      <c r="J410" s="48"/>
      <c r="K410" s="48"/>
      <c r="L410" s="48"/>
      <c r="M410" s="48"/>
      <c r="N410" s="48"/>
      <c r="O410" s="33"/>
      <c r="P410" s="33"/>
      <c r="Q410" s="33"/>
      <c r="R410" s="33"/>
      <c r="S410" s="33"/>
      <c r="T410" s="48"/>
      <c r="U410" s="48"/>
      <c r="V410" s="9"/>
      <c r="W410" s="9"/>
      <c r="X410" s="49"/>
      <c r="Y410" s="9"/>
      <c r="Z410" s="9"/>
      <c r="AA410" s="48"/>
      <c r="AB410" s="48"/>
      <c r="AC410" s="48"/>
      <c r="AD410" s="13"/>
      <c r="AE410" s="13"/>
      <c r="AF410" s="13"/>
      <c r="AG410" s="13"/>
      <c r="AH410" s="13"/>
      <c r="AI410" s="13"/>
      <c r="AJ410" s="13"/>
      <c r="AK410" s="13"/>
      <c r="AL410" s="13"/>
    </row>
    <row r="411" ht="15.75" customHeight="1">
      <c r="A411" s="47"/>
      <c r="B411" s="48"/>
      <c r="C411" s="48"/>
      <c r="D411" s="48"/>
      <c r="E411" s="48"/>
      <c r="F411" s="48"/>
      <c r="G411" s="48"/>
      <c r="H411" s="48"/>
      <c r="I411" s="48"/>
      <c r="J411" s="48"/>
      <c r="K411" s="48"/>
      <c r="L411" s="48"/>
      <c r="M411" s="48"/>
      <c r="N411" s="48"/>
      <c r="O411" s="33"/>
      <c r="P411" s="33"/>
      <c r="Q411" s="33"/>
      <c r="R411" s="33"/>
      <c r="S411" s="33"/>
      <c r="T411" s="48"/>
      <c r="U411" s="48"/>
      <c r="V411" s="9"/>
      <c r="W411" s="9"/>
      <c r="X411" s="49"/>
      <c r="Y411" s="9"/>
      <c r="Z411" s="9"/>
      <c r="AA411" s="48"/>
      <c r="AB411" s="48"/>
      <c r="AC411" s="48"/>
      <c r="AD411" s="13"/>
      <c r="AE411" s="13"/>
      <c r="AF411" s="13"/>
      <c r="AG411" s="13"/>
      <c r="AH411" s="13"/>
      <c r="AI411" s="13"/>
      <c r="AJ411" s="13"/>
      <c r="AK411" s="13"/>
      <c r="AL411" s="13"/>
    </row>
    <row r="412" ht="15.75" customHeight="1">
      <c r="A412" s="47"/>
      <c r="B412" s="48"/>
      <c r="C412" s="48"/>
      <c r="D412" s="48"/>
      <c r="E412" s="48"/>
      <c r="F412" s="48"/>
      <c r="G412" s="48"/>
      <c r="H412" s="48"/>
      <c r="I412" s="48"/>
      <c r="J412" s="48"/>
      <c r="K412" s="48"/>
      <c r="L412" s="48"/>
      <c r="M412" s="48"/>
      <c r="N412" s="48"/>
      <c r="O412" s="33"/>
      <c r="P412" s="33"/>
      <c r="Q412" s="33"/>
      <c r="R412" s="33"/>
      <c r="S412" s="33"/>
      <c r="T412" s="48"/>
      <c r="U412" s="48"/>
      <c r="V412" s="9"/>
      <c r="W412" s="9"/>
      <c r="X412" s="49"/>
      <c r="Y412" s="9"/>
      <c r="Z412" s="9"/>
      <c r="AA412" s="48"/>
      <c r="AB412" s="48"/>
      <c r="AC412" s="48"/>
      <c r="AD412" s="13"/>
      <c r="AE412" s="13"/>
      <c r="AF412" s="13"/>
      <c r="AG412" s="13"/>
      <c r="AH412" s="13"/>
      <c r="AI412" s="13"/>
      <c r="AJ412" s="13"/>
      <c r="AK412" s="13"/>
      <c r="AL412" s="13"/>
    </row>
    <row r="413" ht="15.75" customHeight="1">
      <c r="A413" s="47"/>
      <c r="B413" s="48"/>
      <c r="C413" s="48"/>
      <c r="D413" s="48"/>
      <c r="E413" s="48"/>
      <c r="F413" s="48"/>
      <c r="G413" s="48"/>
      <c r="H413" s="48"/>
      <c r="I413" s="48"/>
      <c r="J413" s="48"/>
      <c r="K413" s="48"/>
      <c r="L413" s="48"/>
      <c r="M413" s="48"/>
      <c r="N413" s="48"/>
      <c r="O413" s="33"/>
      <c r="P413" s="33"/>
      <c r="Q413" s="33"/>
      <c r="R413" s="33"/>
      <c r="S413" s="33"/>
      <c r="T413" s="48"/>
      <c r="U413" s="48"/>
      <c r="V413" s="9"/>
      <c r="W413" s="9"/>
      <c r="X413" s="49"/>
      <c r="Y413" s="9"/>
      <c r="Z413" s="9"/>
      <c r="AA413" s="48"/>
      <c r="AB413" s="48"/>
      <c r="AC413" s="48"/>
      <c r="AD413" s="13"/>
      <c r="AE413" s="13"/>
      <c r="AF413" s="13"/>
      <c r="AG413" s="13"/>
      <c r="AH413" s="13"/>
      <c r="AI413" s="13"/>
      <c r="AJ413" s="13"/>
      <c r="AK413" s="13"/>
      <c r="AL413" s="13"/>
    </row>
    <row r="414" ht="15.75" customHeight="1">
      <c r="A414" s="47"/>
      <c r="B414" s="48"/>
      <c r="C414" s="48"/>
      <c r="D414" s="48"/>
      <c r="E414" s="48"/>
      <c r="F414" s="48"/>
      <c r="G414" s="48"/>
      <c r="H414" s="48"/>
      <c r="I414" s="48"/>
      <c r="J414" s="48"/>
      <c r="K414" s="48"/>
      <c r="L414" s="48"/>
      <c r="M414" s="48"/>
      <c r="N414" s="48"/>
      <c r="O414" s="33"/>
      <c r="P414" s="33"/>
      <c r="Q414" s="33"/>
      <c r="R414" s="33"/>
      <c r="S414" s="33"/>
      <c r="T414" s="48"/>
      <c r="U414" s="48"/>
      <c r="V414" s="9"/>
      <c r="W414" s="9"/>
      <c r="X414" s="49"/>
      <c r="Y414" s="9"/>
      <c r="Z414" s="9"/>
      <c r="AA414" s="48"/>
      <c r="AB414" s="48"/>
      <c r="AC414" s="48"/>
      <c r="AD414" s="13"/>
      <c r="AE414" s="13"/>
      <c r="AF414" s="13"/>
      <c r="AG414" s="13"/>
      <c r="AH414" s="13"/>
      <c r="AI414" s="13"/>
      <c r="AJ414" s="13"/>
      <c r="AK414" s="13"/>
      <c r="AL414" s="13"/>
    </row>
    <row r="415" ht="15.75" customHeight="1">
      <c r="A415" s="47"/>
      <c r="B415" s="48"/>
      <c r="C415" s="48"/>
      <c r="D415" s="48"/>
      <c r="E415" s="48"/>
      <c r="F415" s="48"/>
      <c r="G415" s="48"/>
      <c r="H415" s="48"/>
      <c r="I415" s="48"/>
      <c r="J415" s="48"/>
      <c r="K415" s="48"/>
      <c r="L415" s="48"/>
      <c r="M415" s="48"/>
      <c r="N415" s="48"/>
      <c r="O415" s="33"/>
      <c r="P415" s="33"/>
      <c r="Q415" s="33"/>
      <c r="R415" s="33"/>
      <c r="S415" s="33"/>
      <c r="T415" s="48"/>
      <c r="U415" s="48"/>
      <c r="V415" s="9"/>
      <c r="W415" s="9"/>
      <c r="X415" s="49"/>
      <c r="Y415" s="9"/>
      <c r="Z415" s="9"/>
      <c r="AA415" s="48"/>
      <c r="AB415" s="48"/>
      <c r="AC415" s="48"/>
      <c r="AD415" s="13"/>
      <c r="AE415" s="13"/>
      <c r="AF415" s="13"/>
      <c r="AG415" s="13"/>
      <c r="AH415" s="13"/>
      <c r="AI415" s="13"/>
      <c r="AJ415" s="13"/>
      <c r="AK415" s="13"/>
      <c r="AL415" s="13"/>
    </row>
    <row r="416" ht="15.75" customHeight="1">
      <c r="A416" s="47"/>
      <c r="B416" s="48"/>
      <c r="C416" s="48"/>
      <c r="D416" s="48"/>
      <c r="E416" s="48"/>
      <c r="F416" s="48"/>
      <c r="G416" s="48"/>
      <c r="H416" s="48"/>
      <c r="I416" s="48"/>
      <c r="J416" s="48"/>
      <c r="K416" s="48"/>
      <c r="L416" s="48"/>
      <c r="M416" s="48"/>
      <c r="N416" s="48"/>
      <c r="O416" s="33"/>
      <c r="P416" s="33"/>
      <c r="Q416" s="33"/>
      <c r="R416" s="33"/>
      <c r="S416" s="33"/>
      <c r="T416" s="48"/>
      <c r="U416" s="48"/>
      <c r="V416" s="9"/>
      <c r="W416" s="9"/>
      <c r="X416" s="49"/>
      <c r="Y416" s="9"/>
      <c r="Z416" s="9"/>
      <c r="AA416" s="48"/>
      <c r="AB416" s="48"/>
      <c r="AC416" s="48"/>
      <c r="AD416" s="13"/>
      <c r="AE416" s="13"/>
      <c r="AF416" s="13"/>
      <c r="AG416" s="13"/>
      <c r="AH416" s="13"/>
      <c r="AI416" s="13"/>
      <c r="AJ416" s="13"/>
      <c r="AK416" s="13"/>
      <c r="AL416" s="13"/>
    </row>
    <row r="417" ht="15.75" customHeight="1">
      <c r="A417" s="47"/>
      <c r="B417" s="48"/>
      <c r="C417" s="48"/>
      <c r="D417" s="48"/>
      <c r="E417" s="48"/>
      <c r="F417" s="48"/>
      <c r="G417" s="48"/>
      <c r="H417" s="48"/>
      <c r="I417" s="48"/>
      <c r="J417" s="48"/>
      <c r="K417" s="48"/>
      <c r="L417" s="48"/>
      <c r="M417" s="48"/>
      <c r="N417" s="48"/>
      <c r="O417" s="33"/>
      <c r="P417" s="33"/>
      <c r="Q417" s="33"/>
      <c r="R417" s="33"/>
      <c r="S417" s="33"/>
      <c r="T417" s="48"/>
      <c r="U417" s="48"/>
      <c r="V417" s="9"/>
      <c r="W417" s="9"/>
      <c r="X417" s="49"/>
      <c r="Y417" s="9"/>
      <c r="Z417" s="9"/>
      <c r="AA417" s="48"/>
      <c r="AB417" s="48"/>
      <c r="AC417" s="48"/>
      <c r="AD417" s="13"/>
      <c r="AE417" s="13"/>
      <c r="AF417" s="13"/>
      <c r="AG417" s="13"/>
      <c r="AH417" s="13"/>
      <c r="AI417" s="13"/>
      <c r="AJ417" s="13"/>
      <c r="AK417" s="13"/>
      <c r="AL417" s="13"/>
    </row>
    <row r="418" ht="15.75" customHeight="1">
      <c r="A418" s="47"/>
      <c r="B418" s="48"/>
      <c r="C418" s="48"/>
      <c r="D418" s="48"/>
      <c r="E418" s="48"/>
      <c r="F418" s="48"/>
      <c r="G418" s="48"/>
      <c r="H418" s="48"/>
      <c r="I418" s="48"/>
      <c r="J418" s="48"/>
      <c r="K418" s="48"/>
      <c r="L418" s="48"/>
      <c r="M418" s="48"/>
      <c r="N418" s="48"/>
      <c r="O418" s="33"/>
      <c r="P418" s="33"/>
      <c r="Q418" s="33"/>
      <c r="R418" s="33"/>
      <c r="S418" s="33"/>
      <c r="T418" s="48"/>
      <c r="U418" s="48"/>
      <c r="V418" s="9"/>
      <c r="W418" s="9"/>
      <c r="X418" s="49"/>
      <c r="Y418" s="9"/>
      <c r="Z418" s="9"/>
      <c r="AA418" s="48"/>
      <c r="AB418" s="48"/>
      <c r="AC418" s="48"/>
      <c r="AD418" s="13"/>
      <c r="AE418" s="13"/>
      <c r="AF418" s="13"/>
      <c r="AG418" s="13"/>
      <c r="AH418" s="13"/>
      <c r="AI418" s="13"/>
      <c r="AJ418" s="13"/>
      <c r="AK418" s="13"/>
      <c r="AL418" s="13"/>
    </row>
    <row r="419" ht="15.75" customHeight="1">
      <c r="A419" s="47"/>
      <c r="B419" s="48"/>
      <c r="C419" s="48"/>
      <c r="D419" s="48"/>
      <c r="E419" s="48"/>
      <c r="F419" s="48"/>
      <c r="G419" s="48"/>
      <c r="H419" s="48"/>
      <c r="I419" s="48"/>
      <c r="J419" s="48"/>
      <c r="K419" s="48"/>
      <c r="L419" s="48"/>
      <c r="M419" s="48"/>
      <c r="N419" s="48"/>
      <c r="O419" s="33"/>
      <c r="P419" s="33"/>
      <c r="Q419" s="33"/>
      <c r="R419" s="33"/>
      <c r="S419" s="33"/>
      <c r="T419" s="48"/>
      <c r="U419" s="48"/>
      <c r="V419" s="9"/>
      <c r="W419" s="9"/>
      <c r="X419" s="49"/>
      <c r="Y419" s="9"/>
      <c r="Z419" s="9"/>
      <c r="AA419" s="48"/>
      <c r="AB419" s="48"/>
      <c r="AC419" s="48"/>
      <c r="AD419" s="13"/>
      <c r="AE419" s="13"/>
      <c r="AF419" s="13"/>
      <c r="AG419" s="13"/>
      <c r="AH419" s="13"/>
      <c r="AI419" s="13"/>
      <c r="AJ419" s="13"/>
      <c r="AK419" s="13"/>
      <c r="AL419" s="13"/>
    </row>
    <row r="420" ht="15.75" customHeight="1">
      <c r="A420" s="47"/>
      <c r="B420" s="48"/>
      <c r="C420" s="48"/>
      <c r="D420" s="48"/>
      <c r="E420" s="48"/>
      <c r="F420" s="48"/>
      <c r="G420" s="48"/>
      <c r="H420" s="48"/>
      <c r="I420" s="48"/>
      <c r="J420" s="48"/>
      <c r="K420" s="48"/>
      <c r="L420" s="48"/>
      <c r="M420" s="48"/>
      <c r="N420" s="48"/>
      <c r="O420" s="33"/>
      <c r="P420" s="33"/>
      <c r="Q420" s="33"/>
      <c r="R420" s="33"/>
      <c r="S420" s="33"/>
      <c r="T420" s="48"/>
      <c r="U420" s="48"/>
      <c r="V420" s="9"/>
      <c r="W420" s="9"/>
      <c r="X420" s="49"/>
      <c r="Y420" s="9"/>
      <c r="Z420" s="9"/>
      <c r="AA420" s="48"/>
      <c r="AB420" s="48"/>
      <c r="AC420" s="48"/>
      <c r="AD420" s="13"/>
      <c r="AE420" s="13"/>
      <c r="AF420" s="13"/>
      <c r="AG420" s="13"/>
      <c r="AH420" s="13"/>
      <c r="AI420" s="13"/>
      <c r="AJ420" s="13"/>
      <c r="AK420" s="13"/>
      <c r="AL420" s="13"/>
    </row>
    <row r="421" ht="15.75" customHeight="1">
      <c r="A421" s="47"/>
      <c r="B421" s="48"/>
      <c r="C421" s="48"/>
      <c r="D421" s="48"/>
      <c r="E421" s="48"/>
      <c r="F421" s="48"/>
      <c r="G421" s="48"/>
      <c r="H421" s="48"/>
      <c r="I421" s="48"/>
      <c r="J421" s="48"/>
      <c r="K421" s="48"/>
      <c r="L421" s="48"/>
      <c r="M421" s="48"/>
      <c r="N421" s="48"/>
      <c r="O421" s="33"/>
      <c r="P421" s="33"/>
      <c r="Q421" s="33"/>
      <c r="R421" s="33"/>
      <c r="S421" s="33"/>
      <c r="T421" s="48"/>
      <c r="U421" s="48"/>
      <c r="V421" s="9"/>
      <c r="W421" s="9"/>
      <c r="X421" s="49"/>
      <c r="Y421" s="9"/>
      <c r="Z421" s="9"/>
      <c r="AA421" s="48"/>
      <c r="AB421" s="48"/>
      <c r="AC421" s="48"/>
      <c r="AD421" s="13"/>
      <c r="AE421" s="13"/>
      <c r="AF421" s="13"/>
      <c r="AG421" s="13"/>
      <c r="AH421" s="13"/>
      <c r="AI421" s="13"/>
      <c r="AJ421" s="13"/>
      <c r="AK421" s="13"/>
      <c r="AL421" s="13"/>
    </row>
    <row r="422" ht="15.75" customHeight="1">
      <c r="A422" s="47"/>
      <c r="B422" s="48"/>
      <c r="C422" s="48"/>
      <c r="D422" s="48"/>
      <c r="E422" s="48"/>
      <c r="F422" s="48"/>
      <c r="G422" s="48"/>
      <c r="H422" s="48"/>
      <c r="I422" s="48"/>
      <c r="J422" s="48"/>
      <c r="K422" s="48"/>
      <c r="L422" s="48"/>
      <c r="M422" s="48"/>
      <c r="N422" s="48"/>
      <c r="O422" s="33"/>
      <c r="P422" s="33"/>
      <c r="Q422" s="33"/>
      <c r="R422" s="33"/>
      <c r="S422" s="33"/>
      <c r="T422" s="48"/>
      <c r="U422" s="48"/>
      <c r="V422" s="9"/>
      <c r="W422" s="9"/>
      <c r="X422" s="49"/>
      <c r="Y422" s="9"/>
      <c r="Z422" s="9"/>
      <c r="AA422" s="48"/>
      <c r="AB422" s="48"/>
      <c r="AC422" s="48"/>
      <c r="AD422" s="13"/>
      <c r="AE422" s="13"/>
      <c r="AF422" s="13"/>
      <c r="AG422" s="13"/>
      <c r="AH422" s="13"/>
      <c r="AI422" s="13"/>
      <c r="AJ422" s="13"/>
      <c r="AK422" s="13"/>
      <c r="AL422" s="13"/>
    </row>
    <row r="423" ht="15.75" customHeight="1">
      <c r="A423" s="47"/>
      <c r="B423" s="48"/>
      <c r="C423" s="48"/>
      <c r="D423" s="48"/>
      <c r="E423" s="48"/>
      <c r="F423" s="48"/>
      <c r="G423" s="48"/>
      <c r="H423" s="48"/>
      <c r="I423" s="48"/>
      <c r="J423" s="48"/>
      <c r="K423" s="48"/>
      <c r="L423" s="48"/>
      <c r="M423" s="48"/>
      <c r="N423" s="48"/>
      <c r="O423" s="33"/>
      <c r="P423" s="33"/>
      <c r="Q423" s="33"/>
      <c r="R423" s="33"/>
      <c r="S423" s="33"/>
      <c r="T423" s="48"/>
      <c r="U423" s="48"/>
      <c r="V423" s="9"/>
      <c r="W423" s="9"/>
      <c r="X423" s="49"/>
      <c r="Y423" s="9"/>
      <c r="Z423" s="9"/>
      <c r="AA423" s="48"/>
      <c r="AB423" s="48"/>
      <c r="AC423" s="48"/>
      <c r="AD423" s="13"/>
      <c r="AE423" s="13"/>
      <c r="AF423" s="13"/>
      <c r="AG423" s="13"/>
      <c r="AH423" s="13"/>
      <c r="AI423" s="13"/>
      <c r="AJ423" s="13"/>
      <c r="AK423" s="13"/>
      <c r="AL423" s="13"/>
    </row>
    <row r="424" ht="15.75" customHeight="1">
      <c r="A424" s="47"/>
      <c r="B424" s="48"/>
      <c r="C424" s="48"/>
      <c r="D424" s="48"/>
      <c r="E424" s="48"/>
      <c r="F424" s="48"/>
      <c r="G424" s="48"/>
      <c r="H424" s="48"/>
      <c r="I424" s="48"/>
      <c r="J424" s="48"/>
      <c r="K424" s="48"/>
      <c r="L424" s="48"/>
      <c r="M424" s="48"/>
      <c r="N424" s="48"/>
      <c r="O424" s="33"/>
      <c r="P424" s="33"/>
      <c r="Q424" s="33"/>
      <c r="R424" s="33"/>
      <c r="S424" s="33"/>
      <c r="T424" s="48"/>
      <c r="U424" s="48"/>
      <c r="V424" s="9"/>
      <c r="W424" s="9"/>
      <c r="X424" s="49"/>
      <c r="Y424" s="9"/>
      <c r="Z424" s="9"/>
      <c r="AA424" s="48"/>
      <c r="AB424" s="48"/>
      <c r="AC424" s="48"/>
      <c r="AD424" s="13"/>
      <c r="AE424" s="13"/>
      <c r="AF424" s="13"/>
      <c r="AG424" s="13"/>
      <c r="AH424" s="13"/>
      <c r="AI424" s="13"/>
      <c r="AJ424" s="13"/>
      <c r="AK424" s="13"/>
      <c r="AL424" s="13"/>
    </row>
    <row r="425" ht="15.75" customHeight="1">
      <c r="A425" s="47"/>
      <c r="B425" s="48"/>
      <c r="C425" s="48"/>
      <c r="D425" s="48"/>
      <c r="E425" s="48"/>
      <c r="F425" s="48"/>
      <c r="G425" s="48"/>
      <c r="H425" s="48"/>
      <c r="I425" s="48"/>
      <c r="J425" s="48"/>
      <c r="K425" s="48"/>
      <c r="L425" s="48"/>
      <c r="M425" s="48"/>
      <c r="N425" s="48"/>
      <c r="O425" s="33"/>
      <c r="P425" s="33"/>
      <c r="Q425" s="33"/>
      <c r="R425" s="33"/>
      <c r="S425" s="33"/>
      <c r="T425" s="48"/>
      <c r="U425" s="48"/>
      <c r="V425" s="9"/>
      <c r="W425" s="9"/>
      <c r="X425" s="49"/>
      <c r="Y425" s="9"/>
      <c r="Z425" s="9"/>
      <c r="AA425" s="48"/>
      <c r="AB425" s="48"/>
      <c r="AC425" s="48"/>
      <c r="AD425" s="13"/>
      <c r="AE425" s="13"/>
      <c r="AF425" s="13"/>
      <c r="AG425" s="13"/>
      <c r="AH425" s="13"/>
      <c r="AI425" s="13"/>
      <c r="AJ425" s="13"/>
      <c r="AK425" s="13"/>
      <c r="AL425" s="13"/>
    </row>
    <row r="426" ht="15.75" customHeight="1">
      <c r="A426" s="47"/>
      <c r="B426" s="48"/>
      <c r="C426" s="48"/>
      <c r="D426" s="48"/>
      <c r="E426" s="48"/>
      <c r="F426" s="48"/>
      <c r="G426" s="48"/>
      <c r="H426" s="48"/>
      <c r="I426" s="48"/>
      <c r="J426" s="48"/>
      <c r="K426" s="48"/>
      <c r="L426" s="48"/>
      <c r="M426" s="48"/>
      <c r="N426" s="48"/>
      <c r="O426" s="33"/>
      <c r="P426" s="33"/>
      <c r="Q426" s="33"/>
      <c r="R426" s="33"/>
      <c r="S426" s="33"/>
      <c r="T426" s="48"/>
      <c r="U426" s="48"/>
      <c r="V426" s="9"/>
      <c r="W426" s="9"/>
      <c r="X426" s="49"/>
      <c r="Y426" s="9"/>
      <c r="Z426" s="9"/>
      <c r="AA426" s="48"/>
      <c r="AB426" s="48"/>
      <c r="AC426" s="48"/>
      <c r="AD426" s="13"/>
      <c r="AE426" s="13"/>
      <c r="AF426" s="13"/>
      <c r="AG426" s="13"/>
      <c r="AH426" s="13"/>
      <c r="AI426" s="13"/>
      <c r="AJ426" s="13"/>
      <c r="AK426" s="13"/>
      <c r="AL426" s="13"/>
    </row>
    <row r="427" ht="15.75" customHeight="1">
      <c r="A427" s="47"/>
      <c r="B427" s="48"/>
      <c r="C427" s="48"/>
      <c r="D427" s="48"/>
      <c r="E427" s="48"/>
      <c r="F427" s="48"/>
      <c r="G427" s="48"/>
      <c r="H427" s="48"/>
      <c r="I427" s="48"/>
      <c r="J427" s="48"/>
      <c r="K427" s="48"/>
      <c r="L427" s="48"/>
      <c r="M427" s="48"/>
      <c r="N427" s="48"/>
      <c r="O427" s="33"/>
      <c r="P427" s="33"/>
      <c r="Q427" s="33"/>
      <c r="R427" s="33"/>
      <c r="S427" s="33"/>
      <c r="T427" s="48"/>
      <c r="U427" s="48"/>
      <c r="V427" s="9"/>
      <c r="W427" s="9"/>
      <c r="X427" s="49"/>
      <c r="Y427" s="9"/>
      <c r="Z427" s="9"/>
      <c r="AA427" s="48"/>
      <c r="AB427" s="48"/>
      <c r="AC427" s="48"/>
      <c r="AD427" s="13"/>
      <c r="AE427" s="13"/>
      <c r="AF427" s="13"/>
      <c r="AG427" s="13"/>
      <c r="AH427" s="13"/>
      <c r="AI427" s="13"/>
      <c r="AJ427" s="13"/>
      <c r="AK427" s="13"/>
      <c r="AL427" s="13"/>
    </row>
    <row r="428" ht="15.75" customHeight="1">
      <c r="A428" s="47"/>
      <c r="B428" s="48"/>
      <c r="C428" s="48"/>
      <c r="D428" s="48"/>
      <c r="E428" s="48"/>
      <c r="F428" s="48"/>
      <c r="G428" s="48"/>
      <c r="H428" s="48"/>
      <c r="I428" s="48"/>
      <c r="J428" s="48"/>
      <c r="K428" s="48"/>
      <c r="L428" s="48"/>
      <c r="M428" s="48"/>
      <c r="N428" s="48"/>
      <c r="O428" s="33"/>
      <c r="P428" s="33"/>
      <c r="Q428" s="33"/>
      <c r="R428" s="33"/>
      <c r="S428" s="33"/>
      <c r="T428" s="48"/>
      <c r="U428" s="48"/>
      <c r="V428" s="9"/>
      <c r="W428" s="9"/>
      <c r="X428" s="49"/>
      <c r="Y428" s="9"/>
      <c r="Z428" s="9"/>
      <c r="AA428" s="48"/>
      <c r="AB428" s="48"/>
      <c r="AC428" s="48"/>
      <c r="AD428" s="13"/>
      <c r="AE428" s="13"/>
      <c r="AF428" s="13"/>
      <c r="AG428" s="13"/>
      <c r="AH428" s="13"/>
      <c r="AI428" s="13"/>
      <c r="AJ428" s="13"/>
      <c r="AK428" s="13"/>
      <c r="AL428" s="13"/>
    </row>
    <row r="429" ht="15.75" customHeight="1">
      <c r="A429" s="47"/>
      <c r="B429" s="48"/>
      <c r="C429" s="48"/>
      <c r="D429" s="48"/>
      <c r="E429" s="48"/>
      <c r="F429" s="48"/>
      <c r="G429" s="48"/>
      <c r="H429" s="48"/>
      <c r="I429" s="48"/>
      <c r="J429" s="48"/>
      <c r="K429" s="48"/>
      <c r="L429" s="48"/>
      <c r="M429" s="48"/>
      <c r="N429" s="48"/>
      <c r="O429" s="33"/>
      <c r="P429" s="33"/>
      <c r="Q429" s="33"/>
      <c r="R429" s="33"/>
      <c r="S429" s="33"/>
      <c r="T429" s="48"/>
      <c r="U429" s="48"/>
      <c r="V429" s="9"/>
      <c r="W429" s="9"/>
      <c r="X429" s="49"/>
      <c r="Y429" s="9"/>
      <c r="Z429" s="9"/>
      <c r="AA429" s="48"/>
      <c r="AB429" s="48"/>
      <c r="AC429" s="48"/>
      <c r="AD429" s="13"/>
      <c r="AE429" s="13"/>
      <c r="AF429" s="13"/>
      <c r="AG429" s="13"/>
      <c r="AH429" s="13"/>
      <c r="AI429" s="13"/>
      <c r="AJ429" s="13"/>
      <c r="AK429" s="13"/>
      <c r="AL429" s="13"/>
    </row>
    <row r="430" ht="15.75" customHeight="1">
      <c r="A430" s="47"/>
      <c r="B430" s="48"/>
      <c r="C430" s="48"/>
      <c r="D430" s="48"/>
      <c r="E430" s="48"/>
      <c r="F430" s="48"/>
      <c r="G430" s="48"/>
      <c r="H430" s="48"/>
      <c r="I430" s="48"/>
      <c r="J430" s="48"/>
      <c r="K430" s="48"/>
      <c r="L430" s="48"/>
      <c r="M430" s="48"/>
      <c r="N430" s="48"/>
      <c r="O430" s="33"/>
      <c r="P430" s="33"/>
      <c r="Q430" s="33"/>
      <c r="R430" s="33"/>
      <c r="S430" s="33"/>
      <c r="T430" s="48"/>
      <c r="U430" s="48"/>
      <c r="V430" s="9"/>
      <c r="W430" s="9"/>
      <c r="X430" s="49"/>
      <c r="Y430" s="9"/>
      <c r="Z430" s="9"/>
      <c r="AA430" s="48"/>
      <c r="AB430" s="48"/>
      <c r="AC430" s="48"/>
      <c r="AD430" s="13"/>
      <c r="AE430" s="13"/>
      <c r="AF430" s="13"/>
      <c r="AG430" s="13"/>
      <c r="AH430" s="13"/>
      <c r="AI430" s="13"/>
      <c r="AJ430" s="13"/>
      <c r="AK430" s="13"/>
      <c r="AL430" s="13"/>
    </row>
    <row r="431" ht="15.75" customHeight="1">
      <c r="A431" s="47"/>
      <c r="B431" s="48"/>
      <c r="C431" s="48"/>
      <c r="D431" s="48"/>
      <c r="E431" s="48"/>
      <c r="F431" s="48"/>
      <c r="G431" s="48"/>
      <c r="H431" s="48"/>
      <c r="I431" s="48"/>
      <c r="J431" s="48"/>
      <c r="K431" s="48"/>
      <c r="L431" s="48"/>
      <c r="M431" s="48"/>
      <c r="N431" s="48"/>
      <c r="O431" s="33"/>
      <c r="P431" s="33"/>
      <c r="Q431" s="33"/>
      <c r="R431" s="33"/>
      <c r="S431" s="33"/>
      <c r="T431" s="48"/>
      <c r="U431" s="48"/>
      <c r="V431" s="9"/>
      <c r="W431" s="9"/>
      <c r="X431" s="49"/>
      <c r="Y431" s="9"/>
      <c r="Z431" s="9"/>
      <c r="AA431" s="48"/>
      <c r="AB431" s="48"/>
      <c r="AC431" s="48"/>
      <c r="AD431" s="13"/>
      <c r="AE431" s="13"/>
      <c r="AF431" s="13"/>
      <c r="AG431" s="13"/>
      <c r="AH431" s="13"/>
      <c r="AI431" s="13"/>
      <c r="AJ431" s="13"/>
      <c r="AK431" s="13"/>
      <c r="AL431" s="13"/>
    </row>
    <row r="432" ht="15.75" customHeight="1">
      <c r="A432" s="47"/>
      <c r="B432" s="48"/>
      <c r="C432" s="48"/>
      <c r="D432" s="48"/>
      <c r="E432" s="48"/>
      <c r="F432" s="48"/>
      <c r="G432" s="48"/>
      <c r="H432" s="48"/>
      <c r="I432" s="48"/>
      <c r="J432" s="48"/>
      <c r="K432" s="48"/>
      <c r="L432" s="48"/>
      <c r="M432" s="48"/>
      <c r="N432" s="48"/>
      <c r="O432" s="33"/>
      <c r="P432" s="33"/>
      <c r="Q432" s="33"/>
      <c r="R432" s="33"/>
      <c r="S432" s="33"/>
      <c r="T432" s="48"/>
      <c r="U432" s="48"/>
      <c r="V432" s="9"/>
      <c r="W432" s="9"/>
      <c r="X432" s="49"/>
      <c r="Y432" s="9"/>
      <c r="Z432" s="9"/>
      <c r="AA432" s="48"/>
      <c r="AB432" s="48"/>
      <c r="AC432" s="48"/>
      <c r="AD432" s="13"/>
      <c r="AE432" s="13"/>
      <c r="AF432" s="13"/>
      <c r="AG432" s="13"/>
      <c r="AH432" s="13"/>
      <c r="AI432" s="13"/>
      <c r="AJ432" s="13"/>
      <c r="AK432" s="13"/>
      <c r="AL432" s="13"/>
    </row>
    <row r="433" ht="15.75" customHeight="1">
      <c r="A433" s="47"/>
      <c r="B433" s="48"/>
      <c r="C433" s="48"/>
      <c r="D433" s="48"/>
      <c r="E433" s="48"/>
      <c r="F433" s="48"/>
      <c r="G433" s="48"/>
      <c r="H433" s="48"/>
      <c r="I433" s="48"/>
      <c r="J433" s="48"/>
      <c r="K433" s="48"/>
      <c r="L433" s="48"/>
      <c r="M433" s="48"/>
      <c r="N433" s="48"/>
      <c r="O433" s="33"/>
      <c r="P433" s="33"/>
      <c r="Q433" s="33"/>
      <c r="R433" s="33"/>
      <c r="S433" s="33"/>
      <c r="T433" s="48"/>
      <c r="U433" s="48"/>
      <c r="V433" s="9"/>
      <c r="W433" s="9"/>
      <c r="X433" s="49"/>
      <c r="Y433" s="9"/>
      <c r="Z433" s="9"/>
      <c r="AA433" s="48"/>
      <c r="AB433" s="48"/>
      <c r="AC433" s="48"/>
      <c r="AD433" s="13"/>
      <c r="AE433" s="13"/>
      <c r="AF433" s="13"/>
      <c r="AG433" s="13"/>
      <c r="AH433" s="13"/>
      <c r="AI433" s="13"/>
      <c r="AJ433" s="13"/>
      <c r="AK433" s="13"/>
      <c r="AL433" s="13"/>
    </row>
    <row r="434" ht="15.75" customHeight="1">
      <c r="A434" s="47"/>
      <c r="B434" s="48"/>
      <c r="C434" s="48"/>
      <c r="D434" s="48"/>
      <c r="E434" s="48"/>
      <c r="F434" s="48"/>
      <c r="G434" s="48"/>
      <c r="H434" s="48"/>
      <c r="I434" s="48"/>
      <c r="J434" s="48"/>
      <c r="K434" s="48"/>
      <c r="L434" s="48"/>
      <c r="M434" s="48"/>
      <c r="N434" s="48"/>
      <c r="O434" s="33"/>
      <c r="P434" s="33"/>
      <c r="Q434" s="33"/>
      <c r="R434" s="33"/>
      <c r="S434" s="33"/>
      <c r="T434" s="48"/>
      <c r="U434" s="48"/>
      <c r="V434" s="9"/>
      <c r="W434" s="9"/>
      <c r="X434" s="49"/>
      <c r="Y434" s="9"/>
      <c r="Z434" s="9"/>
      <c r="AA434" s="48"/>
      <c r="AB434" s="48"/>
      <c r="AC434" s="48"/>
      <c r="AD434" s="13"/>
      <c r="AE434" s="13"/>
      <c r="AF434" s="13"/>
      <c r="AG434" s="13"/>
      <c r="AH434" s="13"/>
      <c r="AI434" s="13"/>
      <c r="AJ434" s="13"/>
      <c r="AK434" s="13"/>
      <c r="AL434" s="13"/>
    </row>
    <row r="435" ht="15.75" customHeight="1">
      <c r="A435" s="47"/>
      <c r="B435" s="48"/>
      <c r="C435" s="48"/>
      <c r="D435" s="48"/>
      <c r="E435" s="48"/>
      <c r="F435" s="48"/>
      <c r="G435" s="48"/>
      <c r="H435" s="48"/>
      <c r="I435" s="48"/>
      <c r="J435" s="48"/>
      <c r="K435" s="48"/>
      <c r="L435" s="48"/>
      <c r="M435" s="48"/>
      <c r="N435" s="48"/>
      <c r="O435" s="33"/>
      <c r="P435" s="33"/>
      <c r="Q435" s="33"/>
      <c r="R435" s="33"/>
      <c r="S435" s="33"/>
      <c r="T435" s="48"/>
      <c r="U435" s="48"/>
      <c r="V435" s="9"/>
      <c r="W435" s="9"/>
      <c r="X435" s="49"/>
      <c r="Y435" s="9"/>
      <c r="Z435" s="9"/>
      <c r="AA435" s="48"/>
      <c r="AB435" s="48"/>
      <c r="AC435" s="48"/>
      <c r="AD435" s="13"/>
      <c r="AE435" s="13"/>
      <c r="AF435" s="13"/>
      <c r="AG435" s="13"/>
      <c r="AH435" s="13"/>
      <c r="AI435" s="13"/>
      <c r="AJ435" s="13"/>
      <c r="AK435" s="13"/>
      <c r="AL435" s="13"/>
    </row>
    <row r="436" ht="15.75" customHeight="1">
      <c r="A436" s="47"/>
      <c r="B436" s="48"/>
      <c r="C436" s="48"/>
      <c r="D436" s="48"/>
      <c r="E436" s="48"/>
      <c r="F436" s="48"/>
      <c r="G436" s="48"/>
      <c r="H436" s="48"/>
      <c r="I436" s="48"/>
      <c r="J436" s="48"/>
      <c r="K436" s="48"/>
      <c r="L436" s="48"/>
      <c r="M436" s="48"/>
      <c r="N436" s="48"/>
      <c r="O436" s="33"/>
      <c r="P436" s="33"/>
      <c r="Q436" s="33"/>
      <c r="R436" s="33"/>
      <c r="S436" s="33"/>
      <c r="T436" s="48"/>
      <c r="U436" s="48"/>
      <c r="V436" s="9"/>
      <c r="W436" s="9"/>
      <c r="X436" s="49"/>
      <c r="Y436" s="9"/>
      <c r="Z436" s="9"/>
      <c r="AA436" s="48"/>
      <c r="AB436" s="48"/>
      <c r="AC436" s="48"/>
      <c r="AD436" s="13"/>
      <c r="AE436" s="13"/>
      <c r="AF436" s="13"/>
      <c r="AG436" s="13"/>
      <c r="AH436" s="13"/>
      <c r="AI436" s="13"/>
      <c r="AJ436" s="13"/>
      <c r="AK436" s="13"/>
      <c r="AL436" s="13"/>
    </row>
    <row r="437" ht="15.75" customHeight="1">
      <c r="A437" s="47"/>
      <c r="B437" s="48"/>
      <c r="C437" s="48"/>
      <c r="D437" s="48"/>
      <c r="E437" s="48"/>
      <c r="F437" s="48"/>
      <c r="G437" s="48"/>
      <c r="H437" s="48"/>
      <c r="I437" s="48"/>
      <c r="J437" s="48"/>
      <c r="K437" s="48"/>
      <c r="L437" s="48"/>
      <c r="M437" s="48"/>
      <c r="N437" s="48"/>
      <c r="O437" s="33"/>
      <c r="P437" s="33"/>
      <c r="Q437" s="33"/>
      <c r="R437" s="33"/>
      <c r="S437" s="33"/>
      <c r="T437" s="48"/>
      <c r="U437" s="48"/>
      <c r="V437" s="9"/>
      <c r="W437" s="9"/>
      <c r="X437" s="49"/>
      <c r="Y437" s="9"/>
      <c r="Z437" s="9"/>
      <c r="AA437" s="48"/>
      <c r="AB437" s="48"/>
      <c r="AC437" s="48"/>
      <c r="AD437" s="13"/>
      <c r="AE437" s="13"/>
      <c r="AF437" s="13"/>
      <c r="AG437" s="13"/>
      <c r="AH437" s="13"/>
      <c r="AI437" s="13"/>
      <c r="AJ437" s="13"/>
      <c r="AK437" s="13"/>
      <c r="AL437" s="13"/>
    </row>
    <row r="438" ht="15.75" customHeight="1">
      <c r="A438" s="47"/>
      <c r="B438" s="48"/>
      <c r="C438" s="48"/>
      <c r="D438" s="48"/>
      <c r="E438" s="48"/>
      <c r="F438" s="48"/>
      <c r="G438" s="48"/>
      <c r="H438" s="48"/>
      <c r="I438" s="48"/>
      <c r="J438" s="48"/>
      <c r="K438" s="48"/>
      <c r="L438" s="48"/>
      <c r="M438" s="48"/>
      <c r="N438" s="48"/>
      <c r="O438" s="33"/>
      <c r="P438" s="33"/>
      <c r="Q438" s="33"/>
      <c r="R438" s="33"/>
      <c r="S438" s="33"/>
      <c r="T438" s="48"/>
      <c r="U438" s="48"/>
      <c r="V438" s="9"/>
      <c r="W438" s="9"/>
      <c r="X438" s="49"/>
      <c r="Y438" s="9"/>
      <c r="Z438" s="9"/>
      <c r="AA438" s="48"/>
      <c r="AB438" s="48"/>
      <c r="AC438" s="48"/>
      <c r="AD438" s="13"/>
      <c r="AE438" s="13"/>
      <c r="AF438" s="13"/>
      <c r="AG438" s="13"/>
      <c r="AH438" s="13"/>
      <c r="AI438" s="13"/>
      <c r="AJ438" s="13"/>
      <c r="AK438" s="13"/>
      <c r="AL438" s="13"/>
    </row>
    <row r="439" ht="15.75" customHeight="1">
      <c r="A439" s="47"/>
      <c r="B439" s="48"/>
      <c r="C439" s="48"/>
      <c r="D439" s="48"/>
      <c r="E439" s="48"/>
      <c r="F439" s="48"/>
      <c r="G439" s="48"/>
      <c r="H439" s="48"/>
      <c r="I439" s="48"/>
      <c r="J439" s="48"/>
      <c r="K439" s="48"/>
      <c r="L439" s="48"/>
      <c r="M439" s="48"/>
      <c r="N439" s="48"/>
      <c r="O439" s="33"/>
      <c r="P439" s="33"/>
      <c r="Q439" s="33"/>
      <c r="R439" s="33"/>
      <c r="S439" s="33"/>
      <c r="T439" s="48"/>
      <c r="U439" s="48"/>
      <c r="V439" s="9"/>
      <c r="W439" s="9"/>
      <c r="X439" s="49"/>
      <c r="Y439" s="9"/>
      <c r="Z439" s="9"/>
      <c r="AA439" s="48"/>
      <c r="AB439" s="48"/>
      <c r="AC439" s="48"/>
      <c r="AD439" s="13"/>
      <c r="AE439" s="13"/>
      <c r="AF439" s="13"/>
      <c r="AG439" s="13"/>
      <c r="AH439" s="13"/>
      <c r="AI439" s="13"/>
      <c r="AJ439" s="13"/>
      <c r="AK439" s="13"/>
      <c r="AL439" s="13"/>
    </row>
    <row r="440" ht="15.75" customHeight="1">
      <c r="A440" s="47"/>
      <c r="B440" s="48"/>
      <c r="C440" s="48"/>
      <c r="D440" s="48"/>
      <c r="E440" s="48"/>
      <c r="F440" s="48"/>
      <c r="G440" s="48"/>
      <c r="H440" s="48"/>
      <c r="I440" s="48"/>
      <c r="J440" s="48"/>
      <c r="K440" s="48"/>
      <c r="L440" s="48"/>
      <c r="M440" s="48"/>
      <c r="N440" s="48"/>
      <c r="O440" s="33"/>
      <c r="P440" s="33"/>
      <c r="Q440" s="33"/>
      <c r="R440" s="33"/>
      <c r="S440" s="33"/>
      <c r="T440" s="48"/>
      <c r="U440" s="48"/>
      <c r="V440" s="9"/>
      <c r="W440" s="9"/>
      <c r="X440" s="49"/>
      <c r="Y440" s="9"/>
      <c r="Z440" s="9"/>
      <c r="AA440" s="48"/>
      <c r="AB440" s="48"/>
      <c r="AC440" s="48"/>
      <c r="AD440" s="13"/>
      <c r="AE440" s="13"/>
      <c r="AF440" s="13"/>
      <c r="AG440" s="13"/>
      <c r="AH440" s="13"/>
      <c r="AI440" s="13"/>
      <c r="AJ440" s="13"/>
      <c r="AK440" s="13"/>
      <c r="AL440" s="13"/>
    </row>
    <row r="441" ht="15.75" customHeight="1">
      <c r="A441" s="47"/>
      <c r="B441" s="48"/>
      <c r="C441" s="48"/>
      <c r="D441" s="48"/>
      <c r="E441" s="48"/>
      <c r="F441" s="48"/>
      <c r="G441" s="48"/>
      <c r="H441" s="48"/>
      <c r="I441" s="48"/>
      <c r="J441" s="48"/>
      <c r="K441" s="48"/>
      <c r="L441" s="48"/>
      <c r="M441" s="48"/>
      <c r="N441" s="48"/>
      <c r="O441" s="33"/>
      <c r="P441" s="33"/>
      <c r="Q441" s="33"/>
      <c r="R441" s="33"/>
      <c r="S441" s="33"/>
      <c r="T441" s="48"/>
      <c r="U441" s="48"/>
      <c r="V441" s="9"/>
      <c r="W441" s="9"/>
      <c r="X441" s="49"/>
      <c r="Y441" s="9"/>
      <c r="Z441" s="9"/>
      <c r="AA441" s="48"/>
      <c r="AB441" s="48"/>
      <c r="AC441" s="48"/>
      <c r="AD441" s="13"/>
      <c r="AE441" s="13"/>
      <c r="AF441" s="13"/>
      <c r="AG441" s="13"/>
      <c r="AH441" s="13"/>
      <c r="AI441" s="13"/>
      <c r="AJ441" s="13"/>
      <c r="AK441" s="13"/>
      <c r="AL441" s="13"/>
    </row>
    <row r="442" ht="15.75" customHeight="1">
      <c r="A442" s="47"/>
      <c r="B442" s="48"/>
      <c r="C442" s="48"/>
      <c r="D442" s="48"/>
      <c r="E442" s="48"/>
      <c r="F442" s="48"/>
      <c r="G442" s="48"/>
      <c r="H442" s="48"/>
      <c r="I442" s="48"/>
      <c r="J442" s="48"/>
      <c r="K442" s="48"/>
      <c r="L442" s="48"/>
      <c r="M442" s="48"/>
      <c r="N442" s="48"/>
      <c r="O442" s="33"/>
      <c r="P442" s="33"/>
      <c r="Q442" s="33"/>
      <c r="R442" s="33"/>
      <c r="S442" s="33"/>
      <c r="T442" s="48"/>
      <c r="U442" s="48"/>
      <c r="V442" s="9"/>
      <c r="W442" s="9"/>
      <c r="X442" s="49"/>
      <c r="Y442" s="9"/>
      <c r="Z442" s="9"/>
      <c r="AA442" s="48"/>
      <c r="AB442" s="48"/>
      <c r="AC442" s="48"/>
      <c r="AD442" s="13"/>
      <c r="AE442" s="13"/>
      <c r="AF442" s="13"/>
      <c r="AG442" s="13"/>
      <c r="AH442" s="13"/>
      <c r="AI442" s="13"/>
      <c r="AJ442" s="13"/>
      <c r="AK442" s="13"/>
      <c r="AL442" s="13"/>
    </row>
    <row r="443" ht="15.75" customHeight="1">
      <c r="A443" s="47"/>
      <c r="B443" s="48"/>
      <c r="C443" s="48"/>
      <c r="D443" s="48"/>
      <c r="E443" s="48"/>
      <c r="F443" s="48"/>
      <c r="G443" s="48"/>
      <c r="H443" s="48"/>
      <c r="I443" s="48"/>
      <c r="J443" s="48"/>
      <c r="K443" s="48"/>
      <c r="L443" s="48"/>
      <c r="M443" s="48"/>
      <c r="N443" s="48"/>
      <c r="O443" s="33"/>
      <c r="P443" s="33"/>
      <c r="Q443" s="33"/>
      <c r="R443" s="33"/>
      <c r="S443" s="33"/>
      <c r="T443" s="48"/>
      <c r="U443" s="48"/>
      <c r="V443" s="9"/>
      <c r="W443" s="9"/>
      <c r="X443" s="49"/>
      <c r="Y443" s="9"/>
      <c r="Z443" s="9"/>
      <c r="AA443" s="48"/>
      <c r="AB443" s="48"/>
      <c r="AC443" s="48"/>
      <c r="AD443" s="13"/>
      <c r="AE443" s="13"/>
      <c r="AF443" s="13"/>
      <c r="AG443" s="13"/>
      <c r="AH443" s="13"/>
      <c r="AI443" s="13"/>
      <c r="AJ443" s="13"/>
      <c r="AK443" s="13"/>
      <c r="AL443" s="13"/>
    </row>
    <row r="444" ht="15.75" customHeight="1">
      <c r="A444" s="47"/>
      <c r="B444" s="48"/>
      <c r="C444" s="48"/>
      <c r="D444" s="48"/>
      <c r="E444" s="48"/>
      <c r="F444" s="48"/>
      <c r="G444" s="48"/>
      <c r="H444" s="48"/>
      <c r="I444" s="48"/>
      <c r="J444" s="48"/>
      <c r="K444" s="48"/>
      <c r="L444" s="48"/>
      <c r="M444" s="48"/>
      <c r="N444" s="48"/>
      <c r="O444" s="33"/>
      <c r="P444" s="33"/>
      <c r="Q444" s="33"/>
      <c r="R444" s="33"/>
      <c r="S444" s="33"/>
      <c r="T444" s="48"/>
      <c r="U444" s="48"/>
      <c r="V444" s="9"/>
      <c r="W444" s="9"/>
      <c r="X444" s="49"/>
      <c r="Y444" s="9"/>
      <c r="Z444" s="9"/>
      <c r="AA444" s="48"/>
      <c r="AB444" s="48"/>
      <c r="AC444" s="48"/>
      <c r="AD444" s="13"/>
      <c r="AE444" s="13"/>
      <c r="AF444" s="13"/>
      <c r="AG444" s="13"/>
      <c r="AH444" s="13"/>
      <c r="AI444" s="13"/>
      <c r="AJ444" s="13"/>
      <c r="AK444" s="13"/>
      <c r="AL444" s="13"/>
    </row>
    <row r="445" ht="15.75" customHeight="1">
      <c r="A445" s="47"/>
      <c r="B445" s="48"/>
      <c r="C445" s="48"/>
      <c r="D445" s="48"/>
      <c r="E445" s="48"/>
      <c r="F445" s="48"/>
      <c r="G445" s="48"/>
      <c r="H445" s="48"/>
      <c r="I445" s="48"/>
      <c r="J445" s="48"/>
      <c r="K445" s="48"/>
      <c r="L445" s="48"/>
      <c r="M445" s="48"/>
      <c r="N445" s="48"/>
      <c r="O445" s="33"/>
      <c r="P445" s="33"/>
      <c r="Q445" s="33"/>
      <c r="R445" s="33"/>
      <c r="S445" s="33"/>
      <c r="T445" s="48"/>
      <c r="U445" s="48"/>
      <c r="V445" s="9"/>
      <c r="W445" s="9"/>
      <c r="X445" s="49"/>
      <c r="Y445" s="9"/>
      <c r="Z445" s="9"/>
      <c r="AA445" s="48"/>
      <c r="AB445" s="48"/>
      <c r="AC445" s="48"/>
      <c r="AD445" s="13"/>
      <c r="AE445" s="13"/>
      <c r="AF445" s="13"/>
      <c r="AG445" s="13"/>
      <c r="AH445" s="13"/>
      <c r="AI445" s="13"/>
      <c r="AJ445" s="13"/>
      <c r="AK445" s="13"/>
      <c r="AL445" s="13"/>
    </row>
    <row r="446" ht="15.75" customHeight="1">
      <c r="A446" s="47"/>
      <c r="B446" s="48"/>
      <c r="C446" s="48"/>
      <c r="D446" s="48"/>
      <c r="E446" s="48"/>
      <c r="F446" s="48"/>
      <c r="G446" s="48"/>
      <c r="H446" s="48"/>
      <c r="I446" s="48"/>
      <c r="J446" s="48"/>
      <c r="K446" s="48"/>
      <c r="L446" s="48"/>
      <c r="M446" s="48"/>
      <c r="N446" s="48"/>
      <c r="O446" s="33"/>
      <c r="P446" s="33"/>
      <c r="Q446" s="33"/>
      <c r="R446" s="33"/>
      <c r="S446" s="33"/>
      <c r="T446" s="48"/>
      <c r="U446" s="48"/>
      <c r="V446" s="9"/>
      <c r="W446" s="9"/>
      <c r="X446" s="49"/>
      <c r="Y446" s="9"/>
      <c r="Z446" s="9"/>
      <c r="AA446" s="48"/>
      <c r="AB446" s="48"/>
      <c r="AC446" s="48"/>
      <c r="AD446" s="13"/>
      <c r="AE446" s="13"/>
      <c r="AF446" s="13"/>
      <c r="AG446" s="13"/>
      <c r="AH446" s="13"/>
      <c r="AI446" s="13"/>
      <c r="AJ446" s="13"/>
      <c r="AK446" s="13"/>
      <c r="AL446" s="13"/>
    </row>
    <row r="447" ht="15.75" customHeight="1">
      <c r="A447" s="47"/>
      <c r="B447" s="48"/>
      <c r="C447" s="48"/>
      <c r="D447" s="48"/>
      <c r="E447" s="48"/>
      <c r="F447" s="48"/>
      <c r="G447" s="48"/>
      <c r="H447" s="48"/>
      <c r="I447" s="48"/>
      <c r="J447" s="48"/>
      <c r="K447" s="48"/>
      <c r="L447" s="48"/>
      <c r="M447" s="48"/>
      <c r="N447" s="48"/>
      <c r="O447" s="33"/>
      <c r="P447" s="33"/>
      <c r="Q447" s="33"/>
      <c r="R447" s="33"/>
      <c r="S447" s="33"/>
      <c r="T447" s="48"/>
      <c r="U447" s="48"/>
      <c r="V447" s="9"/>
      <c r="W447" s="9"/>
      <c r="X447" s="49"/>
      <c r="Y447" s="9"/>
      <c r="Z447" s="9"/>
      <c r="AA447" s="48"/>
      <c r="AB447" s="48"/>
      <c r="AC447" s="48"/>
      <c r="AD447" s="13"/>
      <c r="AE447" s="13"/>
      <c r="AF447" s="13"/>
      <c r="AG447" s="13"/>
      <c r="AH447" s="13"/>
      <c r="AI447" s="13"/>
      <c r="AJ447" s="13"/>
      <c r="AK447" s="13"/>
      <c r="AL447" s="13"/>
    </row>
    <row r="448" ht="15.75" customHeight="1">
      <c r="A448" s="47"/>
      <c r="B448" s="48"/>
      <c r="C448" s="48"/>
      <c r="D448" s="48"/>
      <c r="E448" s="48"/>
      <c r="F448" s="48"/>
      <c r="G448" s="48"/>
      <c r="H448" s="48"/>
      <c r="I448" s="48"/>
      <c r="J448" s="48"/>
      <c r="K448" s="48"/>
      <c r="L448" s="48"/>
      <c r="M448" s="48"/>
      <c r="N448" s="48"/>
      <c r="O448" s="33"/>
      <c r="P448" s="33"/>
      <c r="Q448" s="33"/>
      <c r="R448" s="33"/>
      <c r="S448" s="33"/>
      <c r="T448" s="48"/>
      <c r="U448" s="48"/>
      <c r="V448" s="9"/>
      <c r="W448" s="9"/>
      <c r="X448" s="49"/>
      <c r="Y448" s="9"/>
      <c r="Z448" s="9"/>
      <c r="AA448" s="48"/>
      <c r="AB448" s="48"/>
      <c r="AC448" s="48"/>
      <c r="AD448" s="13"/>
      <c r="AE448" s="13"/>
      <c r="AF448" s="13"/>
      <c r="AG448" s="13"/>
      <c r="AH448" s="13"/>
      <c r="AI448" s="13"/>
      <c r="AJ448" s="13"/>
      <c r="AK448" s="13"/>
      <c r="AL448" s="13"/>
    </row>
    <row r="449" ht="15.75" customHeight="1">
      <c r="A449" s="47"/>
      <c r="B449" s="48"/>
      <c r="C449" s="48"/>
      <c r="D449" s="48"/>
      <c r="E449" s="48"/>
      <c r="F449" s="48"/>
      <c r="G449" s="48"/>
      <c r="H449" s="48"/>
      <c r="I449" s="48"/>
      <c r="J449" s="48"/>
      <c r="K449" s="48"/>
      <c r="L449" s="48"/>
      <c r="M449" s="48"/>
      <c r="N449" s="48"/>
      <c r="O449" s="33"/>
      <c r="P449" s="33"/>
      <c r="Q449" s="33"/>
      <c r="R449" s="33"/>
      <c r="S449" s="33"/>
      <c r="T449" s="48"/>
      <c r="U449" s="48"/>
      <c r="V449" s="9"/>
      <c r="W449" s="9"/>
      <c r="X449" s="49"/>
      <c r="Y449" s="9"/>
      <c r="Z449" s="9"/>
      <c r="AA449" s="48"/>
      <c r="AB449" s="48"/>
      <c r="AC449" s="48"/>
      <c r="AD449" s="13"/>
      <c r="AE449" s="13"/>
      <c r="AF449" s="13"/>
      <c r="AG449" s="13"/>
      <c r="AH449" s="13"/>
      <c r="AI449" s="13"/>
      <c r="AJ449" s="13"/>
      <c r="AK449" s="13"/>
      <c r="AL449" s="13"/>
    </row>
    <row r="450" ht="15.75" customHeight="1">
      <c r="A450" s="47"/>
      <c r="B450" s="48"/>
      <c r="C450" s="48"/>
      <c r="D450" s="48"/>
      <c r="E450" s="48"/>
      <c r="F450" s="48"/>
      <c r="G450" s="48"/>
      <c r="H450" s="48"/>
      <c r="I450" s="48"/>
      <c r="J450" s="48"/>
      <c r="K450" s="48"/>
      <c r="L450" s="48"/>
      <c r="M450" s="48"/>
      <c r="N450" s="48"/>
      <c r="O450" s="33"/>
      <c r="P450" s="33"/>
      <c r="Q450" s="33"/>
      <c r="R450" s="33"/>
      <c r="S450" s="33"/>
      <c r="T450" s="48"/>
      <c r="U450" s="48"/>
      <c r="V450" s="9"/>
      <c r="W450" s="9"/>
      <c r="X450" s="49"/>
      <c r="Y450" s="9"/>
      <c r="Z450" s="9"/>
      <c r="AA450" s="48"/>
      <c r="AB450" s="48"/>
      <c r="AC450" s="48"/>
      <c r="AD450" s="13"/>
      <c r="AE450" s="13"/>
      <c r="AF450" s="13"/>
      <c r="AG450" s="13"/>
      <c r="AH450" s="13"/>
      <c r="AI450" s="13"/>
      <c r="AJ450" s="13"/>
      <c r="AK450" s="13"/>
      <c r="AL450" s="13"/>
    </row>
    <row r="451" ht="15.75" customHeight="1">
      <c r="A451" s="47"/>
      <c r="B451" s="48"/>
      <c r="C451" s="48"/>
      <c r="D451" s="48"/>
      <c r="E451" s="48"/>
      <c r="F451" s="48"/>
      <c r="G451" s="48"/>
      <c r="H451" s="48"/>
      <c r="I451" s="48"/>
      <c r="J451" s="48"/>
      <c r="K451" s="48"/>
      <c r="L451" s="48"/>
      <c r="M451" s="48"/>
      <c r="N451" s="48"/>
      <c r="O451" s="33"/>
      <c r="P451" s="33"/>
      <c r="Q451" s="33"/>
      <c r="R451" s="33"/>
      <c r="S451" s="33"/>
      <c r="T451" s="48"/>
      <c r="U451" s="48"/>
      <c r="V451" s="9"/>
      <c r="W451" s="9"/>
      <c r="X451" s="49"/>
      <c r="Y451" s="9"/>
      <c r="Z451" s="9"/>
      <c r="AA451" s="48"/>
      <c r="AB451" s="48"/>
      <c r="AC451" s="48"/>
      <c r="AD451" s="13"/>
      <c r="AE451" s="13"/>
      <c r="AF451" s="13"/>
      <c r="AG451" s="13"/>
      <c r="AH451" s="13"/>
      <c r="AI451" s="13"/>
      <c r="AJ451" s="13"/>
      <c r="AK451" s="13"/>
      <c r="AL451" s="13"/>
    </row>
    <row r="452" ht="15.75" customHeight="1">
      <c r="A452" s="47"/>
      <c r="B452" s="48"/>
      <c r="C452" s="48"/>
      <c r="D452" s="48"/>
      <c r="E452" s="48"/>
      <c r="F452" s="48"/>
      <c r="G452" s="48"/>
      <c r="H452" s="48"/>
      <c r="I452" s="48"/>
      <c r="J452" s="48"/>
      <c r="K452" s="48"/>
      <c r="L452" s="48"/>
      <c r="M452" s="48"/>
      <c r="N452" s="48"/>
      <c r="O452" s="33"/>
      <c r="P452" s="33"/>
      <c r="Q452" s="33"/>
      <c r="R452" s="33"/>
      <c r="S452" s="33"/>
      <c r="T452" s="48"/>
      <c r="U452" s="48"/>
      <c r="V452" s="9"/>
      <c r="W452" s="9"/>
      <c r="X452" s="49"/>
      <c r="Y452" s="9"/>
      <c r="Z452" s="9"/>
      <c r="AA452" s="48"/>
      <c r="AB452" s="48"/>
      <c r="AC452" s="48"/>
      <c r="AD452" s="13"/>
      <c r="AE452" s="13"/>
      <c r="AF452" s="13"/>
      <c r="AG452" s="13"/>
      <c r="AH452" s="13"/>
      <c r="AI452" s="13"/>
      <c r="AJ452" s="13"/>
      <c r="AK452" s="13"/>
      <c r="AL452" s="13"/>
    </row>
    <row r="453" ht="15.75" customHeight="1">
      <c r="A453" s="47"/>
      <c r="B453" s="48"/>
      <c r="C453" s="48"/>
      <c r="D453" s="48"/>
      <c r="E453" s="48"/>
      <c r="F453" s="48"/>
      <c r="G453" s="48"/>
      <c r="H453" s="48"/>
      <c r="I453" s="48"/>
      <c r="J453" s="48"/>
      <c r="K453" s="48"/>
      <c r="L453" s="48"/>
      <c r="M453" s="48"/>
      <c r="N453" s="48"/>
      <c r="O453" s="33"/>
      <c r="P453" s="33"/>
      <c r="Q453" s="33"/>
      <c r="R453" s="33"/>
      <c r="S453" s="33"/>
      <c r="T453" s="48"/>
      <c r="U453" s="48"/>
      <c r="V453" s="9"/>
      <c r="W453" s="9"/>
      <c r="X453" s="49"/>
      <c r="Y453" s="9"/>
      <c r="Z453" s="9"/>
      <c r="AA453" s="48"/>
      <c r="AB453" s="48"/>
      <c r="AC453" s="48"/>
      <c r="AD453" s="13"/>
      <c r="AE453" s="13"/>
      <c r="AF453" s="13"/>
      <c r="AG453" s="13"/>
      <c r="AH453" s="13"/>
      <c r="AI453" s="13"/>
      <c r="AJ453" s="13"/>
      <c r="AK453" s="13"/>
      <c r="AL453" s="13"/>
    </row>
    <row r="454" ht="15.75" customHeight="1">
      <c r="A454" s="47"/>
      <c r="B454" s="48"/>
      <c r="C454" s="48"/>
      <c r="D454" s="48"/>
      <c r="E454" s="48"/>
      <c r="F454" s="48"/>
      <c r="G454" s="48"/>
      <c r="H454" s="48"/>
      <c r="I454" s="48"/>
      <c r="J454" s="48"/>
      <c r="K454" s="48"/>
      <c r="L454" s="48"/>
      <c r="M454" s="48"/>
      <c r="N454" s="48"/>
      <c r="O454" s="33"/>
      <c r="P454" s="33"/>
      <c r="Q454" s="33"/>
      <c r="R454" s="33"/>
      <c r="S454" s="33"/>
      <c r="T454" s="48"/>
      <c r="U454" s="48"/>
      <c r="V454" s="9"/>
      <c r="W454" s="9"/>
      <c r="X454" s="49"/>
      <c r="Y454" s="9"/>
      <c r="Z454" s="9"/>
      <c r="AA454" s="48"/>
      <c r="AB454" s="48"/>
      <c r="AC454" s="48"/>
      <c r="AD454" s="13"/>
      <c r="AE454" s="13"/>
      <c r="AF454" s="13"/>
      <c r="AG454" s="13"/>
      <c r="AH454" s="13"/>
      <c r="AI454" s="13"/>
      <c r="AJ454" s="13"/>
      <c r="AK454" s="13"/>
      <c r="AL454" s="13"/>
    </row>
    <row r="455" ht="15.75" customHeight="1">
      <c r="A455" s="47"/>
      <c r="B455" s="48"/>
      <c r="C455" s="48"/>
      <c r="D455" s="48"/>
      <c r="E455" s="48"/>
      <c r="F455" s="48"/>
      <c r="G455" s="48"/>
      <c r="H455" s="48"/>
      <c r="I455" s="48"/>
      <c r="J455" s="48"/>
      <c r="K455" s="48"/>
      <c r="L455" s="48"/>
      <c r="M455" s="48"/>
      <c r="N455" s="48"/>
      <c r="O455" s="33"/>
      <c r="P455" s="33"/>
      <c r="Q455" s="33"/>
      <c r="R455" s="33"/>
      <c r="S455" s="33"/>
      <c r="T455" s="48"/>
      <c r="U455" s="48"/>
      <c r="V455" s="9"/>
      <c r="W455" s="9"/>
      <c r="X455" s="49"/>
      <c r="Y455" s="9"/>
      <c r="Z455" s="9"/>
      <c r="AA455" s="48"/>
      <c r="AB455" s="48"/>
      <c r="AC455" s="48"/>
      <c r="AD455" s="13"/>
      <c r="AE455" s="13"/>
      <c r="AF455" s="13"/>
      <c r="AG455" s="13"/>
      <c r="AH455" s="13"/>
      <c r="AI455" s="13"/>
      <c r="AJ455" s="13"/>
      <c r="AK455" s="13"/>
      <c r="AL455" s="13"/>
    </row>
    <row r="456" ht="15.75" customHeight="1">
      <c r="A456" s="47"/>
      <c r="B456" s="48"/>
      <c r="C456" s="48"/>
      <c r="D456" s="48"/>
      <c r="E456" s="48"/>
      <c r="F456" s="48"/>
      <c r="G456" s="48"/>
      <c r="H456" s="48"/>
      <c r="I456" s="48"/>
      <c r="J456" s="48"/>
      <c r="K456" s="48"/>
      <c r="L456" s="48"/>
      <c r="M456" s="48"/>
      <c r="N456" s="48"/>
      <c r="O456" s="33"/>
      <c r="P456" s="33"/>
      <c r="Q456" s="33"/>
      <c r="R456" s="33"/>
      <c r="S456" s="33"/>
      <c r="T456" s="48"/>
      <c r="U456" s="48"/>
      <c r="V456" s="9"/>
      <c r="W456" s="9"/>
      <c r="X456" s="49"/>
      <c r="Y456" s="9"/>
      <c r="Z456" s="9"/>
      <c r="AA456" s="48"/>
      <c r="AB456" s="48"/>
      <c r="AC456" s="48"/>
      <c r="AD456" s="13"/>
      <c r="AE456" s="13"/>
      <c r="AF456" s="13"/>
      <c r="AG456" s="13"/>
      <c r="AH456" s="13"/>
      <c r="AI456" s="13"/>
      <c r="AJ456" s="13"/>
      <c r="AK456" s="13"/>
      <c r="AL456" s="13"/>
    </row>
    <row r="457" ht="15.75" customHeight="1">
      <c r="A457" s="47"/>
      <c r="B457" s="48"/>
      <c r="C457" s="48"/>
      <c r="D457" s="48"/>
      <c r="E457" s="48"/>
      <c r="F457" s="48"/>
      <c r="G457" s="48"/>
      <c r="H457" s="48"/>
      <c r="I457" s="48"/>
      <c r="J457" s="48"/>
      <c r="K457" s="48"/>
      <c r="L457" s="48"/>
      <c r="M457" s="48"/>
      <c r="N457" s="48"/>
      <c r="O457" s="33"/>
      <c r="P457" s="33"/>
      <c r="Q457" s="33"/>
      <c r="R457" s="33"/>
      <c r="S457" s="33"/>
      <c r="T457" s="48"/>
      <c r="U457" s="48"/>
      <c r="V457" s="9"/>
      <c r="W457" s="9"/>
      <c r="X457" s="49"/>
      <c r="Y457" s="9"/>
      <c r="Z457" s="9"/>
      <c r="AA457" s="48"/>
      <c r="AB457" s="48"/>
      <c r="AC457" s="48"/>
      <c r="AD457" s="13"/>
      <c r="AE457" s="13"/>
      <c r="AF457" s="13"/>
      <c r="AG457" s="13"/>
      <c r="AH457" s="13"/>
      <c r="AI457" s="13"/>
      <c r="AJ457" s="13"/>
      <c r="AK457" s="13"/>
      <c r="AL457" s="13"/>
    </row>
    <row r="458" ht="15.75" customHeight="1">
      <c r="A458" s="47"/>
      <c r="B458" s="48"/>
      <c r="C458" s="48"/>
      <c r="D458" s="48"/>
      <c r="E458" s="48"/>
      <c r="F458" s="48"/>
      <c r="G458" s="48"/>
      <c r="H458" s="48"/>
      <c r="I458" s="48"/>
      <c r="J458" s="48"/>
      <c r="K458" s="48"/>
      <c r="L458" s="48"/>
      <c r="M458" s="48"/>
      <c r="N458" s="48"/>
      <c r="O458" s="33"/>
      <c r="P458" s="33"/>
      <c r="Q458" s="33"/>
      <c r="R458" s="33"/>
      <c r="S458" s="33"/>
      <c r="T458" s="48"/>
      <c r="U458" s="48"/>
      <c r="V458" s="9"/>
      <c r="W458" s="9"/>
      <c r="X458" s="49"/>
      <c r="Y458" s="9"/>
      <c r="Z458" s="9"/>
      <c r="AA458" s="48"/>
      <c r="AB458" s="48"/>
      <c r="AC458" s="48"/>
      <c r="AD458" s="13"/>
      <c r="AE458" s="13"/>
      <c r="AF458" s="13"/>
      <c r="AG458" s="13"/>
      <c r="AH458" s="13"/>
      <c r="AI458" s="13"/>
      <c r="AJ458" s="13"/>
      <c r="AK458" s="13"/>
      <c r="AL458" s="13"/>
    </row>
    <row r="459" ht="15.75" customHeight="1">
      <c r="A459" s="47"/>
      <c r="B459" s="48"/>
      <c r="C459" s="48"/>
      <c r="D459" s="48"/>
      <c r="E459" s="48"/>
      <c r="F459" s="48"/>
      <c r="G459" s="48"/>
      <c r="H459" s="48"/>
      <c r="I459" s="48"/>
      <c r="J459" s="48"/>
      <c r="K459" s="48"/>
      <c r="L459" s="48"/>
      <c r="M459" s="48"/>
      <c r="N459" s="48"/>
      <c r="O459" s="33"/>
      <c r="P459" s="33"/>
      <c r="Q459" s="33"/>
      <c r="R459" s="33"/>
      <c r="S459" s="33"/>
      <c r="T459" s="48"/>
      <c r="U459" s="48"/>
      <c r="V459" s="9"/>
      <c r="W459" s="9"/>
      <c r="X459" s="49"/>
      <c r="Y459" s="9"/>
      <c r="Z459" s="9"/>
      <c r="AA459" s="48"/>
      <c r="AB459" s="48"/>
      <c r="AC459" s="48"/>
      <c r="AD459" s="13"/>
      <c r="AE459" s="13"/>
      <c r="AF459" s="13"/>
      <c r="AG459" s="13"/>
      <c r="AH459" s="13"/>
      <c r="AI459" s="13"/>
      <c r="AJ459" s="13"/>
      <c r="AK459" s="13"/>
      <c r="AL459" s="13"/>
    </row>
    <row r="460" ht="15.75" customHeight="1">
      <c r="A460" s="47"/>
      <c r="B460" s="48"/>
      <c r="C460" s="48"/>
      <c r="D460" s="48"/>
      <c r="E460" s="48"/>
      <c r="F460" s="48"/>
      <c r="G460" s="48"/>
      <c r="H460" s="48"/>
      <c r="I460" s="48"/>
      <c r="J460" s="48"/>
      <c r="K460" s="48"/>
      <c r="L460" s="48"/>
      <c r="M460" s="48"/>
      <c r="N460" s="48"/>
      <c r="O460" s="33"/>
      <c r="P460" s="33"/>
      <c r="Q460" s="33"/>
      <c r="R460" s="33"/>
      <c r="S460" s="33"/>
      <c r="T460" s="48"/>
      <c r="U460" s="48"/>
      <c r="V460" s="9"/>
      <c r="W460" s="9"/>
      <c r="X460" s="49"/>
      <c r="Y460" s="9"/>
      <c r="Z460" s="9"/>
      <c r="AA460" s="48"/>
      <c r="AB460" s="48"/>
      <c r="AC460" s="48"/>
      <c r="AD460" s="13"/>
      <c r="AE460" s="13"/>
      <c r="AF460" s="13"/>
      <c r="AG460" s="13"/>
      <c r="AH460" s="13"/>
      <c r="AI460" s="13"/>
      <c r="AJ460" s="13"/>
      <c r="AK460" s="13"/>
      <c r="AL460" s="13"/>
    </row>
    <row r="461" ht="15.75" customHeight="1">
      <c r="A461" s="47"/>
      <c r="B461" s="48"/>
      <c r="C461" s="48"/>
      <c r="D461" s="48"/>
      <c r="E461" s="48"/>
      <c r="F461" s="48"/>
      <c r="G461" s="48"/>
      <c r="H461" s="48"/>
      <c r="I461" s="48"/>
      <c r="J461" s="48"/>
      <c r="K461" s="48"/>
      <c r="L461" s="48"/>
      <c r="M461" s="48"/>
      <c r="N461" s="48"/>
      <c r="O461" s="33"/>
      <c r="P461" s="33"/>
      <c r="Q461" s="33"/>
      <c r="R461" s="33"/>
      <c r="S461" s="33"/>
      <c r="T461" s="48"/>
      <c r="U461" s="48"/>
      <c r="V461" s="9"/>
      <c r="W461" s="9"/>
      <c r="X461" s="49"/>
      <c r="Y461" s="9"/>
      <c r="Z461" s="9"/>
      <c r="AA461" s="48"/>
      <c r="AB461" s="48"/>
      <c r="AC461" s="48"/>
      <c r="AD461" s="13"/>
      <c r="AE461" s="13"/>
      <c r="AF461" s="13"/>
      <c r="AG461" s="13"/>
      <c r="AH461" s="13"/>
      <c r="AI461" s="13"/>
      <c r="AJ461" s="13"/>
      <c r="AK461" s="13"/>
      <c r="AL461" s="13"/>
    </row>
    <row r="462" ht="15.75" customHeight="1">
      <c r="A462" s="47"/>
      <c r="B462" s="48"/>
      <c r="C462" s="48"/>
      <c r="D462" s="48"/>
      <c r="E462" s="48"/>
      <c r="F462" s="48"/>
      <c r="G462" s="48"/>
      <c r="H462" s="48"/>
      <c r="I462" s="48"/>
      <c r="J462" s="48"/>
      <c r="K462" s="48"/>
      <c r="L462" s="48"/>
      <c r="M462" s="48"/>
      <c r="N462" s="48"/>
      <c r="O462" s="33"/>
      <c r="P462" s="33"/>
      <c r="Q462" s="33"/>
      <c r="R462" s="33"/>
      <c r="S462" s="33"/>
      <c r="T462" s="48"/>
      <c r="U462" s="48"/>
      <c r="V462" s="9"/>
      <c r="W462" s="9"/>
      <c r="X462" s="49"/>
      <c r="Y462" s="9"/>
      <c r="Z462" s="9"/>
      <c r="AA462" s="48"/>
      <c r="AB462" s="48"/>
      <c r="AC462" s="48"/>
      <c r="AD462" s="13"/>
      <c r="AE462" s="13"/>
      <c r="AF462" s="13"/>
      <c r="AG462" s="13"/>
      <c r="AH462" s="13"/>
      <c r="AI462" s="13"/>
      <c r="AJ462" s="13"/>
      <c r="AK462" s="13"/>
      <c r="AL462" s="13"/>
    </row>
    <row r="463" ht="15.75" customHeight="1">
      <c r="A463" s="47"/>
      <c r="B463" s="48"/>
      <c r="C463" s="48"/>
      <c r="D463" s="48"/>
      <c r="E463" s="48"/>
      <c r="F463" s="48"/>
      <c r="G463" s="48"/>
      <c r="H463" s="48"/>
      <c r="I463" s="48"/>
      <c r="J463" s="48"/>
      <c r="K463" s="48"/>
      <c r="L463" s="48"/>
      <c r="M463" s="48"/>
      <c r="N463" s="48"/>
      <c r="O463" s="33"/>
      <c r="P463" s="33"/>
      <c r="Q463" s="33"/>
      <c r="R463" s="33"/>
      <c r="S463" s="33"/>
      <c r="T463" s="48"/>
      <c r="U463" s="48"/>
      <c r="V463" s="9"/>
      <c r="W463" s="9"/>
      <c r="X463" s="49"/>
      <c r="Y463" s="9"/>
      <c r="Z463" s="9"/>
      <c r="AA463" s="48"/>
      <c r="AB463" s="48"/>
      <c r="AC463" s="48"/>
      <c r="AD463" s="13"/>
      <c r="AE463" s="13"/>
      <c r="AF463" s="13"/>
      <c r="AG463" s="13"/>
      <c r="AH463" s="13"/>
      <c r="AI463" s="13"/>
      <c r="AJ463" s="13"/>
      <c r="AK463" s="13"/>
      <c r="AL463" s="13"/>
    </row>
    <row r="464" ht="15.75" customHeight="1">
      <c r="A464" s="47"/>
      <c r="B464" s="48"/>
      <c r="C464" s="48"/>
      <c r="D464" s="48"/>
      <c r="E464" s="48"/>
      <c r="F464" s="48"/>
      <c r="G464" s="48"/>
      <c r="H464" s="48"/>
      <c r="I464" s="48"/>
      <c r="J464" s="48"/>
      <c r="K464" s="48"/>
      <c r="L464" s="48"/>
      <c r="M464" s="48"/>
      <c r="N464" s="48"/>
      <c r="O464" s="33"/>
      <c r="P464" s="33"/>
      <c r="Q464" s="33"/>
      <c r="R464" s="33"/>
      <c r="S464" s="33"/>
      <c r="T464" s="48"/>
      <c r="U464" s="48"/>
      <c r="V464" s="9"/>
      <c r="W464" s="9"/>
      <c r="X464" s="49"/>
      <c r="Y464" s="9"/>
      <c r="Z464" s="9"/>
      <c r="AA464" s="48"/>
      <c r="AB464" s="48"/>
      <c r="AC464" s="48"/>
      <c r="AD464" s="13"/>
      <c r="AE464" s="13"/>
      <c r="AF464" s="13"/>
      <c r="AG464" s="13"/>
      <c r="AH464" s="13"/>
      <c r="AI464" s="13"/>
      <c r="AJ464" s="13"/>
      <c r="AK464" s="13"/>
      <c r="AL464" s="13"/>
    </row>
    <row r="465" ht="15.75" customHeight="1">
      <c r="A465" s="47"/>
      <c r="B465" s="48"/>
      <c r="C465" s="48"/>
      <c r="D465" s="48"/>
      <c r="E465" s="48"/>
      <c r="F465" s="48"/>
      <c r="G465" s="48"/>
      <c r="H465" s="48"/>
      <c r="I465" s="48"/>
      <c r="J465" s="48"/>
      <c r="K465" s="48"/>
      <c r="L465" s="48"/>
      <c r="M465" s="48"/>
      <c r="N465" s="48"/>
      <c r="O465" s="33"/>
      <c r="P465" s="33"/>
      <c r="Q465" s="33"/>
      <c r="R465" s="33"/>
      <c r="S465" s="33"/>
      <c r="T465" s="48"/>
      <c r="U465" s="48"/>
      <c r="V465" s="9"/>
      <c r="W465" s="9"/>
      <c r="X465" s="49"/>
      <c r="Y465" s="9"/>
      <c r="Z465" s="9"/>
      <c r="AA465" s="48"/>
      <c r="AB465" s="48"/>
      <c r="AC465" s="48"/>
      <c r="AD465" s="13"/>
      <c r="AE465" s="13"/>
      <c r="AF465" s="13"/>
      <c r="AG465" s="13"/>
      <c r="AH465" s="13"/>
      <c r="AI465" s="13"/>
      <c r="AJ465" s="13"/>
      <c r="AK465" s="13"/>
      <c r="AL465" s="13"/>
    </row>
    <row r="466" ht="15.75" customHeight="1">
      <c r="A466" s="47"/>
      <c r="B466" s="48"/>
      <c r="C466" s="48"/>
      <c r="D466" s="48"/>
      <c r="E466" s="48"/>
      <c r="F466" s="48"/>
      <c r="G466" s="48"/>
      <c r="H466" s="48"/>
      <c r="I466" s="48"/>
      <c r="J466" s="48"/>
      <c r="K466" s="48"/>
      <c r="L466" s="48"/>
      <c r="M466" s="48"/>
      <c r="N466" s="48"/>
      <c r="O466" s="33"/>
      <c r="P466" s="33"/>
      <c r="Q466" s="33"/>
      <c r="R466" s="33"/>
      <c r="S466" s="33"/>
      <c r="T466" s="48"/>
      <c r="U466" s="48"/>
      <c r="V466" s="9"/>
      <c r="W466" s="9"/>
      <c r="X466" s="49"/>
      <c r="Y466" s="9"/>
      <c r="Z466" s="9"/>
      <c r="AA466" s="48"/>
      <c r="AB466" s="48"/>
      <c r="AC466" s="48"/>
      <c r="AD466" s="13"/>
      <c r="AE466" s="13"/>
      <c r="AF466" s="13"/>
      <c r="AG466" s="13"/>
      <c r="AH466" s="13"/>
      <c r="AI466" s="13"/>
      <c r="AJ466" s="13"/>
      <c r="AK466" s="13"/>
      <c r="AL466" s="13"/>
    </row>
    <row r="467" ht="15.75" customHeight="1">
      <c r="A467" s="47"/>
      <c r="B467" s="48"/>
      <c r="C467" s="48"/>
      <c r="D467" s="48"/>
      <c r="E467" s="48"/>
      <c r="F467" s="48"/>
      <c r="G467" s="48"/>
      <c r="H467" s="48"/>
      <c r="I467" s="48"/>
      <c r="J467" s="48"/>
      <c r="K467" s="48"/>
      <c r="L467" s="48"/>
      <c r="M467" s="48"/>
      <c r="N467" s="48"/>
      <c r="O467" s="33"/>
      <c r="P467" s="33"/>
      <c r="Q467" s="33"/>
      <c r="R467" s="33"/>
      <c r="S467" s="33"/>
      <c r="T467" s="48"/>
      <c r="U467" s="48"/>
      <c r="V467" s="9"/>
      <c r="W467" s="9"/>
      <c r="X467" s="49"/>
      <c r="Y467" s="9"/>
      <c r="Z467" s="9"/>
      <c r="AA467" s="48"/>
      <c r="AB467" s="48"/>
      <c r="AC467" s="48"/>
      <c r="AD467" s="13"/>
      <c r="AE467" s="13"/>
      <c r="AF467" s="13"/>
      <c r="AG467" s="13"/>
      <c r="AH467" s="13"/>
      <c r="AI467" s="13"/>
      <c r="AJ467" s="13"/>
      <c r="AK467" s="13"/>
      <c r="AL467" s="13"/>
    </row>
    <row r="468" ht="15.75" customHeight="1">
      <c r="A468" s="47"/>
      <c r="B468" s="48"/>
      <c r="C468" s="48"/>
      <c r="D468" s="48"/>
      <c r="E468" s="48"/>
      <c r="F468" s="48"/>
      <c r="G468" s="48"/>
      <c r="H468" s="48"/>
      <c r="I468" s="48"/>
      <c r="J468" s="48"/>
      <c r="K468" s="48"/>
      <c r="L468" s="48"/>
      <c r="M468" s="48"/>
      <c r="N468" s="48"/>
      <c r="O468" s="33"/>
      <c r="P468" s="33"/>
      <c r="Q468" s="33"/>
      <c r="R468" s="33"/>
      <c r="S468" s="33"/>
      <c r="T468" s="48"/>
      <c r="U468" s="48"/>
      <c r="V468" s="9"/>
      <c r="W468" s="9"/>
      <c r="X468" s="49"/>
      <c r="Y468" s="9"/>
      <c r="Z468" s="9"/>
      <c r="AA468" s="48"/>
      <c r="AB468" s="48"/>
      <c r="AC468" s="48"/>
      <c r="AD468" s="13"/>
      <c r="AE468" s="13"/>
      <c r="AF468" s="13"/>
      <c r="AG468" s="13"/>
      <c r="AH468" s="13"/>
      <c r="AI468" s="13"/>
      <c r="AJ468" s="13"/>
      <c r="AK468" s="13"/>
      <c r="AL468" s="13"/>
    </row>
    <row r="469" ht="15.75" customHeight="1">
      <c r="A469" s="47"/>
      <c r="B469" s="48"/>
      <c r="C469" s="48"/>
      <c r="D469" s="48"/>
      <c r="E469" s="48"/>
      <c r="F469" s="48"/>
      <c r="G469" s="48"/>
      <c r="H469" s="48"/>
      <c r="I469" s="48"/>
      <c r="J469" s="48"/>
      <c r="K469" s="48"/>
      <c r="L469" s="48"/>
      <c r="M469" s="48"/>
      <c r="N469" s="48"/>
      <c r="O469" s="33"/>
      <c r="P469" s="33"/>
      <c r="Q469" s="33"/>
      <c r="R469" s="33"/>
      <c r="S469" s="33"/>
      <c r="T469" s="48"/>
      <c r="U469" s="48"/>
      <c r="V469" s="9"/>
      <c r="W469" s="9"/>
      <c r="X469" s="49"/>
      <c r="Y469" s="9"/>
      <c r="Z469" s="9"/>
      <c r="AA469" s="48"/>
      <c r="AB469" s="48"/>
      <c r="AC469" s="48"/>
      <c r="AD469" s="13"/>
      <c r="AE469" s="13"/>
      <c r="AF469" s="13"/>
      <c r="AG469" s="13"/>
      <c r="AH469" s="13"/>
      <c r="AI469" s="13"/>
      <c r="AJ469" s="13"/>
      <c r="AK469" s="13"/>
      <c r="AL469" s="13"/>
    </row>
    <row r="470" ht="15.75" customHeight="1">
      <c r="A470" s="47"/>
      <c r="B470" s="48"/>
      <c r="C470" s="48"/>
      <c r="D470" s="48"/>
      <c r="E470" s="48"/>
      <c r="F470" s="48"/>
      <c r="G470" s="48"/>
      <c r="H470" s="48"/>
      <c r="I470" s="48"/>
      <c r="J470" s="48"/>
      <c r="K470" s="48"/>
      <c r="L470" s="48"/>
      <c r="M470" s="48"/>
      <c r="N470" s="48"/>
      <c r="O470" s="33"/>
      <c r="P470" s="33"/>
      <c r="Q470" s="33"/>
      <c r="R470" s="33"/>
      <c r="S470" s="33"/>
      <c r="T470" s="48"/>
      <c r="U470" s="48"/>
      <c r="V470" s="9"/>
      <c r="W470" s="9"/>
      <c r="X470" s="49"/>
      <c r="Y470" s="9"/>
      <c r="Z470" s="9"/>
      <c r="AA470" s="48"/>
      <c r="AB470" s="48"/>
      <c r="AC470" s="48"/>
      <c r="AD470" s="13"/>
      <c r="AE470" s="13"/>
      <c r="AF470" s="13"/>
      <c r="AG470" s="13"/>
      <c r="AH470" s="13"/>
      <c r="AI470" s="13"/>
      <c r="AJ470" s="13"/>
      <c r="AK470" s="13"/>
      <c r="AL470" s="13"/>
    </row>
    <row r="471" ht="15.75" customHeight="1">
      <c r="A471" s="47"/>
      <c r="B471" s="48"/>
      <c r="C471" s="48"/>
      <c r="D471" s="48"/>
      <c r="E471" s="48"/>
      <c r="F471" s="48"/>
      <c r="G471" s="48"/>
      <c r="H471" s="48"/>
      <c r="I471" s="48"/>
      <c r="J471" s="48"/>
      <c r="K471" s="48"/>
      <c r="L471" s="48"/>
      <c r="M471" s="48"/>
      <c r="N471" s="48"/>
      <c r="O471" s="33"/>
      <c r="P471" s="33"/>
      <c r="Q471" s="33"/>
      <c r="R471" s="33"/>
      <c r="S471" s="33"/>
      <c r="T471" s="48"/>
      <c r="U471" s="48"/>
      <c r="V471" s="9"/>
      <c r="W471" s="9"/>
      <c r="X471" s="49"/>
      <c r="Y471" s="9"/>
      <c r="Z471" s="9"/>
      <c r="AA471" s="48"/>
      <c r="AB471" s="48"/>
      <c r="AC471" s="48"/>
      <c r="AD471" s="13"/>
      <c r="AE471" s="13"/>
      <c r="AF471" s="13"/>
      <c r="AG471" s="13"/>
      <c r="AH471" s="13"/>
      <c r="AI471" s="13"/>
      <c r="AJ471" s="13"/>
      <c r="AK471" s="13"/>
      <c r="AL471" s="13"/>
    </row>
    <row r="472" ht="15.75" customHeight="1">
      <c r="A472" s="47"/>
      <c r="B472" s="48"/>
      <c r="C472" s="48"/>
      <c r="D472" s="48"/>
      <c r="E472" s="48"/>
      <c r="F472" s="48"/>
      <c r="G472" s="48"/>
      <c r="H472" s="48"/>
      <c r="I472" s="48"/>
      <c r="J472" s="48"/>
      <c r="K472" s="48"/>
      <c r="L472" s="48"/>
      <c r="M472" s="48"/>
      <c r="N472" s="48"/>
      <c r="O472" s="33"/>
      <c r="P472" s="33"/>
      <c r="Q472" s="33"/>
      <c r="R472" s="33"/>
      <c r="S472" s="33"/>
      <c r="T472" s="48"/>
      <c r="U472" s="48"/>
      <c r="V472" s="9"/>
      <c r="W472" s="9"/>
      <c r="X472" s="49"/>
      <c r="Y472" s="9"/>
      <c r="Z472" s="9"/>
      <c r="AA472" s="48"/>
      <c r="AB472" s="48"/>
      <c r="AC472" s="48"/>
      <c r="AD472" s="13"/>
      <c r="AE472" s="13"/>
      <c r="AF472" s="13"/>
      <c r="AG472" s="13"/>
      <c r="AH472" s="13"/>
      <c r="AI472" s="13"/>
      <c r="AJ472" s="13"/>
      <c r="AK472" s="13"/>
      <c r="AL472" s="13"/>
    </row>
    <row r="473" ht="15.75" customHeight="1">
      <c r="A473" s="47"/>
      <c r="B473" s="48"/>
      <c r="C473" s="48"/>
      <c r="D473" s="48"/>
      <c r="E473" s="48"/>
      <c r="F473" s="48"/>
      <c r="G473" s="48"/>
      <c r="H473" s="48"/>
      <c r="I473" s="48"/>
      <c r="J473" s="48"/>
      <c r="K473" s="48"/>
      <c r="L473" s="48"/>
      <c r="M473" s="48"/>
      <c r="N473" s="48"/>
      <c r="O473" s="33"/>
      <c r="P473" s="33"/>
      <c r="Q473" s="33"/>
      <c r="R473" s="33"/>
      <c r="S473" s="33"/>
      <c r="T473" s="48"/>
      <c r="U473" s="48"/>
      <c r="V473" s="9"/>
      <c r="W473" s="9"/>
      <c r="X473" s="49"/>
      <c r="Y473" s="9"/>
      <c r="Z473" s="9"/>
      <c r="AA473" s="48"/>
      <c r="AB473" s="48"/>
      <c r="AC473" s="48"/>
      <c r="AD473" s="13"/>
      <c r="AE473" s="13"/>
      <c r="AF473" s="13"/>
      <c r="AG473" s="13"/>
      <c r="AH473" s="13"/>
      <c r="AI473" s="13"/>
      <c r="AJ473" s="13"/>
      <c r="AK473" s="13"/>
      <c r="AL473" s="13"/>
    </row>
    <row r="474" ht="15.75" customHeight="1">
      <c r="A474" s="47"/>
      <c r="B474" s="48"/>
      <c r="C474" s="48"/>
      <c r="D474" s="48"/>
      <c r="E474" s="48"/>
      <c r="F474" s="48"/>
      <c r="G474" s="48"/>
      <c r="H474" s="48"/>
      <c r="I474" s="48"/>
      <c r="J474" s="48"/>
      <c r="K474" s="48"/>
      <c r="L474" s="48"/>
      <c r="M474" s="48"/>
      <c r="N474" s="48"/>
      <c r="O474" s="33"/>
      <c r="P474" s="33"/>
      <c r="Q474" s="33"/>
      <c r="R474" s="33"/>
      <c r="S474" s="33"/>
      <c r="T474" s="48"/>
      <c r="U474" s="48"/>
      <c r="V474" s="9"/>
      <c r="W474" s="9"/>
      <c r="X474" s="49"/>
      <c r="Y474" s="9"/>
      <c r="Z474" s="9"/>
      <c r="AA474" s="48"/>
      <c r="AB474" s="48"/>
      <c r="AC474" s="48"/>
      <c r="AD474" s="13"/>
      <c r="AE474" s="13"/>
      <c r="AF474" s="13"/>
      <c r="AG474" s="13"/>
      <c r="AH474" s="13"/>
      <c r="AI474" s="13"/>
      <c r="AJ474" s="13"/>
      <c r="AK474" s="13"/>
      <c r="AL474" s="13"/>
    </row>
    <row r="475" ht="15.75" customHeight="1">
      <c r="A475" s="47"/>
      <c r="B475" s="48"/>
      <c r="C475" s="48"/>
      <c r="D475" s="48"/>
      <c r="E475" s="48"/>
      <c r="F475" s="48"/>
      <c r="G475" s="48"/>
      <c r="H475" s="48"/>
      <c r="I475" s="48"/>
      <c r="J475" s="48"/>
      <c r="K475" s="48"/>
      <c r="L475" s="48"/>
      <c r="M475" s="48"/>
      <c r="N475" s="48"/>
      <c r="O475" s="33"/>
      <c r="P475" s="33"/>
      <c r="Q475" s="33"/>
      <c r="R475" s="33"/>
      <c r="S475" s="33"/>
      <c r="T475" s="48"/>
      <c r="U475" s="48"/>
      <c r="V475" s="9"/>
      <c r="W475" s="9"/>
      <c r="X475" s="49"/>
      <c r="Y475" s="9"/>
      <c r="Z475" s="9"/>
      <c r="AA475" s="48"/>
      <c r="AB475" s="48"/>
      <c r="AC475" s="48"/>
      <c r="AD475" s="13"/>
      <c r="AE475" s="13"/>
      <c r="AF475" s="13"/>
      <c r="AG475" s="13"/>
      <c r="AH475" s="13"/>
      <c r="AI475" s="13"/>
      <c r="AJ475" s="13"/>
      <c r="AK475" s="13"/>
      <c r="AL475" s="13"/>
    </row>
    <row r="476" ht="15.75" customHeight="1">
      <c r="A476" s="47"/>
      <c r="B476" s="48"/>
      <c r="C476" s="48"/>
      <c r="D476" s="48"/>
      <c r="E476" s="48"/>
      <c r="F476" s="48"/>
      <c r="G476" s="48"/>
      <c r="H476" s="48"/>
      <c r="I476" s="48"/>
      <c r="J476" s="48"/>
      <c r="K476" s="48"/>
      <c r="L476" s="48"/>
      <c r="M476" s="48"/>
      <c r="N476" s="48"/>
      <c r="O476" s="33"/>
      <c r="P476" s="33"/>
      <c r="Q476" s="33"/>
      <c r="R476" s="33"/>
      <c r="S476" s="33"/>
      <c r="T476" s="48"/>
      <c r="U476" s="48"/>
      <c r="V476" s="9"/>
      <c r="W476" s="9"/>
      <c r="X476" s="49"/>
      <c r="Y476" s="9"/>
      <c r="Z476" s="9"/>
      <c r="AA476" s="48"/>
      <c r="AB476" s="48"/>
      <c r="AC476" s="48"/>
      <c r="AD476" s="13"/>
      <c r="AE476" s="13"/>
      <c r="AF476" s="13"/>
      <c r="AG476" s="13"/>
      <c r="AH476" s="13"/>
      <c r="AI476" s="13"/>
      <c r="AJ476" s="13"/>
      <c r="AK476" s="13"/>
      <c r="AL476" s="13"/>
    </row>
    <row r="477" ht="15.75" customHeight="1">
      <c r="A477" s="47"/>
      <c r="B477" s="48"/>
      <c r="C477" s="48"/>
      <c r="D477" s="48"/>
      <c r="E477" s="48"/>
      <c r="F477" s="48"/>
      <c r="G477" s="48"/>
      <c r="H477" s="48"/>
      <c r="I477" s="48"/>
      <c r="J477" s="48"/>
      <c r="K477" s="48"/>
      <c r="L477" s="48"/>
      <c r="M477" s="48"/>
      <c r="N477" s="48"/>
      <c r="O477" s="33"/>
      <c r="P477" s="33"/>
      <c r="Q477" s="33"/>
      <c r="R477" s="33"/>
      <c r="S477" s="33"/>
      <c r="T477" s="48"/>
      <c r="U477" s="48"/>
      <c r="V477" s="9"/>
      <c r="W477" s="9"/>
      <c r="X477" s="49"/>
      <c r="Y477" s="9"/>
      <c r="Z477" s="9"/>
      <c r="AA477" s="48"/>
      <c r="AB477" s="48"/>
      <c r="AC477" s="48"/>
      <c r="AD477" s="13"/>
      <c r="AE477" s="13"/>
      <c r="AF477" s="13"/>
      <c r="AG477" s="13"/>
      <c r="AH477" s="13"/>
      <c r="AI477" s="13"/>
      <c r="AJ477" s="13"/>
      <c r="AK477" s="13"/>
      <c r="AL477" s="13"/>
    </row>
    <row r="478" ht="15.75" customHeight="1">
      <c r="A478" s="47"/>
      <c r="B478" s="48"/>
      <c r="C478" s="48"/>
      <c r="D478" s="48"/>
      <c r="E478" s="48"/>
      <c r="F478" s="48"/>
      <c r="G478" s="48"/>
      <c r="H478" s="48"/>
      <c r="I478" s="48"/>
      <c r="J478" s="48"/>
      <c r="K478" s="48"/>
      <c r="L478" s="48"/>
      <c r="M478" s="48"/>
      <c r="N478" s="48"/>
      <c r="O478" s="33"/>
      <c r="P478" s="33"/>
      <c r="Q478" s="33"/>
      <c r="R478" s="33"/>
      <c r="S478" s="33"/>
      <c r="T478" s="48"/>
      <c r="U478" s="48"/>
      <c r="V478" s="9"/>
      <c r="W478" s="9"/>
      <c r="X478" s="49"/>
      <c r="Y478" s="9"/>
      <c r="Z478" s="9"/>
      <c r="AA478" s="48"/>
      <c r="AB478" s="48"/>
      <c r="AC478" s="48"/>
      <c r="AD478" s="13"/>
      <c r="AE478" s="13"/>
      <c r="AF478" s="13"/>
      <c r="AG478" s="13"/>
      <c r="AH478" s="13"/>
      <c r="AI478" s="13"/>
      <c r="AJ478" s="13"/>
      <c r="AK478" s="13"/>
      <c r="AL478" s="13"/>
    </row>
    <row r="479" ht="15.75" customHeight="1">
      <c r="A479" s="47"/>
      <c r="B479" s="48"/>
      <c r="C479" s="48"/>
      <c r="D479" s="48"/>
      <c r="E479" s="48"/>
      <c r="F479" s="48"/>
      <c r="G479" s="48"/>
      <c r="H479" s="48"/>
      <c r="I479" s="48"/>
      <c r="J479" s="48"/>
      <c r="K479" s="48"/>
      <c r="L479" s="48"/>
      <c r="M479" s="48"/>
      <c r="N479" s="48"/>
      <c r="O479" s="33"/>
      <c r="P479" s="33"/>
      <c r="Q479" s="33"/>
      <c r="R479" s="33"/>
      <c r="S479" s="33"/>
      <c r="T479" s="48"/>
      <c r="U479" s="48"/>
      <c r="V479" s="9"/>
      <c r="W479" s="9"/>
      <c r="X479" s="49"/>
      <c r="Y479" s="9"/>
      <c r="Z479" s="9"/>
      <c r="AA479" s="48"/>
      <c r="AB479" s="48"/>
      <c r="AC479" s="48"/>
      <c r="AD479" s="13"/>
      <c r="AE479" s="13"/>
      <c r="AF479" s="13"/>
      <c r="AG479" s="13"/>
      <c r="AH479" s="13"/>
      <c r="AI479" s="13"/>
      <c r="AJ479" s="13"/>
      <c r="AK479" s="13"/>
      <c r="AL479" s="13"/>
    </row>
    <row r="480" ht="15.75" customHeight="1">
      <c r="A480" s="47"/>
      <c r="B480" s="48"/>
      <c r="C480" s="48"/>
      <c r="D480" s="48"/>
      <c r="E480" s="48"/>
      <c r="F480" s="48"/>
      <c r="G480" s="48"/>
      <c r="H480" s="48"/>
      <c r="I480" s="48"/>
      <c r="J480" s="48"/>
      <c r="K480" s="48"/>
      <c r="L480" s="48"/>
      <c r="M480" s="48"/>
      <c r="N480" s="48"/>
      <c r="O480" s="33"/>
      <c r="P480" s="33"/>
      <c r="Q480" s="33"/>
      <c r="R480" s="33"/>
      <c r="S480" s="33"/>
      <c r="T480" s="48"/>
      <c r="U480" s="48"/>
      <c r="V480" s="9"/>
      <c r="W480" s="9"/>
      <c r="X480" s="49"/>
      <c r="Y480" s="9"/>
      <c r="Z480" s="9"/>
      <c r="AA480" s="48"/>
      <c r="AB480" s="48"/>
      <c r="AC480" s="48"/>
      <c r="AD480" s="13"/>
      <c r="AE480" s="13"/>
      <c r="AF480" s="13"/>
      <c r="AG480" s="13"/>
      <c r="AH480" s="13"/>
      <c r="AI480" s="13"/>
      <c r="AJ480" s="13"/>
      <c r="AK480" s="13"/>
      <c r="AL480" s="13"/>
    </row>
    <row r="481" ht="15.75" customHeight="1">
      <c r="A481" s="47"/>
      <c r="B481" s="48"/>
      <c r="C481" s="48"/>
      <c r="D481" s="48"/>
      <c r="E481" s="48"/>
      <c r="F481" s="48"/>
      <c r="G481" s="48"/>
      <c r="H481" s="48"/>
      <c r="I481" s="48"/>
      <c r="J481" s="48"/>
      <c r="K481" s="48"/>
      <c r="L481" s="48"/>
      <c r="M481" s="48"/>
      <c r="N481" s="48"/>
      <c r="O481" s="33"/>
      <c r="P481" s="33"/>
      <c r="Q481" s="33"/>
      <c r="R481" s="33"/>
      <c r="S481" s="33"/>
      <c r="T481" s="48"/>
      <c r="U481" s="48"/>
      <c r="V481" s="9"/>
      <c r="W481" s="9"/>
      <c r="X481" s="49"/>
      <c r="Y481" s="9"/>
      <c r="Z481" s="9"/>
      <c r="AA481" s="48"/>
      <c r="AB481" s="48"/>
      <c r="AC481" s="48"/>
      <c r="AD481" s="13"/>
      <c r="AE481" s="13"/>
      <c r="AF481" s="13"/>
      <c r="AG481" s="13"/>
      <c r="AH481" s="13"/>
      <c r="AI481" s="13"/>
      <c r="AJ481" s="13"/>
      <c r="AK481" s="13"/>
      <c r="AL481" s="13"/>
    </row>
    <row r="482" ht="15.75" customHeight="1">
      <c r="A482" s="47"/>
      <c r="B482" s="48"/>
      <c r="C482" s="48"/>
      <c r="D482" s="48"/>
      <c r="E482" s="48"/>
      <c r="F482" s="48"/>
      <c r="G482" s="48"/>
      <c r="H482" s="48"/>
      <c r="I482" s="48"/>
      <c r="J482" s="48"/>
      <c r="K482" s="48"/>
      <c r="L482" s="48"/>
      <c r="M482" s="48"/>
      <c r="N482" s="48"/>
      <c r="O482" s="33"/>
      <c r="P482" s="33"/>
      <c r="Q482" s="33"/>
      <c r="R482" s="33"/>
      <c r="S482" s="33"/>
      <c r="T482" s="48"/>
      <c r="U482" s="48"/>
      <c r="V482" s="9"/>
      <c r="W482" s="9"/>
      <c r="X482" s="49"/>
      <c r="Y482" s="9"/>
      <c r="Z482" s="9"/>
      <c r="AA482" s="48"/>
      <c r="AB482" s="48"/>
      <c r="AC482" s="48"/>
      <c r="AD482" s="13"/>
      <c r="AE482" s="13"/>
      <c r="AF482" s="13"/>
      <c r="AG482" s="13"/>
      <c r="AH482" s="13"/>
      <c r="AI482" s="13"/>
      <c r="AJ482" s="13"/>
      <c r="AK482" s="13"/>
      <c r="AL482" s="13"/>
    </row>
    <row r="483" ht="15.75" customHeight="1">
      <c r="A483" s="47"/>
      <c r="B483" s="48"/>
      <c r="C483" s="48"/>
      <c r="D483" s="48"/>
      <c r="E483" s="48"/>
      <c r="F483" s="48"/>
      <c r="G483" s="48"/>
      <c r="H483" s="48"/>
      <c r="I483" s="48"/>
      <c r="J483" s="48"/>
      <c r="K483" s="48"/>
      <c r="L483" s="48"/>
      <c r="M483" s="48"/>
      <c r="N483" s="48"/>
      <c r="O483" s="33"/>
      <c r="P483" s="33"/>
      <c r="Q483" s="33"/>
      <c r="R483" s="33"/>
      <c r="S483" s="33"/>
      <c r="T483" s="48"/>
      <c r="U483" s="48"/>
      <c r="V483" s="9"/>
      <c r="W483" s="9"/>
      <c r="X483" s="49"/>
      <c r="Y483" s="9"/>
      <c r="Z483" s="9"/>
      <c r="AA483" s="48"/>
      <c r="AB483" s="48"/>
      <c r="AC483" s="48"/>
      <c r="AD483" s="13"/>
      <c r="AE483" s="13"/>
      <c r="AF483" s="13"/>
      <c r="AG483" s="13"/>
      <c r="AH483" s="13"/>
      <c r="AI483" s="13"/>
      <c r="AJ483" s="13"/>
      <c r="AK483" s="13"/>
      <c r="AL483" s="13"/>
    </row>
    <row r="484" ht="15.75" customHeight="1">
      <c r="A484" s="47"/>
      <c r="B484" s="48"/>
      <c r="C484" s="48"/>
      <c r="D484" s="48"/>
      <c r="E484" s="48"/>
      <c r="F484" s="48"/>
      <c r="G484" s="48"/>
      <c r="H484" s="48"/>
      <c r="I484" s="48"/>
      <c r="J484" s="48"/>
      <c r="K484" s="48"/>
      <c r="L484" s="48"/>
      <c r="M484" s="48"/>
      <c r="N484" s="48"/>
      <c r="O484" s="33"/>
      <c r="P484" s="33"/>
      <c r="Q484" s="33"/>
      <c r="R484" s="33"/>
      <c r="S484" s="33"/>
      <c r="T484" s="48"/>
      <c r="U484" s="48"/>
      <c r="V484" s="9"/>
      <c r="W484" s="9"/>
      <c r="X484" s="49"/>
      <c r="Y484" s="9"/>
      <c r="Z484" s="9"/>
      <c r="AA484" s="48"/>
      <c r="AB484" s="48"/>
      <c r="AC484" s="48"/>
      <c r="AD484" s="13"/>
      <c r="AE484" s="13"/>
      <c r="AF484" s="13"/>
      <c r="AG484" s="13"/>
      <c r="AH484" s="13"/>
      <c r="AI484" s="13"/>
      <c r="AJ484" s="13"/>
      <c r="AK484" s="13"/>
      <c r="AL484" s="13"/>
    </row>
    <row r="485" ht="15.75" customHeight="1">
      <c r="A485" s="47"/>
      <c r="B485" s="48"/>
      <c r="C485" s="48"/>
      <c r="D485" s="48"/>
      <c r="E485" s="48"/>
      <c r="F485" s="48"/>
      <c r="G485" s="48"/>
      <c r="H485" s="48"/>
      <c r="I485" s="48"/>
      <c r="J485" s="48"/>
      <c r="K485" s="48"/>
      <c r="L485" s="48"/>
      <c r="M485" s="48"/>
      <c r="N485" s="48"/>
      <c r="O485" s="33"/>
      <c r="P485" s="33"/>
      <c r="Q485" s="33"/>
      <c r="R485" s="33"/>
      <c r="S485" s="33"/>
      <c r="T485" s="48"/>
      <c r="U485" s="48"/>
      <c r="V485" s="9"/>
      <c r="W485" s="9"/>
      <c r="X485" s="49"/>
      <c r="Y485" s="9"/>
      <c r="Z485" s="9"/>
      <c r="AA485" s="48"/>
      <c r="AB485" s="48"/>
      <c r="AC485" s="48"/>
      <c r="AD485" s="13"/>
      <c r="AE485" s="13"/>
      <c r="AF485" s="13"/>
      <c r="AG485" s="13"/>
      <c r="AH485" s="13"/>
      <c r="AI485" s="13"/>
      <c r="AJ485" s="13"/>
      <c r="AK485" s="13"/>
      <c r="AL485" s="13"/>
    </row>
    <row r="486" ht="15.75" customHeight="1">
      <c r="A486" s="47"/>
      <c r="B486" s="48"/>
      <c r="C486" s="48"/>
      <c r="D486" s="48"/>
      <c r="E486" s="48"/>
      <c r="F486" s="48"/>
      <c r="G486" s="48"/>
      <c r="H486" s="48"/>
      <c r="I486" s="48"/>
      <c r="J486" s="48"/>
      <c r="K486" s="48"/>
      <c r="L486" s="48"/>
      <c r="M486" s="48"/>
      <c r="N486" s="48"/>
      <c r="O486" s="33"/>
      <c r="P486" s="33"/>
      <c r="Q486" s="33"/>
      <c r="R486" s="33"/>
      <c r="S486" s="33"/>
      <c r="T486" s="48"/>
      <c r="U486" s="48"/>
      <c r="V486" s="9"/>
      <c r="W486" s="9"/>
      <c r="X486" s="49"/>
      <c r="Y486" s="9"/>
      <c r="Z486" s="9"/>
      <c r="AA486" s="48"/>
      <c r="AB486" s="48"/>
      <c r="AC486" s="48"/>
      <c r="AD486" s="13"/>
      <c r="AE486" s="13"/>
      <c r="AF486" s="13"/>
      <c r="AG486" s="13"/>
      <c r="AH486" s="13"/>
      <c r="AI486" s="13"/>
      <c r="AJ486" s="13"/>
      <c r="AK486" s="13"/>
      <c r="AL486" s="13"/>
    </row>
    <row r="487" ht="15.75" customHeight="1">
      <c r="A487" s="47"/>
      <c r="B487" s="48"/>
      <c r="C487" s="48"/>
      <c r="D487" s="48"/>
      <c r="E487" s="48"/>
      <c r="F487" s="48"/>
      <c r="G487" s="48"/>
      <c r="H487" s="48"/>
      <c r="I487" s="48"/>
      <c r="J487" s="48"/>
      <c r="K487" s="48"/>
      <c r="L487" s="48"/>
      <c r="M487" s="48"/>
      <c r="N487" s="48"/>
      <c r="O487" s="33"/>
      <c r="P487" s="33"/>
      <c r="Q487" s="33"/>
      <c r="R487" s="33"/>
      <c r="S487" s="33"/>
      <c r="T487" s="48"/>
      <c r="U487" s="48"/>
      <c r="V487" s="9"/>
      <c r="W487" s="9"/>
      <c r="X487" s="49"/>
      <c r="Y487" s="9"/>
      <c r="Z487" s="9"/>
      <c r="AA487" s="48"/>
      <c r="AB487" s="48"/>
      <c r="AC487" s="48"/>
      <c r="AD487" s="13"/>
      <c r="AE487" s="13"/>
      <c r="AF487" s="13"/>
      <c r="AG487" s="13"/>
      <c r="AH487" s="13"/>
      <c r="AI487" s="13"/>
      <c r="AJ487" s="13"/>
      <c r="AK487" s="13"/>
      <c r="AL487" s="13"/>
    </row>
    <row r="488" ht="15.75" customHeight="1">
      <c r="A488" s="47"/>
      <c r="B488" s="48"/>
      <c r="C488" s="48"/>
      <c r="D488" s="48"/>
      <c r="E488" s="48"/>
      <c r="F488" s="48"/>
      <c r="G488" s="48"/>
      <c r="H488" s="48"/>
      <c r="I488" s="48"/>
      <c r="J488" s="48"/>
      <c r="K488" s="48"/>
      <c r="L488" s="48"/>
      <c r="M488" s="48"/>
      <c r="N488" s="48"/>
      <c r="O488" s="33"/>
      <c r="P488" s="33"/>
      <c r="Q488" s="33"/>
      <c r="R488" s="33"/>
      <c r="S488" s="33"/>
      <c r="T488" s="48"/>
      <c r="U488" s="48"/>
      <c r="V488" s="9"/>
      <c r="W488" s="9"/>
      <c r="X488" s="49"/>
      <c r="Y488" s="9"/>
      <c r="Z488" s="9"/>
      <c r="AA488" s="48"/>
      <c r="AB488" s="48"/>
      <c r="AC488" s="48"/>
      <c r="AD488" s="13"/>
      <c r="AE488" s="13"/>
      <c r="AF488" s="13"/>
      <c r="AG488" s="13"/>
      <c r="AH488" s="13"/>
      <c r="AI488" s="13"/>
      <c r="AJ488" s="13"/>
      <c r="AK488" s="13"/>
      <c r="AL488" s="13"/>
    </row>
    <row r="489" ht="15.75" customHeight="1">
      <c r="A489" s="47"/>
      <c r="B489" s="48"/>
      <c r="C489" s="48"/>
      <c r="D489" s="48"/>
      <c r="E489" s="48"/>
      <c r="F489" s="48"/>
      <c r="G489" s="48"/>
      <c r="H489" s="48"/>
      <c r="I489" s="48"/>
      <c r="J489" s="48"/>
      <c r="K489" s="48"/>
      <c r="L489" s="48"/>
      <c r="M489" s="48"/>
      <c r="N489" s="48"/>
      <c r="O489" s="33"/>
      <c r="P489" s="33"/>
      <c r="Q489" s="33"/>
      <c r="R489" s="33"/>
      <c r="S489" s="33"/>
      <c r="T489" s="48"/>
      <c r="U489" s="48"/>
      <c r="V489" s="9"/>
      <c r="W489" s="9"/>
      <c r="X489" s="49"/>
      <c r="Y489" s="9"/>
      <c r="Z489" s="9"/>
      <c r="AA489" s="48"/>
      <c r="AB489" s="48"/>
      <c r="AC489" s="48"/>
      <c r="AD489" s="13"/>
      <c r="AE489" s="13"/>
      <c r="AF489" s="13"/>
      <c r="AG489" s="13"/>
      <c r="AH489" s="13"/>
      <c r="AI489" s="13"/>
      <c r="AJ489" s="13"/>
      <c r="AK489" s="13"/>
      <c r="AL489" s="13"/>
    </row>
    <row r="490" ht="15.75" customHeight="1">
      <c r="A490" s="47"/>
      <c r="B490" s="48"/>
      <c r="C490" s="48"/>
      <c r="D490" s="48"/>
      <c r="E490" s="48"/>
      <c r="F490" s="48"/>
      <c r="G490" s="48"/>
      <c r="H490" s="48"/>
      <c r="I490" s="48"/>
      <c r="J490" s="48"/>
      <c r="K490" s="48"/>
      <c r="L490" s="48"/>
      <c r="M490" s="48"/>
      <c r="N490" s="48"/>
      <c r="O490" s="33"/>
      <c r="P490" s="33"/>
      <c r="Q490" s="33"/>
      <c r="R490" s="33"/>
      <c r="S490" s="33"/>
      <c r="T490" s="48"/>
      <c r="U490" s="48"/>
      <c r="V490" s="9"/>
      <c r="W490" s="9"/>
      <c r="X490" s="49"/>
      <c r="Y490" s="9"/>
      <c r="Z490" s="9"/>
      <c r="AA490" s="48"/>
      <c r="AB490" s="48"/>
      <c r="AC490" s="48"/>
      <c r="AD490" s="13"/>
      <c r="AE490" s="13"/>
      <c r="AF490" s="13"/>
      <c r="AG490" s="13"/>
      <c r="AH490" s="13"/>
      <c r="AI490" s="13"/>
      <c r="AJ490" s="13"/>
      <c r="AK490" s="13"/>
      <c r="AL490" s="13"/>
    </row>
    <row r="491" ht="15.75" customHeight="1">
      <c r="A491" s="47"/>
      <c r="B491" s="48"/>
      <c r="C491" s="48"/>
      <c r="D491" s="48"/>
      <c r="E491" s="48"/>
      <c r="F491" s="48"/>
      <c r="G491" s="48"/>
      <c r="H491" s="48"/>
      <c r="I491" s="48"/>
      <c r="J491" s="48"/>
      <c r="K491" s="48"/>
      <c r="L491" s="48"/>
      <c r="M491" s="48"/>
      <c r="N491" s="48"/>
      <c r="O491" s="33"/>
      <c r="P491" s="33"/>
      <c r="Q491" s="33"/>
      <c r="R491" s="33"/>
      <c r="S491" s="33"/>
      <c r="T491" s="48"/>
      <c r="U491" s="48"/>
      <c r="V491" s="9"/>
      <c r="W491" s="9"/>
      <c r="X491" s="49"/>
      <c r="Y491" s="9"/>
      <c r="Z491" s="9"/>
      <c r="AA491" s="48"/>
      <c r="AB491" s="48"/>
      <c r="AC491" s="48"/>
      <c r="AD491" s="13"/>
      <c r="AE491" s="13"/>
      <c r="AF491" s="13"/>
      <c r="AG491" s="13"/>
      <c r="AH491" s="13"/>
      <c r="AI491" s="13"/>
      <c r="AJ491" s="13"/>
      <c r="AK491" s="13"/>
      <c r="AL491" s="13"/>
    </row>
    <row r="492" ht="15.75" customHeight="1">
      <c r="A492" s="47"/>
      <c r="B492" s="48"/>
      <c r="C492" s="48"/>
      <c r="D492" s="48"/>
      <c r="E492" s="48"/>
      <c r="F492" s="48"/>
      <c r="G492" s="48"/>
      <c r="H492" s="48"/>
      <c r="I492" s="48"/>
      <c r="J492" s="48"/>
      <c r="K492" s="48"/>
      <c r="L492" s="48"/>
      <c r="M492" s="48"/>
      <c r="N492" s="48"/>
      <c r="O492" s="33"/>
      <c r="P492" s="33"/>
      <c r="Q492" s="33"/>
      <c r="R492" s="33"/>
      <c r="S492" s="33"/>
      <c r="T492" s="48"/>
      <c r="U492" s="48"/>
      <c r="V492" s="9"/>
      <c r="W492" s="9"/>
      <c r="X492" s="49"/>
      <c r="Y492" s="9"/>
      <c r="Z492" s="9"/>
      <c r="AA492" s="48"/>
      <c r="AB492" s="48"/>
      <c r="AC492" s="48"/>
      <c r="AD492" s="13"/>
      <c r="AE492" s="13"/>
      <c r="AF492" s="13"/>
      <c r="AG492" s="13"/>
      <c r="AH492" s="13"/>
      <c r="AI492" s="13"/>
      <c r="AJ492" s="13"/>
      <c r="AK492" s="13"/>
      <c r="AL492" s="13"/>
    </row>
    <row r="493" ht="15.75" customHeight="1">
      <c r="A493" s="47"/>
      <c r="B493" s="48"/>
      <c r="C493" s="48"/>
      <c r="D493" s="48"/>
      <c r="E493" s="48"/>
      <c r="F493" s="48"/>
      <c r="G493" s="48"/>
      <c r="H493" s="48"/>
      <c r="I493" s="48"/>
      <c r="J493" s="48"/>
      <c r="K493" s="48"/>
      <c r="L493" s="48"/>
      <c r="M493" s="48"/>
      <c r="N493" s="48"/>
      <c r="O493" s="33"/>
      <c r="P493" s="33"/>
      <c r="Q493" s="33"/>
      <c r="R493" s="33"/>
      <c r="S493" s="33"/>
      <c r="T493" s="48"/>
      <c r="U493" s="48"/>
      <c r="V493" s="9"/>
      <c r="W493" s="9"/>
      <c r="X493" s="49"/>
      <c r="Y493" s="9"/>
      <c r="Z493" s="9"/>
      <c r="AA493" s="48"/>
      <c r="AB493" s="48"/>
      <c r="AC493" s="48"/>
      <c r="AD493" s="13"/>
      <c r="AE493" s="13"/>
      <c r="AF493" s="13"/>
      <c r="AG493" s="13"/>
      <c r="AH493" s="13"/>
      <c r="AI493" s="13"/>
      <c r="AJ493" s="13"/>
      <c r="AK493" s="13"/>
      <c r="AL493" s="13"/>
    </row>
    <row r="494" ht="15.75" customHeight="1">
      <c r="A494" s="47"/>
      <c r="B494" s="48"/>
      <c r="C494" s="48"/>
      <c r="D494" s="48"/>
      <c r="E494" s="48"/>
      <c r="F494" s="48"/>
      <c r="G494" s="48"/>
      <c r="H494" s="48"/>
      <c r="I494" s="48"/>
      <c r="J494" s="48"/>
      <c r="K494" s="48"/>
      <c r="L494" s="48"/>
      <c r="M494" s="48"/>
      <c r="N494" s="48"/>
      <c r="O494" s="33"/>
      <c r="P494" s="33"/>
      <c r="Q494" s="33"/>
      <c r="R494" s="33"/>
      <c r="S494" s="33"/>
      <c r="T494" s="48"/>
      <c r="U494" s="48"/>
      <c r="V494" s="9"/>
      <c r="W494" s="9"/>
      <c r="X494" s="49"/>
      <c r="Y494" s="9"/>
      <c r="Z494" s="9"/>
      <c r="AA494" s="48"/>
      <c r="AB494" s="48"/>
      <c r="AC494" s="48"/>
      <c r="AD494" s="13"/>
      <c r="AE494" s="13"/>
      <c r="AF494" s="13"/>
      <c r="AG494" s="13"/>
      <c r="AH494" s="13"/>
      <c r="AI494" s="13"/>
      <c r="AJ494" s="13"/>
      <c r="AK494" s="13"/>
      <c r="AL494" s="13"/>
    </row>
    <row r="495" ht="15.75" customHeight="1">
      <c r="A495" s="47"/>
      <c r="B495" s="48"/>
      <c r="C495" s="48"/>
      <c r="D495" s="48"/>
      <c r="E495" s="48"/>
      <c r="F495" s="48"/>
      <c r="G495" s="48"/>
      <c r="H495" s="48"/>
      <c r="I495" s="48"/>
      <c r="J495" s="48"/>
      <c r="K495" s="48"/>
      <c r="L495" s="48"/>
      <c r="M495" s="48"/>
      <c r="N495" s="48"/>
      <c r="O495" s="33"/>
      <c r="P495" s="33"/>
      <c r="Q495" s="33"/>
      <c r="R495" s="33"/>
      <c r="S495" s="33"/>
      <c r="T495" s="48"/>
      <c r="U495" s="48"/>
      <c r="V495" s="9"/>
      <c r="W495" s="9"/>
      <c r="X495" s="49"/>
      <c r="Y495" s="9"/>
      <c r="Z495" s="9"/>
      <c r="AA495" s="48"/>
      <c r="AB495" s="48"/>
      <c r="AC495" s="48"/>
      <c r="AD495" s="13"/>
      <c r="AE495" s="13"/>
      <c r="AF495" s="13"/>
      <c r="AG495" s="13"/>
      <c r="AH495" s="13"/>
      <c r="AI495" s="13"/>
      <c r="AJ495" s="13"/>
      <c r="AK495" s="13"/>
      <c r="AL495" s="13"/>
    </row>
    <row r="496" ht="15.75" customHeight="1">
      <c r="A496" s="47"/>
      <c r="B496" s="48"/>
      <c r="C496" s="48"/>
      <c r="D496" s="48"/>
      <c r="E496" s="48"/>
      <c r="F496" s="48"/>
      <c r="G496" s="48"/>
      <c r="H496" s="48"/>
      <c r="I496" s="48"/>
      <c r="J496" s="48"/>
      <c r="K496" s="48"/>
      <c r="L496" s="48"/>
      <c r="M496" s="48"/>
      <c r="N496" s="48"/>
      <c r="O496" s="33"/>
      <c r="P496" s="33"/>
      <c r="Q496" s="33"/>
      <c r="R496" s="33"/>
      <c r="S496" s="33"/>
      <c r="T496" s="48"/>
      <c r="U496" s="48"/>
      <c r="V496" s="9"/>
      <c r="W496" s="9"/>
      <c r="X496" s="49"/>
      <c r="Y496" s="9"/>
      <c r="Z496" s="9"/>
      <c r="AA496" s="48"/>
      <c r="AB496" s="48"/>
      <c r="AC496" s="48"/>
      <c r="AD496" s="13"/>
      <c r="AE496" s="13"/>
      <c r="AF496" s="13"/>
      <c r="AG496" s="13"/>
      <c r="AH496" s="13"/>
      <c r="AI496" s="13"/>
      <c r="AJ496" s="13"/>
      <c r="AK496" s="13"/>
      <c r="AL496" s="13"/>
    </row>
    <row r="497" ht="15.75" customHeight="1">
      <c r="A497" s="47"/>
      <c r="B497" s="48"/>
      <c r="C497" s="48"/>
      <c r="D497" s="48"/>
      <c r="E497" s="48"/>
      <c r="F497" s="48"/>
      <c r="G497" s="48"/>
      <c r="H497" s="48"/>
      <c r="I497" s="48"/>
      <c r="J497" s="48"/>
      <c r="K497" s="48"/>
      <c r="L497" s="48"/>
      <c r="M497" s="48"/>
      <c r="N497" s="48"/>
      <c r="O497" s="33"/>
      <c r="P497" s="33"/>
      <c r="Q497" s="33"/>
      <c r="R497" s="33"/>
      <c r="S497" s="33"/>
      <c r="T497" s="48"/>
      <c r="U497" s="48"/>
      <c r="V497" s="9"/>
      <c r="W497" s="9"/>
      <c r="X497" s="49"/>
      <c r="Y497" s="9"/>
      <c r="Z497" s="9"/>
      <c r="AA497" s="48"/>
      <c r="AB497" s="48"/>
      <c r="AC497" s="48"/>
      <c r="AD497" s="13"/>
      <c r="AE497" s="13"/>
      <c r="AF497" s="13"/>
      <c r="AG497" s="13"/>
      <c r="AH497" s="13"/>
      <c r="AI497" s="13"/>
      <c r="AJ497" s="13"/>
      <c r="AK497" s="13"/>
      <c r="AL497" s="13"/>
    </row>
    <row r="498" ht="15.75" customHeight="1">
      <c r="A498" s="47"/>
      <c r="B498" s="48"/>
      <c r="C498" s="48"/>
      <c r="D498" s="48"/>
      <c r="E498" s="48"/>
      <c r="F498" s="48"/>
      <c r="G498" s="48"/>
      <c r="H498" s="48"/>
      <c r="I498" s="48"/>
      <c r="J498" s="48"/>
      <c r="K498" s="48"/>
      <c r="L498" s="48"/>
      <c r="M498" s="48"/>
      <c r="N498" s="48"/>
      <c r="O498" s="33"/>
      <c r="P498" s="33"/>
      <c r="Q498" s="33"/>
      <c r="R498" s="33"/>
      <c r="S498" s="33"/>
      <c r="T498" s="48"/>
      <c r="U498" s="48"/>
      <c r="V498" s="9"/>
      <c r="W498" s="9"/>
      <c r="X498" s="49"/>
      <c r="Y498" s="9"/>
      <c r="Z498" s="9"/>
      <c r="AA498" s="48"/>
      <c r="AB498" s="48"/>
      <c r="AC498" s="48"/>
      <c r="AD498" s="13"/>
      <c r="AE498" s="13"/>
      <c r="AF498" s="13"/>
      <c r="AG498" s="13"/>
      <c r="AH498" s="13"/>
      <c r="AI498" s="13"/>
      <c r="AJ498" s="13"/>
      <c r="AK498" s="13"/>
      <c r="AL498" s="13"/>
    </row>
    <row r="499" ht="15.75" customHeight="1">
      <c r="A499" s="47"/>
      <c r="B499" s="48"/>
      <c r="C499" s="48"/>
      <c r="D499" s="48"/>
      <c r="E499" s="48"/>
      <c r="F499" s="48"/>
      <c r="G499" s="48"/>
      <c r="H499" s="48"/>
      <c r="I499" s="48"/>
      <c r="J499" s="48"/>
      <c r="K499" s="48"/>
      <c r="L499" s="48"/>
      <c r="M499" s="48"/>
      <c r="N499" s="48"/>
      <c r="O499" s="33"/>
      <c r="P499" s="33"/>
      <c r="Q499" s="33"/>
      <c r="R499" s="33"/>
      <c r="S499" s="33"/>
      <c r="T499" s="48"/>
      <c r="U499" s="48"/>
      <c r="V499" s="9"/>
      <c r="W499" s="9"/>
      <c r="X499" s="49"/>
      <c r="Y499" s="9"/>
      <c r="Z499" s="9"/>
      <c r="AA499" s="48"/>
      <c r="AB499" s="48"/>
      <c r="AC499" s="48"/>
      <c r="AD499" s="13"/>
      <c r="AE499" s="13"/>
      <c r="AF499" s="13"/>
      <c r="AG499" s="13"/>
      <c r="AH499" s="13"/>
      <c r="AI499" s="13"/>
      <c r="AJ499" s="13"/>
      <c r="AK499" s="13"/>
      <c r="AL499" s="13"/>
    </row>
    <row r="500" ht="15.75" customHeight="1">
      <c r="A500" s="47"/>
      <c r="B500" s="48"/>
      <c r="C500" s="48"/>
      <c r="D500" s="48"/>
      <c r="E500" s="48"/>
      <c r="F500" s="48"/>
      <c r="G500" s="48"/>
      <c r="H500" s="48"/>
      <c r="I500" s="48"/>
      <c r="J500" s="48"/>
      <c r="K500" s="48"/>
      <c r="L500" s="48"/>
      <c r="M500" s="48"/>
      <c r="N500" s="48"/>
      <c r="O500" s="33"/>
      <c r="P500" s="33"/>
      <c r="Q500" s="33"/>
      <c r="R500" s="33"/>
      <c r="S500" s="33"/>
      <c r="T500" s="48"/>
      <c r="U500" s="48"/>
      <c r="V500" s="9"/>
      <c r="W500" s="9"/>
      <c r="X500" s="49"/>
      <c r="Y500" s="9"/>
      <c r="Z500" s="9"/>
      <c r="AA500" s="48"/>
      <c r="AB500" s="48"/>
      <c r="AC500" s="48"/>
      <c r="AD500" s="13"/>
      <c r="AE500" s="13"/>
      <c r="AF500" s="13"/>
      <c r="AG500" s="13"/>
      <c r="AH500" s="13"/>
      <c r="AI500" s="13"/>
      <c r="AJ500" s="13"/>
      <c r="AK500" s="13"/>
      <c r="AL500" s="13"/>
    </row>
    <row r="501" ht="15.75" customHeight="1">
      <c r="A501" s="47"/>
      <c r="B501" s="48"/>
      <c r="C501" s="48"/>
      <c r="D501" s="48"/>
      <c r="E501" s="48"/>
      <c r="F501" s="48"/>
      <c r="G501" s="48"/>
      <c r="H501" s="48"/>
      <c r="I501" s="48"/>
      <c r="J501" s="48"/>
      <c r="K501" s="48"/>
      <c r="L501" s="48"/>
      <c r="M501" s="48"/>
      <c r="N501" s="48"/>
      <c r="O501" s="33"/>
      <c r="P501" s="33"/>
      <c r="Q501" s="33"/>
      <c r="R501" s="33"/>
      <c r="S501" s="33"/>
      <c r="T501" s="48"/>
      <c r="U501" s="48"/>
      <c r="V501" s="9"/>
      <c r="W501" s="9"/>
      <c r="X501" s="49"/>
      <c r="Y501" s="9"/>
      <c r="Z501" s="9"/>
      <c r="AA501" s="48"/>
      <c r="AB501" s="48"/>
      <c r="AC501" s="48"/>
      <c r="AD501" s="13"/>
      <c r="AE501" s="13"/>
      <c r="AF501" s="13"/>
      <c r="AG501" s="13"/>
      <c r="AH501" s="13"/>
      <c r="AI501" s="13"/>
      <c r="AJ501" s="13"/>
      <c r="AK501" s="13"/>
      <c r="AL501" s="13"/>
    </row>
    <row r="502" ht="15.75" customHeight="1">
      <c r="A502" s="47"/>
      <c r="B502" s="48"/>
      <c r="C502" s="48"/>
      <c r="D502" s="48"/>
      <c r="E502" s="48"/>
      <c r="F502" s="48"/>
      <c r="G502" s="48"/>
      <c r="H502" s="48"/>
      <c r="I502" s="48"/>
      <c r="J502" s="48"/>
      <c r="K502" s="48"/>
      <c r="L502" s="48"/>
      <c r="M502" s="48"/>
      <c r="N502" s="48"/>
      <c r="O502" s="33"/>
      <c r="P502" s="33"/>
      <c r="Q502" s="33"/>
      <c r="R502" s="33"/>
      <c r="S502" s="33"/>
      <c r="T502" s="48"/>
      <c r="U502" s="48"/>
      <c r="V502" s="9"/>
      <c r="W502" s="9"/>
      <c r="X502" s="49"/>
      <c r="Y502" s="9"/>
      <c r="Z502" s="9"/>
      <c r="AA502" s="48"/>
      <c r="AB502" s="48"/>
      <c r="AC502" s="48"/>
      <c r="AD502" s="13"/>
      <c r="AE502" s="13"/>
      <c r="AF502" s="13"/>
      <c r="AG502" s="13"/>
      <c r="AH502" s="13"/>
      <c r="AI502" s="13"/>
      <c r="AJ502" s="13"/>
      <c r="AK502" s="13"/>
      <c r="AL502" s="13"/>
    </row>
    <row r="503" ht="15.75" customHeight="1">
      <c r="A503" s="47"/>
      <c r="B503" s="48"/>
      <c r="C503" s="48"/>
      <c r="D503" s="48"/>
      <c r="E503" s="48"/>
      <c r="F503" s="48"/>
      <c r="G503" s="48"/>
      <c r="H503" s="48"/>
      <c r="I503" s="48"/>
      <c r="J503" s="48"/>
      <c r="K503" s="48"/>
      <c r="L503" s="48"/>
      <c r="M503" s="48"/>
      <c r="N503" s="48"/>
      <c r="O503" s="33"/>
      <c r="P503" s="33"/>
      <c r="Q503" s="33"/>
      <c r="R503" s="33"/>
      <c r="S503" s="33"/>
      <c r="T503" s="48"/>
      <c r="U503" s="48"/>
      <c r="V503" s="9"/>
      <c r="W503" s="9"/>
      <c r="X503" s="49"/>
      <c r="Y503" s="9"/>
      <c r="Z503" s="9"/>
      <c r="AA503" s="48"/>
      <c r="AB503" s="48"/>
      <c r="AC503" s="48"/>
      <c r="AD503" s="13"/>
      <c r="AE503" s="13"/>
      <c r="AF503" s="13"/>
      <c r="AG503" s="13"/>
      <c r="AH503" s="13"/>
      <c r="AI503" s="13"/>
      <c r="AJ503" s="13"/>
      <c r="AK503" s="13"/>
      <c r="AL503" s="13"/>
    </row>
    <row r="504" ht="15.75" customHeight="1">
      <c r="A504" s="47"/>
      <c r="B504" s="48"/>
      <c r="C504" s="48"/>
      <c r="D504" s="48"/>
      <c r="E504" s="48"/>
      <c r="F504" s="48"/>
      <c r="G504" s="48"/>
      <c r="H504" s="48"/>
      <c r="I504" s="48"/>
      <c r="J504" s="48"/>
      <c r="K504" s="48"/>
      <c r="L504" s="48"/>
      <c r="M504" s="48"/>
      <c r="N504" s="48"/>
      <c r="O504" s="33"/>
      <c r="P504" s="33"/>
      <c r="Q504" s="33"/>
      <c r="R504" s="33"/>
      <c r="S504" s="33"/>
      <c r="T504" s="48"/>
      <c r="U504" s="48"/>
      <c r="V504" s="9"/>
      <c r="W504" s="9"/>
      <c r="X504" s="49"/>
      <c r="Y504" s="9"/>
      <c r="Z504" s="9"/>
      <c r="AA504" s="48"/>
      <c r="AB504" s="48"/>
      <c r="AC504" s="48"/>
      <c r="AD504" s="13"/>
      <c r="AE504" s="13"/>
      <c r="AF504" s="13"/>
      <c r="AG504" s="13"/>
      <c r="AH504" s="13"/>
      <c r="AI504" s="13"/>
      <c r="AJ504" s="13"/>
      <c r="AK504" s="13"/>
      <c r="AL504" s="13"/>
    </row>
    <row r="505" ht="15.75" customHeight="1">
      <c r="A505" s="47"/>
      <c r="B505" s="48"/>
      <c r="C505" s="48"/>
      <c r="D505" s="48"/>
      <c r="E505" s="48"/>
      <c r="F505" s="48"/>
      <c r="G505" s="48"/>
      <c r="H505" s="48"/>
      <c r="I505" s="48"/>
      <c r="J505" s="48"/>
      <c r="K505" s="48"/>
      <c r="L505" s="48"/>
      <c r="M505" s="48"/>
      <c r="N505" s="48"/>
      <c r="O505" s="33"/>
      <c r="P505" s="33"/>
      <c r="Q505" s="33"/>
      <c r="R505" s="33"/>
      <c r="S505" s="33"/>
      <c r="T505" s="48"/>
      <c r="U505" s="48"/>
      <c r="V505" s="9"/>
      <c r="W505" s="9"/>
      <c r="X505" s="49"/>
      <c r="Y505" s="9"/>
      <c r="Z505" s="9"/>
      <c r="AA505" s="48"/>
      <c r="AB505" s="48"/>
      <c r="AC505" s="48"/>
      <c r="AD505" s="13"/>
      <c r="AE505" s="13"/>
      <c r="AF505" s="13"/>
      <c r="AG505" s="13"/>
      <c r="AH505" s="13"/>
      <c r="AI505" s="13"/>
      <c r="AJ505" s="13"/>
      <c r="AK505" s="13"/>
      <c r="AL505" s="13"/>
    </row>
    <row r="506" ht="15.75" customHeight="1">
      <c r="A506" s="47"/>
      <c r="B506" s="48"/>
      <c r="C506" s="48"/>
      <c r="D506" s="48"/>
      <c r="E506" s="48"/>
      <c r="F506" s="48"/>
      <c r="G506" s="48"/>
      <c r="H506" s="48"/>
      <c r="I506" s="48"/>
      <c r="J506" s="48"/>
      <c r="K506" s="48"/>
      <c r="L506" s="48"/>
      <c r="M506" s="48"/>
      <c r="N506" s="48"/>
      <c r="O506" s="33"/>
      <c r="P506" s="33"/>
      <c r="Q506" s="33"/>
      <c r="R506" s="33"/>
      <c r="S506" s="33"/>
      <c r="T506" s="48"/>
      <c r="U506" s="48"/>
      <c r="V506" s="9"/>
      <c r="W506" s="9"/>
      <c r="X506" s="49"/>
      <c r="Y506" s="9"/>
      <c r="Z506" s="9"/>
      <c r="AA506" s="48"/>
      <c r="AB506" s="48"/>
      <c r="AC506" s="48"/>
      <c r="AD506" s="13"/>
      <c r="AE506" s="13"/>
      <c r="AF506" s="13"/>
      <c r="AG506" s="13"/>
      <c r="AH506" s="13"/>
      <c r="AI506" s="13"/>
      <c r="AJ506" s="13"/>
      <c r="AK506" s="13"/>
      <c r="AL506" s="13"/>
    </row>
    <row r="507" ht="15.75" customHeight="1">
      <c r="A507" s="47"/>
      <c r="B507" s="48"/>
      <c r="C507" s="48"/>
      <c r="D507" s="48"/>
      <c r="E507" s="48"/>
      <c r="F507" s="48"/>
      <c r="G507" s="48"/>
      <c r="H507" s="48"/>
      <c r="I507" s="48"/>
      <c r="J507" s="48"/>
      <c r="K507" s="48"/>
      <c r="L507" s="48"/>
      <c r="M507" s="48"/>
      <c r="N507" s="48"/>
      <c r="O507" s="33"/>
      <c r="P507" s="33"/>
      <c r="Q507" s="33"/>
      <c r="R507" s="33"/>
      <c r="S507" s="33"/>
      <c r="T507" s="48"/>
      <c r="U507" s="48"/>
      <c r="V507" s="9"/>
      <c r="W507" s="9"/>
      <c r="X507" s="49"/>
      <c r="Y507" s="9"/>
      <c r="Z507" s="9"/>
      <c r="AA507" s="48"/>
      <c r="AB507" s="48"/>
      <c r="AC507" s="48"/>
      <c r="AD507" s="13"/>
      <c r="AE507" s="13"/>
      <c r="AF507" s="13"/>
      <c r="AG507" s="13"/>
      <c r="AH507" s="13"/>
      <c r="AI507" s="13"/>
      <c r="AJ507" s="13"/>
      <c r="AK507" s="13"/>
      <c r="AL507" s="13"/>
    </row>
    <row r="508" ht="15.75" customHeight="1">
      <c r="A508" s="47"/>
      <c r="B508" s="48"/>
      <c r="C508" s="48"/>
      <c r="D508" s="48"/>
      <c r="E508" s="48"/>
      <c r="F508" s="48"/>
      <c r="G508" s="48"/>
      <c r="H508" s="48"/>
      <c r="I508" s="48"/>
      <c r="J508" s="48"/>
      <c r="K508" s="48"/>
      <c r="L508" s="48"/>
      <c r="M508" s="48"/>
      <c r="N508" s="48"/>
      <c r="O508" s="33"/>
      <c r="P508" s="33"/>
      <c r="Q508" s="33"/>
      <c r="R508" s="33"/>
      <c r="S508" s="33"/>
      <c r="T508" s="48"/>
      <c r="U508" s="48"/>
      <c r="V508" s="9"/>
      <c r="W508" s="9"/>
      <c r="X508" s="49"/>
      <c r="Y508" s="9"/>
      <c r="Z508" s="9"/>
      <c r="AA508" s="48"/>
      <c r="AB508" s="48"/>
      <c r="AC508" s="48"/>
      <c r="AD508" s="13"/>
      <c r="AE508" s="13"/>
      <c r="AF508" s="13"/>
      <c r="AG508" s="13"/>
      <c r="AH508" s="13"/>
      <c r="AI508" s="13"/>
      <c r="AJ508" s="13"/>
      <c r="AK508" s="13"/>
      <c r="AL508" s="13"/>
    </row>
    <row r="509" ht="15.75" customHeight="1">
      <c r="A509" s="47"/>
      <c r="B509" s="48"/>
      <c r="C509" s="48"/>
      <c r="D509" s="48"/>
      <c r="E509" s="48"/>
      <c r="F509" s="48"/>
      <c r="G509" s="48"/>
      <c r="H509" s="48"/>
      <c r="I509" s="48"/>
      <c r="J509" s="48"/>
      <c r="K509" s="48"/>
      <c r="L509" s="48"/>
      <c r="M509" s="48"/>
      <c r="N509" s="48"/>
      <c r="O509" s="33"/>
      <c r="P509" s="33"/>
      <c r="Q509" s="33"/>
      <c r="R509" s="33"/>
      <c r="S509" s="33"/>
      <c r="T509" s="48"/>
      <c r="U509" s="48"/>
      <c r="V509" s="9"/>
      <c r="W509" s="9"/>
      <c r="X509" s="49"/>
      <c r="Y509" s="9"/>
      <c r="Z509" s="9"/>
      <c r="AA509" s="48"/>
      <c r="AB509" s="48"/>
      <c r="AC509" s="48"/>
      <c r="AD509" s="13"/>
      <c r="AE509" s="13"/>
      <c r="AF509" s="13"/>
      <c r="AG509" s="13"/>
      <c r="AH509" s="13"/>
      <c r="AI509" s="13"/>
      <c r="AJ509" s="13"/>
      <c r="AK509" s="13"/>
      <c r="AL509" s="13"/>
    </row>
    <row r="510" ht="15.75" customHeight="1">
      <c r="A510" s="47"/>
      <c r="B510" s="48"/>
      <c r="C510" s="48"/>
      <c r="D510" s="48"/>
      <c r="E510" s="48"/>
      <c r="F510" s="48"/>
      <c r="G510" s="48"/>
      <c r="H510" s="48"/>
      <c r="I510" s="48"/>
      <c r="J510" s="48"/>
      <c r="K510" s="48"/>
      <c r="L510" s="48"/>
      <c r="M510" s="48"/>
      <c r="N510" s="48"/>
      <c r="O510" s="33"/>
      <c r="P510" s="33"/>
      <c r="Q510" s="33"/>
      <c r="R510" s="33"/>
      <c r="S510" s="33"/>
      <c r="T510" s="48"/>
      <c r="U510" s="48"/>
      <c r="V510" s="9"/>
      <c r="W510" s="9"/>
      <c r="X510" s="49"/>
      <c r="Y510" s="9"/>
      <c r="Z510" s="9"/>
      <c r="AA510" s="48"/>
      <c r="AB510" s="48"/>
      <c r="AC510" s="48"/>
      <c r="AD510" s="13"/>
      <c r="AE510" s="13"/>
      <c r="AF510" s="13"/>
      <c r="AG510" s="13"/>
      <c r="AH510" s="13"/>
      <c r="AI510" s="13"/>
      <c r="AJ510" s="13"/>
      <c r="AK510" s="13"/>
      <c r="AL510" s="13"/>
    </row>
    <row r="511" ht="15.75" customHeight="1">
      <c r="A511" s="47"/>
      <c r="B511" s="48"/>
      <c r="C511" s="48"/>
      <c r="D511" s="48"/>
      <c r="E511" s="48"/>
      <c r="F511" s="48"/>
      <c r="G511" s="48"/>
      <c r="H511" s="48"/>
      <c r="I511" s="48"/>
      <c r="J511" s="48"/>
      <c r="K511" s="48"/>
      <c r="L511" s="48"/>
      <c r="M511" s="48"/>
      <c r="N511" s="48"/>
      <c r="O511" s="33"/>
      <c r="P511" s="33"/>
      <c r="Q511" s="33"/>
      <c r="R511" s="33"/>
      <c r="S511" s="33"/>
      <c r="T511" s="48"/>
      <c r="U511" s="48"/>
      <c r="V511" s="9"/>
      <c r="W511" s="9"/>
      <c r="X511" s="49"/>
      <c r="Y511" s="9"/>
      <c r="Z511" s="9"/>
      <c r="AA511" s="48"/>
      <c r="AB511" s="48"/>
      <c r="AC511" s="48"/>
      <c r="AD511" s="13"/>
      <c r="AE511" s="13"/>
      <c r="AF511" s="13"/>
      <c r="AG511" s="13"/>
      <c r="AH511" s="13"/>
      <c r="AI511" s="13"/>
      <c r="AJ511" s="13"/>
      <c r="AK511" s="13"/>
      <c r="AL511" s="13"/>
    </row>
    <row r="512" ht="15.75" customHeight="1">
      <c r="A512" s="47"/>
      <c r="B512" s="48"/>
      <c r="C512" s="48"/>
      <c r="D512" s="48"/>
      <c r="E512" s="48"/>
      <c r="F512" s="48"/>
      <c r="G512" s="48"/>
      <c r="H512" s="48"/>
      <c r="I512" s="48"/>
      <c r="J512" s="48"/>
      <c r="K512" s="48"/>
      <c r="L512" s="48"/>
      <c r="M512" s="48"/>
      <c r="N512" s="48"/>
      <c r="O512" s="33"/>
      <c r="P512" s="33"/>
      <c r="Q512" s="33"/>
      <c r="R512" s="33"/>
      <c r="S512" s="33"/>
      <c r="T512" s="48"/>
      <c r="U512" s="48"/>
      <c r="V512" s="9"/>
      <c r="W512" s="9"/>
      <c r="X512" s="49"/>
      <c r="Y512" s="9"/>
      <c r="Z512" s="9"/>
      <c r="AA512" s="48"/>
      <c r="AB512" s="48"/>
      <c r="AC512" s="48"/>
      <c r="AD512" s="13"/>
      <c r="AE512" s="13"/>
      <c r="AF512" s="13"/>
      <c r="AG512" s="13"/>
      <c r="AH512" s="13"/>
      <c r="AI512" s="13"/>
      <c r="AJ512" s="13"/>
      <c r="AK512" s="13"/>
      <c r="AL512" s="13"/>
    </row>
    <row r="513" ht="15.75" customHeight="1">
      <c r="A513" s="47"/>
      <c r="B513" s="48"/>
      <c r="C513" s="48"/>
      <c r="D513" s="48"/>
      <c r="E513" s="48"/>
      <c r="F513" s="48"/>
      <c r="G513" s="48"/>
      <c r="H513" s="48"/>
      <c r="I513" s="48"/>
      <c r="J513" s="48"/>
      <c r="K513" s="48"/>
      <c r="L513" s="48"/>
      <c r="M513" s="48"/>
      <c r="N513" s="48"/>
      <c r="O513" s="33"/>
      <c r="P513" s="33"/>
      <c r="Q513" s="33"/>
      <c r="R513" s="33"/>
      <c r="S513" s="33"/>
      <c r="T513" s="48"/>
      <c r="U513" s="48"/>
      <c r="V513" s="9"/>
      <c r="W513" s="9"/>
      <c r="X513" s="49"/>
      <c r="Y513" s="9"/>
      <c r="Z513" s="9"/>
      <c r="AA513" s="48"/>
      <c r="AB513" s="48"/>
      <c r="AC513" s="48"/>
      <c r="AD513" s="13"/>
      <c r="AE513" s="13"/>
      <c r="AF513" s="13"/>
      <c r="AG513" s="13"/>
      <c r="AH513" s="13"/>
      <c r="AI513" s="13"/>
      <c r="AJ513" s="13"/>
      <c r="AK513" s="13"/>
      <c r="AL513" s="13"/>
    </row>
    <row r="514" ht="15.75" customHeight="1">
      <c r="A514" s="47"/>
      <c r="B514" s="48"/>
      <c r="C514" s="48"/>
      <c r="D514" s="48"/>
      <c r="E514" s="48"/>
      <c r="F514" s="48"/>
      <c r="G514" s="48"/>
      <c r="H514" s="48"/>
      <c r="I514" s="48"/>
      <c r="J514" s="48"/>
      <c r="K514" s="48"/>
      <c r="L514" s="48"/>
      <c r="M514" s="48"/>
      <c r="N514" s="48"/>
      <c r="O514" s="33"/>
      <c r="P514" s="33"/>
      <c r="Q514" s="33"/>
      <c r="R514" s="33"/>
      <c r="S514" s="33"/>
      <c r="T514" s="48"/>
      <c r="U514" s="48"/>
      <c r="V514" s="9"/>
      <c r="W514" s="9"/>
      <c r="X514" s="49"/>
      <c r="Y514" s="9"/>
      <c r="Z514" s="9"/>
      <c r="AA514" s="48"/>
      <c r="AB514" s="48"/>
      <c r="AC514" s="48"/>
      <c r="AD514" s="13"/>
      <c r="AE514" s="13"/>
      <c r="AF514" s="13"/>
      <c r="AG514" s="13"/>
      <c r="AH514" s="13"/>
      <c r="AI514" s="13"/>
      <c r="AJ514" s="13"/>
      <c r="AK514" s="13"/>
      <c r="AL514" s="13"/>
    </row>
    <row r="515" ht="15.75" customHeight="1">
      <c r="A515" s="47"/>
      <c r="B515" s="48"/>
      <c r="C515" s="48"/>
      <c r="D515" s="48"/>
      <c r="E515" s="48"/>
      <c r="F515" s="48"/>
      <c r="G515" s="48"/>
      <c r="H515" s="48"/>
      <c r="I515" s="48"/>
      <c r="J515" s="48"/>
      <c r="K515" s="48"/>
      <c r="L515" s="48"/>
      <c r="M515" s="48"/>
      <c r="N515" s="48"/>
      <c r="O515" s="33"/>
      <c r="P515" s="33"/>
      <c r="Q515" s="33"/>
      <c r="R515" s="33"/>
      <c r="S515" s="33"/>
      <c r="T515" s="48"/>
      <c r="U515" s="48"/>
      <c r="V515" s="9"/>
      <c r="W515" s="9"/>
      <c r="X515" s="49"/>
      <c r="Y515" s="9"/>
      <c r="Z515" s="9"/>
      <c r="AA515" s="48"/>
      <c r="AB515" s="48"/>
      <c r="AC515" s="48"/>
      <c r="AD515" s="13"/>
      <c r="AE515" s="13"/>
      <c r="AF515" s="13"/>
      <c r="AG515" s="13"/>
      <c r="AH515" s="13"/>
      <c r="AI515" s="13"/>
      <c r="AJ515" s="13"/>
      <c r="AK515" s="13"/>
      <c r="AL515" s="13"/>
    </row>
    <row r="516" ht="15.75" customHeight="1">
      <c r="A516" s="47"/>
      <c r="B516" s="48"/>
      <c r="C516" s="48"/>
      <c r="D516" s="48"/>
      <c r="E516" s="48"/>
      <c r="F516" s="48"/>
      <c r="G516" s="48"/>
      <c r="H516" s="48"/>
      <c r="I516" s="48"/>
      <c r="J516" s="48"/>
      <c r="K516" s="48"/>
      <c r="L516" s="48"/>
      <c r="M516" s="48"/>
      <c r="N516" s="48"/>
      <c r="O516" s="33"/>
      <c r="P516" s="33"/>
      <c r="Q516" s="33"/>
      <c r="R516" s="33"/>
      <c r="S516" s="33"/>
      <c r="T516" s="48"/>
      <c r="U516" s="48"/>
      <c r="V516" s="9"/>
      <c r="W516" s="9"/>
      <c r="X516" s="49"/>
      <c r="Y516" s="9"/>
      <c r="Z516" s="9"/>
      <c r="AA516" s="48"/>
      <c r="AB516" s="48"/>
      <c r="AC516" s="48"/>
      <c r="AD516" s="13"/>
      <c r="AE516" s="13"/>
      <c r="AF516" s="13"/>
      <c r="AG516" s="13"/>
      <c r="AH516" s="13"/>
      <c r="AI516" s="13"/>
      <c r="AJ516" s="13"/>
      <c r="AK516" s="13"/>
      <c r="AL516" s="13"/>
    </row>
    <row r="517" ht="15.75" customHeight="1">
      <c r="A517" s="47"/>
      <c r="B517" s="48"/>
      <c r="C517" s="48"/>
      <c r="D517" s="48"/>
      <c r="E517" s="48"/>
      <c r="F517" s="48"/>
      <c r="G517" s="48"/>
      <c r="H517" s="48"/>
      <c r="I517" s="48"/>
      <c r="J517" s="48"/>
      <c r="K517" s="48"/>
      <c r="L517" s="48"/>
      <c r="M517" s="48"/>
      <c r="N517" s="48"/>
      <c r="O517" s="33"/>
      <c r="P517" s="33"/>
      <c r="Q517" s="33"/>
      <c r="R517" s="33"/>
      <c r="S517" s="33"/>
      <c r="T517" s="48"/>
      <c r="U517" s="48"/>
      <c r="V517" s="9"/>
      <c r="W517" s="9"/>
      <c r="X517" s="49"/>
      <c r="Y517" s="9"/>
      <c r="Z517" s="9"/>
      <c r="AA517" s="48"/>
      <c r="AB517" s="48"/>
      <c r="AC517" s="48"/>
      <c r="AD517" s="13"/>
      <c r="AE517" s="13"/>
      <c r="AF517" s="13"/>
      <c r="AG517" s="13"/>
      <c r="AH517" s="13"/>
      <c r="AI517" s="13"/>
      <c r="AJ517" s="13"/>
      <c r="AK517" s="13"/>
      <c r="AL517" s="13"/>
    </row>
    <row r="518" ht="15.75" customHeight="1">
      <c r="A518" s="47"/>
      <c r="B518" s="48"/>
      <c r="C518" s="48"/>
      <c r="D518" s="48"/>
      <c r="E518" s="48"/>
      <c r="F518" s="48"/>
      <c r="G518" s="48"/>
      <c r="H518" s="48"/>
      <c r="I518" s="48"/>
      <c r="J518" s="48"/>
      <c r="K518" s="48"/>
      <c r="L518" s="48"/>
      <c r="M518" s="48"/>
      <c r="N518" s="48"/>
      <c r="O518" s="33"/>
      <c r="P518" s="33"/>
      <c r="Q518" s="33"/>
      <c r="R518" s="33"/>
      <c r="S518" s="33"/>
      <c r="T518" s="48"/>
      <c r="U518" s="48"/>
      <c r="V518" s="9"/>
      <c r="W518" s="9"/>
      <c r="X518" s="49"/>
      <c r="Y518" s="9"/>
      <c r="Z518" s="9"/>
      <c r="AA518" s="48"/>
      <c r="AB518" s="48"/>
      <c r="AC518" s="48"/>
      <c r="AD518" s="13"/>
      <c r="AE518" s="13"/>
      <c r="AF518" s="13"/>
      <c r="AG518" s="13"/>
      <c r="AH518" s="13"/>
      <c r="AI518" s="13"/>
      <c r="AJ518" s="13"/>
      <c r="AK518" s="13"/>
      <c r="AL518" s="13"/>
    </row>
    <row r="519" ht="15.75" customHeight="1">
      <c r="A519" s="47"/>
      <c r="B519" s="48"/>
      <c r="C519" s="48"/>
      <c r="D519" s="48"/>
      <c r="E519" s="48"/>
      <c r="F519" s="48"/>
      <c r="G519" s="48"/>
      <c r="H519" s="48"/>
      <c r="I519" s="48"/>
      <c r="J519" s="48"/>
      <c r="K519" s="48"/>
      <c r="L519" s="48"/>
      <c r="M519" s="48"/>
      <c r="N519" s="48"/>
      <c r="O519" s="33"/>
      <c r="P519" s="33"/>
      <c r="Q519" s="33"/>
      <c r="R519" s="33"/>
      <c r="S519" s="33"/>
      <c r="T519" s="48"/>
      <c r="U519" s="48"/>
      <c r="V519" s="9"/>
      <c r="W519" s="9"/>
      <c r="X519" s="49"/>
      <c r="Y519" s="9"/>
      <c r="Z519" s="9"/>
      <c r="AA519" s="48"/>
      <c r="AB519" s="48"/>
      <c r="AC519" s="48"/>
      <c r="AD519" s="13"/>
      <c r="AE519" s="13"/>
      <c r="AF519" s="13"/>
      <c r="AG519" s="13"/>
      <c r="AH519" s="13"/>
      <c r="AI519" s="13"/>
      <c r="AJ519" s="13"/>
      <c r="AK519" s="13"/>
      <c r="AL519" s="13"/>
    </row>
    <row r="520" ht="15.75" customHeight="1">
      <c r="A520" s="47"/>
      <c r="B520" s="48"/>
      <c r="C520" s="48"/>
      <c r="D520" s="48"/>
      <c r="E520" s="48"/>
      <c r="F520" s="48"/>
      <c r="G520" s="48"/>
      <c r="H520" s="48"/>
      <c r="I520" s="48"/>
      <c r="J520" s="48"/>
      <c r="K520" s="48"/>
      <c r="L520" s="48"/>
      <c r="M520" s="48"/>
      <c r="N520" s="48"/>
      <c r="O520" s="33"/>
      <c r="P520" s="33"/>
      <c r="Q520" s="33"/>
      <c r="R520" s="33"/>
      <c r="S520" s="33"/>
      <c r="T520" s="48"/>
      <c r="U520" s="48"/>
      <c r="V520" s="9"/>
      <c r="W520" s="9"/>
      <c r="X520" s="49"/>
      <c r="Y520" s="9"/>
      <c r="Z520" s="9"/>
      <c r="AA520" s="48"/>
      <c r="AB520" s="48"/>
      <c r="AC520" s="48"/>
      <c r="AD520" s="13"/>
      <c r="AE520" s="13"/>
      <c r="AF520" s="13"/>
      <c r="AG520" s="13"/>
      <c r="AH520" s="13"/>
      <c r="AI520" s="13"/>
      <c r="AJ520" s="13"/>
      <c r="AK520" s="13"/>
      <c r="AL520" s="13"/>
    </row>
    <row r="521" ht="15.75" customHeight="1">
      <c r="A521" s="47"/>
      <c r="B521" s="48"/>
      <c r="C521" s="48"/>
      <c r="D521" s="48"/>
      <c r="E521" s="48"/>
      <c r="F521" s="48"/>
      <c r="G521" s="48"/>
      <c r="H521" s="48"/>
      <c r="I521" s="48"/>
      <c r="J521" s="48"/>
      <c r="K521" s="48"/>
      <c r="L521" s="48"/>
      <c r="M521" s="48"/>
      <c r="N521" s="48"/>
      <c r="O521" s="33"/>
      <c r="P521" s="33"/>
      <c r="Q521" s="33"/>
      <c r="R521" s="33"/>
      <c r="S521" s="33"/>
      <c r="T521" s="48"/>
      <c r="U521" s="48"/>
      <c r="V521" s="9"/>
      <c r="W521" s="9"/>
      <c r="X521" s="49"/>
      <c r="Y521" s="9"/>
      <c r="Z521" s="9"/>
      <c r="AA521" s="48"/>
      <c r="AB521" s="48"/>
      <c r="AC521" s="48"/>
      <c r="AD521" s="13"/>
      <c r="AE521" s="13"/>
      <c r="AF521" s="13"/>
      <c r="AG521" s="13"/>
      <c r="AH521" s="13"/>
      <c r="AI521" s="13"/>
      <c r="AJ521" s="13"/>
      <c r="AK521" s="13"/>
      <c r="AL521" s="13"/>
    </row>
    <row r="522" ht="15.75" customHeight="1">
      <c r="A522" s="47"/>
      <c r="B522" s="48"/>
      <c r="C522" s="48"/>
      <c r="D522" s="48"/>
      <c r="E522" s="48"/>
      <c r="F522" s="48"/>
      <c r="G522" s="48"/>
      <c r="H522" s="48"/>
      <c r="I522" s="48"/>
      <c r="J522" s="48"/>
      <c r="K522" s="48"/>
      <c r="L522" s="48"/>
      <c r="M522" s="48"/>
      <c r="N522" s="48"/>
      <c r="O522" s="33"/>
      <c r="P522" s="33"/>
      <c r="Q522" s="33"/>
      <c r="R522" s="33"/>
      <c r="S522" s="33"/>
      <c r="T522" s="48"/>
      <c r="U522" s="48"/>
      <c r="V522" s="9"/>
      <c r="W522" s="9"/>
      <c r="X522" s="49"/>
      <c r="Y522" s="9"/>
      <c r="Z522" s="9"/>
      <c r="AA522" s="48"/>
      <c r="AB522" s="48"/>
      <c r="AC522" s="48"/>
      <c r="AD522" s="13"/>
      <c r="AE522" s="13"/>
      <c r="AF522" s="13"/>
      <c r="AG522" s="13"/>
      <c r="AH522" s="13"/>
      <c r="AI522" s="13"/>
      <c r="AJ522" s="13"/>
      <c r="AK522" s="13"/>
      <c r="AL522" s="13"/>
    </row>
    <row r="523" ht="15.75" customHeight="1">
      <c r="A523" s="47"/>
      <c r="B523" s="48"/>
      <c r="C523" s="48"/>
      <c r="D523" s="48"/>
      <c r="E523" s="48"/>
      <c r="F523" s="48"/>
      <c r="G523" s="48"/>
      <c r="H523" s="48"/>
      <c r="I523" s="48"/>
      <c r="J523" s="48"/>
      <c r="K523" s="48"/>
      <c r="L523" s="48"/>
      <c r="M523" s="48"/>
      <c r="N523" s="48"/>
      <c r="O523" s="33"/>
      <c r="P523" s="33"/>
      <c r="Q523" s="33"/>
      <c r="R523" s="33"/>
      <c r="S523" s="33"/>
      <c r="T523" s="48"/>
      <c r="U523" s="48"/>
      <c r="V523" s="9"/>
      <c r="W523" s="9"/>
      <c r="X523" s="49"/>
      <c r="Y523" s="9"/>
      <c r="Z523" s="9"/>
      <c r="AA523" s="48"/>
      <c r="AB523" s="48"/>
      <c r="AC523" s="48"/>
      <c r="AD523" s="13"/>
      <c r="AE523" s="13"/>
      <c r="AF523" s="13"/>
      <c r="AG523" s="13"/>
      <c r="AH523" s="13"/>
      <c r="AI523" s="13"/>
      <c r="AJ523" s="13"/>
      <c r="AK523" s="13"/>
      <c r="AL523" s="13"/>
    </row>
    <row r="524" ht="15.75" customHeight="1">
      <c r="A524" s="47"/>
      <c r="B524" s="48"/>
      <c r="C524" s="48"/>
      <c r="D524" s="48"/>
      <c r="E524" s="48"/>
      <c r="F524" s="48"/>
      <c r="G524" s="48"/>
      <c r="H524" s="48"/>
      <c r="I524" s="48"/>
      <c r="J524" s="48"/>
      <c r="K524" s="48"/>
      <c r="L524" s="48"/>
      <c r="M524" s="48"/>
      <c r="N524" s="48"/>
      <c r="O524" s="33"/>
      <c r="P524" s="33"/>
      <c r="Q524" s="33"/>
      <c r="R524" s="33"/>
      <c r="S524" s="33"/>
      <c r="T524" s="48"/>
      <c r="U524" s="48"/>
      <c r="V524" s="9"/>
      <c r="W524" s="9"/>
      <c r="X524" s="49"/>
      <c r="Y524" s="9"/>
      <c r="Z524" s="9"/>
      <c r="AA524" s="48"/>
      <c r="AB524" s="48"/>
      <c r="AC524" s="48"/>
      <c r="AD524" s="13"/>
      <c r="AE524" s="13"/>
      <c r="AF524" s="13"/>
      <c r="AG524" s="13"/>
      <c r="AH524" s="13"/>
      <c r="AI524" s="13"/>
      <c r="AJ524" s="13"/>
      <c r="AK524" s="13"/>
      <c r="AL524" s="13"/>
    </row>
    <row r="525" ht="15.75" customHeight="1">
      <c r="A525" s="47"/>
      <c r="B525" s="48"/>
      <c r="C525" s="48"/>
      <c r="D525" s="48"/>
      <c r="E525" s="48"/>
      <c r="F525" s="48"/>
      <c r="G525" s="48"/>
      <c r="H525" s="48"/>
      <c r="I525" s="48"/>
      <c r="J525" s="48"/>
      <c r="K525" s="48"/>
      <c r="L525" s="48"/>
      <c r="M525" s="48"/>
      <c r="N525" s="48"/>
      <c r="O525" s="33"/>
      <c r="P525" s="33"/>
      <c r="Q525" s="33"/>
      <c r="R525" s="33"/>
      <c r="S525" s="33"/>
      <c r="T525" s="48"/>
      <c r="U525" s="48"/>
      <c r="V525" s="9"/>
      <c r="W525" s="9"/>
      <c r="X525" s="49"/>
      <c r="Y525" s="9"/>
      <c r="Z525" s="9"/>
      <c r="AA525" s="48"/>
      <c r="AB525" s="48"/>
      <c r="AC525" s="48"/>
      <c r="AD525" s="13"/>
      <c r="AE525" s="13"/>
      <c r="AF525" s="13"/>
      <c r="AG525" s="13"/>
      <c r="AH525" s="13"/>
      <c r="AI525" s="13"/>
      <c r="AJ525" s="13"/>
      <c r="AK525" s="13"/>
      <c r="AL525" s="13"/>
    </row>
    <row r="526" ht="15.75" customHeight="1">
      <c r="A526" s="47"/>
      <c r="B526" s="48"/>
      <c r="C526" s="48"/>
      <c r="D526" s="48"/>
      <c r="E526" s="48"/>
      <c r="F526" s="48"/>
      <c r="G526" s="48"/>
      <c r="H526" s="48"/>
      <c r="I526" s="48"/>
      <c r="J526" s="48"/>
      <c r="K526" s="48"/>
      <c r="L526" s="48"/>
      <c r="M526" s="48"/>
      <c r="N526" s="48"/>
      <c r="O526" s="33"/>
      <c r="P526" s="33"/>
      <c r="Q526" s="33"/>
      <c r="R526" s="33"/>
      <c r="S526" s="33"/>
      <c r="T526" s="48"/>
      <c r="U526" s="48"/>
      <c r="V526" s="9"/>
      <c r="W526" s="9"/>
      <c r="X526" s="49"/>
      <c r="Y526" s="9"/>
      <c r="Z526" s="9"/>
      <c r="AA526" s="48"/>
      <c r="AB526" s="48"/>
      <c r="AC526" s="48"/>
      <c r="AD526" s="13"/>
      <c r="AE526" s="13"/>
      <c r="AF526" s="13"/>
      <c r="AG526" s="13"/>
      <c r="AH526" s="13"/>
      <c r="AI526" s="13"/>
      <c r="AJ526" s="13"/>
      <c r="AK526" s="13"/>
      <c r="AL526" s="13"/>
    </row>
    <row r="527" ht="15.75" customHeight="1">
      <c r="A527" s="47"/>
      <c r="B527" s="48"/>
      <c r="C527" s="48"/>
      <c r="D527" s="48"/>
      <c r="E527" s="48"/>
      <c r="F527" s="48"/>
      <c r="G527" s="48"/>
      <c r="H527" s="48"/>
      <c r="I527" s="48"/>
      <c r="J527" s="48"/>
      <c r="K527" s="48"/>
      <c r="L527" s="48"/>
      <c r="M527" s="48"/>
      <c r="N527" s="48"/>
      <c r="O527" s="33"/>
      <c r="P527" s="33"/>
      <c r="Q527" s="33"/>
      <c r="R527" s="33"/>
      <c r="S527" s="33"/>
      <c r="T527" s="48"/>
      <c r="U527" s="48"/>
      <c r="V527" s="9"/>
      <c r="W527" s="9"/>
      <c r="X527" s="49"/>
      <c r="Y527" s="9"/>
      <c r="Z527" s="9"/>
      <c r="AA527" s="48"/>
      <c r="AB527" s="48"/>
      <c r="AC527" s="48"/>
      <c r="AD527" s="13"/>
      <c r="AE527" s="13"/>
      <c r="AF527" s="13"/>
      <c r="AG527" s="13"/>
      <c r="AH527" s="13"/>
      <c r="AI527" s="13"/>
      <c r="AJ527" s="13"/>
      <c r="AK527" s="13"/>
      <c r="AL527" s="13"/>
    </row>
    <row r="528" ht="15.75" customHeight="1">
      <c r="A528" s="47"/>
      <c r="B528" s="48"/>
      <c r="C528" s="48"/>
      <c r="D528" s="48"/>
      <c r="E528" s="48"/>
      <c r="F528" s="48"/>
      <c r="G528" s="48"/>
      <c r="H528" s="48"/>
      <c r="I528" s="48"/>
      <c r="J528" s="48"/>
      <c r="K528" s="48"/>
      <c r="L528" s="48"/>
      <c r="M528" s="48"/>
      <c r="N528" s="48"/>
      <c r="O528" s="33"/>
      <c r="P528" s="33"/>
      <c r="Q528" s="33"/>
      <c r="R528" s="33"/>
      <c r="S528" s="33"/>
      <c r="T528" s="48"/>
      <c r="U528" s="48"/>
      <c r="V528" s="9"/>
      <c r="W528" s="9"/>
      <c r="X528" s="49"/>
      <c r="Y528" s="9"/>
      <c r="Z528" s="9"/>
      <c r="AA528" s="48"/>
      <c r="AB528" s="48"/>
      <c r="AC528" s="48"/>
      <c r="AD528" s="13"/>
      <c r="AE528" s="13"/>
      <c r="AF528" s="13"/>
      <c r="AG528" s="13"/>
      <c r="AH528" s="13"/>
      <c r="AI528" s="13"/>
      <c r="AJ528" s="13"/>
      <c r="AK528" s="13"/>
      <c r="AL528" s="13"/>
    </row>
    <row r="529" ht="15.75" customHeight="1">
      <c r="A529" s="47"/>
      <c r="B529" s="48"/>
      <c r="C529" s="48"/>
      <c r="D529" s="48"/>
      <c r="E529" s="48"/>
      <c r="F529" s="48"/>
      <c r="G529" s="48"/>
      <c r="H529" s="48"/>
      <c r="I529" s="48"/>
      <c r="J529" s="48"/>
      <c r="K529" s="48"/>
      <c r="L529" s="48"/>
      <c r="M529" s="48"/>
      <c r="N529" s="48"/>
      <c r="O529" s="33"/>
      <c r="P529" s="33"/>
      <c r="Q529" s="33"/>
      <c r="R529" s="33"/>
      <c r="S529" s="33"/>
      <c r="T529" s="48"/>
      <c r="U529" s="48"/>
      <c r="V529" s="9"/>
      <c r="W529" s="9"/>
      <c r="X529" s="49"/>
      <c r="Y529" s="9"/>
      <c r="Z529" s="9"/>
      <c r="AA529" s="48"/>
      <c r="AB529" s="48"/>
      <c r="AC529" s="48"/>
      <c r="AD529" s="13"/>
      <c r="AE529" s="13"/>
      <c r="AF529" s="13"/>
      <c r="AG529" s="13"/>
      <c r="AH529" s="13"/>
      <c r="AI529" s="13"/>
      <c r="AJ529" s="13"/>
      <c r="AK529" s="13"/>
      <c r="AL529" s="13"/>
    </row>
    <row r="530" ht="15.75" customHeight="1">
      <c r="A530" s="47"/>
      <c r="B530" s="48"/>
      <c r="C530" s="48"/>
      <c r="D530" s="48"/>
      <c r="E530" s="48"/>
      <c r="F530" s="48"/>
      <c r="G530" s="48"/>
      <c r="H530" s="48"/>
      <c r="I530" s="48"/>
      <c r="J530" s="48"/>
      <c r="K530" s="48"/>
      <c r="L530" s="48"/>
      <c r="M530" s="48"/>
      <c r="N530" s="48"/>
      <c r="O530" s="33"/>
      <c r="P530" s="33"/>
      <c r="Q530" s="33"/>
      <c r="R530" s="33"/>
      <c r="S530" s="33"/>
      <c r="T530" s="48"/>
      <c r="U530" s="48"/>
      <c r="V530" s="9"/>
      <c r="W530" s="9"/>
      <c r="X530" s="49"/>
      <c r="Y530" s="9"/>
      <c r="Z530" s="9"/>
      <c r="AA530" s="48"/>
      <c r="AB530" s="48"/>
      <c r="AC530" s="48"/>
      <c r="AD530" s="13"/>
      <c r="AE530" s="13"/>
      <c r="AF530" s="13"/>
      <c r="AG530" s="13"/>
      <c r="AH530" s="13"/>
      <c r="AI530" s="13"/>
      <c r="AJ530" s="13"/>
      <c r="AK530" s="13"/>
      <c r="AL530" s="13"/>
    </row>
    <row r="531" ht="15.75" customHeight="1">
      <c r="A531" s="47"/>
      <c r="B531" s="48"/>
      <c r="C531" s="48"/>
      <c r="D531" s="48"/>
      <c r="E531" s="48"/>
      <c r="F531" s="48"/>
      <c r="G531" s="48"/>
      <c r="H531" s="48"/>
      <c r="I531" s="48"/>
      <c r="J531" s="48"/>
      <c r="K531" s="48"/>
      <c r="L531" s="48"/>
      <c r="M531" s="48"/>
      <c r="N531" s="48"/>
      <c r="O531" s="33"/>
      <c r="P531" s="33"/>
      <c r="Q531" s="33"/>
      <c r="R531" s="33"/>
      <c r="S531" s="33"/>
      <c r="T531" s="48"/>
      <c r="U531" s="48"/>
      <c r="V531" s="9"/>
      <c r="W531" s="9"/>
      <c r="X531" s="49"/>
      <c r="Y531" s="9"/>
      <c r="Z531" s="9"/>
      <c r="AA531" s="48"/>
      <c r="AB531" s="48"/>
      <c r="AC531" s="48"/>
      <c r="AD531" s="13"/>
      <c r="AE531" s="13"/>
      <c r="AF531" s="13"/>
      <c r="AG531" s="13"/>
      <c r="AH531" s="13"/>
      <c r="AI531" s="13"/>
      <c r="AJ531" s="13"/>
      <c r="AK531" s="13"/>
      <c r="AL531" s="13"/>
    </row>
    <row r="532" ht="15.75" customHeight="1">
      <c r="A532" s="47"/>
      <c r="B532" s="48"/>
      <c r="C532" s="48"/>
      <c r="D532" s="48"/>
      <c r="E532" s="48"/>
      <c r="F532" s="48"/>
      <c r="G532" s="48"/>
      <c r="H532" s="48"/>
      <c r="I532" s="48"/>
      <c r="J532" s="48"/>
      <c r="K532" s="48"/>
      <c r="L532" s="48"/>
      <c r="M532" s="48"/>
      <c r="N532" s="48"/>
      <c r="O532" s="33"/>
      <c r="P532" s="33"/>
      <c r="Q532" s="33"/>
      <c r="R532" s="33"/>
      <c r="S532" s="33"/>
      <c r="T532" s="48"/>
      <c r="U532" s="48"/>
      <c r="V532" s="9"/>
      <c r="W532" s="9"/>
      <c r="X532" s="49"/>
      <c r="Y532" s="9"/>
      <c r="Z532" s="9"/>
      <c r="AA532" s="48"/>
      <c r="AB532" s="48"/>
      <c r="AC532" s="48"/>
      <c r="AD532" s="13"/>
      <c r="AE532" s="13"/>
      <c r="AF532" s="13"/>
      <c r="AG532" s="13"/>
      <c r="AH532" s="13"/>
      <c r="AI532" s="13"/>
      <c r="AJ532" s="13"/>
      <c r="AK532" s="13"/>
      <c r="AL532" s="13"/>
    </row>
    <row r="533" ht="15.75" customHeight="1">
      <c r="A533" s="47"/>
      <c r="B533" s="48"/>
      <c r="C533" s="48"/>
      <c r="D533" s="48"/>
      <c r="E533" s="48"/>
      <c r="F533" s="48"/>
      <c r="G533" s="48"/>
      <c r="H533" s="48"/>
      <c r="I533" s="48"/>
      <c r="J533" s="48"/>
      <c r="K533" s="48"/>
      <c r="L533" s="48"/>
      <c r="M533" s="48"/>
      <c r="N533" s="48"/>
      <c r="O533" s="33"/>
      <c r="P533" s="33"/>
      <c r="Q533" s="33"/>
      <c r="R533" s="33"/>
      <c r="S533" s="33"/>
      <c r="T533" s="48"/>
      <c r="U533" s="48"/>
      <c r="V533" s="9"/>
      <c r="W533" s="9"/>
      <c r="X533" s="49"/>
      <c r="Y533" s="9"/>
      <c r="Z533" s="9"/>
      <c r="AA533" s="48"/>
      <c r="AB533" s="48"/>
      <c r="AC533" s="48"/>
      <c r="AD533" s="13"/>
      <c r="AE533" s="13"/>
      <c r="AF533" s="13"/>
      <c r="AG533" s="13"/>
      <c r="AH533" s="13"/>
      <c r="AI533" s="13"/>
      <c r="AJ533" s="13"/>
      <c r="AK533" s="13"/>
      <c r="AL533" s="13"/>
    </row>
    <row r="534" ht="15.75" customHeight="1">
      <c r="A534" s="47"/>
      <c r="B534" s="48"/>
      <c r="C534" s="48"/>
      <c r="D534" s="48"/>
      <c r="E534" s="48"/>
      <c r="F534" s="48"/>
      <c r="G534" s="48"/>
      <c r="H534" s="48"/>
      <c r="I534" s="48"/>
      <c r="J534" s="48"/>
      <c r="K534" s="48"/>
      <c r="L534" s="48"/>
      <c r="M534" s="48"/>
      <c r="N534" s="48"/>
      <c r="O534" s="33"/>
      <c r="P534" s="33"/>
      <c r="Q534" s="33"/>
      <c r="R534" s="33"/>
      <c r="S534" s="33"/>
      <c r="T534" s="48"/>
      <c r="U534" s="48"/>
      <c r="V534" s="9"/>
      <c r="W534" s="9"/>
      <c r="X534" s="49"/>
      <c r="Y534" s="9"/>
      <c r="Z534" s="9"/>
      <c r="AA534" s="48"/>
      <c r="AB534" s="48"/>
      <c r="AC534" s="48"/>
      <c r="AD534" s="13"/>
      <c r="AE534" s="13"/>
      <c r="AF534" s="13"/>
      <c r="AG534" s="13"/>
      <c r="AH534" s="13"/>
      <c r="AI534" s="13"/>
      <c r="AJ534" s="13"/>
      <c r="AK534" s="13"/>
      <c r="AL534" s="13"/>
    </row>
    <row r="535" ht="15.75" customHeight="1">
      <c r="A535" s="47"/>
      <c r="B535" s="48"/>
      <c r="C535" s="48"/>
      <c r="D535" s="48"/>
      <c r="E535" s="48"/>
      <c r="F535" s="48"/>
      <c r="G535" s="48"/>
      <c r="H535" s="48"/>
      <c r="I535" s="48"/>
      <c r="J535" s="48"/>
      <c r="K535" s="48"/>
      <c r="L535" s="48"/>
      <c r="M535" s="48"/>
      <c r="N535" s="48"/>
      <c r="O535" s="33"/>
      <c r="P535" s="33"/>
      <c r="Q535" s="33"/>
      <c r="R535" s="33"/>
      <c r="S535" s="33"/>
      <c r="T535" s="48"/>
      <c r="U535" s="48"/>
      <c r="V535" s="9"/>
      <c r="W535" s="9"/>
      <c r="X535" s="49"/>
      <c r="Y535" s="9"/>
      <c r="Z535" s="9"/>
      <c r="AA535" s="48"/>
      <c r="AB535" s="48"/>
      <c r="AC535" s="48"/>
      <c r="AD535" s="13"/>
      <c r="AE535" s="13"/>
      <c r="AF535" s="13"/>
      <c r="AG535" s="13"/>
      <c r="AH535" s="13"/>
      <c r="AI535" s="13"/>
      <c r="AJ535" s="13"/>
      <c r="AK535" s="13"/>
      <c r="AL535" s="13"/>
    </row>
    <row r="536" ht="15.75" customHeight="1">
      <c r="A536" s="47"/>
      <c r="B536" s="48"/>
      <c r="C536" s="48"/>
      <c r="D536" s="48"/>
      <c r="E536" s="48"/>
      <c r="F536" s="48"/>
      <c r="G536" s="48"/>
      <c r="H536" s="48"/>
      <c r="I536" s="48"/>
      <c r="J536" s="48"/>
      <c r="K536" s="48"/>
      <c r="L536" s="48"/>
      <c r="M536" s="48"/>
      <c r="N536" s="48"/>
      <c r="O536" s="33"/>
      <c r="P536" s="33"/>
      <c r="Q536" s="33"/>
      <c r="R536" s="33"/>
      <c r="S536" s="33"/>
      <c r="T536" s="48"/>
      <c r="U536" s="48"/>
      <c r="V536" s="9"/>
      <c r="W536" s="9"/>
      <c r="X536" s="49"/>
      <c r="Y536" s="9"/>
      <c r="Z536" s="9"/>
      <c r="AA536" s="48"/>
      <c r="AB536" s="48"/>
      <c r="AC536" s="48"/>
      <c r="AD536" s="13"/>
      <c r="AE536" s="13"/>
      <c r="AF536" s="13"/>
      <c r="AG536" s="13"/>
      <c r="AH536" s="13"/>
      <c r="AI536" s="13"/>
      <c r="AJ536" s="13"/>
      <c r="AK536" s="13"/>
      <c r="AL536" s="13"/>
    </row>
    <row r="537" ht="15.75" customHeight="1">
      <c r="A537" s="47"/>
      <c r="B537" s="48"/>
      <c r="C537" s="48"/>
      <c r="D537" s="48"/>
      <c r="E537" s="48"/>
      <c r="F537" s="48"/>
      <c r="G537" s="48"/>
      <c r="H537" s="48"/>
      <c r="I537" s="48"/>
      <c r="J537" s="48"/>
      <c r="K537" s="48"/>
      <c r="L537" s="48"/>
      <c r="M537" s="48"/>
      <c r="N537" s="48"/>
      <c r="O537" s="33"/>
      <c r="P537" s="33"/>
      <c r="Q537" s="33"/>
      <c r="R537" s="33"/>
      <c r="S537" s="33"/>
      <c r="T537" s="48"/>
      <c r="U537" s="48"/>
      <c r="V537" s="9"/>
      <c r="W537" s="9"/>
      <c r="X537" s="49"/>
      <c r="Y537" s="9"/>
      <c r="Z537" s="9"/>
      <c r="AA537" s="48"/>
      <c r="AB537" s="48"/>
      <c r="AC537" s="48"/>
      <c r="AD537" s="13"/>
      <c r="AE537" s="13"/>
      <c r="AF537" s="13"/>
      <c r="AG537" s="13"/>
      <c r="AH537" s="13"/>
      <c r="AI537" s="13"/>
      <c r="AJ537" s="13"/>
      <c r="AK537" s="13"/>
      <c r="AL537" s="13"/>
    </row>
    <row r="538" ht="15.75" customHeight="1">
      <c r="A538" s="47"/>
      <c r="B538" s="48"/>
      <c r="C538" s="48"/>
      <c r="D538" s="48"/>
      <c r="E538" s="48"/>
      <c r="F538" s="48"/>
      <c r="G538" s="48"/>
      <c r="H538" s="48"/>
      <c r="I538" s="48"/>
      <c r="J538" s="48"/>
      <c r="K538" s="48"/>
      <c r="L538" s="48"/>
      <c r="M538" s="48"/>
      <c r="N538" s="48"/>
      <c r="O538" s="33"/>
      <c r="P538" s="33"/>
      <c r="Q538" s="33"/>
      <c r="R538" s="33"/>
      <c r="S538" s="33"/>
      <c r="T538" s="48"/>
      <c r="U538" s="48"/>
      <c r="V538" s="9"/>
      <c r="W538" s="9"/>
      <c r="X538" s="49"/>
      <c r="Y538" s="9"/>
      <c r="Z538" s="9"/>
      <c r="AA538" s="48"/>
      <c r="AB538" s="48"/>
      <c r="AC538" s="48"/>
      <c r="AD538" s="13"/>
      <c r="AE538" s="13"/>
      <c r="AF538" s="13"/>
      <c r="AG538" s="13"/>
      <c r="AH538" s="13"/>
      <c r="AI538" s="13"/>
      <c r="AJ538" s="13"/>
      <c r="AK538" s="13"/>
      <c r="AL538" s="13"/>
    </row>
    <row r="539" ht="15.75" customHeight="1">
      <c r="A539" s="47"/>
      <c r="B539" s="48"/>
      <c r="C539" s="48"/>
      <c r="D539" s="48"/>
      <c r="E539" s="48"/>
      <c r="F539" s="48"/>
      <c r="G539" s="48"/>
      <c r="H539" s="48"/>
      <c r="I539" s="48"/>
      <c r="J539" s="48"/>
      <c r="K539" s="48"/>
      <c r="L539" s="48"/>
      <c r="M539" s="48"/>
      <c r="N539" s="48"/>
      <c r="O539" s="33"/>
      <c r="P539" s="33"/>
      <c r="Q539" s="33"/>
      <c r="R539" s="33"/>
      <c r="S539" s="33"/>
      <c r="T539" s="48"/>
      <c r="U539" s="48"/>
      <c r="V539" s="9"/>
      <c r="W539" s="9"/>
      <c r="X539" s="49"/>
      <c r="Y539" s="9"/>
      <c r="Z539" s="9"/>
      <c r="AA539" s="48"/>
      <c r="AB539" s="48"/>
      <c r="AC539" s="48"/>
      <c r="AD539" s="13"/>
      <c r="AE539" s="13"/>
      <c r="AF539" s="13"/>
      <c r="AG539" s="13"/>
      <c r="AH539" s="13"/>
      <c r="AI539" s="13"/>
      <c r="AJ539" s="13"/>
      <c r="AK539" s="13"/>
      <c r="AL539" s="13"/>
    </row>
    <row r="540" ht="15.75" customHeight="1">
      <c r="A540" s="47"/>
      <c r="B540" s="48"/>
      <c r="C540" s="48"/>
      <c r="D540" s="48"/>
      <c r="E540" s="48"/>
      <c r="F540" s="48"/>
      <c r="G540" s="48"/>
      <c r="H540" s="48"/>
      <c r="I540" s="48"/>
      <c r="J540" s="48"/>
      <c r="K540" s="48"/>
      <c r="L540" s="48"/>
      <c r="M540" s="48"/>
      <c r="N540" s="48"/>
      <c r="O540" s="33"/>
      <c r="P540" s="33"/>
      <c r="Q540" s="33"/>
      <c r="R540" s="33"/>
      <c r="S540" s="33"/>
      <c r="T540" s="48"/>
      <c r="U540" s="48"/>
      <c r="V540" s="9"/>
      <c r="W540" s="9"/>
      <c r="X540" s="49"/>
      <c r="Y540" s="9"/>
      <c r="Z540" s="9"/>
      <c r="AA540" s="48"/>
      <c r="AB540" s="48"/>
      <c r="AC540" s="48"/>
      <c r="AD540" s="13"/>
      <c r="AE540" s="13"/>
      <c r="AF540" s="13"/>
      <c r="AG540" s="13"/>
      <c r="AH540" s="13"/>
      <c r="AI540" s="13"/>
      <c r="AJ540" s="13"/>
      <c r="AK540" s="13"/>
      <c r="AL540" s="13"/>
    </row>
    <row r="541" ht="15.75" customHeight="1">
      <c r="A541" s="47"/>
      <c r="B541" s="48"/>
      <c r="C541" s="48"/>
      <c r="D541" s="48"/>
      <c r="E541" s="48"/>
      <c r="F541" s="48"/>
      <c r="G541" s="48"/>
      <c r="H541" s="48"/>
      <c r="I541" s="48"/>
      <c r="J541" s="48"/>
      <c r="K541" s="48"/>
      <c r="L541" s="48"/>
      <c r="M541" s="48"/>
      <c r="N541" s="48"/>
      <c r="O541" s="33"/>
      <c r="P541" s="33"/>
      <c r="Q541" s="33"/>
      <c r="R541" s="33"/>
      <c r="S541" s="33"/>
      <c r="T541" s="48"/>
      <c r="U541" s="48"/>
      <c r="V541" s="9"/>
      <c r="W541" s="9"/>
      <c r="X541" s="49"/>
      <c r="Y541" s="9"/>
      <c r="Z541" s="9"/>
      <c r="AA541" s="48"/>
      <c r="AB541" s="48"/>
      <c r="AC541" s="48"/>
      <c r="AD541" s="13"/>
      <c r="AE541" s="13"/>
      <c r="AF541" s="13"/>
      <c r="AG541" s="13"/>
      <c r="AH541" s="13"/>
      <c r="AI541" s="13"/>
      <c r="AJ541" s="13"/>
      <c r="AK541" s="13"/>
      <c r="AL541" s="13"/>
    </row>
    <row r="542" ht="15.75" customHeight="1">
      <c r="A542" s="47"/>
      <c r="B542" s="48"/>
      <c r="C542" s="48"/>
      <c r="D542" s="48"/>
      <c r="E542" s="48"/>
      <c r="F542" s="48"/>
      <c r="G542" s="48"/>
      <c r="H542" s="48"/>
      <c r="I542" s="48"/>
      <c r="J542" s="48"/>
      <c r="K542" s="48"/>
      <c r="L542" s="48"/>
      <c r="M542" s="48"/>
      <c r="N542" s="48"/>
      <c r="O542" s="33"/>
      <c r="P542" s="33"/>
      <c r="Q542" s="33"/>
      <c r="R542" s="33"/>
      <c r="S542" s="33"/>
      <c r="T542" s="48"/>
      <c r="U542" s="48"/>
      <c r="V542" s="9"/>
      <c r="W542" s="9"/>
      <c r="X542" s="49"/>
      <c r="Y542" s="9"/>
      <c r="Z542" s="9"/>
      <c r="AA542" s="48"/>
      <c r="AB542" s="48"/>
      <c r="AC542" s="48"/>
      <c r="AD542" s="13"/>
      <c r="AE542" s="13"/>
      <c r="AF542" s="13"/>
      <c r="AG542" s="13"/>
      <c r="AH542" s="13"/>
      <c r="AI542" s="13"/>
      <c r="AJ542" s="13"/>
      <c r="AK542" s="13"/>
      <c r="AL542" s="13"/>
    </row>
    <row r="543" ht="15.75" customHeight="1">
      <c r="A543" s="47"/>
      <c r="B543" s="48"/>
      <c r="C543" s="48"/>
      <c r="D543" s="48"/>
      <c r="E543" s="48"/>
      <c r="F543" s="48"/>
      <c r="G543" s="48"/>
      <c r="H543" s="48"/>
      <c r="I543" s="48"/>
      <c r="J543" s="48"/>
      <c r="K543" s="48"/>
      <c r="L543" s="48"/>
      <c r="M543" s="48"/>
      <c r="N543" s="48"/>
      <c r="O543" s="33"/>
      <c r="P543" s="33"/>
      <c r="Q543" s="33"/>
      <c r="R543" s="33"/>
      <c r="S543" s="33"/>
      <c r="T543" s="48"/>
      <c r="U543" s="48"/>
      <c r="V543" s="9"/>
      <c r="W543" s="9"/>
      <c r="X543" s="49"/>
      <c r="Y543" s="9"/>
      <c r="Z543" s="9"/>
      <c r="AA543" s="48"/>
      <c r="AB543" s="48"/>
      <c r="AC543" s="48"/>
      <c r="AD543" s="13"/>
      <c r="AE543" s="13"/>
      <c r="AF543" s="13"/>
      <c r="AG543" s="13"/>
      <c r="AH543" s="13"/>
      <c r="AI543" s="13"/>
      <c r="AJ543" s="13"/>
      <c r="AK543" s="13"/>
      <c r="AL543" s="13"/>
    </row>
    <row r="544" ht="15.75" customHeight="1">
      <c r="A544" s="47"/>
      <c r="B544" s="48"/>
      <c r="C544" s="48"/>
      <c r="D544" s="48"/>
      <c r="E544" s="48"/>
      <c r="F544" s="48"/>
      <c r="G544" s="48"/>
      <c r="H544" s="48"/>
      <c r="I544" s="48"/>
      <c r="J544" s="48"/>
      <c r="K544" s="48"/>
      <c r="L544" s="48"/>
      <c r="M544" s="48"/>
      <c r="N544" s="48"/>
      <c r="O544" s="33"/>
      <c r="P544" s="33"/>
      <c r="Q544" s="33"/>
      <c r="R544" s="33"/>
      <c r="S544" s="33"/>
      <c r="T544" s="48"/>
      <c r="U544" s="48"/>
      <c r="V544" s="9"/>
      <c r="W544" s="9"/>
      <c r="X544" s="49"/>
      <c r="Y544" s="9"/>
      <c r="Z544" s="9"/>
      <c r="AA544" s="48"/>
      <c r="AB544" s="48"/>
      <c r="AC544" s="48"/>
      <c r="AD544" s="13"/>
      <c r="AE544" s="13"/>
      <c r="AF544" s="13"/>
      <c r="AG544" s="13"/>
      <c r="AH544" s="13"/>
      <c r="AI544" s="13"/>
      <c r="AJ544" s="13"/>
      <c r="AK544" s="13"/>
      <c r="AL544" s="13"/>
    </row>
    <row r="545" ht="15.75" customHeight="1">
      <c r="A545" s="47"/>
      <c r="B545" s="48"/>
      <c r="C545" s="48"/>
      <c r="D545" s="48"/>
      <c r="E545" s="48"/>
      <c r="F545" s="48"/>
      <c r="G545" s="48"/>
      <c r="H545" s="48"/>
      <c r="I545" s="48"/>
      <c r="J545" s="48"/>
      <c r="K545" s="48"/>
      <c r="L545" s="48"/>
      <c r="M545" s="48"/>
      <c r="N545" s="48"/>
      <c r="O545" s="33"/>
      <c r="P545" s="33"/>
      <c r="Q545" s="33"/>
      <c r="R545" s="33"/>
      <c r="S545" s="33"/>
      <c r="T545" s="48"/>
      <c r="U545" s="48"/>
      <c r="V545" s="9"/>
      <c r="W545" s="9"/>
      <c r="X545" s="49"/>
      <c r="Y545" s="9"/>
      <c r="Z545" s="9"/>
      <c r="AA545" s="48"/>
      <c r="AB545" s="48"/>
      <c r="AC545" s="48"/>
      <c r="AD545" s="13"/>
      <c r="AE545" s="13"/>
      <c r="AF545" s="13"/>
      <c r="AG545" s="13"/>
      <c r="AH545" s="13"/>
      <c r="AI545" s="13"/>
      <c r="AJ545" s="13"/>
      <c r="AK545" s="13"/>
      <c r="AL545" s="13"/>
    </row>
    <row r="546" ht="15.75" customHeight="1">
      <c r="A546" s="47"/>
      <c r="B546" s="48"/>
      <c r="C546" s="48"/>
      <c r="D546" s="48"/>
      <c r="E546" s="48"/>
      <c r="F546" s="48"/>
      <c r="G546" s="48"/>
      <c r="H546" s="48"/>
      <c r="I546" s="48"/>
      <c r="J546" s="48"/>
      <c r="K546" s="48"/>
      <c r="L546" s="48"/>
      <c r="M546" s="48"/>
      <c r="N546" s="48"/>
      <c r="O546" s="33"/>
      <c r="P546" s="33"/>
      <c r="Q546" s="33"/>
      <c r="R546" s="33"/>
      <c r="S546" s="33"/>
      <c r="T546" s="48"/>
      <c r="U546" s="48"/>
      <c r="V546" s="9"/>
      <c r="W546" s="9"/>
      <c r="X546" s="49"/>
      <c r="Y546" s="9"/>
      <c r="Z546" s="9"/>
      <c r="AA546" s="48"/>
      <c r="AB546" s="48"/>
      <c r="AC546" s="48"/>
      <c r="AD546" s="13"/>
      <c r="AE546" s="13"/>
      <c r="AF546" s="13"/>
      <c r="AG546" s="13"/>
      <c r="AH546" s="13"/>
      <c r="AI546" s="13"/>
      <c r="AJ546" s="13"/>
      <c r="AK546" s="13"/>
      <c r="AL546" s="13"/>
    </row>
    <row r="547" ht="15.75" customHeight="1">
      <c r="A547" s="47"/>
      <c r="B547" s="48"/>
      <c r="C547" s="48"/>
      <c r="D547" s="48"/>
      <c r="E547" s="48"/>
      <c r="F547" s="48"/>
      <c r="G547" s="48"/>
      <c r="H547" s="48"/>
      <c r="I547" s="48"/>
      <c r="J547" s="48"/>
      <c r="K547" s="48"/>
      <c r="L547" s="48"/>
      <c r="M547" s="48"/>
      <c r="N547" s="48"/>
      <c r="O547" s="33"/>
      <c r="P547" s="33"/>
      <c r="Q547" s="33"/>
      <c r="R547" s="33"/>
      <c r="S547" s="33"/>
      <c r="T547" s="48"/>
      <c r="U547" s="48"/>
      <c r="V547" s="9"/>
      <c r="W547" s="9"/>
      <c r="X547" s="49"/>
      <c r="Y547" s="9"/>
      <c r="Z547" s="9"/>
      <c r="AA547" s="48"/>
      <c r="AB547" s="48"/>
      <c r="AC547" s="48"/>
      <c r="AD547" s="13"/>
      <c r="AE547" s="13"/>
      <c r="AF547" s="13"/>
      <c r="AG547" s="13"/>
      <c r="AH547" s="13"/>
      <c r="AI547" s="13"/>
      <c r="AJ547" s="13"/>
      <c r="AK547" s="13"/>
      <c r="AL547" s="13"/>
    </row>
    <row r="548" ht="15.75" customHeight="1">
      <c r="A548" s="47"/>
      <c r="B548" s="48"/>
      <c r="C548" s="48"/>
      <c r="D548" s="48"/>
      <c r="E548" s="48"/>
      <c r="F548" s="48"/>
      <c r="G548" s="48"/>
      <c r="H548" s="48"/>
      <c r="I548" s="48"/>
      <c r="J548" s="48"/>
      <c r="K548" s="48"/>
      <c r="L548" s="48"/>
      <c r="M548" s="48"/>
      <c r="N548" s="48"/>
      <c r="O548" s="33"/>
      <c r="P548" s="33"/>
      <c r="Q548" s="33"/>
      <c r="R548" s="33"/>
      <c r="S548" s="33"/>
      <c r="T548" s="48"/>
      <c r="U548" s="48"/>
      <c r="V548" s="9"/>
      <c r="W548" s="9"/>
      <c r="X548" s="49"/>
      <c r="Y548" s="9"/>
      <c r="Z548" s="9"/>
      <c r="AA548" s="48"/>
      <c r="AB548" s="48"/>
      <c r="AC548" s="48"/>
      <c r="AD548" s="13"/>
      <c r="AE548" s="13"/>
      <c r="AF548" s="13"/>
      <c r="AG548" s="13"/>
      <c r="AH548" s="13"/>
      <c r="AI548" s="13"/>
      <c r="AJ548" s="13"/>
      <c r="AK548" s="13"/>
      <c r="AL548" s="13"/>
    </row>
    <row r="549" ht="15.75" customHeight="1">
      <c r="A549" s="47"/>
      <c r="B549" s="48"/>
      <c r="C549" s="48"/>
      <c r="D549" s="48"/>
      <c r="E549" s="48"/>
      <c r="F549" s="48"/>
      <c r="G549" s="48"/>
      <c r="H549" s="48"/>
      <c r="I549" s="48"/>
      <c r="J549" s="48"/>
      <c r="K549" s="48"/>
      <c r="L549" s="48"/>
      <c r="M549" s="48"/>
      <c r="N549" s="48"/>
      <c r="O549" s="33"/>
      <c r="P549" s="33"/>
      <c r="Q549" s="33"/>
      <c r="R549" s="33"/>
      <c r="S549" s="33"/>
      <c r="T549" s="48"/>
      <c r="U549" s="48"/>
      <c r="V549" s="9"/>
      <c r="W549" s="9"/>
      <c r="X549" s="49"/>
      <c r="Y549" s="9"/>
      <c r="Z549" s="9"/>
      <c r="AA549" s="48"/>
      <c r="AB549" s="48"/>
      <c r="AC549" s="48"/>
      <c r="AD549" s="13"/>
      <c r="AE549" s="13"/>
      <c r="AF549" s="13"/>
      <c r="AG549" s="13"/>
      <c r="AH549" s="13"/>
      <c r="AI549" s="13"/>
      <c r="AJ549" s="13"/>
      <c r="AK549" s="13"/>
      <c r="AL549" s="13"/>
    </row>
    <row r="550" ht="15.75" customHeight="1">
      <c r="A550" s="47"/>
      <c r="B550" s="48"/>
      <c r="C550" s="48"/>
      <c r="D550" s="48"/>
      <c r="E550" s="48"/>
      <c r="F550" s="48"/>
      <c r="G550" s="48"/>
      <c r="H550" s="48"/>
      <c r="I550" s="48"/>
      <c r="J550" s="48"/>
      <c r="K550" s="48"/>
      <c r="L550" s="48"/>
      <c r="M550" s="48"/>
      <c r="N550" s="48"/>
      <c r="O550" s="33"/>
      <c r="P550" s="33"/>
      <c r="Q550" s="33"/>
      <c r="R550" s="33"/>
      <c r="S550" s="33"/>
      <c r="T550" s="48"/>
      <c r="U550" s="48"/>
      <c r="V550" s="9"/>
      <c r="W550" s="9"/>
      <c r="X550" s="49"/>
      <c r="Y550" s="9"/>
      <c r="Z550" s="9"/>
      <c r="AA550" s="48"/>
      <c r="AB550" s="48"/>
      <c r="AC550" s="48"/>
      <c r="AD550" s="13"/>
      <c r="AE550" s="13"/>
      <c r="AF550" s="13"/>
      <c r="AG550" s="13"/>
      <c r="AH550" s="13"/>
      <c r="AI550" s="13"/>
      <c r="AJ550" s="13"/>
      <c r="AK550" s="13"/>
      <c r="AL550" s="13"/>
    </row>
    <row r="551" ht="15.75" customHeight="1">
      <c r="A551" s="47"/>
      <c r="B551" s="48"/>
      <c r="C551" s="48"/>
      <c r="D551" s="48"/>
      <c r="E551" s="48"/>
      <c r="F551" s="48"/>
      <c r="G551" s="48"/>
      <c r="H551" s="48"/>
      <c r="I551" s="48"/>
      <c r="J551" s="48"/>
      <c r="K551" s="48"/>
      <c r="L551" s="48"/>
      <c r="M551" s="48"/>
      <c r="N551" s="48"/>
      <c r="O551" s="33"/>
      <c r="P551" s="33"/>
      <c r="Q551" s="33"/>
      <c r="R551" s="33"/>
      <c r="S551" s="33"/>
      <c r="T551" s="48"/>
      <c r="U551" s="48"/>
      <c r="V551" s="9"/>
      <c r="W551" s="9"/>
      <c r="X551" s="49"/>
      <c r="Y551" s="9"/>
      <c r="Z551" s="9"/>
      <c r="AA551" s="48"/>
      <c r="AB551" s="48"/>
      <c r="AC551" s="48"/>
      <c r="AD551" s="13"/>
      <c r="AE551" s="13"/>
      <c r="AF551" s="13"/>
      <c r="AG551" s="13"/>
      <c r="AH551" s="13"/>
      <c r="AI551" s="13"/>
      <c r="AJ551" s="13"/>
      <c r="AK551" s="13"/>
      <c r="AL551" s="13"/>
    </row>
    <row r="552" ht="15.75" customHeight="1">
      <c r="A552" s="47"/>
      <c r="B552" s="48"/>
      <c r="C552" s="48"/>
      <c r="D552" s="48"/>
      <c r="E552" s="48"/>
      <c r="F552" s="48"/>
      <c r="G552" s="48"/>
      <c r="H552" s="48"/>
      <c r="I552" s="48"/>
      <c r="J552" s="48"/>
      <c r="K552" s="48"/>
      <c r="L552" s="48"/>
      <c r="M552" s="48"/>
      <c r="N552" s="48"/>
      <c r="O552" s="33"/>
      <c r="P552" s="33"/>
      <c r="Q552" s="33"/>
      <c r="R552" s="33"/>
      <c r="S552" s="33"/>
      <c r="T552" s="48"/>
      <c r="U552" s="48"/>
      <c r="V552" s="9"/>
      <c r="W552" s="9"/>
      <c r="X552" s="49"/>
      <c r="Y552" s="9"/>
      <c r="Z552" s="9"/>
      <c r="AA552" s="48"/>
      <c r="AB552" s="48"/>
      <c r="AC552" s="48"/>
      <c r="AD552" s="13"/>
      <c r="AE552" s="13"/>
      <c r="AF552" s="13"/>
      <c r="AG552" s="13"/>
      <c r="AH552" s="13"/>
      <c r="AI552" s="13"/>
      <c r="AJ552" s="13"/>
      <c r="AK552" s="13"/>
      <c r="AL552" s="13"/>
    </row>
    <row r="553" ht="15.75" customHeight="1">
      <c r="A553" s="47"/>
      <c r="B553" s="48"/>
      <c r="C553" s="48"/>
      <c r="D553" s="48"/>
      <c r="E553" s="48"/>
      <c r="F553" s="48"/>
      <c r="G553" s="48"/>
      <c r="H553" s="48"/>
      <c r="I553" s="48"/>
      <c r="J553" s="48"/>
      <c r="K553" s="48"/>
      <c r="L553" s="48"/>
      <c r="M553" s="48"/>
      <c r="N553" s="48"/>
      <c r="O553" s="33"/>
      <c r="P553" s="33"/>
      <c r="Q553" s="33"/>
      <c r="R553" s="33"/>
      <c r="S553" s="33"/>
      <c r="T553" s="48"/>
      <c r="U553" s="48"/>
      <c r="V553" s="9"/>
      <c r="W553" s="9"/>
      <c r="X553" s="49"/>
      <c r="Y553" s="9"/>
      <c r="Z553" s="9"/>
      <c r="AA553" s="48"/>
      <c r="AB553" s="48"/>
      <c r="AC553" s="48"/>
      <c r="AD553" s="13"/>
      <c r="AE553" s="13"/>
      <c r="AF553" s="13"/>
      <c r="AG553" s="13"/>
      <c r="AH553" s="13"/>
      <c r="AI553" s="13"/>
      <c r="AJ553" s="13"/>
      <c r="AK553" s="13"/>
      <c r="AL553" s="13"/>
    </row>
    <row r="554" ht="15.75" customHeight="1">
      <c r="A554" s="47"/>
      <c r="B554" s="48"/>
      <c r="C554" s="48"/>
      <c r="D554" s="48"/>
      <c r="E554" s="48"/>
      <c r="F554" s="48"/>
      <c r="G554" s="48"/>
      <c r="H554" s="48"/>
      <c r="I554" s="48"/>
      <c r="J554" s="48"/>
      <c r="K554" s="48"/>
      <c r="L554" s="48"/>
      <c r="M554" s="48"/>
      <c r="N554" s="48"/>
      <c r="O554" s="33"/>
      <c r="P554" s="33"/>
      <c r="Q554" s="33"/>
      <c r="R554" s="33"/>
      <c r="S554" s="33"/>
      <c r="T554" s="48"/>
      <c r="U554" s="48"/>
      <c r="V554" s="9"/>
      <c r="W554" s="9"/>
      <c r="X554" s="49"/>
      <c r="Y554" s="9"/>
      <c r="Z554" s="9"/>
      <c r="AA554" s="48"/>
      <c r="AB554" s="48"/>
      <c r="AC554" s="48"/>
      <c r="AD554" s="13"/>
      <c r="AE554" s="13"/>
      <c r="AF554" s="13"/>
      <c r="AG554" s="13"/>
      <c r="AH554" s="13"/>
      <c r="AI554" s="13"/>
      <c r="AJ554" s="13"/>
      <c r="AK554" s="13"/>
      <c r="AL554" s="13"/>
    </row>
    <row r="555" ht="15.75" customHeight="1">
      <c r="A555" s="47"/>
      <c r="B555" s="48"/>
      <c r="C555" s="48"/>
      <c r="D555" s="48"/>
      <c r="E555" s="48"/>
      <c r="F555" s="48"/>
      <c r="G555" s="48"/>
      <c r="H555" s="48"/>
      <c r="I555" s="48"/>
      <c r="J555" s="48"/>
      <c r="K555" s="48"/>
      <c r="L555" s="48"/>
      <c r="M555" s="48"/>
      <c r="N555" s="48"/>
      <c r="O555" s="33"/>
      <c r="P555" s="33"/>
      <c r="Q555" s="33"/>
      <c r="R555" s="33"/>
      <c r="S555" s="33"/>
      <c r="T555" s="48"/>
      <c r="U555" s="48"/>
      <c r="V555" s="9"/>
      <c r="W555" s="9"/>
      <c r="X555" s="49"/>
      <c r="Y555" s="9"/>
      <c r="Z555" s="9"/>
      <c r="AA555" s="48"/>
      <c r="AB555" s="48"/>
      <c r="AC555" s="48"/>
      <c r="AD555" s="13"/>
      <c r="AE555" s="13"/>
      <c r="AF555" s="13"/>
      <c r="AG555" s="13"/>
      <c r="AH555" s="13"/>
      <c r="AI555" s="13"/>
      <c r="AJ555" s="13"/>
      <c r="AK555" s="13"/>
      <c r="AL555" s="13"/>
    </row>
    <row r="556" ht="15.75" customHeight="1">
      <c r="A556" s="47"/>
      <c r="B556" s="48"/>
      <c r="C556" s="48"/>
      <c r="D556" s="48"/>
      <c r="E556" s="48"/>
      <c r="F556" s="48"/>
      <c r="G556" s="48"/>
      <c r="H556" s="48"/>
      <c r="I556" s="48"/>
      <c r="J556" s="48"/>
      <c r="K556" s="48"/>
      <c r="L556" s="48"/>
      <c r="M556" s="48"/>
      <c r="N556" s="48"/>
      <c r="O556" s="33"/>
      <c r="P556" s="33"/>
      <c r="Q556" s="33"/>
      <c r="R556" s="33"/>
      <c r="S556" s="33"/>
      <c r="T556" s="48"/>
      <c r="U556" s="48"/>
      <c r="V556" s="9"/>
      <c r="W556" s="9"/>
      <c r="X556" s="49"/>
      <c r="Y556" s="9"/>
      <c r="Z556" s="9"/>
      <c r="AA556" s="48"/>
      <c r="AB556" s="48"/>
      <c r="AC556" s="48"/>
      <c r="AD556" s="13"/>
      <c r="AE556" s="13"/>
      <c r="AF556" s="13"/>
      <c r="AG556" s="13"/>
      <c r="AH556" s="13"/>
      <c r="AI556" s="13"/>
      <c r="AJ556" s="13"/>
      <c r="AK556" s="13"/>
      <c r="AL556" s="13"/>
    </row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C2:H2"/>
    <mergeCell ref="I2:N2"/>
    <mergeCell ref="C1:N1"/>
    <mergeCell ref="O1:T1"/>
    <mergeCell ref="U1:X1"/>
    <mergeCell ref="Y1:Y3"/>
    <mergeCell ref="AA1:AC1"/>
    <mergeCell ref="A2:A3"/>
    <mergeCell ref="B2:B3"/>
    <mergeCell ref="O2:T2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.25"/>
    <col customWidth="1" min="2" max="2" width="12.63"/>
    <col customWidth="1" min="3" max="4" width="8.25"/>
    <col customWidth="1" min="5" max="5" width="9.0"/>
    <col customWidth="1" min="6" max="6" width="7.5"/>
    <col customWidth="1" min="7" max="7" width="6.63"/>
    <col customWidth="1" min="8" max="8" width="6.0"/>
    <col customWidth="1" min="9" max="9" width="5.13"/>
    <col customWidth="1" min="10" max="10" width="9.0"/>
    <col customWidth="1" min="11" max="11" width="8.38"/>
    <col customWidth="1" min="12" max="12" width="8.88"/>
    <col customWidth="1" min="13" max="13" width="6.25"/>
    <col customWidth="1" min="14" max="14" width="5.63"/>
  </cols>
  <sheetData>
    <row r="1" ht="15.75" customHeight="1">
      <c r="A1" s="1"/>
      <c r="B1" s="2"/>
      <c r="C1" s="3" t="s">
        <v>0</v>
      </c>
      <c r="D1" s="4"/>
      <c r="E1" s="4"/>
      <c r="F1" s="4"/>
      <c r="G1" s="4"/>
      <c r="H1" s="4"/>
      <c r="I1" s="4"/>
      <c r="J1" s="4"/>
      <c r="K1" s="4"/>
      <c r="L1" s="4"/>
      <c r="M1" s="4"/>
      <c r="N1" s="5"/>
      <c r="O1" s="53" t="s">
        <v>2</v>
      </c>
      <c r="P1" s="4"/>
      <c r="Q1" s="4"/>
      <c r="R1" s="5"/>
      <c r="S1" s="54" t="s">
        <v>3</v>
      </c>
    </row>
    <row r="2" ht="15.75" customHeight="1">
      <c r="A2" s="14" t="s">
        <v>5</v>
      </c>
      <c r="B2" s="15" t="s">
        <v>6</v>
      </c>
      <c r="C2" s="3">
        <v>2012.0</v>
      </c>
      <c r="D2" s="4"/>
      <c r="E2" s="4"/>
      <c r="F2" s="4"/>
      <c r="G2" s="4"/>
      <c r="H2" s="5"/>
      <c r="I2" s="3">
        <v>2024.0</v>
      </c>
      <c r="J2" s="4"/>
      <c r="K2" s="4"/>
      <c r="L2" s="4"/>
      <c r="M2" s="4"/>
      <c r="N2" s="5"/>
      <c r="O2" s="2"/>
      <c r="P2" s="2"/>
      <c r="Q2" s="2"/>
      <c r="R2" s="2"/>
      <c r="S2" s="17"/>
    </row>
    <row r="3" ht="15.75" customHeight="1">
      <c r="A3" s="21"/>
      <c r="B3" s="21"/>
      <c r="C3" s="22" t="s">
        <v>8</v>
      </c>
      <c r="D3" s="22" t="s">
        <v>9</v>
      </c>
      <c r="E3" s="22" t="s">
        <v>10</v>
      </c>
      <c r="F3" s="22" t="s">
        <v>11</v>
      </c>
      <c r="G3" s="22" t="s">
        <v>12</v>
      </c>
      <c r="H3" s="22" t="s">
        <v>13</v>
      </c>
      <c r="I3" s="22" t="s">
        <v>8</v>
      </c>
      <c r="J3" s="22" t="s">
        <v>14</v>
      </c>
      <c r="K3" s="22" t="s">
        <v>10</v>
      </c>
      <c r="L3" s="22" t="s">
        <v>11</v>
      </c>
      <c r="M3" s="22" t="s">
        <v>12</v>
      </c>
      <c r="N3" s="22" t="s">
        <v>13</v>
      </c>
      <c r="O3" s="24" t="s">
        <v>358</v>
      </c>
      <c r="P3" s="25" t="s">
        <v>359</v>
      </c>
      <c r="Q3" s="25" t="s">
        <v>17</v>
      </c>
      <c r="R3" s="25" t="s">
        <v>360</v>
      </c>
      <c r="S3" s="21"/>
      <c r="U3" s="13"/>
      <c r="V3" s="13"/>
    </row>
    <row r="4" ht="15.75" customHeight="1">
      <c r="A4" s="26">
        <v>10101.0</v>
      </c>
      <c r="B4" s="27" t="s">
        <v>19</v>
      </c>
      <c r="C4" s="28">
        <v>69949.0</v>
      </c>
      <c r="D4" s="28">
        <v>64063.0</v>
      </c>
      <c r="E4" s="28">
        <v>160.0</v>
      </c>
      <c r="F4" s="28">
        <v>40.0</v>
      </c>
      <c r="G4" s="28">
        <v>335.0</v>
      </c>
      <c r="H4" s="28">
        <v>5351.0</v>
      </c>
      <c r="I4" s="28">
        <v>92531.0</v>
      </c>
      <c r="J4" s="28">
        <v>88605.0</v>
      </c>
      <c r="K4" s="28">
        <v>409.0</v>
      </c>
      <c r="L4" s="28">
        <v>164.0</v>
      </c>
      <c r="M4" s="28">
        <v>192.0</v>
      </c>
      <c r="N4" s="28">
        <v>3161.0</v>
      </c>
      <c r="O4" s="55">
        <v>94916.0</v>
      </c>
      <c r="P4" s="31">
        <f t="shared" ref="P4:P346" si="1">J4-O4</f>
        <v>-6311</v>
      </c>
      <c r="Q4" s="55" t="str">
        <f t="shared" ref="Q4:Q347" si="2">IF(P4&gt;0,P4,"")</f>
        <v/>
      </c>
      <c r="R4" s="31">
        <f t="shared" ref="R4:R346" si="3">SUM(K4:N4,O4,Q4)</f>
        <v>98842</v>
      </c>
      <c r="S4" s="9">
        <v>867.0</v>
      </c>
      <c r="U4" s="56"/>
      <c r="V4" s="56"/>
    </row>
    <row r="5" ht="15.75" customHeight="1">
      <c r="A5" s="34">
        <v>10102.0</v>
      </c>
      <c r="B5" s="35" t="s">
        <v>20</v>
      </c>
      <c r="C5" s="28">
        <v>2646.0</v>
      </c>
      <c r="D5" s="28">
        <v>1994.0</v>
      </c>
      <c r="E5" s="28">
        <v>3.0</v>
      </c>
      <c r="F5" s="28">
        <v>10.0</v>
      </c>
      <c r="G5" s="28">
        <v>17.0</v>
      </c>
      <c r="H5" s="28">
        <v>622.0</v>
      </c>
      <c r="I5" s="28">
        <v>3056.0</v>
      </c>
      <c r="J5" s="28">
        <v>2645.0</v>
      </c>
      <c r="K5" s="28">
        <v>16.0</v>
      </c>
      <c r="L5" s="28">
        <v>33.0</v>
      </c>
      <c r="M5" s="28">
        <v>11.0</v>
      </c>
      <c r="N5" s="28">
        <v>351.0</v>
      </c>
      <c r="O5" s="55">
        <v>3342.0</v>
      </c>
      <c r="P5" s="31">
        <f t="shared" si="1"/>
        <v>-697</v>
      </c>
      <c r="Q5" s="55" t="str">
        <f t="shared" si="2"/>
        <v/>
      </c>
      <c r="R5" s="31">
        <f t="shared" si="3"/>
        <v>3753</v>
      </c>
      <c r="S5" s="9">
        <v>325.0</v>
      </c>
      <c r="U5" s="56"/>
      <c r="V5" s="56"/>
    </row>
    <row r="6" ht="15.75" customHeight="1">
      <c r="A6" s="26">
        <v>10103.0</v>
      </c>
      <c r="B6" s="27" t="s">
        <v>21</v>
      </c>
      <c r="C6" s="28">
        <v>4660.0</v>
      </c>
      <c r="D6" s="28">
        <v>594.0</v>
      </c>
      <c r="E6" s="28">
        <v>19.0</v>
      </c>
      <c r="F6" s="28">
        <v>76.0</v>
      </c>
      <c r="G6" s="28">
        <v>56.0</v>
      </c>
      <c r="H6" s="28">
        <v>3915.0</v>
      </c>
      <c r="I6" s="28">
        <v>4654.0</v>
      </c>
      <c r="J6" s="28">
        <v>2054.0</v>
      </c>
      <c r="K6" s="28">
        <v>5.0</v>
      </c>
      <c r="L6" s="28">
        <v>70.0</v>
      </c>
      <c r="M6" s="28">
        <v>44.0</v>
      </c>
      <c r="N6" s="28">
        <v>2481.0</v>
      </c>
      <c r="O6" s="55">
        <v>2176.0</v>
      </c>
      <c r="P6" s="31">
        <f t="shared" si="1"/>
        <v>-122</v>
      </c>
      <c r="Q6" s="55" t="str">
        <f t="shared" si="2"/>
        <v/>
      </c>
      <c r="R6" s="31">
        <f t="shared" si="3"/>
        <v>4776</v>
      </c>
      <c r="S6" s="9">
        <v>62.0</v>
      </c>
      <c r="U6" s="56"/>
      <c r="V6" s="56"/>
    </row>
    <row r="7" ht="15.75" customHeight="1">
      <c r="A7" s="34">
        <v>10201.0</v>
      </c>
      <c r="B7" s="35" t="s">
        <v>22</v>
      </c>
      <c r="C7" s="28">
        <v>2538.0</v>
      </c>
      <c r="D7" s="28">
        <v>368.0</v>
      </c>
      <c r="E7" s="28">
        <v>15.0</v>
      </c>
      <c r="F7" s="28">
        <v>105.0</v>
      </c>
      <c r="G7" s="28">
        <v>11.0</v>
      </c>
      <c r="H7" s="28">
        <v>2039.0</v>
      </c>
      <c r="I7" s="28">
        <v>2450.0</v>
      </c>
      <c r="J7" s="28">
        <v>1171.0</v>
      </c>
      <c r="K7" s="28">
        <v>8.0</v>
      </c>
      <c r="L7" s="28">
        <v>173.0</v>
      </c>
      <c r="M7" s="28">
        <v>3.0</v>
      </c>
      <c r="N7" s="28">
        <v>1095.0</v>
      </c>
      <c r="O7" s="55">
        <v>1449.0</v>
      </c>
      <c r="P7" s="31">
        <f t="shared" si="1"/>
        <v>-278</v>
      </c>
      <c r="Q7" s="55" t="str">
        <f t="shared" si="2"/>
        <v/>
      </c>
      <c r="R7" s="31">
        <f t="shared" si="3"/>
        <v>2728</v>
      </c>
      <c r="S7" s="9">
        <v>107.0</v>
      </c>
      <c r="U7" s="56"/>
      <c r="V7" s="56"/>
    </row>
    <row r="8" ht="15.75" customHeight="1">
      <c r="A8" s="26">
        <v>10202.0</v>
      </c>
      <c r="B8" s="27" t="s">
        <v>23</v>
      </c>
      <c r="C8" s="28">
        <v>3418.0</v>
      </c>
      <c r="D8" s="28">
        <v>808.0</v>
      </c>
      <c r="E8" s="28">
        <v>32.0</v>
      </c>
      <c r="F8" s="28">
        <v>41.0</v>
      </c>
      <c r="G8" s="28">
        <v>258.0</v>
      </c>
      <c r="H8" s="28">
        <v>2279.0</v>
      </c>
      <c r="I8" s="28">
        <v>4598.0</v>
      </c>
      <c r="J8" s="28">
        <v>2971.0</v>
      </c>
      <c r="K8" s="28">
        <v>9.0</v>
      </c>
      <c r="L8" s="28">
        <v>88.0</v>
      </c>
      <c r="M8" s="28">
        <v>74.0</v>
      </c>
      <c r="N8" s="28">
        <v>1456.0</v>
      </c>
      <c r="O8" s="55">
        <v>2476.0</v>
      </c>
      <c r="P8" s="31">
        <f t="shared" si="1"/>
        <v>495</v>
      </c>
      <c r="Q8" s="31">
        <f t="shared" si="2"/>
        <v>495</v>
      </c>
      <c r="R8" s="31">
        <f t="shared" si="3"/>
        <v>4598</v>
      </c>
      <c r="S8" s="9">
        <v>80.0</v>
      </c>
      <c r="U8" s="56"/>
      <c r="V8" s="56"/>
    </row>
    <row r="9" ht="15.75" customHeight="1">
      <c r="A9" s="34">
        <v>10301.0</v>
      </c>
      <c r="B9" s="35" t="s">
        <v>24</v>
      </c>
      <c r="C9" s="28">
        <v>2586.0</v>
      </c>
      <c r="D9" s="28">
        <v>1186.0</v>
      </c>
      <c r="E9" s="28">
        <v>7.0</v>
      </c>
      <c r="F9" s="28">
        <v>28.0</v>
      </c>
      <c r="G9" s="28">
        <v>47.0</v>
      </c>
      <c r="H9" s="28">
        <v>1318.0</v>
      </c>
      <c r="I9" s="28">
        <v>3187.0</v>
      </c>
      <c r="J9" s="28">
        <v>2361.0</v>
      </c>
      <c r="K9" s="28">
        <v>7.0</v>
      </c>
      <c r="L9" s="28">
        <v>343.0</v>
      </c>
      <c r="M9" s="28">
        <v>3.0</v>
      </c>
      <c r="N9" s="28">
        <v>473.0</v>
      </c>
      <c r="O9" s="55">
        <v>1931.0</v>
      </c>
      <c r="P9" s="31">
        <f t="shared" si="1"/>
        <v>430</v>
      </c>
      <c r="Q9" s="31">
        <f t="shared" si="2"/>
        <v>430</v>
      </c>
      <c r="R9" s="31">
        <f t="shared" si="3"/>
        <v>3187</v>
      </c>
      <c r="S9" s="9">
        <v>221.0</v>
      </c>
      <c r="U9" s="56"/>
      <c r="V9" s="56"/>
    </row>
    <row r="10" ht="15.75" customHeight="1">
      <c r="A10" s="26">
        <v>10302.0</v>
      </c>
      <c r="B10" s="27" t="s">
        <v>25</v>
      </c>
      <c r="C10" s="28">
        <v>2717.0</v>
      </c>
      <c r="D10" s="28">
        <v>896.0</v>
      </c>
      <c r="E10" s="28">
        <v>25.0</v>
      </c>
      <c r="F10" s="28">
        <v>31.0</v>
      </c>
      <c r="G10" s="28">
        <v>85.0</v>
      </c>
      <c r="H10" s="28">
        <v>1680.0</v>
      </c>
      <c r="I10" s="28">
        <v>3271.0</v>
      </c>
      <c r="J10" s="28">
        <v>2076.0</v>
      </c>
      <c r="K10" s="28">
        <v>7.0</v>
      </c>
      <c r="L10" s="28">
        <v>256.0</v>
      </c>
      <c r="M10" s="28">
        <v>23.0</v>
      </c>
      <c r="N10" s="28">
        <v>909.0</v>
      </c>
      <c r="O10" s="55">
        <v>1472.0</v>
      </c>
      <c r="P10" s="31">
        <f t="shared" si="1"/>
        <v>604</v>
      </c>
      <c r="Q10" s="31">
        <f t="shared" si="2"/>
        <v>604</v>
      </c>
      <c r="R10" s="31">
        <f t="shared" si="3"/>
        <v>3271</v>
      </c>
      <c r="S10" s="9">
        <v>135.5</v>
      </c>
      <c r="U10" s="56"/>
      <c r="V10" s="56"/>
    </row>
    <row r="11" ht="15.75" customHeight="1">
      <c r="A11" s="34">
        <v>10303.0</v>
      </c>
      <c r="B11" s="35" t="s">
        <v>26</v>
      </c>
      <c r="C11" s="28">
        <v>1982.0</v>
      </c>
      <c r="D11" s="28">
        <v>884.0</v>
      </c>
      <c r="E11" s="28">
        <v>6.0</v>
      </c>
      <c r="F11" s="28">
        <v>238.0</v>
      </c>
      <c r="G11" s="28">
        <v>16.0</v>
      </c>
      <c r="H11" s="28">
        <v>838.0</v>
      </c>
      <c r="I11" s="28">
        <v>2543.0</v>
      </c>
      <c r="J11" s="28">
        <v>1871.0</v>
      </c>
      <c r="K11" s="28">
        <v>5.0</v>
      </c>
      <c r="L11" s="28">
        <v>94.0</v>
      </c>
      <c r="M11" s="28">
        <v>21.0</v>
      </c>
      <c r="N11" s="28">
        <v>552.0</v>
      </c>
      <c r="O11" s="55">
        <v>1832.0</v>
      </c>
      <c r="P11" s="31">
        <f t="shared" si="1"/>
        <v>39</v>
      </c>
      <c r="Q11" s="31">
        <f t="shared" si="2"/>
        <v>39</v>
      </c>
      <c r="R11" s="31">
        <f t="shared" si="3"/>
        <v>2543</v>
      </c>
      <c r="S11" s="9">
        <v>212.0</v>
      </c>
      <c r="U11" s="56"/>
      <c r="V11" s="56"/>
    </row>
    <row r="12" ht="15.75" customHeight="1">
      <c r="A12" s="26">
        <v>10304.0</v>
      </c>
      <c r="B12" s="27" t="s">
        <v>27</v>
      </c>
      <c r="C12" s="28">
        <v>1831.0</v>
      </c>
      <c r="D12" s="28">
        <v>912.0</v>
      </c>
      <c r="E12" s="28">
        <v>4.0</v>
      </c>
      <c r="F12" s="28">
        <v>5.0</v>
      </c>
      <c r="G12" s="28">
        <v>93.0</v>
      </c>
      <c r="H12" s="28">
        <v>817.0</v>
      </c>
      <c r="I12" s="28">
        <v>2635.0</v>
      </c>
      <c r="J12" s="28">
        <v>1749.0</v>
      </c>
      <c r="K12" s="28">
        <v>0.0</v>
      </c>
      <c r="L12" s="28">
        <v>97.0</v>
      </c>
      <c r="M12" s="28">
        <v>16.0</v>
      </c>
      <c r="N12" s="28">
        <v>773.0</v>
      </c>
      <c r="O12" s="55">
        <v>1496.0</v>
      </c>
      <c r="P12" s="31">
        <f t="shared" si="1"/>
        <v>253</v>
      </c>
      <c r="Q12" s="31">
        <f t="shared" si="2"/>
        <v>253</v>
      </c>
      <c r="R12" s="31">
        <f t="shared" si="3"/>
        <v>2635</v>
      </c>
      <c r="S12" s="9">
        <v>125.0</v>
      </c>
      <c r="U12" s="56"/>
      <c r="V12" s="56"/>
    </row>
    <row r="13" ht="15.75" customHeight="1">
      <c r="A13" s="34">
        <v>10401.0</v>
      </c>
      <c r="B13" s="35" t="s">
        <v>28</v>
      </c>
      <c r="C13" s="28">
        <v>2810.0</v>
      </c>
      <c r="D13" s="28">
        <v>1136.0</v>
      </c>
      <c r="E13" s="28">
        <v>21.0</v>
      </c>
      <c r="F13" s="28">
        <v>227.0</v>
      </c>
      <c r="G13" s="28">
        <v>32.0</v>
      </c>
      <c r="H13" s="28">
        <v>1394.0</v>
      </c>
      <c r="I13" s="28">
        <v>3186.0</v>
      </c>
      <c r="J13" s="28">
        <v>2348.0</v>
      </c>
      <c r="K13" s="28">
        <v>9.0</v>
      </c>
      <c r="L13" s="28">
        <v>198.0</v>
      </c>
      <c r="M13" s="28">
        <v>9.0</v>
      </c>
      <c r="N13" s="28">
        <v>622.0</v>
      </c>
      <c r="O13" s="55">
        <v>2762.0</v>
      </c>
      <c r="P13" s="31">
        <f t="shared" si="1"/>
        <v>-414</v>
      </c>
      <c r="Q13" s="55" t="str">
        <f t="shared" si="2"/>
        <v/>
      </c>
      <c r="R13" s="31">
        <f t="shared" si="3"/>
        <v>3600</v>
      </c>
      <c r="S13" s="9">
        <v>313.0</v>
      </c>
      <c r="U13" s="56"/>
      <c r="V13" s="56"/>
    </row>
    <row r="14" ht="15.75" customHeight="1">
      <c r="A14" s="26">
        <v>10402.0</v>
      </c>
      <c r="B14" s="27" t="s">
        <v>29</v>
      </c>
      <c r="C14" s="28">
        <v>2113.0</v>
      </c>
      <c r="D14" s="28">
        <v>993.0</v>
      </c>
      <c r="E14" s="28">
        <v>17.0</v>
      </c>
      <c r="F14" s="28">
        <v>5.0</v>
      </c>
      <c r="G14" s="28">
        <v>63.0</v>
      </c>
      <c r="H14" s="28">
        <v>1035.0</v>
      </c>
      <c r="I14" s="28">
        <v>2243.0</v>
      </c>
      <c r="J14" s="28">
        <v>1882.0</v>
      </c>
      <c r="K14" s="28">
        <v>2.0</v>
      </c>
      <c r="L14" s="28">
        <v>112.0</v>
      </c>
      <c r="M14" s="28">
        <v>1.0</v>
      </c>
      <c r="N14" s="28">
        <v>246.0</v>
      </c>
      <c r="O14" s="55">
        <v>2052.0</v>
      </c>
      <c r="P14" s="31">
        <f t="shared" si="1"/>
        <v>-170</v>
      </c>
      <c r="Q14" s="55" t="str">
        <f t="shared" si="2"/>
        <v/>
      </c>
      <c r="R14" s="31">
        <f t="shared" si="3"/>
        <v>2413</v>
      </c>
      <c r="S14" s="9">
        <v>236.0</v>
      </c>
      <c r="U14" s="56"/>
      <c r="V14" s="56"/>
    </row>
    <row r="15" ht="15.75" customHeight="1">
      <c r="A15" s="34">
        <v>10403.0</v>
      </c>
      <c r="B15" s="35" t="s">
        <v>30</v>
      </c>
      <c r="C15" s="28">
        <v>2010.0</v>
      </c>
      <c r="D15" s="28">
        <v>741.0</v>
      </c>
      <c r="E15" s="28">
        <v>24.0</v>
      </c>
      <c r="F15" s="28">
        <v>16.0</v>
      </c>
      <c r="G15" s="28">
        <v>19.0</v>
      </c>
      <c r="H15" s="28">
        <v>1210.0</v>
      </c>
      <c r="I15" s="28">
        <v>2087.0</v>
      </c>
      <c r="J15" s="28">
        <v>1379.0</v>
      </c>
      <c r="K15" s="28">
        <v>8.0</v>
      </c>
      <c r="L15" s="28">
        <v>13.0</v>
      </c>
      <c r="M15" s="28">
        <v>1.0</v>
      </c>
      <c r="N15" s="28">
        <v>686.0</v>
      </c>
      <c r="O15" s="55">
        <v>1572.0</v>
      </c>
      <c r="P15" s="31">
        <f t="shared" si="1"/>
        <v>-193</v>
      </c>
      <c r="Q15" s="55" t="str">
        <f t="shared" si="2"/>
        <v/>
      </c>
      <c r="R15" s="31">
        <f t="shared" si="3"/>
        <v>2280</v>
      </c>
      <c r="S15" s="9">
        <v>156.5</v>
      </c>
      <c r="U15" s="56"/>
      <c r="V15" s="56"/>
    </row>
    <row r="16" ht="15.75" customHeight="1">
      <c r="A16" s="26">
        <v>10404.0</v>
      </c>
      <c r="B16" s="27" t="s">
        <v>31</v>
      </c>
      <c r="C16" s="28">
        <v>1072.0</v>
      </c>
      <c r="D16" s="28">
        <v>524.0</v>
      </c>
      <c r="E16" s="28">
        <v>4.0</v>
      </c>
      <c r="F16" s="28">
        <v>17.0</v>
      </c>
      <c r="G16" s="28">
        <v>0.0</v>
      </c>
      <c r="H16" s="28">
        <v>527.0</v>
      </c>
      <c r="I16" s="28">
        <v>1189.0</v>
      </c>
      <c r="J16" s="28">
        <v>1083.0</v>
      </c>
      <c r="K16" s="28">
        <v>0.0</v>
      </c>
      <c r="L16" s="28">
        <v>5.0</v>
      </c>
      <c r="M16" s="28">
        <v>1.0</v>
      </c>
      <c r="N16" s="28">
        <v>100.0</v>
      </c>
      <c r="O16" s="55">
        <v>1105.0</v>
      </c>
      <c r="P16" s="31">
        <f t="shared" si="1"/>
        <v>-22</v>
      </c>
      <c r="Q16" s="55" t="str">
        <f t="shared" si="2"/>
        <v/>
      </c>
      <c r="R16" s="31">
        <f t="shared" si="3"/>
        <v>1211</v>
      </c>
      <c r="S16" s="9">
        <v>143.0</v>
      </c>
      <c r="U16" s="56"/>
      <c r="V16" s="56"/>
    </row>
    <row r="17" ht="15.75" customHeight="1">
      <c r="A17" s="34">
        <v>10405.0</v>
      </c>
      <c r="B17" s="35" t="s">
        <v>32</v>
      </c>
      <c r="C17" s="28">
        <v>1212.0</v>
      </c>
      <c r="D17" s="28">
        <v>332.0</v>
      </c>
      <c r="E17" s="28">
        <v>38.0</v>
      </c>
      <c r="F17" s="28">
        <v>44.0</v>
      </c>
      <c r="G17" s="28">
        <v>8.0</v>
      </c>
      <c r="H17" s="28">
        <v>790.0</v>
      </c>
      <c r="I17" s="28">
        <v>1439.0</v>
      </c>
      <c r="J17" s="28">
        <v>1041.0</v>
      </c>
      <c r="K17" s="28">
        <v>1.0</v>
      </c>
      <c r="L17" s="28">
        <v>30.0</v>
      </c>
      <c r="M17" s="28">
        <v>5.0</v>
      </c>
      <c r="N17" s="28">
        <v>362.0</v>
      </c>
      <c r="O17" s="55">
        <v>1059.0</v>
      </c>
      <c r="P17" s="31">
        <f t="shared" si="1"/>
        <v>-18</v>
      </c>
      <c r="Q17" s="55" t="str">
        <f t="shared" si="2"/>
        <v/>
      </c>
      <c r="R17" s="31">
        <f t="shared" si="3"/>
        <v>1457</v>
      </c>
      <c r="S17" s="9">
        <v>216.0</v>
      </c>
      <c r="U17" s="56"/>
      <c r="V17" s="56"/>
    </row>
    <row r="18" ht="15.75" customHeight="1">
      <c r="A18" s="26">
        <v>10501.0</v>
      </c>
      <c r="B18" s="27" t="s">
        <v>33</v>
      </c>
      <c r="C18" s="28">
        <v>6079.0</v>
      </c>
      <c r="D18" s="28">
        <v>3703.0</v>
      </c>
      <c r="E18" s="28">
        <v>38.0</v>
      </c>
      <c r="F18" s="28">
        <v>374.0</v>
      </c>
      <c r="G18" s="28">
        <v>26.0</v>
      </c>
      <c r="H18" s="28">
        <v>1938.0</v>
      </c>
      <c r="I18" s="28">
        <v>7742.0</v>
      </c>
      <c r="J18" s="28">
        <v>6320.0</v>
      </c>
      <c r="K18" s="28">
        <v>33.0</v>
      </c>
      <c r="L18" s="28">
        <v>347.0</v>
      </c>
      <c r="M18" s="28">
        <v>38.0</v>
      </c>
      <c r="N18" s="28">
        <v>1004.0</v>
      </c>
      <c r="O18" s="55">
        <v>6554.0</v>
      </c>
      <c r="P18" s="31">
        <f t="shared" si="1"/>
        <v>-234</v>
      </c>
      <c r="Q18" s="55" t="str">
        <f t="shared" si="2"/>
        <v/>
      </c>
      <c r="R18" s="31">
        <f t="shared" si="3"/>
        <v>7976</v>
      </c>
      <c r="S18" s="9">
        <v>569.0</v>
      </c>
      <c r="U18" s="56"/>
      <c r="V18" s="56"/>
    </row>
    <row r="19" ht="15.75" customHeight="1">
      <c r="A19" s="34">
        <v>10502.0</v>
      </c>
      <c r="B19" s="35" t="s">
        <v>34</v>
      </c>
      <c r="C19" s="28">
        <v>2079.0</v>
      </c>
      <c r="D19" s="28">
        <v>731.0</v>
      </c>
      <c r="E19" s="28">
        <v>69.0</v>
      </c>
      <c r="F19" s="28">
        <v>172.0</v>
      </c>
      <c r="G19" s="28">
        <v>81.0</v>
      </c>
      <c r="H19" s="28">
        <v>1026.0</v>
      </c>
      <c r="I19" s="28">
        <v>2301.0</v>
      </c>
      <c r="J19" s="28">
        <v>1773.0</v>
      </c>
      <c r="K19" s="28">
        <v>13.0</v>
      </c>
      <c r="L19" s="28">
        <v>117.0</v>
      </c>
      <c r="M19" s="28">
        <v>11.0</v>
      </c>
      <c r="N19" s="28">
        <v>387.0</v>
      </c>
      <c r="O19" s="55">
        <v>2047.0</v>
      </c>
      <c r="P19" s="31">
        <f t="shared" si="1"/>
        <v>-274</v>
      </c>
      <c r="Q19" s="55" t="str">
        <f t="shared" si="2"/>
        <v/>
      </c>
      <c r="R19" s="31">
        <f t="shared" si="3"/>
        <v>2575</v>
      </c>
      <c r="S19" s="9">
        <v>334.0</v>
      </c>
      <c r="U19" s="56"/>
      <c r="V19" s="56"/>
    </row>
    <row r="20" ht="15.75" customHeight="1">
      <c r="A20" s="26">
        <v>10601.0</v>
      </c>
      <c r="B20" s="27" t="s">
        <v>35</v>
      </c>
      <c r="C20" s="28">
        <v>4386.0</v>
      </c>
      <c r="D20" s="28">
        <v>2090.0</v>
      </c>
      <c r="E20" s="28">
        <v>12.0</v>
      </c>
      <c r="F20" s="28">
        <v>131.0</v>
      </c>
      <c r="G20" s="28">
        <v>35.0</v>
      </c>
      <c r="H20" s="28">
        <v>2118.0</v>
      </c>
      <c r="I20" s="28">
        <v>4279.0</v>
      </c>
      <c r="J20" s="28">
        <v>3402.0</v>
      </c>
      <c r="K20" s="28">
        <v>32.0</v>
      </c>
      <c r="L20" s="28">
        <v>72.0</v>
      </c>
      <c r="M20" s="28">
        <v>39.0</v>
      </c>
      <c r="N20" s="28">
        <v>734.0</v>
      </c>
      <c r="O20" s="55">
        <v>3684.0</v>
      </c>
      <c r="P20" s="31">
        <f t="shared" si="1"/>
        <v>-282</v>
      </c>
      <c r="Q20" s="55" t="str">
        <f t="shared" si="2"/>
        <v/>
      </c>
      <c r="R20" s="31">
        <f t="shared" si="3"/>
        <v>4561</v>
      </c>
      <c r="S20" s="9">
        <v>119.0</v>
      </c>
      <c r="U20" s="56"/>
      <c r="V20" s="56"/>
    </row>
    <row r="21" ht="15.75" customHeight="1">
      <c r="A21" s="34">
        <v>10602.0</v>
      </c>
      <c r="B21" s="35" t="s">
        <v>36</v>
      </c>
      <c r="C21" s="28">
        <v>2950.0</v>
      </c>
      <c r="D21" s="28">
        <v>1417.0</v>
      </c>
      <c r="E21" s="28">
        <v>27.0</v>
      </c>
      <c r="F21" s="28">
        <v>15.0</v>
      </c>
      <c r="G21" s="28">
        <v>38.0</v>
      </c>
      <c r="H21" s="28">
        <v>1453.0</v>
      </c>
      <c r="I21" s="28">
        <v>3069.0</v>
      </c>
      <c r="J21" s="28">
        <v>2437.0</v>
      </c>
      <c r="K21" s="28">
        <v>8.0</v>
      </c>
      <c r="L21" s="28">
        <v>77.0</v>
      </c>
      <c r="M21" s="28">
        <v>27.0</v>
      </c>
      <c r="N21" s="28">
        <v>520.0</v>
      </c>
      <c r="O21" s="55">
        <v>2243.0</v>
      </c>
      <c r="P21" s="31">
        <f t="shared" si="1"/>
        <v>194</v>
      </c>
      <c r="Q21" s="31">
        <f t="shared" si="2"/>
        <v>194</v>
      </c>
      <c r="R21" s="31">
        <f t="shared" si="3"/>
        <v>3069</v>
      </c>
      <c r="S21" s="9">
        <v>119.0</v>
      </c>
      <c r="U21" s="56"/>
      <c r="V21" s="56"/>
    </row>
    <row r="22" ht="15.75" customHeight="1">
      <c r="A22" s="26">
        <v>10701.0</v>
      </c>
      <c r="B22" s="27" t="s">
        <v>37</v>
      </c>
      <c r="C22" s="28">
        <v>4325.0</v>
      </c>
      <c r="D22" s="28">
        <v>2941.0</v>
      </c>
      <c r="E22" s="28">
        <v>20.0</v>
      </c>
      <c r="F22" s="28">
        <v>35.0</v>
      </c>
      <c r="G22" s="28">
        <v>33.0</v>
      </c>
      <c r="H22" s="28">
        <v>1296.0</v>
      </c>
      <c r="I22" s="28">
        <v>5047.0</v>
      </c>
      <c r="J22" s="28">
        <v>4300.0</v>
      </c>
      <c r="K22" s="28">
        <v>14.0</v>
      </c>
      <c r="L22" s="28">
        <v>59.0</v>
      </c>
      <c r="M22" s="28">
        <v>15.0</v>
      </c>
      <c r="N22" s="28">
        <v>659.0</v>
      </c>
      <c r="O22" s="55">
        <v>4518.0</v>
      </c>
      <c r="P22" s="31">
        <f t="shared" si="1"/>
        <v>-218</v>
      </c>
      <c r="Q22" s="55" t="str">
        <f t="shared" si="2"/>
        <v/>
      </c>
      <c r="R22" s="31">
        <f t="shared" si="3"/>
        <v>5265</v>
      </c>
      <c r="S22" s="9">
        <v>262.0</v>
      </c>
      <c r="U22" s="56"/>
      <c r="V22" s="56"/>
    </row>
    <row r="23" ht="15.75" customHeight="1">
      <c r="A23" s="34">
        <v>10702.0</v>
      </c>
      <c r="B23" s="35" t="s">
        <v>38</v>
      </c>
      <c r="C23" s="28">
        <v>8008.0</v>
      </c>
      <c r="D23" s="28">
        <v>2606.0</v>
      </c>
      <c r="E23" s="28">
        <v>55.0</v>
      </c>
      <c r="F23" s="28">
        <v>628.0</v>
      </c>
      <c r="G23" s="28">
        <v>185.0</v>
      </c>
      <c r="H23" s="28">
        <v>4534.0</v>
      </c>
      <c r="I23" s="28">
        <v>8651.0</v>
      </c>
      <c r="J23" s="28">
        <v>6050.0</v>
      </c>
      <c r="K23" s="28">
        <v>18.0</v>
      </c>
      <c r="L23" s="28">
        <v>435.0</v>
      </c>
      <c r="M23" s="28">
        <v>44.0</v>
      </c>
      <c r="N23" s="28">
        <v>2104.0</v>
      </c>
      <c r="O23" s="55">
        <v>7228.0</v>
      </c>
      <c r="P23" s="31">
        <f t="shared" si="1"/>
        <v>-1178</v>
      </c>
      <c r="Q23" s="55" t="str">
        <f t="shared" si="2"/>
        <v/>
      </c>
      <c r="R23" s="31">
        <f t="shared" si="3"/>
        <v>9829</v>
      </c>
      <c r="S23" s="9">
        <v>64.0</v>
      </c>
      <c r="U23" s="56"/>
      <c r="V23" s="56"/>
    </row>
    <row r="24" ht="15.75" customHeight="1">
      <c r="A24" s="26">
        <v>10703.0</v>
      </c>
      <c r="B24" s="27" t="s">
        <v>39</v>
      </c>
      <c r="C24" s="28">
        <v>2779.0</v>
      </c>
      <c r="D24" s="28">
        <v>746.0</v>
      </c>
      <c r="E24" s="28">
        <v>41.0</v>
      </c>
      <c r="F24" s="28">
        <v>84.0</v>
      </c>
      <c r="G24" s="28">
        <v>17.0</v>
      </c>
      <c r="H24" s="28">
        <v>1891.0</v>
      </c>
      <c r="I24" s="28">
        <v>4071.0</v>
      </c>
      <c r="J24" s="28">
        <v>2006.0</v>
      </c>
      <c r="K24" s="28">
        <v>12.0</v>
      </c>
      <c r="L24" s="28">
        <v>381.0</v>
      </c>
      <c r="M24" s="28">
        <v>33.0</v>
      </c>
      <c r="N24" s="28">
        <v>1639.0</v>
      </c>
      <c r="O24" s="55">
        <v>1425.0</v>
      </c>
      <c r="P24" s="31">
        <f t="shared" si="1"/>
        <v>581</v>
      </c>
      <c r="Q24" s="31">
        <f t="shared" si="2"/>
        <v>581</v>
      </c>
      <c r="R24" s="31">
        <f t="shared" si="3"/>
        <v>4071</v>
      </c>
      <c r="S24" s="9">
        <v>145.0</v>
      </c>
      <c r="U24" s="56"/>
      <c r="V24" s="56"/>
    </row>
    <row r="25" ht="15.75" customHeight="1">
      <c r="A25" s="34">
        <v>10704.0</v>
      </c>
      <c r="B25" s="35" t="s">
        <v>40</v>
      </c>
      <c r="C25" s="28">
        <v>3475.0</v>
      </c>
      <c r="D25" s="28">
        <v>1204.0</v>
      </c>
      <c r="E25" s="28">
        <v>24.0</v>
      </c>
      <c r="F25" s="28">
        <v>68.0</v>
      </c>
      <c r="G25" s="28">
        <v>29.0</v>
      </c>
      <c r="H25" s="28">
        <v>2150.0</v>
      </c>
      <c r="I25" s="28">
        <v>4000.0</v>
      </c>
      <c r="J25" s="28">
        <v>2814.0</v>
      </c>
      <c r="K25" s="28">
        <v>6.0</v>
      </c>
      <c r="L25" s="28">
        <v>100.0</v>
      </c>
      <c r="M25" s="28">
        <v>5.0</v>
      </c>
      <c r="N25" s="28">
        <v>1075.0</v>
      </c>
      <c r="O25" s="55">
        <v>2650.0</v>
      </c>
      <c r="P25" s="31">
        <f t="shared" si="1"/>
        <v>164</v>
      </c>
      <c r="Q25" s="31">
        <f t="shared" si="2"/>
        <v>164</v>
      </c>
      <c r="R25" s="31">
        <f t="shared" si="3"/>
        <v>4000</v>
      </c>
      <c r="S25" s="9">
        <v>103.0</v>
      </c>
      <c r="U25" s="56"/>
      <c r="V25" s="56"/>
    </row>
    <row r="26" ht="15.75" customHeight="1">
      <c r="A26" s="26">
        <v>10801.0</v>
      </c>
      <c r="B26" s="27" t="s">
        <v>41</v>
      </c>
      <c r="C26" s="28">
        <v>3196.0</v>
      </c>
      <c r="D26" s="28">
        <v>1730.0</v>
      </c>
      <c r="E26" s="28">
        <v>5.0</v>
      </c>
      <c r="F26" s="28">
        <v>203.0</v>
      </c>
      <c r="G26" s="28">
        <v>35.0</v>
      </c>
      <c r="H26" s="28">
        <v>1223.0</v>
      </c>
      <c r="I26" s="28">
        <v>3187.0</v>
      </c>
      <c r="J26" s="28">
        <v>2673.0</v>
      </c>
      <c r="K26" s="28">
        <v>2.0</v>
      </c>
      <c r="L26" s="28">
        <v>75.0</v>
      </c>
      <c r="M26" s="28">
        <v>4.0</v>
      </c>
      <c r="N26" s="28">
        <v>433.0</v>
      </c>
      <c r="O26" s="55">
        <v>3340.0</v>
      </c>
      <c r="P26" s="31">
        <f t="shared" si="1"/>
        <v>-667</v>
      </c>
      <c r="Q26" s="55" t="str">
        <f t="shared" si="2"/>
        <v/>
      </c>
      <c r="R26" s="31">
        <f t="shared" si="3"/>
        <v>3854</v>
      </c>
      <c r="S26" s="9">
        <v>209.0</v>
      </c>
      <c r="U26" s="56"/>
      <c r="V26" s="56"/>
    </row>
    <row r="27" ht="15.75" customHeight="1">
      <c r="A27" s="34">
        <v>10901.0</v>
      </c>
      <c r="B27" s="35" t="s">
        <v>42</v>
      </c>
      <c r="C27" s="28">
        <v>965.0</v>
      </c>
      <c r="D27" s="28">
        <v>431.0</v>
      </c>
      <c r="E27" s="28">
        <v>2.0</v>
      </c>
      <c r="F27" s="28">
        <v>7.0</v>
      </c>
      <c r="G27" s="28">
        <v>2.0</v>
      </c>
      <c r="H27" s="28">
        <v>523.0</v>
      </c>
      <c r="I27" s="28">
        <v>1371.0</v>
      </c>
      <c r="J27" s="28">
        <v>1145.0</v>
      </c>
      <c r="K27" s="28">
        <v>3.0</v>
      </c>
      <c r="L27" s="28">
        <v>22.0</v>
      </c>
      <c r="M27" s="28">
        <v>2.0</v>
      </c>
      <c r="N27" s="28">
        <v>199.0</v>
      </c>
      <c r="O27" s="55">
        <v>1080.0</v>
      </c>
      <c r="P27" s="31">
        <f t="shared" si="1"/>
        <v>65</v>
      </c>
      <c r="Q27" s="31">
        <f t="shared" si="2"/>
        <v>65</v>
      </c>
      <c r="R27" s="31">
        <f t="shared" si="3"/>
        <v>1371</v>
      </c>
      <c r="S27" s="9">
        <v>132.5</v>
      </c>
      <c r="U27" s="56"/>
      <c r="V27" s="56"/>
    </row>
    <row r="28" ht="15.75" customHeight="1">
      <c r="A28" s="26">
        <v>10902.0</v>
      </c>
      <c r="B28" s="27" t="s">
        <v>43</v>
      </c>
      <c r="C28" s="28">
        <v>4347.0</v>
      </c>
      <c r="D28" s="28">
        <v>1639.0</v>
      </c>
      <c r="E28" s="28">
        <v>24.0</v>
      </c>
      <c r="F28" s="28">
        <v>758.0</v>
      </c>
      <c r="G28" s="28">
        <v>24.0</v>
      </c>
      <c r="H28" s="28">
        <v>1902.0</v>
      </c>
      <c r="I28" s="28">
        <v>4660.0</v>
      </c>
      <c r="J28" s="28">
        <v>2747.0</v>
      </c>
      <c r="K28" s="28">
        <v>8.0</v>
      </c>
      <c r="L28" s="28">
        <v>485.0</v>
      </c>
      <c r="M28" s="28">
        <v>29.0</v>
      </c>
      <c r="N28" s="28">
        <v>1391.0</v>
      </c>
      <c r="O28" s="55">
        <v>2888.0</v>
      </c>
      <c r="P28" s="31">
        <f t="shared" si="1"/>
        <v>-141</v>
      </c>
      <c r="Q28" s="55" t="str">
        <f t="shared" si="2"/>
        <v/>
      </c>
      <c r="R28" s="31">
        <f t="shared" si="3"/>
        <v>4801</v>
      </c>
      <c r="S28" s="9">
        <v>186.0</v>
      </c>
      <c r="U28" s="56"/>
      <c r="V28" s="56"/>
    </row>
    <row r="29" ht="15.75" customHeight="1">
      <c r="A29" s="34">
        <v>10903.0</v>
      </c>
      <c r="B29" s="35" t="s">
        <v>44</v>
      </c>
      <c r="C29" s="28">
        <v>1062.0</v>
      </c>
      <c r="D29" s="28">
        <v>583.0</v>
      </c>
      <c r="E29" s="28">
        <v>22.0</v>
      </c>
      <c r="F29" s="28">
        <v>31.0</v>
      </c>
      <c r="G29" s="28">
        <v>4.0</v>
      </c>
      <c r="H29" s="28">
        <v>422.0</v>
      </c>
      <c r="I29" s="28">
        <v>1280.0</v>
      </c>
      <c r="J29" s="28">
        <v>1110.0</v>
      </c>
      <c r="K29" s="28">
        <v>23.0</v>
      </c>
      <c r="L29" s="28">
        <v>17.0</v>
      </c>
      <c r="M29" s="28">
        <v>4.0</v>
      </c>
      <c r="N29" s="28">
        <v>126.0</v>
      </c>
      <c r="O29" s="55">
        <v>997.0</v>
      </c>
      <c r="P29" s="31">
        <f t="shared" si="1"/>
        <v>113</v>
      </c>
      <c r="Q29" s="31">
        <f t="shared" si="2"/>
        <v>113</v>
      </c>
      <c r="R29" s="31">
        <f t="shared" si="3"/>
        <v>1280</v>
      </c>
      <c r="S29" s="9">
        <v>227.0</v>
      </c>
      <c r="U29" s="56"/>
      <c r="V29" s="56"/>
    </row>
    <row r="30" ht="15.75" customHeight="1">
      <c r="A30" s="26">
        <v>11001.0</v>
      </c>
      <c r="B30" s="27" t="s">
        <v>45</v>
      </c>
      <c r="C30" s="28">
        <v>2532.0</v>
      </c>
      <c r="D30" s="28">
        <v>1272.0</v>
      </c>
      <c r="E30" s="28">
        <v>48.0</v>
      </c>
      <c r="F30" s="28">
        <v>229.0</v>
      </c>
      <c r="G30" s="28">
        <v>35.0</v>
      </c>
      <c r="H30" s="28">
        <v>948.0</v>
      </c>
      <c r="I30" s="28">
        <v>3136.0</v>
      </c>
      <c r="J30" s="28">
        <v>2398.0</v>
      </c>
      <c r="K30" s="28">
        <v>9.0</v>
      </c>
      <c r="L30" s="28">
        <v>119.0</v>
      </c>
      <c r="M30" s="28">
        <v>6.0</v>
      </c>
      <c r="N30" s="28">
        <v>604.0</v>
      </c>
      <c r="O30" s="55">
        <v>2147.0</v>
      </c>
      <c r="P30" s="31">
        <f t="shared" si="1"/>
        <v>251</v>
      </c>
      <c r="Q30" s="31">
        <f t="shared" si="2"/>
        <v>251</v>
      </c>
      <c r="R30" s="31">
        <f t="shared" si="3"/>
        <v>3136</v>
      </c>
      <c r="S30" s="9">
        <v>576.0</v>
      </c>
      <c r="U30" s="56"/>
      <c r="V30" s="56"/>
    </row>
    <row r="31" ht="15.75" customHeight="1">
      <c r="A31" s="34">
        <v>11002.0</v>
      </c>
      <c r="B31" s="35" t="s">
        <v>46</v>
      </c>
      <c r="C31" s="28">
        <v>603.0</v>
      </c>
      <c r="D31" s="28">
        <v>131.0</v>
      </c>
      <c r="E31" s="28">
        <v>14.0</v>
      </c>
      <c r="F31" s="28">
        <v>69.0</v>
      </c>
      <c r="G31" s="28">
        <v>32.0</v>
      </c>
      <c r="H31" s="28">
        <v>357.0</v>
      </c>
      <c r="I31" s="28">
        <v>818.0</v>
      </c>
      <c r="J31" s="28">
        <v>623.0</v>
      </c>
      <c r="K31" s="28">
        <v>0.0</v>
      </c>
      <c r="L31" s="28">
        <v>93.0</v>
      </c>
      <c r="M31" s="28">
        <v>6.0</v>
      </c>
      <c r="N31" s="28">
        <v>96.0</v>
      </c>
      <c r="O31" s="55">
        <v>70.0</v>
      </c>
      <c r="P31" s="31">
        <f t="shared" si="1"/>
        <v>553</v>
      </c>
      <c r="Q31" s="31">
        <f t="shared" si="2"/>
        <v>553</v>
      </c>
      <c r="R31" s="31">
        <f t="shared" si="3"/>
        <v>818</v>
      </c>
      <c r="S31" s="9">
        <v>61.5</v>
      </c>
      <c r="U31" s="56"/>
      <c r="V31" s="56"/>
    </row>
    <row r="32" ht="15.75" customHeight="1">
      <c r="A32" s="26">
        <v>11003.0</v>
      </c>
      <c r="B32" s="27" t="s">
        <v>47</v>
      </c>
      <c r="C32" s="28">
        <v>1751.0</v>
      </c>
      <c r="D32" s="28">
        <v>824.0</v>
      </c>
      <c r="E32" s="28">
        <v>31.0</v>
      </c>
      <c r="F32" s="28">
        <v>180.0</v>
      </c>
      <c r="G32" s="28">
        <v>27.0</v>
      </c>
      <c r="H32" s="28">
        <v>689.0</v>
      </c>
      <c r="I32" s="28">
        <v>2288.0</v>
      </c>
      <c r="J32" s="28">
        <v>1413.0</v>
      </c>
      <c r="K32" s="28">
        <v>54.0</v>
      </c>
      <c r="L32" s="28">
        <v>295.0</v>
      </c>
      <c r="M32" s="28">
        <v>24.0</v>
      </c>
      <c r="N32" s="28">
        <v>502.0</v>
      </c>
      <c r="O32" s="55">
        <v>966.0</v>
      </c>
      <c r="P32" s="31">
        <f t="shared" si="1"/>
        <v>447</v>
      </c>
      <c r="Q32" s="31">
        <f t="shared" si="2"/>
        <v>447</v>
      </c>
      <c r="R32" s="31">
        <f t="shared" si="3"/>
        <v>2288</v>
      </c>
      <c r="S32" s="9">
        <v>639.5</v>
      </c>
      <c r="U32" s="56"/>
      <c r="V32" s="56"/>
    </row>
    <row r="33" ht="15.75" customHeight="1">
      <c r="A33" s="34">
        <v>20101.0</v>
      </c>
      <c r="B33" s="35" t="s">
        <v>48</v>
      </c>
      <c r="C33" s="28">
        <v>226458.0</v>
      </c>
      <c r="D33" s="28">
        <v>222302.0</v>
      </c>
      <c r="E33" s="28">
        <v>313.0</v>
      </c>
      <c r="F33" s="28">
        <v>30.0</v>
      </c>
      <c r="G33" s="28">
        <v>230.0</v>
      </c>
      <c r="H33" s="28">
        <v>3583.0</v>
      </c>
      <c r="I33" s="28">
        <v>250931.0</v>
      </c>
      <c r="J33" s="28">
        <v>246265.0</v>
      </c>
      <c r="K33" s="28">
        <v>712.0</v>
      </c>
      <c r="L33" s="28">
        <v>344.0</v>
      </c>
      <c r="M33" s="28">
        <v>598.0</v>
      </c>
      <c r="N33" s="28">
        <v>3012.0</v>
      </c>
      <c r="O33" s="55">
        <v>311555.0</v>
      </c>
      <c r="P33" s="31">
        <f t="shared" si="1"/>
        <v>-65290</v>
      </c>
      <c r="Q33" s="55" t="str">
        <f t="shared" si="2"/>
        <v/>
      </c>
      <c r="R33" s="31">
        <f t="shared" si="3"/>
        <v>316221</v>
      </c>
      <c r="S33" s="9">
        <v>1045.0</v>
      </c>
      <c r="U33" s="56"/>
      <c r="V33" s="56"/>
    </row>
    <row r="34" ht="15.75" customHeight="1">
      <c r="A34" s="26">
        <v>20102.0</v>
      </c>
      <c r="B34" s="27" t="s">
        <v>49</v>
      </c>
      <c r="C34" s="28">
        <v>4853.0</v>
      </c>
      <c r="D34" s="28">
        <v>3820.0</v>
      </c>
      <c r="E34" s="28">
        <v>5.0</v>
      </c>
      <c r="F34" s="28">
        <v>4.0</v>
      </c>
      <c r="G34" s="28">
        <v>15.0</v>
      </c>
      <c r="H34" s="28">
        <v>1009.0</v>
      </c>
      <c r="I34" s="28">
        <v>7585.0</v>
      </c>
      <c r="J34" s="28">
        <v>6462.0</v>
      </c>
      <c r="K34" s="28">
        <v>27.0</v>
      </c>
      <c r="L34" s="28">
        <v>80.0</v>
      </c>
      <c r="M34" s="28">
        <v>24.0</v>
      </c>
      <c r="N34" s="28">
        <v>992.0</v>
      </c>
      <c r="O34" s="55">
        <v>4348.0</v>
      </c>
      <c r="P34" s="31">
        <f t="shared" si="1"/>
        <v>2114</v>
      </c>
      <c r="Q34" s="31">
        <f t="shared" si="2"/>
        <v>2114</v>
      </c>
      <c r="R34" s="31">
        <f t="shared" si="3"/>
        <v>7585</v>
      </c>
      <c r="S34" s="9">
        <v>260.0</v>
      </c>
      <c r="U34" s="56"/>
      <c r="V34" s="56"/>
    </row>
    <row r="35" ht="15.75" customHeight="1">
      <c r="A35" s="34">
        <v>20103.0</v>
      </c>
      <c r="B35" s="35" t="s">
        <v>50</v>
      </c>
      <c r="C35" s="28">
        <v>4772.0</v>
      </c>
      <c r="D35" s="28">
        <v>4003.0</v>
      </c>
      <c r="E35" s="28">
        <v>13.0</v>
      </c>
      <c r="F35" s="28">
        <v>5.0</v>
      </c>
      <c r="G35" s="28">
        <v>13.0</v>
      </c>
      <c r="H35" s="28">
        <v>738.0</v>
      </c>
      <c r="I35" s="28">
        <v>6849.0</v>
      </c>
      <c r="J35" s="28">
        <v>6167.0</v>
      </c>
      <c r="K35" s="28">
        <v>15.0</v>
      </c>
      <c r="L35" s="28">
        <v>49.0</v>
      </c>
      <c r="M35" s="28">
        <v>33.0</v>
      </c>
      <c r="N35" s="28">
        <v>585.0</v>
      </c>
      <c r="O35" s="55">
        <v>7381.0</v>
      </c>
      <c r="P35" s="31">
        <f t="shared" si="1"/>
        <v>-1214</v>
      </c>
      <c r="Q35" s="55" t="str">
        <f t="shared" si="2"/>
        <v/>
      </c>
      <c r="R35" s="31">
        <f t="shared" si="3"/>
        <v>8063</v>
      </c>
      <c r="S35" s="9">
        <v>447.5</v>
      </c>
      <c r="U35" s="56"/>
      <c r="V35" s="56"/>
    </row>
    <row r="36" ht="15.75" customHeight="1">
      <c r="A36" s="26">
        <v>20104.0</v>
      </c>
      <c r="B36" s="27" t="s">
        <v>51</v>
      </c>
      <c r="C36" s="28">
        <v>7151.0</v>
      </c>
      <c r="D36" s="28">
        <v>5474.0</v>
      </c>
      <c r="E36" s="28">
        <v>22.0</v>
      </c>
      <c r="F36" s="28">
        <v>7.0</v>
      </c>
      <c r="G36" s="28">
        <v>113.0</v>
      </c>
      <c r="H36" s="28">
        <v>1535.0</v>
      </c>
      <c r="I36" s="28">
        <v>16297.0</v>
      </c>
      <c r="J36" s="28">
        <v>13397.0</v>
      </c>
      <c r="K36" s="28">
        <v>149.0</v>
      </c>
      <c r="L36" s="28">
        <v>103.0</v>
      </c>
      <c r="M36" s="28">
        <v>212.0</v>
      </c>
      <c r="N36" s="28">
        <v>2436.0</v>
      </c>
      <c r="O36" s="55">
        <v>12212.0</v>
      </c>
      <c r="P36" s="31">
        <f t="shared" si="1"/>
        <v>1185</v>
      </c>
      <c r="Q36" s="31">
        <f t="shared" si="2"/>
        <v>1185</v>
      </c>
      <c r="R36" s="31">
        <f t="shared" si="3"/>
        <v>16297</v>
      </c>
      <c r="S36" s="9">
        <v>296.0</v>
      </c>
      <c r="U36" s="56"/>
      <c r="V36" s="56"/>
    </row>
    <row r="37" ht="15.75" customHeight="1">
      <c r="A37" s="34">
        <v>20105.0</v>
      </c>
      <c r="B37" s="35" t="s">
        <v>52</v>
      </c>
      <c r="C37" s="28">
        <v>256852.0</v>
      </c>
      <c r="D37" s="28">
        <v>234389.0</v>
      </c>
      <c r="E37" s="28">
        <v>247.0</v>
      </c>
      <c r="F37" s="28">
        <v>57.0</v>
      </c>
      <c r="G37" s="28">
        <v>854.0</v>
      </c>
      <c r="H37" s="28">
        <v>21305.0</v>
      </c>
      <c r="I37" s="28">
        <v>297898.0</v>
      </c>
      <c r="J37" s="28">
        <v>287136.0</v>
      </c>
      <c r="K37" s="28">
        <v>885.0</v>
      </c>
      <c r="L37" s="28">
        <v>419.0</v>
      </c>
      <c r="M37" s="28">
        <v>1017.0</v>
      </c>
      <c r="N37" s="28">
        <v>8441.0</v>
      </c>
      <c r="O37" s="55">
        <v>306188.0</v>
      </c>
      <c r="P37" s="31">
        <f t="shared" si="1"/>
        <v>-19052</v>
      </c>
      <c r="Q37" s="55" t="str">
        <f t="shared" si="2"/>
        <v/>
      </c>
      <c r="R37" s="31">
        <f t="shared" si="3"/>
        <v>316950</v>
      </c>
      <c r="S37" s="9">
        <v>730.0</v>
      </c>
      <c r="U37" s="56"/>
      <c r="V37" s="56"/>
    </row>
    <row r="38" ht="15.75" customHeight="1">
      <c r="A38" s="26">
        <v>20201.0</v>
      </c>
      <c r="B38" s="27" t="s">
        <v>53</v>
      </c>
      <c r="C38" s="28">
        <v>16228.0</v>
      </c>
      <c r="D38" s="28">
        <v>12147.0</v>
      </c>
      <c r="E38" s="28">
        <v>31.0</v>
      </c>
      <c r="F38" s="28">
        <v>23.0</v>
      </c>
      <c r="G38" s="28">
        <v>55.0</v>
      </c>
      <c r="H38" s="28">
        <v>3972.0</v>
      </c>
      <c r="I38" s="28">
        <v>18316.0</v>
      </c>
      <c r="J38" s="28">
        <v>15257.0</v>
      </c>
      <c r="K38" s="28">
        <v>43.0</v>
      </c>
      <c r="L38" s="28">
        <v>64.0</v>
      </c>
      <c r="M38" s="28">
        <v>113.0</v>
      </c>
      <c r="N38" s="28">
        <v>2839.0</v>
      </c>
      <c r="O38" s="55">
        <v>13605.0</v>
      </c>
      <c r="P38" s="31">
        <f t="shared" si="1"/>
        <v>1652</v>
      </c>
      <c r="Q38" s="31">
        <f t="shared" si="2"/>
        <v>1652</v>
      </c>
      <c r="R38" s="31">
        <f t="shared" si="3"/>
        <v>18316</v>
      </c>
      <c r="S38" s="9">
        <v>141.0</v>
      </c>
      <c r="U38" s="56"/>
      <c r="V38" s="56"/>
    </row>
    <row r="39" ht="15.75" customHeight="1">
      <c r="A39" s="34">
        <v>20202.0</v>
      </c>
      <c r="B39" s="35" t="s">
        <v>54</v>
      </c>
      <c r="C39" s="28">
        <v>5027.0</v>
      </c>
      <c r="D39" s="28">
        <v>3231.0</v>
      </c>
      <c r="E39" s="28">
        <v>11.0</v>
      </c>
      <c r="F39" s="28">
        <v>9.0</v>
      </c>
      <c r="G39" s="28">
        <v>106.0</v>
      </c>
      <c r="H39" s="28">
        <v>1670.0</v>
      </c>
      <c r="I39" s="28">
        <v>6737.0</v>
      </c>
      <c r="J39" s="28">
        <v>4907.0</v>
      </c>
      <c r="K39" s="28">
        <v>11.0</v>
      </c>
      <c r="L39" s="28">
        <v>52.0</v>
      </c>
      <c r="M39" s="28">
        <v>60.0</v>
      </c>
      <c r="N39" s="28">
        <v>1707.0</v>
      </c>
      <c r="O39" s="55">
        <v>3326.0</v>
      </c>
      <c r="P39" s="31">
        <f t="shared" si="1"/>
        <v>1581</v>
      </c>
      <c r="Q39" s="31">
        <f t="shared" si="2"/>
        <v>1581</v>
      </c>
      <c r="R39" s="31">
        <f t="shared" si="3"/>
        <v>6737</v>
      </c>
      <c r="S39" s="9">
        <v>74.0</v>
      </c>
      <c r="U39" s="56"/>
      <c r="V39" s="56"/>
    </row>
    <row r="40" ht="15.75" customHeight="1">
      <c r="A40" s="26">
        <v>20203.0</v>
      </c>
      <c r="B40" s="27" t="s">
        <v>55</v>
      </c>
      <c r="C40" s="28">
        <v>2032.0</v>
      </c>
      <c r="D40" s="28">
        <v>1406.0</v>
      </c>
      <c r="E40" s="28">
        <v>0.0</v>
      </c>
      <c r="F40" s="28">
        <v>2.0</v>
      </c>
      <c r="G40" s="28">
        <v>20.0</v>
      </c>
      <c r="H40" s="28">
        <v>604.0</v>
      </c>
      <c r="I40" s="28">
        <v>2631.0</v>
      </c>
      <c r="J40" s="28">
        <v>1962.0</v>
      </c>
      <c r="K40" s="28">
        <v>5.0</v>
      </c>
      <c r="L40" s="28">
        <v>11.0</v>
      </c>
      <c r="M40" s="28">
        <v>49.0</v>
      </c>
      <c r="N40" s="28">
        <v>604.0</v>
      </c>
      <c r="O40" s="55">
        <v>1326.0</v>
      </c>
      <c r="P40" s="31">
        <f t="shared" si="1"/>
        <v>636</v>
      </c>
      <c r="Q40" s="31">
        <f t="shared" si="2"/>
        <v>636</v>
      </c>
      <c r="R40" s="31">
        <f t="shared" si="3"/>
        <v>2631</v>
      </c>
      <c r="S40" s="9">
        <v>112.0</v>
      </c>
      <c r="U40" s="56"/>
      <c r="V40" s="56"/>
    </row>
    <row r="41" ht="15.75" customHeight="1">
      <c r="A41" s="34">
        <v>20204.0</v>
      </c>
      <c r="B41" s="35" t="s">
        <v>56</v>
      </c>
      <c r="C41" s="28">
        <v>3297.0</v>
      </c>
      <c r="D41" s="28">
        <v>2315.0</v>
      </c>
      <c r="E41" s="28">
        <v>8.0</v>
      </c>
      <c r="F41" s="28">
        <v>6.0</v>
      </c>
      <c r="G41" s="28">
        <v>30.0</v>
      </c>
      <c r="H41" s="28">
        <v>938.0</v>
      </c>
      <c r="I41" s="28">
        <v>3956.0</v>
      </c>
      <c r="J41" s="28">
        <v>3045.0</v>
      </c>
      <c r="K41" s="28">
        <v>6.0</v>
      </c>
      <c r="L41" s="28">
        <v>12.0</v>
      </c>
      <c r="M41" s="28">
        <v>21.0</v>
      </c>
      <c r="N41" s="28">
        <v>872.0</v>
      </c>
      <c r="O41" s="55">
        <v>2203.0</v>
      </c>
      <c r="P41" s="31">
        <f t="shared" si="1"/>
        <v>842</v>
      </c>
      <c r="Q41" s="31">
        <f t="shared" si="2"/>
        <v>842</v>
      </c>
      <c r="R41" s="31">
        <f t="shared" si="3"/>
        <v>3956</v>
      </c>
      <c r="S41" s="9">
        <v>108.0</v>
      </c>
      <c r="U41" s="56"/>
      <c r="V41" s="56"/>
    </row>
    <row r="42" ht="15.75" customHeight="1">
      <c r="A42" s="26">
        <v>20205.0</v>
      </c>
      <c r="B42" s="27" t="s">
        <v>57</v>
      </c>
      <c r="C42" s="28">
        <v>3797.0</v>
      </c>
      <c r="D42" s="28">
        <v>2553.0</v>
      </c>
      <c r="E42" s="28">
        <v>10.0</v>
      </c>
      <c r="F42" s="28">
        <v>3.0</v>
      </c>
      <c r="G42" s="28">
        <v>33.0</v>
      </c>
      <c r="H42" s="28">
        <v>1198.0</v>
      </c>
      <c r="I42" s="28">
        <v>4479.0</v>
      </c>
      <c r="J42" s="28">
        <v>3568.0</v>
      </c>
      <c r="K42" s="28">
        <v>8.0</v>
      </c>
      <c r="L42" s="28">
        <v>27.0</v>
      </c>
      <c r="M42" s="28">
        <v>42.0</v>
      </c>
      <c r="N42" s="28">
        <v>834.0</v>
      </c>
      <c r="O42" s="55">
        <v>2753.0</v>
      </c>
      <c r="P42" s="31">
        <f t="shared" si="1"/>
        <v>815</v>
      </c>
      <c r="Q42" s="31">
        <f t="shared" si="2"/>
        <v>815</v>
      </c>
      <c r="R42" s="31">
        <f t="shared" si="3"/>
        <v>4479</v>
      </c>
      <c r="S42" s="9">
        <v>75.0</v>
      </c>
      <c r="U42" s="56"/>
      <c r="V42" s="56"/>
    </row>
    <row r="43" ht="15.75" customHeight="1">
      <c r="A43" s="34">
        <v>20206.0</v>
      </c>
      <c r="B43" s="35" t="s">
        <v>58</v>
      </c>
      <c r="C43" s="28">
        <v>1662.0</v>
      </c>
      <c r="D43" s="28">
        <v>1357.0</v>
      </c>
      <c r="E43" s="28">
        <v>4.0</v>
      </c>
      <c r="F43" s="28">
        <v>2.0</v>
      </c>
      <c r="G43" s="28">
        <v>6.0</v>
      </c>
      <c r="H43" s="28">
        <v>293.0</v>
      </c>
      <c r="I43" s="28">
        <v>2509.0</v>
      </c>
      <c r="J43" s="28">
        <v>2120.0</v>
      </c>
      <c r="K43" s="28">
        <v>3.0</v>
      </c>
      <c r="L43" s="28">
        <v>3.0</v>
      </c>
      <c r="M43" s="28">
        <v>30.0</v>
      </c>
      <c r="N43" s="28">
        <v>353.0</v>
      </c>
      <c r="O43" s="55">
        <v>1180.0</v>
      </c>
      <c r="P43" s="31">
        <f t="shared" si="1"/>
        <v>940</v>
      </c>
      <c r="Q43" s="31">
        <f t="shared" si="2"/>
        <v>940</v>
      </c>
      <c r="R43" s="31">
        <f t="shared" si="3"/>
        <v>2509</v>
      </c>
      <c r="S43" s="9">
        <v>82.0</v>
      </c>
      <c r="U43" s="56"/>
      <c r="V43" s="56"/>
    </row>
    <row r="44" ht="15.75" customHeight="1">
      <c r="A44" s="26">
        <v>20301.0</v>
      </c>
      <c r="B44" s="27" t="s">
        <v>59</v>
      </c>
      <c r="C44" s="28">
        <v>3740.0</v>
      </c>
      <c r="D44" s="28">
        <v>1917.0</v>
      </c>
      <c r="E44" s="28">
        <v>8.0</v>
      </c>
      <c r="F44" s="28">
        <v>71.0</v>
      </c>
      <c r="G44" s="28">
        <v>36.0</v>
      </c>
      <c r="H44" s="28">
        <v>1708.0</v>
      </c>
      <c r="I44" s="28">
        <v>5244.0</v>
      </c>
      <c r="J44" s="28">
        <v>3709.0</v>
      </c>
      <c r="K44" s="28">
        <v>17.0</v>
      </c>
      <c r="L44" s="28">
        <v>63.0</v>
      </c>
      <c r="M44" s="28">
        <v>62.0</v>
      </c>
      <c r="N44" s="28">
        <v>1393.0</v>
      </c>
      <c r="O44" s="55">
        <v>2841.0</v>
      </c>
      <c r="P44" s="31">
        <f t="shared" si="1"/>
        <v>868</v>
      </c>
      <c r="Q44" s="31">
        <f t="shared" si="2"/>
        <v>868</v>
      </c>
      <c r="R44" s="31">
        <f t="shared" si="3"/>
        <v>5244</v>
      </c>
      <c r="S44" s="9">
        <v>66.0</v>
      </c>
      <c r="U44" s="56"/>
      <c r="V44" s="56"/>
    </row>
    <row r="45" ht="15.75" customHeight="1">
      <c r="A45" s="34">
        <v>20302.0</v>
      </c>
      <c r="B45" s="35" t="s">
        <v>60</v>
      </c>
      <c r="C45" s="28">
        <v>4269.0</v>
      </c>
      <c r="D45" s="28">
        <v>1512.0</v>
      </c>
      <c r="E45" s="28">
        <v>13.0</v>
      </c>
      <c r="F45" s="28">
        <v>91.0</v>
      </c>
      <c r="G45" s="28">
        <v>35.0</v>
      </c>
      <c r="H45" s="28">
        <v>2618.0</v>
      </c>
      <c r="I45" s="28">
        <v>5233.0</v>
      </c>
      <c r="J45" s="28">
        <v>3745.0</v>
      </c>
      <c r="K45" s="28">
        <v>17.0</v>
      </c>
      <c r="L45" s="28">
        <v>186.0</v>
      </c>
      <c r="M45" s="28">
        <v>52.0</v>
      </c>
      <c r="N45" s="28">
        <v>1233.0</v>
      </c>
      <c r="O45" s="55">
        <v>3285.0</v>
      </c>
      <c r="P45" s="31">
        <f t="shared" si="1"/>
        <v>460</v>
      </c>
      <c r="Q45" s="31">
        <f t="shared" si="2"/>
        <v>460</v>
      </c>
      <c r="R45" s="31">
        <f t="shared" si="3"/>
        <v>5233</v>
      </c>
      <c r="S45" s="9">
        <v>40.0</v>
      </c>
      <c r="U45" s="56"/>
      <c r="V45" s="56"/>
    </row>
    <row r="46" ht="15.75" customHeight="1">
      <c r="A46" s="26">
        <v>20303.0</v>
      </c>
      <c r="B46" s="27" t="s">
        <v>61</v>
      </c>
      <c r="C46" s="28">
        <v>3533.0</v>
      </c>
      <c r="D46" s="28">
        <v>635.0</v>
      </c>
      <c r="E46" s="28">
        <v>11.0</v>
      </c>
      <c r="F46" s="28">
        <v>195.0</v>
      </c>
      <c r="G46" s="28">
        <v>165.0</v>
      </c>
      <c r="H46" s="28">
        <v>2527.0</v>
      </c>
      <c r="I46" s="28">
        <v>5108.0</v>
      </c>
      <c r="J46" s="28">
        <v>2331.0</v>
      </c>
      <c r="K46" s="28">
        <v>5.0</v>
      </c>
      <c r="L46" s="28">
        <v>422.0</v>
      </c>
      <c r="M46" s="28">
        <v>99.0</v>
      </c>
      <c r="N46" s="28">
        <v>2251.0</v>
      </c>
      <c r="O46" s="55">
        <v>1663.0</v>
      </c>
      <c r="P46" s="31">
        <f t="shared" si="1"/>
        <v>668</v>
      </c>
      <c r="Q46" s="31">
        <f t="shared" si="2"/>
        <v>668</v>
      </c>
      <c r="R46" s="31">
        <f t="shared" si="3"/>
        <v>5108</v>
      </c>
      <c r="S46" s="9">
        <v>31.0</v>
      </c>
      <c r="U46" s="56"/>
      <c r="V46" s="56"/>
    </row>
    <row r="47" ht="15.75" customHeight="1">
      <c r="A47" s="34">
        <v>20304.0</v>
      </c>
      <c r="B47" s="35" t="s">
        <v>62</v>
      </c>
      <c r="C47" s="28">
        <v>1311.0</v>
      </c>
      <c r="D47" s="28">
        <v>481.0</v>
      </c>
      <c r="E47" s="28">
        <v>4.0</v>
      </c>
      <c r="F47" s="28">
        <v>36.0</v>
      </c>
      <c r="G47" s="28">
        <v>26.0</v>
      </c>
      <c r="H47" s="28">
        <v>764.0</v>
      </c>
      <c r="I47" s="28">
        <v>1930.0</v>
      </c>
      <c r="J47" s="28">
        <v>1514.0</v>
      </c>
      <c r="K47" s="28">
        <v>7.0</v>
      </c>
      <c r="L47" s="28">
        <v>29.0</v>
      </c>
      <c r="M47" s="28">
        <v>11.0</v>
      </c>
      <c r="N47" s="28">
        <v>369.0</v>
      </c>
      <c r="O47" s="55">
        <v>1168.0</v>
      </c>
      <c r="P47" s="31">
        <f t="shared" si="1"/>
        <v>346</v>
      </c>
      <c r="Q47" s="31">
        <f t="shared" si="2"/>
        <v>346</v>
      </c>
      <c r="R47" s="31">
        <f t="shared" si="3"/>
        <v>1930</v>
      </c>
      <c r="S47" s="9">
        <v>60.0</v>
      </c>
      <c r="U47" s="56"/>
      <c r="V47" s="56"/>
    </row>
    <row r="48" ht="15.75" customHeight="1">
      <c r="A48" s="26">
        <v>20305.0</v>
      </c>
      <c r="B48" s="27" t="s">
        <v>63</v>
      </c>
      <c r="C48" s="28">
        <v>1159.0</v>
      </c>
      <c r="D48" s="28">
        <v>348.0</v>
      </c>
      <c r="E48" s="28">
        <v>1.0</v>
      </c>
      <c r="F48" s="28">
        <v>70.0</v>
      </c>
      <c r="G48" s="28">
        <v>69.0</v>
      </c>
      <c r="H48" s="28">
        <v>671.0</v>
      </c>
      <c r="I48" s="28">
        <v>1742.0</v>
      </c>
      <c r="J48" s="28">
        <v>459.0</v>
      </c>
      <c r="K48" s="28">
        <v>2.0</v>
      </c>
      <c r="L48" s="28">
        <v>236.0</v>
      </c>
      <c r="M48" s="28">
        <v>67.0</v>
      </c>
      <c r="N48" s="28">
        <v>978.0</v>
      </c>
      <c r="O48" s="55">
        <v>398.0</v>
      </c>
      <c r="P48" s="31">
        <f t="shared" si="1"/>
        <v>61</v>
      </c>
      <c r="Q48" s="31">
        <f t="shared" si="2"/>
        <v>61</v>
      </c>
      <c r="R48" s="31">
        <f t="shared" si="3"/>
        <v>1742</v>
      </c>
      <c r="S48" s="9">
        <v>144.5</v>
      </c>
      <c r="U48" s="56"/>
      <c r="V48" s="56"/>
    </row>
    <row r="49" ht="15.75" customHeight="1">
      <c r="A49" s="34">
        <v>20306.0</v>
      </c>
      <c r="B49" s="35" t="s">
        <v>64</v>
      </c>
      <c r="C49" s="28">
        <v>1070.0</v>
      </c>
      <c r="D49" s="28">
        <v>663.0</v>
      </c>
      <c r="E49" s="28">
        <v>2.0</v>
      </c>
      <c r="F49" s="28">
        <v>7.0</v>
      </c>
      <c r="G49" s="28">
        <v>19.0</v>
      </c>
      <c r="H49" s="28">
        <v>379.0</v>
      </c>
      <c r="I49" s="28">
        <v>1463.0</v>
      </c>
      <c r="J49" s="28">
        <v>1000.0</v>
      </c>
      <c r="K49" s="28">
        <v>1.0</v>
      </c>
      <c r="L49" s="28">
        <v>66.0</v>
      </c>
      <c r="M49" s="28">
        <v>20.0</v>
      </c>
      <c r="N49" s="28">
        <v>376.0</v>
      </c>
      <c r="O49" s="55">
        <v>0.0</v>
      </c>
      <c r="P49" s="31">
        <f t="shared" si="1"/>
        <v>1000</v>
      </c>
      <c r="Q49" s="31">
        <f t="shared" si="2"/>
        <v>1000</v>
      </c>
      <c r="R49" s="31">
        <f t="shared" si="3"/>
        <v>1463</v>
      </c>
      <c r="S49" s="9">
        <v>0.0</v>
      </c>
      <c r="U49" s="56"/>
      <c r="V49" s="56"/>
    </row>
    <row r="50" ht="15.75" customHeight="1">
      <c r="A50" s="26">
        <v>20307.0</v>
      </c>
      <c r="B50" s="27" t="s">
        <v>65</v>
      </c>
      <c r="C50" s="28">
        <v>289.0</v>
      </c>
      <c r="D50" s="28">
        <v>108.0</v>
      </c>
      <c r="E50" s="28">
        <v>0.0</v>
      </c>
      <c r="F50" s="28">
        <v>13.0</v>
      </c>
      <c r="G50" s="28">
        <v>1.0</v>
      </c>
      <c r="H50" s="28">
        <v>167.0</v>
      </c>
      <c r="I50" s="28">
        <v>1213.0</v>
      </c>
      <c r="J50" s="28">
        <v>826.0</v>
      </c>
      <c r="K50" s="28">
        <v>5.0</v>
      </c>
      <c r="L50" s="28">
        <v>16.0</v>
      </c>
      <c r="M50" s="28">
        <v>6.0</v>
      </c>
      <c r="N50" s="28">
        <v>360.0</v>
      </c>
      <c r="O50" s="55">
        <v>104.0</v>
      </c>
      <c r="P50" s="31">
        <f t="shared" si="1"/>
        <v>722</v>
      </c>
      <c r="Q50" s="31">
        <f t="shared" si="2"/>
        <v>722</v>
      </c>
      <c r="R50" s="31">
        <f t="shared" si="3"/>
        <v>1213</v>
      </c>
      <c r="S50" s="9">
        <v>69.5</v>
      </c>
      <c r="U50" s="56"/>
      <c r="V50" s="56"/>
    </row>
    <row r="51" ht="15.75" customHeight="1">
      <c r="A51" s="34">
        <v>20308.0</v>
      </c>
      <c r="B51" s="35" t="s">
        <v>66</v>
      </c>
      <c r="C51" s="28">
        <v>2790.0</v>
      </c>
      <c r="D51" s="28">
        <v>364.0</v>
      </c>
      <c r="E51" s="28">
        <v>2.0</v>
      </c>
      <c r="F51" s="28">
        <v>37.0</v>
      </c>
      <c r="G51" s="28">
        <v>8.0</v>
      </c>
      <c r="H51" s="28">
        <v>2379.0</v>
      </c>
      <c r="I51" s="28">
        <v>3569.0</v>
      </c>
      <c r="J51" s="28">
        <v>1944.0</v>
      </c>
      <c r="K51" s="28">
        <v>5.0</v>
      </c>
      <c r="L51" s="28">
        <v>125.0</v>
      </c>
      <c r="M51" s="28">
        <v>33.0</v>
      </c>
      <c r="N51" s="28">
        <v>1462.0</v>
      </c>
      <c r="O51" s="55">
        <v>1510.0</v>
      </c>
      <c r="P51" s="31">
        <f t="shared" si="1"/>
        <v>434</v>
      </c>
      <c r="Q51" s="31">
        <f t="shared" si="2"/>
        <v>434</v>
      </c>
      <c r="R51" s="31">
        <f t="shared" si="3"/>
        <v>3569</v>
      </c>
      <c r="S51" s="9">
        <v>29.0</v>
      </c>
      <c r="U51" s="56"/>
      <c r="V51" s="56"/>
    </row>
    <row r="52" ht="15.75" customHeight="1">
      <c r="A52" s="26">
        <v>20401.0</v>
      </c>
      <c r="B52" s="27" t="s">
        <v>67</v>
      </c>
      <c r="C52" s="28">
        <v>5011.0</v>
      </c>
      <c r="D52" s="28">
        <v>2707.0</v>
      </c>
      <c r="E52" s="28">
        <v>3.0</v>
      </c>
      <c r="F52" s="28">
        <v>13.0</v>
      </c>
      <c r="G52" s="28">
        <v>72.0</v>
      </c>
      <c r="H52" s="28">
        <v>2216.0</v>
      </c>
      <c r="I52" s="28">
        <v>6604.0</v>
      </c>
      <c r="J52" s="28">
        <v>4592.0</v>
      </c>
      <c r="K52" s="28">
        <v>8.0</v>
      </c>
      <c r="L52" s="28">
        <v>27.0</v>
      </c>
      <c r="M52" s="28">
        <v>38.0</v>
      </c>
      <c r="N52" s="28">
        <v>1939.0</v>
      </c>
      <c r="O52" s="55">
        <v>3885.0</v>
      </c>
      <c r="P52" s="31">
        <f t="shared" si="1"/>
        <v>707</v>
      </c>
      <c r="Q52" s="31">
        <f t="shared" si="2"/>
        <v>707</v>
      </c>
      <c r="R52" s="31">
        <f t="shared" si="3"/>
        <v>6604</v>
      </c>
      <c r="S52" s="9">
        <v>67.0</v>
      </c>
      <c r="U52" s="56"/>
      <c r="V52" s="56"/>
    </row>
    <row r="53" ht="15.75" customHeight="1">
      <c r="A53" s="34">
        <v>20402.0</v>
      </c>
      <c r="B53" s="35" t="s">
        <v>68</v>
      </c>
      <c r="C53" s="28">
        <v>6606.0</v>
      </c>
      <c r="D53" s="28">
        <v>3081.0</v>
      </c>
      <c r="E53" s="28">
        <v>27.0</v>
      </c>
      <c r="F53" s="28">
        <v>12.0</v>
      </c>
      <c r="G53" s="28">
        <v>63.0</v>
      </c>
      <c r="H53" s="28">
        <v>3423.0</v>
      </c>
      <c r="I53" s="28">
        <v>8013.0</v>
      </c>
      <c r="J53" s="28">
        <v>5543.0</v>
      </c>
      <c r="K53" s="28">
        <v>18.0</v>
      </c>
      <c r="L53" s="28">
        <v>42.0</v>
      </c>
      <c r="M53" s="28">
        <v>45.0</v>
      </c>
      <c r="N53" s="28">
        <v>2365.0</v>
      </c>
      <c r="O53" s="55">
        <v>2950.0</v>
      </c>
      <c r="P53" s="31">
        <f t="shared" si="1"/>
        <v>2593</v>
      </c>
      <c r="Q53" s="31">
        <f t="shared" si="2"/>
        <v>2593</v>
      </c>
      <c r="R53" s="31">
        <f t="shared" si="3"/>
        <v>8013</v>
      </c>
      <c r="S53" s="9">
        <v>76.0</v>
      </c>
      <c r="U53" s="56"/>
      <c r="V53" s="56"/>
    </row>
    <row r="54" ht="15.75" customHeight="1">
      <c r="A54" s="26">
        <v>20403.0</v>
      </c>
      <c r="B54" s="27" t="s">
        <v>69</v>
      </c>
      <c r="C54" s="28">
        <v>5347.0</v>
      </c>
      <c r="D54" s="28">
        <v>2774.0</v>
      </c>
      <c r="E54" s="28">
        <v>10.0</v>
      </c>
      <c r="F54" s="28">
        <v>27.0</v>
      </c>
      <c r="G54" s="28">
        <v>74.0</v>
      </c>
      <c r="H54" s="28">
        <v>2462.0</v>
      </c>
      <c r="I54" s="28">
        <v>7065.0</v>
      </c>
      <c r="J54" s="28">
        <v>5324.0</v>
      </c>
      <c r="K54" s="28">
        <v>19.0</v>
      </c>
      <c r="L54" s="28">
        <v>48.0</v>
      </c>
      <c r="M54" s="28">
        <v>42.0</v>
      </c>
      <c r="N54" s="28">
        <v>1632.0</v>
      </c>
      <c r="O54" s="55">
        <v>3471.0</v>
      </c>
      <c r="P54" s="31">
        <f t="shared" si="1"/>
        <v>1853</v>
      </c>
      <c r="Q54" s="31">
        <f t="shared" si="2"/>
        <v>1853</v>
      </c>
      <c r="R54" s="31">
        <f t="shared" si="3"/>
        <v>7065</v>
      </c>
      <c r="S54" s="9">
        <v>88.0</v>
      </c>
      <c r="U54" s="56"/>
      <c r="V54" s="56"/>
    </row>
    <row r="55" ht="15.75" customHeight="1">
      <c r="A55" s="34">
        <v>20404.0</v>
      </c>
      <c r="B55" s="35" t="s">
        <v>70</v>
      </c>
      <c r="C55" s="28">
        <v>2108.0</v>
      </c>
      <c r="D55" s="28">
        <v>1204.0</v>
      </c>
      <c r="E55" s="28">
        <v>1.0</v>
      </c>
      <c r="F55" s="28">
        <v>20.0</v>
      </c>
      <c r="G55" s="28">
        <v>56.0</v>
      </c>
      <c r="H55" s="28">
        <v>827.0</v>
      </c>
      <c r="I55" s="28">
        <v>2527.0</v>
      </c>
      <c r="J55" s="28">
        <v>1783.0</v>
      </c>
      <c r="K55" s="28">
        <v>7.0</v>
      </c>
      <c r="L55" s="28">
        <v>14.0</v>
      </c>
      <c r="M55" s="28">
        <v>16.0</v>
      </c>
      <c r="N55" s="28">
        <v>707.0</v>
      </c>
      <c r="O55" s="55">
        <v>1139.0</v>
      </c>
      <c r="P55" s="31">
        <f t="shared" si="1"/>
        <v>644</v>
      </c>
      <c r="Q55" s="31">
        <f t="shared" si="2"/>
        <v>644</v>
      </c>
      <c r="R55" s="31">
        <f t="shared" si="3"/>
        <v>2527</v>
      </c>
      <c r="S55" s="9">
        <v>85.0</v>
      </c>
      <c r="U55" s="56"/>
      <c r="V55" s="56"/>
    </row>
    <row r="56" ht="15.75" customHeight="1">
      <c r="A56" s="26">
        <v>20405.0</v>
      </c>
      <c r="B56" s="27" t="s">
        <v>71</v>
      </c>
      <c r="C56" s="28">
        <v>3027.0</v>
      </c>
      <c r="D56" s="28">
        <v>1856.0</v>
      </c>
      <c r="E56" s="28">
        <v>12.0</v>
      </c>
      <c r="F56" s="28">
        <v>7.0</v>
      </c>
      <c r="G56" s="28">
        <v>72.0</v>
      </c>
      <c r="H56" s="28">
        <v>1080.0</v>
      </c>
      <c r="I56" s="28">
        <v>4116.0</v>
      </c>
      <c r="J56" s="28">
        <v>2870.0</v>
      </c>
      <c r="K56" s="28">
        <v>6.0</v>
      </c>
      <c r="L56" s="28">
        <v>27.0</v>
      </c>
      <c r="M56" s="28">
        <v>17.0</v>
      </c>
      <c r="N56" s="28">
        <v>1196.0</v>
      </c>
      <c r="O56" s="55">
        <v>2121.0</v>
      </c>
      <c r="P56" s="31">
        <f t="shared" si="1"/>
        <v>749</v>
      </c>
      <c r="Q56" s="31">
        <f t="shared" si="2"/>
        <v>749</v>
      </c>
      <c r="R56" s="31">
        <f t="shared" si="3"/>
        <v>4116</v>
      </c>
      <c r="S56" s="9">
        <v>84.0</v>
      </c>
      <c r="U56" s="56"/>
      <c r="V56" s="56"/>
    </row>
    <row r="57" ht="15.75" customHeight="1">
      <c r="A57" s="34">
        <v>20501.0</v>
      </c>
      <c r="B57" s="35" t="s">
        <v>72</v>
      </c>
      <c r="C57" s="28">
        <v>3938.0</v>
      </c>
      <c r="D57" s="28">
        <v>2437.0</v>
      </c>
      <c r="E57" s="28">
        <v>6.0</v>
      </c>
      <c r="F57" s="28">
        <v>3.0</v>
      </c>
      <c r="G57" s="28">
        <v>14.0</v>
      </c>
      <c r="H57" s="28">
        <v>1478.0</v>
      </c>
      <c r="I57" s="28">
        <v>6388.0</v>
      </c>
      <c r="J57" s="28">
        <v>4840.0</v>
      </c>
      <c r="K57" s="28">
        <v>19.0</v>
      </c>
      <c r="L57" s="28">
        <v>48.0</v>
      </c>
      <c r="M57" s="28">
        <v>19.0</v>
      </c>
      <c r="N57" s="28">
        <v>1462.0</v>
      </c>
      <c r="O57" s="55">
        <v>3404.0</v>
      </c>
      <c r="P57" s="31">
        <f t="shared" si="1"/>
        <v>1436</v>
      </c>
      <c r="Q57" s="31">
        <f t="shared" si="2"/>
        <v>1436</v>
      </c>
      <c r="R57" s="31">
        <f t="shared" si="3"/>
        <v>6388</v>
      </c>
      <c r="S57" s="9">
        <v>95.0</v>
      </c>
      <c r="U57" s="56"/>
      <c r="V57" s="56"/>
    </row>
    <row r="58" ht="15.75" customHeight="1">
      <c r="A58" s="26">
        <v>20502.0</v>
      </c>
      <c r="B58" s="27" t="s">
        <v>73</v>
      </c>
      <c r="C58" s="28">
        <v>2747.0</v>
      </c>
      <c r="D58" s="28">
        <v>1397.0</v>
      </c>
      <c r="E58" s="28">
        <v>113.0</v>
      </c>
      <c r="F58" s="28">
        <v>24.0</v>
      </c>
      <c r="G58" s="28">
        <v>28.0</v>
      </c>
      <c r="H58" s="28">
        <v>1185.0</v>
      </c>
      <c r="I58" s="28">
        <v>3494.0</v>
      </c>
      <c r="J58" s="28">
        <v>2635.0</v>
      </c>
      <c r="K58" s="28">
        <v>45.0</v>
      </c>
      <c r="L58" s="28">
        <v>41.0</v>
      </c>
      <c r="M58" s="28">
        <v>51.0</v>
      </c>
      <c r="N58" s="28">
        <v>722.0</v>
      </c>
      <c r="O58" s="55">
        <v>1519.0</v>
      </c>
      <c r="P58" s="31">
        <f t="shared" si="1"/>
        <v>1116</v>
      </c>
      <c r="Q58" s="31">
        <f t="shared" si="2"/>
        <v>1116</v>
      </c>
      <c r="R58" s="31">
        <f t="shared" si="3"/>
        <v>3494</v>
      </c>
      <c r="S58" s="9">
        <v>99.0</v>
      </c>
      <c r="U58" s="56"/>
      <c r="V58" s="56"/>
    </row>
    <row r="59" ht="15.75" customHeight="1">
      <c r="A59" s="34">
        <v>20503.0</v>
      </c>
      <c r="B59" s="35" t="s">
        <v>74</v>
      </c>
      <c r="C59" s="28">
        <v>1938.0</v>
      </c>
      <c r="D59" s="28">
        <v>1236.0</v>
      </c>
      <c r="E59" s="28">
        <v>27.0</v>
      </c>
      <c r="F59" s="28">
        <v>9.0</v>
      </c>
      <c r="G59" s="28">
        <v>71.0</v>
      </c>
      <c r="H59" s="28">
        <v>595.0</v>
      </c>
      <c r="I59" s="28">
        <v>2500.0</v>
      </c>
      <c r="J59" s="28">
        <v>1844.0</v>
      </c>
      <c r="K59" s="28">
        <v>61.0</v>
      </c>
      <c r="L59" s="28">
        <v>88.0</v>
      </c>
      <c r="M59" s="28">
        <v>20.0</v>
      </c>
      <c r="N59" s="28">
        <v>487.0</v>
      </c>
      <c r="O59" s="55">
        <v>1244.0</v>
      </c>
      <c r="P59" s="31">
        <f t="shared" si="1"/>
        <v>600</v>
      </c>
      <c r="Q59" s="31">
        <f t="shared" si="2"/>
        <v>600</v>
      </c>
      <c r="R59" s="31">
        <f t="shared" si="3"/>
        <v>2500</v>
      </c>
      <c r="S59" s="9">
        <v>232.0</v>
      </c>
      <c r="U59" s="56"/>
      <c r="V59" s="56"/>
    </row>
    <row r="60" ht="15.75" customHeight="1">
      <c r="A60" s="26">
        <v>20601.0</v>
      </c>
      <c r="B60" s="27" t="s">
        <v>75</v>
      </c>
      <c r="C60" s="28">
        <v>8775.0</v>
      </c>
      <c r="D60" s="28">
        <v>5375.0</v>
      </c>
      <c r="E60" s="28">
        <v>86.0</v>
      </c>
      <c r="F60" s="28">
        <v>25.0</v>
      </c>
      <c r="G60" s="28">
        <v>302.0</v>
      </c>
      <c r="H60" s="28">
        <v>2987.0</v>
      </c>
      <c r="I60" s="28">
        <v>11459.0</v>
      </c>
      <c r="J60" s="28">
        <v>9113.0</v>
      </c>
      <c r="K60" s="28">
        <v>205.0</v>
      </c>
      <c r="L60" s="28">
        <v>106.0</v>
      </c>
      <c r="M60" s="28">
        <v>31.0</v>
      </c>
      <c r="N60" s="28">
        <v>2004.0</v>
      </c>
      <c r="O60" s="55">
        <v>6772.0</v>
      </c>
      <c r="P60" s="31">
        <f t="shared" si="1"/>
        <v>2341</v>
      </c>
      <c r="Q60" s="31">
        <f t="shared" si="2"/>
        <v>2341</v>
      </c>
      <c r="R60" s="31">
        <f t="shared" si="3"/>
        <v>11459</v>
      </c>
      <c r="S60" s="9">
        <v>199.0</v>
      </c>
      <c r="U60" s="56"/>
      <c r="V60" s="56"/>
    </row>
    <row r="61" ht="15.75" customHeight="1">
      <c r="A61" s="34">
        <v>20602.0</v>
      </c>
      <c r="B61" s="35" t="s">
        <v>76</v>
      </c>
      <c r="C61" s="28">
        <v>4681.0</v>
      </c>
      <c r="D61" s="28">
        <v>2699.0</v>
      </c>
      <c r="E61" s="28">
        <v>276.0</v>
      </c>
      <c r="F61" s="28">
        <v>35.0</v>
      </c>
      <c r="G61" s="28">
        <v>110.0</v>
      </c>
      <c r="H61" s="28">
        <v>1561.0</v>
      </c>
      <c r="I61" s="28">
        <v>6269.0</v>
      </c>
      <c r="J61" s="28">
        <v>4260.0</v>
      </c>
      <c r="K61" s="28">
        <v>387.0</v>
      </c>
      <c r="L61" s="28">
        <v>263.0</v>
      </c>
      <c r="M61" s="28">
        <v>94.0</v>
      </c>
      <c r="N61" s="28">
        <v>1265.0</v>
      </c>
      <c r="O61" s="55">
        <v>3116.0</v>
      </c>
      <c r="P61" s="31">
        <f t="shared" si="1"/>
        <v>1144</v>
      </c>
      <c r="Q61" s="31">
        <f t="shared" si="2"/>
        <v>1144</v>
      </c>
      <c r="R61" s="31">
        <f t="shared" si="3"/>
        <v>6269</v>
      </c>
      <c r="S61" s="9">
        <v>1079.0</v>
      </c>
      <c r="U61" s="56"/>
      <c r="V61" s="56"/>
    </row>
    <row r="62" ht="15.75" customHeight="1">
      <c r="A62" s="26">
        <v>20603.0</v>
      </c>
      <c r="B62" s="27" t="s">
        <v>77</v>
      </c>
      <c r="C62" s="28">
        <v>2980.0</v>
      </c>
      <c r="D62" s="28">
        <v>1611.0</v>
      </c>
      <c r="E62" s="28">
        <v>181.0</v>
      </c>
      <c r="F62" s="28">
        <v>14.0</v>
      </c>
      <c r="G62" s="28">
        <v>63.0</v>
      </c>
      <c r="H62" s="28">
        <v>1111.0</v>
      </c>
      <c r="I62" s="28">
        <v>4152.0</v>
      </c>
      <c r="J62" s="28">
        <v>2892.0</v>
      </c>
      <c r="K62" s="28">
        <v>193.0</v>
      </c>
      <c r="L62" s="28">
        <v>89.0</v>
      </c>
      <c r="M62" s="28">
        <v>49.0</v>
      </c>
      <c r="N62" s="28">
        <v>929.0</v>
      </c>
      <c r="O62" s="55">
        <v>1865.0</v>
      </c>
      <c r="P62" s="31">
        <f t="shared" si="1"/>
        <v>1027</v>
      </c>
      <c r="Q62" s="31">
        <f t="shared" si="2"/>
        <v>1027</v>
      </c>
      <c r="R62" s="31">
        <f t="shared" si="3"/>
        <v>4152</v>
      </c>
      <c r="S62" s="9">
        <v>325.0</v>
      </c>
      <c r="U62" s="56"/>
      <c r="V62" s="56"/>
    </row>
    <row r="63" ht="15.75" customHeight="1">
      <c r="A63" s="34">
        <v>20604.0</v>
      </c>
      <c r="B63" s="35" t="s">
        <v>78</v>
      </c>
      <c r="C63" s="28">
        <v>1027.0</v>
      </c>
      <c r="D63" s="28">
        <v>677.0</v>
      </c>
      <c r="E63" s="28">
        <v>1.0</v>
      </c>
      <c r="F63" s="28">
        <v>3.0</v>
      </c>
      <c r="G63" s="28">
        <v>5.0</v>
      </c>
      <c r="H63" s="28">
        <v>341.0</v>
      </c>
      <c r="I63" s="28">
        <v>1391.0</v>
      </c>
      <c r="J63" s="28">
        <v>1066.0</v>
      </c>
      <c r="K63" s="28">
        <v>1.0</v>
      </c>
      <c r="L63" s="28">
        <v>10.0</v>
      </c>
      <c r="M63" s="28">
        <v>8.0</v>
      </c>
      <c r="N63" s="28">
        <v>306.0</v>
      </c>
      <c r="O63" s="55">
        <v>791.0</v>
      </c>
      <c r="P63" s="31">
        <f t="shared" si="1"/>
        <v>275</v>
      </c>
      <c r="Q63" s="31">
        <f t="shared" si="2"/>
        <v>275</v>
      </c>
      <c r="R63" s="31">
        <f t="shared" si="3"/>
        <v>1391</v>
      </c>
      <c r="S63" s="9">
        <v>160.0</v>
      </c>
      <c r="U63" s="56"/>
      <c r="V63" s="56"/>
    </row>
    <row r="64" ht="15.75" customHeight="1">
      <c r="A64" s="26">
        <v>20605.0</v>
      </c>
      <c r="B64" s="27" t="s">
        <v>79</v>
      </c>
      <c r="C64" s="28">
        <v>994.0</v>
      </c>
      <c r="D64" s="28">
        <v>681.0</v>
      </c>
      <c r="E64" s="28">
        <v>1.0</v>
      </c>
      <c r="F64" s="28">
        <v>1.0</v>
      </c>
      <c r="G64" s="28">
        <v>10.0</v>
      </c>
      <c r="H64" s="28">
        <v>301.0</v>
      </c>
      <c r="I64" s="28">
        <v>1425.0</v>
      </c>
      <c r="J64" s="28">
        <v>1082.0</v>
      </c>
      <c r="K64" s="28">
        <v>2.0</v>
      </c>
      <c r="L64" s="28">
        <v>11.0</v>
      </c>
      <c r="M64" s="28">
        <v>6.0</v>
      </c>
      <c r="N64" s="28">
        <v>324.0</v>
      </c>
      <c r="O64" s="55">
        <v>586.0</v>
      </c>
      <c r="P64" s="31">
        <f t="shared" si="1"/>
        <v>496</v>
      </c>
      <c r="Q64" s="31">
        <f t="shared" si="2"/>
        <v>496</v>
      </c>
      <c r="R64" s="31">
        <f t="shared" si="3"/>
        <v>1425</v>
      </c>
      <c r="S64" s="9">
        <v>71.5</v>
      </c>
      <c r="U64" s="56"/>
      <c r="V64" s="56"/>
    </row>
    <row r="65" ht="15.75" customHeight="1">
      <c r="A65" s="34">
        <v>20606.0</v>
      </c>
      <c r="B65" s="35" t="s">
        <v>80</v>
      </c>
      <c r="C65" s="28">
        <v>3457.0</v>
      </c>
      <c r="D65" s="28">
        <v>2983.0</v>
      </c>
      <c r="E65" s="28">
        <v>27.0</v>
      </c>
      <c r="F65" s="28">
        <v>6.0</v>
      </c>
      <c r="G65" s="28">
        <v>55.0</v>
      </c>
      <c r="H65" s="28">
        <v>386.0</v>
      </c>
      <c r="I65" s="28">
        <v>3243.0</v>
      </c>
      <c r="J65" s="28">
        <v>2810.0</v>
      </c>
      <c r="K65" s="28">
        <v>76.0</v>
      </c>
      <c r="L65" s="28">
        <v>11.0</v>
      </c>
      <c r="M65" s="28">
        <v>98.0</v>
      </c>
      <c r="N65" s="28">
        <v>248.0</v>
      </c>
      <c r="O65" s="55">
        <v>2270.0</v>
      </c>
      <c r="P65" s="31">
        <f t="shared" si="1"/>
        <v>540</v>
      </c>
      <c r="Q65" s="31">
        <f t="shared" si="2"/>
        <v>540</v>
      </c>
      <c r="R65" s="31">
        <f t="shared" si="3"/>
        <v>3243</v>
      </c>
      <c r="S65" s="9">
        <v>761.0</v>
      </c>
      <c r="U65" s="56"/>
      <c r="V65" s="56"/>
    </row>
    <row r="66" ht="15.75" customHeight="1">
      <c r="A66" s="26">
        <v>20607.0</v>
      </c>
      <c r="B66" s="27" t="s">
        <v>81</v>
      </c>
      <c r="C66" s="28">
        <v>4050.0</v>
      </c>
      <c r="D66" s="28">
        <v>3526.0</v>
      </c>
      <c r="E66" s="28">
        <v>62.0</v>
      </c>
      <c r="F66" s="28">
        <v>4.0</v>
      </c>
      <c r="G66" s="28">
        <v>51.0</v>
      </c>
      <c r="H66" s="28">
        <v>407.0</v>
      </c>
      <c r="I66" s="28">
        <v>6898.0</v>
      </c>
      <c r="J66" s="28">
        <v>6280.0</v>
      </c>
      <c r="K66" s="28">
        <v>139.0</v>
      </c>
      <c r="L66" s="28">
        <v>63.0</v>
      </c>
      <c r="M66" s="28">
        <v>70.0</v>
      </c>
      <c r="N66" s="28">
        <v>346.0</v>
      </c>
      <c r="O66" s="55">
        <v>3570.0</v>
      </c>
      <c r="P66" s="31">
        <f t="shared" si="1"/>
        <v>2710</v>
      </c>
      <c r="Q66" s="31">
        <f t="shared" si="2"/>
        <v>2710</v>
      </c>
      <c r="R66" s="31">
        <f t="shared" si="3"/>
        <v>6898</v>
      </c>
      <c r="S66" s="9">
        <v>1231.5</v>
      </c>
      <c r="U66" s="56"/>
      <c r="V66" s="56"/>
    </row>
    <row r="67" ht="15.75" customHeight="1">
      <c r="A67" s="34">
        <v>20608.0</v>
      </c>
      <c r="B67" s="35" t="s">
        <v>82</v>
      </c>
      <c r="C67" s="28">
        <v>3487.0</v>
      </c>
      <c r="D67" s="28">
        <v>1413.0</v>
      </c>
      <c r="E67" s="28">
        <v>64.0</v>
      </c>
      <c r="F67" s="28">
        <v>29.0</v>
      </c>
      <c r="G67" s="28">
        <v>41.0</v>
      </c>
      <c r="H67" s="28">
        <v>1940.0</v>
      </c>
      <c r="I67" s="28">
        <v>4602.0</v>
      </c>
      <c r="J67" s="28">
        <v>2777.0</v>
      </c>
      <c r="K67" s="28">
        <v>120.0</v>
      </c>
      <c r="L67" s="28">
        <v>118.0</v>
      </c>
      <c r="M67" s="28">
        <v>34.0</v>
      </c>
      <c r="N67" s="28">
        <v>1553.0</v>
      </c>
      <c r="O67" s="55">
        <v>2454.0</v>
      </c>
      <c r="P67" s="31">
        <f t="shared" si="1"/>
        <v>323</v>
      </c>
      <c r="Q67" s="31">
        <f t="shared" si="2"/>
        <v>323</v>
      </c>
      <c r="R67" s="31">
        <f t="shared" si="3"/>
        <v>4602</v>
      </c>
      <c r="S67" s="9">
        <v>678.5</v>
      </c>
      <c r="U67" s="56"/>
      <c r="V67" s="56"/>
    </row>
    <row r="68" ht="15.75" customHeight="1">
      <c r="A68" s="26">
        <v>20701.0</v>
      </c>
      <c r="B68" s="27" t="s">
        <v>83</v>
      </c>
      <c r="C68" s="28">
        <v>4625.0</v>
      </c>
      <c r="D68" s="28">
        <v>2828.0</v>
      </c>
      <c r="E68" s="28">
        <v>65.0</v>
      </c>
      <c r="F68" s="28">
        <v>111.0</v>
      </c>
      <c r="G68" s="28">
        <v>39.0</v>
      </c>
      <c r="H68" s="28">
        <v>1582.0</v>
      </c>
      <c r="I68" s="28">
        <v>6164.0</v>
      </c>
      <c r="J68" s="28">
        <v>4238.0</v>
      </c>
      <c r="K68" s="28">
        <v>143.0</v>
      </c>
      <c r="L68" s="28">
        <v>267.0</v>
      </c>
      <c r="M68" s="28">
        <v>81.0</v>
      </c>
      <c r="N68" s="28">
        <v>1435.0</v>
      </c>
      <c r="O68" s="55">
        <v>4164.0</v>
      </c>
      <c r="P68" s="31">
        <f t="shared" si="1"/>
        <v>74</v>
      </c>
      <c r="Q68" s="31">
        <f t="shared" si="2"/>
        <v>74</v>
      </c>
      <c r="R68" s="31">
        <f t="shared" si="3"/>
        <v>6164</v>
      </c>
      <c r="S68" s="9">
        <v>422.0</v>
      </c>
      <c r="U68" s="56"/>
      <c r="V68" s="56"/>
    </row>
    <row r="69" ht="15.75" customHeight="1">
      <c r="A69" s="34">
        <v>20702.0</v>
      </c>
      <c r="B69" s="35" t="s">
        <v>84</v>
      </c>
      <c r="C69" s="28">
        <v>2230.0</v>
      </c>
      <c r="D69" s="28">
        <v>801.0</v>
      </c>
      <c r="E69" s="28">
        <v>94.0</v>
      </c>
      <c r="F69" s="28">
        <v>166.0</v>
      </c>
      <c r="G69" s="28">
        <v>152.0</v>
      </c>
      <c r="H69" s="28">
        <v>1017.0</v>
      </c>
      <c r="I69" s="28">
        <v>3068.0</v>
      </c>
      <c r="J69" s="28">
        <v>2193.0</v>
      </c>
      <c r="K69" s="28">
        <v>79.0</v>
      </c>
      <c r="L69" s="28">
        <v>150.0</v>
      </c>
      <c r="M69" s="28">
        <v>57.0</v>
      </c>
      <c r="N69" s="28">
        <v>589.0</v>
      </c>
      <c r="O69" s="55">
        <v>1659.0</v>
      </c>
      <c r="P69" s="31">
        <f t="shared" si="1"/>
        <v>534</v>
      </c>
      <c r="Q69" s="31">
        <f t="shared" si="2"/>
        <v>534</v>
      </c>
      <c r="R69" s="31">
        <f t="shared" si="3"/>
        <v>3068</v>
      </c>
      <c r="S69" s="9">
        <v>168.0</v>
      </c>
      <c r="U69" s="56"/>
      <c r="V69" s="56"/>
    </row>
    <row r="70" ht="15.75" customHeight="1">
      <c r="A70" s="26">
        <v>20801.0</v>
      </c>
      <c r="B70" s="27" t="s">
        <v>85</v>
      </c>
      <c r="C70" s="28">
        <v>26248.0</v>
      </c>
      <c r="D70" s="28">
        <v>20077.0</v>
      </c>
      <c r="E70" s="28">
        <v>53.0</v>
      </c>
      <c r="F70" s="28">
        <v>26.0</v>
      </c>
      <c r="G70" s="28">
        <v>184.0</v>
      </c>
      <c r="H70" s="28">
        <v>5908.0</v>
      </c>
      <c r="I70" s="28">
        <v>41941.0</v>
      </c>
      <c r="J70" s="28">
        <v>36532.0</v>
      </c>
      <c r="K70" s="28">
        <v>138.0</v>
      </c>
      <c r="L70" s="28">
        <v>209.0</v>
      </c>
      <c r="M70" s="28">
        <v>305.0</v>
      </c>
      <c r="N70" s="28">
        <v>4757.0</v>
      </c>
      <c r="O70" s="55">
        <v>40390.0</v>
      </c>
      <c r="P70" s="31">
        <f t="shared" si="1"/>
        <v>-3858</v>
      </c>
      <c r="Q70" s="55" t="str">
        <f t="shared" si="2"/>
        <v/>
      </c>
      <c r="R70" s="31">
        <f t="shared" si="3"/>
        <v>45799</v>
      </c>
      <c r="S70" s="9">
        <v>346.0</v>
      </c>
      <c r="U70" s="56"/>
      <c r="V70" s="56"/>
    </row>
    <row r="71" ht="15.75" customHeight="1">
      <c r="A71" s="34">
        <v>20802.0</v>
      </c>
      <c r="B71" s="35" t="s">
        <v>86</v>
      </c>
      <c r="C71" s="28">
        <v>2731.0</v>
      </c>
      <c r="D71" s="28">
        <v>2101.0</v>
      </c>
      <c r="E71" s="28">
        <v>4.0</v>
      </c>
      <c r="F71" s="28">
        <v>10.0</v>
      </c>
      <c r="G71" s="28">
        <v>9.0</v>
      </c>
      <c r="H71" s="28">
        <v>607.0</v>
      </c>
      <c r="I71" s="28">
        <v>3220.0</v>
      </c>
      <c r="J71" s="28">
        <v>2645.0</v>
      </c>
      <c r="K71" s="28">
        <v>8.0</v>
      </c>
      <c r="L71" s="28">
        <v>22.0</v>
      </c>
      <c r="M71" s="28">
        <v>24.0</v>
      </c>
      <c r="N71" s="28">
        <v>521.0</v>
      </c>
      <c r="O71" s="55">
        <v>2627.0</v>
      </c>
      <c r="P71" s="31">
        <f t="shared" si="1"/>
        <v>18</v>
      </c>
      <c r="Q71" s="31">
        <f t="shared" si="2"/>
        <v>18</v>
      </c>
      <c r="R71" s="31">
        <f t="shared" si="3"/>
        <v>3220</v>
      </c>
      <c r="S71" s="9">
        <v>118.0</v>
      </c>
      <c r="U71" s="56"/>
      <c r="V71" s="56"/>
    </row>
    <row r="72" ht="15.75" customHeight="1">
      <c r="A72" s="26">
        <v>20803.0</v>
      </c>
      <c r="B72" s="27" t="s">
        <v>87</v>
      </c>
      <c r="C72" s="28">
        <v>3594.0</v>
      </c>
      <c r="D72" s="28">
        <v>2652.0</v>
      </c>
      <c r="E72" s="28">
        <v>5.0</v>
      </c>
      <c r="F72" s="28">
        <v>7.0</v>
      </c>
      <c r="G72" s="28">
        <v>17.0</v>
      </c>
      <c r="H72" s="28">
        <v>913.0</v>
      </c>
      <c r="I72" s="28">
        <v>4653.0</v>
      </c>
      <c r="J72" s="28">
        <v>3576.0</v>
      </c>
      <c r="K72" s="28">
        <v>13.0</v>
      </c>
      <c r="L72" s="28">
        <v>41.0</v>
      </c>
      <c r="M72" s="28">
        <v>30.0</v>
      </c>
      <c r="N72" s="28">
        <v>993.0</v>
      </c>
      <c r="O72" s="55">
        <v>3110.0</v>
      </c>
      <c r="P72" s="31">
        <f t="shared" si="1"/>
        <v>466</v>
      </c>
      <c r="Q72" s="31">
        <f t="shared" si="2"/>
        <v>466</v>
      </c>
      <c r="R72" s="31">
        <f t="shared" si="3"/>
        <v>4653</v>
      </c>
      <c r="S72" s="9">
        <v>121.5</v>
      </c>
      <c r="U72" s="56"/>
      <c r="V72" s="56"/>
    </row>
    <row r="73" ht="15.75" customHeight="1">
      <c r="A73" s="34">
        <v>20804.0</v>
      </c>
      <c r="B73" s="35" t="s">
        <v>88</v>
      </c>
      <c r="C73" s="28">
        <v>2250.0</v>
      </c>
      <c r="D73" s="28">
        <v>1930.0</v>
      </c>
      <c r="E73" s="28">
        <v>0.0</v>
      </c>
      <c r="F73" s="28">
        <v>3.0</v>
      </c>
      <c r="G73" s="28">
        <v>3.0</v>
      </c>
      <c r="H73" s="28">
        <v>314.0</v>
      </c>
      <c r="I73" s="28">
        <v>2675.0</v>
      </c>
      <c r="J73" s="28">
        <v>2469.0</v>
      </c>
      <c r="K73" s="28">
        <v>19.0</v>
      </c>
      <c r="L73" s="28">
        <v>8.0</v>
      </c>
      <c r="M73" s="28">
        <v>13.0</v>
      </c>
      <c r="N73" s="28">
        <v>166.0</v>
      </c>
      <c r="O73" s="55">
        <v>2173.0</v>
      </c>
      <c r="P73" s="31">
        <f t="shared" si="1"/>
        <v>296</v>
      </c>
      <c r="Q73" s="31">
        <f t="shared" si="2"/>
        <v>296</v>
      </c>
      <c r="R73" s="31">
        <f t="shared" si="3"/>
        <v>2675</v>
      </c>
      <c r="S73" s="9">
        <v>268.0</v>
      </c>
      <c r="U73" s="56"/>
      <c r="V73" s="56"/>
    </row>
    <row r="74" ht="15.75" customHeight="1">
      <c r="A74" s="26">
        <v>20805.0</v>
      </c>
      <c r="B74" s="27" t="s">
        <v>89</v>
      </c>
      <c r="C74" s="28">
        <v>2391.0</v>
      </c>
      <c r="D74" s="28">
        <v>568.0</v>
      </c>
      <c r="E74" s="28">
        <v>7.0</v>
      </c>
      <c r="F74" s="28">
        <v>101.0</v>
      </c>
      <c r="G74" s="28">
        <v>62.0</v>
      </c>
      <c r="H74" s="28">
        <v>1653.0</v>
      </c>
      <c r="I74" s="28">
        <v>3114.0</v>
      </c>
      <c r="J74" s="28">
        <v>2175.0</v>
      </c>
      <c r="K74" s="28">
        <v>3.0</v>
      </c>
      <c r="L74" s="28">
        <v>41.0</v>
      </c>
      <c r="M74" s="28">
        <v>21.0</v>
      </c>
      <c r="N74" s="28">
        <v>874.0</v>
      </c>
      <c r="O74" s="55">
        <v>0.0</v>
      </c>
      <c r="P74" s="31">
        <f t="shared" si="1"/>
        <v>2175</v>
      </c>
      <c r="Q74" s="31">
        <f t="shared" si="2"/>
        <v>2175</v>
      </c>
      <c r="R74" s="31">
        <f t="shared" si="3"/>
        <v>3114</v>
      </c>
      <c r="S74" s="9">
        <v>0.0</v>
      </c>
      <c r="U74" s="56"/>
      <c r="V74" s="56"/>
    </row>
    <row r="75" ht="15.75" customHeight="1">
      <c r="A75" s="34">
        <v>20806.0</v>
      </c>
      <c r="B75" s="35" t="s">
        <v>90</v>
      </c>
      <c r="C75" s="28">
        <v>4967.0</v>
      </c>
      <c r="D75" s="28">
        <v>2775.0</v>
      </c>
      <c r="E75" s="28">
        <v>14.0</v>
      </c>
      <c r="F75" s="28">
        <v>11.0</v>
      </c>
      <c r="G75" s="28">
        <v>4.0</v>
      </c>
      <c r="H75" s="28">
        <v>2163.0</v>
      </c>
      <c r="I75" s="28">
        <v>5887.0</v>
      </c>
      <c r="J75" s="28">
        <v>4111.0</v>
      </c>
      <c r="K75" s="28">
        <v>10.0</v>
      </c>
      <c r="L75" s="28">
        <v>148.0</v>
      </c>
      <c r="M75" s="28">
        <v>49.0</v>
      </c>
      <c r="N75" s="28">
        <v>1569.0</v>
      </c>
      <c r="O75" s="55">
        <v>0.0</v>
      </c>
      <c r="P75" s="31">
        <f t="shared" si="1"/>
        <v>4111</v>
      </c>
      <c r="Q75" s="31">
        <f t="shared" si="2"/>
        <v>4111</v>
      </c>
      <c r="R75" s="31">
        <f t="shared" si="3"/>
        <v>5887</v>
      </c>
      <c r="S75" s="9">
        <v>0.0</v>
      </c>
      <c r="U75" s="56"/>
      <c r="V75" s="56"/>
    </row>
    <row r="76" ht="15.75" customHeight="1">
      <c r="A76" s="26">
        <v>20807.0</v>
      </c>
      <c r="B76" s="27" t="s">
        <v>91</v>
      </c>
      <c r="C76" s="28">
        <v>1819.0</v>
      </c>
      <c r="D76" s="28">
        <v>1411.0</v>
      </c>
      <c r="E76" s="28">
        <v>1.0</v>
      </c>
      <c r="F76" s="28">
        <v>1.0</v>
      </c>
      <c r="G76" s="28">
        <v>13.0</v>
      </c>
      <c r="H76" s="28">
        <v>393.0</v>
      </c>
      <c r="I76" s="28">
        <v>2562.0</v>
      </c>
      <c r="J76" s="28">
        <v>2124.0</v>
      </c>
      <c r="K76" s="28">
        <v>6.0</v>
      </c>
      <c r="L76" s="28">
        <v>12.0</v>
      </c>
      <c r="M76" s="28">
        <v>18.0</v>
      </c>
      <c r="N76" s="28">
        <v>402.0</v>
      </c>
      <c r="O76" s="55">
        <v>1731.0</v>
      </c>
      <c r="P76" s="31">
        <f t="shared" si="1"/>
        <v>393</v>
      </c>
      <c r="Q76" s="31">
        <f t="shared" si="2"/>
        <v>393</v>
      </c>
      <c r="R76" s="31">
        <f t="shared" si="3"/>
        <v>2562</v>
      </c>
      <c r="S76" s="9">
        <v>77.0</v>
      </c>
      <c r="U76" s="56"/>
      <c r="V76" s="56"/>
    </row>
    <row r="77" ht="15.75" customHeight="1">
      <c r="A77" s="34">
        <v>20901.0</v>
      </c>
      <c r="B77" s="35" t="s">
        <v>92</v>
      </c>
      <c r="C77" s="28">
        <v>3913.0</v>
      </c>
      <c r="D77" s="28">
        <v>2786.0</v>
      </c>
      <c r="E77" s="28">
        <v>5.0</v>
      </c>
      <c r="F77" s="28">
        <v>3.0</v>
      </c>
      <c r="G77" s="28">
        <v>3.0</v>
      </c>
      <c r="H77" s="28">
        <v>1116.0</v>
      </c>
      <c r="I77" s="28">
        <v>4434.0</v>
      </c>
      <c r="J77" s="28">
        <v>3541.0</v>
      </c>
      <c r="K77" s="28">
        <v>7.0</v>
      </c>
      <c r="L77" s="28">
        <v>39.0</v>
      </c>
      <c r="M77" s="28">
        <v>41.0</v>
      </c>
      <c r="N77" s="28">
        <v>806.0</v>
      </c>
      <c r="O77" s="55">
        <v>2806.0</v>
      </c>
      <c r="P77" s="31">
        <f t="shared" si="1"/>
        <v>735</v>
      </c>
      <c r="Q77" s="31">
        <f t="shared" si="2"/>
        <v>735</v>
      </c>
      <c r="R77" s="31">
        <f t="shared" si="3"/>
        <v>4434</v>
      </c>
      <c r="S77" s="9">
        <v>205.0</v>
      </c>
      <c r="U77" s="56"/>
      <c r="V77" s="56"/>
    </row>
    <row r="78" ht="15.75" customHeight="1">
      <c r="A78" s="26">
        <v>20902.0</v>
      </c>
      <c r="B78" s="27" t="s">
        <v>93</v>
      </c>
      <c r="C78" s="28">
        <v>4624.0</v>
      </c>
      <c r="D78" s="28">
        <v>2790.0</v>
      </c>
      <c r="E78" s="28">
        <v>9.0</v>
      </c>
      <c r="F78" s="28">
        <v>12.0</v>
      </c>
      <c r="G78" s="28">
        <v>21.0</v>
      </c>
      <c r="H78" s="28">
        <v>1792.0</v>
      </c>
      <c r="I78" s="28">
        <v>6638.0</v>
      </c>
      <c r="J78" s="28">
        <v>5080.0</v>
      </c>
      <c r="K78" s="28">
        <v>8.0</v>
      </c>
      <c r="L78" s="28">
        <v>78.0</v>
      </c>
      <c r="M78" s="28">
        <v>52.0</v>
      </c>
      <c r="N78" s="28">
        <v>1420.0</v>
      </c>
      <c r="O78" s="55">
        <v>3518.0</v>
      </c>
      <c r="P78" s="31">
        <f t="shared" si="1"/>
        <v>1562</v>
      </c>
      <c r="Q78" s="31">
        <f t="shared" si="2"/>
        <v>1562</v>
      </c>
      <c r="R78" s="31">
        <f t="shared" si="3"/>
        <v>6638</v>
      </c>
      <c r="S78" s="9">
        <v>155.0</v>
      </c>
      <c r="U78" s="56"/>
      <c r="V78" s="56"/>
    </row>
    <row r="79" ht="15.75" customHeight="1">
      <c r="A79" s="34">
        <v>20903.0</v>
      </c>
      <c r="B79" s="35" t="s">
        <v>94</v>
      </c>
      <c r="C79" s="28">
        <v>2306.0</v>
      </c>
      <c r="D79" s="28">
        <v>1520.0</v>
      </c>
      <c r="E79" s="28">
        <v>11.0</v>
      </c>
      <c r="F79" s="28">
        <v>3.0</v>
      </c>
      <c r="G79" s="28">
        <v>8.0</v>
      </c>
      <c r="H79" s="28">
        <v>764.0</v>
      </c>
      <c r="I79" s="28">
        <v>4142.0</v>
      </c>
      <c r="J79" s="28">
        <v>2864.0</v>
      </c>
      <c r="K79" s="28">
        <v>25.0</v>
      </c>
      <c r="L79" s="28">
        <v>63.0</v>
      </c>
      <c r="M79" s="28">
        <v>39.0</v>
      </c>
      <c r="N79" s="28">
        <v>1151.0</v>
      </c>
      <c r="O79" s="55">
        <v>1598.0</v>
      </c>
      <c r="P79" s="31">
        <f t="shared" si="1"/>
        <v>1266</v>
      </c>
      <c r="Q79" s="31">
        <f t="shared" si="2"/>
        <v>1266</v>
      </c>
      <c r="R79" s="31">
        <f t="shared" si="3"/>
        <v>4142</v>
      </c>
      <c r="S79" s="9">
        <v>77.0</v>
      </c>
      <c r="U79" s="56"/>
      <c r="V79" s="56"/>
    </row>
    <row r="80" ht="15.75" customHeight="1">
      <c r="A80" s="26">
        <v>20904.0</v>
      </c>
      <c r="B80" s="27" t="s">
        <v>95</v>
      </c>
      <c r="C80" s="28">
        <v>1234.0</v>
      </c>
      <c r="D80" s="28">
        <v>729.0</v>
      </c>
      <c r="E80" s="28">
        <v>99.0</v>
      </c>
      <c r="F80" s="28">
        <v>18.0</v>
      </c>
      <c r="G80" s="28">
        <v>52.0</v>
      </c>
      <c r="H80" s="28">
        <v>336.0</v>
      </c>
      <c r="I80" s="28">
        <v>1777.0</v>
      </c>
      <c r="J80" s="28">
        <v>1040.0</v>
      </c>
      <c r="K80" s="28">
        <v>49.0</v>
      </c>
      <c r="L80" s="28">
        <v>56.0</v>
      </c>
      <c r="M80" s="28">
        <v>22.0</v>
      </c>
      <c r="N80" s="28">
        <v>610.0</v>
      </c>
      <c r="O80" s="55">
        <v>252.0</v>
      </c>
      <c r="P80" s="31">
        <f t="shared" si="1"/>
        <v>788</v>
      </c>
      <c r="Q80" s="31">
        <f t="shared" si="2"/>
        <v>788</v>
      </c>
      <c r="R80" s="31">
        <f t="shared" si="3"/>
        <v>1777</v>
      </c>
      <c r="S80" s="9">
        <v>141.0</v>
      </c>
      <c r="U80" s="56"/>
      <c r="V80" s="56"/>
    </row>
    <row r="81" ht="15.75" customHeight="1">
      <c r="A81" s="34">
        <v>20905.0</v>
      </c>
      <c r="B81" s="35" t="s">
        <v>96</v>
      </c>
      <c r="C81" s="28">
        <v>3070.0</v>
      </c>
      <c r="D81" s="28">
        <v>2409.0</v>
      </c>
      <c r="E81" s="28">
        <v>4.0</v>
      </c>
      <c r="F81" s="28">
        <v>6.0</v>
      </c>
      <c r="G81" s="28">
        <v>1.0</v>
      </c>
      <c r="H81" s="28">
        <v>650.0</v>
      </c>
      <c r="I81" s="28">
        <v>4892.0</v>
      </c>
      <c r="J81" s="28">
        <v>4132.0</v>
      </c>
      <c r="K81" s="28">
        <v>9.0</v>
      </c>
      <c r="L81" s="28">
        <v>47.0</v>
      </c>
      <c r="M81" s="28">
        <v>13.0</v>
      </c>
      <c r="N81" s="28">
        <v>691.0</v>
      </c>
      <c r="O81" s="55">
        <v>2002.0</v>
      </c>
      <c r="P81" s="31">
        <f t="shared" si="1"/>
        <v>2130</v>
      </c>
      <c r="Q81" s="31">
        <f t="shared" si="2"/>
        <v>2130</v>
      </c>
      <c r="R81" s="31">
        <f t="shared" si="3"/>
        <v>4892</v>
      </c>
      <c r="S81" s="9">
        <v>241.0</v>
      </c>
      <c r="U81" s="56"/>
      <c r="V81" s="56"/>
    </row>
    <row r="82" ht="15.75" customHeight="1">
      <c r="A82" s="26">
        <v>21001.0</v>
      </c>
      <c r="B82" s="27" t="s">
        <v>97</v>
      </c>
      <c r="C82" s="28">
        <v>4894.0</v>
      </c>
      <c r="D82" s="28">
        <v>1107.0</v>
      </c>
      <c r="E82" s="28">
        <v>86.0</v>
      </c>
      <c r="F82" s="28">
        <v>505.0</v>
      </c>
      <c r="G82" s="28">
        <v>140.0</v>
      </c>
      <c r="H82" s="28">
        <v>3056.0</v>
      </c>
      <c r="I82" s="28">
        <v>7144.0</v>
      </c>
      <c r="J82" s="28">
        <v>3536.0</v>
      </c>
      <c r="K82" s="28">
        <v>109.0</v>
      </c>
      <c r="L82" s="28">
        <v>1186.0</v>
      </c>
      <c r="M82" s="28">
        <v>109.0</v>
      </c>
      <c r="N82" s="28">
        <v>2204.0</v>
      </c>
      <c r="O82" s="55">
        <v>2635.0</v>
      </c>
      <c r="P82" s="31">
        <f t="shared" si="1"/>
        <v>901</v>
      </c>
      <c r="Q82" s="31">
        <f t="shared" si="2"/>
        <v>901</v>
      </c>
      <c r="R82" s="31">
        <f t="shared" si="3"/>
        <v>7144</v>
      </c>
      <c r="S82" s="9">
        <v>106.0</v>
      </c>
      <c r="U82" s="56"/>
      <c r="V82" s="56"/>
    </row>
    <row r="83" ht="15.75" customHeight="1">
      <c r="A83" s="34">
        <v>21002.0</v>
      </c>
      <c r="B83" s="35" t="s">
        <v>98</v>
      </c>
      <c r="C83" s="28">
        <v>3387.0</v>
      </c>
      <c r="D83" s="28">
        <v>2395.0</v>
      </c>
      <c r="E83" s="28">
        <v>34.0</v>
      </c>
      <c r="F83" s="28">
        <v>34.0</v>
      </c>
      <c r="G83" s="28">
        <v>52.0</v>
      </c>
      <c r="H83" s="28">
        <v>872.0</v>
      </c>
      <c r="I83" s="28">
        <v>4434.0</v>
      </c>
      <c r="J83" s="28">
        <v>3434.0</v>
      </c>
      <c r="K83" s="28">
        <v>72.0</v>
      </c>
      <c r="L83" s="28">
        <v>103.0</v>
      </c>
      <c r="M83" s="28">
        <v>70.0</v>
      </c>
      <c r="N83" s="28">
        <v>755.0</v>
      </c>
      <c r="O83" s="55">
        <v>2110.0</v>
      </c>
      <c r="P83" s="31">
        <f t="shared" si="1"/>
        <v>1324</v>
      </c>
      <c r="Q83" s="31">
        <f t="shared" si="2"/>
        <v>1324</v>
      </c>
      <c r="R83" s="31">
        <f t="shared" si="3"/>
        <v>4434</v>
      </c>
      <c r="S83" s="9">
        <v>221.0</v>
      </c>
      <c r="U83" s="56"/>
      <c r="V83" s="56"/>
    </row>
    <row r="84" ht="15.75" customHeight="1">
      <c r="A84" s="26">
        <v>21003.0</v>
      </c>
      <c r="B84" s="27" t="s">
        <v>99</v>
      </c>
      <c r="C84" s="28">
        <v>3019.0</v>
      </c>
      <c r="D84" s="28">
        <v>2490.0</v>
      </c>
      <c r="E84" s="28">
        <v>11.0</v>
      </c>
      <c r="F84" s="28">
        <v>10.0</v>
      </c>
      <c r="G84" s="28">
        <v>24.0</v>
      </c>
      <c r="H84" s="28">
        <v>484.0</v>
      </c>
      <c r="I84" s="28">
        <v>5809.0</v>
      </c>
      <c r="J84" s="28">
        <v>4995.0</v>
      </c>
      <c r="K84" s="28">
        <v>22.0</v>
      </c>
      <c r="L84" s="28">
        <v>60.0</v>
      </c>
      <c r="M84" s="28">
        <v>6.0</v>
      </c>
      <c r="N84" s="28">
        <v>726.0</v>
      </c>
      <c r="O84" s="55">
        <v>3257.0</v>
      </c>
      <c r="P84" s="31">
        <f t="shared" si="1"/>
        <v>1738</v>
      </c>
      <c r="Q84" s="31">
        <f t="shared" si="2"/>
        <v>1738</v>
      </c>
      <c r="R84" s="31">
        <f t="shared" si="3"/>
        <v>5809</v>
      </c>
      <c r="S84" s="9">
        <v>480.0</v>
      </c>
      <c r="U84" s="56"/>
      <c r="V84" s="56"/>
    </row>
    <row r="85" ht="15.75" customHeight="1">
      <c r="A85" s="34">
        <v>21004.0</v>
      </c>
      <c r="B85" s="35" t="s">
        <v>100</v>
      </c>
      <c r="C85" s="28">
        <v>5830.0</v>
      </c>
      <c r="D85" s="28">
        <v>4497.0</v>
      </c>
      <c r="E85" s="28">
        <v>7.0</v>
      </c>
      <c r="F85" s="28">
        <v>14.0</v>
      </c>
      <c r="G85" s="28">
        <v>10.0</v>
      </c>
      <c r="H85" s="28">
        <v>1302.0</v>
      </c>
      <c r="I85" s="28">
        <v>7870.0</v>
      </c>
      <c r="J85" s="28">
        <v>6428.0</v>
      </c>
      <c r="K85" s="28">
        <v>20.0</v>
      </c>
      <c r="L85" s="28">
        <v>88.0</v>
      </c>
      <c r="M85" s="28">
        <v>27.0</v>
      </c>
      <c r="N85" s="28">
        <v>1307.0</v>
      </c>
      <c r="O85" s="55">
        <v>1947.0</v>
      </c>
      <c r="P85" s="31">
        <f t="shared" si="1"/>
        <v>4481</v>
      </c>
      <c r="Q85" s="31">
        <f t="shared" si="2"/>
        <v>4481</v>
      </c>
      <c r="R85" s="31">
        <f t="shared" si="3"/>
        <v>7870</v>
      </c>
      <c r="S85" s="9">
        <v>70.0</v>
      </c>
      <c r="U85" s="56"/>
      <c r="V85" s="56"/>
    </row>
    <row r="86" ht="15.75" customHeight="1">
      <c r="A86" s="26">
        <v>21005.0</v>
      </c>
      <c r="B86" s="27" t="s">
        <v>101</v>
      </c>
      <c r="C86" s="28">
        <v>1695.0</v>
      </c>
      <c r="D86" s="28">
        <v>781.0</v>
      </c>
      <c r="E86" s="28">
        <v>6.0</v>
      </c>
      <c r="F86" s="28">
        <v>1.0</v>
      </c>
      <c r="G86" s="28">
        <v>8.0</v>
      </c>
      <c r="H86" s="28">
        <v>899.0</v>
      </c>
      <c r="I86" s="28">
        <v>3455.0</v>
      </c>
      <c r="J86" s="28">
        <v>2057.0</v>
      </c>
      <c r="K86" s="28">
        <v>31.0</v>
      </c>
      <c r="L86" s="28">
        <v>52.0</v>
      </c>
      <c r="M86" s="28">
        <v>11.0</v>
      </c>
      <c r="N86" s="28">
        <v>1304.0</v>
      </c>
      <c r="O86" s="55">
        <v>1077.0</v>
      </c>
      <c r="P86" s="31">
        <f t="shared" si="1"/>
        <v>980</v>
      </c>
      <c r="Q86" s="31">
        <f t="shared" si="2"/>
        <v>980</v>
      </c>
      <c r="R86" s="31">
        <f t="shared" si="3"/>
        <v>3455</v>
      </c>
      <c r="S86" s="9">
        <v>78.0</v>
      </c>
      <c r="U86" s="56"/>
      <c r="V86" s="56"/>
    </row>
    <row r="87" ht="15.75" customHeight="1">
      <c r="A87" s="34">
        <v>21006.0</v>
      </c>
      <c r="B87" s="35" t="s">
        <v>102</v>
      </c>
      <c r="C87" s="28">
        <v>1021.0</v>
      </c>
      <c r="D87" s="28">
        <v>561.0</v>
      </c>
      <c r="E87" s="28">
        <v>3.0</v>
      </c>
      <c r="F87" s="28">
        <v>5.0</v>
      </c>
      <c r="G87" s="28">
        <v>1.0</v>
      </c>
      <c r="H87" s="28">
        <v>451.0</v>
      </c>
      <c r="I87" s="28">
        <v>1871.0</v>
      </c>
      <c r="J87" s="28">
        <v>1585.0</v>
      </c>
      <c r="K87" s="28">
        <v>12.0</v>
      </c>
      <c r="L87" s="28">
        <v>6.0</v>
      </c>
      <c r="M87" s="28">
        <v>5.0</v>
      </c>
      <c r="N87" s="28">
        <v>263.0</v>
      </c>
      <c r="O87" s="55">
        <v>790.0</v>
      </c>
      <c r="P87" s="31">
        <f t="shared" si="1"/>
        <v>795</v>
      </c>
      <c r="Q87" s="31">
        <f t="shared" si="2"/>
        <v>795</v>
      </c>
      <c r="R87" s="31">
        <f t="shared" si="3"/>
        <v>1871</v>
      </c>
      <c r="S87" s="9">
        <v>306.5</v>
      </c>
      <c r="U87" s="56"/>
      <c r="V87" s="56"/>
    </row>
    <row r="88" ht="15.75" customHeight="1">
      <c r="A88" s="26">
        <v>21101.0</v>
      </c>
      <c r="B88" s="27" t="s">
        <v>103</v>
      </c>
      <c r="C88" s="28">
        <v>6079.0</v>
      </c>
      <c r="D88" s="28">
        <v>4871.0</v>
      </c>
      <c r="E88" s="28">
        <v>12.0</v>
      </c>
      <c r="F88" s="28">
        <v>16.0</v>
      </c>
      <c r="G88" s="28">
        <v>27.0</v>
      </c>
      <c r="H88" s="28">
        <v>1153.0</v>
      </c>
      <c r="I88" s="28">
        <v>7214.0</v>
      </c>
      <c r="J88" s="28">
        <v>6533.0</v>
      </c>
      <c r="K88" s="28">
        <v>53.0</v>
      </c>
      <c r="L88" s="28">
        <v>25.0</v>
      </c>
      <c r="M88" s="28">
        <v>17.0</v>
      </c>
      <c r="N88" s="28">
        <v>586.0</v>
      </c>
      <c r="O88" s="55">
        <v>5678.0</v>
      </c>
      <c r="P88" s="31">
        <f t="shared" si="1"/>
        <v>855</v>
      </c>
      <c r="Q88" s="31">
        <f t="shared" si="2"/>
        <v>855</v>
      </c>
      <c r="R88" s="31">
        <f t="shared" si="3"/>
        <v>7214</v>
      </c>
      <c r="S88" s="9">
        <v>523.0</v>
      </c>
      <c r="U88" s="56"/>
      <c r="V88" s="56"/>
    </row>
    <row r="89" ht="15.75" customHeight="1">
      <c r="A89" s="34">
        <v>21102.0</v>
      </c>
      <c r="B89" s="35" t="s">
        <v>104</v>
      </c>
      <c r="C89" s="28">
        <v>6499.0</v>
      </c>
      <c r="D89" s="28">
        <v>4033.0</v>
      </c>
      <c r="E89" s="28">
        <v>75.0</v>
      </c>
      <c r="F89" s="28">
        <v>151.0</v>
      </c>
      <c r="G89" s="28">
        <v>69.0</v>
      </c>
      <c r="H89" s="28">
        <v>2171.0</v>
      </c>
      <c r="I89" s="28">
        <v>9458.0</v>
      </c>
      <c r="J89" s="28">
        <v>7801.0</v>
      </c>
      <c r="K89" s="28">
        <v>55.0</v>
      </c>
      <c r="L89" s="28">
        <v>102.0</v>
      </c>
      <c r="M89" s="28">
        <v>37.0</v>
      </c>
      <c r="N89" s="28">
        <v>1463.0</v>
      </c>
      <c r="O89" s="55">
        <v>5368.0</v>
      </c>
      <c r="P89" s="31">
        <f t="shared" si="1"/>
        <v>2433</v>
      </c>
      <c r="Q89" s="31">
        <f t="shared" si="2"/>
        <v>2433</v>
      </c>
      <c r="R89" s="31">
        <f t="shared" si="3"/>
        <v>9458</v>
      </c>
      <c r="S89" s="9">
        <v>413.0</v>
      </c>
      <c r="U89" s="56"/>
      <c r="V89" s="56"/>
    </row>
    <row r="90" ht="15.75" customHeight="1">
      <c r="A90" s="26">
        <v>21103.0</v>
      </c>
      <c r="B90" s="27" t="s">
        <v>105</v>
      </c>
      <c r="C90" s="28">
        <v>2308.0</v>
      </c>
      <c r="D90" s="28">
        <v>1938.0</v>
      </c>
      <c r="E90" s="28">
        <v>8.0</v>
      </c>
      <c r="F90" s="28">
        <v>14.0</v>
      </c>
      <c r="G90" s="28">
        <v>3.0</v>
      </c>
      <c r="H90" s="28">
        <v>345.0</v>
      </c>
      <c r="I90" s="28">
        <v>2998.0</v>
      </c>
      <c r="J90" s="28">
        <v>2470.0</v>
      </c>
      <c r="K90" s="28">
        <v>71.0</v>
      </c>
      <c r="L90" s="28">
        <v>41.0</v>
      </c>
      <c r="M90" s="28">
        <v>115.0</v>
      </c>
      <c r="N90" s="28">
        <v>301.0</v>
      </c>
      <c r="O90" s="55">
        <v>1431.0</v>
      </c>
      <c r="P90" s="31">
        <f t="shared" si="1"/>
        <v>1039</v>
      </c>
      <c r="Q90" s="31">
        <f t="shared" si="2"/>
        <v>1039</v>
      </c>
      <c r="R90" s="31">
        <f t="shared" si="3"/>
        <v>2998</v>
      </c>
      <c r="S90" s="9">
        <v>446.0</v>
      </c>
      <c r="U90" s="56"/>
      <c r="V90" s="56"/>
    </row>
    <row r="91" ht="15.75" customHeight="1">
      <c r="A91" s="34">
        <v>21104.0</v>
      </c>
      <c r="B91" s="35" t="s">
        <v>106</v>
      </c>
      <c r="C91" s="28">
        <v>9246.0</v>
      </c>
      <c r="D91" s="28">
        <v>4908.0</v>
      </c>
      <c r="E91" s="28">
        <v>69.0</v>
      </c>
      <c r="F91" s="28">
        <v>39.0</v>
      </c>
      <c r="G91" s="28">
        <v>80.0</v>
      </c>
      <c r="H91" s="28">
        <v>4150.0</v>
      </c>
      <c r="I91" s="28">
        <v>11630.0</v>
      </c>
      <c r="J91" s="28">
        <v>7134.0</v>
      </c>
      <c r="K91" s="28">
        <v>64.0</v>
      </c>
      <c r="L91" s="28">
        <v>188.0</v>
      </c>
      <c r="M91" s="28">
        <v>127.0</v>
      </c>
      <c r="N91" s="28">
        <v>4117.0</v>
      </c>
      <c r="O91" s="55">
        <v>6488.0</v>
      </c>
      <c r="P91" s="31">
        <f t="shared" si="1"/>
        <v>646</v>
      </c>
      <c r="Q91" s="31">
        <f t="shared" si="2"/>
        <v>646</v>
      </c>
      <c r="R91" s="31">
        <f t="shared" si="3"/>
        <v>11630</v>
      </c>
      <c r="S91" s="9">
        <v>532.0</v>
      </c>
      <c r="U91" s="56"/>
      <c r="V91" s="56"/>
    </row>
    <row r="92" ht="15.75" customHeight="1">
      <c r="A92" s="26">
        <v>21105.0</v>
      </c>
      <c r="B92" s="27" t="s">
        <v>107</v>
      </c>
      <c r="C92" s="28">
        <v>13638.0</v>
      </c>
      <c r="D92" s="28">
        <v>1307.0</v>
      </c>
      <c r="E92" s="28">
        <v>1624.0</v>
      </c>
      <c r="F92" s="28">
        <v>300.0</v>
      </c>
      <c r="G92" s="28">
        <v>1986.0</v>
      </c>
      <c r="H92" s="28">
        <v>8421.0</v>
      </c>
      <c r="I92" s="28">
        <v>18380.0</v>
      </c>
      <c r="J92" s="28">
        <v>13089.0</v>
      </c>
      <c r="K92" s="28">
        <v>131.0</v>
      </c>
      <c r="L92" s="28">
        <v>572.0</v>
      </c>
      <c r="M92" s="28">
        <v>72.0</v>
      </c>
      <c r="N92" s="28">
        <v>4516.0</v>
      </c>
      <c r="O92" s="55">
        <v>11847.0</v>
      </c>
      <c r="P92" s="31">
        <f t="shared" si="1"/>
        <v>1242</v>
      </c>
      <c r="Q92" s="31">
        <f t="shared" si="2"/>
        <v>1242</v>
      </c>
      <c r="R92" s="31">
        <f t="shared" si="3"/>
        <v>18380</v>
      </c>
      <c r="S92" s="9">
        <v>420.0</v>
      </c>
      <c r="U92" s="56"/>
      <c r="V92" s="56"/>
    </row>
    <row r="93" ht="15.75" customHeight="1">
      <c r="A93" s="34">
        <v>21201.0</v>
      </c>
      <c r="B93" s="35" t="s">
        <v>108</v>
      </c>
      <c r="C93" s="28">
        <v>11121.0</v>
      </c>
      <c r="D93" s="28">
        <v>7055.0</v>
      </c>
      <c r="E93" s="28">
        <v>25.0</v>
      </c>
      <c r="F93" s="28">
        <v>102.0</v>
      </c>
      <c r="G93" s="28">
        <v>166.0</v>
      </c>
      <c r="H93" s="28">
        <v>3773.0</v>
      </c>
      <c r="I93" s="28">
        <v>21459.0</v>
      </c>
      <c r="J93" s="28">
        <v>15390.0</v>
      </c>
      <c r="K93" s="28">
        <v>62.0</v>
      </c>
      <c r="L93" s="28">
        <v>312.0</v>
      </c>
      <c r="M93" s="28">
        <v>307.0</v>
      </c>
      <c r="N93" s="28">
        <v>5388.0</v>
      </c>
      <c r="O93" s="55">
        <v>28597.0</v>
      </c>
      <c r="P93" s="31">
        <f t="shared" si="1"/>
        <v>-13207</v>
      </c>
      <c r="Q93" s="55" t="str">
        <f t="shared" si="2"/>
        <v/>
      </c>
      <c r="R93" s="31">
        <f t="shared" si="3"/>
        <v>34666</v>
      </c>
      <c r="S93" s="9">
        <v>175.0</v>
      </c>
      <c r="U93" s="56"/>
      <c r="V93" s="56"/>
    </row>
    <row r="94" ht="15.75" customHeight="1">
      <c r="A94" s="26">
        <v>21202.0</v>
      </c>
      <c r="B94" s="27" t="s">
        <v>109</v>
      </c>
      <c r="C94" s="28">
        <v>7761.0</v>
      </c>
      <c r="D94" s="28">
        <v>5379.0</v>
      </c>
      <c r="E94" s="28">
        <v>9.0</v>
      </c>
      <c r="F94" s="28">
        <v>21.0</v>
      </c>
      <c r="G94" s="28">
        <v>51.0</v>
      </c>
      <c r="H94" s="28">
        <v>2301.0</v>
      </c>
      <c r="I94" s="28">
        <v>13613.0</v>
      </c>
      <c r="J94" s="28">
        <v>10527.0</v>
      </c>
      <c r="K94" s="28">
        <v>47.0</v>
      </c>
      <c r="L94" s="28">
        <v>153.0</v>
      </c>
      <c r="M94" s="28">
        <v>148.0</v>
      </c>
      <c r="N94" s="28">
        <v>2738.0</v>
      </c>
      <c r="O94" s="55">
        <v>8171.0</v>
      </c>
      <c r="P94" s="31">
        <f t="shared" si="1"/>
        <v>2356</v>
      </c>
      <c r="Q94" s="31">
        <f t="shared" si="2"/>
        <v>2356</v>
      </c>
      <c r="R94" s="31">
        <f t="shared" si="3"/>
        <v>13613</v>
      </c>
      <c r="S94" s="9">
        <v>141.0</v>
      </c>
      <c r="U94" s="56"/>
      <c r="V94" s="56"/>
    </row>
    <row r="95" ht="15.75" customHeight="1">
      <c r="A95" s="34">
        <v>21203.0</v>
      </c>
      <c r="B95" s="35" t="s">
        <v>110</v>
      </c>
      <c r="C95" s="28">
        <v>6062.0</v>
      </c>
      <c r="D95" s="28">
        <v>4344.0</v>
      </c>
      <c r="E95" s="28">
        <v>4.0</v>
      </c>
      <c r="F95" s="28">
        <v>12.0</v>
      </c>
      <c r="G95" s="28">
        <v>57.0</v>
      </c>
      <c r="H95" s="28">
        <v>1645.0</v>
      </c>
      <c r="I95" s="28">
        <v>8503.0</v>
      </c>
      <c r="J95" s="28">
        <v>6509.0</v>
      </c>
      <c r="K95" s="28">
        <v>22.0</v>
      </c>
      <c r="L95" s="28">
        <v>93.0</v>
      </c>
      <c r="M95" s="28">
        <v>63.0</v>
      </c>
      <c r="N95" s="28">
        <v>1816.0</v>
      </c>
      <c r="O95" s="55">
        <v>5010.0</v>
      </c>
      <c r="P95" s="31">
        <f t="shared" si="1"/>
        <v>1499</v>
      </c>
      <c r="Q95" s="31">
        <f t="shared" si="2"/>
        <v>1499</v>
      </c>
      <c r="R95" s="31">
        <f t="shared" si="3"/>
        <v>8503</v>
      </c>
      <c r="S95" s="9">
        <v>157.0</v>
      </c>
      <c r="U95" s="56"/>
      <c r="V95" s="56"/>
    </row>
    <row r="96" ht="15.75" customHeight="1">
      <c r="A96" s="26">
        <v>21204.0</v>
      </c>
      <c r="B96" s="27" t="s">
        <v>111</v>
      </c>
      <c r="C96" s="28">
        <v>2348.0</v>
      </c>
      <c r="D96" s="28">
        <v>1762.0</v>
      </c>
      <c r="E96" s="28">
        <v>4.0</v>
      </c>
      <c r="F96" s="28">
        <v>3.0</v>
      </c>
      <c r="G96" s="28">
        <v>30.0</v>
      </c>
      <c r="H96" s="28">
        <v>549.0</v>
      </c>
      <c r="I96" s="28">
        <v>3188.0</v>
      </c>
      <c r="J96" s="28">
        <v>2497.0</v>
      </c>
      <c r="K96" s="28">
        <v>6.0</v>
      </c>
      <c r="L96" s="28">
        <v>31.0</v>
      </c>
      <c r="M96" s="28">
        <v>26.0</v>
      </c>
      <c r="N96" s="28">
        <v>628.0</v>
      </c>
      <c r="O96" s="55">
        <v>0.0</v>
      </c>
      <c r="P96" s="31">
        <f t="shared" si="1"/>
        <v>2497</v>
      </c>
      <c r="Q96" s="31">
        <f t="shared" si="2"/>
        <v>2497</v>
      </c>
      <c r="R96" s="31">
        <f t="shared" si="3"/>
        <v>3188</v>
      </c>
      <c r="S96" s="9">
        <v>0.0</v>
      </c>
      <c r="U96" s="56"/>
      <c r="V96" s="56"/>
    </row>
    <row r="97" ht="15.75" customHeight="1">
      <c r="A97" s="34">
        <v>21301.0</v>
      </c>
      <c r="B97" s="35" t="s">
        <v>112</v>
      </c>
      <c r="C97" s="28">
        <v>9420.0</v>
      </c>
      <c r="D97" s="28">
        <v>6169.0</v>
      </c>
      <c r="E97" s="28">
        <v>20.0</v>
      </c>
      <c r="F97" s="28">
        <v>13.0</v>
      </c>
      <c r="G97" s="28">
        <v>61.0</v>
      </c>
      <c r="H97" s="28">
        <v>3157.0</v>
      </c>
      <c r="I97" s="28">
        <v>12627.0</v>
      </c>
      <c r="J97" s="28">
        <v>9370.0</v>
      </c>
      <c r="K97" s="28">
        <v>32.0</v>
      </c>
      <c r="L97" s="28">
        <v>94.0</v>
      </c>
      <c r="M97" s="28">
        <v>118.0</v>
      </c>
      <c r="N97" s="28">
        <v>3013.0</v>
      </c>
      <c r="O97" s="55">
        <v>5874.0</v>
      </c>
      <c r="P97" s="31">
        <f t="shared" si="1"/>
        <v>3496</v>
      </c>
      <c r="Q97" s="31">
        <f t="shared" si="2"/>
        <v>3496</v>
      </c>
      <c r="R97" s="31">
        <f t="shared" si="3"/>
        <v>12627</v>
      </c>
      <c r="S97" s="9">
        <v>123.0</v>
      </c>
      <c r="U97" s="56"/>
      <c r="V97" s="56"/>
    </row>
    <row r="98" ht="15.75" customHeight="1">
      <c r="A98" s="26">
        <v>21302.0</v>
      </c>
      <c r="B98" s="27" t="s">
        <v>113</v>
      </c>
      <c r="C98" s="28">
        <v>3249.0</v>
      </c>
      <c r="D98" s="28">
        <v>1814.0</v>
      </c>
      <c r="E98" s="28">
        <v>3.0</v>
      </c>
      <c r="F98" s="28">
        <v>9.0</v>
      </c>
      <c r="G98" s="28">
        <v>34.0</v>
      </c>
      <c r="H98" s="28">
        <v>1389.0</v>
      </c>
      <c r="I98" s="28">
        <v>3921.0</v>
      </c>
      <c r="J98" s="28">
        <v>2939.0</v>
      </c>
      <c r="K98" s="28">
        <v>6.0</v>
      </c>
      <c r="L98" s="28">
        <v>39.0</v>
      </c>
      <c r="M98" s="28">
        <v>21.0</v>
      </c>
      <c r="N98" s="28">
        <v>916.0</v>
      </c>
      <c r="O98" s="55">
        <v>2447.0</v>
      </c>
      <c r="P98" s="31">
        <f t="shared" si="1"/>
        <v>492</v>
      </c>
      <c r="Q98" s="31">
        <f t="shared" si="2"/>
        <v>492</v>
      </c>
      <c r="R98" s="31">
        <f t="shared" si="3"/>
        <v>3921</v>
      </c>
      <c r="S98" s="9">
        <v>56.0</v>
      </c>
      <c r="U98" s="56"/>
      <c r="V98" s="56"/>
    </row>
    <row r="99" ht="15.75" customHeight="1">
      <c r="A99" s="34">
        <v>21303.0</v>
      </c>
      <c r="B99" s="35" t="s">
        <v>114</v>
      </c>
      <c r="C99" s="28">
        <v>2823.0</v>
      </c>
      <c r="D99" s="28">
        <v>1618.0</v>
      </c>
      <c r="E99" s="28">
        <v>8.0</v>
      </c>
      <c r="F99" s="28">
        <v>14.0</v>
      </c>
      <c r="G99" s="28">
        <v>58.0</v>
      </c>
      <c r="H99" s="28">
        <v>1125.0</v>
      </c>
      <c r="I99" s="28">
        <v>4794.0</v>
      </c>
      <c r="J99" s="28">
        <v>3104.0</v>
      </c>
      <c r="K99" s="28">
        <v>11.0</v>
      </c>
      <c r="L99" s="28">
        <v>52.0</v>
      </c>
      <c r="M99" s="28">
        <v>53.0</v>
      </c>
      <c r="N99" s="28">
        <v>1574.0</v>
      </c>
      <c r="O99" s="55">
        <v>2053.0</v>
      </c>
      <c r="P99" s="31">
        <f t="shared" si="1"/>
        <v>1051</v>
      </c>
      <c r="Q99" s="31">
        <f t="shared" si="2"/>
        <v>1051</v>
      </c>
      <c r="R99" s="31">
        <f t="shared" si="3"/>
        <v>4794</v>
      </c>
      <c r="S99" s="9">
        <v>80.0</v>
      </c>
      <c r="U99" s="56"/>
      <c r="V99" s="56"/>
    </row>
    <row r="100" ht="15.75" customHeight="1">
      <c r="A100" s="26">
        <v>21304.0</v>
      </c>
      <c r="B100" s="27" t="s">
        <v>115</v>
      </c>
      <c r="C100" s="28">
        <v>3827.0</v>
      </c>
      <c r="D100" s="28">
        <v>2471.0</v>
      </c>
      <c r="E100" s="28">
        <v>16.0</v>
      </c>
      <c r="F100" s="28">
        <v>12.0</v>
      </c>
      <c r="G100" s="28">
        <v>56.0</v>
      </c>
      <c r="H100" s="28">
        <v>1272.0</v>
      </c>
      <c r="I100" s="28">
        <v>5467.0</v>
      </c>
      <c r="J100" s="28">
        <v>4308.0</v>
      </c>
      <c r="K100" s="28">
        <v>11.0</v>
      </c>
      <c r="L100" s="28">
        <v>33.0</v>
      </c>
      <c r="M100" s="28">
        <v>70.0</v>
      </c>
      <c r="N100" s="28">
        <v>1045.0</v>
      </c>
      <c r="O100" s="55">
        <v>3131.0</v>
      </c>
      <c r="P100" s="31">
        <f t="shared" si="1"/>
        <v>1177</v>
      </c>
      <c r="Q100" s="31">
        <f t="shared" si="2"/>
        <v>1177</v>
      </c>
      <c r="R100" s="31">
        <f t="shared" si="3"/>
        <v>5467</v>
      </c>
      <c r="S100" s="9">
        <v>112.0</v>
      </c>
      <c r="U100" s="56"/>
      <c r="V100" s="56"/>
    </row>
    <row r="101" ht="15.75" customHeight="1">
      <c r="A101" s="34">
        <v>21305.0</v>
      </c>
      <c r="B101" s="35" t="s">
        <v>116</v>
      </c>
      <c r="C101" s="28">
        <v>7497.0</v>
      </c>
      <c r="D101" s="28">
        <v>5507.0</v>
      </c>
      <c r="E101" s="28">
        <v>24.0</v>
      </c>
      <c r="F101" s="28">
        <v>10.0</v>
      </c>
      <c r="G101" s="28">
        <v>57.0</v>
      </c>
      <c r="H101" s="28">
        <v>1899.0</v>
      </c>
      <c r="I101" s="28">
        <v>9347.0</v>
      </c>
      <c r="J101" s="28">
        <v>7763.0</v>
      </c>
      <c r="K101" s="28">
        <v>23.0</v>
      </c>
      <c r="L101" s="28">
        <v>45.0</v>
      </c>
      <c r="M101" s="28">
        <v>77.0</v>
      </c>
      <c r="N101" s="28">
        <v>1439.0</v>
      </c>
      <c r="O101" s="55">
        <v>7201.0</v>
      </c>
      <c r="P101" s="31">
        <f t="shared" si="1"/>
        <v>562</v>
      </c>
      <c r="Q101" s="31">
        <f t="shared" si="2"/>
        <v>562</v>
      </c>
      <c r="R101" s="31">
        <f t="shared" si="3"/>
        <v>9347</v>
      </c>
      <c r="S101" s="9">
        <v>240.0</v>
      </c>
      <c r="U101" s="56"/>
      <c r="V101" s="56"/>
    </row>
    <row r="102" ht="15.75" customHeight="1">
      <c r="A102" s="26">
        <v>21306.0</v>
      </c>
      <c r="B102" s="27" t="s">
        <v>117</v>
      </c>
      <c r="C102" s="28">
        <v>3200.0</v>
      </c>
      <c r="D102" s="28">
        <v>1843.0</v>
      </c>
      <c r="E102" s="28">
        <v>4.0</v>
      </c>
      <c r="F102" s="28">
        <v>5.0</v>
      </c>
      <c r="G102" s="28">
        <v>55.0</v>
      </c>
      <c r="H102" s="28">
        <v>1293.0</v>
      </c>
      <c r="I102" s="28">
        <v>4480.0</v>
      </c>
      <c r="J102" s="28">
        <v>3240.0</v>
      </c>
      <c r="K102" s="28">
        <v>16.0</v>
      </c>
      <c r="L102" s="28">
        <v>106.0</v>
      </c>
      <c r="M102" s="28">
        <v>56.0</v>
      </c>
      <c r="N102" s="28">
        <v>1062.0</v>
      </c>
      <c r="O102" s="55">
        <v>2142.0</v>
      </c>
      <c r="P102" s="31">
        <f t="shared" si="1"/>
        <v>1098</v>
      </c>
      <c r="Q102" s="31">
        <f t="shared" si="2"/>
        <v>1098</v>
      </c>
      <c r="R102" s="31">
        <f t="shared" si="3"/>
        <v>4480</v>
      </c>
      <c r="S102" s="9">
        <v>158.0</v>
      </c>
      <c r="U102" s="56"/>
      <c r="V102" s="56"/>
    </row>
    <row r="103" ht="15.75" customHeight="1">
      <c r="A103" s="34">
        <v>21307.0</v>
      </c>
      <c r="B103" s="35" t="s">
        <v>118</v>
      </c>
      <c r="C103" s="28">
        <v>1272.0</v>
      </c>
      <c r="D103" s="28">
        <v>842.0</v>
      </c>
      <c r="E103" s="28">
        <v>3.0</v>
      </c>
      <c r="F103" s="28">
        <v>10.0</v>
      </c>
      <c r="G103" s="28">
        <v>11.0</v>
      </c>
      <c r="H103" s="28">
        <v>406.0</v>
      </c>
      <c r="I103" s="28">
        <v>1653.0</v>
      </c>
      <c r="J103" s="28">
        <v>1352.0</v>
      </c>
      <c r="K103" s="28">
        <v>4.0</v>
      </c>
      <c r="L103" s="28">
        <v>34.0</v>
      </c>
      <c r="M103" s="28">
        <v>20.0</v>
      </c>
      <c r="N103" s="28">
        <v>243.0</v>
      </c>
      <c r="O103" s="55">
        <v>656.0</v>
      </c>
      <c r="P103" s="31">
        <f t="shared" si="1"/>
        <v>696</v>
      </c>
      <c r="Q103" s="31">
        <f t="shared" si="2"/>
        <v>696</v>
      </c>
      <c r="R103" s="31">
        <f t="shared" si="3"/>
        <v>1653</v>
      </c>
      <c r="S103" s="9">
        <v>128.0</v>
      </c>
      <c r="U103" s="56"/>
      <c r="V103" s="56"/>
    </row>
    <row r="104" ht="15.75" customHeight="1">
      <c r="A104" s="26">
        <v>21401.0</v>
      </c>
      <c r="B104" s="27" t="s">
        <v>119</v>
      </c>
      <c r="C104" s="28">
        <v>6996.0</v>
      </c>
      <c r="D104" s="28">
        <v>4861.0</v>
      </c>
      <c r="E104" s="28">
        <v>60.0</v>
      </c>
      <c r="F104" s="28">
        <v>12.0</v>
      </c>
      <c r="G104" s="28">
        <v>130.0</v>
      </c>
      <c r="H104" s="28">
        <v>1933.0</v>
      </c>
      <c r="I104" s="28">
        <v>10376.0</v>
      </c>
      <c r="J104" s="28">
        <v>7872.0</v>
      </c>
      <c r="K104" s="28">
        <v>104.0</v>
      </c>
      <c r="L104" s="28">
        <v>192.0</v>
      </c>
      <c r="M104" s="28">
        <v>69.0</v>
      </c>
      <c r="N104" s="28">
        <v>2139.0</v>
      </c>
      <c r="O104" s="55">
        <v>6635.0</v>
      </c>
      <c r="P104" s="31">
        <f t="shared" si="1"/>
        <v>1237</v>
      </c>
      <c r="Q104" s="31">
        <f t="shared" si="2"/>
        <v>1237</v>
      </c>
      <c r="R104" s="31">
        <f t="shared" si="3"/>
        <v>10376</v>
      </c>
      <c r="S104" s="9">
        <v>462.0</v>
      </c>
      <c r="U104" s="56"/>
      <c r="V104" s="56"/>
    </row>
    <row r="105" ht="15.75" customHeight="1">
      <c r="A105" s="34">
        <v>21402.0</v>
      </c>
      <c r="B105" s="35" t="s">
        <v>120</v>
      </c>
      <c r="C105" s="28">
        <v>5380.0</v>
      </c>
      <c r="D105" s="28">
        <v>4629.0</v>
      </c>
      <c r="E105" s="28">
        <v>24.0</v>
      </c>
      <c r="F105" s="28">
        <v>16.0</v>
      </c>
      <c r="G105" s="28">
        <v>5.0</v>
      </c>
      <c r="H105" s="28">
        <v>706.0</v>
      </c>
      <c r="I105" s="28">
        <v>8913.0</v>
      </c>
      <c r="J105" s="28">
        <v>7919.0</v>
      </c>
      <c r="K105" s="28">
        <v>253.0</v>
      </c>
      <c r="L105" s="28">
        <v>51.0</v>
      </c>
      <c r="M105" s="28">
        <v>118.0</v>
      </c>
      <c r="N105" s="28">
        <v>572.0</v>
      </c>
      <c r="O105" s="55">
        <v>5147.0</v>
      </c>
      <c r="P105" s="31">
        <f t="shared" si="1"/>
        <v>2772</v>
      </c>
      <c r="Q105" s="31">
        <f t="shared" si="2"/>
        <v>2772</v>
      </c>
      <c r="R105" s="31">
        <f t="shared" si="3"/>
        <v>8913</v>
      </c>
      <c r="S105" s="9">
        <v>487.0</v>
      </c>
      <c r="U105" s="56"/>
      <c r="V105" s="56"/>
    </row>
    <row r="106" ht="15.75" customHeight="1">
      <c r="A106" s="26">
        <v>21501.0</v>
      </c>
      <c r="B106" s="27" t="s">
        <v>121</v>
      </c>
      <c r="C106" s="28">
        <v>2270.0</v>
      </c>
      <c r="D106" s="28">
        <v>834.0</v>
      </c>
      <c r="E106" s="28">
        <v>315.0</v>
      </c>
      <c r="F106" s="28">
        <v>49.0</v>
      </c>
      <c r="G106" s="28">
        <v>86.0</v>
      </c>
      <c r="H106" s="28">
        <v>986.0</v>
      </c>
      <c r="I106" s="28">
        <v>3306.0</v>
      </c>
      <c r="J106" s="28">
        <v>1470.0</v>
      </c>
      <c r="K106" s="28">
        <v>337.0</v>
      </c>
      <c r="L106" s="28">
        <v>353.0</v>
      </c>
      <c r="M106" s="28">
        <v>103.0</v>
      </c>
      <c r="N106" s="28">
        <v>1043.0</v>
      </c>
      <c r="O106" s="55">
        <v>1449.0</v>
      </c>
      <c r="P106" s="31">
        <f t="shared" si="1"/>
        <v>21</v>
      </c>
      <c r="Q106" s="31">
        <f t="shared" si="2"/>
        <v>21</v>
      </c>
      <c r="R106" s="31">
        <f t="shared" si="3"/>
        <v>3306</v>
      </c>
      <c r="S106" s="9">
        <v>692.0</v>
      </c>
      <c r="U106" s="56"/>
      <c r="V106" s="56"/>
    </row>
    <row r="107" ht="15.75" customHeight="1">
      <c r="A107" s="34">
        <v>21502.0</v>
      </c>
      <c r="B107" s="35" t="s">
        <v>122</v>
      </c>
      <c r="C107" s="28">
        <v>2005.0</v>
      </c>
      <c r="D107" s="28">
        <v>1186.0</v>
      </c>
      <c r="E107" s="28">
        <v>85.0</v>
      </c>
      <c r="F107" s="28">
        <v>37.0</v>
      </c>
      <c r="G107" s="28">
        <v>35.0</v>
      </c>
      <c r="H107" s="28">
        <v>662.0</v>
      </c>
      <c r="I107" s="28">
        <v>2849.0</v>
      </c>
      <c r="J107" s="28">
        <v>2480.0</v>
      </c>
      <c r="K107" s="28">
        <v>13.0</v>
      </c>
      <c r="L107" s="28">
        <v>20.0</v>
      </c>
      <c r="M107" s="28">
        <v>6.0</v>
      </c>
      <c r="N107" s="28">
        <v>330.0</v>
      </c>
      <c r="O107" s="55">
        <v>2144.0</v>
      </c>
      <c r="P107" s="31">
        <f t="shared" si="1"/>
        <v>336</v>
      </c>
      <c r="Q107" s="31">
        <f t="shared" si="2"/>
        <v>336</v>
      </c>
      <c r="R107" s="31">
        <f t="shared" si="3"/>
        <v>2849</v>
      </c>
      <c r="S107" s="9">
        <v>608.0</v>
      </c>
      <c r="U107" s="56"/>
      <c r="V107" s="56"/>
    </row>
    <row r="108" ht="15.75" customHeight="1">
      <c r="A108" s="26">
        <v>21601.0</v>
      </c>
      <c r="B108" s="27" t="s">
        <v>123</v>
      </c>
      <c r="C108" s="28">
        <v>3550.0</v>
      </c>
      <c r="D108" s="28">
        <v>1834.0</v>
      </c>
      <c r="E108" s="28">
        <v>27.0</v>
      </c>
      <c r="F108" s="28">
        <v>47.0</v>
      </c>
      <c r="G108" s="28">
        <v>44.0</v>
      </c>
      <c r="H108" s="28">
        <v>1598.0</v>
      </c>
      <c r="I108" s="28">
        <v>5022.0</v>
      </c>
      <c r="J108" s="28">
        <v>3863.0</v>
      </c>
      <c r="K108" s="28">
        <v>10.0</v>
      </c>
      <c r="L108" s="28">
        <v>49.0</v>
      </c>
      <c r="M108" s="28">
        <v>30.0</v>
      </c>
      <c r="N108" s="28">
        <v>1070.0</v>
      </c>
      <c r="O108" s="55">
        <v>2440.0</v>
      </c>
      <c r="P108" s="31">
        <f t="shared" si="1"/>
        <v>1423</v>
      </c>
      <c r="Q108" s="31">
        <f t="shared" si="2"/>
        <v>1423</v>
      </c>
      <c r="R108" s="31">
        <f t="shared" si="3"/>
        <v>5022</v>
      </c>
      <c r="S108" s="9">
        <v>125.0</v>
      </c>
      <c r="U108" s="56"/>
      <c r="V108" s="56"/>
    </row>
    <row r="109" ht="15.75" customHeight="1">
      <c r="A109" s="34">
        <v>21602.0</v>
      </c>
      <c r="B109" s="35" t="s">
        <v>124</v>
      </c>
      <c r="C109" s="28">
        <v>982.0</v>
      </c>
      <c r="D109" s="28">
        <v>426.0</v>
      </c>
      <c r="E109" s="28">
        <v>4.0</v>
      </c>
      <c r="F109" s="28">
        <v>37.0</v>
      </c>
      <c r="G109" s="28">
        <v>35.0</v>
      </c>
      <c r="H109" s="28">
        <v>480.0</v>
      </c>
      <c r="I109" s="28">
        <v>1656.0</v>
      </c>
      <c r="J109" s="28">
        <v>1017.0</v>
      </c>
      <c r="K109" s="28">
        <v>5.0</v>
      </c>
      <c r="L109" s="28">
        <v>77.0</v>
      </c>
      <c r="M109" s="28">
        <v>12.0</v>
      </c>
      <c r="N109" s="28">
        <v>545.0</v>
      </c>
      <c r="O109" s="55">
        <v>552.0</v>
      </c>
      <c r="P109" s="31">
        <f t="shared" si="1"/>
        <v>465</v>
      </c>
      <c r="Q109" s="31">
        <f t="shared" si="2"/>
        <v>465</v>
      </c>
      <c r="R109" s="31">
        <f t="shared" si="3"/>
        <v>1656</v>
      </c>
      <c r="S109" s="9">
        <v>135.0</v>
      </c>
      <c r="U109" s="56"/>
      <c r="V109" s="56"/>
    </row>
    <row r="110" ht="15.75" customHeight="1">
      <c r="A110" s="26">
        <v>21701.0</v>
      </c>
      <c r="B110" s="27" t="s">
        <v>125</v>
      </c>
      <c r="C110" s="28">
        <v>5144.0</v>
      </c>
      <c r="D110" s="28">
        <v>4068.0</v>
      </c>
      <c r="E110" s="28">
        <v>8.0</v>
      </c>
      <c r="F110" s="28">
        <v>32.0</v>
      </c>
      <c r="G110" s="28">
        <v>16.0</v>
      </c>
      <c r="H110" s="28">
        <v>1020.0</v>
      </c>
      <c r="I110" s="28">
        <v>6817.0</v>
      </c>
      <c r="J110" s="28">
        <v>5348.0</v>
      </c>
      <c r="K110" s="28">
        <v>11.0</v>
      </c>
      <c r="L110" s="28">
        <v>52.0</v>
      </c>
      <c r="M110" s="28">
        <v>45.0</v>
      </c>
      <c r="N110" s="28">
        <v>1361.0</v>
      </c>
      <c r="O110" s="55">
        <v>5226.0</v>
      </c>
      <c r="P110" s="31">
        <f t="shared" si="1"/>
        <v>122</v>
      </c>
      <c r="Q110" s="31">
        <f t="shared" si="2"/>
        <v>122</v>
      </c>
      <c r="R110" s="31">
        <f t="shared" si="3"/>
        <v>6817</v>
      </c>
      <c r="S110" s="9">
        <v>192.0</v>
      </c>
      <c r="U110" s="56"/>
      <c r="V110" s="56"/>
    </row>
    <row r="111" ht="15.75" customHeight="1">
      <c r="A111" s="34">
        <v>21702.0</v>
      </c>
      <c r="B111" s="35" t="s">
        <v>126</v>
      </c>
      <c r="C111" s="28">
        <v>2467.0</v>
      </c>
      <c r="D111" s="28">
        <v>1641.0</v>
      </c>
      <c r="E111" s="28">
        <v>3.0</v>
      </c>
      <c r="F111" s="28">
        <v>1.0</v>
      </c>
      <c r="G111" s="28">
        <v>16.0</v>
      </c>
      <c r="H111" s="28">
        <v>806.0</v>
      </c>
      <c r="I111" s="28">
        <v>3631.0</v>
      </c>
      <c r="J111" s="28">
        <v>2882.0</v>
      </c>
      <c r="K111" s="28">
        <v>4.0</v>
      </c>
      <c r="L111" s="28">
        <v>18.0</v>
      </c>
      <c r="M111" s="28">
        <v>18.0</v>
      </c>
      <c r="N111" s="28">
        <v>709.0</v>
      </c>
      <c r="O111" s="55">
        <v>1557.0</v>
      </c>
      <c r="P111" s="31">
        <f t="shared" si="1"/>
        <v>1325</v>
      </c>
      <c r="Q111" s="31">
        <f t="shared" si="2"/>
        <v>1325</v>
      </c>
      <c r="R111" s="31">
        <f t="shared" si="3"/>
        <v>3631</v>
      </c>
      <c r="S111" s="9">
        <v>100.0</v>
      </c>
      <c r="U111" s="56"/>
      <c r="V111" s="56"/>
    </row>
    <row r="112" ht="15.75" customHeight="1">
      <c r="A112" s="26">
        <v>21703.0</v>
      </c>
      <c r="B112" s="27" t="s">
        <v>127</v>
      </c>
      <c r="C112" s="28">
        <v>1295.0</v>
      </c>
      <c r="D112" s="28">
        <v>775.0</v>
      </c>
      <c r="E112" s="28">
        <v>1.0</v>
      </c>
      <c r="F112" s="28">
        <v>2.0</v>
      </c>
      <c r="G112" s="28">
        <v>21.0</v>
      </c>
      <c r="H112" s="28">
        <v>496.0</v>
      </c>
      <c r="I112" s="28">
        <v>1474.0</v>
      </c>
      <c r="J112" s="28">
        <v>1011.0</v>
      </c>
      <c r="K112" s="28">
        <v>2.0</v>
      </c>
      <c r="L112" s="28">
        <v>4.0</v>
      </c>
      <c r="M112" s="28">
        <v>11.0</v>
      </c>
      <c r="N112" s="28">
        <v>446.0</v>
      </c>
      <c r="O112" s="55">
        <v>514.0</v>
      </c>
      <c r="P112" s="31">
        <f t="shared" si="1"/>
        <v>497</v>
      </c>
      <c r="Q112" s="31">
        <f t="shared" si="2"/>
        <v>497</v>
      </c>
      <c r="R112" s="31">
        <f t="shared" si="3"/>
        <v>1474</v>
      </c>
      <c r="S112" s="9">
        <v>70.5</v>
      </c>
      <c r="U112" s="56"/>
      <c r="V112" s="56"/>
    </row>
    <row r="113" ht="15.75" customHeight="1">
      <c r="A113" s="34">
        <v>21801.0</v>
      </c>
      <c r="B113" s="35" t="s">
        <v>128</v>
      </c>
      <c r="C113" s="28">
        <v>2828.0</v>
      </c>
      <c r="D113" s="28">
        <v>1107.0</v>
      </c>
      <c r="E113" s="28">
        <v>3.0</v>
      </c>
      <c r="F113" s="28">
        <v>1.0</v>
      </c>
      <c r="G113" s="28">
        <v>137.0</v>
      </c>
      <c r="H113" s="28">
        <v>1580.0</v>
      </c>
      <c r="I113" s="28">
        <v>3484.0</v>
      </c>
      <c r="J113" s="28">
        <v>2542.0</v>
      </c>
      <c r="K113" s="28">
        <v>9.0</v>
      </c>
      <c r="L113" s="28">
        <v>23.0</v>
      </c>
      <c r="M113" s="28">
        <v>32.0</v>
      </c>
      <c r="N113" s="28">
        <v>878.0</v>
      </c>
      <c r="O113" s="55">
        <v>1501.0</v>
      </c>
      <c r="P113" s="31">
        <f t="shared" si="1"/>
        <v>1041</v>
      </c>
      <c r="Q113" s="31">
        <f t="shared" si="2"/>
        <v>1041</v>
      </c>
      <c r="R113" s="31">
        <f t="shared" si="3"/>
        <v>3484</v>
      </c>
      <c r="S113" s="9">
        <v>78.0</v>
      </c>
      <c r="U113" s="56"/>
      <c r="V113" s="56"/>
    </row>
    <row r="114" ht="15.75" customHeight="1">
      <c r="A114" s="26">
        <v>21802.0</v>
      </c>
      <c r="B114" s="27" t="s">
        <v>129</v>
      </c>
      <c r="C114" s="28">
        <v>2429.0</v>
      </c>
      <c r="D114" s="28">
        <v>1142.0</v>
      </c>
      <c r="E114" s="28">
        <v>5.0</v>
      </c>
      <c r="F114" s="28">
        <v>2.0</v>
      </c>
      <c r="G114" s="28">
        <v>63.0</v>
      </c>
      <c r="H114" s="28">
        <v>1217.0</v>
      </c>
      <c r="I114" s="28">
        <v>2888.0</v>
      </c>
      <c r="J114" s="28">
        <v>1970.0</v>
      </c>
      <c r="K114" s="28">
        <v>7.0</v>
      </c>
      <c r="L114" s="28">
        <v>34.0</v>
      </c>
      <c r="M114" s="28">
        <v>15.0</v>
      </c>
      <c r="N114" s="28">
        <v>862.0</v>
      </c>
      <c r="O114" s="55">
        <v>1343.0</v>
      </c>
      <c r="P114" s="31">
        <f t="shared" si="1"/>
        <v>627</v>
      </c>
      <c r="Q114" s="31">
        <f t="shared" si="2"/>
        <v>627</v>
      </c>
      <c r="R114" s="31">
        <f t="shared" si="3"/>
        <v>2888</v>
      </c>
      <c r="S114" s="9">
        <v>67.0</v>
      </c>
      <c r="U114" s="56"/>
      <c r="V114" s="56"/>
    </row>
    <row r="115" ht="15.75" customHeight="1">
      <c r="A115" s="34">
        <v>21803.0</v>
      </c>
      <c r="B115" s="35" t="s">
        <v>130</v>
      </c>
      <c r="C115" s="28">
        <v>769.0</v>
      </c>
      <c r="D115" s="28">
        <v>449.0</v>
      </c>
      <c r="E115" s="28">
        <v>1.0</v>
      </c>
      <c r="F115" s="28">
        <v>2.0</v>
      </c>
      <c r="G115" s="28">
        <v>0.0</v>
      </c>
      <c r="H115" s="28">
        <v>317.0</v>
      </c>
      <c r="I115" s="28">
        <v>881.0</v>
      </c>
      <c r="J115" s="28">
        <v>549.0</v>
      </c>
      <c r="K115" s="28">
        <v>14.0</v>
      </c>
      <c r="L115" s="28">
        <v>5.0</v>
      </c>
      <c r="M115" s="28">
        <v>0.0</v>
      </c>
      <c r="N115" s="28">
        <v>313.0</v>
      </c>
      <c r="O115" s="55">
        <v>327.0</v>
      </c>
      <c r="P115" s="31">
        <f t="shared" si="1"/>
        <v>222</v>
      </c>
      <c r="Q115" s="31">
        <f t="shared" si="2"/>
        <v>222</v>
      </c>
      <c r="R115" s="31">
        <f t="shared" si="3"/>
        <v>881</v>
      </c>
      <c r="S115" s="9">
        <v>63.0</v>
      </c>
      <c r="U115" s="56"/>
      <c r="V115" s="56"/>
    </row>
    <row r="116" ht="15.75" customHeight="1">
      <c r="A116" s="26">
        <v>21901.0</v>
      </c>
      <c r="B116" s="27" t="s">
        <v>131</v>
      </c>
      <c r="C116" s="28">
        <v>1830.0</v>
      </c>
      <c r="D116" s="28">
        <v>517.0</v>
      </c>
      <c r="E116" s="28">
        <v>1.0</v>
      </c>
      <c r="F116" s="28">
        <v>63.0</v>
      </c>
      <c r="G116" s="28">
        <v>185.0</v>
      </c>
      <c r="H116" s="28">
        <v>1064.0</v>
      </c>
      <c r="I116" s="28">
        <v>2956.0</v>
      </c>
      <c r="J116" s="28">
        <v>2180.0</v>
      </c>
      <c r="K116" s="28">
        <v>9.0</v>
      </c>
      <c r="L116" s="28">
        <v>47.0</v>
      </c>
      <c r="M116" s="28">
        <v>9.0</v>
      </c>
      <c r="N116" s="28">
        <v>711.0</v>
      </c>
      <c r="O116" s="55">
        <v>1695.0</v>
      </c>
      <c r="P116" s="31">
        <f t="shared" si="1"/>
        <v>485</v>
      </c>
      <c r="Q116" s="31">
        <f t="shared" si="2"/>
        <v>485</v>
      </c>
      <c r="R116" s="31">
        <f t="shared" si="3"/>
        <v>2956</v>
      </c>
      <c r="S116" s="9">
        <v>53.0</v>
      </c>
      <c r="U116" s="56"/>
      <c r="V116" s="56"/>
    </row>
    <row r="117" ht="15.75" customHeight="1">
      <c r="A117" s="34">
        <v>21902.0</v>
      </c>
      <c r="B117" s="35" t="s">
        <v>132</v>
      </c>
      <c r="C117" s="28">
        <v>736.0</v>
      </c>
      <c r="D117" s="28">
        <v>374.0</v>
      </c>
      <c r="E117" s="28">
        <v>0.0</v>
      </c>
      <c r="F117" s="28">
        <v>8.0</v>
      </c>
      <c r="G117" s="28">
        <v>16.0</v>
      </c>
      <c r="H117" s="28">
        <v>338.0</v>
      </c>
      <c r="I117" s="28">
        <v>1695.0</v>
      </c>
      <c r="J117" s="28">
        <v>1235.0</v>
      </c>
      <c r="K117" s="28">
        <v>7.0</v>
      </c>
      <c r="L117" s="28">
        <v>61.0</v>
      </c>
      <c r="M117" s="28">
        <v>12.0</v>
      </c>
      <c r="N117" s="28">
        <v>380.0</v>
      </c>
      <c r="O117" s="55">
        <v>284.0</v>
      </c>
      <c r="P117" s="31">
        <f t="shared" si="1"/>
        <v>951</v>
      </c>
      <c r="Q117" s="31">
        <f t="shared" si="2"/>
        <v>951</v>
      </c>
      <c r="R117" s="31">
        <f t="shared" si="3"/>
        <v>1695</v>
      </c>
      <c r="S117" s="9">
        <v>78.0</v>
      </c>
      <c r="U117" s="56"/>
      <c r="V117" s="56"/>
    </row>
    <row r="118" ht="15.75" customHeight="1">
      <c r="A118" s="26">
        <v>22001.0</v>
      </c>
      <c r="B118" s="27" t="s">
        <v>133</v>
      </c>
      <c r="C118" s="28">
        <v>17021.0</v>
      </c>
      <c r="D118" s="28">
        <v>9633.0</v>
      </c>
      <c r="E118" s="28">
        <v>106.0</v>
      </c>
      <c r="F118" s="28">
        <v>308.0</v>
      </c>
      <c r="G118" s="28">
        <v>171.0</v>
      </c>
      <c r="H118" s="28">
        <v>6803.0</v>
      </c>
      <c r="I118" s="28">
        <v>21081.0</v>
      </c>
      <c r="J118" s="28">
        <v>17101.0</v>
      </c>
      <c r="K118" s="28">
        <v>33.0</v>
      </c>
      <c r="L118" s="28">
        <v>184.0</v>
      </c>
      <c r="M118" s="28">
        <v>203.0</v>
      </c>
      <c r="N118" s="28">
        <v>3560.0</v>
      </c>
      <c r="O118" s="55">
        <v>14439.0</v>
      </c>
      <c r="P118" s="31">
        <f t="shared" si="1"/>
        <v>2662</v>
      </c>
      <c r="Q118" s="31">
        <f t="shared" si="2"/>
        <v>2662</v>
      </c>
      <c r="R118" s="31">
        <f t="shared" si="3"/>
        <v>21081</v>
      </c>
      <c r="S118" s="9">
        <v>361.0</v>
      </c>
      <c r="U118" s="56"/>
      <c r="V118" s="56"/>
    </row>
    <row r="119" ht="15.75" customHeight="1">
      <c r="A119" s="34">
        <v>22002.0</v>
      </c>
      <c r="B119" s="35" t="s">
        <v>134</v>
      </c>
      <c r="C119" s="28">
        <v>4210.0</v>
      </c>
      <c r="D119" s="28">
        <v>1807.0</v>
      </c>
      <c r="E119" s="28">
        <v>27.0</v>
      </c>
      <c r="F119" s="28">
        <v>32.0</v>
      </c>
      <c r="G119" s="28">
        <v>90.0</v>
      </c>
      <c r="H119" s="28">
        <v>2254.0</v>
      </c>
      <c r="I119" s="28">
        <v>4491.0</v>
      </c>
      <c r="J119" s="28">
        <v>2622.0</v>
      </c>
      <c r="K119" s="28">
        <v>20.0</v>
      </c>
      <c r="L119" s="28">
        <v>96.0</v>
      </c>
      <c r="M119" s="28">
        <v>26.0</v>
      </c>
      <c r="N119" s="28">
        <v>1727.0</v>
      </c>
      <c r="O119" s="55">
        <v>2232.0</v>
      </c>
      <c r="P119" s="31">
        <f t="shared" si="1"/>
        <v>390</v>
      </c>
      <c r="Q119" s="31">
        <f t="shared" si="2"/>
        <v>390</v>
      </c>
      <c r="R119" s="31">
        <f t="shared" si="3"/>
        <v>4491</v>
      </c>
      <c r="S119" s="9">
        <v>466.5</v>
      </c>
      <c r="U119" s="56"/>
      <c r="V119" s="56"/>
    </row>
    <row r="120" ht="15.75" customHeight="1">
      <c r="A120" s="26">
        <v>30101.0</v>
      </c>
      <c r="B120" s="27" t="s">
        <v>135</v>
      </c>
      <c r="C120" s="28">
        <v>177376.0</v>
      </c>
      <c r="D120" s="28">
        <v>169837.0</v>
      </c>
      <c r="E120" s="28">
        <v>299.0</v>
      </c>
      <c r="F120" s="28">
        <v>32.0</v>
      </c>
      <c r="G120" s="28">
        <v>204.0</v>
      </c>
      <c r="H120" s="28">
        <v>7004.0</v>
      </c>
      <c r="I120" s="28">
        <v>212273.0</v>
      </c>
      <c r="J120" s="28">
        <v>205803.0</v>
      </c>
      <c r="K120" s="28">
        <v>605.0</v>
      </c>
      <c r="L120" s="28">
        <v>807.0</v>
      </c>
      <c r="M120" s="28">
        <v>427.0</v>
      </c>
      <c r="N120" s="28">
        <v>4631.0</v>
      </c>
      <c r="O120" s="55">
        <v>261402.0</v>
      </c>
      <c r="P120" s="31">
        <f t="shared" si="1"/>
        <v>-55599</v>
      </c>
      <c r="Q120" s="55" t="str">
        <f t="shared" si="2"/>
        <v/>
      </c>
      <c r="R120" s="31">
        <f t="shared" si="3"/>
        <v>267872</v>
      </c>
      <c r="S120" s="9">
        <v>909.0</v>
      </c>
      <c r="U120" s="56"/>
      <c r="V120" s="56"/>
    </row>
    <row r="121" ht="15.75" customHeight="1">
      <c r="A121" s="34">
        <v>30201.0</v>
      </c>
      <c r="B121" s="35" t="s">
        <v>136</v>
      </c>
      <c r="C121" s="28">
        <v>6499.0</v>
      </c>
      <c r="D121" s="28">
        <v>3620.0</v>
      </c>
      <c r="E121" s="28">
        <v>35.0</v>
      </c>
      <c r="F121" s="28">
        <v>255.0</v>
      </c>
      <c r="G121" s="28">
        <v>83.0</v>
      </c>
      <c r="H121" s="28">
        <v>2506.0</v>
      </c>
      <c r="I121" s="28">
        <v>7123.0</v>
      </c>
      <c r="J121" s="28">
        <v>4854.0</v>
      </c>
      <c r="K121" s="28">
        <v>19.0</v>
      </c>
      <c r="L121" s="28">
        <v>727.0</v>
      </c>
      <c r="M121" s="28">
        <v>47.0</v>
      </c>
      <c r="N121" s="28">
        <v>1476.0</v>
      </c>
      <c r="O121" s="55">
        <v>5126.0</v>
      </c>
      <c r="P121" s="31">
        <f t="shared" si="1"/>
        <v>-272</v>
      </c>
      <c r="Q121" s="55" t="str">
        <f t="shared" si="2"/>
        <v/>
      </c>
      <c r="R121" s="31">
        <f t="shared" si="3"/>
        <v>7395</v>
      </c>
      <c r="S121" s="9">
        <v>434.0</v>
      </c>
      <c r="U121" s="56"/>
      <c r="V121" s="56"/>
    </row>
    <row r="122" ht="15.75" customHeight="1">
      <c r="A122" s="26">
        <v>30202.0</v>
      </c>
      <c r="B122" s="27" t="s">
        <v>137</v>
      </c>
      <c r="C122" s="28">
        <v>1537.0</v>
      </c>
      <c r="D122" s="28">
        <v>646.0</v>
      </c>
      <c r="E122" s="28">
        <v>9.0</v>
      </c>
      <c r="F122" s="28">
        <v>170.0</v>
      </c>
      <c r="G122" s="28">
        <v>12.0</v>
      </c>
      <c r="H122" s="28">
        <v>700.0</v>
      </c>
      <c r="I122" s="28">
        <v>1753.0</v>
      </c>
      <c r="J122" s="28">
        <v>742.0</v>
      </c>
      <c r="K122" s="28">
        <v>8.0</v>
      </c>
      <c r="L122" s="28">
        <v>470.0</v>
      </c>
      <c r="M122" s="28">
        <v>51.0</v>
      </c>
      <c r="N122" s="28">
        <v>482.0</v>
      </c>
      <c r="O122" s="55">
        <v>618.0</v>
      </c>
      <c r="P122" s="31">
        <f t="shared" si="1"/>
        <v>124</v>
      </c>
      <c r="Q122" s="31">
        <f t="shared" si="2"/>
        <v>124</v>
      </c>
      <c r="R122" s="31">
        <f t="shared" si="3"/>
        <v>1753</v>
      </c>
      <c r="S122" s="9">
        <v>355.5</v>
      </c>
      <c r="U122" s="56"/>
      <c r="V122" s="56"/>
    </row>
    <row r="123" ht="15.75" customHeight="1">
      <c r="A123" s="34">
        <v>30203.0</v>
      </c>
      <c r="B123" s="35" t="s">
        <v>138</v>
      </c>
      <c r="C123" s="28">
        <v>1434.0</v>
      </c>
      <c r="D123" s="28">
        <v>1036.0</v>
      </c>
      <c r="E123" s="28">
        <v>7.0</v>
      </c>
      <c r="F123" s="28">
        <v>38.0</v>
      </c>
      <c r="G123" s="28">
        <v>7.0</v>
      </c>
      <c r="H123" s="28">
        <v>346.0</v>
      </c>
      <c r="I123" s="28">
        <v>1920.0</v>
      </c>
      <c r="J123" s="28">
        <v>1616.0</v>
      </c>
      <c r="K123" s="28">
        <v>5.0</v>
      </c>
      <c r="L123" s="28">
        <v>95.0</v>
      </c>
      <c r="M123" s="28">
        <v>8.0</v>
      </c>
      <c r="N123" s="28">
        <v>196.0</v>
      </c>
      <c r="O123" s="55">
        <v>1491.0</v>
      </c>
      <c r="P123" s="31">
        <f t="shared" si="1"/>
        <v>125</v>
      </c>
      <c r="Q123" s="31">
        <f t="shared" si="2"/>
        <v>125</v>
      </c>
      <c r="R123" s="31">
        <f t="shared" si="3"/>
        <v>1920</v>
      </c>
      <c r="S123" s="9">
        <v>417.0</v>
      </c>
      <c r="U123" s="56"/>
      <c r="V123" s="56"/>
    </row>
    <row r="124" ht="15.75" customHeight="1">
      <c r="A124" s="26">
        <v>30301.0</v>
      </c>
      <c r="B124" s="27" t="s">
        <v>139</v>
      </c>
      <c r="C124" s="28">
        <v>7347.0</v>
      </c>
      <c r="D124" s="28">
        <v>3299.0</v>
      </c>
      <c r="E124" s="28">
        <v>35.0</v>
      </c>
      <c r="F124" s="28">
        <v>64.0</v>
      </c>
      <c r="G124" s="28">
        <v>124.0</v>
      </c>
      <c r="H124" s="28">
        <v>3825.0</v>
      </c>
      <c r="I124" s="28">
        <v>8442.0</v>
      </c>
      <c r="J124" s="28">
        <v>5195.0</v>
      </c>
      <c r="K124" s="28">
        <v>32.0</v>
      </c>
      <c r="L124" s="28">
        <v>718.0</v>
      </c>
      <c r="M124" s="28">
        <v>82.0</v>
      </c>
      <c r="N124" s="28">
        <v>2415.0</v>
      </c>
      <c r="O124" s="55">
        <v>3867.0</v>
      </c>
      <c r="P124" s="31">
        <f t="shared" si="1"/>
        <v>1328</v>
      </c>
      <c r="Q124" s="31">
        <f t="shared" si="2"/>
        <v>1328</v>
      </c>
      <c r="R124" s="31">
        <f t="shared" si="3"/>
        <v>8442</v>
      </c>
      <c r="S124" s="9">
        <v>80.0</v>
      </c>
      <c r="U124" s="56"/>
      <c r="V124" s="56"/>
    </row>
    <row r="125" ht="15.75" customHeight="1">
      <c r="A125" s="34">
        <v>30302.0</v>
      </c>
      <c r="B125" s="35" t="s">
        <v>140</v>
      </c>
      <c r="C125" s="28">
        <v>3936.0</v>
      </c>
      <c r="D125" s="28">
        <v>1572.0</v>
      </c>
      <c r="E125" s="28">
        <v>25.0</v>
      </c>
      <c r="F125" s="28">
        <v>87.0</v>
      </c>
      <c r="G125" s="28">
        <v>113.0</v>
      </c>
      <c r="H125" s="28">
        <v>2139.0</v>
      </c>
      <c r="I125" s="28">
        <v>5081.0</v>
      </c>
      <c r="J125" s="28">
        <v>2538.0</v>
      </c>
      <c r="K125" s="28">
        <v>9.0</v>
      </c>
      <c r="L125" s="28">
        <v>539.0</v>
      </c>
      <c r="M125" s="28">
        <v>71.0</v>
      </c>
      <c r="N125" s="28">
        <v>1924.0</v>
      </c>
      <c r="O125" s="55">
        <v>2080.0</v>
      </c>
      <c r="P125" s="31">
        <f t="shared" si="1"/>
        <v>458</v>
      </c>
      <c r="Q125" s="31">
        <f t="shared" si="2"/>
        <v>458</v>
      </c>
      <c r="R125" s="31">
        <f t="shared" si="3"/>
        <v>5081</v>
      </c>
      <c r="S125" s="9">
        <v>57.0</v>
      </c>
      <c r="U125" s="56"/>
      <c r="V125" s="56"/>
    </row>
    <row r="126" ht="15.75" customHeight="1">
      <c r="A126" s="26">
        <v>30303.0</v>
      </c>
      <c r="B126" s="27" t="s">
        <v>141</v>
      </c>
      <c r="C126" s="28">
        <v>4920.0</v>
      </c>
      <c r="D126" s="28">
        <v>1060.0</v>
      </c>
      <c r="E126" s="28">
        <v>30.0</v>
      </c>
      <c r="F126" s="28">
        <v>1272.0</v>
      </c>
      <c r="G126" s="28">
        <v>110.0</v>
      </c>
      <c r="H126" s="28">
        <v>2448.0</v>
      </c>
      <c r="I126" s="28">
        <v>7511.0</v>
      </c>
      <c r="J126" s="28">
        <v>2875.0</v>
      </c>
      <c r="K126" s="28">
        <v>44.0</v>
      </c>
      <c r="L126" s="28">
        <v>1542.0</v>
      </c>
      <c r="M126" s="28">
        <v>134.0</v>
      </c>
      <c r="N126" s="28">
        <v>2916.0</v>
      </c>
      <c r="O126" s="55">
        <v>2339.0</v>
      </c>
      <c r="P126" s="31">
        <f t="shared" si="1"/>
        <v>536</v>
      </c>
      <c r="Q126" s="31">
        <f t="shared" si="2"/>
        <v>536</v>
      </c>
      <c r="R126" s="31">
        <f t="shared" si="3"/>
        <v>7511</v>
      </c>
      <c r="S126" s="9">
        <v>111.0</v>
      </c>
      <c r="U126" s="56"/>
      <c r="V126" s="56"/>
    </row>
    <row r="127" ht="15.75" customHeight="1">
      <c r="A127" s="34">
        <v>30401.0</v>
      </c>
      <c r="B127" s="35" t="s">
        <v>142</v>
      </c>
      <c r="C127" s="28">
        <v>2593.0</v>
      </c>
      <c r="D127" s="28">
        <v>1827.0</v>
      </c>
      <c r="E127" s="28">
        <v>4.0</v>
      </c>
      <c r="F127" s="28">
        <v>4.0</v>
      </c>
      <c r="G127" s="28">
        <v>7.0</v>
      </c>
      <c r="H127" s="28">
        <v>751.0</v>
      </c>
      <c r="I127" s="28">
        <v>4030.0</v>
      </c>
      <c r="J127" s="28">
        <v>3031.0</v>
      </c>
      <c r="K127" s="28">
        <v>5.0</v>
      </c>
      <c r="L127" s="28">
        <v>28.0</v>
      </c>
      <c r="M127" s="28">
        <v>9.0</v>
      </c>
      <c r="N127" s="28">
        <v>957.0</v>
      </c>
      <c r="O127" s="55">
        <v>3019.0</v>
      </c>
      <c r="P127" s="31">
        <f t="shared" si="1"/>
        <v>12</v>
      </c>
      <c r="Q127" s="31">
        <f t="shared" si="2"/>
        <v>12</v>
      </c>
      <c r="R127" s="31">
        <f t="shared" si="3"/>
        <v>4030</v>
      </c>
      <c r="S127" s="9">
        <v>369.0</v>
      </c>
      <c r="U127" s="56"/>
      <c r="V127" s="56"/>
    </row>
    <row r="128" ht="15.75" customHeight="1">
      <c r="A128" s="26">
        <v>30402.0</v>
      </c>
      <c r="B128" s="27" t="s">
        <v>143</v>
      </c>
      <c r="C128" s="28">
        <v>2636.0</v>
      </c>
      <c r="D128" s="28">
        <v>1092.0</v>
      </c>
      <c r="E128" s="28">
        <v>24.0</v>
      </c>
      <c r="F128" s="28">
        <v>228.0</v>
      </c>
      <c r="G128" s="28">
        <v>25.0</v>
      </c>
      <c r="H128" s="28">
        <v>1267.0</v>
      </c>
      <c r="I128" s="28">
        <v>3362.0</v>
      </c>
      <c r="J128" s="28">
        <v>1805.0</v>
      </c>
      <c r="K128" s="28">
        <v>4.0</v>
      </c>
      <c r="L128" s="28">
        <v>211.0</v>
      </c>
      <c r="M128" s="28">
        <v>44.0</v>
      </c>
      <c r="N128" s="28">
        <v>1298.0</v>
      </c>
      <c r="O128" s="55">
        <v>1615.0</v>
      </c>
      <c r="P128" s="31">
        <f t="shared" si="1"/>
        <v>190</v>
      </c>
      <c r="Q128" s="31">
        <f t="shared" si="2"/>
        <v>190</v>
      </c>
      <c r="R128" s="31">
        <f t="shared" si="3"/>
        <v>3362</v>
      </c>
      <c r="S128" s="9">
        <v>84.0</v>
      </c>
      <c r="U128" s="56"/>
      <c r="V128" s="56"/>
    </row>
    <row r="129" ht="15.75" customHeight="1">
      <c r="A129" s="34">
        <v>30403.0</v>
      </c>
      <c r="B129" s="35" t="s">
        <v>144</v>
      </c>
      <c r="C129" s="28">
        <v>5532.0</v>
      </c>
      <c r="D129" s="28">
        <v>4137.0</v>
      </c>
      <c r="E129" s="28">
        <v>18.0</v>
      </c>
      <c r="F129" s="28">
        <v>11.0</v>
      </c>
      <c r="G129" s="28">
        <v>34.0</v>
      </c>
      <c r="H129" s="28">
        <v>1332.0</v>
      </c>
      <c r="I129" s="28">
        <v>10848.0</v>
      </c>
      <c r="J129" s="28">
        <v>7558.0</v>
      </c>
      <c r="K129" s="28">
        <v>37.0</v>
      </c>
      <c r="L129" s="28">
        <v>118.0</v>
      </c>
      <c r="M129" s="28">
        <v>58.0</v>
      </c>
      <c r="N129" s="28">
        <v>3077.0</v>
      </c>
      <c r="O129" s="55">
        <v>6091.0</v>
      </c>
      <c r="P129" s="31">
        <f t="shared" si="1"/>
        <v>1467</v>
      </c>
      <c r="Q129" s="31">
        <f t="shared" si="2"/>
        <v>1467</v>
      </c>
      <c r="R129" s="31">
        <f t="shared" si="3"/>
        <v>10848</v>
      </c>
      <c r="S129" s="9">
        <v>341.0</v>
      </c>
      <c r="U129" s="56"/>
      <c r="V129" s="56"/>
    </row>
    <row r="130" ht="15.75" customHeight="1">
      <c r="A130" s="26">
        <v>30404.0</v>
      </c>
      <c r="B130" s="27" t="s">
        <v>145</v>
      </c>
      <c r="C130" s="28">
        <v>1473.0</v>
      </c>
      <c r="D130" s="28">
        <v>697.0</v>
      </c>
      <c r="E130" s="28">
        <v>0.0</v>
      </c>
      <c r="F130" s="28">
        <v>2.0</v>
      </c>
      <c r="G130" s="28">
        <v>3.0</v>
      </c>
      <c r="H130" s="28">
        <v>771.0</v>
      </c>
      <c r="I130" s="28">
        <v>1856.0</v>
      </c>
      <c r="J130" s="28">
        <v>987.0</v>
      </c>
      <c r="K130" s="28">
        <v>1.0</v>
      </c>
      <c r="L130" s="28">
        <v>14.0</v>
      </c>
      <c r="M130" s="28">
        <v>25.0</v>
      </c>
      <c r="N130" s="28">
        <v>829.0</v>
      </c>
      <c r="O130" s="55">
        <v>803.0</v>
      </c>
      <c r="P130" s="31">
        <f t="shared" si="1"/>
        <v>184</v>
      </c>
      <c r="Q130" s="31">
        <f t="shared" si="2"/>
        <v>184</v>
      </c>
      <c r="R130" s="31">
        <f t="shared" si="3"/>
        <v>1856</v>
      </c>
      <c r="S130" s="9">
        <v>87.0</v>
      </c>
      <c r="U130" s="56"/>
      <c r="V130" s="56"/>
    </row>
    <row r="131" ht="15.75" customHeight="1">
      <c r="A131" s="34">
        <v>30501.0</v>
      </c>
      <c r="B131" s="35" t="s">
        <v>146</v>
      </c>
      <c r="C131" s="28">
        <v>3144.0</v>
      </c>
      <c r="D131" s="28">
        <v>2606.0</v>
      </c>
      <c r="E131" s="28">
        <v>5.0</v>
      </c>
      <c r="F131" s="28">
        <v>0.0</v>
      </c>
      <c r="G131" s="28">
        <v>4.0</v>
      </c>
      <c r="H131" s="28">
        <v>529.0</v>
      </c>
      <c r="I131" s="28">
        <v>4241.0</v>
      </c>
      <c r="J131" s="28">
        <v>3744.0</v>
      </c>
      <c r="K131" s="28">
        <v>7.0</v>
      </c>
      <c r="L131" s="28">
        <v>15.0</v>
      </c>
      <c r="M131" s="28">
        <v>14.0</v>
      </c>
      <c r="N131" s="28">
        <v>461.0</v>
      </c>
      <c r="O131" s="55">
        <v>3984.0</v>
      </c>
      <c r="P131" s="31">
        <f t="shared" si="1"/>
        <v>-240</v>
      </c>
      <c r="Q131" s="55" t="str">
        <f t="shared" si="2"/>
        <v/>
      </c>
      <c r="R131" s="31">
        <f t="shared" si="3"/>
        <v>4481</v>
      </c>
      <c r="S131" s="9">
        <v>345.0</v>
      </c>
      <c r="U131" s="56"/>
      <c r="V131" s="56"/>
    </row>
    <row r="132" ht="15.75" customHeight="1">
      <c r="A132" s="26">
        <v>30502.0</v>
      </c>
      <c r="B132" s="27" t="s">
        <v>147</v>
      </c>
      <c r="C132" s="28">
        <v>3202.0</v>
      </c>
      <c r="D132" s="28">
        <v>2033.0</v>
      </c>
      <c r="E132" s="28">
        <v>6.0</v>
      </c>
      <c r="F132" s="28">
        <v>6.0</v>
      </c>
      <c r="G132" s="28">
        <v>52.0</v>
      </c>
      <c r="H132" s="28">
        <v>1105.0</v>
      </c>
      <c r="I132" s="28">
        <v>3606.0</v>
      </c>
      <c r="J132" s="28">
        <v>2570.0</v>
      </c>
      <c r="K132" s="28">
        <v>7.0</v>
      </c>
      <c r="L132" s="28">
        <v>71.0</v>
      </c>
      <c r="M132" s="28">
        <v>26.0</v>
      </c>
      <c r="N132" s="28">
        <v>932.0</v>
      </c>
      <c r="O132" s="55">
        <v>2662.0</v>
      </c>
      <c r="P132" s="31">
        <f t="shared" si="1"/>
        <v>-92</v>
      </c>
      <c r="Q132" s="55" t="str">
        <f t="shared" si="2"/>
        <v/>
      </c>
      <c r="R132" s="31">
        <f t="shared" si="3"/>
        <v>3698</v>
      </c>
      <c r="S132" s="9">
        <v>88.0</v>
      </c>
      <c r="U132" s="56"/>
      <c r="V132" s="56"/>
    </row>
    <row r="133" ht="15.75" customHeight="1">
      <c r="A133" s="34">
        <v>30601.0</v>
      </c>
      <c r="B133" s="35" t="s">
        <v>148</v>
      </c>
      <c r="C133" s="28">
        <v>3303.0</v>
      </c>
      <c r="D133" s="28">
        <v>1100.0</v>
      </c>
      <c r="E133" s="28">
        <v>13.0</v>
      </c>
      <c r="F133" s="28">
        <v>101.0</v>
      </c>
      <c r="G133" s="28">
        <v>142.0</v>
      </c>
      <c r="H133" s="28">
        <v>1947.0</v>
      </c>
      <c r="I133" s="28">
        <v>3900.0</v>
      </c>
      <c r="J133" s="28">
        <v>2201.0</v>
      </c>
      <c r="K133" s="28">
        <v>15.0</v>
      </c>
      <c r="L133" s="28">
        <v>233.0</v>
      </c>
      <c r="M133" s="28">
        <v>42.0</v>
      </c>
      <c r="N133" s="28">
        <v>1409.0</v>
      </c>
      <c r="O133" s="55">
        <v>1567.0</v>
      </c>
      <c r="P133" s="31">
        <f t="shared" si="1"/>
        <v>634</v>
      </c>
      <c r="Q133" s="31">
        <f t="shared" si="2"/>
        <v>634</v>
      </c>
      <c r="R133" s="31">
        <f t="shared" si="3"/>
        <v>3900</v>
      </c>
      <c r="S133" s="9">
        <v>83.0</v>
      </c>
      <c r="U133" s="56"/>
      <c r="V133" s="56"/>
    </row>
    <row r="134" ht="15.75" customHeight="1">
      <c r="A134" s="26">
        <v>30602.0</v>
      </c>
      <c r="B134" s="27" t="s">
        <v>149</v>
      </c>
      <c r="C134" s="28">
        <v>3337.0</v>
      </c>
      <c r="D134" s="28">
        <v>1094.0</v>
      </c>
      <c r="E134" s="28">
        <v>5.0</v>
      </c>
      <c r="F134" s="28">
        <v>360.0</v>
      </c>
      <c r="G134" s="28">
        <v>55.0</v>
      </c>
      <c r="H134" s="28">
        <v>1823.0</v>
      </c>
      <c r="I134" s="28">
        <v>4226.0</v>
      </c>
      <c r="J134" s="28">
        <v>2615.0</v>
      </c>
      <c r="K134" s="28">
        <v>8.0</v>
      </c>
      <c r="L134" s="28">
        <v>155.0</v>
      </c>
      <c r="M134" s="28">
        <v>38.0</v>
      </c>
      <c r="N134" s="28">
        <v>1410.0</v>
      </c>
      <c r="O134" s="55">
        <v>1995.0</v>
      </c>
      <c r="P134" s="31">
        <f t="shared" si="1"/>
        <v>620</v>
      </c>
      <c r="Q134" s="31">
        <f t="shared" si="2"/>
        <v>620</v>
      </c>
      <c r="R134" s="31">
        <f t="shared" si="3"/>
        <v>4226</v>
      </c>
      <c r="S134" s="9">
        <v>41.0</v>
      </c>
      <c r="U134" s="56"/>
      <c r="V134" s="56"/>
    </row>
    <row r="135" ht="15.75" customHeight="1">
      <c r="A135" s="34">
        <v>30701.0</v>
      </c>
      <c r="B135" s="35" t="s">
        <v>150</v>
      </c>
      <c r="C135" s="28">
        <v>5928.0</v>
      </c>
      <c r="D135" s="28">
        <v>4279.0</v>
      </c>
      <c r="E135" s="28">
        <v>14.0</v>
      </c>
      <c r="F135" s="28">
        <v>9.0</v>
      </c>
      <c r="G135" s="28">
        <v>67.0</v>
      </c>
      <c r="H135" s="28">
        <v>1559.0</v>
      </c>
      <c r="I135" s="28">
        <v>6991.0</v>
      </c>
      <c r="J135" s="28">
        <v>5398.0</v>
      </c>
      <c r="K135" s="28">
        <v>39.0</v>
      </c>
      <c r="L135" s="28">
        <v>70.0</v>
      </c>
      <c r="M135" s="28">
        <v>59.0</v>
      </c>
      <c r="N135" s="28">
        <v>1425.0</v>
      </c>
      <c r="O135" s="55">
        <v>5913.0</v>
      </c>
      <c r="P135" s="31">
        <f t="shared" si="1"/>
        <v>-515</v>
      </c>
      <c r="Q135" s="55" t="str">
        <f t="shared" si="2"/>
        <v/>
      </c>
      <c r="R135" s="31">
        <f t="shared" si="3"/>
        <v>7506</v>
      </c>
      <c r="S135" s="9">
        <v>462.0</v>
      </c>
      <c r="U135" s="56"/>
      <c r="V135" s="56"/>
    </row>
    <row r="136" ht="15.75" customHeight="1">
      <c r="A136" s="26">
        <v>30702.0</v>
      </c>
      <c r="B136" s="27" t="s">
        <v>151</v>
      </c>
      <c r="C136" s="28">
        <v>2403.0</v>
      </c>
      <c r="D136" s="28">
        <v>1664.0</v>
      </c>
      <c r="E136" s="28">
        <v>14.0</v>
      </c>
      <c r="F136" s="28">
        <v>8.0</v>
      </c>
      <c r="G136" s="28">
        <v>9.0</v>
      </c>
      <c r="H136" s="28">
        <v>708.0</v>
      </c>
      <c r="I136" s="28">
        <v>3008.0</v>
      </c>
      <c r="J136" s="28">
        <v>2495.0</v>
      </c>
      <c r="K136" s="28">
        <v>13.0</v>
      </c>
      <c r="L136" s="28">
        <v>40.0</v>
      </c>
      <c r="M136" s="28">
        <v>29.0</v>
      </c>
      <c r="N136" s="28">
        <v>431.0</v>
      </c>
      <c r="O136" s="55">
        <v>2613.0</v>
      </c>
      <c r="P136" s="31">
        <f t="shared" si="1"/>
        <v>-118</v>
      </c>
      <c r="Q136" s="55" t="str">
        <f t="shared" si="2"/>
        <v/>
      </c>
      <c r="R136" s="31">
        <f t="shared" si="3"/>
        <v>3126</v>
      </c>
      <c r="S136" s="9">
        <v>426.0</v>
      </c>
      <c r="U136" s="56"/>
      <c r="V136" s="56"/>
    </row>
    <row r="137" ht="15.75" customHeight="1">
      <c r="A137" s="34">
        <v>30703.0</v>
      </c>
      <c r="B137" s="35" t="s">
        <v>152</v>
      </c>
      <c r="C137" s="28">
        <v>1083.0</v>
      </c>
      <c r="D137" s="28">
        <v>565.0</v>
      </c>
      <c r="E137" s="28">
        <v>1.0</v>
      </c>
      <c r="F137" s="28">
        <v>4.0</v>
      </c>
      <c r="G137" s="28">
        <v>3.0</v>
      </c>
      <c r="H137" s="28">
        <v>510.0</v>
      </c>
      <c r="I137" s="28">
        <v>1319.0</v>
      </c>
      <c r="J137" s="28">
        <v>940.0</v>
      </c>
      <c r="K137" s="28">
        <v>3.0</v>
      </c>
      <c r="L137" s="28">
        <v>43.0</v>
      </c>
      <c r="M137" s="28">
        <v>38.0</v>
      </c>
      <c r="N137" s="28">
        <v>295.0</v>
      </c>
      <c r="O137" s="55">
        <v>807.0</v>
      </c>
      <c r="P137" s="31">
        <f t="shared" si="1"/>
        <v>133</v>
      </c>
      <c r="Q137" s="31">
        <f t="shared" si="2"/>
        <v>133</v>
      </c>
      <c r="R137" s="31">
        <f t="shared" si="3"/>
        <v>1319</v>
      </c>
      <c r="S137" s="9">
        <v>300.0</v>
      </c>
      <c r="U137" s="56"/>
      <c r="V137" s="56"/>
    </row>
    <row r="138" ht="15.75" customHeight="1">
      <c r="A138" s="26">
        <v>30801.0</v>
      </c>
      <c r="B138" s="27" t="s">
        <v>153</v>
      </c>
      <c r="C138" s="28">
        <v>5960.0</v>
      </c>
      <c r="D138" s="28">
        <v>5575.0</v>
      </c>
      <c r="E138" s="28">
        <v>14.0</v>
      </c>
      <c r="F138" s="28">
        <v>2.0</v>
      </c>
      <c r="G138" s="28">
        <v>4.0</v>
      </c>
      <c r="H138" s="28">
        <v>365.0</v>
      </c>
      <c r="I138" s="28">
        <v>6338.0</v>
      </c>
      <c r="J138" s="28">
        <v>6152.0</v>
      </c>
      <c r="K138" s="28">
        <v>11.0</v>
      </c>
      <c r="L138" s="28">
        <v>10.0</v>
      </c>
      <c r="M138" s="28">
        <v>2.0</v>
      </c>
      <c r="N138" s="28">
        <v>163.0</v>
      </c>
      <c r="O138" s="55">
        <v>7512.0</v>
      </c>
      <c r="P138" s="31">
        <f t="shared" si="1"/>
        <v>-1360</v>
      </c>
      <c r="Q138" s="55" t="str">
        <f t="shared" si="2"/>
        <v/>
      </c>
      <c r="R138" s="31">
        <f t="shared" si="3"/>
        <v>7698</v>
      </c>
      <c r="S138" s="9">
        <v>547.0</v>
      </c>
      <c r="U138" s="56"/>
      <c r="V138" s="56"/>
    </row>
    <row r="139" ht="15.75" customHeight="1">
      <c r="A139" s="34">
        <v>30802.0</v>
      </c>
      <c r="B139" s="35" t="s">
        <v>154</v>
      </c>
      <c r="C139" s="28">
        <v>2061.0</v>
      </c>
      <c r="D139" s="28">
        <v>1785.0</v>
      </c>
      <c r="E139" s="28">
        <v>1.0</v>
      </c>
      <c r="F139" s="28">
        <v>3.0</v>
      </c>
      <c r="G139" s="28">
        <v>7.0</v>
      </c>
      <c r="H139" s="28">
        <v>265.0</v>
      </c>
      <c r="I139" s="28">
        <v>2572.0</v>
      </c>
      <c r="J139" s="28">
        <v>2204.0</v>
      </c>
      <c r="K139" s="28">
        <v>6.0</v>
      </c>
      <c r="L139" s="28">
        <v>15.0</v>
      </c>
      <c r="M139" s="28">
        <v>8.0</v>
      </c>
      <c r="N139" s="28">
        <v>339.0</v>
      </c>
      <c r="O139" s="55">
        <v>1911.0</v>
      </c>
      <c r="P139" s="31">
        <f t="shared" si="1"/>
        <v>293</v>
      </c>
      <c r="Q139" s="31">
        <f t="shared" si="2"/>
        <v>293</v>
      </c>
      <c r="R139" s="31">
        <f t="shared" si="3"/>
        <v>2572</v>
      </c>
      <c r="S139" s="9">
        <v>318.0</v>
      </c>
      <c r="U139" s="56"/>
      <c r="V139" s="56"/>
    </row>
    <row r="140" ht="15.75" customHeight="1">
      <c r="A140" s="26">
        <v>30803.0</v>
      </c>
      <c r="B140" s="27" t="s">
        <v>155</v>
      </c>
      <c r="C140" s="28">
        <v>1470.0</v>
      </c>
      <c r="D140" s="28">
        <v>1385.0</v>
      </c>
      <c r="E140" s="28">
        <v>0.0</v>
      </c>
      <c r="F140" s="28">
        <v>3.0</v>
      </c>
      <c r="G140" s="28">
        <v>2.0</v>
      </c>
      <c r="H140" s="28">
        <v>80.0</v>
      </c>
      <c r="I140" s="28">
        <v>2516.0</v>
      </c>
      <c r="J140" s="28">
        <v>1909.0</v>
      </c>
      <c r="K140" s="28">
        <v>13.0</v>
      </c>
      <c r="L140" s="28">
        <v>38.0</v>
      </c>
      <c r="M140" s="28">
        <v>11.0</v>
      </c>
      <c r="N140" s="28">
        <v>545.0</v>
      </c>
      <c r="O140" s="55">
        <v>2609.0</v>
      </c>
      <c r="P140" s="31">
        <f t="shared" si="1"/>
        <v>-700</v>
      </c>
      <c r="Q140" s="55" t="str">
        <f t="shared" si="2"/>
        <v/>
      </c>
      <c r="R140" s="31">
        <f t="shared" si="3"/>
        <v>3216</v>
      </c>
      <c r="S140" s="9">
        <v>476.0</v>
      </c>
      <c r="U140" s="56"/>
      <c r="V140" s="56"/>
    </row>
    <row r="141" ht="15.75" customHeight="1">
      <c r="A141" s="34">
        <v>30901.0</v>
      </c>
      <c r="B141" s="35" t="s">
        <v>156</v>
      </c>
      <c r="C141" s="28">
        <v>35931.0</v>
      </c>
      <c r="D141" s="28">
        <v>34446.0</v>
      </c>
      <c r="E141" s="28">
        <v>51.0</v>
      </c>
      <c r="F141" s="28">
        <v>57.0</v>
      </c>
      <c r="G141" s="28">
        <v>68.0</v>
      </c>
      <c r="H141" s="28">
        <v>1309.0</v>
      </c>
      <c r="I141" s="28">
        <v>49171.0</v>
      </c>
      <c r="J141" s="28">
        <v>47490.0</v>
      </c>
      <c r="K141" s="28">
        <v>137.0</v>
      </c>
      <c r="L141" s="28">
        <v>363.0</v>
      </c>
      <c r="M141" s="28">
        <v>103.0</v>
      </c>
      <c r="N141" s="28">
        <v>1078.0</v>
      </c>
      <c r="O141" s="55">
        <v>53736.0</v>
      </c>
      <c r="P141" s="31">
        <f t="shared" si="1"/>
        <v>-6246</v>
      </c>
      <c r="Q141" s="55" t="str">
        <f t="shared" si="2"/>
        <v/>
      </c>
      <c r="R141" s="31">
        <f t="shared" si="3"/>
        <v>55417</v>
      </c>
      <c r="S141" s="9">
        <v>890.0</v>
      </c>
      <c r="U141" s="56"/>
      <c r="V141" s="56"/>
    </row>
    <row r="142" ht="15.75" customHeight="1">
      <c r="A142" s="26">
        <v>30902.0</v>
      </c>
      <c r="B142" s="27" t="s">
        <v>157</v>
      </c>
      <c r="C142" s="28">
        <v>11603.0</v>
      </c>
      <c r="D142" s="28">
        <v>9847.0</v>
      </c>
      <c r="E142" s="28">
        <v>33.0</v>
      </c>
      <c r="F142" s="28">
        <v>20.0</v>
      </c>
      <c r="G142" s="28">
        <v>34.0</v>
      </c>
      <c r="H142" s="28">
        <v>1669.0</v>
      </c>
      <c r="I142" s="28">
        <v>17824.0</v>
      </c>
      <c r="J142" s="28">
        <v>16413.0</v>
      </c>
      <c r="K142" s="28">
        <v>38.0</v>
      </c>
      <c r="L142" s="28">
        <v>250.0</v>
      </c>
      <c r="M142" s="28">
        <v>43.0</v>
      </c>
      <c r="N142" s="28">
        <v>1080.0</v>
      </c>
      <c r="O142" s="55">
        <v>16199.0</v>
      </c>
      <c r="P142" s="31">
        <f t="shared" si="1"/>
        <v>214</v>
      </c>
      <c r="Q142" s="31">
        <f t="shared" si="2"/>
        <v>214</v>
      </c>
      <c r="R142" s="31">
        <f t="shared" si="3"/>
        <v>17824</v>
      </c>
      <c r="S142" s="9">
        <v>556.0</v>
      </c>
      <c r="U142" s="56"/>
      <c r="V142" s="56"/>
    </row>
    <row r="143" ht="15.75" customHeight="1">
      <c r="A143" s="34">
        <v>30903.0</v>
      </c>
      <c r="B143" s="35" t="s">
        <v>158</v>
      </c>
      <c r="C143" s="28">
        <v>13857.0</v>
      </c>
      <c r="D143" s="28">
        <v>12412.0</v>
      </c>
      <c r="E143" s="28">
        <v>51.0</v>
      </c>
      <c r="F143" s="28">
        <v>313.0</v>
      </c>
      <c r="G143" s="28">
        <v>50.0</v>
      </c>
      <c r="H143" s="28">
        <v>1031.0</v>
      </c>
      <c r="I143" s="28">
        <v>17932.0</v>
      </c>
      <c r="J143" s="28">
        <v>17051.0</v>
      </c>
      <c r="K143" s="28">
        <v>39.0</v>
      </c>
      <c r="L143" s="28">
        <v>322.0</v>
      </c>
      <c r="M143" s="28">
        <v>45.0</v>
      </c>
      <c r="N143" s="28">
        <v>475.0</v>
      </c>
      <c r="O143" s="55">
        <v>20812.0</v>
      </c>
      <c r="P143" s="31">
        <f t="shared" si="1"/>
        <v>-3761</v>
      </c>
      <c r="Q143" s="55" t="str">
        <f t="shared" si="2"/>
        <v/>
      </c>
      <c r="R143" s="31">
        <f t="shared" si="3"/>
        <v>21693</v>
      </c>
      <c r="S143" s="9">
        <v>1041.0</v>
      </c>
      <c r="U143" s="56"/>
      <c r="V143" s="56"/>
    </row>
    <row r="144" ht="15.75" customHeight="1">
      <c r="A144" s="26">
        <v>30904.0</v>
      </c>
      <c r="B144" s="27" t="s">
        <v>159</v>
      </c>
      <c r="C144" s="28">
        <v>14312.0</v>
      </c>
      <c r="D144" s="28">
        <v>12974.0</v>
      </c>
      <c r="E144" s="28">
        <v>14.0</v>
      </c>
      <c r="F144" s="28">
        <v>21.0</v>
      </c>
      <c r="G144" s="28">
        <v>22.0</v>
      </c>
      <c r="H144" s="28">
        <v>1281.0</v>
      </c>
      <c r="I144" s="28">
        <v>17058.0</v>
      </c>
      <c r="J144" s="28">
        <v>16448.0</v>
      </c>
      <c r="K144" s="28">
        <v>27.0</v>
      </c>
      <c r="L144" s="28">
        <v>100.0</v>
      </c>
      <c r="M144" s="28">
        <v>22.0</v>
      </c>
      <c r="N144" s="28">
        <v>461.0</v>
      </c>
      <c r="O144" s="55">
        <v>20596.0</v>
      </c>
      <c r="P144" s="31">
        <f t="shared" si="1"/>
        <v>-4148</v>
      </c>
      <c r="Q144" s="55" t="str">
        <f t="shared" si="2"/>
        <v/>
      </c>
      <c r="R144" s="31">
        <f t="shared" si="3"/>
        <v>21206</v>
      </c>
      <c r="S144" s="9">
        <v>652.0</v>
      </c>
      <c r="U144" s="56"/>
      <c r="V144" s="56"/>
    </row>
    <row r="145" ht="15.75" customHeight="1">
      <c r="A145" s="34">
        <v>30905.0</v>
      </c>
      <c r="B145" s="35" t="s">
        <v>160</v>
      </c>
      <c r="C145" s="28">
        <v>13514.0</v>
      </c>
      <c r="D145" s="28">
        <v>13401.0</v>
      </c>
      <c r="E145" s="28">
        <v>20.0</v>
      </c>
      <c r="F145" s="28">
        <v>3.0</v>
      </c>
      <c r="G145" s="28">
        <v>2.0</v>
      </c>
      <c r="H145" s="28">
        <v>88.0</v>
      </c>
      <c r="I145" s="28">
        <v>19190.0</v>
      </c>
      <c r="J145" s="28">
        <v>19000.0</v>
      </c>
      <c r="K145" s="28">
        <v>39.0</v>
      </c>
      <c r="L145" s="28">
        <v>48.0</v>
      </c>
      <c r="M145" s="28">
        <v>15.0</v>
      </c>
      <c r="N145" s="28">
        <v>88.0</v>
      </c>
      <c r="O145" s="55">
        <v>22161.0</v>
      </c>
      <c r="P145" s="31">
        <f t="shared" si="1"/>
        <v>-3161</v>
      </c>
      <c r="Q145" s="55" t="str">
        <f t="shared" si="2"/>
        <v/>
      </c>
      <c r="R145" s="31">
        <f t="shared" si="3"/>
        <v>22351</v>
      </c>
      <c r="S145" s="9">
        <v>1026.0</v>
      </c>
      <c r="U145" s="56"/>
      <c r="V145" s="56"/>
    </row>
    <row r="146" ht="15.75" customHeight="1">
      <c r="A146" s="26">
        <v>31001.0</v>
      </c>
      <c r="B146" s="27" t="s">
        <v>161</v>
      </c>
      <c r="C146" s="28">
        <v>47536.0</v>
      </c>
      <c r="D146" s="28">
        <v>42843.0</v>
      </c>
      <c r="E146" s="28">
        <v>128.0</v>
      </c>
      <c r="F146" s="28">
        <v>44.0</v>
      </c>
      <c r="G146" s="28">
        <v>171.0</v>
      </c>
      <c r="H146" s="28">
        <v>4350.0</v>
      </c>
      <c r="I146" s="28">
        <v>69313.0</v>
      </c>
      <c r="J146" s="28">
        <v>63868.0</v>
      </c>
      <c r="K146" s="28">
        <v>179.0</v>
      </c>
      <c r="L146" s="28">
        <v>378.0</v>
      </c>
      <c r="M146" s="28">
        <v>371.0</v>
      </c>
      <c r="N146" s="28">
        <v>4517.0</v>
      </c>
      <c r="O146" s="55">
        <v>66307.0</v>
      </c>
      <c r="P146" s="31">
        <f t="shared" si="1"/>
        <v>-2439</v>
      </c>
      <c r="Q146" s="55" t="str">
        <f t="shared" si="2"/>
        <v/>
      </c>
      <c r="R146" s="31">
        <f t="shared" si="3"/>
        <v>71752</v>
      </c>
      <c r="S146" s="9">
        <v>758.0</v>
      </c>
      <c r="U146" s="56"/>
      <c r="V146" s="56"/>
    </row>
    <row r="147" ht="15.75" customHeight="1">
      <c r="A147" s="34">
        <v>31002.0</v>
      </c>
      <c r="B147" s="35" t="s">
        <v>162</v>
      </c>
      <c r="C147" s="28">
        <v>6022.0</v>
      </c>
      <c r="D147" s="28">
        <v>3995.0</v>
      </c>
      <c r="E147" s="28">
        <v>32.0</v>
      </c>
      <c r="F147" s="28">
        <v>10.0</v>
      </c>
      <c r="G147" s="28">
        <v>59.0</v>
      </c>
      <c r="H147" s="28">
        <v>1926.0</v>
      </c>
      <c r="I147" s="28">
        <v>8493.0</v>
      </c>
      <c r="J147" s="28">
        <v>5661.0</v>
      </c>
      <c r="K147" s="28">
        <v>35.0</v>
      </c>
      <c r="L147" s="28">
        <v>244.0</v>
      </c>
      <c r="M147" s="28">
        <v>154.0</v>
      </c>
      <c r="N147" s="28">
        <v>2399.0</v>
      </c>
      <c r="O147" s="55">
        <v>6336.0</v>
      </c>
      <c r="P147" s="31">
        <f t="shared" si="1"/>
        <v>-675</v>
      </c>
      <c r="Q147" s="55" t="str">
        <f t="shared" si="2"/>
        <v/>
      </c>
      <c r="R147" s="31">
        <f t="shared" si="3"/>
        <v>9168</v>
      </c>
      <c r="S147" s="9">
        <v>284.0</v>
      </c>
      <c r="U147" s="56"/>
      <c r="V147" s="56"/>
    </row>
    <row r="148" ht="15.75" customHeight="1">
      <c r="A148" s="26">
        <v>31003.0</v>
      </c>
      <c r="B148" s="27" t="s">
        <v>163</v>
      </c>
      <c r="C148" s="28">
        <v>26725.0</v>
      </c>
      <c r="D148" s="28">
        <v>10645.0</v>
      </c>
      <c r="E148" s="28">
        <v>442.0</v>
      </c>
      <c r="F148" s="28">
        <v>300.0</v>
      </c>
      <c r="G148" s="28">
        <v>411.0</v>
      </c>
      <c r="H148" s="28">
        <v>14927.0</v>
      </c>
      <c r="I148" s="28">
        <v>41951.0</v>
      </c>
      <c r="J148" s="28">
        <v>25384.0</v>
      </c>
      <c r="K148" s="28">
        <v>145.0</v>
      </c>
      <c r="L148" s="28">
        <v>1053.0</v>
      </c>
      <c r="M148" s="28">
        <v>474.0</v>
      </c>
      <c r="N148" s="28">
        <v>14895.0</v>
      </c>
      <c r="O148" s="55">
        <v>28469.0</v>
      </c>
      <c r="P148" s="31">
        <f t="shared" si="1"/>
        <v>-3085</v>
      </c>
      <c r="Q148" s="55" t="str">
        <f t="shared" si="2"/>
        <v/>
      </c>
      <c r="R148" s="31">
        <f t="shared" si="3"/>
        <v>45036</v>
      </c>
      <c r="S148" s="9">
        <v>448.0</v>
      </c>
      <c r="U148" s="56"/>
      <c r="V148" s="56"/>
    </row>
    <row r="149" ht="15.75" customHeight="1">
      <c r="A149" s="34">
        <v>31101.0</v>
      </c>
      <c r="B149" s="35" t="s">
        <v>164</v>
      </c>
      <c r="C149" s="28">
        <v>8113.0</v>
      </c>
      <c r="D149" s="28">
        <v>2093.0</v>
      </c>
      <c r="E149" s="28">
        <v>29.0</v>
      </c>
      <c r="F149" s="28">
        <v>422.0</v>
      </c>
      <c r="G149" s="28">
        <v>209.0</v>
      </c>
      <c r="H149" s="28">
        <v>5360.0</v>
      </c>
      <c r="I149" s="28">
        <v>9638.0</v>
      </c>
      <c r="J149" s="28">
        <v>4471.0</v>
      </c>
      <c r="K149" s="28">
        <v>17.0</v>
      </c>
      <c r="L149" s="28">
        <v>745.0</v>
      </c>
      <c r="M149" s="28">
        <v>185.0</v>
      </c>
      <c r="N149" s="28">
        <v>4220.0</v>
      </c>
      <c r="O149" s="55">
        <v>3632.0</v>
      </c>
      <c r="P149" s="31">
        <f t="shared" si="1"/>
        <v>839</v>
      </c>
      <c r="Q149" s="31">
        <f t="shared" si="2"/>
        <v>839</v>
      </c>
      <c r="R149" s="31">
        <f t="shared" si="3"/>
        <v>9638</v>
      </c>
      <c r="S149" s="9">
        <v>62.0</v>
      </c>
      <c r="U149" s="56"/>
      <c r="V149" s="56"/>
    </row>
    <row r="150" ht="15.75" customHeight="1">
      <c r="A150" s="26">
        <v>31201.0</v>
      </c>
      <c r="B150" s="27" t="s">
        <v>165</v>
      </c>
      <c r="C150" s="28">
        <v>4729.0</v>
      </c>
      <c r="D150" s="28">
        <v>1520.0</v>
      </c>
      <c r="E150" s="28">
        <v>32.0</v>
      </c>
      <c r="F150" s="28">
        <v>448.0</v>
      </c>
      <c r="G150" s="28">
        <v>206.0</v>
      </c>
      <c r="H150" s="28">
        <v>2523.0</v>
      </c>
      <c r="I150" s="28">
        <v>5351.0</v>
      </c>
      <c r="J150" s="28">
        <v>2757.0</v>
      </c>
      <c r="K150" s="28">
        <v>8.0</v>
      </c>
      <c r="L150" s="28">
        <v>946.0</v>
      </c>
      <c r="M150" s="28">
        <v>58.0</v>
      </c>
      <c r="N150" s="28">
        <v>1582.0</v>
      </c>
      <c r="O150" s="55">
        <v>3859.0</v>
      </c>
      <c r="P150" s="31">
        <f t="shared" si="1"/>
        <v>-1102</v>
      </c>
      <c r="Q150" s="55" t="str">
        <f t="shared" si="2"/>
        <v/>
      </c>
      <c r="R150" s="31">
        <f t="shared" si="3"/>
        <v>6453</v>
      </c>
      <c r="S150" s="9">
        <v>172.0</v>
      </c>
      <c r="U150" s="56"/>
      <c r="V150" s="56"/>
    </row>
    <row r="151" ht="15.75" customHeight="1">
      <c r="A151" s="34">
        <v>31202.0</v>
      </c>
      <c r="B151" s="35" t="s">
        <v>166</v>
      </c>
      <c r="C151" s="28">
        <v>3003.0</v>
      </c>
      <c r="D151" s="28">
        <v>977.0</v>
      </c>
      <c r="E151" s="28">
        <v>18.0</v>
      </c>
      <c r="F151" s="28">
        <v>381.0</v>
      </c>
      <c r="G151" s="28">
        <v>150.0</v>
      </c>
      <c r="H151" s="28">
        <v>1477.0</v>
      </c>
      <c r="I151" s="28">
        <v>3705.0</v>
      </c>
      <c r="J151" s="28">
        <v>2047.0</v>
      </c>
      <c r="K151" s="28">
        <v>9.0</v>
      </c>
      <c r="L151" s="28">
        <v>296.0</v>
      </c>
      <c r="M151" s="28">
        <v>28.0</v>
      </c>
      <c r="N151" s="28">
        <v>1325.0</v>
      </c>
      <c r="O151" s="55">
        <v>2165.0</v>
      </c>
      <c r="P151" s="31">
        <f t="shared" si="1"/>
        <v>-118</v>
      </c>
      <c r="Q151" s="55" t="str">
        <f t="shared" si="2"/>
        <v/>
      </c>
      <c r="R151" s="31">
        <f t="shared" si="3"/>
        <v>3823</v>
      </c>
      <c r="S151" s="9">
        <v>293.0</v>
      </c>
      <c r="U151" s="56"/>
      <c r="V151" s="56"/>
    </row>
    <row r="152" ht="15.75" customHeight="1">
      <c r="A152" s="26">
        <v>31203.0</v>
      </c>
      <c r="B152" s="27" t="s">
        <v>167</v>
      </c>
      <c r="C152" s="28">
        <v>3544.0</v>
      </c>
      <c r="D152" s="28">
        <v>2301.0</v>
      </c>
      <c r="E152" s="28">
        <v>10.0</v>
      </c>
      <c r="F152" s="28">
        <v>113.0</v>
      </c>
      <c r="G152" s="28">
        <v>20.0</v>
      </c>
      <c r="H152" s="28">
        <v>1100.0</v>
      </c>
      <c r="I152" s="28">
        <v>4853.0</v>
      </c>
      <c r="J152" s="28">
        <v>3471.0</v>
      </c>
      <c r="K152" s="28">
        <v>14.0</v>
      </c>
      <c r="L152" s="28">
        <v>232.0</v>
      </c>
      <c r="M152" s="28">
        <v>45.0</v>
      </c>
      <c r="N152" s="28">
        <v>1091.0</v>
      </c>
      <c r="O152" s="55">
        <v>3371.0</v>
      </c>
      <c r="P152" s="31">
        <f t="shared" si="1"/>
        <v>100</v>
      </c>
      <c r="Q152" s="31">
        <f t="shared" si="2"/>
        <v>100</v>
      </c>
      <c r="R152" s="31">
        <f t="shared" si="3"/>
        <v>4853</v>
      </c>
      <c r="S152" s="9">
        <v>187.0</v>
      </c>
      <c r="U152" s="56"/>
      <c r="V152" s="56"/>
    </row>
    <row r="153" ht="15.75" customHeight="1">
      <c r="A153" s="34">
        <v>31204.0</v>
      </c>
      <c r="B153" s="35" t="s">
        <v>168</v>
      </c>
      <c r="C153" s="28">
        <v>7263.0</v>
      </c>
      <c r="D153" s="28">
        <v>3606.0</v>
      </c>
      <c r="E153" s="28">
        <v>205.0</v>
      </c>
      <c r="F153" s="28">
        <v>99.0</v>
      </c>
      <c r="G153" s="28">
        <v>78.0</v>
      </c>
      <c r="H153" s="28">
        <v>3275.0</v>
      </c>
      <c r="I153" s="28">
        <v>10557.0</v>
      </c>
      <c r="J153" s="28">
        <v>7001.0</v>
      </c>
      <c r="K153" s="28">
        <v>158.0</v>
      </c>
      <c r="L153" s="28">
        <v>166.0</v>
      </c>
      <c r="M153" s="28">
        <v>68.0</v>
      </c>
      <c r="N153" s="28">
        <v>3164.0</v>
      </c>
      <c r="O153" s="55">
        <v>8458.0</v>
      </c>
      <c r="P153" s="31">
        <f t="shared" si="1"/>
        <v>-1457</v>
      </c>
      <c r="Q153" s="55" t="str">
        <f t="shared" si="2"/>
        <v/>
      </c>
      <c r="R153" s="31">
        <f t="shared" si="3"/>
        <v>12014</v>
      </c>
      <c r="S153" s="9">
        <v>528.0</v>
      </c>
      <c r="U153" s="56"/>
      <c r="V153" s="56"/>
    </row>
    <row r="154" ht="15.75" customHeight="1">
      <c r="A154" s="26">
        <v>31205.0</v>
      </c>
      <c r="B154" s="27" t="s">
        <v>169</v>
      </c>
      <c r="C154" s="28">
        <v>16951.0</v>
      </c>
      <c r="D154" s="28">
        <v>9234.0</v>
      </c>
      <c r="E154" s="28">
        <v>179.0</v>
      </c>
      <c r="F154" s="28">
        <v>72.0</v>
      </c>
      <c r="G154" s="28">
        <v>174.0</v>
      </c>
      <c r="H154" s="28">
        <v>7292.0</v>
      </c>
      <c r="I154" s="28">
        <v>25497.0</v>
      </c>
      <c r="J154" s="28">
        <v>18442.0</v>
      </c>
      <c r="K154" s="28">
        <v>78.0</v>
      </c>
      <c r="L154" s="28">
        <v>183.0</v>
      </c>
      <c r="M154" s="28">
        <v>155.0</v>
      </c>
      <c r="N154" s="28">
        <v>6639.0</v>
      </c>
      <c r="O154" s="55">
        <v>16305.0</v>
      </c>
      <c r="P154" s="31">
        <f t="shared" si="1"/>
        <v>2137</v>
      </c>
      <c r="Q154" s="31">
        <f t="shared" si="2"/>
        <v>2137</v>
      </c>
      <c r="R154" s="31">
        <f t="shared" si="3"/>
        <v>25497</v>
      </c>
      <c r="S154" s="9">
        <v>617.0</v>
      </c>
      <c r="U154" s="56"/>
      <c r="V154" s="56"/>
    </row>
    <row r="155" ht="15.75" customHeight="1">
      <c r="A155" s="34">
        <v>31206.0</v>
      </c>
      <c r="B155" s="35" t="s">
        <v>170</v>
      </c>
      <c r="C155" s="28">
        <v>12475.0</v>
      </c>
      <c r="D155" s="28">
        <v>6067.0</v>
      </c>
      <c r="E155" s="28">
        <v>104.0</v>
      </c>
      <c r="F155" s="28">
        <v>66.0</v>
      </c>
      <c r="G155" s="28">
        <v>259.0</v>
      </c>
      <c r="H155" s="28">
        <v>5979.0</v>
      </c>
      <c r="I155" s="28">
        <v>18178.0</v>
      </c>
      <c r="J155" s="28">
        <v>12643.0</v>
      </c>
      <c r="K155" s="28">
        <v>56.0</v>
      </c>
      <c r="L155" s="28">
        <v>121.0</v>
      </c>
      <c r="M155" s="28">
        <v>103.0</v>
      </c>
      <c r="N155" s="28">
        <v>5255.0</v>
      </c>
      <c r="O155" s="55">
        <v>11618.0</v>
      </c>
      <c r="P155" s="31">
        <f t="shared" si="1"/>
        <v>1025</v>
      </c>
      <c r="Q155" s="31">
        <f t="shared" si="2"/>
        <v>1025</v>
      </c>
      <c r="R155" s="31">
        <f t="shared" si="3"/>
        <v>18178</v>
      </c>
      <c r="S155" s="9">
        <v>710.0</v>
      </c>
      <c r="U155" s="56"/>
      <c r="V155" s="56"/>
    </row>
    <row r="156" ht="15.75" customHeight="1">
      <c r="A156" s="26">
        <v>31301.0</v>
      </c>
      <c r="B156" s="27" t="s">
        <v>171</v>
      </c>
      <c r="C156" s="28">
        <v>5920.0</v>
      </c>
      <c r="D156" s="28">
        <v>3525.0</v>
      </c>
      <c r="E156" s="28">
        <v>26.0</v>
      </c>
      <c r="F156" s="28">
        <v>61.0</v>
      </c>
      <c r="G156" s="28">
        <v>129.0</v>
      </c>
      <c r="H156" s="28">
        <v>2179.0</v>
      </c>
      <c r="I156" s="28">
        <v>6879.0</v>
      </c>
      <c r="J156" s="28">
        <v>4929.0</v>
      </c>
      <c r="K156" s="28">
        <v>16.0</v>
      </c>
      <c r="L156" s="28">
        <v>483.0</v>
      </c>
      <c r="M156" s="28">
        <v>45.0</v>
      </c>
      <c r="N156" s="28">
        <v>1406.0</v>
      </c>
      <c r="O156" s="55">
        <v>5171.0</v>
      </c>
      <c r="P156" s="31">
        <f t="shared" si="1"/>
        <v>-242</v>
      </c>
      <c r="Q156" s="55" t="str">
        <f t="shared" si="2"/>
        <v/>
      </c>
      <c r="R156" s="31">
        <f t="shared" si="3"/>
        <v>7121</v>
      </c>
      <c r="S156" s="9">
        <v>454.0</v>
      </c>
      <c r="U156" s="56"/>
      <c r="V156" s="56"/>
    </row>
    <row r="157" ht="15.75" customHeight="1">
      <c r="A157" s="34">
        <v>31302.0</v>
      </c>
      <c r="B157" s="35" t="s">
        <v>172</v>
      </c>
      <c r="C157" s="28">
        <v>1540.0</v>
      </c>
      <c r="D157" s="28">
        <v>342.0</v>
      </c>
      <c r="E157" s="28">
        <v>23.0</v>
      </c>
      <c r="F157" s="28">
        <v>10.0</v>
      </c>
      <c r="G157" s="28">
        <v>16.0</v>
      </c>
      <c r="H157" s="28">
        <v>1149.0</v>
      </c>
      <c r="I157" s="28">
        <v>1867.0</v>
      </c>
      <c r="J157" s="28">
        <v>685.0</v>
      </c>
      <c r="K157" s="28">
        <v>1.0</v>
      </c>
      <c r="L157" s="28">
        <v>264.0</v>
      </c>
      <c r="M157" s="28">
        <v>5.0</v>
      </c>
      <c r="N157" s="28">
        <v>912.0</v>
      </c>
      <c r="O157" s="55">
        <v>527.0</v>
      </c>
      <c r="P157" s="31">
        <f t="shared" si="1"/>
        <v>158</v>
      </c>
      <c r="Q157" s="31">
        <f t="shared" si="2"/>
        <v>158</v>
      </c>
      <c r="R157" s="31">
        <f t="shared" si="3"/>
        <v>1867</v>
      </c>
      <c r="S157" s="9">
        <v>118.0</v>
      </c>
      <c r="U157" s="56"/>
      <c r="V157" s="56"/>
    </row>
    <row r="158" ht="15.75" customHeight="1">
      <c r="A158" s="26">
        <v>31303.0</v>
      </c>
      <c r="B158" s="27" t="s">
        <v>173</v>
      </c>
      <c r="C158" s="28">
        <v>1122.0</v>
      </c>
      <c r="D158" s="28">
        <v>133.0</v>
      </c>
      <c r="E158" s="28">
        <v>6.0</v>
      </c>
      <c r="F158" s="28">
        <v>5.0</v>
      </c>
      <c r="G158" s="28">
        <v>7.0</v>
      </c>
      <c r="H158" s="28">
        <v>971.0</v>
      </c>
      <c r="I158" s="28">
        <v>1278.0</v>
      </c>
      <c r="J158" s="28">
        <v>368.0</v>
      </c>
      <c r="K158" s="28">
        <v>6.0</v>
      </c>
      <c r="L158" s="28">
        <v>200.0</v>
      </c>
      <c r="M158" s="28">
        <v>43.0</v>
      </c>
      <c r="N158" s="28">
        <v>661.0</v>
      </c>
      <c r="O158" s="55">
        <v>325.0</v>
      </c>
      <c r="P158" s="31">
        <f t="shared" si="1"/>
        <v>43</v>
      </c>
      <c r="Q158" s="31">
        <f t="shared" si="2"/>
        <v>43</v>
      </c>
      <c r="R158" s="31">
        <f t="shared" si="3"/>
        <v>1278</v>
      </c>
      <c r="S158" s="9">
        <v>54.0</v>
      </c>
      <c r="U158" s="56"/>
      <c r="V158" s="56"/>
    </row>
    <row r="159" ht="15.75" customHeight="1">
      <c r="A159" s="34">
        <v>31304.0</v>
      </c>
      <c r="B159" s="35" t="s">
        <v>174</v>
      </c>
      <c r="C159" s="28">
        <v>1991.0</v>
      </c>
      <c r="D159" s="28">
        <v>376.0</v>
      </c>
      <c r="E159" s="28">
        <v>46.0</v>
      </c>
      <c r="F159" s="28">
        <v>16.0</v>
      </c>
      <c r="G159" s="28">
        <v>50.0</v>
      </c>
      <c r="H159" s="28">
        <v>1503.0</v>
      </c>
      <c r="I159" s="28">
        <v>2644.0</v>
      </c>
      <c r="J159" s="28">
        <v>811.0</v>
      </c>
      <c r="K159" s="28">
        <v>4.0</v>
      </c>
      <c r="L159" s="28">
        <v>195.0</v>
      </c>
      <c r="M159" s="28">
        <v>76.0</v>
      </c>
      <c r="N159" s="28">
        <v>1558.0</v>
      </c>
      <c r="O159" s="55">
        <v>0.0</v>
      </c>
      <c r="P159" s="31">
        <f t="shared" si="1"/>
        <v>811</v>
      </c>
      <c r="Q159" s="31">
        <f t="shared" si="2"/>
        <v>811</v>
      </c>
      <c r="R159" s="31">
        <f t="shared" si="3"/>
        <v>2644</v>
      </c>
      <c r="S159" s="9">
        <v>0.0</v>
      </c>
      <c r="U159" s="56"/>
      <c r="V159" s="56"/>
    </row>
    <row r="160" ht="15.75" customHeight="1">
      <c r="A160" s="26">
        <v>31401.0</v>
      </c>
      <c r="B160" s="27" t="s">
        <v>175</v>
      </c>
      <c r="C160" s="28">
        <v>8784.0</v>
      </c>
      <c r="D160" s="28">
        <v>8346.0</v>
      </c>
      <c r="E160" s="28">
        <v>15.0</v>
      </c>
      <c r="F160" s="28">
        <v>5.0</v>
      </c>
      <c r="G160" s="28">
        <v>10.0</v>
      </c>
      <c r="H160" s="28">
        <v>408.0</v>
      </c>
      <c r="I160" s="28">
        <v>11318.0</v>
      </c>
      <c r="J160" s="28">
        <v>10961.0</v>
      </c>
      <c r="K160" s="28">
        <v>15.0</v>
      </c>
      <c r="L160" s="28">
        <v>21.0</v>
      </c>
      <c r="M160" s="28">
        <v>9.0</v>
      </c>
      <c r="N160" s="28">
        <v>312.0</v>
      </c>
      <c r="O160" s="55">
        <v>11895.0</v>
      </c>
      <c r="P160" s="31">
        <f t="shared" si="1"/>
        <v>-934</v>
      </c>
      <c r="Q160" s="55" t="str">
        <f t="shared" si="2"/>
        <v/>
      </c>
      <c r="R160" s="31">
        <f t="shared" si="3"/>
        <v>12252</v>
      </c>
      <c r="S160" s="9">
        <v>544.0</v>
      </c>
      <c r="U160" s="56"/>
      <c r="V160" s="56"/>
    </row>
    <row r="161" ht="15.75" customHeight="1">
      <c r="A161" s="34">
        <v>31402.0</v>
      </c>
      <c r="B161" s="35" t="s">
        <v>176</v>
      </c>
      <c r="C161" s="28">
        <v>3042.0</v>
      </c>
      <c r="D161" s="28">
        <v>2618.0</v>
      </c>
      <c r="E161" s="28">
        <v>5.0</v>
      </c>
      <c r="F161" s="28">
        <v>3.0</v>
      </c>
      <c r="G161" s="28">
        <v>9.0</v>
      </c>
      <c r="H161" s="28">
        <v>407.0</v>
      </c>
      <c r="I161" s="28">
        <v>3262.0</v>
      </c>
      <c r="J161" s="28">
        <v>2883.0</v>
      </c>
      <c r="K161" s="28">
        <v>5.0</v>
      </c>
      <c r="L161" s="28">
        <v>13.0</v>
      </c>
      <c r="M161" s="28">
        <v>5.0</v>
      </c>
      <c r="N161" s="28">
        <v>356.0</v>
      </c>
      <c r="O161" s="55">
        <v>3151.0</v>
      </c>
      <c r="P161" s="31">
        <f t="shared" si="1"/>
        <v>-268</v>
      </c>
      <c r="Q161" s="55" t="str">
        <f t="shared" si="2"/>
        <v/>
      </c>
      <c r="R161" s="31">
        <f t="shared" si="3"/>
        <v>3530</v>
      </c>
      <c r="S161" s="9">
        <v>256.0</v>
      </c>
      <c r="U161" s="56"/>
      <c r="V161" s="56"/>
    </row>
    <row r="162" ht="15.75" customHeight="1">
      <c r="A162" s="26">
        <v>31403.0</v>
      </c>
      <c r="B162" s="27" t="s">
        <v>177</v>
      </c>
      <c r="C162" s="28">
        <v>3924.0</v>
      </c>
      <c r="D162" s="28">
        <v>3523.0</v>
      </c>
      <c r="E162" s="28">
        <v>2.0</v>
      </c>
      <c r="F162" s="28">
        <v>2.0</v>
      </c>
      <c r="G162" s="28">
        <v>17.0</v>
      </c>
      <c r="H162" s="28">
        <v>380.0</v>
      </c>
      <c r="I162" s="28">
        <v>4327.0</v>
      </c>
      <c r="J162" s="28">
        <v>4100.0</v>
      </c>
      <c r="K162" s="28">
        <v>14.0</v>
      </c>
      <c r="L162" s="28">
        <v>9.0</v>
      </c>
      <c r="M162" s="28">
        <v>10.0</v>
      </c>
      <c r="N162" s="28">
        <v>194.0</v>
      </c>
      <c r="O162" s="55">
        <v>5365.0</v>
      </c>
      <c r="P162" s="31">
        <f t="shared" si="1"/>
        <v>-1265</v>
      </c>
      <c r="Q162" s="55" t="str">
        <f t="shared" si="2"/>
        <v/>
      </c>
      <c r="R162" s="31">
        <f t="shared" si="3"/>
        <v>5592</v>
      </c>
      <c r="S162" s="9">
        <v>485.0</v>
      </c>
      <c r="U162" s="56"/>
      <c r="V162" s="56"/>
    </row>
    <row r="163" ht="15.75" customHeight="1">
      <c r="A163" s="34">
        <v>31404.0</v>
      </c>
      <c r="B163" s="35" t="s">
        <v>178</v>
      </c>
      <c r="C163" s="28">
        <v>359.0</v>
      </c>
      <c r="D163" s="28">
        <v>311.0</v>
      </c>
      <c r="E163" s="28">
        <v>0.0</v>
      </c>
      <c r="F163" s="28">
        <v>2.0</v>
      </c>
      <c r="G163" s="28">
        <v>2.0</v>
      </c>
      <c r="H163" s="28">
        <v>44.0</v>
      </c>
      <c r="I163" s="28">
        <v>485.0</v>
      </c>
      <c r="J163" s="28">
        <v>444.0</v>
      </c>
      <c r="K163" s="28">
        <v>4.0</v>
      </c>
      <c r="L163" s="28">
        <v>4.0</v>
      </c>
      <c r="M163" s="28">
        <v>0.0</v>
      </c>
      <c r="N163" s="28">
        <v>33.0</v>
      </c>
      <c r="O163" s="55">
        <v>378.0</v>
      </c>
      <c r="P163" s="31">
        <f t="shared" si="1"/>
        <v>66</v>
      </c>
      <c r="Q163" s="31">
        <f t="shared" si="2"/>
        <v>66</v>
      </c>
      <c r="R163" s="31">
        <f t="shared" si="3"/>
        <v>485</v>
      </c>
      <c r="S163" s="9">
        <v>231.5</v>
      </c>
      <c r="U163" s="56"/>
      <c r="V163" s="56"/>
    </row>
    <row r="164" ht="15.75" customHeight="1">
      <c r="A164" s="26">
        <v>31405.0</v>
      </c>
      <c r="B164" s="27" t="s">
        <v>179</v>
      </c>
      <c r="C164" s="28">
        <v>701.0</v>
      </c>
      <c r="D164" s="28">
        <v>398.0</v>
      </c>
      <c r="E164" s="28">
        <v>4.0</v>
      </c>
      <c r="F164" s="28">
        <v>1.0</v>
      </c>
      <c r="G164" s="28">
        <v>2.0</v>
      </c>
      <c r="H164" s="28">
        <v>296.0</v>
      </c>
      <c r="I164" s="28">
        <v>1057.0</v>
      </c>
      <c r="J164" s="28">
        <v>756.0</v>
      </c>
      <c r="K164" s="28">
        <v>6.0</v>
      </c>
      <c r="L164" s="28">
        <v>12.0</v>
      </c>
      <c r="M164" s="28">
        <v>2.0</v>
      </c>
      <c r="N164" s="28">
        <v>281.0</v>
      </c>
      <c r="O164" s="55">
        <v>0.0</v>
      </c>
      <c r="P164" s="31">
        <f t="shared" si="1"/>
        <v>756</v>
      </c>
      <c r="Q164" s="31">
        <f t="shared" si="2"/>
        <v>756</v>
      </c>
      <c r="R164" s="31">
        <f t="shared" si="3"/>
        <v>1057</v>
      </c>
      <c r="S164" s="9">
        <v>0.0</v>
      </c>
      <c r="U164" s="56"/>
      <c r="V164" s="56"/>
    </row>
    <row r="165" ht="15.75" customHeight="1">
      <c r="A165" s="34">
        <v>31501.0</v>
      </c>
      <c r="B165" s="35" t="s">
        <v>180</v>
      </c>
      <c r="C165" s="28">
        <v>2366.0</v>
      </c>
      <c r="D165" s="28">
        <v>1115.0</v>
      </c>
      <c r="E165" s="28">
        <v>3.0</v>
      </c>
      <c r="F165" s="28">
        <v>5.0</v>
      </c>
      <c r="G165" s="28">
        <v>33.0</v>
      </c>
      <c r="H165" s="28">
        <v>1210.0</v>
      </c>
      <c r="I165" s="28">
        <v>3211.0</v>
      </c>
      <c r="J165" s="28">
        <v>1948.0</v>
      </c>
      <c r="K165" s="28">
        <v>2.0</v>
      </c>
      <c r="L165" s="28">
        <v>146.0</v>
      </c>
      <c r="M165" s="28">
        <v>74.0</v>
      </c>
      <c r="N165" s="28">
        <v>1041.0</v>
      </c>
      <c r="O165" s="55">
        <v>1333.0</v>
      </c>
      <c r="P165" s="31">
        <f t="shared" si="1"/>
        <v>615</v>
      </c>
      <c r="Q165" s="31">
        <f t="shared" si="2"/>
        <v>615</v>
      </c>
      <c r="R165" s="31">
        <f t="shared" si="3"/>
        <v>3211</v>
      </c>
      <c r="S165" s="9">
        <v>54.0</v>
      </c>
      <c r="U165" s="56"/>
      <c r="V165" s="56"/>
    </row>
    <row r="166" ht="15.75" customHeight="1">
      <c r="A166" s="26">
        <v>31601.0</v>
      </c>
      <c r="B166" s="27" t="s">
        <v>181</v>
      </c>
      <c r="C166" s="28">
        <v>6496.0</v>
      </c>
      <c r="D166" s="28">
        <v>4684.0</v>
      </c>
      <c r="E166" s="28">
        <v>20.0</v>
      </c>
      <c r="F166" s="28">
        <v>12.0</v>
      </c>
      <c r="G166" s="28">
        <v>46.0</v>
      </c>
      <c r="H166" s="28">
        <v>1734.0</v>
      </c>
      <c r="I166" s="28">
        <v>6678.0</v>
      </c>
      <c r="J166" s="28">
        <v>5258.0</v>
      </c>
      <c r="K166" s="28">
        <v>14.0</v>
      </c>
      <c r="L166" s="28">
        <v>80.0</v>
      </c>
      <c r="M166" s="28">
        <v>21.0</v>
      </c>
      <c r="N166" s="28">
        <v>1305.0</v>
      </c>
      <c r="O166" s="55">
        <v>5787.0</v>
      </c>
      <c r="P166" s="31">
        <f t="shared" si="1"/>
        <v>-529</v>
      </c>
      <c r="Q166" s="55" t="str">
        <f t="shared" si="2"/>
        <v/>
      </c>
      <c r="R166" s="31">
        <f t="shared" si="3"/>
        <v>7207</v>
      </c>
      <c r="S166" s="9">
        <v>197.0</v>
      </c>
      <c r="U166" s="56"/>
      <c r="V166" s="56"/>
    </row>
    <row r="167" ht="15.75" customHeight="1">
      <c r="A167" s="34">
        <v>31602.0</v>
      </c>
      <c r="B167" s="35" t="s">
        <v>182</v>
      </c>
      <c r="C167" s="28">
        <v>7611.0</v>
      </c>
      <c r="D167" s="28">
        <v>3898.0</v>
      </c>
      <c r="E167" s="28">
        <v>59.0</v>
      </c>
      <c r="F167" s="28">
        <v>15.0</v>
      </c>
      <c r="G167" s="28">
        <v>120.0</v>
      </c>
      <c r="H167" s="28">
        <v>3519.0</v>
      </c>
      <c r="I167" s="28">
        <v>10431.0</v>
      </c>
      <c r="J167" s="28">
        <v>7156.0</v>
      </c>
      <c r="K167" s="28">
        <v>29.0</v>
      </c>
      <c r="L167" s="28">
        <v>135.0</v>
      </c>
      <c r="M167" s="28">
        <v>53.0</v>
      </c>
      <c r="N167" s="28">
        <v>3058.0</v>
      </c>
      <c r="O167" s="55">
        <v>6532.0</v>
      </c>
      <c r="P167" s="31">
        <f t="shared" si="1"/>
        <v>624</v>
      </c>
      <c r="Q167" s="31">
        <f t="shared" si="2"/>
        <v>624</v>
      </c>
      <c r="R167" s="31">
        <f t="shared" si="3"/>
        <v>10431</v>
      </c>
      <c r="S167" s="9">
        <v>765.0</v>
      </c>
      <c r="U167" s="56"/>
      <c r="V167" s="56"/>
    </row>
    <row r="168" ht="15.75" customHeight="1">
      <c r="A168" s="26">
        <v>40101.0</v>
      </c>
      <c r="B168" s="27" t="s">
        <v>183</v>
      </c>
      <c r="C168" s="28">
        <v>76724.0</v>
      </c>
      <c r="D168" s="28">
        <v>71178.0</v>
      </c>
      <c r="E168" s="28">
        <v>142.0</v>
      </c>
      <c r="F168" s="28">
        <v>17.0</v>
      </c>
      <c r="G168" s="28">
        <v>194.0</v>
      </c>
      <c r="H168" s="28">
        <v>5193.0</v>
      </c>
      <c r="I168" s="28">
        <v>96123.0</v>
      </c>
      <c r="J168" s="28">
        <v>92957.0</v>
      </c>
      <c r="K168" s="28">
        <v>344.0</v>
      </c>
      <c r="L168" s="28">
        <v>153.0</v>
      </c>
      <c r="M168" s="28">
        <v>287.0</v>
      </c>
      <c r="N168" s="28">
        <v>2382.0</v>
      </c>
      <c r="O168" s="55">
        <v>109265.0</v>
      </c>
      <c r="P168" s="31">
        <f t="shared" si="1"/>
        <v>-16308</v>
      </c>
      <c r="Q168" s="55" t="str">
        <f t="shared" si="2"/>
        <v/>
      </c>
      <c r="R168" s="31">
        <f t="shared" si="3"/>
        <v>112431</v>
      </c>
      <c r="S168" s="9">
        <v>609.0</v>
      </c>
      <c r="U168" s="56"/>
      <c r="V168" s="56"/>
    </row>
    <row r="169" ht="15.75" customHeight="1">
      <c r="A169" s="34">
        <v>40102.0</v>
      </c>
      <c r="B169" s="35" t="s">
        <v>184</v>
      </c>
      <c r="C169" s="28">
        <v>6690.0</v>
      </c>
      <c r="D169" s="28">
        <v>4658.0</v>
      </c>
      <c r="E169" s="28">
        <v>9.0</v>
      </c>
      <c r="F169" s="28">
        <v>49.0</v>
      </c>
      <c r="G169" s="28">
        <v>18.0</v>
      </c>
      <c r="H169" s="28">
        <v>1956.0</v>
      </c>
      <c r="I169" s="28">
        <v>7972.0</v>
      </c>
      <c r="J169" s="28">
        <v>6673.0</v>
      </c>
      <c r="K169" s="28">
        <v>34.0</v>
      </c>
      <c r="L169" s="28">
        <v>57.0</v>
      </c>
      <c r="M169" s="28">
        <v>54.0</v>
      </c>
      <c r="N169" s="28">
        <v>1154.0</v>
      </c>
      <c r="O169" s="55">
        <v>5754.0</v>
      </c>
      <c r="P169" s="31">
        <f t="shared" si="1"/>
        <v>919</v>
      </c>
      <c r="Q169" s="31">
        <f t="shared" si="2"/>
        <v>919</v>
      </c>
      <c r="R169" s="31">
        <f t="shared" si="3"/>
        <v>7972</v>
      </c>
      <c r="S169" s="9">
        <v>152.0</v>
      </c>
      <c r="U169" s="56"/>
      <c r="V169" s="56"/>
    </row>
    <row r="170" ht="15.75" customHeight="1">
      <c r="A170" s="26">
        <v>40103.0</v>
      </c>
      <c r="B170" s="27" t="s">
        <v>185</v>
      </c>
      <c r="C170" s="28">
        <v>3261.0</v>
      </c>
      <c r="D170" s="28">
        <v>336.0</v>
      </c>
      <c r="E170" s="28">
        <v>12.0</v>
      </c>
      <c r="F170" s="28">
        <v>180.0</v>
      </c>
      <c r="G170" s="28">
        <v>106.0</v>
      </c>
      <c r="H170" s="28">
        <v>2627.0</v>
      </c>
      <c r="I170" s="28">
        <v>3844.0</v>
      </c>
      <c r="J170" s="28">
        <v>740.0</v>
      </c>
      <c r="K170" s="28">
        <v>12.0</v>
      </c>
      <c r="L170" s="28">
        <v>373.0</v>
      </c>
      <c r="M170" s="28">
        <v>121.0</v>
      </c>
      <c r="N170" s="28">
        <v>2598.0</v>
      </c>
      <c r="O170" s="55">
        <v>627.0</v>
      </c>
      <c r="P170" s="31">
        <f t="shared" si="1"/>
        <v>113</v>
      </c>
      <c r="Q170" s="31">
        <f t="shared" si="2"/>
        <v>113</v>
      </c>
      <c r="R170" s="31">
        <f t="shared" si="3"/>
        <v>3844</v>
      </c>
      <c r="S170" s="9">
        <v>80.0</v>
      </c>
      <c r="U170" s="56"/>
      <c r="V170" s="56"/>
    </row>
    <row r="171" ht="15.75" customHeight="1">
      <c r="A171" s="34">
        <v>40104.0</v>
      </c>
      <c r="B171" s="35" t="s">
        <v>186</v>
      </c>
      <c r="C171" s="28">
        <v>3460.0</v>
      </c>
      <c r="D171" s="28">
        <v>2427.0</v>
      </c>
      <c r="E171" s="28">
        <v>20.0</v>
      </c>
      <c r="F171" s="28">
        <v>133.0</v>
      </c>
      <c r="G171" s="28">
        <v>61.0</v>
      </c>
      <c r="H171" s="28">
        <v>819.0</v>
      </c>
      <c r="I171" s="28">
        <v>5464.0</v>
      </c>
      <c r="J171" s="28">
        <v>4467.0</v>
      </c>
      <c r="K171" s="28">
        <v>22.0</v>
      </c>
      <c r="L171" s="28">
        <v>93.0</v>
      </c>
      <c r="M171" s="28">
        <v>39.0</v>
      </c>
      <c r="N171" s="28">
        <v>843.0</v>
      </c>
      <c r="O171" s="55">
        <v>803.0</v>
      </c>
      <c r="P171" s="31">
        <f t="shared" si="1"/>
        <v>3664</v>
      </c>
      <c r="Q171" s="31">
        <f t="shared" si="2"/>
        <v>3664</v>
      </c>
      <c r="R171" s="31">
        <f t="shared" si="3"/>
        <v>5464</v>
      </c>
      <c r="S171" s="9">
        <v>184.0</v>
      </c>
      <c r="U171" s="56"/>
      <c r="V171" s="56"/>
    </row>
    <row r="172" ht="15.75" customHeight="1">
      <c r="A172" s="26">
        <v>40201.0</v>
      </c>
      <c r="B172" s="27" t="s">
        <v>187</v>
      </c>
      <c r="C172" s="28">
        <v>9873.0</v>
      </c>
      <c r="D172" s="28">
        <v>6361.0</v>
      </c>
      <c r="E172" s="28">
        <v>15.0</v>
      </c>
      <c r="F172" s="28">
        <v>94.0</v>
      </c>
      <c r="G172" s="28">
        <v>115.0</v>
      </c>
      <c r="H172" s="28">
        <v>3288.0</v>
      </c>
      <c r="I172" s="28">
        <v>13543.0</v>
      </c>
      <c r="J172" s="28">
        <v>10703.0</v>
      </c>
      <c r="K172" s="28">
        <v>31.0</v>
      </c>
      <c r="L172" s="28">
        <v>106.0</v>
      </c>
      <c r="M172" s="28">
        <v>125.0</v>
      </c>
      <c r="N172" s="28">
        <v>2578.0</v>
      </c>
      <c r="O172" s="55">
        <v>9973.0</v>
      </c>
      <c r="P172" s="31">
        <f t="shared" si="1"/>
        <v>730</v>
      </c>
      <c r="Q172" s="31">
        <f t="shared" si="2"/>
        <v>730</v>
      </c>
      <c r="R172" s="31">
        <f t="shared" si="3"/>
        <v>13543</v>
      </c>
      <c r="S172" s="9">
        <v>196.0</v>
      </c>
      <c r="U172" s="56"/>
      <c r="V172" s="56"/>
    </row>
    <row r="173" ht="15.75" customHeight="1">
      <c r="A173" s="34">
        <v>40202.0</v>
      </c>
      <c r="B173" s="35" t="s">
        <v>188</v>
      </c>
      <c r="C173" s="28">
        <v>1555.0</v>
      </c>
      <c r="D173" s="28">
        <v>846.0</v>
      </c>
      <c r="E173" s="28">
        <v>2.0</v>
      </c>
      <c r="F173" s="28">
        <v>110.0</v>
      </c>
      <c r="G173" s="28">
        <v>19.0</v>
      </c>
      <c r="H173" s="28">
        <v>578.0</v>
      </c>
      <c r="I173" s="28">
        <v>2326.0</v>
      </c>
      <c r="J173" s="28">
        <v>1360.0</v>
      </c>
      <c r="K173" s="28">
        <v>16.0</v>
      </c>
      <c r="L173" s="28">
        <v>156.0</v>
      </c>
      <c r="M173" s="28">
        <v>35.0</v>
      </c>
      <c r="N173" s="28">
        <v>759.0</v>
      </c>
      <c r="O173" s="55">
        <v>442.0</v>
      </c>
      <c r="P173" s="31">
        <f t="shared" si="1"/>
        <v>918</v>
      </c>
      <c r="Q173" s="31">
        <f t="shared" si="2"/>
        <v>918</v>
      </c>
      <c r="R173" s="31">
        <f t="shared" si="3"/>
        <v>2326</v>
      </c>
      <c r="S173" s="9">
        <v>77.5</v>
      </c>
      <c r="U173" s="56"/>
      <c r="V173" s="56"/>
    </row>
    <row r="174" ht="15.75" customHeight="1">
      <c r="A174" s="26">
        <v>40301.0</v>
      </c>
      <c r="B174" s="27" t="s">
        <v>189</v>
      </c>
      <c r="C174" s="28">
        <v>3172.0</v>
      </c>
      <c r="D174" s="28">
        <v>877.0</v>
      </c>
      <c r="E174" s="28">
        <v>3.0</v>
      </c>
      <c r="F174" s="28">
        <v>466.0</v>
      </c>
      <c r="G174" s="28">
        <v>183.0</v>
      </c>
      <c r="H174" s="28">
        <v>1643.0</v>
      </c>
      <c r="I174" s="28">
        <v>4667.0</v>
      </c>
      <c r="J174" s="28">
        <v>2769.0</v>
      </c>
      <c r="K174" s="28">
        <v>12.0</v>
      </c>
      <c r="L174" s="28">
        <v>374.0</v>
      </c>
      <c r="M174" s="28">
        <v>61.0</v>
      </c>
      <c r="N174" s="28">
        <v>1451.0</v>
      </c>
      <c r="O174" s="55">
        <v>2306.0</v>
      </c>
      <c r="P174" s="31">
        <f t="shared" si="1"/>
        <v>463</v>
      </c>
      <c r="Q174" s="31">
        <f t="shared" si="2"/>
        <v>463</v>
      </c>
      <c r="R174" s="31">
        <f t="shared" si="3"/>
        <v>4667</v>
      </c>
      <c r="S174" s="9">
        <v>49.0</v>
      </c>
      <c r="U174" s="56"/>
      <c r="V174" s="56"/>
    </row>
    <row r="175" ht="15.75" customHeight="1">
      <c r="A175" s="34">
        <v>40302.0</v>
      </c>
      <c r="B175" s="35" t="s">
        <v>190</v>
      </c>
      <c r="C175" s="28">
        <v>516.0</v>
      </c>
      <c r="D175" s="28">
        <v>91.0</v>
      </c>
      <c r="E175" s="28">
        <v>4.0</v>
      </c>
      <c r="F175" s="28">
        <v>124.0</v>
      </c>
      <c r="G175" s="28">
        <v>34.0</v>
      </c>
      <c r="H175" s="28">
        <v>263.0</v>
      </c>
      <c r="I175" s="28">
        <v>671.0</v>
      </c>
      <c r="J175" s="28">
        <v>305.0</v>
      </c>
      <c r="K175" s="28">
        <v>4.0</v>
      </c>
      <c r="L175" s="28">
        <v>177.0</v>
      </c>
      <c r="M175" s="28">
        <v>17.0</v>
      </c>
      <c r="N175" s="28">
        <v>168.0</v>
      </c>
      <c r="O175" s="55">
        <v>640.0</v>
      </c>
      <c r="P175" s="31">
        <f t="shared" si="1"/>
        <v>-335</v>
      </c>
      <c r="Q175" s="55" t="str">
        <f t="shared" si="2"/>
        <v/>
      </c>
      <c r="R175" s="31">
        <f t="shared" si="3"/>
        <v>1006</v>
      </c>
      <c r="S175" s="9">
        <v>55.0</v>
      </c>
      <c r="U175" s="56"/>
      <c r="V175" s="56"/>
    </row>
    <row r="176" ht="15.75" customHeight="1">
      <c r="A176" s="26">
        <v>40401.0</v>
      </c>
      <c r="B176" s="27" t="s">
        <v>191</v>
      </c>
      <c r="C176" s="28">
        <v>1355.0</v>
      </c>
      <c r="D176" s="28">
        <v>550.0</v>
      </c>
      <c r="E176" s="28">
        <v>1.0</v>
      </c>
      <c r="F176" s="28">
        <v>295.0</v>
      </c>
      <c r="G176" s="28">
        <v>59.0</v>
      </c>
      <c r="H176" s="28">
        <v>450.0</v>
      </c>
      <c r="I176" s="28">
        <v>1987.0</v>
      </c>
      <c r="J176" s="28">
        <v>1552.0</v>
      </c>
      <c r="K176" s="28">
        <v>8.0</v>
      </c>
      <c r="L176" s="28">
        <v>60.0</v>
      </c>
      <c r="M176" s="28">
        <v>27.0</v>
      </c>
      <c r="N176" s="28">
        <v>340.0</v>
      </c>
      <c r="O176" s="55">
        <v>942.0</v>
      </c>
      <c r="P176" s="31">
        <f t="shared" si="1"/>
        <v>610</v>
      </c>
      <c r="Q176" s="31">
        <f t="shared" si="2"/>
        <v>610</v>
      </c>
      <c r="R176" s="31">
        <f t="shared" si="3"/>
        <v>1987</v>
      </c>
      <c r="S176" s="9">
        <v>85.0</v>
      </c>
      <c r="U176" s="56"/>
      <c r="V176" s="56"/>
    </row>
    <row r="177" ht="15.75" customHeight="1">
      <c r="A177" s="34">
        <v>40402.0</v>
      </c>
      <c r="B177" s="35" t="s">
        <v>192</v>
      </c>
      <c r="C177" s="28">
        <v>1556.0</v>
      </c>
      <c r="D177" s="28">
        <v>526.0</v>
      </c>
      <c r="E177" s="28">
        <v>14.0</v>
      </c>
      <c r="F177" s="28">
        <v>363.0</v>
      </c>
      <c r="G177" s="28">
        <v>37.0</v>
      </c>
      <c r="H177" s="28">
        <v>616.0</v>
      </c>
      <c r="I177" s="28">
        <v>1760.0</v>
      </c>
      <c r="J177" s="28">
        <v>739.0</v>
      </c>
      <c r="K177" s="28">
        <v>4.0</v>
      </c>
      <c r="L177" s="28">
        <v>267.0</v>
      </c>
      <c r="M177" s="28">
        <v>22.0</v>
      </c>
      <c r="N177" s="28">
        <v>728.0</v>
      </c>
      <c r="O177" s="55">
        <v>545.0</v>
      </c>
      <c r="P177" s="31">
        <f t="shared" si="1"/>
        <v>194</v>
      </c>
      <c r="Q177" s="31">
        <f t="shared" si="2"/>
        <v>194</v>
      </c>
      <c r="R177" s="31">
        <f t="shared" si="3"/>
        <v>1760</v>
      </c>
      <c r="S177" s="9">
        <v>70.0</v>
      </c>
      <c r="U177" s="56"/>
      <c r="V177" s="56"/>
    </row>
    <row r="178" ht="15.75" customHeight="1">
      <c r="A178" s="26">
        <v>40501.0</v>
      </c>
      <c r="B178" s="27" t="s">
        <v>193</v>
      </c>
      <c r="C178" s="28">
        <v>349.0</v>
      </c>
      <c r="D178" s="28">
        <v>322.0</v>
      </c>
      <c r="E178" s="28">
        <v>0.0</v>
      </c>
      <c r="F178" s="28">
        <v>0.0</v>
      </c>
      <c r="G178" s="28">
        <v>1.0</v>
      </c>
      <c r="H178" s="28">
        <v>26.0</v>
      </c>
      <c r="I178" s="28">
        <v>1192.0</v>
      </c>
      <c r="J178" s="28">
        <v>1134.0</v>
      </c>
      <c r="K178" s="28">
        <v>4.0</v>
      </c>
      <c r="L178" s="28">
        <v>8.0</v>
      </c>
      <c r="M178" s="28">
        <v>3.0</v>
      </c>
      <c r="N178" s="28">
        <v>43.0</v>
      </c>
      <c r="O178" s="55">
        <v>664.0</v>
      </c>
      <c r="P178" s="31">
        <f t="shared" si="1"/>
        <v>470</v>
      </c>
      <c r="Q178" s="31">
        <f t="shared" si="2"/>
        <v>470</v>
      </c>
      <c r="R178" s="31">
        <f t="shared" si="3"/>
        <v>1192</v>
      </c>
      <c r="S178" s="9">
        <v>116.0</v>
      </c>
      <c r="U178" s="56"/>
      <c r="V178" s="56"/>
    </row>
    <row r="179" ht="15.75" customHeight="1">
      <c r="A179" s="34">
        <v>40502.0</v>
      </c>
      <c r="B179" s="35" t="s">
        <v>194</v>
      </c>
      <c r="C179" s="28">
        <v>1082.0</v>
      </c>
      <c r="D179" s="28">
        <v>475.0</v>
      </c>
      <c r="E179" s="28">
        <v>5.0</v>
      </c>
      <c r="F179" s="28">
        <v>72.0</v>
      </c>
      <c r="G179" s="28">
        <v>3.0</v>
      </c>
      <c r="H179" s="28">
        <v>527.0</v>
      </c>
      <c r="I179" s="28">
        <v>1055.0</v>
      </c>
      <c r="J179" s="28">
        <v>726.0</v>
      </c>
      <c r="K179" s="28">
        <v>7.0</v>
      </c>
      <c r="L179" s="28">
        <v>78.0</v>
      </c>
      <c r="M179" s="28">
        <v>18.0</v>
      </c>
      <c r="N179" s="28">
        <v>226.0</v>
      </c>
      <c r="O179" s="55">
        <v>244.0</v>
      </c>
      <c r="P179" s="31">
        <f t="shared" si="1"/>
        <v>482</v>
      </c>
      <c r="Q179" s="31">
        <f t="shared" si="2"/>
        <v>482</v>
      </c>
      <c r="R179" s="31">
        <f t="shared" si="3"/>
        <v>1055</v>
      </c>
      <c r="S179" s="9">
        <v>63.5</v>
      </c>
      <c r="U179" s="56"/>
      <c r="V179" s="56"/>
    </row>
    <row r="180" ht="15.75" customHeight="1">
      <c r="A180" s="26">
        <v>40503.0</v>
      </c>
      <c r="B180" s="27" t="s">
        <v>195</v>
      </c>
      <c r="C180" s="28">
        <v>584.0</v>
      </c>
      <c r="D180" s="28">
        <v>254.0</v>
      </c>
      <c r="E180" s="28">
        <v>1.0</v>
      </c>
      <c r="F180" s="28">
        <v>6.0</v>
      </c>
      <c r="G180" s="28">
        <v>2.0</v>
      </c>
      <c r="H180" s="28">
        <v>321.0</v>
      </c>
      <c r="I180" s="28">
        <v>352.0</v>
      </c>
      <c r="J180" s="28">
        <v>298.0</v>
      </c>
      <c r="K180" s="28">
        <v>2.0</v>
      </c>
      <c r="L180" s="28">
        <v>15.0</v>
      </c>
      <c r="M180" s="28">
        <v>5.0</v>
      </c>
      <c r="N180" s="28">
        <v>32.0</v>
      </c>
      <c r="O180" s="55">
        <v>58.0</v>
      </c>
      <c r="P180" s="31">
        <f t="shared" si="1"/>
        <v>240</v>
      </c>
      <c r="Q180" s="31">
        <f t="shared" si="2"/>
        <v>240</v>
      </c>
      <c r="R180" s="31">
        <f t="shared" si="3"/>
        <v>352</v>
      </c>
      <c r="S180" s="9">
        <v>9.5</v>
      </c>
      <c r="U180" s="56"/>
      <c r="V180" s="56"/>
    </row>
    <row r="181" ht="15.75" customHeight="1">
      <c r="A181" s="34">
        <v>40504.0</v>
      </c>
      <c r="B181" s="35" t="s">
        <v>196</v>
      </c>
      <c r="C181" s="28">
        <v>169.0</v>
      </c>
      <c r="D181" s="28">
        <v>78.0</v>
      </c>
      <c r="E181" s="28">
        <v>0.0</v>
      </c>
      <c r="F181" s="28">
        <v>3.0</v>
      </c>
      <c r="G181" s="28">
        <v>0.0</v>
      </c>
      <c r="H181" s="28">
        <v>88.0</v>
      </c>
      <c r="I181" s="28">
        <v>173.0</v>
      </c>
      <c r="J181" s="28">
        <v>155.0</v>
      </c>
      <c r="K181" s="28">
        <v>1.0</v>
      </c>
      <c r="L181" s="28">
        <v>0.0</v>
      </c>
      <c r="M181" s="28">
        <v>3.0</v>
      </c>
      <c r="N181" s="28">
        <v>14.0</v>
      </c>
      <c r="O181" s="55">
        <v>64.0</v>
      </c>
      <c r="P181" s="31">
        <f t="shared" si="1"/>
        <v>91</v>
      </c>
      <c r="Q181" s="31">
        <f t="shared" si="2"/>
        <v>91</v>
      </c>
      <c r="R181" s="31">
        <f t="shared" si="3"/>
        <v>173</v>
      </c>
      <c r="S181" s="9">
        <v>83.0</v>
      </c>
      <c r="U181" s="56"/>
      <c r="V181" s="56"/>
    </row>
    <row r="182" ht="15.75" customHeight="1">
      <c r="A182" s="26">
        <v>40505.0</v>
      </c>
      <c r="B182" s="27" t="s">
        <v>197</v>
      </c>
      <c r="C182" s="28">
        <v>719.0</v>
      </c>
      <c r="D182" s="28">
        <v>497.0</v>
      </c>
      <c r="E182" s="28">
        <v>0.0</v>
      </c>
      <c r="F182" s="28">
        <v>68.0</v>
      </c>
      <c r="G182" s="28">
        <v>4.0</v>
      </c>
      <c r="H182" s="28">
        <v>150.0</v>
      </c>
      <c r="I182" s="28">
        <v>873.0</v>
      </c>
      <c r="J182" s="28">
        <v>739.0</v>
      </c>
      <c r="K182" s="28">
        <v>0.0</v>
      </c>
      <c r="L182" s="28">
        <v>40.0</v>
      </c>
      <c r="M182" s="28">
        <v>8.0</v>
      </c>
      <c r="N182" s="28">
        <v>86.0</v>
      </c>
      <c r="O182" s="55">
        <v>197.0</v>
      </c>
      <c r="P182" s="31">
        <f t="shared" si="1"/>
        <v>542</v>
      </c>
      <c r="Q182" s="31">
        <f t="shared" si="2"/>
        <v>542</v>
      </c>
      <c r="R182" s="31">
        <f t="shared" si="3"/>
        <v>873</v>
      </c>
      <c r="S182" s="9">
        <v>63.0</v>
      </c>
      <c r="U182" s="56"/>
      <c r="V182" s="56"/>
    </row>
    <row r="183" ht="15.75" customHeight="1">
      <c r="A183" s="34">
        <v>40601.0</v>
      </c>
      <c r="B183" s="35" t="s">
        <v>198</v>
      </c>
      <c r="C183" s="28">
        <v>2839.0</v>
      </c>
      <c r="D183" s="28">
        <v>1790.0</v>
      </c>
      <c r="E183" s="28">
        <v>12.0</v>
      </c>
      <c r="F183" s="28">
        <v>120.0</v>
      </c>
      <c r="G183" s="28">
        <v>17.0</v>
      </c>
      <c r="H183" s="28">
        <v>900.0</v>
      </c>
      <c r="I183" s="28">
        <v>3662.0</v>
      </c>
      <c r="J183" s="28">
        <v>2812.0</v>
      </c>
      <c r="K183" s="28">
        <v>11.0</v>
      </c>
      <c r="L183" s="28">
        <v>37.0</v>
      </c>
      <c r="M183" s="28">
        <v>43.0</v>
      </c>
      <c r="N183" s="28">
        <v>759.0</v>
      </c>
      <c r="O183" s="55">
        <v>707.0</v>
      </c>
      <c r="P183" s="31">
        <f t="shared" si="1"/>
        <v>2105</v>
      </c>
      <c r="Q183" s="31">
        <f t="shared" si="2"/>
        <v>2105</v>
      </c>
      <c r="R183" s="31">
        <f t="shared" si="3"/>
        <v>3662</v>
      </c>
      <c r="S183" s="9">
        <v>38.0</v>
      </c>
      <c r="U183" s="56"/>
      <c r="V183" s="56"/>
    </row>
    <row r="184" ht="15.75" customHeight="1">
      <c r="A184" s="26">
        <v>40602.0</v>
      </c>
      <c r="B184" s="27" t="s">
        <v>199</v>
      </c>
      <c r="C184" s="28">
        <v>2185.0</v>
      </c>
      <c r="D184" s="28">
        <v>1631.0</v>
      </c>
      <c r="E184" s="28">
        <v>11.0</v>
      </c>
      <c r="F184" s="28">
        <v>47.0</v>
      </c>
      <c r="G184" s="28">
        <v>21.0</v>
      </c>
      <c r="H184" s="28">
        <v>475.0</v>
      </c>
      <c r="I184" s="28">
        <v>1769.0</v>
      </c>
      <c r="J184" s="28">
        <v>1503.0</v>
      </c>
      <c r="K184" s="28">
        <v>1.0</v>
      </c>
      <c r="L184" s="28">
        <v>18.0</v>
      </c>
      <c r="M184" s="28">
        <v>5.0</v>
      </c>
      <c r="N184" s="28">
        <v>242.0</v>
      </c>
      <c r="O184" s="55">
        <v>934.0</v>
      </c>
      <c r="P184" s="31">
        <f t="shared" si="1"/>
        <v>569</v>
      </c>
      <c r="Q184" s="31">
        <f t="shared" si="2"/>
        <v>569</v>
      </c>
      <c r="R184" s="31">
        <f t="shared" si="3"/>
        <v>1769</v>
      </c>
      <c r="S184" s="9">
        <v>17.0</v>
      </c>
      <c r="U184" s="56"/>
      <c r="V184" s="56"/>
    </row>
    <row r="185" ht="15.75" customHeight="1">
      <c r="A185" s="34">
        <v>40603.0</v>
      </c>
      <c r="B185" s="35" t="s">
        <v>200</v>
      </c>
      <c r="C185" s="28">
        <v>1158.0</v>
      </c>
      <c r="D185" s="28">
        <v>924.0</v>
      </c>
      <c r="E185" s="28">
        <v>4.0</v>
      </c>
      <c r="F185" s="28">
        <v>14.0</v>
      </c>
      <c r="G185" s="28">
        <v>3.0</v>
      </c>
      <c r="H185" s="28">
        <v>213.0</v>
      </c>
      <c r="I185" s="28">
        <v>1450.0</v>
      </c>
      <c r="J185" s="28">
        <v>1268.0</v>
      </c>
      <c r="K185" s="28">
        <v>3.0</v>
      </c>
      <c r="L185" s="28">
        <v>12.0</v>
      </c>
      <c r="M185" s="28">
        <v>9.0</v>
      </c>
      <c r="N185" s="28">
        <v>158.0</v>
      </c>
      <c r="O185" s="55">
        <v>280.0</v>
      </c>
      <c r="P185" s="31">
        <f t="shared" si="1"/>
        <v>988</v>
      </c>
      <c r="Q185" s="31">
        <f t="shared" si="2"/>
        <v>988</v>
      </c>
      <c r="R185" s="31">
        <f t="shared" si="3"/>
        <v>1450</v>
      </c>
      <c r="S185" s="9">
        <v>37.0</v>
      </c>
      <c r="U185" s="56"/>
      <c r="V185" s="56"/>
    </row>
    <row r="186" ht="15.75" customHeight="1">
      <c r="A186" s="26">
        <v>40701.0</v>
      </c>
      <c r="B186" s="27" t="s">
        <v>201</v>
      </c>
      <c r="C186" s="28">
        <v>7189.0</v>
      </c>
      <c r="D186" s="28">
        <v>6757.0</v>
      </c>
      <c r="E186" s="28">
        <v>20.0</v>
      </c>
      <c r="F186" s="28">
        <v>11.0</v>
      </c>
      <c r="G186" s="28">
        <v>18.0</v>
      </c>
      <c r="H186" s="28">
        <v>383.0</v>
      </c>
      <c r="I186" s="28">
        <v>6423.0</v>
      </c>
      <c r="J186" s="28">
        <v>6165.0</v>
      </c>
      <c r="K186" s="28">
        <v>11.0</v>
      </c>
      <c r="L186" s="28">
        <v>24.0</v>
      </c>
      <c r="M186" s="28">
        <v>14.0</v>
      </c>
      <c r="N186" s="28">
        <v>209.0</v>
      </c>
      <c r="O186" s="55">
        <v>6196.0</v>
      </c>
      <c r="P186" s="31">
        <f t="shared" si="1"/>
        <v>-31</v>
      </c>
      <c r="Q186" s="55" t="str">
        <f t="shared" si="2"/>
        <v/>
      </c>
      <c r="R186" s="31">
        <f t="shared" si="3"/>
        <v>6454</v>
      </c>
      <c r="S186" s="9">
        <v>555.0</v>
      </c>
      <c r="U186" s="56"/>
      <c r="V186" s="56"/>
    </row>
    <row r="187" ht="15.75" customHeight="1">
      <c r="A187" s="34">
        <v>40702.0</v>
      </c>
      <c r="B187" s="35" t="s">
        <v>202</v>
      </c>
      <c r="C187" s="28">
        <v>1558.0</v>
      </c>
      <c r="D187" s="28">
        <v>1327.0</v>
      </c>
      <c r="E187" s="28">
        <v>2.0</v>
      </c>
      <c r="F187" s="28">
        <v>23.0</v>
      </c>
      <c r="G187" s="28">
        <v>21.0</v>
      </c>
      <c r="H187" s="28">
        <v>185.0</v>
      </c>
      <c r="I187" s="28">
        <v>2176.0</v>
      </c>
      <c r="J187" s="28">
        <v>1989.0</v>
      </c>
      <c r="K187" s="28">
        <v>7.0</v>
      </c>
      <c r="L187" s="28">
        <v>33.0</v>
      </c>
      <c r="M187" s="28">
        <v>13.0</v>
      </c>
      <c r="N187" s="28">
        <v>134.0</v>
      </c>
      <c r="O187" s="55">
        <v>1334.0</v>
      </c>
      <c r="P187" s="31">
        <f t="shared" si="1"/>
        <v>655</v>
      </c>
      <c r="Q187" s="31">
        <f t="shared" si="2"/>
        <v>655</v>
      </c>
      <c r="R187" s="31">
        <f t="shared" si="3"/>
        <v>2176</v>
      </c>
      <c r="S187" s="9">
        <v>308.0</v>
      </c>
      <c r="U187" s="56"/>
      <c r="V187" s="56"/>
    </row>
    <row r="188" ht="15.75" customHeight="1">
      <c r="A188" s="26">
        <v>40801.0</v>
      </c>
      <c r="B188" s="27" t="s">
        <v>203</v>
      </c>
      <c r="C188" s="28">
        <v>3927.0</v>
      </c>
      <c r="D188" s="28">
        <v>2396.0</v>
      </c>
      <c r="E188" s="28">
        <v>11.0</v>
      </c>
      <c r="F188" s="28">
        <v>109.0</v>
      </c>
      <c r="G188" s="28">
        <v>27.0</v>
      </c>
      <c r="H188" s="28">
        <v>1384.0</v>
      </c>
      <c r="I188" s="28">
        <v>5969.0</v>
      </c>
      <c r="J188" s="28">
        <v>4585.0</v>
      </c>
      <c r="K188" s="28">
        <v>35.0</v>
      </c>
      <c r="L188" s="28">
        <v>139.0</v>
      </c>
      <c r="M188" s="28">
        <v>54.0</v>
      </c>
      <c r="N188" s="28">
        <v>1156.0</v>
      </c>
      <c r="O188" s="55">
        <v>3166.0</v>
      </c>
      <c r="P188" s="31">
        <f t="shared" si="1"/>
        <v>1419</v>
      </c>
      <c r="Q188" s="31">
        <f t="shared" si="2"/>
        <v>1419</v>
      </c>
      <c r="R188" s="31">
        <f t="shared" si="3"/>
        <v>5969</v>
      </c>
      <c r="S188" s="9">
        <v>81.0</v>
      </c>
      <c r="U188" s="56"/>
      <c r="V188" s="56"/>
    </row>
    <row r="189" ht="15.75" customHeight="1">
      <c r="A189" s="34">
        <v>40802.0</v>
      </c>
      <c r="B189" s="35" t="s">
        <v>204</v>
      </c>
      <c r="C189" s="28">
        <v>1040.0</v>
      </c>
      <c r="D189" s="28">
        <v>573.0</v>
      </c>
      <c r="E189" s="28">
        <v>4.0</v>
      </c>
      <c r="F189" s="28">
        <v>45.0</v>
      </c>
      <c r="G189" s="28">
        <v>8.0</v>
      </c>
      <c r="H189" s="28">
        <v>410.0</v>
      </c>
      <c r="I189" s="28">
        <v>1275.0</v>
      </c>
      <c r="J189" s="28">
        <v>898.0</v>
      </c>
      <c r="K189" s="28">
        <v>4.0</v>
      </c>
      <c r="L189" s="28">
        <v>58.0</v>
      </c>
      <c r="M189" s="28">
        <v>8.0</v>
      </c>
      <c r="N189" s="28">
        <v>307.0</v>
      </c>
      <c r="O189" s="55">
        <v>382.0</v>
      </c>
      <c r="P189" s="31">
        <f t="shared" si="1"/>
        <v>516</v>
      </c>
      <c r="Q189" s="31">
        <f t="shared" si="2"/>
        <v>516</v>
      </c>
      <c r="R189" s="31">
        <f t="shared" si="3"/>
        <v>1275</v>
      </c>
      <c r="S189" s="9">
        <v>67.0</v>
      </c>
      <c r="U189" s="56"/>
      <c r="V189" s="56"/>
    </row>
    <row r="190" ht="15.75" customHeight="1">
      <c r="A190" s="26">
        <v>40901.0</v>
      </c>
      <c r="B190" s="27" t="s">
        <v>205</v>
      </c>
      <c r="C190" s="28">
        <v>2247.0</v>
      </c>
      <c r="D190" s="28">
        <v>1547.0</v>
      </c>
      <c r="E190" s="28">
        <v>6.0</v>
      </c>
      <c r="F190" s="28">
        <v>94.0</v>
      </c>
      <c r="G190" s="28">
        <v>7.0</v>
      </c>
      <c r="H190" s="28">
        <v>593.0</v>
      </c>
      <c r="I190" s="28">
        <v>3855.0</v>
      </c>
      <c r="J190" s="28">
        <v>3210.0</v>
      </c>
      <c r="K190" s="28">
        <v>21.0</v>
      </c>
      <c r="L190" s="28">
        <v>179.0</v>
      </c>
      <c r="M190" s="28">
        <v>66.0</v>
      </c>
      <c r="N190" s="28">
        <v>379.0</v>
      </c>
      <c r="O190" s="55">
        <v>1471.0</v>
      </c>
      <c r="P190" s="31">
        <f t="shared" si="1"/>
        <v>1739</v>
      </c>
      <c r="Q190" s="31">
        <f t="shared" si="2"/>
        <v>1739</v>
      </c>
      <c r="R190" s="31">
        <f t="shared" si="3"/>
        <v>3855</v>
      </c>
      <c r="S190" s="9">
        <v>102.0</v>
      </c>
      <c r="U190" s="56"/>
      <c r="V190" s="56"/>
    </row>
    <row r="191" ht="15.75" customHeight="1">
      <c r="A191" s="34">
        <v>40902.0</v>
      </c>
      <c r="B191" s="35" t="s">
        <v>206</v>
      </c>
      <c r="C191" s="28">
        <v>253.0</v>
      </c>
      <c r="D191" s="28">
        <v>196.0</v>
      </c>
      <c r="E191" s="28">
        <v>3.0</v>
      </c>
      <c r="F191" s="28">
        <v>0.0</v>
      </c>
      <c r="G191" s="28">
        <v>0.0</v>
      </c>
      <c r="H191" s="28">
        <v>54.0</v>
      </c>
      <c r="I191" s="28">
        <v>357.0</v>
      </c>
      <c r="J191" s="28">
        <v>301.0</v>
      </c>
      <c r="K191" s="28">
        <v>0.0</v>
      </c>
      <c r="L191" s="28">
        <v>19.0</v>
      </c>
      <c r="M191" s="28">
        <v>2.0</v>
      </c>
      <c r="N191" s="28">
        <v>35.0</v>
      </c>
      <c r="O191" s="55">
        <v>159.0</v>
      </c>
      <c r="P191" s="31">
        <f t="shared" si="1"/>
        <v>142</v>
      </c>
      <c r="Q191" s="31">
        <f t="shared" si="2"/>
        <v>142</v>
      </c>
      <c r="R191" s="31">
        <f t="shared" si="3"/>
        <v>357</v>
      </c>
      <c r="S191" s="9">
        <v>145.0</v>
      </c>
      <c r="U191" s="56"/>
      <c r="V191" s="56"/>
    </row>
    <row r="192" ht="15.75" customHeight="1">
      <c r="A192" s="26">
        <v>40903.0</v>
      </c>
      <c r="B192" s="27" t="s">
        <v>207</v>
      </c>
      <c r="C192" s="28">
        <v>590.0</v>
      </c>
      <c r="D192" s="28">
        <v>232.0</v>
      </c>
      <c r="E192" s="28">
        <v>0.0</v>
      </c>
      <c r="F192" s="28">
        <v>208.0</v>
      </c>
      <c r="G192" s="28">
        <v>12.0</v>
      </c>
      <c r="H192" s="28">
        <v>138.0</v>
      </c>
      <c r="I192" s="28">
        <v>1105.0</v>
      </c>
      <c r="J192" s="28">
        <v>463.0</v>
      </c>
      <c r="K192" s="28">
        <v>1.0</v>
      </c>
      <c r="L192" s="28">
        <v>71.0</v>
      </c>
      <c r="M192" s="28">
        <v>18.0</v>
      </c>
      <c r="N192" s="28">
        <v>552.0</v>
      </c>
      <c r="O192" s="55">
        <v>345.0</v>
      </c>
      <c r="P192" s="31">
        <f t="shared" si="1"/>
        <v>118</v>
      </c>
      <c r="Q192" s="31">
        <f t="shared" si="2"/>
        <v>118</v>
      </c>
      <c r="R192" s="31">
        <f t="shared" si="3"/>
        <v>1105</v>
      </c>
      <c r="S192" s="9">
        <v>128.0</v>
      </c>
      <c r="U192" s="56"/>
      <c r="V192" s="56"/>
    </row>
    <row r="193" ht="15.75" customHeight="1">
      <c r="A193" s="34">
        <v>41001.0</v>
      </c>
      <c r="B193" s="35" t="s">
        <v>208</v>
      </c>
      <c r="C193" s="28">
        <v>4331.0</v>
      </c>
      <c r="D193" s="28">
        <v>873.0</v>
      </c>
      <c r="E193" s="28">
        <v>9.0</v>
      </c>
      <c r="F193" s="28">
        <v>666.0</v>
      </c>
      <c r="G193" s="28">
        <v>173.0</v>
      </c>
      <c r="H193" s="28">
        <v>2610.0</v>
      </c>
      <c r="I193" s="28">
        <v>4732.0</v>
      </c>
      <c r="J193" s="28">
        <v>2091.0</v>
      </c>
      <c r="K193" s="28">
        <v>10.0</v>
      </c>
      <c r="L193" s="28">
        <v>329.0</v>
      </c>
      <c r="M193" s="28">
        <v>137.0</v>
      </c>
      <c r="N193" s="28">
        <v>2165.0</v>
      </c>
      <c r="O193" s="55">
        <v>1645.0</v>
      </c>
      <c r="P193" s="31">
        <f t="shared" si="1"/>
        <v>446</v>
      </c>
      <c r="Q193" s="31">
        <f t="shared" si="2"/>
        <v>446</v>
      </c>
      <c r="R193" s="31">
        <f t="shared" si="3"/>
        <v>4732</v>
      </c>
      <c r="S193" s="9">
        <v>51.0</v>
      </c>
      <c r="U193" s="56"/>
      <c r="V193" s="56"/>
    </row>
    <row r="194" ht="15.75" customHeight="1">
      <c r="A194" s="26">
        <v>41101.0</v>
      </c>
      <c r="B194" s="27" t="s">
        <v>209</v>
      </c>
      <c r="C194" s="28">
        <v>1898.0</v>
      </c>
      <c r="D194" s="28">
        <v>1530.0</v>
      </c>
      <c r="E194" s="28">
        <v>3.0</v>
      </c>
      <c r="F194" s="28">
        <v>5.0</v>
      </c>
      <c r="G194" s="28">
        <v>11.0</v>
      </c>
      <c r="H194" s="28">
        <v>349.0</v>
      </c>
      <c r="I194" s="28">
        <v>1936.0</v>
      </c>
      <c r="J194" s="28">
        <v>1692.0</v>
      </c>
      <c r="K194" s="28">
        <v>7.0</v>
      </c>
      <c r="L194" s="28">
        <v>8.0</v>
      </c>
      <c r="M194" s="28">
        <v>16.0</v>
      </c>
      <c r="N194" s="28">
        <v>213.0</v>
      </c>
      <c r="O194" s="55">
        <v>1407.0</v>
      </c>
      <c r="P194" s="31">
        <f t="shared" si="1"/>
        <v>285</v>
      </c>
      <c r="Q194" s="31">
        <f t="shared" si="2"/>
        <v>285</v>
      </c>
      <c r="R194" s="31">
        <f t="shared" si="3"/>
        <v>1936</v>
      </c>
      <c r="S194" s="9">
        <v>124.0</v>
      </c>
      <c r="U194" s="56"/>
      <c r="V194" s="56"/>
    </row>
    <row r="195" ht="15.75" customHeight="1">
      <c r="A195" s="34">
        <v>41201.0</v>
      </c>
      <c r="B195" s="35" t="s">
        <v>210</v>
      </c>
      <c r="C195" s="28">
        <v>1992.0</v>
      </c>
      <c r="D195" s="28">
        <v>741.0</v>
      </c>
      <c r="E195" s="28">
        <v>3.0</v>
      </c>
      <c r="F195" s="28">
        <v>134.0</v>
      </c>
      <c r="G195" s="28">
        <v>33.0</v>
      </c>
      <c r="H195" s="28">
        <v>1081.0</v>
      </c>
      <c r="I195" s="28">
        <v>2285.0</v>
      </c>
      <c r="J195" s="28">
        <v>1291.0</v>
      </c>
      <c r="K195" s="28">
        <v>1.0</v>
      </c>
      <c r="L195" s="28">
        <v>125.0</v>
      </c>
      <c r="M195" s="28">
        <v>24.0</v>
      </c>
      <c r="N195" s="28">
        <v>844.0</v>
      </c>
      <c r="O195" s="55">
        <v>1494.0</v>
      </c>
      <c r="P195" s="31">
        <f t="shared" si="1"/>
        <v>-203</v>
      </c>
      <c r="Q195" s="55" t="str">
        <f t="shared" si="2"/>
        <v/>
      </c>
      <c r="R195" s="31">
        <f t="shared" si="3"/>
        <v>2488</v>
      </c>
      <c r="S195" s="9">
        <v>40.0</v>
      </c>
      <c r="U195" s="56"/>
      <c r="V195" s="56"/>
    </row>
    <row r="196" ht="15.75" customHeight="1">
      <c r="A196" s="26">
        <v>41202.0</v>
      </c>
      <c r="B196" s="27" t="s">
        <v>211</v>
      </c>
      <c r="C196" s="28">
        <v>728.0</v>
      </c>
      <c r="D196" s="28">
        <v>422.0</v>
      </c>
      <c r="E196" s="28">
        <v>1.0</v>
      </c>
      <c r="F196" s="28">
        <v>26.0</v>
      </c>
      <c r="G196" s="28">
        <v>11.0</v>
      </c>
      <c r="H196" s="28">
        <v>268.0</v>
      </c>
      <c r="I196" s="28">
        <v>1099.0</v>
      </c>
      <c r="J196" s="28">
        <v>647.0</v>
      </c>
      <c r="K196" s="28">
        <v>1.0</v>
      </c>
      <c r="L196" s="28">
        <v>37.0</v>
      </c>
      <c r="M196" s="28">
        <v>14.0</v>
      </c>
      <c r="N196" s="28">
        <v>400.0</v>
      </c>
      <c r="O196" s="55">
        <v>319.0</v>
      </c>
      <c r="P196" s="31">
        <f t="shared" si="1"/>
        <v>328</v>
      </c>
      <c r="Q196" s="31">
        <f t="shared" si="2"/>
        <v>328</v>
      </c>
      <c r="R196" s="31">
        <f t="shared" si="3"/>
        <v>1099</v>
      </c>
      <c r="S196" s="9">
        <v>2.0</v>
      </c>
      <c r="U196" s="56"/>
      <c r="V196" s="56"/>
    </row>
    <row r="197" ht="15.75" customHeight="1">
      <c r="A197" s="34">
        <v>41301.0</v>
      </c>
      <c r="B197" s="35" t="s">
        <v>212</v>
      </c>
      <c r="C197" s="28">
        <v>1886.0</v>
      </c>
      <c r="D197" s="28">
        <v>448.0</v>
      </c>
      <c r="E197" s="28">
        <v>5.0</v>
      </c>
      <c r="F197" s="28">
        <v>237.0</v>
      </c>
      <c r="G197" s="28">
        <v>121.0</v>
      </c>
      <c r="H197" s="28">
        <v>1075.0</v>
      </c>
      <c r="I197" s="28">
        <v>2648.0</v>
      </c>
      <c r="J197" s="28">
        <v>1007.0</v>
      </c>
      <c r="K197" s="28">
        <v>4.0</v>
      </c>
      <c r="L197" s="28">
        <v>155.0</v>
      </c>
      <c r="M197" s="28">
        <v>80.0</v>
      </c>
      <c r="N197" s="28">
        <v>1402.0</v>
      </c>
      <c r="O197" s="55">
        <v>882.0</v>
      </c>
      <c r="P197" s="31">
        <f t="shared" si="1"/>
        <v>125</v>
      </c>
      <c r="Q197" s="31">
        <f t="shared" si="2"/>
        <v>125</v>
      </c>
      <c r="R197" s="31">
        <f t="shared" si="3"/>
        <v>2648</v>
      </c>
      <c r="S197" s="9">
        <v>70.0</v>
      </c>
      <c r="U197" s="56"/>
      <c r="V197" s="56"/>
    </row>
    <row r="198" ht="15.75" customHeight="1">
      <c r="A198" s="26">
        <v>41401.0</v>
      </c>
      <c r="B198" s="27" t="s">
        <v>213</v>
      </c>
      <c r="C198" s="28">
        <v>4302.0</v>
      </c>
      <c r="D198" s="28">
        <v>2395.0</v>
      </c>
      <c r="E198" s="28">
        <v>12.0</v>
      </c>
      <c r="F198" s="28">
        <v>172.0</v>
      </c>
      <c r="G198" s="28">
        <v>42.0</v>
      </c>
      <c r="H198" s="28">
        <v>1681.0</v>
      </c>
      <c r="I198" s="28">
        <v>4639.0</v>
      </c>
      <c r="J198" s="28">
        <v>3446.0</v>
      </c>
      <c r="K198" s="28">
        <v>11.0</v>
      </c>
      <c r="L198" s="28">
        <v>80.0</v>
      </c>
      <c r="M198" s="28">
        <v>31.0</v>
      </c>
      <c r="N198" s="28">
        <v>1071.0</v>
      </c>
      <c r="O198" s="55">
        <v>2022.0</v>
      </c>
      <c r="P198" s="31">
        <f t="shared" si="1"/>
        <v>1424</v>
      </c>
      <c r="Q198" s="31">
        <f t="shared" si="2"/>
        <v>1424</v>
      </c>
      <c r="R198" s="31">
        <f t="shared" si="3"/>
        <v>4639</v>
      </c>
      <c r="S198" s="9">
        <v>124.0</v>
      </c>
      <c r="U198" s="56"/>
      <c r="V198" s="56"/>
    </row>
    <row r="199" ht="15.75" customHeight="1">
      <c r="A199" s="34">
        <v>41501.0</v>
      </c>
      <c r="B199" s="35" t="s">
        <v>214</v>
      </c>
      <c r="C199" s="28">
        <v>181.0</v>
      </c>
      <c r="D199" s="28">
        <v>52.0</v>
      </c>
      <c r="E199" s="28">
        <v>0.0</v>
      </c>
      <c r="F199" s="28">
        <v>42.0</v>
      </c>
      <c r="G199" s="28">
        <v>0.0</v>
      </c>
      <c r="H199" s="28">
        <v>87.0</v>
      </c>
      <c r="I199" s="28">
        <v>283.0</v>
      </c>
      <c r="J199" s="28">
        <v>183.0</v>
      </c>
      <c r="K199" s="28">
        <v>3.0</v>
      </c>
      <c r="L199" s="28">
        <v>32.0</v>
      </c>
      <c r="M199" s="28">
        <v>5.0</v>
      </c>
      <c r="N199" s="28">
        <v>60.0</v>
      </c>
      <c r="O199" s="55">
        <v>149.0</v>
      </c>
      <c r="P199" s="31">
        <f t="shared" si="1"/>
        <v>34</v>
      </c>
      <c r="Q199" s="31">
        <f t="shared" si="2"/>
        <v>34</v>
      </c>
      <c r="R199" s="31">
        <f t="shared" si="3"/>
        <v>283</v>
      </c>
      <c r="S199" s="9">
        <v>141.0</v>
      </c>
      <c r="U199" s="56"/>
      <c r="V199" s="56"/>
    </row>
    <row r="200" ht="15.75" customHeight="1">
      <c r="A200" s="26">
        <v>41502.0</v>
      </c>
      <c r="B200" s="27" t="s">
        <v>215</v>
      </c>
      <c r="C200" s="28">
        <v>193.0</v>
      </c>
      <c r="D200" s="28">
        <v>68.0</v>
      </c>
      <c r="E200" s="28">
        <v>1.0</v>
      </c>
      <c r="F200" s="28">
        <v>21.0</v>
      </c>
      <c r="G200" s="28">
        <v>6.0</v>
      </c>
      <c r="H200" s="28">
        <v>97.0</v>
      </c>
      <c r="I200" s="28">
        <v>329.0</v>
      </c>
      <c r="J200" s="28">
        <v>246.0</v>
      </c>
      <c r="K200" s="28">
        <v>1.0</v>
      </c>
      <c r="L200" s="28">
        <v>17.0</v>
      </c>
      <c r="M200" s="28">
        <v>8.0</v>
      </c>
      <c r="N200" s="28">
        <v>57.0</v>
      </c>
      <c r="O200" s="55">
        <v>135.0</v>
      </c>
      <c r="P200" s="31">
        <f t="shared" si="1"/>
        <v>111</v>
      </c>
      <c r="Q200" s="31">
        <f t="shared" si="2"/>
        <v>111</v>
      </c>
      <c r="R200" s="31">
        <f t="shared" si="3"/>
        <v>329</v>
      </c>
      <c r="S200" s="9">
        <v>124.0</v>
      </c>
      <c r="U200" s="56"/>
      <c r="V200" s="56"/>
    </row>
    <row r="201" ht="15.75" customHeight="1">
      <c r="A201" s="34">
        <v>41503.0</v>
      </c>
      <c r="B201" s="35" t="s">
        <v>216</v>
      </c>
      <c r="C201" s="28">
        <v>245.0</v>
      </c>
      <c r="D201" s="28">
        <v>73.0</v>
      </c>
      <c r="E201" s="28">
        <v>9.0</v>
      </c>
      <c r="F201" s="28">
        <v>38.0</v>
      </c>
      <c r="G201" s="28">
        <v>12.0</v>
      </c>
      <c r="H201" s="28">
        <v>113.0</v>
      </c>
      <c r="I201" s="28">
        <v>257.0</v>
      </c>
      <c r="J201" s="28">
        <v>181.0</v>
      </c>
      <c r="K201" s="28">
        <v>5.0</v>
      </c>
      <c r="L201" s="28">
        <v>31.0</v>
      </c>
      <c r="M201" s="28">
        <v>2.0</v>
      </c>
      <c r="N201" s="28">
        <v>38.0</v>
      </c>
      <c r="O201" s="55">
        <v>812.0</v>
      </c>
      <c r="P201" s="31">
        <f t="shared" si="1"/>
        <v>-631</v>
      </c>
      <c r="Q201" s="55" t="str">
        <f t="shared" si="2"/>
        <v/>
      </c>
      <c r="R201" s="31">
        <f t="shared" si="3"/>
        <v>888</v>
      </c>
      <c r="S201" s="9">
        <v>78.5</v>
      </c>
      <c r="U201" s="56"/>
      <c r="V201" s="56"/>
    </row>
    <row r="202" ht="15.75" customHeight="1">
      <c r="A202" s="26">
        <v>41601.0</v>
      </c>
      <c r="B202" s="27" t="s">
        <v>217</v>
      </c>
      <c r="C202" s="28">
        <v>2254.0</v>
      </c>
      <c r="D202" s="28">
        <v>667.0</v>
      </c>
      <c r="E202" s="28">
        <v>7.0</v>
      </c>
      <c r="F202" s="28">
        <v>100.0</v>
      </c>
      <c r="G202" s="28">
        <v>41.0</v>
      </c>
      <c r="H202" s="28">
        <v>1439.0</v>
      </c>
      <c r="I202" s="28">
        <v>2722.0</v>
      </c>
      <c r="J202" s="28">
        <v>1466.0</v>
      </c>
      <c r="K202" s="28">
        <v>2.0</v>
      </c>
      <c r="L202" s="28">
        <v>63.0</v>
      </c>
      <c r="M202" s="28">
        <v>13.0</v>
      </c>
      <c r="N202" s="28">
        <v>1178.0</v>
      </c>
      <c r="O202" s="55">
        <v>1502.0</v>
      </c>
      <c r="P202" s="31">
        <f t="shared" si="1"/>
        <v>-36</v>
      </c>
      <c r="Q202" s="55" t="str">
        <f t="shared" si="2"/>
        <v/>
      </c>
      <c r="R202" s="31">
        <f t="shared" si="3"/>
        <v>2758</v>
      </c>
      <c r="S202" s="9">
        <v>51.0</v>
      </c>
      <c r="U202" s="56"/>
      <c r="V202" s="56"/>
    </row>
    <row r="203" ht="15.75" customHeight="1">
      <c r="A203" s="34">
        <v>50101.0</v>
      </c>
      <c r="B203" s="35" t="s">
        <v>218</v>
      </c>
      <c r="C203" s="28">
        <v>51606.0</v>
      </c>
      <c r="D203" s="28">
        <v>48667.0</v>
      </c>
      <c r="E203" s="28">
        <v>85.0</v>
      </c>
      <c r="F203" s="28">
        <v>40.0</v>
      </c>
      <c r="G203" s="28">
        <v>103.0</v>
      </c>
      <c r="H203" s="28">
        <v>2711.0</v>
      </c>
      <c r="I203" s="28">
        <v>67379.0</v>
      </c>
      <c r="J203" s="28">
        <v>63321.0</v>
      </c>
      <c r="K203" s="28">
        <v>380.0</v>
      </c>
      <c r="L203" s="28">
        <v>125.0</v>
      </c>
      <c r="M203" s="28">
        <v>385.0</v>
      </c>
      <c r="N203" s="28">
        <v>3168.0</v>
      </c>
      <c r="O203" s="55">
        <v>56730.0</v>
      </c>
      <c r="P203" s="31">
        <f t="shared" si="1"/>
        <v>6591</v>
      </c>
      <c r="Q203" s="31">
        <f t="shared" si="2"/>
        <v>6591</v>
      </c>
      <c r="R203" s="31">
        <f t="shared" si="3"/>
        <v>67379</v>
      </c>
      <c r="S203" s="9">
        <v>743.0</v>
      </c>
      <c r="U203" s="56"/>
      <c r="V203" s="56"/>
    </row>
    <row r="204" ht="15.75" customHeight="1">
      <c r="A204" s="26">
        <v>50102.0</v>
      </c>
      <c r="B204" s="27" t="s">
        <v>219</v>
      </c>
      <c r="C204" s="28">
        <v>7545.0</v>
      </c>
      <c r="D204" s="28">
        <v>2849.0</v>
      </c>
      <c r="E204" s="28">
        <v>19.0</v>
      </c>
      <c r="F204" s="28">
        <v>25.0</v>
      </c>
      <c r="G204" s="28">
        <v>77.0</v>
      </c>
      <c r="H204" s="28">
        <v>4575.0</v>
      </c>
      <c r="I204" s="28">
        <v>9796.0</v>
      </c>
      <c r="J204" s="28">
        <v>7270.0</v>
      </c>
      <c r="K204" s="28">
        <v>9.0</v>
      </c>
      <c r="L204" s="28">
        <v>58.0</v>
      </c>
      <c r="M204" s="28">
        <v>52.0</v>
      </c>
      <c r="N204" s="28">
        <v>2407.0</v>
      </c>
      <c r="O204" s="55">
        <v>3516.0</v>
      </c>
      <c r="P204" s="31">
        <f t="shared" si="1"/>
        <v>3754</v>
      </c>
      <c r="Q204" s="31">
        <f t="shared" si="2"/>
        <v>3754</v>
      </c>
      <c r="R204" s="31">
        <f t="shared" si="3"/>
        <v>9796</v>
      </c>
      <c r="S204" s="9">
        <v>69.0</v>
      </c>
      <c r="U204" s="56"/>
      <c r="V204" s="56"/>
    </row>
    <row r="205" ht="15.75" customHeight="1">
      <c r="A205" s="34">
        <v>50103.0</v>
      </c>
      <c r="B205" s="35" t="s">
        <v>220</v>
      </c>
      <c r="C205" s="28">
        <v>2916.0</v>
      </c>
      <c r="D205" s="28">
        <v>2223.0</v>
      </c>
      <c r="E205" s="28">
        <v>3.0</v>
      </c>
      <c r="F205" s="28">
        <v>4.0</v>
      </c>
      <c r="G205" s="28">
        <v>32.0</v>
      </c>
      <c r="H205" s="28">
        <v>654.0</v>
      </c>
      <c r="I205" s="28">
        <v>4191.0</v>
      </c>
      <c r="J205" s="28">
        <v>3562.0</v>
      </c>
      <c r="K205" s="28">
        <v>17.0</v>
      </c>
      <c r="L205" s="28">
        <v>40.0</v>
      </c>
      <c r="M205" s="28">
        <v>21.0</v>
      </c>
      <c r="N205" s="28">
        <v>551.0</v>
      </c>
      <c r="O205" s="55">
        <v>1475.0</v>
      </c>
      <c r="P205" s="31">
        <f t="shared" si="1"/>
        <v>2087</v>
      </c>
      <c r="Q205" s="31">
        <f t="shared" si="2"/>
        <v>2087</v>
      </c>
      <c r="R205" s="31">
        <f t="shared" si="3"/>
        <v>4191</v>
      </c>
      <c r="S205" s="9">
        <v>77.0</v>
      </c>
      <c r="U205" s="56"/>
      <c r="V205" s="56"/>
    </row>
    <row r="206" ht="15.75" customHeight="1">
      <c r="A206" s="26">
        <v>50104.0</v>
      </c>
      <c r="B206" s="27" t="s">
        <v>221</v>
      </c>
      <c r="C206" s="28">
        <v>1102.0</v>
      </c>
      <c r="D206" s="28">
        <v>495.0</v>
      </c>
      <c r="E206" s="28">
        <v>0.0</v>
      </c>
      <c r="F206" s="28">
        <v>21.0</v>
      </c>
      <c r="G206" s="28">
        <v>10.0</v>
      </c>
      <c r="H206" s="28">
        <v>576.0</v>
      </c>
      <c r="I206" s="28">
        <v>1221.0</v>
      </c>
      <c r="J206" s="28">
        <v>548.0</v>
      </c>
      <c r="K206" s="28">
        <v>1.0</v>
      </c>
      <c r="L206" s="28">
        <v>31.0</v>
      </c>
      <c r="M206" s="28">
        <v>7.0</v>
      </c>
      <c r="N206" s="28">
        <v>634.0</v>
      </c>
      <c r="O206" s="55">
        <v>326.0</v>
      </c>
      <c r="P206" s="31">
        <f t="shared" si="1"/>
        <v>222</v>
      </c>
      <c r="Q206" s="31">
        <f t="shared" si="2"/>
        <v>222</v>
      </c>
      <c r="R206" s="31">
        <f t="shared" si="3"/>
        <v>1221</v>
      </c>
      <c r="S206" s="9">
        <v>44.0</v>
      </c>
      <c r="U206" s="56"/>
      <c r="V206" s="56"/>
    </row>
    <row r="207" ht="15.75" customHeight="1">
      <c r="A207" s="34">
        <v>50201.0</v>
      </c>
      <c r="B207" s="35" t="s">
        <v>222</v>
      </c>
      <c r="C207" s="28">
        <v>6620.0</v>
      </c>
      <c r="D207" s="28">
        <v>4691.0</v>
      </c>
      <c r="E207" s="28">
        <v>14.0</v>
      </c>
      <c r="F207" s="28">
        <v>4.0</v>
      </c>
      <c r="G207" s="28">
        <v>18.0</v>
      </c>
      <c r="H207" s="28">
        <v>1893.0</v>
      </c>
      <c r="I207" s="28">
        <v>8437.0</v>
      </c>
      <c r="J207" s="28">
        <v>6677.0</v>
      </c>
      <c r="K207" s="28">
        <v>19.0</v>
      </c>
      <c r="L207" s="28">
        <v>54.0</v>
      </c>
      <c r="M207" s="28">
        <v>38.0</v>
      </c>
      <c r="N207" s="28">
        <v>1649.0</v>
      </c>
      <c r="O207" s="55">
        <v>5288.0</v>
      </c>
      <c r="P207" s="31">
        <f t="shared" si="1"/>
        <v>1389</v>
      </c>
      <c r="Q207" s="31">
        <f t="shared" si="2"/>
        <v>1389</v>
      </c>
      <c r="R207" s="31">
        <f t="shared" si="3"/>
        <v>8437</v>
      </c>
      <c r="S207" s="9">
        <v>256.0</v>
      </c>
      <c r="U207" s="56"/>
      <c r="V207" s="56"/>
    </row>
    <row r="208" ht="15.75" customHeight="1">
      <c r="A208" s="26">
        <v>50202.0</v>
      </c>
      <c r="B208" s="27" t="s">
        <v>223</v>
      </c>
      <c r="C208" s="28">
        <v>4667.0</v>
      </c>
      <c r="D208" s="28">
        <v>3425.0</v>
      </c>
      <c r="E208" s="28">
        <v>8.0</v>
      </c>
      <c r="F208" s="28">
        <v>8.0</v>
      </c>
      <c r="G208" s="28">
        <v>8.0</v>
      </c>
      <c r="H208" s="28">
        <v>1218.0</v>
      </c>
      <c r="I208" s="28">
        <v>5658.0</v>
      </c>
      <c r="J208" s="28">
        <v>4788.0</v>
      </c>
      <c r="K208" s="28">
        <v>16.0</v>
      </c>
      <c r="L208" s="28">
        <v>47.0</v>
      </c>
      <c r="M208" s="28">
        <v>16.0</v>
      </c>
      <c r="N208" s="28">
        <v>791.0</v>
      </c>
      <c r="O208" s="55">
        <v>1558.0</v>
      </c>
      <c r="P208" s="31">
        <f t="shared" si="1"/>
        <v>3230</v>
      </c>
      <c r="Q208" s="31">
        <f t="shared" si="2"/>
        <v>3230</v>
      </c>
      <c r="R208" s="31">
        <f t="shared" si="3"/>
        <v>5658</v>
      </c>
      <c r="S208" s="9">
        <v>88.0</v>
      </c>
      <c r="U208" s="56"/>
      <c r="V208" s="56"/>
    </row>
    <row r="209" ht="15.75" customHeight="1">
      <c r="A209" s="34">
        <v>50203.0</v>
      </c>
      <c r="B209" s="35" t="s">
        <v>224</v>
      </c>
      <c r="C209" s="28">
        <v>12409.0</v>
      </c>
      <c r="D209" s="28">
        <v>10422.0</v>
      </c>
      <c r="E209" s="28">
        <v>67.0</v>
      </c>
      <c r="F209" s="28">
        <v>1.0</v>
      </c>
      <c r="G209" s="28">
        <v>24.0</v>
      </c>
      <c r="H209" s="28">
        <v>1895.0</v>
      </c>
      <c r="I209" s="28">
        <v>16017.0</v>
      </c>
      <c r="J209" s="28">
        <v>14270.0</v>
      </c>
      <c r="K209" s="28">
        <v>78.0</v>
      </c>
      <c r="L209" s="28">
        <v>58.0</v>
      </c>
      <c r="M209" s="28">
        <v>41.0</v>
      </c>
      <c r="N209" s="28">
        <v>1570.0</v>
      </c>
      <c r="O209" s="55">
        <v>10943.0</v>
      </c>
      <c r="P209" s="31">
        <f t="shared" si="1"/>
        <v>3327</v>
      </c>
      <c r="Q209" s="31">
        <f t="shared" si="2"/>
        <v>3327</v>
      </c>
      <c r="R209" s="31">
        <f t="shared" si="3"/>
        <v>16017</v>
      </c>
      <c r="S209" s="9">
        <v>433.0</v>
      </c>
      <c r="U209" s="56"/>
      <c r="V209" s="56"/>
    </row>
    <row r="210" ht="15.75" customHeight="1">
      <c r="A210" s="26">
        <v>50204.0</v>
      </c>
      <c r="B210" s="27" t="s">
        <v>225</v>
      </c>
      <c r="C210" s="28">
        <v>2269.0</v>
      </c>
      <c r="D210" s="28">
        <v>1525.0</v>
      </c>
      <c r="E210" s="28">
        <v>2.0</v>
      </c>
      <c r="F210" s="28">
        <v>10.0</v>
      </c>
      <c r="G210" s="28">
        <v>2.0</v>
      </c>
      <c r="H210" s="28">
        <v>730.0</v>
      </c>
      <c r="I210" s="28">
        <v>3032.0</v>
      </c>
      <c r="J210" s="28">
        <v>2446.0</v>
      </c>
      <c r="K210" s="28">
        <v>7.0</v>
      </c>
      <c r="L210" s="28">
        <v>18.0</v>
      </c>
      <c r="M210" s="28">
        <v>14.0</v>
      </c>
      <c r="N210" s="28">
        <v>547.0</v>
      </c>
      <c r="O210" s="55">
        <v>0.0</v>
      </c>
      <c r="P210" s="31">
        <f t="shared" si="1"/>
        <v>2446</v>
      </c>
      <c r="Q210" s="31">
        <f t="shared" si="2"/>
        <v>2446</v>
      </c>
      <c r="R210" s="31">
        <f t="shared" si="3"/>
        <v>3032</v>
      </c>
      <c r="S210" s="9">
        <v>0.0</v>
      </c>
      <c r="U210" s="56"/>
      <c r="V210" s="56"/>
    </row>
    <row r="211" ht="15.75" customHeight="1">
      <c r="A211" s="34">
        <v>50301.0</v>
      </c>
      <c r="B211" s="35" t="s">
        <v>226</v>
      </c>
      <c r="C211" s="28">
        <v>9721.0</v>
      </c>
      <c r="D211" s="28">
        <v>6149.0</v>
      </c>
      <c r="E211" s="28">
        <v>33.0</v>
      </c>
      <c r="F211" s="28">
        <v>130.0</v>
      </c>
      <c r="G211" s="28">
        <v>431.0</v>
      </c>
      <c r="H211" s="28">
        <v>2978.0</v>
      </c>
      <c r="I211" s="28">
        <v>10921.0</v>
      </c>
      <c r="J211" s="28">
        <v>8439.0</v>
      </c>
      <c r="K211" s="28">
        <v>21.0</v>
      </c>
      <c r="L211" s="28">
        <v>92.0</v>
      </c>
      <c r="M211" s="28">
        <v>61.0</v>
      </c>
      <c r="N211" s="28">
        <v>2308.0</v>
      </c>
      <c r="O211" s="55">
        <v>7221.0</v>
      </c>
      <c r="P211" s="31">
        <f t="shared" si="1"/>
        <v>1218</v>
      </c>
      <c r="Q211" s="31">
        <f t="shared" si="2"/>
        <v>1218</v>
      </c>
      <c r="R211" s="31">
        <f t="shared" si="3"/>
        <v>10921</v>
      </c>
      <c r="S211" s="9">
        <v>165.0</v>
      </c>
      <c r="U211" s="56"/>
      <c r="V211" s="56"/>
    </row>
    <row r="212" ht="15.75" customHeight="1">
      <c r="A212" s="26">
        <v>50302.0</v>
      </c>
      <c r="B212" s="27" t="s">
        <v>227</v>
      </c>
      <c r="C212" s="28">
        <v>3222.0</v>
      </c>
      <c r="D212" s="28">
        <v>2048.0</v>
      </c>
      <c r="E212" s="28">
        <v>2.0</v>
      </c>
      <c r="F212" s="28">
        <v>52.0</v>
      </c>
      <c r="G212" s="28">
        <v>76.0</v>
      </c>
      <c r="H212" s="28">
        <v>1044.0</v>
      </c>
      <c r="I212" s="28">
        <v>3482.0</v>
      </c>
      <c r="J212" s="28">
        <v>2705.0</v>
      </c>
      <c r="K212" s="28">
        <v>9.0</v>
      </c>
      <c r="L212" s="28">
        <v>20.0</v>
      </c>
      <c r="M212" s="28">
        <v>16.0</v>
      </c>
      <c r="N212" s="28">
        <v>732.0</v>
      </c>
      <c r="O212" s="55">
        <v>2334.0</v>
      </c>
      <c r="P212" s="31">
        <f t="shared" si="1"/>
        <v>371</v>
      </c>
      <c r="Q212" s="31">
        <f t="shared" si="2"/>
        <v>371</v>
      </c>
      <c r="R212" s="31">
        <f t="shared" si="3"/>
        <v>3482</v>
      </c>
      <c r="S212" s="9">
        <v>96.0</v>
      </c>
      <c r="U212" s="56"/>
      <c r="V212" s="56"/>
    </row>
    <row r="213" ht="15.75" customHeight="1">
      <c r="A213" s="34">
        <v>50303.0</v>
      </c>
      <c r="B213" s="35" t="s">
        <v>228</v>
      </c>
      <c r="C213" s="28">
        <v>3897.0</v>
      </c>
      <c r="D213" s="28">
        <v>905.0</v>
      </c>
      <c r="E213" s="28">
        <v>13.0</v>
      </c>
      <c r="F213" s="28">
        <v>174.0</v>
      </c>
      <c r="G213" s="28">
        <v>79.0</v>
      </c>
      <c r="H213" s="28">
        <v>2726.0</v>
      </c>
      <c r="I213" s="28">
        <v>5181.0</v>
      </c>
      <c r="J213" s="28">
        <v>2376.0</v>
      </c>
      <c r="K213" s="28">
        <v>14.0</v>
      </c>
      <c r="L213" s="28">
        <v>603.0</v>
      </c>
      <c r="M213" s="28">
        <v>52.0</v>
      </c>
      <c r="N213" s="28">
        <v>2136.0</v>
      </c>
      <c r="O213" s="55">
        <v>1687.0</v>
      </c>
      <c r="P213" s="31">
        <f t="shared" si="1"/>
        <v>689</v>
      </c>
      <c r="Q213" s="31">
        <f t="shared" si="2"/>
        <v>689</v>
      </c>
      <c r="R213" s="31">
        <f t="shared" si="3"/>
        <v>5181</v>
      </c>
      <c r="S213" s="9">
        <v>110.0</v>
      </c>
      <c r="U213" s="56"/>
      <c r="V213" s="56"/>
    </row>
    <row r="214" ht="15.75" customHeight="1">
      <c r="A214" s="26">
        <v>50401.0</v>
      </c>
      <c r="B214" s="27" t="s">
        <v>229</v>
      </c>
      <c r="C214" s="28">
        <v>4286.0</v>
      </c>
      <c r="D214" s="28">
        <v>2012.0</v>
      </c>
      <c r="E214" s="28">
        <v>22.0</v>
      </c>
      <c r="F214" s="28">
        <v>108.0</v>
      </c>
      <c r="G214" s="28">
        <v>8.0</v>
      </c>
      <c r="H214" s="28">
        <v>2136.0</v>
      </c>
      <c r="I214" s="28">
        <v>6497.0</v>
      </c>
      <c r="J214" s="28">
        <v>4321.0</v>
      </c>
      <c r="K214" s="28">
        <v>17.0</v>
      </c>
      <c r="L214" s="28">
        <v>85.0</v>
      </c>
      <c r="M214" s="28">
        <v>16.0</v>
      </c>
      <c r="N214" s="28">
        <v>2058.0</v>
      </c>
      <c r="O214" s="55">
        <v>2552.0</v>
      </c>
      <c r="P214" s="31">
        <f t="shared" si="1"/>
        <v>1769</v>
      </c>
      <c r="Q214" s="31">
        <f t="shared" si="2"/>
        <v>1769</v>
      </c>
      <c r="R214" s="31">
        <f t="shared" si="3"/>
        <v>6497</v>
      </c>
      <c r="S214" s="9">
        <v>213.0</v>
      </c>
      <c r="U214" s="56"/>
      <c r="V214" s="56"/>
    </row>
    <row r="215" ht="15.75" customHeight="1">
      <c r="A215" s="34">
        <v>50402.0</v>
      </c>
      <c r="B215" s="35" t="s">
        <v>230</v>
      </c>
      <c r="C215" s="28">
        <v>6685.0</v>
      </c>
      <c r="D215" s="28">
        <v>1918.0</v>
      </c>
      <c r="E215" s="28">
        <v>57.0</v>
      </c>
      <c r="F215" s="28">
        <v>127.0</v>
      </c>
      <c r="G215" s="28">
        <v>36.0</v>
      </c>
      <c r="H215" s="28">
        <v>4547.0</v>
      </c>
      <c r="I215" s="28">
        <v>6880.0</v>
      </c>
      <c r="J215" s="28">
        <v>3663.0</v>
      </c>
      <c r="K215" s="28">
        <v>8.0</v>
      </c>
      <c r="L215" s="28">
        <v>532.0</v>
      </c>
      <c r="M215" s="28">
        <v>42.0</v>
      </c>
      <c r="N215" s="28">
        <v>2635.0</v>
      </c>
      <c r="O215" s="55">
        <v>3279.0</v>
      </c>
      <c r="P215" s="31">
        <f t="shared" si="1"/>
        <v>384</v>
      </c>
      <c r="Q215" s="31">
        <f t="shared" si="2"/>
        <v>384</v>
      </c>
      <c r="R215" s="31">
        <f t="shared" si="3"/>
        <v>6880</v>
      </c>
      <c r="S215" s="9">
        <v>50.0</v>
      </c>
      <c r="U215" s="56"/>
      <c r="V215" s="56"/>
    </row>
    <row r="216" ht="15.75" customHeight="1">
      <c r="A216" s="26">
        <v>50403.0</v>
      </c>
      <c r="B216" s="27" t="s">
        <v>231</v>
      </c>
      <c r="C216" s="28">
        <v>8436.0</v>
      </c>
      <c r="D216" s="28">
        <v>3907.0</v>
      </c>
      <c r="E216" s="28">
        <v>21.0</v>
      </c>
      <c r="F216" s="28">
        <v>23.0</v>
      </c>
      <c r="G216" s="28">
        <v>54.0</v>
      </c>
      <c r="H216" s="28">
        <v>4431.0</v>
      </c>
      <c r="I216" s="28">
        <v>12538.0</v>
      </c>
      <c r="J216" s="28">
        <v>8358.0</v>
      </c>
      <c r="K216" s="28">
        <v>26.0</v>
      </c>
      <c r="L216" s="28">
        <v>126.0</v>
      </c>
      <c r="M216" s="28">
        <v>107.0</v>
      </c>
      <c r="N216" s="28">
        <v>3921.0</v>
      </c>
      <c r="O216" s="55">
        <v>5066.0</v>
      </c>
      <c r="P216" s="31">
        <f t="shared" si="1"/>
        <v>3292</v>
      </c>
      <c r="Q216" s="31">
        <f t="shared" si="2"/>
        <v>3292</v>
      </c>
      <c r="R216" s="31">
        <f t="shared" si="3"/>
        <v>12538</v>
      </c>
      <c r="S216" s="9">
        <v>74.0</v>
      </c>
      <c r="U216" s="56"/>
      <c r="V216" s="56"/>
    </row>
    <row r="217" ht="15.75" customHeight="1">
      <c r="A217" s="34">
        <v>50404.0</v>
      </c>
      <c r="B217" s="35" t="s">
        <v>232</v>
      </c>
      <c r="C217" s="28">
        <v>5093.0</v>
      </c>
      <c r="D217" s="28">
        <v>1897.0</v>
      </c>
      <c r="E217" s="28">
        <v>58.0</v>
      </c>
      <c r="F217" s="28">
        <v>34.0</v>
      </c>
      <c r="G217" s="28">
        <v>51.0</v>
      </c>
      <c r="H217" s="28">
        <v>3053.0</v>
      </c>
      <c r="I217" s="28">
        <v>6181.0</v>
      </c>
      <c r="J217" s="28">
        <v>3529.0</v>
      </c>
      <c r="K217" s="28">
        <v>10.0</v>
      </c>
      <c r="L217" s="28">
        <v>147.0</v>
      </c>
      <c r="M217" s="28">
        <v>41.0</v>
      </c>
      <c r="N217" s="28">
        <v>2454.0</v>
      </c>
      <c r="O217" s="55">
        <v>2390.0</v>
      </c>
      <c r="P217" s="31">
        <f t="shared" si="1"/>
        <v>1139</v>
      </c>
      <c r="Q217" s="31">
        <f t="shared" si="2"/>
        <v>1139</v>
      </c>
      <c r="R217" s="31">
        <f t="shared" si="3"/>
        <v>6181</v>
      </c>
      <c r="S217" s="9">
        <v>58.0</v>
      </c>
      <c r="U217" s="56"/>
      <c r="V217" s="56"/>
    </row>
    <row r="218" ht="15.75" customHeight="1">
      <c r="A218" s="26">
        <v>50405.0</v>
      </c>
      <c r="B218" s="27" t="s">
        <v>233</v>
      </c>
      <c r="C218" s="28">
        <v>6364.0</v>
      </c>
      <c r="D218" s="28">
        <v>3707.0</v>
      </c>
      <c r="E218" s="28">
        <v>13.0</v>
      </c>
      <c r="F218" s="28">
        <v>91.0</v>
      </c>
      <c r="G218" s="28">
        <v>39.0</v>
      </c>
      <c r="H218" s="28">
        <v>2514.0</v>
      </c>
      <c r="I218" s="28">
        <v>8438.0</v>
      </c>
      <c r="J218" s="28">
        <v>5664.0</v>
      </c>
      <c r="K218" s="28">
        <v>12.0</v>
      </c>
      <c r="L218" s="28">
        <v>99.0</v>
      </c>
      <c r="M218" s="28">
        <v>51.0</v>
      </c>
      <c r="N218" s="28">
        <v>2612.0</v>
      </c>
      <c r="O218" s="55">
        <v>3210.0</v>
      </c>
      <c r="P218" s="31">
        <f t="shared" si="1"/>
        <v>2454</v>
      </c>
      <c r="Q218" s="31">
        <f t="shared" si="2"/>
        <v>2454</v>
      </c>
      <c r="R218" s="31">
        <f t="shared" si="3"/>
        <v>8438</v>
      </c>
      <c r="S218" s="9">
        <v>109.0</v>
      </c>
      <c r="U218" s="56"/>
      <c r="V218" s="56"/>
    </row>
    <row r="219" ht="15.75" customHeight="1">
      <c r="A219" s="34">
        <v>50501.0</v>
      </c>
      <c r="B219" s="35" t="s">
        <v>234</v>
      </c>
      <c r="C219" s="28">
        <v>8277.0</v>
      </c>
      <c r="D219" s="28">
        <v>1513.0</v>
      </c>
      <c r="E219" s="28">
        <v>39.0</v>
      </c>
      <c r="F219" s="28">
        <v>235.0</v>
      </c>
      <c r="G219" s="28">
        <v>63.0</v>
      </c>
      <c r="H219" s="28">
        <v>6427.0</v>
      </c>
      <c r="I219" s="28">
        <v>11303.0</v>
      </c>
      <c r="J219" s="28">
        <v>4565.0</v>
      </c>
      <c r="K219" s="28">
        <v>22.0</v>
      </c>
      <c r="L219" s="28">
        <v>341.0</v>
      </c>
      <c r="M219" s="28">
        <v>63.0</v>
      </c>
      <c r="N219" s="28">
        <v>6312.0</v>
      </c>
      <c r="O219" s="55">
        <v>4021.0</v>
      </c>
      <c r="P219" s="31">
        <f t="shared" si="1"/>
        <v>544</v>
      </c>
      <c r="Q219" s="31">
        <f t="shared" si="2"/>
        <v>544</v>
      </c>
      <c r="R219" s="31">
        <f t="shared" si="3"/>
        <v>11303</v>
      </c>
      <c r="S219" s="9">
        <v>53.0</v>
      </c>
      <c r="U219" s="56"/>
      <c r="V219" s="56"/>
    </row>
    <row r="220" ht="15.75" customHeight="1">
      <c r="A220" s="26">
        <v>50502.0</v>
      </c>
      <c r="B220" s="27" t="s">
        <v>235</v>
      </c>
      <c r="C220" s="28">
        <v>3511.0</v>
      </c>
      <c r="D220" s="28">
        <v>1019.0</v>
      </c>
      <c r="E220" s="28">
        <v>16.0</v>
      </c>
      <c r="F220" s="28">
        <v>182.0</v>
      </c>
      <c r="G220" s="28">
        <v>34.0</v>
      </c>
      <c r="H220" s="28">
        <v>2260.0</v>
      </c>
      <c r="I220" s="28">
        <v>4192.0</v>
      </c>
      <c r="J220" s="28">
        <v>1960.0</v>
      </c>
      <c r="K220" s="28">
        <v>5.0</v>
      </c>
      <c r="L220" s="28">
        <v>207.0</v>
      </c>
      <c r="M220" s="28">
        <v>12.0</v>
      </c>
      <c r="N220" s="28">
        <v>2008.0</v>
      </c>
      <c r="O220" s="55">
        <v>2254.0</v>
      </c>
      <c r="P220" s="31">
        <f t="shared" si="1"/>
        <v>-294</v>
      </c>
      <c r="Q220" s="55" t="str">
        <f t="shared" si="2"/>
        <v/>
      </c>
      <c r="R220" s="31">
        <f t="shared" si="3"/>
        <v>4486</v>
      </c>
      <c r="S220" s="9">
        <v>87.0</v>
      </c>
      <c r="U220" s="56"/>
      <c r="V220" s="56"/>
    </row>
    <row r="221" ht="15.75" customHeight="1">
      <c r="A221" s="34">
        <v>50601.0</v>
      </c>
      <c r="B221" s="35" t="s">
        <v>236</v>
      </c>
      <c r="C221" s="28">
        <v>9471.0</v>
      </c>
      <c r="D221" s="28">
        <v>5965.0</v>
      </c>
      <c r="E221" s="28">
        <v>132.0</v>
      </c>
      <c r="F221" s="28">
        <v>296.0</v>
      </c>
      <c r="G221" s="28">
        <v>9.0</v>
      </c>
      <c r="H221" s="28">
        <v>3069.0</v>
      </c>
      <c r="I221" s="28">
        <v>11224.0</v>
      </c>
      <c r="J221" s="28">
        <v>8436.0</v>
      </c>
      <c r="K221" s="28">
        <v>27.0</v>
      </c>
      <c r="L221" s="28">
        <v>87.0</v>
      </c>
      <c r="M221" s="28">
        <v>17.0</v>
      </c>
      <c r="N221" s="28">
        <v>2657.0</v>
      </c>
      <c r="O221" s="55">
        <v>5872.0</v>
      </c>
      <c r="P221" s="31">
        <f t="shared" si="1"/>
        <v>2564</v>
      </c>
      <c r="Q221" s="31">
        <f t="shared" si="2"/>
        <v>2564</v>
      </c>
      <c r="R221" s="31">
        <f t="shared" si="3"/>
        <v>11224</v>
      </c>
      <c r="S221" s="9">
        <v>230.0</v>
      </c>
      <c r="U221" s="56"/>
      <c r="V221" s="56"/>
    </row>
    <row r="222" ht="15.75" customHeight="1">
      <c r="A222" s="26">
        <v>50602.0</v>
      </c>
      <c r="B222" s="27" t="s">
        <v>237</v>
      </c>
      <c r="C222" s="28">
        <v>3124.0</v>
      </c>
      <c r="D222" s="28">
        <v>2265.0</v>
      </c>
      <c r="E222" s="28">
        <v>45.0</v>
      </c>
      <c r="F222" s="28">
        <v>13.0</v>
      </c>
      <c r="G222" s="28">
        <v>9.0</v>
      </c>
      <c r="H222" s="28">
        <v>792.0</v>
      </c>
      <c r="I222" s="28">
        <v>3880.0</v>
      </c>
      <c r="J222" s="28">
        <v>2976.0</v>
      </c>
      <c r="K222" s="28">
        <v>2.0</v>
      </c>
      <c r="L222" s="28">
        <v>22.0</v>
      </c>
      <c r="M222" s="28">
        <v>9.0</v>
      </c>
      <c r="N222" s="28">
        <v>871.0</v>
      </c>
      <c r="O222" s="55">
        <v>2407.0</v>
      </c>
      <c r="P222" s="31">
        <f t="shared" si="1"/>
        <v>569</v>
      </c>
      <c r="Q222" s="31">
        <f t="shared" si="2"/>
        <v>569</v>
      </c>
      <c r="R222" s="31">
        <f t="shared" si="3"/>
        <v>3880</v>
      </c>
      <c r="S222" s="9">
        <v>135.0</v>
      </c>
      <c r="U222" s="56"/>
      <c r="V222" s="56"/>
    </row>
    <row r="223" ht="15.75" customHeight="1">
      <c r="A223" s="34">
        <v>50701.0</v>
      </c>
      <c r="B223" s="35" t="s">
        <v>238</v>
      </c>
      <c r="C223" s="28">
        <v>5618.0</v>
      </c>
      <c r="D223" s="28">
        <v>3155.0</v>
      </c>
      <c r="E223" s="28">
        <v>24.0</v>
      </c>
      <c r="F223" s="28">
        <v>11.0</v>
      </c>
      <c r="G223" s="28">
        <v>51.0</v>
      </c>
      <c r="H223" s="28">
        <v>2377.0</v>
      </c>
      <c r="I223" s="28">
        <v>6779.0</v>
      </c>
      <c r="J223" s="28">
        <v>4933.0</v>
      </c>
      <c r="K223" s="28">
        <v>24.0</v>
      </c>
      <c r="L223" s="28">
        <v>96.0</v>
      </c>
      <c r="M223" s="28">
        <v>33.0</v>
      </c>
      <c r="N223" s="28">
        <v>1693.0</v>
      </c>
      <c r="O223" s="55">
        <v>3490.0</v>
      </c>
      <c r="P223" s="31">
        <f t="shared" si="1"/>
        <v>1443</v>
      </c>
      <c r="Q223" s="31">
        <f t="shared" si="2"/>
        <v>1443</v>
      </c>
      <c r="R223" s="31">
        <f t="shared" si="3"/>
        <v>6779</v>
      </c>
      <c r="S223" s="9">
        <v>83.0</v>
      </c>
      <c r="U223" s="56"/>
      <c r="V223" s="56"/>
    </row>
    <row r="224" ht="15.75" customHeight="1">
      <c r="A224" s="26">
        <v>50702.0</v>
      </c>
      <c r="B224" s="27" t="s">
        <v>239</v>
      </c>
      <c r="C224" s="28">
        <v>2741.0</v>
      </c>
      <c r="D224" s="28">
        <v>1246.0</v>
      </c>
      <c r="E224" s="28">
        <v>5.0</v>
      </c>
      <c r="F224" s="28">
        <v>5.0</v>
      </c>
      <c r="G224" s="28">
        <v>16.0</v>
      </c>
      <c r="H224" s="28">
        <v>1469.0</v>
      </c>
      <c r="I224" s="28">
        <v>3517.0</v>
      </c>
      <c r="J224" s="28">
        <v>2410.0</v>
      </c>
      <c r="K224" s="28">
        <v>7.0</v>
      </c>
      <c r="L224" s="28">
        <v>54.0</v>
      </c>
      <c r="M224" s="28">
        <v>20.0</v>
      </c>
      <c r="N224" s="28">
        <v>1026.0</v>
      </c>
      <c r="O224" s="55">
        <v>1478.0</v>
      </c>
      <c r="P224" s="31">
        <f t="shared" si="1"/>
        <v>932</v>
      </c>
      <c r="Q224" s="31">
        <f t="shared" si="2"/>
        <v>932</v>
      </c>
      <c r="R224" s="31">
        <f t="shared" si="3"/>
        <v>3517</v>
      </c>
      <c r="S224" s="9">
        <v>67.0</v>
      </c>
      <c r="U224" s="56"/>
      <c r="V224" s="56"/>
    </row>
    <row r="225" ht="15.75" customHeight="1">
      <c r="A225" s="34">
        <v>50801.0</v>
      </c>
      <c r="B225" s="35" t="s">
        <v>240</v>
      </c>
      <c r="C225" s="28">
        <v>13319.0</v>
      </c>
      <c r="D225" s="28">
        <v>10966.0</v>
      </c>
      <c r="E225" s="28">
        <v>111.0</v>
      </c>
      <c r="F225" s="28">
        <v>104.0</v>
      </c>
      <c r="G225" s="28">
        <v>54.0</v>
      </c>
      <c r="H225" s="28">
        <v>2084.0</v>
      </c>
      <c r="I225" s="28">
        <v>15876.0</v>
      </c>
      <c r="J225" s="28">
        <v>14084.0</v>
      </c>
      <c r="K225" s="28">
        <v>86.0</v>
      </c>
      <c r="L225" s="28">
        <v>162.0</v>
      </c>
      <c r="M225" s="28">
        <v>111.0</v>
      </c>
      <c r="N225" s="28">
        <v>1433.0</v>
      </c>
      <c r="O225" s="55">
        <v>14138.0</v>
      </c>
      <c r="P225" s="31">
        <f t="shared" si="1"/>
        <v>-54</v>
      </c>
      <c r="Q225" s="55" t="str">
        <f t="shared" si="2"/>
        <v/>
      </c>
      <c r="R225" s="31">
        <f t="shared" si="3"/>
        <v>15930</v>
      </c>
      <c r="S225" s="9">
        <v>520.0</v>
      </c>
      <c r="U225" s="56"/>
      <c r="V225" s="56"/>
    </row>
    <row r="226" ht="15.75" customHeight="1">
      <c r="A226" s="26">
        <v>50802.0</v>
      </c>
      <c r="B226" s="27" t="s">
        <v>241</v>
      </c>
      <c r="C226" s="28">
        <v>3576.0</v>
      </c>
      <c r="D226" s="28">
        <v>3182.0</v>
      </c>
      <c r="E226" s="28">
        <v>44.0</v>
      </c>
      <c r="F226" s="28">
        <v>86.0</v>
      </c>
      <c r="G226" s="28">
        <v>10.0</v>
      </c>
      <c r="H226" s="28">
        <v>254.0</v>
      </c>
      <c r="I226" s="28">
        <v>3751.0</v>
      </c>
      <c r="J226" s="28">
        <v>3374.0</v>
      </c>
      <c r="K226" s="28">
        <v>62.0</v>
      </c>
      <c r="L226" s="28">
        <v>79.0</v>
      </c>
      <c r="M226" s="28">
        <v>15.0</v>
      </c>
      <c r="N226" s="28">
        <v>221.0</v>
      </c>
      <c r="O226" s="55">
        <v>2977.0</v>
      </c>
      <c r="P226" s="31">
        <f t="shared" si="1"/>
        <v>397</v>
      </c>
      <c r="Q226" s="31">
        <f t="shared" si="2"/>
        <v>397</v>
      </c>
      <c r="R226" s="31">
        <f t="shared" si="3"/>
        <v>3751</v>
      </c>
      <c r="S226" s="9">
        <v>381.0</v>
      </c>
      <c r="U226" s="56"/>
      <c r="V226" s="56"/>
    </row>
    <row r="227" ht="15.75" customHeight="1">
      <c r="A227" s="34">
        <v>50901.0</v>
      </c>
      <c r="B227" s="35" t="s">
        <v>242</v>
      </c>
      <c r="C227" s="28">
        <v>3307.0</v>
      </c>
      <c r="D227" s="28">
        <v>1906.0</v>
      </c>
      <c r="E227" s="28">
        <v>46.0</v>
      </c>
      <c r="F227" s="28">
        <v>263.0</v>
      </c>
      <c r="G227" s="28">
        <v>215.0</v>
      </c>
      <c r="H227" s="28">
        <v>877.0</v>
      </c>
      <c r="I227" s="28">
        <v>4165.0</v>
      </c>
      <c r="J227" s="28">
        <v>3362.0</v>
      </c>
      <c r="K227" s="28">
        <v>20.0</v>
      </c>
      <c r="L227" s="28">
        <v>290.0</v>
      </c>
      <c r="M227" s="28">
        <v>47.0</v>
      </c>
      <c r="N227" s="28">
        <v>446.0</v>
      </c>
      <c r="O227" s="55">
        <v>3330.0</v>
      </c>
      <c r="P227" s="31">
        <f t="shared" si="1"/>
        <v>32</v>
      </c>
      <c r="Q227" s="31">
        <f t="shared" si="2"/>
        <v>32</v>
      </c>
      <c r="R227" s="31">
        <f t="shared" si="3"/>
        <v>4165</v>
      </c>
      <c r="S227" s="9">
        <v>436.0</v>
      </c>
      <c r="U227" s="56"/>
      <c r="V227" s="56"/>
    </row>
    <row r="228" ht="15.75" customHeight="1">
      <c r="A228" s="26">
        <v>50902.0</v>
      </c>
      <c r="B228" s="27" t="s">
        <v>243</v>
      </c>
      <c r="C228" s="28">
        <v>372.0</v>
      </c>
      <c r="D228" s="28">
        <v>187.0</v>
      </c>
      <c r="E228" s="28">
        <v>14.0</v>
      </c>
      <c r="F228" s="28">
        <v>9.0</v>
      </c>
      <c r="G228" s="28">
        <v>22.0</v>
      </c>
      <c r="H228" s="28">
        <v>140.0</v>
      </c>
      <c r="I228" s="28">
        <v>657.0</v>
      </c>
      <c r="J228" s="28">
        <v>427.0</v>
      </c>
      <c r="K228" s="28">
        <v>64.0</v>
      </c>
      <c r="L228" s="28">
        <v>35.0</v>
      </c>
      <c r="M228" s="28">
        <v>11.0</v>
      </c>
      <c r="N228" s="28">
        <v>120.0</v>
      </c>
      <c r="O228" s="55">
        <v>217.0</v>
      </c>
      <c r="P228" s="31">
        <f t="shared" si="1"/>
        <v>210</v>
      </c>
      <c r="Q228" s="31">
        <f t="shared" si="2"/>
        <v>210</v>
      </c>
      <c r="R228" s="31">
        <f t="shared" si="3"/>
        <v>657</v>
      </c>
      <c r="S228" s="9">
        <v>417.0</v>
      </c>
      <c r="U228" s="56"/>
      <c r="V228" s="56"/>
    </row>
    <row r="229" ht="15.75" customHeight="1">
      <c r="A229" s="34">
        <v>51001.0</v>
      </c>
      <c r="B229" s="35" t="s">
        <v>244</v>
      </c>
      <c r="C229" s="28">
        <v>871.0</v>
      </c>
      <c r="D229" s="28">
        <v>358.0</v>
      </c>
      <c r="E229" s="28">
        <v>7.0</v>
      </c>
      <c r="F229" s="28">
        <v>305.0</v>
      </c>
      <c r="G229" s="28">
        <v>9.0</v>
      </c>
      <c r="H229" s="28">
        <v>192.0</v>
      </c>
      <c r="I229" s="28">
        <v>1111.0</v>
      </c>
      <c r="J229" s="28">
        <v>347.0</v>
      </c>
      <c r="K229" s="28">
        <v>51.0</v>
      </c>
      <c r="L229" s="28">
        <v>246.0</v>
      </c>
      <c r="M229" s="28">
        <v>85.0</v>
      </c>
      <c r="N229" s="28">
        <v>382.0</v>
      </c>
      <c r="O229" s="55">
        <v>329.0</v>
      </c>
      <c r="P229" s="31">
        <f t="shared" si="1"/>
        <v>18</v>
      </c>
      <c r="Q229" s="31">
        <f t="shared" si="2"/>
        <v>18</v>
      </c>
      <c r="R229" s="31">
        <f t="shared" si="3"/>
        <v>1111</v>
      </c>
      <c r="S229" s="9">
        <v>126.0</v>
      </c>
      <c r="U229" s="56"/>
      <c r="V229" s="56"/>
    </row>
    <row r="230" ht="15.75" customHeight="1">
      <c r="A230" s="26">
        <v>51002.0</v>
      </c>
      <c r="B230" s="27" t="s">
        <v>245</v>
      </c>
      <c r="C230" s="28">
        <v>358.0</v>
      </c>
      <c r="D230" s="28">
        <v>74.0</v>
      </c>
      <c r="E230" s="28">
        <v>3.0</v>
      </c>
      <c r="F230" s="28">
        <v>38.0</v>
      </c>
      <c r="G230" s="28">
        <v>1.0</v>
      </c>
      <c r="H230" s="28">
        <v>242.0</v>
      </c>
      <c r="I230" s="28">
        <v>324.0</v>
      </c>
      <c r="J230" s="28">
        <v>74.0</v>
      </c>
      <c r="K230" s="28">
        <v>8.0</v>
      </c>
      <c r="L230" s="28">
        <v>29.0</v>
      </c>
      <c r="M230" s="28">
        <v>1.0</v>
      </c>
      <c r="N230" s="28">
        <v>212.0</v>
      </c>
      <c r="O230" s="55">
        <v>92.0</v>
      </c>
      <c r="P230" s="31">
        <f t="shared" si="1"/>
        <v>-18</v>
      </c>
      <c r="Q230" s="55" t="str">
        <f t="shared" si="2"/>
        <v/>
      </c>
      <c r="R230" s="31">
        <f t="shared" si="3"/>
        <v>342</v>
      </c>
      <c r="S230" s="9">
        <v>40.5</v>
      </c>
      <c r="U230" s="56"/>
      <c r="V230" s="56"/>
    </row>
    <row r="231" ht="15.75" customHeight="1">
      <c r="A231" s="34">
        <v>51003.0</v>
      </c>
      <c r="B231" s="35" t="s">
        <v>246</v>
      </c>
      <c r="C231" s="28">
        <v>715.0</v>
      </c>
      <c r="D231" s="28">
        <v>224.0</v>
      </c>
      <c r="E231" s="28">
        <v>2.0</v>
      </c>
      <c r="F231" s="28">
        <v>226.0</v>
      </c>
      <c r="G231" s="28">
        <v>2.0</v>
      </c>
      <c r="H231" s="28">
        <v>261.0</v>
      </c>
      <c r="I231" s="28">
        <v>690.0</v>
      </c>
      <c r="J231" s="28">
        <v>240.0</v>
      </c>
      <c r="K231" s="28">
        <v>4.0</v>
      </c>
      <c r="L231" s="28">
        <v>38.0</v>
      </c>
      <c r="M231" s="28">
        <v>0.0</v>
      </c>
      <c r="N231" s="28">
        <v>408.0</v>
      </c>
      <c r="O231" s="55">
        <v>339.0</v>
      </c>
      <c r="P231" s="31">
        <f t="shared" si="1"/>
        <v>-99</v>
      </c>
      <c r="Q231" s="55" t="str">
        <f t="shared" si="2"/>
        <v/>
      </c>
      <c r="R231" s="31">
        <f t="shared" si="3"/>
        <v>789</v>
      </c>
      <c r="S231" s="9">
        <v>56.0</v>
      </c>
      <c r="U231" s="56"/>
      <c r="V231" s="56"/>
    </row>
    <row r="232" ht="15.75" customHeight="1">
      <c r="A232" s="26">
        <v>51101.0</v>
      </c>
      <c r="B232" s="27" t="s">
        <v>247</v>
      </c>
      <c r="C232" s="28">
        <v>7103.0</v>
      </c>
      <c r="D232" s="28">
        <v>4779.0</v>
      </c>
      <c r="E232" s="28">
        <v>13.0</v>
      </c>
      <c r="F232" s="28">
        <v>23.0</v>
      </c>
      <c r="G232" s="28">
        <v>48.0</v>
      </c>
      <c r="H232" s="28">
        <v>2240.0</v>
      </c>
      <c r="I232" s="28">
        <v>6251.0</v>
      </c>
      <c r="J232" s="28">
        <v>4963.0</v>
      </c>
      <c r="K232" s="28">
        <v>14.0</v>
      </c>
      <c r="L232" s="28">
        <v>41.0</v>
      </c>
      <c r="M232" s="28">
        <v>32.0</v>
      </c>
      <c r="N232" s="28">
        <v>1201.0</v>
      </c>
      <c r="O232" s="55">
        <v>5565.0</v>
      </c>
      <c r="P232" s="31">
        <f t="shared" si="1"/>
        <v>-602</v>
      </c>
      <c r="Q232" s="55" t="str">
        <f t="shared" si="2"/>
        <v/>
      </c>
      <c r="R232" s="31">
        <f t="shared" si="3"/>
        <v>6853</v>
      </c>
      <c r="S232" s="9">
        <v>104.0</v>
      </c>
      <c r="U232" s="56"/>
      <c r="V232" s="56"/>
    </row>
    <row r="233" ht="15.75" customHeight="1">
      <c r="A233" s="34">
        <v>51102.0</v>
      </c>
      <c r="B233" s="35" t="s">
        <v>248</v>
      </c>
      <c r="C233" s="28">
        <v>3543.0</v>
      </c>
      <c r="D233" s="28">
        <v>2345.0</v>
      </c>
      <c r="E233" s="28">
        <v>11.0</v>
      </c>
      <c r="F233" s="28">
        <v>32.0</v>
      </c>
      <c r="G233" s="28">
        <v>13.0</v>
      </c>
      <c r="H233" s="28">
        <v>1142.0</v>
      </c>
      <c r="I233" s="28">
        <v>4643.0</v>
      </c>
      <c r="J233" s="28">
        <v>3521.0</v>
      </c>
      <c r="K233" s="28">
        <v>20.0</v>
      </c>
      <c r="L233" s="28">
        <v>67.0</v>
      </c>
      <c r="M233" s="28">
        <v>43.0</v>
      </c>
      <c r="N233" s="28">
        <v>992.0</v>
      </c>
      <c r="O233" s="55">
        <v>3185.0</v>
      </c>
      <c r="P233" s="31">
        <f t="shared" si="1"/>
        <v>336</v>
      </c>
      <c r="Q233" s="31">
        <f t="shared" si="2"/>
        <v>336</v>
      </c>
      <c r="R233" s="31">
        <f t="shared" si="3"/>
        <v>4643</v>
      </c>
      <c r="S233" s="9">
        <v>175.0</v>
      </c>
      <c r="U233" s="56"/>
      <c r="V233" s="56"/>
    </row>
    <row r="234" ht="15.75" customHeight="1">
      <c r="A234" s="26">
        <v>51103.0</v>
      </c>
      <c r="B234" s="27" t="s">
        <v>249</v>
      </c>
      <c r="C234" s="28">
        <v>3826.0</v>
      </c>
      <c r="D234" s="28">
        <v>1491.0</v>
      </c>
      <c r="E234" s="28">
        <v>8.0</v>
      </c>
      <c r="F234" s="28">
        <v>355.0</v>
      </c>
      <c r="G234" s="28">
        <v>123.0</v>
      </c>
      <c r="H234" s="28">
        <v>1849.0</v>
      </c>
      <c r="I234" s="28">
        <v>4203.0</v>
      </c>
      <c r="J234" s="28">
        <v>2750.0</v>
      </c>
      <c r="K234" s="28">
        <v>8.0</v>
      </c>
      <c r="L234" s="28">
        <v>98.0</v>
      </c>
      <c r="M234" s="28">
        <v>30.0</v>
      </c>
      <c r="N234" s="28">
        <v>1317.0</v>
      </c>
      <c r="O234" s="55">
        <v>1545.0</v>
      </c>
      <c r="P234" s="31">
        <f t="shared" si="1"/>
        <v>1205</v>
      </c>
      <c r="Q234" s="31">
        <f t="shared" si="2"/>
        <v>1205</v>
      </c>
      <c r="R234" s="31">
        <f t="shared" si="3"/>
        <v>4203</v>
      </c>
      <c r="S234" s="9">
        <v>61.0</v>
      </c>
      <c r="U234" s="56"/>
      <c r="V234" s="56"/>
    </row>
    <row r="235" ht="15.75" customHeight="1">
      <c r="A235" s="34">
        <v>51201.0</v>
      </c>
      <c r="B235" s="35" t="s">
        <v>250</v>
      </c>
      <c r="C235" s="28">
        <v>9597.0</v>
      </c>
      <c r="D235" s="28">
        <v>7458.0</v>
      </c>
      <c r="E235" s="28">
        <v>41.0</v>
      </c>
      <c r="F235" s="28">
        <v>181.0</v>
      </c>
      <c r="G235" s="28">
        <v>52.0</v>
      </c>
      <c r="H235" s="28">
        <v>1865.0</v>
      </c>
      <c r="I235" s="28">
        <v>13134.0</v>
      </c>
      <c r="J235" s="28">
        <v>11718.0</v>
      </c>
      <c r="K235" s="28">
        <v>37.0</v>
      </c>
      <c r="L235" s="28">
        <v>159.0</v>
      </c>
      <c r="M235" s="28">
        <v>70.0</v>
      </c>
      <c r="N235" s="28">
        <v>1150.0</v>
      </c>
      <c r="O235" s="55">
        <v>10799.0</v>
      </c>
      <c r="P235" s="31">
        <f t="shared" si="1"/>
        <v>919</v>
      </c>
      <c r="Q235" s="31">
        <f t="shared" si="2"/>
        <v>919</v>
      </c>
      <c r="R235" s="31">
        <f t="shared" si="3"/>
        <v>13134</v>
      </c>
      <c r="S235" s="9">
        <v>355.0</v>
      </c>
      <c r="U235" s="56"/>
      <c r="V235" s="56"/>
    </row>
    <row r="236" ht="15.75" customHeight="1">
      <c r="A236" s="26">
        <v>51202.0</v>
      </c>
      <c r="B236" s="27" t="s">
        <v>251</v>
      </c>
      <c r="C236" s="28">
        <v>3077.0</v>
      </c>
      <c r="D236" s="28">
        <v>1612.0</v>
      </c>
      <c r="E236" s="28">
        <v>29.0</v>
      </c>
      <c r="F236" s="28">
        <v>113.0</v>
      </c>
      <c r="G236" s="28">
        <v>17.0</v>
      </c>
      <c r="H236" s="28">
        <v>1306.0</v>
      </c>
      <c r="I236" s="28">
        <v>3317.0</v>
      </c>
      <c r="J236" s="28">
        <v>2456.0</v>
      </c>
      <c r="K236" s="28">
        <v>4.0</v>
      </c>
      <c r="L236" s="28">
        <v>112.0</v>
      </c>
      <c r="M236" s="28">
        <v>12.0</v>
      </c>
      <c r="N236" s="28">
        <v>733.0</v>
      </c>
      <c r="O236" s="55">
        <v>2818.0</v>
      </c>
      <c r="P236" s="31">
        <f t="shared" si="1"/>
        <v>-362</v>
      </c>
      <c r="Q236" s="55" t="str">
        <f t="shared" si="2"/>
        <v/>
      </c>
      <c r="R236" s="31">
        <f t="shared" si="3"/>
        <v>3679</v>
      </c>
      <c r="S236" s="9">
        <v>50.0</v>
      </c>
      <c r="U236" s="56"/>
      <c r="V236" s="56"/>
    </row>
    <row r="237" ht="15.75" customHeight="1">
      <c r="A237" s="34">
        <v>51203.0</v>
      </c>
      <c r="B237" s="35" t="s">
        <v>252</v>
      </c>
      <c r="C237" s="28">
        <v>3156.0</v>
      </c>
      <c r="D237" s="28">
        <v>2465.0</v>
      </c>
      <c r="E237" s="28">
        <v>13.0</v>
      </c>
      <c r="F237" s="28">
        <v>21.0</v>
      </c>
      <c r="G237" s="28">
        <v>38.0</v>
      </c>
      <c r="H237" s="28">
        <v>619.0</v>
      </c>
      <c r="I237" s="28">
        <v>5286.0</v>
      </c>
      <c r="J237" s="28">
        <v>4880.0</v>
      </c>
      <c r="K237" s="28">
        <v>18.0</v>
      </c>
      <c r="L237" s="28">
        <v>75.0</v>
      </c>
      <c r="M237" s="28">
        <v>8.0</v>
      </c>
      <c r="N237" s="28">
        <v>305.0</v>
      </c>
      <c r="O237" s="55">
        <v>2344.0</v>
      </c>
      <c r="P237" s="31">
        <f t="shared" si="1"/>
        <v>2536</v>
      </c>
      <c r="Q237" s="31">
        <f t="shared" si="2"/>
        <v>2536</v>
      </c>
      <c r="R237" s="31">
        <f t="shared" si="3"/>
        <v>5286</v>
      </c>
      <c r="S237" s="9">
        <v>505.0</v>
      </c>
      <c r="U237" s="56"/>
      <c r="V237" s="56"/>
    </row>
    <row r="238" ht="15.75" customHeight="1">
      <c r="A238" s="26">
        <v>51204.0</v>
      </c>
      <c r="B238" s="27" t="s">
        <v>253</v>
      </c>
      <c r="C238" s="28">
        <v>2139.0</v>
      </c>
      <c r="D238" s="28">
        <v>1369.0</v>
      </c>
      <c r="E238" s="28">
        <v>2.0</v>
      </c>
      <c r="F238" s="28">
        <v>14.0</v>
      </c>
      <c r="G238" s="28">
        <v>0.0</v>
      </c>
      <c r="H238" s="28">
        <v>754.0</v>
      </c>
      <c r="I238" s="28">
        <v>2607.0</v>
      </c>
      <c r="J238" s="28">
        <v>1942.0</v>
      </c>
      <c r="K238" s="28">
        <v>2.0</v>
      </c>
      <c r="L238" s="28">
        <v>34.0</v>
      </c>
      <c r="M238" s="28">
        <v>16.0</v>
      </c>
      <c r="N238" s="28">
        <v>613.0</v>
      </c>
      <c r="O238" s="55">
        <v>0.0</v>
      </c>
      <c r="P238" s="31">
        <f t="shared" si="1"/>
        <v>1942</v>
      </c>
      <c r="Q238" s="31">
        <f t="shared" si="2"/>
        <v>1942</v>
      </c>
      <c r="R238" s="31">
        <f t="shared" si="3"/>
        <v>2607</v>
      </c>
      <c r="S238" s="9">
        <v>0.0</v>
      </c>
      <c r="U238" s="56"/>
      <c r="V238" s="56"/>
    </row>
    <row r="239" ht="15.75" customHeight="1">
      <c r="A239" s="34">
        <v>51301.0</v>
      </c>
      <c r="B239" s="35" t="s">
        <v>254</v>
      </c>
      <c r="C239" s="28">
        <v>1298.0</v>
      </c>
      <c r="D239" s="28">
        <v>557.0</v>
      </c>
      <c r="E239" s="28">
        <v>19.0</v>
      </c>
      <c r="F239" s="28">
        <v>15.0</v>
      </c>
      <c r="G239" s="28">
        <v>0.0</v>
      </c>
      <c r="H239" s="28">
        <v>707.0</v>
      </c>
      <c r="I239" s="28">
        <v>1457.0</v>
      </c>
      <c r="J239" s="28">
        <v>1001.0</v>
      </c>
      <c r="K239" s="28">
        <v>1.0</v>
      </c>
      <c r="L239" s="28">
        <v>10.0</v>
      </c>
      <c r="M239" s="28">
        <v>6.0</v>
      </c>
      <c r="N239" s="28">
        <v>439.0</v>
      </c>
      <c r="O239" s="55">
        <v>725.0</v>
      </c>
      <c r="P239" s="31">
        <f t="shared" si="1"/>
        <v>276</v>
      </c>
      <c r="Q239" s="31">
        <f t="shared" si="2"/>
        <v>276</v>
      </c>
      <c r="R239" s="31">
        <f t="shared" si="3"/>
        <v>1457</v>
      </c>
      <c r="S239" s="9">
        <v>24.0</v>
      </c>
      <c r="U239" s="56"/>
      <c r="V239" s="56"/>
    </row>
    <row r="240" ht="15.75" customHeight="1">
      <c r="A240" s="26">
        <v>51302.0</v>
      </c>
      <c r="B240" s="27" t="s">
        <v>255</v>
      </c>
      <c r="C240" s="28">
        <v>1719.0</v>
      </c>
      <c r="D240" s="28">
        <v>1080.0</v>
      </c>
      <c r="E240" s="28">
        <v>3.0</v>
      </c>
      <c r="F240" s="28">
        <v>4.0</v>
      </c>
      <c r="G240" s="28">
        <v>2.0</v>
      </c>
      <c r="H240" s="28">
        <v>630.0</v>
      </c>
      <c r="I240" s="28">
        <v>1831.0</v>
      </c>
      <c r="J240" s="28">
        <v>1301.0</v>
      </c>
      <c r="K240" s="28">
        <v>2.0</v>
      </c>
      <c r="L240" s="28">
        <v>27.0</v>
      </c>
      <c r="M240" s="28">
        <v>4.0</v>
      </c>
      <c r="N240" s="28">
        <v>497.0</v>
      </c>
      <c r="O240" s="55">
        <v>1121.0</v>
      </c>
      <c r="P240" s="31">
        <f t="shared" si="1"/>
        <v>180</v>
      </c>
      <c r="Q240" s="31">
        <f t="shared" si="2"/>
        <v>180</v>
      </c>
      <c r="R240" s="31">
        <f t="shared" si="3"/>
        <v>1831</v>
      </c>
      <c r="S240" s="9">
        <v>75.0</v>
      </c>
      <c r="U240" s="56"/>
      <c r="V240" s="56"/>
    </row>
    <row r="241" ht="15.75" customHeight="1">
      <c r="A241" s="34">
        <v>51401.0</v>
      </c>
      <c r="B241" s="35" t="s">
        <v>256</v>
      </c>
      <c r="C241" s="28">
        <v>1504.0</v>
      </c>
      <c r="D241" s="28">
        <v>608.0</v>
      </c>
      <c r="E241" s="28">
        <v>25.0</v>
      </c>
      <c r="F241" s="28">
        <v>173.0</v>
      </c>
      <c r="G241" s="28">
        <v>18.0</v>
      </c>
      <c r="H241" s="28">
        <v>680.0</v>
      </c>
      <c r="I241" s="28">
        <v>1856.0</v>
      </c>
      <c r="J241" s="28">
        <v>1675.0</v>
      </c>
      <c r="K241" s="28">
        <v>5.0</v>
      </c>
      <c r="L241" s="28">
        <v>21.0</v>
      </c>
      <c r="M241" s="28">
        <v>11.0</v>
      </c>
      <c r="N241" s="28">
        <v>144.0</v>
      </c>
      <c r="O241" s="55">
        <v>1590.0</v>
      </c>
      <c r="P241" s="31">
        <f t="shared" si="1"/>
        <v>85</v>
      </c>
      <c r="Q241" s="31">
        <f t="shared" si="2"/>
        <v>85</v>
      </c>
      <c r="R241" s="31">
        <f t="shared" si="3"/>
        <v>1856</v>
      </c>
      <c r="S241" s="9">
        <v>147.0</v>
      </c>
      <c r="U241" s="56"/>
      <c r="V241" s="56"/>
    </row>
    <row r="242" ht="15.75" customHeight="1">
      <c r="A242" s="26">
        <v>51402.0</v>
      </c>
      <c r="B242" s="27" t="s">
        <v>257</v>
      </c>
      <c r="C242" s="28">
        <v>679.0</v>
      </c>
      <c r="D242" s="28">
        <v>471.0</v>
      </c>
      <c r="E242" s="28">
        <v>5.0</v>
      </c>
      <c r="F242" s="28">
        <v>7.0</v>
      </c>
      <c r="G242" s="28">
        <v>2.0</v>
      </c>
      <c r="H242" s="28">
        <v>194.0</v>
      </c>
      <c r="I242" s="28">
        <v>742.0</v>
      </c>
      <c r="J242" s="28">
        <v>545.0</v>
      </c>
      <c r="K242" s="28">
        <v>1.0</v>
      </c>
      <c r="L242" s="28">
        <v>9.0</v>
      </c>
      <c r="M242" s="28">
        <v>5.0</v>
      </c>
      <c r="N242" s="28">
        <v>182.0</v>
      </c>
      <c r="O242" s="55">
        <v>456.0</v>
      </c>
      <c r="P242" s="31">
        <f t="shared" si="1"/>
        <v>89</v>
      </c>
      <c r="Q242" s="31">
        <f t="shared" si="2"/>
        <v>89</v>
      </c>
      <c r="R242" s="31">
        <f t="shared" si="3"/>
        <v>742</v>
      </c>
      <c r="S242" s="9">
        <v>76.5</v>
      </c>
      <c r="U242" s="56"/>
      <c r="V242" s="56"/>
    </row>
    <row r="243" ht="15.75" customHeight="1">
      <c r="A243" s="34">
        <v>51501.0</v>
      </c>
      <c r="B243" s="35" t="s">
        <v>258</v>
      </c>
      <c r="C243" s="28">
        <v>12074.0</v>
      </c>
      <c r="D243" s="28">
        <v>10354.0</v>
      </c>
      <c r="E243" s="28">
        <v>60.0</v>
      </c>
      <c r="F243" s="28">
        <v>101.0</v>
      </c>
      <c r="G243" s="28">
        <v>20.0</v>
      </c>
      <c r="H243" s="28">
        <v>1539.0</v>
      </c>
      <c r="I243" s="28">
        <v>14433.0</v>
      </c>
      <c r="J243" s="28">
        <v>13302.0</v>
      </c>
      <c r="K243" s="28">
        <v>34.0</v>
      </c>
      <c r="L243" s="28">
        <v>63.0</v>
      </c>
      <c r="M243" s="28">
        <v>69.0</v>
      </c>
      <c r="N243" s="28">
        <v>965.0</v>
      </c>
      <c r="O243" s="55">
        <v>12424.0</v>
      </c>
      <c r="P243" s="31">
        <f t="shared" si="1"/>
        <v>878</v>
      </c>
      <c r="Q243" s="31">
        <f t="shared" si="2"/>
        <v>878</v>
      </c>
      <c r="R243" s="31">
        <f t="shared" si="3"/>
        <v>14433</v>
      </c>
      <c r="S243" s="9">
        <v>489.0</v>
      </c>
      <c r="U243" s="56"/>
      <c r="V243" s="56"/>
    </row>
    <row r="244" ht="15.75" customHeight="1">
      <c r="A244" s="26">
        <v>51601.0</v>
      </c>
      <c r="B244" s="27" t="s">
        <v>259</v>
      </c>
      <c r="C244" s="28">
        <v>489.0</v>
      </c>
      <c r="D244" s="28">
        <v>206.0</v>
      </c>
      <c r="E244" s="28">
        <v>22.0</v>
      </c>
      <c r="F244" s="28">
        <v>54.0</v>
      </c>
      <c r="G244" s="28">
        <v>30.0</v>
      </c>
      <c r="H244" s="28">
        <v>177.0</v>
      </c>
      <c r="I244" s="28">
        <v>667.0</v>
      </c>
      <c r="J244" s="28">
        <v>550.0</v>
      </c>
      <c r="K244" s="28">
        <v>3.0</v>
      </c>
      <c r="L244" s="28">
        <v>40.0</v>
      </c>
      <c r="M244" s="28">
        <v>15.0</v>
      </c>
      <c r="N244" s="28">
        <v>59.0</v>
      </c>
      <c r="O244" s="55">
        <v>507.0</v>
      </c>
      <c r="P244" s="31">
        <f t="shared" si="1"/>
        <v>43</v>
      </c>
      <c r="Q244" s="31">
        <f t="shared" si="2"/>
        <v>43</v>
      </c>
      <c r="R244" s="31">
        <f t="shared" si="3"/>
        <v>667</v>
      </c>
      <c r="S244" s="9">
        <v>275.0</v>
      </c>
      <c r="U244" s="56"/>
      <c r="V244" s="56"/>
    </row>
    <row r="245" ht="15.75" customHeight="1">
      <c r="A245" s="34">
        <v>60101.0</v>
      </c>
      <c r="B245" s="35" t="s">
        <v>260</v>
      </c>
      <c r="C245" s="28">
        <v>54926.0</v>
      </c>
      <c r="D245" s="28">
        <v>51411.0</v>
      </c>
      <c r="E245" s="28">
        <v>92.0</v>
      </c>
      <c r="F245" s="28">
        <v>115.0</v>
      </c>
      <c r="G245" s="28">
        <v>109.0</v>
      </c>
      <c r="H245" s="28">
        <v>3199.0</v>
      </c>
      <c r="I245" s="28">
        <v>72709.0</v>
      </c>
      <c r="J245" s="28">
        <v>70904.0</v>
      </c>
      <c r="K245" s="28">
        <v>185.0</v>
      </c>
      <c r="L245" s="28">
        <v>69.0</v>
      </c>
      <c r="M245" s="28">
        <v>222.0</v>
      </c>
      <c r="N245" s="28">
        <v>1329.0</v>
      </c>
      <c r="O245" s="55">
        <v>66115.0</v>
      </c>
      <c r="P245" s="31">
        <f t="shared" si="1"/>
        <v>4789</v>
      </c>
      <c r="Q245" s="31">
        <f t="shared" si="2"/>
        <v>4789</v>
      </c>
      <c r="R245" s="31">
        <f t="shared" si="3"/>
        <v>72709</v>
      </c>
      <c r="S245" s="9">
        <v>1027.0</v>
      </c>
      <c r="U245" s="56"/>
      <c r="V245" s="56"/>
    </row>
    <row r="246" ht="15.75" customHeight="1">
      <c r="A246" s="26">
        <v>60201.0</v>
      </c>
      <c r="B246" s="27" t="s">
        <v>261</v>
      </c>
      <c r="C246" s="28">
        <v>5090.0</v>
      </c>
      <c r="D246" s="28">
        <v>3652.0</v>
      </c>
      <c r="E246" s="28">
        <v>29.0</v>
      </c>
      <c r="F246" s="28">
        <v>564.0</v>
      </c>
      <c r="G246" s="28">
        <v>14.0</v>
      </c>
      <c r="H246" s="28">
        <v>831.0</v>
      </c>
      <c r="I246" s="28">
        <v>5649.0</v>
      </c>
      <c r="J246" s="28">
        <v>4732.0</v>
      </c>
      <c r="K246" s="28">
        <v>21.0</v>
      </c>
      <c r="L246" s="28">
        <v>173.0</v>
      </c>
      <c r="M246" s="28">
        <v>18.0</v>
      </c>
      <c r="N246" s="28">
        <v>705.0</v>
      </c>
      <c r="O246" s="55">
        <v>5218.0</v>
      </c>
      <c r="P246" s="31">
        <f t="shared" si="1"/>
        <v>-486</v>
      </c>
      <c r="Q246" s="55" t="str">
        <f t="shared" si="2"/>
        <v/>
      </c>
      <c r="R246" s="31">
        <f t="shared" si="3"/>
        <v>6135</v>
      </c>
      <c r="S246" s="9">
        <v>383.5</v>
      </c>
      <c r="U246" s="56"/>
      <c r="V246" s="56"/>
    </row>
    <row r="247" ht="15.75" customHeight="1">
      <c r="A247" s="34">
        <v>60202.0</v>
      </c>
      <c r="B247" s="35" t="s">
        <v>262</v>
      </c>
      <c r="C247" s="28">
        <v>9012.0</v>
      </c>
      <c r="D247" s="28">
        <v>8417.0</v>
      </c>
      <c r="E247" s="28">
        <v>13.0</v>
      </c>
      <c r="F247" s="28">
        <v>10.0</v>
      </c>
      <c r="G247" s="28">
        <v>7.0</v>
      </c>
      <c r="H247" s="28">
        <v>565.0</v>
      </c>
      <c r="I247" s="28">
        <v>10626.0</v>
      </c>
      <c r="J247" s="28">
        <v>10347.0</v>
      </c>
      <c r="K247" s="28">
        <v>24.0</v>
      </c>
      <c r="L247" s="28">
        <v>54.0</v>
      </c>
      <c r="M247" s="28">
        <v>8.0</v>
      </c>
      <c r="N247" s="28">
        <v>193.0</v>
      </c>
      <c r="O247" s="55">
        <v>9904.0</v>
      </c>
      <c r="P247" s="31">
        <f t="shared" si="1"/>
        <v>443</v>
      </c>
      <c r="Q247" s="31">
        <f t="shared" si="2"/>
        <v>443</v>
      </c>
      <c r="R247" s="31">
        <f t="shared" si="3"/>
        <v>10626</v>
      </c>
      <c r="S247" s="9">
        <v>1162.0</v>
      </c>
      <c r="U247" s="56"/>
      <c r="V247" s="56"/>
    </row>
    <row r="248" ht="15.75" customHeight="1">
      <c r="A248" s="26">
        <v>60301.0</v>
      </c>
      <c r="B248" s="27" t="s">
        <v>263</v>
      </c>
      <c r="C248" s="28">
        <v>22138.0</v>
      </c>
      <c r="D248" s="28">
        <v>20275.0</v>
      </c>
      <c r="E248" s="28">
        <v>381.0</v>
      </c>
      <c r="F248" s="28">
        <v>34.0</v>
      </c>
      <c r="G248" s="28">
        <v>59.0</v>
      </c>
      <c r="H248" s="28">
        <v>1389.0</v>
      </c>
      <c r="I248" s="28">
        <v>27308.0</v>
      </c>
      <c r="J248" s="28">
        <v>26042.0</v>
      </c>
      <c r="K248" s="28">
        <v>467.0</v>
      </c>
      <c r="L248" s="28">
        <v>137.0</v>
      </c>
      <c r="M248" s="28">
        <v>89.0</v>
      </c>
      <c r="N248" s="28">
        <v>573.0</v>
      </c>
      <c r="O248" s="55">
        <v>25327.0</v>
      </c>
      <c r="P248" s="31">
        <f t="shared" si="1"/>
        <v>715</v>
      </c>
      <c r="Q248" s="31">
        <f t="shared" si="2"/>
        <v>715</v>
      </c>
      <c r="R248" s="31">
        <f t="shared" si="3"/>
        <v>27308</v>
      </c>
      <c r="S248" s="9">
        <v>1012.0</v>
      </c>
      <c r="U248" s="56"/>
      <c r="V248" s="56"/>
    </row>
    <row r="249" ht="15.75" customHeight="1">
      <c r="A249" s="34">
        <v>60302.0</v>
      </c>
      <c r="B249" s="35" t="s">
        <v>264</v>
      </c>
      <c r="C249" s="28">
        <v>3995.0</v>
      </c>
      <c r="D249" s="28">
        <v>3457.0</v>
      </c>
      <c r="E249" s="28">
        <v>6.0</v>
      </c>
      <c r="F249" s="28">
        <v>14.0</v>
      </c>
      <c r="G249" s="28">
        <v>6.0</v>
      </c>
      <c r="H249" s="28">
        <v>512.0</v>
      </c>
      <c r="I249" s="28">
        <v>4684.0</v>
      </c>
      <c r="J249" s="28">
        <v>4313.0</v>
      </c>
      <c r="K249" s="28">
        <v>11.0</v>
      </c>
      <c r="L249" s="28">
        <v>20.0</v>
      </c>
      <c r="M249" s="28">
        <v>18.0</v>
      </c>
      <c r="N249" s="28">
        <v>322.0</v>
      </c>
      <c r="O249" s="55">
        <v>4392.0</v>
      </c>
      <c r="P249" s="31">
        <f t="shared" si="1"/>
        <v>-79</v>
      </c>
      <c r="Q249" s="55" t="str">
        <f t="shared" si="2"/>
        <v/>
      </c>
      <c r="R249" s="31">
        <f t="shared" si="3"/>
        <v>4763</v>
      </c>
      <c r="S249" s="9">
        <v>650.0</v>
      </c>
      <c r="U249" s="56"/>
      <c r="V249" s="56"/>
    </row>
    <row r="250" ht="15.75" customHeight="1">
      <c r="A250" s="26">
        <v>60303.0</v>
      </c>
      <c r="B250" s="27" t="s">
        <v>265</v>
      </c>
      <c r="C250" s="28">
        <v>10289.0</v>
      </c>
      <c r="D250" s="28">
        <v>8549.0</v>
      </c>
      <c r="E250" s="28">
        <v>163.0</v>
      </c>
      <c r="F250" s="28">
        <v>250.0</v>
      </c>
      <c r="G250" s="28">
        <v>76.0</v>
      </c>
      <c r="H250" s="28">
        <v>1251.0</v>
      </c>
      <c r="I250" s="28">
        <v>14040.0</v>
      </c>
      <c r="J250" s="28">
        <v>12593.0</v>
      </c>
      <c r="K250" s="28">
        <v>193.0</v>
      </c>
      <c r="L250" s="28">
        <v>333.0</v>
      </c>
      <c r="M250" s="28">
        <v>89.0</v>
      </c>
      <c r="N250" s="28">
        <v>832.0</v>
      </c>
      <c r="O250" s="55">
        <v>13201.0</v>
      </c>
      <c r="P250" s="31">
        <f t="shared" si="1"/>
        <v>-608</v>
      </c>
      <c r="Q250" s="55" t="str">
        <f t="shared" si="2"/>
        <v/>
      </c>
      <c r="R250" s="31">
        <f t="shared" si="3"/>
        <v>14648</v>
      </c>
      <c r="S250" s="9">
        <v>926.0</v>
      </c>
      <c r="U250" s="56"/>
      <c r="V250" s="56"/>
    </row>
    <row r="251" ht="15.75" customHeight="1">
      <c r="A251" s="34">
        <v>60401.0</v>
      </c>
      <c r="B251" s="35" t="s">
        <v>266</v>
      </c>
      <c r="C251" s="28">
        <v>4162.0</v>
      </c>
      <c r="D251" s="28">
        <v>3096.0</v>
      </c>
      <c r="E251" s="28">
        <v>24.0</v>
      </c>
      <c r="F251" s="28">
        <v>34.0</v>
      </c>
      <c r="G251" s="28">
        <v>21.0</v>
      </c>
      <c r="H251" s="28">
        <v>987.0</v>
      </c>
      <c r="I251" s="28">
        <v>4916.0</v>
      </c>
      <c r="J251" s="28">
        <v>4474.0</v>
      </c>
      <c r="K251" s="28">
        <v>10.0</v>
      </c>
      <c r="L251" s="28">
        <v>18.0</v>
      </c>
      <c r="M251" s="28">
        <v>12.0</v>
      </c>
      <c r="N251" s="28">
        <v>402.0</v>
      </c>
      <c r="O251" s="55">
        <v>4332.0</v>
      </c>
      <c r="P251" s="31">
        <f t="shared" si="1"/>
        <v>142</v>
      </c>
      <c r="Q251" s="31">
        <f t="shared" si="2"/>
        <v>142</v>
      </c>
      <c r="R251" s="31">
        <f t="shared" si="3"/>
        <v>4916</v>
      </c>
      <c r="S251" s="9">
        <v>545.0</v>
      </c>
      <c r="U251" s="56"/>
      <c r="V251" s="56"/>
    </row>
    <row r="252" ht="15.75" customHeight="1">
      <c r="A252" s="26">
        <v>60402.0</v>
      </c>
      <c r="B252" s="27" t="s">
        <v>267</v>
      </c>
      <c r="C252" s="28">
        <v>1484.0</v>
      </c>
      <c r="D252" s="28">
        <v>1032.0</v>
      </c>
      <c r="E252" s="28">
        <v>2.0</v>
      </c>
      <c r="F252" s="28">
        <v>117.0</v>
      </c>
      <c r="G252" s="28">
        <v>0.0</v>
      </c>
      <c r="H252" s="28">
        <v>333.0</v>
      </c>
      <c r="I252" s="28">
        <v>1530.0</v>
      </c>
      <c r="J252" s="28">
        <v>1364.0</v>
      </c>
      <c r="K252" s="28">
        <v>0.0</v>
      </c>
      <c r="L252" s="28">
        <v>22.0</v>
      </c>
      <c r="M252" s="28">
        <v>3.0</v>
      </c>
      <c r="N252" s="28">
        <v>141.0</v>
      </c>
      <c r="O252" s="55">
        <v>1356.0</v>
      </c>
      <c r="P252" s="31">
        <f t="shared" si="1"/>
        <v>8</v>
      </c>
      <c r="Q252" s="31">
        <f t="shared" si="2"/>
        <v>8</v>
      </c>
      <c r="R252" s="31">
        <f t="shared" si="3"/>
        <v>1530</v>
      </c>
      <c r="S252" s="9">
        <v>88.5</v>
      </c>
      <c r="U252" s="56"/>
      <c r="V252" s="56"/>
    </row>
    <row r="253" ht="15.75" customHeight="1">
      <c r="A253" s="34">
        <v>60501.0</v>
      </c>
      <c r="B253" s="35" t="s">
        <v>268</v>
      </c>
      <c r="C253" s="28">
        <v>6484.0</v>
      </c>
      <c r="D253" s="28">
        <v>4808.0</v>
      </c>
      <c r="E253" s="28">
        <v>24.0</v>
      </c>
      <c r="F253" s="28">
        <v>261.0</v>
      </c>
      <c r="G253" s="28">
        <v>27.0</v>
      </c>
      <c r="H253" s="28">
        <v>1364.0</v>
      </c>
      <c r="I253" s="28">
        <v>9336.0</v>
      </c>
      <c r="J253" s="28">
        <v>7895.0</v>
      </c>
      <c r="K253" s="28">
        <v>34.0</v>
      </c>
      <c r="L253" s="28">
        <v>279.0</v>
      </c>
      <c r="M253" s="28">
        <v>45.0</v>
      </c>
      <c r="N253" s="28">
        <v>1083.0</v>
      </c>
      <c r="O253" s="55">
        <v>8536.0</v>
      </c>
      <c r="P253" s="31">
        <f t="shared" si="1"/>
        <v>-641</v>
      </c>
      <c r="Q253" s="55" t="str">
        <f t="shared" si="2"/>
        <v/>
      </c>
      <c r="R253" s="31">
        <f t="shared" si="3"/>
        <v>9977</v>
      </c>
      <c r="S253" s="9">
        <v>591.0</v>
      </c>
      <c r="U253" s="56"/>
      <c r="V253" s="56"/>
    </row>
    <row r="254" ht="15.75" customHeight="1">
      <c r="A254" s="26">
        <v>60502.0</v>
      </c>
      <c r="B254" s="27" t="s">
        <v>269</v>
      </c>
      <c r="C254" s="28">
        <v>3253.0</v>
      </c>
      <c r="D254" s="28">
        <v>2523.0</v>
      </c>
      <c r="E254" s="28">
        <v>3.0</v>
      </c>
      <c r="F254" s="28">
        <v>173.0</v>
      </c>
      <c r="G254" s="28">
        <v>27.0</v>
      </c>
      <c r="H254" s="28">
        <v>527.0</v>
      </c>
      <c r="I254" s="28">
        <v>3240.0</v>
      </c>
      <c r="J254" s="28">
        <v>2935.0</v>
      </c>
      <c r="K254" s="28">
        <v>4.0</v>
      </c>
      <c r="L254" s="28">
        <v>84.0</v>
      </c>
      <c r="M254" s="28">
        <v>26.0</v>
      </c>
      <c r="N254" s="28">
        <v>191.0</v>
      </c>
      <c r="O254" s="55">
        <v>2952.0</v>
      </c>
      <c r="P254" s="31">
        <f t="shared" si="1"/>
        <v>-17</v>
      </c>
      <c r="Q254" s="55" t="str">
        <f t="shared" si="2"/>
        <v/>
      </c>
      <c r="R254" s="31">
        <f t="shared" si="3"/>
        <v>3257</v>
      </c>
      <c r="S254" s="9">
        <v>237.0</v>
      </c>
      <c r="U254" s="56"/>
      <c r="V254" s="56"/>
    </row>
    <row r="255" ht="15.75" customHeight="1">
      <c r="A255" s="34">
        <v>60601.0</v>
      </c>
      <c r="B255" s="35" t="s">
        <v>170</v>
      </c>
      <c r="C255" s="28">
        <v>5415.0</v>
      </c>
      <c r="D255" s="28">
        <v>3135.0</v>
      </c>
      <c r="E255" s="28">
        <v>154.0</v>
      </c>
      <c r="F255" s="28">
        <v>328.0</v>
      </c>
      <c r="G255" s="28">
        <v>62.0</v>
      </c>
      <c r="H255" s="28">
        <v>1736.0</v>
      </c>
      <c r="I255" s="28">
        <v>6216.0</v>
      </c>
      <c r="J255" s="28">
        <v>5498.0</v>
      </c>
      <c r="K255" s="28">
        <v>15.0</v>
      </c>
      <c r="L255" s="28">
        <v>74.0</v>
      </c>
      <c r="M255" s="28">
        <v>6.0</v>
      </c>
      <c r="N255" s="28">
        <v>623.0</v>
      </c>
      <c r="O255" s="55">
        <v>5997.0</v>
      </c>
      <c r="P255" s="31">
        <f t="shared" si="1"/>
        <v>-499</v>
      </c>
      <c r="Q255" s="55" t="str">
        <f t="shared" si="2"/>
        <v/>
      </c>
      <c r="R255" s="31">
        <f t="shared" si="3"/>
        <v>6715</v>
      </c>
      <c r="S255" s="9">
        <v>495.0</v>
      </c>
      <c r="U255" s="56"/>
      <c r="V255" s="56"/>
    </row>
    <row r="256" ht="15.75" customHeight="1">
      <c r="A256" s="26">
        <v>70101.0</v>
      </c>
      <c r="B256" s="27" t="s">
        <v>270</v>
      </c>
      <c r="C256" s="28">
        <v>360441.0</v>
      </c>
      <c r="D256" s="28">
        <v>354684.0</v>
      </c>
      <c r="E256" s="28">
        <v>839.0</v>
      </c>
      <c r="F256" s="28">
        <v>82.0</v>
      </c>
      <c r="G256" s="28">
        <v>757.0</v>
      </c>
      <c r="H256" s="28">
        <v>4079.0</v>
      </c>
      <c r="I256" s="28">
        <v>453158.0</v>
      </c>
      <c r="J256" s="28">
        <v>448041.0</v>
      </c>
      <c r="K256" s="28">
        <v>1756.0</v>
      </c>
      <c r="L256" s="28">
        <v>216.0</v>
      </c>
      <c r="M256" s="28">
        <v>1535.0</v>
      </c>
      <c r="N256" s="28">
        <v>1610.0</v>
      </c>
      <c r="O256" s="55">
        <v>421625.0</v>
      </c>
      <c r="P256" s="31">
        <f t="shared" si="1"/>
        <v>26416</v>
      </c>
      <c r="Q256" s="31">
        <f t="shared" si="2"/>
        <v>26416</v>
      </c>
      <c r="R256" s="31">
        <f t="shared" si="3"/>
        <v>453158</v>
      </c>
      <c r="S256" s="9">
        <v>2044.0</v>
      </c>
      <c r="U256" s="56"/>
      <c r="V256" s="56"/>
    </row>
    <row r="257" ht="15.75" customHeight="1">
      <c r="A257" s="34">
        <v>70102.0</v>
      </c>
      <c r="B257" s="35" t="s">
        <v>271</v>
      </c>
      <c r="C257" s="28">
        <v>12677.0</v>
      </c>
      <c r="D257" s="28">
        <v>11590.0</v>
      </c>
      <c r="E257" s="28">
        <v>69.0</v>
      </c>
      <c r="F257" s="28">
        <v>19.0</v>
      </c>
      <c r="G257" s="28">
        <v>106.0</v>
      </c>
      <c r="H257" s="28">
        <v>893.0</v>
      </c>
      <c r="I257" s="28">
        <v>27833.0</v>
      </c>
      <c r="J257" s="28">
        <v>26622.0</v>
      </c>
      <c r="K257" s="28">
        <v>96.0</v>
      </c>
      <c r="L257" s="28">
        <v>291.0</v>
      </c>
      <c r="M257" s="28">
        <v>131.0</v>
      </c>
      <c r="N257" s="28">
        <v>693.0</v>
      </c>
      <c r="O257" s="55">
        <v>23887.0</v>
      </c>
      <c r="P257" s="31">
        <f t="shared" si="1"/>
        <v>2735</v>
      </c>
      <c r="Q257" s="31">
        <f t="shared" si="2"/>
        <v>2735</v>
      </c>
      <c r="R257" s="31">
        <f t="shared" si="3"/>
        <v>27833</v>
      </c>
      <c r="S257" s="9">
        <v>1096.0</v>
      </c>
      <c r="U257" s="56"/>
      <c r="V257" s="56"/>
    </row>
    <row r="258" ht="15.75" customHeight="1">
      <c r="A258" s="26">
        <v>70103.0</v>
      </c>
      <c r="B258" s="27" t="s">
        <v>272</v>
      </c>
      <c r="C258" s="28">
        <v>3622.0</v>
      </c>
      <c r="D258" s="28">
        <v>2643.0</v>
      </c>
      <c r="E258" s="28">
        <v>122.0</v>
      </c>
      <c r="F258" s="28">
        <v>149.0</v>
      </c>
      <c r="G258" s="28">
        <v>43.0</v>
      </c>
      <c r="H258" s="28">
        <v>665.0</v>
      </c>
      <c r="I258" s="28">
        <v>6642.0</v>
      </c>
      <c r="J258" s="28">
        <v>6044.0</v>
      </c>
      <c r="K258" s="28">
        <v>59.0</v>
      </c>
      <c r="L258" s="28">
        <v>158.0</v>
      </c>
      <c r="M258" s="28">
        <v>18.0</v>
      </c>
      <c r="N258" s="28">
        <v>363.0</v>
      </c>
      <c r="O258" s="55">
        <v>8522.0</v>
      </c>
      <c r="P258" s="31">
        <f t="shared" si="1"/>
        <v>-2478</v>
      </c>
      <c r="Q258" s="55" t="str">
        <f t="shared" si="2"/>
        <v/>
      </c>
      <c r="R258" s="31">
        <f t="shared" si="3"/>
        <v>9120</v>
      </c>
      <c r="S258" s="9">
        <v>1958.0</v>
      </c>
      <c r="U258" s="56"/>
      <c r="V258" s="56"/>
    </row>
    <row r="259" ht="15.75" customHeight="1">
      <c r="A259" s="34">
        <v>70104.0</v>
      </c>
      <c r="B259" s="35" t="s">
        <v>273</v>
      </c>
      <c r="C259" s="28">
        <v>21314.0</v>
      </c>
      <c r="D259" s="28">
        <v>19800.0</v>
      </c>
      <c r="E259" s="28">
        <v>471.0</v>
      </c>
      <c r="F259" s="28">
        <v>20.0</v>
      </c>
      <c r="G259" s="28">
        <v>143.0</v>
      </c>
      <c r="H259" s="28">
        <v>880.0</v>
      </c>
      <c r="I259" s="28">
        <v>40267.0</v>
      </c>
      <c r="J259" s="28">
        <v>39509.0</v>
      </c>
      <c r="K259" s="28">
        <v>171.0</v>
      </c>
      <c r="L259" s="28">
        <v>64.0</v>
      </c>
      <c r="M259" s="28">
        <v>160.0</v>
      </c>
      <c r="N259" s="28">
        <v>363.0</v>
      </c>
      <c r="O259" s="55">
        <v>40714.0</v>
      </c>
      <c r="P259" s="31">
        <f t="shared" si="1"/>
        <v>-1205</v>
      </c>
      <c r="Q259" s="55" t="str">
        <f t="shared" si="2"/>
        <v/>
      </c>
      <c r="R259" s="31">
        <f t="shared" si="3"/>
        <v>41472</v>
      </c>
      <c r="S259" s="9">
        <v>1269.0</v>
      </c>
      <c r="U259" s="56"/>
      <c r="V259" s="56"/>
    </row>
    <row r="260" ht="15.75" customHeight="1">
      <c r="A260" s="26">
        <v>70105.0</v>
      </c>
      <c r="B260" s="27" t="s">
        <v>274</v>
      </c>
      <c r="C260" s="28">
        <v>12235.0</v>
      </c>
      <c r="D260" s="28">
        <v>10310.0</v>
      </c>
      <c r="E260" s="28">
        <v>48.0</v>
      </c>
      <c r="F260" s="28">
        <v>222.0</v>
      </c>
      <c r="G260" s="28">
        <v>111.0</v>
      </c>
      <c r="H260" s="28">
        <v>1544.0</v>
      </c>
      <c r="I260" s="28">
        <v>16612.0</v>
      </c>
      <c r="J260" s="28">
        <v>15466.0</v>
      </c>
      <c r="K260" s="28">
        <v>45.0</v>
      </c>
      <c r="L260" s="28">
        <v>337.0</v>
      </c>
      <c r="M260" s="28">
        <v>76.0</v>
      </c>
      <c r="N260" s="28">
        <v>688.0</v>
      </c>
      <c r="O260" s="55">
        <v>15568.0</v>
      </c>
      <c r="P260" s="31">
        <f t="shared" si="1"/>
        <v>-102</v>
      </c>
      <c r="Q260" s="55" t="str">
        <f t="shared" si="2"/>
        <v/>
      </c>
      <c r="R260" s="31">
        <f t="shared" si="3"/>
        <v>16714</v>
      </c>
      <c r="S260" s="9">
        <v>849.0</v>
      </c>
      <c r="U260" s="56"/>
      <c r="V260" s="56"/>
    </row>
    <row r="261" ht="15.75" customHeight="1">
      <c r="A261" s="34">
        <v>70201.0</v>
      </c>
      <c r="B261" s="35" t="s">
        <v>275</v>
      </c>
      <c r="C261" s="28">
        <v>23218.0</v>
      </c>
      <c r="D261" s="28">
        <v>21627.0</v>
      </c>
      <c r="E261" s="28">
        <v>75.0</v>
      </c>
      <c r="F261" s="28">
        <v>34.0</v>
      </c>
      <c r="G261" s="28">
        <v>112.0</v>
      </c>
      <c r="H261" s="28">
        <v>1370.0</v>
      </c>
      <c r="I261" s="28">
        <v>40597.0</v>
      </c>
      <c r="J261" s="28">
        <v>39425.0</v>
      </c>
      <c r="K261" s="28">
        <v>107.0</v>
      </c>
      <c r="L261" s="28">
        <v>144.0</v>
      </c>
      <c r="M261" s="28">
        <v>207.0</v>
      </c>
      <c r="N261" s="28">
        <v>714.0</v>
      </c>
      <c r="O261" s="55">
        <v>47624.0</v>
      </c>
      <c r="P261" s="31">
        <f t="shared" si="1"/>
        <v>-8199</v>
      </c>
      <c r="Q261" s="55" t="str">
        <f t="shared" si="2"/>
        <v/>
      </c>
      <c r="R261" s="31">
        <f t="shared" si="3"/>
        <v>48796</v>
      </c>
      <c r="S261" s="9">
        <v>1163.0</v>
      </c>
      <c r="U261" s="56"/>
      <c r="V261" s="56"/>
    </row>
    <row r="262" ht="15.75" customHeight="1">
      <c r="A262" s="26">
        <v>70202.0</v>
      </c>
      <c r="B262" s="27" t="s">
        <v>276</v>
      </c>
      <c r="C262" s="28">
        <v>2560.0</v>
      </c>
      <c r="D262" s="28">
        <v>2295.0</v>
      </c>
      <c r="E262" s="28">
        <v>14.0</v>
      </c>
      <c r="F262" s="28">
        <v>22.0</v>
      </c>
      <c r="G262" s="28">
        <v>25.0</v>
      </c>
      <c r="H262" s="28">
        <v>204.0</v>
      </c>
      <c r="I262" s="28">
        <v>2896.0</v>
      </c>
      <c r="J262" s="28">
        <v>2761.0</v>
      </c>
      <c r="K262" s="28">
        <v>25.0</v>
      </c>
      <c r="L262" s="28">
        <v>27.0</v>
      </c>
      <c r="M262" s="28">
        <v>8.0</v>
      </c>
      <c r="N262" s="28">
        <v>75.0</v>
      </c>
      <c r="O262" s="55">
        <v>2190.0</v>
      </c>
      <c r="P262" s="31">
        <f t="shared" si="1"/>
        <v>571</v>
      </c>
      <c r="Q262" s="31">
        <f t="shared" si="2"/>
        <v>571</v>
      </c>
      <c r="R262" s="31">
        <f t="shared" si="3"/>
        <v>2896</v>
      </c>
      <c r="S262" s="9">
        <v>1312.0</v>
      </c>
      <c r="U262" s="56"/>
      <c r="V262" s="56"/>
    </row>
    <row r="263" ht="15.75" customHeight="1">
      <c r="A263" s="34">
        <v>70301.0</v>
      </c>
      <c r="B263" s="35" t="s">
        <v>277</v>
      </c>
      <c r="C263" s="28">
        <v>10825.0</v>
      </c>
      <c r="D263" s="28">
        <v>6666.0</v>
      </c>
      <c r="E263" s="28">
        <v>666.0</v>
      </c>
      <c r="F263" s="28">
        <v>313.0</v>
      </c>
      <c r="G263" s="28">
        <v>325.0</v>
      </c>
      <c r="H263" s="28">
        <v>2855.0</v>
      </c>
      <c r="I263" s="28">
        <v>17760.0</v>
      </c>
      <c r="J263" s="28">
        <v>12961.0</v>
      </c>
      <c r="K263" s="28">
        <v>533.0</v>
      </c>
      <c r="L263" s="28">
        <v>1082.0</v>
      </c>
      <c r="M263" s="28">
        <v>422.0</v>
      </c>
      <c r="N263" s="28">
        <v>2762.0</v>
      </c>
      <c r="O263" s="55">
        <v>288.0</v>
      </c>
      <c r="P263" s="31">
        <f t="shared" si="1"/>
        <v>12673</v>
      </c>
      <c r="Q263" s="31">
        <f t="shared" si="2"/>
        <v>12673</v>
      </c>
      <c r="R263" s="31">
        <f t="shared" si="3"/>
        <v>17760</v>
      </c>
      <c r="S263" s="9">
        <v>851.0</v>
      </c>
      <c r="U263" s="56"/>
      <c r="V263" s="56"/>
    </row>
    <row r="264" ht="15.75" customHeight="1">
      <c r="A264" s="26">
        <v>70302.0</v>
      </c>
      <c r="B264" s="27" t="s">
        <v>278</v>
      </c>
      <c r="C264" s="28">
        <v>2582.0</v>
      </c>
      <c r="D264" s="28">
        <v>1287.0</v>
      </c>
      <c r="E264" s="28">
        <v>104.0</v>
      </c>
      <c r="F264" s="28">
        <v>34.0</v>
      </c>
      <c r="G264" s="28">
        <v>22.0</v>
      </c>
      <c r="H264" s="28">
        <v>1135.0</v>
      </c>
      <c r="I264" s="28">
        <v>4447.0</v>
      </c>
      <c r="J264" s="28">
        <v>2296.0</v>
      </c>
      <c r="K264" s="28">
        <v>261.0</v>
      </c>
      <c r="L264" s="28">
        <v>444.0</v>
      </c>
      <c r="M264" s="28">
        <v>95.0</v>
      </c>
      <c r="N264" s="28">
        <v>1351.0</v>
      </c>
      <c r="O264" s="55">
        <v>72.0</v>
      </c>
      <c r="P264" s="31">
        <f t="shared" si="1"/>
        <v>2224</v>
      </c>
      <c r="Q264" s="31">
        <f t="shared" si="2"/>
        <v>2224</v>
      </c>
      <c r="R264" s="31">
        <f t="shared" si="3"/>
        <v>4447</v>
      </c>
      <c r="S264" s="9">
        <v>746.0</v>
      </c>
      <c r="U264" s="56"/>
      <c r="V264" s="56"/>
    </row>
    <row r="265" ht="15.75" customHeight="1">
      <c r="A265" s="34">
        <v>70303.0</v>
      </c>
      <c r="B265" s="35" t="s">
        <v>279</v>
      </c>
      <c r="C265" s="28">
        <v>1139.0</v>
      </c>
      <c r="D265" s="28">
        <v>624.0</v>
      </c>
      <c r="E265" s="28">
        <v>79.0</v>
      </c>
      <c r="F265" s="28">
        <v>33.0</v>
      </c>
      <c r="G265" s="28">
        <v>23.0</v>
      </c>
      <c r="H265" s="28">
        <v>380.0</v>
      </c>
      <c r="I265" s="28">
        <v>2897.0</v>
      </c>
      <c r="J265" s="28">
        <v>1128.0</v>
      </c>
      <c r="K265" s="28">
        <v>169.0</v>
      </c>
      <c r="L265" s="28">
        <v>405.0</v>
      </c>
      <c r="M265" s="28">
        <v>93.0</v>
      </c>
      <c r="N265" s="28">
        <v>1102.0</v>
      </c>
      <c r="O265" s="55">
        <v>16.0</v>
      </c>
      <c r="P265" s="31">
        <f t="shared" si="1"/>
        <v>1112</v>
      </c>
      <c r="Q265" s="31">
        <f t="shared" si="2"/>
        <v>1112</v>
      </c>
      <c r="R265" s="31">
        <f t="shared" si="3"/>
        <v>2897</v>
      </c>
      <c r="S265" s="9">
        <v>832.5</v>
      </c>
      <c r="U265" s="56"/>
      <c r="V265" s="56"/>
    </row>
    <row r="266" ht="15.75" customHeight="1">
      <c r="A266" s="26">
        <v>70401.0</v>
      </c>
      <c r="B266" s="27" t="s">
        <v>280</v>
      </c>
      <c r="C266" s="28">
        <v>3171.0</v>
      </c>
      <c r="D266" s="28">
        <v>2359.0</v>
      </c>
      <c r="E266" s="28">
        <v>29.0</v>
      </c>
      <c r="F266" s="28">
        <v>120.0</v>
      </c>
      <c r="G266" s="28">
        <v>43.0</v>
      </c>
      <c r="H266" s="28">
        <v>620.0</v>
      </c>
      <c r="I266" s="28">
        <v>3776.0</v>
      </c>
      <c r="J266" s="28">
        <v>3416.0</v>
      </c>
      <c r="K266" s="28">
        <v>22.0</v>
      </c>
      <c r="L266" s="28">
        <v>55.0</v>
      </c>
      <c r="M266" s="28">
        <v>18.0</v>
      </c>
      <c r="N266" s="28">
        <v>265.0</v>
      </c>
      <c r="O266" s="55">
        <v>3948.0</v>
      </c>
      <c r="P266" s="31">
        <f t="shared" si="1"/>
        <v>-532</v>
      </c>
      <c r="Q266" s="55" t="str">
        <f t="shared" si="2"/>
        <v/>
      </c>
      <c r="R266" s="31">
        <f t="shared" si="3"/>
        <v>4308</v>
      </c>
      <c r="S266" s="9">
        <v>800.5</v>
      </c>
      <c r="U266" s="56"/>
      <c r="V266" s="56"/>
    </row>
    <row r="267" ht="15.75" customHeight="1">
      <c r="A267" s="34">
        <v>70402.0</v>
      </c>
      <c r="B267" s="35" t="s">
        <v>281</v>
      </c>
      <c r="C267" s="28">
        <v>4573.0</v>
      </c>
      <c r="D267" s="28">
        <v>3455.0</v>
      </c>
      <c r="E267" s="28">
        <v>56.0</v>
      </c>
      <c r="F267" s="28">
        <v>53.0</v>
      </c>
      <c r="G267" s="28">
        <v>63.0</v>
      </c>
      <c r="H267" s="28">
        <v>946.0</v>
      </c>
      <c r="I267" s="28">
        <v>5523.0</v>
      </c>
      <c r="J267" s="28">
        <v>4790.0</v>
      </c>
      <c r="K267" s="28">
        <v>25.0</v>
      </c>
      <c r="L267" s="28">
        <v>122.0</v>
      </c>
      <c r="M267" s="28">
        <v>35.0</v>
      </c>
      <c r="N267" s="28">
        <v>551.0</v>
      </c>
      <c r="O267" s="55">
        <v>4626.0</v>
      </c>
      <c r="P267" s="31">
        <f t="shared" si="1"/>
        <v>164</v>
      </c>
      <c r="Q267" s="31">
        <f t="shared" si="2"/>
        <v>164</v>
      </c>
      <c r="R267" s="31">
        <f t="shared" si="3"/>
        <v>5523</v>
      </c>
      <c r="S267" s="9">
        <v>881.5</v>
      </c>
      <c r="U267" s="56"/>
      <c r="V267" s="56"/>
    </row>
    <row r="268" ht="15.75" customHeight="1">
      <c r="A268" s="26">
        <v>70403.0</v>
      </c>
      <c r="B268" s="27" t="s">
        <v>282</v>
      </c>
      <c r="C268" s="28">
        <v>14775.0</v>
      </c>
      <c r="D268" s="28">
        <v>8215.0</v>
      </c>
      <c r="E268" s="28">
        <v>241.0</v>
      </c>
      <c r="F268" s="28">
        <v>181.0</v>
      </c>
      <c r="G268" s="28">
        <v>235.0</v>
      </c>
      <c r="H268" s="28">
        <v>5903.0</v>
      </c>
      <c r="I268" s="28">
        <v>20075.0</v>
      </c>
      <c r="J268" s="28">
        <v>13724.0</v>
      </c>
      <c r="K268" s="28">
        <v>84.0</v>
      </c>
      <c r="L268" s="28">
        <v>800.0</v>
      </c>
      <c r="M268" s="28">
        <v>286.0</v>
      </c>
      <c r="N268" s="28">
        <v>5181.0</v>
      </c>
      <c r="O268" s="55">
        <v>13526.0</v>
      </c>
      <c r="P268" s="31">
        <f t="shared" si="1"/>
        <v>198</v>
      </c>
      <c r="Q268" s="31">
        <f t="shared" si="2"/>
        <v>198</v>
      </c>
      <c r="R268" s="31">
        <f t="shared" si="3"/>
        <v>20075</v>
      </c>
      <c r="S268" s="9">
        <v>910.5</v>
      </c>
      <c r="U268" s="56"/>
      <c r="V268" s="56"/>
    </row>
    <row r="269" ht="15.75" customHeight="1">
      <c r="A269" s="34">
        <v>70404.0</v>
      </c>
      <c r="B269" s="35" t="s">
        <v>283</v>
      </c>
      <c r="C269" s="28">
        <v>2055.0</v>
      </c>
      <c r="D269" s="28">
        <v>1381.0</v>
      </c>
      <c r="E269" s="28">
        <v>58.0</v>
      </c>
      <c r="F269" s="28">
        <v>39.0</v>
      </c>
      <c r="G269" s="28">
        <v>24.0</v>
      </c>
      <c r="H269" s="28">
        <v>553.0</v>
      </c>
      <c r="I269" s="28">
        <v>2957.0</v>
      </c>
      <c r="J269" s="28">
        <v>2335.0</v>
      </c>
      <c r="K269" s="28">
        <v>20.0</v>
      </c>
      <c r="L269" s="28">
        <v>104.0</v>
      </c>
      <c r="M269" s="28">
        <v>51.0</v>
      </c>
      <c r="N269" s="28">
        <v>447.0</v>
      </c>
      <c r="O269" s="55">
        <v>1881.0</v>
      </c>
      <c r="P269" s="31">
        <f t="shared" si="1"/>
        <v>454</v>
      </c>
      <c r="Q269" s="31">
        <f t="shared" si="2"/>
        <v>454</v>
      </c>
      <c r="R269" s="31">
        <f t="shared" si="3"/>
        <v>2957</v>
      </c>
      <c r="S269" s="9">
        <v>972.5</v>
      </c>
      <c r="U269" s="56"/>
      <c r="V269" s="56"/>
    </row>
    <row r="270" ht="15.75" customHeight="1">
      <c r="A270" s="26">
        <v>70501.0</v>
      </c>
      <c r="B270" s="27" t="s">
        <v>284</v>
      </c>
      <c r="C270" s="28">
        <v>4566.0</v>
      </c>
      <c r="D270" s="28">
        <v>3536.0</v>
      </c>
      <c r="E270" s="28">
        <v>560.0</v>
      </c>
      <c r="F270" s="28">
        <v>31.0</v>
      </c>
      <c r="G270" s="28">
        <v>30.0</v>
      </c>
      <c r="H270" s="28">
        <v>409.0</v>
      </c>
      <c r="I270" s="28">
        <v>11607.0</v>
      </c>
      <c r="J270" s="28">
        <v>4597.0</v>
      </c>
      <c r="K270" s="28">
        <v>1521.0</v>
      </c>
      <c r="L270" s="28">
        <v>1467.0</v>
      </c>
      <c r="M270" s="28">
        <v>826.0</v>
      </c>
      <c r="N270" s="28">
        <v>3196.0</v>
      </c>
      <c r="O270" s="55">
        <v>269.0</v>
      </c>
      <c r="P270" s="31">
        <f t="shared" si="1"/>
        <v>4328</v>
      </c>
      <c r="Q270" s="31">
        <f t="shared" si="2"/>
        <v>4328</v>
      </c>
      <c r="R270" s="31">
        <f t="shared" si="3"/>
        <v>11607</v>
      </c>
      <c r="S270" s="9">
        <v>894.0</v>
      </c>
      <c r="U270" s="56"/>
      <c r="V270" s="56"/>
    </row>
    <row r="271" ht="15.75" customHeight="1">
      <c r="A271" s="34">
        <v>70502.0</v>
      </c>
      <c r="B271" s="35" t="s">
        <v>285</v>
      </c>
      <c r="C271" s="28">
        <v>7182.0</v>
      </c>
      <c r="D271" s="28">
        <v>3802.0</v>
      </c>
      <c r="E271" s="28">
        <v>1763.0</v>
      </c>
      <c r="F271" s="28">
        <v>180.0</v>
      </c>
      <c r="G271" s="28">
        <v>196.0</v>
      </c>
      <c r="H271" s="28">
        <v>1241.0</v>
      </c>
      <c r="I271" s="28">
        <v>12970.0</v>
      </c>
      <c r="J271" s="28">
        <v>7513.0</v>
      </c>
      <c r="K271" s="28">
        <v>2323.0</v>
      </c>
      <c r="L271" s="28">
        <v>1355.0</v>
      </c>
      <c r="M271" s="28">
        <v>312.0</v>
      </c>
      <c r="N271" s="28">
        <v>1467.0</v>
      </c>
      <c r="O271" s="55">
        <v>6504.0</v>
      </c>
      <c r="P271" s="31">
        <f t="shared" si="1"/>
        <v>1009</v>
      </c>
      <c r="Q271" s="31">
        <f t="shared" si="2"/>
        <v>1009</v>
      </c>
      <c r="R271" s="31">
        <f t="shared" si="3"/>
        <v>12970</v>
      </c>
      <c r="S271" s="9">
        <v>1305.0</v>
      </c>
      <c r="U271" s="56"/>
      <c r="V271" s="56"/>
    </row>
    <row r="272" ht="15.75" customHeight="1">
      <c r="A272" s="26">
        <v>70503.0</v>
      </c>
      <c r="B272" s="27" t="s">
        <v>286</v>
      </c>
      <c r="C272" s="28">
        <v>3747.0</v>
      </c>
      <c r="D272" s="28">
        <v>3132.0</v>
      </c>
      <c r="E272" s="28">
        <v>30.0</v>
      </c>
      <c r="F272" s="28">
        <v>70.0</v>
      </c>
      <c r="G272" s="28">
        <v>4.0</v>
      </c>
      <c r="H272" s="28">
        <v>511.0</v>
      </c>
      <c r="I272" s="28">
        <v>5348.0</v>
      </c>
      <c r="J272" s="28">
        <v>4535.0</v>
      </c>
      <c r="K272" s="28">
        <v>127.0</v>
      </c>
      <c r="L272" s="28">
        <v>246.0</v>
      </c>
      <c r="M272" s="28">
        <v>25.0</v>
      </c>
      <c r="N272" s="28">
        <v>415.0</v>
      </c>
      <c r="O272" s="55">
        <v>313.0</v>
      </c>
      <c r="P272" s="31">
        <f t="shared" si="1"/>
        <v>4222</v>
      </c>
      <c r="Q272" s="31">
        <f t="shared" si="2"/>
        <v>4222</v>
      </c>
      <c r="R272" s="31">
        <f t="shared" si="3"/>
        <v>5348</v>
      </c>
      <c r="S272" s="9">
        <v>1038.0</v>
      </c>
      <c r="U272" s="56"/>
      <c r="V272" s="56"/>
    </row>
    <row r="273" ht="15.75" customHeight="1">
      <c r="A273" s="34">
        <v>70601.0</v>
      </c>
      <c r="B273" s="35" t="s">
        <v>287</v>
      </c>
      <c r="C273" s="28">
        <v>4119.0</v>
      </c>
      <c r="D273" s="28">
        <v>3653.0</v>
      </c>
      <c r="E273" s="28">
        <v>46.0</v>
      </c>
      <c r="F273" s="28">
        <v>74.0</v>
      </c>
      <c r="G273" s="28">
        <v>37.0</v>
      </c>
      <c r="H273" s="28">
        <v>309.0</v>
      </c>
      <c r="I273" s="28">
        <v>5445.0</v>
      </c>
      <c r="J273" s="28">
        <v>5200.0</v>
      </c>
      <c r="K273" s="28">
        <v>25.0</v>
      </c>
      <c r="L273" s="28">
        <v>89.0</v>
      </c>
      <c r="M273" s="28">
        <v>35.0</v>
      </c>
      <c r="N273" s="28">
        <v>96.0</v>
      </c>
      <c r="O273" s="55">
        <v>4855.0</v>
      </c>
      <c r="P273" s="31">
        <f t="shared" si="1"/>
        <v>345</v>
      </c>
      <c r="Q273" s="31">
        <f t="shared" si="2"/>
        <v>345</v>
      </c>
      <c r="R273" s="31">
        <f t="shared" si="3"/>
        <v>5445</v>
      </c>
      <c r="S273" s="9">
        <v>1473.0</v>
      </c>
      <c r="U273" s="56"/>
      <c r="V273" s="56"/>
    </row>
    <row r="274" ht="15.75" customHeight="1">
      <c r="A274" s="26">
        <v>70602.0</v>
      </c>
      <c r="B274" s="27" t="s">
        <v>288</v>
      </c>
      <c r="C274" s="28">
        <v>4978.0</v>
      </c>
      <c r="D274" s="28">
        <v>2288.0</v>
      </c>
      <c r="E274" s="28">
        <v>260.0</v>
      </c>
      <c r="F274" s="28">
        <v>179.0</v>
      </c>
      <c r="G274" s="28">
        <v>274.0</v>
      </c>
      <c r="H274" s="28">
        <v>1977.0</v>
      </c>
      <c r="I274" s="28">
        <v>5957.0</v>
      </c>
      <c r="J274" s="28">
        <v>3909.0</v>
      </c>
      <c r="K274" s="28">
        <v>163.0</v>
      </c>
      <c r="L274" s="28">
        <v>658.0</v>
      </c>
      <c r="M274" s="28">
        <v>89.0</v>
      </c>
      <c r="N274" s="28">
        <v>1138.0</v>
      </c>
      <c r="O274" s="55">
        <v>3794.0</v>
      </c>
      <c r="P274" s="31">
        <f t="shared" si="1"/>
        <v>115</v>
      </c>
      <c r="Q274" s="31">
        <f t="shared" si="2"/>
        <v>115</v>
      </c>
      <c r="R274" s="31">
        <f t="shared" si="3"/>
        <v>5957</v>
      </c>
      <c r="S274" s="9">
        <v>813.5</v>
      </c>
      <c r="U274" s="56"/>
      <c r="V274" s="56"/>
    </row>
    <row r="275" ht="15.75" customHeight="1">
      <c r="A275" s="34">
        <v>70603.0</v>
      </c>
      <c r="B275" s="35" t="s">
        <v>289</v>
      </c>
      <c r="C275" s="28">
        <v>1354.0</v>
      </c>
      <c r="D275" s="28">
        <v>1204.0</v>
      </c>
      <c r="E275" s="28">
        <v>27.0</v>
      </c>
      <c r="F275" s="28">
        <v>16.0</v>
      </c>
      <c r="G275" s="28">
        <v>13.0</v>
      </c>
      <c r="H275" s="28">
        <v>94.0</v>
      </c>
      <c r="I275" s="28">
        <v>1533.0</v>
      </c>
      <c r="J275" s="28">
        <v>1433.0</v>
      </c>
      <c r="K275" s="28">
        <v>13.0</v>
      </c>
      <c r="L275" s="28">
        <v>29.0</v>
      </c>
      <c r="M275" s="28">
        <v>12.0</v>
      </c>
      <c r="N275" s="28">
        <v>46.0</v>
      </c>
      <c r="O275" s="55">
        <v>1217.0</v>
      </c>
      <c r="P275" s="31">
        <f t="shared" si="1"/>
        <v>216</v>
      </c>
      <c r="Q275" s="31">
        <f t="shared" si="2"/>
        <v>216</v>
      </c>
      <c r="R275" s="31">
        <f t="shared" si="3"/>
        <v>1533</v>
      </c>
      <c r="S275" s="9">
        <v>1275.0</v>
      </c>
      <c r="U275" s="56"/>
      <c r="V275" s="56"/>
    </row>
    <row r="276" ht="15.75" customHeight="1">
      <c r="A276" s="26">
        <v>70701.0</v>
      </c>
      <c r="B276" s="27" t="s">
        <v>290</v>
      </c>
      <c r="C276" s="28">
        <v>1071.0</v>
      </c>
      <c r="D276" s="28">
        <v>579.0</v>
      </c>
      <c r="E276" s="28">
        <v>16.0</v>
      </c>
      <c r="F276" s="28">
        <v>27.0</v>
      </c>
      <c r="G276" s="28">
        <v>20.0</v>
      </c>
      <c r="H276" s="28">
        <v>429.0</v>
      </c>
      <c r="I276" s="28">
        <v>1569.0</v>
      </c>
      <c r="J276" s="28">
        <v>1453.0</v>
      </c>
      <c r="K276" s="28">
        <v>2.0</v>
      </c>
      <c r="L276" s="28">
        <v>31.0</v>
      </c>
      <c r="M276" s="28">
        <v>3.0</v>
      </c>
      <c r="N276" s="28">
        <v>80.0</v>
      </c>
      <c r="O276" s="55">
        <v>174.0</v>
      </c>
      <c r="P276" s="31">
        <f t="shared" si="1"/>
        <v>1279</v>
      </c>
      <c r="Q276" s="31">
        <f t="shared" si="2"/>
        <v>1279</v>
      </c>
      <c r="R276" s="31">
        <f t="shared" si="3"/>
        <v>1569</v>
      </c>
      <c r="S276" s="9">
        <v>356.0</v>
      </c>
      <c r="U276" s="56"/>
      <c r="V276" s="56"/>
    </row>
    <row r="277" ht="15.75" customHeight="1">
      <c r="A277" s="34">
        <v>70702.0</v>
      </c>
      <c r="B277" s="35" t="s">
        <v>291</v>
      </c>
      <c r="C277" s="28">
        <v>6289.0</v>
      </c>
      <c r="D277" s="28">
        <v>1876.0</v>
      </c>
      <c r="E277" s="28">
        <v>853.0</v>
      </c>
      <c r="F277" s="28">
        <v>299.0</v>
      </c>
      <c r="G277" s="28">
        <v>349.0</v>
      </c>
      <c r="H277" s="28">
        <v>2912.0</v>
      </c>
      <c r="I277" s="28">
        <v>9548.0</v>
      </c>
      <c r="J277" s="28">
        <v>5639.0</v>
      </c>
      <c r="K277" s="28">
        <v>1145.0</v>
      </c>
      <c r="L277" s="28">
        <v>1142.0</v>
      </c>
      <c r="M277" s="28">
        <v>196.0</v>
      </c>
      <c r="N277" s="28">
        <v>1426.0</v>
      </c>
      <c r="O277" s="55">
        <v>1038.0</v>
      </c>
      <c r="P277" s="31">
        <f t="shared" si="1"/>
        <v>4601</v>
      </c>
      <c r="Q277" s="31">
        <f t="shared" si="2"/>
        <v>4601</v>
      </c>
      <c r="R277" s="31">
        <f t="shared" si="3"/>
        <v>9548</v>
      </c>
      <c r="S277" s="9">
        <v>592.0</v>
      </c>
      <c r="U277" s="56"/>
      <c r="V277" s="56"/>
    </row>
    <row r="278" ht="15.75" customHeight="1">
      <c r="A278" s="26">
        <v>70703.0</v>
      </c>
      <c r="B278" s="27" t="s">
        <v>292</v>
      </c>
      <c r="C278" s="28">
        <v>5628.0</v>
      </c>
      <c r="D278" s="28">
        <v>2718.0</v>
      </c>
      <c r="E278" s="28">
        <v>1142.0</v>
      </c>
      <c r="F278" s="28">
        <v>281.0</v>
      </c>
      <c r="G278" s="28">
        <v>255.0</v>
      </c>
      <c r="H278" s="28">
        <v>1232.0</v>
      </c>
      <c r="I278" s="28">
        <v>8291.0</v>
      </c>
      <c r="J278" s="28">
        <v>5024.0</v>
      </c>
      <c r="K278" s="28">
        <v>1253.0</v>
      </c>
      <c r="L278" s="28">
        <v>578.0</v>
      </c>
      <c r="M278" s="28">
        <v>379.0</v>
      </c>
      <c r="N278" s="28">
        <v>1057.0</v>
      </c>
      <c r="O278" s="55">
        <v>4703.0</v>
      </c>
      <c r="P278" s="31">
        <f t="shared" si="1"/>
        <v>321</v>
      </c>
      <c r="Q278" s="31">
        <f t="shared" si="2"/>
        <v>321</v>
      </c>
      <c r="R278" s="31">
        <f t="shared" si="3"/>
        <v>8291</v>
      </c>
      <c r="S278" s="9">
        <v>823.0</v>
      </c>
      <c r="U278" s="56"/>
      <c r="V278" s="56"/>
    </row>
    <row r="279" ht="15.75" customHeight="1">
      <c r="A279" s="34">
        <v>70704.0</v>
      </c>
      <c r="B279" s="35" t="s">
        <v>293</v>
      </c>
      <c r="C279" s="28">
        <v>1117.0</v>
      </c>
      <c r="D279" s="28">
        <v>692.0</v>
      </c>
      <c r="E279" s="28">
        <v>11.0</v>
      </c>
      <c r="F279" s="28">
        <v>24.0</v>
      </c>
      <c r="G279" s="28">
        <v>3.0</v>
      </c>
      <c r="H279" s="28">
        <v>387.0</v>
      </c>
      <c r="I279" s="28">
        <v>1261.0</v>
      </c>
      <c r="J279" s="28">
        <v>1124.0</v>
      </c>
      <c r="K279" s="28">
        <v>2.0</v>
      </c>
      <c r="L279" s="28">
        <v>29.0</v>
      </c>
      <c r="M279" s="28">
        <v>22.0</v>
      </c>
      <c r="N279" s="28">
        <v>84.0</v>
      </c>
      <c r="O279" s="55">
        <v>165.0</v>
      </c>
      <c r="P279" s="31">
        <f t="shared" si="1"/>
        <v>959</v>
      </c>
      <c r="Q279" s="31">
        <f t="shared" si="2"/>
        <v>959</v>
      </c>
      <c r="R279" s="31">
        <f t="shared" si="3"/>
        <v>1261</v>
      </c>
      <c r="S279" s="9">
        <v>320.0</v>
      </c>
      <c r="U279" s="56"/>
      <c r="V279" s="56"/>
    </row>
    <row r="280" ht="15.75" customHeight="1">
      <c r="A280" s="26">
        <v>70705.0</v>
      </c>
      <c r="B280" s="27" t="s">
        <v>294</v>
      </c>
      <c r="C280" s="28">
        <v>2390.0</v>
      </c>
      <c r="D280" s="28">
        <v>507.0</v>
      </c>
      <c r="E280" s="28">
        <v>101.0</v>
      </c>
      <c r="F280" s="28">
        <v>155.0</v>
      </c>
      <c r="G280" s="28">
        <v>157.0</v>
      </c>
      <c r="H280" s="28">
        <v>1470.0</v>
      </c>
      <c r="I280" s="28">
        <v>3626.0</v>
      </c>
      <c r="J280" s="28">
        <v>3123.0</v>
      </c>
      <c r="K280" s="28">
        <v>11.0</v>
      </c>
      <c r="L280" s="28">
        <v>100.0</v>
      </c>
      <c r="M280" s="28">
        <v>17.0</v>
      </c>
      <c r="N280" s="28">
        <v>375.0</v>
      </c>
      <c r="O280" s="55">
        <v>260.0</v>
      </c>
      <c r="P280" s="31">
        <f t="shared" si="1"/>
        <v>2863</v>
      </c>
      <c r="Q280" s="31">
        <f t="shared" si="2"/>
        <v>2863</v>
      </c>
      <c r="R280" s="31">
        <f t="shared" si="3"/>
        <v>3626</v>
      </c>
      <c r="S280" s="9">
        <v>350.0</v>
      </c>
      <c r="U280" s="56"/>
      <c r="V280" s="56"/>
    </row>
    <row r="281" ht="15.75" customHeight="1">
      <c r="A281" s="34">
        <v>70706.0</v>
      </c>
      <c r="B281" s="35" t="s">
        <v>295</v>
      </c>
      <c r="C281" s="28">
        <v>8374.0</v>
      </c>
      <c r="D281" s="28">
        <v>7774.0</v>
      </c>
      <c r="E281" s="28">
        <v>16.0</v>
      </c>
      <c r="F281" s="28">
        <v>4.0</v>
      </c>
      <c r="G281" s="28">
        <v>40.0</v>
      </c>
      <c r="H281" s="28">
        <v>540.0</v>
      </c>
      <c r="I281" s="28">
        <v>9305.0</v>
      </c>
      <c r="J281" s="28">
        <v>8985.0</v>
      </c>
      <c r="K281" s="28">
        <v>32.0</v>
      </c>
      <c r="L281" s="28">
        <v>15.0</v>
      </c>
      <c r="M281" s="28">
        <v>53.0</v>
      </c>
      <c r="N281" s="28">
        <v>220.0</v>
      </c>
      <c r="O281" s="55">
        <v>2030.0</v>
      </c>
      <c r="P281" s="31">
        <f t="shared" si="1"/>
        <v>6955</v>
      </c>
      <c r="Q281" s="31">
        <f t="shared" si="2"/>
        <v>6955</v>
      </c>
      <c r="R281" s="31">
        <f t="shared" si="3"/>
        <v>9305</v>
      </c>
      <c r="S281" s="9">
        <v>767.0</v>
      </c>
      <c r="U281" s="56"/>
      <c r="V281" s="56"/>
    </row>
    <row r="282" ht="15.75" customHeight="1">
      <c r="A282" s="26">
        <v>70707.0</v>
      </c>
      <c r="B282" s="27" t="s">
        <v>296</v>
      </c>
      <c r="C282" s="28">
        <v>1013.0</v>
      </c>
      <c r="D282" s="28">
        <v>598.0</v>
      </c>
      <c r="E282" s="28">
        <v>6.0</v>
      </c>
      <c r="F282" s="28">
        <v>32.0</v>
      </c>
      <c r="G282" s="28">
        <v>22.0</v>
      </c>
      <c r="H282" s="28">
        <v>355.0</v>
      </c>
      <c r="I282" s="28">
        <v>1385.0</v>
      </c>
      <c r="J282" s="28">
        <v>1109.0</v>
      </c>
      <c r="K282" s="28">
        <v>60.0</v>
      </c>
      <c r="L282" s="28">
        <v>37.0</v>
      </c>
      <c r="M282" s="28">
        <v>26.0</v>
      </c>
      <c r="N282" s="28">
        <v>153.0</v>
      </c>
      <c r="O282" s="55">
        <v>224.0</v>
      </c>
      <c r="P282" s="31">
        <f t="shared" si="1"/>
        <v>885</v>
      </c>
      <c r="Q282" s="31">
        <f t="shared" si="2"/>
        <v>885</v>
      </c>
      <c r="R282" s="31">
        <f t="shared" si="3"/>
        <v>1385</v>
      </c>
      <c r="S282" s="9">
        <v>464.0</v>
      </c>
      <c r="U282" s="56"/>
      <c r="V282" s="56"/>
    </row>
    <row r="283" ht="15.75" customHeight="1">
      <c r="A283" s="34">
        <v>70801.0</v>
      </c>
      <c r="B283" s="35" t="s">
        <v>297</v>
      </c>
      <c r="C283" s="28">
        <v>5275.0</v>
      </c>
      <c r="D283" s="28">
        <v>3545.0</v>
      </c>
      <c r="E283" s="28">
        <v>31.0</v>
      </c>
      <c r="F283" s="28">
        <v>336.0</v>
      </c>
      <c r="G283" s="28">
        <v>43.0</v>
      </c>
      <c r="H283" s="28">
        <v>1320.0</v>
      </c>
      <c r="I283" s="28">
        <v>6197.0</v>
      </c>
      <c r="J283" s="28">
        <v>5219.0</v>
      </c>
      <c r="K283" s="28">
        <v>9.0</v>
      </c>
      <c r="L283" s="28">
        <v>640.0</v>
      </c>
      <c r="M283" s="28">
        <v>8.0</v>
      </c>
      <c r="N283" s="28">
        <v>321.0</v>
      </c>
      <c r="O283" s="55">
        <v>442.0</v>
      </c>
      <c r="P283" s="31">
        <f t="shared" si="1"/>
        <v>4777</v>
      </c>
      <c r="Q283" s="31">
        <f t="shared" si="2"/>
        <v>4777</v>
      </c>
      <c r="R283" s="31">
        <f t="shared" si="3"/>
        <v>6197</v>
      </c>
      <c r="S283" s="9">
        <v>554.0</v>
      </c>
      <c r="U283" s="56"/>
      <c r="V283" s="56"/>
    </row>
    <row r="284" ht="15.75" customHeight="1">
      <c r="A284" s="26">
        <v>70802.0</v>
      </c>
      <c r="B284" s="27" t="s">
        <v>298</v>
      </c>
      <c r="C284" s="28">
        <v>576.0</v>
      </c>
      <c r="D284" s="28">
        <v>428.0</v>
      </c>
      <c r="E284" s="28">
        <v>1.0</v>
      </c>
      <c r="F284" s="28">
        <v>55.0</v>
      </c>
      <c r="G284" s="28">
        <v>7.0</v>
      </c>
      <c r="H284" s="28">
        <v>85.0</v>
      </c>
      <c r="I284" s="28">
        <v>795.0</v>
      </c>
      <c r="J284" s="28">
        <v>721.0</v>
      </c>
      <c r="K284" s="28">
        <v>2.0</v>
      </c>
      <c r="L284" s="28">
        <v>44.0</v>
      </c>
      <c r="M284" s="28">
        <v>1.0</v>
      </c>
      <c r="N284" s="28">
        <v>27.0</v>
      </c>
      <c r="O284" s="55">
        <v>48.0</v>
      </c>
      <c r="P284" s="31">
        <f t="shared" si="1"/>
        <v>673</v>
      </c>
      <c r="Q284" s="31">
        <f t="shared" si="2"/>
        <v>673</v>
      </c>
      <c r="R284" s="31">
        <f t="shared" si="3"/>
        <v>795</v>
      </c>
      <c r="S284" s="9">
        <v>239.0</v>
      </c>
      <c r="U284" s="56"/>
      <c r="V284" s="56"/>
    </row>
    <row r="285" ht="15.75" customHeight="1">
      <c r="A285" s="34">
        <v>70803.0</v>
      </c>
      <c r="B285" s="35" t="s">
        <v>299</v>
      </c>
      <c r="C285" s="28">
        <v>870.0</v>
      </c>
      <c r="D285" s="28">
        <v>394.0</v>
      </c>
      <c r="E285" s="28">
        <v>2.0</v>
      </c>
      <c r="F285" s="28">
        <v>154.0</v>
      </c>
      <c r="G285" s="28">
        <v>11.0</v>
      </c>
      <c r="H285" s="28">
        <v>309.0</v>
      </c>
      <c r="I285" s="28">
        <v>991.0</v>
      </c>
      <c r="J285" s="28">
        <v>753.0</v>
      </c>
      <c r="K285" s="28">
        <v>1.0</v>
      </c>
      <c r="L285" s="28">
        <v>145.0</v>
      </c>
      <c r="M285" s="28">
        <v>4.0</v>
      </c>
      <c r="N285" s="28">
        <v>88.0</v>
      </c>
      <c r="O285" s="55">
        <v>33.0</v>
      </c>
      <c r="P285" s="31">
        <f t="shared" si="1"/>
        <v>720</v>
      </c>
      <c r="Q285" s="31">
        <f t="shared" si="2"/>
        <v>720</v>
      </c>
      <c r="R285" s="31">
        <f t="shared" si="3"/>
        <v>991</v>
      </c>
      <c r="S285" s="9">
        <v>347.0</v>
      </c>
      <c r="U285" s="56"/>
      <c r="V285" s="56"/>
    </row>
    <row r="286" ht="15.75" customHeight="1">
      <c r="A286" s="26">
        <v>70804.0</v>
      </c>
      <c r="B286" s="27" t="s">
        <v>300</v>
      </c>
      <c r="C286" s="28">
        <v>600.0</v>
      </c>
      <c r="D286" s="28">
        <v>306.0</v>
      </c>
      <c r="E286" s="28">
        <v>1.0</v>
      </c>
      <c r="F286" s="28">
        <v>70.0</v>
      </c>
      <c r="G286" s="28">
        <v>1.0</v>
      </c>
      <c r="H286" s="28">
        <v>222.0</v>
      </c>
      <c r="I286" s="28">
        <v>606.0</v>
      </c>
      <c r="J286" s="28">
        <v>365.0</v>
      </c>
      <c r="K286" s="28">
        <v>5.0</v>
      </c>
      <c r="L286" s="28">
        <v>166.0</v>
      </c>
      <c r="M286" s="28">
        <v>2.0</v>
      </c>
      <c r="N286" s="28">
        <v>68.0</v>
      </c>
      <c r="O286" s="55">
        <v>16.0</v>
      </c>
      <c r="P286" s="31">
        <f t="shared" si="1"/>
        <v>349</v>
      </c>
      <c r="Q286" s="31">
        <f t="shared" si="2"/>
        <v>349</v>
      </c>
      <c r="R286" s="31">
        <f t="shared" si="3"/>
        <v>606</v>
      </c>
      <c r="S286" s="9">
        <v>49.5</v>
      </c>
      <c r="U286" s="56"/>
      <c r="V286" s="56"/>
    </row>
    <row r="287" ht="15.75" customHeight="1">
      <c r="A287" s="34">
        <v>70805.0</v>
      </c>
      <c r="B287" s="35" t="s">
        <v>301</v>
      </c>
      <c r="C287" s="28">
        <v>635.0</v>
      </c>
      <c r="D287" s="28">
        <v>283.0</v>
      </c>
      <c r="E287" s="28">
        <v>4.0</v>
      </c>
      <c r="F287" s="28">
        <v>63.0</v>
      </c>
      <c r="G287" s="28">
        <v>5.0</v>
      </c>
      <c r="H287" s="28">
        <v>280.0</v>
      </c>
      <c r="I287" s="28">
        <v>749.0</v>
      </c>
      <c r="J287" s="28">
        <v>490.0</v>
      </c>
      <c r="K287" s="28">
        <v>2.0</v>
      </c>
      <c r="L287" s="28">
        <v>172.0</v>
      </c>
      <c r="M287" s="28">
        <v>0.0</v>
      </c>
      <c r="N287" s="28">
        <v>85.0</v>
      </c>
      <c r="O287" s="55">
        <v>0.0</v>
      </c>
      <c r="P287" s="31">
        <f t="shared" si="1"/>
        <v>490</v>
      </c>
      <c r="Q287" s="31">
        <f t="shared" si="2"/>
        <v>490</v>
      </c>
      <c r="R287" s="31">
        <f t="shared" si="3"/>
        <v>749</v>
      </c>
      <c r="S287" s="9">
        <v>0.0</v>
      </c>
      <c r="U287" s="56"/>
      <c r="V287" s="56"/>
    </row>
    <row r="288" ht="15.75" customHeight="1">
      <c r="A288" s="26">
        <v>70901.0</v>
      </c>
      <c r="B288" s="27" t="s">
        <v>302</v>
      </c>
      <c r="C288" s="28">
        <v>3099.0</v>
      </c>
      <c r="D288" s="28">
        <v>2317.0</v>
      </c>
      <c r="E288" s="28">
        <v>30.0</v>
      </c>
      <c r="F288" s="28">
        <v>61.0</v>
      </c>
      <c r="G288" s="28">
        <v>20.0</v>
      </c>
      <c r="H288" s="28">
        <v>671.0</v>
      </c>
      <c r="I288" s="28">
        <v>4052.0</v>
      </c>
      <c r="J288" s="28">
        <v>3456.0</v>
      </c>
      <c r="K288" s="28">
        <v>19.0</v>
      </c>
      <c r="L288" s="28">
        <v>311.0</v>
      </c>
      <c r="M288" s="28">
        <v>10.0</v>
      </c>
      <c r="N288" s="28">
        <v>256.0</v>
      </c>
      <c r="O288" s="55">
        <v>493.0</v>
      </c>
      <c r="P288" s="31">
        <f t="shared" si="1"/>
        <v>2963</v>
      </c>
      <c r="Q288" s="31">
        <f t="shared" si="2"/>
        <v>2963</v>
      </c>
      <c r="R288" s="31">
        <f t="shared" si="3"/>
        <v>4052</v>
      </c>
      <c r="S288" s="9">
        <v>621.0</v>
      </c>
      <c r="U288" s="56"/>
      <c r="V288" s="56"/>
    </row>
    <row r="289" ht="15.75" customHeight="1">
      <c r="A289" s="34">
        <v>70902.0</v>
      </c>
      <c r="B289" s="35" t="s">
        <v>303</v>
      </c>
      <c r="C289" s="28">
        <v>2714.0</v>
      </c>
      <c r="D289" s="28">
        <v>2123.0</v>
      </c>
      <c r="E289" s="28">
        <v>22.0</v>
      </c>
      <c r="F289" s="28">
        <v>68.0</v>
      </c>
      <c r="G289" s="28">
        <v>4.0</v>
      </c>
      <c r="H289" s="28">
        <v>497.0</v>
      </c>
      <c r="I289" s="28">
        <v>3050.0</v>
      </c>
      <c r="J289" s="28">
        <v>2689.0</v>
      </c>
      <c r="K289" s="28">
        <v>2.0</v>
      </c>
      <c r="L289" s="28">
        <v>38.0</v>
      </c>
      <c r="M289" s="28">
        <v>25.0</v>
      </c>
      <c r="N289" s="28">
        <v>296.0</v>
      </c>
      <c r="O289" s="55">
        <v>220.0</v>
      </c>
      <c r="P289" s="31">
        <f t="shared" si="1"/>
        <v>2469</v>
      </c>
      <c r="Q289" s="31">
        <f t="shared" si="2"/>
        <v>2469</v>
      </c>
      <c r="R289" s="31">
        <f t="shared" si="3"/>
        <v>3050</v>
      </c>
      <c r="S289" s="9">
        <v>537.0</v>
      </c>
      <c r="U289" s="56"/>
      <c r="V289" s="56"/>
    </row>
    <row r="290" ht="15.75" customHeight="1">
      <c r="A290" s="26">
        <v>70903.0</v>
      </c>
      <c r="B290" s="27" t="s">
        <v>304</v>
      </c>
      <c r="C290" s="28">
        <v>2964.0</v>
      </c>
      <c r="D290" s="28">
        <v>2541.0</v>
      </c>
      <c r="E290" s="28">
        <v>11.0</v>
      </c>
      <c r="F290" s="28">
        <v>9.0</v>
      </c>
      <c r="G290" s="28">
        <v>8.0</v>
      </c>
      <c r="H290" s="28">
        <v>395.0</v>
      </c>
      <c r="I290" s="28">
        <v>4310.0</v>
      </c>
      <c r="J290" s="28">
        <v>3646.0</v>
      </c>
      <c r="K290" s="28">
        <v>13.0</v>
      </c>
      <c r="L290" s="28">
        <v>40.0</v>
      </c>
      <c r="M290" s="28">
        <v>25.0</v>
      </c>
      <c r="N290" s="28">
        <v>586.0</v>
      </c>
      <c r="O290" s="55">
        <v>260.0</v>
      </c>
      <c r="P290" s="31">
        <f t="shared" si="1"/>
        <v>3386</v>
      </c>
      <c r="Q290" s="31">
        <f t="shared" si="2"/>
        <v>3386</v>
      </c>
      <c r="R290" s="31">
        <f t="shared" si="3"/>
        <v>4310</v>
      </c>
      <c r="S290" s="9">
        <v>559.0</v>
      </c>
      <c r="U290" s="56"/>
      <c r="V290" s="56"/>
    </row>
    <row r="291" ht="15.75" customHeight="1">
      <c r="A291" s="34">
        <v>70904.0</v>
      </c>
      <c r="B291" s="35" t="s">
        <v>305</v>
      </c>
      <c r="C291" s="28">
        <v>730.0</v>
      </c>
      <c r="D291" s="28">
        <v>517.0</v>
      </c>
      <c r="E291" s="28">
        <v>5.0</v>
      </c>
      <c r="F291" s="28">
        <v>35.0</v>
      </c>
      <c r="G291" s="28">
        <v>12.0</v>
      </c>
      <c r="H291" s="28">
        <v>161.0</v>
      </c>
      <c r="I291" s="28">
        <v>787.0</v>
      </c>
      <c r="J291" s="28">
        <v>647.0</v>
      </c>
      <c r="K291" s="28">
        <v>1.0</v>
      </c>
      <c r="L291" s="28">
        <v>55.0</v>
      </c>
      <c r="M291" s="28">
        <v>1.0</v>
      </c>
      <c r="N291" s="28">
        <v>83.0</v>
      </c>
      <c r="O291" s="55">
        <v>41.0</v>
      </c>
      <c r="P291" s="31">
        <f t="shared" si="1"/>
        <v>606</v>
      </c>
      <c r="Q291" s="31">
        <f t="shared" si="2"/>
        <v>606</v>
      </c>
      <c r="R291" s="31">
        <f t="shared" si="3"/>
        <v>787</v>
      </c>
      <c r="S291" s="9">
        <v>385.0</v>
      </c>
      <c r="U291" s="56"/>
      <c r="V291" s="56"/>
    </row>
    <row r="292" ht="15.75" customHeight="1">
      <c r="A292" s="26">
        <v>71001.0</v>
      </c>
      <c r="B292" s="27" t="s">
        <v>306</v>
      </c>
      <c r="C292" s="28">
        <v>26343.0</v>
      </c>
      <c r="D292" s="28">
        <v>24524.0</v>
      </c>
      <c r="E292" s="28">
        <v>72.0</v>
      </c>
      <c r="F292" s="28">
        <v>10.0</v>
      </c>
      <c r="G292" s="28">
        <v>191.0</v>
      </c>
      <c r="H292" s="28">
        <v>1546.0</v>
      </c>
      <c r="I292" s="28">
        <v>33384.0</v>
      </c>
      <c r="J292" s="28">
        <v>32778.0</v>
      </c>
      <c r="K292" s="28">
        <v>90.0</v>
      </c>
      <c r="L292" s="28">
        <v>177.0</v>
      </c>
      <c r="M292" s="28">
        <v>76.0</v>
      </c>
      <c r="N292" s="28">
        <v>263.0</v>
      </c>
      <c r="O292" s="55">
        <v>32005.0</v>
      </c>
      <c r="P292" s="31">
        <f t="shared" si="1"/>
        <v>773</v>
      </c>
      <c r="Q292" s="31">
        <f t="shared" si="2"/>
        <v>773</v>
      </c>
      <c r="R292" s="31">
        <f t="shared" si="3"/>
        <v>33384</v>
      </c>
      <c r="S292" s="9">
        <v>1365.0</v>
      </c>
      <c r="U292" s="56"/>
      <c r="V292" s="56"/>
    </row>
    <row r="293" ht="15.75" customHeight="1">
      <c r="A293" s="34">
        <v>71002.0</v>
      </c>
      <c r="B293" s="35" t="s">
        <v>307</v>
      </c>
      <c r="C293" s="28">
        <v>3236.0</v>
      </c>
      <c r="D293" s="28">
        <v>2651.0</v>
      </c>
      <c r="E293" s="28">
        <v>32.0</v>
      </c>
      <c r="F293" s="28">
        <v>4.0</v>
      </c>
      <c r="G293" s="28">
        <v>33.0</v>
      </c>
      <c r="H293" s="28">
        <v>516.0</v>
      </c>
      <c r="I293" s="28">
        <v>4358.0</v>
      </c>
      <c r="J293" s="28">
        <v>4041.0</v>
      </c>
      <c r="K293" s="28">
        <v>29.0</v>
      </c>
      <c r="L293" s="28">
        <v>41.0</v>
      </c>
      <c r="M293" s="28">
        <v>21.0</v>
      </c>
      <c r="N293" s="28">
        <v>226.0</v>
      </c>
      <c r="O293" s="55">
        <v>3257.0</v>
      </c>
      <c r="P293" s="31">
        <f t="shared" si="1"/>
        <v>784</v>
      </c>
      <c r="Q293" s="31">
        <f t="shared" si="2"/>
        <v>784</v>
      </c>
      <c r="R293" s="31">
        <f t="shared" si="3"/>
        <v>4358</v>
      </c>
      <c r="S293" s="9">
        <v>943.0</v>
      </c>
      <c r="U293" s="56"/>
      <c r="V293" s="56"/>
    </row>
    <row r="294" ht="15.75" customHeight="1">
      <c r="A294" s="26">
        <v>71003.0</v>
      </c>
      <c r="B294" s="27" t="s">
        <v>308</v>
      </c>
      <c r="C294" s="28">
        <v>5327.0</v>
      </c>
      <c r="D294" s="28">
        <v>4651.0</v>
      </c>
      <c r="E294" s="28">
        <v>25.0</v>
      </c>
      <c r="F294" s="28">
        <v>10.0</v>
      </c>
      <c r="G294" s="28">
        <v>51.0</v>
      </c>
      <c r="H294" s="28">
        <v>590.0</v>
      </c>
      <c r="I294" s="28">
        <v>6194.0</v>
      </c>
      <c r="J294" s="28">
        <v>5859.0</v>
      </c>
      <c r="K294" s="28">
        <v>30.0</v>
      </c>
      <c r="L294" s="28">
        <v>56.0</v>
      </c>
      <c r="M294" s="28">
        <v>48.0</v>
      </c>
      <c r="N294" s="28">
        <v>201.0</v>
      </c>
      <c r="O294" s="55">
        <v>5322.0</v>
      </c>
      <c r="P294" s="31">
        <f t="shared" si="1"/>
        <v>537</v>
      </c>
      <c r="Q294" s="31">
        <f t="shared" si="2"/>
        <v>537</v>
      </c>
      <c r="R294" s="31">
        <f t="shared" si="3"/>
        <v>6194</v>
      </c>
      <c r="S294" s="9">
        <v>1118.0</v>
      </c>
      <c r="U294" s="56"/>
      <c r="V294" s="56"/>
    </row>
    <row r="295" ht="15.75" customHeight="1">
      <c r="A295" s="34">
        <v>71004.0</v>
      </c>
      <c r="B295" s="35" t="s">
        <v>309</v>
      </c>
      <c r="C295" s="28">
        <v>3163.0</v>
      </c>
      <c r="D295" s="28">
        <v>2525.0</v>
      </c>
      <c r="E295" s="28">
        <v>122.0</v>
      </c>
      <c r="F295" s="28">
        <v>66.0</v>
      </c>
      <c r="G295" s="28">
        <v>48.0</v>
      </c>
      <c r="H295" s="28">
        <v>402.0</v>
      </c>
      <c r="I295" s="28">
        <v>3438.0</v>
      </c>
      <c r="J295" s="28">
        <v>3100.0</v>
      </c>
      <c r="K295" s="28">
        <v>42.0</v>
      </c>
      <c r="L295" s="28">
        <v>54.0</v>
      </c>
      <c r="M295" s="28">
        <v>32.0</v>
      </c>
      <c r="N295" s="28">
        <v>210.0</v>
      </c>
      <c r="O295" s="55">
        <v>3045.0</v>
      </c>
      <c r="P295" s="31">
        <f t="shared" si="1"/>
        <v>55</v>
      </c>
      <c r="Q295" s="31">
        <f t="shared" si="2"/>
        <v>55</v>
      </c>
      <c r="R295" s="31">
        <f t="shared" si="3"/>
        <v>3438</v>
      </c>
      <c r="S295" s="9">
        <v>910.0</v>
      </c>
      <c r="U295" s="56"/>
      <c r="V295" s="56"/>
    </row>
    <row r="296" ht="15.75" customHeight="1">
      <c r="A296" s="26">
        <v>71005.0</v>
      </c>
      <c r="B296" s="27" t="s">
        <v>310</v>
      </c>
      <c r="C296" s="28">
        <v>3477.0</v>
      </c>
      <c r="D296" s="28">
        <v>3010.0</v>
      </c>
      <c r="E296" s="28">
        <v>44.0</v>
      </c>
      <c r="F296" s="28">
        <v>6.0</v>
      </c>
      <c r="G296" s="28">
        <v>28.0</v>
      </c>
      <c r="H296" s="28">
        <v>389.0</v>
      </c>
      <c r="I296" s="28">
        <v>3775.0</v>
      </c>
      <c r="J296" s="28">
        <v>3324.0</v>
      </c>
      <c r="K296" s="28">
        <v>26.0</v>
      </c>
      <c r="L296" s="28">
        <v>90.0</v>
      </c>
      <c r="M296" s="28">
        <v>26.0</v>
      </c>
      <c r="N296" s="28">
        <v>309.0</v>
      </c>
      <c r="O296" s="55">
        <v>3413.0</v>
      </c>
      <c r="P296" s="31">
        <f t="shared" si="1"/>
        <v>-89</v>
      </c>
      <c r="Q296" s="55" t="str">
        <f t="shared" si="2"/>
        <v/>
      </c>
      <c r="R296" s="31">
        <f t="shared" si="3"/>
        <v>3864</v>
      </c>
      <c r="S296" s="9">
        <v>971.0</v>
      </c>
      <c r="U296" s="56"/>
      <c r="V296" s="56"/>
    </row>
    <row r="297" ht="15.75" customHeight="1">
      <c r="A297" s="34">
        <v>71101.0</v>
      </c>
      <c r="B297" s="35" t="s">
        <v>311</v>
      </c>
      <c r="C297" s="28">
        <v>4261.0</v>
      </c>
      <c r="D297" s="28">
        <v>2107.0</v>
      </c>
      <c r="E297" s="28">
        <v>256.0</v>
      </c>
      <c r="F297" s="28">
        <v>83.0</v>
      </c>
      <c r="G297" s="28">
        <v>186.0</v>
      </c>
      <c r="H297" s="28">
        <v>1629.0</v>
      </c>
      <c r="I297" s="28">
        <v>9407.0</v>
      </c>
      <c r="J297" s="28">
        <v>5727.0</v>
      </c>
      <c r="K297" s="28">
        <v>164.0</v>
      </c>
      <c r="L297" s="28">
        <v>869.0</v>
      </c>
      <c r="M297" s="28">
        <v>246.0</v>
      </c>
      <c r="N297" s="28">
        <v>2401.0</v>
      </c>
      <c r="O297" s="55">
        <v>599.0</v>
      </c>
      <c r="P297" s="31">
        <f t="shared" si="1"/>
        <v>5128</v>
      </c>
      <c r="Q297" s="31">
        <f t="shared" si="2"/>
        <v>5128</v>
      </c>
      <c r="R297" s="31">
        <f t="shared" si="3"/>
        <v>9407</v>
      </c>
      <c r="S297" s="9">
        <v>697.0</v>
      </c>
      <c r="U297" s="56"/>
      <c r="V297" s="56"/>
    </row>
    <row r="298" ht="15.75" customHeight="1">
      <c r="A298" s="26">
        <v>71102.0</v>
      </c>
      <c r="B298" s="27" t="s">
        <v>312</v>
      </c>
      <c r="C298" s="28">
        <v>3185.0</v>
      </c>
      <c r="D298" s="28">
        <v>1905.0</v>
      </c>
      <c r="E298" s="28">
        <v>115.0</v>
      </c>
      <c r="F298" s="28">
        <v>168.0</v>
      </c>
      <c r="G298" s="28">
        <v>94.0</v>
      </c>
      <c r="H298" s="28">
        <v>903.0</v>
      </c>
      <c r="I298" s="28">
        <v>3941.0</v>
      </c>
      <c r="J298" s="28">
        <v>3297.0</v>
      </c>
      <c r="K298" s="28">
        <v>47.0</v>
      </c>
      <c r="L298" s="28">
        <v>290.0</v>
      </c>
      <c r="M298" s="28">
        <v>39.0</v>
      </c>
      <c r="N298" s="28">
        <v>268.0</v>
      </c>
      <c r="O298" s="55">
        <v>161.0</v>
      </c>
      <c r="P298" s="31">
        <f t="shared" si="1"/>
        <v>3136</v>
      </c>
      <c r="Q298" s="31">
        <f t="shared" si="2"/>
        <v>3136</v>
      </c>
      <c r="R298" s="31">
        <f t="shared" si="3"/>
        <v>3941</v>
      </c>
      <c r="S298" s="9">
        <v>777.0</v>
      </c>
      <c r="U298" s="56"/>
      <c r="V298" s="56"/>
    </row>
    <row r="299" ht="15.75" customHeight="1">
      <c r="A299" s="34">
        <v>71103.0</v>
      </c>
      <c r="B299" s="35" t="s">
        <v>313</v>
      </c>
      <c r="C299" s="28">
        <v>1685.0</v>
      </c>
      <c r="D299" s="28">
        <v>1253.0</v>
      </c>
      <c r="E299" s="28">
        <v>19.0</v>
      </c>
      <c r="F299" s="28">
        <v>16.0</v>
      </c>
      <c r="G299" s="28">
        <v>49.0</v>
      </c>
      <c r="H299" s="28">
        <v>348.0</v>
      </c>
      <c r="I299" s="28">
        <v>2433.0</v>
      </c>
      <c r="J299" s="28">
        <v>1968.0</v>
      </c>
      <c r="K299" s="28">
        <v>16.0</v>
      </c>
      <c r="L299" s="28">
        <v>152.0</v>
      </c>
      <c r="M299" s="28">
        <v>47.0</v>
      </c>
      <c r="N299" s="28">
        <v>250.0</v>
      </c>
      <c r="O299" s="55">
        <v>162.0</v>
      </c>
      <c r="P299" s="31">
        <f t="shared" si="1"/>
        <v>1806</v>
      </c>
      <c r="Q299" s="31">
        <f t="shared" si="2"/>
        <v>1806</v>
      </c>
      <c r="R299" s="31">
        <f t="shared" si="3"/>
        <v>2433</v>
      </c>
      <c r="S299" s="9">
        <v>1059.5</v>
      </c>
      <c r="U299" s="56"/>
      <c r="V299" s="56"/>
    </row>
    <row r="300" ht="15.75" customHeight="1">
      <c r="A300" s="26">
        <v>71104.0</v>
      </c>
      <c r="B300" s="27" t="s">
        <v>314</v>
      </c>
      <c r="C300" s="28">
        <v>12767.0</v>
      </c>
      <c r="D300" s="28">
        <v>6183.0</v>
      </c>
      <c r="E300" s="28">
        <v>605.0</v>
      </c>
      <c r="F300" s="28">
        <v>1207.0</v>
      </c>
      <c r="G300" s="28">
        <v>475.0</v>
      </c>
      <c r="H300" s="28">
        <v>4297.0</v>
      </c>
      <c r="I300" s="28">
        <v>14448.0</v>
      </c>
      <c r="J300" s="28">
        <v>12116.0</v>
      </c>
      <c r="K300" s="28">
        <v>276.0</v>
      </c>
      <c r="L300" s="28">
        <v>524.0</v>
      </c>
      <c r="M300" s="28">
        <v>147.0</v>
      </c>
      <c r="N300" s="28">
        <v>1385.0</v>
      </c>
      <c r="O300" s="55">
        <v>1517.0</v>
      </c>
      <c r="P300" s="31">
        <f t="shared" si="1"/>
        <v>10599</v>
      </c>
      <c r="Q300" s="31">
        <f t="shared" si="2"/>
        <v>10599</v>
      </c>
      <c r="R300" s="31">
        <f t="shared" si="3"/>
        <v>14448</v>
      </c>
      <c r="S300" s="9">
        <v>750.0</v>
      </c>
      <c r="U300" s="56"/>
      <c r="V300" s="56"/>
    </row>
    <row r="301" ht="15.75" customHeight="1">
      <c r="A301" s="34">
        <v>71105.0</v>
      </c>
      <c r="B301" s="35" t="s">
        <v>315</v>
      </c>
      <c r="C301" s="28">
        <v>1146.0</v>
      </c>
      <c r="D301" s="28">
        <v>882.0</v>
      </c>
      <c r="E301" s="28">
        <v>22.0</v>
      </c>
      <c r="F301" s="28">
        <v>16.0</v>
      </c>
      <c r="G301" s="28">
        <v>4.0</v>
      </c>
      <c r="H301" s="28">
        <v>222.0</v>
      </c>
      <c r="I301" s="28">
        <v>1475.0</v>
      </c>
      <c r="J301" s="28">
        <v>1348.0</v>
      </c>
      <c r="K301" s="28">
        <v>5.0</v>
      </c>
      <c r="L301" s="28">
        <v>35.0</v>
      </c>
      <c r="M301" s="28">
        <v>1.0</v>
      </c>
      <c r="N301" s="28">
        <v>86.0</v>
      </c>
      <c r="O301" s="55">
        <v>146.0</v>
      </c>
      <c r="P301" s="31">
        <f t="shared" si="1"/>
        <v>1202</v>
      </c>
      <c r="Q301" s="31">
        <f t="shared" si="2"/>
        <v>1202</v>
      </c>
      <c r="R301" s="31">
        <f t="shared" si="3"/>
        <v>1475</v>
      </c>
      <c r="S301" s="9">
        <v>474.5</v>
      </c>
      <c r="U301" s="56"/>
      <c r="V301" s="56"/>
    </row>
    <row r="302" ht="15.75" customHeight="1">
      <c r="A302" s="26">
        <v>71106.0</v>
      </c>
      <c r="B302" s="27" t="s">
        <v>316</v>
      </c>
      <c r="C302" s="28">
        <v>5058.0</v>
      </c>
      <c r="D302" s="28">
        <v>3270.0</v>
      </c>
      <c r="E302" s="28">
        <v>734.0</v>
      </c>
      <c r="F302" s="28">
        <v>131.0</v>
      </c>
      <c r="G302" s="28">
        <v>133.0</v>
      </c>
      <c r="H302" s="28">
        <v>790.0</v>
      </c>
      <c r="I302" s="28">
        <v>6551.0</v>
      </c>
      <c r="J302" s="28">
        <v>5207.0</v>
      </c>
      <c r="K302" s="28">
        <v>729.0</v>
      </c>
      <c r="L302" s="28">
        <v>151.0</v>
      </c>
      <c r="M302" s="28">
        <v>94.0</v>
      </c>
      <c r="N302" s="28">
        <v>370.0</v>
      </c>
      <c r="O302" s="55">
        <v>0.0</v>
      </c>
      <c r="P302" s="31">
        <f t="shared" si="1"/>
        <v>5207</v>
      </c>
      <c r="Q302" s="31">
        <f t="shared" si="2"/>
        <v>5207</v>
      </c>
      <c r="R302" s="31">
        <f t="shared" si="3"/>
        <v>6551</v>
      </c>
      <c r="S302" s="9">
        <v>0.0</v>
      </c>
      <c r="U302" s="56"/>
      <c r="V302" s="56"/>
    </row>
    <row r="303" ht="15.75" customHeight="1">
      <c r="A303" s="34">
        <v>71201.0</v>
      </c>
      <c r="B303" s="35" t="s">
        <v>317</v>
      </c>
      <c r="C303" s="28">
        <v>3215.0</v>
      </c>
      <c r="D303" s="28">
        <v>2197.0</v>
      </c>
      <c r="E303" s="28">
        <v>150.0</v>
      </c>
      <c r="F303" s="28">
        <v>88.0</v>
      </c>
      <c r="G303" s="28">
        <v>27.0</v>
      </c>
      <c r="H303" s="28">
        <v>753.0</v>
      </c>
      <c r="I303" s="28">
        <v>4145.0</v>
      </c>
      <c r="J303" s="28">
        <v>3501.0</v>
      </c>
      <c r="K303" s="28">
        <v>111.0</v>
      </c>
      <c r="L303" s="28">
        <v>169.0</v>
      </c>
      <c r="M303" s="28">
        <v>17.0</v>
      </c>
      <c r="N303" s="28">
        <v>347.0</v>
      </c>
      <c r="O303" s="55">
        <v>16.0</v>
      </c>
      <c r="P303" s="31">
        <f t="shared" si="1"/>
        <v>3485</v>
      </c>
      <c r="Q303" s="31">
        <f t="shared" si="2"/>
        <v>3485</v>
      </c>
      <c r="R303" s="31">
        <f t="shared" si="3"/>
        <v>4145</v>
      </c>
      <c r="S303" s="9">
        <v>866.0</v>
      </c>
      <c r="U303" s="56"/>
      <c r="V303" s="56"/>
    </row>
    <row r="304" ht="15.75" customHeight="1">
      <c r="A304" s="26">
        <v>71301.0</v>
      </c>
      <c r="B304" s="27" t="s">
        <v>318</v>
      </c>
      <c r="C304" s="28">
        <v>4639.0</v>
      </c>
      <c r="D304" s="28">
        <v>3336.0</v>
      </c>
      <c r="E304" s="28">
        <v>19.0</v>
      </c>
      <c r="F304" s="28">
        <v>275.0</v>
      </c>
      <c r="G304" s="28">
        <v>28.0</v>
      </c>
      <c r="H304" s="28">
        <v>981.0</v>
      </c>
      <c r="I304" s="28">
        <v>5754.0</v>
      </c>
      <c r="J304" s="28">
        <v>4957.0</v>
      </c>
      <c r="K304" s="28">
        <v>10.0</v>
      </c>
      <c r="L304" s="28">
        <v>192.0</v>
      </c>
      <c r="M304" s="28">
        <v>60.0</v>
      </c>
      <c r="N304" s="28">
        <v>535.0</v>
      </c>
      <c r="O304" s="55">
        <v>585.0</v>
      </c>
      <c r="P304" s="31">
        <f t="shared" si="1"/>
        <v>4372</v>
      </c>
      <c r="Q304" s="31">
        <f t="shared" si="2"/>
        <v>4372</v>
      </c>
      <c r="R304" s="31">
        <f t="shared" si="3"/>
        <v>5754</v>
      </c>
      <c r="S304" s="9">
        <v>293.0</v>
      </c>
      <c r="U304" s="56"/>
      <c r="V304" s="56"/>
    </row>
    <row r="305" ht="15.75" customHeight="1">
      <c r="A305" s="34">
        <v>71302.0</v>
      </c>
      <c r="B305" s="35" t="s">
        <v>319</v>
      </c>
      <c r="C305" s="28">
        <v>1783.0</v>
      </c>
      <c r="D305" s="28">
        <v>1438.0</v>
      </c>
      <c r="E305" s="28">
        <v>0.0</v>
      </c>
      <c r="F305" s="28">
        <v>39.0</v>
      </c>
      <c r="G305" s="28">
        <v>7.0</v>
      </c>
      <c r="H305" s="28">
        <v>299.0</v>
      </c>
      <c r="I305" s="28">
        <v>1989.0</v>
      </c>
      <c r="J305" s="28">
        <v>1809.0</v>
      </c>
      <c r="K305" s="28">
        <v>7.0</v>
      </c>
      <c r="L305" s="28">
        <v>53.0</v>
      </c>
      <c r="M305" s="28">
        <v>10.0</v>
      </c>
      <c r="N305" s="28">
        <v>110.0</v>
      </c>
      <c r="O305" s="55">
        <v>105.0</v>
      </c>
      <c r="P305" s="31">
        <f t="shared" si="1"/>
        <v>1704</v>
      </c>
      <c r="Q305" s="31">
        <f t="shared" si="2"/>
        <v>1704</v>
      </c>
      <c r="R305" s="31">
        <f t="shared" si="3"/>
        <v>1989</v>
      </c>
      <c r="S305" s="9">
        <v>485.0</v>
      </c>
      <c r="U305" s="56"/>
      <c r="V305" s="56"/>
    </row>
    <row r="306" ht="15.75" customHeight="1">
      <c r="A306" s="26">
        <v>71401.0</v>
      </c>
      <c r="B306" s="27" t="s">
        <v>320</v>
      </c>
      <c r="C306" s="28">
        <v>4554.0</v>
      </c>
      <c r="D306" s="28">
        <v>3929.0</v>
      </c>
      <c r="E306" s="28">
        <v>40.0</v>
      </c>
      <c r="F306" s="28">
        <v>15.0</v>
      </c>
      <c r="G306" s="28">
        <v>36.0</v>
      </c>
      <c r="H306" s="28">
        <v>534.0</v>
      </c>
      <c r="I306" s="28">
        <v>4859.0</v>
      </c>
      <c r="J306" s="28">
        <v>4365.0</v>
      </c>
      <c r="K306" s="28">
        <v>93.0</v>
      </c>
      <c r="L306" s="28">
        <v>72.0</v>
      </c>
      <c r="M306" s="28">
        <v>21.0</v>
      </c>
      <c r="N306" s="28">
        <v>308.0</v>
      </c>
      <c r="O306" s="55">
        <v>257.0</v>
      </c>
      <c r="P306" s="31">
        <f t="shared" si="1"/>
        <v>4108</v>
      </c>
      <c r="Q306" s="31">
        <f t="shared" si="2"/>
        <v>4108</v>
      </c>
      <c r="R306" s="31">
        <f t="shared" si="3"/>
        <v>4859</v>
      </c>
      <c r="S306" s="9">
        <v>810.0</v>
      </c>
      <c r="U306" s="56"/>
      <c r="V306" s="56"/>
    </row>
    <row r="307" ht="15.75" customHeight="1">
      <c r="A307" s="34">
        <v>71402.0</v>
      </c>
      <c r="B307" s="35" t="s">
        <v>321</v>
      </c>
      <c r="C307" s="28">
        <v>3881.0</v>
      </c>
      <c r="D307" s="28">
        <v>3575.0</v>
      </c>
      <c r="E307" s="28">
        <v>15.0</v>
      </c>
      <c r="F307" s="28">
        <v>3.0</v>
      </c>
      <c r="G307" s="28">
        <v>30.0</v>
      </c>
      <c r="H307" s="28">
        <v>258.0</v>
      </c>
      <c r="I307" s="28">
        <v>4954.0</v>
      </c>
      <c r="J307" s="28">
        <v>4788.0</v>
      </c>
      <c r="K307" s="28">
        <v>23.0</v>
      </c>
      <c r="L307" s="28">
        <v>15.0</v>
      </c>
      <c r="M307" s="28">
        <v>33.0</v>
      </c>
      <c r="N307" s="28">
        <v>95.0</v>
      </c>
      <c r="O307" s="55">
        <v>354.0</v>
      </c>
      <c r="P307" s="31">
        <f t="shared" si="1"/>
        <v>4434</v>
      </c>
      <c r="Q307" s="31">
        <f t="shared" si="2"/>
        <v>4434</v>
      </c>
      <c r="R307" s="31">
        <f t="shared" si="3"/>
        <v>4954</v>
      </c>
      <c r="S307" s="9">
        <v>1576.0</v>
      </c>
      <c r="U307" s="56"/>
      <c r="V307" s="56"/>
    </row>
    <row r="308" ht="15.75" customHeight="1">
      <c r="A308" s="26">
        <v>71403.0</v>
      </c>
      <c r="B308" s="27" t="s">
        <v>322</v>
      </c>
      <c r="C308" s="28">
        <v>1492.0</v>
      </c>
      <c r="D308" s="28">
        <v>646.0</v>
      </c>
      <c r="E308" s="28">
        <v>179.0</v>
      </c>
      <c r="F308" s="28">
        <v>79.0</v>
      </c>
      <c r="G308" s="28">
        <v>97.0</v>
      </c>
      <c r="H308" s="28">
        <v>491.0</v>
      </c>
      <c r="I308" s="28">
        <v>2433.0</v>
      </c>
      <c r="J308" s="28">
        <v>1145.0</v>
      </c>
      <c r="K308" s="28">
        <v>308.0</v>
      </c>
      <c r="L308" s="28">
        <v>391.0</v>
      </c>
      <c r="M308" s="28">
        <v>29.0</v>
      </c>
      <c r="N308" s="28">
        <v>560.0</v>
      </c>
      <c r="O308" s="55">
        <v>40.0</v>
      </c>
      <c r="P308" s="31">
        <f t="shared" si="1"/>
        <v>1105</v>
      </c>
      <c r="Q308" s="31">
        <f t="shared" si="2"/>
        <v>1105</v>
      </c>
      <c r="R308" s="31">
        <f t="shared" si="3"/>
        <v>2433</v>
      </c>
      <c r="S308" s="9">
        <v>268.5</v>
      </c>
      <c r="U308" s="56"/>
      <c r="V308" s="56"/>
    </row>
    <row r="309" ht="15.75" customHeight="1">
      <c r="A309" s="34">
        <v>71501.0</v>
      </c>
      <c r="B309" s="35" t="s">
        <v>323</v>
      </c>
      <c r="C309" s="28">
        <v>5521.0</v>
      </c>
      <c r="D309" s="28">
        <v>3927.0</v>
      </c>
      <c r="E309" s="28">
        <v>209.0</v>
      </c>
      <c r="F309" s="28">
        <v>81.0</v>
      </c>
      <c r="G309" s="28">
        <v>320.0</v>
      </c>
      <c r="H309" s="28">
        <v>984.0</v>
      </c>
      <c r="I309" s="28">
        <v>10803.0</v>
      </c>
      <c r="J309" s="28">
        <v>6852.0</v>
      </c>
      <c r="K309" s="28">
        <v>135.0</v>
      </c>
      <c r="L309" s="28">
        <v>879.0</v>
      </c>
      <c r="M309" s="28">
        <v>313.0</v>
      </c>
      <c r="N309" s="28">
        <v>2624.0</v>
      </c>
      <c r="O309" s="55">
        <v>632.0</v>
      </c>
      <c r="P309" s="31">
        <f t="shared" si="1"/>
        <v>6220</v>
      </c>
      <c r="Q309" s="31">
        <f t="shared" si="2"/>
        <v>6220</v>
      </c>
      <c r="R309" s="31">
        <f t="shared" si="3"/>
        <v>10803</v>
      </c>
      <c r="S309" s="9">
        <v>795.0</v>
      </c>
      <c r="U309" s="56"/>
      <c r="V309" s="56"/>
    </row>
    <row r="310" ht="15.75" customHeight="1">
      <c r="A310" s="26">
        <v>71502.0</v>
      </c>
      <c r="B310" s="27" t="s">
        <v>324</v>
      </c>
      <c r="C310" s="28">
        <v>1182.0</v>
      </c>
      <c r="D310" s="28">
        <v>887.0</v>
      </c>
      <c r="E310" s="28">
        <v>21.0</v>
      </c>
      <c r="F310" s="28">
        <v>6.0</v>
      </c>
      <c r="G310" s="28">
        <v>22.0</v>
      </c>
      <c r="H310" s="28">
        <v>246.0</v>
      </c>
      <c r="I310" s="28">
        <v>1640.0</v>
      </c>
      <c r="J310" s="28">
        <v>1266.0</v>
      </c>
      <c r="K310" s="28">
        <v>19.0</v>
      </c>
      <c r="L310" s="28">
        <v>55.0</v>
      </c>
      <c r="M310" s="28">
        <v>24.0</v>
      </c>
      <c r="N310" s="28">
        <v>276.0</v>
      </c>
      <c r="O310" s="55">
        <v>80.0</v>
      </c>
      <c r="P310" s="31">
        <f t="shared" si="1"/>
        <v>1186</v>
      </c>
      <c r="Q310" s="31">
        <f t="shared" si="2"/>
        <v>1186</v>
      </c>
      <c r="R310" s="31">
        <f t="shared" si="3"/>
        <v>1640</v>
      </c>
      <c r="S310" s="9">
        <v>561.5</v>
      </c>
      <c r="U310" s="56"/>
      <c r="V310" s="56"/>
    </row>
    <row r="311" ht="15.75" customHeight="1">
      <c r="A311" s="34">
        <v>71503.0</v>
      </c>
      <c r="B311" s="35" t="s">
        <v>269</v>
      </c>
      <c r="C311" s="28">
        <v>4461.0</v>
      </c>
      <c r="D311" s="28">
        <v>870.0</v>
      </c>
      <c r="E311" s="28">
        <v>320.0</v>
      </c>
      <c r="F311" s="28">
        <v>328.0</v>
      </c>
      <c r="G311" s="28">
        <v>223.0</v>
      </c>
      <c r="H311" s="28">
        <v>2720.0</v>
      </c>
      <c r="I311" s="28">
        <v>6454.0</v>
      </c>
      <c r="J311" s="28">
        <v>2779.0</v>
      </c>
      <c r="K311" s="28">
        <v>246.0</v>
      </c>
      <c r="L311" s="28">
        <v>989.0</v>
      </c>
      <c r="M311" s="28">
        <v>237.0</v>
      </c>
      <c r="N311" s="28">
        <v>2203.0</v>
      </c>
      <c r="O311" s="55">
        <v>157.0</v>
      </c>
      <c r="P311" s="31">
        <f t="shared" si="1"/>
        <v>2622</v>
      </c>
      <c r="Q311" s="31">
        <f t="shared" si="2"/>
        <v>2622</v>
      </c>
      <c r="R311" s="31">
        <f t="shared" si="3"/>
        <v>6454</v>
      </c>
      <c r="S311" s="9">
        <v>772.0</v>
      </c>
      <c r="U311" s="56"/>
      <c r="V311" s="56"/>
    </row>
    <row r="312" ht="15.75" customHeight="1">
      <c r="A312" s="26">
        <v>80101.0</v>
      </c>
      <c r="B312" s="27" t="s">
        <v>325</v>
      </c>
      <c r="C312" s="28">
        <v>24724.0</v>
      </c>
      <c r="D312" s="28">
        <v>22589.0</v>
      </c>
      <c r="E312" s="28">
        <v>226.0</v>
      </c>
      <c r="F312" s="28">
        <v>40.0</v>
      </c>
      <c r="G312" s="28">
        <v>333.0</v>
      </c>
      <c r="H312" s="28">
        <v>1536.0</v>
      </c>
      <c r="I312" s="28">
        <v>32445.0</v>
      </c>
      <c r="J312" s="28">
        <v>31294.0</v>
      </c>
      <c r="K312" s="28">
        <v>139.0</v>
      </c>
      <c r="L312" s="28">
        <v>122.0</v>
      </c>
      <c r="M312" s="28">
        <v>248.0</v>
      </c>
      <c r="N312" s="28">
        <v>642.0</v>
      </c>
      <c r="O312" s="55">
        <v>33095.0</v>
      </c>
      <c r="P312" s="31">
        <f t="shared" si="1"/>
        <v>-1801</v>
      </c>
      <c r="Q312" s="55" t="str">
        <f t="shared" si="2"/>
        <v/>
      </c>
      <c r="R312" s="31">
        <f t="shared" si="3"/>
        <v>34246</v>
      </c>
      <c r="S312" s="9">
        <v>1529.0</v>
      </c>
      <c r="U312" s="56"/>
      <c r="V312" s="56"/>
    </row>
    <row r="313" ht="15.75" customHeight="1">
      <c r="A313" s="34">
        <v>80102.0</v>
      </c>
      <c r="B313" s="35" t="s">
        <v>312</v>
      </c>
      <c r="C313" s="28">
        <v>1230.0</v>
      </c>
      <c r="D313" s="28">
        <v>178.0</v>
      </c>
      <c r="E313" s="28">
        <v>297.0</v>
      </c>
      <c r="F313" s="28">
        <v>144.0</v>
      </c>
      <c r="G313" s="28">
        <v>93.0</v>
      </c>
      <c r="H313" s="28">
        <v>518.0</v>
      </c>
      <c r="I313" s="28">
        <v>2071.0</v>
      </c>
      <c r="J313" s="28">
        <v>695.0</v>
      </c>
      <c r="K313" s="28">
        <v>299.0</v>
      </c>
      <c r="L313" s="28">
        <v>295.0</v>
      </c>
      <c r="M313" s="28">
        <v>56.0</v>
      </c>
      <c r="N313" s="28">
        <v>726.0</v>
      </c>
      <c r="O313" s="55">
        <v>402.0</v>
      </c>
      <c r="P313" s="31">
        <f t="shared" si="1"/>
        <v>293</v>
      </c>
      <c r="Q313" s="31">
        <f t="shared" si="2"/>
        <v>293</v>
      </c>
      <c r="R313" s="31">
        <f t="shared" si="3"/>
        <v>2071</v>
      </c>
      <c r="S313" s="9">
        <v>607.5</v>
      </c>
      <c r="U313" s="56"/>
      <c r="V313" s="56"/>
    </row>
    <row r="314" ht="15.75" customHeight="1">
      <c r="A314" s="26">
        <v>80201.0</v>
      </c>
      <c r="B314" s="27" t="s">
        <v>326</v>
      </c>
      <c r="C314" s="28">
        <v>19588.0</v>
      </c>
      <c r="D314" s="28">
        <v>16439.0</v>
      </c>
      <c r="E314" s="28">
        <v>386.0</v>
      </c>
      <c r="F314" s="28">
        <v>146.0</v>
      </c>
      <c r="G314" s="28">
        <v>55.0</v>
      </c>
      <c r="H314" s="28">
        <v>2562.0</v>
      </c>
      <c r="I314" s="28">
        <v>27442.0</v>
      </c>
      <c r="J314" s="28">
        <v>23121.0</v>
      </c>
      <c r="K314" s="28">
        <v>422.0</v>
      </c>
      <c r="L314" s="28">
        <v>692.0</v>
      </c>
      <c r="M314" s="28">
        <v>282.0</v>
      </c>
      <c r="N314" s="28">
        <v>2925.0</v>
      </c>
      <c r="O314" s="55">
        <v>23337.0</v>
      </c>
      <c r="P314" s="31">
        <f t="shared" si="1"/>
        <v>-216</v>
      </c>
      <c r="Q314" s="55" t="str">
        <f t="shared" si="2"/>
        <v/>
      </c>
      <c r="R314" s="31">
        <f t="shared" si="3"/>
        <v>27658</v>
      </c>
      <c r="S314" s="9">
        <v>803.0</v>
      </c>
      <c r="U314" s="56"/>
      <c r="V314" s="56"/>
    </row>
    <row r="315" ht="15.75" customHeight="1">
      <c r="A315" s="34">
        <v>80202.0</v>
      </c>
      <c r="B315" s="35" t="s">
        <v>327</v>
      </c>
      <c r="C315" s="28">
        <v>9261.0</v>
      </c>
      <c r="D315" s="28">
        <v>7996.0</v>
      </c>
      <c r="E315" s="28">
        <v>164.0</v>
      </c>
      <c r="F315" s="28">
        <v>70.0</v>
      </c>
      <c r="G315" s="28">
        <v>70.0</v>
      </c>
      <c r="H315" s="28">
        <v>961.0</v>
      </c>
      <c r="I315" s="28">
        <v>10891.0</v>
      </c>
      <c r="J315" s="28">
        <v>9420.0</v>
      </c>
      <c r="K315" s="28">
        <v>166.0</v>
      </c>
      <c r="L315" s="28">
        <v>383.0</v>
      </c>
      <c r="M315" s="28">
        <v>97.0</v>
      </c>
      <c r="N315" s="28">
        <v>825.0</v>
      </c>
      <c r="O315" s="55">
        <v>9284.0</v>
      </c>
      <c r="P315" s="31">
        <f t="shared" si="1"/>
        <v>136</v>
      </c>
      <c r="Q315" s="31">
        <f t="shared" si="2"/>
        <v>136</v>
      </c>
      <c r="R315" s="31">
        <f t="shared" si="3"/>
        <v>10891</v>
      </c>
      <c r="S315" s="9">
        <v>1294.0</v>
      </c>
      <c r="U315" s="56"/>
      <c r="V315" s="56"/>
    </row>
    <row r="316" ht="15.75" customHeight="1">
      <c r="A316" s="26">
        <v>80301.0</v>
      </c>
      <c r="B316" s="27" t="s">
        <v>328</v>
      </c>
      <c r="C316" s="28">
        <v>2962.0</v>
      </c>
      <c r="D316" s="28">
        <v>1645.0</v>
      </c>
      <c r="E316" s="28">
        <v>152.0</v>
      </c>
      <c r="F316" s="28">
        <v>105.0</v>
      </c>
      <c r="G316" s="28">
        <v>106.0</v>
      </c>
      <c r="H316" s="28">
        <v>954.0</v>
      </c>
      <c r="I316" s="28">
        <v>3417.0</v>
      </c>
      <c r="J316" s="28">
        <v>2353.0</v>
      </c>
      <c r="K316" s="28">
        <v>96.0</v>
      </c>
      <c r="L316" s="28">
        <v>213.0</v>
      </c>
      <c r="M316" s="28">
        <v>44.0</v>
      </c>
      <c r="N316" s="28">
        <v>711.0</v>
      </c>
      <c r="O316" s="55">
        <v>2213.0</v>
      </c>
      <c r="P316" s="31">
        <f t="shared" si="1"/>
        <v>140</v>
      </c>
      <c r="Q316" s="31">
        <f t="shared" si="2"/>
        <v>140</v>
      </c>
      <c r="R316" s="31">
        <f t="shared" si="3"/>
        <v>3417</v>
      </c>
      <c r="S316" s="9">
        <v>905.0</v>
      </c>
      <c r="U316" s="56"/>
      <c r="V316" s="56"/>
    </row>
    <row r="317" ht="15.75" customHeight="1">
      <c r="A317" s="34">
        <v>80302.0</v>
      </c>
      <c r="B317" s="35" t="s">
        <v>329</v>
      </c>
      <c r="C317" s="28">
        <v>9412.0</v>
      </c>
      <c r="D317" s="28">
        <v>5341.0</v>
      </c>
      <c r="E317" s="28">
        <v>296.0</v>
      </c>
      <c r="F317" s="28">
        <v>130.0</v>
      </c>
      <c r="G317" s="28">
        <v>179.0</v>
      </c>
      <c r="H317" s="28">
        <v>3466.0</v>
      </c>
      <c r="I317" s="28">
        <v>13051.0</v>
      </c>
      <c r="J317" s="28">
        <v>8088.0</v>
      </c>
      <c r="K317" s="28">
        <v>91.0</v>
      </c>
      <c r="L317" s="28">
        <v>465.0</v>
      </c>
      <c r="M317" s="28">
        <v>90.0</v>
      </c>
      <c r="N317" s="28">
        <v>4317.0</v>
      </c>
      <c r="O317" s="55">
        <v>8467.0</v>
      </c>
      <c r="P317" s="31">
        <f t="shared" si="1"/>
        <v>-379</v>
      </c>
      <c r="Q317" s="55" t="str">
        <f t="shared" si="2"/>
        <v/>
      </c>
      <c r="R317" s="31">
        <f t="shared" si="3"/>
        <v>13430</v>
      </c>
      <c r="S317" s="9">
        <v>751.5</v>
      </c>
      <c r="U317" s="56"/>
      <c r="V317" s="56"/>
    </row>
    <row r="318" ht="15.75" customHeight="1">
      <c r="A318" s="26">
        <v>80303.0</v>
      </c>
      <c r="B318" s="27" t="s">
        <v>330</v>
      </c>
      <c r="C318" s="28">
        <v>1976.0</v>
      </c>
      <c r="D318" s="28">
        <v>1231.0</v>
      </c>
      <c r="E318" s="28">
        <v>115.0</v>
      </c>
      <c r="F318" s="28">
        <v>306.0</v>
      </c>
      <c r="G318" s="28">
        <v>13.0</v>
      </c>
      <c r="H318" s="28">
        <v>311.0</v>
      </c>
      <c r="I318" s="28">
        <v>2755.0</v>
      </c>
      <c r="J318" s="28">
        <v>1728.0</v>
      </c>
      <c r="K318" s="28">
        <v>198.0</v>
      </c>
      <c r="L318" s="28">
        <v>405.0</v>
      </c>
      <c r="M318" s="28">
        <v>17.0</v>
      </c>
      <c r="N318" s="28">
        <v>407.0</v>
      </c>
      <c r="O318" s="55">
        <v>1913.0</v>
      </c>
      <c r="P318" s="31">
        <f t="shared" si="1"/>
        <v>-185</v>
      </c>
      <c r="Q318" s="55" t="str">
        <f t="shared" si="2"/>
        <v/>
      </c>
      <c r="R318" s="31">
        <f t="shared" si="3"/>
        <v>2940</v>
      </c>
      <c r="S318" s="9">
        <v>953.0</v>
      </c>
      <c r="U318" s="56"/>
      <c r="V318" s="56"/>
    </row>
    <row r="319" ht="15.75" customHeight="1">
      <c r="A319" s="34">
        <v>80304.0</v>
      </c>
      <c r="B319" s="35" t="s">
        <v>331</v>
      </c>
      <c r="C319" s="28">
        <v>4857.0</v>
      </c>
      <c r="D319" s="28">
        <v>3250.0</v>
      </c>
      <c r="E319" s="28">
        <v>184.0</v>
      </c>
      <c r="F319" s="28">
        <v>75.0</v>
      </c>
      <c r="G319" s="28">
        <v>27.0</v>
      </c>
      <c r="H319" s="28">
        <v>1321.0</v>
      </c>
      <c r="I319" s="28">
        <v>6875.0</v>
      </c>
      <c r="J319" s="28">
        <v>5298.0</v>
      </c>
      <c r="K319" s="28">
        <v>28.0</v>
      </c>
      <c r="L319" s="28">
        <v>110.0</v>
      </c>
      <c r="M319" s="28">
        <v>43.0</v>
      </c>
      <c r="N319" s="28">
        <v>1396.0</v>
      </c>
      <c r="O319" s="55">
        <v>5695.0</v>
      </c>
      <c r="P319" s="31">
        <f t="shared" si="1"/>
        <v>-397</v>
      </c>
      <c r="Q319" s="55" t="str">
        <f t="shared" si="2"/>
        <v/>
      </c>
      <c r="R319" s="31">
        <f t="shared" si="3"/>
        <v>7272</v>
      </c>
      <c r="S319" s="9">
        <v>732.0</v>
      </c>
      <c r="U319" s="56"/>
      <c r="V319" s="56"/>
    </row>
    <row r="320" ht="15.75" customHeight="1">
      <c r="A320" s="26">
        <v>80401.0</v>
      </c>
      <c r="B320" s="27" t="s">
        <v>332</v>
      </c>
      <c r="C320" s="28">
        <v>3430.0</v>
      </c>
      <c r="D320" s="28">
        <v>2468.0</v>
      </c>
      <c r="E320" s="28">
        <v>143.0</v>
      </c>
      <c r="F320" s="28">
        <v>214.0</v>
      </c>
      <c r="G320" s="28">
        <v>91.0</v>
      </c>
      <c r="H320" s="28">
        <v>514.0</v>
      </c>
      <c r="I320" s="28">
        <v>4295.0</v>
      </c>
      <c r="J320" s="28">
        <v>3173.0</v>
      </c>
      <c r="K320" s="28">
        <v>122.0</v>
      </c>
      <c r="L320" s="28">
        <v>393.0</v>
      </c>
      <c r="M320" s="28">
        <v>40.0</v>
      </c>
      <c r="N320" s="28">
        <v>567.0</v>
      </c>
      <c r="O320" s="55">
        <v>3233.0</v>
      </c>
      <c r="P320" s="31">
        <f t="shared" si="1"/>
        <v>-60</v>
      </c>
      <c r="Q320" s="55" t="str">
        <f t="shared" si="2"/>
        <v/>
      </c>
      <c r="R320" s="31">
        <f t="shared" si="3"/>
        <v>4355</v>
      </c>
      <c r="S320" s="9">
        <v>1217.0</v>
      </c>
      <c r="U320" s="56"/>
      <c r="V320" s="56"/>
    </row>
    <row r="321" ht="15.75" customHeight="1">
      <c r="A321" s="34">
        <v>80402.0</v>
      </c>
      <c r="B321" s="35" t="s">
        <v>333</v>
      </c>
      <c r="C321" s="28">
        <v>938.0</v>
      </c>
      <c r="D321" s="28">
        <v>192.0</v>
      </c>
      <c r="E321" s="28">
        <v>161.0</v>
      </c>
      <c r="F321" s="28">
        <v>244.0</v>
      </c>
      <c r="G321" s="28">
        <v>70.0</v>
      </c>
      <c r="H321" s="28">
        <v>271.0</v>
      </c>
      <c r="I321" s="28">
        <v>1455.0</v>
      </c>
      <c r="J321" s="28">
        <v>292.0</v>
      </c>
      <c r="K321" s="28">
        <v>203.0</v>
      </c>
      <c r="L321" s="28">
        <v>664.0</v>
      </c>
      <c r="M321" s="28">
        <v>23.0</v>
      </c>
      <c r="N321" s="28">
        <v>273.0</v>
      </c>
      <c r="O321" s="55">
        <v>183.0</v>
      </c>
      <c r="P321" s="31">
        <f t="shared" si="1"/>
        <v>109</v>
      </c>
      <c r="Q321" s="31">
        <f t="shared" si="2"/>
        <v>109</v>
      </c>
      <c r="R321" s="31">
        <f t="shared" si="3"/>
        <v>1455</v>
      </c>
      <c r="S321" s="9">
        <v>921.0</v>
      </c>
      <c r="U321" s="56"/>
      <c r="V321" s="56"/>
    </row>
    <row r="322" ht="15.75" customHeight="1">
      <c r="A322" s="26">
        <v>80501.0</v>
      </c>
      <c r="B322" s="27" t="s">
        <v>334</v>
      </c>
      <c r="C322" s="28">
        <v>4005.0</v>
      </c>
      <c r="D322" s="28">
        <v>2348.0</v>
      </c>
      <c r="E322" s="28">
        <v>231.0</v>
      </c>
      <c r="F322" s="28">
        <v>221.0</v>
      </c>
      <c r="G322" s="28">
        <v>92.0</v>
      </c>
      <c r="H322" s="28">
        <v>1113.0</v>
      </c>
      <c r="I322" s="28">
        <v>5391.0</v>
      </c>
      <c r="J322" s="28">
        <v>3664.0</v>
      </c>
      <c r="K322" s="28">
        <v>224.0</v>
      </c>
      <c r="L322" s="28">
        <v>606.0</v>
      </c>
      <c r="M322" s="28">
        <v>33.0</v>
      </c>
      <c r="N322" s="28">
        <v>864.0</v>
      </c>
      <c r="O322" s="55">
        <v>3548.0</v>
      </c>
      <c r="P322" s="31">
        <f t="shared" si="1"/>
        <v>116</v>
      </c>
      <c r="Q322" s="31">
        <f t="shared" si="2"/>
        <v>116</v>
      </c>
      <c r="R322" s="31">
        <f t="shared" si="3"/>
        <v>5391</v>
      </c>
      <c r="S322" s="9">
        <v>684.0</v>
      </c>
      <c r="U322" s="56"/>
      <c r="V322" s="56"/>
    </row>
    <row r="323" ht="15.75" customHeight="1">
      <c r="A323" s="34">
        <v>80601.0</v>
      </c>
      <c r="B323" s="35" t="s">
        <v>335</v>
      </c>
      <c r="C323" s="28">
        <v>864.0</v>
      </c>
      <c r="D323" s="28">
        <v>237.0</v>
      </c>
      <c r="E323" s="28">
        <v>122.0</v>
      </c>
      <c r="F323" s="28">
        <v>83.0</v>
      </c>
      <c r="G323" s="28">
        <v>74.0</v>
      </c>
      <c r="H323" s="28">
        <v>348.0</v>
      </c>
      <c r="I323" s="28">
        <v>1053.0</v>
      </c>
      <c r="J323" s="28">
        <v>438.0</v>
      </c>
      <c r="K323" s="28">
        <v>106.0</v>
      </c>
      <c r="L323" s="28">
        <v>239.0</v>
      </c>
      <c r="M323" s="28">
        <v>37.0</v>
      </c>
      <c r="N323" s="28">
        <v>233.0</v>
      </c>
      <c r="O323" s="55">
        <v>350.0</v>
      </c>
      <c r="P323" s="31">
        <f t="shared" si="1"/>
        <v>88</v>
      </c>
      <c r="Q323" s="31">
        <f t="shared" si="2"/>
        <v>88</v>
      </c>
      <c r="R323" s="31">
        <f t="shared" si="3"/>
        <v>1053</v>
      </c>
      <c r="S323" s="9">
        <v>809.5</v>
      </c>
      <c r="U323" s="56"/>
      <c r="V323" s="56"/>
    </row>
    <row r="324" ht="15.75" customHeight="1">
      <c r="A324" s="26">
        <v>80602.0</v>
      </c>
      <c r="B324" s="27" t="s">
        <v>336</v>
      </c>
      <c r="C324" s="28">
        <v>2996.0</v>
      </c>
      <c r="D324" s="28">
        <v>1304.0</v>
      </c>
      <c r="E324" s="28">
        <v>267.0</v>
      </c>
      <c r="F324" s="28">
        <v>129.0</v>
      </c>
      <c r="G324" s="28">
        <v>73.0</v>
      </c>
      <c r="H324" s="28">
        <v>1223.0</v>
      </c>
      <c r="I324" s="28">
        <v>5270.0</v>
      </c>
      <c r="J324" s="28">
        <v>2486.0</v>
      </c>
      <c r="K324" s="28">
        <v>139.0</v>
      </c>
      <c r="L324" s="28">
        <v>560.0</v>
      </c>
      <c r="M324" s="28">
        <v>197.0</v>
      </c>
      <c r="N324" s="28">
        <v>1888.0</v>
      </c>
      <c r="O324" s="55">
        <v>1332.0</v>
      </c>
      <c r="P324" s="31">
        <f t="shared" si="1"/>
        <v>1154</v>
      </c>
      <c r="Q324" s="31">
        <f t="shared" si="2"/>
        <v>1154</v>
      </c>
      <c r="R324" s="31">
        <f t="shared" si="3"/>
        <v>5270</v>
      </c>
      <c r="S324" s="9">
        <v>716.5</v>
      </c>
      <c r="U324" s="56"/>
      <c r="V324" s="56"/>
    </row>
    <row r="325" ht="15.75" customHeight="1">
      <c r="A325" s="34">
        <v>80701.0</v>
      </c>
      <c r="B325" s="35" t="s">
        <v>337</v>
      </c>
      <c r="C325" s="28">
        <v>1254.0</v>
      </c>
      <c r="D325" s="28">
        <v>814.0</v>
      </c>
      <c r="E325" s="28">
        <v>68.0</v>
      </c>
      <c r="F325" s="28">
        <v>153.0</v>
      </c>
      <c r="G325" s="28">
        <v>10.0</v>
      </c>
      <c r="H325" s="28">
        <v>209.0</v>
      </c>
      <c r="I325" s="28">
        <v>1485.0</v>
      </c>
      <c r="J325" s="28">
        <v>1080.0</v>
      </c>
      <c r="K325" s="28">
        <v>80.0</v>
      </c>
      <c r="L325" s="28">
        <v>130.0</v>
      </c>
      <c r="M325" s="28">
        <v>44.0</v>
      </c>
      <c r="N325" s="28">
        <v>151.0</v>
      </c>
      <c r="O325" s="55">
        <v>1192.0</v>
      </c>
      <c r="P325" s="31">
        <f t="shared" si="1"/>
        <v>-112</v>
      </c>
      <c r="Q325" s="55" t="str">
        <f t="shared" si="2"/>
        <v/>
      </c>
      <c r="R325" s="31">
        <f t="shared" si="3"/>
        <v>1597</v>
      </c>
      <c r="S325" s="9">
        <v>1195.0</v>
      </c>
      <c r="U325" s="56"/>
      <c r="V325" s="56"/>
    </row>
    <row r="326" ht="15.75" customHeight="1">
      <c r="A326" s="26">
        <v>80702.0</v>
      </c>
      <c r="B326" s="27" t="s">
        <v>313</v>
      </c>
      <c r="C326" s="28">
        <v>1160.0</v>
      </c>
      <c r="D326" s="28">
        <v>751.0</v>
      </c>
      <c r="E326" s="28">
        <v>119.0</v>
      </c>
      <c r="F326" s="28">
        <v>78.0</v>
      </c>
      <c r="G326" s="28">
        <v>4.0</v>
      </c>
      <c r="H326" s="28">
        <v>208.0</v>
      </c>
      <c r="I326" s="28">
        <v>1504.0</v>
      </c>
      <c r="J326" s="28">
        <v>1000.0</v>
      </c>
      <c r="K326" s="28">
        <v>32.0</v>
      </c>
      <c r="L326" s="28">
        <v>129.0</v>
      </c>
      <c r="M326" s="28">
        <v>64.0</v>
      </c>
      <c r="N326" s="28">
        <v>279.0</v>
      </c>
      <c r="O326" s="55">
        <v>1065.0</v>
      </c>
      <c r="P326" s="31">
        <f t="shared" si="1"/>
        <v>-65</v>
      </c>
      <c r="Q326" s="55" t="str">
        <f t="shared" si="2"/>
        <v/>
      </c>
      <c r="R326" s="31">
        <f t="shared" si="3"/>
        <v>1569</v>
      </c>
      <c r="S326" s="9">
        <v>1120.5</v>
      </c>
      <c r="U326" s="56"/>
      <c r="V326" s="56"/>
    </row>
    <row r="327" ht="15.75" customHeight="1">
      <c r="A327" s="34">
        <v>80703.0</v>
      </c>
      <c r="B327" s="35" t="s">
        <v>338</v>
      </c>
      <c r="C327" s="28">
        <v>195.0</v>
      </c>
      <c r="D327" s="28">
        <v>73.0</v>
      </c>
      <c r="E327" s="28">
        <v>24.0</v>
      </c>
      <c r="F327" s="28">
        <v>33.0</v>
      </c>
      <c r="G327" s="28">
        <v>10.0</v>
      </c>
      <c r="H327" s="28">
        <v>55.0</v>
      </c>
      <c r="I327" s="28">
        <v>305.0</v>
      </c>
      <c r="J327" s="28">
        <v>187.0</v>
      </c>
      <c r="K327" s="28">
        <v>22.0</v>
      </c>
      <c r="L327" s="28">
        <v>67.0</v>
      </c>
      <c r="M327" s="28">
        <v>6.0</v>
      </c>
      <c r="N327" s="28">
        <v>23.0</v>
      </c>
      <c r="O327" s="55">
        <v>0.0</v>
      </c>
      <c r="P327" s="31">
        <f t="shared" si="1"/>
        <v>187</v>
      </c>
      <c r="Q327" s="31">
        <f t="shared" si="2"/>
        <v>187</v>
      </c>
      <c r="R327" s="31">
        <f t="shared" si="3"/>
        <v>305</v>
      </c>
      <c r="S327" s="9">
        <v>0.0</v>
      </c>
      <c r="U327" s="56"/>
      <c r="V327" s="56"/>
    </row>
    <row r="328" ht="15.75" customHeight="1">
      <c r="A328" s="26">
        <v>80801.0</v>
      </c>
      <c r="B328" s="27" t="s">
        <v>339</v>
      </c>
      <c r="C328" s="28">
        <v>2232.0</v>
      </c>
      <c r="D328" s="28">
        <v>1694.0</v>
      </c>
      <c r="E328" s="28">
        <v>117.0</v>
      </c>
      <c r="F328" s="28">
        <v>117.0</v>
      </c>
      <c r="G328" s="28">
        <v>33.0</v>
      </c>
      <c r="H328" s="28">
        <v>271.0</v>
      </c>
      <c r="I328" s="28">
        <v>2959.0</v>
      </c>
      <c r="J328" s="28">
        <v>2348.0</v>
      </c>
      <c r="K328" s="28">
        <v>115.0</v>
      </c>
      <c r="L328" s="28">
        <v>242.0</v>
      </c>
      <c r="M328" s="28">
        <v>61.0</v>
      </c>
      <c r="N328" s="28">
        <v>193.0</v>
      </c>
      <c r="O328" s="55">
        <v>2366.0</v>
      </c>
      <c r="P328" s="31">
        <f t="shared" si="1"/>
        <v>-18</v>
      </c>
      <c r="Q328" s="55" t="str">
        <f t="shared" si="2"/>
        <v/>
      </c>
      <c r="R328" s="31">
        <f t="shared" si="3"/>
        <v>2977</v>
      </c>
      <c r="S328" s="9">
        <v>891.5</v>
      </c>
      <c r="U328" s="56"/>
      <c r="V328" s="56"/>
    </row>
    <row r="329" ht="15.75" customHeight="1">
      <c r="A329" s="34">
        <v>80802.0</v>
      </c>
      <c r="B329" s="35" t="s">
        <v>340</v>
      </c>
      <c r="C329" s="28">
        <v>1356.0</v>
      </c>
      <c r="D329" s="28">
        <v>638.0</v>
      </c>
      <c r="E329" s="28">
        <v>161.0</v>
      </c>
      <c r="F329" s="28">
        <v>86.0</v>
      </c>
      <c r="G329" s="28">
        <v>155.0</v>
      </c>
      <c r="H329" s="28">
        <v>316.0</v>
      </c>
      <c r="I329" s="28">
        <v>2064.0</v>
      </c>
      <c r="J329" s="28">
        <v>1184.0</v>
      </c>
      <c r="K329" s="28">
        <v>78.0</v>
      </c>
      <c r="L329" s="28">
        <v>362.0</v>
      </c>
      <c r="M329" s="28">
        <v>121.0</v>
      </c>
      <c r="N329" s="28">
        <v>319.0</v>
      </c>
      <c r="O329" s="55">
        <v>1149.0</v>
      </c>
      <c r="P329" s="31">
        <f t="shared" si="1"/>
        <v>35</v>
      </c>
      <c r="Q329" s="31">
        <f t="shared" si="2"/>
        <v>35</v>
      </c>
      <c r="R329" s="31">
        <f t="shared" si="3"/>
        <v>2064</v>
      </c>
      <c r="S329" s="9">
        <v>824.0</v>
      </c>
      <c r="U329" s="56"/>
      <c r="V329" s="56"/>
    </row>
    <row r="330" ht="15.75" customHeight="1">
      <c r="A330" s="26">
        <v>80803.0</v>
      </c>
      <c r="B330" s="27" t="s">
        <v>341</v>
      </c>
      <c r="C330" s="28">
        <v>819.0</v>
      </c>
      <c r="D330" s="28">
        <v>602.0</v>
      </c>
      <c r="E330" s="28">
        <v>49.0</v>
      </c>
      <c r="F330" s="28">
        <v>49.0</v>
      </c>
      <c r="G330" s="28">
        <v>3.0</v>
      </c>
      <c r="H330" s="28">
        <v>116.0</v>
      </c>
      <c r="I330" s="28">
        <v>1018.0</v>
      </c>
      <c r="J330" s="28">
        <v>834.0</v>
      </c>
      <c r="K330" s="28">
        <v>35.0</v>
      </c>
      <c r="L330" s="28">
        <v>88.0</v>
      </c>
      <c r="M330" s="28">
        <v>3.0</v>
      </c>
      <c r="N330" s="28">
        <v>58.0</v>
      </c>
      <c r="O330" s="55">
        <v>834.0</v>
      </c>
      <c r="P330" s="31">
        <f t="shared" si="1"/>
        <v>0</v>
      </c>
      <c r="Q330" s="55" t="str">
        <f t="shared" si="2"/>
        <v/>
      </c>
      <c r="R330" s="31">
        <f t="shared" si="3"/>
        <v>1018</v>
      </c>
      <c r="S330" s="9">
        <v>715.5</v>
      </c>
      <c r="U330" s="13"/>
      <c r="V330" s="13"/>
    </row>
    <row r="331" ht="15.75" customHeight="1">
      <c r="A331" s="34">
        <v>80901.0</v>
      </c>
      <c r="B331" s="35" t="s">
        <v>342</v>
      </c>
      <c r="C331" s="28">
        <v>631.0</v>
      </c>
      <c r="D331" s="28">
        <v>178.0</v>
      </c>
      <c r="E331" s="28">
        <v>39.0</v>
      </c>
      <c r="F331" s="28">
        <v>29.0</v>
      </c>
      <c r="G331" s="28">
        <v>26.0</v>
      </c>
      <c r="H331" s="28">
        <v>359.0</v>
      </c>
      <c r="I331" s="28">
        <v>922.0</v>
      </c>
      <c r="J331" s="28">
        <v>481.0</v>
      </c>
      <c r="K331" s="28">
        <v>10.0</v>
      </c>
      <c r="L331" s="28">
        <v>119.0</v>
      </c>
      <c r="M331" s="28">
        <v>2.0</v>
      </c>
      <c r="N331" s="28">
        <v>310.0</v>
      </c>
      <c r="O331" s="55">
        <v>0.0</v>
      </c>
      <c r="P331" s="31">
        <f t="shared" si="1"/>
        <v>481</v>
      </c>
      <c r="Q331" s="31">
        <f t="shared" si="2"/>
        <v>481</v>
      </c>
      <c r="R331" s="31">
        <f t="shared" si="3"/>
        <v>922</v>
      </c>
      <c r="S331" s="9">
        <v>0.0</v>
      </c>
      <c r="U331" s="13"/>
      <c r="V331" s="13"/>
    </row>
    <row r="332" ht="15.75" customHeight="1">
      <c r="A332" s="26">
        <v>90101.0</v>
      </c>
      <c r="B332" s="27" t="s">
        <v>343</v>
      </c>
      <c r="C332" s="28">
        <v>12304.0</v>
      </c>
      <c r="D332" s="28">
        <v>10982.0</v>
      </c>
      <c r="E332" s="28">
        <v>164.0</v>
      </c>
      <c r="F332" s="28">
        <v>77.0</v>
      </c>
      <c r="G332" s="28">
        <v>63.0</v>
      </c>
      <c r="H332" s="28">
        <v>1018.0</v>
      </c>
      <c r="I332" s="28">
        <v>15564.0</v>
      </c>
      <c r="J332" s="28">
        <v>14921.0</v>
      </c>
      <c r="K332" s="28">
        <v>50.0</v>
      </c>
      <c r="L332" s="28">
        <v>153.0</v>
      </c>
      <c r="M332" s="28">
        <v>45.0</v>
      </c>
      <c r="N332" s="28">
        <v>395.0</v>
      </c>
      <c r="O332" s="55">
        <v>15132.0</v>
      </c>
      <c r="P332" s="31">
        <f t="shared" si="1"/>
        <v>-211</v>
      </c>
      <c r="Q332" s="55" t="str">
        <f t="shared" si="2"/>
        <v/>
      </c>
      <c r="R332" s="31">
        <f t="shared" si="3"/>
        <v>15775</v>
      </c>
      <c r="S332" s="9">
        <v>1366.0</v>
      </c>
      <c r="U332" s="13"/>
      <c r="V332" s="13"/>
    </row>
    <row r="333" ht="15.75" customHeight="1">
      <c r="A333" s="34">
        <v>90102.0</v>
      </c>
      <c r="B333" s="35" t="s">
        <v>344</v>
      </c>
      <c r="C333" s="28">
        <v>1655.0</v>
      </c>
      <c r="D333" s="28">
        <v>1027.0</v>
      </c>
      <c r="E333" s="28">
        <v>76.0</v>
      </c>
      <c r="F333" s="28">
        <v>110.0</v>
      </c>
      <c r="G333" s="28">
        <v>52.0</v>
      </c>
      <c r="H333" s="28">
        <v>390.0</v>
      </c>
      <c r="I333" s="28">
        <v>2230.0</v>
      </c>
      <c r="J333" s="28">
        <v>1800.0</v>
      </c>
      <c r="K333" s="28">
        <v>61.0</v>
      </c>
      <c r="L333" s="28">
        <v>121.0</v>
      </c>
      <c r="M333" s="28">
        <v>35.0</v>
      </c>
      <c r="N333" s="28">
        <v>213.0</v>
      </c>
      <c r="O333" s="55">
        <v>1358.0</v>
      </c>
      <c r="P333" s="31">
        <f t="shared" si="1"/>
        <v>442</v>
      </c>
      <c r="Q333" s="31">
        <f t="shared" si="2"/>
        <v>442</v>
      </c>
      <c r="R333" s="31">
        <f t="shared" si="3"/>
        <v>2230</v>
      </c>
      <c r="S333" s="9">
        <v>846.5</v>
      </c>
      <c r="U333" s="13"/>
      <c r="V333" s="13"/>
    </row>
    <row r="334" ht="15.75" customHeight="1">
      <c r="A334" s="26">
        <v>90103.0</v>
      </c>
      <c r="B334" s="27" t="s">
        <v>345</v>
      </c>
      <c r="C334" s="28">
        <v>545.0</v>
      </c>
      <c r="D334" s="28">
        <v>29.0</v>
      </c>
      <c r="E334" s="28">
        <v>71.0</v>
      </c>
      <c r="F334" s="28">
        <v>105.0</v>
      </c>
      <c r="G334" s="28">
        <v>36.0</v>
      </c>
      <c r="H334" s="28">
        <v>304.0</v>
      </c>
      <c r="I334" s="28">
        <v>802.0</v>
      </c>
      <c r="J334" s="28">
        <v>156.0</v>
      </c>
      <c r="K334" s="28">
        <v>160.0</v>
      </c>
      <c r="L334" s="28">
        <v>216.0</v>
      </c>
      <c r="M334" s="28">
        <v>17.0</v>
      </c>
      <c r="N334" s="28">
        <v>253.0</v>
      </c>
      <c r="O334" s="55">
        <v>0.0</v>
      </c>
      <c r="P334" s="31">
        <f t="shared" si="1"/>
        <v>156</v>
      </c>
      <c r="Q334" s="31">
        <f t="shared" si="2"/>
        <v>156</v>
      </c>
      <c r="R334" s="31">
        <f t="shared" si="3"/>
        <v>802</v>
      </c>
      <c r="S334" s="9">
        <v>0.0</v>
      </c>
      <c r="U334" s="13"/>
      <c r="V334" s="13"/>
    </row>
    <row r="335" ht="15.75" customHeight="1">
      <c r="A335" s="34">
        <v>90104.0</v>
      </c>
      <c r="B335" s="35" t="s">
        <v>346</v>
      </c>
      <c r="C335" s="28">
        <v>944.0</v>
      </c>
      <c r="D335" s="28">
        <v>50.0</v>
      </c>
      <c r="E335" s="28">
        <v>162.0</v>
      </c>
      <c r="F335" s="28">
        <v>134.0</v>
      </c>
      <c r="G335" s="28">
        <v>179.0</v>
      </c>
      <c r="H335" s="28">
        <v>419.0</v>
      </c>
      <c r="I335" s="28">
        <v>1235.0</v>
      </c>
      <c r="J335" s="28">
        <v>569.0</v>
      </c>
      <c r="K335" s="28">
        <v>67.0</v>
      </c>
      <c r="L335" s="28">
        <v>160.0</v>
      </c>
      <c r="M335" s="28">
        <v>88.0</v>
      </c>
      <c r="N335" s="28">
        <v>351.0</v>
      </c>
      <c r="O335" s="55">
        <v>437.0</v>
      </c>
      <c r="P335" s="31">
        <f t="shared" si="1"/>
        <v>132</v>
      </c>
      <c r="Q335" s="31">
        <f t="shared" si="2"/>
        <v>132</v>
      </c>
      <c r="R335" s="31">
        <f t="shared" si="3"/>
        <v>1235</v>
      </c>
      <c r="S335" s="9">
        <v>998.0</v>
      </c>
      <c r="U335" s="13"/>
      <c r="V335" s="13"/>
    </row>
    <row r="336" ht="15.75" customHeight="1">
      <c r="A336" s="26">
        <v>90201.0</v>
      </c>
      <c r="B336" s="27" t="s">
        <v>347</v>
      </c>
      <c r="C336" s="28">
        <v>1382.0</v>
      </c>
      <c r="D336" s="28">
        <v>493.0</v>
      </c>
      <c r="E336" s="28">
        <v>321.0</v>
      </c>
      <c r="F336" s="28">
        <v>59.0</v>
      </c>
      <c r="G336" s="28">
        <v>52.0</v>
      </c>
      <c r="H336" s="28">
        <v>457.0</v>
      </c>
      <c r="I336" s="28">
        <v>1989.0</v>
      </c>
      <c r="J336" s="28">
        <v>1344.0</v>
      </c>
      <c r="K336" s="28">
        <v>233.0</v>
      </c>
      <c r="L336" s="28">
        <v>67.0</v>
      </c>
      <c r="M336" s="28">
        <v>20.0</v>
      </c>
      <c r="N336" s="28">
        <v>325.0</v>
      </c>
      <c r="O336" s="55">
        <v>1247.0</v>
      </c>
      <c r="P336" s="31">
        <f t="shared" si="1"/>
        <v>97</v>
      </c>
      <c r="Q336" s="31">
        <f t="shared" si="2"/>
        <v>97</v>
      </c>
      <c r="R336" s="31">
        <f t="shared" si="3"/>
        <v>1989</v>
      </c>
      <c r="S336" s="9">
        <v>695.0</v>
      </c>
      <c r="U336" s="13"/>
      <c r="V336" s="13"/>
    </row>
    <row r="337" ht="15.75" customHeight="1">
      <c r="A337" s="34">
        <v>90202.0</v>
      </c>
      <c r="B337" s="35" t="s">
        <v>310</v>
      </c>
      <c r="C337" s="28">
        <v>611.0</v>
      </c>
      <c r="D337" s="28">
        <v>2.0</v>
      </c>
      <c r="E337" s="28">
        <v>45.0</v>
      </c>
      <c r="F337" s="28">
        <v>53.0</v>
      </c>
      <c r="G337" s="28">
        <v>74.0</v>
      </c>
      <c r="H337" s="28">
        <v>437.0</v>
      </c>
      <c r="I337" s="28">
        <v>612.0</v>
      </c>
      <c r="J337" s="28">
        <v>2.0</v>
      </c>
      <c r="K337" s="28">
        <v>136.0</v>
      </c>
      <c r="L337" s="28">
        <v>84.0</v>
      </c>
      <c r="M337" s="28">
        <v>21.0</v>
      </c>
      <c r="N337" s="28">
        <v>369.0</v>
      </c>
      <c r="O337" s="55">
        <v>155.0</v>
      </c>
      <c r="P337" s="31">
        <f t="shared" si="1"/>
        <v>-153</v>
      </c>
      <c r="Q337" s="55" t="str">
        <f t="shared" si="2"/>
        <v/>
      </c>
      <c r="R337" s="31">
        <f t="shared" si="3"/>
        <v>765</v>
      </c>
      <c r="S337" s="9">
        <v>802.0</v>
      </c>
      <c r="U337" s="13"/>
      <c r="V337" s="13"/>
    </row>
    <row r="338" ht="15.75" customHeight="1">
      <c r="A338" s="26">
        <v>90203.0</v>
      </c>
      <c r="B338" s="27" t="s">
        <v>348</v>
      </c>
      <c r="C338" s="28">
        <v>1427.0</v>
      </c>
      <c r="D338" s="28">
        <v>362.0</v>
      </c>
      <c r="E338" s="28">
        <v>297.0</v>
      </c>
      <c r="F338" s="28">
        <v>52.0</v>
      </c>
      <c r="G338" s="28">
        <v>71.0</v>
      </c>
      <c r="H338" s="28">
        <v>645.0</v>
      </c>
      <c r="I338" s="28">
        <v>2514.0</v>
      </c>
      <c r="J338" s="28">
        <v>1312.0</v>
      </c>
      <c r="K338" s="28">
        <v>334.0</v>
      </c>
      <c r="L338" s="28">
        <v>240.0</v>
      </c>
      <c r="M338" s="28">
        <v>34.0</v>
      </c>
      <c r="N338" s="28">
        <v>594.0</v>
      </c>
      <c r="O338" s="55">
        <v>1104.0</v>
      </c>
      <c r="P338" s="31">
        <f t="shared" si="1"/>
        <v>208</v>
      </c>
      <c r="Q338" s="31">
        <f t="shared" si="2"/>
        <v>208</v>
      </c>
      <c r="R338" s="31">
        <f t="shared" si="3"/>
        <v>2514</v>
      </c>
      <c r="S338" s="9">
        <v>655.5</v>
      </c>
      <c r="U338" s="13"/>
      <c r="V338" s="13"/>
    </row>
    <row r="339" ht="15.75" customHeight="1">
      <c r="A339" s="34">
        <v>90301.0</v>
      </c>
      <c r="B339" s="35" t="s">
        <v>349</v>
      </c>
      <c r="C339" s="28">
        <v>1026.0</v>
      </c>
      <c r="D339" s="28">
        <v>506.0</v>
      </c>
      <c r="E339" s="28">
        <v>27.0</v>
      </c>
      <c r="F339" s="28">
        <v>94.0</v>
      </c>
      <c r="G339" s="28">
        <v>29.0</v>
      </c>
      <c r="H339" s="28">
        <v>370.0</v>
      </c>
      <c r="I339" s="28">
        <v>1965.0</v>
      </c>
      <c r="J339" s="28">
        <v>1385.0</v>
      </c>
      <c r="K339" s="28">
        <v>48.0</v>
      </c>
      <c r="L339" s="28">
        <v>58.0</v>
      </c>
      <c r="M339" s="28">
        <v>126.0</v>
      </c>
      <c r="N339" s="28">
        <v>348.0</v>
      </c>
      <c r="O339" s="55">
        <v>0.0</v>
      </c>
      <c r="P339" s="31">
        <f t="shared" si="1"/>
        <v>1385</v>
      </c>
      <c r="Q339" s="31">
        <f t="shared" si="2"/>
        <v>1385</v>
      </c>
      <c r="R339" s="31">
        <f t="shared" si="3"/>
        <v>1965</v>
      </c>
      <c r="S339" s="9">
        <v>0.0</v>
      </c>
      <c r="U339" s="13"/>
      <c r="V339" s="13"/>
    </row>
    <row r="340" ht="15.75" customHeight="1">
      <c r="A340" s="26">
        <v>90302.0</v>
      </c>
      <c r="B340" s="27" t="s">
        <v>350</v>
      </c>
      <c r="C340" s="28">
        <v>1342.0</v>
      </c>
      <c r="D340" s="28">
        <v>574.0</v>
      </c>
      <c r="E340" s="28">
        <v>155.0</v>
      </c>
      <c r="F340" s="28">
        <v>20.0</v>
      </c>
      <c r="G340" s="28">
        <v>17.0</v>
      </c>
      <c r="H340" s="28">
        <v>576.0</v>
      </c>
      <c r="I340" s="28">
        <v>1850.0</v>
      </c>
      <c r="J340" s="28">
        <v>1288.0</v>
      </c>
      <c r="K340" s="28">
        <v>177.0</v>
      </c>
      <c r="L340" s="28">
        <v>29.0</v>
      </c>
      <c r="M340" s="28">
        <v>54.0</v>
      </c>
      <c r="N340" s="28">
        <v>302.0</v>
      </c>
      <c r="O340" s="55">
        <v>833.0</v>
      </c>
      <c r="P340" s="31">
        <f t="shared" si="1"/>
        <v>455</v>
      </c>
      <c r="Q340" s="31">
        <f t="shared" si="2"/>
        <v>455</v>
      </c>
      <c r="R340" s="31">
        <f t="shared" si="3"/>
        <v>1850</v>
      </c>
      <c r="S340" s="9">
        <v>459.0</v>
      </c>
      <c r="U340" s="13"/>
      <c r="V340" s="13"/>
    </row>
    <row r="341" ht="15.75" customHeight="1">
      <c r="A341" s="34">
        <v>90303.0</v>
      </c>
      <c r="B341" s="35" t="s">
        <v>351</v>
      </c>
      <c r="C341" s="28">
        <v>1653.0</v>
      </c>
      <c r="D341" s="28">
        <v>61.0</v>
      </c>
      <c r="E341" s="28">
        <v>135.0</v>
      </c>
      <c r="F341" s="28">
        <v>25.0</v>
      </c>
      <c r="G341" s="28">
        <v>11.0</v>
      </c>
      <c r="H341" s="28">
        <v>1421.0</v>
      </c>
      <c r="I341" s="28">
        <v>2875.0</v>
      </c>
      <c r="J341" s="28">
        <v>1120.0</v>
      </c>
      <c r="K341" s="28">
        <v>425.0</v>
      </c>
      <c r="L341" s="28">
        <v>170.0</v>
      </c>
      <c r="M341" s="28">
        <v>87.0</v>
      </c>
      <c r="N341" s="28">
        <v>1073.0</v>
      </c>
      <c r="O341" s="55">
        <v>1101.0</v>
      </c>
      <c r="P341" s="31">
        <f t="shared" si="1"/>
        <v>19</v>
      </c>
      <c r="Q341" s="31">
        <f t="shared" si="2"/>
        <v>19</v>
      </c>
      <c r="R341" s="31">
        <f t="shared" si="3"/>
        <v>2875</v>
      </c>
      <c r="S341" s="9">
        <v>681.0</v>
      </c>
      <c r="U341" s="13"/>
      <c r="V341" s="13"/>
    </row>
    <row r="342" ht="15.75" customHeight="1">
      <c r="A342" s="26">
        <v>90401.0</v>
      </c>
      <c r="B342" s="27" t="s">
        <v>352</v>
      </c>
      <c r="C342" s="28">
        <v>611.0</v>
      </c>
      <c r="D342" s="28">
        <v>340.0</v>
      </c>
      <c r="E342" s="28">
        <v>47.0</v>
      </c>
      <c r="F342" s="28">
        <v>11.0</v>
      </c>
      <c r="G342" s="28">
        <v>7.0</v>
      </c>
      <c r="H342" s="28">
        <v>206.0</v>
      </c>
      <c r="I342" s="28">
        <v>860.0</v>
      </c>
      <c r="J342" s="28">
        <v>568.0</v>
      </c>
      <c r="K342" s="28">
        <v>85.0</v>
      </c>
      <c r="L342" s="28">
        <v>19.0</v>
      </c>
      <c r="M342" s="28">
        <v>39.0</v>
      </c>
      <c r="N342" s="28">
        <v>149.0</v>
      </c>
      <c r="O342" s="55">
        <v>476.0</v>
      </c>
      <c r="P342" s="31">
        <f t="shared" si="1"/>
        <v>92</v>
      </c>
      <c r="Q342" s="31">
        <f t="shared" si="2"/>
        <v>92</v>
      </c>
      <c r="R342" s="31">
        <f t="shared" si="3"/>
        <v>860</v>
      </c>
      <c r="S342" s="9">
        <v>572.5</v>
      </c>
      <c r="U342" s="13"/>
      <c r="V342" s="13"/>
    </row>
    <row r="343" ht="15.75" customHeight="1">
      <c r="A343" s="34">
        <v>90402.0</v>
      </c>
      <c r="B343" s="35" t="s">
        <v>353</v>
      </c>
      <c r="C343" s="28">
        <v>344.0</v>
      </c>
      <c r="D343" s="28">
        <v>137.0</v>
      </c>
      <c r="E343" s="28">
        <v>20.0</v>
      </c>
      <c r="F343" s="28">
        <v>11.0</v>
      </c>
      <c r="G343" s="28">
        <v>42.0</v>
      </c>
      <c r="H343" s="28">
        <v>134.0</v>
      </c>
      <c r="I343" s="28">
        <v>649.0</v>
      </c>
      <c r="J343" s="28">
        <v>113.0</v>
      </c>
      <c r="K343" s="28">
        <v>161.0</v>
      </c>
      <c r="L343" s="28">
        <v>89.0</v>
      </c>
      <c r="M343" s="28">
        <v>25.0</v>
      </c>
      <c r="N343" s="28">
        <v>261.0</v>
      </c>
      <c r="O343" s="55">
        <v>0.0</v>
      </c>
      <c r="P343" s="31">
        <f t="shared" si="1"/>
        <v>113</v>
      </c>
      <c r="Q343" s="31">
        <f t="shared" si="2"/>
        <v>113</v>
      </c>
      <c r="R343" s="31">
        <f t="shared" si="3"/>
        <v>649</v>
      </c>
      <c r="S343" s="9">
        <v>0.0</v>
      </c>
      <c r="U343" s="13"/>
      <c r="V343" s="13"/>
    </row>
    <row r="344" ht="15.75" customHeight="1">
      <c r="A344" s="26">
        <v>90501.0</v>
      </c>
      <c r="B344" s="27" t="s">
        <v>354</v>
      </c>
      <c r="C344" s="28">
        <v>466.0</v>
      </c>
      <c r="D344" s="28">
        <v>90.0</v>
      </c>
      <c r="E344" s="28">
        <v>92.0</v>
      </c>
      <c r="F344" s="28">
        <v>29.0</v>
      </c>
      <c r="G344" s="28">
        <v>14.0</v>
      </c>
      <c r="H344" s="28">
        <v>241.0</v>
      </c>
      <c r="I344" s="28">
        <v>489.0</v>
      </c>
      <c r="J344" s="28">
        <v>71.0</v>
      </c>
      <c r="K344" s="28">
        <v>190.0</v>
      </c>
      <c r="L344" s="28">
        <v>59.0</v>
      </c>
      <c r="M344" s="28">
        <v>18.0</v>
      </c>
      <c r="N344" s="28">
        <v>151.0</v>
      </c>
      <c r="O344" s="55">
        <v>0.0</v>
      </c>
      <c r="P344" s="31">
        <f t="shared" si="1"/>
        <v>71</v>
      </c>
      <c r="Q344" s="31">
        <f t="shared" si="2"/>
        <v>71</v>
      </c>
      <c r="R344" s="31">
        <f t="shared" si="3"/>
        <v>489</v>
      </c>
      <c r="S344" s="9">
        <v>0.0</v>
      </c>
      <c r="U344" s="13"/>
      <c r="V344" s="13"/>
    </row>
    <row r="345" ht="15.75" customHeight="1">
      <c r="A345" s="34">
        <v>90502.0</v>
      </c>
      <c r="B345" s="35" t="s">
        <v>355</v>
      </c>
      <c r="C345" s="28">
        <v>589.0</v>
      </c>
      <c r="D345" s="28">
        <v>186.0</v>
      </c>
      <c r="E345" s="28">
        <v>105.0</v>
      </c>
      <c r="F345" s="28">
        <v>25.0</v>
      </c>
      <c r="G345" s="28">
        <v>16.0</v>
      </c>
      <c r="H345" s="28">
        <v>257.0</v>
      </c>
      <c r="I345" s="28">
        <v>708.0</v>
      </c>
      <c r="J345" s="28">
        <v>274.0</v>
      </c>
      <c r="K345" s="28">
        <v>110.0</v>
      </c>
      <c r="L345" s="28">
        <v>84.0</v>
      </c>
      <c r="M345" s="28">
        <v>27.0</v>
      </c>
      <c r="N345" s="28">
        <v>213.0</v>
      </c>
      <c r="O345" s="55">
        <v>0.0</v>
      </c>
      <c r="P345" s="31">
        <f t="shared" si="1"/>
        <v>274</v>
      </c>
      <c r="Q345" s="31">
        <f t="shared" si="2"/>
        <v>274</v>
      </c>
      <c r="R345" s="31">
        <f t="shared" si="3"/>
        <v>708</v>
      </c>
      <c r="S345" s="9">
        <v>0.0</v>
      </c>
      <c r="U345" s="13"/>
      <c r="V345" s="13"/>
    </row>
    <row r="346" ht="15.75" customHeight="1">
      <c r="A346" s="26">
        <v>90503.0</v>
      </c>
      <c r="B346" s="27" t="s">
        <v>356</v>
      </c>
      <c r="C346" s="28">
        <v>466.0</v>
      </c>
      <c r="D346" s="28">
        <v>66.0</v>
      </c>
      <c r="E346" s="28">
        <v>106.0</v>
      </c>
      <c r="F346" s="28">
        <v>43.0</v>
      </c>
      <c r="G346" s="28">
        <v>18.0</v>
      </c>
      <c r="H346" s="28">
        <v>233.0</v>
      </c>
      <c r="I346" s="28">
        <v>601.0</v>
      </c>
      <c r="J346" s="28">
        <v>188.0</v>
      </c>
      <c r="K346" s="28">
        <v>107.0</v>
      </c>
      <c r="L346" s="28">
        <v>48.0</v>
      </c>
      <c r="M346" s="28">
        <v>50.0</v>
      </c>
      <c r="N346" s="28">
        <v>208.0</v>
      </c>
      <c r="O346" s="55">
        <v>0.0</v>
      </c>
      <c r="P346" s="31">
        <f t="shared" si="1"/>
        <v>188</v>
      </c>
      <c r="Q346" s="31">
        <f t="shared" si="2"/>
        <v>188</v>
      </c>
      <c r="R346" s="31">
        <f t="shared" si="3"/>
        <v>601</v>
      </c>
      <c r="S346" s="9">
        <v>0.0</v>
      </c>
      <c r="U346" s="13"/>
      <c r="V346" s="13"/>
    </row>
    <row r="347" ht="15.75" customHeight="1">
      <c r="A347" s="39"/>
      <c r="B347" s="40"/>
      <c r="C347" s="41">
        <f t="shared" ref="C347:D347" si="4">SUM(C4:C346)</f>
        <v>2803982</v>
      </c>
      <c r="D347" s="42">
        <f t="shared" si="4"/>
        <v>2225608</v>
      </c>
      <c r="E347" s="40"/>
      <c r="F347" s="40"/>
      <c r="G347" s="40"/>
      <c r="H347" s="40"/>
      <c r="I347" s="41">
        <f t="shared" ref="I347:J347" si="5">SUM(I4:I346)</f>
        <v>3623711</v>
      </c>
      <c r="J347" s="42">
        <f t="shared" si="5"/>
        <v>3130729</v>
      </c>
      <c r="K347" s="43"/>
      <c r="L347" s="43"/>
      <c r="M347" s="40"/>
      <c r="N347" s="40"/>
      <c r="O347" s="33">
        <v>3027350.0</v>
      </c>
      <c r="P347" s="55"/>
      <c r="Q347" s="55" t="str">
        <f t="shared" si="2"/>
        <v/>
      </c>
      <c r="R347" s="31">
        <f>SUM(R3:R346)</f>
        <v>3863382</v>
      </c>
      <c r="S347" s="9">
        <v>776.0</v>
      </c>
      <c r="U347" s="13"/>
      <c r="V347" s="13"/>
    </row>
    <row r="348" ht="15.75" customHeight="1">
      <c r="A348" s="47"/>
      <c r="B348" s="48"/>
      <c r="C348" s="48"/>
      <c r="D348" s="48"/>
      <c r="E348" s="48"/>
      <c r="F348" s="48"/>
      <c r="G348" s="48"/>
      <c r="H348" s="48"/>
      <c r="I348" s="48"/>
      <c r="J348" s="48"/>
      <c r="K348" s="48"/>
      <c r="L348" s="48"/>
      <c r="M348" s="48"/>
      <c r="N348" s="48"/>
      <c r="O348" s="9"/>
      <c r="P348" s="9"/>
      <c r="Q348" s="9"/>
      <c r="R348" s="9"/>
      <c r="S348" s="9"/>
      <c r="U348" s="13"/>
      <c r="V348" s="13"/>
    </row>
    <row r="349" ht="15.75" customHeight="1">
      <c r="A349" s="47"/>
      <c r="B349" s="48"/>
      <c r="C349" s="48"/>
      <c r="D349" s="48"/>
      <c r="E349" s="48"/>
      <c r="F349" s="48"/>
      <c r="G349" s="48"/>
      <c r="H349" s="48"/>
      <c r="I349" s="48"/>
      <c r="J349" s="48"/>
      <c r="K349" s="48"/>
      <c r="L349" s="48"/>
      <c r="M349" s="48"/>
      <c r="N349" s="48"/>
      <c r="O349" s="9"/>
      <c r="P349" s="9"/>
      <c r="Q349" s="9"/>
      <c r="R349" s="9"/>
      <c r="S349" s="9"/>
      <c r="U349" s="13"/>
      <c r="V349" s="13"/>
    </row>
    <row r="350" ht="15.75" customHeight="1">
      <c r="A350" s="47"/>
      <c r="B350" s="48"/>
      <c r="C350" s="48"/>
      <c r="D350" s="48"/>
      <c r="E350" s="48"/>
      <c r="F350" s="48"/>
      <c r="G350" s="48"/>
      <c r="H350" s="48"/>
      <c r="I350" s="48"/>
      <c r="J350" s="48"/>
      <c r="K350" s="48"/>
      <c r="L350" s="48"/>
      <c r="M350" s="48"/>
      <c r="N350" s="48"/>
      <c r="O350" s="9"/>
      <c r="P350" s="9"/>
      <c r="Q350" s="9"/>
      <c r="R350" s="9"/>
      <c r="S350" s="9"/>
      <c r="U350" s="13"/>
      <c r="V350" s="13"/>
    </row>
    <row r="351" ht="15.75" customHeight="1">
      <c r="A351" s="47"/>
      <c r="B351" s="48"/>
      <c r="C351" s="48"/>
      <c r="D351" s="48"/>
      <c r="E351" s="48"/>
      <c r="F351" s="48"/>
      <c r="G351" s="48"/>
      <c r="H351" s="48"/>
      <c r="I351" s="48"/>
      <c r="J351" s="48"/>
      <c r="K351" s="48"/>
      <c r="L351" s="48"/>
      <c r="M351" s="48"/>
      <c r="N351" s="48"/>
      <c r="O351" s="9"/>
      <c r="P351" s="9"/>
      <c r="Q351" s="9"/>
      <c r="R351" s="9"/>
      <c r="S351" s="9"/>
      <c r="U351" s="13"/>
      <c r="V351" s="13"/>
    </row>
    <row r="352" ht="15.75" customHeight="1">
      <c r="A352" s="47"/>
      <c r="B352" s="48"/>
      <c r="C352" s="48"/>
      <c r="D352" s="48"/>
      <c r="E352" s="48"/>
      <c r="F352" s="48"/>
      <c r="G352" s="48"/>
      <c r="H352" s="48"/>
      <c r="I352" s="48"/>
      <c r="J352" s="48"/>
      <c r="K352" s="48"/>
      <c r="L352" s="48"/>
      <c r="M352" s="48"/>
      <c r="N352" s="48"/>
      <c r="O352" s="9"/>
      <c r="P352" s="9"/>
      <c r="Q352" s="9"/>
      <c r="R352" s="9"/>
      <c r="S352" s="9"/>
      <c r="U352" s="13"/>
      <c r="V352" s="13"/>
    </row>
    <row r="353" ht="15.75" customHeight="1">
      <c r="A353" s="47"/>
      <c r="B353" s="48"/>
      <c r="C353" s="48"/>
      <c r="D353" s="48"/>
      <c r="E353" s="48"/>
      <c r="F353" s="48"/>
      <c r="G353" s="48"/>
      <c r="H353" s="48"/>
      <c r="I353" s="48"/>
      <c r="J353" s="48"/>
      <c r="K353" s="48"/>
      <c r="L353" s="48"/>
      <c r="M353" s="48"/>
      <c r="N353" s="48"/>
      <c r="O353" s="9"/>
      <c r="P353" s="9"/>
      <c r="Q353" s="9"/>
      <c r="R353" s="9"/>
      <c r="S353" s="9"/>
      <c r="U353" s="13"/>
      <c r="V353" s="13"/>
    </row>
    <row r="354" ht="15.75" customHeight="1">
      <c r="A354" s="47"/>
      <c r="B354" s="48"/>
      <c r="C354" s="48"/>
      <c r="D354" s="48"/>
      <c r="E354" s="48"/>
      <c r="F354" s="48"/>
      <c r="G354" s="48"/>
      <c r="H354" s="48"/>
      <c r="I354" s="48"/>
      <c r="J354" s="48"/>
      <c r="K354" s="48"/>
      <c r="L354" s="48"/>
      <c r="M354" s="48"/>
      <c r="N354" s="48"/>
      <c r="O354" s="9"/>
      <c r="P354" s="9"/>
      <c r="Q354" s="9"/>
      <c r="R354" s="9"/>
      <c r="S354" s="9"/>
      <c r="U354" s="13"/>
      <c r="V354" s="13"/>
    </row>
    <row r="355" ht="15.75" customHeight="1">
      <c r="A355" s="47"/>
      <c r="B355" s="48"/>
      <c r="C355" s="48"/>
      <c r="D355" s="48"/>
      <c r="E355" s="48"/>
      <c r="F355" s="48"/>
      <c r="G355" s="48"/>
      <c r="H355" s="48"/>
      <c r="I355" s="48"/>
      <c r="J355" s="48"/>
      <c r="K355" s="48"/>
      <c r="L355" s="48"/>
      <c r="M355" s="48"/>
      <c r="N355" s="48"/>
      <c r="O355" s="9"/>
      <c r="P355" s="9"/>
      <c r="Q355" s="9"/>
      <c r="R355" s="9"/>
      <c r="S355" s="9"/>
      <c r="U355" s="13"/>
      <c r="V355" s="13"/>
    </row>
    <row r="356" ht="15.75" customHeight="1">
      <c r="A356" s="47"/>
      <c r="B356" s="48"/>
      <c r="C356" s="48"/>
      <c r="D356" s="48"/>
      <c r="E356" s="48"/>
      <c r="F356" s="48"/>
      <c r="G356" s="48"/>
      <c r="H356" s="48"/>
      <c r="I356" s="48"/>
      <c r="J356" s="48"/>
      <c r="K356" s="48"/>
      <c r="L356" s="48"/>
      <c r="M356" s="48"/>
      <c r="N356" s="48"/>
      <c r="O356" s="9"/>
      <c r="P356" s="9"/>
      <c r="Q356" s="9"/>
      <c r="R356" s="9"/>
      <c r="S356" s="9"/>
      <c r="U356" s="13"/>
      <c r="V356" s="13"/>
    </row>
    <row r="357" ht="15.75" customHeight="1">
      <c r="A357" s="47"/>
      <c r="B357" s="48"/>
      <c r="C357" s="48"/>
      <c r="D357" s="48"/>
      <c r="E357" s="48"/>
      <c r="F357" s="48"/>
      <c r="G357" s="48"/>
      <c r="H357" s="48"/>
      <c r="I357" s="48"/>
      <c r="J357" s="48"/>
      <c r="K357" s="48"/>
      <c r="L357" s="48"/>
      <c r="M357" s="48"/>
      <c r="N357" s="48"/>
      <c r="O357" s="9"/>
      <c r="P357" s="9"/>
      <c r="Q357" s="9"/>
      <c r="R357" s="9"/>
      <c r="S357" s="9"/>
      <c r="U357" s="13"/>
      <c r="V357" s="13"/>
    </row>
    <row r="358" ht="15.75" customHeight="1">
      <c r="A358" s="47"/>
      <c r="B358" s="48"/>
      <c r="C358" s="48"/>
      <c r="D358" s="48"/>
      <c r="E358" s="48"/>
      <c r="F358" s="48"/>
      <c r="G358" s="48"/>
      <c r="H358" s="48"/>
      <c r="I358" s="48"/>
      <c r="J358" s="48"/>
      <c r="K358" s="48"/>
      <c r="L358" s="48"/>
      <c r="M358" s="48"/>
      <c r="N358" s="48"/>
      <c r="O358" s="9"/>
      <c r="P358" s="9"/>
      <c r="Q358" s="9"/>
      <c r="R358" s="9"/>
      <c r="S358" s="9"/>
      <c r="U358" s="13"/>
      <c r="V358" s="13"/>
    </row>
    <row r="359" ht="15.75" customHeight="1">
      <c r="A359" s="47"/>
      <c r="B359" s="48"/>
      <c r="C359" s="48"/>
      <c r="D359" s="48"/>
      <c r="E359" s="48"/>
      <c r="F359" s="48"/>
      <c r="G359" s="48"/>
      <c r="H359" s="48"/>
      <c r="I359" s="48"/>
      <c r="J359" s="48"/>
      <c r="K359" s="48"/>
      <c r="L359" s="48"/>
      <c r="M359" s="48"/>
      <c r="N359" s="48"/>
      <c r="O359" s="9"/>
      <c r="P359" s="9"/>
      <c r="Q359" s="9"/>
      <c r="R359" s="9"/>
      <c r="S359" s="9"/>
      <c r="U359" s="13"/>
      <c r="V359" s="13"/>
    </row>
    <row r="360" ht="15.75" customHeight="1">
      <c r="A360" s="47"/>
      <c r="B360" s="48"/>
      <c r="C360" s="48"/>
      <c r="D360" s="48"/>
      <c r="E360" s="48"/>
      <c r="F360" s="48"/>
      <c r="G360" s="48"/>
      <c r="H360" s="48"/>
      <c r="I360" s="48"/>
      <c r="J360" s="48"/>
      <c r="K360" s="48"/>
      <c r="L360" s="48"/>
      <c r="M360" s="48"/>
      <c r="N360" s="48"/>
      <c r="O360" s="9"/>
      <c r="P360" s="9"/>
      <c r="Q360" s="9"/>
      <c r="R360" s="9"/>
      <c r="S360" s="9"/>
      <c r="U360" s="13"/>
      <c r="V360" s="13"/>
    </row>
    <row r="361" ht="15.75" customHeight="1">
      <c r="A361" s="47"/>
      <c r="B361" s="48"/>
      <c r="C361" s="48"/>
      <c r="D361" s="48"/>
      <c r="E361" s="48"/>
      <c r="F361" s="48"/>
      <c r="G361" s="48"/>
      <c r="H361" s="48"/>
      <c r="I361" s="48"/>
      <c r="J361" s="48"/>
      <c r="K361" s="48"/>
      <c r="L361" s="48"/>
      <c r="M361" s="48"/>
      <c r="N361" s="48"/>
      <c r="O361" s="9"/>
      <c r="P361" s="9"/>
      <c r="Q361" s="9"/>
      <c r="R361" s="9"/>
      <c r="S361" s="9"/>
      <c r="U361" s="13"/>
      <c r="V361" s="13"/>
    </row>
    <row r="362" ht="15.75" customHeight="1">
      <c r="A362" s="47"/>
      <c r="B362" s="48"/>
      <c r="C362" s="48"/>
      <c r="D362" s="48"/>
      <c r="E362" s="48"/>
      <c r="F362" s="48"/>
      <c r="G362" s="48"/>
      <c r="H362" s="48"/>
      <c r="I362" s="48"/>
      <c r="J362" s="48"/>
      <c r="K362" s="48"/>
      <c r="L362" s="48"/>
      <c r="M362" s="48"/>
      <c r="N362" s="48"/>
      <c r="O362" s="9"/>
      <c r="P362" s="9"/>
      <c r="Q362" s="9"/>
      <c r="R362" s="9"/>
      <c r="S362" s="9"/>
      <c r="U362" s="13"/>
      <c r="V362" s="13"/>
    </row>
    <row r="363" ht="15.75" customHeight="1">
      <c r="A363" s="47"/>
      <c r="B363" s="48"/>
      <c r="C363" s="48"/>
      <c r="D363" s="48"/>
      <c r="E363" s="48"/>
      <c r="F363" s="48"/>
      <c r="G363" s="48"/>
      <c r="H363" s="48"/>
      <c r="I363" s="48"/>
      <c r="J363" s="48"/>
      <c r="K363" s="48"/>
      <c r="L363" s="48"/>
      <c r="M363" s="48"/>
      <c r="N363" s="48"/>
      <c r="O363" s="9"/>
      <c r="P363" s="9"/>
      <c r="Q363" s="9"/>
      <c r="R363" s="9"/>
      <c r="S363" s="9"/>
      <c r="U363" s="13"/>
      <c r="V363" s="13"/>
    </row>
    <row r="364" ht="15.75" customHeight="1">
      <c r="A364" s="47"/>
      <c r="B364" s="48"/>
      <c r="C364" s="48"/>
      <c r="D364" s="48"/>
      <c r="E364" s="48"/>
      <c r="F364" s="48"/>
      <c r="G364" s="48"/>
      <c r="H364" s="48"/>
      <c r="I364" s="48"/>
      <c r="J364" s="48"/>
      <c r="K364" s="48"/>
      <c r="L364" s="48"/>
      <c r="M364" s="48"/>
      <c r="N364" s="48"/>
      <c r="O364" s="9"/>
      <c r="P364" s="9"/>
      <c r="Q364" s="9"/>
      <c r="R364" s="9"/>
      <c r="S364" s="9"/>
      <c r="U364" s="13"/>
      <c r="V364" s="13"/>
    </row>
    <row r="365" ht="15.75" customHeight="1">
      <c r="A365" s="47"/>
      <c r="B365" s="48"/>
      <c r="C365" s="48"/>
      <c r="D365" s="48"/>
      <c r="E365" s="48"/>
      <c r="F365" s="48"/>
      <c r="G365" s="48"/>
      <c r="H365" s="48"/>
      <c r="I365" s="48"/>
      <c r="J365" s="48"/>
      <c r="K365" s="48"/>
      <c r="L365" s="48"/>
      <c r="M365" s="48"/>
      <c r="N365" s="48"/>
      <c r="O365" s="9"/>
      <c r="P365" s="9"/>
      <c r="Q365" s="9"/>
      <c r="R365" s="9"/>
      <c r="S365" s="9"/>
      <c r="U365" s="13"/>
      <c r="V365" s="13"/>
    </row>
    <row r="366" ht="15.75" customHeight="1">
      <c r="A366" s="47"/>
      <c r="B366" s="48"/>
      <c r="C366" s="48"/>
      <c r="D366" s="48"/>
      <c r="E366" s="48"/>
      <c r="F366" s="48"/>
      <c r="G366" s="48"/>
      <c r="H366" s="48"/>
      <c r="I366" s="48"/>
      <c r="J366" s="48"/>
      <c r="K366" s="48"/>
      <c r="L366" s="48"/>
      <c r="M366" s="48"/>
      <c r="N366" s="48"/>
      <c r="O366" s="9"/>
      <c r="P366" s="9"/>
      <c r="Q366" s="9"/>
      <c r="R366" s="9"/>
      <c r="S366" s="9"/>
      <c r="U366" s="13"/>
      <c r="V366" s="13"/>
    </row>
    <row r="367" ht="15.75" customHeight="1">
      <c r="A367" s="47"/>
      <c r="B367" s="48"/>
      <c r="C367" s="48"/>
      <c r="D367" s="48"/>
      <c r="E367" s="48"/>
      <c r="F367" s="48"/>
      <c r="G367" s="48"/>
      <c r="H367" s="48"/>
      <c r="I367" s="48"/>
      <c r="J367" s="48"/>
      <c r="K367" s="48"/>
      <c r="L367" s="48"/>
      <c r="M367" s="48"/>
      <c r="N367" s="48"/>
      <c r="O367" s="9"/>
      <c r="P367" s="9"/>
      <c r="Q367" s="9"/>
      <c r="R367" s="9"/>
      <c r="S367" s="9"/>
      <c r="U367" s="13"/>
      <c r="V367" s="13"/>
    </row>
    <row r="368" ht="15.75" customHeight="1">
      <c r="A368" s="47"/>
      <c r="B368" s="48"/>
      <c r="C368" s="48"/>
      <c r="D368" s="48"/>
      <c r="E368" s="48"/>
      <c r="F368" s="48"/>
      <c r="G368" s="48"/>
      <c r="H368" s="48"/>
      <c r="I368" s="48"/>
      <c r="J368" s="48"/>
      <c r="K368" s="48"/>
      <c r="L368" s="48"/>
      <c r="M368" s="48"/>
      <c r="N368" s="48"/>
      <c r="O368" s="9"/>
      <c r="P368" s="9"/>
      <c r="Q368" s="9"/>
      <c r="R368" s="9"/>
      <c r="S368" s="9"/>
      <c r="U368" s="13"/>
      <c r="V368" s="13"/>
    </row>
    <row r="369" ht="15.75" customHeight="1">
      <c r="A369" s="47"/>
      <c r="B369" s="48"/>
      <c r="C369" s="48"/>
      <c r="D369" s="48"/>
      <c r="E369" s="48"/>
      <c r="F369" s="48"/>
      <c r="G369" s="48"/>
      <c r="H369" s="48"/>
      <c r="I369" s="48"/>
      <c r="J369" s="48"/>
      <c r="K369" s="48"/>
      <c r="L369" s="48"/>
      <c r="M369" s="48"/>
      <c r="N369" s="48"/>
      <c r="O369" s="9"/>
      <c r="P369" s="9"/>
      <c r="Q369" s="9"/>
      <c r="R369" s="9"/>
      <c r="S369" s="9"/>
      <c r="U369" s="13"/>
      <c r="V369" s="13"/>
    </row>
    <row r="370" ht="15.75" customHeight="1">
      <c r="A370" s="47"/>
      <c r="B370" s="48"/>
      <c r="C370" s="48"/>
      <c r="D370" s="48"/>
      <c r="E370" s="48"/>
      <c r="F370" s="48"/>
      <c r="G370" s="48"/>
      <c r="H370" s="48"/>
      <c r="I370" s="48"/>
      <c r="J370" s="48"/>
      <c r="K370" s="48"/>
      <c r="L370" s="48"/>
      <c r="M370" s="48"/>
      <c r="N370" s="48"/>
      <c r="O370" s="9"/>
      <c r="P370" s="9"/>
      <c r="Q370" s="9"/>
      <c r="R370" s="9"/>
      <c r="S370" s="9"/>
      <c r="U370" s="13"/>
      <c r="V370" s="13"/>
    </row>
    <row r="371" ht="15.75" customHeight="1">
      <c r="A371" s="47"/>
      <c r="B371" s="48"/>
      <c r="C371" s="48"/>
      <c r="D371" s="48"/>
      <c r="E371" s="48"/>
      <c r="F371" s="48"/>
      <c r="G371" s="48"/>
      <c r="H371" s="48"/>
      <c r="I371" s="48"/>
      <c r="J371" s="48"/>
      <c r="K371" s="48"/>
      <c r="L371" s="48"/>
      <c r="M371" s="48"/>
      <c r="N371" s="48"/>
      <c r="O371" s="9"/>
      <c r="P371" s="9"/>
      <c r="Q371" s="9"/>
      <c r="R371" s="9"/>
      <c r="S371" s="9"/>
      <c r="U371" s="13"/>
      <c r="V371" s="13"/>
    </row>
    <row r="372" ht="15.75" customHeight="1">
      <c r="A372" s="47"/>
      <c r="B372" s="48"/>
      <c r="C372" s="48"/>
      <c r="D372" s="48"/>
      <c r="E372" s="48"/>
      <c r="F372" s="48"/>
      <c r="G372" s="48"/>
      <c r="H372" s="48"/>
      <c r="I372" s="48"/>
      <c r="J372" s="48"/>
      <c r="K372" s="48"/>
      <c r="L372" s="48"/>
      <c r="M372" s="48"/>
      <c r="N372" s="48"/>
      <c r="O372" s="9"/>
      <c r="P372" s="9"/>
      <c r="Q372" s="9"/>
      <c r="R372" s="9"/>
      <c r="S372" s="9"/>
      <c r="U372" s="13"/>
      <c r="V372" s="13"/>
    </row>
    <row r="373" ht="15.75" customHeight="1">
      <c r="A373" s="47"/>
      <c r="B373" s="48"/>
      <c r="C373" s="48"/>
      <c r="D373" s="48"/>
      <c r="E373" s="48"/>
      <c r="F373" s="48"/>
      <c r="G373" s="48"/>
      <c r="H373" s="48"/>
      <c r="I373" s="48"/>
      <c r="J373" s="48"/>
      <c r="K373" s="48"/>
      <c r="L373" s="48"/>
      <c r="M373" s="48"/>
      <c r="N373" s="48"/>
      <c r="O373" s="9"/>
      <c r="P373" s="9"/>
      <c r="Q373" s="9"/>
      <c r="R373" s="9"/>
      <c r="S373" s="9"/>
      <c r="U373" s="13"/>
      <c r="V373" s="13"/>
    </row>
    <row r="374" ht="15.75" customHeight="1">
      <c r="A374" s="47"/>
      <c r="B374" s="48"/>
      <c r="C374" s="48"/>
      <c r="D374" s="48"/>
      <c r="E374" s="48"/>
      <c r="F374" s="48"/>
      <c r="G374" s="48"/>
      <c r="H374" s="48"/>
      <c r="I374" s="48"/>
      <c r="J374" s="48"/>
      <c r="K374" s="48"/>
      <c r="L374" s="48"/>
      <c r="M374" s="48"/>
      <c r="N374" s="48"/>
      <c r="O374" s="9"/>
      <c r="P374" s="9"/>
      <c r="Q374" s="9"/>
      <c r="R374" s="9"/>
      <c r="S374" s="9"/>
      <c r="U374" s="13"/>
      <c r="V374" s="13"/>
    </row>
    <row r="375" ht="15.75" customHeight="1">
      <c r="A375" s="47"/>
      <c r="B375" s="48"/>
      <c r="C375" s="48"/>
      <c r="D375" s="48"/>
      <c r="E375" s="48"/>
      <c r="F375" s="48"/>
      <c r="G375" s="48"/>
      <c r="H375" s="48"/>
      <c r="I375" s="48"/>
      <c r="J375" s="48"/>
      <c r="K375" s="48"/>
      <c r="L375" s="48"/>
      <c r="M375" s="48"/>
      <c r="N375" s="48"/>
      <c r="O375" s="9"/>
      <c r="P375" s="9"/>
      <c r="Q375" s="9"/>
      <c r="R375" s="9"/>
      <c r="S375" s="9"/>
      <c r="U375" s="13"/>
      <c r="V375" s="13"/>
    </row>
    <row r="376" ht="15.75" customHeight="1">
      <c r="A376" s="47"/>
      <c r="B376" s="48"/>
      <c r="C376" s="48"/>
      <c r="D376" s="48"/>
      <c r="E376" s="48"/>
      <c r="F376" s="48"/>
      <c r="G376" s="48"/>
      <c r="H376" s="48"/>
      <c r="I376" s="48"/>
      <c r="J376" s="48"/>
      <c r="K376" s="48"/>
      <c r="L376" s="48"/>
      <c r="M376" s="48"/>
      <c r="N376" s="48"/>
      <c r="O376" s="9"/>
      <c r="P376" s="9"/>
      <c r="Q376" s="9"/>
      <c r="R376" s="9"/>
      <c r="S376" s="9"/>
      <c r="U376" s="13"/>
      <c r="V376" s="13"/>
    </row>
    <row r="377" ht="15.75" customHeight="1">
      <c r="A377" s="47"/>
      <c r="B377" s="48"/>
      <c r="C377" s="48"/>
      <c r="D377" s="48"/>
      <c r="E377" s="48"/>
      <c r="F377" s="48"/>
      <c r="G377" s="48"/>
      <c r="H377" s="48"/>
      <c r="I377" s="48"/>
      <c r="J377" s="48"/>
      <c r="K377" s="48"/>
      <c r="L377" s="48"/>
      <c r="M377" s="48"/>
      <c r="N377" s="48"/>
      <c r="O377" s="9"/>
      <c r="P377" s="9"/>
      <c r="Q377" s="9"/>
      <c r="R377" s="9"/>
      <c r="S377" s="9"/>
      <c r="U377" s="13"/>
      <c r="V377" s="13"/>
    </row>
    <row r="378" ht="15.75" customHeight="1">
      <c r="A378" s="47"/>
      <c r="B378" s="48"/>
      <c r="C378" s="48"/>
      <c r="D378" s="48"/>
      <c r="E378" s="48"/>
      <c r="F378" s="48"/>
      <c r="G378" s="48"/>
      <c r="H378" s="48"/>
      <c r="I378" s="48"/>
      <c r="J378" s="48"/>
      <c r="K378" s="48"/>
      <c r="L378" s="48"/>
      <c r="M378" s="48"/>
      <c r="N378" s="48"/>
      <c r="O378" s="9"/>
      <c r="P378" s="9"/>
      <c r="Q378" s="9"/>
      <c r="R378" s="9"/>
      <c r="S378" s="9"/>
      <c r="U378" s="13"/>
      <c r="V378" s="13"/>
    </row>
    <row r="379" ht="15.75" customHeight="1">
      <c r="A379" s="47"/>
      <c r="B379" s="48"/>
      <c r="C379" s="48"/>
      <c r="D379" s="48"/>
      <c r="E379" s="48"/>
      <c r="F379" s="48"/>
      <c r="G379" s="48"/>
      <c r="H379" s="48"/>
      <c r="I379" s="48"/>
      <c r="J379" s="48"/>
      <c r="K379" s="48"/>
      <c r="L379" s="48"/>
      <c r="M379" s="48"/>
      <c r="N379" s="48"/>
      <c r="O379" s="9"/>
      <c r="P379" s="9"/>
      <c r="Q379" s="9"/>
      <c r="R379" s="9"/>
      <c r="S379" s="9"/>
      <c r="U379" s="13"/>
      <c r="V379" s="13"/>
    </row>
    <row r="380" ht="15.75" customHeight="1">
      <c r="A380" s="47"/>
      <c r="B380" s="48"/>
      <c r="C380" s="48"/>
      <c r="D380" s="48"/>
      <c r="E380" s="48"/>
      <c r="F380" s="48"/>
      <c r="G380" s="48"/>
      <c r="H380" s="48"/>
      <c r="I380" s="48"/>
      <c r="J380" s="48"/>
      <c r="K380" s="48"/>
      <c r="L380" s="48"/>
      <c r="M380" s="48"/>
      <c r="N380" s="48"/>
      <c r="O380" s="9"/>
      <c r="P380" s="9"/>
      <c r="Q380" s="9"/>
      <c r="R380" s="9"/>
      <c r="S380" s="9"/>
      <c r="U380" s="13"/>
      <c r="V380" s="13"/>
    </row>
    <row r="381" ht="15.75" customHeight="1">
      <c r="A381" s="47"/>
      <c r="B381" s="48"/>
      <c r="C381" s="48"/>
      <c r="D381" s="48"/>
      <c r="E381" s="48"/>
      <c r="F381" s="48"/>
      <c r="G381" s="48"/>
      <c r="H381" s="48"/>
      <c r="I381" s="48"/>
      <c r="J381" s="48"/>
      <c r="K381" s="48"/>
      <c r="L381" s="48"/>
      <c r="M381" s="48"/>
      <c r="N381" s="48"/>
      <c r="O381" s="9"/>
      <c r="P381" s="9"/>
      <c r="Q381" s="9"/>
      <c r="R381" s="9"/>
      <c r="S381" s="9"/>
      <c r="U381" s="13"/>
      <c r="V381" s="13"/>
    </row>
    <row r="382" ht="15.75" customHeight="1">
      <c r="A382" s="47"/>
      <c r="B382" s="48"/>
      <c r="C382" s="48"/>
      <c r="D382" s="48"/>
      <c r="E382" s="48"/>
      <c r="F382" s="48"/>
      <c r="G382" s="48"/>
      <c r="H382" s="48"/>
      <c r="I382" s="48"/>
      <c r="J382" s="48"/>
      <c r="K382" s="48"/>
      <c r="L382" s="48"/>
      <c r="M382" s="48"/>
      <c r="N382" s="48"/>
      <c r="O382" s="9"/>
      <c r="P382" s="9"/>
      <c r="Q382" s="9"/>
      <c r="R382" s="9"/>
      <c r="S382" s="9"/>
      <c r="U382" s="13"/>
      <c r="V382" s="13"/>
    </row>
    <row r="383" ht="15.75" customHeight="1">
      <c r="A383" s="47"/>
      <c r="B383" s="48"/>
      <c r="C383" s="48"/>
      <c r="D383" s="48"/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9"/>
      <c r="P383" s="9"/>
      <c r="Q383" s="9"/>
      <c r="R383" s="9"/>
      <c r="S383" s="9"/>
      <c r="U383" s="13"/>
      <c r="V383" s="13"/>
    </row>
    <row r="384" ht="15.75" customHeight="1">
      <c r="A384" s="47"/>
      <c r="B384" s="48"/>
      <c r="C384" s="48"/>
      <c r="D384" s="48"/>
      <c r="E384" s="48"/>
      <c r="F384" s="48"/>
      <c r="G384" s="48"/>
      <c r="H384" s="48"/>
      <c r="I384" s="48"/>
      <c r="J384" s="48"/>
      <c r="K384" s="48"/>
      <c r="L384" s="48"/>
      <c r="M384" s="48"/>
      <c r="N384" s="48"/>
      <c r="O384" s="9"/>
      <c r="P384" s="9"/>
      <c r="Q384" s="9"/>
      <c r="R384" s="9"/>
      <c r="S384" s="9"/>
      <c r="U384" s="13"/>
      <c r="V384" s="13"/>
    </row>
    <row r="385" ht="15.75" customHeight="1">
      <c r="A385" s="47"/>
      <c r="B385" s="48"/>
      <c r="C385" s="48"/>
      <c r="D385" s="48"/>
      <c r="E385" s="48"/>
      <c r="F385" s="48"/>
      <c r="G385" s="48"/>
      <c r="H385" s="48"/>
      <c r="I385" s="48"/>
      <c r="J385" s="48"/>
      <c r="K385" s="48"/>
      <c r="L385" s="48"/>
      <c r="M385" s="48"/>
      <c r="N385" s="48"/>
      <c r="O385" s="9"/>
      <c r="P385" s="9"/>
      <c r="Q385" s="9"/>
      <c r="R385" s="9"/>
      <c r="S385" s="9"/>
      <c r="U385" s="13"/>
      <c r="V385" s="13"/>
    </row>
    <row r="386" ht="15.75" customHeight="1">
      <c r="A386" s="47"/>
      <c r="B386" s="48"/>
      <c r="C386" s="48"/>
      <c r="D386" s="48"/>
      <c r="E386" s="48"/>
      <c r="F386" s="48"/>
      <c r="G386" s="48"/>
      <c r="H386" s="48"/>
      <c r="I386" s="48"/>
      <c r="J386" s="48"/>
      <c r="K386" s="48"/>
      <c r="L386" s="48"/>
      <c r="M386" s="48"/>
      <c r="N386" s="48"/>
      <c r="O386" s="9"/>
      <c r="P386" s="9"/>
      <c r="Q386" s="9"/>
      <c r="R386" s="9"/>
      <c r="S386" s="9"/>
      <c r="U386" s="13"/>
      <c r="V386" s="13"/>
    </row>
    <row r="387" ht="15.75" customHeight="1">
      <c r="A387" s="47"/>
      <c r="B387" s="48"/>
      <c r="C387" s="48"/>
      <c r="D387" s="48"/>
      <c r="E387" s="48"/>
      <c r="F387" s="48"/>
      <c r="G387" s="48"/>
      <c r="H387" s="48"/>
      <c r="I387" s="48"/>
      <c r="J387" s="48"/>
      <c r="K387" s="48"/>
      <c r="L387" s="48"/>
      <c r="M387" s="48"/>
      <c r="N387" s="48"/>
      <c r="O387" s="9"/>
      <c r="P387" s="9"/>
      <c r="Q387" s="9"/>
      <c r="R387" s="9"/>
      <c r="S387" s="9"/>
      <c r="U387" s="13"/>
      <c r="V387" s="13"/>
    </row>
    <row r="388" ht="15.75" customHeight="1">
      <c r="A388" s="47"/>
      <c r="B388" s="48"/>
      <c r="C388" s="48"/>
      <c r="D388" s="48"/>
      <c r="E388" s="48"/>
      <c r="F388" s="48"/>
      <c r="G388" s="48"/>
      <c r="H388" s="48"/>
      <c r="I388" s="48"/>
      <c r="J388" s="48"/>
      <c r="K388" s="48"/>
      <c r="L388" s="48"/>
      <c r="M388" s="48"/>
      <c r="N388" s="48"/>
      <c r="O388" s="9"/>
      <c r="P388" s="9"/>
      <c r="Q388" s="9"/>
      <c r="R388" s="9"/>
      <c r="S388" s="9"/>
      <c r="U388" s="13"/>
      <c r="V388" s="13"/>
    </row>
    <row r="389" ht="15.75" customHeight="1">
      <c r="A389" s="47"/>
      <c r="B389" s="48"/>
      <c r="C389" s="48"/>
      <c r="D389" s="48"/>
      <c r="E389" s="48"/>
      <c r="F389" s="48"/>
      <c r="G389" s="48"/>
      <c r="H389" s="48"/>
      <c r="I389" s="48"/>
      <c r="J389" s="48"/>
      <c r="K389" s="48"/>
      <c r="L389" s="48"/>
      <c r="M389" s="48"/>
      <c r="N389" s="48"/>
      <c r="O389" s="9"/>
      <c r="P389" s="9"/>
      <c r="Q389" s="9"/>
      <c r="R389" s="9"/>
      <c r="S389" s="9"/>
      <c r="U389" s="13"/>
      <c r="V389" s="13"/>
    </row>
    <row r="390" ht="15.75" customHeight="1">
      <c r="A390" s="47"/>
      <c r="B390" s="48"/>
      <c r="C390" s="48"/>
      <c r="D390" s="48"/>
      <c r="E390" s="48"/>
      <c r="F390" s="48"/>
      <c r="G390" s="48"/>
      <c r="H390" s="48"/>
      <c r="I390" s="48"/>
      <c r="J390" s="48"/>
      <c r="K390" s="48"/>
      <c r="L390" s="48"/>
      <c r="M390" s="48"/>
      <c r="N390" s="48"/>
      <c r="O390" s="9"/>
      <c r="P390" s="9"/>
      <c r="Q390" s="9"/>
      <c r="R390" s="9"/>
      <c r="S390" s="9"/>
      <c r="U390" s="13"/>
      <c r="V390" s="13"/>
    </row>
    <row r="391" ht="15.75" customHeight="1">
      <c r="A391" s="47"/>
      <c r="B391" s="48"/>
      <c r="C391" s="48"/>
      <c r="D391" s="48"/>
      <c r="E391" s="48"/>
      <c r="F391" s="48"/>
      <c r="G391" s="48"/>
      <c r="H391" s="48"/>
      <c r="I391" s="48"/>
      <c r="J391" s="48"/>
      <c r="K391" s="48"/>
      <c r="L391" s="48"/>
      <c r="M391" s="48"/>
      <c r="N391" s="48"/>
      <c r="O391" s="9"/>
      <c r="P391" s="9"/>
      <c r="Q391" s="9"/>
      <c r="R391" s="9"/>
      <c r="S391" s="9"/>
      <c r="U391" s="13"/>
      <c r="V391" s="13"/>
    </row>
    <row r="392" ht="15.75" customHeight="1">
      <c r="A392" s="47"/>
      <c r="B392" s="48"/>
      <c r="C392" s="48"/>
      <c r="D392" s="48"/>
      <c r="E392" s="48"/>
      <c r="F392" s="48"/>
      <c r="G392" s="48"/>
      <c r="H392" s="48"/>
      <c r="I392" s="48"/>
      <c r="J392" s="48"/>
      <c r="K392" s="48"/>
      <c r="L392" s="48"/>
      <c r="M392" s="48"/>
      <c r="N392" s="48"/>
      <c r="O392" s="9"/>
      <c r="P392" s="9"/>
      <c r="Q392" s="9"/>
      <c r="R392" s="9"/>
      <c r="S392" s="9"/>
      <c r="U392" s="13"/>
      <c r="V392" s="13"/>
    </row>
    <row r="393" ht="15.75" customHeight="1">
      <c r="A393" s="47"/>
      <c r="B393" s="48"/>
      <c r="C393" s="48"/>
      <c r="D393" s="48"/>
      <c r="E393" s="48"/>
      <c r="F393" s="48"/>
      <c r="G393" s="48"/>
      <c r="H393" s="48"/>
      <c r="I393" s="48"/>
      <c r="J393" s="48"/>
      <c r="K393" s="48"/>
      <c r="L393" s="48"/>
      <c r="M393" s="48"/>
      <c r="N393" s="48"/>
      <c r="O393" s="9"/>
      <c r="P393" s="9"/>
      <c r="Q393" s="9"/>
      <c r="R393" s="9"/>
      <c r="S393" s="9"/>
      <c r="U393" s="13"/>
      <c r="V393" s="13"/>
    </row>
    <row r="394" ht="15.75" customHeight="1">
      <c r="A394" s="47"/>
      <c r="B394" s="48"/>
      <c r="C394" s="48"/>
      <c r="D394" s="48"/>
      <c r="E394" s="48"/>
      <c r="F394" s="48"/>
      <c r="G394" s="48"/>
      <c r="H394" s="48"/>
      <c r="I394" s="48"/>
      <c r="J394" s="48"/>
      <c r="K394" s="48"/>
      <c r="L394" s="48"/>
      <c r="M394" s="48"/>
      <c r="N394" s="48"/>
      <c r="O394" s="9"/>
      <c r="P394" s="9"/>
      <c r="Q394" s="9"/>
      <c r="R394" s="9"/>
      <c r="S394" s="9"/>
      <c r="U394" s="13"/>
      <c r="V394" s="13"/>
    </row>
    <row r="395" ht="15.75" customHeight="1">
      <c r="A395" s="47"/>
      <c r="B395" s="48"/>
      <c r="C395" s="48"/>
      <c r="D395" s="48"/>
      <c r="E395" s="48"/>
      <c r="F395" s="48"/>
      <c r="G395" s="48"/>
      <c r="H395" s="48"/>
      <c r="I395" s="48"/>
      <c r="J395" s="48"/>
      <c r="K395" s="48"/>
      <c r="L395" s="48"/>
      <c r="M395" s="48"/>
      <c r="N395" s="48"/>
      <c r="O395" s="9"/>
      <c r="P395" s="9"/>
      <c r="Q395" s="9"/>
      <c r="R395" s="9"/>
      <c r="S395" s="9"/>
      <c r="U395" s="13"/>
      <c r="V395" s="13"/>
    </row>
    <row r="396" ht="15.75" customHeight="1">
      <c r="A396" s="47"/>
      <c r="B396" s="48"/>
      <c r="C396" s="48"/>
      <c r="D396" s="48"/>
      <c r="E396" s="48"/>
      <c r="F396" s="48"/>
      <c r="G396" s="48"/>
      <c r="H396" s="48"/>
      <c r="I396" s="48"/>
      <c r="J396" s="48"/>
      <c r="K396" s="48"/>
      <c r="L396" s="48"/>
      <c r="M396" s="48"/>
      <c r="N396" s="48"/>
      <c r="O396" s="9"/>
      <c r="P396" s="9"/>
      <c r="Q396" s="9"/>
      <c r="R396" s="9"/>
      <c r="S396" s="9"/>
      <c r="U396" s="13"/>
      <c r="V396" s="13"/>
    </row>
    <row r="397" ht="15.75" customHeight="1">
      <c r="A397" s="47"/>
      <c r="B397" s="48"/>
      <c r="C397" s="48"/>
      <c r="D397" s="48"/>
      <c r="E397" s="48"/>
      <c r="F397" s="48"/>
      <c r="G397" s="48"/>
      <c r="H397" s="48"/>
      <c r="I397" s="48"/>
      <c r="J397" s="48"/>
      <c r="K397" s="48"/>
      <c r="L397" s="48"/>
      <c r="M397" s="48"/>
      <c r="N397" s="48"/>
      <c r="O397" s="9"/>
      <c r="P397" s="9"/>
      <c r="Q397" s="9"/>
      <c r="R397" s="9"/>
      <c r="S397" s="9"/>
      <c r="U397" s="13"/>
      <c r="V397" s="13"/>
    </row>
    <row r="398" ht="15.75" customHeight="1">
      <c r="A398" s="47"/>
      <c r="B398" s="48"/>
      <c r="C398" s="48"/>
      <c r="D398" s="48"/>
      <c r="E398" s="48"/>
      <c r="F398" s="48"/>
      <c r="G398" s="48"/>
      <c r="H398" s="48"/>
      <c r="I398" s="48"/>
      <c r="J398" s="48"/>
      <c r="K398" s="48"/>
      <c r="L398" s="48"/>
      <c r="M398" s="48"/>
      <c r="N398" s="48"/>
      <c r="O398" s="9"/>
      <c r="P398" s="9"/>
      <c r="Q398" s="9"/>
      <c r="R398" s="9"/>
      <c r="S398" s="9"/>
      <c r="U398" s="13"/>
      <c r="V398" s="13"/>
    </row>
    <row r="399" ht="15.75" customHeight="1">
      <c r="A399" s="47"/>
      <c r="B399" s="48"/>
      <c r="C399" s="48"/>
      <c r="D399" s="48"/>
      <c r="E399" s="48"/>
      <c r="F399" s="48"/>
      <c r="G399" s="48"/>
      <c r="H399" s="48"/>
      <c r="I399" s="48"/>
      <c r="J399" s="48"/>
      <c r="K399" s="48"/>
      <c r="L399" s="48"/>
      <c r="M399" s="48"/>
      <c r="N399" s="48"/>
      <c r="O399" s="9"/>
      <c r="P399" s="9"/>
      <c r="Q399" s="9"/>
      <c r="R399" s="9"/>
      <c r="S399" s="9"/>
      <c r="U399" s="13"/>
      <c r="V399" s="13"/>
    </row>
    <row r="400" ht="15.75" customHeight="1">
      <c r="A400" s="47"/>
      <c r="B400" s="48"/>
      <c r="C400" s="48"/>
      <c r="D400" s="48"/>
      <c r="E400" s="48"/>
      <c r="F400" s="48"/>
      <c r="G400" s="48"/>
      <c r="H400" s="48"/>
      <c r="I400" s="48"/>
      <c r="J400" s="48"/>
      <c r="K400" s="48"/>
      <c r="L400" s="48"/>
      <c r="M400" s="48"/>
      <c r="N400" s="48"/>
      <c r="O400" s="9"/>
      <c r="P400" s="9"/>
      <c r="Q400" s="9"/>
      <c r="R400" s="9"/>
      <c r="S400" s="9"/>
      <c r="U400" s="13"/>
      <c r="V400" s="13"/>
    </row>
    <row r="401" ht="15.75" customHeight="1">
      <c r="A401" s="47"/>
      <c r="B401" s="48"/>
      <c r="C401" s="48"/>
      <c r="D401" s="48"/>
      <c r="E401" s="48"/>
      <c r="F401" s="48"/>
      <c r="G401" s="48"/>
      <c r="H401" s="48"/>
      <c r="I401" s="48"/>
      <c r="J401" s="48"/>
      <c r="K401" s="48"/>
      <c r="L401" s="48"/>
      <c r="M401" s="48"/>
      <c r="N401" s="48"/>
      <c r="O401" s="9"/>
      <c r="P401" s="9"/>
      <c r="Q401" s="9"/>
      <c r="R401" s="9"/>
      <c r="S401" s="9"/>
      <c r="U401" s="13"/>
      <c r="V401" s="13"/>
    </row>
    <row r="402" ht="15.75" customHeight="1">
      <c r="A402" s="47"/>
      <c r="B402" s="48"/>
      <c r="C402" s="48"/>
      <c r="D402" s="48"/>
      <c r="E402" s="48"/>
      <c r="F402" s="48"/>
      <c r="G402" s="48"/>
      <c r="H402" s="48"/>
      <c r="I402" s="48"/>
      <c r="J402" s="48"/>
      <c r="K402" s="48"/>
      <c r="L402" s="48"/>
      <c r="M402" s="48"/>
      <c r="N402" s="48"/>
      <c r="O402" s="9"/>
      <c r="P402" s="9"/>
      <c r="Q402" s="9"/>
      <c r="R402" s="9"/>
      <c r="S402" s="9"/>
      <c r="U402" s="13"/>
      <c r="V402" s="13"/>
    </row>
    <row r="403" ht="15.75" customHeight="1">
      <c r="A403" s="47"/>
      <c r="B403" s="48"/>
      <c r="C403" s="48"/>
      <c r="D403" s="48"/>
      <c r="E403" s="48"/>
      <c r="F403" s="48"/>
      <c r="G403" s="48"/>
      <c r="H403" s="48"/>
      <c r="I403" s="48"/>
      <c r="J403" s="48"/>
      <c r="K403" s="48"/>
      <c r="L403" s="48"/>
      <c r="M403" s="48"/>
      <c r="N403" s="48"/>
      <c r="O403" s="9"/>
      <c r="P403" s="9"/>
      <c r="Q403" s="9"/>
      <c r="R403" s="9"/>
      <c r="S403" s="9"/>
      <c r="U403" s="13"/>
      <c r="V403" s="13"/>
    </row>
    <row r="404" ht="15.75" customHeight="1">
      <c r="A404" s="47"/>
      <c r="B404" s="48"/>
      <c r="C404" s="48"/>
      <c r="D404" s="48"/>
      <c r="E404" s="48"/>
      <c r="F404" s="48"/>
      <c r="G404" s="48"/>
      <c r="H404" s="48"/>
      <c r="I404" s="48"/>
      <c r="J404" s="48"/>
      <c r="K404" s="48"/>
      <c r="L404" s="48"/>
      <c r="M404" s="48"/>
      <c r="N404" s="48"/>
      <c r="O404" s="9"/>
      <c r="P404" s="9"/>
      <c r="Q404" s="9"/>
      <c r="R404" s="9"/>
      <c r="S404" s="9"/>
      <c r="U404" s="13"/>
      <c r="V404" s="13"/>
    </row>
    <row r="405" ht="15.75" customHeight="1">
      <c r="A405" s="47"/>
      <c r="B405" s="48"/>
      <c r="C405" s="48"/>
      <c r="D405" s="48"/>
      <c r="E405" s="48"/>
      <c r="F405" s="48"/>
      <c r="G405" s="48"/>
      <c r="H405" s="48"/>
      <c r="I405" s="48"/>
      <c r="J405" s="48"/>
      <c r="K405" s="48"/>
      <c r="L405" s="48"/>
      <c r="M405" s="48"/>
      <c r="N405" s="48"/>
      <c r="O405" s="9"/>
      <c r="P405" s="9"/>
      <c r="Q405" s="9"/>
      <c r="R405" s="9"/>
      <c r="S405" s="9"/>
      <c r="U405" s="13"/>
      <c r="V405" s="13"/>
    </row>
    <row r="406" ht="15.75" customHeight="1">
      <c r="A406" s="47"/>
      <c r="B406" s="48"/>
      <c r="C406" s="48"/>
      <c r="D406" s="48"/>
      <c r="E406" s="48"/>
      <c r="F406" s="48"/>
      <c r="G406" s="48"/>
      <c r="H406" s="48"/>
      <c r="I406" s="48"/>
      <c r="J406" s="48"/>
      <c r="K406" s="48"/>
      <c r="L406" s="48"/>
      <c r="M406" s="48"/>
      <c r="N406" s="48"/>
      <c r="O406" s="9"/>
      <c r="P406" s="9"/>
      <c r="Q406" s="9"/>
      <c r="R406" s="9"/>
      <c r="S406" s="9"/>
      <c r="U406" s="13"/>
      <c r="V406" s="13"/>
    </row>
    <row r="407" ht="15.75" customHeight="1">
      <c r="A407" s="47"/>
      <c r="B407" s="48"/>
      <c r="C407" s="48"/>
      <c r="D407" s="48"/>
      <c r="E407" s="48"/>
      <c r="F407" s="48"/>
      <c r="G407" s="48"/>
      <c r="H407" s="48"/>
      <c r="I407" s="48"/>
      <c r="J407" s="48"/>
      <c r="K407" s="48"/>
      <c r="L407" s="48"/>
      <c r="M407" s="48"/>
      <c r="N407" s="48"/>
      <c r="O407" s="9"/>
      <c r="P407" s="9"/>
      <c r="Q407" s="9"/>
      <c r="R407" s="9"/>
      <c r="S407" s="9"/>
      <c r="U407" s="13"/>
      <c r="V407" s="13"/>
    </row>
    <row r="408" ht="15.75" customHeight="1">
      <c r="A408" s="47"/>
      <c r="B408" s="48"/>
      <c r="C408" s="48"/>
      <c r="D408" s="48"/>
      <c r="E408" s="48"/>
      <c r="F408" s="48"/>
      <c r="G408" s="48"/>
      <c r="H408" s="48"/>
      <c r="I408" s="48"/>
      <c r="J408" s="48"/>
      <c r="K408" s="48"/>
      <c r="L408" s="48"/>
      <c r="M408" s="48"/>
      <c r="N408" s="48"/>
      <c r="O408" s="9"/>
      <c r="P408" s="9"/>
      <c r="Q408" s="9"/>
      <c r="R408" s="9"/>
      <c r="S408" s="9"/>
      <c r="U408" s="13"/>
      <c r="V408" s="13"/>
    </row>
    <row r="409" ht="15.75" customHeight="1">
      <c r="A409" s="47"/>
      <c r="B409" s="48"/>
      <c r="C409" s="48"/>
      <c r="D409" s="48"/>
      <c r="E409" s="48"/>
      <c r="F409" s="48"/>
      <c r="G409" s="48"/>
      <c r="H409" s="48"/>
      <c r="I409" s="48"/>
      <c r="J409" s="48"/>
      <c r="K409" s="48"/>
      <c r="L409" s="48"/>
      <c r="M409" s="48"/>
      <c r="N409" s="48"/>
      <c r="O409" s="9"/>
      <c r="P409" s="9"/>
      <c r="Q409" s="9"/>
      <c r="R409" s="9"/>
      <c r="S409" s="9"/>
      <c r="U409" s="13"/>
      <c r="V409" s="13"/>
    </row>
    <row r="410" ht="15.75" customHeight="1">
      <c r="A410" s="47"/>
      <c r="B410" s="48"/>
      <c r="C410" s="48"/>
      <c r="D410" s="48"/>
      <c r="E410" s="48"/>
      <c r="F410" s="48"/>
      <c r="G410" s="48"/>
      <c r="H410" s="48"/>
      <c r="I410" s="48"/>
      <c r="J410" s="48"/>
      <c r="K410" s="48"/>
      <c r="L410" s="48"/>
      <c r="M410" s="48"/>
      <c r="N410" s="48"/>
      <c r="O410" s="9"/>
      <c r="P410" s="9"/>
      <c r="Q410" s="9"/>
      <c r="R410" s="9"/>
      <c r="S410" s="9"/>
      <c r="U410" s="13"/>
      <c r="V410" s="13"/>
    </row>
    <row r="411" ht="15.75" customHeight="1">
      <c r="A411" s="47"/>
      <c r="B411" s="48"/>
      <c r="C411" s="48"/>
      <c r="D411" s="48"/>
      <c r="E411" s="48"/>
      <c r="F411" s="48"/>
      <c r="G411" s="48"/>
      <c r="H411" s="48"/>
      <c r="I411" s="48"/>
      <c r="J411" s="48"/>
      <c r="K411" s="48"/>
      <c r="L411" s="48"/>
      <c r="M411" s="48"/>
      <c r="N411" s="48"/>
      <c r="O411" s="9"/>
      <c r="P411" s="9"/>
      <c r="Q411" s="9"/>
      <c r="R411" s="9"/>
      <c r="S411" s="9"/>
      <c r="U411" s="13"/>
      <c r="V411" s="13"/>
    </row>
    <row r="412" ht="15.75" customHeight="1">
      <c r="A412" s="47"/>
      <c r="B412" s="48"/>
      <c r="C412" s="48"/>
      <c r="D412" s="48"/>
      <c r="E412" s="48"/>
      <c r="F412" s="48"/>
      <c r="G412" s="48"/>
      <c r="H412" s="48"/>
      <c r="I412" s="48"/>
      <c r="J412" s="48"/>
      <c r="K412" s="48"/>
      <c r="L412" s="48"/>
      <c r="M412" s="48"/>
      <c r="N412" s="48"/>
      <c r="O412" s="9"/>
      <c r="P412" s="9"/>
      <c r="Q412" s="9"/>
      <c r="R412" s="9"/>
      <c r="S412" s="9"/>
      <c r="U412" s="13"/>
      <c r="V412" s="13"/>
    </row>
    <row r="413" ht="15.75" customHeight="1">
      <c r="A413" s="47"/>
      <c r="B413" s="48"/>
      <c r="C413" s="48"/>
      <c r="D413" s="48"/>
      <c r="E413" s="48"/>
      <c r="F413" s="48"/>
      <c r="G413" s="48"/>
      <c r="H413" s="48"/>
      <c r="I413" s="48"/>
      <c r="J413" s="48"/>
      <c r="K413" s="48"/>
      <c r="L413" s="48"/>
      <c r="M413" s="48"/>
      <c r="N413" s="48"/>
      <c r="O413" s="9"/>
      <c r="P413" s="9"/>
      <c r="Q413" s="9"/>
      <c r="R413" s="9"/>
      <c r="S413" s="9"/>
      <c r="U413" s="13"/>
      <c r="V413" s="13"/>
    </row>
    <row r="414" ht="15.75" customHeight="1">
      <c r="A414" s="47"/>
      <c r="B414" s="48"/>
      <c r="C414" s="48"/>
      <c r="D414" s="48"/>
      <c r="E414" s="48"/>
      <c r="F414" s="48"/>
      <c r="G414" s="48"/>
      <c r="H414" s="48"/>
      <c r="I414" s="48"/>
      <c r="J414" s="48"/>
      <c r="K414" s="48"/>
      <c r="L414" s="48"/>
      <c r="M414" s="48"/>
      <c r="N414" s="48"/>
      <c r="O414" s="9"/>
      <c r="P414" s="9"/>
      <c r="Q414" s="9"/>
      <c r="R414" s="9"/>
      <c r="S414" s="9"/>
      <c r="U414" s="13"/>
      <c r="V414" s="13"/>
    </row>
    <row r="415" ht="15.75" customHeight="1">
      <c r="A415" s="47"/>
      <c r="B415" s="48"/>
      <c r="C415" s="48"/>
      <c r="D415" s="48"/>
      <c r="E415" s="48"/>
      <c r="F415" s="48"/>
      <c r="G415" s="48"/>
      <c r="H415" s="48"/>
      <c r="I415" s="48"/>
      <c r="J415" s="48"/>
      <c r="K415" s="48"/>
      <c r="L415" s="48"/>
      <c r="M415" s="48"/>
      <c r="N415" s="48"/>
      <c r="O415" s="9"/>
      <c r="P415" s="9"/>
      <c r="Q415" s="9"/>
      <c r="R415" s="9"/>
      <c r="S415" s="9"/>
      <c r="U415" s="13"/>
      <c r="V415" s="13"/>
    </row>
    <row r="416" ht="15.75" customHeight="1">
      <c r="A416" s="47"/>
      <c r="B416" s="48"/>
      <c r="C416" s="48"/>
      <c r="D416" s="48"/>
      <c r="E416" s="48"/>
      <c r="F416" s="48"/>
      <c r="G416" s="48"/>
      <c r="H416" s="48"/>
      <c r="I416" s="48"/>
      <c r="J416" s="48"/>
      <c r="K416" s="48"/>
      <c r="L416" s="48"/>
      <c r="M416" s="48"/>
      <c r="N416" s="48"/>
      <c r="O416" s="9"/>
      <c r="P416" s="9"/>
      <c r="Q416" s="9"/>
      <c r="R416" s="9"/>
      <c r="S416" s="9"/>
      <c r="U416" s="13"/>
      <c r="V416" s="13"/>
    </row>
    <row r="417" ht="15.75" customHeight="1">
      <c r="A417" s="47"/>
      <c r="B417" s="48"/>
      <c r="C417" s="48"/>
      <c r="D417" s="48"/>
      <c r="E417" s="48"/>
      <c r="F417" s="48"/>
      <c r="G417" s="48"/>
      <c r="H417" s="48"/>
      <c r="I417" s="48"/>
      <c r="J417" s="48"/>
      <c r="K417" s="48"/>
      <c r="L417" s="48"/>
      <c r="M417" s="48"/>
      <c r="N417" s="48"/>
      <c r="O417" s="9"/>
      <c r="P417" s="9"/>
      <c r="Q417" s="9"/>
      <c r="R417" s="9"/>
      <c r="S417" s="9"/>
      <c r="U417" s="13"/>
      <c r="V417" s="13"/>
    </row>
    <row r="418" ht="15.75" customHeight="1">
      <c r="A418" s="47"/>
      <c r="B418" s="48"/>
      <c r="C418" s="48"/>
      <c r="D418" s="48"/>
      <c r="E418" s="48"/>
      <c r="F418" s="48"/>
      <c r="G418" s="48"/>
      <c r="H418" s="48"/>
      <c r="I418" s="48"/>
      <c r="J418" s="48"/>
      <c r="K418" s="48"/>
      <c r="L418" s="48"/>
      <c r="M418" s="48"/>
      <c r="N418" s="48"/>
      <c r="O418" s="9"/>
      <c r="P418" s="9"/>
      <c r="Q418" s="9"/>
      <c r="R418" s="9"/>
      <c r="S418" s="9"/>
      <c r="U418" s="13"/>
      <c r="V418" s="13"/>
    </row>
    <row r="419" ht="15.75" customHeight="1">
      <c r="A419" s="47"/>
      <c r="B419" s="48"/>
      <c r="C419" s="48"/>
      <c r="D419" s="48"/>
      <c r="E419" s="48"/>
      <c r="F419" s="48"/>
      <c r="G419" s="48"/>
      <c r="H419" s="48"/>
      <c r="I419" s="48"/>
      <c r="J419" s="48"/>
      <c r="K419" s="48"/>
      <c r="L419" s="48"/>
      <c r="M419" s="48"/>
      <c r="N419" s="48"/>
      <c r="O419" s="9"/>
      <c r="P419" s="9"/>
      <c r="Q419" s="9"/>
      <c r="R419" s="9"/>
      <c r="S419" s="9"/>
      <c r="U419" s="13"/>
      <c r="V419" s="13"/>
    </row>
    <row r="420" ht="15.75" customHeight="1">
      <c r="A420" s="47"/>
      <c r="B420" s="48"/>
      <c r="C420" s="48"/>
      <c r="D420" s="48"/>
      <c r="E420" s="48"/>
      <c r="F420" s="48"/>
      <c r="G420" s="48"/>
      <c r="H420" s="48"/>
      <c r="I420" s="48"/>
      <c r="J420" s="48"/>
      <c r="K420" s="48"/>
      <c r="L420" s="48"/>
      <c r="M420" s="48"/>
      <c r="N420" s="48"/>
      <c r="O420" s="9"/>
      <c r="P420" s="9"/>
      <c r="Q420" s="9"/>
      <c r="R420" s="9"/>
      <c r="S420" s="9"/>
      <c r="U420" s="13"/>
      <c r="V420" s="13"/>
    </row>
    <row r="421" ht="15.75" customHeight="1">
      <c r="A421" s="47"/>
      <c r="B421" s="48"/>
      <c r="C421" s="48"/>
      <c r="D421" s="48"/>
      <c r="E421" s="48"/>
      <c r="F421" s="48"/>
      <c r="G421" s="48"/>
      <c r="H421" s="48"/>
      <c r="I421" s="48"/>
      <c r="J421" s="48"/>
      <c r="K421" s="48"/>
      <c r="L421" s="48"/>
      <c r="M421" s="48"/>
      <c r="N421" s="48"/>
      <c r="O421" s="9"/>
      <c r="P421" s="9"/>
      <c r="Q421" s="9"/>
      <c r="R421" s="9"/>
      <c r="S421" s="9"/>
      <c r="U421" s="13"/>
      <c r="V421" s="13"/>
    </row>
    <row r="422" ht="15.75" customHeight="1">
      <c r="A422" s="47"/>
      <c r="B422" s="48"/>
      <c r="C422" s="48"/>
      <c r="D422" s="48"/>
      <c r="E422" s="48"/>
      <c r="F422" s="48"/>
      <c r="G422" s="48"/>
      <c r="H422" s="48"/>
      <c r="I422" s="48"/>
      <c r="J422" s="48"/>
      <c r="K422" s="48"/>
      <c r="L422" s="48"/>
      <c r="M422" s="48"/>
      <c r="N422" s="48"/>
      <c r="O422" s="9"/>
      <c r="P422" s="9"/>
      <c r="Q422" s="9"/>
      <c r="R422" s="9"/>
      <c r="S422" s="9"/>
      <c r="U422" s="13"/>
      <c r="V422" s="13"/>
    </row>
    <row r="423" ht="15.75" customHeight="1">
      <c r="A423" s="47"/>
      <c r="B423" s="48"/>
      <c r="C423" s="48"/>
      <c r="D423" s="48"/>
      <c r="E423" s="48"/>
      <c r="F423" s="48"/>
      <c r="G423" s="48"/>
      <c r="H423" s="48"/>
      <c r="I423" s="48"/>
      <c r="J423" s="48"/>
      <c r="K423" s="48"/>
      <c r="L423" s="48"/>
      <c r="M423" s="48"/>
      <c r="N423" s="48"/>
      <c r="O423" s="9"/>
      <c r="P423" s="9"/>
      <c r="Q423" s="9"/>
      <c r="R423" s="9"/>
      <c r="S423" s="9"/>
      <c r="U423" s="13"/>
      <c r="V423" s="13"/>
    </row>
    <row r="424" ht="15.75" customHeight="1">
      <c r="A424" s="47"/>
      <c r="B424" s="48"/>
      <c r="C424" s="48"/>
      <c r="D424" s="48"/>
      <c r="E424" s="48"/>
      <c r="F424" s="48"/>
      <c r="G424" s="48"/>
      <c r="H424" s="48"/>
      <c r="I424" s="48"/>
      <c r="J424" s="48"/>
      <c r="K424" s="48"/>
      <c r="L424" s="48"/>
      <c r="M424" s="48"/>
      <c r="N424" s="48"/>
      <c r="O424" s="9"/>
      <c r="P424" s="9"/>
      <c r="Q424" s="9"/>
      <c r="R424" s="9"/>
      <c r="S424" s="9"/>
      <c r="U424" s="13"/>
      <c r="V424" s="13"/>
    </row>
    <row r="425" ht="15.75" customHeight="1">
      <c r="A425" s="47"/>
      <c r="B425" s="48"/>
      <c r="C425" s="48"/>
      <c r="D425" s="48"/>
      <c r="E425" s="48"/>
      <c r="F425" s="48"/>
      <c r="G425" s="48"/>
      <c r="H425" s="48"/>
      <c r="I425" s="48"/>
      <c r="J425" s="48"/>
      <c r="K425" s="48"/>
      <c r="L425" s="48"/>
      <c r="M425" s="48"/>
      <c r="N425" s="48"/>
      <c r="O425" s="9"/>
      <c r="P425" s="9"/>
      <c r="Q425" s="9"/>
      <c r="R425" s="9"/>
      <c r="S425" s="9"/>
      <c r="U425" s="13"/>
      <c r="V425" s="13"/>
    </row>
    <row r="426" ht="15.75" customHeight="1">
      <c r="A426" s="47"/>
      <c r="B426" s="48"/>
      <c r="C426" s="48"/>
      <c r="D426" s="48"/>
      <c r="E426" s="48"/>
      <c r="F426" s="48"/>
      <c r="G426" s="48"/>
      <c r="H426" s="48"/>
      <c r="I426" s="48"/>
      <c r="J426" s="48"/>
      <c r="K426" s="48"/>
      <c r="L426" s="48"/>
      <c r="M426" s="48"/>
      <c r="N426" s="48"/>
      <c r="O426" s="9"/>
      <c r="P426" s="9"/>
      <c r="Q426" s="9"/>
      <c r="R426" s="9"/>
      <c r="S426" s="9"/>
      <c r="U426" s="13"/>
      <c r="V426" s="13"/>
    </row>
    <row r="427" ht="15.75" customHeight="1">
      <c r="A427" s="47"/>
      <c r="B427" s="48"/>
      <c r="C427" s="48"/>
      <c r="D427" s="48"/>
      <c r="E427" s="48"/>
      <c r="F427" s="48"/>
      <c r="G427" s="48"/>
      <c r="H427" s="48"/>
      <c r="I427" s="48"/>
      <c r="J427" s="48"/>
      <c r="K427" s="48"/>
      <c r="L427" s="48"/>
      <c r="M427" s="48"/>
      <c r="N427" s="48"/>
      <c r="O427" s="9"/>
      <c r="P427" s="9"/>
      <c r="Q427" s="9"/>
      <c r="R427" s="9"/>
      <c r="S427" s="9"/>
      <c r="U427" s="13"/>
      <c r="V427" s="13"/>
    </row>
    <row r="428" ht="15.75" customHeight="1">
      <c r="A428" s="47"/>
      <c r="B428" s="48"/>
      <c r="C428" s="48"/>
      <c r="D428" s="48"/>
      <c r="E428" s="48"/>
      <c r="F428" s="48"/>
      <c r="G428" s="48"/>
      <c r="H428" s="48"/>
      <c r="I428" s="48"/>
      <c r="J428" s="48"/>
      <c r="K428" s="48"/>
      <c r="L428" s="48"/>
      <c r="M428" s="48"/>
      <c r="N428" s="48"/>
      <c r="O428" s="9"/>
      <c r="P428" s="9"/>
      <c r="Q428" s="9"/>
      <c r="R428" s="9"/>
      <c r="S428" s="9"/>
      <c r="U428" s="13"/>
      <c r="V428" s="13"/>
    </row>
    <row r="429" ht="15.75" customHeight="1">
      <c r="A429" s="47"/>
      <c r="B429" s="48"/>
      <c r="C429" s="48"/>
      <c r="D429" s="48"/>
      <c r="E429" s="48"/>
      <c r="F429" s="48"/>
      <c r="G429" s="48"/>
      <c r="H429" s="48"/>
      <c r="I429" s="48"/>
      <c r="J429" s="48"/>
      <c r="K429" s="48"/>
      <c r="L429" s="48"/>
      <c r="M429" s="48"/>
      <c r="N429" s="48"/>
      <c r="O429" s="9"/>
      <c r="P429" s="9"/>
      <c r="Q429" s="9"/>
      <c r="R429" s="9"/>
      <c r="S429" s="9"/>
      <c r="U429" s="13"/>
      <c r="V429" s="13"/>
    </row>
    <row r="430" ht="15.75" customHeight="1">
      <c r="A430" s="47"/>
      <c r="B430" s="48"/>
      <c r="C430" s="48"/>
      <c r="D430" s="48"/>
      <c r="E430" s="48"/>
      <c r="F430" s="48"/>
      <c r="G430" s="48"/>
      <c r="H430" s="48"/>
      <c r="I430" s="48"/>
      <c r="J430" s="48"/>
      <c r="K430" s="48"/>
      <c r="L430" s="48"/>
      <c r="M430" s="48"/>
      <c r="N430" s="48"/>
      <c r="O430" s="9"/>
      <c r="P430" s="9"/>
      <c r="Q430" s="9"/>
      <c r="R430" s="9"/>
      <c r="S430" s="9"/>
      <c r="U430" s="13"/>
      <c r="V430" s="13"/>
    </row>
    <row r="431" ht="15.75" customHeight="1">
      <c r="A431" s="47"/>
      <c r="B431" s="48"/>
      <c r="C431" s="48"/>
      <c r="D431" s="48"/>
      <c r="E431" s="48"/>
      <c r="F431" s="48"/>
      <c r="G431" s="48"/>
      <c r="H431" s="48"/>
      <c r="I431" s="48"/>
      <c r="J431" s="48"/>
      <c r="K431" s="48"/>
      <c r="L431" s="48"/>
      <c r="M431" s="48"/>
      <c r="N431" s="48"/>
      <c r="O431" s="9"/>
      <c r="P431" s="9"/>
      <c r="Q431" s="9"/>
      <c r="R431" s="9"/>
      <c r="S431" s="9"/>
      <c r="U431" s="13"/>
      <c r="V431" s="13"/>
    </row>
    <row r="432" ht="15.75" customHeight="1">
      <c r="A432" s="47"/>
      <c r="B432" s="48"/>
      <c r="C432" s="48"/>
      <c r="D432" s="48"/>
      <c r="E432" s="48"/>
      <c r="F432" s="48"/>
      <c r="G432" s="48"/>
      <c r="H432" s="48"/>
      <c r="I432" s="48"/>
      <c r="J432" s="48"/>
      <c r="K432" s="48"/>
      <c r="L432" s="48"/>
      <c r="M432" s="48"/>
      <c r="N432" s="48"/>
      <c r="O432" s="9"/>
      <c r="P432" s="9"/>
      <c r="Q432" s="9"/>
      <c r="R432" s="9"/>
      <c r="S432" s="9"/>
      <c r="U432" s="13"/>
      <c r="V432" s="13"/>
    </row>
    <row r="433" ht="15.75" customHeight="1">
      <c r="A433" s="47"/>
      <c r="B433" s="48"/>
      <c r="C433" s="48"/>
      <c r="D433" s="48"/>
      <c r="E433" s="48"/>
      <c r="F433" s="48"/>
      <c r="G433" s="48"/>
      <c r="H433" s="48"/>
      <c r="I433" s="48"/>
      <c r="J433" s="48"/>
      <c r="K433" s="48"/>
      <c r="L433" s="48"/>
      <c r="M433" s="48"/>
      <c r="N433" s="48"/>
      <c r="O433" s="9"/>
      <c r="P433" s="9"/>
      <c r="Q433" s="9"/>
      <c r="R433" s="9"/>
      <c r="S433" s="9"/>
      <c r="U433" s="13"/>
      <c r="V433" s="13"/>
    </row>
    <row r="434" ht="15.75" customHeight="1">
      <c r="A434" s="47"/>
      <c r="B434" s="48"/>
      <c r="C434" s="48"/>
      <c r="D434" s="48"/>
      <c r="E434" s="48"/>
      <c r="F434" s="48"/>
      <c r="G434" s="48"/>
      <c r="H434" s="48"/>
      <c r="I434" s="48"/>
      <c r="J434" s="48"/>
      <c r="K434" s="48"/>
      <c r="L434" s="48"/>
      <c r="M434" s="48"/>
      <c r="N434" s="48"/>
      <c r="O434" s="9"/>
      <c r="P434" s="9"/>
      <c r="Q434" s="9"/>
      <c r="R434" s="9"/>
      <c r="S434" s="9"/>
      <c r="U434" s="13"/>
      <c r="V434" s="13"/>
    </row>
    <row r="435" ht="15.75" customHeight="1">
      <c r="A435" s="47"/>
      <c r="B435" s="48"/>
      <c r="C435" s="48"/>
      <c r="D435" s="48"/>
      <c r="E435" s="48"/>
      <c r="F435" s="48"/>
      <c r="G435" s="48"/>
      <c r="H435" s="48"/>
      <c r="I435" s="48"/>
      <c r="J435" s="48"/>
      <c r="K435" s="48"/>
      <c r="L435" s="48"/>
      <c r="M435" s="48"/>
      <c r="N435" s="48"/>
      <c r="O435" s="9"/>
      <c r="P435" s="9"/>
      <c r="Q435" s="9"/>
      <c r="R435" s="9"/>
      <c r="S435" s="9"/>
      <c r="U435" s="13"/>
      <c r="V435" s="13"/>
    </row>
    <row r="436" ht="15.75" customHeight="1">
      <c r="A436" s="47"/>
      <c r="B436" s="48"/>
      <c r="C436" s="48"/>
      <c r="D436" s="48"/>
      <c r="E436" s="48"/>
      <c r="F436" s="48"/>
      <c r="G436" s="48"/>
      <c r="H436" s="48"/>
      <c r="I436" s="48"/>
      <c r="J436" s="48"/>
      <c r="K436" s="48"/>
      <c r="L436" s="48"/>
      <c r="M436" s="48"/>
      <c r="N436" s="48"/>
      <c r="O436" s="9"/>
      <c r="P436" s="9"/>
      <c r="Q436" s="9"/>
      <c r="R436" s="9"/>
      <c r="S436" s="9"/>
      <c r="U436" s="13"/>
      <c r="V436" s="13"/>
    </row>
    <row r="437" ht="15.75" customHeight="1">
      <c r="A437" s="47"/>
      <c r="B437" s="48"/>
      <c r="C437" s="48"/>
      <c r="D437" s="48"/>
      <c r="E437" s="48"/>
      <c r="F437" s="48"/>
      <c r="G437" s="48"/>
      <c r="H437" s="48"/>
      <c r="I437" s="48"/>
      <c r="J437" s="48"/>
      <c r="K437" s="48"/>
      <c r="L437" s="48"/>
      <c r="M437" s="48"/>
      <c r="N437" s="48"/>
      <c r="O437" s="9"/>
      <c r="P437" s="9"/>
      <c r="Q437" s="9"/>
      <c r="R437" s="9"/>
      <c r="S437" s="9"/>
      <c r="U437" s="13"/>
      <c r="V437" s="13"/>
    </row>
    <row r="438" ht="15.75" customHeight="1">
      <c r="A438" s="47"/>
      <c r="B438" s="48"/>
      <c r="C438" s="48"/>
      <c r="D438" s="48"/>
      <c r="E438" s="48"/>
      <c r="F438" s="48"/>
      <c r="G438" s="48"/>
      <c r="H438" s="48"/>
      <c r="I438" s="48"/>
      <c r="J438" s="48"/>
      <c r="K438" s="48"/>
      <c r="L438" s="48"/>
      <c r="M438" s="48"/>
      <c r="N438" s="48"/>
      <c r="O438" s="9"/>
      <c r="P438" s="9"/>
      <c r="Q438" s="9"/>
      <c r="R438" s="9"/>
      <c r="S438" s="9"/>
      <c r="U438" s="13"/>
      <c r="V438" s="13"/>
    </row>
    <row r="439" ht="15.75" customHeight="1">
      <c r="A439" s="47"/>
      <c r="B439" s="48"/>
      <c r="C439" s="48"/>
      <c r="D439" s="48"/>
      <c r="E439" s="48"/>
      <c r="F439" s="48"/>
      <c r="G439" s="48"/>
      <c r="H439" s="48"/>
      <c r="I439" s="48"/>
      <c r="J439" s="48"/>
      <c r="K439" s="48"/>
      <c r="L439" s="48"/>
      <c r="M439" s="48"/>
      <c r="N439" s="48"/>
      <c r="O439" s="9"/>
      <c r="P439" s="9"/>
      <c r="Q439" s="9"/>
      <c r="R439" s="9"/>
      <c r="S439" s="9"/>
      <c r="U439" s="13"/>
      <c r="V439" s="13"/>
    </row>
    <row r="440" ht="15.75" customHeight="1">
      <c r="A440" s="47"/>
      <c r="B440" s="48"/>
      <c r="C440" s="48"/>
      <c r="D440" s="48"/>
      <c r="E440" s="48"/>
      <c r="F440" s="48"/>
      <c r="G440" s="48"/>
      <c r="H440" s="48"/>
      <c r="I440" s="48"/>
      <c r="J440" s="48"/>
      <c r="K440" s="48"/>
      <c r="L440" s="48"/>
      <c r="M440" s="48"/>
      <c r="N440" s="48"/>
      <c r="O440" s="9"/>
      <c r="P440" s="9"/>
      <c r="Q440" s="9"/>
      <c r="R440" s="9"/>
      <c r="S440" s="9"/>
      <c r="U440" s="13"/>
      <c r="V440" s="13"/>
    </row>
    <row r="441" ht="15.75" customHeight="1">
      <c r="A441" s="47"/>
      <c r="B441" s="48"/>
      <c r="C441" s="48"/>
      <c r="D441" s="48"/>
      <c r="E441" s="48"/>
      <c r="F441" s="48"/>
      <c r="G441" s="48"/>
      <c r="H441" s="48"/>
      <c r="I441" s="48"/>
      <c r="J441" s="48"/>
      <c r="K441" s="48"/>
      <c r="L441" s="48"/>
      <c r="M441" s="48"/>
      <c r="N441" s="48"/>
      <c r="O441" s="9"/>
      <c r="P441" s="9"/>
      <c r="Q441" s="9"/>
      <c r="R441" s="9"/>
      <c r="S441" s="9"/>
      <c r="U441" s="13"/>
      <c r="V441" s="13"/>
    </row>
    <row r="442" ht="15.75" customHeight="1">
      <c r="A442" s="47"/>
      <c r="B442" s="48"/>
      <c r="C442" s="48"/>
      <c r="D442" s="48"/>
      <c r="E442" s="48"/>
      <c r="F442" s="48"/>
      <c r="G442" s="48"/>
      <c r="H442" s="48"/>
      <c r="I442" s="48"/>
      <c r="J442" s="48"/>
      <c r="K442" s="48"/>
      <c r="L442" s="48"/>
      <c r="M442" s="48"/>
      <c r="N442" s="48"/>
      <c r="O442" s="9"/>
      <c r="P442" s="9"/>
      <c r="Q442" s="9"/>
      <c r="R442" s="9"/>
      <c r="S442" s="9"/>
      <c r="U442" s="13"/>
      <c r="V442" s="13"/>
    </row>
    <row r="443" ht="15.75" customHeight="1">
      <c r="A443" s="47"/>
      <c r="B443" s="48"/>
      <c r="C443" s="48"/>
      <c r="D443" s="48"/>
      <c r="E443" s="48"/>
      <c r="F443" s="48"/>
      <c r="G443" s="48"/>
      <c r="H443" s="48"/>
      <c r="I443" s="48"/>
      <c r="J443" s="48"/>
      <c r="K443" s="48"/>
      <c r="L443" s="48"/>
      <c r="M443" s="48"/>
      <c r="N443" s="48"/>
      <c r="O443" s="9"/>
      <c r="P443" s="9"/>
      <c r="Q443" s="9"/>
      <c r="R443" s="9"/>
      <c r="S443" s="9"/>
      <c r="U443" s="13"/>
      <c r="V443" s="13"/>
    </row>
    <row r="444" ht="15.75" customHeight="1">
      <c r="A444" s="47"/>
      <c r="B444" s="48"/>
      <c r="C444" s="48"/>
      <c r="D444" s="48"/>
      <c r="E444" s="48"/>
      <c r="F444" s="48"/>
      <c r="G444" s="48"/>
      <c r="H444" s="48"/>
      <c r="I444" s="48"/>
      <c r="J444" s="48"/>
      <c r="K444" s="48"/>
      <c r="L444" s="48"/>
      <c r="M444" s="48"/>
      <c r="N444" s="48"/>
      <c r="O444" s="9"/>
      <c r="P444" s="9"/>
      <c r="Q444" s="9"/>
      <c r="R444" s="9"/>
      <c r="S444" s="9"/>
      <c r="U444" s="13"/>
      <c r="V444" s="13"/>
    </row>
    <row r="445" ht="15.75" customHeight="1">
      <c r="A445" s="47"/>
      <c r="B445" s="48"/>
      <c r="C445" s="48"/>
      <c r="D445" s="48"/>
      <c r="E445" s="48"/>
      <c r="F445" s="48"/>
      <c r="G445" s="48"/>
      <c r="H445" s="48"/>
      <c r="I445" s="48"/>
      <c r="J445" s="48"/>
      <c r="K445" s="48"/>
      <c r="L445" s="48"/>
      <c r="M445" s="48"/>
      <c r="N445" s="48"/>
      <c r="O445" s="9"/>
      <c r="P445" s="9"/>
      <c r="Q445" s="9"/>
      <c r="R445" s="9"/>
      <c r="S445" s="9"/>
      <c r="U445" s="13"/>
      <c r="V445" s="13"/>
    </row>
    <row r="446" ht="15.75" customHeight="1">
      <c r="A446" s="47"/>
      <c r="B446" s="48"/>
      <c r="C446" s="48"/>
      <c r="D446" s="48"/>
      <c r="E446" s="48"/>
      <c r="F446" s="48"/>
      <c r="G446" s="48"/>
      <c r="H446" s="48"/>
      <c r="I446" s="48"/>
      <c r="J446" s="48"/>
      <c r="K446" s="48"/>
      <c r="L446" s="48"/>
      <c r="M446" s="48"/>
      <c r="N446" s="48"/>
      <c r="O446" s="9"/>
      <c r="P446" s="9"/>
      <c r="Q446" s="9"/>
      <c r="R446" s="9"/>
      <c r="S446" s="9"/>
      <c r="U446" s="13"/>
      <c r="V446" s="13"/>
    </row>
    <row r="447" ht="15.75" customHeight="1">
      <c r="A447" s="47"/>
      <c r="B447" s="48"/>
      <c r="C447" s="48"/>
      <c r="D447" s="48"/>
      <c r="E447" s="48"/>
      <c r="F447" s="48"/>
      <c r="G447" s="48"/>
      <c r="H447" s="48"/>
      <c r="I447" s="48"/>
      <c r="J447" s="48"/>
      <c r="K447" s="48"/>
      <c r="L447" s="48"/>
      <c r="M447" s="48"/>
      <c r="N447" s="48"/>
      <c r="O447" s="9"/>
      <c r="P447" s="9"/>
      <c r="Q447" s="9"/>
      <c r="R447" s="9"/>
      <c r="S447" s="9"/>
      <c r="U447" s="13"/>
      <c r="V447" s="13"/>
    </row>
    <row r="448" ht="15.75" customHeight="1">
      <c r="A448" s="47"/>
      <c r="B448" s="48"/>
      <c r="C448" s="48"/>
      <c r="D448" s="48"/>
      <c r="E448" s="48"/>
      <c r="F448" s="48"/>
      <c r="G448" s="48"/>
      <c r="H448" s="48"/>
      <c r="I448" s="48"/>
      <c r="J448" s="48"/>
      <c r="K448" s="48"/>
      <c r="L448" s="48"/>
      <c r="M448" s="48"/>
      <c r="N448" s="48"/>
      <c r="O448" s="9"/>
      <c r="P448" s="9"/>
      <c r="Q448" s="9"/>
      <c r="R448" s="9"/>
      <c r="S448" s="9"/>
      <c r="U448" s="13"/>
      <c r="V448" s="13"/>
    </row>
    <row r="449" ht="15.75" customHeight="1">
      <c r="A449" s="47"/>
      <c r="B449" s="48"/>
      <c r="C449" s="48"/>
      <c r="D449" s="48"/>
      <c r="E449" s="48"/>
      <c r="F449" s="48"/>
      <c r="G449" s="48"/>
      <c r="H449" s="48"/>
      <c r="I449" s="48"/>
      <c r="J449" s="48"/>
      <c r="K449" s="48"/>
      <c r="L449" s="48"/>
      <c r="M449" s="48"/>
      <c r="N449" s="48"/>
      <c r="O449" s="9"/>
      <c r="P449" s="9"/>
      <c r="Q449" s="9"/>
      <c r="R449" s="9"/>
      <c r="S449" s="9"/>
      <c r="U449" s="13"/>
      <c r="V449" s="13"/>
    </row>
    <row r="450" ht="15.75" customHeight="1">
      <c r="A450" s="47"/>
      <c r="B450" s="48"/>
      <c r="C450" s="48"/>
      <c r="D450" s="48"/>
      <c r="E450" s="48"/>
      <c r="F450" s="48"/>
      <c r="G450" s="48"/>
      <c r="H450" s="48"/>
      <c r="I450" s="48"/>
      <c r="J450" s="48"/>
      <c r="K450" s="48"/>
      <c r="L450" s="48"/>
      <c r="M450" s="48"/>
      <c r="N450" s="48"/>
      <c r="O450" s="9"/>
      <c r="P450" s="9"/>
      <c r="Q450" s="9"/>
      <c r="R450" s="9"/>
      <c r="S450" s="9"/>
      <c r="U450" s="13"/>
      <c r="V450" s="13"/>
    </row>
    <row r="451" ht="15.75" customHeight="1">
      <c r="A451" s="47"/>
      <c r="B451" s="48"/>
      <c r="C451" s="48"/>
      <c r="D451" s="48"/>
      <c r="E451" s="48"/>
      <c r="F451" s="48"/>
      <c r="G451" s="48"/>
      <c r="H451" s="48"/>
      <c r="I451" s="48"/>
      <c r="J451" s="48"/>
      <c r="K451" s="48"/>
      <c r="L451" s="48"/>
      <c r="M451" s="48"/>
      <c r="N451" s="48"/>
      <c r="O451" s="9"/>
      <c r="P451" s="9"/>
      <c r="Q451" s="9"/>
      <c r="R451" s="9"/>
      <c r="S451" s="9"/>
      <c r="U451" s="13"/>
      <c r="V451" s="13"/>
    </row>
    <row r="452" ht="15.75" customHeight="1">
      <c r="A452" s="47"/>
      <c r="B452" s="48"/>
      <c r="C452" s="48"/>
      <c r="D452" s="48"/>
      <c r="E452" s="48"/>
      <c r="F452" s="48"/>
      <c r="G452" s="48"/>
      <c r="H452" s="48"/>
      <c r="I452" s="48"/>
      <c r="J452" s="48"/>
      <c r="K452" s="48"/>
      <c r="L452" s="48"/>
      <c r="M452" s="48"/>
      <c r="N452" s="48"/>
      <c r="O452" s="9"/>
      <c r="P452" s="9"/>
      <c r="Q452" s="9"/>
      <c r="R452" s="9"/>
      <c r="S452" s="9"/>
      <c r="U452" s="13"/>
      <c r="V452" s="13"/>
    </row>
    <row r="453" ht="15.75" customHeight="1">
      <c r="A453" s="47"/>
      <c r="B453" s="48"/>
      <c r="C453" s="48"/>
      <c r="D453" s="48"/>
      <c r="E453" s="48"/>
      <c r="F453" s="48"/>
      <c r="G453" s="48"/>
      <c r="H453" s="48"/>
      <c r="I453" s="48"/>
      <c r="J453" s="48"/>
      <c r="K453" s="48"/>
      <c r="L453" s="48"/>
      <c r="M453" s="48"/>
      <c r="N453" s="48"/>
      <c r="O453" s="9"/>
      <c r="P453" s="9"/>
      <c r="Q453" s="9"/>
      <c r="R453" s="9"/>
      <c r="S453" s="9"/>
      <c r="U453" s="13"/>
      <c r="V453" s="13"/>
    </row>
    <row r="454" ht="15.75" customHeight="1">
      <c r="A454" s="47"/>
      <c r="B454" s="48"/>
      <c r="C454" s="48"/>
      <c r="D454" s="48"/>
      <c r="E454" s="48"/>
      <c r="F454" s="48"/>
      <c r="G454" s="48"/>
      <c r="H454" s="48"/>
      <c r="I454" s="48"/>
      <c r="J454" s="48"/>
      <c r="K454" s="48"/>
      <c r="L454" s="48"/>
      <c r="M454" s="48"/>
      <c r="N454" s="48"/>
      <c r="O454" s="9"/>
      <c r="P454" s="9"/>
      <c r="Q454" s="9"/>
      <c r="R454" s="9"/>
      <c r="S454" s="9"/>
      <c r="U454" s="13"/>
      <c r="V454" s="13"/>
    </row>
    <row r="455" ht="15.75" customHeight="1">
      <c r="A455" s="47"/>
      <c r="B455" s="48"/>
      <c r="C455" s="48"/>
      <c r="D455" s="48"/>
      <c r="E455" s="48"/>
      <c r="F455" s="48"/>
      <c r="G455" s="48"/>
      <c r="H455" s="48"/>
      <c r="I455" s="48"/>
      <c r="J455" s="48"/>
      <c r="K455" s="48"/>
      <c r="L455" s="48"/>
      <c r="M455" s="48"/>
      <c r="N455" s="48"/>
      <c r="O455" s="9"/>
      <c r="P455" s="9"/>
      <c r="Q455" s="9"/>
      <c r="R455" s="9"/>
      <c r="S455" s="9"/>
      <c r="U455" s="13"/>
      <c r="V455" s="13"/>
    </row>
    <row r="456" ht="15.75" customHeight="1">
      <c r="A456" s="47"/>
      <c r="B456" s="48"/>
      <c r="C456" s="48"/>
      <c r="D456" s="48"/>
      <c r="E456" s="48"/>
      <c r="F456" s="48"/>
      <c r="G456" s="48"/>
      <c r="H456" s="48"/>
      <c r="I456" s="48"/>
      <c r="J456" s="48"/>
      <c r="K456" s="48"/>
      <c r="L456" s="48"/>
      <c r="M456" s="48"/>
      <c r="N456" s="48"/>
      <c r="O456" s="9"/>
      <c r="P456" s="9"/>
      <c r="Q456" s="9"/>
      <c r="R456" s="9"/>
      <c r="S456" s="9"/>
      <c r="U456" s="13"/>
      <c r="V456" s="13"/>
    </row>
    <row r="457" ht="15.75" customHeight="1">
      <c r="A457" s="47"/>
      <c r="B457" s="48"/>
      <c r="C457" s="48"/>
      <c r="D457" s="48"/>
      <c r="E457" s="48"/>
      <c r="F457" s="48"/>
      <c r="G457" s="48"/>
      <c r="H457" s="48"/>
      <c r="I457" s="48"/>
      <c r="J457" s="48"/>
      <c r="K457" s="48"/>
      <c r="L457" s="48"/>
      <c r="M457" s="48"/>
      <c r="N457" s="48"/>
      <c r="O457" s="9"/>
      <c r="P457" s="9"/>
      <c r="Q457" s="9"/>
      <c r="R457" s="9"/>
      <c r="S457" s="9"/>
      <c r="U457" s="13"/>
      <c r="V457" s="13"/>
    </row>
    <row r="458" ht="15.75" customHeight="1">
      <c r="A458" s="47"/>
      <c r="B458" s="48"/>
      <c r="C458" s="48"/>
      <c r="D458" s="48"/>
      <c r="E458" s="48"/>
      <c r="F458" s="48"/>
      <c r="G458" s="48"/>
      <c r="H458" s="48"/>
      <c r="I458" s="48"/>
      <c r="J458" s="48"/>
      <c r="K458" s="48"/>
      <c r="L458" s="48"/>
      <c r="M458" s="48"/>
      <c r="N458" s="48"/>
      <c r="O458" s="9"/>
      <c r="P458" s="9"/>
      <c r="Q458" s="9"/>
      <c r="R458" s="9"/>
      <c r="S458" s="9"/>
      <c r="U458" s="13"/>
      <c r="V458" s="13"/>
    </row>
    <row r="459" ht="15.75" customHeight="1">
      <c r="A459" s="47"/>
      <c r="B459" s="48"/>
      <c r="C459" s="48"/>
      <c r="D459" s="48"/>
      <c r="E459" s="48"/>
      <c r="F459" s="48"/>
      <c r="G459" s="48"/>
      <c r="H459" s="48"/>
      <c r="I459" s="48"/>
      <c r="J459" s="48"/>
      <c r="K459" s="48"/>
      <c r="L459" s="48"/>
      <c r="M459" s="48"/>
      <c r="N459" s="48"/>
      <c r="O459" s="9"/>
      <c r="P459" s="9"/>
      <c r="Q459" s="9"/>
      <c r="R459" s="9"/>
      <c r="S459" s="9"/>
      <c r="U459" s="13"/>
      <c r="V459" s="13"/>
    </row>
    <row r="460" ht="15.75" customHeight="1">
      <c r="A460" s="47"/>
      <c r="B460" s="48"/>
      <c r="C460" s="48"/>
      <c r="D460" s="48"/>
      <c r="E460" s="48"/>
      <c r="F460" s="48"/>
      <c r="G460" s="48"/>
      <c r="H460" s="48"/>
      <c r="I460" s="48"/>
      <c r="J460" s="48"/>
      <c r="K460" s="48"/>
      <c r="L460" s="48"/>
      <c r="M460" s="48"/>
      <c r="N460" s="48"/>
      <c r="O460" s="9"/>
      <c r="P460" s="9"/>
      <c r="Q460" s="9"/>
      <c r="R460" s="9"/>
      <c r="S460" s="9"/>
      <c r="U460" s="13"/>
      <c r="V460" s="13"/>
    </row>
    <row r="461" ht="15.75" customHeight="1">
      <c r="A461" s="47"/>
      <c r="B461" s="48"/>
      <c r="C461" s="48"/>
      <c r="D461" s="48"/>
      <c r="E461" s="48"/>
      <c r="F461" s="48"/>
      <c r="G461" s="48"/>
      <c r="H461" s="48"/>
      <c r="I461" s="48"/>
      <c r="J461" s="48"/>
      <c r="K461" s="48"/>
      <c r="L461" s="48"/>
      <c r="M461" s="48"/>
      <c r="N461" s="48"/>
      <c r="O461" s="9"/>
      <c r="P461" s="9"/>
      <c r="Q461" s="9"/>
      <c r="R461" s="9"/>
      <c r="S461" s="9"/>
      <c r="U461" s="13"/>
      <c r="V461" s="13"/>
    </row>
    <row r="462" ht="15.75" customHeight="1">
      <c r="A462" s="47"/>
      <c r="B462" s="48"/>
      <c r="C462" s="48"/>
      <c r="D462" s="48"/>
      <c r="E462" s="48"/>
      <c r="F462" s="48"/>
      <c r="G462" s="48"/>
      <c r="H462" s="48"/>
      <c r="I462" s="48"/>
      <c r="J462" s="48"/>
      <c r="K462" s="48"/>
      <c r="L462" s="48"/>
      <c r="M462" s="48"/>
      <c r="N462" s="48"/>
      <c r="O462" s="9"/>
      <c r="P462" s="9"/>
      <c r="Q462" s="9"/>
      <c r="R462" s="9"/>
      <c r="S462" s="9"/>
      <c r="U462" s="13"/>
      <c r="V462" s="13"/>
    </row>
    <row r="463" ht="15.75" customHeight="1">
      <c r="A463" s="47"/>
      <c r="B463" s="48"/>
      <c r="C463" s="48"/>
      <c r="D463" s="48"/>
      <c r="E463" s="48"/>
      <c r="F463" s="48"/>
      <c r="G463" s="48"/>
      <c r="H463" s="48"/>
      <c r="I463" s="48"/>
      <c r="J463" s="48"/>
      <c r="K463" s="48"/>
      <c r="L463" s="48"/>
      <c r="M463" s="48"/>
      <c r="N463" s="48"/>
      <c r="O463" s="9"/>
      <c r="P463" s="9"/>
      <c r="Q463" s="9"/>
      <c r="R463" s="9"/>
      <c r="S463" s="9"/>
      <c r="U463" s="13"/>
      <c r="V463" s="13"/>
    </row>
    <row r="464" ht="15.75" customHeight="1">
      <c r="A464" s="47"/>
      <c r="B464" s="48"/>
      <c r="C464" s="48"/>
      <c r="D464" s="48"/>
      <c r="E464" s="48"/>
      <c r="F464" s="48"/>
      <c r="G464" s="48"/>
      <c r="H464" s="48"/>
      <c r="I464" s="48"/>
      <c r="J464" s="48"/>
      <c r="K464" s="48"/>
      <c r="L464" s="48"/>
      <c r="M464" s="48"/>
      <c r="N464" s="48"/>
      <c r="O464" s="9"/>
      <c r="P464" s="9"/>
      <c r="Q464" s="9"/>
      <c r="R464" s="9"/>
      <c r="S464" s="9"/>
      <c r="U464" s="13"/>
      <c r="V464" s="13"/>
    </row>
    <row r="465" ht="15.75" customHeight="1">
      <c r="A465" s="47"/>
      <c r="B465" s="48"/>
      <c r="C465" s="48"/>
      <c r="D465" s="48"/>
      <c r="E465" s="48"/>
      <c r="F465" s="48"/>
      <c r="G465" s="48"/>
      <c r="H465" s="48"/>
      <c r="I465" s="48"/>
      <c r="J465" s="48"/>
      <c r="K465" s="48"/>
      <c r="L465" s="48"/>
      <c r="M465" s="48"/>
      <c r="N465" s="48"/>
      <c r="O465" s="9"/>
      <c r="P465" s="9"/>
      <c r="Q465" s="9"/>
      <c r="R465" s="9"/>
      <c r="S465" s="9"/>
      <c r="U465" s="13"/>
      <c r="V465" s="13"/>
    </row>
    <row r="466" ht="15.75" customHeight="1">
      <c r="A466" s="47"/>
      <c r="B466" s="48"/>
      <c r="C466" s="48"/>
      <c r="D466" s="48"/>
      <c r="E466" s="48"/>
      <c r="F466" s="48"/>
      <c r="G466" s="48"/>
      <c r="H466" s="48"/>
      <c r="I466" s="48"/>
      <c r="J466" s="48"/>
      <c r="K466" s="48"/>
      <c r="L466" s="48"/>
      <c r="M466" s="48"/>
      <c r="N466" s="48"/>
      <c r="O466" s="9"/>
      <c r="P466" s="9"/>
      <c r="Q466" s="9"/>
      <c r="R466" s="9"/>
      <c r="S466" s="9"/>
      <c r="U466" s="13"/>
      <c r="V466" s="13"/>
    </row>
    <row r="467" ht="15.75" customHeight="1">
      <c r="A467" s="47"/>
      <c r="B467" s="48"/>
      <c r="C467" s="48"/>
      <c r="D467" s="48"/>
      <c r="E467" s="48"/>
      <c r="F467" s="48"/>
      <c r="G467" s="48"/>
      <c r="H467" s="48"/>
      <c r="I467" s="48"/>
      <c r="J467" s="48"/>
      <c r="K467" s="48"/>
      <c r="L467" s="48"/>
      <c r="M467" s="48"/>
      <c r="N467" s="48"/>
      <c r="O467" s="9"/>
      <c r="P467" s="9"/>
      <c r="Q467" s="9"/>
      <c r="R467" s="9"/>
      <c r="S467" s="9"/>
      <c r="U467" s="13"/>
      <c r="V467" s="13"/>
    </row>
    <row r="468" ht="15.75" customHeight="1">
      <c r="A468" s="47"/>
      <c r="B468" s="48"/>
      <c r="C468" s="48"/>
      <c r="D468" s="48"/>
      <c r="E468" s="48"/>
      <c r="F468" s="48"/>
      <c r="G468" s="48"/>
      <c r="H468" s="48"/>
      <c r="I468" s="48"/>
      <c r="J468" s="48"/>
      <c r="K468" s="48"/>
      <c r="L468" s="48"/>
      <c r="M468" s="48"/>
      <c r="N468" s="48"/>
      <c r="O468" s="9"/>
      <c r="P468" s="9"/>
      <c r="Q468" s="9"/>
      <c r="R468" s="9"/>
      <c r="S468" s="9"/>
      <c r="U468" s="13"/>
      <c r="V468" s="13"/>
    </row>
    <row r="469" ht="15.75" customHeight="1">
      <c r="A469" s="47"/>
      <c r="B469" s="48"/>
      <c r="C469" s="48"/>
      <c r="D469" s="48"/>
      <c r="E469" s="48"/>
      <c r="F469" s="48"/>
      <c r="G469" s="48"/>
      <c r="H469" s="48"/>
      <c r="I469" s="48"/>
      <c r="J469" s="48"/>
      <c r="K469" s="48"/>
      <c r="L469" s="48"/>
      <c r="M469" s="48"/>
      <c r="N469" s="48"/>
      <c r="O469" s="9"/>
      <c r="P469" s="9"/>
      <c r="Q469" s="9"/>
      <c r="R469" s="9"/>
      <c r="S469" s="9"/>
      <c r="U469" s="13"/>
      <c r="V469" s="13"/>
    </row>
    <row r="470" ht="15.75" customHeight="1">
      <c r="A470" s="47"/>
      <c r="B470" s="48"/>
      <c r="C470" s="48"/>
      <c r="D470" s="48"/>
      <c r="E470" s="48"/>
      <c r="F470" s="48"/>
      <c r="G470" s="48"/>
      <c r="H470" s="48"/>
      <c r="I470" s="48"/>
      <c r="J470" s="48"/>
      <c r="K470" s="48"/>
      <c r="L470" s="48"/>
      <c r="M470" s="48"/>
      <c r="N470" s="48"/>
      <c r="O470" s="9"/>
      <c r="P470" s="9"/>
      <c r="Q470" s="9"/>
      <c r="R470" s="9"/>
      <c r="S470" s="9"/>
      <c r="U470" s="13"/>
      <c r="V470" s="13"/>
    </row>
    <row r="471" ht="15.75" customHeight="1">
      <c r="A471" s="47"/>
      <c r="B471" s="48"/>
      <c r="C471" s="48"/>
      <c r="D471" s="48"/>
      <c r="E471" s="48"/>
      <c r="F471" s="48"/>
      <c r="G471" s="48"/>
      <c r="H471" s="48"/>
      <c r="I471" s="48"/>
      <c r="J471" s="48"/>
      <c r="K471" s="48"/>
      <c r="L471" s="48"/>
      <c r="M471" s="48"/>
      <c r="N471" s="48"/>
      <c r="O471" s="9"/>
      <c r="P471" s="9"/>
      <c r="Q471" s="9"/>
      <c r="R471" s="9"/>
      <c r="S471" s="9"/>
      <c r="U471" s="13"/>
      <c r="V471" s="13"/>
    </row>
    <row r="472" ht="15.75" customHeight="1">
      <c r="A472" s="47"/>
      <c r="B472" s="48"/>
      <c r="C472" s="48"/>
      <c r="D472" s="48"/>
      <c r="E472" s="48"/>
      <c r="F472" s="48"/>
      <c r="G472" s="48"/>
      <c r="H472" s="48"/>
      <c r="I472" s="48"/>
      <c r="J472" s="48"/>
      <c r="K472" s="48"/>
      <c r="L472" s="48"/>
      <c r="M472" s="48"/>
      <c r="N472" s="48"/>
      <c r="O472" s="9"/>
      <c r="P472" s="9"/>
      <c r="Q472" s="9"/>
      <c r="R472" s="9"/>
      <c r="S472" s="9"/>
      <c r="U472" s="13"/>
      <c r="V472" s="13"/>
    </row>
    <row r="473" ht="15.75" customHeight="1">
      <c r="A473" s="47"/>
      <c r="B473" s="48"/>
      <c r="C473" s="48"/>
      <c r="D473" s="48"/>
      <c r="E473" s="48"/>
      <c r="F473" s="48"/>
      <c r="G473" s="48"/>
      <c r="H473" s="48"/>
      <c r="I473" s="48"/>
      <c r="J473" s="48"/>
      <c r="K473" s="48"/>
      <c r="L473" s="48"/>
      <c r="M473" s="48"/>
      <c r="N473" s="48"/>
      <c r="O473" s="9"/>
      <c r="P473" s="9"/>
      <c r="Q473" s="9"/>
      <c r="R473" s="9"/>
      <c r="S473" s="9"/>
      <c r="U473" s="13"/>
      <c r="V473" s="13"/>
    </row>
    <row r="474" ht="15.75" customHeight="1">
      <c r="A474" s="47"/>
      <c r="B474" s="48"/>
      <c r="C474" s="48"/>
      <c r="D474" s="48"/>
      <c r="E474" s="48"/>
      <c r="F474" s="48"/>
      <c r="G474" s="48"/>
      <c r="H474" s="48"/>
      <c r="I474" s="48"/>
      <c r="J474" s="48"/>
      <c r="K474" s="48"/>
      <c r="L474" s="48"/>
      <c r="M474" s="48"/>
      <c r="N474" s="48"/>
      <c r="O474" s="9"/>
      <c r="P474" s="9"/>
      <c r="Q474" s="9"/>
      <c r="R474" s="9"/>
      <c r="S474" s="9"/>
      <c r="U474" s="13"/>
      <c r="V474" s="13"/>
    </row>
    <row r="475" ht="15.75" customHeight="1">
      <c r="A475" s="47"/>
      <c r="B475" s="48"/>
      <c r="C475" s="48"/>
      <c r="D475" s="48"/>
      <c r="E475" s="48"/>
      <c r="F475" s="48"/>
      <c r="G475" s="48"/>
      <c r="H475" s="48"/>
      <c r="I475" s="48"/>
      <c r="J475" s="48"/>
      <c r="K475" s="48"/>
      <c r="L475" s="48"/>
      <c r="M475" s="48"/>
      <c r="N475" s="48"/>
      <c r="O475" s="9"/>
      <c r="P475" s="9"/>
      <c r="Q475" s="9"/>
      <c r="R475" s="9"/>
      <c r="S475" s="9"/>
      <c r="U475" s="13"/>
      <c r="V475" s="13"/>
    </row>
    <row r="476" ht="15.75" customHeight="1">
      <c r="A476" s="47"/>
      <c r="B476" s="48"/>
      <c r="C476" s="48"/>
      <c r="D476" s="48"/>
      <c r="E476" s="48"/>
      <c r="F476" s="48"/>
      <c r="G476" s="48"/>
      <c r="H476" s="48"/>
      <c r="I476" s="48"/>
      <c r="J476" s="48"/>
      <c r="K476" s="48"/>
      <c r="L476" s="48"/>
      <c r="M476" s="48"/>
      <c r="N476" s="48"/>
      <c r="O476" s="9"/>
      <c r="P476" s="9"/>
      <c r="Q476" s="9"/>
      <c r="R476" s="9"/>
      <c r="S476" s="9"/>
      <c r="U476" s="13"/>
      <c r="V476" s="13"/>
    </row>
    <row r="477" ht="15.75" customHeight="1">
      <c r="A477" s="47"/>
      <c r="B477" s="48"/>
      <c r="C477" s="48"/>
      <c r="D477" s="48"/>
      <c r="E477" s="48"/>
      <c r="F477" s="48"/>
      <c r="G477" s="48"/>
      <c r="H477" s="48"/>
      <c r="I477" s="48"/>
      <c r="J477" s="48"/>
      <c r="K477" s="48"/>
      <c r="L477" s="48"/>
      <c r="M477" s="48"/>
      <c r="N477" s="48"/>
      <c r="O477" s="9"/>
      <c r="P477" s="9"/>
      <c r="Q477" s="9"/>
      <c r="R477" s="9"/>
      <c r="S477" s="9"/>
      <c r="U477" s="13"/>
      <c r="V477" s="13"/>
    </row>
    <row r="478" ht="15.75" customHeight="1">
      <c r="A478" s="47"/>
      <c r="B478" s="48"/>
      <c r="C478" s="48"/>
      <c r="D478" s="48"/>
      <c r="E478" s="48"/>
      <c r="F478" s="48"/>
      <c r="G478" s="48"/>
      <c r="H478" s="48"/>
      <c r="I478" s="48"/>
      <c r="J478" s="48"/>
      <c r="K478" s="48"/>
      <c r="L478" s="48"/>
      <c r="M478" s="48"/>
      <c r="N478" s="48"/>
      <c r="O478" s="9"/>
      <c r="P478" s="9"/>
      <c r="Q478" s="9"/>
      <c r="R478" s="9"/>
      <c r="S478" s="9"/>
      <c r="U478" s="13"/>
      <c r="V478" s="13"/>
    </row>
    <row r="479" ht="15.75" customHeight="1">
      <c r="A479" s="47"/>
      <c r="B479" s="48"/>
      <c r="C479" s="48"/>
      <c r="D479" s="48"/>
      <c r="E479" s="48"/>
      <c r="F479" s="48"/>
      <c r="G479" s="48"/>
      <c r="H479" s="48"/>
      <c r="I479" s="48"/>
      <c r="J479" s="48"/>
      <c r="K479" s="48"/>
      <c r="L479" s="48"/>
      <c r="M479" s="48"/>
      <c r="N479" s="48"/>
      <c r="O479" s="9"/>
      <c r="P479" s="9"/>
      <c r="Q479" s="9"/>
      <c r="R479" s="9"/>
      <c r="S479" s="9"/>
      <c r="U479" s="13"/>
      <c r="V479" s="13"/>
    </row>
    <row r="480" ht="15.75" customHeight="1">
      <c r="A480" s="47"/>
      <c r="B480" s="48"/>
      <c r="C480" s="48"/>
      <c r="D480" s="48"/>
      <c r="E480" s="48"/>
      <c r="F480" s="48"/>
      <c r="G480" s="48"/>
      <c r="H480" s="48"/>
      <c r="I480" s="48"/>
      <c r="J480" s="48"/>
      <c r="K480" s="48"/>
      <c r="L480" s="48"/>
      <c r="M480" s="48"/>
      <c r="N480" s="48"/>
      <c r="O480" s="9"/>
      <c r="P480" s="9"/>
      <c r="Q480" s="9"/>
      <c r="R480" s="9"/>
      <c r="S480" s="9"/>
      <c r="U480" s="13"/>
      <c r="V480" s="13"/>
    </row>
    <row r="481" ht="15.75" customHeight="1">
      <c r="A481" s="47"/>
      <c r="B481" s="48"/>
      <c r="C481" s="48"/>
      <c r="D481" s="48"/>
      <c r="E481" s="48"/>
      <c r="F481" s="48"/>
      <c r="G481" s="48"/>
      <c r="H481" s="48"/>
      <c r="I481" s="48"/>
      <c r="J481" s="48"/>
      <c r="K481" s="48"/>
      <c r="L481" s="48"/>
      <c r="M481" s="48"/>
      <c r="N481" s="48"/>
      <c r="O481" s="9"/>
      <c r="P481" s="9"/>
      <c r="Q481" s="9"/>
      <c r="R481" s="9"/>
      <c r="S481" s="9"/>
      <c r="U481" s="13"/>
      <c r="V481" s="13"/>
    </row>
    <row r="482" ht="15.75" customHeight="1">
      <c r="A482" s="47"/>
      <c r="B482" s="48"/>
      <c r="C482" s="48"/>
      <c r="D482" s="48"/>
      <c r="E482" s="48"/>
      <c r="F482" s="48"/>
      <c r="G482" s="48"/>
      <c r="H482" s="48"/>
      <c r="I482" s="48"/>
      <c r="J482" s="48"/>
      <c r="K482" s="48"/>
      <c r="L482" s="48"/>
      <c r="M482" s="48"/>
      <c r="N482" s="48"/>
      <c r="O482" s="9"/>
      <c r="P482" s="9"/>
      <c r="Q482" s="9"/>
      <c r="R482" s="9"/>
      <c r="S482" s="9"/>
      <c r="U482" s="13"/>
      <c r="V482" s="13"/>
    </row>
    <row r="483" ht="15.75" customHeight="1">
      <c r="A483" s="47"/>
      <c r="B483" s="48"/>
      <c r="C483" s="48"/>
      <c r="D483" s="48"/>
      <c r="E483" s="48"/>
      <c r="F483" s="48"/>
      <c r="G483" s="48"/>
      <c r="H483" s="48"/>
      <c r="I483" s="48"/>
      <c r="J483" s="48"/>
      <c r="K483" s="48"/>
      <c r="L483" s="48"/>
      <c r="M483" s="48"/>
      <c r="N483" s="48"/>
      <c r="O483" s="9"/>
      <c r="P483" s="9"/>
      <c r="Q483" s="9"/>
      <c r="R483" s="9"/>
      <c r="S483" s="9"/>
      <c r="U483" s="13"/>
      <c r="V483" s="13"/>
    </row>
    <row r="484" ht="15.75" customHeight="1">
      <c r="A484" s="47"/>
      <c r="B484" s="48"/>
      <c r="C484" s="48"/>
      <c r="D484" s="48"/>
      <c r="E484" s="48"/>
      <c r="F484" s="48"/>
      <c r="G484" s="48"/>
      <c r="H484" s="48"/>
      <c r="I484" s="48"/>
      <c r="J484" s="48"/>
      <c r="K484" s="48"/>
      <c r="L484" s="48"/>
      <c r="M484" s="48"/>
      <c r="N484" s="48"/>
      <c r="O484" s="9"/>
      <c r="P484" s="9"/>
      <c r="Q484" s="9"/>
      <c r="R484" s="9"/>
      <c r="S484" s="9"/>
      <c r="U484" s="13"/>
      <c r="V484" s="13"/>
    </row>
    <row r="485" ht="15.75" customHeight="1">
      <c r="A485" s="47"/>
      <c r="B485" s="48"/>
      <c r="C485" s="48"/>
      <c r="D485" s="48"/>
      <c r="E485" s="48"/>
      <c r="F485" s="48"/>
      <c r="G485" s="48"/>
      <c r="H485" s="48"/>
      <c r="I485" s="48"/>
      <c r="J485" s="48"/>
      <c r="K485" s="48"/>
      <c r="L485" s="48"/>
      <c r="M485" s="48"/>
      <c r="N485" s="48"/>
      <c r="O485" s="9"/>
      <c r="P485" s="9"/>
      <c r="Q485" s="9"/>
      <c r="R485" s="9"/>
      <c r="S485" s="9"/>
      <c r="U485" s="13"/>
      <c r="V485" s="13"/>
    </row>
    <row r="486" ht="15.75" customHeight="1">
      <c r="A486" s="47"/>
      <c r="B486" s="48"/>
      <c r="C486" s="48"/>
      <c r="D486" s="48"/>
      <c r="E486" s="48"/>
      <c r="F486" s="48"/>
      <c r="G486" s="48"/>
      <c r="H486" s="48"/>
      <c r="I486" s="48"/>
      <c r="J486" s="48"/>
      <c r="K486" s="48"/>
      <c r="L486" s="48"/>
      <c r="M486" s="48"/>
      <c r="N486" s="48"/>
      <c r="O486" s="9"/>
      <c r="P486" s="9"/>
      <c r="Q486" s="9"/>
      <c r="R486" s="9"/>
      <c r="S486" s="9"/>
      <c r="U486" s="13"/>
      <c r="V486" s="13"/>
    </row>
    <row r="487" ht="15.75" customHeight="1">
      <c r="A487" s="47"/>
      <c r="B487" s="48"/>
      <c r="C487" s="48"/>
      <c r="D487" s="48"/>
      <c r="E487" s="48"/>
      <c r="F487" s="48"/>
      <c r="G487" s="48"/>
      <c r="H487" s="48"/>
      <c r="I487" s="48"/>
      <c r="J487" s="48"/>
      <c r="K487" s="48"/>
      <c r="L487" s="48"/>
      <c r="M487" s="48"/>
      <c r="N487" s="48"/>
      <c r="O487" s="9"/>
      <c r="P487" s="9"/>
      <c r="Q487" s="9"/>
      <c r="R487" s="9"/>
      <c r="S487" s="9"/>
      <c r="U487" s="13"/>
      <c r="V487" s="13"/>
    </row>
    <row r="488" ht="15.75" customHeight="1">
      <c r="A488" s="47"/>
      <c r="B488" s="48"/>
      <c r="C488" s="48"/>
      <c r="D488" s="48"/>
      <c r="E488" s="48"/>
      <c r="F488" s="48"/>
      <c r="G488" s="48"/>
      <c r="H488" s="48"/>
      <c r="I488" s="48"/>
      <c r="J488" s="48"/>
      <c r="K488" s="48"/>
      <c r="L488" s="48"/>
      <c r="M488" s="48"/>
      <c r="N488" s="48"/>
      <c r="O488" s="9"/>
      <c r="P488" s="9"/>
      <c r="Q488" s="9"/>
      <c r="R488" s="9"/>
      <c r="S488" s="9"/>
      <c r="U488" s="13"/>
      <c r="V488" s="13"/>
    </row>
    <row r="489" ht="15.75" customHeight="1">
      <c r="A489" s="47"/>
      <c r="B489" s="48"/>
      <c r="C489" s="48"/>
      <c r="D489" s="48"/>
      <c r="E489" s="48"/>
      <c r="F489" s="48"/>
      <c r="G489" s="48"/>
      <c r="H489" s="48"/>
      <c r="I489" s="48"/>
      <c r="J489" s="48"/>
      <c r="K489" s="48"/>
      <c r="L489" s="48"/>
      <c r="M489" s="48"/>
      <c r="N489" s="48"/>
      <c r="O489" s="9"/>
      <c r="P489" s="9"/>
      <c r="Q489" s="9"/>
      <c r="R489" s="9"/>
      <c r="S489" s="9"/>
      <c r="U489" s="13"/>
      <c r="V489" s="13"/>
    </row>
    <row r="490" ht="15.75" customHeight="1">
      <c r="A490" s="47"/>
      <c r="B490" s="48"/>
      <c r="C490" s="48"/>
      <c r="D490" s="48"/>
      <c r="E490" s="48"/>
      <c r="F490" s="48"/>
      <c r="G490" s="48"/>
      <c r="H490" s="48"/>
      <c r="I490" s="48"/>
      <c r="J490" s="48"/>
      <c r="K490" s="48"/>
      <c r="L490" s="48"/>
      <c r="M490" s="48"/>
      <c r="N490" s="48"/>
      <c r="O490" s="9"/>
      <c r="P490" s="9"/>
      <c r="Q490" s="9"/>
      <c r="R490" s="9"/>
      <c r="S490" s="9"/>
      <c r="U490" s="13"/>
      <c r="V490" s="13"/>
    </row>
    <row r="491" ht="15.75" customHeight="1">
      <c r="A491" s="47"/>
      <c r="B491" s="48"/>
      <c r="C491" s="48"/>
      <c r="D491" s="48"/>
      <c r="E491" s="48"/>
      <c r="F491" s="48"/>
      <c r="G491" s="48"/>
      <c r="H491" s="48"/>
      <c r="I491" s="48"/>
      <c r="J491" s="48"/>
      <c r="K491" s="48"/>
      <c r="L491" s="48"/>
      <c r="M491" s="48"/>
      <c r="N491" s="48"/>
      <c r="O491" s="9"/>
      <c r="P491" s="9"/>
      <c r="Q491" s="9"/>
      <c r="R491" s="9"/>
      <c r="S491" s="9"/>
      <c r="U491" s="13"/>
      <c r="V491" s="13"/>
    </row>
    <row r="492" ht="15.75" customHeight="1">
      <c r="A492" s="47"/>
      <c r="B492" s="48"/>
      <c r="C492" s="48"/>
      <c r="D492" s="48"/>
      <c r="E492" s="48"/>
      <c r="F492" s="48"/>
      <c r="G492" s="48"/>
      <c r="H492" s="48"/>
      <c r="I492" s="48"/>
      <c r="J492" s="48"/>
      <c r="K492" s="48"/>
      <c r="L492" s="48"/>
      <c r="M492" s="48"/>
      <c r="N492" s="48"/>
      <c r="O492" s="9"/>
      <c r="P492" s="9"/>
      <c r="Q492" s="9"/>
      <c r="R492" s="9"/>
      <c r="S492" s="9"/>
      <c r="U492" s="13"/>
      <c r="V492" s="13"/>
    </row>
    <row r="493" ht="15.75" customHeight="1">
      <c r="A493" s="47"/>
      <c r="B493" s="48"/>
      <c r="C493" s="48"/>
      <c r="D493" s="48"/>
      <c r="E493" s="48"/>
      <c r="F493" s="48"/>
      <c r="G493" s="48"/>
      <c r="H493" s="48"/>
      <c r="I493" s="48"/>
      <c r="J493" s="48"/>
      <c r="K493" s="48"/>
      <c r="L493" s="48"/>
      <c r="M493" s="48"/>
      <c r="N493" s="48"/>
      <c r="O493" s="9"/>
      <c r="P493" s="9"/>
      <c r="Q493" s="9"/>
      <c r="R493" s="9"/>
      <c r="S493" s="9"/>
      <c r="U493" s="13"/>
      <c r="V493" s="13"/>
    </row>
    <row r="494" ht="15.75" customHeight="1">
      <c r="A494" s="47"/>
      <c r="B494" s="48"/>
      <c r="C494" s="48"/>
      <c r="D494" s="48"/>
      <c r="E494" s="48"/>
      <c r="F494" s="48"/>
      <c r="G494" s="48"/>
      <c r="H494" s="48"/>
      <c r="I494" s="48"/>
      <c r="J494" s="48"/>
      <c r="K494" s="48"/>
      <c r="L494" s="48"/>
      <c r="M494" s="48"/>
      <c r="N494" s="48"/>
      <c r="O494" s="9"/>
      <c r="P494" s="9"/>
      <c r="Q494" s="9"/>
      <c r="R494" s="9"/>
      <c r="S494" s="9"/>
      <c r="U494" s="13"/>
      <c r="V494" s="13"/>
    </row>
    <row r="495" ht="15.75" customHeight="1">
      <c r="A495" s="47"/>
      <c r="B495" s="48"/>
      <c r="C495" s="48"/>
      <c r="D495" s="48"/>
      <c r="E495" s="48"/>
      <c r="F495" s="48"/>
      <c r="G495" s="48"/>
      <c r="H495" s="48"/>
      <c r="I495" s="48"/>
      <c r="J495" s="48"/>
      <c r="K495" s="48"/>
      <c r="L495" s="48"/>
      <c r="M495" s="48"/>
      <c r="N495" s="48"/>
      <c r="O495" s="9"/>
      <c r="P495" s="9"/>
      <c r="Q495" s="9"/>
      <c r="R495" s="9"/>
      <c r="S495" s="9"/>
      <c r="U495" s="13"/>
      <c r="V495" s="13"/>
    </row>
    <row r="496" ht="15.75" customHeight="1">
      <c r="A496" s="47"/>
      <c r="B496" s="48"/>
      <c r="C496" s="48"/>
      <c r="D496" s="48"/>
      <c r="E496" s="48"/>
      <c r="F496" s="48"/>
      <c r="G496" s="48"/>
      <c r="H496" s="48"/>
      <c r="I496" s="48"/>
      <c r="J496" s="48"/>
      <c r="K496" s="48"/>
      <c r="L496" s="48"/>
      <c r="M496" s="48"/>
      <c r="N496" s="48"/>
      <c r="O496" s="9"/>
      <c r="P496" s="9"/>
      <c r="Q496" s="9"/>
      <c r="R496" s="9"/>
      <c r="S496" s="9"/>
      <c r="U496" s="13"/>
      <c r="V496" s="13"/>
    </row>
    <row r="497" ht="15.75" customHeight="1">
      <c r="A497" s="47"/>
      <c r="B497" s="48"/>
      <c r="C497" s="48"/>
      <c r="D497" s="48"/>
      <c r="E497" s="48"/>
      <c r="F497" s="48"/>
      <c r="G497" s="48"/>
      <c r="H497" s="48"/>
      <c r="I497" s="48"/>
      <c r="J497" s="48"/>
      <c r="K497" s="48"/>
      <c r="L497" s="48"/>
      <c r="M497" s="48"/>
      <c r="N497" s="48"/>
      <c r="O497" s="9"/>
      <c r="P497" s="9"/>
      <c r="Q497" s="9"/>
      <c r="R497" s="9"/>
      <c r="S497" s="9"/>
      <c r="U497" s="13"/>
      <c r="V497" s="13"/>
    </row>
    <row r="498" ht="15.75" customHeight="1">
      <c r="A498" s="47"/>
      <c r="B498" s="48"/>
      <c r="C498" s="48"/>
      <c r="D498" s="48"/>
      <c r="E498" s="48"/>
      <c r="F498" s="48"/>
      <c r="G498" s="48"/>
      <c r="H498" s="48"/>
      <c r="I498" s="48"/>
      <c r="J498" s="48"/>
      <c r="K498" s="48"/>
      <c r="L498" s="48"/>
      <c r="M498" s="48"/>
      <c r="N498" s="48"/>
      <c r="O498" s="9"/>
      <c r="P498" s="9"/>
      <c r="Q498" s="9"/>
      <c r="R498" s="9"/>
      <c r="S498" s="9"/>
      <c r="U498" s="13"/>
      <c r="V498" s="13"/>
    </row>
    <row r="499" ht="15.75" customHeight="1">
      <c r="A499" s="47"/>
      <c r="B499" s="48"/>
      <c r="C499" s="48"/>
      <c r="D499" s="48"/>
      <c r="E499" s="48"/>
      <c r="F499" s="48"/>
      <c r="G499" s="48"/>
      <c r="H499" s="48"/>
      <c r="I499" s="48"/>
      <c r="J499" s="48"/>
      <c r="K499" s="48"/>
      <c r="L499" s="48"/>
      <c r="M499" s="48"/>
      <c r="N499" s="48"/>
      <c r="O499" s="9"/>
      <c r="P499" s="9"/>
      <c r="Q499" s="9"/>
      <c r="R499" s="9"/>
      <c r="S499" s="9"/>
      <c r="U499" s="13"/>
      <c r="V499" s="13"/>
    </row>
    <row r="500" ht="15.75" customHeight="1">
      <c r="A500" s="47"/>
      <c r="B500" s="48"/>
      <c r="C500" s="48"/>
      <c r="D500" s="48"/>
      <c r="E500" s="48"/>
      <c r="F500" s="48"/>
      <c r="G500" s="48"/>
      <c r="H500" s="48"/>
      <c r="I500" s="48"/>
      <c r="J500" s="48"/>
      <c r="K500" s="48"/>
      <c r="L500" s="48"/>
      <c r="M500" s="48"/>
      <c r="N500" s="48"/>
      <c r="O500" s="9"/>
      <c r="P500" s="9"/>
      <c r="Q500" s="9"/>
      <c r="R500" s="9"/>
      <c r="S500" s="9"/>
      <c r="U500" s="13"/>
      <c r="V500" s="13"/>
    </row>
    <row r="501" ht="15.75" customHeight="1">
      <c r="A501" s="47"/>
      <c r="B501" s="48"/>
      <c r="C501" s="48"/>
      <c r="D501" s="48"/>
      <c r="E501" s="48"/>
      <c r="F501" s="48"/>
      <c r="G501" s="48"/>
      <c r="H501" s="48"/>
      <c r="I501" s="48"/>
      <c r="J501" s="48"/>
      <c r="K501" s="48"/>
      <c r="L501" s="48"/>
      <c r="M501" s="48"/>
      <c r="N501" s="48"/>
      <c r="O501" s="9"/>
      <c r="P501" s="9"/>
      <c r="Q501" s="9"/>
      <c r="R501" s="9"/>
      <c r="S501" s="9"/>
      <c r="U501" s="13"/>
      <c r="V501" s="13"/>
    </row>
    <row r="502" ht="15.75" customHeight="1">
      <c r="A502" s="47"/>
      <c r="B502" s="48"/>
      <c r="C502" s="48"/>
      <c r="D502" s="48"/>
      <c r="E502" s="48"/>
      <c r="F502" s="48"/>
      <c r="G502" s="48"/>
      <c r="H502" s="48"/>
      <c r="I502" s="48"/>
      <c r="J502" s="48"/>
      <c r="K502" s="48"/>
      <c r="L502" s="48"/>
      <c r="M502" s="48"/>
      <c r="N502" s="48"/>
      <c r="O502" s="9"/>
      <c r="P502" s="9"/>
      <c r="Q502" s="9"/>
      <c r="R502" s="9"/>
      <c r="S502" s="9"/>
      <c r="U502" s="13"/>
      <c r="V502" s="13"/>
    </row>
    <row r="503" ht="15.75" customHeight="1">
      <c r="A503" s="47"/>
      <c r="B503" s="48"/>
      <c r="C503" s="48"/>
      <c r="D503" s="48"/>
      <c r="E503" s="48"/>
      <c r="F503" s="48"/>
      <c r="G503" s="48"/>
      <c r="H503" s="48"/>
      <c r="I503" s="48"/>
      <c r="J503" s="48"/>
      <c r="K503" s="48"/>
      <c r="L503" s="48"/>
      <c r="M503" s="48"/>
      <c r="N503" s="48"/>
      <c r="O503" s="9"/>
      <c r="P503" s="9"/>
      <c r="Q503" s="9"/>
      <c r="R503" s="9"/>
      <c r="S503" s="9"/>
      <c r="U503" s="13"/>
      <c r="V503" s="13"/>
    </row>
    <row r="504" ht="15.75" customHeight="1">
      <c r="A504" s="47"/>
      <c r="B504" s="48"/>
      <c r="C504" s="48"/>
      <c r="D504" s="48"/>
      <c r="E504" s="48"/>
      <c r="F504" s="48"/>
      <c r="G504" s="48"/>
      <c r="H504" s="48"/>
      <c r="I504" s="48"/>
      <c r="J504" s="48"/>
      <c r="K504" s="48"/>
      <c r="L504" s="48"/>
      <c r="M504" s="48"/>
      <c r="N504" s="48"/>
      <c r="O504" s="9"/>
      <c r="P504" s="9"/>
      <c r="Q504" s="9"/>
      <c r="R504" s="9"/>
      <c r="S504" s="9"/>
      <c r="U504" s="13"/>
      <c r="V504" s="13"/>
    </row>
    <row r="505" ht="15.75" customHeight="1">
      <c r="A505" s="47"/>
      <c r="B505" s="48"/>
      <c r="C505" s="48"/>
      <c r="D505" s="48"/>
      <c r="E505" s="48"/>
      <c r="F505" s="48"/>
      <c r="G505" s="48"/>
      <c r="H505" s="48"/>
      <c r="I505" s="48"/>
      <c r="J505" s="48"/>
      <c r="K505" s="48"/>
      <c r="L505" s="48"/>
      <c r="M505" s="48"/>
      <c r="N505" s="48"/>
      <c r="O505" s="9"/>
      <c r="P505" s="9"/>
      <c r="Q505" s="9"/>
      <c r="R505" s="9"/>
      <c r="S505" s="9"/>
      <c r="U505" s="13"/>
      <c r="V505" s="13"/>
    </row>
    <row r="506" ht="15.75" customHeight="1">
      <c r="A506" s="47"/>
      <c r="B506" s="48"/>
      <c r="C506" s="48"/>
      <c r="D506" s="48"/>
      <c r="E506" s="48"/>
      <c r="F506" s="48"/>
      <c r="G506" s="48"/>
      <c r="H506" s="48"/>
      <c r="I506" s="48"/>
      <c r="J506" s="48"/>
      <c r="K506" s="48"/>
      <c r="L506" s="48"/>
      <c r="M506" s="48"/>
      <c r="N506" s="48"/>
      <c r="O506" s="9"/>
      <c r="P506" s="9"/>
      <c r="Q506" s="9"/>
      <c r="R506" s="9"/>
      <c r="S506" s="9"/>
      <c r="U506" s="13"/>
      <c r="V506" s="13"/>
    </row>
    <row r="507" ht="15.75" customHeight="1">
      <c r="A507" s="47"/>
      <c r="B507" s="48"/>
      <c r="C507" s="48"/>
      <c r="D507" s="48"/>
      <c r="E507" s="48"/>
      <c r="F507" s="48"/>
      <c r="G507" s="48"/>
      <c r="H507" s="48"/>
      <c r="I507" s="48"/>
      <c r="J507" s="48"/>
      <c r="K507" s="48"/>
      <c r="L507" s="48"/>
      <c r="M507" s="48"/>
      <c r="N507" s="48"/>
      <c r="O507" s="9"/>
      <c r="P507" s="9"/>
      <c r="Q507" s="9"/>
      <c r="R507" s="9"/>
      <c r="S507" s="9"/>
      <c r="U507" s="13"/>
      <c r="V507" s="13"/>
    </row>
    <row r="508" ht="15.75" customHeight="1">
      <c r="A508" s="47"/>
      <c r="B508" s="48"/>
      <c r="C508" s="48"/>
      <c r="D508" s="48"/>
      <c r="E508" s="48"/>
      <c r="F508" s="48"/>
      <c r="G508" s="48"/>
      <c r="H508" s="48"/>
      <c r="I508" s="48"/>
      <c r="J508" s="48"/>
      <c r="K508" s="48"/>
      <c r="L508" s="48"/>
      <c r="M508" s="48"/>
      <c r="N508" s="48"/>
      <c r="O508" s="9"/>
      <c r="P508" s="9"/>
      <c r="Q508" s="9"/>
      <c r="R508" s="9"/>
      <c r="S508" s="9"/>
      <c r="U508" s="13"/>
      <c r="V508" s="13"/>
    </row>
    <row r="509" ht="15.75" customHeight="1">
      <c r="A509" s="47"/>
      <c r="B509" s="48"/>
      <c r="C509" s="48"/>
      <c r="D509" s="48"/>
      <c r="E509" s="48"/>
      <c r="F509" s="48"/>
      <c r="G509" s="48"/>
      <c r="H509" s="48"/>
      <c r="I509" s="48"/>
      <c r="J509" s="48"/>
      <c r="K509" s="48"/>
      <c r="L509" s="48"/>
      <c r="M509" s="48"/>
      <c r="N509" s="48"/>
      <c r="O509" s="9"/>
      <c r="P509" s="9"/>
      <c r="Q509" s="9"/>
      <c r="R509" s="9"/>
      <c r="S509" s="9"/>
      <c r="U509" s="13"/>
      <c r="V509" s="13"/>
    </row>
    <row r="510" ht="15.75" customHeight="1">
      <c r="A510" s="47"/>
      <c r="B510" s="48"/>
      <c r="C510" s="48"/>
      <c r="D510" s="48"/>
      <c r="E510" s="48"/>
      <c r="F510" s="48"/>
      <c r="G510" s="48"/>
      <c r="H510" s="48"/>
      <c r="I510" s="48"/>
      <c r="J510" s="48"/>
      <c r="K510" s="48"/>
      <c r="L510" s="48"/>
      <c r="M510" s="48"/>
      <c r="N510" s="48"/>
      <c r="O510" s="9"/>
      <c r="P510" s="9"/>
      <c r="Q510" s="9"/>
      <c r="R510" s="9"/>
      <c r="S510" s="9"/>
      <c r="U510" s="13"/>
      <c r="V510" s="13"/>
    </row>
    <row r="511" ht="15.75" customHeight="1">
      <c r="A511" s="47"/>
      <c r="B511" s="48"/>
      <c r="C511" s="48"/>
      <c r="D511" s="48"/>
      <c r="E511" s="48"/>
      <c r="F511" s="48"/>
      <c r="G511" s="48"/>
      <c r="H511" s="48"/>
      <c r="I511" s="48"/>
      <c r="J511" s="48"/>
      <c r="K511" s="48"/>
      <c r="L511" s="48"/>
      <c r="M511" s="48"/>
      <c r="N511" s="48"/>
      <c r="O511" s="9"/>
      <c r="P511" s="9"/>
      <c r="Q511" s="9"/>
      <c r="R511" s="9"/>
      <c r="S511" s="9"/>
      <c r="U511" s="13"/>
      <c r="V511" s="13"/>
    </row>
    <row r="512" ht="15.75" customHeight="1">
      <c r="A512" s="47"/>
      <c r="B512" s="48"/>
      <c r="C512" s="48"/>
      <c r="D512" s="48"/>
      <c r="E512" s="48"/>
      <c r="F512" s="48"/>
      <c r="G512" s="48"/>
      <c r="H512" s="48"/>
      <c r="I512" s="48"/>
      <c r="J512" s="48"/>
      <c r="K512" s="48"/>
      <c r="L512" s="48"/>
      <c r="M512" s="48"/>
      <c r="N512" s="48"/>
      <c r="O512" s="9"/>
      <c r="P512" s="9"/>
      <c r="Q512" s="9"/>
      <c r="R512" s="9"/>
      <c r="S512" s="9"/>
      <c r="U512" s="13"/>
      <c r="V512" s="13"/>
    </row>
    <row r="513" ht="15.75" customHeight="1">
      <c r="A513" s="47"/>
      <c r="B513" s="48"/>
      <c r="C513" s="48"/>
      <c r="D513" s="48"/>
      <c r="E513" s="48"/>
      <c r="F513" s="48"/>
      <c r="G513" s="48"/>
      <c r="H513" s="48"/>
      <c r="I513" s="48"/>
      <c r="J513" s="48"/>
      <c r="K513" s="48"/>
      <c r="L513" s="48"/>
      <c r="M513" s="48"/>
      <c r="N513" s="48"/>
      <c r="O513" s="9"/>
      <c r="P513" s="9"/>
      <c r="Q513" s="9"/>
      <c r="R513" s="9"/>
      <c r="S513" s="9"/>
      <c r="U513" s="13"/>
      <c r="V513" s="13"/>
    </row>
    <row r="514" ht="15.75" customHeight="1">
      <c r="A514" s="47"/>
      <c r="B514" s="48"/>
      <c r="C514" s="48"/>
      <c r="D514" s="48"/>
      <c r="E514" s="48"/>
      <c r="F514" s="48"/>
      <c r="G514" s="48"/>
      <c r="H514" s="48"/>
      <c r="I514" s="48"/>
      <c r="J514" s="48"/>
      <c r="K514" s="48"/>
      <c r="L514" s="48"/>
      <c r="M514" s="48"/>
      <c r="N514" s="48"/>
      <c r="O514" s="9"/>
      <c r="P514" s="9"/>
      <c r="Q514" s="9"/>
      <c r="R514" s="9"/>
      <c r="S514" s="9"/>
      <c r="U514" s="13"/>
      <c r="V514" s="13"/>
    </row>
    <row r="515" ht="15.75" customHeight="1">
      <c r="A515" s="47"/>
      <c r="B515" s="48"/>
      <c r="C515" s="48"/>
      <c r="D515" s="48"/>
      <c r="E515" s="48"/>
      <c r="F515" s="48"/>
      <c r="G515" s="48"/>
      <c r="H515" s="48"/>
      <c r="I515" s="48"/>
      <c r="J515" s="48"/>
      <c r="K515" s="48"/>
      <c r="L515" s="48"/>
      <c r="M515" s="48"/>
      <c r="N515" s="48"/>
      <c r="O515" s="9"/>
      <c r="P515" s="9"/>
      <c r="Q515" s="9"/>
      <c r="R515" s="9"/>
      <c r="S515" s="9"/>
      <c r="U515" s="13"/>
      <c r="V515" s="13"/>
    </row>
    <row r="516" ht="15.75" customHeight="1">
      <c r="A516" s="47"/>
      <c r="B516" s="48"/>
      <c r="C516" s="48"/>
      <c r="D516" s="48"/>
      <c r="E516" s="48"/>
      <c r="F516" s="48"/>
      <c r="G516" s="48"/>
      <c r="H516" s="48"/>
      <c r="I516" s="48"/>
      <c r="J516" s="48"/>
      <c r="K516" s="48"/>
      <c r="L516" s="48"/>
      <c r="M516" s="48"/>
      <c r="N516" s="48"/>
      <c r="O516" s="9"/>
      <c r="P516" s="9"/>
      <c r="Q516" s="9"/>
      <c r="R516" s="9"/>
      <c r="S516" s="9"/>
      <c r="U516" s="13"/>
      <c r="V516" s="13"/>
    </row>
    <row r="517" ht="15.75" customHeight="1">
      <c r="A517" s="47"/>
      <c r="B517" s="48"/>
      <c r="C517" s="48"/>
      <c r="D517" s="48"/>
      <c r="E517" s="48"/>
      <c r="F517" s="48"/>
      <c r="G517" s="48"/>
      <c r="H517" s="48"/>
      <c r="I517" s="48"/>
      <c r="J517" s="48"/>
      <c r="K517" s="48"/>
      <c r="L517" s="48"/>
      <c r="M517" s="48"/>
      <c r="N517" s="48"/>
      <c r="O517" s="9"/>
      <c r="P517" s="9"/>
      <c r="Q517" s="9"/>
      <c r="R517" s="9"/>
      <c r="S517" s="9"/>
      <c r="U517" s="13"/>
      <c r="V517" s="13"/>
    </row>
    <row r="518" ht="15.75" customHeight="1">
      <c r="A518" s="47"/>
      <c r="B518" s="48"/>
      <c r="C518" s="48"/>
      <c r="D518" s="48"/>
      <c r="E518" s="48"/>
      <c r="F518" s="48"/>
      <c r="G518" s="48"/>
      <c r="H518" s="48"/>
      <c r="I518" s="48"/>
      <c r="J518" s="48"/>
      <c r="K518" s="48"/>
      <c r="L518" s="48"/>
      <c r="M518" s="48"/>
      <c r="N518" s="48"/>
      <c r="O518" s="9"/>
      <c r="P518" s="9"/>
      <c r="Q518" s="9"/>
      <c r="R518" s="9"/>
      <c r="S518" s="9"/>
      <c r="U518" s="13"/>
      <c r="V518" s="13"/>
    </row>
    <row r="519" ht="15.75" customHeight="1">
      <c r="A519" s="47"/>
      <c r="B519" s="48"/>
      <c r="C519" s="48"/>
      <c r="D519" s="48"/>
      <c r="E519" s="48"/>
      <c r="F519" s="48"/>
      <c r="G519" s="48"/>
      <c r="H519" s="48"/>
      <c r="I519" s="48"/>
      <c r="J519" s="48"/>
      <c r="K519" s="48"/>
      <c r="L519" s="48"/>
      <c r="M519" s="48"/>
      <c r="N519" s="48"/>
      <c r="O519" s="9"/>
      <c r="P519" s="9"/>
      <c r="Q519" s="9"/>
      <c r="R519" s="9"/>
      <c r="S519" s="9"/>
      <c r="U519" s="13"/>
      <c r="V519" s="13"/>
    </row>
    <row r="520" ht="15.75" customHeight="1">
      <c r="A520" s="47"/>
      <c r="B520" s="48"/>
      <c r="C520" s="48"/>
      <c r="D520" s="48"/>
      <c r="E520" s="48"/>
      <c r="F520" s="48"/>
      <c r="G520" s="48"/>
      <c r="H520" s="48"/>
      <c r="I520" s="48"/>
      <c r="J520" s="48"/>
      <c r="K520" s="48"/>
      <c r="L520" s="48"/>
      <c r="M520" s="48"/>
      <c r="N520" s="48"/>
      <c r="O520" s="9"/>
      <c r="P520" s="9"/>
      <c r="Q520" s="9"/>
      <c r="R520" s="9"/>
      <c r="S520" s="9"/>
      <c r="U520" s="13"/>
      <c r="V520" s="13"/>
    </row>
    <row r="521" ht="15.75" customHeight="1">
      <c r="A521" s="47"/>
      <c r="B521" s="48"/>
      <c r="C521" s="48"/>
      <c r="D521" s="48"/>
      <c r="E521" s="48"/>
      <c r="F521" s="48"/>
      <c r="G521" s="48"/>
      <c r="H521" s="48"/>
      <c r="I521" s="48"/>
      <c r="J521" s="48"/>
      <c r="K521" s="48"/>
      <c r="L521" s="48"/>
      <c r="M521" s="48"/>
      <c r="N521" s="48"/>
      <c r="O521" s="9"/>
      <c r="P521" s="9"/>
      <c r="Q521" s="9"/>
      <c r="R521" s="9"/>
      <c r="S521" s="9"/>
      <c r="U521" s="13"/>
      <c r="V521" s="13"/>
    </row>
    <row r="522" ht="15.75" customHeight="1">
      <c r="A522" s="47"/>
      <c r="B522" s="48"/>
      <c r="C522" s="48"/>
      <c r="D522" s="48"/>
      <c r="E522" s="48"/>
      <c r="F522" s="48"/>
      <c r="G522" s="48"/>
      <c r="H522" s="48"/>
      <c r="I522" s="48"/>
      <c r="J522" s="48"/>
      <c r="K522" s="48"/>
      <c r="L522" s="48"/>
      <c r="M522" s="48"/>
      <c r="N522" s="48"/>
      <c r="O522" s="9"/>
      <c r="P522" s="9"/>
      <c r="Q522" s="9"/>
      <c r="R522" s="9"/>
      <c r="S522" s="9"/>
      <c r="U522" s="13"/>
      <c r="V522" s="13"/>
    </row>
    <row r="523" ht="15.75" customHeight="1">
      <c r="A523" s="47"/>
      <c r="B523" s="48"/>
      <c r="C523" s="48"/>
      <c r="D523" s="48"/>
      <c r="E523" s="48"/>
      <c r="F523" s="48"/>
      <c r="G523" s="48"/>
      <c r="H523" s="48"/>
      <c r="I523" s="48"/>
      <c r="J523" s="48"/>
      <c r="K523" s="48"/>
      <c r="L523" s="48"/>
      <c r="M523" s="48"/>
      <c r="N523" s="48"/>
      <c r="O523" s="9"/>
      <c r="P523" s="9"/>
      <c r="Q523" s="9"/>
      <c r="R523" s="9"/>
      <c r="S523" s="9"/>
      <c r="U523" s="13"/>
      <c r="V523" s="13"/>
    </row>
    <row r="524" ht="15.75" customHeight="1">
      <c r="A524" s="47"/>
      <c r="B524" s="48"/>
      <c r="C524" s="48"/>
      <c r="D524" s="48"/>
      <c r="E524" s="48"/>
      <c r="F524" s="48"/>
      <c r="G524" s="48"/>
      <c r="H524" s="48"/>
      <c r="I524" s="48"/>
      <c r="J524" s="48"/>
      <c r="K524" s="48"/>
      <c r="L524" s="48"/>
      <c r="M524" s="48"/>
      <c r="N524" s="48"/>
      <c r="O524" s="9"/>
      <c r="P524" s="9"/>
      <c r="Q524" s="9"/>
      <c r="R524" s="9"/>
      <c r="S524" s="9"/>
      <c r="U524" s="13"/>
      <c r="V524" s="13"/>
    </row>
    <row r="525" ht="15.75" customHeight="1">
      <c r="A525" s="47"/>
      <c r="B525" s="48"/>
      <c r="C525" s="48"/>
      <c r="D525" s="48"/>
      <c r="E525" s="48"/>
      <c r="F525" s="48"/>
      <c r="G525" s="48"/>
      <c r="H525" s="48"/>
      <c r="I525" s="48"/>
      <c r="J525" s="48"/>
      <c r="K525" s="48"/>
      <c r="L525" s="48"/>
      <c r="M525" s="48"/>
      <c r="N525" s="48"/>
      <c r="O525" s="9"/>
      <c r="P525" s="9"/>
      <c r="Q525" s="9"/>
      <c r="R525" s="9"/>
      <c r="S525" s="9"/>
      <c r="U525" s="13"/>
      <c r="V525" s="13"/>
    </row>
    <row r="526" ht="15.75" customHeight="1">
      <c r="A526" s="47"/>
      <c r="B526" s="48"/>
      <c r="C526" s="48"/>
      <c r="D526" s="48"/>
      <c r="E526" s="48"/>
      <c r="F526" s="48"/>
      <c r="G526" s="48"/>
      <c r="H526" s="48"/>
      <c r="I526" s="48"/>
      <c r="J526" s="48"/>
      <c r="K526" s="48"/>
      <c r="L526" s="48"/>
      <c r="M526" s="48"/>
      <c r="N526" s="48"/>
      <c r="O526" s="9"/>
      <c r="P526" s="9"/>
      <c r="Q526" s="9"/>
      <c r="R526" s="9"/>
      <c r="S526" s="9"/>
      <c r="U526" s="13"/>
      <c r="V526" s="13"/>
    </row>
    <row r="527" ht="15.75" customHeight="1">
      <c r="A527" s="47"/>
      <c r="B527" s="48"/>
      <c r="C527" s="48"/>
      <c r="D527" s="48"/>
      <c r="E527" s="48"/>
      <c r="F527" s="48"/>
      <c r="G527" s="48"/>
      <c r="H527" s="48"/>
      <c r="I527" s="48"/>
      <c r="J527" s="48"/>
      <c r="K527" s="48"/>
      <c r="L527" s="48"/>
      <c r="M527" s="48"/>
      <c r="N527" s="48"/>
      <c r="O527" s="9"/>
      <c r="P527" s="9"/>
      <c r="Q527" s="9"/>
      <c r="R527" s="9"/>
      <c r="S527" s="9"/>
      <c r="U527" s="13"/>
      <c r="V527" s="13"/>
    </row>
    <row r="528" ht="15.75" customHeight="1">
      <c r="A528" s="47"/>
      <c r="B528" s="48"/>
      <c r="C528" s="48"/>
      <c r="D528" s="48"/>
      <c r="E528" s="48"/>
      <c r="F528" s="48"/>
      <c r="G528" s="48"/>
      <c r="H528" s="48"/>
      <c r="I528" s="48"/>
      <c r="J528" s="48"/>
      <c r="K528" s="48"/>
      <c r="L528" s="48"/>
      <c r="M528" s="48"/>
      <c r="N528" s="48"/>
      <c r="O528" s="9"/>
      <c r="P528" s="9"/>
      <c r="Q528" s="9"/>
      <c r="R528" s="9"/>
      <c r="S528" s="9"/>
      <c r="U528" s="13"/>
      <c r="V528" s="13"/>
    </row>
    <row r="529" ht="15.75" customHeight="1">
      <c r="A529" s="47"/>
      <c r="B529" s="48"/>
      <c r="C529" s="48"/>
      <c r="D529" s="48"/>
      <c r="E529" s="48"/>
      <c r="F529" s="48"/>
      <c r="G529" s="48"/>
      <c r="H529" s="48"/>
      <c r="I529" s="48"/>
      <c r="J529" s="48"/>
      <c r="K529" s="48"/>
      <c r="L529" s="48"/>
      <c r="M529" s="48"/>
      <c r="N529" s="48"/>
      <c r="O529" s="9"/>
      <c r="P529" s="9"/>
      <c r="Q529" s="9"/>
      <c r="R529" s="9"/>
      <c r="S529" s="9"/>
      <c r="U529" s="13"/>
      <c r="V529" s="13"/>
    </row>
    <row r="530" ht="15.75" customHeight="1">
      <c r="A530" s="47"/>
      <c r="B530" s="48"/>
      <c r="C530" s="48"/>
      <c r="D530" s="48"/>
      <c r="E530" s="48"/>
      <c r="F530" s="48"/>
      <c r="G530" s="48"/>
      <c r="H530" s="48"/>
      <c r="I530" s="48"/>
      <c r="J530" s="48"/>
      <c r="K530" s="48"/>
      <c r="L530" s="48"/>
      <c r="M530" s="48"/>
      <c r="N530" s="48"/>
      <c r="O530" s="9"/>
      <c r="P530" s="9"/>
      <c r="Q530" s="9"/>
      <c r="R530" s="9"/>
      <c r="S530" s="9"/>
      <c r="U530" s="13"/>
      <c r="V530" s="13"/>
    </row>
    <row r="531" ht="15.75" customHeight="1">
      <c r="A531" s="47"/>
      <c r="B531" s="48"/>
      <c r="C531" s="48"/>
      <c r="D531" s="48"/>
      <c r="E531" s="48"/>
      <c r="F531" s="48"/>
      <c r="G531" s="48"/>
      <c r="H531" s="48"/>
      <c r="I531" s="48"/>
      <c r="J531" s="48"/>
      <c r="K531" s="48"/>
      <c r="L531" s="48"/>
      <c r="M531" s="48"/>
      <c r="N531" s="48"/>
      <c r="O531" s="9"/>
      <c r="P531" s="9"/>
      <c r="Q531" s="9"/>
      <c r="R531" s="9"/>
      <c r="S531" s="9"/>
      <c r="U531" s="13"/>
      <c r="V531" s="13"/>
    </row>
    <row r="532" ht="15.75" customHeight="1">
      <c r="A532" s="47"/>
      <c r="B532" s="48"/>
      <c r="C532" s="48"/>
      <c r="D532" s="48"/>
      <c r="E532" s="48"/>
      <c r="F532" s="48"/>
      <c r="G532" s="48"/>
      <c r="H532" s="48"/>
      <c r="I532" s="48"/>
      <c r="J532" s="48"/>
      <c r="K532" s="48"/>
      <c r="L532" s="48"/>
      <c r="M532" s="48"/>
      <c r="N532" s="48"/>
      <c r="O532" s="9"/>
      <c r="P532" s="9"/>
      <c r="Q532" s="9"/>
      <c r="R532" s="9"/>
      <c r="S532" s="9"/>
      <c r="U532" s="13"/>
      <c r="V532" s="13"/>
    </row>
    <row r="533" ht="15.75" customHeight="1">
      <c r="A533" s="47"/>
      <c r="B533" s="48"/>
      <c r="C533" s="48"/>
      <c r="D533" s="48"/>
      <c r="E533" s="48"/>
      <c r="F533" s="48"/>
      <c r="G533" s="48"/>
      <c r="H533" s="48"/>
      <c r="I533" s="48"/>
      <c r="J533" s="48"/>
      <c r="K533" s="48"/>
      <c r="L533" s="48"/>
      <c r="M533" s="48"/>
      <c r="N533" s="48"/>
      <c r="O533" s="9"/>
      <c r="P533" s="9"/>
      <c r="Q533" s="9"/>
      <c r="R533" s="9"/>
      <c r="S533" s="9"/>
      <c r="U533" s="13"/>
      <c r="V533" s="13"/>
    </row>
    <row r="534" ht="15.75" customHeight="1">
      <c r="A534" s="47"/>
      <c r="B534" s="48"/>
      <c r="C534" s="48"/>
      <c r="D534" s="48"/>
      <c r="E534" s="48"/>
      <c r="F534" s="48"/>
      <c r="G534" s="48"/>
      <c r="H534" s="48"/>
      <c r="I534" s="48"/>
      <c r="J534" s="48"/>
      <c r="K534" s="48"/>
      <c r="L534" s="48"/>
      <c r="M534" s="48"/>
      <c r="N534" s="48"/>
      <c r="O534" s="9"/>
      <c r="P534" s="9"/>
      <c r="Q534" s="9"/>
      <c r="R534" s="9"/>
      <c r="S534" s="9"/>
      <c r="U534" s="13"/>
      <c r="V534" s="13"/>
    </row>
    <row r="535" ht="15.75" customHeight="1">
      <c r="A535" s="47"/>
      <c r="B535" s="48"/>
      <c r="C535" s="48"/>
      <c r="D535" s="48"/>
      <c r="E535" s="48"/>
      <c r="F535" s="48"/>
      <c r="G535" s="48"/>
      <c r="H535" s="48"/>
      <c r="I535" s="48"/>
      <c r="J535" s="48"/>
      <c r="K535" s="48"/>
      <c r="L535" s="48"/>
      <c r="M535" s="48"/>
      <c r="N535" s="48"/>
      <c r="O535" s="9"/>
      <c r="P535" s="9"/>
      <c r="Q535" s="9"/>
      <c r="R535" s="9"/>
      <c r="S535" s="9"/>
      <c r="U535" s="13"/>
      <c r="V535" s="13"/>
    </row>
    <row r="536" ht="15.75" customHeight="1">
      <c r="A536" s="47"/>
      <c r="B536" s="48"/>
      <c r="C536" s="48"/>
      <c r="D536" s="48"/>
      <c r="E536" s="48"/>
      <c r="F536" s="48"/>
      <c r="G536" s="48"/>
      <c r="H536" s="48"/>
      <c r="I536" s="48"/>
      <c r="J536" s="48"/>
      <c r="K536" s="48"/>
      <c r="L536" s="48"/>
      <c r="M536" s="48"/>
      <c r="N536" s="48"/>
      <c r="O536" s="9"/>
      <c r="P536" s="9"/>
      <c r="Q536" s="9"/>
      <c r="R536" s="9"/>
      <c r="S536" s="9"/>
      <c r="U536" s="13"/>
      <c r="V536" s="13"/>
    </row>
    <row r="537" ht="15.75" customHeight="1">
      <c r="A537" s="47"/>
      <c r="B537" s="48"/>
      <c r="C537" s="48"/>
      <c r="D537" s="48"/>
      <c r="E537" s="48"/>
      <c r="F537" s="48"/>
      <c r="G537" s="48"/>
      <c r="H537" s="48"/>
      <c r="I537" s="48"/>
      <c r="J537" s="48"/>
      <c r="K537" s="48"/>
      <c r="L537" s="48"/>
      <c r="M537" s="48"/>
      <c r="N537" s="48"/>
      <c r="O537" s="9"/>
      <c r="P537" s="9"/>
      <c r="Q537" s="9"/>
      <c r="R537" s="9"/>
      <c r="S537" s="9"/>
      <c r="U537" s="13"/>
      <c r="V537" s="13"/>
    </row>
    <row r="538" ht="15.75" customHeight="1">
      <c r="A538" s="47"/>
      <c r="B538" s="48"/>
      <c r="C538" s="48"/>
      <c r="D538" s="48"/>
      <c r="E538" s="48"/>
      <c r="F538" s="48"/>
      <c r="G538" s="48"/>
      <c r="H538" s="48"/>
      <c r="I538" s="48"/>
      <c r="J538" s="48"/>
      <c r="K538" s="48"/>
      <c r="L538" s="48"/>
      <c r="M538" s="48"/>
      <c r="N538" s="48"/>
      <c r="O538" s="9"/>
      <c r="P538" s="9"/>
      <c r="Q538" s="9"/>
      <c r="R538" s="9"/>
      <c r="S538" s="9"/>
      <c r="U538" s="13"/>
      <c r="V538" s="13"/>
    </row>
    <row r="539" ht="15.75" customHeight="1">
      <c r="A539" s="47"/>
      <c r="B539" s="48"/>
      <c r="C539" s="48"/>
      <c r="D539" s="48"/>
      <c r="E539" s="48"/>
      <c r="F539" s="48"/>
      <c r="G539" s="48"/>
      <c r="H539" s="48"/>
      <c r="I539" s="48"/>
      <c r="J539" s="48"/>
      <c r="K539" s="48"/>
      <c r="L539" s="48"/>
      <c r="M539" s="48"/>
      <c r="N539" s="48"/>
      <c r="O539" s="9"/>
      <c r="P539" s="9"/>
      <c r="Q539" s="9"/>
      <c r="R539" s="9"/>
      <c r="S539" s="9"/>
      <c r="U539" s="13"/>
      <c r="V539" s="13"/>
    </row>
    <row r="540" ht="15.75" customHeight="1">
      <c r="A540" s="47"/>
      <c r="B540" s="48"/>
      <c r="C540" s="48"/>
      <c r="D540" s="48"/>
      <c r="E540" s="48"/>
      <c r="F540" s="48"/>
      <c r="G540" s="48"/>
      <c r="H540" s="48"/>
      <c r="I540" s="48"/>
      <c r="J540" s="48"/>
      <c r="K540" s="48"/>
      <c r="L540" s="48"/>
      <c r="M540" s="48"/>
      <c r="N540" s="48"/>
      <c r="O540" s="9"/>
      <c r="P540" s="9"/>
      <c r="Q540" s="9"/>
      <c r="R540" s="9"/>
      <c r="S540" s="9"/>
      <c r="U540" s="13"/>
      <c r="V540" s="13"/>
    </row>
    <row r="541" ht="15.75" customHeight="1">
      <c r="A541" s="47"/>
      <c r="B541" s="48"/>
      <c r="C541" s="48"/>
      <c r="D541" s="48"/>
      <c r="E541" s="48"/>
      <c r="F541" s="48"/>
      <c r="G541" s="48"/>
      <c r="H541" s="48"/>
      <c r="I541" s="48"/>
      <c r="J541" s="48"/>
      <c r="K541" s="48"/>
      <c r="L541" s="48"/>
      <c r="M541" s="48"/>
      <c r="N541" s="48"/>
      <c r="O541" s="9"/>
      <c r="P541" s="9"/>
      <c r="Q541" s="9"/>
      <c r="R541" s="9"/>
      <c r="S541" s="9"/>
      <c r="U541" s="13"/>
      <c r="V541" s="13"/>
    </row>
    <row r="542" ht="15.75" customHeight="1">
      <c r="A542" s="47"/>
      <c r="B542" s="48"/>
      <c r="C542" s="48"/>
      <c r="D542" s="48"/>
      <c r="E542" s="48"/>
      <c r="F542" s="48"/>
      <c r="G542" s="48"/>
      <c r="H542" s="48"/>
      <c r="I542" s="48"/>
      <c r="J542" s="48"/>
      <c r="K542" s="48"/>
      <c r="L542" s="48"/>
      <c r="M542" s="48"/>
      <c r="N542" s="48"/>
      <c r="O542" s="9"/>
      <c r="P542" s="9"/>
      <c r="Q542" s="9"/>
      <c r="R542" s="9"/>
      <c r="S542" s="9"/>
      <c r="U542" s="13"/>
      <c r="V542" s="13"/>
    </row>
    <row r="543" ht="15.75" customHeight="1">
      <c r="A543" s="47"/>
      <c r="B543" s="48"/>
      <c r="C543" s="48"/>
      <c r="D543" s="48"/>
      <c r="E543" s="48"/>
      <c r="F543" s="48"/>
      <c r="G543" s="48"/>
      <c r="H543" s="48"/>
      <c r="I543" s="48"/>
      <c r="J543" s="48"/>
      <c r="K543" s="48"/>
      <c r="L543" s="48"/>
      <c r="M543" s="48"/>
      <c r="N543" s="48"/>
      <c r="O543" s="9"/>
      <c r="P543" s="9"/>
      <c r="Q543" s="9"/>
      <c r="R543" s="9"/>
      <c r="S543" s="9"/>
      <c r="U543" s="13"/>
      <c r="V543" s="13"/>
    </row>
    <row r="544" ht="15.75" customHeight="1">
      <c r="A544" s="47"/>
      <c r="B544" s="48"/>
      <c r="C544" s="48"/>
      <c r="D544" s="48"/>
      <c r="E544" s="48"/>
      <c r="F544" s="48"/>
      <c r="G544" s="48"/>
      <c r="H544" s="48"/>
      <c r="I544" s="48"/>
      <c r="J544" s="48"/>
      <c r="K544" s="48"/>
      <c r="L544" s="48"/>
      <c r="M544" s="48"/>
      <c r="N544" s="48"/>
      <c r="O544" s="9"/>
      <c r="P544" s="9"/>
      <c r="Q544" s="9"/>
      <c r="R544" s="9"/>
      <c r="S544" s="9"/>
      <c r="U544" s="13"/>
      <c r="V544" s="13"/>
    </row>
    <row r="545" ht="15.75" customHeight="1">
      <c r="A545" s="47"/>
      <c r="B545" s="48"/>
      <c r="C545" s="48"/>
      <c r="D545" s="48"/>
      <c r="E545" s="48"/>
      <c r="F545" s="48"/>
      <c r="G545" s="48"/>
      <c r="H545" s="48"/>
      <c r="I545" s="48"/>
      <c r="J545" s="48"/>
      <c r="K545" s="48"/>
      <c r="L545" s="48"/>
      <c r="M545" s="48"/>
      <c r="N545" s="48"/>
      <c r="O545" s="9"/>
      <c r="P545" s="9"/>
      <c r="Q545" s="9"/>
      <c r="R545" s="9"/>
      <c r="S545" s="9"/>
      <c r="U545" s="13"/>
      <c r="V545" s="13"/>
    </row>
    <row r="546" ht="15.75" customHeight="1">
      <c r="A546" s="47"/>
      <c r="B546" s="48"/>
      <c r="C546" s="48"/>
      <c r="D546" s="48"/>
      <c r="E546" s="48"/>
      <c r="F546" s="48"/>
      <c r="G546" s="48"/>
      <c r="H546" s="48"/>
      <c r="I546" s="48"/>
      <c r="J546" s="48"/>
      <c r="K546" s="48"/>
      <c r="L546" s="48"/>
      <c r="M546" s="48"/>
      <c r="N546" s="48"/>
      <c r="O546" s="9"/>
      <c r="P546" s="9"/>
      <c r="Q546" s="9"/>
      <c r="R546" s="9"/>
      <c r="S546" s="9"/>
      <c r="U546" s="13"/>
      <c r="V546" s="13"/>
    </row>
    <row r="547" ht="15.75" customHeight="1">
      <c r="A547" s="47"/>
      <c r="B547" s="48"/>
      <c r="C547" s="48"/>
      <c r="D547" s="48"/>
      <c r="E547" s="48"/>
      <c r="F547" s="48"/>
      <c r="G547" s="48"/>
      <c r="H547" s="48"/>
      <c r="I547" s="48"/>
      <c r="J547" s="48"/>
      <c r="K547" s="48"/>
      <c r="L547" s="48"/>
      <c r="M547" s="48"/>
      <c r="N547" s="48"/>
      <c r="O547" s="9"/>
      <c r="P547" s="9"/>
      <c r="Q547" s="9"/>
      <c r="R547" s="9"/>
      <c r="S547" s="9"/>
      <c r="U547" s="13"/>
      <c r="V547" s="13"/>
    </row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C1:N1"/>
    <mergeCell ref="O1:R1"/>
    <mergeCell ref="S1:S3"/>
    <mergeCell ref="A2:A3"/>
    <mergeCell ref="B2:B3"/>
    <mergeCell ref="C2:H2"/>
    <mergeCell ref="I2:N2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57" t="s">
        <v>361</v>
      </c>
      <c r="B1" s="57" t="s">
        <v>6</v>
      </c>
      <c r="C1" s="58" t="s">
        <v>362</v>
      </c>
      <c r="D1" s="59" t="s">
        <v>363</v>
      </c>
      <c r="E1" s="60" t="s">
        <v>364</v>
      </c>
      <c r="F1" s="61" t="s">
        <v>365</v>
      </c>
      <c r="G1" s="59" t="s">
        <v>366</v>
      </c>
      <c r="H1" s="60" t="s">
        <v>367</v>
      </c>
      <c r="I1" s="61" t="s">
        <v>368</v>
      </c>
      <c r="J1" s="62"/>
      <c r="K1" s="63"/>
      <c r="L1" s="13"/>
      <c r="R1" s="61" t="s">
        <v>365</v>
      </c>
      <c r="S1" s="61" t="s">
        <v>368</v>
      </c>
      <c r="T1" s="68"/>
      <c r="U1" s="68"/>
      <c r="V1" s="13"/>
      <c r="W1" s="13"/>
      <c r="X1" s="13"/>
      <c r="Y1" s="13"/>
      <c r="Z1" s="13"/>
      <c r="AA1" s="13"/>
      <c r="AB1" s="13"/>
      <c r="AC1" s="13"/>
      <c r="AD1" s="13"/>
      <c r="AE1" s="13"/>
    </row>
    <row r="2" ht="15.75" customHeight="1">
      <c r="A2" s="69">
        <v>10101.0</v>
      </c>
      <c r="B2" s="70" t="s">
        <v>19</v>
      </c>
      <c r="C2" s="69" t="s">
        <v>373</v>
      </c>
      <c r="D2" s="71">
        <v>273330.0</v>
      </c>
      <c r="E2" s="71">
        <v>8.72188110316391E7</v>
      </c>
      <c r="F2" s="72">
        <f t="shared" ref="F2:F346" si="2">E2/D2</f>
        <v>319.0971025</v>
      </c>
      <c r="G2" s="71">
        <v>296746.0</v>
      </c>
      <c r="H2" s="71">
        <v>1.0425159400765991E8</v>
      </c>
      <c r="I2" s="72">
        <f t="shared" ref="I2:I346" si="3">H2/G2</f>
        <v>351.31592</v>
      </c>
      <c r="J2" s="73"/>
      <c r="K2" s="50"/>
      <c r="L2" s="56"/>
      <c r="R2" s="70">
        <f t="shared" ref="R2:S2" si="1">N2/P2</f>
        <v>248.740606</v>
      </c>
      <c r="S2" s="70">
        <f t="shared" si="1"/>
        <v>419.3806456</v>
      </c>
      <c r="T2" s="68"/>
      <c r="U2" s="68"/>
      <c r="V2" s="13"/>
      <c r="W2" s="13"/>
      <c r="X2" s="13"/>
      <c r="Y2" s="13"/>
      <c r="Z2" s="13"/>
      <c r="AA2" s="13"/>
      <c r="AB2" s="13"/>
      <c r="AC2" s="13"/>
      <c r="AD2" s="13"/>
      <c r="AE2" s="13"/>
    </row>
    <row r="3" ht="15.75" customHeight="1">
      <c r="A3" s="69">
        <v>10102.0</v>
      </c>
      <c r="B3" s="70" t="s">
        <v>20</v>
      </c>
      <c r="C3" s="69" t="s">
        <v>373</v>
      </c>
      <c r="D3" s="71">
        <v>9393.0</v>
      </c>
      <c r="E3" s="71">
        <v>1514645.0007061008</v>
      </c>
      <c r="F3" s="72">
        <f t="shared" si="2"/>
        <v>161.2525286</v>
      </c>
      <c r="G3" s="71">
        <v>9256.0</v>
      </c>
      <c r="H3" s="71">
        <v>1992966.9989318848</v>
      </c>
      <c r="I3" s="72">
        <f t="shared" si="3"/>
        <v>215.3162272</v>
      </c>
      <c r="J3" s="77" t="s">
        <v>375</v>
      </c>
      <c r="K3" s="50">
        <f>COUNTIF(F:F,"&gt;800")</f>
        <v>1</v>
      </c>
      <c r="L3" s="50">
        <f>COUNTIF(I:I,"&gt;800")</f>
        <v>4</v>
      </c>
      <c r="R3" s="70">
        <f t="shared" ref="R3:S3" si="4">N3/P3</f>
        <v>308.0867401</v>
      </c>
      <c r="S3" s="70">
        <f t="shared" si="4"/>
        <v>354.8578401</v>
      </c>
      <c r="T3" s="68"/>
      <c r="U3" s="68"/>
      <c r="V3" s="13"/>
      <c r="W3" s="13"/>
      <c r="X3" s="13"/>
      <c r="Y3" s="13"/>
      <c r="Z3" s="13"/>
      <c r="AA3" s="13"/>
      <c r="AB3" s="13"/>
      <c r="AC3" s="13"/>
      <c r="AD3" s="13"/>
      <c r="AE3" s="13"/>
    </row>
    <row r="4" ht="15.75" customHeight="1">
      <c r="A4" s="69">
        <v>10103.0</v>
      </c>
      <c r="B4" s="70" t="s">
        <v>21</v>
      </c>
      <c r="C4" s="69" t="s">
        <v>373</v>
      </c>
      <c r="D4" s="71">
        <v>15571.0</v>
      </c>
      <c r="E4" s="71">
        <v>164048.00001277123</v>
      </c>
      <c r="F4" s="72">
        <f t="shared" si="2"/>
        <v>10.53548263</v>
      </c>
      <c r="G4" s="71">
        <v>13649.0</v>
      </c>
      <c r="H4" s="71">
        <v>414412.00005340576</v>
      </c>
      <c r="I4" s="72">
        <f t="shared" si="3"/>
        <v>30.36207781</v>
      </c>
      <c r="J4" s="73"/>
      <c r="K4" s="50"/>
      <c r="L4" s="56"/>
      <c r="R4" s="70">
        <f t="shared" ref="R4:S4" si="5">N4/P4</f>
        <v>181.5003626</v>
      </c>
      <c r="S4" s="70">
        <f t="shared" si="5"/>
        <v>220.5368606</v>
      </c>
      <c r="T4" s="68"/>
      <c r="U4" s="68"/>
      <c r="V4" s="13"/>
      <c r="W4" s="13"/>
      <c r="X4" s="13"/>
      <c r="Y4" s="13"/>
      <c r="Z4" s="13"/>
      <c r="AA4" s="13"/>
      <c r="AB4" s="13"/>
      <c r="AC4" s="13"/>
      <c r="AD4" s="13"/>
      <c r="AE4" s="13"/>
    </row>
    <row r="5" ht="15.75" customHeight="1">
      <c r="A5" s="69">
        <v>10201.0</v>
      </c>
      <c r="B5" s="70" t="s">
        <v>22</v>
      </c>
      <c r="C5" s="69" t="s">
        <v>373</v>
      </c>
      <c r="D5" s="71">
        <v>9736.0</v>
      </c>
      <c r="E5" s="71">
        <v>332622.99985741545</v>
      </c>
      <c r="F5" s="72">
        <f t="shared" si="2"/>
        <v>34.16423581</v>
      </c>
      <c r="G5" s="71">
        <v>7903.0</v>
      </c>
      <c r="H5" s="71">
        <v>459137.9998931885</v>
      </c>
      <c r="I5" s="72">
        <f t="shared" si="3"/>
        <v>58.09667214</v>
      </c>
      <c r="J5" s="73"/>
      <c r="K5" s="50"/>
      <c r="L5" s="56"/>
      <c r="R5" s="70">
        <f t="shared" ref="R5:S5" si="6">N5/P5</f>
        <v>281.7222612</v>
      </c>
      <c r="S5" s="70">
        <f t="shared" si="6"/>
        <v>319.2874895</v>
      </c>
      <c r="T5" s="68"/>
      <c r="U5" s="68"/>
      <c r="V5" s="13"/>
      <c r="W5" s="13"/>
      <c r="X5" s="13"/>
      <c r="Y5" s="13"/>
      <c r="Z5" s="13"/>
      <c r="AA5" s="13"/>
      <c r="AB5" s="13"/>
      <c r="AC5" s="13"/>
      <c r="AD5" s="13"/>
      <c r="AE5" s="13"/>
    </row>
    <row r="6" ht="15.75" customHeight="1">
      <c r="A6" s="69">
        <v>10202.0</v>
      </c>
      <c r="B6" s="70" t="s">
        <v>23</v>
      </c>
      <c r="C6" s="69" t="s">
        <v>373</v>
      </c>
      <c r="D6" s="71">
        <v>15111.0</v>
      </c>
      <c r="E6" s="71">
        <v>368937.9999489747</v>
      </c>
      <c r="F6" s="72">
        <f t="shared" si="2"/>
        <v>24.41519423</v>
      </c>
      <c r="G6" s="71">
        <v>16812.0</v>
      </c>
      <c r="H6" s="71">
        <v>516629.00005340576</v>
      </c>
      <c r="I6" s="72">
        <f t="shared" si="3"/>
        <v>30.72977635</v>
      </c>
      <c r="J6" s="82"/>
      <c r="K6" s="83" t="s">
        <v>378</v>
      </c>
      <c r="L6" s="84" t="s">
        <v>379</v>
      </c>
      <c r="R6" s="70">
        <f t="shared" ref="R6:S6" si="7">N6/P6</f>
        <v>303.5284731</v>
      </c>
      <c r="S6" s="70">
        <f t="shared" si="7"/>
        <v>356.3985333</v>
      </c>
      <c r="T6" s="68"/>
      <c r="U6" s="68"/>
      <c r="V6" s="13"/>
      <c r="W6" s="13"/>
      <c r="X6" s="13"/>
      <c r="Y6" s="13"/>
      <c r="Z6" s="13"/>
      <c r="AA6" s="13"/>
      <c r="AB6" s="13"/>
      <c r="AC6" s="13"/>
      <c r="AD6" s="13"/>
      <c r="AE6" s="13"/>
    </row>
    <row r="7" ht="15.75" customHeight="1">
      <c r="A7" s="69">
        <v>10301.0</v>
      </c>
      <c r="B7" s="70" t="s">
        <v>24</v>
      </c>
      <c r="C7" s="69" t="s">
        <v>373</v>
      </c>
      <c r="D7" s="71">
        <v>12139.0</v>
      </c>
      <c r="E7" s="71">
        <v>547490.0011562966</v>
      </c>
      <c r="F7" s="72">
        <f t="shared" si="2"/>
        <v>45.10173829</v>
      </c>
      <c r="G7" s="71">
        <v>13694.0</v>
      </c>
      <c r="H7" s="71">
        <v>78013.0</v>
      </c>
      <c r="I7" s="72">
        <f t="shared" si="3"/>
        <v>5.696874544</v>
      </c>
      <c r="J7" s="85" t="s">
        <v>381</v>
      </c>
      <c r="K7" s="86">
        <f>COUNTIFS(F2:F344,"&gt;=800")</f>
        <v>1</v>
      </c>
      <c r="L7" s="86">
        <f>COUNTIFS(I2:I344,"&gt;=800")</f>
        <v>4</v>
      </c>
      <c r="R7" s="70">
        <f t="shared" ref="R7:S7" si="8">N7/P7</f>
        <v>275.4890066</v>
      </c>
      <c r="S7" s="70">
        <f t="shared" si="8"/>
        <v>295.5521562</v>
      </c>
      <c r="T7" s="68"/>
      <c r="U7" s="68"/>
      <c r="V7" s="13"/>
      <c r="W7" s="13"/>
      <c r="X7" s="13"/>
      <c r="Y7" s="13"/>
      <c r="Z7" s="13"/>
      <c r="AA7" s="13"/>
      <c r="AB7" s="13"/>
      <c r="AC7" s="13"/>
      <c r="AD7" s="13"/>
      <c r="AE7" s="13"/>
    </row>
    <row r="8" ht="15.75" customHeight="1">
      <c r="A8" s="69">
        <v>10302.0</v>
      </c>
      <c r="B8" s="70" t="s">
        <v>25</v>
      </c>
      <c r="C8" s="69" t="s">
        <v>373</v>
      </c>
      <c r="D8" s="71">
        <v>12436.0</v>
      </c>
      <c r="E8" s="71">
        <v>301381.99968357757</v>
      </c>
      <c r="F8" s="72">
        <f t="shared" si="2"/>
        <v>24.23464134</v>
      </c>
      <c r="G8" s="71">
        <v>12539.0</v>
      </c>
      <c r="H8" s="71">
        <v>788514.9999465942</v>
      </c>
      <c r="I8" s="72">
        <f t="shared" si="3"/>
        <v>62.8849988</v>
      </c>
      <c r="J8" s="85" t="s">
        <v>382</v>
      </c>
      <c r="K8" s="86">
        <f>COUNTIFS(F2:F344,"&gt;=200",F2:F344,"&lt;800")</f>
        <v>58</v>
      </c>
      <c r="L8" s="86">
        <f>COUNTIFS(I2:I344,"&gt;=200",I2:I344,"&lt;800")</f>
        <v>73</v>
      </c>
      <c r="R8" s="70">
        <f t="shared" ref="R8:S8" si="9">N8/P8</f>
        <v>189.8271699</v>
      </c>
      <c r="S8" s="70">
        <f t="shared" si="9"/>
        <v>196.0128458</v>
      </c>
      <c r="T8" s="68"/>
      <c r="U8" s="68"/>
      <c r="V8" s="13"/>
      <c r="W8" s="13"/>
      <c r="X8" s="13"/>
      <c r="Y8" s="13"/>
      <c r="Z8" s="13"/>
      <c r="AA8" s="13"/>
      <c r="AB8" s="13"/>
      <c r="AC8" s="13"/>
      <c r="AD8" s="13"/>
      <c r="AE8" s="13"/>
    </row>
    <row r="9" ht="15.75" customHeight="1">
      <c r="A9" s="69">
        <v>10303.0</v>
      </c>
      <c r="B9" s="70" t="s">
        <v>26</v>
      </c>
      <c r="C9" s="69" t="s">
        <v>373</v>
      </c>
      <c r="D9" s="71">
        <v>8397.0</v>
      </c>
      <c r="E9" s="71">
        <v>477168.0007606605</v>
      </c>
      <c r="F9" s="72">
        <f t="shared" si="2"/>
        <v>56.82600938</v>
      </c>
      <c r="G9" s="71">
        <v>9055.0</v>
      </c>
      <c r="H9" s="71">
        <v>646082.000213623</v>
      </c>
      <c r="I9" s="72">
        <f t="shared" si="3"/>
        <v>71.3508559</v>
      </c>
      <c r="J9" s="85" t="s">
        <v>383</v>
      </c>
      <c r="K9" s="86">
        <f>COUNTIFS(F2:F344,"&gt;=50",F2:F344,"&lt;200")</f>
        <v>147</v>
      </c>
      <c r="L9" s="86">
        <f>COUNTIFS(I2:I344,"&gt;=50",I2:I344,"&lt;200")</f>
        <v>95</v>
      </c>
      <c r="R9" s="70">
        <f t="shared" ref="R9:S9" si="10">N9/P9</f>
        <v>241.4831147</v>
      </c>
      <c r="S9" s="70">
        <f t="shared" si="10"/>
        <v>361.8945259</v>
      </c>
      <c r="T9" s="68"/>
      <c r="U9" s="68"/>
      <c r="V9" s="13"/>
      <c r="W9" s="13"/>
      <c r="X9" s="13"/>
      <c r="Y9" s="13"/>
      <c r="Z9" s="13"/>
      <c r="AA9" s="13"/>
      <c r="AB9" s="13"/>
      <c r="AC9" s="13"/>
      <c r="AD9" s="13"/>
      <c r="AE9" s="13"/>
    </row>
    <row r="10" ht="15.75" customHeight="1">
      <c r="A10" s="69">
        <v>10304.0</v>
      </c>
      <c r="B10" s="70" t="s">
        <v>27</v>
      </c>
      <c r="C10" s="69" t="s">
        <v>373</v>
      </c>
      <c r="D10" s="71">
        <v>8234.0</v>
      </c>
      <c r="E10" s="71">
        <v>292426.00066685956</v>
      </c>
      <c r="F10" s="72">
        <f t="shared" si="2"/>
        <v>35.51445235</v>
      </c>
      <c r="G10" s="71">
        <v>9155.0</v>
      </c>
      <c r="H10" s="71">
        <v>404900.0002822876</v>
      </c>
      <c r="I10" s="72">
        <f t="shared" si="3"/>
        <v>44.22719828</v>
      </c>
      <c r="J10" s="85" t="s">
        <v>385</v>
      </c>
      <c r="K10" s="86">
        <f>COUNTIFS(F2:F344,"&lt;50")</f>
        <v>137</v>
      </c>
      <c r="L10" s="86">
        <f>COUNTIFS(I2:I344,"&lt;50")</f>
        <v>171</v>
      </c>
      <c r="R10" s="70">
        <f t="shared" ref="R10:S10" si="11">N10/P10</f>
        <v>104.9770479</v>
      </c>
      <c r="S10" s="70">
        <f t="shared" si="11"/>
        <v>130.1848322</v>
      </c>
      <c r="T10" s="68"/>
      <c r="U10" s="68"/>
      <c r="V10" s="13"/>
      <c r="W10" s="13"/>
      <c r="X10" s="13"/>
      <c r="Y10" s="13"/>
      <c r="Z10" s="13"/>
      <c r="AA10" s="13"/>
      <c r="AB10" s="13"/>
      <c r="AC10" s="13"/>
      <c r="AD10" s="13"/>
      <c r="AE10" s="13"/>
    </row>
    <row r="11" ht="15.75" customHeight="1">
      <c r="A11" s="69">
        <v>10401.0</v>
      </c>
      <c r="B11" s="70" t="s">
        <v>28</v>
      </c>
      <c r="C11" s="69" t="s">
        <v>373</v>
      </c>
      <c r="D11" s="71">
        <v>9986.0</v>
      </c>
      <c r="E11" s="71">
        <v>1085138.998737716</v>
      </c>
      <c r="F11" s="72">
        <f t="shared" si="2"/>
        <v>108.6660323</v>
      </c>
      <c r="G11" s="71">
        <v>9192.0</v>
      </c>
      <c r="H11" s="71">
        <v>1423640.9997024536</v>
      </c>
      <c r="I11" s="72">
        <f t="shared" si="3"/>
        <v>154.8782637</v>
      </c>
      <c r="J11" s="85" t="s">
        <v>386</v>
      </c>
      <c r="K11" s="87"/>
      <c r="L11" s="88"/>
      <c r="R11" s="70">
        <f t="shared" ref="R11:S11" si="12">N11/P11</f>
        <v>483.2416998</v>
      </c>
      <c r="S11" s="70">
        <f t="shared" si="12"/>
        <v>546.5860239</v>
      </c>
      <c r="T11" s="68"/>
      <c r="U11" s="68"/>
      <c r="V11" s="13"/>
      <c r="W11" s="13"/>
      <c r="X11" s="13"/>
      <c r="Y11" s="13"/>
      <c r="Z11" s="13"/>
      <c r="AA11" s="13"/>
      <c r="AB11" s="13"/>
      <c r="AC11" s="13"/>
      <c r="AD11" s="13"/>
      <c r="AE11" s="13"/>
    </row>
    <row r="12" ht="15.75" customHeight="1">
      <c r="A12" s="69">
        <v>10402.0</v>
      </c>
      <c r="B12" s="70" t="s">
        <v>29</v>
      </c>
      <c r="C12" s="69" t="s">
        <v>373</v>
      </c>
      <c r="D12" s="71">
        <v>8499.0</v>
      </c>
      <c r="E12" s="71">
        <v>594318.9994132379</v>
      </c>
      <c r="F12" s="72">
        <f t="shared" si="2"/>
        <v>69.92810912</v>
      </c>
      <c r="G12" s="71">
        <v>8509.0</v>
      </c>
      <c r="H12" s="71">
        <v>791278.0000534058</v>
      </c>
      <c r="I12" s="72">
        <f t="shared" si="3"/>
        <v>92.99306617</v>
      </c>
      <c r="J12" s="89" t="s">
        <v>388</v>
      </c>
      <c r="K12" s="86">
        <f t="shared" ref="K12:L12" si="13">SUM(K7:K10)</f>
        <v>343</v>
      </c>
      <c r="L12" s="86">
        <f t="shared" si="13"/>
        <v>343</v>
      </c>
      <c r="R12" s="70">
        <f t="shared" ref="R12:S12" si="14">N12/P12</f>
        <v>285.957893</v>
      </c>
      <c r="S12" s="70">
        <f t="shared" si="14"/>
        <v>328.6884914</v>
      </c>
      <c r="T12" s="68"/>
      <c r="U12" s="68"/>
      <c r="V12" s="13"/>
      <c r="W12" s="13"/>
      <c r="X12" s="13"/>
      <c r="Y12" s="13"/>
      <c r="Z12" s="13"/>
      <c r="AA12" s="13"/>
      <c r="AB12" s="13"/>
      <c r="AC12" s="13"/>
      <c r="AD12" s="13"/>
      <c r="AE12" s="13"/>
    </row>
    <row r="13" ht="15.75" customHeight="1">
      <c r="A13" s="69">
        <v>10403.0</v>
      </c>
      <c r="B13" s="70" t="s">
        <v>30</v>
      </c>
      <c r="C13" s="69" t="s">
        <v>373</v>
      </c>
      <c r="D13" s="71">
        <v>7189.0</v>
      </c>
      <c r="E13" s="71">
        <v>409769.999410511</v>
      </c>
      <c r="F13" s="72">
        <f t="shared" si="2"/>
        <v>56.99958261</v>
      </c>
      <c r="G13" s="71">
        <v>6942.0</v>
      </c>
      <c r="H13" s="71">
        <v>569414.0</v>
      </c>
      <c r="I13" s="72">
        <f t="shared" si="3"/>
        <v>82.02448862</v>
      </c>
      <c r="J13" s="73"/>
      <c r="K13" s="50"/>
      <c r="L13" s="56"/>
      <c r="R13" s="13"/>
      <c r="S13" s="13"/>
      <c r="T13" s="68"/>
      <c r="U13" s="68"/>
      <c r="V13" s="13"/>
      <c r="W13" s="13"/>
      <c r="X13" s="13"/>
      <c r="Y13" s="13"/>
      <c r="Z13" s="13"/>
      <c r="AA13" s="13"/>
      <c r="AB13" s="13"/>
      <c r="AC13" s="13"/>
      <c r="AD13" s="13"/>
      <c r="AE13" s="13"/>
    </row>
    <row r="14" ht="15.75" customHeight="1">
      <c r="A14" s="69">
        <v>10404.0</v>
      </c>
      <c r="B14" s="70" t="s">
        <v>31</v>
      </c>
      <c r="C14" s="69" t="s">
        <v>373</v>
      </c>
      <c r="D14" s="71">
        <v>4524.0</v>
      </c>
      <c r="E14" s="71">
        <v>240179.00059062708</v>
      </c>
      <c r="F14" s="72">
        <f t="shared" si="2"/>
        <v>53.08996476</v>
      </c>
      <c r="G14" s="71">
        <v>3768.0</v>
      </c>
      <c r="H14" s="71">
        <v>345372.0003051758</v>
      </c>
      <c r="I14" s="72">
        <f t="shared" si="3"/>
        <v>91.65923575</v>
      </c>
      <c r="J14" s="73"/>
      <c r="K14" s="50"/>
      <c r="L14" s="56"/>
      <c r="M14" s="90"/>
      <c r="N14" s="91"/>
      <c r="O14" s="92"/>
      <c r="P14" s="92"/>
      <c r="Q14" s="93"/>
      <c r="R14" s="13"/>
      <c r="S14" s="13"/>
      <c r="T14" s="68"/>
      <c r="U14" s="68"/>
      <c r="V14" s="13"/>
      <c r="W14" s="13"/>
      <c r="X14" s="13"/>
      <c r="Y14" s="13"/>
      <c r="Z14" s="13"/>
      <c r="AA14" s="13"/>
      <c r="AB14" s="13"/>
      <c r="AC14" s="13"/>
      <c r="AD14" s="13"/>
      <c r="AE14" s="13"/>
    </row>
    <row r="15" ht="15.75" customHeight="1">
      <c r="A15" s="69">
        <v>10405.0</v>
      </c>
      <c r="B15" s="70" t="s">
        <v>32</v>
      </c>
      <c r="C15" s="69" t="s">
        <v>373</v>
      </c>
      <c r="D15" s="71">
        <v>4861.0</v>
      </c>
      <c r="E15" s="71">
        <v>220819.99998136982</v>
      </c>
      <c r="F15" s="72">
        <f t="shared" si="2"/>
        <v>45.4268669</v>
      </c>
      <c r="G15" s="71">
        <v>5654.0</v>
      </c>
      <c r="H15" s="71">
        <v>357923.0001449585</v>
      </c>
      <c r="I15" s="72">
        <f t="shared" si="3"/>
        <v>63.3043863</v>
      </c>
      <c r="J15" s="94" t="s">
        <v>390</v>
      </c>
      <c r="K15" s="50"/>
      <c r="L15" s="56"/>
      <c r="M15" s="68"/>
      <c r="N15" s="95"/>
      <c r="O15" s="95"/>
      <c r="P15" s="68"/>
      <c r="Q15" s="95"/>
      <c r="S15" s="68"/>
      <c r="T15" s="68"/>
      <c r="U15" s="68"/>
      <c r="V15" s="13"/>
      <c r="W15" s="13"/>
      <c r="X15" s="13"/>
      <c r="Y15" s="13"/>
      <c r="Z15" s="13"/>
      <c r="AA15" s="13"/>
      <c r="AB15" s="13"/>
      <c r="AC15" s="13"/>
      <c r="AD15" s="13"/>
      <c r="AE15" s="13"/>
    </row>
    <row r="16" ht="15.75" customHeight="1">
      <c r="A16" s="69">
        <v>10501.0</v>
      </c>
      <c r="B16" s="70" t="s">
        <v>33</v>
      </c>
      <c r="C16" s="69" t="s">
        <v>373</v>
      </c>
      <c r="D16" s="71">
        <v>24384.0</v>
      </c>
      <c r="E16" s="71">
        <v>3844243.0018868167</v>
      </c>
      <c r="F16" s="72">
        <f t="shared" si="2"/>
        <v>157.6543226</v>
      </c>
      <c r="G16" s="71">
        <v>24546.0</v>
      </c>
      <c r="H16" s="71">
        <v>5186557.999954224</v>
      </c>
      <c r="I16" s="72">
        <f t="shared" si="3"/>
        <v>211.2995193</v>
      </c>
      <c r="J16" s="73"/>
      <c r="K16" s="50"/>
      <c r="L16" s="56"/>
      <c r="M16" s="70" t="s">
        <v>391</v>
      </c>
      <c r="N16" s="59" t="s">
        <v>362</v>
      </c>
      <c r="O16" s="60" t="s">
        <v>392</v>
      </c>
      <c r="P16" s="59" t="s">
        <v>363</v>
      </c>
      <c r="Q16" s="61" t="s">
        <v>365</v>
      </c>
      <c r="R16" s="60" t="s">
        <v>367</v>
      </c>
      <c r="S16" s="59" t="s">
        <v>366</v>
      </c>
      <c r="T16" s="61" t="s">
        <v>368</v>
      </c>
      <c r="U16" s="68"/>
      <c r="V16" s="13"/>
      <c r="W16" s="13"/>
      <c r="X16" s="13"/>
      <c r="Y16" s="13"/>
      <c r="Z16" s="13"/>
      <c r="AA16" s="13"/>
      <c r="AB16" s="13"/>
      <c r="AC16" s="13"/>
      <c r="AD16" s="13"/>
      <c r="AE16" s="13"/>
    </row>
    <row r="17" ht="15.75" customHeight="1">
      <c r="A17" s="69">
        <v>10502.0</v>
      </c>
      <c r="B17" s="70" t="s">
        <v>34</v>
      </c>
      <c r="C17" s="69" t="s">
        <v>373</v>
      </c>
      <c r="D17" s="71">
        <v>7966.0</v>
      </c>
      <c r="E17" s="71">
        <v>696201.9998434642</v>
      </c>
      <c r="F17" s="72">
        <f t="shared" si="2"/>
        <v>87.3966859</v>
      </c>
      <c r="G17" s="71">
        <v>7200.0</v>
      </c>
      <c r="H17" s="71">
        <v>1111469.0001983643</v>
      </c>
      <c r="I17" s="72">
        <f t="shared" si="3"/>
        <v>154.3706945</v>
      </c>
      <c r="J17" s="73"/>
      <c r="K17" s="50"/>
      <c r="L17" s="56"/>
      <c r="M17" s="96">
        <v>1.0</v>
      </c>
      <c r="N17" s="57" t="s">
        <v>373</v>
      </c>
      <c r="O17" s="59">
        <f t="shared" ref="O17:O27" si="15">VLOOKUP(N17,$M$2:S12,2,FALSE)</f>
        <v>106956167.2</v>
      </c>
      <c r="P17" s="59">
        <f t="shared" ref="P17:P27" si="16">VLOOKUP(N17,$M$2:T12,4,FALSE)</f>
        <v>589289</v>
      </c>
      <c r="Q17" s="70">
        <f t="shared" ref="Q17:Q27" si="17">VLOOKUP($N17,$M$2:U12,6,FALSE)</f>
        <v>181.5003626</v>
      </c>
      <c r="R17" s="59">
        <f t="shared" ref="R17:R27" si="18">VLOOKUP($N17,$M$2:V12,3,FALSE)</f>
        <v>133651292</v>
      </c>
      <c r="S17" s="59">
        <f t="shared" ref="S17:S27" si="19">VLOOKUP($N17,$M$2:W12,5,FALSE)</f>
        <v>606027</v>
      </c>
      <c r="T17" s="70">
        <f t="shared" ref="T17:T27" si="20">VLOOKUP($N17,$M$2:X12,7,FALSE)</f>
        <v>220.5368606</v>
      </c>
      <c r="U17" s="68"/>
      <c r="V17" s="13"/>
      <c r="W17" s="13"/>
      <c r="X17" s="13"/>
      <c r="Y17" s="13"/>
      <c r="Z17" s="13"/>
      <c r="AA17" s="13"/>
      <c r="AB17" s="13"/>
      <c r="AC17" s="13"/>
      <c r="AD17" s="13"/>
      <c r="AE17" s="13"/>
    </row>
    <row r="18" ht="15.75" customHeight="1">
      <c r="A18" s="69">
        <v>10601.0</v>
      </c>
      <c r="B18" s="70" t="s">
        <v>35</v>
      </c>
      <c r="C18" s="69" t="s">
        <v>373</v>
      </c>
      <c r="D18" s="71">
        <v>15737.0</v>
      </c>
      <c r="E18" s="71">
        <v>667795.0002400232</v>
      </c>
      <c r="F18" s="72">
        <f t="shared" si="2"/>
        <v>42.43470803</v>
      </c>
      <c r="G18" s="71">
        <v>13323.0</v>
      </c>
      <c r="H18" s="71">
        <v>841465.0002822876</v>
      </c>
      <c r="I18" s="72">
        <f t="shared" si="3"/>
        <v>63.15882311</v>
      </c>
      <c r="J18" s="73"/>
      <c r="K18" s="97" t="s">
        <v>393</v>
      </c>
      <c r="L18" s="56">
        <f>max(F:F)</f>
        <v>944.1142856</v>
      </c>
      <c r="M18" s="96">
        <v>2.0</v>
      </c>
      <c r="N18" s="57" t="s">
        <v>48</v>
      </c>
      <c r="O18" s="59">
        <f t="shared" si="15"/>
        <v>777759553.3</v>
      </c>
      <c r="P18" s="59">
        <f t="shared" si="16"/>
        <v>2823196.333</v>
      </c>
      <c r="Q18" s="70">
        <f t="shared" si="17"/>
        <v>275.4890066</v>
      </c>
      <c r="R18" s="59">
        <f t="shared" si="18"/>
        <v>895794054.5</v>
      </c>
      <c r="S18" s="59">
        <f t="shared" si="19"/>
        <v>3030917</v>
      </c>
      <c r="T18" s="70">
        <f t="shared" si="20"/>
        <v>295.5521562</v>
      </c>
      <c r="U18" s="68"/>
      <c r="V18" s="13"/>
      <c r="W18" s="13"/>
      <c r="X18" s="13"/>
      <c r="Y18" s="13"/>
      <c r="Z18" s="13"/>
      <c r="AA18" s="13"/>
      <c r="AB18" s="13"/>
      <c r="AC18" s="13"/>
      <c r="AD18" s="13"/>
      <c r="AE18" s="13"/>
    </row>
    <row r="19" ht="15.75" customHeight="1">
      <c r="A19" s="69">
        <v>10602.0</v>
      </c>
      <c r="B19" s="70" t="s">
        <v>36</v>
      </c>
      <c r="C19" s="69" t="s">
        <v>373</v>
      </c>
      <c r="D19" s="71">
        <v>9567.0</v>
      </c>
      <c r="E19" s="71">
        <v>428958.9992509829</v>
      </c>
      <c r="F19" s="72">
        <f t="shared" si="2"/>
        <v>44.83735751</v>
      </c>
      <c r="G19" s="71">
        <v>8480.0</v>
      </c>
      <c r="H19" s="71">
        <v>572712.0001754761</v>
      </c>
      <c r="I19" s="72">
        <f t="shared" si="3"/>
        <v>67.53679247</v>
      </c>
      <c r="J19" s="73"/>
      <c r="K19" s="50"/>
      <c r="L19" s="56"/>
      <c r="M19" s="96">
        <v>3.0</v>
      </c>
      <c r="N19" s="57" t="s">
        <v>377</v>
      </c>
      <c r="O19" s="59">
        <f t="shared" si="15"/>
        <v>520423561</v>
      </c>
      <c r="P19" s="59">
        <f t="shared" si="16"/>
        <v>1847293</v>
      </c>
      <c r="Q19" s="70">
        <f t="shared" si="17"/>
        <v>281.7222612</v>
      </c>
      <c r="R19" s="59">
        <f t="shared" si="18"/>
        <v>643797564.5</v>
      </c>
      <c r="S19" s="59">
        <f t="shared" si="19"/>
        <v>2016357</v>
      </c>
      <c r="T19" s="70">
        <f t="shared" si="20"/>
        <v>319.2874895</v>
      </c>
      <c r="U19" s="68"/>
      <c r="V19" s="13"/>
      <c r="W19" s="13"/>
      <c r="X19" s="13"/>
      <c r="Y19" s="13"/>
      <c r="Z19" s="13"/>
      <c r="AA19" s="13"/>
      <c r="AB19" s="13"/>
      <c r="AC19" s="13"/>
      <c r="AD19" s="13"/>
      <c r="AE19" s="13"/>
    </row>
    <row r="20" ht="15.75" customHeight="1">
      <c r="A20" s="69">
        <v>10701.0</v>
      </c>
      <c r="B20" s="70" t="s">
        <v>37</v>
      </c>
      <c r="C20" s="69" t="s">
        <v>373</v>
      </c>
      <c r="D20" s="71">
        <v>15334.0</v>
      </c>
      <c r="E20" s="71">
        <v>1637008.8285805145</v>
      </c>
      <c r="F20" s="72">
        <f t="shared" si="2"/>
        <v>106.7568037</v>
      </c>
      <c r="G20" s="71">
        <v>14713.0</v>
      </c>
      <c r="H20" s="71">
        <v>2073499.0000305176</v>
      </c>
      <c r="I20" s="72">
        <f t="shared" si="3"/>
        <v>140.929722</v>
      </c>
      <c r="J20" s="73"/>
      <c r="K20" s="50"/>
      <c r="L20" s="56"/>
      <c r="M20" s="96">
        <v>4.0</v>
      </c>
      <c r="N20" s="57" t="s">
        <v>183</v>
      </c>
      <c r="O20" s="59">
        <f t="shared" si="15"/>
        <v>98751131</v>
      </c>
      <c r="P20" s="59">
        <f t="shared" si="16"/>
        <v>520216</v>
      </c>
      <c r="Q20" s="70">
        <f t="shared" si="17"/>
        <v>189.8271699</v>
      </c>
      <c r="R20" s="59">
        <f t="shared" si="18"/>
        <v>112015657</v>
      </c>
      <c r="S20" s="59">
        <f t="shared" si="19"/>
        <v>571471</v>
      </c>
      <c r="T20" s="70">
        <f t="shared" si="20"/>
        <v>196.0128458</v>
      </c>
      <c r="U20" s="68"/>
      <c r="V20" s="13"/>
      <c r="W20" s="13"/>
      <c r="X20" s="13"/>
      <c r="Y20" s="13"/>
      <c r="Z20" s="13"/>
      <c r="AA20" s="13"/>
      <c r="AB20" s="13"/>
      <c r="AC20" s="13"/>
      <c r="AD20" s="13"/>
      <c r="AE20" s="13"/>
    </row>
    <row r="21" ht="15.75" customHeight="1">
      <c r="A21" s="69">
        <v>10702.0</v>
      </c>
      <c r="B21" s="70" t="s">
        <v>38</v>
      </c>
      <c r="C21" s="69" t="s">
        <v>373</v>
      </c>
      <c r="D21" s="71">
        <v>30585.0</v>
      </c>
      <c r="E21" s="71">
        <v>1066175.0014413195</v>
      </c>
      <c r="F21" s="72">
        <f t="shared" si="2"/>
        <v>34.85940825</v>
      </c>
      <c r="G21" s="71">
        <v>26715.0</v>
      </c>
      <c r="H21" s="71">
        <v>1497780.0003509521</v>
      </c>
      <c r="I21" s="72">
        <f t="shared" si="3"/>
        <v>56.06513196</v>
      </c>
      <c r="J21" s="73"/>
      <c r="K21" s="50"/>
      <c r="L21" s="56"/>
      <c r="M21" s="96">
        <v>5.0</v>
      </c>
      <c r="N21" s="57" t="s">
        <v>218</v>
      </c>
      <c r="O21" s="59">
        <f t="shared" si="15"/>
        <v>88122143.07</v>
      </c>
      <c r="P21" s="59">
        <f t="shared" si="16"/>
        <v>839442</v>
      </c>
      <c r="Q21" s="70">
        <f t="shared" si="17"/>
        <v>104.9770479</v>
      </c>
      <c r="R21" s="59">
        <f t="shared" si="18"/>
        <v>112127154.5</v>
      </c>
      <c r="S21" s="59">
        <f t="shared" si="19"/>
        <v>861292</v>
      </c>
      <c r="T21" s="70">
        <f t="shared" si="20"/>
        <v>130.1848322</v>
      </c>
      <c r="U21" s="68"/>
      <c r="V21" s="13"/>
      <c r="W21" s="13"/>
      <c r="X21" s="13"/>
      <c r="Y21" s="13"/>
      <c r="Z21" s="13"/>
      <c r="AA21" s="13"/>
      <c r="AB21" s="13"/>
      <c r="AC21" s="13"/>
      <c r="AD21" s="13"/>
      <c r="AE21" s="13"/>
    </row>
    <row r="22" ht="15.75" customHeight="1">
      <c r="A22" s="69">
        <v>10703.0</v>
      </c>
      <c r="B22" s="70" t="s">
        <v>39</v>
      </c>
      <c r="C22" s="69" t="s">
        <v>373</v>
      </c>
      <c r="D22" s="71">
        <v>14199.0</v>
      </c>
      <c r="E22" s="71">
        <v>315024.6007393589</v>
      </c>
      <c r="F22" s="72">
        <f t="shared" si="2"/>
        <v>22.18639346</v>
      </c>
      <c r="G22" s="71">
        <v>16484.0</v>
      </c>
      <c r="H22" s="71">
        <v>426205.0</v>
      </c>
      <c r="I22" s="72">
        <f t="shared" si="3"/>
        <v>25.85567823</v>
      </c>
      <c r="J22" s="73"/>
      <c r="K22" s="50"/>
      <c r="L22" s="56"/>
      <c r="M22" s="96">
        <v>6.0</v>
      </c>
      <c r="N22" s="57" t="s">
        <v>260</v>
      </c>
      <c r="O22" s="59">
        <f t="shared" si="15"/>
        <v>143097905</v>
      </c>
      <c r="P22" s="59">
        <f t="shared" si="16"/>
        <v>500416</v>
      </c>
      <c r="Q22" s="70">
        <f t="shared" si="17"/>
        <v>285.957893</v>
      </c>
      <c r="R22" s="59">
        <f t="shared" si="18"/>
        <v>175588679</v>
      </c>
      <c r="S22" s="59">
        <f t="shared" si="19"/>
        <v>534210</v>
      </c>
      <c r="T22" s="70">
        <f t="shared" si="20"/>
        <v>328.6884914</v>
      </c>
      <c r="U22" s="68"/>
      <c r="V22" s="13"/>
      <c r="W22" s="13"/>
      <c r="X22" s="13"/>
      <c r="Y22" s="13"/>
      <c r="Z22" s="13"/>
      <c r="AA22" s="13"/>
      <c r="AB22" s="13"/>
      <c r="AC22" s="13"/>
      <c r="AD22" s="13"/>
      <c r="AE22" s="13"/>
    </row>
    <row r="23" ht="15.75" customHeight="1">
      <c r="A23" s="69">
        <v>10704.0</v>
      </c>
      <c r="B23" s="70" t="s">
        <v>40</v>
      </c>
      <c r="C23" s="69" t="s">
        <v>373</v>
      </c>
      <c r="D23" s="71">
        <v>15527.0</v>
      </c>
      <c r="E23" s="71">
        <v>480408.32970217895</v>
      </c>
      <c r="F23" s="72">
        <f t="shared" si="2"/>
        <v>30.94018997</v>
      </c>
      <c r="G23" s="71">
        <v>14282.0</v>
      </c>
      <c r="H23" s="71">
        <v>665573.0002059937</v>
      </c>
      <c r="I23" s="72">
        <f t="shared" si="3"/>
        <v>46.60222659</v>
      </c>
      <c r="J23" s="73"/>
      <c r="K23" s="50"/>
      <c r="L23" s="56"/>
      <c r="M23" s="96">
        <v>7.0</v>
      </c>
      <c r="N23" s="57" t="s">
        <v>387</v>
      </c>
      <c r="O23" s="59">
        <f t="shared" si="15"/>
        <v>1359217795</v>
      </c>
      <c r="P23" s="59">
        <f t="shared" si="16"/>
        <v>2812708</v>
      </c>
      <c r="Q23" s="70">
        <f t="shared" si="17"/>
        <v>483.2416998</v>
      </c>
      <c r="R23" s="59">
        <f t="shared" si="18"/>
        <v>1706772251</v>
      </c>
      <c r="S23" s="59">
        <f t="shared" si="19"/>
        <v>3122605</v>
      </c>
      <c r="T23" s="70">
        <f t="shared" si="20"/>
        <v>546.5860239</v>
      </c>
      <c r="U23" s="68"/>
      <c r="V23" s="13"/>
      <c r="W23" s="13"/>
      <c r="X23" s="13"/>
      <c r="Y23" s="13"/>
      <c r="Z23" s="13"/>
      <c r="AA23" s="13"/>
      <c r="AB23" s="13"/>
      <c r="AC23" s="13"/>
      <c r="AD23" s="13"/>
      <c r="AE23" s="13"/>
    </row>
    <row r="24" ht="15.75" customHeight="1">
      <c r="A24" s="69">
        <v>10801.0</v>
      </c>
      <c r="B24" s="70" t="s">
        <v>41</v>
      </c>
      <c r="C24" s="69" t="s">
        <v>373</v>
      </c>
      <c r="D24" s="71">
        <v>10476.0</v>
      </c>
      <c r="E24" s="71">
        <v>952519.0007081432</v>
      </c>
      <c r="F24" s="72">
        <f t="shared" si="2"/>
        <v>90.92392141</v>
      </c>
      <c r="G24" s="71">
        <v>9107.0</v>
      </c>
      <c r="H24" s="71">
        <v>1334275.0001907349</v>
      </c>
      <c r="I24" s="72">
        <f t="shared" si="3"/>
        <v>146.5109257</v>
      </c>
      <c r="J24" s="73"/>
      <c r="K24" s="50"/>
      <c r="L24" s="56"/>
      <c r="M24" s="96">
        <v>8.0</v>
      </c>
      <c r="N24" s="57" t="s">
        <v>374</v>
      </c>
      <c r="O24" s="59">
        <f t="shared" si="15"/>
        <v>110463879</v>
      </c>
      <c r="P24" s="59">
        <f t="shared" si="16"/>
        <v>444092.6667</v>
      </c>
      <c r="Q24" s="70">
        <f t="shared" si="17"/>
        <v>248.740606</v>
      </c>
      <c r="R24" s="59">
        <f t="shared" si="18"/>
        <v>204766794</v>
      </c>
      <c r="S24" s="59">
        <f t="shared" si="19"/>
        <v>488260</v>
      </c>
      <c r="T24" s="70">
        <f t="shared" si="20"/>
        <v>419.3806456</v>
      </c>
      <c r="U24" s="68"/>
      <c r="V24" s="13"/>
      <c r="W24" s="13"/>
      <c r="X24" s="13"/>
      <c r="Y24" s="13"/>
      <c r="Z24" s="13"/>
      <c r="AA24" s="13"/>
      <c r="AB24" s="13"/>
      <c r="AC24" s="13"/>
      <c r="AD24" s="13"/>
      <c r="AE24" s="13"/>
    </row>
    <row r="25" ht="15.75" customHeight="1">
      <c r="A25" s="69">
        <v>10901.0</v>
      </c>
      <c r="B25" s="70" t="s">
        <v>42</v>
      </c>
      <c r="C25" s="69" t="s">
        <v>373</v>
      </c>
      <c r="D25" s="71">
        <v>4134.0</v>
      </c>
      <c r="E25" s="71">
        <v>226172.50034896377</v>
      </c>
      <c r="F25" s="72">
        <f t="shared" si="2"/>
        <v>54.71032906</v>
      </c>
      <c r="G25" s="71">
        <v>5375.0</v>
      </c>
      <c r="H25" s="71">
        <v>350558.00006866455</v>
      </c>
      <c r="I25" s="72">
        <f t="shared" si="3"/>
        <v>65.22009304</v>
      </c>
      <c r="J25" s="73"/>
      <c r="K25" s="50"/>
      <c r="L25" s="56"/>
      <c r="M25" s="96">
        <v>9.0</v>
      </c>
      <c r="N25" s="57" t="s">
        <v>384</v>
      </c>
      <c r="O25" s="59">
        <f t="shared" si="15"/>
        <v>28580975.53</v>
      </c>
      <c r="P25" s="59">
        <f t="shared" si="16"/>
        <v>118356</v>
      </c>
      <c r="Q25" s="70">
        <f t="shared" si="17"/>
        <v>241.4831147</v>
      </c>
      <c r="R25" s="59">
        <f t="shared" si="18"/>
        <v>48564074</v>
      </c>
      <c r="S25" s="59">
        <f t="shared" si="19"/>
        <v>134194</v>
      </c>
      <c r="T25" s="70">
        <f t="shared" si="20"/>
        <v>361.8945259</v>
      </c>
      <c r="U25" s="68"/>
      <c r="V25" s="13"/>
      <c r="W25" s="13"/>
      <c r="X25" s="13"/>
      <c r="Y25" s="13"/>
      <c r="Z25" s="13"/>
      <c r="AA25" s="13"/>
      <c r="AB25" s="13"/>
      <c r="AC25" s="13"/>
      <c r="AD25" s="13"/>
      <c r="AE25" s="13"/>
    </row>
    <row r="26" ht="15.75" customHeight="1">
      <c r="A26" s="69">
        <v>10902.0</v>
      </c>
      <c r="B26" s="70" t="s">
        <v>43</v>
      </c>
      <c r="C26" s="69" t="s">
        <v>373</v>
      </c>
      <c r="D26" s="71">
        <v>16770.0</v>
      </c>
      <c r="E26" s="71">
        <v>783372.3689375455</v>
      </c>
      <c r="F26" s="72">
        <f t="shared" si="2"/>
        <v>46.71272325</v>
      </c>
      <c r="G26" s="71">
        <v>14848.0</v>
      </c>
      <c r="H26" s="71">
        <v>1010910.0001220703</v>
      </c>
      <c r="I26" s="72">
        <f t="shared" si="3"/>
        <v>68.08391703</v>
      </c>
      <c r="J26" s="73"/>
      <c r="K26" s="50"/>
      <c r="L26" s="56"/>
      <c r="M26" s="96">
        <v>10.0</v>
      </c>
      <c r="N26" s="57" t="s">
        <v>380</v>
      </c>
      <c r="O26" s="59">
        <f t="shared" si="15"/>
        <v>15318677.33</v>
      </c>
      <c r="P26" s="59">
        <f t="shared" si="16"/>
        <v>50468.66667</v>
      </c>
      <c r="Q26" s="70">
        <f t="shared" si="17"/>
        <v>303.5284731</v>
      </c>
      <c r="R26" s="59">
        <f t="shared" si="18"/>
        <v>18920485.33</v>
      </c>
      <c r="S26" s="59">
        <f t="shared" si="19"/>
        <v>53088</v>
      </c>
      <c r="T26" s="70">
        <f t="shared" si="20"/>
        <v>356.3985333</v>
      </c>
      <c r="U26" s="68"/>
      <c r="V26" s="13"/>
      <c r="W26" s="13"/>
      <c r="X26" s="13"/>
      <c r="Y26" s="13"/>
      <c r="Z26" s="13"/>
      <c r="AA26" s="13"/>
      <c r="AB26" s="13"/>
      <c r="AC26" s="13"/>
      <c r="AD26" s="13"/>
      <c r="AE26" s="13"/>
    </row>
    <row r="27" ht="15.75" customHeight="1">
      <c r="A27" s="69">
        <v>10903.0</v>
      </c>
      <c r="B27" s="70" t="s">
        <v>44</v>
      </c>
      <c r="C27" s="69" t="s">
        <v>373</v>
      </c>
      <c r="D27" s="71">
        <v>4397.0</v>
      </c>
      <c r="E27" s="71">
        <v>264995.4998532217</v>
      </c>
      <c r="F27" s="72">
        <f t="shared" si="2"/>
        <v>60.26734134</v>
      </c>
      <c r="G27" s="71">
        <v>5016.0</v>
      </c>
      <c r="H27" s="71">
        <v>363616.00018310547</v>
      </c>
      <c r="I27" s="72">
        <f t="shared" si="3"/>
        <v>72.49122811</v>
      </c>
      <c r="J27" s="73"/>
      <c r="K27" s="50"/>
      <c r="L27" s="56"/>
      <c r="M27" s="96">
        <v>11.0</v>
      </c>
      <c r="N27" s="57" t="s">
        <v>376</v>
      </c>
      <c r="O27" s="59">
        <f t="shared" si="15"/>
        <v>3233373110</v>
      </c>
      <c r="P27" s="59">
        <f t="shared" si="16"/>
        <v>10495009</v>
      </c>
      <c r="Q27" s="70">
        <f t="shared" si="17"/>
        <v>308.0867401</v>
      </c>
      <c r="R27" s="59">
        <f t="shared" si="18"/>
        <v>4033077521</v>
      </c>
      <c r="S27" s="59">
        <f t="shared" si="19"/>
        <v>11365333</v>
      </c>
      <c r="T27" s="70">
        <f t="shared" si="20"/>
        <v>354.8578401</v>
      </c>
      <c r="U27" s="68"/>
      <c r="V27" s="13"/>
      <c r="W27" s="13"/>
      <c r="X27" s="13"/>
      <c r="Y27" s="13"/>
      <c r="Z27" s="13"/>
      <c r="AA27" s="13"/>
      <c r="AB27" s="13"/>
      <c r="AC27" s="13"/>
      <c r="AD27" s="13"/>
      <c r="AE27" s="13"/>
    </row>
    <row r="28" ht="15.75" customHeight="1">
      <c r="A28" s="69">
        <v>11001.0</v>
      </c>
      <c r="B28" s="70" t="s">
        <v>45</v>
      </c>
      <c r="C28" s="69" t="s">
        <v>373</v>
      </c>
      <c r="D28" s="71">
        <v>10907.0</v>
      </c>
      <c r="E28" s="71">
        <v>731736.9993764926</v>
      </c>
      <c r="F28" s="72">
        <f t="shared" si="2"/>
        <v>67.08875029</v>
      </c>
      <c r="G28" s="71">
        <v>13282.0</v>
      </c>
      <c r="H28" s="71">
        <v>1845489.0000991821</v>
      </c>
      <c r="I28" s="72">
        <f t="shared" si="3"/>
        <v>138.9466195</v>
      </c>
      <c r="J28" s="73"/>
      <c r="K28" s="50"/>
      <c r="L28" s="56"/>
      <c r="M28" s="13"/>
      <c r="N28" s="13"/>
      <c r="O28" s="13"/>
      <c r="P28" s="13"/>
      <c r="Q28" s="13"/>
      <c r="R28" s="13"/>
      <c r="S28" s="13"/>
      <c r="T28" s="68"/>
      <c r="U28" s="68"/>
      <c r="V28" s="13"/>
      <c r="W28" s="13"/>
      <c r="X28" s="13"/>
      <c r="Y28" s="13"/>
      <c r="Z28" s="13"/>
      <c r="AA28" s="13"/>
      <c r="AB28" s="13"/>
      <c r="AC28" s="13"/>
      <c r="AD28" s="13"/>
      <c r="AE28" s="13"/>
    </row>
    <row r="29" ht="15.75" customHeight="1">
      <c r="A29" s="69">
        <v>11002.0</v>
      </c>
      <c r="B29" s="70" t="s">
        <v>46</v>
      </c>
      <c r="C29" s="69" t="s">
        <v>373</v>
      </c>
      <c r="D29" s="71">
        <v>2543.0</v>
      </c>
      <c r="E29" s="71">
        <v>188970.00016951282</v>
      </c>
      <c r="F29" s="72">
        <f t="shared" si="2"/>
        <v>74.3098703</v>
      </c>
      <c r="G29" s="71">
        <v>2547.0</v>
      </c>
      <c r="H29" s="71">
        <v>87905.0</v>
      </c>
      <c r="I29" s="72">
        <f t="shared" si="3"/>
        <v>34.51315273</v>
      </c>
      <c r="J29" s="73"/>
      <c r="K29" s="50"/>
      <c r="L29" s="56"/>
      <c r="M29" s="13"/>
      <c r="N29" s="13"/>
      <c r="O29" s="13"/>
      <c r="P29" s="13"/>
      <c r="Q29" s="13"/>
      <c r="R29" s="13"/>
      <c r="S29" s="13"/>
      <c r="T29" s="68"/>
      <c r="U29" s="68"/>
      <c r="V29" s="13"/>
      <c r="W29" s="13"/>
      <c r="X29" s="13"/>
      <c r="Y29" s="13"/>
      <c r="Z29" s="13"/>
      <c r="AA29" s="13"/>
      <c r="AB29" s="13"/>
      <c r="AC29" s="13"/>
      <c r="AD29" s="13"/>
      <c r="AE29" s="13"/>
    </row>
    <row r="30" ht="15.75" customHeight="1">
      <c r="A30" s="69">
        <v>11003.0</v>
      </c>
      <c r="B30" s="70" t="s">
        <v>47</v>
      </c>
      <c r="C30" s="69" t="s">
        <v>373</v>
      </c>
      <c r="D30" s="71">
        <v>7357.0</v>
      </c>
      <c r="E30" s="71">
        <v>904826.9993175082</v>
      </c>
      <c r="F30" s="72">
        <f t="shared" si="2"/>
        <v>122.9885822</v>
      </c>
      <c r="G30" s="71">
        <v>7235.0</v>
      </c>
      <c r="H30" s="71">
        <v>3243399.999824524</v>
      </c>
      <c r="I30" s="72">
        <f t="shared" si="3"/>
        <v>448.29302</v>
      </c>
      <c r="J30" s="73"/>
      <c r="K30" s="50"/>
      <c r="L30" s="56"/>
      <c r="M30" s="13" t="s">
        <v>394</v>
      </c>
      <c r="N30" s="68">
        <f>AVERAGE(F2:F344)</f>
        <v>111.4184155</v>
      </c>
      <c r="O30" s="13"/>
      <c r="P30" s="13"/>
      <c r="Q30" s="13"/>
      <c r="R30" s="13"/>
      <c r="S30" s="13"/>
      <c r="T30" s="68"/>
      <c r="U30" s="68"/>
      <c r="V30" s="13"/>
      <c r="W30" s="13"/>
      <c r="X30" s="13"/>
      <c r="Y30" s="13"/>
      <c r="Z30" s="13"/>
      <c r="AA30" s="13"/>
      <c r="AB30" s="13"/>
      <c r="AC30" s="13"/>
      <c r="AD30" s="13"/>
      <c r="AE30" s="13"/>
    </row>
    <row r="31" ht="15.75" customHeight="1">
      <c r="A31" s="69">
        <v>20101.0</v>
      </c>
      <c r="B31" s="70" t="s">
        <v>48</v>
      </c>
      <c r="C31" s="69" t="s">
        <v>48</v>
      </c>
      <c r="D31" s="71">
        <v>763456.0</v>
      </c>
      <c r="E31" s="71">
        <v>4.4019085631290305E8</v>
      </c>
      <c r="F31" s="72">
        <f t="shared" si="2"/>
        <v>576.576589</v>
      </c>
      <c r="G31" s="71">
        <v>757431.0</v>
      </c>
      <c r="H31" s="71">
        <v>4.294344680086365E8</v>
      </c>
      <c r="I31" s="72">
        <f t="shared" si="3"/>
        <v>566.9618328</v>
      </c>
      <c r="J31" s="73"/>
      <c r="K31" s="50"/>
      <c r="L31" s="56"/>
      <c r="M31" s="13" t="s">
        <v>395</v>
      </c>
      <c r="N31" s="68">
        <f>0.5*STDEV(F2:F344)</f>
        <v>59.65638151</v>
      </c>
      <c r="O31" s="13"/>
      <c r="P31" s="13"/>
      <c r="Q31" s="13"/>
      <c r="R31" s="13"/>
      <c r="S31" s="13"/>
      <c r="T31" s="68"/>
      <c r="U31" s="68"/>
      <c r="V31" s="13"/>
      <c r="W31" s="13"/>
      <c r="X31" s="13"/>
      <c r="Y31" s="13"/>
      <c r="Z31" s="13"/>
      <c r="AA31" s="13"/>
      <c r="AB31" s="13"/>
      <c r="AC31" s="13"/>
      <c r="AD31" s="13"/>
      <c r="AE31" s="13"/>
    </row>
    <row r="32" ht="15.75" customHeight="1">
      <c r="A32" s="69">
        <v>20102.0</v>
      </c>
      <c r="B32" s="70" t="s">
        <v>49</v>
      </c>
      <c r="C32" s="69" t="s">
        <v>48</v>
      </c>
      <c r="D32" s="71">
        <v>18324.0</v>
      </c>
      <c r="E32" s="71">
        <v>1263825.000716295</v>
      </c>
      <c r="F32" s="72">
        <f t="shared" si="2"/>
        <v>68.97102165</v>
      </c>
      <c r="G32" s="71">
        <v>21729.0</v>
      </c>
      <c r="H32" s="71">
        <v>2007219.9990844727</v>
      </c>
      <c r="I32" s="72">
        <f t="shared" si="3"/>
        <v>92.37516679</v>
      </c>
      <c r="J32" s="73"/>
      <c r="K32" s="50"/>
      <c r="L32" s="56"/>
      <c r="M32" s="13"/>
      <c r="N32" s="13"/>
      <c r="O32" s="13"/>
      <c r="P32" s="13"/>
      <c r="Q32" s="13"/>
      <c r="R32" s="13"/>
      <c r="S32" s="13"/>
      <c r="T32" s="68"/>
      <c r="U32" s="68"/>
      <c r="V32" s="13"/>
      <c r="W32" s="13"/>
      <c r="X32" s="13"/>
      <c r="Y32" s="13"/>
      <c r="Z32" s="13"/>
      <c r="AA32" s="13"/>
      <c r="AB32" s="13"/>
      <c r="AC32" s="13"/>
      <c r="AD32" s="13"/>
      <c r="AE32" s="13"/>
    </row>
    <row r="33" ht="15.75" customHeight="1">
      <c r="A33" s="69">
        <v>20103.0</v>
      </c>
      <c r="B33" s="70" t="s">
        <v>50</v>
      </c>
      <c r="C33" s="69" t="s">
        <v>48</v>
      </c>
      <c r="D33" s="71">
        <v>17371.0</v>
      </c>
      <c r="E33" s="71">
        <v>3261487.001011139</v>
      </c>
      <c r="F33" s="72">
        <f t="shared" si="2"/>
        <v>187.7547062</v>
      </c>
      <c r="G33" s="71">
        <v>20446.0</v>
      </c>
      <c r="H33" s="71">
        <v>7136473.999633789</v>
      </c>
      <c r="I33" s="72">
        <f t="shared" si="3"/>
        <v>349.0401056</v>
      </c>
      <c r="J33" s="73"/>
      <c r="K33" s="50"/>
      <c r="L33" s="56"/>
      <c r="M33" s="13"/>
      <c r="N33" s="68">
        <f>N30-N31</f>
        <v>51.76203403</v>
      </c>
      <c r="O33" s="13"/>
      <c r="P33" s="13"/>
      <c r="Q33" s="13"/>
      <c r="R33" s="13"/>
      <c r="S33" s="13"/>
      <c r="T33" s="68"/>
      <c r="U33" s="68"/>
      <c r="V33" s="13"/>
      <c r="W33" s="13"/>
      <c r="X33" s="13"/>
      <c r="Y33" s="13"/>
      <c r="Z33" s="13"/>
      <c r="AA33" s="13"/>
      <c r="AB33" s="13"/>
      <c r="AC33" s="13"/>
      <c r="AD33" s="13"/>
      <c r="AE33" s="13"/>
    </row>
    <row r="34" ht="15.75" customHeight="1">
      <c r="A34" s="69">
        <v>20104.0</v>
      </c>
      <c r="B34" s="70" t="s">
        <v>51</v>
      </c>
      <c r="C34" s="69" t="s">
        <v>48</v>
      </c>
      <c r="D34" s="71">
        <v>30350.0</v>
      </c>
      <c r="E34" s="71">
        <v>3315720.0051131174</v>
      </c>
      <c r="F34" s="72">
        <f t="shared" si="2"/>
        <v>109.2494236</v>
      </c>
      <c r="G34" s="71">
        <v>46188.0</v>
      </c>
      <c r="H34" s="71">
        <v>6604605.000259399</v>
      </c>
      <c r="I34" s="72">
        <f t="shared" si="3"/>
        <v>142.9939595</v>
      </c>
      <c r="J34" s="73"/>
      <c r="K34" s="50"/>
      <c r="L34" s="56"/>
      <c r="M34" s="13"/>
      <c r="N34" s="68">
        <f>N30</f>
        <v>111.4184155</v>
      </c>
      <c r="O34" s="13"/>
      <c r="P34" s="13"/>
      <c r="Q34" s="13"/>
      <c r="R34" s="13"/>
      <c r="S34" s="13"/>
      <c r="T34" s="68"/>
      <c r="U34" s="68"/>
      <c r="V34" s="13"/>
      <c r="W34" s="13"/>
      <c r="X34" s="13"/>
      <c r="Y34" s="13"/>
      <c r="Z34" s="13"/>
      <c r="AA34" s="13"/>
      <c r="AB34" s="13"/>
      <c r="AC34" s="13"/>
      <c r="AD34" s="13"/>
      <c r="AE34" s="13"/>
    </row>
    <row r="35" ht="15.75" customHeight="1">
      <c r="A35" s="69">
        <v>20105.0</v>
      </c>
      <c r="B35" s="70" t="s">
        <v>52</v>
      </c>
      <c r="C35" s="69" t="s">
        <v>48</v>
      </c>
      <c r="D35" s="71">
        <v>860910.0</v>
      </c>
      <c r="E35" s="71">
        <v>2.4424667599197575E8</v>
      </c>
      <c r="F35" s="72">
        <f t="shared" si="2"/>
        <v>283.7075606</v>
      </c>
      <c r="G35" s="71">
        <v>885825.0</v>
      </c>
      <c r="H35" s="71">
        <v>2.98946404003067E8</v>
      </c>
      <c r="I35" s="72">
        <f t="shared" si="3"/>
        <v>337.4779488</v>
      </c>
      <c r="J35" s="73"/>
      <c r="K35" s="50"/>
      <c r="L35" s="56"/>
      <c r="M35" s="13"/>
      <c r="N35" s="68">
        <f>N30+N31</f>
        <v>171.074797</v>
      </c>
      <c r="O35" s="13"/>
      <c r="P35" s="13"/>
      <c r="Q35" s="13"/>
      <c r="R35" s="13"/>
      <c r="S35" s="13"/>
      <c r="T35" s="68"/>
      <c r="U35" s="68"/>
      <c r="V35" s="13"/>
      <c r="W35" s="13"/>
      <c r="X35" s="13"/>
      <c r="Y35" s="13"/>
      <c r="Z35" s="13"/>
      <c r="AA35" s="13"/>
      <c r="AB35" s="13"/>
      <c r="AC35" s="13"/>
      <c r="AD35" s="13"/>
      <c r="AE35" s="13"/>
    </row>
    <row r="36" ht="15.75" customHeight="1">
      <c r="A36" s="69">
        <v>20201.0</v>
      </c>
      <c r="B36" s="70" t="s">
        <v>53</v>
      </c>
      <c r="C36" s="69" t="s">
        <v>48</v>
      </c>
      <c r="D36" s="71">
        <v>46458.0</v>
      </c>
      <c r="E36" s="71">
        <v>3804495.999041967</v>
      </c>
      <c r="F36" s="72">
        <f t="shared" si="2"/>
        <v>81.8910844</v>
      </c>
      <c r="G36" s="71">
        <v>47257.0</v>
      </c>
      <c r="H36" s="71">
        <v>3802112.0003814697</v>
      </c>
      <c r="I36" s="72">
        <f t="shared" si="3"/>
        <v>80.45605943</v>
      </c>
      <c r="J36" s="73"/>
      <c r="K36" s="50"/>
      <c r="L36" s="56"/>
      <c r="M36" s="13"/>
      <c r="N36" s="13"/>
      <c r="O36" s="13"/>
      <c r="P36" s="13"/>
      <c r="Q36" s="13"/>
      <c r="R36" s="13"/>
      <c r="S36" s="13"/>
      <c r="T36" s="68"/>
      <c r="U36" s="68"/>
      <c r="V36" s="13"/>
      <c r="W36" s="13"/>
      <c r="X36" s="13"/>
      <c r="Y36" s="13"/>
      <c r="Z36" s="13"/>
      <c r="AA36" s="13"/>
      <c r="AB36" s="13"/>
      <c r="AC36" s="13"/>
      <c r="AD36" s="13"/>
      <c r="AE36" s="13"/>
    </row>
    <row r="37" ht="15.75" customHeight="1">
      <c r="A37" s="69">
        <v>20202.0</v>
      </c>
      <c r="B37" s="70" t="s">
        <v>54</v>
      </c>
      <c r="C37" s="69" t="s">
        <v>48</v>
      </c>
      <c r="D37" s="71">
        <v>14408.0</v>
      </c>
      <c r="E37" s="71">
        <v>606002.999063232</v>
      </c>
      <c r="F37" s="72">
        <f t="shared" si="2"/>
        <v>42.06017484</v>
      </c>
      <c r="G37" s="71">
        <v>16953.0</v>
      </c>
      <c r="H37" s="71">
        <v>471038.99991607666</v>
      </c>
      <c r="I37" s="72">
        <f t="shared" si="3"/>
        <v>27.7849938</v>
      </c>
      <c r="J37" s="73"/>
      <c r="K37" s="50"/>
      <c r="L37" s="56"/>
      <c r="M37" s="13" t="s">
        <v>396</v>
      </c>
      <c r="N37" s="68">
        <f>MAX(F2:F344)</f>
        <v>944.1142856</v>
      </c>
      <c r="O37" s="68">
        <f>MAX(I2:I346)</f>
        <v>1635.455029</v>
      </c>
      <c r="P37" s="13"/>
      <c r="Q37" s="13"/>
      <c r="R37" s="13"/>
      <c r="S37" s="13"/>
      <c r="T37" s="68"/>
      <c r="U37" s="68"/>
      <c r="V37" s="13"/>
      <c r="W37" s="13"/>
      <c r="X37" s="13"/>
      <c r="Y37" s="13"/>
      <c r="Z37" s="13"/>
      <c r="AA37" s="13"/>
      <c r="AB37" s="13"/>
      <c r="AC37" s="13"/>
      <c r="AD37" s="13"/>
      <c r="AE37" s="13"/>
    </row>
    <row r="38" ht="15.75" customHeight="1">
      <c r="A38" s="69">
        <v>20203.0</v>
      </c>
      <c r="B38" s="70" t="s">
        <v>55</v>
      </c>
      <c r="C38" s="69" t="s">
        <v>48</v>
      </c>
      <c r="D38" s="71">
        <v>5744.0</v>
      </c>
      <c r="E38" s="71">
        <v>361336.9999500634</v>
      </c>
      <c r="F38" s="72">
        <f t="shared" si="2"/>
        <v>62.90685932</v>
      </c>
      <c r="G38" s="71">
        <v>8679.0</v>
      </c>
      <c r="H38" s="71">
        <v>342661.999961853</v>
      </c>
      <c r="I38" s="72">
        <f t="shared" si="3"/>
        <v>39.48173752</v>
      </c>
      <c r="J38" s="73"/>
      <c r="K38" s="50"/>
      <c r="L38" s="56"/>
      <c r="M38" s="13" t="s">
        <v>397</v>
      </c>
      <c r="N38" s="68">
        <f>MIN(F2:F344)</f>
        <v>0</v>
      </c>
      <c r="O38" s="68">
        <f>MIN(I3:I347)</f>
        <v>0</v>
      </c>
      <c r="P38" s="13"/>
      <c r="Q38" s="13"/>
      <c r="R38" s="13"/>
      <c r="S38" s="13"/>
      <c r="T38" s="68"/>
      <c r="U38" s="68"/>
      <c r="V38" s="13"/>
      <c r="W38" s="13"/>
      <c r="X38" s="13"/>
      <c r="Y38" s="13"/>
      <c r="Z38" s="13"/>
      <c r="AA38" s="13"/>
      <c r="AB38" s="13"/>
      <c r="AC38" s="13"/>
      <c r="AD38" s="13"/>
      <c r="AE38" s="13"/>
    </row>
    <row r="39" ht="15.75" customHeight="1">
      <c r="A39" s="69">
        <v>20204.0</v>
      </c>
      <c r="B39" s="70" t="s">
        <v>56</v>
      </c>
      <c r="C39" s="69" t="s">
        <v>48</v>
      </c>
      <c r="D39" s="71">
        <v>8192.0</v>
      </c>
      <c r="E39" s="71">
        <v>507928.0004194416</v>
      </c>
      <c r="F39" s="72">
        <f t="shared" si="2"/>
        <v>62.00292974</v>
      </c>
      <c r="G39" s="71">
        <v>9287.0</v>
      </c>
      <c r="H39" s="71">
        <v>515176.00009155273</v>
      </c>
      <c r="I39" s="72">
        <f t="shared" si="3"/>
        <v>55.47281147</v>
      </c>
      <c r="J39" s="73"/>
      <c r="K39" s="50"/>
      <c r="L39" s="56"/>
      <c r="M39" s="13"/>
      <c r="N39" s="13"/>
      <c r="O39" s="13"/>
      <c r="P39" s="13"/>
      <c r="Q39" s="13"/>
      <c r="R39" s="13"/>
      <c r="S39" s="13"/>
      <c r="T39" s="68"/>
      <c r="U39" s="68"/>
      <c r="V39" s="13"/>
      <c r="W39" s="13"/>
      <c r="X39" s="13"/>
      <c r="Y39" s="13"/>
      <c r="Z39" s="13"/>
      <c r="AA39" s="13"/>
      <c r="AB39" s="13"/>
      <c r="AC39" s="13"/>
      <c r="AD39" s="13"/>
      <c r="AE39" s="13"/>
    </row>
    <row r="40" ht="15.75" customHeight="1">
      <c r="A40" s="69">
        <v>20205.0</v>
      </c>
      <c r="B40" s="70" t="s">
        <v>57</v>
      </c>
      <c r="C40" s="69" t="s">
        <v>48</v>
      </c>
      <c r="D40" s="71">
        <v>8804.0</v>
      </c>
      <c r="E40" s="71">
        <v>396459.99974527024</v>
      </c>
      <c r="F40" s="72">
        <f t="shared" si="2"/>
        <v>45.0318037</v>
      </c>
      <c r="G40" s="71">
        <v>5118.0</v>
      </c>
      <c r="H40" s="71">
        <v>438681.0001296997</v>
      </c>
      <c r="I40" s="72">
        <f t="shared" si="3"/>
        <v>85.71336462</v>
      </c>
      <c r="J40" s="73"/>
      <c r="K40" s="50"/>
      <c r="L40" s="56"/>
      <c r="M40" s="98" t="s">
        <v>398</v>
      </c>
      <c r="N40" s="13">
        <v>944.0</v>
      </c>
      <c r="O40" s="68">
        <f>AVERAGE(N40:N44)</f>
        <v>631.4</v>
      </c>
      <c r="P40" s="13"/>
      <c r="Q40" s="13"/>
      <c r="R40" s="13"/>
      <c r="S40" s="13"/>
      <c r="T40" s="68"/>
      <c r="U40" s="68"/>
      <c r="V40" s="13"/>
      <c r="W40" s="13"/>
      <c r="X40" s="13"/>
      <c r="Y40" s="13"/>
      <c r="Z40" s="13"/>
      <c r="AA40" s="13"/>
      <c r="AB40" s="13"/>
      <c r="AC40" s="13"/>
      <c r="AD40" s="13"/>
      <c r="AE40" s="13"/>
    </row>
    <row r="41" ht="15.75" customHeight="1">
      <c r="A41" s="69">
        <v>20206.0</v>
      </c>
      <c r="B41" s="70" t="s">
        <v>58</v>
      </c>
      <c r="C41" s="69" t="s">
        <v>48</v>
      </c>
      <c r="D41" s="71">
        <v>4324.0</v>
      </c>
      <c r="E41" s="71">
        <v>189293.9998116903</v>
      </c>
      <c r="F41" s="72">
        <f t="shared" si="2"/>
        <v>43.77752077</v>
      </c>
      <c r="G41" s="71">
        <v>7226.0</v>
      </c>
      <c r="H41" s="71">
        <v>262075.9998703003</v>
      </c>
      <c r="I41" s="72">
        <f t="shared" si="3"/>
        <v>36.26847493</v>
      </c>
      <c r="J41" s="73"/>
      <c r="K41" s="50"/>
      <c r="L41" s="56"/>
      <c r="N41" s="13">
        <v>650.0</v>
      </c>
      <c r="O41" s="13"/>
      <c r="P41" s="13"/>
      <c r="Q41" s="13"/>
      <c r="R41" s="13"/>
      <c r="S41" s="13"/>
      <c r="T41" s="68"/>
      <c r="U41" s="68"/>
      <c r="V41" s="13"/>
      <c r="W41" s="13"/>
      <c r="X41" s="13"/>
      <c r="Y41" s="13"/>
      <c r="Z41" s="13"/>
      <c r="AA41" s="13"/>
      <c r="AB41" s="13"/>
      <c r="AC41" s="13"/>
      <c r="AD41" s="13"/>
      <c r="AE41" s="13"/>
    </row>
    <row r="42" ht="15.75" customHeight="1">
      <c r="A42" s="69">
        <v>20301.0</v>
      </c>
      <c r="B42" s="70" t="s">
        <v>59</v>
      </c>
      <c r="C42" s="69" t="s">
        <v>48</v>
      </c>
      <c r="D42" s="71">
        <v>11615.0</v>
      </c>
      <c r="E42" s="71">
        <v>587096.9993395442</v>
      </c>
      <c r="F42" s="72">
        <f t="shared" si="2"/>
        <v>50.5464485</v>
      </c>
      <c r="G42" s="71">
        <v>13551.0</v>
      </c>
      <c r="H42" s="71">
        <v>572989.9998321533</v>
      </c>
      <c r="I42" s="72">
        <f t="shared" si="3"/>
        <v>42.28396427</v>
      </c>
      <c r="J42" s="73"/>
      <c r="K42" s="50"/>
      <c r="L42" s="56"/>
      <c r="N42" s="13">
        <v>577.0</v>
      </c>
      <c r="O42" s="13"/>
      <c r="P42" s="13"/>
      <c r="Q42" s="13"/>
      <c r="R42" s="13"/>
      <c r="S42" s="13"/>
      <c r="T42" s="68"/>
      <c r="U42" s="68"/>
      <c r="V42" s="13"/>
      <c r="W42" s="13"/>
      <c r="X42" s="13"/>
      <c r="Y42" s="13"/>
      <c r="Z42" s="13"/>
      <c r="AA42" s="13"/>
      <c r="AB42" s="13"/>
      <c r="AC42" s="13"/>
      <c r="AD42" s="13"/>
      <c r="AE42" s="13"/>
    </row>
    <row r="43" ht="15.75" customHeight="1">
      <c r="A43" s="69">
        <v>20302.0</v>
      </c>
      <c r="B43" s="70" t="s">
        <v>60</v>
      </c>
      <c r="C43" s="69" t="s">
        <v>48</v>
      </c>
      <c r="D43" s="71">
        <v>14981.0</v>
      </c>
      <c r="E43" s="71">
        <v>338323.0004296405</v>
      </c>
      <c r="F43" s="72">
        <f t="shared" si="2"/>
        <v>22.58347243</v>
      </c>
      <c r="G43" s="71">
        <v>15570.0</v>
      </c>
      <c r="H43" s="71">
        <v>341835.00004577637</v>
      </c>
      <c r="I43" s="72">
        <f t="shared" si="3"/>
        <v>21.95472062</v>
      </c>
      <c r="J43" s="73"/>
      <c r="K43" s="50"/>
      <c r="L43" s="56"/>
      <c r="N43" s="13">
        <v>503.0</v>
      </c>
      <c r="O43" s="13"/>
      <c r="P43" s="13"/>
      <c r="Q43" s="13"/>
      <c r="R43" s="13"/>
      <c r="S43" s="13"/>
      <c r="T43" s="68"/>
      <c r="U43" s="68"/>
      <c r="V43" s="13"/>
      <c r="W43" s="13"/>
      <c r="X43" s="13"/>
      <c r="Y43" s="13"/>
      <c r="Z43" s="13"/>
      <c r="AA43" s="13"/>
      <c r="AB43" s="13"/>
      <c r="AC43" s="13"/>
      <c r="AD43" s="13"/>
      <c r="AE43" s="13"/>
    </row>
    <row r="44" ht="15.75" customHeight="1">
      <c r="A44" s="69">
        <v>20303.0</v>
      </c>
      <c r="B44" s="70" t="s">
        <v>61</v>
      </c>
      <c r="C44" s="69" t="s">
        <v>48</v>
      </c>
      <c r="D44" s="71">
        <v>10659.0</v>
      </c>
      <c r="E44" s="71">
        <v>133297.00011182483</v>
      </c>
      <c r="F44" s="72">
        <f t="shared" si="2"/>
        <v>12.50558215</v>
      </c>
      <c r="G44" s="71">
        <v>12219.0</v>
      </c>
      <c r="H44" s="71">
        <v>157014.0</v>
      </c>
      <c r="I44" s="72">
        <f t="shared" si="3"/>
        <v>12.84998772</v>
      </c>
      <c r="J44" s="73"/>
      <c r="K44" s="50"/>
      <c r="L44" s="56"/>
      <c r="N44" s="13">
        <v>483.0</v>
      </c>
      <c r="O44" s="13"/>
      <c r="P44" s="13"/>
      <c r="Q44" s="13"/>
      <c r="R44" s="13"/>
      <c r="S44" s="13"/>
      <c r="T44" s="68"/>
      <c r="U44" s="68"/>
      <c r="V44" s="13"/>
      <c r="W44" s="13"/>
      <c r="X44" s="13"/>
      <c r="Y44" s="13"/>
      <c r="Z44" s="13"/>
      <c r="AA44" s="13"/>
      <c r="AB44" s="13"/>
      <c r="AC44" s="13"/>
      <c r="AD44" s="13"/>
      <c r="AE44" s="13"/>
    </row>
    <row r="45" ht="15.75" customHeight="1">
      <c r="A45" s="69">
        <v>20304.0</v>
      </c>
      <c r="B45" s="70" t="s">
        <v>62</v>
      </c>
      <c r="C45" s="69" t="s">
        <v>48</v>
      </c>
      <c r="D45" s="71">
        <v>4333.0</v>
      </c>
      <c r="E45" s="71">
        <v>130819.99970084522</v>
      </c>
      <c r="F45" s="72">
        <f t="shared" si="2"/>
        <v>30.19155313</v>
      </c>
      <c r="G45" s="71">
        <v>5238.0</v>
      </c>
      <c r="H45" s="71">
        <v>156003.99995422363</v>
      </c>
      <c r="I45" s="72">
        <f t="shared" si="3"/>
        <v>29.78312332</v>
      </c>
      <c r="J45" s="73"/>
      <c r="K45" s="50"/>
      <c r="L45" s="56"/>
      <c r="M45" s="13"/>
      <c r="N45" s="13"/>
      <c r="O45" s="13"/>
      <c r="P45" s="13"/>
      <c r="Q45" s="13"/>
      <c r="R45" s="13"/>
      <c r="S45" s="13"/>
      <c r="T45" s="68"/>
      <c r="U45" s="68"/>
      <c r="V45" s="13"/>
      <c r="W45" s="13"/>
      <c r="X45" s="13"/>
      <c r="Y45" s="13"/>
      <c r="Z45" s="13"/>
      <c r="AA45" s="13"/>
      <c r="AB45" s="13"/>
      <c r="AC45" s="13"/>
      <c r="AD45" s="13"/>
      <c r="AE45" s="13"/>
    </row>
    <row r="46" ht="15.75" customHeight="1">
      <c r="A46" s="69">
        <v>20305.0</v>
      </c>
      <c r="B46" s="70" t="s">
        <v>63</v>
      </c>
      <c r="C46" s="69" t="s">
        <v>48</v>
      </c>
      <c r="D46" s="71">
        <v>3571.0</v>
      </c>
      <c r="E46" s="71">
        <v>116293.99996375386</v>
      </c>
      <c r="F46" s="72">
        <f t="shared" si="2"/>
        <v>32.56622794</v>
      </c>
      <c r="G46" s="71">
        <v>4221.0</v>
      </c>
      <c r="H46" s="71">
        <v>440725.0</v>
      </c>
      <c r="I46" s="72">
        <f t="shared" si="3"/>
        <v>104.4124615</v>
      </c>
      <c r="J46" s="73"/>
      <c r="K46" s="50"/>
      <c r="L46" s="56"/>
      <c r="M46" s="13" t="s">
        <v>399</v>
      </c>
      <c r="N46" s="13">
        <f>PERCENTILE(F2:F344, 0.025)</f>
        <v>0</v>
      </c>
      <c r="O46" s="13"/>
      <c r="P46" s="13"/>
      <c r="Q46" s="13"/>
      <c r="R46" s="13"/>
      <c r="S46" s="13"/>
      <c r="T46" s="68"/>
      <c r="U46" s="68"/>
      <c r="V46" s="13"/>
      <c r="W46" s="13"/>
      <c r="X46" s="13"/>
      <c r="Y46" s="13"/>
      <c r="Z46" s="13"/>
      <c r="AA46" s="13"/>
      <c r="AB46" s="13"/>
      <c r="AC46" s="13"/>
      <c r="AD46" s="13"/>
      <c r="AE46" s="13"/>
    </row>
    <row r="47" ht="15.75" customHeight="1">
      <c r="A47" s="69">
        <v>20306.0</v>
      </c>
      <c r="B47" s="70" t="s">
        <v>64</v>
      </c>
      <c r="C47" s="69" t="s">
        <v>48</v>
      </c>
      <c r="D47" s="71">
        <v>5527.0</v>
      </c>
      <c r="E47" s="71">
        <v>55771.00022594351</v>
      </c>
      <c r="F47" s="72">
        <f t="shared" si="2"/>
        <v>10.09064596</v>
      </c>
      <c r="G47" s="71">
        <v>6442.0</v>
      </c>
      <c r="H47" s="71">
        <v>0.0</v>
      </c>
      <c r="I47" s="72">
        <f t="shared" si="3"/>
        <v>0</v>
      </c>
      <c r="J47" s="73"/>
      <c r="K47" s="50"/>
      <c r="L47" s="56"/>
      <c r="M47" s="13"/>
      <c r="N47" s="13"/>
      <c r="O47" s="13"/>
      <c r="P47" s="13"/>
      <c r="Q47" s="13"/>
      <c r="R47" s="13"/>
      <c r="S47" s="13"/>
      <c r="T47" s="68"/>
      <c r="U47" s="68"/>
      <c r="V47" s="13"/>
      <c r="W47" s="13"/>
      <c r="X47" s="13"/>
      <c r="Y47" s="13"/>
      <c r="Z47" s="13"/>
      <c r="AA47" s="13"/>
      <c r="AB47" s="13"/>
      <c r="AC47" s="13"/>
      <c r="AD47" s="13"/>
      <c r="AE47" s="13"/>
    </row>
    <row r="48" ht="15.75" customHeight="1">
      <c r="A48" s="69">
        <v>20307.0</v>
      </c>
      <c r="B48" s="70" t="s">
        <v>65</v>
      </c>
      <c r="C48" s="69" t="s">
        <v>48</v>
      </c>
      <c r="D48" s="71">
        <v>1753.333333</v>
      </c>
      <c r="E48" s="71">
        <v>10263.9999772273</v>
      </c>
      <c r="F48" s="72">
        <f t="shared" si="2"/>
        <v>5.853992384</v>
      </c>
      <c r="G48" s="71">
        <v>4022.0</v>
      </c>
      <c r="H48" s="71">
        <v>33409.0</v>
      </c>
      <c r="I48" s="72">
        <f t="shared" si="3"/>
        <v>8.306563899</v>
      </c>
      <c r="J48" s="73"/>
      <c r="K48" s="50"/>
      <c r="L48" s="56"/>
      <c r="M48" s="13"/>
      <c r="N48" s="13"/>
      <c r="O48" s="13"/>
      <c r="P48" s="13"/>
      <c r="Q48" s="13"/>
      <c r="R48" s="13"/>
      <c r="S48" s="13"/>
      <c r="T48" s="68"/>
      <c r="U48" s="68"/>
      <c r="V48" s="13"/>
      <c r="W48" s="13"/>
      <c r="X48" s="13"/>
      <c r="Y48" s="13"/>
      <c r="Z48" s="13"/>
      <c r="AA48" s="13"/>
      <c r="AB48" s="13"/>
      <c r="AC48" s="13"/>
      <c r="AD48" s="13"/>
      <c r="AE48" s="13"/>
    </row>
    <row r="49" ht="15.75" customHeight="1">
      <c r="A49" s="69">
        <v>20308.0</v>
      </c>
      <c r="B49" s="70" t="s">
        <v>66</v>
      </c>
      <c r="C49" s="69" t="s">
        <v>48</v>
      </c>
      <c r="D49" s="71">
        <v>7538.0</v>
      </c>
      <c r="E49" s="71">
        <v>94520.00009374227</v>
      </c>
      <c r="F49" s="72">
        <f t="shared" si="2"/>
        <v>12.53913506</v>
      </c>
      <c r="G49" s="71">
        <v>8037.0</v>
      </c>
      <c r="H49" s="71">
        <v>106318.00005340576</v>
      </c>
      <c r="I49" s="72">
        <f t="shared" si="3"/>
        <v>13.22856788</v>
      </c>
      <c r="J49" s="73"/>
      <c r="K49" s="50"/>
      <c r="L49" s="56"/>
      <c r="M49" s="13"/>
      <c r="N49" s="13"/>
      <c r="O49" s="13"/>
      <c r="P49" s="13"/>
      <c r="Q49" s="13"/>
      <c r="R49" s="13"/>
      <c r="S49" s="13"/>
      <c r="T49" s="68"/>
      <c r="U49" s="68"/>
      <c r="V49" s="13"/>
      <c r="W49" s="13"/>
      <c r="X49" s="13"/>
      <c r="Y49" s="13"/>
      <c r="Z49" s="13"/>
      <c r="AA49" s="13"/>
      <c r="AB49" s="13"/>
      <c r="AC49" s="13"/>
      <c r="AD49" s="13"/>
      <c r="AE49" s="13"/>
    </row>
    <row r="50" ht="15.75" customHeight="1">
      <c r="A50" s="69">
        <v>20401.0</v>
      </c>
      <c r="B50" s="70" t="s">
        <v>67</v>
      </c>
      <c r="C50" s="69" t="s">
        <v>48</v>
      </c>
      <c r="D50" s="71">
        <v>12197.0</v>
      </c>
      <c r="E50" s="71">
        <v>438529.0002327915</v>
      </c>
      <c r="F50" s="72">
        <f t="shared" si="2"/>
        <v>35.95384113</v>
      </c>
      <c r="G50" s="71">
        <v>14012.0</v>
      </c>
      <c r="H50" s="71">
        <v>496802.00009155273</v>
      </c>
      <c r="I50" s="72">
        <f t="shared" si="3"/>
        <v>35.45546675</v>
      </c>
      <c r="J50" s="73"/>
      <c r="K50" s="50"/>
      <c r="L50" s="56"/>
      <c r="M50" s="13"/>
      <c r="N50" s="13"/>
      <c r="O50" s="13"/>
      <c r="P50" s="13"/>
      <c r="Q50" s="13"/>
      <c r="R50" s="13"/>
      <c r="S50" s="13"/>
      <c r="T50" s="68"/>
      <c r="U50" s="68"/>
      <c r="V50" s="13"/>
      <c r="W50" s="13"/>
      <c r="X50" s="13"/>
      <c r="Y50" s="13"/>
      <c r="Z50" s="13"/>
      <c r="AA50" s="13"/>
      <c r="AB50" s="13"/>
      <c r="AC50" s="13"/>
      <c r="AD50" s="13"/>
      <c r="AE50" s="13"/>
    </row>
    <row r="51" ht="15.75" customHeight="1">
      <c r="A51" s="69">
        <v>20402.0</v>
      </c>
      <c r="B51" s="70" t="s">
        <v>68</v>
      </c>
      <c r="C51" s="69" t="s">
        <v>48</v>
      </c>
      <c r="D51" s="71">
        <v>16380.0</v>
      </c>
      <c r="E51" s="71">
        <v>439120.0003388785</v>
      </c>
      <c r="F51" s="72">
        <f t="shared" si="2"/>
        <v>26.80830283</v>
      </c>
      <c r="G51" s="71">
        <v>17811.0</v>
      </c>
      <c r="H51" s="71">
        <v>387883.00008392334</v>
      </c>
      <c r="I51" s="72">
        <f t="shared" si="3"/>
        <v>21.77772164</v>
      </c>
      <c r="J51" s="73"/>
      <c r="K51" s="50"/>
      <c r="L51" s="56"/>
      <c r="M51" s="13"/>
      <c r="N51" s="13"/>
      <c r="O51" s="13"/>
      <c r="P51" s="13"/>
      <c r="Q51" s="13"/>
      <c r="R51" s="13"/>
      <c r="S51" s="13"/>
      <c r="T51" s="68"/>
      <c r="U51" s="68"/>
      <c r="V51" s="13"/>
      <c r="W51" s="13"/>
      <c r="X51" s="13"/>
      <c r="Y51" s="13"/>
      <c r="Z51" s="13"/>
      <c r="AA51" s="13"/>
      <c r="AB51" s="13"/>
      <c r="AC51" s="13"/>
      <c r="AD51" s="13"/>
      <c r="AE51" s="13"/>
    </row>
    <row r="52" ht="15.75" customHeight="1">
      <c r="A52" s="69">
        <v>20403.0</v>
      </c>
      <c r="B52" s="70" t="s">
        <v>69</v>
      </c>
      <c r="C52" s="69" t="s">
        <v>48</v>
      </c>
      <c r="D52" s="71">
        <v>15505.0</v>
      </c>
      <c r="E52" s="71">
        <v>628261.0008863872</v>
      </c>
      <c r="F52" s="72">
        <f t="shared" si="2"/>
        <v>40.51989686</v>
      </c>
      <c r="G52" s="71">
        <v>17336.0</v>
      </c>
      <c r="H52" s="71">
        <v>673681.0002365112</v>
      </c>
      <c r="I52" s="72">
        <f t="shared" si="3"/>
        <v>38.86023305</v>
      </c>
      <c r="J52" s="73"/>
      <c r="K52" s="50"/>
      <c r="L52" s="56"/>
      <c r="M52" s="13"/>
      <c r="N52" s="13"/>
      <c r="O52" s="13"/>
      <c r="P52" s="13"/>
      <c r="Q52" s="13"/>
      <c r="R52" s="13"/>
      <c r="S52" s="13"/>
      <c r="T52" s="68"/>
      <c r="U52" s="68"/>
      <c r="V52" s="13"/>
      <c r="W52" s="13"/>
      <c r="X52" s="13"/>
      <c r="Y52" s="13"/>
      <c r="Z52" s="13"/>
      <c r="AA52" s="13"/>
      <c r="AB52" s="13"/>
      <c r="AC52" s="13"/>
      <c r="AD52" s="13"/>
      <c r="AE52" s="13"/>
    </row>
    <row r="53" ht="15.75" customHeight="1">
      <c r="A53" s="69">
        <v>20404.0</v>
      </c>
      <c r="B53" s="70" t="s">
        <v>70</v>
      </c>
      <c r="C53" s="69" t="s">
        <v>48</v>
      </c>
      <c r="D53" s="71">
        <v>5447.0</v>
      </c>
      <c r="E53" s="71">
        <v>149952.00008942094</v>
      </c>
      <c r="F53" s="72">
        <f t="shared" si="2"/>
        <v>27.52928219</v>
      </c>
      <c r="G53" s="71">
        <v>5658.0</v>
      </c>
      <c r="H53" s="71">
        <v>138693.0000076294</v>
      </c>
      <c r="I53" s="72">
        <f t="shared" si="3"/>
        <v>24.51272535</v>
      </c>
      <c r="J53" s="73"/>
      <c r="K53" s="50"/>
      <c r="L53" s="56"/>
      <c r="M53" s="13"/>
      <c r="N53" s="13"/>
      <c r="O53" s="13"/>
      <c r="P53" s="13"/>
      <c r="Q53" s="13"/>
      <c r="R53" s="13"/>
      <c r="S53" s="13"/>
      <c r="T53" s="68"/>
      <c r="U53" s="68"/>
      <c r="V53" s="13"/>
      <c r="W53" s="13"/>
      <c r="X53" s="13"/>
      <c r="Y53" s="13"/>
      <c r="Z53" s="13"/>
      <c r="AA53" s="13"/>
      <c r="AB53" s="13"/>
      <c r="AC53" s="13"/>
      <c r="AD53" s="13"/>
      <c r="AE53" s="13"/>
    </row>
    <row r="54" ht="15.75" customHeight="1">
      <c r="A54" s="69">
        <v>20405.0</v>
      </c>
      <c r="B54" s="70" t="s">
        <v>71</v>
      </c>
      <c r="C54" s="69" t="s">
        <v>48</v>
      </c>
      <c r="D54" s="71">
        <v>7736.0</v>
      </c>
      <c r="E54" s="71">
        <v>295706.0001887791</v>
      </c>
      <c r="F54" s="72">
        <f t="shared" si="2"/>
        <v>38.22466393</v>
      </c>
      <c r="G54" s="71">
        <v>8837.0</v>
      </c>
      <c r="H54" s="71">
        <v>411464.9999008179</v>
      </c>
      <c r="I54" s="72">
        <f t="shared" si="3"/>
        <v>46.56161592</v>
      </c>
      <c r="J54" s="73"/>
      <c r="K54" s="50"/>
      <c r="L54" s="56"/>
      <c r="M54" s="13"/>
      <c r="N54" s="13"/>
      <c r="O54" s="13"/>
      <c r="P54" s="13"/>
      <c r="Q54" s="13"/>
      <c r="R54" s="13"/>
      <c r="S54" s="13"/>
      <c r="T54" s="68"/>
      <c r="U54" s="68"/>
      <c r="V54" s="13"/>
      <c r="W54" s="13"/>
      <c r="X54" s="13"/>
      <c r="Y54" s="13"/>
      <c r="Z54" s="13"/>
      <c r="AA54" s="13"/>
      <c r="AB54" s="13"/>
      <c r="AC54" s="13"/>
      <c r="AD54" s="13"/>
      <c r="AE54" s="13"/>
    </row>
    <row r="55" ht="15.75" customHeight="1">
      <c r="A55" s="69">
        <v>20501.0</v>
      </c>
      <c r="B55" s="70" t="s">
        <v>72</v>
      </c>
      <c r="C55" s="69" t="s">
        <v>48</v>
      </c>
      <c r="D55" s="71">
        <v>13592.0</v>
      </c>
      <c r="E55" s="71">
        <v>434830.0001381757</v>
      </c>
      <c r="F55" s="72">
        <f t="shared" si="2"/>
        <v>31.99161272</v>
      </c>
      <c r="G55" s="71">
        <v>17830.0</v>
      </c>
      <c r="H55" s="71">
        <v>541776.9999923706</v>
      </c>
      <c r="I55" s="72">
        <f t="shared" si="3"/>
        <v>30.38569826</v>
      </c>
      <c r="J55" s="73"/>
      <c r="K55" s="50"/>
      <c r="L55" s="56"/>
      <c r="M55" s="13"/>
      <c r="N55" s="13"/>
      <c r="O55" s="13"/>
      <c r="P55" s="13"/>
      <c r="Q55" s="13"/>
      <c r="R55" s="13"/>
      <c r="S55" s="13"/>
      <c r="T55" s="68"/>
      <c r="U55" s="68"/>
      <c r="V55" s="13"/>
      <c r="W55" s="13"/>
      <c r="X55" s="13"/>
      <c r="Y55" s="13"/>
      <c r="Z55" s="13"/>
      <c r="AA55" s="13"/>
      <c r="AB55" s="13"/>
      <c r="AC55" s="13"/>
      <c r="AD55" s="13"/>
      <c r="AE55" s="13"/>
    </row>
    <row r="56" ht="15.75" customHeight="1">
      <c r="A56" s="69">
        <v>20502.0</v>
      </c>
      <c r="B56" s="70" t="s">
        <v>73</v>
      </c>
      <c r="C56" s="69" t="s">
        <v>48</v>
      </c>
      <c r="D56" s="71">
        <v>8616.0</v>
      </c>
      <c r="E56" s="71">
        <v>280883.9999154266</v>
      </c>
      <c r="F56" s="72">
        <f t="shared" si="2"/>
        <v>32.60027854</v>
      </c>
      <c r="G56" s="71">
        <v>9029.0</v>
      </c>
      <c r="H56" s="71">
        <v>267015.0</v>
      </c>
      <c r="I56" s="72">
        <f t="shared" si="3"/>
        <v>29.57304242</v>
      </c>
      <c r="J56" s="73"/>
      <c r="K56" s="50"/>
      <c r="L56" s="56"/>
      <c r="M56" s="13"/>
      <c r="N56" s="13"/>
      <c r="O56" s="13"/>
      <c r="P56" s="13"/>
      <c r="Q56" s="13"/>
      <c r="R56" s="13"/>
      <c r="S56" s="13"/>
      <c r="T56" s="68"/>
      <c r="U56" s="68"/>
      <c r="V56" s="13"/>
      <c r="W56" s="13"/>
      <c r="X56" s="13"/>
      <c r="Y56" s="13"/>
      <c r="Z56" s="13"/>
      <c r="AA56" s="13"/>
      <c r="AB56" s="13"/>
      <c r="AC56" s="13"/>
      <c r="AD56" s="13"/>
      <c r="AE56" s="13"/>
    </row>
    <row r="57" ht="15.75" customHeight="1">
      <c r="A57" s="69">
        <v>20503.0</v>
      </c>
      <c r="B57" s="70" t="s">
        <v>74</v>
      </c>
      <c r="C57" s="69" t="s">
        <v>48</v>
      </c>
      <c r="D57" s="71">
        <v>5904.0</v>
      </c>
      <c r="E57" s="71">
        <v>235743.00011892244</v>
      </c>
      <c r="F57" s="72">
        <f t="shared" si="2"/>
        <v>39.92936994</v>
      </c>
      <c r="G57" s="71">
        <v>6721.0</v>
      </c>
      <c r="H57" s="71">
        <v>657724.9963226318</v>
      </c>
      <c r="I57" s="72">
        <f t="shared" si="3"/>
        <v>97.86118082</v>
      </c>
      <c r="J57" s="73"/>
      <c r="K57" s="50"/>
      <c r="L57" s="56"/>
      <c r="M57" s="13"/>
      <c r="N57" s="13"/>
      <c r="O57" s="13"/>
      <c r="P57" s="13"/>
      <c r="Q57" s="13"/>
      <c r="R57" s="13"/>
      <c r="S57" s="13"/>
      <c r="T57" s="68"/>
      <c r="U57" s="68"/>
      <c r="V57" s="13"/>
      <c r="W57" s="13"/>
      <c r="X57" s="13"/>
      <c r="Y57" s="13"/>
      <c r="Z57" s="13"/>
      <c r="AA57" s="13"/>
      <c r="AB57" s="13"/>
      <c r="AC57" s="13"/>
      <c r="AD57" s="13"/>
      <c r="AE57" s="13"/>
    </row>
    <row r="58" ht="15.75" customHeight="1">
      <c r="A58" s="69">
        <v>20601.0</v>
      </c>
      <c r="B58" s="70" t="s">
        <v>75</v>
      </c>
      <c r="C58" s="69" t="s">
        <v>48</v>
      </c>
      <c r="D58" s="71">
        <v>25702.0</v>
      </c>
      <c r="E58" s="71">
        <v>1826242.0011776965</v>
      </c>
      <c r="F58" s="72">
        <f t="shared" si="2"/>
        <v>71.05447052</v>
      </c>
      <c r="G58" s="71">
        <v>30083.0</v>
      </c>
      <c r="H58" s="71">
        <v>2985638.9999694824</v>
      </c>
      <c r="I58" s="72">
        <f t="shared" si="3"/>
        <v>99.24671741</v>
      </c>
      <c r="J58" s="73"/>
      <c r="K58" s="50"/>
      <c r="L58" s="56"/>
      <c r="M58" s="13"/>
      <c r="N58" s="13"/>
      <c r="O58" s="13"/>
      <c r="P58" s="13"/>
      <c r="Q58" s="13"/>
      <c r="R58" s="13"/>
      <c r="S58" s="13"/>
      <c r="T58" s="68"/>
      <c r="U58" s="68"/>
      <c r="V58" s="13"/>
      <c r="W58" s="13"/>
      <c r="X58" s="13"/>
      <c r="Y58" s="13"/>
      <c r="Z58" s="13"/>
      <c r="AA58" s="13"/>
      <c r="AB58" s="13"/>
      <c r="AC58" s="13"/>
      <c r="AD58" s="13"/>
      <c r="AE58" s="13"/>
    </row>
    <row r="59" ht="15.75" customHeight="1">
      <c r="A59" s="69">
        <v>20602.0</v>
      </c>
      <c r="B59" s="70" t="s">
        <v>76</v>
      </c>
      <c r="C59" s="69" t="s">
        <v>48</v>
      </c>
      <c r="D59" s="71">
        <v>15321.0</v>
      </c>
      <c r="E59" s="71">
        <v>2661360.9978773417</v>
      </c>
      <c r="F59" s="72">
        <f t="shared" si="2"/>
        <v>173.7067422</v>
      </c>
      <c r="G59" s="71">
        <v>16386.0</v>
      </c>
      <c r="H59" s="71">
        <v>5694304.999099731</v>
      </c>
      <c r="I59" s="72">
        <f t="shared" si="3"/>
        <v>347.5103747</v>
      </c>
      <c r="J59" s="73"/>
      <c r="K59" s="50"/>
      <c r="L59" s="56"/>
      <c r="M59" s="13"/>
      <c r="N59" s="13"/>
      <c r="O59" s="13"/>
      <c r="P59" s="13"/>
      <c r="Q59" s="13"/>
      <c r="R59" s="13"/>
      <c r="S59" s="13"/>
      <c r="T59" s="68"/>
      <c r="U59" s="68"/>
      <c r="V59" s="13"/>
      <c r="W59" s="13"/>
      <c r="X59" s="13"/>
      <c r="Y59" s="13"/>
      <c r="Z59" s="13"/>
      <c r="AA59" s="13"/>
      <c r="AB59" s="13"/>
      <c r="AC59" s="13"/>
      <c r="AD59" s="13"/>
      <c r="AE59" s="13"/>
    </row>
    <row r="60" ht="15.75" customHeight="1">
      <c r="A60" s="69">
        <v>20603.0</v>
      </c>
      <c r="B60" s="70" t="s">
        <v>77</v>
      </c>
      <c r="C60" s="69" t="s">
        <v>48</v>
      </c>
      <c r="D60" s="71">
        <v>8708.0</v>
      </c>
      <c r="E60" s="71">
        <v>692744.0015957942</v>
      </c>
      <c r="F60" s="72">
        <f t="shared" si="2"/>
        <v>79.5525955</v>
      </c>
      <c r="G60" s="71">
        <v>9761.0</v>
      </c>
      <c r="H60" s="71">
        <v>1116845.0003814697</v>
      </c>
      <c r="I60" s="72">
        <f t="shared" si="3"/>
        <v>114.4191169</v>
      </c>
      <c r="J60" s="73"/>
      <c r="K60" s="50"/>
      <c r="L60" s="56"/>
      <c r="M60" s="13"/>
      <c r="N60" s="13"/>
      <c r="O60" s="13"/>
      <c r="P60" s="13"/>
      <c r="Q60" s="13"/>
      <c r="R60" s="13"/>
      <c r="S60" s="13"/>
      <c r="T60" s="68"/>
      <c r="U60" s="68"/>
      <c r="V60" s="13"/>
      <c r="W60" s="13"/>
      <c r="X60" s="13"/>
      <c r="Y60" s="13"/>
      <c r="Z60" s="13"/>
      <c r="AA60" s="13"/>
      <c r="AB60" s="13"/>
      <c r="AC60" s="13"/>
      <c r="AD60" s="13"/>
      <c r="AE60" s="13"/>
    </row>
    <row r="61" ht="15.75" customHeight="1">
      <c r="A61" s="69">
        <v>20604.0</v>
      </c>
      <c r="B61" s="70" t="s">
        <v>78</v>
      </c>
      <c r="C61" s="69" t="s">
        <v>48</v>
      </c>
      <c r="D61" s="71">
        <v>3197.0</v>
      </c>
      <c r="E61" s="71">
        <v>168873.99971847702</v>
      </c>
      <c r="F61" s="72">
        <f t="shared" si="2"/>
        <v>52.82264614</v>
      </c>
      <c r="G61" s="71">
        <v>4224.0</v>
      </c>
      <c r="H61" s="71">
        <v>226132.99994659424</v>
      </c>
      <c r="I61" s="72">
        <f t="shared" si="3"/>
        <v>53.53527461</v>
      </c>
      <c r="J61" s="73"/>
      <c r="K61" s="50"/>
      <c r="L61" s="56"/>
      <c r="M61" s="13"/>
      <c r="N61" s="13"/>
      <c r="O61" s="13"/>
      <c r="P61" s="13"/>
      <c r="Q61" s="13"/>
      <c r="R61" s="13"/>
      <c r="S61" s="13"/>
      <c r="T61" s="68"/>
      <c r="U61" s="68"/>
      <c r="V61" s="13"/>
      <c r="W61" s="13"/>
      <c r="X61" s="13"/>
      <c r="Y61" s="13"/>
      <c r="Z61" s="13"/>
      <c r="AA61" s="13"/>
      <c r="AB61" s="13"/>
      <c r="AC61" s="13"/>
      <c r="AD61" s="13"/>
      <c r="AE61" s="13"/>
    </row>
    <row r="62" ht="15.75" customHeight="1">
      <c r="A62" s="69">
        <v>20605.0</v>
      </c>
      <c r="B62" s="70" t="s">
        <v>79</v>
      </c>
      <c r="C62" s="69" t="s">
        <v>48</v>
      </c>
      <c r="D62" s="71">
        <v>3664.0</v>
      </c>
      <c r="E62" s="71">
        <v>104777.99965818971</v>
      </c>
      <c r="F62" s="72">
        <f t="shared" si="2"/>
        <v>28.59661563</v>
      </c>
      <c r="G62" s="71">
        <v>3529.0</v>
      </c>
      <c r="H62" s="71">
        <v>90994.0000076294</v>
      </c>
      <c r="I62" s="72">
        <f t="shared" si="3"/>
        <v>25.78464154</v>
      </c>
      <c r="J62" s="73"/>
      <c r="K62" s="50"/>
      <c r="L62" s="56"/>
      <c r="M62" s="13"/>
      <c r="N62" s="13"/>
      <c r="O62" s="13"/>
      <c r="P62" s="13"/>
      <c r="Q62" s="13"/>
      <c r="R62" s="13"/>
      <c r="S62" s="13"/>
      <c r="T62" s="68"/>
      <c r="U62" s="68"/>
      <c r="V62" s="13"/>
      <c r="W62" s="13"/>
      <c r="X62" s="13"/>
      <c r="Y62" s="13"/>
      <c r="Z62" s="13"/>
      <c r="AA62" s="13"/>
      <c r="AB62" s="13"/>
      <c r="AC62" s="13"/>
      <c r="AD62" s="13"/>
      <c r="AE62" s="13"/>
    </row>
    <row r="63" ht="15.75" customHeight="1">
      <c r="A63" s="69">
        <v>20606.0</v>
      </c>
      <c r="B63" s="70" t="s">
        <v>80</v>
      </c>
      <c r="C63" s="69" t="s">
        <v>48</v>
      </c>
      <c r="D63" s="71">
        <v>9229.0</v>
      </c>
      <c r="E63" s="71">
        <v>1456717.0011001406</v>
      </c>
      <c r="F63" s="72">
        <f t="shared" si="2"/>
        <v>157.8412614</v>
      </c>
      <c r="G63" s="71">
        <v>7716.0</v>
      </c>
      <c r="H63" s="71">
        <v>2618249.000152588</v>
      </c>
      <c r="I63" s="72">
        <f t="shared" si="3"/>
        <v>339.3272421</v>
      </c>
      <c r="J63" s="73"/>
      <c r="K63" s="50"/>
      <c r="L63" s="56"/>
      <c r="M63" s="13"/>
      <c r="N63" s="13"/>
      <c r="O63" s="13"/>
      <c r="P63" s="13"/>
      <c r="Q63" s="13"/>
      <c r="R63" s="13"/>
      <c r="S63" s="13"/>
      <c r="T63" s="68"/>
      <c r="U63" s="68"/>
      <c r="V63" s="13"/>
      <c r="W63" s="13"/>
      <c r="X63" s="13"/>
      <c r="Y63" s="13"/>
      <c r="Z63" s="13"/>
      <c r="AA63" s="13"/>
      <c r="AB63" s="13"/>
      <c r="AC63" s="13"/>
      <c r="AD63" s="13"/>
      <c r="AE63" s="13"/>
    </row>
    <row r="64" ht="15.75" customHeight="1">
      <c r="A64" s="69">
        <v>20607.0</v>
      </c>
      <c r="B64" s="70" t="s">
        <v>81</v>
      </c>
      <c r="C64" s="69" t="s">
        <v>48</v>
      </c>
      <c r="D64" s="71">
        <v>16542.0</v>
      </c>
      <c r="E64" s="71">
        <v>1516831.001722943</v>
      </c>
      <c r="F64" s="72">
        <f t="shared" si="2"/>
        <v>91.69574427</v>
      </c>
      <c r="G64" s="71">
        <v>21843.0</v>
      </c>
      <c r="H64" s="71">
        <v>9565757.998779297</v>
      </c>
      <c r="I64" s="72">
        <f t="shared" si="3"/>
        <v>437.9324268</v>
      </c>
      <c r="J64" s="73"/>
      <c r="K64" s="50"/>
      <c r="L64" s="56"/>
      <c r="M64" s="13"/>
      <c r="N64" s="13"/>
      <c r="O64" s="13"/>
      <c r="P64" s="13"/>
      <c r="Q64" s="13"/>
      <c r="R64" s="13"/>
      <c r="S64" s="13"/>
      <c r="T64" s="68"/>
      <c r="U64" s="68"/>
      <c r="V64" s="13"/>
      <c r="W64" s="13"/>
      <c r="X64" s="13"/>
      <c r="Y64" s="13"/>
      <c r="Z64" s="13"/>
      <c r="AA64" s="13"/>
      <c r="AB64" s="13"/>
      <c r="AC64" s="13"/>
      <c r="AD64" s="13"/>
      <c r="AE64" s="13"/>
    </row>
    <row r="65" ht="15.75" customHeight="1">
      <c r="A65" s="69">
        <v>20608.0</v>
      </c>
      <c r="B65" s="70" t="s">
        <v>82</v>
      </c>
      <c r="C65" s="69" t="s">
        <v>48</v>
      </c>
      <c r="D65" s="71">
        <v>10692.0</v>
      </c>
      <c r="E65" s="71">
        <v>1220453.9986649882</v>
      </c>
      <c r="F65" s="72">
        <f t="shared" si="2"/>
        <v>114.1464645</v>
      </c>
      <c r="G65" s="71">
        <v>13379.0</v>
      </c>
      <c r="H65" s="71">
        <v>5031421.998626709</v>
      </c>
      <c r="I65" s="72">
        <f t="shared" si="3"/>
        <v>376.0686149</v>
      </c>
      <c r="J65" s="73"/>
      <c r="K65" s="50"/>
      <c r="L65" s="56"/>
      <c r="M65" s="13"/>
      <c r="N65" s="13"/>
      <c r="O65" s="13"/>
      <c r="P65" s="13"/>
      <c r="Q65" s="13"/>
      <c r="R65" s="13"/>
      <c r="S65" s="13"/>
      <c r="T65" s="68"/>
      <c r="U65" s="68"/>
      <c r="V65" s="13"/>
      <c r="W65" s="13"/>
      <c r="X65" s="13"/>
      <c r="Y65" s="13"/>
      <c r="Z65" s="13"/>
      <c r="AA65" s="13"/>
      <c r="AB65" s="13"/>
      <c r="AC65" s="13"/>
      <c r="AD65" s="13"/>
      <c r="AE65" s="13"/>
    </row>
    <row r="66" ht="15.75" customHeight="1">
      <c r="A66" s="69">
        <v>20701.0</v>
      </c>
      <c r="B66" s="70" t="s">
        <v>83</v>
      </c>
      <c r="C66" s="69" t="s">
        <v>48</v>
      </c>
      <c r="D66" s="71">
        <v>19924.0</v>
      </c>
      <c r="E66" s="71">
        <v>1071545.0009628003</v>
      </c>
      <c r="F66" s="72">
        <f t="shared" si="2"/>
        <v>53.7816202</v>
      </c>
      <c r="G66" s="71">
        <v>19156.0</v>
      </c>
      <c r="H66" s="71">
        <v>2757229.0000686646</v>
      </c>
      <c r="I66" s="72">
        <f t="shared" si="3"/>
        <v>143.9355293</v>
      </c>
      <c r="J66" s="73"/>
      <c r="K66" s="50"/>
      <c r="L66" s="56"/>
      <c r="M66" s="13"/>
      <c r="N66" s="13"/>
      <c r="O66" s="13"/>
      <c r="P66" s="13"/>
      <c r="Q66" s="13"/>
      <c r="R66" s="13"/>
      <c r="S66" s="13"/>
      <c r="T66" s="68"/>
      <c r="U66" s="68"/>
      <c r="V66" s="13"/>
      <c r="W66" s="13"/>
      <c r="X66" s="13"/>
      <c r="Y66" s="13"/>
      <c r="Z66" s="13"/>
      <c r="AA66" s="13"/>
      <c r="AB66" s="13"/>
      <c r="AC66" s="13"/>
      <c r="AD66" s="13"/>
      <c r="AE66" s="13"/>
    </row>
    <row r="67" ht="15.75" customHeight="1">
      <c r="A67" s="69">
        <v>20702.0</v>
      </c>
      <c r="B67" s="70" t="s">
        <v>84</v>
      </c>
      <c r="C67" s="69" t="s">
        <v>48</v>
      </c>
      <c r="D67" s="71">
        <v>7540.0</v>
      </c>
      <c r="E67" s="71">
        <v>422709.99938289635</v>
      </c>
      <c r="F67" s="72">
        <f t="shared" si="2"/>
        <v>56.06233414</v>
      </c>
      <c r="G67" s="71">
        <v>9060.0</v>
      </c>
      <c r="H67" s="71">
        <v>615826.0001983643</v>
      </c>
      <c r="I67" s="72">
        <f t="shared" si="3"/>
        <v>67.9719647</v>
      </c>
      <c r="J67" s="73"/>
      <c r="K67" s="50"/>
      <c r="L67" s="56"/>
      <c r="M67" s="13"/>
      <c r="N67" s="13"/>
      <c r="O67" s="13"/>
      <c r="P67" s="13"/>
      <c r="Q67" s="13"/>
      <c r="R67" s="13"/>
      <c r="S67" s="13"/>
      <c r="T67" s="68"/>
      <c r="U67" s="68"/>
      <c r="V67" s="13"/>
      <c r="W67" s="13"/>
      <c r="X67" s="13"/>
      <c r="Y67" s="13"/>
      <c r="Z67" s="13"/>
      <c r="AA67" s="13"/>
      <c r="AB67" s="13"/>
      <c r="AC67" s="13"/>
      <c r="AD67" s="13"/>
      <c r="AE67" s="13"/>
    </row>
    <row r="68" ht="15.75" customHeight="1">
      <c r="A68" s="69">
        <v>20801.0</v>
      </c>
      <c r="B68" s="70" t="s">
        <v>85</v>
      </c>
      <c r="C68" s="69" t="s">
        <v>48</v>
      </c>
      <c r="D68" s="71">
        <v>91667.0</v>
      </c>
      <c r="E68" s="71">
        <v>1.5409294005469613E7</v>
      </c>
      <c r="F68" s="72">
        <f t="shared" si="2"/>
        <v>168.1007779</v>
      </c>
      <c r="G68" s="71">
        <v>113554.0</v>
      </c>
      <c r="H68" s="71">
        <v>2.2984970002464294E7</v>
      </c>
      <c r="I68" s="72">
        <f t="shared" si="3"/>
        <v>202.414446</v>
      </c>
      <c r="J68" s="73"/>
      <c r="K68" s="50"/>
      <c r="L68" s="56"/>
      <c r="M68" s="13"/>
      <c r="N68" s="13"/>
      <c r="O68" s="13"/>
      <c r="P68" s="13"/>
      <c r="Q68" s="13"/>
      <c r="R68" s="13"/>
      <c r="S68" s="13"/>
      <c r="T68" s="68"/>
      <c r="U68" s="68"/>
      <c r="V68" s="13"/>
      <c r="W68" s="13"/>
      <c r="X68" s="13"/>
      <c r="Y68" s="13"/>
      <c r="Z68" s="13"/>
      <c r="AA68" s="13"/>
      <c r="AB68" s="13"/>
      <c r="AC68" s="13"/>
      <c r="AD68" s="13"/>
      <c r="AE68" s="13"/>
    </row>
    <row r="69" ht="15.75" customHeight="1">
      <c r="A69" s="69">
        <v>20802.0</v>
      </c>
      <c r="B69" s="70" t="s">
        <v>86</v>
      </c>
      <c r="C69" s="69" t="s">
        <v>48</v>
      </c>
      <c r="D69" s="71">
        <v>7716.0</v>
      </c>
      <c r="E69" s="71">
        <v>578625.001391354</v>
      </c>
      <c r="F69" s="72">
        <f t="shared" si="2"/>
        <v>74.99028012</v>
      </c>
      <c r="G69" s="71">
        <v>8592.0</v>
      </c>
      <c r="H69" s="71">
        <v>661035.9998855591</v>
      </c>
      <c r="I69" s="72">
        <f t="shared" si="3"/>
        <v>76.93621973</v>
      </c>
      <c r="J69" s="73"/>
      <c r="K69" s="50"/>
      <c r="L69" s="56"/>
      <c r="M69" s="13"/>
      <c r="N69" s="13"/>
      <c r="O69" s="13"/>
      <c r="P69" s="13"/>
      <c r="Q69" s="13"/>
      <c r="R69" s="13"/>
      <c r="S69" s="13"/>
      <c r="T69" s="68"/>
      <c r="U69" s="68"/>
      <c r="V69" s="13"/>
      <c r="W69" s="13"/>
      <c r="X69" s="13"/>
      <c r="Y69" s="13"/>
      <c r="Z69" s="13"/>
      <c r="AA69" s="13"/>
      <c r="AB69" s="13"/>
      <c r="AC69" s="13"/>
      <c r="AD69" s="13"/>
      <c r="AE69" s="13"/>
    </row>
    <row r="70" ht="15.75" customHeight="1">
      <c r="A70" s="69">
        <v>20803.0</v>
      </c>
      <c r="B70" s="70" t="s">
        <v>87</v>
      </c>
      <c r="C70" s="69" t="s">
        <v>48</v>
      </c>
      <c r="D70" s="71">
        <v>12675.0</v>
      </c>
      <c r="E70" s="71">
        <v>646290.0003924118</v>
      </c>
      <c r="F70" s="72">
        <f t="shared" si="2"/>
        <v>50.98934914</v>
      </c>
      <c r="G70" s="71">
        <v>13648.0</v>
      </c>
      <c r="H70" s="71">
        <v>833757.9997787476</v>
      </c>
      <c r="I70" s="72">
        <f t="shared" si="3"/>
        <v>61.09012308</v>
      </c>
      <c r="J70" s="73"/>
      <c r="K70" s="50"/>
      <c r="L70" s="56"/>
      <c r="M70" s="13"/>
      <c r="N70" s="13"/>
      <c r="O70" s="13"/>
      <c r="P70" s="13"/>
      <c r="Q70" s="13"/>
      <c r="R70" s="13"/>
      <c r="S70" s="13"/>
      <c r="T70" s="68"/>
      <c r="U70" s="68"/>
      <c r="V70" s="13"/>
      <c r="W70" s="13"/>
      <c r="X70" s="13"/>
      <c r="Y70" s="13"/>
      <c r="Z70" s="13"/>
      <c r="AA70" s="13"/>
      <c r="AB70" s="13"/>
      <c r="AC70" s="13"/>
      <c r="AD70" s="13"/>
      <c r="AE70" s="13"/>
    </row>
    <row r="71" ht="15.75" customHeight="1">
      <c r="A71" s="69">
        <v>20804.0</v>
      </c>
      <c r="B71" s="70" t="s">
        <v>88</v>
      </c>
      <c r="C71" s="69" t="s">
        <v>48</v>
      </c>
      <c r="D71" s="71">
        <v>7290.0</v>
      </c>
      <c r="E71" s="71">
        <v>834517.0008714478</v>
      </c>
      <c r="F71" s="72">
        <f t="shared" si="2"/>
        <v>114.4742114</v>
      </c>
      <c r="G71" s="71">
        <v>7897.0</v>
      </c>
      <c r="H71" s="71">
        <v>1075695.0004119873</v>
      </c>
      <c r="I71" s="72">
        <f t="shared" si="3"/>
        <v>136.2156516</v>
      </c>
      <c r="J71" s="73"/>
      <c r="K71" s="50"/>
      <c r="L71" s="56"/>
      <c r="M71" s="13"/>
      <c r="N71" s="13"/>
      <c r="O71" s="13"/>
      <c r="P71" s="13"/>
      <c r="Q71" s="13"/>
      <c r="R71" s="13"/>
      <c r="S71" s="13"/>
      <c r="T71" s="68"/>
      <c r="U71" s="68"/>
      <c r="V71" s="13"/>
      <c r="W71" s="13"/>
      <c r="X71" s="13"/>
      <c r="Y71" s="13"/>
      <c r="Z71" s="13"/>
      <c r="AA71" s="13"/>
      <c r="AB71" s="13"/>
      <c r="AC71" s="13"/>
      <c r="AD71" s="13"/>
      <c r="AE71" s="13"/>
    </row>
    <row r="72" ht="15.75" customHeight="1">
      <c r="A72" s="69">
        <v>20805.0</v>
      </c>
      <c r="B72" s="70" t="s">
        <v>89</v>
      </c>
      <c r="C72" s="69" t="s">
        <v>48</v>
      </c>
      <c r="D72" s="71">
        <v>6742.0</v>
      </c>
      <c r="E72" s="71">
        <v>167805.9994258918</v>
      </c>
      <c r="F72" s="72">
        <f t="shared" si="2"/>
        <v>24.8896469</v>
      </c>
      <c r="G72" s="71">
        <v>7936.0</v>
      </c>
      <c r="H72" s="71">
        <v>0.0</v>
      </c>
      <c r="I72" s="72">
        <f t="shared" si="3"/>
        <v>0</v>
      </c>
      <c r="J72" s="73"/>
      <c r="K72" s="50"/>
      <c r="L72" s="56"/>
      <c r="M72" s="13"/>
      <c r="N72" s="13"/>
      <c r="O72" s="13"/>
      <c r="P72" s="13"/>
      <c r="Q72" s="13"/>
      <c r="R72" s="13"/>
      <c r="S72" s="13"/>
      <c r="T72" s="68"/>
      <c r="U72" s="68"/>
      <c r="V72" s="13"/>
      <c r="W72" s="13"/>
      <c r="X72" s="13"/>
      <c r="Y72" s="13"/>
      <c r="Z72" s="13"/>
      <c r="AA72" s="13"/>
      <c r="AB72" s="13"/>
      <c r="AC72" s="13"/>
      <c r="AD72" s="13"/>
      <c r="AE72" s="13"/>
    </row>
    <row r="73" ht="15.75" customHeight="1">
      <c r="A73" s="69">
        <v>20806.0</v>
      </c>
      <c r="B73" s="70" t="s">
        <v>90</v>
      </c>
      <c r="C73" s="69" t="s">
        <v>48</v>
      </c>
      <c r="D73" s="71">
        <v>15698.0</v>
      </c>
      <c r="E73" s="71">
        <v>401394.0003096685</v>
      </c>
      <c r="F73" s="72">
        <f t="shared" si="2"/>
        <v>25.56975413</v>
      </c>
      <c r="G73" s="71">
        <v>17016.0</v>
      </c>
      <c r="H73" s="71">
        <v>0.0</v>
      </c>
      <c r="I73" s="72">
        <f t="shared" si="3"/>
        <v>0</v>
      </c>
      <c r="J73" s="73"/>
      <c r="K73" s="50"/>
      <c r="L73" s="56"/>
      <c r="M73" s="13"/>
      <c r="N73" s="13"/>
      <c r="O73" s="13"/>
      <c r="P73" s="13"/>
      <c r="Q73" s="13"/>
      <c r="R73" s="13"/>
      <c r="S73" s="13"/>
      <c r="T73" s="68"/>
      <c r="U73" s="68"/>
      <c r="V73" s="13"/>
      <c r="W73" s="13"/>
      <c r="X73" s="13"/>
      <c r="Y73" s="13"/>
      <c r="Z73" s="13"/>
      <c r="AA73" s="13"/>
      <c r="AB73" s="13"/>
      <c r="AC73" s="13"/>
      <c r="AD73" s="13"/>
      <c r="AE73" s="13"/>
    </row>
    <row r="74" ht="15.75" customHeight="1">
      <c r="A74" s="69">
        <v>20807.0</v>
      </c>
      <c r="B74" s="70" t="s">
        <v>91</v>
      </c>
      <c r="C74" s="69" t="s">
        <v>48</v>
      </c>
      <c r="D74" s="71">
        <v>6915.0</v>
      </c>
      <c r="E74" s="71">
        <v>252396.00021193922</v>
      </c>
      <c r="F74" s="72">
        <f t="shared" si="2"/>
        <v>36.49978311</v>
      </c>
      <c r="G74" s="71">
        <v>7540.0</v>
      </c>
      <c r="H74" s="71">
        <v>280576.0000076294</v>
      </c>
      <c r="I74" s="72">
        <f t="shared" si="3"/>
        <v>37.21167109</v>
      </c>
      <c r="J74" s="73"/>
      <c r="K74" s="50"/>
      <c r="L74" s="56"/>
      <c r="M74" s="13"/>
      <c r="N74" s="13"/>
      <c r="O74" s="13"/>
      <c r="P74" s="13"/>
      <c r="Q74" s="13"/>
      <c r="R74" s="13"/>
      <c r="S74" s="13"/>
      <c r="T74" s="68"/>
      <c r="U74" s="68"/>
      <c r="V74" s="13"/>
      <c r="W74" s="13"/>
      <c r="X74" s="13"/>
      <c r="Y74" s="13"/>
      <c r="Z74" s="13"/>
      <c r="AA74" s="13"/>
      <c r="AB74" s="13"/>
      <c r="AC74" s="13"/>
      <c r="AD74" s="13"/>
      <c r="AE74" s="13"/>
    </row>
    <row r="75" ht="15.75" customHeight="1">
      <c r="A75" s="69">
        <v>20901.0</v>
      </c>
      <c r="B75" s="70" t="s">
        <v>92</v>
      </c>
      <c r="C75" s="69" t="s">
        <v>48</v>
      </c>
      <c r="D75" s="71">
        <v>10994.0</v>
      </c>
      <c r="E75" s="71">
        <v>648981.0003759926</v>
      </c>
      <c r="F75" s="72">
        <f t="shared" si="2"/>
        <v>59.0304712</v>
      </c>
      <c r="G75" s="71">
        <v>10703.0</v>
      </c>
      <c r="H75" s="71">
        <v>903516.9998550415</v>
      </c>
      <c r="I75" s="72">
        <f t="shared" si="3"/>
        <v>84.41717274</v>
      </c>
      <c r="J75" s="73"/>
      <c r="K75" s="50"/>
      <c r="L75" s="56"/>
      <c r="M75" s="13"/>
      <c r="N75" s="13"/>
      <c r="O75" s="13"/>
      <c r="P75" s="13"/>
      <c r="Q75" s="13"/>
      <c r="R75" s="13"/>
      <c r="S75" s="13"/>
      <c r="T75" s="68"/>
      <c r="U75" s="68"/>
      <c r="V75" s="13"/>
      <c r="W75" s="13"/>
      <c r="X75" s="13"/>
      <c r="Y75" s="13"/>
      <c r="Z75" s="13"/>
      <c r="AA75" s="13"/>
      <c r="AB75" s="13"/>
      <c r="AC75" s="13"/>
      <c r="AD75" s="13"/>
      <c r="AE75" s="13"/>
    </row>
    <row r="76" ht="15.75" customHeight="1">
      <c r="A76" s="69">
        <v>20902.0</v>
      </c>
      <c r="B76" s="70" t="s">
        <v>93</v>
      </c>
      <c r="C76" s="69" t="s">
        <v>48</v>
      </c>
      <c r="D76" s="71">
        <v>13822.0</v>
      </c>
      <c r="E76" s="71">
        <v>804514.0000176085</v>
      </c>
      <c r="F76" s="72">
        <f t="shared" si="2"/>
        <v>58.20532485</v>
      </c>
      <c r="G76" s="71">
        <v>16497.0</v>
      </c>
      <c r="H76" s="71">
        <v>1008846.000038147</v>
      </c>
      <c r="I76" s="72">
        <f t="shared" si="3"/>
        <v>61.1533006</v>
      </c>
      <c r="J76" s="73"/>
      <c r="K76" s="50"/>
      <c r="L76" s="56"/>
      <c r="M76" s="13"/>
      <c r="N76" s="13"/>
      <c r="O76" s="13"/>
      <c r="P76" s="13"/>
      <c r="Q76" s="13"/>
      <c r="R76" s="13"/>
      <c r="S76" s="13"/>
      <c r="T76" s="68"/>
      <c r="U76" s="68"/>
      <c r="V76" s="13"/>
      <c r="W76" s="13"/>
      <c r="X76" s="13"/>
      <c r="Y76" s="13"/>
      <c r="Z76" s="13"/>
      <c r="AA76" s="13"/>
      <c r="AB76" s="13"/>
      <c r="AC76" s="13"/>
      <c r="AD76" s="13"/>
      <c r="AE76" s="13"/>
    </row>
    <row r="77" ht="15.75" customHeight="1">
      <c r="A77" s="69">
        <v>20903.0</v>
      </c>
      <c r="B77" s="70" t="s">
        <v>94</v>
      </c>
      <c r="C77" s="69" t="s">
        <v>48</v>
      </c>
      <c r="D77" s="71">
        <v>8975.0</v>
      </c>
      <c r="E77" s="71">
        <v>241683.00101705827</v>
      </c>
      <c r="F77" s="72">
        <f t="shared" si="2"/>
        <v>26.92846808</v>
      </c>
      <c r="G77" s="71">
        <v>12296.0</v>
      </c>
      <c r="H77" s="71">
        <v>234704.99992370605</v>
      </c>
      <c r="I77" s="72">
        <f t="shared" si="3"/>
        <v>19.08791476</v>
      </c>
      <c r="J77" s="73"/>
      <c r="K77" s="50"/>
      <c r="L77" s="56"/>
      <c r="M77" s="13"/>
      <c r="N77" s="13"/>
      <c r="O77" s="13"/>
      <c r="P77" s="13"/>
      <c r="Q77" s="13"/>
      <c r="R77" s="13"/>
      <c r="S77" s="13"/>
      <c r="T77" s="68"/>
      <c r="U77" s="68"/>
      <c r="V77" s="13"/>
      <c r="W77" s="13"/>
      <c r="X77" s="13"/>
      <c r="Y77" s="13"/>
      <c r="Z77" s="13"/>
      <c r="AA77" s="13"/>
      <c r="AB77" s="13"/>
      <c r="AC77" s="13"/>
      <c r="AD77" s="13"/>
      <c r="AE77" s="13"/>
    </row>
    <row r="78" ht="15.75" customHeight="1">
      <c r="A78" s="69">
        <v>20904.0</v>
      </c>
      <c r="B78" s="70" t="s">
        <v>95</v>
      </c>
      <c r="C78" s="69" t="s">
        <v>48</v>
      </c>
      <c r="D78" s="71">
        <v>5219.0</v>
      </c>
      <c r="E78" s="71">
        <v>58290.99995852914</v>
      </c>
      <c r="F78" s="72">
        <f t="shared" si="2"/>
        <v>11.16899788</v>
      </c>
      <c r="G78" s="71">
        <v>5297.0</v>
      </c>
      <c r="H78" s="71">
        <v>76229.00003814697</v>
      </c>
      <c r="I78" s="72">
        <f t="shared" si="3"/>
        <v>14.39097603</v>
      </c>
      <c r="J78" s="73"/>
      <c r="K78" s="50"/>
      <c r="L78" s="56"/>
      <c r="M78" s="13"/>
      <c r="N78" s="13"/>
      <c r="O78" s="13"/>
      <c r="P78" s="13"/>
      <c r="Q78" s="13"/>
      <c r="R78" s="13"/>
      <c r="S78" s="13"/>
      <c r="T78" s="68"/>
      <c r="U78" s="68"/>
      <c r="V78" s="13"/>
      <c r="W78" s="13"/>
      <c r="X78" s="13"/>
      <c r="Y78" s="13"/>
      <c r="Z78" s="13"/>
      <c r="AA78" s="13"/>
      <c r="AB78" s="13"/>
      <c r="AC78" s="13"/>
      <c r="AD78" s="13"/>
      <c r="AE78" s="13"/>
    </row>
    <row r="79" ht="15.75" customHeight="1">
      <c r="A79" s="69">
        <v>20905.0</v>
      </c>
      <c r="B79" s="70" t="s">
        <v>96</v>
      </c>
      <c r="C79" s="69" t="s">
        <v>48</v>
      </c>
      <c r="D79" s="71">
        <v>12103.0</v>
      </c>
      <c r="E79" s="71">
        <v>579867.9995934013</v>
      </c>
      <c r="F79" s="72">
        <f t="shared" si="2"/>
        <v>47.91109639</v>
      </c>
      <c r="G79" s="71">
        <v>13598.0</v>
      </c>
      <c r="H79" s="71">
        <v>839524.0002288818</v>
      </c>
      <c r="I79" s="72">
        <f t="shared" si="3"/>
        <v>61.73878513</v>
      </c>
      <c r="J79" s="73"/>
      <c r="K79" s="50"/>
      <c r="L79" s="56"/>
      <c r="M79" s="13"/>
      <c r="N79" s="13"/>
      <c r="O79" s="13"/>
      <c r="P79" s="13"/>
      <c r="Q79" s="13"/>
      <c r="R79" s="13"/>
      <c r="S79" s="13"/>
      <c r="T79" s="68"/>
      <c r="U79" s="68"/>
      <c r="V79" s="13"/>
      <c r="W79" s="13"/>
      <c r="X79" s="13"/>
      <c r="Y79" s="13"/>
      <c r="Z79" s="13"/>
      <c r="AA79" s="13"/>
      <c r="AB79" s="13"/>
      <c r="AC79" s="13"/>
      <c r="AD79" s="13"/>
      <c r="AE79" s="13"/>
    </row>
    <row r="80" ht="15.75" customHeight="1">
      <c r="A80" s="69">
        <v>21001.0</v>
      </c>
      <c r="B80" s="70" t="s">
        <v>97</v>
      </c>
      <c r="C80" s="69" t="s">
        <v>48</v>
      </c>
      <c r="D80" s="71">
        <v>16038.0</v>
      </c>
      <c r="E80" s="71">
        <v>458955.00023799017</v>
      </c>
      <c r="F80" s="72">
        <f t="shared" si="2"/>
        <v>28.6167228</v>
      </c>
      <c r="G80" s="71">
        <v>18679.0</v>
      </c>
      <c r="H80" s="71">
        <v>685609.9998779297</v>
      </c>
      <c r="I80" s="72">
        <f t="shared" si="3"/>
        <v>36.70485571</v>
      </c>
      <c r="J80" s="73"/>
      <c r="K80" s="50"/>
      <c r="L80" s="56"/>
      <c r="M80" s="13"/>
      <c r="N80" s="13"/>
      <c r="O80" s="13"/>
      <c r="P80" s="13"/>
      <c r="Q80" s="13"/>
      <c r="R80" s="13"/>
      <c r="S80" s="13"/>
      <c r="T80" s="68"/>
      <c r="U80" s="68"/>
      <c r="V80" s="13"/>
      <c r="W80" s="13"/>
      <c r="X80" s="13"/>
      <c r="Y80" s="13"/>
      <c r="Z80" s="13"/>
      <c r="AA80" s="13"/>
      <c r="AB80" s="13"/>
      <c r="AC80" s="13"/>
      <c r="AD80" s="13"/>
      <c r="AE80" s="13"/>
    </row>
    <row r="81" ht="15.75" customHeight="1">
      <c r="A81" s="69">
        <v>21002.0</v>
      </c>
      <c r="B81" s="70" t="s">
        <v>98</v>
      </c>
      <c r="C81" s="69" t="s">
        <v>48</v>
      </c>
      <c r="D81" s="71">
        <v>9140.0</v>
      </c>
      <c r="E81" s="71">
        <v>702049.0011424366</v>
      </c>
      <c r="F81" s="72">
        <f t="shared" si="2"/>
        <v>76.81061282</v>
      </c>
      <c r="G81" s="71">
        <v>10887.0</v>
      </c>
      <c r="H81" s="71">
        <v>1277700.5000534058</v>
      </c>
      <c r="I81" s="72">
        <f t="shared" si="3"/>
        <v>117.3602002</v>
      </c>
      <c r="J81" s="73"/>
      <c r="K81" s="50"/>
      <c r="L81" s="56"/>
      <c r="M81" s="13"/>
      <c r="N81" s="13"/>
      <c r="O81" s="13"/>
      <c r="P81" s="13"/>
      <c r="Q81" s="13"/>
      <c r="R81" s="13"/>
      <c r="S81" s="13"/>
      <c r="T81" s="68"/>
      <c r="U81" s="68"/>
      <c r="V81" s="13"/>
      <c r="W81" s="13"/>
      <c r="X81" s="13"/>
      <c r="Y81" s="13"/>
      <c r="Z81" s="13"/>
      <c r="AA81" s="13"/>
      <c r="AB81" s="13"/>
      <c r="AC81" s="13"/>
      <c r="AD81" s="13"/>
      <c r="AE81" s="13"/>
    </row>
    <row r="82" ht="15.75" customHeight="1">
      <c r="A82" s="69">
        <v>21003.0</v>
      </c>
      <c r="B82" s="70" t="s">
        <v>99</v>
      </c>
      <c r="C82" s="69" t="s">
        <v>48</v>
      </c>
      <c r="D82" s="71">
        <v>12160.0</v>
      </c>
      <c r="E82" s="71">
        <v>1815846.998253758</v>
      </c>
      <c r="F82" s="72">
        <f t="shared" si="2"/>
        <v>149.3295229</v>
      </c>
      <c r="G82" s="71">
        <v>15565.0</v>
      </c>
      <c r="H82" s="71">
        <v>2356197.0</v>
      </c>
      <c r="I82" s="72">
        <f t="shared" si="3"/>
        <v>151.3778991</v>
      </c>
      <c r="J82" s="73"/>
      <c r="K82" s="50"/>
      <c r="L82" s="56"/>
      <c r="M82" s="13"/>
      <c r="N82" s="13"/>
      <c r="O82" s="13"/>
      <c r="P82" s="13"/>
      <c r="Q82" s="13"/>
      <c r="R82" s="13"/>
      <c r="S82" s="13"/>
      <c r="T82" s="68"/>
      <c r="U82" s="68"/>
      <c r="V82" s="13"/>
      <c r="W82" s="13"/>
      <c r="X82" s="13"/>
      <c r="Y82" s="13"/>
      <c r="Z82" s="13"/>
      <c r="AA82" s="13"/>
      <c r="AB82" s="13"/>
      <c r="AC82" s="13"/>
      <c r="AD82" s="13"/>
      <c r="AE82" s="13"/>
    </row>
    <row r="83" ht="15.75" customHeight="1">
      <c r="A83" s="69">
        <v>21004.0</v>
      </c>
      <c r="B83" s="70" t="s">
        <v>100</v>
      </c>
      <c r="C83" s="69" t="s">
        <v>48</v>
      </c>
      <c r="D83" s="71">
        <v>20915.0</v>
      </c>
      <c r="E83" s="71">
        <v>309460.00009526126</v>
      </c>
      <c r="F83" s="72">
        <f t="shared" si="2"/>
        <v>14.79607937</v>
      </c>
      <c r="G83" s="71">
        <v>23505.0</v>
      </c>
      <c r="H83" s="71">
        <v>294485.0001144409</v>
      </c>
      <c r="I83" s="72">
        <f t="shared" si="3"/>
        <v>12.52861094</v>
      </c>
      <c r="J83" s="73"/>
      <c r="K83" s="50"/>
      <c r="L83" s="56"/>
      <c r="M83" s="13"/>
      <c r="N83" s="13"/>
      <c r="O83" s="13"/>
      <c r="P83" s="13"/>
      <c r="Q83" s="13"/>
      <c r="R83" s="13"/>
      <c r="S83" s="13"/>
      <c r="T83" s="68"/>
      <c r="U83" s="68"/>
      <c r="V83" s="13"/>
      <c r="W83" s="13"/>
      <c r="X83" s="13"/>
      <c r="Y83" s="13"/>
      <c r="Z83" s="13"/>
      <c r="AA83" s="13"/>
      <c r="AB83" s="13"/>
      <c r="AC83" s="13"/>
      <c r="AD83" s="13"/>
      <c r="AE83" s="13"/>
    </row>
    <row r="84" ht="15.75" customHeight="1">
      <c r="A84" s="69">
        <v>21005.0</v>
      </c>
      <c r="B84" s="70" t="s">
        <v>101</v>
      </c>
      <c r="C84" s="69" t="s">
        <v>48</v>
      </c>
      <c r="D84" s="71">
        <v>8459.0</v>
      </c>
      <c r="E84" s="71">
        <v>147730.00028283335</v>
      </c>
      <c r="F84" s="72">
        <f t="shared" si="2"/>
        <v>17.46423931</v>
      </c>
      <c r="G84" s="71">
        <v>9552.0</v>
      </c>
      <c r="H84" s="71">
        <v>165399.00004577637</v>
      </c>
      <c r="I84" s="72">
        <f t="shared" si="3"/>
        <v>17.31564071</v>
      </c>
      <c r="J84" s="73"/>
      <c r="K84" s="50"/>
      <c r="L84" s="56"/>
      <c r="M84" s="13"/>
      <c r="N84" s="13"/>
      <c r="O84" s="13"/>
      <c r="P84" s="13"/>
      <c r="Q84" s="13"/>
      <c r="R84" s="13"/>
      <c r="S84" s="13"/>
      <c r="T84" s="68"/>
      <c r="U84" s="68"/>
      <c r="V84" s="13"/>
      <c r="W84" s="13"/>
      <c r="X84" s="13"/>
      <c r="Y84" s="13"/>
      <c r="Z84" s="13"/>
      <c r="AA84" s="13"/>
      <c r="AB84" s="13"/>
      <c r="AC84" s="13"/>
      <c r="AD84" s="13"/>
      <c r="AE84" s="13"/>
    </row>
    <row r="85" ht="15.75" customHeight="1">
      <c r="A85" s="69">
        <v>21006.0</v>
      </c>
      <c r="B85" s="70" t="s">
        <v>102</v>
      </c>
      <c r="C85" s="69" t="s">
        <v>48</v>
      </c>
      <c r="D85" s="71">
        <v>6284.0</v>
      </c>
      <c r="E85" s="71">
        <v>215762.9998341864</v>
      </c>
      <c r="F85" s="72">
        <f t="shared" si="2"/>
        <v>34.33529596</v>
      </c>
      <c r="G85" s="71">
        <v>7877.0</v>
      </c>
      <c r="H85" s="71">
        <v>426309.0001068115</v>
      </c>
      <c r="I85" s="72">
        <f t="shared" si="3"/>
        <v>54.12073126</v>
      </c>
      <c r="J85" s="73"/>
      <c r="K85" s="50"/>
      <c r="L85" s="56"/>
      <c r="M85" s="13"/>
      <c r="N85" s="13"/>
      <c r="O85" s="13"/>
      <c r="P85" s="13"/>
      <c r="Q85" s="13"/>
      <c r="R85" s="13"/>
      <c r="S85" s="13"/>
      <c r="T85" s="68"/>
      <c r="U85" s="68"/>
      <c r="V85" s="13"/>
      <c r="W85" s="13"/>
      <c r="X85" s="13"/>
      <c r="Y85" s="13"/>
      <c r="Z85" s="13"/>
      <c r="AA85" s="13"/>
      <c r="AB85" s="13"/>
      <c r="AC85" s="13"/>
      <c r="AD85" s="13"/>
      <c r="AE85" s="13"/>
    </row>
    <row r="86" ht="15.75" customHeight="1">
      <c r="A86" s="69">
        <v>21101.0</v>
      </c>
      <c r="B86" s="70" t="s">
        <v>103</v>
      </c>
      <c r="C86" s="69" t="s">
        <v>48</v>
      </c>
      <c r="D86" s="71">
        <v>17983.0</v>
      </c>
      <c r="E86" s="71">
        <v>2795163.9999010786</v>
      </c>
      <c r="F86" s="72">
        <f t="shared" si="2"/>
        <v>155.4336874</v>
      </c>
      <c r="G86" s="71">
        <v>18303.0</v>
      </c>
      <c r="H86" s="71">
        <v>4344043.000259399</v>
      </c>
      <c r="I86" s="72">
        <f t="shared" si="3"/>
        <v>237.3404906</v>
      </c>
      <c r="J86" s="73"/>
      <c r="K86" s="50"/>
      <c r="L86" s="56"/>
      <c r="M86" s="13"/>
      <c r="N86" s="13"/>
      <c r="O86" s="13"/>
      <c r="P86" s="13"/>
      <c r="Q86" s="13"/>
      <c r="R86" s="13"/>
      <c r="S86" s="13"/>
      <c r="T86" s="68"/>
      <c r="U86" s="68"/>
      <c r="V86" s="13"/>
      <c r="W86" s="13"/>
      <c r="X86" s="13"/>
      <c r="Y86" s="13"/>
      <c r="Z86" s="13"/>
      <c r="AA86" s="13"/>
      <c r="AB86" s="13"/>
      <c r="AC86" s="13"/>
      <c r="AD86" s="13"/>
      <c r="AE86" s="13"/>
    </row>
    <row r="87" ht="15.75" customHeight="1">
      <c r="A87" s="69">
        <v>21102.0</v>
      </c>
      <c r="B87" s="70" t="s">
        <v>104</v>
      </c>
      <c r="C87" s="69" t="s">
        <v>48</v>
      </c>
      <c r="D87" s="71">
        <v>19277.0</v>
      </c>
      <c r="E87" s="71">
        <v>1962885.0002256362</v>
      </c>
      <c r="F87" s="72">
        <f t="shared" si="2"/>
        <v>101.8252322</v>
      </c>
      <c r="G87" s="71">
        <v>23279.0</v>
      </c>
      <c r="H87" s="71">
        <v>3436808.000190735</v>
      </c>
      <c r="I87" s="72">
        <f t="shared" si="3"/>
        <v>147.6355514</v>
      </c>
      <c r="J87" s="73"/>
      <c r="K87" s="50"/>
      <c r="L87" s="56"/>
      <c r="M87" s="13"/>
      <c r="N87" s="13"/>
      <c r="O87" s="13"/>
      <c r="P87" s="13"/>
      <c r="Q87" s="13"/>
      <c r="R87" s="13"/>
      <c r="S87" s="13"/>
      <c r="T87" s="68"/>
      <c r="U87" s="68"/>
      <c r="V87" s="13"/>
      <c r="W87" s="13"/>
      <c r="X87" s="13"/>
      <c r="Y87" s="13"/>
      <c r="Z87" s="13"/>
      <c r="AA87" s="13"/>
      <c r="AB87" s="13"/>
      <c r="AC87" s="13"/>
      <c r="AD87" s="13"/>
      <c r="AE87" s="13"/>
    </row>
    <row r="88" ht="15.75" customHeight="1">
      <c r="A88" s="69">
        <v>21103.0</v>
      </c>
      <c r="B88" s="70" t="s">
        <v>105</v>
      </c>
      <c r="C88" s="69" t="s">
        <v>48</v>
      </c>
      <c r="D88" s="71">
        <v>6818.0</v>
      </c>
      <c r="E88" s="71">
        <v>769276.9994540187</v>
      </c>
      <c r="F88" s="72">
        <f t="shared" si="2"/>
        <v>112.8303021</v>
      </c>
      <c r="G88" s="71">
        <v>7615.0</v>
      </c>
      <c r="H88" s="71">
        <v>1087012.0001068115</v>
      </c>
      <c r="I88" s="72">
        <f t="shared" si="3"/>
        <v>142.7461589</v>
      </c>
      <c r="J88" s="73"/>
      <c r="K88" s="50"/>
      <c r="L88" s="56"/>
      <c r="M88" s="13"/>
      <c r="N88" s="13"/>
      <c r="O88" s="13"/>
      <c r="P88" s="13"/>
      <c r="Q88" s="13"/>
      <c r="R88" s="13"/>
      <c r="S88" s="13"/>
      <c r="T88" s="68"/>
      <c r="U88" s="68"/>
      <c r="V88" s="13"/>
      <c r="W88" s="13"/>
      <c r="X88" s="13"/>
      <c r="Y88" s="13"/>
      <c r="Z88" s="13"/>
      <c r="AA88" s="13"/>
      <c r="AB88" s="13"/>
      <c r="AC88" s="13"/>
      <c r="AD88" s="13"/>
      <c r="AE88" s="13"/>
    </row>
    <row r="89" ht="15.75" customHeight="1">
      <c r="A89" s="69">
        <v>21104.0</v>
      </c>
      <c r="B89" s="70" t="s">
        <v>106</v>
      </c>
      <c r="C89" s="69" t="s">
        <v>48</v>
      </c>
      <c r="D89" s="71">
        <v>25533.0</v>
      </c>
      <c r="E89" s="71">
        <v>2627562.0000553485</v>
      </c>
      <c r="F89" s="72">
        <f t="shared" si="2"/>
        <v>102.9084714</v>
      </c>
      <c r="G89" s="71">
        <v>27137.0</v>
      </c>
      <c r="H89" s="71">
        <v>4941014.9998703</v>
      </c>
      <c r="I89" s="72">
        <f t="shared" si="3"/>
        <v>182.076685</v>
      </c>
      <c r="J89" s="73"/>
      <c r="K89" s="50"/>
      <c r="L89" s="56"/>
      <c r="M89" s="13"/>
      <c r="N89" s="13"/>
      <c r="O89" s="13"/>
      <c r="P89" s="13"/>
      <c r="Q89" s="13"/>
      <c r="R89" s="13"/>
      <c r="S89" s="13"/>
      <c r="T89" s="68"/>
      <c r="U89" s="68"/>
      <c r="V89" s="13"/>
      <c r="W89" s="13"/>
      <c r="X89" s="13"/>
      <c r="Y89" s="13"/>
      <c r="Z89" s="13"/>
      <c r="AA89" s="13"/>
      <c r="AB89" s="13"/>
      <c r="AC89" s="13"/>
      <c r="AD89" s="13"/>
      <c r="AE89" s="13"/>
    </row>
    <row r="90" ht="15.75" customHeight="1">
      <c r="A90" s="69">
        <v>21105.0</v>
      </c>
      <c r="B90" s="70" t="s">
        <v>107</v>
      </c>
      <c r="C90" s="69" t="s">
        <v>48</v>
      </c>
      <c r="D90" s="71">
        <v>41981.0</v>
      </c>
      <c r="E90" s="71">
        <v>3913222.000697688</v>
      </c>
      <c r="F90" s="72">
        <f t="shared" si="2"/>
        <v>93.21412069</v>
      </c>
      <c r="G90" s="71">
        <v>45587.0</v>
      </c>
      <c r="H90" s="71">
        <v>9305408.00099945</v>
      </c>
      <c r="I90" s="72">
        <f t="shared" si="3"/>
        <v>204.1241582</v>
      </c>
      <c r="J90" s="73"/>
      <c r="K90" s="50"/>
      <c r="L90" s="56"/>
      <c r="M90" s="13"/>
      <c r="N90" s="13"/>
      <c r="O90" s="13"/>
      <c r="P90" s="13"/>
      <c r="Q90" s="13"/>
      <c r="R90" s="13"/>
      <c r="S90" s="13"/>
      <c r="T90" s="68"/>
      <c r="U90" s="68"/>
      <c r="V90" s="13"/>
      <c r="W90" s="13"/>
      <c r="X90" s="13"/>
      <c r="Y90" s="13"/>
      <c r="Z90" s="13"/>
      <c r="AA90" s="13"/>
      <c r="AB90" s="13"/>
      <c r="AC90" s="13"/>
      <c r="AD90" s="13"/>
      <c r="AE90" s="13"/>
    </row>
    <row r="91" ht="15.75" customHeight="1">
      <c r="A91" s="69">
        <v>21201.0</v>
      </c>
      <c r="B91" s="70" t="s">
        <v>108</v>
      </c>
      <c r="C91" s="69" t="s">
        <v>48</v>
      </c>
      <c r="D91" s="71">
        <v>36699.0</v>
      </c>
      <c r="E91" s="71">
        <v>1806873.0000927849</v>
      </c>
      <c r="F91" s="72">
        <f t="shared" si="2"/>
        <v>49.23493828</v>
      </c>
      <c r="G91" s="71">
        <v>49850.0</v>
      </c>
      <c r="H91" s="71">
        <v>1.170823000012207E7</v>
      </c>
      <c r="I91" s="72">
        <f t="shared" si="3"/>
        <v>234.8692076</v>
      </c>
      <c r="J91" s="73"/>
      <c r="K91" s="50"/>
      <c r="L91" s="56"/>
      <c r="M91" s="13"/>
      <c r="N91" s="13"/>
      <c r="O91" s="13"/>
      <c r="P91" s="13"/>
      <c r="Q91" s="13"/>
      <c r="R91" s="13"/>
      <c r="S91" s="13"/>
      <c r="T91" s="68"/>
      <c r="U91" s="68"/>
      <c r="V91" s="13"/>
      <c r="W91" s="13"/>
      <c r="X91" s="13"/>
      <c r="Y91" s="13"/>
      <c r="Z91" s="13"/>
      <c r="AA91" s="13"/>
      <c r="AB91" s="13"/>
      <c r="AC91" s="13"/>
      <c r="AD91" s="13"/>
      <c r="AE91" s="13"/>
    </row>
    <row r="92" ht="15.75" customHeight="1">
      <c r="A92" s="69">
        <v>21202.0</v>
      </c>
      <c r="B92" s="70" t="s">
        <v>109</v>
      </c>
      <c r="C92" s="69" t="s">
        <v>48</v>
      </c>
      <c r="D92" s="71">
        <v>29238.0</v>
      </c>
      <c r="E92" s="71">
        <v>1685275.9989302466</v>
      </c>
      <c r="F92" s="72">
        <f t="shared" si="2"/>
        <v>57.63992061</v>
      </c>
      <c r="G92" s="71">
        <v>38652.0</v>
      </c>
      <c r="H92" s="71">
        <v>2771224.0005111694</v>
      </c>
      <c r="I92" s="72">
        <f t="shared" si="3"/>
        <v>71.69678155</v>
      </c>
      <c r="J92" s="73"/>
      <c r="K92" s="50"/>
      <c r="L92" s="56"/>
      <c r="M92" s="13"/>
      <c r="N92" s="13"/>
      <c r="O92" s="13"/>
      <c r="P92" s="13"/>
      <c r="Q92" s="13"/>
      <c r="R92" s="13"/>
      <c r="S92" s="13"/>
      <c r="T92" s="68"/>
      <c r="U92" s="68"/>
      <c r="V92" s="13"/>
      <c r="W92" s="13"/>
      <c r="X92" s="13"/>
      <c r="Y92" s="13"/>
      <c r="Z92" s="13"/>
      <c r="AA92" s="13"/>
      <c r="AB92" s="13"/>
      <c r="AC92" s="13"/>
      <c r="AD92" s="13"/>
      <c r="AE92" s="13"/>
    </row>
    <row r="93" ht="15.75" customHeight="1">
      <c r="A93" s="69">
        <v>21203.0</v>
      </c>
      <c r="B93" s="70" t="s">
        <v>110</v>
      </c>
      <c r="C93" s="69" t="s">
        <v>48</v>
      </c>
      <c r="D93" s="71">
        <v>18486.0</v>
      </c>
      <c r="E93" s="71">
        <v>1501055.001019217</v>
      </c>
      <c r="F93" s="72">
        <f t="shared" si="2"/>
        <v>81.19955648</v>
      </c>
      <c r="G93" s="71">
        <v>20607.0</v>
      </c>
      <c r="H93" s="71">
        <v>1643978.9997711182</v>
      </c>
      <c r="I93" s="72">
        <f t="shared" si="3"/>
        <v>79.77769689</v>
      </c>
      <c r="J93" s="73"/>
      <c r="K93" s="50"/>
      <c r="L93" s="56"/>
      <c r="M93" s="13"/>
      <c r="N93" s="13"/>
      <c r="O93" s="13"/>
      <c r="P93" s="13"/>
      <c r="Q93" s="13"/>
      <c r="R93" s="13"/>
      <c r="S93" s="13"/>
      <c r="T93" s="68"/>
      <c r="U93" s="68"/>
      <c r="V93" s="13"/>
      <c r="W93" s="13"/>
      <c r="X93" s="13"/>
      <c r="Y93" s="13"/>
      <c r="Z93" s="13"/>
      <c r="AA93" s="13"/>
      <c r="AB93" s="13"/>
      <c r="AC93" s="13"/>
      <c r="AD93" s="13"/>
      <c r="AE93" s="13"/>
    </row>
    <row r="94" ht="15.75" customHeight="1">
      <c r="A94" s="69">
        <v>21204.0</v>
      </c>
      <c r="B94" s="70" t="s">
        <v>111</v>
      </c>
      <c r="C94" s="69" t="s">
        <v>48</v>
      </c>
      <c r="D94" s="71">
        <v>6965.0</v>
      </c>
      <c r="E94" s="71">
        <v>370191.99920715764</v>
      </c>
      <c r="F94" s="72">
        <f t="shared" si="2"/>
        <v>53.15032293</v>
      </c>
      <c r="G94" s="71">
        <v>7900.0</v>
      </c>
      <c r="H94" s="71">
        <v>0.0</v>
      </c>
      <c r="I94" s="72">
        <f t="shared" si="3"/>
        <v>0</v>
      </c>
      <c r="J94" s="73"/>
      <c r="K94" s="50"/>
      <c r="L94" s="56"/>
      <c r="M94" s="13"/>
      <c r="N94" s="13"/>
      <c r="O94" s="13"/>
      <c r="P94" s="13"/>
      <c r="Q94" s="13"/>
      <c r="R94" s="13"/>
      <c r="S94" s="13"/>
      <c r="T94" s="68"/>
      <c r="U94" s="68"/>
      <c r="V94" s="13"/>
      <c r="W94" s="13"/>
      <c r="X94" s="13"/>
      <c r="Y94" s="13"/>
      <c r="Z94" s="13"/>
      <c r="AA94" s="13"/>
      <c r="AB94" s="13"/>
      <c r="AC94" s="13"/>
      <c r="AD94" s="13"/>
      <c r="AE94" s="13"/>
    </row>
    <row r="95" ht="15.75" customHeight="1">
      <c r="A95" s="69">
        <v>21301.0</v>
      </c>
      <c r="B95" s="70" t="s">
        <v>112</v>
      </c>
      <c r="C95" s="69" t="s">
        <v>48</v>
      </c>
      <c r="D95" s="71">
        <v>32170.0</v>
      </c>
      <c r="E95" s="71">
        <v>1336496.0024705194</v>
      </c>
      <c r="F95" s="72">
        <f t="shared" si="2"/>
        <v>41.54479336</v>
      </c>
      <c r="G95" s="71">
        <v>33885.0</v>
      </c>
      <c r="H95" s="71">
        <v>1552734.9997406006</v>
      </c>
      <c r="I95" s="72">
        <f t="shared" si="3"/>
        <v>45.82366828</v>
      </c>
      <c r="J95" s="73"/>
      <c r="K95" s="50"/>
      <c r="L95" s="56"/>
      <c r="M95" s="13"/>
      <c r="N95" s="13"/>
      <c r="O95" s="13"/>
      <c r="P95" s="13"/>
      <c r="Q95" s="13"/>
      <c r="R95" s="13"/>
      <c r="S95" s="13"/>
      <c r="T95" s="68"/>
      <c r="U95" s="68"/>
      <c r="V95" s="13"/>
      <c r="W95" s="13"/>
      <c r="X95" s="13"/>
      <c r="Y95" s="13"/>
      <c r="Z95" s="13"/>
      <c r="AA95" s="13"/>
      <c r="AB95" s="13"/>
      <c r="AC95" s="13"/>
      <c r="AD95" s="13"/>
      <c r="AE95" s="13"/>
    </row>
    <row r="96" ht="15.75" customHeight="1">
      <c r="A96" s="69">
        <v>21302.0</v>
      </c>
      <c r="B96" s="70" t="s">
        <v>113</v>
      </c>
      <c r="C96" s="69" t="s">
        <v>48</v>
      </c>
      <c r="D96" s="71">
        <v>8969.0</v>
      </c>
      <c r="E96" s="71">
        <v>339288.00040807296</v>
      </c>
      <c r="F96" s="72">
        <f t="shared" si="2"/>
        <v>37.82896649</v>
      </c>
      <c r="G96" s="71">
        <v>9102.0</v>
      </c>
      <c r="H96" s="71">
        <v>340995.99991607666</v>
      </c>
      <c r="I96" s="72">
        <f t="shared" si="3"/>
        <v>37.46385409</v>
      </c>
      <c r="J96" s="73"/>
      <c r="K96" s="50"/>
      <c r="L96" s="56"/>
      <c r="M96" s="13"/>
      <c r="N96" s="13"/>
      <c r="O96" s="13"/>
      <c r="P96" s="13"/>
      <c r="Q96" s="13"/>
      <c r="R96" s="13"/>
      <c r="S96" s="13"/>
      <c r="T96" s="68"/>
      <c r="U96" s="68"/>
      <c r="V96" s="13"/>
      <c r="W96" s="13"/>
      <c r="X96" s="13"/>
      <c r="Y96" s="13"/>
      <c r="Z96" s="13"/>
      <c r="AA96" s="13"/>
      <c r="AB96" s="13"/>
      <c r="AC96" s="13"/>
      <c r="AD96" s="13"/>
      <c r="AE96" s="13"/>
    </row>
    <row r="97" ht="15.75" customHeight="1">
      <c r="A97" s="69">
        <v>21303.0</v>
      </c>
      <c r="B97" s="70" t="s">
        <v>114</v>
      </c>
      <c r="C97" s="69" t="s">
        <v>48</v>
      </c>
      <c r="D97" s="71">
        <v>8951.0</v>
      </c>
      <c r="E97" s="71">
        <v>344290.99988170806</v>
      </c>
      <c r="F97" s="72">
        <f t="shared" si="2"/>
        <v>38.46397049</v>
      </c>
      <c r="G97" s="71">
        <v>11258.0</v>
      </c>
      <c r="H97" s="71">
        <v>412383.99991607666</v>
      </c>
      <c r="I97" s="72">
        <f t="shared" si="3"/>
        <v>36.63030733</v>
      </c>
      <c r="J97" s="73"/>
      <c r="K97" s="50"/>
      <c r="L97" s="56"/>
      <c r="M97" s="13"/>
      <c r="N97" s="13"/>
      <c r="O97" s="13"/>
      <c r="P97" s="13"/>
      <c r="Q97" s="13"/>
      <c r="R97" s="13"/>
      <c r="S97" s="13"/>
      <c r="T97" s="68"/>
      <c r="U97" s="68"/>
      <c r="V97" s="13"/>
      <c r="W97" s="13"/>
      <c r="X97" s="13"/>
      <c r="Y97" s="13"/>
      <c r="Z97" s="13"/>
      <c r="AA97" s="13"/>
      <c r="AB97" s="13"/>
      <c r="AC97" s="13"/>
      <c r="AD97" s="13"/>
      <c r="AE97" s="13"/>
    </row>
    <row r="98" ht="15.75" customHeight="1">
      <c r="A98" s="69">
        <v>21304.0</v>
      </c>
      <c r="B98" s="70" t="s">
        <v>115</v>
      </c>
      <c r="C98" s="69" t="s">
        <v>48</v>
      </c>
      <c r="D98" s="71">
        <v>13384.0</v>
      </c>
      <c r="E98" s="71">
        <v>638846.9997758558</v>
      </c>
      <c r="F98" s="72">
        <f t="shared" si="2"/>
        <v>47.73214284</v>
      </c>
      <c r="G98" s="71">
        <v>15327.0</v>
      </c>
      <c r="H98" s="71">
        <v>789331.0000839233</v>
      </c>
      <c r="I98" s="72">
        <f t="shared" si="3"/>
        <v>51.49938018</v>
      </c>
      <c r="J98" s="73"/>
      <c r="K98" s="50"/>
      <c r="L98" s="56"/>
      <c r="M98" s="13"/>
      <c r="N98" s="13"/>
      <c r="O98" s="13"/>
      <c r="P98" s="13"/>
      <c r="Q98" s="13"/>
      <c r="R98" s="13"/>
      <c r="S98" s="13"/>
      <c r="T98" s="68"/>
      <c r="U98" s="68"/>
      <c r="V98" s="13"/>
      <c r="W98" s="13"/>
      <c r="X98" s="13"/>
      <c r="Y98" s="13"/>
      <c r="Z98" s="13"/>
      <c r="AA98" s="13"/>
      <c r="AB98" s="13"/>
      <c r="AC98" s="13"/>
      <c r="AD98" s="13"/>
      <c r="AE98" s="13"/>
    </row>
    <row r="99" ht="15.75" customHeight="1">
      <c r="A99" s="69">
        <v>21305.0</v>
      </c>
      <c r="B99" s="70" t="s">
        <v>116</v>
      </c>
      <c r="C99" s="69" t="s">
        <v>48</v>
      </c>
      <c r="D99" s="71">
        <v>23621.0</v>
      </c>
      <c r="E99" s="71">
        <v>2477796.0002241656</v>
      </c>
      <c r="F99" s="72">
        <f t="shared" si="2"/>
        <v>104.8980145</v>
      </c>
      <c r="G99" s="71">
        <v>25148.0</v>
      </c>
      <c r="H99" s="71">
        <v>3253823.9994125366</v>
      </c>
      <c r="I99" s="72">
        <f t="shared" si="3"/>
        <v>129.386989</v>
      </c>
      <c r="J99" s="73"/>
      <c r="K99" s="50"/>
      <c r="L99" s="56"/>
      <c r="M99" s="13"/>
      <c r="N99" s="13"/>
      <c r="O99" s="13"/>
      <c r="P99" s="13"/>
      <c r="Q99" s="13"/>
      <c r="R99" s="13"/>
      <c r="S99" s="13"/>
      <c r="T99" s="68"/>
      <c r="U99" s="68"/>
      <c r="V99" s="13"/>
      <c r="W99" s="13"/>
      <c r="X99" s="13"/>
      <c r="Y99" s="13"/>
      <c r="Z99" s="13"/>
      <c r="AA99" s="13"/>
      <c r="AB99" s="13"/>
      <c r="AC99" s="13"/>
      <c r="AD99" s="13"/>
      <c r="AE99" s="13"/>
    </row>
    <row r="100" ht="15.75" customHeight="1">
      <c r="A100" s="69">
        <v>21306.0</v>
      </c>
      <c r="B100" s="70" t="s">
        <v>117</v>
      </c>
      <c r="C100" s="69" t="s">
        <v>48</v>
      </c>
      <c r="D100" s="71">
        <v>10749.0</v>
      </c>
      <c r="E100" s="71">
        <v>513844.99931334145</v>
      </c>
      <c r="F100" s="72">
        <f t="shared" si="2"/>
        <v>47.8039817</v>
      </c>
      <c r="G100" s="71">
        <v>12490.0</v>
      </c>
      <c r="H100" s="71">
        <v>564564.9998092651</v>
      </c>
      <c r="I100" s="72">
        <f t="shared" si="3"/>
        <v>45.20136107</v>
      </c>
      <c r="J100" s="73"/>
      <c r="K100" s="50"/>
      <c r="L100" s="56"/>
      <c r="M100" s="13"/>
      <c r="N100" s="13"/>
      <c r="O100" s="13"/>
      <c r="P100" s="13"/>
      <c r="Q100" s="13"/>
      <c r="R100" s="13"/>
      <c r="S100" s="13"/>
      <c r="T100" s="68"/>
      <c r="U100" s="68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</row>
    <row r="101" ht="15.75" customHeight="1">
      <c r="A101" s="69">
        <v>21307.0</v>
      </c>
      <c r="B101" s="70" t="s">
        <v>118</v>
      </c>
      <c r="C101" s="69" t="s">
        <v>48</v>
      </c>
      <c r="D101" s="71">
        <v>5203.0</v>
      </c>
      <c r="E101" s="71">
        <v>134630.00010117423</v>
      </c>
      <c r="F101" s="72">
        <f t="shared" si="2"/>
        <v>25.87545649</v>
      </c>
      <c r="G101" s="71">
        <v>5526.0</v>
      </c>
      <c r="H101" s="71">
        <v>173404.9999923706</v>
      </c>
      <c r="I101" s="72">
        <f t="shared" si="3"/>
        <v>31.37984075</v>
      </c>
      <c r="J101" s="73"/>
      <c r="K101" s="50"/>
      <c r="L101" s="56"/>
      <c r="M101" s="13"/>
      <c r="N101" s="13"/>
      <c r="O101" s="13"/>
      <c r="P101" s="13"/>
      <c r="Q101" s="13"/>
      <c r="R101" s="13"/>
      <c r="S101" s="13"/>
      <c r="T101" s="68"/>
      <c r="U101" s="68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</row>
    <row r="102" ht="15.75" customHeight="1">
      <c r="A102" s="69">
        <v>21401.0</v>
      </c>
      <c r="B102" s="70" t="s">
        <v>119</v>
      </c>
      <c r="C102" s="69" t="s">
        <v>48</v>
      </c>
      <c r="D102" s="71">
        <v>22168.0</v>
      </c>
      <c r="E102" s="71">
        <v>2586713.0004410893</v>
      </c>
      <c r="F102" s="72">
        <f t="shared" si="2"/>
        <v>116.6868008</v>
      </c>
      <c r="G102" s="71">
        <v>27711.0</v>
      </c>
      <c r="H102" s="71">
        <v>5043189.000061035</v>
      </c>
      <c r="I102" s="72">
        <f t="shared" si="3"/>
        <v>181.9923135</v>
      </c>
      <c r="J102" s="73"/>
      <c r="K102" s="50"/>
      <c r="L102" s="56"/>
      <c r="M102" s="13"/>
      <c r="N102" s="13"/>
      <c r="O102" s="13"/>
      <c r="P102" s="13"/>
      <c r="Q102" s="13"/>
      <c r="R102" s="13"/>
      <c r="S102" s="13"/>
      <c r="T102" s="68"/>
      <c r="U102" s="68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</row>
    <row r="103" ht="15.75" customHeight="1">
      <c r="A103" s="69">
        <v>21402.0</v>
      </c>
      <c r="B103" s="70" t="s">
        <v>120</v>
      </c>
      <c r="C103" s="69" t="s">
        <v>48</v>
      </c>
      <c r="D103" s="71">
        <v>19130.0</v>
      </c>
      <c r="E103" s="71">
        <v>3164111.000326247</v>
      </c>
      <c r="F103" s="72">
        <f t="shared" si="2"/>
        <v>165.4004705</v>
      </c>
      <c r="G103" s="71">
        <v>23530.0</v>
      </c>
      <c r="H103" s="71">
        <v>3620872.0004730225</v>
      </c>
      <c r="I103" s="72">
        <f t="shared" si="3"/>
        <v>153.8832129</v>
      </c>
      <c r="J103" s="73"/>
      <c r="K103" s="50"/>
      <c r="L103" s="56"/>
      <c r="M103" s="13"/>
      <c r="N103" s="13"/>
      <c r="O103" s="13"/>
      <c r="P103" s="13"/>
      <c r="Q103" s="13"/>
      <c r="R103" s="13"/>
      <c r="S103" s="13"/>
      <c r="T103" s="68"/>
      <c r="U103" s="68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</row>
    <row r="104" ht="15.75" customHeight="1">
      <c r="A104" s="69">
        <v>21501.0</v>
      </c>
      <c r="B104" s="70" t="s">
        <v>121</v>
      </c>
      <c r="C104" s="69" t="s">
        <v>48</v>
      </c>
      <c r="D104" s="71">
        <v>10440.0</v>
      </c>
      <c r="E104" s="71">
        <v>1028598.9999556551</v>
      </c>
      <c r="F104" s="72">
        <f t="shared" si="2"/>
        <v>98.52480842</v>
      </c>
      <c r="G104" s="71">
        <v>12595.0</v>
      </c>
      <c r="H104" s="71">
        <v>1987538.9997558594</v>
      </c>
      <c r="I104" s="72">
        <f t="shared" si="3"/>
        <v>157.803811</v>
      </c>
      <c r="J104" s="73"/>
      <c r="K104" s="50"/>
      <c r="L104" s="56"/>
      <c r="M104" s="13"/>
      <c r="N104" s="13"/>
      <c r="O104" s="13"/>
      <c r="P104" s="13"/>
      <c r="Q104" s="13"/>
      <c r="R104" s="13"/>
      <c r="S104" s="13"/>
      <c r="T104" s="68"/>
      <c r="U104" s="68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</row>
    <row r="105" ht="15.75" customHeight="1">
      <c r="A105" s="69">
        <v>21502.0</v>
      </c>
      <c r="B105" s="70" t="s">
        <v>122</v>
      </c>
      <c r="C105" s="69" t="s">
        <v>48</v>
      </c>
      <c r="D105" s="71">
        <v>9176.0</v>
      </c>
      <c r="E105" s="71">
        <v>1035885.0001133084</v>
      </c>
      <c r="F105" s="72">
        <f t="shared" si="2"/>
        <v>112.8906931</v>
      </c>
      <c r="G105" s="71">
        <v>10105.0</v>
      </c>
      <c r="H105" s="71">
        <v>1913410.0006408691</v>
      </c>
      <c r="I105" s="72">
        <f t="shared" si="3"/>
        <v>189.3527957</v>
      </c>
      <c r="J105" s="73"/>
      <c r="K105" s="50"/>
      <c r="L105" s="56"/>
      <c r="M105" s="13"/>
      <c r="N105" s="13"/>
      <c r="O105" s="13"/>
      <c r="P105" s="13"/>
      <c r="Q105" s="13"/>
      <c r="R105" s="13"/>
      <c r="S105" s="13"/>
      <c r="T105" s="68"/>
      <c r="U105" s="68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</row>
    <row r="106" ht="15.75" customHeight="1">
      <c r="A106" s="69">
        <v>21601.0</v>
      </c>
      <c r="B106" s="70" t="s">
        <v>123</v>
      </c>
      <c r="C106" s="69" t="s">
        <v>48</v>
      </c>
      <c r="D106" s="71">
        <v>13936.0</v>
      </c>
      <c r="E106" s="71">
        <v>301051.0000577327</v>
      </c>
      <c r="F106" s="72">
        <f t="shared" si="2"/>
        <v>21.60239667</v>
      </c>
      <c r="G106" s="71">
        <v>15763.0</v>
      </c>
      <c r="H106" s="71">
        <v>586770.9998245239</v>
      </c>
      <c r="I106" s="72">
        <f t="shared" si="3"/>
        <v>37.22457653</v>
      </c>
      <c r="J106" s="73"/>
      <c r="K106" s="50"/>
      <c r="L106" s="56"/>
      <c r="M106" s="13"/>
      <c r="N106" s="13"/>
      <c r="O106" s="13"/>
      <c r="P106" s="13"/>
      <c r="Q106" s="13"/>
      <c r="R106" s="13"/>
      <c r="S106" s="13"/>
      <c r="T106" s="68"/>
      <c r="U106" s="68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</row>
    <row r="107" ht="15.75" customHeight="1">
      <c r="A107" s="69">
        <v>21602.0</v>
      </c>
      <c r="B107" s="70" t="s">
        <v>124</v>
      </c>
      <c r="C107" s="69" t="s">
        <v>48</v>
      </c>
      <c r="D107" s="71">
        <v>4394.0</v>
      </c>
      <c r="E107" s="71">
        <v>48999.99983458128</v>
      </c>
      <c r="F107" s="72">
        <f t="shared" si="2"/>
        <v>11.15157029</v>
      </c>
      <c r="G107" s="71">
        <v>6611.0</v>
      </c>
      <c r="H107" s="71">
        <v>149167.00003051758</v>
      </c>
      <c r="I107" s="72">
        <f t="shared" si="3"/>
        <v>22.56345485</v>
      </c>
      <c r="J107" s="73"/>
      <c r="K107" s="50"/>
      <c r="L107" s="56"/>
      <c r="M107" s="13"/>
      <c r="N107" s="13"/>
      <c r="O107" s="13"/>
      <c r="P107" s="13"/>
      <c r="Q107" s="13"/>
      <c r="R107" s="13"/>
      <c r="S107" s="13"/>
      <c r="T107" s="68"/>
      <c r="U107" s="68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</row>
    <row r="108" ht="15.75" customHeight="1">
      <c r="A108" s="69">
        <v>21701.0</v>
      </c>
      <c r="B108" s="70" t="s">
        <v>125</v>
      </c>
      <c r="C108" s="69" t="s">
        <v>48</v>
      </c>
      <c r="D108" s="71">
        <v>15775.0</v>
      </c>
      <c r="E108" s="71">
        <v>2115474.9984045075</v>
      </c>
      <c r="F108" s="72">
        <f t="shared" si="2"/>
        <v>134.103011</v>
      </c>
      <c r="G108" s="71">
        <v>17463.0</v>
      </c>
      <c r="H108" s="71">
        <v>2051569.000137329</v>
      </c>
      <c r="I108" s="72">
        <f t="shared" si="3"/>
        <v>117.4809025</v>
      </c>
      <c r="J108" s="73"/>
      <c r="K108" s="50"/>
      <c r="L108" s="56"/>
      <c r="M108" s="13"/>
      <c r="N108" s="13"/>
      <c r="O108" s="13"/>
      <c r="P108" s="13"/>
      <c r="Q108" s="13"/>
      <c r="R108" s="13"/>
      <c r="S108" s="13"/>
      <c r="T108" s="68"/>
      <c r="U108" s="68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</row>
    <row r="109" ht="15.75" customHeight="1">
      <c r="A109" s="69">
        <v>21702.0</v>
      </c>
      <c r="B109" s="70" t="s">
        <v>126</v>
      </c>
      <c r="C109" s="69" t="s">
        <v>48</v>
      </c>
      <c r="D109" s="71">
        <v>7089.0</v>
      </c>
      <c r="E109" s="71">
        <v>474047.0011710832</v>
      </c>
      <c r="F109" s="72">
        <f t="shared" si="2"/>
        <v>66.87078589</v>
      </c>
      <c r="G109" s="71">
        <v>9164.0</v>
      </c>
      <c r="H109" s="71">
        <v>376368.9999694824</v>
      </c>
      <c r="I109" s="72">
        <f t="shared" si="3"/>
        <v>41.07038411</v>
      </c>
      <c r="J109" s="73"/>
      <c r="K109" s="50"/>
      <c r="L109" s="56"/>
      <c r="M109" s="13"/>
      <c r="N109" s="13"/>
      <c r="O109" s="13"/>
      <c r="P109" s="13"/>
      <c r="Q109" s="13"/>
      <c r="R109" s="13"/>
      <c r="S109" s="13"/>
      <c r="T109" s="68"/>
      <c r="U109" s="68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</row>
    <row r="110" ht="15.75" customHeight="1">
      <c r="A110" s="69">
        <v>21703.0</v>
      </c>
      <c r="B110" s="70" t="s">
        <v>127</v>
      </c>
      <c r="C110" s="69" t="s">
        <v>48</v>
      </c>
      <c r="D110" s="71">
        <v>6682.0</v>
      </c>
      <c r="E110" s="71">
        <v>80069.00001476519</v>
      </c>
      <c r="F110" s="72">
        <f t="shared" si="2"/>
        <v>11.98278959</v>
      </c>
      <c r="G110" s="71">
        <v>7525.0</v>
      </c>
      <c r="H110" s="71">
        <v>111727.00010681152</v>
      </c>
      <c r="I110" s="72">
        <f t="shared" si="3"/>
        <v>14.84744187</v>
      </c>
      <c r="J110" s="73"/>
      <c r="K110" s="50"/>
      <c r="L110" s="56"/>
      <c r="M110" s="13"/>
      <c r="N110" s="13"/>
      <c r="O110" s="13"/>
      <c r="P110" s="13"/>
      <c r="Q110" s="13"/>
      <c r="R110" s="13"/>
      <c r="S110" s="13"/>
      <c r="T110" s="68"/>
      <c r="U110" s="68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</row>
    <row r="111" ht="15.75" customHeight="1">
      <c r="A111" s="69">
        <v>21801.0</v>
      </c>
      <c r="B111" s="70" t="s">
        <v>128</v>
      </c>
      <c r="C111" s="69" t="s">
        <v>48</v>
      </c>
      <c r="D111" s="71">
        <v>8978.0</v>
      </c>
      <c r="E111" s="71">
        <v>33261.00008515641</v>
      </c>
      <c r="F111" s="72">
        <f t="shared" si="2"/>
        <v>3.704722665</v>
      </c>
      <c r="G111" s="71">
        <v>9217.0</v>
      </c>
      <c r="H111" s="71">
        <v>249310.0</v>
      </c>
      <c r="I111" s="72">
        <f t="shared" si="3"/>
        <v>27.04893132</v>
      </c>
      <c r="J111" s="73"/>
      <c r="K111" s="50"/>
      <c r="L111" s="56"/>
      <c r="M111" s="13"/>
      <c r="N111" s="13"/>
      <c r="O111" s="13"/>
      <c r="P111" s="13"/>
      <c r="Q111" s="13"/>
      <c r="R111" s="13"/>
      <c r="S111" s="13"/>
      <c r="T111" s="68"/>
      <c r="U111" s="68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</row>
    <row r="112" ht="15.75" customHeight="1">
      <c r="A112" s="69">
        <v>21802.0</v>
      </c>
      <c r="B112" s="70" t="s">
        <v>129</v>
      </c>
      <c r="C112" s="69" t="s">
        <v>48</v>
      </c>
      <c r="D112" s="71">
        <v>6885.0</v>
      </c>
      <c r="E112" s="71">
        <v>14979.000057975762</v>
      </c>
      <c r="F112" s="72">
        <f t="shared" si="2"/>
        <v>2.175599137</v>
      </c>
      <c r="G112" s="71">
        <v>6649.0</v>
      </c>
      <c r="H112" s="71">
        <v>188381.99991607666</v>
      </c>
      <c r="I112" s="72">
        <f t="shared" si="3"/>
        <v>28.3323808</v>
      </c>
      <c r="J112" s="73"/>
      <c r="K112" s="50"/>
      <c r="L112" s="56"/>
      <c r="M112" s="13"/>
      <c r="N112" s="13"/>
      <c r="O112" s="13"/>
      <c r="P112" s="13"/>
      <c r="Q112" s="13"/>
      <c r="R112" s="13"/>
      <c r="S112" s="13"/>
      <c r="T112" s="68"/>
      <c r="U112" s="68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</row>
    <row r="113" ht="15.75" customHeight="1">
      <c r="A113" s="69">
        <v>21803.0</v>
      </c>
      <c r="B113" s="70" t="s">
        <v>130</v>
      </c>
      <c r="C113" s="69" t="s">
        <v>48</v>
      </c>
      <c r="D113" s="71">
        <v>2020.0</v>
      </c>
      <c r="E113" s="71">
        <v>38561.00015930366</v>
      </c>
      <c r="F113" s="72">
        <f t="shared" si="2"/>
        <v>19.08960404</v>
      </c>
      <c r="G113" s="71">
        <v>2052.0</v>
      </c>
      <c r="H113" s="71">
        <v>53932.00003051758</v>
      </c>
      <c r="I113" s="72">
        <f t="shared" si="3"/>
        <v>26.28265109</v>
      </c>
      <c r="J113" s="73"/>
      <c r="K113" s="50"/>
      <c r="L113" s="56"/>
      <c r="M113" s="13"/>
      <c r="N113" s="13"/>
      <c r="O113" s="13"/>
      <c r="P113" s="13"/>
      <c r="Q113" s="13"/>
      <c r="R113" s="13"/>
      <c r="S113" s="13"/>
      <c r="T113" s="68"/>
      <c r="U113" s="68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</row>
    <row r="114" ht="15.75" customHeight="1">
      <c r="A114" s="69">
        <v>21901.0</v>
      </c>
      <c r="B114" s="70" t="s">
        <v>131</v>
      </c>
      <c r="C114" s="69" t="s">
        <v>48</v>
      </c>
      <c r="D114" s="71">
        <v>5330.0</v>
      </c>
      <c r="E114" s="71">
        <v>141640.0003090566</v>
      </c>
      <c r="F114" s="72">
        <f t="shared" si="2"/>
        <v>26.57410888</v>
      </c>
      <c r="G114" s="71">
        <v>6805.0</v>
      </c>
      <c r="H114" s="71">
        <v>221964.0001220703</v>
      </c>
      <c r="I114" s="72">
        <f t="shared" si="3"/>
        <v>32.61778106</v>
      </c>
      <c r="J114" s="73"/>
      <c r="K114" s="50"/>
      <c r="L114" s="56"/>
      <c r="M114" s="13"/>
      <c r="N114" s="13"/>
      <c r="O114" s="13"/>
      <c r="P114" s="13"/>
      <c r="Q114" s="13"/>
      <c r="R114" s="13"/>
      <c r="S114" s="13"/>
      <c r="T114" s="68"/>
      <c r="U114" s="68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</row>
    <row r="115" ht="15.75" customHeight="1">
      <c r="A115" s="69">
        <v>21902.0</v>
      </c>
      <c r="B115" s="70" t="s">
        <v>132</v>
      </c>
      <c r="C115" s="69" t="s">
        <v>48</v>
      </c>
      <c r="D115" s="71">
        <v>3704.0</v>
      </c>
      <c r="E115" s="71">
        <v>31080.999877316877</v>
      </c>
      <c r="F115" s="72">
        <f t="shared" si="2"/>
        <v>8.391198671</v>
      </c>
      <c r="G115" s="71">
        <v>5351.0</v>
      </c>
      <c r="H115" s="71">
        <v>51887.0</v>
      </c>
      <c r="I115" s="72">
        <f t="shared" si="3"/>
        <v>9.696692207</v>
      </c>
      <c r="J115" s="73"/>
      <c r="K115" s="50"/>
      <c r="L115" s="56"/>
      <c r="M115" s="13"/>
      <c r="N115" s="13"/>
      <c r="O115" s="13"/>
      <c r="P115" s="13"/>
      <c r="Q115" s="13"/>
      <c r="R115" s="13"/>
      <c r="S115" s="13"/>
      <c r="T115" s="68"/>
      <c r="U115" s="68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</row>
    <row r="116" ht="15.75" customHeight="1">
      <c r="A116" s="69">
        <v>22001.0</v>
      </c>
      <c r="B116" s="70" t="s">
        <v>133</v>
      </c>
      <c r="C116" s="69" t="s">
        <v>48</v>
      </c>
      <c r="D116" s="71">
        <v>53445.0</v>
      </c>
      <c r="E116" s="71">
        <v>4812211.998315876</v>
      </c>
      <c r="F116" s="72">
        <f t="shared" si="2"/>
        <v>90.04045277</v>
      </c>
      <c r="G116" s="71">
        <v>59676.0</v>
      </c>
      <c r="H116" s="71">
        <v>1.071452399912262E7</v>
      </c>
      <c r="I116" s="72">
        <f t="shared" si="3"/>
        <v>179.5449427</v>
      </c>
      <c r="J116" s="73"/>
      <c r="K116" s="50"/>
      <c r="L116" s="56"/>
      <c r="M116" s="13"/>
      <c r="N116" s="13"/>
      <c r="O116" s="13"/>
      <c r="P116" s="13"/>
      <c r="Q116" s="13"/>
      <c r="R116" s="13"/>
      <c r="S116" s="13"/>
      <c r="T116" s="68"/>
      <c r="U116" s="68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</row>
    <row r="117" ht="15.75" customHeight="1">
      <c r="A117" s="69">
        <v>22002.0</v>
      </c>
      <c r="B117" s="70" t="s">
        <v>134</v>
      </c>
      <c r="C117" s="69" t="s">
        <v>48</v>
      </c>
      <c r="D117" s="71">
        <v>10991.0</v>
      </c>
      <c r="E117" s="71">
        <v>706957.9998353738</v>
      </c>
      <c r="F117" s="72">
        <f t="shared" si="2"/>
        <v>64.32153579</v>
      </c>
      <c r="G117" s="71">
        <v>10585.0</v>
      </c>
      <c r="H117" s="71">
        <v>1997274.0004730225</v>
      </c>
      <c r="I117" s="72">
        <f t="shared" si="3"/>
        <v>188.6890884</v>
      </c>
      <c r="J117" s="73"/>
      <c r="K117" s="50"/>
      <c r="L117" s="56"/>
      <c r="M117" s="13"/>
      <c r="N117" s="13"/>
      <c r="O117" s="13"/>
      <c r="P117" s="13"/>
      <c r="Q117" s="13"/>
      <c r="R117" s="13"/>
      <c r="S117" s="13"/>
      <c r="T117" s="68"/>
      <c r="U117" s="68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</row>
    <row r="118" ht="15.75" customHeight="1">
      <c r="A118" s="69">
        <v>30101.0</v>
      </c>
      <c r="B118" s="70" t="s">
        <v>135</v>
      </c>
      <c r="C118" s="69" t="s">
        <v>377</v>
      </c>
      <c r="D118" s="71">
        <v>643177.0</v>
      </c>
      <c r="E118" s="71">
        <v>2.788911860043631E8</v>
      </c>
      <c r="F118" s="72">
        <f t="shared" si="2"/>
        <v>433.6149862</v>
      </c>
      <c r="G118" s="71">
        <v>665505.0</v>
      </c>
      <c r="H118" s="71">
        <v>6.361470685336151E8</v>
      </c>
      <c r="I118" s="72">
        <f t="shared" si="3"/>
        <v>955.8862346</v>
      </c>
      <c r="J118" s="73"/>
      <c r="K118" s="50"/>
      <c r="L118" s="56"/>
      <c r="M118" s="13"/>
      <c r="N118" s="13"/>
      <c r="O118" s="13"/>
      <c r="P118" s="13"/>
      <c r="Q118" s="13"/>
      <c r="R118" s="13"/>
      <c r="S118" s="13"/>
      <c r="T118" s="68"/>
      <c r="U118" s="68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</row>
    <row r="119" ht="15.75" customHeight="1">
      <c r="A119" s="69">
        <v>30201.0</v>
      </c>
      <c r="B119" s="70" t="s">
        <v>136</v>
      </c>
      <c r="C119" s="69" t="s">
        <v>377</v>
      </c>
      <c r="D119" s="71">
        <v>23219.0</v>
      </c>
      <c r="E119" s="71">
        <v>2559556.0005089147</v>
      </c>
      <c r="F119" s="72">
        <f t="shared" si="2"/>
        <v>110.2354107</v>
      </c>
      <c r="G119" s="71">
        <v>23123.0</v>
      </c>
      <c r="H119" s="71">
        <v>419802.00006103516</v>
      </c>
      <c r="I119" s="72">
        <f t="shared" si="3"/>
        <v>18.15517018</v>
      </c>
      <c r="J119" s="73"/>
      <c r="K119" s="50"/>
      <c r="L119" s="56"/>
      <c r="M119" s="13"/>
      <c r="N119" s="13"/>
      <c r="O119" s="13"/>
      <c r="P119" s="13"/>
      <c r="Q119" s="13"/>
      <c r="R119" s="13"/>
      <c r="S119" s="13"/>
      <c r="T119" s="68"/>
      <c r="U119" s="68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</row>
    <row r="120" ht="15.75" customHeight="1">
      <c r="A120" s="69">
        <v>30202.0</v>
      </c>
      <c r="B120" s="70" t="s">
        <v>137</v>
      </c>
      <c r="C120" s="69" t="s">
        <v>377</v>
      </c>
      <c r="D120" s="71">
        <v>6727.0</v>
      </c>
      <c r="E120" s="71">
        <v>254207.0001061987</v>
      </c>
      <c r="F120" s="72">
        <f t="shared" si="2"/>
        <v>37.78905903</v>
      </c>
      <c r="G120" s="71">
        <v>6475.0</v>
      </c>
      <c r="H120" s="71">
        <v>1880595.0</v>
      </c>
      <c r="I120" s="72">
        <f t="shared" si="3"/>
        <v>290.4393822</v>
      </c>
      <c r="J120" s="73"/>
      <c r="K120" s="50"/>
      <c r="L120" s="56"/>
      <c r="M120" s="13"/>
      <c r="N120" s="13"/>
      <c r="O120" s="13"/>
      <c r="P120" s="13"/>
      <c r="Q120" s="13"/>
      <c r="R120" s="13"/>
      <c r="S120" s="13"/>
      <c r="T120" s="68"/>
      <c r="U120" s="68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</row>
    <row r="121" ht="15.75" customHeight="1">
      <c r="A121" s="69">
        <v>30203.0</v>
      </c>
      <c r="B121" s="70" t="s">
        <v>138</v>
      </c>
      <c r="C121" s="69" t="s">
        <v>377</v>
      </c>
      <c r="D121" s="71">
        <v>5995.0</v>
      </c>
      <c r="E121" s="71">
        <v>614123.0000102753</v>
      </c>
      <c r="F121" s="72">
        <f t="shared" si="2"/>
        <v>102.4391993</v>
      </c>
      <c r="G121" s="71">
        <v>6700.0</v>
      </c>
      <c r="H121" s="71">
        <v>45036.0</v>
      </c>
      <c r="I121" s="72">
        <f t="shared" si="3"/>
        <v>6.721791045</v>
      </c>
      <c r="J121" s="73"/>
      <c r="K121" s="50"/>
      <c r="L121" s="56"/>
      <c r="M121" s="13"/>
      <c r="N121" s="13"/>
      <c r="O121" s="13"/>
      <c r="P121" s="13"/>
      <c r="Q121" s="13"/>
      <c r="R121" s="13"/>
      <c r="S121" s="13"/>
      <c r="T121" s="68"/>
      <c r="U121" s="68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</row>
    <row r="122" ht="15.75" customHeight="1">
      <c r="A122" s="69">
        <v>30301.0</v>
      </c>
      <c r="B122" s="70" t="s">
        <v>139</v>
      </c>
      <c r="C122" s="69" t="s">
        <v>377</v>
      </c>
      <c r="D122" s="71">
        <v>23044.0</v>
      </c>
      <c r="E122" s="71">
        <v>598887.0002952544</v>
      </c>
      <c r="F122" s="72">
        <f t="shared" si="2"/>
        <v>25.98884744</v>
      </c>
      <c r="G122" s="71">
        <v>21815.0</v>
      </c>
      <c r="H122" s="71">
        <v>135504.99996948242</v>
      </c>
      <c r="I122" s="72">
        <f t="shared" si="3"/>
        <v>6.211551683</v>
      </c>
      <c r="J122" s="73"/>
      <c r="K122" s="50"/>
      <c r="L122" s="56"/>
      <c r="M122" s="13"/>
      <c r="N122" s="13"/>
      <c r="O122" s="13"/>
      <c r="P122" s="13"/>
      <c r="Q122" s="13"/>
      <c r="R122" s="13"/>
      <c r="S122" s="13"/>
      <c r="T122" s="68"/>
      <c r="U122" s="68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</row>
    <row r="123" ht="15.75" customHeight="1">
      <c r="A123" s="69">
        <v>30302.0</v>
      </c>
      <c r="B123" s="70" t="s">
        <v>140</v>
      </c>
      <c r="C123" s="69" t="s">
        <v>377</v>
      </c>
      <c r="D123" s="71">
        <v>13438.0</v>
      </c>
      <c r="E123" s="71">
        <v>304985.0004417235</v>
      </c>
      <c r="F123" s="72">
        <f t="shared" si="2"/>
        <v>22.69571368</v>
      </c>
      <c r="G123" s="71">
        <v>14720.0</v>
      </c>
      <c r="H123" s="71">
        <v>35283.0</v>
      </c>
      <c r="I123" s="72">
        <f t="shared" si="3"/>
        <v>2.396942935</v>
      </c>
      <c r="J123" s="73"/>
      <c r="K123" s="50"/>
      <c r="L123" s="56"/>
      <c r="M123" s="13"/>
      <c r="N123" s="13"/>
      <c r="O123" s="13"/>
      <c r="P123" s="13"/>
      <c r="Q123" s="13"/>
      <c r="R123" s="13"/>
      <c r="S123" s="13"/>
      <c r="T123" s="68"/>
      <c r="U123" s="68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</row>
    <row r="124" ht="15.75" customHeight="1">
      <c r="A124" s="69">
        <v>30303.0</v>
      </c>
      <c r="B124" s="70" t="s">
        <v>141</v>
      </c>
      <c r="C124" s="69" t="s">
        <v>377</v>
      </c>
      <c r="D124" s="71">
        <v>18587.0</v>
      </c>
      <c r="E124" s="71">
        <v>396558.9997583581</v>
      </c>
      <c r="F124" s="72">
        <f t="shared" si="2"/>
        <v>21.33528809</v>
      </c>
      <c r="G124" s="71">
        <v>19608.0</v>
      </c>
      <c r="H124" s="71">
        <v>247495.0000152588</v>
      </c>
      <c r="I124" s="72">
        <f t="shared" si="3"/>
        <v>12.62214402</v>
      </c>
      <c r="J124" s="73"/>
      <c r="K124" s="50"/>
      <c r="L124" s="56"/>
      <c r="M124" s="13"/>
      <c r="N124" s="13"/>
      <c r="O124" s="13"/>
      <c r="P124" s="13"/>
      <c r="Q124" s="13"/>
      <c r="R124" s="13"/>
      <c r="S124" s="13"/>
      <c r="T124" s="68"/>
      <c r="U124" s="68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</row>
    <row r="125" ht="15.75" customHeight="1">
      <c r="A125" s="69">
        <v>30401.0</v>
      </c>
      <c r="B125" s="70" t="s">
        <v>142</v>
      </c>
      <c r="C125" s="69" t="s">
        <v>377</v>
      </c>
      <c r="D125" s="71">
        <v>9252.0</v>
      </c>
      <c r="E125" s="71">
        <v>1520142.0003358908</v>
      </c>
      <c r="F125" s="72">
        <f t="shared" si="2"/>
        <v>164.3041505</v>
      </c>
      <c r="G125" s="71">
        <v>11273.0</v>
      </c>
      <c r="H125" s="71">
        <v>15498.0</v>
      </c>
      <c r="I125" s="72">
        <f t="shared" si="3"/>
        <v>1.37478932</v>
      </c>
      <c r="J125" s="73"/>
      <c r="K125" s="50"/>
      <c r="L125" s="56"/>
      <c r="M125" s="13"/>
      <c r="N125" s="13"/>
      <c r="O125" s="13"/>
      <c r="P125" s="13"/>
      <c r="Q125" s="13"/>
      <c r="R125" s="13"/>
      <c r="S125" s="13"/>
      <c r="T125" s="68"/>
      <c r="U125" s="68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</row>
    <row r="126" ht="15.75" customHeight="1">
      <c r="A126" s="69">
        <v>30402.0</v>
      </c>
      <c r="B126" s="70" t="s">
        <v>143</v>
      </c>
      <c r="C126" s="69" t="s">
        <v>377</v>
      </c>
      <c r="D126" s="71">
        <v>7240.0</v>
      </c>
      <c r="E126" s="71">
        <v>271436.00045514293</v>
      </c>
      <c r="F126" s="72">
        <f t="shared" si="2"/>
        <v>37.49116028</v>
      </c>
      <c r="G126" s="71">
        <v>7335.0</v>
      </c>
      <c r="H126" s="71">
        <v>21756.0</v>
      </c>
      <c r="I126" s="72">
        <f t="shared" si="3"/>
        <v>2.96605317</v>
      </c>
      <c r="J126" s="73"/>
      <c r="K126" s="50"/>
      <c r="L126" s="56"/>
      <c r="M126" s="13"/>
      <c r="N126" s="13"/>
      <c r="O126" s="13"/>
      <c r="P126" s="13"/>
      <c r="Q126" s="13"/>
      <c r="R126" s="13"/>
      <c r="S126" s="13"/>
      <c r="T126" s="68"/>
      <c r="U126" s="68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</row>
    <row r="127" ht="15.75" customHeight="1">
      <c r="A127" s="69">
        <v>30403.0</v>
      </c>
      <c r="B127" s="70" t="s">
        <v>144</v>
      </c>
      <c r="C127" s="69" t="s">
        <v>377</v>
      </c>
      <c r="D127" s="71">
        <v>21422.0</v>
      </c>
      <c r="E127" s="71">
        <v>2516753.498214664</v>
      </c>
      <c r="F127" s="72">
        <f t="shared" si="2"/>
        <v>117.4845252</v>
      </c>
      <c r="G127" s="71">
        <v>29375.0</v>
      </c>
      <c r="H127" s="71">
        <v>72633.0</v>
      </c>
      <c r="I127" s="72">
        <f t="shared" si="3"/>
        <v>2.472612766</v>
      </c>
      <c r="J127" s="73"/>
      <c r="K127" s="50"/>
      <c r="L127" s="56"/>
      <c r="M127" s="13"/>
      <c r="N127" s="13"/>
      <c r="O127" s="13"/>
      <c r="P127" s="13"/>
      <c r="Q127" s="13"/>
      <c r="R127" s="13"/>
      <c r="S127" s="13"/>
      <c r="T127" s="68"/>
      <c r="U127" s="68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</row>
    <row r="128" ht="15.75" customHeight="1">
      <c r="A128" s="69">
        <v>30404.0</v>
      </c>
      <c r="B128" s="70" t="s">
        <v>145</v>
      </c>
      <c r="C128" s="69" t="s">
        <v>377</v>
      </c>
      <c r="D128" s="71">
        <v>4573.0</v>
      </c>
      <c r="E128" s="71">
        <v>224107.00050216634</v>
      </c>
      <c r="F128" s="72">
        <f t="shared" si="2"/>
        <v>49.00656035</v>
      </c>
      <c r="G128" s="71">
        <v>4987.0</v>
      </c>
      <c r="H128" s="71">
        <v>3480.0</v>
      </c>
      <c r="I128" s="72">
        <f t="shared" si="3"/>
        <v>0.6978143172</v>
      </c>
      <c r="J128" s="73"/>
      <c r="K128" s="50"/>
      <c r="L128" s="56"/>
      <c r="M128" s="13"/>
      <c r="N128" s="13"/>
      <c r="O128" s="13"/>
      <c r="P128" s="13"/>
      <c r="Q128" s="13"/>
      <c r="R128" s="13"/>
      <c r="S128" s="13"/>
      <c r="T128" s="68"/>
      <c r="U128" s="68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</row>
    <row r="129" ht="15.75" customHeight="1">
      <c r="A129" s="69">
        <v>30501.0</v>
      </c>
      <c r="B129" s="70" t="s">
        <v>146</v>
      </c>
      <c r="C129" s="69" t="s">
        <v>377</v>
      </c>
      <c r="D129" s="71">
        <v>10064.0</v>
      </c>
      <c r="E129" s="71">
        <v>1907851.4979518848</v>
      </c>
      <c r="F129" s="72">
        <f t="shared" si="2"/>
        <v>189.5718897</v>
      </c>
      <c r="G129" s="71">
        <v>11183.0</v>
      </c>
      <c r="H129" s="71">
        <v>12420.0</v>
      </c>
      <c r="I129" s="72">
        <f t="shared" si="3"/>
        <v>1.110614325</v>
      </c>
      <c r="J129" s="73"/>
      <c r="K129" s="50"/>
      <c r="L129" s="56"/>
      <c r="M129" s="13"/>
      <c r="N129" s="13"/>
      <c r="O129" s="13"/>
      <c r="P129" s="13"/>
      <c r="Q129" s="13"/>
      <c r="R129" s="13"/>
      <c r="S129" s="13"/>
      <c r="T129" s="68"/>
      <c r="U129" s="68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</row>
    <row r="130" ht="15.75" customHeight="1">
      <c r="A130" s="69">
        <v>30502.0</v>
      </c>
      <c r="B130" s="70" t="s">
        <v>147</v>
      </c>
      <c r="C130" s="69" t="s">
        <v>377</v>
      </c>
      <c r="D130" s="71">
        <v>8763.0</v>
      </c>
      <c r="E130" s="71">
        <v>302223.00025526714</v>
      </c>
      <c r="F130" s="72">
        <f t="shared" si="2"/>
        <v>34.48853135</v>
      </c>
      <c r="G130" s="71">
        <v>8409.0</v>
      </c>
      <c r="H130" s="71">
        <v>9152.0</v>
      </c>
      <c r="I130" s="72">
        <f t="shared" si="3"/>
        <v>1.088357712</v>
      </c>
      <c r="J130" s="73"/>
      <c r="K130" s="50"/>
      <c r="L130" s="56"/>
      <c r="M130" s="13"/>
      <c r="N130" s="13"/>
      <c r="O130" s="13"/>
      <c r="P130" s="13"/>
      <c r="Q130" s="13"/>
      <c r="R130" s="13"/>
      <c r="S130" s="13"/>
      <c r="T130" s="68"/>
      <c r="U130" s="68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</row>
    <row r="131" ht="15.75" customHeight="1">
      <c r="A131" s="69">
        <v>30601.0</v>
      </c>
      <c r="B131" s="70" t="s">
        <v>148</v>
      </c>
      <c r="C131" s="69" t="s">
        <v>377</v>
      </c>
      <c r="D131" s="71">
        <v>10609.0</v>
      </c>
      <c r="E131" s="71">
        <v>206101.00002764445</v>
      </c>
      <c r="F131" s="72">
        <f t="shared" si="2"/>
        <v>19.42699595</v>
      </c>
      <c r="G131" s="71">
        <v>10632.0</v>
      </c>
      <c r="H131" s="71">
        <v>24070.0</v>
      </c>
      <c r="I131" s="72">
        <f t="shared" si="3"/>
        <v>2.263920241</v>
      </c>
      <c r="J131" s="73"/>
      <c r="K131" s="50"/>
      <c r="L131" s="56"/>
      <c r="M131" s="13"/>
      <c r="N131" s="13"/>
      <c r="O131" s="13"/>
      <c r="P131" s="13"/>
      <c r="Q131" s="13"/>
      <c r="R131" s="13"/>
      <c r="S131" s="13"/>
      <c r="T131" s="68"/>
      <c r="U131" s="68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</row>
    <row r="132" ht="15.75" customHeight="1">
      <c r="A132" s="69">
        <v>30602.0</v>
      </c>
      <c r="B132" s="70" t="s">
        <v>149</v>
      </c>
      <c r="C132" s="69" t="s">
        <v>377</v>
      </c>
      <c r="D132" s="71">
        <v>10419.0</v>
      </c>
      <c r="E132" s="71">
        <v>148420.0000754241</v>
      </c>
      <c r="F132" s="72">
        <f t="shared" si="2"/>
        <v>14.2451291</v>
      </c>
      <c r="G132" s="71">
        <v>10750.0</v>
      </c>
      <c r="H132" s="71">
        <v>8241.0</v>
      </c>
      <c r="I132" s="72">
        <f t="shared" si="3"/>
        <v>0.7666046512</v>
      </c>
      <c r="J132" s="73"/>
      <c r="K132" s="50"/>
      <c r="L132" s="56"/>
      <c r="M132" s="13"/>
      <c r="N132" s="13"/>
      <c r="O132" s="13"/>
      <c r="P132" s="13"/>
      <c r="Q132" s="13"/>
      <c r="R132" s="13"/>
      <c r="S132" s="13"/>
      <c r="T132" s="68"/>
      <c r="U132" s="68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</row>
    <row r="133" ht="15.75" customHeight="1">
      <c r="A133" s="69">
        <v>30701.0</v>
      </c>
      <c r="B133" s="70" t="s">
        <v>150</v>
      </c>
      <c r="C133" s="69" t="s">
        <v>377</v>
      </c>
      <c r="D133" s="71">
        <v>19460.0</v>
      </c>
      <c r="E133" s="71">
        <v>3478721.0017391667</v>
      </c>
      <c r="F133" s="72">
        <f t="shared" si="2"/>
        <v>178.7626414</v>
      </c>
      <c r="G133" s="71">
        <v>19427.0</v>
      </c>
      <c r="H133" s="71">
        <v>77970.0</v>
      </c>
      <c r="I133" s="72">
        <f t="shared" si="3"/>
        <v>4.013486385</v>
      </c>
      <c r="J133" s="73"/>
      <c r="K133" s="50"/>
      <c r="L133" s="56"/>
      <c r="M133" s="13"/>
      <c r="N133" s="13"/>
      <c r="O133" s="13"/>
      <c r="P133" s="13"/>
      <c r="Q133" s="13"/>
      <c r="R133" s="13"/>
      <c r="S133" s="13"/>
      <c r="T133" s="68"/>
      <c r="U133" s="68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</row>
    <row r="134" ht="15.75" customHeight="1">
      <c r="A134" s="69">
        <v>30702.0</v>
      </c>
      <c r="B134" s="70" t="s">
        <v>151</v>
      </c>
      <c r="C134" s="69" t="s">
        <v>377</v>
      </c>
      <c r="D134" s="71">
        <v>6998.0</v>
      </c>
      <c r="E134" s="71">
        <v>1135769.0000126967</v>
      </c>
      <c r="F134" s="72">
        <f t="shared" si="2"/>
        <v>162.2990855</v>
      </c>
      <c r="G134" s="71">
        <v>7940.0</v>
      </c>
      <c r="H134" s="71">
        <v>34932.0</v>
      </c>
      <c r="I134" s="72">
        <f t="shared" si="3"/>
        <v>4.399496222</v>
      </c>
      <c r="J134" s="73"/>
      <c r="K134" s="50"/>
      <c r="L134" s="56"/>
      <c r="M134" s="13"/>
      <c r="N134" s="13"/>
      <c r="O134" s="13"/>
      <c r="P134" s="13"/>
      <c r="Q134" s="13"/>
      <c r="R134" s="13"/>
      <c r="S134" s="13"/>
      <c r="T134" s="68"/>
      <c r="U134" s="68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</row>
    <row r="135" ht="15.75" customHeight="1">
      <c r="A135" s="69">
        <v>30703.0</v>
      </c>
      <c r="B135" s="70" t="s">
        <v>152</v>
      </c>
      <c r="C135" s="69" t="s">
        <v>377</v>
      </c>
      <c r="D135" s="71">
        <v>3820.0</v>
      </c>
      <c r="E135" s="71">
        <v>208101.00007884763</v>
      </c>
      <c r="F135" s="72">
        <f t="shared" si="2"/>
        <v>54.47670159</v>
      </c>
      <c r="G135" s="71">
        <v>3980.0</v>
      </c>
      <c r="H135" s="71">
        <v>25200.0</v>
      </c>
      <c r="I135" s="72">
        <f t="shared" si="3"/>
        <v>6.331658291</v>
      </c>
      <c r="J135" s="73"/>
      <c r="K135" s="50"/>
      <c r="L135" s="56"/>
      <c r="M135" s="13"/>
      <c r="N135" s="13"/>
      <c r="O135" s="13"/>
      <c r="P135" s="13"/>
      <c r="Q135" s="13"/>
      <c r="R135" s="13"/>
      <c r="S135" s="13"/>
      <c r="T135" s="68"/>
      <c r="U135" s="68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</row>
    <row r="136" ht="15.75" customHeight="1">
      <c r="A136" s="69">
        <v>30801.0</v>
      </c>
      <c r="B136" s="70" t="s">
        <v>153</v>
      </c>
      <c r="C136" s="69" t="s">
        <v>377</v>
      </c>
      <c r="D136" s="71">
        <v>21651.0</v>
      </c>
      <c r="E136" s="71">
        <v>4846450.998363441</v>
      </c>
      <c r="F136" s="72">
        <f t="shared" si="2"/>
        <v>223.8442104</v>
      </c>
      <c r="G136" s="71">
        <v>21155.0</v>
      </c>
      <c r="H136" s="71">
        <v>12581.0</v>
      </c>
      <c r="I136" s="72">
        <f t="shared" si="3"/>
        <v>0.5947057433</v>
      </c>
      <c r="J136" s="73"/>
      <c r="K136" s="50"/>
      <c r="L136" s="56"/>
      <c r="M136" s="13"/>
      <c r="N136" s="13"/>
      <c r="O136" s="13"/>
      <c r="P136" s="13"/>
      <c r="Q136" s="13"/>
      <c r="R136" s="13"/>
      <c r="S136" s="13"/>
      <c r="T136" s="68"/>
      <c r="U136" s="68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</row>
    <row r="137" ht="15.75" customHeight="1">
      <c r="A137" s="69">
        <v>30802.0</v>
      </c>
      <c r="B137" s="70" t="s">
        <v>154</v>
      </c>
      <c r="C137" s="69" t="s">
        <v>377</v>
      </c>
      <c r="D137" s="71">
        <v>7165.0</v>
      </c>
      <c r="E137" s="71">
        <v>733240.500016436</v>
      </c>
      <c r="F137" s="72">
        <f t="shared" si="2"/>
        <v>102.3364271</v>
      </c>
      <c r="G137" s="71">
        <v>7382.0</v>
      </c>
      <c r="H137" s="71">
        <v>9222.0</v>
      </c>
      <c r="I137" s="72">
        <f t="shared" si="3"/>
        <v>1.249254944</v>
      </c>
      <c r="J137" s="73"/>
      <c r="K137" s="50"/>
      <c r="L137" s="56"/>
      <c r="M137" s="13"/>
      <c r="N137" s="13"/>
      <c r="O137" s="13"/>
      <c r="P137" s="13"/>
      <c r="Q137" s="13"/>
      <c r="R137" s="13"/>
      <c r="S137" s="13"/>
      <c r="T137" s="68"/>
      <c r="U137" s="68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</row>
    <row r="138" ht="15.75" customHeight="1">
      <c r="A138" s="69">
        <v>30803.0</v>
      </c>
      <c r="B138" s="70" t="s">
        <v>155</v>
      </c>
      <c r="C138" s="69" t="s">
        <v>377</v>
      </c>
      <c r="D138" s="71">
        <v>6590.0</v>
      </c>
      <c r="E138" s="71">
        <v>1593179.9992441107</v>
      </c>
      <c r="F138" s="72">
        <f t="shared" si="2"/>
        <v>241.7572078</v>
      </c>
      <c r="G138" s="71">
        <v>8687.0</v>
      </c>
      <c r="H138" s="71">
        <v>29512.0</v>
      </c>
      <c r="I138" s="72">
        <f t="shared" si="3"/>
        <v>3.397260274</v>
      </c>
      <c r="J138" s="73"/>
      <c r="K138" s="50"/>
      <c r="L138" s="56"/>
      <c r="M138" s="13"/>
      <c r="N138" s="13"/>
      <c r="O138" s="13"/>
      <c r="P138" s="13"/>
      <c r="Q138" s="13"/>
      <c r="R138" s="13"/>
      <c r="S138" s="13"/>
      <c r="T138" s="68"/>
      <c r="U138" s="68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</row>
    <row r="139" ht="15.75" customHeight="1">
      <c r="A139" s="69">
        <v>30901.0</v>
      </c>
      <c r="B139" s="70" t="s">
        <v>156</v>
      </c>
      <c r="C139" s="69" t="s">
        <v>377</v>
      </c>
      <c r="D139" s="71">
        <v>147035.0</v>
      </c>
      <c r="E139" s="71">
        <v>4.8729985997995175E7</v>
      </c>
      <c r="F139" s="72">
        <f t="shared" si="2"/>
        <v>331.4175944</v>
      </c>
      <c r="G139" s="71">
        <v>166741.0</v>
      </c>
      <c r="H139" s="71">
        <v>536670.0</v>
      </c>
      <c r="I139" s="72">
        <f t="shared" si="3"/>
        <v>3.218584511</v>
      </c>
      <c r="J139" s="73"/>
      <c r="K139" s="50"/>
      <c r="L139" s="56"/>
      <c r="M139" s="13"/>
      <c r="N139" s="13"/>
      <c r="O139" s="13"/>
      <c r="P139" s="13"/>
      <c r="Q139" s="13"/>
      <c r="R139" s="13"/>
      <c r="S139" s="13"/>
      <c r="T139" s="68"/>
      <c r="U139" s="68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</row>
    <row r="140" ht="15.75" customHeight="1">
      <c r="A140" s="69">
        <v>30902.0</v>
      </c>
      <c r="B140" s="70" t="s">
        <v>157</v>
      </c>
      <c r="C140" s="69" t="s">
        <v>377</v>
      </c>
      <c r="D140" s="71">
        <v>46350.0</v>
      </c>
      <c r="E140" s="71">
        <v>9111536.50415894</v>
      </c>
      <c r="F140" s="72">
        <f t="shared" si="2"/>
        <v>196.5811544</v>
      </c>
      <c r="G140" s="71">
        <v>55908.0</v>
      </c>
      <c r="H140" s="71">
        <v>184036.0</v>
      </c>
      <c r="I140" s="72">
        <f t="shared" si="3"/>
        <v>3.291765043</v>
      </c>
      <c r="J140" s="73"/>
      <c r="K140" s="50"/>
      <c r="L140" s="56"/>
      <c r="M140" s="13"/>
      <c r="N140" s="13"/>
      <c r="O140" s="13"/>
      <c r="P140" s="13"/>
      <c r="Q140" s="13"/>
      <c r="R140" s="13"/>
      <c r="S140" s="13"/>
      <c r="T140" s="68"/>
      <c r="U140" s="68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</row>
    <row r="141" ht="15.75" customHeight="1">
      <c r="A141" s="69">
        <v>30903.0</v>
      </c>
      <c r="B141" s="70" t="s">
        <v>158</v>
      </c>
      <c r="C141" s="69" t="s">
        <v>377</v>
      </c>
      <c r="D141" s="71">
        <v>56549.0</v>
      </c>
      <c r="E141" s="71">
        <v>2.106805700849795E7</v>
      </c>
      <c r="F141" s="72">
        <f t="shared" si="2"/>
        <v>372.5628571</v>
      </c>
      <c r="G141" s="71">
        <v>61840.0</v>
      </c>
      <c r="H141" s="71">
        <v>422646.0</v>
      </c>
      <c r="I141" s="72">
        <f t="shared" si="3"/>
        <v>6.834508409</v>
      </c>
      <c r="J141" s="73"/>
      <c r="K141" s="50"/>
      <c r="L141" s="56"/>
      <c r="M141" s="13"/>
      <c r="N141" s="13"/>
      <c r="O141" s="13"/>
      <c r="P141" s="13"/>
      <c r="Q141" s="13"/>
      <c r="R141" s="13"/>
      <c r="S141" s="13"/>
      <c r="T141" s="68"/>
      <c r="U141" s="68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</row>
    <row r="142" ht="15.75" customHeight="1">
      <c r="A142" s="69">
        <v>30904.0</v>
      </c>
      <c r="B142" s="70" t="s">
        <v>159</v>
      </c>
      <c r="C142" s="69" t="s">
        <v>377</v>
      </c>
      <c r="D142" s="71">
        <v>53333.0</v>
      </c>
      <c r="E142" s="71">
        <v>1.2661829999839395E7</v>
      </c>
      <c r="F142" s="72">
        <f t="shared" si="2"/>
        <v>237.4107963</v>
      </c>
      <c r="G142" s="71">
        <v>56064.0</v>
      </c>
      <c r="H142" s="71">
        <v>97148.0</v>
      </c>
      <c r="I142" s="72">
        <f t="shared" si="3"/>
        <v>1.732805365</v>
      </c>
      <c r="J142" s="73"/>
      <c r="K142" s="50"/>
      <c r="L142" s="56"/>
      <c r="M142" s="13"/>
      <c r="N142" s="13"/>
      <c r="O142" s="13"/>
      <c r="P142" s="13"/>
      <c r="Q142" s="13"/>
      <c r="R142" s="13"/>
      <c r="S142" s="13"/>
      <c r="T142" s="68"/>
      <c r="U142" s="68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</row>
    <row r="143" ht="15.75" customHeight="1">
      <c r="A143" s="69">
        <v>30905.0</v>
      </c>
      <c r="B143" s="70" t="s">
        <v>160</v>
      </c>
      <c r="C143" s="69" t="s">
        <v>377</v>
      </c>
      <c r="D143" s="71">
        <v>56828.0</v>
      </c>
      <c r="E143" s="71">
        <v>2.109960799572236E7</v>
      </c>
      <c r="F143" s="72">
        <f t="shared" si="2"/>
        <v>371.288942</v>
      </c>
      <c r="G143" s="71">
        <v>66505.0</v>
      </c>
      <c r="H143" s="71">
        <v>104652.0</v>
      </c>
      <c r="I143" s="72">
        <f t="shared" si="3"/>
        <v>1.57359597</v>
      </c>
      <c r="J143" s="73"/>
      <c r="K143" s="50"/>
      <c r="L143" s="56"/>
      <c r="M143" s="13"/>
      <c r="N143" s="13"/>
      <c r="O143" s="13"/>
      <c r="P143" s="13"/>
      <c r="Q143" s="13"/>
      <c r="R143" s="13"/>
      <c r="S143" s="13"/>
      <c r="T143" s="68"/>
      <c r="U143" s="68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</row>
    <row r="144" ht="15.75" customHeight="1">
      <c r="A144" s="69">
        <v>31001.0</v>
      </c>
      <c r="B144" s="70" t="s">
        <v>161</v>
      </c>
      <c r="C144" s="69" t="s">
        <v>377</v>
      </c>
      <c r="D144" s="71">
        <v>188008.0</v>
      </c>
      <c r="E144" s="71">
        <v>5.0168160485634565E7</v>
      </c>
      <c r="F144" s="72">
        <f t="shared" si="2"/>
        <v>266.8405626</v>
      </c>
      <c r="G144" s="71">
        <v>219092.0</v>
      </c>
      <c r="H144" s="71">
        <v>703424.0</v>
      </c>
      <c r="I144" s="72">
        <f t="shared" si="3"/>
        <v>3.210632976</v>
      </c>
      <c r="J144" s="73"/>
      <c r="K144" s="50"/>
      <c r="L144" s="56"/>
      <c r="M144" s="13"/>
      <c r="N144" s="13"/>
      <c r="O144" s="13"/>
      <c r="P144" s="13"/>
      <c r="Q144" s="13"/>
      <c r="R144" s="13"/>
      <c r="S144" s="13"/>
      <c r="T144" s="68"/>
      <c r="U144" s="68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</row>
    <row r="145" ht="15.75" customHeight="1">
      <c r="A145" s="69">
        <v>31002.0</v>
      </c>
      <c r="B145" s="70" t="s">
        <v>162</v>
      </c>
      <c r="C145" s="69" t="s">
        <v>377</v>
      </c>
      <c r="D145" s="71">
        <v>20139.0</v>
      </c>
      <c r="E145" s="71">
        <v>2433604.998180435</v>
      </c>
      <c r="F145" s="72">
        <f t="shared" si="2"/>
        <v>120.8404091</v>
      </c>
      <c r="G145" s="71">
        <v>21846.0</v>
      </c>
      <c r="H145" s="71">
        <v>122972.0</v>
      </c>
      <c r="I145" s="72">
        <f t="shared" si="3"/>
        <v>5.629039641</v>
      </c>
      <c r="J145" s="73"/>
      <c r="K145" s="50"/>
      <c r="L145" s="56"/>
      <c r="M145" s="13"/>
      <c r="N145" s="13"/>
      <c r="O145" s="13"/>
      <c r="P145" s="13"/>
      <c r="Q145" s="13"/>
      <c r="R145" s="13"/>
      <c r="S145" s="13"/>
      <c r="T145" s="68"/>
      <c r="U145" s="68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</row>
    <row r="146" ht="15.75" customHeight="1">
      <c r="A146" s="69">
        <v>31003.0</v>
      </c>
      <c r="B146" s="70" t="s">
        <v>163</v>
      </c>
      <c r="C146" s="69" t="s">
        <v>377</v>
      </c>
      <c r="D146" s="71">
        <v>78840.0</v>
      </c>
      <c r="E146" s="71">
        <v>1.0361196500695225E7</v>
      </c>
      <c r="F146" s="72">
        <f t="shared" si="2"/>
        <v>131.4205543</v>
      </c>
      <c r="G146" s="71">
        <v>93747.0</v>
      </c>
      <c r="H146" s="71">
        <v>749056.0</v>
      </c>
      <c r="I146" s="72">
        <f t="shared" si="3"/>
        <v>7.990186353</v>
      </c>
      <c r="J146" s="73"/>
      <c r="K146" s="50"/>
      <c r="L146" s="56"/>
      <c r="M146" s="13"/>
      <c r="N146" s="13"/>
      <c r="O146" s="13"/>
      <c r="P146" s="13"/>
      <c r="Q146" s="13"/>
      <c r="R146" s="13"/>
      <c r="S146" s="13"/>
      <c r="T146" s="68"/>
      <c r="U146" s="68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</row>
    <row r="147" ht="15.75" customHeight="1">
      <c r="A147" s="69">
        <v>31101.0</v>
      </c>
      <c r="B147" s="70" t="s">
        <v>164</v>
      </c>
      <c r="C147" s="69" t="s">
        <v>377</v>
      </c>
      <c r="D147" s="71">
        <v>24639.0</v>
      </c>
      <c r="E147" s="71">
        <v>553993.0000124732</v>
      </c>
      <c r="F147" s="72">
        <f t="shared" si="2"/>
        <v>22.48439466</v>
      </c>
      <c r="G147" s="71">
        <v>24666.0</v>
      </c>
      <c r="H147" s="71">
        <v>58714.0</v>
      </c>
      <c r="I147" s="72">
        <f t="shared" si="3"/>
        <v>2.380361631</v>
      </c>
      <c r="J147" s="73"/>
      <c r="K147" s="50"/>
      <c r="L147" s="56"/>
      <c r="M147" s="13"/>
      <c r="N147" s="13"/>
      <c r="O147" s="13"/>
      <c r="P147" s="13"/>
      <c r="Q147" s="13"/>
      <c r="R147" s="13"/>
      <c r="S147" s="13"/>
      <c r="T147" s="68"/>
      <c r="U147" s="68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</row>
    <row r="148" ht="15.75" customHeight="1">
      <c r="A148" s="69">
        <v>31201.0</v>
      </c>
      <c r="B148" s="70" t="s">
        <v>165</v>
      </c>
      <c r="C148" s="69" t="s">
        <v>377</v>
      </c>
      <c r="D148" s="71">
        <v>14717.0</v>
      </c>
      <c r="E148" s="71">
        <v>817274.00021296</v>
      </c>
      <c r="F148" s="72">
        <f t="shared" si="2"/>
        <v>55.53264933</v>
      </c>
      <c r="G148" s="71">
        <v>14821.0</v>
      </c>
      <c r="H148" s="71">
        <v>174064.0</v>
      </c>
      <c r="I148" s="72">
        <f t="shared" si="3"/>
        <v>11.74441671</v>
      </c>
      <c r="J148" s="73"/>
      <c r="K148" s="50"/>
      <c r="L148" s="56"/>
      <c r="M148" s="13"/>
      <c r="N148" s="13"/>
      <c r="O148" s="13"/>
      <c r="P148" s="13"/>
      <c r="Q148" s="13"/>
      <c r="R148" s="13"/>
      <c r="S148" s="13"/>
      <c r="T148" s="68"/>
      <c r="U148" s="68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</row>
    <row r="149" ht="15.75" customHeight="1">
      <c r="A149" s="69">
        <v>31202.0</v>
      </c>
      <c r="B149" s="70" t="s">
        <v>166</v>
      </c>
      <c r="C149" s="69" t="s">
        <v>377</v>
      </c>
      <c r="D149" s="71">
        <v>10726.0</v>
      </c>
      <c r="E149" s="71">
        <v>709660.0002770247</v>
      </c>
      <c r="F149" s="72">
        <f t="shared" si="2"/>
        <v>66.16259559</v>
      </c>
      <c r="G149" s="71">
        <v>11865.0</v>
      </c>
      <c r="H149" s="71">
        <v>97569.0</v>
      </c>
      <c r="I149" s="72">
        <f t="shared" si="3"/>
        <v>8.223261694</v>
      </c>
      <c r="J149" s="73"/>
      <c r="K149" s="50"/>
      <c r="L149" s="56"/>
      <c r="M149" s="13"/>
      <c r="N149" s="13"/>
      <c r="O149" s="13"/>
      <c r="P149" s="13"/>
      <c r="Q149" s="13"/>
      <c r="R149" s="13"/>
      <c r="S149" s="13"/>
      <c r="T149" s="68"/>
      <c r="U149" s="68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</row>
    <row r="150" ht="15.75" customHeight="1">
      <c r="A150" s="69">
        <v>31203.0</v>
      </c>
      <c r="B150" s="70" t="s">
        <v>167</v>
      </c>
      <c r="C150" s="69" t="s">
        <v>377</v>
      </c>
      <c r="D150" s="71">
        <v>11253.0</v>
      </c>
      <c r="E150" s="71">
        <v>917127.9991086368</v>
      </c>
      <c r="F150" s="72">
        <f t="shared" si="2"/>
        <v>81.50075527</v>
      </c>
      <c r="G150" s="71">
        <v>12258.0</v>
      </c>
      <c r="H150" s="71">
        <v>54417.0</v>
      </c>
      <c r="I150" s="72">
        <f t="shared" si="3"/>
        <v>4.439304944</v>
      </c>
      <c r="J150" s="73"/>
      <c r="K150" s="50"/>
      <c r="L150" s="56"/>
      <c r="M150" s="13"/>
      <c r="N150" s="13"/>
      <c r="O150" s="13"/>
      <c r="P150" s="13"/>
      <c r="Q150" s="13"/>
      <c r="R150" s="13"/>
      <c r="S150" s="13"/>
      <c r="T150" s="68"/>
      <c r="U150" s="68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</row>
    <row r="151" ht="15.75" customHeight="1">
      <c r="A151" s="69">
        <v>31204.0</v>
      </c>
      <c r="B151" s="70" t="s">
        <v>168</v>
      </c>
      <c r="C151" s="69" t="s">
        <v>377</v>
      </c>
      <c r="D151" s="71">
        <v>23664.0</v>
      </c>
      <c r="E151" s="71">
        <v>3801190.99878788</v>
      </c>
      <c r="F151" s="72">
        <f t="shared" si="2"/>
        <v>160.6318035</v>
      </c>
      <c r="G151" s="71">
        <v>27521.0</v>
      </c>
      <c r="H151" s="71">
        <v>206976.0</v>
      </c>
      <c r="I151" s="72">
        <f t="shared" si="3"/>
        <v>7.520656953</v>
      </c>
      <c r="J151" s="73"/>
      <c r="K151" s="50"/>
      <c r="L151" s="56"/>
      <c r="M151" s="13"/>
      <c r="N151" s="13"/>
      <c r="O151" s="13"/>
      <c r="P151" s="13"/>
      <c r="Q151" s="13"/>
      <c r="R151" s="13"/>
      <c r="S151" s="13"/>
      <c r="T151" s="68"/>
      <c r="U151" s="68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</row>
    <row r="152" ht="15.75" customHeight="1">
      <c r="A152" s="69">
        <v>31205.0</v>
      </c>
      <c r="B152" s="70" t="s">
        <v>169</v>
      </c>
      <c r="C152" s="69" t="s">
        <v>377</v>
      </c>
      <c r="D152" s="71">
        <v>52616.0</v>
      </c>
      <c r="E152" s="71">
        <v>8649165.003996193</v>
      </c>
      <c r="F152" s="72">
        <f t="shared" si="2"/>
        <v>164.3827924</v>
      </c>
      <c r="G152" s="71">
        <v>64595.0</v>
      </c>
      <c r="H152" s="71">
        <v>256672.0</v>
      </c>
      <c r="I152" s="72">
        <f t="shared" si="3"/>
        <v>3.973558325</v>
      </c>
      <c r="J152" s="73"/>
      <c r="K152" s="50"/>
      <c r="L152" s="56"/>
      <c r="M152" s="13"/>
      <c r="N152" s="13"/>
      <c r="O152" s="13"/>
      <c r="P152" s="13"/>
      <c r="Q152" s="13"/>
      <c r="R152" s="13"/>
      <c r="S152" s="13"/>
      <c r="T152" s="68"/>
      <c r="U152" s="68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</row>
    <row r="153" ht="15.75" customHeight="1">
      <c r="A153" s="69">
        <v>31206.0</v>
      </c>
      <c r="B153" s="70" t="s">
        <v>170</v>
      </c>
      <c r="C153" s="69" t="s">
        <v>377</v>
      </c>
      <c r="D153" s="71">
        <v>36293.0</v>
      </c>
      <c r="E153" s="71">
        <v>6999093.001536882</v>
      </c>
      <c r="F153" s="72">
        <f t="shared" si="2"/>
        <v>192.849668</v>
      </c>
      <c r="G153" s="71">
        <v>45780.0</v>
      </c>
      <c r="H153" s="71">
        <v>198800.0</v>
      </c>
      <c r="I153" s="72">
        <f t="shared" si="3"/>
        <v>4.342507645</v>
      </c>
      <c r="J153" s="73"/>
      <c r="K153" s="50"/>
      <c r="L153" s="56"/>
      <c r="M153" s="13"/>
      <c r="N153" s="13"/>
      <c r="O153" s="13"/>
      <c r="P153" s="13"/>
      <c r="Q153" s="13"/>
      <c r="R153" s="13"/>
      <c r="S153" s="13"/>
      <c r="T153" s="68"/>
      <c r="U153" s="68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</row>
    <row r="154" ht="15.75" customHeight="1">
      <c r="A154" s="69">
        <v>31301.0</v>
      </c>
      <c r="B154" s="70" t="s">
        <v>171</v>
      </c>
      <c r="C154" s="69" t="s">
        <v>377</v>
      </c>
      <c r="D154" s="71">
        <v>19875.0</v>
      </c>
      <c r="E154" s="71">
        <v>2523402.5001531187</v>
      </c>
      <c r="F154" s="72">
        <f t="shared" si="2"/>
        <v>126.9636478</v>
      </c>
      <c r="G154" s="71">
        <v>19896.0</v>
      </c>
      <c r="H154" s="71">
        <v>246976.0</v>
      </c>
      <c r="I154" s="72">
        <f t="shared" si="3"/>
        <v>12.41334942</v>
      </c>
      <c r="J154" s="73"/>
      <c r="K154" s="50"/>
      <c r="L154" s="56"/>
      <c r="M154" s="13"/>
      <c r="N154" s="13"/>
      <c r="O154" s="13"/>
      <c r="P154" s="13"/>
      <c r="Q154" s="13"/>
      <c r="R154" s="13"/>
      <c r="S154" s="13"/>
      <c r="T154" s="68"/>
      <c r="U154" s="68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</row>
    <row r="155" ht="15.75" customHeight="1">
      <c r="A155" s="69">
        <v>31302.0</v>
      </c>
      <c r="B155" s="70" t="s">
        <v>172</v>
      </c>
      <c r="C155" s="69" t="s">
        <v>377</v>
      </c>
      <c r="D155" s="71">
        <v>5387.0</v>
      </c>
      <c r="E155" s="71">
        <v>109365.00006354973</v>
      </c>
      <c r="F155" s="72">
        <f t="shared" si="2"/>
        <v>20.30165214</v>
      </c>
      <c r="G155" s="71">
        <v>5244.0</v>
      </c>
      <c r="H155" s="71">
        <v>36334.0</v>
      </c>
      <c r="I155" s="72">
        <f t="shared" si="3"/>
        <v>6.928680397</v>
      </c>
      <c r="J155" s="73"/>
      <c r="K155" s="50"/>
      <c r="L155" s="56"/>
      <c r="M155" s="13"/>
      <c r="N155" s="13"/>
      <c r="O155" s="13"/>
      <c r="P155" s="13"/>
      <c r="Q155" s="13"/>
      <c r="R155" s="13"/>
      <c r="S155" s="13"/>
      <c r="T155" s="68"/>
      <c r="U155" s="68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</row>
    <row r="156" ht="15.75" customHeight="1">
      <c r="A156" s="69">
        <v>31303.0</v>
      </c>
      <c r="B156" s="70" t="s">
        <v>173</v>
      </c>
      <c r="C156" s="69" t="s">
        <v>377</v>
      </c>
      <c r="D156" s="71">
        <v>3469.0</v>
      </c>
      <c r="E156" s="71">
        <v>57372.50006655231</v>
      </c>
      <c r="F156" s="72">
        <f t="shared" si="2"/>
        <v>16.53862787</v>
      </c>
      <c r="G156" s="71">
        <v>3512.0</v>
      </c>
      <c r="H156" s="71">
        <v>13446.0</v>
      </c>
      <c r="I156" s="72">
        <f t="shared" si="3"/>
        <v>3.828587699</v>
      </c>
      <c r="J156" s="73"/>
      <c r="K156" s="50"/>
      <c r="L156" s="56"/>
      <c r="M156" s="13"/>
      <c r="N156" s="13"/>
      <c r="O156" s="13"/>
      <c r="P156" s="13"/>
      <c r="Q156" s="13"/>
      <c r="R156" s="13"/>
      <c r="S156" s="13"/>
      <c r="T156" s="68"/>
      <c r="U156" s="68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</row>
    <row r="157" ht="15.75" customHeight="1">
      <c r="A157" s="69">
        <v>31304.0</v>
      </c>
      <c r="B157" s="70" t="s">
        <v>174</v>
      </c>
      <c r="C157" s="69" t="s">
        <v>377</v>
      </c>
      <c r="D157" s="71">
        <v>7376.0</v>
      </c>
      <c r="E157" s="71">
        <v>0.0</v>
      </c>
      <c r="F157" s="72">
        <f t="shared" si="2"/>
        <v>0</v>
      </c>
      <c r="G157" s="71">
        <v>8056.0</v>
      </c>
      <c r="H157" s="71">
        <v>0.0</v>
      </c>
      <c r="I157" s="72">
        <f t="shared" si="3"/>
        <v>0</v>
      </c>
      <c r="J157" s="73"/>
      <c r="K157" s="50"/>
      <c r="L157" s="56"/>
      <c r="M157" s="13"/>
      <c r="N157" s="13"/>
      <c r="O157" s="13"/>
      <c r="P157" s="13"/>
      <c r="Q157" s="13"/>
      <c r="R157" s="13"/>
      <c r="S157" s="13"/>
      <c r="T157" s="68"/>
      <c r="U157" s="68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</row>
    <row r="158" ht="15.75" customHeight="1">
      <c r="A158" s="69">
        <v>31401.0</v>
      </c>
      <c r="B158" s="70" t="s">
        <v>175</v>
      </c>
      <c r="C158" s="69" t="s">
        <v>377</v>
      </c>
      <c r="D158" s="71">
        <v>31007.0</v>
      </c>
      <c r="E158" s="71">
        <v>7175862.502895114</v>
      </c>
      <c r="F158" s="72">
        <f t="shared" si="2"/>
        <v>231.4271778</v>
      </c>
      <c r="G158" s="71">
        <v>35248.0</v>
      </c>
      <c r="H158" s="71">
        <v>24480.0</v>
      </c>
      <c r="I158" s="72">
        <f t="shared" si="3"/>
        <v>0.6945074898</v>
      </c>
      <c r="J158" s="73"/>
      <c r="K158" s="50"/>
      <c r="L158" s="56"/>
      <c r="M158" s="13"/>
      <c r="N158" s="13"/>
      <c r="O158" s="13"/>
      <c r="P158" s="13"/>
      <c r="Q158" s="13"/>
      <c r="R158" s="13"/>
      <c r="S158" s="13"/>
      <c r="T158" s="68"/>
      <c r="U158" s="68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</row>
    <row r="159" ht="15.75" customHeight="1">
      <c r="A159" s="69">
        <v>31402.0</v>
      </c>
      <c r="B159" s="70" t="s">
        <v>176</v>
      </c>
      <c r="C159" s="69" t="s">
        <v>377</v>
      </c>
      <c r="D159" s="71">
        <v>8290.0</v>
      </c>
      <c r="E159" s="71">
        <v>1034120.000390321</v>
      </c>
      <c r="F159" s="72">
        <f t="shared" si="2"/>
        <v>124.743064</v>
      </c>
      <c r="G159" s="71">
        <v>8599.0</v>
      </c>
      <c r="H159" s="71">
        <v>5888.0</v>
      </c>
      <c r="I159" s="72">
        <f t="shared" si="3"/>
        <v>0.6847307826</v>
      </c>
      <c r="J159" s="73"/>
      <c r="K159" s="50"/>
      <c r="L159" s="56"/>
      <c r="M159" s="13"/>
      <c r="N159" s="13"/>
      <c r="O159" s="13"/>
      <c r="P159" s="13"/>
      <c r="Q159" s="13"/>
      <c r="R159" s="13"/>
      <c r="S159" s="13"/>
      <c r="T159" s="68"/>
      <c r="U159" s="68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</row>
    <row r="160" ht="15.75" customHeight="1">
      <c r="A160" s="69">
        <v>31403.0</v>
      </c>
      <c r="B160" s="70" t="s">
        <v>177</v>
      </c>
      <c r="C160" s="69" t="s">
        <v>377</v>
      </c>
      <c r="D160" s="71">
        <v>13393.0</v>
      </c>
      <c r="E160" s="71">
        <v>3110593.5015466763</v>
      </c>
      <c r="F160" s="72">
        <f t="shared" si="2"/>
        <v>232.2551707</v>
      </c>
      <c r="G160" s="71">
        <v>13054.0</v>
      </c>
      <c r="H160" s="71">
        <v>16005.0</v>
      </c>
      <c r="I160" s="72">
        <f t="shared" si="3"/>
        <v>1.226060977</v>
      </c>
      <c r="J160" s="73"/>
      <c r="K160" s="50"/>
      <c r="L160" s="56"/>
      <c r="M160" s="13"/>
      <c r="N160" s="13"/>
      <c r="O160" s="13"/>
      <c r="P160" s="13"/>
      <c r="Q160" s="13"/>
      <c r="R160" s="13"/>
      <c r="S160" s="13"/>
      <c r="T160" s="68"/>
      <c r="U160" s="68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</row>
    <row r="161" ht="15.75" customHeight="1">
      <c r="A161" s="69">
        <v>31404.0</v>
      </c>
      <c r="B161" s="70" t="s">
        <v>178</v>
      </c>
      <c r="C161" s="69" t="s">
        <v>377</v>
      </c>
      <c r="D161" s="71">
        <v>1298.0</v>
      </c>
      <c r="E161" s="71">
        <v>88303.99992523249</v>
      </c>
      <c r="F161" s="72">
        <f t="shared" si="2"/>
        <v>68.03081658</v>
      </c>
      <c r="G161" s="71">
        <v>1287.0</v>
      </c>
      <c r="H161" s="71">
        <v>18520.0</v>
      </c>
      <c r="I161" s="72">
        <f t="shared" si="3"/>
        <v>14.39005439</v>
      </c>
      <c r="J161" s="73"/>
      <c r="K161" s="50"/>
      <c r="L161" s="56"/>
      <c r="M161" s="13"/>
      <c r="N161" s="13"/>
      <c r="O161" s="13"/>
      <c r="P161" s="13"/>
      <c r="Q161" s="13"/>
      <c r="R161" s="13"/>
      <c r="S161" s="13"/>
      <c r="T161" s="68"/>
      <c r="U161" s="68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</row>
    <row r="162" ht="15.75" customHeight="1">
      <c r="A162" s="69">
        <v>31405.0</v>
      </c>
      <c r="B162" s="70" t="s">
        <v>179</v>
      </c>
      <c r="C162" s="69" t="s">
        <v>377</v>
      </c>
      <c r="D162" s="71">
        <v>3119.0</v>
      </c>
      <c r="E162" s="71">
        <v>0.0</v>
      </c>
      <c r="F162" s="72">
        <f t="shared" si="2"/>
        <v>0</v>
      </c>
      <c r="G162" s="71">
        <v>3822.0</v>
      </c>
      <c r="H162" s="71">
        <v>0.0</v>
      </c>
      <c r="I162" s="72">
        <f t="shared" si="3"/>
        <v>0</v>
      </c>
      <c r="J162" s="73"/>
      <c r="K162" s="50"/>
      <c r="L162" s="56"/>
      <c r="M162" s="13"/>
      <c r="N162" s="13"/>
      <c r="O162" s="13"/>
      <c r="P162" s="13"/>
      <c r="Q162" s="13"/>
      <c r="R162" s="13"/>
      <c r="S162" s="13"/>
      <c r="T162" s="68"/>
      <c r="U162" s="68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</row>
    <row r="163" ht="15.75" customHeight="1">
      <c r="A163" s="69">
        <v>31501.0</v>
      </c>
      <c r="B163" s="70" t="s">
        <v>180</v>
      </c>
      <c r="C163" s="69" t="s">
        <v>377</v>
      </c>
      <c r="D163" s="71">
        <v>7613.0</v>
      </c>
      <c r="E163" s="71">
        <v>170061.00025380962</v>
      </c>
      <c r="F163" s="72">
        <f t="shared" si="2"/>
        <v>22.33823726</v>
      </c>
      <c r="G163" s="71">
        <v>8282.0</v>
      </c>
      <c r="H163" s="71">
        <v>11988.0</v>
      </c>
      <c r="I163" s="72">
        <f t="shared" si="3"/>
        <v>1.447476455</v>
      </c>
      <c r="J163" s="73"/>
      <c r="K163" s="50"/>
      <c r="L163" s="56"/>
      <c r="M163" s="13"/>
      <c r="N163" s="13"/>
      <c r="O163" s="13"/>
      <c r="P163" s="13"/>
      <c r="Q163" s="13"/>
      <c r="R163" s="13"/>
      <c r="S163" s="13"/>
      <c r="T163" s="68"/>
      <c r="U163" s="68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</row>
    <row r="164" ht="15.75" customHeight="1">
      <c r="A164" s="69">
        <v>31601.0</v>
      </c>
      <c r="B164" s="70" t="s">
        <v>181</v>
      </c>
      <c r="C164" s="69" t="s">
        <v>377</v>
      </c>
      <c r="D164" s="71">
        <v>20312.0</v>
      </c>
      <c r="E164" s="71">
        <v>1775845.9994051699</v>
      </c>
      <c r="F164" s="72">
        <f t="shared" si="2"/>
        <v>87.42841667</v>
      </c>
      <c r="G164" s="71">
        <v>18475.0</v>
      </c>
      <c r="H164" s="71">
        <v>22655.0</v>
      </c>
      <c r="I164" s="72">
        <f t="shared" si="3"/>
        <v>1.226251691</v>
      </c>
      <c r="J164" s="73"/>
      <c r="K164" s="50"/>
      <c r="L164" s="56"/>
      <c r="M164" s="13"/>
      <c r="N164" s="13"/>
      <c r="O164" s="13"/>
      <c r="P164" s="13"/>
      <c r="Q164" s="13"/>
      <c r="R164" s="13"/>
      <c r="S164" s="13"/>
      <c r="T164" s="68"/>
      <c r="U164" s="68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</row>
    <row r="165" ht="15.75" customHeight="1">
      <c r="A165" s="69">
        <v>31602.0</v>
      </c>
      <c r="B165" s="70" t="s">
        <v>182</v>
      </c>
      <c r="C165" s="69" t="s">
        <v>377</v>
      </c>
      <c r="D165" s="71">
        <v>22951.0</v>
      </c>
      <c r="E165" s="71">
        <v>3585151.0028390633</v>
      </c>
      <c r="F165" s="72">
        <f t="shared" si="2"/>
        <v>156.2089235</v>
      </c>
      <c r="G165" s="71">
        <v>27172.0</v>
      </c>
      <c r="H165" s="71">
        <v>166005.0</v>
      </c>
      <c r="I165" s="72">
        <f t="shared" si="3"/>
        <v>6.109414103</v>
      </c>
      <c r="J165" s="73"/>
      <c r="K165" s="50"/>
      <c r="L165" s="56"/>
      <c r="M165" s="13"/>
      <c r="N165" s="13"/>
      <c r="O165" s="13"/>
      <c r="P165" s="13"/>
      <c r="Q165" s="13"/>
      <c r="R165" s="13"/>
      <c r="S165" s="13"/>
      <c r="T165" s="68"/>
      <c r="U165" s="68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</row>
    <row r="166" ht="15.75" customHeight="1">
      <c r="A166" s="69">
        <v>40101.0</v>
      </c>
      <c r="B166" s="70" t="s">
        <v>183</v>
      </c>
      <c r="C166" s="69" t="s">
        <v>183</v>
      </c>
      <c r="D166" s="71">
        <v>276079.0</v>
      </c>
      <c r="E166" s="71">
        <v>8.540816300252405E7</v>
      </c>
      <c r="F166" s="72">
        <f t="shared" si="2"/>
        <v>309.3613169</v>
      </c>
      <c r="G166" s="71">
        <v>298350.0</v>
      </c>
      <c r="H166" s="71">
        <v>9.57115619995346E7</v>
      </c>
      <c r="I166" s="72">
        <f t="shared" si="3"/>
        <v>320.8029563</v>
      </c>
      <c r="J166" s="73"/>
      <c r="K166" s="50"/>
      <c r="L166" s="56"/>
      <c r="M166" s="13"/>
      <c r="N166" s="13"/>
      <c r="O166" s="13"/>
      <c r="P166" s="13"/>
      <c r="Q166" s="13"/>
      <c r="R166" s="13"/>
      <c r="S166" s="13"/>
      <c r="T166" s="68"/>
      <c r="U166" s="68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</row>
    <row r="167" ht="15.75" customHeight="1">
      <c r="A167" s="69">
        <v>40102.0</v>
      </c>
      <c r="B167" s="70" t="s">
        <v>184</v>
      </c>
      <c r="C167" s="69" t="s">
        <v>183</v>
      </c>
      <c r="D167" s="71">
        <v>23027.0</v>
      </c>
      <c r="E167" s="71">
        <v>1257855.0008685244</v>
      </c>
      <c r="F167" s="72">
        <f t="shared" si="2"/>
        <v>54.6252226</v>
      </c>
      <c r="G167" s="71">
        <v>22850.0</v>
      </c>
      <c r="H167" s="71">
        <v>1764913.0001678467</v>
      </c>
      <c r="I167" s="72">
        <f t="shared" si="3"/>
        <v>77.23908097</v>
      </c>
      <c r="J167" s="73"/>
      <c r="K167" s="50"/>
      <c r="L167" s="56"/>
      <c r="M167" s="13"/>
      <c r="N167" s="13"/>
      <c r="O167" s="13"/>
      <c r="P167" s="13"/>
      <c r="Q167" s="13"/>
      <c r="R167" s="13"/>
      <c r="S167" s="13"/>
      <c r="T167" s="68"/>
      <c r="U167" s="68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</row>
    <row r="168" ht="15.75" customHeight="1">
      <c r="A168" s="69">
        <v>40103.0</v>
      </c>
      <c r="B168" s="70" t="s">
        <v>185</v>
      </c>
      <c r="C168" s="69" t="s">
        <v>183</v>
      </c>
      <c r="D168" s="71">
        <v>9149.0</v>
      </c>
      <c r="E168" s="71">
        <v>81553.9993623048</v>
      </c>
      <c r="F168" s="72">
        <f t="shared" si="2"/>
        <v>8.9139796</v>
      </c>
      <c r="G168" s="71">
        <v>9997.0</v>
      </c>
      <c r="H168" s="71">
        <v>147931.00008392334</v>
      </c>
      <c r="I168" s="72">
        <f t="shared" si="3"/>
        <v>14.79753927</v>
      </c>
      <c r="J168" s="73"/>
      <c r="K168" s="50"/>
      <c r="L168" s="56"/>
      <c r="M168" s="13"/>
      <c r="N168" s="13"/>
      <c r="O168" s="13"/>
      <c r="P168" s="13"/>
      <c r="Q168" s="13"/>
      <c r="R168" s="13"/>
      <c r="S168" s="13"/>
      <c r="T168" s="68"/>
      <c r="U168" s="68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</row>
    <row r="169" ht="15.75" customHeight="1">
      <c r="A169" s="69">
        <v>40104.0</v>
      </c>
      <c r="B169" s="70" t="s">
        <v>186</v>
      </c>
      <c r="C169" s="69" t="s">
        <v>183</v>
      </c>
      <c r="D169" s="71">
        <v>13819.0</v>
      </c>
      <c r="E169" s="71">
        <v>519538.9999715518</v>
      </c>
      <c r="F169" s="72">
        <f t="shared" si="2"/>
        <v>37.59599102</v>
      </c>
      <c r="G169" s="71">
        <v>15764.0</v>
      </c>
      <c r="H169" s="71">
        <v>691314.9999313354</v>
      </c>
      <c r="I169" s="72">
        <f t="shared" si="3"/>
        <v>43.8540345</v>
      </c>
      <c r="J169" s="73"/>
      <c r="K169" s="50"/>
      <c r="L169" s="56"/>
      <c r="M169" s="13"/>
      <c r="N169" s="13"/>
      <c r="O169" s="13"/>
      <c r="P169" s="13"/>
      <c r="Q169" s="13"/>
      <c r="R169" s="13"/>
      <c r="S169" s="13"/>
      <c r="T169" s="68"/>
      <c r="U169" s="68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</row>
    <row r="170" ht="15.75" customHeight="1">
      <c r="A170" s="69">
        <v>40201.0</v>
      </c>
      <c r="B170" s="70" t="s">
        <v>187</v>
      </c>
      <c r="C170" s="69" t="s">
        <v>183</v>
      </c>
      <c r="D170" s="71">
        <v>31088.0</v>
      </c>
      <c r="E170" s="71">
        <v>2504958.0007918514</v>
      </c>
      <c r="F170" s="72">
        <f t="shared" si="2"/>
        <v>80.5763639</v>
      </c>
      <c r="G170" s="71">
        <v>35427.0</v>
      </c>
      <c r="H170" s="71">
        <v>3477756.000099182</v>
      </c>
      <c r="I170" s="72">
        <f t="shared" si="3"/>
        <v>98.16682192</v>
      </c>
      <c r="J170" s="73"/>
      <c r="K170" s="50"/>
      <c r="L170" s="56"/>
      <c r="M170" s="13"/>
      <c r="N170" s="13"/>
      <c r="O170" s="13"/>
      <c r="P170" s="13"/>
      <c r="Q170" s="13"/>
      <c r="R170" s="13"/>
      <c r="S170" s="13"/>
      <c r="T170" s="68"/>
      <c r="U170" s="68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</row>
    <row r="171" ht="15.75" customHeight="1">
      <c r="A171" s="69">
        <v>40202.0</v>
      </c>
      <c r="B171" s="70" t="s">
        <v>188</v>
      </c>
      <c r="C171" s="69" t="s">
        <v>183</v>
      </c>
      <c r="D171" s="71">
        <v>4421.0</v>
      </c>
      <c r="E171" s="71">
        <v>62790.00004203152</v>
      </c>
      <c r="F171" s="72">
        <f t="shared" si="2"/>
        <v>14.20266909</v>
      </c>
      <c r="G171" s="71">
        <v>5161.0</v>
      </c>
      <c r="H171" s="71">
        <v>230249.00002288818</v>
      </c>
      <c r="I171" s="72">
        <f t="shared" si="3"/>
        <v>44.61325325</v>
      </c>
      <c r="J171" s="73"/>
      <c r="K171" s="50"/>
      <c r="L171" s="56"/>
      <c r="M171" s="13"/>
      <c r="N171" s="13"/>
      <c r="O171" s="13"/>
      <c r="P171" s="13"/>
      <c r="Q171" s="13"/>
      <c r="R171" s="13"/>
      <c r="S171" s="13"/>
      <c r="T171" s="68"/>
      <c r="U171" s="68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</row>
    <row r="172" ht="15.75" customHeight="1">
      <c r="A172" s="69">
        <v>40301.0</v>
      </c>
      <c r="B172" s="70" t="s">
        <v>189</v>
      </c>
      <c r="C172" s="69" t="s">
        <v>183</v>
      </c>
      <c r="D172" s="71">
        <v>11514.0</v>
      </c>
      <c r="E172" s="71">
        <v>264297.99965532776</v>
      </c>
      <c r="F172" s="72">
        <f t="shared" si="2"/>
        <v>22.95449016</v>
      </c>
      <c r="G172" s="71">
        <v>16101.0</v>
      </c>
      <c r="H172" s="71">
        <v>362450.9999847412</v>
      </c>
      <c r="I172" s="72">
        <f t="shared" si="3"/>
        <v>22.51108627</v>
      </c>
      <c r="J172" s="73"/>
      <c r="K172" s="50"/>
      <c r="L172" s="56"/>
      <c r="M172" s="13"/>
      <c r="N172" s="13"/>
      <c r="O172" s="13"/>
      <c r="P172" s="13"/>
      <c r="Q172" s="13"/>
      <c r="R172" s="13"/>
      <c r="S172" s="13"/>
      <c r="T172" s="68"/>
      <c r="U172" s="68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</row>
    <row r="173" ht="15.75" customHeight="1">
      <c r="A173" s="69">
        <v>40302.0</v>
      </c>
      <c r="B173" s="70" t="s">
        <v>190</v>
      </c>
      <c r="C173" s="69" t="s">
        <v>183</v>
      </c>
      <c r="D173" s="71">
        <v>2068.0</v>
      </c>
      <c r="E173" s="71">
        <v>47246.999916911125</v>
      </c>
      <c r="F173" s="72">
        <f t="shared" si="2"/>
        <v>22.84671176</v>
      </c>
      <c r="G173" s="71">
        <v>2504.0</v>
      </c>
      <c r="H173" s="71">
        <v>91991.99992370605</v>
      </c>
      <c r="I173" s="72">
        <f t="shared" si="3"/>
        <v>36.73801914</v>
      </c>
      <c r="J173" s="73"/>
      <c r="K173" s="50"/>
      <c r="L173" s="56"/>
      <c r="M173" s="13"/>
      <c r="N173" s="13"/>
      <c r="O173" s="13"/>
      <c r="P173" s="13"/>
      <c r="Q173" s="13"/>
      <c r="R173" s="13"/>
      <c r="S173" s="13"/>
      <c r="T173" s="68"/>
      <c r="U173" s="68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</row>
    <row r="174" ht="15.75" customHeight="1">
      <c r="A174" s="69">
        <v>40401.0</v>
      </c>
      <c r="B174" s="70" t="s">
        <v>191</v>
      </c>
      <c r="C174" s="69" t="s">
        <v>183</v>
      </c>
      <c r="D174" s="71">
        <v>5017.0</v>
      </c>
      <c r="E174" s="71">
        <v>143756.00008965842</v>
      </c>
      <c r="F174" s="72">
        <f t="shared" si="2"/>
        <v>28.65377718</v>
      </c>
      <c r="G174" s="71">
        <v>6683.0</v>
      </c>
      <c r="H174" s="71">
        <v>181751.99990081787</v>
      </c>
      <c r="I174" s="72">
        <f t="shared" si="3"/>
        <v>27.19616937</v>
      </c>
      <c r="J174" s="73"/>
      <c r="K174" s="50"/>
      <c r="L174" s="56"/>
      <c r="M174" s="13"/>
      <c r="N174" s="13"/>
      <c r="O174" s="13"/>
      <c r="P174" s="13"/>
      <c r="Q174" s="13"/>
      <c r="R174" s="13"/>
      <c r="S174" s="13"/>
      <c r="T174" s="68"/>
      <c r="U174" s="68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</row>
    <row r="175" ht="15.75" customHeight="1">
      <c r="A175" s="69">
        <v>40402.0</v>
      </c>
      <c r="B175" s="70" t="s">
        <v>192</v>
      </c>
      <c r="C175" s="69" t="s">
        <v>183</v>
      </c>
      <c r="D175" s="71">
        <v>5406.0</v>
      </c>
      <c r="E175" s="71">
        <v>117855.00018742308</v>
      </c>
      <c r="F175" s="72">
        <f t="shared" si="2"/>
        <v>21.80077695</v>
      </c>
      <c r="G175" s="71">
        <v>5803.0</v>
      </c>
      <c r="H175" s="71">
        <v>122664.00001525879</v>
      </c>
      <c r="I175" s="72">
        <f t="shared" si="3"/>
        <v>21.13803206</v>
      </c>
      <c r="J175" s="73"/>
      <c r="K175" s="50"/>
      <c r="L175" s="56"/>
      <c r="M175" s="13"/>
      <c r="N175" s="13"/>
      <c r="O175" s="13"/>
      <c r="P175" s="13"/>
      <c r="Q175" s="13"/>
      <c r="R175" s="13"/>
      <c r="S175" s="13"/>
      <c r="T175" s="68"/>
      <c r="U175" s="68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</row>
    <row r="176" ht="15.75" customHeight="1">
      <c r="A176" s="69">
        <v>40501.0</v>
      </c>
      <c r="B176" s="70" t="s">
        <v>193</v>
      </c>
      <c r="C176" s="69" t="s">
        <v>183</v>
      </c>
      <c r="D176" s="71">
        <v>2006.0</v>
      </c>
      <c r="E176" s="71">
        <v>183777.00013738032</v>
      </c>
      <c r="F176" s="72">
        <f t="shared" si="2"/>
        <v>91.61365909</v>
      </c>
      <c r="G176" s="71">
        <v>4011.0</v>
      </c>
      <c r="H176" s="71">
        <v>173824.99980926514</v>
      </c>
      <c r="I176" s="72">
        <f t="shared" si="3"/>
        <v>43.337073</v>
      </c>
      <c r="J176" s="73"/>
      <c r="K176" s="50"/>
      <c r="L176" s="56"/>
      <c r="M176" s="13"/>
      <c r="N176" s="13"/>
      <c r="O176" s="13"/>
      <c r="P176" s="13"/>
      <c r="Q176" s="13"/>
      <c r="R176" s="13"/>
      <c r="S176" s="13"/>
      <c r="T176" s="68"/>
      <c r="U176" s="68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</row>
    <row r="177" ht="15.75" customHeight="1">
      <c r="A177" s="69">
        <v>40502.0</v>
      </c>
      <c r="B177" s="70" t="s">
        <v>194</v>
      </c>
      <c r="C177" s="69" t="s">
        <v>183</v>
      </c>
      <c r="D177" s="71">
        <v>4226.0</v>
      </c>
      <c r="E177" s="71">
        <v>8289.999977324158</v>
      </c>
      <c r="F177" s="72">
        <f t="shared" si="2"/>
        <v>1.961665873</v>
      </c>
      <c r="G177" s="71">
        <v>4231.0</v>
      </c>
      <c r="H177" s="71">
        <v>105901.99996948242</v>
      </c>
      <c r="I177" s="72">
        <f t="shared" si="3"/>
        <v>25.03001654</v>
      </c>
      <c r="J177" s="73"/>
      <c r="K177" s="50"/>
      <c r="L177" s="56"/>
      <c r="M177" s="13"/>
      <c r="N177" s="13"/>
      <c r="O177" s="13"/>
      <c r="P177" s="13"/>
      <c r="Q177" s="13"/>
      <c r="R177" s="13"/>
      <c r="S177" s="13"/>
      <c r="T177" s="68"/>
      <c r="U177" s="68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</row>
    <row r="178" ht="15.75" customHeight="1">
      <c r="A178" s="69">
        <v>40503.0</v>
      </c>
      <c r="B178" s="70" t="s">
        <v>195</v>
      </c>
      <c r="C178" s="69" t="s">
        <v>183</v>
      </c>
      <c r="D178" s="71">
        <v>1817.0</v>
      </c>
      <c r="E178" s="71">
        <v>14427.00036949385</v>
      </c>
      <c r="F178" s="72">
        <f t="shared" si="2"/>
        <v>7.940011211</v>
      </c>
      <c r="G178" s="71">
        <v>1517.0</v>
      </c>
      <c r="H178" s="71">
        <v>4261.0</v>
      </c>
      <c r="I178" s="72">
        <f t="shared" si="3"/>
        <v>2.808833223</v>
      </c>
      <c r="J178" s="73"/>
      <c r="K178" s="50"/>
      <c r="L178" s="56"/>
      <c r="M178" s="13"/>
      <c r="N178" s="13"/>
      <c r="O178" s="13"/>
      <c r="P178" s="13"/>
      <c r="Q178" s="13"/>
      <c r="R178" s="13"/>
      <c r="S178" s="13"/>
      <c r="T178" s="68"/>
      <c r="U178" s="68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</row>
    <row r="179" ht="15.75" customHeight="1">
      <c r="A179" s="69">
        <v>40504.0</v>
      </c>
      <c r="B179" s="70" t="s">
        <v>196</v>
      </c>
      <c r="C179" s="69" t="s">
        <v>183</v>
      </c>
      <c r="D179" s="71">
        <v>634.3333333</v>
      </c>
      <c r="E179" s="71">
        <v>10825.999946177006</v>
      </c>
      <c r="F179" s="72">
        <f t="shared" si="2"/>
        <v>17.06673665</v>
      </c>
      <c r="G179" s="71">
        <v>875.0</v>
      </c>
      <c r="H179" s="71">
        <v>10000.0</v>
      </c>
      <c r="I179" s="72">
        <f t="shared" si="3"/>
        <v>11.42857143</v>
      </c>
      <c r="J179" s="73"/>
      <c r="K179" s="50"/>
      <c r="L179" s="56"/>
      <c r="M179" s="13"/>
      <c r="N179" s="13"/>
      <c r="O179" s="13"/>
      <c r="P179" s="13"/>
      <c r="Q179" s="13"/>
      <c r="R179" s="13"/>
      <c r="S179" s="13"/>
      <c r="T179" s="68"/>
      <c r="U179" s="68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</row>
    <row r="180" ht="15.75" customHeight="1">
      <c r="A180" s="69">
        <v>40505.0</v>
      </c>
      <c r="B180" s="70" t="s">
        <v>197</v>
      </c>
      <c r="C180" s="69" t="s">
        <v>183</v>
      </c>
      <c r="D180" s="71">
        <v>3095.0</v>
      </c>
      <c r="E180" s="71">
        <v>12500.00010740757</v>
      </c>
      <c r="F180" s="72">
        <f t="shared" si="2"/>
        <v>4.038772248</v>
      </c>
      <c r="G180" s="71">
        <v>3882.0</v>
      </c>
      <c r="H180" s="71">
        <v>35925.0</v>
      </c>
      <c r="I180" s="72">
        <f t="shared" si="3"/>
        <v>9.254250386</v>
      </c>
      <c r="J180" s="73"/>
      <c r="K180" s="50"/>
      <c r="L180" s="56"/>
      <c r="M180" s="13"/>
      <c r="N180" s="13"/>
      <c r="O180" s="13"/>
      <c r="P180" s="13"/>
      <c r="Q180" s="13"/>
      <c r="R180" s="13"/>
      <c r="S180" s="13"/>
      <c r="T180" s="68"/>
      <c r="U180" s="68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</row>
    <row r="181" ht="15.75" customHeight="1">
      <c r="A181" s="69">
        <v>40601.0</v>
      </c>
      <c r="B181" s="70" t="s">
        <v>198</v>
      </c>
      <c r="C181" s="69" t="s">
        <v>183</v>
      </c>
      <c r="D181" s="71">
        <v>8121.0</v>
      </c>
      <c r="E181" s="71">
        <v>13669.00004781317</v>
      </c>
      <c r="F181" s="72">
        <f t="shared" si="2"/>
        <v>1.683167104</v>
      </c>
      <c r="G181" s="71">
        <v>9189.0</v>
      </c>
      <c r="H181" s="71">
        <v>105137.00006866455</v>
      </c>
      <c r="I181" s="72">
        <f t="shared" si="3"/>
        <v>11.44161498</v>
      </c>
      <c r="J181" s="73"/>
      <c r="K181" s="50"/>
      <c r="L181" s="56"/>
      <c r="M181" s="13"/>
      <c r="N181" s="13"/>
      <c r="O181" s="13"/>
      <c r="P181" s="13"/>
      <c r="Q181" s="13"/>
      <c r="R181" s="13"/>
      <c r="S181" s="13"/>
      <c r="T181" s="68"/>
      <c r="U181" s="68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</row>
    <row r="182" ht="15.75" customHeight="1">
      <c r="A182" s="69">
        <v>40602.0</v>
      </c>
      <c r="B182" s="70" t="s">
        <v>199</v>
      </c>
      <c r="C182" s="69" t="s">
        <v>183</v>
      </c>
      <c r="D182" s="71">
        <v>5387.0</v>
      </c>
      <c r="E182" s="71">
        <v>195530.000221245</v>
      </c>
      <c r="F182" s="72">
        <f t="shared" si="2"/>
        <v>36.2966401</v>
      </c>
      <c r="G182" s="71">
        <v>4251.0</v>
      </c>
      <c r="H182" s="71">
        <v>147914.00004577637</v>
      </c>
      <c r="I182" s="72">
        <f t="shared" si="3"/>
        <v>34.79510704</v>
      </c>
      <c r="J182" s="73"/>
      <c r="K182" s="50"/>
      <c r="L182" s="56"/>
      <c r="M182" s="13"/>
      <c r="N182" s="13"/>
      <c r="O182" s="13"/>
      <c r="P182" s="13"/>
      <c r="Q182" s="13"/>
      <c r="R182" s="13"/>
      <c r="S182" s="13"/>
      <c r="T182" s="68"/>
      <c r="U182" s="68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</row>
    <row r="183" ht="15.75" customHeight="1">
      <c r="A183" s="69">
        <v>40603.0</v>
      </c>
      <c r="B183" s="70" t="s">
        <v>200</v>
      </c>
      <c r="C183" s="69" t="s">
        <v>183</v>
      </c>
      <c r="D183" s="71">
        <v>3398.0</v>
      </c>
      <c r="E183" s="71">
        <v>2514.0000056922436</v>
      </c>
      <c r="F183" s="72">
        <f t="shared" si="2"/>
        <v>0.7398469705</v>
      </c>
      <c r="G183" s="71">
        <v>3666.0</v>
      </c>
      <c r="H183" s="71">
        <v>31543.0</v>
      </c>
      <c r="I183" s="72">
        <f t="shared" si="3"/>
        <v>8.604200764</v>
      </c>
      <c r="J183" s="73"/>
      <c r="K183" s="50"/>
      <c r="L183" s="56"/>
      <c r="M183" s="13"/>
      <c r="N183" s="13"/>
      <c r="O183" s="13"/>
      <c r="P183" s="13"/>
      <c r="Q183" s="13"/>
      <c r="R183" s="13"/>
      <c r="S183" s="13"/>
      <c r="T183" s="68"/>
      <c r="U183" s="68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</row>
    <row r="184" ht="15.75" customHeight="1">
      <c r="A184" s="69">
        <v>40701.0</v>
      </c>
      <c r="B184" s="70" t="s">
        <v>201</v>
      </c>
      <c r="C184" s="69" t="s">
        <v>183</v>
      </c>
      <c r="D184" s="71">
        <v>23157.0</v>
      </c>
      <c r="E184" s="71">
        <v>5055554.999263692</v>
      </c>
      <c r="F184" s="72">
        <f t="shared" si="2"/>
        <v>218.3164917</v>
      </c>
      <c r="G184" s="71">
        <v>20118.0</v>
      </c>
      <c r="H184" s="71">
        <v>4648743.001220703</v>
      </c>
      <c r="I184" s="72">
        <f t="shared" si="3"/>
        <v>231.0738146</v>
      </c>
      <c r="J184" s="73"/>
      <c r="K184" s="50"/>
      <c r="L184" s="56"/>
      <c r="M184" s="13"/>
      <c r="N184" s="13"/>
      <c r="O184" s="13"/>
      <c r="P184" s="13"/>
      <c r="Q184" s="13"/>
      <c r="R184" s="13"/>
      <c r="S184" s="13"/>
      <c r="T184" s="68"/>
      <c r="U184" s="68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</row>
    <row r="185" ht="15.75" customHeight="1">
      <c r="A185" s="69">
        <v>40702.0</v>
      </c>
      <c r="B185" s="70" t="s">
        <v>202</v>
      </c>
      <c r="C185" s="69" t="s">
        <v>183</v>
      </c>
      <c r="D185" s="71">
        <v>5253.0</v>
      </c>
      <c r="E185" s="71">
        <v>530641.00029431</v>
      </c>
      <c r="F185" s="72">
        <f t="shared" si="2"/>
        <v>101.0167524</v>
      </c>
      <c r="G185" s="71">
        <v>6120.0</v>
      </c>
      <c r="H185" s="71">
        <v>641742.9999542236</v>
      </c>
      <c r="I185" s="72">
        <f t="shared" si="3"/>
        <v>104.8599673</v>
      </c>
      <c r="J185" s="73"/>
      <c r="K185" s="50"/>
      <c r="L185" s="56"/>
      <c r="M185" s="13"/>
      <c r="N185" s="13"/>
      <c r="O185" s="13"/>
      <c r="P185" s="13"/>
      <c r="Q185" s="13"/>
      <c r="R185" s="13"/>
      <c r="S185" s="13"/>
      <c r="T185" s="68"/>
      <c r="U185" s="68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</row>
    <row r="186" ht="15.75" customHeight="1">
      <c r="A186" s="69">
        <v>40801.0</v>
      </c>
      <c r="B186" s="70" t="s">
        <v>203</v>
      </c>
      <c r="C186" s="69" t="s">
        <v>183</v>
      </c>
      <c r="D186" s="71">
        <v>13230.0</v>
      </c>
      <c r="E186" s="71">
        <v>677831.0008056657</v>
      </c>
      <c r="F186" s="72">
        <f t="shared" si="2"/>
        <v>51.2343916</v>
      </c>
      <c r="G186" s="71">
        <v>15934.0</v>
      </c>
      <c r="H186" s="71">
        <v>558529.0001220703</v>
      </c>
      <c r="I186" s="72">
        <f t="shared" si="3"/>
        <v>35.05265471</v>
      </c>
      <c r="J186" s="73"/>
      <c r="K186" s="50"/>
      <c r="L186" s="56"/>
      <c r="M186" s="13"/>
      <c r="N186" s="13"/>
      <c r="O186" s="13"/>
      <c r="P186" s="13"/>
      <c r="Q186" s="13"/>
      <c r="R186" s="13"/>
      <c r="S186" s="13"/>
      <c r="T186" s="68"/>
      <c r="U186" s="68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</row>
    <row r="187" ht="15.75" customHeight="1">
      <c r="A187" s="69">
        <v>40802.0</v>
      </c>
      <c r="B187" s="70" t="s">
        <v>204</v>
      </c>
      <c r="C187" s="69" t="s">
        <v>183</v>
      </c>
      <c r="D187" s="71">
        <v>3048.0</v>
      </c>
      <c r="E187" s="71">
        <v>47059.99995390326</v>
      </c>
      <c r="F187" s="72">
        <f t="shared" si="2"/>
        <v>15.43963253</v>
      </c>
      <c r="G187" s="71">
        <v>3197.0</v>
      </c>
      <c r="H187" s="71">
        <v>54897.00002288818</v>
      </c>
      <c r="I187" s="72">
        <f t="shared" si="3"/>
        <v>17.1714107</v>
      </c>
      <c r="J187" s="73"/>
      <c r="K187" s="50"/>
      <c r="L187" s="56"/>
      <c r="M187" s="13"/>
      <c r="N187" s="13"/>
      <c r="O187" s="13"/>
      <c r="P187" s="13"/>
      <c r="Q187" s="13"/>
      <c r="R187" s="13"/>
      <c r="S187" s="13"/>
      <c r="T187" s="68"/>
      <c r="U187" s="68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</row>
    <row r="188" ht="15.75" customHeight="1">
      <c r="A188" s="69">
        <v>40901.0</v>
      </c>
      <c r="B188" s="70" t="s">
        <v>205</v>
      </c>
      <c r="C188" s="69" t="s">
        <v>183</v>
      </c>
      <c r="D188" s="71">
        <v>10513.0</v>
      </c>
      <c r="E188" s="71">
        <v>327032.999522388</v>
      </c>
      <c r="F188" s="72">
        <f t="shared" si="2"/>
        <v>31.10748592</v>
      </c>
      <c r="G188" s="71">
        <v>15504.0</v>
      </c>
      <c r="H188" s="71">
        <v>632862.0001144409</v>
      </c>
      <c r="I188" s="72">
        <f t="shared" si="3"/>
        <v>40.81927245</v>
      </c>
      <c r="J188" s="73"/>
      <c r="K188" s="50"/>
      <c r="L188" s="56"/>
      <c r="M188" s="13"/>
      <c r="N188" s="13"/>
      <c r="O188" s="13"/>
      <c r="P188" s="13"/>
      <c r="Q188" s="13"/>
      <c r="R188" s="13"/>
      <c r="S188" s="13"/>
      <c r="T188" s="68"/>
      <c r="U188" s="68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</row>
    <row r="189" ht="15.75" customHeight="1">
      <c r="A189" s="69">
        <v>40902.0</v>
      </c>
      <c r="B189" s="70" t="s">
        <v>206</v>
      </c>
      <c r="C189" s="69" t="s">
        <v>183</v>
      </c>
      <c r="D189" s="71">
        <v>1070.666667</v>
      </c>
      <c r="E189" s="71">
        <v>82661.00024309754</v>
      </c>
      <c r="F189" s="72">
        <f t="shared" si="2"/>
        <v>77.20516832</v>
      </c>
      <c r="G189" s="71">
        <v>1406.0</v>
      </c>
      <c r="H189" s="71">
        <v>52390.0</v>
      </c>
      <c r="I189" s="72">
        <f t="shared" si="3"/>
        <v>37.26173542</v>
      </c>
      <c r="J189" s="73"/>
      <c r="K189" s="50"/>
      <c r="L189" s="56"/>
      <c r="M189" s="13"/>
      <c r="N189" s="13"/>
      <c r="O189" s="13"/>
      <c r="P189" s="13"/>
      <c r="Q189" s="13"/>
      <c r="R189" s="13"/>
      <c r="S189" s="13"/>
      <c r="T189" s="68"/>
      <c r="U189" s="68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</row>
    <row r="190" ht="15.75" customHeight="1">
      <c r="A190" s="69">
        <v>40903.0</v>
      </c>
      <c r="B190" s="70" t="s">
        <v>207</v>
      </c>
      <c r="C190" s="69" t="s">
        <v>183</v>
      </c>
      <c r="D190" s="71">
        <v>2120.0</v>
      </c>
      <c r="E190" s="71">
        <v>84576.00003077555</v>
      </c>
      <c r="F190" s="72">
        <f t="shared" si="2"/>
        <v>39.89433964</v>
      </c>
      <c r="G190" s="71">
        <v>2355.0</v>
      </c>
      <c r="H190" s="71">
        <v>84476.00003814697</v>
      </c>
      <c r="I190" s="72">
        <f t="shared" si="3"/>
        <v>35.87091297</v>
      </c>
      <c r="J190" s="73"/>
      <c r="K190" s="50"/>
      <c r="L190" s="56"/>
      <c r="M190" s="13"/>
      <c r="N190" s="13"/>
      <c r="O190" s="13"/>
      <c r="P190" s="13"/>
      <c r="Q190" s="13"/>
      <c r="R190" s="13"/>
      <c r="S190" s="13"/>
      <c r="T190" s="68"/>
      <c r="U190" s="68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</row>
    <row r="191" ht="15.75" customHeight="1">
      <c r="A191" s="69">
        <v>41001.0</v>
      </c>
      <c r="B191" s="70" t="s">
        <v>208</v>
      </c>
      <c r="C191" s="69" t="s">
        <v>183</v>
      </c>
      <c r="D191" s="71">
        <v>10833.0</v>
      </c>
      <c r="E191" s="71">
        <v>203753.00030716695</v>
      </c>
      <c r="F191" s="72">
        <f t="shared" si="2"/>
        <v>18.80854798</v>
      </c>
      <c r="G191" s="71">
        <v>12202.0</v>
      </c>
      <c r="H191" s="71">
        <v>257120.99993133545</v>
      </c>
      <c r="I191" s="72">
        <f t="shared" si="3"/>
        <v>21.07203737</v>
      </c>
      <c r="J191" s="73"/>
      <c r="K191" s="50"/>
      <c r="L191" s="56"/>
      <c r="M191" s="13"/>
      <c r="N191" s="13"/>
      <c r="O191" s="13"/>
      <c r="P191" s="13"/>
      <c r="Q191" s="13"/>
      <c r="R191" s="13"/>
      <c r="S191" s="13"/>
      <c r="T191" s="68"/>
      <c r="U191" s="68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</row>
    <row r="192" ht="15.75" customHeight="1">
      <c r="A192" s="69">
        <v>41101.0</v>
      </c>
      <c r="B192" s="70" t="s">
        <v>209</v>
      </c>
      <c r="C192" s="69" t="s">
        <v>183</v>
      </c>
      <c r="D192" s="71">
        <v>5290.0</v>
      </c>
      <c r="E192" s="71">
        <v>45323.00022884831</v>
      </c>
      <c r="F192" s="72">
        <f t="shared" si="2"/>
        <v>8.567674901</v>
      </c>
      <c r="G192" s="71">
        <v>5335.0</v>
      </c>
      <c r="H192" s="71">
        <v>298861.99994659424</v>
      </c>
      <c r="I192" s="72">
        <f t="shared" si="3"/>
        <v>56.01911902</v>
      </c>
      <c r="J192" s="73"/>
      <c r="K192" s="50"/>
      <c r="L192" s="56"/>
      <c r="M192" s="13"/>
      <c r="N192" s="13"/>
      <c r="O192" s="13"/>
      <c r="P192" s="13"/>
      <c r="Q192" s="13"/>
      <c r="R192" s="13"/>
      <c r="S192" s="13"/>
      <c r="T192" s="68"/>
      <c r="U192" s="68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</row>
    <row r="193" ht="15.75" customHeight="1">
      <c r="A193" s="69">
        <v>41201.0</v>
      </c>
      <c r="B193" s="70" t="s">
        <v>210</v>
      </c>
      <c r="C193" s="69" t="s">
        <v>183</v>
      </c>
      <c r="D193" s="71">
        <v>5581.0</v>
      </c>
      <c r="E193" s="71">
        <v>191195.9997679582</v>
      </c>
      <c r="F193" s="72">
        <f t="shared" si="2"/>
        <v>34.25837659</v>
      </c>
      <c r="G193" s="71">
        <v>6311.0</v>
      </c>
      <c r="H193" s="71">
        <v>183901.9999923706</v>
      </c>
      <c r="I193" s="72">
        <f t="shared" si="3"/>
        <v>29.13991443</v>
      </c>
      <c r="J193" s="73"/>
      <c r="K193" s="50"/>
      <c r="L193" s="56"/>
      <c r="M193" s="13"/>
      <c r="N193" s="13"/>
      <c r="O193" s="13"/>
      <c r="P193" s="13"/>
      <c r="Q193" s="13"/>
      <c r="R193" s="13"/>
      <c r="S193" s="13"/>
      <c r="T193" s="68"/>
      <c r="U193" s="68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</row>
    <row r="194" ht="15.75" customHeight="1">
      <c r="A194" s="69">
        <v>41202.0</v>
      </c>
      <c r="B194" s="70" t="s">
        <v>211</v>
      </c>
      <c r="C194" s="69" t="s">
        <v>183</v>
      </c>
      <c r="D194" s="71">
        <v>2364.0</v>
      </c>
      <c r="E194" s="71">
        <v>49112.00013186876</v>
      </c>
      <c r="F194" s="72">
        <f t="shared" si="2"/>
        <v>20.77495775</v>
      </c>
      <c r="G194" s="71">
        <v>3061.0</v>
      </c>
      <c r="H194" s="71">
        <v>2862.0</v>
      </c>
      <c r="I194" s="72">
        <f t="shared" si="3"/>
        <v>0.9349885658</v>
      </c>
      <c r="J194" s="73"/>
      <c r="K194" s="50"/>
      <c r="L194" s="56"/>
      <c r="M194" s="13"/>
      <c r="N194" s="13"/>
      <c r="O194" s="13"/>
      <c r="P194" s="13"/>
      <c r="Q194" s="13"/>
      <c r="R194" s="13"/>
      <c r="S194" s="13"/>
      <c r="T194" s="68"/>
      <c r="U194" s="68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</row>
    <row r="195" ht="15.75" customHeight="1">
      <c r="A195" s="69">
        <v>41301.0</v>
      </c>
      <c r="B195" s="70" t="s">
        <v>212</v>
      </c>
      <c r="C195" s="69" t="s">
        <v>183</v>
      </c>
      <c r="D195" s="71">
        <v>5900.0</v>
      </c>
      <c r="E195" s="71">
        <v>15607.000008354895</v>
      </c>
      <c r="F195" s="72">
        <f t="shared" si="2"/>
        <v>2.645254239</v>
      </c>
      <c r="G195" s="71">
        <v>6637.0</v>
      </c>
      <c r="H195" s="71">
        <v>132936.9999923706</v>
      </c>
      <c r="I195" s="72">
        <f t="shared" si="3"/>
        <v>20.02968208</v>
      </c>
      <c r="J195" s="73"/>
      <c r="K195" s="50"/>
      <c r="L195" s="56"/>
      <c r="M195" s="13"/>
      <c r="N195" s="13"/>
      <c r="O195" s="13"/>
      <c r="P195" s="13"/>
      <c r="Q195" s="13"/>
      <c r="R195" s="13"/>
      <c r="S195" s="13"/>
      <c r="T195" s="68"/>
      <c r="U195" s="68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</row>
    <row r="196" ht="15.75" customHeight="1">
      <c r="A196" s="69">
        <v>41401.0</v>
      </c>
      <c r="B196" s="70" t="s">
        <v>213</v>
      </c>
      <c r="C196" s="69" t="s">
        <v>183</v>
      </c>
      <c r="D196" s="71">
        <v>13356.0</v>
      </c>
      <c r="E196" s="71">
        <v>542637.9990727687</v>
      </c>
      <c r="F196" s="72">
        <f t="shared" si="2"/>
        <v>40.628781</v>
      </c>
      <c r="G196" s="71">
        <v>13502.0</v>
      </c>
      <c r="H196" s="71">
        <v>581877.0000305176</v>
      </c>
      <c r="I196" s="72">
        <f t="shared" si="3"/>
        <v>43.09561547</v>
      </c>
      <c r="J196" s="73"/>
      <c r="K196" s="50"/>
      <c r="L196" s="56"/>
      <c r="M196" s="13"/>
      <c r="N196" s="13"/>
      <c r="O196" s="13"/>
      <c r="P196" s="13"/>
      <c r="Q196" s="13"/>
      <c r="R196" s="13"/>
      <c r="S196" s="13"/>
      <c r="T196" s="68"/>
      <c r="U196" s="68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</row>
    <row r="197" ht="15.75" customHeight="1">
      <c r="A197" s="69">
        <v>41501.0</v>
      </c>
      <c r="B197" s="70" t="s">
        <v>214</v>
      </c>
      <c r="C197" s="69" t="s">
        <v>183</v>
      </c>
      <c r="D197" s="71">
        <v>760.0</v>
      </c>
      <c r="E197" s="71">
        <v>8289.000012712553</v>
      </c>
      <c r="F197" s="72">
        <f t="shared" si="2"/>
        <v>10.90657896</v>
      </c>
      <c r="G197" s="71">
        <v>1262.0</v>
      </c>
      <c r="H197" s="71">
        <v>46626.99995422363</v>
      </c>
      <c r="I197" s="72">
        <f t="shared" si="3"/>
        <v>36.94690963</v>
      </c>
      <c r="J197" s="73"/>
      <c r="K197" s="50"/>
      <c r="L197" s="56"/>
      <c r="M197" s="13"/>
      <c r="N197" s="13"/>
      <c r="O197" s="13"/>
      <c r="P197" s="13"/>
      <c r="Q197" s="13"/>
      <c r="R197" s="13"/>
      <c r="S197" s="13"/>
      <c r="T197" s="68"/>
      <c r="U197" s="68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</row>
    <row r="198" ht="15.75" customHeight="1">
      <c r="A198" s="69">
        <v>41502.0</v>
      </c>
      <c r="B198" s="70" t="s">
        <v>215</v>
      </c>
      <c r="C198" s="69" t="s">
        <v>183</v>
      </c>
      <c r="D198" s="71">
        <v>864.6666667</v>
      </c>
      <c r="E198" s="71">
        <v>5425.999999840744</v>
      </c>
      <c r="F198" s="72">
        <f t="shared" si="2"/>
        <v>6.275250578</v>
      </c>
      <c r="G198" s="71">
        <v>1140.0</v>
      </c>
      <c r="H198" s="71">
        <v>36699.00005340576</v>
      </c>
      <c r="I198" s="72">
        <f t="shared" si="3"/>
        <v>32.19210531</v>
      </c>
      <c r="J198" s="73"/>
      <c r="K198" s="50"/>
      <c r="L198" s="56"/>
      <c r="M198" s="13"/>
      <c r="N198" s="13"/>
      <c r="O198" s="13"/>
      <c r="P198" s="13"/>
      <c r="Q198" s="13"/>
      <c r="R198" s="13"/>
      <c r="S198" s="13"/>
      <c r="T198" s="68"/>
      <c r="U198" s="68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</row>
    <row r="199" ht="15.75" customHeight="1">
      <c r="A199" s="69">
        <v>41503.0</v>
      </c>
      <c r="B199" s="70" t="s">
        <v>216</v>
      </c>
      <c r="C199" s="69" t="s">
        <v>183</v>
      </c>
      <c r="D199" s="71">
        <v>936.3333333</v>
      </c>
      <c r="E199" s="71">
        <v>4779.000058887526</v>
      </c>
      <c r="F199" s="72">
        <f t="shared" si="2"/>
        <v>5.103951647</v>
      </c>
      <c r="G199" s="71">
        <v>1129.0</v>
      </c>
      <c r="H199" s="71">
        <v>231241.0002975464</v>
      </c>
      <c r="I199" s="72">
        <f t="shared" si="3"/>
        <v>204.8193094</v>
      </c>
      <c r="J199" s="73"/>
      <c r="K199" s="50"/>
      <c r="L199" s="56"/>
      <c r="M199" s="13"/>
      <c r="N199" s="13"/>
      <c r="O199" s="13"/>
      <c r="P199" s="13"/>
      <c r="Q199" s="13"/>
      <c r="R199" s="13"/>
      <c r="S199" s="13"/>
      <c r="T199" s="68"/>
      <c r="U199" s="68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</row>
    <row r="200" ht="15.75" customHeight="1">
      <c r="A200" s="69">
        <v>41601.0</v>
      </c>
      <c r="B200" s="70" t="s">
        <v>217</v>
      </c>
      <c r="C200" s="69" t="s">
        <v>183</v>
      </c>
      <c r="D200" s="71">
        <v>5667.0</v>
      </c>
      <c r="E200" s="71">
        <v>30102.999903494492</v>
      </c>
      <c r="F200" s="72">
        <f t="shared" si="2"/>
        <v>5.311981631</v>
      </c>
      <c r="G200" s="71">
        <v>5996.0</v>
      </c>
      <c r="H200" s="71">
        <v>172797.0001525879</v>
      </c>
      <c r="I200" s="72">
        <f t="shared" si="3"/>
        <v>28.8187125</v>
      </c>
      <c r="J200" s="73"/>
      <c r="K200" s="50"/>
      <c r="L200" s="56"/>
      <c r="M200" s="13"/>
      <c r="N200" s="13"/>
      <c r="O200" s="13"/>
      <c r="P200" s="13"/>
      <c r="Q200" s="13"/>
      <c r="R200" s="13"/>
      <c r="S200" s="13"/>
      <c r="T200" s="68"/>
      <c r="U200" s="68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</row>
    <row r="201" ht="15.75" customHeight="1">
      <c r="A201" s="69">
        <v>50101.0</v>
      </c>
      <c r="B201" s="70" t="s">
        <v>218</v>
      </c>
      <c r="C201" s="69" t="s">
        <v>218</v>
      </c>
      <c r="D201" s="71">
        <v>200435.0</v>
      </c>
      <c r="E201" s="71">
        <v>4.337751700140578E7</v>
      </c>
      <c r="F201" s="72">
        <f t="shared" si="2"/>
        <v>216.4168783</v>
      </c>
      <c r="G201" s="71">
        <v>218702.0</v>
      </c>
      <c r="H201" s="71">
        <v>5.608441000274658E7</v>
      </c>
      <c r="I201" s="72">
        <f t="shared" si="3"/>
        <v>256.442145</v>
      </c>
      <c r="J201" s="73"/>
      <c r="K201" s="50"/>
      <c r="L201" s="56"/>
      <c r="M201" s="13"/>
      <c r="N201" s="13"/>
      <c r="O201" s="13"/>
      <c r="P201" s="13"/>
      <c r="Q201" s="13"/>
      <c r="R201" s="13"/>
      <c r="S201" s="13"/>
      <c r="T201" s="68"/>
      <c r="U201" s="68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</row>
    <row r="202" ht="15.75" customHeight="1">
      <c r="A202" s="69">
        <v>50102.0</v>
      </c>
      <c r="B202" s="70" t="s">
        <v>219</v>
      </c>
      <c r="C202" s="69" t="s">
        <v>218</v>
      </c>
      <c r="D202" s="71">
        <v>27781.0</v>
      </c>
      <c r="E202" s="71">
        <v>397256.00032300316</v>
      </c>
      <c r="F202" s="72">
        <f t="shared" si="2"/>
        <v>14.29955726</v>
      </c>
      <c r="G202" s="71">
        <v>28942.0</v>
      </c>
      <c r="H202" s="71">
        <v>481511.9998626709</v>
      </c>
      <c r="I202" s="72">
        <f t="shared" si="3"/>
        <v>16.63713634</v>
      </c>
      <c r="J202" s="73"/>
      <c r="K202" s="50"/>
      <c r="L202" s="56"/>
      <c r="M202" s="13"/>
      <c r="N202" s="13"/>
      <c r="O202" s="13"/>
      <c r="P202" s="13"/>
      <c r="Q202" s="13"/>
      <c r="R202" s="13"/>
      <c r="S202" s="13"/>
      <c r="T202" s="68"/>
      <c r="U202" s="68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</row>
    <row r="203" ht="15.75" customHeight="1">
      <c r="A203" s="69">
        <v>50103.0</v>
      </c>
      <c r="B203" s="70" t="s">
        <v>220</v>
      </c>
      <c r="C203" s="69" t="s">
        <v>218</v>
      </c>
      <c r="D203" s="71">
        <v>10070.0</v>
      </c>
      <c r="E203" s="71">
        <v>307584.999970451</v>
      </c>
      <c r="F203" s="72">
        <f t="shared" si="2"/>
        <v>30.54468719</v>
      </c>
      <c r="G203" s="71">
        <v>12253.0</v>
      </c>
      <c r="H203" s="71">
        <v>295977.99995422363</v>
      </c>
      <c r="I203" s="72">
        <f t="shared" si="3"/>
        <v>24.15555374</v>
      </c>
      <c r="J203" s="73"/>
      <c r="K203" s="50"/>
      <c r="L203" s="56"/>
      <c r="M203" s="13"/>
      <c r="N203" s="13"/>
      <c r="O203" s="13"/>
      <c r="P203" s="13"/>
      <c r="Q203" s="13"/>
      <c r="R203" s="13"/>
      <c r="S203" s="13"/>
      <c r="T203" s="68"/>
      <c r="U203" s="68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</row>
    <row r="204" ht="15.75" customHeight="1">
      <c r="A204" s="69">
        <v>50104.0</v>
      </c>
      <c r="B204" s="70" t="s">
        <v>221</v>
      </c>
      <c r="C204" s="69" t="s">
        <v>218</v>
      </c>
      <c r="D204" s="71">
        <v>2880.0</v>
      </c>
      <c r="E204" s="71">
        <v>36874.999912686646</v>
      </c>
      <c r="F204" s="72">
        <f t="shared" si="2"/>
        <v>12.80381941</v>
      </c>
      <c r="G204" s="71">
        <v>3121.0</v>
      </c>
      <c r="H204" s="71">
        <v>35223.999992370605</v>
      </c>
      <c r="I204" s="72">
        <f t="shared" si="3"/>
        <v>11.28612624</v>
      </c>
      <c r="J204" s="73"/>
      <c r="K204" s="50"/>
      <c r="L204" s="56"/>
      <c r="M204" s="13"/>
      <c r="N204" s="13"/>
      <c r="O204" s="13"/>
      <c r="P204" s="13"/>
      <c r="Q204" s="13"/>
      <c r="R204" s="13"/>
      <c r="S204" s="13"/>
      <c r="T204" s="68"/>
      <c r="U204" s="68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</row>
    <row r="205" ht="15.75" customHeight="1">
      <c r="A205" s="69">
        <v>50201.0</v>
      </c>
      <c r="B205" s="70" t="s">
        <v>222</v>
      </c>
      <c r="C205" s="69" t="s">
        <v>218</v>
      </c>
      <c r="D205" s="71">
        <v>22269.0</v>
      </c>
      <c r="E205" s="71">
        <v>1426072.0009021321</v>
      </c>
      <c r="F205" s="72">
        <f t="shared" si="2"/>
        <v>64.03843913</v>
      </c>
      <c r="G205" s="71">
        <v>22768.0</v>
      </c>
      <c r="H205" s="71">
        <v>2220178.000022888</v>
      </c>
      <c r="I205" s="72">
        <f t="shared" si="3"/>
        <v>97.51308855</v>
      </c>
      <c r="J205" s="73"/>
      <c r="K205" s="50"/>
      <c r="L205" s="56"/>
      <c r="M205" s="13"/>
      <c r="N205" s="13"/>
      <c r="O205" s="13"/>
      <c r="P205" s="13"/>
      <c r="Q205" s="13"/>
      <c r="R205" s="13"/>
      <c r="S205" s="13"/>
      <c r="T205" s="68"/>
      <c r="U205" s="68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</row>
    <row r="206" ht="15.75" customHeight="1">
      <c r="A206" s="69">
        <v>50202.0</v>
      </c>
      <c r="B206" s="70" t="s">
        <v>223</v>
      </c>
      <c r="C206" s="69" t="s">
        <v>218</v>
      </c>
      <c r="D206" s="71">
        <v>16093.0</v>
      </c>
      <c r="E206" s="71">
        <v>191135.00024271663</v>
      </c>
      <c r="F206" s="72">
        <f t="shared" si="2"/>
        <v>11.87690302</v>
      </c>
      <c r="G206" s="71">
        <v>16021.0</v>
      </c>
      <c r="H206" s="71">
        <v>210661.00006103516</v>
      </c>
      <c r="I206" s="72">
        <f t="shared" si="3"/>
        <v>13.14905437</v>
      </c>
      <c r="J206" s="73"/>
      <c r="K206" s="50"/>
      <c r="L206" s="56"/>
      <c r="M206" s="13"/>
      <c r="N206" s="13"/>
      <c r="O206" s="13"/>
      <c r="P206" s="13"/>
      <c r="Q206" s="13"/>
      <c r="R206" s="13"/>
      <c r="S206" s="13"/>
      <c r="T206" s="68"/>
      <c r="U206" s="68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</row>
    <row r="207" ht="15.75" customHeight="1">
      <c r="A207" s="69">
        <v>50203.0</v>
      </c>
      <c r="B207" s="70" t="s">
        <v>224</v>
      </c>
      <c r="C207" s="69" t="s">
        <v>218</v>
      </c>
      <c r="D207" s="71">
        <v>41298.0</v>
      </c>
      <c r="E207" s="71">
        <v>5060579.001320232</v>
      </c>
      <c r="F207" s="72">
        <f t="shared" si="2"/>
        <v>122.5381133</v>
      </c>
      <c r="G207" s="71">
        <v>41686.0</v>
      </c>
      <c r="H207" s="71">
        <v>6760114.498939514</v>
      </c>
      <c r="I207" s="72">
        <f t="shared" si="3"/>
        <v>162.1675023</v>
      </c>
      <c r="J207" s="73"/>
      <c r="K207" s="50"/>
      <c r="L207" s="56"/>
      <c r="M207" s="13"/>
      <c r="N207" s="13"/>
      <c r="O207" s="13"/>
      <c r="P207" s="13"/>
      <c r="Q207" s="13"/>
      <c r="R207" s="13"/>
      <c r="S207" s="13"/>
      <c r="T207" s="68"/>
      <c r="U207" s="68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</row>
    <row r="208" ht="15.75" customHeight="1">
      <c r="A208" s="69">
        <v>50204.0</v>
      </c>
      <c r="B208" s="70" t="s">
        <v>225</v>
      </c>
      <c r="C208" s="69" t="s">
        <v>218</v>
      </c>
      <c r="D208" s="71">
        <v>8086.0</v>
      </c>
      <c r="E208" s="71">
        <v>0.0</v>
      </c>
      <c r="F208" s="72">
        <f t="shared" si="2"/>
        <v>0</v>
      </c>
      <c r="G208" s="71">
        <v>8220.0</v>
      </c>
      <c r="H208" s="71">
        <v>34120.999992370605</v>
      </c>
      <c r="I208" s="72">
        <f t="shared" si="3"/>
        <v>4.150973235</v>
      </c>
      <c r="J208" s="73"/>
      <c r="K208" s="50"/>
      <c r="L208" s="56"/>
      <c r="M208" s="13"/>
      <c r="N208" s="13"/>
      <c r="O208" s="13"/>
      <c r="P208" s="13"/>
      <c r="Q208" s="13"/>
      <c r="R208" s="13"/>
      <c r="S208" s="13"/>
      <c r="T208" s="68"/>
      <c r="U208" s="68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</row>
    <row r="209" ht="15.75" customHeight="1">
      <c r="A209" s="69">
        <v>50301.0</v>
      </c>
      <c r="B209" s="70" t="s">
        <v>226</v>
      </c>
      <c r="C209" s="69" t="s">
        <v>218</v>
      </c>
      <c r="D209" s="71">
        <v>33249.0</v>
      </c>
      <c r="E209" s="71">
        <v>2070967.9996444788</v>
      </c>
      <c r="F209" s="72">
        <f t="shared" si="2"/>
        <v>62.28662515</v>
      </c>
      <c r="G209" s="71">
        <v>31904.0</v>
      </c>
      <c r="H209" s="71">
        <v>2458583.00050354</v>
      </c>
      <c r="I209" s="72">
        <f t="shared" si="3"/>
        <v>77.06190448</v>
      </c>
      <c r="J209" s="73"/>
      <c r="K209" s="50"/>
      <c r="L209" s="56"/>
      <c r="M209" s="13"/>
      <c r="N209" s="13"/>
      <c r="O209" s="13"/>
      <c r="P209" s="13"/>
      <c r="Q209" s="13"/>
      <c r="R209" s="13"/>
      <c r="S209" s="13"/>
      <c r="T209" s="68"/>
      <c r="U209" s="68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</row>
    <row r="210" ht="15.75" customHeight="1">
      <c r="A210" s="69">
        <v>50302.0</v>
      </c>
      <c r="B210" s="70" t="s">
        <v>227</v>
      </c>
      <c r="C210" s="69" t="s">
        <v>218</v>
      </c>
      <c r="D210" s="71">
        <v>9702.0</v>
      </c>
      <c r="E210" s="71">
        <v>578104.0000115056</v>
      </c>
      <c r="F210" s="72">
        <f t="shared" si="2"/>
        <v>59.58606473</v>
      </c>
      <c r="G210" s="71">
        <v>9285.0</v>
      </c>
      <c r="H210" s="71">
        <v>522848.99994659424</v>
      </c>
      <c r="I210" s="72">
        <f t="shared" si="3"/>
        <v>56.31114701</v>
      </c>
      <c r="J210" s="73"/>
      <c r="K210" s="50"/>
      <c r="L210" s="56"/>
      <c r="M210" s="13"/>
      <c r="N210" s="13"/>
      <c r="O210" s="13"/>
      <c r="P210" s="13"/>
      <c r="Q210" s="13"/>
      <c r="R210" s="13"/>
      <c r="S210" s="13"/>
      <c r="T210" s="68"/>
      <c r="U210" s="68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</row>
    <row r="211" ht="15.75" customHeight="1">
      <c r="A211" s="69">
        <v>50303.0</v>
      </c>
      <c r="B211" s="70" t="s">
        <v>228</v>
      </c>
      <c r="C211" s="69" t="s">
        <v>218</v>
      </c>
      <c r="D211" s="71">
        <v>12679.0</v>
      </c>
      <c r="E211" s="71">
        <v>261834.00023239665</v>
      </c>
      <c r="F211" s="72">
        <f t="shared" si="2"/>
        <v>20.65099773</v>
      </c>
      <c r="G211" s="71">
        <v>14366.0</v>
      </c>
      <c r="H211" s="71">
        <v>380404.00025177</v>
      </c>
      <c r="I211" s="72">
        <f t="shared" si="3"/>
        <v>26.47946542</v>
      </c>
      <c r="J211" s="73"/>
      <c r="K211" s="50"/>
      <c r="L211" s="56"/>
      <c r="M211" s="13"/>
      <c r="N211" s="13"/>
      <c r="O211" s="13"/>
      <c r="P211" s="13"/>
      <c r="Q211" s="13"/>
      <c r="R211" s="13"/>
      <c r="S211" s="13"/>
      <c r="T211" s="68"/>
      <c r="U211" s="68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</row>
    <row r="212" ht="15.75" customHeight="1">
      <c r="A212" s="69">
        <v>50401.0</v>
      </c>
      <c r="B212" s="70" t="s">
        <v>229</v>
      </c>
      <c r="C212" s="69" t="s">
        <v>218</v>
      </c>
      <c r="D212" s="71">
        <v>15628.0</v>
      </c>
      <c r="E212" s="71">
        <v>1256872.5027173702</v>
      </c>
      <c r="F212" s="72">
        <f t="shared" si="2"/>
        <v>80.42439869</v>
      </c>
      <c r="G212" s="71">
        <v>16363.0</v>
      </c>
      <c r="H212" s="71">
        <v>923351.0000457764</v>
      </c>
      <c r="I212" s="72">
        <f t="shared" si="3"/>
        <v>56.42920003</v>
      </c>
      <c r="J212" s="73"/>
      <c r="K212" s="50"/>
      <c r="L212" s="56"/>
      <c r="M212" s="13"/>
      <c r="N212" s="13"/>
      <c r="O212" s="13"/>
      <c r="P212" s="13"/>
      <c r="Q212" s="13"/>
      <c r="R212" s="13"/>
      <c r="S212" s="13"/>
      <c r="T212" s="68"/>
      <c r="U212" s="68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</row>
    <row r="213" ht="15.75" customHeight="1">
      <c r="A213" s="69">
        <v>50402.0</v>
      </c>
      <c r="B213" s="70" t="s">
        <v>230</v>
      </c>
      <c r="C213" s="69" t="s">
        <v>218</v>
      </c>
      <c r="D213" s="71">
        <v>19778.0</v>
      </c>
      <c r="E213" s="71">
        <v>435560.00046448316</v>
      </c>
      <c r="F213" s="72">
        <f t="shared" si="2"/>
        <v>22.02244921</v>
      </c>
      <c r="G213" s="71">
        <v>16909.0</v>
      </c>
      <c r="H213" s="71">
        <v>427380.9998703003</v>
      </c>
      <c r="I213" s="72">
        <f t="shared" si="3"/>
        <v>25.27535631</v>
      </c>
      <c r="J213" s="73"/>
      <c r="K213" s="50"/>
      <c r="L213" s="56"/>
      <c r="M213" s="13"/>
      <c r="N213" s="13"/>
      <c r="O213" s="13"/>
      <c r="P213" s="13"/>
      <c r="Q213" s="13"/>
      <c r="R213" s="13"/>
      <c r="S213" s="13"/>
      <c r="T213" s="68"/>
      <c r="U213" s="68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</row>
    <row r="214" ht="15.75" customHeight="1">
      <c r="A214" s="69">
        <v>50403.0</v>
      </c>
      <c r="B214" s="70" t="s">
        <v>231</v>
      </c>
      <c r="C214" s="69" t="s">
        <v>218</v>
      </c>
      <c r="D214" s="71">
        <v>28434.0</v>
      </c>
      <c r="E214" s="71">
        <v>850680.4994308883</v>
      </c>
      <c r="F214" s="72">
        <f t="shared" si="2"/>
        <v>29.91772172</v>
      </c>
      <c r="G214" s="71">
        <v>32641.0</v>
      </c>
      <c r="H214" s="71">
        <v>796979.9999389648</v>
      </c>
      <c r="I214" s="72">
        <f t="shared" si="3"/>
        <v>24.41653135</v>
      </c>
      <c r="J214" s="73"/>
      <c r="K214" s="50"/>
      <c r="L214" s="56"/>
      <c r="M214" s="13"/>
      <c r="N214" s="13"/>
      <c r="O214" s="13"/>
      <c r="P214" s="13"/>
      <c r="Q214" s="13"/>
      <c r="R214" s="13"/>
      <c r="S214" s="13"/>
      <c r="T214" s="68"/>
      <c r="U214" s="68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</row>
    <row r="215" ht="15.75" customHeight="1">
      <c r="A215" s="69">
        <v>50404.0</v>
      </c>
      <c r="B215" s="70" t="s">
        <v>232</v>
      </c>
      <c r="C215" s="69" t="s">
        <v>218</v>
      </c>
      <c r="D215" s="71">
        <v>15589.0</v>
      </c>
      <c r="E215" s="71">
        <v>292788.0003542742</v>
      </c>
      <c r="F215" s="72">
        <f t="shared" si="2"/>
        <v>18.78170507</v>
      </c>
      <c r="G215" s="71">
        <v>14532.0</v>
      </c>
      <c r="H215" s="71">
        <v>331317.00007629395</v>
      </c>
      <c r="I215" s="72">
        <f t="shared" si="3"/>
        <v>22.79913295</v>
      </c>
      <c r="J215" s="73"/>
      <c r="K215" s="50"/>
      <c r="L215" s="56"/>
      <c r="M215" s="13"/>
      <c r="N215" s="13"/>
      <c r="O215" s="13"/>
      <c r="P215" s="13"/>
      <c r="Q215" s="13"/>
      <c r="R215" s="13"/>
      <c r="S215" s="13"/>
      <c r="T215" s="68"/>
      <c r="U215" s="68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</row>
    <row r="216" ht="15.75" customHeight="1">
      <c r="A216" s="69">
        <v>50405.0</v>
      </c>
      <c r="B216" s="70" t="s">
        <v>233</v>
      </c>
      <c r="C216" s="69" t="s">
        <v>218</v>
      </c>
      <c r="D216" s="71">
        <v>20296.0</v>
      </c>
      <c r="E216" s="71">
        <v>0.0</v>
      </c>
      <c r="F216" s="72">
        <f t="shared" si="2"/>
        <v>0</v>
      </c>
      <c r="G216" s="71">
        <v>21011.0</v>
      </c>
      <c r="H216" s="71">
        <v>609190.0000610352</v>
      </c>
      <c r="I216" s="72">
        <f t="shared" si="3"/>
        <v>28.99386036</v>
      </c>
      <c r="J216" s="73"/>
      <c r="K216" s="50"/>
      <c r="L216" s="56"/>
      <c r="M216" s="13"/>
      <c r="N216" s="13"/>
      <c r="O216" s="13"/>
      <c r="P216" s="13"/>
      <c r="Q216" s="13"/>
      <c r="R216" s="13"/>
      <c r="S216" s="13"/>
      <c r="T216" s="68"/>
      <c r="U216" s="68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</row>
    <row r="217" ht="15.75" customHeight="1">
      <c r="A217" s="69">
        <v>50501.0</v>
      </c>
      <c r="B217" s="70" t="s">
        <v>234</v>
      </c>
      <c r="C217" s="69" t="s">
        <v>218</v>
      </c>
      <c r="D217" s="71">
        <v>29480.0</v>
      </c>
      <c r="E217" s="71">
        <v>411384.00039204676</v>
      </c>
      <c r="F217" s="72">
        <f t="shared" si="2"/>
        <v>13.95468115</v>
      </c>
      <c r="G217" s="71">
        <v>28416.0</v>
      </c>
      <c r="H217" s="71">
        <v>678357.0001907349</v>
      </c>
      <c r="I217" s="72">
        <f t="shared" si="3"/>
        <v>23.87236065</v>
      </c>
      <c r="J217" s="73"/>
      <c r="K217" s="50"/>
      <c r="L217" s="56"/>
      <c r="M217" s="13"/>
      <c r="N217" s="13"/>
      <c r="O217" s="13"/>
      <c r="P217" s="13"/>
      <c r="Q217" s="13"/>
      <c r="R217" s="13"/>
      <c r="S217" s="13"/>
      <c r="T217" s="68"/>
      <c r="U217" s="68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</row>
    <row r="218" ht="15.75" customHeight="1">
      <c r="A218" s="69">
        <v>50502.0</v>
      </c>
      <c r="B218" s="70" t="s">
        <v>235</v>
      </c>
      <c r="C218" s="69" t="s">
        <v>218</v>
      </c>
      <c r="D218" s="71">
        <v>10818.0</v>
      </c>
      <c r="E218" s="71">
        <v>360519.0002337331</v>
      </c>
      <c r="F218" s="72">
        <f t="shared" si="2"/>
        <v>33.32584583</v>
      </c>
      <c r="G218" s="71">
        <v>10714.0</v>
      </c>
      <c r="H218" s="71">
        <v>704108.9999694824</v>
      </c>
      <c r="I218" s="72">
        <f t="shared" si="3"/>
        <v>65.71859249</v>
      </c>
      <c r="J218" s="73"/>
      <c r="K218" s="50"/>
      <c r="L218" s="56"/>
      <c r="M218" s="13"/>
      <c r="N218" s="13"/>
      <c r="O218" s="13"/>
      <c r="P218" s="13"/>
      <c r="Q218" s="13"/>
      <c r="R218" s="13"/>
      <c r="S218" s="13"/>
      <c r="T218" s="68"/>
      <c r="U218" s="68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</row>
    <row r="219" ht="15.75" customHeight="1">
      <c r="A219" s="69">
        <v>50601.0</v>
      </c>
      <c r="B219" s="70" t="s">
        <v>236</v>
      </c>
      <c r="C219" s="69" t="s">
        <v>218</v>
      </c>
      <c r="D219" s="71">
        <v>30941.0</v>
      </c>
      <c r="E219" s="71">
        <v>1886947.2697542673</v>
      </c>
      <c r="F219" s="72">
        <f t="shared" si="2"/>
        <v>60.98533563</v>
      </c>
      <c r="G219" s="71">
        <v>29221.0</v>
      </c>
      <c r="H219" s="71">
        <v>2246474.999725342</v>
      </c>
      <c r="I219" s="72">
        <f t="shared" si="3"/>
        <v>76.8787858</v>
      </c>
      <c r="J219" s="73"/>
      <c r="K219" s="50"/>
      <c r="L219" s="56"/>
      <c r="M219" s="13"/>
      <c r="N219" s="13"/>
      <c r="O219" s="13"/>
      <c r="P219" s="13"/>
      <c r="Q219" s="13"/>
      <c r="R219" s="13"/>
      <c r="S219" s="13"/>
      <c r="T219" s="68"/>
      <c r="U219" s="68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</row>
    <row r="220" ht="15.75" customHeight="1">
      <c r="A220" s="69">
        <v>50602.0</v>
      </c>
      <c r="B220" s="70" t="s">
        <v>237</v>
      </c>
      <c r="C220" s="69" t="s">
        <v>218</v>
      </c>
      <c r="D220" s="71">
        <v>10492.0</v>
      </c>
      <c r="E220" s="71">
        <v>503846.9995762082</v>
      </c>
      <c r="F220" s="72">
        <f t="shared" si="2"/>
        <v>48.02201673</v>
      </c>
      <c r="G220" s="71">
        <v>10184.0</v>
      </c>
      <c r="H220" s="71">
        <v>585248.9998474121</v>
      </c>
      <c r="I220" s="72">
        <f t="shared" si="3"/>
        <v>57.46749802</v>
      </c>
      <c r="J220" s="73"/>
      <c r="K220" s="50"/>
      <c r="L220" s="56"/>
      <c r="M220" s="13"/>
      <c r="N220" s="13"/>
      <c r="O220" s="13"/>
      <c r="P220" s="13"/>
      <c r="Q220" s="13"/>
      <c r="R220" s="13"/>
      <c r="S220" s="13"/>
      <c r="T220" s="68"/>
      <c r="U220" s="68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</row>
    <row r="221" ht="15.75" customHeight="1">
      <c r="A221" s="69">
        <v>50701.0</v>
      </c>
      <c r="B221" s="70" t="s">
        <v>238</v>
      </c>
      <c r="C221" s="69" t="s">
        <v>218</v>
      </c>
      <c r="D221" s="71">
        <v>18809.0</v>
      </c>
      <c r="E221" s="71">
        <v>574275.0001613349</v>
      </c>
      <c r="F221" s="72">
        <f t="shared" si="2"/>
        <v>30.53192621</v>
      </c>
      <c r="G221" s="71">
        <v>17205.0</v>
      </c>
      <c r="H221" s="71">
        <v>574276.9999542236</v>
      </c>
      <c r="I221" s="72">
        <f t="shared" si="3"/>
        <v>33.37849462</v>
      </c>
      <c r="J221" s="73"/>
      <c r="K221" s="50"/>
      <c r="L221" s="56"/>
      <c r="M221" s="13"/>
      <c r="N221" s="13"/>
      <c r="O221" s="13"/>
      <c r="P221" s="13"/>
      <c r="Q221" s="13"/>
      <c r="R221" s="13"/>
      <c r="S221" s="13"/>
      <c r="T221" s="68"/>
      <c r="U221" s="68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</row>
    <row r="222" ht="15.75" customHeight="1">
      <c r="A222" s="69">
        <v>50702.0</v>
      </c>
      <c r="B222" s="70" t="s">
        <v>239</v>
      </c>
      <c r="C222" s="69" t="s">
        <v>218</v>
      </c>
      <c r="D222" s="71">
        <v>8622.0</v>
      </c>
      <c r="E222" s="71">
        <v>206720.00022223126</v>
      </c>
      <c r="F222" s="72">
        <f t="shared" si="2"/>
        <v>23.97587569</v>
      </c>
      <c r="G222" s="71">
        <v>8458.0</v>
      </c>
      <c r="H222" s="71">
        <v>169965.9999923706</v>
      </c>
      <c r="I222" s="72">
        <f t="shared" si="3"/>
        <v>20.09529439</v>
      </c>
      <c r="J222" s="73"/>
      <c r="K222" s="50"/>
      <c r="L222" s="56"/>
      <c r="M222" s="13"/>
      <c r="N222" s="13"/>
      <c r="O222" s="13"/>
      <c r="P222" s="13"/>
      <c r="Q222" s="13"/>
      <c r="R222" s="13"/>
      <c r="S222" s="13"/>
      <c r="T222" s="68"/>
      <c r="U222" s="68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</row>
    <row r="223" ht="15.75" customHeight="1">
      <c r="A223" s="69">
        <v>50801.0</v>
      </c>
      <c r="B223" s="70" t="s">
        <v>240</v>
      </c>
      <c r="C223" s="69" t="s">
        <v>218</v>
      </c>
      <c r="D223" s="71">
        <v>45073.0</v>
      </c>
      <c r="E223" s="71">
        <v>7749116.999235776</v>
      </c>
      <c r="F223" s="72">
        <f t="shared" si="2"/>
        <v>171.9237015</v>
      </c>
      <c r="G223" s="71">
        <v>45590.0</v>
      </c>
      <c r="H223" s="71">
        <v>9660578.000930786</v>
      </c>
      <c r="I223" s="72">
        <f t="shared" si="3"/>
        <v>211.9012503</v>
      </c>
      <c r="J223" s="73"/>
      <c r="K223" s="50"/>
      <c r="L223" s="56"/>
      <c r="M223" s="13"/>
      <c r="N223" s="13"/>
      <c r="O223" s="13"/>
      <c r="P223" s="13"/>
      <c r="Q223" s="13"/>
      <c r="R223" s="13"/>
      <c r="S223" s="13"/>
      <c r="T223" s="68"/>
      <c r="U223" s="68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</row>
    <row r="224" ht="15.75" customHeight="1">
      <c r="A224" s="69">
        <v>50802.0</v>
      </c>
      <c r="B224" s="70" t="s">
        <v>241</v>
      </c>
      <c r="C224" s="69" t="s">
        <v>218</v>
      </c>
      <c r="D224" s="71">
        <v>10693.0</v>
      </c>
      <c r="E224" s="71">
        <v>1554925.9997890517</v>
      </c>
      <c r="F224" s="72">
        <f t="shared" si="2"/>
        <v>145.4153184</v>
      </c>
      <c r="G224" s="71">
        <v>9610.0</v>
      </c>
      <c r="H224" s="71">
        <v>1551002.0003128052</v>
      </c>
      <c r="I224" s="72">
        <f t="shared" si="3"/>
        <v>161.394589</v>
      </c>
      <c r="J224" s="73"/>
      <c r="K224" s="50"/>
      <c r="L224" s="56"/>
      <c r="M224" s="13"/>
      <c r="N224" s="13"/>
      <c r="O224" s="13"/>
      <c r="P224" s="13"/>
      <c r="Q224" s="13"/>
      <c r="R224" s="13"/>
      <c r="S224" s="13"/>
      <c r="T224" s="68"/>
      <c r="U224" s="68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</row>
    <row r="225" ht="15.75" customHeight="1">
      <c r="A225" s="69">
        <v>50901.0</v>
      </c>
      <c r="B225" s="70" t="s">
        <v>242</v>
      </c>
      <c r="C225" s="69" t="s">
        <v>218</v>
      </c>
      <c r="D225" s="71">
        <v>12911.0</v>
      </c>
      <c r="E225" s="71">
        <v>941276.0021534497</v>
      </c>
      <c r="F225" s="72">
        <f t="shared" si="2"/>
        <v>72.90496493</v>
      </c>
      <c r="G225" s="71">
        <v>12740.0</v>
      </c>
      <c r="H225" s="71">
        <v>2740239.9999542236</v>
      </c>
      <c r="I225" s="72">
        <f t="shared" si="3"/>
        <v>215.0894819</v>
      </c>
      <c r="J225" s="73"/>
      <c r="K225" s="50"/>
      <c r="L225" s="56"/>
      <c r="M225" s="13"/>
      <c r="N225" s="13"/>
      <c r="O225" s="13"/>
      <c r="P225" s="13"/>
      <c r="Q225" s="13"/>
      <c r="R225" s="13"/>
      <c r="S225" s="13"/>
      <c r="T225" s="68"/>
      <c r="U225" s="68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</row>
    <row r="226" ht="15.75" customHeight="1">
      <c r="A226" s="69">
        <v>50902.0</v>
      </c>
      <c r="B226" s="70" t="s">
        <v>243</v>
      </c>
      <c r="C226" s="69" t="s">
        <v>218</v>
      </c>
      <c r="D226" s="71">
        <v>1247.0</v>
      </c>
      <c r="E226" s="71">
        <v>167378.99982671533</v>
      </c>
      <c r="F226" s="72">
        <f t="shared" si="2"/>
        <v>134.2253407</v>
      </c>
      <c r="G226" s="71">
        <v>1621.0</v>
      </c>
      <c r="H226" s="71">
        <v>218578.00009155273</v>
      </c>
      <c r="I226" s="72">
        <f t="shared" si="3"/>
        <v>134.8414559</v>
      </c>
      <c r="J226" s="73"/>
      <c r="K226" s="50"/>
      <c r="L226" s="56"/>
      <c r="M226" s="13"/>
      <c r="N226" s="13"/>
      <c r="O226" s="13"/>
      <c r="P226" s="13"/>
      <c r="Q226" s="13"/>
      <c r="R226" s="13"/>
      <c r="S226" s="13"/>
      <c r="T226" s="68"/>
      <c r="U226" s="68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</row>
    <row r="227" ht="15.75" customHeight="1">
      <c r="A227" s="69">
        <v>51001.0</v>
      </c>
      <c r="B227" s="70" t="s">
        <v>244</v>
      </c>
      <c r="C227" s="69" t="s">
        <v>218</v>
      </c>
      <c r="D227" s="71">
        <v>3297.0</v>
      </c>
      <c r="E227" s="71">
        <v>224970.9997583246</v>
      </c>
      <c r="F227" s="72">
        <f t="shared" si="2"/>
        <v>68.2350621</v>
      </c>
      <c r="G227" s="71">
        <v>3150.0</v>
      </c>
      <c r="H227" s="71">
        <v>134546.99993896484</v>
      </c>
      <c r="I227" s="72">
        <f t="shared" si="3"/>
        <v>42.71333331</v>
      </c>
      <c r="J227" s="73"/>
      <c r="K227" s="50"/>
      <c r="L227" s="56"/>
      <c r="M227" s="13"/>
      <c r="N227" s="13"/>
      <c r="O227" s="13"/>
      <c r="P227" s="13"/>
      <c r="Q227" s="13"/>
      <c r="R227" s="13"/>
      <c r="S227" s="13"/>
      <c r="T227" s="68"/>
      <c r="U227" s="68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</row>
    <row r="228" ht="15.75" customHeight="1">
      <c r="A228" s="69">
        <v>51002.0</v>
      </c>
      <c r="B228" s="70" t="s">
        <v>245</v>
      </c>
      <c r="C228" s="69" t="s">
        <v>218</v>
      </c>
      <c r="D228" s="71">
        <v>1128.0</v>
      </c>
      <c r="E228" s="71">
        <v>0.0</v>
      </c>
      <c r="F228" s="72">
        <f t="shared" si="2"/>
        <v>0</v>
      </c>
      <c r="G228" s="71">
        <v>1025.0</v>
      </c>
      <c r="H228" s="71">
        <v>34942.000061035156</v>
      </c>
      <c r="I228" s="72">
        <f t="shared" si="3"/>
        <v>34.08975616</v>
      </c>
      <c r="J228" s="73"/>
      <c r="K228" s="50"/>
      <c r="L228" s="56"/>
      <c r="M228" s="13"/>
      <c r="N228" s="13"/>
      <c r="O228" s="13"/>
      <c r="P228" s="13"/>
      <c r="Q228" s="13"/>
      <c r="R228" s="13"/>
      <c r="S228" s="13"/>
      <c r="T228" s="68"/>
      <c r="U228" s="68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</row>
    <row r="229" ht="15.75" customHeight="1">
      <c r="A229" s="69">
        <v>51003.0</v>
      </c>
      <c r="B229" s="70" t="s">
        <v>246</v>
      </c>
      <c r="C229" s="69" t="s">
        <v>218</v>
      </c>
      <c r="D229" s="71">
        <v>2168.0</v>
      </c>
      <c r="E229" s="71">
        <v>85395.99973329902</v>
      </c>
      <c r="F229" s="72">
        <f t="shared" si="2"/>
        <v>39.38929877</v>
      </c>
      <c r="G229" s="71">
        <v>1936.0</v>
      </c>
      <c r="H229" s="71">
        <v>79425.0000076294</v>
      </c>
      <c r="I229" s="72">
        <f t="shared" si="3"/>
        <v>41.02530992</v>
      </c>
      <c r="J229" s="73"/>
      <c r="K229" s="50"/>
      <c r="L229" s="56"/>
      <c r="M229" s="13"/>
      <c r="N229" s="13"/>
      <c r="O229" s="13"/>
      <c r="P229" s="13"/>
      <c r="Q229" s="13"/>
      <c r="R229" s="13"/>
      <c r="S229" s="13"/>
      <c r="T229" s="68"/>
      <c r="U229" s="68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</row>
    <row r="230" ht="15.75" customHeight="1">
      <c r="A230" s="69">
        <v>51101.0</v>
      </c>
      <c r="B230" s="70" t="s">
        <v>247</v>
      </c>
      <c r="C230" s="69" t="s">
        <v>218</v>
      </c>
      <c r="D230" s="71">
        <v>20074.0</v>
      </c>
      <c r="E230" s="71">
        <v>1215403.9990719175</v>
      </c>
      <c r="F230" s="72">
        <f t="shared" si="2"/>
        <v>60.54617909</v>
      </c>
      <c r="G230" s="71">
        <v>16389.0</v>
      </c>
      <c r="H230" s="71">
        <v>1214809.0001296997</v>
      </c>
      <c r="I230" s="72">
        <f t="shared" si="3"/>
        <v>74.12343646</v>
      </c>
      <c r="J230" s="73"/>
      <c r="K230" s="50"/>
      <c r="L230" s="56"/>
      <c r="M230" s="13"/>
      <c r="N230" s="13"/>
      <c r="O230" s="13"/>
      <c r="P230" s="13"/>
      <c r="Q230" s="13"/>
      <c r="R230" s="13"/>
      <c r="S230" s="13"/>
      <c r="T230" s="68"/>
      <c r="U230" s="68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</row>
    <row r="231" ht="15.75" customHeight="1">
      <c r="A231" s="69">
        <v>51102.0</v>
      </c>
      <c r="B231" s="70" t="s">
        <v>248</v>
      </c>
      <c r="C231" s="69" t="s">
        <v>218</v>
      </c>
      <c r="D231" s="71">
        <v>12378.0</v>
      </c>
      <c r="E231" s="71">
        <v>782980.0002475893</v>
      </c>
      <c r="F231" s="72">
        <f t="shared" si="2"/>
        <v>63.2557764</v>
      </c>
      <c r="G231" s="71">
        <v>12999.0</v>
      </c>
      <c r="H231" s="71">
        <v>1059734.999710083</v>
      </c>
      <c r="I231" s="72">
        <f t="shared" si="3"/>
        <v>81.524348</v>
      </c>
      <c r="J231" s="73"/>
      <c r="K231" s="50"/>
      <c r="L231" s="56"/>
      <c r="M231" s="13"/>
      <c r="N231" s="13"/>
      <c r="O231" s="13"/>
      <c r="P231" s="13"/>
      <c r="Q231" s="13"/>
      <c r="R231" s="13"/>
      <c r="S231" s="13"/>
      <c r="T231" s="68"/>
      <c r="U231" s="68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</row>
    <row r="232" ht="15.75" customHeight="1">
      <c r="A232" s="69">
        <v>51103.0</v>
      </c>
      <c r="B232" s="70" t="s">
        <v>249</v>
      </c>
      <c r="C232" s="69" t="s">
        <v>218</v>
      </c>
      <c r="D232" s="71">
        <v>15321.0</v>
      </c>
      <c r="E232" s="71">
        <v>218936.00005751196</v>
      </c>
      <c r="F232" s="72">
        <f t="shared" si="2"/>
        <v>14.28992886</v>
      </c>
      <c r="G232" s="71">
        <v>14338.0</v>
      </c>
      <c r="H232" s="71">
        <v>205271.9999847412</v>
      </c>
      <c r="I232" s="72">
        <f t="shared" si="3"/>
        <v>14.31664109</v>
      </c>
      <c r="J232" s="73"/>
      <c r="K232" s="50"/>
      <c r="L232" s="56"/>
      <c r="M232" s="13"/>
      <c r="N232" s="13"/>
      <c r="O232" s="13"/>
      <c r="P232" s="13"/>
      <c r="Q232" s="13"/>
      <c r="R232" s="13"/>
      <c r="S232" s="13"/>
      <c r="T232" s="68"/>
      <c r="U232" s="68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</row>
    <row r="233" ht="15.75" customHeight="1">
      <c r="A233" s="69">
        <v>51201.0</v>
      </c>
      <c r="B233" s="70" t="s">
        <v>250</v>
      </c>
      <c r="C233" s="69" t="s">
        <v>218</v>
      </c>
      <c r="D233" s="71">
        <v>31554.0</v>
      </c>
      <c r="E233" s="71">
        <v>5743515.790856812</v>
      </c>
      <c r="F233" s="72">
        <f t="shared" si="2"/>
        <v>182.0217973</v>
      </c>
      <c r="G233" s="71">
        <v>35318.0</v>
      </c>
      <c r="H233" s="71">
        <v>6184928.000190735</v>
      </c>
      <c r="I233" s="72">
        <f t="shared" si="3"/>
        <v>175.121128</v>
      </c>
      <c r="J233" s="73"/>
      <c r="K233" s="50"/>
      <c r="L233" s="56"/>
      <c r="M233" s="13"/>
      <c r="N233" s="13"/>
      <c r="O233" s="13"/>
      <c r="P233" s="13"/>
      <c r="Q233" s="13"/>
      <c r="R233" s="13"/>
      <c r="S233" s="13"/>
      <c r="T233" s="68"/>
      <c r="U233" s="68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</row>
    <row r="234" ht="15.75" customHeight="1">
      <c r="A234" s="69">
        <v>51202.0</v>
      </c>
      <c r="B234" s="70" t="s">
        <v>251</v>
      </c>
      <c r="C234" s="69" t="s">
        <v>218</v>
      </c>
      <c r="D234" s="71">
        <v>8518.0</v>
      </c>
      <c r="E234" s="71">
        <v>390067.0004912</v>
      </c>
      <c r="F234" s="72">
        <f t="shared" si="2"/>
        <v>45.79326139</v>
      </c>
      <c r="G234" s="71">
        <v>7845.0</v>
      </c>
      <c r="H234" s="71">
        <v>400953.00022125244</v>
      </c>
      <c r="I234" s="72">
        <f t="shared" si="3"/>
        <v>51.10936905</v>
      </c>
      <c r="J234" s="73"/>
      <c r="K234" s="50"/>
      <c r="L234" s="56"/>
      <c r="M234" s="13"/>
      <c r="N234" s="13"/>
      <c r="O234" s="13"/>
      <c r="P234" s="13"/>
      <c r="Q234" s="13"/>
      <c r="R234" s="13"/>
      <c r="S234" s="13"/>
      <c r="T234" s="68"/>
      <c r="U234" s="68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</row>
    <row r="235" ht="15.75" customHeight="1">
      <c r="A235" s="69">
        <v>51203.0</v>
      </c>
      <c r="B235" s="70" t="s">
        <v>252</v>
      </c>
      <c r="C235" s="69" t="s">
        <v>218</v>
      </c>
      <c r="D235" s="71">
        <v>12129.0</v>
      </c>
      <c r="E235" s="71">
        <v>1388611.0015958818</v>
      </c>
      <c r="F235" s="72">
        <f t="shared" si="2"/>
        <v>114.4868498</v>
      </c>
      <c r="G235" s="71">
        <v>14654.0</v>
      </c>
      <c r="H235" s="71">
        <v>1799144.0006713867</v>
      </c>
      <c r="I235" s="72">
        <f t="shared" si="3"/>
        <v>122.774942</v>
      </c>
      <c r="J235" s="73"/>
      <c r="K235" s="50"/>
      <c r="L235" s="56"/>
      <c r="M235" s="13"/>
      <c r="N235" s="13"/>
      <c r="O235" s="13"/>
      <c r="P235" s="13"/>
      <c r="Q235" s="13"/>
      <c r="R235" s="13"/>
      <c r="S235" s="13"/>
      <c r="T235" s="68"/>
      <c r="U235" s="68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</row>
    <row r="236" ht="15.75" customHeight="1">
      <c r="A236" s="69">
        <v>51204.0</v>
      </c>
      <c r="B236" s="70" t="s">
        <v>253</v>
      </c>
      <c r="C236" s="69" t="s">
        <v>218</v>
      </c>
      <c r="D236" s="71">
        <v>5896.0</v>
      </c>
      <c r="E236" s="71">
        <v>0.0</v>
      </c>
      <c r="F236" s="72">
        <f t="shared" si="2"/>
        <v>0</v>
      </c>
      <c r="G236" s="71">
        <v>5819.0</v>
      </c>
      <c r="H236" s="71">
        <v>0.0</v>
      </c>
      <c r="I236" s="72">
        <f t="shared" si="3"/>
        <v>0</v>
      </c>
      <c r="J236" s="73"/>
      <c r="K236" s="50"/>
      <c r="L236" s="56"/>
      <c r="M236" s="13"/>
      <c r="N236" s="13"/>
      <c r="O236" s="13"/>
      <c r="P236" s="13"/>
      <c r="Q236" s="13"/>
      <c r="R236" s="13"/>
      <c r="S236" s="13"/>
      <c r="T236" s="68"/>
      <c r="U236" s="68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</row>
    <row r="237" ht="15.75" customHeight="1">
      <c r="A237" s="69">
        <v>51301.0</v>
      </c>
      <c r="B237" s="70" t="s">
        <v>254</v>
      </c>
      <c r="C237" s="69" t="s">
        <v>218</v>
      </c>
      <c r="D237" s="71">
        <v>4002.0</v>
      </c>
      <c r="E237" s="71">
        <v>103547.00015135575</v>
      </c>
      <c r="F237" s="72">
        <f t="shared" si="2"/>
        <v>25.87381313</v>
      </c>
      <c r="G237" s="71">
        <v>3666.0</v>
      </c>
      <c r="H237" s="71">
        <v>94049.99990844727</v>
      </c>
      <c r="I237" s="72">
        <f t="shared" si="3"/>
        <v>25.65466446</v>
      </c>
      <c r="J237" s="73"/>
      <c r="K237" s="50"/>
      <c r="L237" s="56"/>
      <c r="M237" s="13"/>
      <c r="N237" s="13"/>
      <c r="O237" s="13"/>
      <c r="P237" s="13"/>
      <c r="Q237" s="13"/>
      <c r="R237" s="13"/>
      <c r="S237" s="13"/>
      <c r="T237" s="68"/>
      <c r="U237" s="68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</row>
    <row r="238" ht="15.75" customHeight="1">
      <c r="A238" s="69">
        <v>51302.0</v>
      </c>
      <c r="B238" s="70" t="s">
        <v>255</v>
      </c>
      <c r="C238" s="69" t="s">
        <v>218</v>
      </c>
      <c r="D238" s="71">
        <v>5598.0</v>
      </c>
      <c r="E238" s="71">
        <v>160743.99969359487</v>
      </c>
      <c r="F238" s="72">
        <f t="shared" si="2"/>
        <v>28.71454085</v>
      </c>
      <c r="G238" s="71">
        <v>4471.0</v>
      </c>
      <c r="H238" s="71">
        <v>188712.00003051758</v>
      </c>
      <c r="I238" s="72">
        <f t="shared" si="3"/>
        <v>42.20800716</v>
      </c>
      <c r="J238" s="73"/>
      <c r="K238" s="50"/>
      <c r="L238" s="56"/>
      <c r="M238" s="13"/>
      <c r="N238" s="13"/>
      <c r="O238" s="13"/>
      <c r="P238" s="13"/>
      <c r="Q238" s="13"/>
      <c r="R238" s="13"/>
      <c r="S238" s="13"/>
      <c r="T238" s="68"/>
      <c r="U238" s="68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</row>
    <row r="239" ht="15.75" customHeight="1">
      <c r="A239" s="69">
        <v>51401.0</v>
      </c>
      <c r="B239" s="70" t="s">
        <v>256</v>
      </c>
      <c r="C239" s="69" t="s">
        <v>218</v>
      </c>
      <c r="D239" s="71">
        <v>4162.0</v>
      </c>
      <c r="E239" s="71">
        <v>421723.0003740778</v>
      </c>
      <c r="F239" s="72">
        <f t="shared" si="2"/>
        <v>101.3270063</v>
      </c>
      <c r="G239" s="71">
        <v>4187.0</v>
      </c>
      <c r="H239" s="71">
        <v>541037.0003433228</v>
      </c>
      <c r="I239" s="72">
        <f t="shared" si="3"/>
        <v>129.2182948</v>
      </c>
      <c r="J239" s="73"/>
      <c r="K239" s="50"/>
      <c r="L239" s="56"/>
      <c r="M239" s="13"/>
      <c r="N239" s="13"/>
      <c r="O239" s="13"/>
      <c r="P239" s="13"/>
      <c r="Q239" s="13"/>
      <c r="R239" s="13"/>
      <c r="S239" s="13"/>
      <c r="T239" s="68"/>
      <c r="U239" s="68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</row>
    <row r="240" ht="15.75" customHeight="1">
      <c r="A240" s="69">
        <v>51402.0</v>
      </c>
      <c r="B240" s="70" t="s">
        <v>257</v>
      </c>
      <c r="C240" s="69" t="s">
        <v>218</v>
      </c>
      <c r="D240" s="71">
        <v>1649.0</v>
      </c>
      <c r="E240" s="71">
        <v>85354.00022754911</v>
      </c>
      <c r="F240" s="72">
        <f t="shared" si="2"/>
        <v>51.76106745</v>
      </c>
      <c r="G240" s="71">
        <v>1546.0</v>
      </c>
      <c r="H240" s="71">
        <v>111310.0000076294</v>
      </c>
      <c r="I240" s="72">
        <f t="shared" si="3"/>
        <v>71.99870634</v>
      </c>
      <c r="J240" s="73"/>
      <c r="K240" s="50"/>
      <c r="L240" s="56"/>
      <c r="M240" s="13"/>
      <c r="N240" s="13"/>
      <c r="O240" s="13"/>
      <c r="P240" s="13"/>
      <c r="Q240" s="13"/>
      <c r="R240" s="13"/>
      <c r="S240" s="13"/>
      <c r="T240" s="68"/>
      <c r="U240" s="68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</row>
    <row r="241" ht="15.75" customHeight="1">
      <c r="A241" s="69">
        <v>51501.0</v>
      </c>
      <c r="B241" s="70" t="s">
        <v>258</v>
      </c>
      <c r="C241" s="69" t="s">
        <v>218</v>
      </c>
      <c r="D241" s="71">
        <v>46384.0</v>
      </c>
      <c r="E241" s="71">
        <v>6258757.002827316</v>
      </c>
      <c r="F241" s="72">
        <f t="shared" si="2"/>
        <v>134.9335332</v>
      </c>
      <c r="G241" s="71">
        <v>49340.0</v>
      </c>
      <c r="H241" s="71">
        <v>8111311.00037384</v>
      </c>
      <c r="I241" s="72">
        <f t="shared" si="3"/>
        <v>164.3962505</v>
      </c>
      <c r="J241" s="73"/>
      <c r="K241" s="50"/>
      <c r="L241" s="56"/>
      <c r="M241" s="13"/>
      <c r="N241" s="13"/>
      <c r="O241" s="13"/>
      <c r="P241" s="13"/>
      <c r="Q241" s="13"/>
      <c r="R241" s="13"/>
      <c r="S241" s="13"/>
      <c r="T241" s="68"/>
      <c r="U241" s="68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</row>
    <row r="242" ht="15.75" customHeight="1">
      <c r="A242" s="69">
        <v>51601.0</v>
      </c>
      <c r="B242" s="70" t="s">
        <v>259</v>
      </c>
      <c r="C242" s="69" t="s">
        <v>218</v>
      </c>
      <c r="D242" s="71">
        <v>1831.0</v>
      </c>
      <c r="E242" s="71">
        <v>141920.99966413341</v>
      </c>
      <c r="F242" s="72">
        <f t="shared" si="2"/>
        <v>77.51010358</v>
      </c>
      <c r="G242" s="71">
        <v>2126.0</v>
      </c>
      <c r="H242" s="71">
        <v>265895.00020599365</v>
      </c>
      <c r="I242" s="72">
        <f t="shared" si="3"/>
        <v>125.0682033</v>
      </c>
      <c r="J242" s="73"/>
      <c r="K242" s="50"/>
      <c r="L242" s="56"/>
      <c r="M242" s="13"/>
      <c r="N242" s="13"/>
      <c r="O242" s="13"/>
      <c r="P242" s="13"/>
      <c r="Q242" s="13"/>
      <c r="R242" s="13"/>
      <c r="S242" s="13"/>
      <c r="T242" s="68"/>
      <c r="U242" s="68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</row>
    <row r="243" ht="15.75" customHeight="1">
      <c r="A243" s="69">
        <v>60101.0</v>
      </c>
      <c r="B243" s="70" t="s">
        <v>260</v>
      </c>
      <c r="C243" s="69" t="s">
        <v>260</v>
      </c>
      <c r="D243" s="71">
        <v>216500.0</v>
      </c>
      <c r="E243" s="71">
        <v>7.275823597907254E7</v>
      </c>
      <c r="F243" s="72">
        <f t="shared" si="2"/>
        <v>336.0657551</v>
      </c>
      <c r="G243" s="71">
        <v>238749.0</v>
      </c>
      <c r="H243" s="71">
        <v>8.45655130030365E7</v>
      </c>
      <c r="I243" s="72">
        <f t="shared" si="3"/>
        <v>354.2025852</v>
      </c>
      <c r="J243" s="73"/>
      <c r="K243" s="50"/>
      <c r="L243" s="56"/>
      <c r="M243" s="13"/>
      <c r="N243" s="13"/>
      <c r="O243" s="13"/>
      <c r="P243" s="13"/>
      <c r="Q243" s="13"/>
      <c r="R243" s="13"/>
      <c r="S243" s="13"/>
      <c r="T243" s="68"/>
      <c r="U243" s="68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</row>
    <row r="244" ht="15.75" customHeight="1">
      <c r="A244" s="69">
        <v>60201.0</v>
      </c>
      <c r="B244" s="70" t="s">
        <v>261</v>
      </c>
      <c r="C244" s="69" t="s">
        <v>260</v>
      </c>
      <c r="D244" s="71">
        <v>18393.0</v>
      </c>
      <c r="E244" s="71">
        <v>2216052.0012944005</v>
      </c>
      <c r="F244" s="72">
        <f t="shared" si="2"/>
        <v>120.4834449</v>
      </c>
      <c r="G244" s="71">
        <v>17817.0</v>
      </c>
      <c r="H244" s="71">
        <v>3614576.9999694824</v>
      </c>
      <c r="I244" s="72">
        <f t="shared" si="3"/>
        <v>202.8723691</v>
      </c>
      <c r="J244" s="73"/>
      <c r="K244" s="50"/>
      <c r="L244" s="56"/>
      <c r="M244" s="13"/>
      <c r="N244" s="13"/>
      <c r="O244" s="13"/>
      <c r="P244" s="13"/>
      <c r="Q244" s="13"/>
      <c r="R244" s="13"/>
      <c r="S244" s="13"/>
      <c r="T244" s="68"/>
      <c r="U244" s="68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</row>
    <row r="245" ht="15.75" customHeight="1">
      <c r="A245" s="69">
        <v>60202.0</v>
      </c>
      <c r="B245" s="70" t="s">
        <v>262</v>
      </c>
      <c r="C245" s="69" t="s">
        <v>260</v>
      </c>
      <c r="D245" s="71">
        <v>35327.0</v>
      </c>
      <c r="E245" s="71">
        <v>1.0859125997742966E7</v>
      </c>
      <c r="F245" s="72">
        <f t="shared" si="2"/>
        <v>307.3888527</v>
      </c>
      <c r="G245" s="71">
        <v>36970.0</v>
      </c>
      <c r="H245" s="71">
        <v>1.4963420000335693E7</v>
      </c>
      <c r="I245" s="72">
        <f t="shared" si="3"/>
        <v>404.7449283</v>
      </c>
      <c r="J245" s="73"/>
      <c r="K245" s="50"/>
      <c r="L245" s="56"/>
      <c r="M245" s="13"/>
      <c r="N245" s="13"/>
      <c r="O245" s="13"/>
      <c r="P245" s="13"/>
      <c r="Q245" s="13"/>
      <c r="R245" s="13"/>
      <c r="S245" s="13"/>
      <c r="T245" s="68"/>
      <c r="U245" s="68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</row>
    <row r="246" ht="15.75" customHeight="1">
      <c r="A246" s="69">
        <v>60301.0</v>
      </c>
      <c r="B246" s="70" t="s">
        <v>263</v>
      </c>
      <c r="C246" s="69" t="s">
        <v>260</v>
      </c>
      <c r="D246" s="71">
        <v>94041.0</v>
      </c>
      <c r="E246" s="71">
        <v>2.7599333002010867E7</v>
      </c>
      <c r="F246" s="72">
        <f t="shared" si="2"/>
        <v>293.4819175</v>
      </c>
      <c r="G246" s="71">
        <v>97634.0</v>
      </c>
      <c r="H246" s="71">
        <v>3.554562600147247E7</v>
      </c>
      <c r="I246" s="72">
        <f t="shared" si="3"/>
        <v>364.07016</v>
      </c>
      <c r="J246" s="73"/>
      <c r="K246" s="50"/>
      <c r="L246" s="56"/>
      <c r="M246" s="13"/>
      <c r="N246" s="13"/>
      <c r="O246" s="13"/>
      <c r="P246" s="13"/>
      <c r="Q246" s="13"/>
      <c r="R246" s="13"/>
      <c r="S246" s="13"/>
      <c r="T246" s="68"/>
      <c r="U246" s="68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</row>
    <row r="247" ht="15.75" customHeight="1">
      <c r="A247" s="69">
        <v>60302.0</v>
      </c>
      <c r="B247" s="70" t="s">
        <v>264</v>
      </c>
      <c r="C247" s="69" t="s">
        <v>260</v>
      </c>
      <c r="D247" s="71">
        <v>15430.0</v>
      </c>
      <c r="E247" s="71">
        <v>3270193.0006595375</v>
      </c>
      <c r="F247" s="72">
        <f t="shared" si="2"/>
        <v>211.9373299</v>
      </c>
      <c r="G247" s="71">
        <v>15559.0</v>
      </c>
      <c r="H247" s="71">
        <v>3603740.0003814697</v>
      </c>
      <c r="I247" s="72">
        <f t="shared" si="3"/>
        <v>231.6177132</v>
      </c>
      <c r="J247" s="73"/>
      <c r="K247" s="50"/>
      <c r="L247" s="56"/>
      <c r="M247" s="13"/>
      <c r="N247" s="13"/>
      <c r="O247" s="13"/>
      <c r="P247" s="13"/>
      <c r="Q247" s="13"/>
      <c r="R247" s="13"/>
      <c r="S247" s="13"/>
      <c r="T247" s="68"/>
      <c r="U247" s="68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</row>
    <row r="248" ht="15.75" customHeight="1">
      <c r="A248" s="69">
        <v>60303.0</v>
      </c>
      <c r="B248" s="70" t="s">
        <v>265</v>
      </c>
      <c r="C248" s="69" t="s">
        <v>260</v>
      </c>
      <c r="D248" s="71">
        <v>41935.0</v>
      </c>
      <c r="E248" s="71">
        <v>1.5086505991442185E7</v>
      </c>
      <c r="F248" s="72">
        <f t="shared" si="2"/>
        <v>359.7592939</v>
      </c>
      <c r="G248" s="71">
        <v>46071.0</v>
      </c>
      <c r="H248" s="71">
        <v>1.761208999912262E7</v>
      </c>
      <c r="I248" s="72">
        <f t="shared" si="3"/>
        <v>382.2814786</v>
      </c>
      <c r="J248" s="73"/>
      <c r="K248" s="50"/>
      <c r="L248" s="56"/>
      <c r="M248" s="13"/>
      <c r="N248" s="13"/>
      <c r="O248" s="13"/>
      <c r="P248" s="13"/>
      <c r="Q248" s="13"/>
      <c r="R248" s="13"/>
      <c r="S248" s="13"/>
      <c r="T248" s="68"/>
      <c r="U248" s="68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</row>
    <row r="249" ht="15.75" customHeight="1">
      <c r="A249" s="69">
        <v>60401.0</v>
      </c>
      <c r="B249" s="70" t="s">
        <v>266</v>
      </c>
      <c r="C249" s="69" t="s">
        <v>260</v>
      </c>
      <c r="D249" s="71">
        <v>15162.0</v>
      </c>
      <c r="E249" s="71">
        <v>2445990.9998423895</v>
      </c>
      <c r="F249" s="72">
        <f t="shared" si="2"/>
        <v>161.3237699</v>
      </c>
      <c r="G249" s="71">
        <v>15923.0</v>
      </c>
      <c r="H249" s="71">
        <v>3130266.9995040894</v>
      </c>
      <c r="I249" s="72">
        <f t="shared" si="3"/>
        <v>196.5877661</v>
      </c>
      <c r="J249" s="73"/>
      <c r="K249" s="50"/>
      <c r="L249" s="56"/>
      <c r="M249" s="13"/>
      <c r="N249" s="13"/>
      <c r="O249" s="13"/>
      <c r="P249" s="13"/>
      <c r="Q249" s="13"/>
      <c r="R249" s="13"/>
      <c r="S249" s="13"/>
      <c r="T249" s="68"/>
      <c r="U249" s="68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</row>
    <row r="250" ht="15.75" customHeight="1">
      <c r="A250" s="69">
        <v>60402.0</v>
      </c>
      <c r="B250" s="70" t="s">
        <v>267</v>
      </c>
      <c r="C250" s="69" t="s">
        <v>260</v>
      </c>
      <c r="D250" s="71">
        <v>5245.0</v>
      </c>
      <c r="E250" s="71">
        <v>153720.00002265163</v>
      </c>
      <c r="F250" s="72">
        <f t="shared" si="2"/>
        <v>29.3079123</v>
      </c>
      <c r="G250" s="71">
        <v>4754.0</v>
      </c>
      <c r="H250" s="71">
        <v>299665.9999923706</v>
      </c>
      <c r="I250" s="72">
        <f t="shared" si="3"/>
        <v>63.03449726</v>
      </c>
      <c r="J250" s="73"/>
      <c r="K250" s="50"/>
      <c r="L250" s="56"/>
      <c r="M250" s="13"/>
      <c r="N250" s="13"/>
      <c r="O250" s="13"/>
      <c r="P250" s="13"/>
      <c r="Q250" s="13"/>
      <c r="R250" s="13"/>
      <c r="S250" s="13"/>
      <c r="T250" s="68"/>
      <c r="U250" s="68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</row>
    <row r="251" ht="15.75" customHeight="1">
      <c r="A251" s="69">
        <v>60501.0</v>
      </c>
      <c r="B251" s="70" t="s">
        <v>268</v>
      </c>
      <c r="C251" s="69" t="s">
        <v>260</v>
      </c>
      <c r="D251" s="71">
        <v>26024.0</v>
      </c>
      <c r="E251" s="71">
        <v>4947866.001290562</v>
      </c>
      <c r="F251" s="72">
        <f t="shared" si="2"/>
        <v>190.1270366</v>
      </c>
      <c r="G251" s="71">
        <v>30346.0</v>
      </c>
      <c r="H251" s="71">
        <v>7137820.999382019</v>
      </c>
      <c r="I251" s="72">
        <f t="shared" si="3"/>
        <v>235.2145587</v>
      </c>
      <c r="J251" s="73"/>
      <c r="K251" s="50"/>
      <c r="L251" s="56"/>
      <c r="M251" s="13"/>
      <c r="N251" s="13"/>
      <c r="O251" s="13"/>
      <c r="P251" s="13"/>
      <c r="Q251" s="13"/>
      <c r="R251" s="13"/>
      <c r="S251" s="13"/>
      <c r="T251" s="68"/>
      <c r="U251" s="68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</row>
    <row r="252" ht="15.75" customHeight="1">
      <c r="A252" s="69">
        <v>60502.0</v>
      </c>
      <c r="B252" s="70" t="s">
        <v>269</v>
      </c>
      <c r="C252" s="69" t="s">
        <v>260</v>
      </c>
      <c r="D252" s="71">
        <v>10744.0</v>
      </c>
      <c r="E252" s="71">
        <v>806355.0003722664</v>
      </c>
      <c r="F252" s="72">
        <f t="shared" si="2"/>
        <v>75.05165677</v>
      </c>
      <c r="G252" s="71">
        <v>9523.0</v>
      </c>
      <c r="H252" s="71">
        <v>1188905.9999847412</v>
      </c>
      <c r="I252" s="72">
        <f t="shared" si="3"/>
        <v>124.8457419</v>
      </c>
      <c r="J252" s="73"/>
      <c r="K252" s="50"/>
      <c r="L252" s="56"/>
      <c r="M252" s="13"/>
      <c r="N252" s="13"/>
      <c r="O252" s="13"/>
      <c r="P252" s="13"/>
      <c r="Q252" s="13"/>
      <c r="R252" s="13"/>
      <c r="S252" s="13"/>
      <c r="T252" s="68"/>
      <c r="U252" s="68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</row>
    <row r="253" ht="15.75" customHeight="1">
      <c r="A253" s="69">
        <v>60601.0</v>
      </c>
      <c r="B253" s="70" t="s">
        <v>170</v>
      </c>
      <c r="C253" s="69" t="s">
        <v>260</v>
      </c>
      <c r="D253" s="71">
        <v>21615.0</v>
      </c>
      <c r="E253" s="71">
        <v>2954527.001894653</v>
      </c>
      <c r="F253" s="72">
        <f t="shared" si="2"/>
        <v>136.6887348</v>
      </c>
      <c r="G253" s="71">
        <v>20864.0</v>
      </c>
      <c r="H253" s="71">
        <v>3927052.9999923706</v>
      </c>
      <c r="I253" s="72">
        <f t="shared" si="3"/>
        <v>188.221482</v>
      </c>
      <c r="J253" s="73"/>
      <c r="K253" s="50"/>
      <c r="L253" s="56"/>
      <c r="M253" s="13"/>
      <c r="N253" s="13"/>
      <c r="O253" s="13"/>
      <c r="P253" s="13"/>
      <c r="Q253" s="13"/>
      <c r="R253" s="13"/>
      <c r="S253" s="13"/>
      <c r="T253" s="68"/>
      <c r="U253" s="68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</row>
    <row r="254" ht="15.75" customHeight="1">
      <c r="A254" s="69">
        <v>70101.0</v>
      </c>
      <c r="B254" s="70" t="s">
        <v>270</v>
      </c>
      <c r="C254" s="69" t="s">
        <v>387</v>
      </c>
      <c r="D254" s="71">
        <v>1499944.0</v>
      </c>
      <c r="E254" s="71">
        <v>9.747382049207565E8</v>
      </c>
      <c r="F254" s="72">
        <f t="shared" si="2"/>
        <v>649.849731</v>
      </c>
      <c r="G254" s="71">
        <v>1610982.0</v>
      </c>
      <c r="H254" s="71">
        <v>1.2332439080282822E9</v>
      </c>
      <c r="I254" s="72">
        <f t="shared" si="3"/>
        <v>765.5230835</v>
      </c>
      <c r="J254" s="73"/>
      <c r="K254" s="50"/>
      <c r="L254" s="56"/>
      <c r="M254" s="13"/>
      <c r="N254" s="13"/>
      <c r="O254" s="13"/>
      <c r="P254" s="13"/>
      <c r="Q254" s="13"/>
      <c r="R254" s="13"/>
      <c r="S254" s="13"/>
      <c r="T254" s="68"/>
      <c r="U254" s="68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</row>
    <row r="255" ht="15.75" customHeight="1">
      <c r="A255" s="69">
        <v>70102.0</v>
      </c>
      <c r="B255" s="70" t="s">
        <v>271</v>
      </c>
      <c r="C255" s="69" t="s">
        <v>387</v>
      </c>
      <c r="D255" s="71">
        <v>72623.0</v>
      </c>
      <c r="E255" s="71">
        <v>2.1231941016358484E7</v>
      </c>
      <c r="F255" s="72">
        <f t="shared" si="2"/>
        <v>292.3583578</v>
      </c>
      <c r="G255" s="71">
        <v>106603.0</v>
      </c>
      <c r="H255" s="71">
        <v>3.822834800141907E7</v>
      </c>
      <c r="I255" s="72">
        <f t="shared" si="3"/>
        <v>358.6048048</v>
      </c>
      <c r="J255" s="73"/>
      <c r="K255" s="50"/>
      <c r="L255" s="56"/>
      <c r="M255" s="13"/>
      <c r="N255" s="13"/>
      <c r="O255" s="13"/>
      <c r="P255" s="13"/>
      <c r="Q255" s="13"/>
      <c r="R255" s="13"/>
      <c r="S255" s="13"/>
      <c r="T255" s="68"/>
      <c r="U255" s="68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</row>
    <row r="256" ht="15.75" customHeight="1">
      <c r="A256" s="69">
        <v>70103.0</v>
      </c>
      <c r="B256" s="70" t="s">
        <v>272</v>
      </c>
      <c r="C256" s="69" t="s">
        <v>387</v>
      </c>
      <c r="D256" s="71">
        <v>17920.0</v>
      </c>
      <c r="E256" s="71">
        <v>1.6918527997320183E7</v>
      </c>
      <c r="F256" s="72">
        <f t="shared" si="2"/>
        <v>944.1142856</v>
      </c>
      <c r="G256" s="71">
        <v>23126.0</v>
      </c>
      <c r="H256" s="71">
        <v>3.782153299433136E7</v>
      </c>
      <c r="I256" s="72">
        <f t="shared" si="3"/>
        <v>1635.455029</v>
      </c>
      <c r="J256" s="73"/>
      <c r="K256" s="50"/>
      <c r="L256" s="56"/>
      <c r="M256" s="13"/>
      <c r="N256" s="13"/>
      <c r="O256" s="13"/>
      <c r="P256" s="13"/>
      <c r="Q256" s="13"/>
      <c r="R256" s="13"/>
      <c r="S256" s="13"/>
      <c r="T256" s="68"/>
      <c r="U256" s="68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</row>
    <row r="257" ht="15.75" customHeight="1">
      <c r="A257" s="69">
        <v>70104.0</v>
      </c>
      <c r="B257" s="70" t="s">
        <v>273</v>
      </c>
      <c r="C257" s="69" t="s">
        <v>387</v>
      </c>
      <c r="D257" s="71">
        <v>108765.0</v>
      </c>
      <c r="E257" s="71">
        <v>4.272420802108264E7</v>
      </c>
      <c r="F257" s="72">
        <f t="shared" si="2"/>
        <v>392.8120997</v>
      </c>
      <c r="G257" s="71">
        <v>147726.0</v>
      </c>
      <c r="H257" s="71">
        <v>7.096424900210571E7</v>
      </c>
      <c r="I257" s="72">
        <f t="shared" si="3"/>
        <v>480.3775165</v>
      </c>
      <c r="J257" s="73"/>
      <c r="K257" s="50"/>
      <c r="L257" s="56"/>
      <c r="M257" s="13"/>
      <c r="N257" s="13"/>
      <c r="O257" s="13"/>
      <c r="P257" s="13"/>
      <c r="Q257" s="13"/>
      <c r="R257" s="13"/>
      <c r="S257" s="13"/>
      <c r="T257" s="68"/>
      <c r="U257" s="68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</row>
    <row r="258" ht="15.75" customHeight="1">
      <c r="A258" s="69">
        <v>70105.0</v>
      </c>
      <c r="B258" s="70" t="s">
        <v>274</v>
      </c>
      <c r="C258" s="69" t="s">
        <v>387</v>
      </c>
      <c r="D258" s="71">
        <v>51667.0</v>
      </c>
      <c r="E258" s="71">
        <v>1.4483068992929038E7</v>
      </c>
      <c r="F258" s="72">
        <f t="shared" si="2"/>
        <v>280.3156559</v>
      </c>
      <c r="G258" s="71">
        <v>55697.0</v>
      </c>
      <c r="H258" s="71">
        <v>1.984595400035858E7</v>
      </c>
      <c r="I258" s="72">
        <f t="shared" si="3"/>
        <v>356.3199813</v>
      </c>
      <c r="J258" s="73"/>
      <c r="K258" s="50"/>
      <c r="L258" s="56"/>
      <c r="M258" s="13"/>
      <c r="N258" s="13"/>
      <c r="O258" s="13"/>
      <c r="P258" s="13"/>
      <c r="Q258" s="13"/>
      <c r="R258" s="13"/>
      <c r="S258" s="13"/>
      <c r="T258" s="68"/>
      <c r="U258" s="68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</row>
    <row r="259" ht="15.75" customHeight="1">
      <c r="A259" s="69">
        <v>70201.0</v>
      </c>
      <c r="B259" s="70" t="s">
        <v>275</v>
      </c>
      <c r="C259" s="69" t="s">
        <v>387</v>
      </c>
      <c r="D259" s="71">
        <v>114687.0</v>
      </c>
      <c r="E259" s="71">
        <v>4.5514298992391974E7</v>
      </c>
      <c r="F259" s="72">
        <f t="shared" si="2"/>
        <v>396.8566533</v>
      </c>
      <c r="G259" s="71">
        <v>151248.0</v>
      </c>
      <c r="H259" s="71">
        <v>7.913208699408722E7</v>
      </c>
      <c r="I259" s="72">
        <f t="shared" si="3"/>
        <v>523.1942703</v>
      </c>
      <c r="J259" s="73"/>
      <c r="K259" s="50"/>
      <c r="L259" s="56"/>
      <c r="M259" s="13"/>
      <c r="N259" s="13"/>
      <c r="O259" s="13"/>
      <c r="P259" s="13"/>
      <c r="Q259" s="13"/>
      <c r="R259" s="13"/>
      <c r="S259" s="13"/>
      <c r="T259" s="68"/>
      <c r="U259" s="68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</row>
    <row r="260" ht="15.75" customHeight="1">
      <c r="A260" s="69">
        <v>70202.0</v>
      </c>
      <c r="B260" s="70" t="s">
        <v>276</v>
      </c>
      <c r="C260" s="69" t="s">
        <v>387</v>
      </c>
      <c r="D260" s="71">
        <v>11876.0</v>
      </c>
      <c r="E260" s="71">
        <v>4183504.0023819916</v>
      </c>
      <c r="F260" s="72">
        <f t="shared" si="2"/>
        <v>352.2654094</v>
      </c>
      <c r="G260" s="71">
        <v>10665.0</v>
      </c>
      <c r="H260" s="71">
        <v>4850435.004989624</v>
      </c>
      <c r="I260" s="72">
        <f t="shared" si="3"/>
        <v>454.7993441</v>
      </c>
      <c r="J260" s="73"/>
      <c r="K260" s="50"/>
      <c r="L260" s="56"/>
      <c r="M260" s="13"/>
      <c r="N260" s="13"/>
      <c r="O260" s="13"/>
      <c r="P260" s="13"/>
      <c r="Q260" s="13"/>
      <c r="R260" s="13"/>
      <c r="S260" s="13"/>
      <c r="T260" s="68"/>
      <c r="U260" s="68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</row>
    <row r="261" ht="15.75" customHeight="1">
      <c r="A261" s="69">
        <v>70301.0</v>
      </c>
      <c r="B261" s="70" t="s">
        <v>277</v>
      </c>
      <c r="C261" s="69" t="s">
        <v>387</v>
      </c>
      <c r="D261" s="71">
        <v>57276.0</v>
      </c>
      <c r="E261" s="71">
        <v>1.0134821996028926E7</v>
      </c>
      <c r="F261" s="72">
        <f t="shared" si="2"/>
        <v>176.9470982</v>
      </c>
      <c r="G261" s="71">
        <v>67103.0</v>
      </c>
      <c r="H261" s="71">
        <v>2040708.0000610352</v>
      </c>
      <c r="I261" s="72">
        <f t="shared" si="3"/>
        <v>30.41157623</v>
      </c>
      <c r="J261" s="73"/>
      <c r="K261" s="50"/>
      <c r="L261" s="56"/>
      <c r="M261" s="13"/>
      <c r="N261" s="13"/>
      <c r="O261" s="13"/>
      <c r="P261" s="13"/>
      <c r="Q261" s="13"/>
      <c r="R261" s="13"/>
      <c r="S261" s="13"/>
      <c r="T261" s="68"/>
      <c r="U261" s="68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</row>
    <row r="262" ht="15.75" customHeight="1">
      <c r="A262" s="69">
        <v>70302.0</v>
      </c>
      <c r="B262" s="70" t="s">
        <v>278</v>
      </c>
      <c r="C262" s="69" t="s">
        <v>387</v>
      </c>
      <c r="D262" s="71">
        <v>12631.0</v>
      </c>
      <c r="E262" s="71">
        <v>1819209.9997632513</v>
      </c>
      <c r="F262" s="72">
        <f t="shared" si="2"/>
        <v>144.0273929</v>
      </c>
      <c r="G262" s="71">
        <v>15239.0</v>
      </c>
      <c r="H262" s="71">
        <v>666201.0</v>
      </c>
      <c r="I262" s="72">
        <f t="shared" si="3"/>
        <v>43.71684494</v>
      </c>
      <c r="J262" s="73"/>
      <c r="K262" s="50"/>
      <c r="L262" s="56"/>
      <c r="M262" s="13"/>
      <c r="N262" s="13"/>
      <c r="O262" s="13"/>
      <c r="P262" s="13"/>
      <c r="Q262" s="13"/>
      <c r="R262" s="13"/>
      <c r="S262" s="13"/>
      <c r="T262" s="68"/>
      <c r="U262" s="68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</row>
    <row r="263" ht="15.75" customHeight="1">
      <c r="A263" s="69">
        <v>70303.0</v>
      </c>
      <c r="B263" s="70" t="s">
        <v>279</v>
      </c>
      <c r="C263" s="69" t="s">
        <v>387</v>
      </c>
      <c r="D263" s="71">
        <v>7040.0</v>
      </c>
      <c r="E263" s="71">
        <v>968591.9995806646</v>
      </c>
      <c r="F263" s="72">
        <f t="shared" si="2"/>
        <v>137.5840908</v>
      </c>
      <c r="G263" s="71">
        <v>8842.0</v>
      </c>
      <c r="H263" s="71">
        <v>5579636.999938965</v>
      </c>
      <c r="I263" s="72">
        <f t="shared" si="3"/>
        <v>631.0378873</v>
      </c>
      <c r="J263" s="73"/>
      <c r="K263" s="50"/>
      <c r="L263" s="56"/>
      <c r="M263" s="13"/>
      <c r="N263" s="13"/>
      <c r="O263" s="13"/>
      <c r="P263" s="13"/>
      <c r="Q263" s="13"/>
      <c r="R263" s="13"/>
      <c r="S263" s="13"/>
      <c r="T263" s="68"/>
      <c r="U263" s="68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</row>
    <row r="264" ht="15.75" customHeight="1">
      <c r="A264" s="69">
        <v>70401.0</v>
      </c>
      <c r="B264" s="70" t="s">
        <v>280</v>
      </c>
      <c r="C264" s="69" t="s">
        <v>387</v>
      </c>
      <c r="D264" s="71">
        <v>13136.0</v>
      </c>
      <c r="E264" s="71">
        <v>3722826.002081111</v>
      </c>
      <c r="F264" s="72">
        <f t="shared" si="2"/>
        <v>283.4063643</v>
      </c>
      <c r="G264" s="71">
        <v>13651.0</v>
      </c>
      <c r="H264" s="71">
        <v>5786640.00163269</v>
      </c>
      <c r="I264" s="72">
        <f t="shared" si="3"/>
        <v>423.8986156</v>
      </c>
      <c r="J264" s="73"/>
      <c r="K264" s="50"/>
      <c r="L264" s="56"/>
      <c r="M264" s="13"/>
      <c r="N264" s="13"/>
      <c r="O264" s="13"/>
      <c r="P264" s="13"/>
      <c r="Q264" s="13"/>
      <c r="R264" s="13"/>
      <c r="S264" s="13"/>
      <c r="T264" s="68"/>
      <c r="U264" s="68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</row>
    <row r="265" ht="15.75" customHeight="1">
      <c r="A265" s="69">
        <v>70402.0</v>
      </c>
      <c r="B265" s="70" t="s">
        <v>281</v>
      </c>
      <c r="C265" s="69" t="s">
        <v>387</v>
      </c>
      <c r="D265" s="71">
        <v>19709.0</v>
      </c>
      <c r="E265" s="71">
        <v>5067303.003959936</v>
      </c>
      <c r="F265" s="72">
        <f t="shared" si="2"/>
        <v>257.1060431</v>
      </c>
      <c r="G265" s="71">
        <v>18942.0</v>
      </c>
      <c r="H265" s="71">
        <v>7450905.9998703</v>
      </c>
      <c r="I265" s="72">
        <f t="shared" si="3"/>
        <v>393.3537113</v>
      </c>
      <c r="J265" s="73"/>
      <c r="K265" s="50"/>
      <c r="L265" s="56"/>
      <c r="M265" s="13"/>
      <c r="N265" s="13"/>
      <c r="O265" s="13"/>
      <c r="P265" s="13"/>
      <c r="Q265" s="13"/>
      <c r="R265" s="13"/>
      <c r="S265" s="13"/>
      <c r="T265" s="68"/>
      <c r="U265" s="68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</row>
    <row r="266" ht="15.75" customHeight="1">
      <c r="A266" s="69">
        <v>70403.0</v>
      </c>
      <c r="B266" s="70" t="s">
        <v>282</v>
      </c>
      <c r="C266" s="69" t="s">
        <v>387</v>
      </c>
      <c r="D266" s="71">
        <v>52970.0</v>
      </c>
      <c r="E266" s="71">
        <v>1.3475819989712108E7</v>
      </c>
      <c r="F266" s="72">
        <f t="shared" si="2"/>
        <v>254.4047572</v>
      </c>
      <c r="G266" s="71">
        <v>57794.0</v>
      </c>
      <c r="H266" s="71">
        <v>2.8979426000076294E7</v>
      </c>
      <c r="I266" s="72">
        <f t="shared" si="3"/>
        <v>501.4262034</v>
      </c>
      <c r="J266" s="73"/>
      <c r="K266" s="50"/>
      <c r="L266" s="56"/>
      <c r="M266" s="13"/>
      <c r="N266" s="13"/>
      <c r="O266" s="13"/>
      <c r="P266" s="13"/>
      <c r="Q266" s="13"/>
      <c r="R266" s="13"/>
      <c r="S266" s="13"/>
      <c r="T266" s="68"/>
      <c r="U266" s="68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</row>
    <row r="267" ht="15.75" customHeight="1">
      <c r="A267" s="69">
        <v>70404.0</v>
      </c>
      <c r="B267" s="70" t="s">
        <v>283</v>
      </c>
      <c r="C267" s="69" t="s">
        <v>387</v>
      </c>
      <c r="D267" s="71">
        <v>9527.0</v>
      </c>
      <c r="E267" s="71">
        <v>2698972.9982697032</v>
      </c>
      <c r="F267" s="72">
        <f t="shared" si="2"/>
        <v>283.2972602</v>
      </c>
      <c r="G267" s="71">
        <v>10200.0</v>
      </c>
      <c r="H267" s="71">
        <v>4897167.999328613</v>
      </c>
      <c r="I267" s="72">
        <f t="shared" si="3"/>
        <v>480.1145097</v>
      </c>
      <c r="J267" s="73"/>
      <c r="K267" s="50"/>
      <c r="L267" s="56"/>
      <c r="M267" s="13"/>
      <c r="N267" s="13"/>
      <c r="O267" s="13"/>
      <c r="P267" s="13"/>
      <c r="Q267" s="13"/>
      <c r="R267" s="13"/>
      <c r="S267" s="13"/>
      <c r="T267" s="68"/>
      <c r="U267" s="68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</row>
    <row r="268" ht="15.75" customHeight="1">
      <c r="A268" s="69">
        <v>70501.0</v>
      </c>
      <c r="B268" s="70" t="s">
        <v>284</v>
      </c>
      <c r="C268" s="69" t="s">
        <v>387</v>
      </c>
      <c r="D268" s="71">
        <v>32939.0</v>
      </c>
      <c r="E268" s="71">
        <v>6105850.000894358</v>
      </c>
      <c r="F268" s="72">
        <f t="shared" si="2"/>
        <v>185.3684083</v>
      </c>
      <c r="G268" s="71">
        <v>40974.0</v>
      </c>
      <c r="H268" s="71">
        <v>3772785.0001220703</v>
      </c>
      <c r="I268" s="72">
        <f t="shared" si="3"/>
        <v>92.07753698</v>
      </c>
      <c r="J268" s="73"/>
      <c r="K268" s="50"/>
      <c r="L268" s="56"/>
      <c r="M268" s="13"/>
      <c r="N268" s="13"/>
      <c r="O268" s="13"/>
      <c r="P268" s="13"/>
      <c r="Q268" s="13"/>
      <c r="R268" s="13"/>
      <c r="S268" s="13"/>
      <c r="T268" s="68"/>
      <c r="U268" s="68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</row>
    <row r="269" ht="15.75" customHeight="1">
      <c r="A269" s="69">
        <v>70502.0</v>
      </c>
      <c r="B269" s="70" t="s">
        <v>285</v>
      </c>
      <c r="C269" s="69" t="s">
        <v>387</v>
      </c>
      <c r="D269" s="71">
        <v>43409.0</v>
      </c>
      <c r="E269" s="71">
        <v>1.2391794004371278E7</v>
      </c>
      <c r="F269" s="72">
        <f t="shared" si="2"/>
        <v>285.4660095</v>
      </c>
      <c r="G269" s="71">
        <v>54495.0</v>
      </c>
      <c r="H269" s="71">
        <v>2.164281199671936E7</v>
      </c>
      <c r="I269" s="72">
        <f t="shared" si="3"/>
        <v>397.1522524</v>
      </c>
      <c r="J269" s="73"/>
      <c r="K269" s="50"/>
      <c r="L269" s="56"/>
      <c r="M269" s="13"/>
      <c r="N269" s="13"/>
      <c r="O269" s="13"/>
      <c r="P269" s="13"/>
      <c r="Q269" s="13"/>
      <c r="R269" s="13"/>
      <c r="S269" s="13"/>
      <c r="T269" s="68"/>
      <c r="U269" s="68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</row>
    <row r="270" ht="15.75" customHeight="1">
      <c r="A270" s="69">
        <v>70503.0</v>
      </c>
      <c r="B270" s="70" t="s">
        <v>286</v>
      </c>
      <c r="C270" s="69" t="s">
        <v>387</v>
      </c>
      <c r="D270" s="71">
        <v>16682.0</v>
      </c>
      <c r="E270" s="71">
        <v>4441643.000641487</v>
      </c>
      <c r="F270" s="72">
        <f t="shared" si="2"/>
        <v>266.2536267</v>
      </c>
      <c r="G270" s="71">
        <v>18763.0</v>
      </c>
      <c r="H270" s="71">
        <v>882945.9999542236</v>
      </c>
      <c r="I270" s="72">
        <f t="shared" si="3"/>
        <v>47.05782657</v>
      </c>
      <c r="J270" s="73"/>
      <c r="K270" s="50"/>
      <c r="L270" s="56"/>
      <c r="M270" s="13"/>
      <c r="N270" s="13"/>
      <c r="O270" s="13"/>
      <c r="P270" s="13"/>
      <c r="Q270" s="13"/>
      <c r="R270" s="13"/>
      <c r="S270" s="13"/>
      <c r="T270" s="68"/>
      <c r="U270" s="68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</row>
    <row r="271" ht="15.75" customHeight="1">
      <c r="A271" s="69">
        <v>70601.0</v>
      </c>
      <c r="B271" s="70" t="s">
        <v>287</v>
      </c>
      <c r="C271" s="69" t="s">
        <v>387</v>
      </c>
      <c r="D271" s="71">
        <v>18838.0</v>
      </c>
      <c r="E271" s="71">
        <v>7805129.99180993</v>
      </c>
      <c r="F271" s="72">
        <f t="shared" si="2"/>
        <v>414.3290154</v>
      </c>
      <c r="G271" s="71">
        <v>20743.0</v>
      </c>
      <c r="H271" s="71">
        <v>9846306.000442505</v>
      </c>
      <c r="I271" s="72">
        <f t="shared" si="3"/>
        <v>474.6809044</v>
      </c>
      <c r="J271" s="73"/>
      <c r="K271" s="50"/>
      <c r="L271" s="56"/>
      <c r="M271" s="13"/>
      <c r="N271" s="13"/>
      <c r="O271" s="13"/>
      <c r="P271" s="13"/>
      <c r="Q271" s="13"/>
      <c r="R271" s="13"/>
      <c r="S271" s="13"/>
      <c r="T271" s="68"/>
      <c r="U271" s="68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</row>
    <row r="272" ht="15.75" customHeight="1">
      <c r="A272" s="69">
        <v>70602.0</v>
      </c>
      <c r="B272" s="70" t="s">
        <v>288</v>
      </c>
      <c r="C272" s="69" t="s">
        <v>387</v>
      </c>
      <c r="D272" s="71">
        <v>18811.0</v>
      </c>
      <c r="E272" s="71">
        <v>3670194.002852373</v>
      </c>
      <c r="F272" s="72">
        <f t="shared" si="2"/>
        <v>195.1089258</v>
      </c>
      <c r="G272" s="71">
        <v>17999.0</v>
      </c>
      <c r="H272" s="71">
        <v>1.169009900087738E7</v>
      </c>
      <c r="I272" s="72">
        <f t="shared" si="3"/>
        <v>649.4860271</v>
      </c>
      <c r="J272" s="73"/>
      <c r="K272" s="50"/>
      <c r="L272" s="56"/>
      <c r="M272" s="13"/>
      <c r="N272" s="13"/>
      <c r="O272" s="13"/>
      <c r="P272" s="13"/>
      <c r="Q272" s="13"/>
      <c r="R272" s="13"/>
      <c r="S272" s="13"/>
      <c r="T272" s="68"/>
      <c r="U272" s="68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</row>
    <row r="273" ht="15.75" customHeight="1">
      <c r="A273" s="69">
        <v>70603.0</v>
      </c>
      <c r="B273" s="70" t="s">
        <v>289</v>
      </c>
      <c r="C273" s="69" t="s">
        <v>387</v>
      </c>
      <c r="D273" s="71">
        <v>6048.0</v>
      </c>
      <c r="E273" s="71">
        <v>1918077.9997633677</v>
      </c>
      <c r="F273" s="72">
        <f t="shared" si="2"/>
        <v>317.1425264</v>
      </c>
      <c r="G273" s="71">
        <v>6007.0</v>
      </c>
      <c r="H273" s="71">
        <v>2290655.9998016357</v>
      </c>
      <c r="I273" s="72">
        <f t="shared" si="3"/>
        <v>381.3311137</v>
      </c>
      <c r="J273" s="73"/>
      <c r="K273" s="50"/>
      <c r="L273" s="56"/>
      <c r="M273" s="13"/>
      <c r="N273" s="13"/>
      <c r="O273" s="13"/>
      <c r="P273" s="13"/>
      <c r="Q273" s="13"/>
      <c r="R273" s="13"/>
      <c r="S273" s="13"/>
      <c r="T273" s="68"/>
      <c r="U273" s="68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</row>
    <row r="274" ht="15.75" customHeight="1">
      <c r="A274" s="69">
        <v>70701.0</v>
      </c>
      <c r="B274" s="70" t="s">
        <v>290</v>
      </c>
      <c r="C274" s="69" t="s">
        <v>387</v>
      </c>
      <c r="D274" s="71">
        <v>5559.0</v>
      </c>
      <c r="E274" s="71">
        <v>759410.9996175226</v>
      </c>
      <c r="F274" s="72">
        <f t="shared" si="2"/>
        <v>136.6092822</v>
      </c>
      <c r="G274" s="71">
        <v>5946.0</v>
      </c>
      <c r="H274" s="71">
        <v>118933.00006103516</v>
      </c>
      <c r="I274" s="72">
        <f t="shared" si="3"/>
        <v>20.00218635</v>
      </c>
      <c r="J274" s="73"/>
      <c r="K274" s="50"/>
      <c r="L274" s="56"/>
      <c r="M274" s="13"/>
      <c r="N274" s="13"/>
      <c r="O274" s="13"/>
      <c r="P274" s="13"/>
      <c r="Q274" s="13"/>
      <c r="R274" s="13"/>
      <c r="S274" s="13"/>
      <c r="T274" s="68"/>
      <c r="U274" s="68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</row>
    <row r="275" ht="15.75" customHeight="1">
      <c r="A275" s="69">
        <v>70702.0</v>
      </c>
      <c r="B275" s="70" t="s">
        <v>291</v>
      </c>
      <c r="C275" s="69" t="s">
        <v>387</v>
      </c>
      <c r="D275" s="71">
        <v>34264.0</v>
      </c>
      <c r="E275" s="71">
        <v>2921668.0016149255</v>
      </c>
      <c r="F275" s="72">
        <f t="shared" si="2"/>
        <v>85.26932062</v>
      </c>
      <c r="G275" s="71">
        <v>38420.0</v>
      </c>
      <c r="H275" s="71">
        <v>2404882.9999465942</v>
      </c>
      <c r="I275" s="72">
        <f t="shared" si="3"/>
        <v>62.59456012</v>
      </c>
      <c r="J275" s="73"/>
      <c r="K275" s="50"/>
      <c r="L275" s="56"/>
      <c r="M275" s="13"/>
      <c r="N275" s="13"/>
      <c r="O275" s="13"/>
      <c r="P275" s="13"/>
      <c r="Q275" s="13"/>
      <c r="R275" s="13"/>
      <c r="S275" s="13"/>
      <c r="T275" s="68"/>
      <c r="U275" s="68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</row>
    <row r="276" ht="15.75" customHeight="1">
      <c r="A276" s="69">
        <v>70703.0</v>
      </c>
      <c r="B276" s="70" t="s">
        <v>292</v>
      </c>
      <c r="C276" s="69" t="s">
        <v>387</v>
      </c>
      <c r="D276" s="71">
        <v>28610.0</v>
      </c>
      <c r="E276" s="71">
        <v>5383326.990362401</v>
      </c>
      <c r="F276" s="72">
        <f t="shared" si="2"/>
        <v>188.1624254</v>
      </c>
      <c r="G276" s="71">
        <v>32961.0</v>
      </c>
      <c r="H276" s="71">
        <v>8277245.000556946</v>
      </c>
      <c r="I276" s="72">
        <f t="shared" si="3"/>
        <v>251.1223871</v>
      </c>
      <c r="J276" s="73"/>
      <c r="K276" s="50"/>
      <c r="L276" s="56"/>
      <c r="M276" s="13"/>
      <c r="N276" s="13"/>
      <c r="O276" s="13"/>
      <c r="P276" s="13"/>
      <c r="Q276" s="13"/>
      <c r="R276" s="13"/>
      <c r="S276" s="13"/>
      <c r="T276" s="68"/>
      <c r="U276" s="68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</row>
    <row r="277" ht="15.75" customHeight="1">
      <c r="A277" s="69">
        <v>70704.0</v>
      </c>
      <c r="B277" s="70" t="s">
        <v>293</v>
      </c>
      <c r="C277" s="69" t="s">
        <v>387</v>
      </c>
      <c r="D277" s="71">
        <v>5146.0</v>
      </c>
      <c r="E277" s="71">
        <v>526307.0002609538</v>
      </c>
      <c r="F277" s="72">
        <f t="shared" si="2"/>
        <v>102.2749709</v>
      </c>
      <c r="G277" s="71">
        <v>5335.0</v>
      </c>
      <c r="H277" s="71">
        <v>121588.00007629395</v>
      </c>
      <c r="I277" s="72">
        <f t="shared" si="3"/>
        <v>22.79062794</v>
      </c>
      <c r="J277" s="73"/>
      <c r="K277" s="50"/>
      <c r="L277" s="56"/>
      <c r="M277" s="13"/>
      <c r="N277" s="13"/>
      <c r="O277" s="13"/>
      <c r="P277" s="13"/>
      <c r="Q277" s="13"/>
      <c r="R277" s="13"/>
      <c r="S277" s="13"/>
      <c r="T277" s="68"/>
      <c r="U277" s="68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</row>
    <row r="278" ht="15.75" customHeight="1">
      <c r="A278" s="69">
        <v>70705.0</v>
      </c>
      <c r="B278" s="70" t="s">
        <v>294</v>
      </c>
      <c r="C278" s="69" t="s">
        <v>387</v>
      </c>
      <c r="D278" s="71">
        <v>12978.0</v>
      </c>
      <c r="E278" s="71">
        <v>1001456.9994421564</v>
      </c>
      <c r="F278" s="72">
        <f t="shared" si="2"/>
        <v>77.16574198</v>
      </c>
      <c r="G278" s="71">
        <v>14389.0</v>
      </c>
      <c r="H278" s="71">
        <v>215228.00007629395</v>
      </c>
      <c r="I278" s="72">
        <f t="shared" si="3"/>
        <v>14.957815</v>
      </c>
      <c r="J278" s="73"/>
      <c r="K278" s="50"/>
      <c r="L278" s="56"/>
      <c r="M278" s="13"/>
      <c r="N278" s="13"/>
      <c r="O278" s="13"/>
      <c r="P278" s="13"/>
      <c r="Q278" s="13"/>
      <c r="R278" s="13"/>
      <c r="S278" s="13"/>
      <c r="T278" s="68"/>
      <c r="U278" s="68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</row>
    <row r="279" ht="15.75" customHeight="1">
      <c r="A279" s="69">
        <v>70706.0</v>
      </c>
      <c r="B279" s="70" t="s">
        <v>295</v>
      </c>
      <c r="C279" s="69" t="s">
        <v>387</v>
      </c>
      <c r="D279" s="71">
        <v>33320.0</v>
      </c>
      <c r="E279" s="71">
        <v>1.2673717005906273E7</v>
      </c>
      <c r="F279" s="72">
        <f t="shared" si="2"/>
        <v>380.3636556</v>
      </c>
      <c r="G279" s="71">
        <v>32285.0</v>
      </c>
      <c r="H279" s="71">
        <v>2358126.9995422363</v>
      </c>
      <c r="I279" s="72">
        <f t="shared" si="3"/>
        <v>73.04094779</v>
      </c>
      <c r="J279" s="73"/>
      <c r="K279" s="50"/>
      <c r="L279" s="56"/>
      <c r="M279" s="13"/>
      <c r="N279" s="13"/>
      <c r="O279" s="13"/>
      <c r="P279" s="13"/>
      <c r="Q279" s="13"/>
      <c r="R279" s="13"/>
      <c r="S279" s="13"/>
      <c r="T279" s="68"/>
      <c r="U279" s="68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</row>
    <row r="280" ht="15.75" customHeight="1">
      <c r="A280" s="69">
        <v>70707.0</v>
      </c>
      <c r="B280" s="70" t="s">
        <v>296</v>
      </c>
      <c r="C280" s="69" t="s">
        <v>387</v>
      </c>
      <c r="D280" s="71">
        <v>5262.0</v>
      </c>
      <c r="E280" s="71">
        <v>965606.0021210602</v>
      </c>
      <c r="F280" s="72">
        <f t="shared" si="2"/>
        <v>183.5055116</v>
      </c>
      <c r="G280" s="71">
        <v>5612.0</v>
      </c>
      <c r="H280" s="71">
        <v>235137.00004577637</v>
      </c>
      <c r="I280" s="72">
        <f t="shared" si="3"/>
        <v>41.89896651</v>
      </c>
      <c r="J280" s="73"/>
      <c r="K280" s="50"/>
      <c r="L280" s="56"/>
      <c r="M280" s="13"/>
      <c r="N280" s="13"/>
      <c r="O280" s="13"/>
      <c r="P280" s="13"/>
      <c r="Q280" s="13"/>
      <c r="R280" s="13"/>
      <c r="S280" s="13"/>
      <c r="T280" s="68"/>
      <c r="U280" s="68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</row>
    <row r="281" ht="15.75" customHeight="1">
      <c r="A281" s="69">
        <v>70801.0</v>
      </c>
      <c r="B281" s="70" t="s">
        <v>297</v>
      </c>
      <c r="C281" s="69" t="s">
        <v>387</v>
      </c>
      <c r="D281" s="71">
        <v>17222.0</v>
      </c>
      <c r="E281" s="71">
        <v>3483949.003287417</v>
      </c>
      <c r="F281" s="72">
        <f t="shared" si="2"/>
        <v>202.2964234</v>
      </c>
      <c r="G281" s="71">
        <v>17249.0</v>
      </c>
      <c r="H281" s="71">
        <v>696383.9998474121</v>
      </c>
      <c r="I281" s="72">
        <f t="shared" si="3"/>
        <v>40.37242738</v>
      </c>
      <c r="J281" s="73"/>
      <c r="K281" s="50"/>
      <c r="L281" s="56"/>
      <c r="M281" s="13"/>
      <c r="N281" s="13"/>
      <c r="O281" s="13"/>
      <c r="P281" s="13"/>
      <c r="Q281" s="13"/>
      <c r="R281" s="13"/>
      <c r="S281" s="13"/>
      <c r="T281" s="68"/>
      <c r="U281" s="68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</row>
    <row r="282" ht="15.75" customHeight="1">
      <c r="A282" s="69">
        <v>70802.0</v>
      </c>
      <c r="B282" s="70" t="s">
        <v>298</v>
      </c>
      <c r="C282" s="69" t="s">
        <v>387</v>
      </c>
      <c r="D282" s="71">
        <v>2210.0</v>
      </c>
      <c r="E282" s="71">
        <v>323829.00094444957</v>
      </c>
      <c r="F282" s="72">
        <f t="shared" si="2"/>
        <v>146.5289597</v>
      </c>
      <c r="G282" s="71">
        <v>2359.0</v>
      </c>
      <c r="H282" s="71">
        <v>32278.00001525879</v>
      </c>
      <c r="I282" s="72">
        <f t="shared" si="3"/>
        <v>13.6829165</v>
      </c>
      <c r="J282" s="73"/>
      <c r="K282" s="50"/>
      <c r="L282" s="56"/>
      <c r="M282" s="13"/>
      <c r="N282" s="13"/>
      <c r="O282" s="13"/>
      <c r="P282" s="13"/>
      <c r="Q282" s="13"/>
      <c r="R282" s="13"/>
      <c r="S282" s="13"/>
      <c r="T282" s="68"/>
      <c r="U282" s="68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</row>
    <row r="283" ht="15.75" customHeight="1">
      <c r="A283" s="69">
        <v>70803.0</v>
      </c>
      <c r="B283" s="70" t="s">
        <v>299</v>
      </c>
      <c r="C283" s="69" t="s">
        <v>387</v>
      </c>
      <c r="D283" s="71">
        <v>2776.0</v>
      </c>
      <c r="E283" s="71">
        <v>255241.99945543148</v>
      </c>
      <c r="F283" s="72">
        <f t="shared" si="2"/>
        <v>91.94596522</v>
      </c>
      <c r="G283" s="71">
        <v>2793.0</v>
      </c>
      <c r="H283" s="71">
        <v>66601.99996948242</v>
      </c>
      <c r="I283" s="72">
        <f t="shared" si="3"/>
        <v>23.84604367</v>
      </c>
      <c r="J283" s="73"/>
      <c r="K283" s="50"/>
      <c r="L283" s="56"/>
      <c r="M283" s="13"/>
      <c r="N283" s="13"/>
      <c r="O283" s="13"/>
      <c r="P283" s="13"/>
      <c r="Q283" s="13"/>
      <c r="R283" s="13"/>
      <c r="S283" s="13"/>
      <c r="T283" s="68"/>
      <c r="U283" s="68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</row>
    <row r="284" ht="15.75" customHeight="1">
      <c r="A284" s="69">
        <v>70804.0</v>
      </c>
      <c r="B284" s="70" t="s">
        <v>300</v>
      </c>
      <c r="C284" s="69" t="s">
        <v>387</v>
      </c>
      <c r="D284" s="71">
        <v>2195.0</v>
      </c>
      <c r="E284" s="71">
        <v>196323.00001523923</v>
      </c>
      <c r="F284" s="72">
        <f t="shared" si="2"/>
        <v>89.44100228</v>
      </c>
      <c r="G284" s="71">
        <v>1806.0</v>
      </c>
      <c r="H284" s="71">
        <v>92153.0</v>
      </c>
      <c r="I284" s="72">
        <f t="shared" si="3"/>
        <v>51.02602436</v>
      </c>
      <c r="J284" s="73"/>
      <c r="K284" s="50"/>
      <c r="L284" s="56"/>
      <c r="M284" s="13"/>
      <c r="N284" s="13"/>
      <c r="O284" s="13"/>
      <c r="P284" s="13"/>
      <c r="Q284" s="13"/>
      <c r="R284" s="13"/>
      <c r="S284" s="13"/>
      <c r="T284" s="68"/>
      <c r="U284" s="68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</row>
    <row r="285" ht="15.75" customHeight="1">
      <c r="A285" s="69">
        <v>70805.0</v>
      </c>
      <c r="B285" s="70" t="s">
        <v>301</v>
      </c>
      <c r="C285" s="69" t="s">
        <v>387</v>
      </c>
      <c r="D285" s="71">
        <v>2056.0</v>
      </c>
      <c r="E285" s="71">
        <v>0.0</v>
      </c>
      <c r="F285" s="72">
        <f t="shared" si="2"/>
        <v>0</v>
      </c>
      <c r="G285" s="71">
        <v>2015.0</v>
      </c>
      <c r="H285" s="71">
        <v>0.0</v>
      </c>
      <c r="I285" s="72">
        <f t="shared" si="3"/>
        <v>0</v>
      </c>
      <c r="J285" s="73"/>
      <c r="K285" s="50"/>
      <c r="L285" s="56"/>
      <c r="M285" s="13"/>
      <c r="N285" s="13"/>
      <c r="O285" s="13"/>
      <c r="P285" s="13"/>
      <c r="Q285" s="13"/>
      <c r="R285" s="13"/>
      <c r="S285" s="13"/>
      <c r="T285" s="68"/>
      <c r="U285" s="68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</row>
    <row r="286" ht="15.75" customHeight="1">
      <c r="A286" s="69">
        <v>70901.0</v>
      </c>
      <c r="B286" s="70" t="s">
        <v>302</v>
      </c>
      <c r="C286" s="69" t="s">
        <v>387</v>
      </c>
      <c r="D286" s="71">
        <v>10929.0</v>
      </c>
      <c r="E286" s="71">
        <v>2712498.004895242</v>
      </c>
      <c r="F286" s="72">
        <f t="shared" si="2"/>
        <v>248.1926988</v>
      </c>
      <c r="G286" s="71">
        <v>11843.0</v>
      </c>
      <c r="H286" s="71">
        <v>707841.9998550415</v>
      </c>
      <c r="I286" s="72">
        <f t="shared" si="3"/>
        <v>59.76880857</v>
      </c>
      <c r="J286" s="73"/>
      <c r="K286" s="50"/>
      <c r="L286" s="56"/>
      <c r="M286" s="13"/>
      <c r="N286" s="13"/>
      <c r="O286" s="13"/>
      <c r="P286" s="13"/>
      <c r="Q286" s="13"/>
      <c r="R286" s="13"/>
      <c r="S286" s="13"/>
      <c r="T286" s="68"/>
      <c r="U286" s="68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</row>
    <row r="287" ht="15.75" customHeight="1">
      <c r="A287" s="69">
        <v>70902.0</v>
      </c>
      <c r="B287" s="70" t="s">
        <v>303</v>
      </c>
      <c r="C287" s="69" t="s">
        <v>387</v>
      </c>
      <c r="D287" s="71">
        <v>9363.0</v>
      </c>
      <c r="E287" s="71">
        <v>1470213.0014048005</v>
      </c>
      <c r="F287" s="72">
        <f t="shared" si="2"/>
        <v>157.0237105</v>
      </c>
      <c r="G287" s="71">
        <v>9692.0</v>
      </c>
      <c r="H287" s="71">
        <v>198142.0</v>
      </c>
      <c r="I287" s="72">
        <f t="shared" si="3"/>
        <v>20.44387123</v>
      </c>
      <c r="J287" s="73"/>
      <c r="K287" s="50"/>
      <c r="L287" s="56"/>
      <c r="M287" s="13"/>
      <c r="N287" s="13"/>
      <c r="O287" s="13"/>
      <c r="P287" s="13"/>
      <c r="Q287" s="13"/>
      <c r="R287" s="13"/>
      <c r="S287" s="13"/>
      <c r="T287" s="68"/>
      <c r="U287" s="68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</row>
    <row r="288" ht="15.75" customHeight="1">
      <c r="A288" s="69">
        <v>70903.0</v>
      </c>
      <c r="B288" s="70" t="s">
        <v>304</v>
      </c>
      <c r="C288" s="69" t="s">
        <v>387</v>
      </c>
      <c r="D288" s="71">
        <v>11030.0</v>
      </c>
      <c r="E288" s="71">
        <v>2274516.998378434</v>
      </c>
      <c r="F288" s="72">
        <f t="shared" si="2"/>
        <v>206.2118766</v>
      </c>
      <c r="G288" s="71">
        <v>12735.0</v>
      </c>
      <c r="H288" s="71">
        <v>255577.99978637695</v>
      </c>
      <c r="I288" s="72">
        <f t="shared" si="3"/>
        <v>20.06894384</v>
      </c>
      <c r="J288" s="73"/>
      <c r="K288" s="50"/>
      <c r="L288" s="56"/>
      <c r="M288" s="13"/>
      <c r="N288" s="13"/>
      <c r="O288" s="13"/>
      <c r="P288" s="13"/>
      <c r="Q288" s="13"/>
      <c r="R288" s="13"/>
      <c r="S288" s="13"/>
      <c r="T288" s="68"/>
      <c r="U288" s="68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</row>
    <row r="289" ht="15.75" customHeight="1">
      <c r="A289" s="69">
        <v>70904.0</v>
      </c>
      <c r="B289" s="70" t="s">
        <v>305</v>
      </c>
      <c r="C289" s="69" t="s">
        <v>387</v>
      </c>
      <c r="D289" s="71">
        <v>3025.0</v>
      </c>
      <c r="E289" s="71">
        <v>207381.99992794357</v>
      </c>
      <c r="F289" s="72">
        <f t="shared" si="2"/>
        <v>68.55603303</v>
      </c>
      <c r="G289" s="71">
        <v>3086.0</v>
      </c>
      <c r="H289" s="71">
        <v>38744.99996948242</v>
      </c>
      <c r="I289" s="72">
        <f t="shared" si="3"/>
        <v>12.55508748</v>
      </c>
      <c r="J289" s="73"/>
      <c r="K289" s="50"/>
      <c r="L289" s="56"/>
      <c r="M289" s="13"/>
      <c r="N289" s="13"/>
      <c r="O289" s="13"/>
      <c r="P289" s="13"/>
      <c r="Q289" s="13"/>
      <c r="R289" s="13"/>
      <c r="S289" s="13"/>
      <c r="T289" s="68"/>
      <c r="U289" s="68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</row>
    <row r="290" ht="15.75" customHeight="1">
      <c r="A290" s="69">
        <v>71001.0</v>
      </c>
      <c r="B290" s="70" t="s">
        <v>306</v>
      </c>
      <c r="C290" s="69" t="s">
        <v>387</v>
      </c>
      <c r="D290" s="71">
        <v>115307.0</v>
      </c>
      <c r="E290" s="71">
        <v>4.984077598825733E7</v>
      </c>
      <c r="F290" s="72">
        <f t="shared" si="2"/>
        <v>432.2441481</v>
      </c>
      <c r="G290" s="71">
        <v>126886.0</v>
      </c>
      <c r="H290" s="71">
        <v>6.402000999663544E7</v>
      </c>
      <c r="I290" s="72">
        <f t="shared" si="3"/>
        <v>504.5474678</v>
      </c>
      <c r="J290" s="73"/>
      <c r="K290" s="50"/>
      <c r="L290" s="56"/>
      <c r="M290" s="13"/>
      <c r="N290" s="13"/>
      <c r="O290" s="13"/>
      <c r="P290" s="13"/>
      <c r="Q290" s="13"/>
      <c r="R290" s="13"/>
      <c r="S290" s="13"/>
      <c r="T290" s="68"/>
      <c r="U290" s="68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</row>
    <row r="291" ht="15.75" customHeight="1">
      <c r="A291" s="69">
        <v>71002.0</v>
      </c>
      <c r="B291" s="70" t="s">
        <v>307</v>
      </c>
      <c r="C291" s="69" t="s">
        <v>387</v>
      </c>
      <c r="D291" s="71">
        <v>15005.0</v>
      </c>
      <c r="E291" s="71">
        <v>3373195.9956203867</v>
      </c>
      <c r="F291" s="72">
        <f t="shared" si="2"/>
        <v>224.8047981</v>
      </c>
      <c r="G291" s="71">
        <v>16598.0</v>
      </c>
      <c r="H291" s="71">
        <v>4305286.000236511</v>
      </c>
      <c r="I291" s="72">
        <f t="shared" si="3"/>
        <v>259.3858296</v>
      </c>
      <c r="J291" s="73"/>
      <c r="K291" s="50"/>
      <c r="L291" s="56"/>
      <c r="M291" s="13"/>
      <c r="N291" s="13"/>
      <c r="O291" s="13"/>
      <c r="P291" s="13"/>
      <c r="Q291" s="13"/>
      <c r="R291" s="13"/>
      <c r="S291" s="13"/>
      <c r="T291" s="68"/>
      <c r="U291" s="68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</row>
    <row r="292" ht="15.75" customHeight="1">
      <c r="A292" s="69">
        <v>71003.0</v>
      </c>
      <c r="B292" s="70" t="s">
        <v>308</v>
      </c>
      <c r="C292" s="69" t="s">
        <v>387</v>
      </c>
      <c r="D292" s="71">
        <v>23204.0</v>
      </c>
      <c r="E292" s="71">
        <v>7093516.000062666</v>
      </c>
      <c r="F292" s="72">
        <f t="shared" si="2"/>
        <v>305.7022927</v>
      </c>
      <c r="G292" s="71">
        <v>23110.0</v>
      </c>
      <c r="H292" s="71">
        <v>8456277.998542786</v>
      </c>
      <c r="I292" s="72">
        <f t="shared" si="3"/>
        <v>365.9142362</v>
      </c>
      <c r="J292" s="73"/>
      <c r="K292" s="50"/>
      <c r="L292" s="56"/>
      <c r="M292" s="13"/>
      <c r="N292" s="13"/>
      <c r="O292" s="13"/>
      <c r="P292" s="13"/>
      <c r="Q292" s="13"/>
      <c r="R292" s="13"/>
      <c r="S292" s="13"/>
      <c r="T292" s="68"/>
      <c r="U292" s="68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</row>
    <row r="293" ht="15.75" customHeight="1">
      <c r="A293" s="69">
        <v>71004.0</v>
      </c>
      <c r="B293" s="70" t="s">
        <v>309</v>
      </c>
      <c r="C293" s="69" t="s">
        <v>387</v>
      </c>
      <c r="D293" s="71">
        <v>14948.0</v>
      </c>
      <c r="E293" s="71">
        <v>3326805.003268132</v>
      </c>
      <c r="F293" s="72">
        <f t="shared" si="2"/>
        <v>222.5585365</v>
      </c>
      <c r="G293" s="71">
        <v>14610.0</v>
      </c>
      <c r="H293" s="71">
        <v>4181084.9981536865</v>
      </c>
      <c r="I293" s="72">
        <f t="shared" si="3"/>
        <v>286.1796713</v>
      </c>
      <c r="J293" s="73"/>
      <c r="K293" s="50"/>
      <c r="L293" s="56"/>
      <c r="M293" s="13"/>
      <c r="N293" s="13"/>
      <c r="O293" s="13"/>
      <c r="P293" s="13"/>
      <c r="Q293" s="13"/>
      <c r="R293" s="13"/>
      <c r="S293" s="13"/>
      <c r="T293" s="68"/>
      <c r="U293" s="68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</row>
    <row r="294" ht="15.75" customHeight="1">
      <c r="A294" s="69">
        <v>71005.0</v>
      </c>
      <c r="B294" s="70" t="s">
        <v>310</v>
      </c>
      <c r="C294" s="69" t="s">
        <v>387</v>
      </c>
      <c r="D294" s="71">
        <v>17817.0</v>
      </c>
      <c r="E294" s="71">
        <v>3902191.007270933</v>
      </c>
      <c r="F294" s="72">
        <f t="shared" si="2"/>
        <v>219.0150422</v>
      </c>
      <c r="G294" s="71">
        <v>15246.0</v>
      </c>
      <c r="H294" s="71">
        <v>5385238.998794556</v>
      </c>
      <c r="I294" s="72">
        <f t="shared" si="3"/>
        <v>353.2230748</v>
      </c>
      <c r="J294" s="73"/>
      <c r="K294" s="50"/>
      <c r="L294" s="56"/>
      <c r="M294" s="13"/>
      <c r="N294" s="13"/>
      <c r="O294" s="13"/>
      <c r="P294" s="13"/>
      <c r="Q294" s="13"/>
      <c r="R294" s="13"/>
      <c r="S294" s="13"/>
      <c r="T294" s="68"/>
      <c r="U294" s="68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</row>
    <row r="295" ht="15.75" customHeight="1">
      <c r="A295" s="69">
        <v>71101.0</v>
      </c>
      <c r="B295" s="70" t="s">
        <v>311</v>
      </c>
      <c r="C295" s="69" t="s">
        <v>387</v>
      </c>
      <c r="D295" s="71">
        <v>22573.0</v>
      </c>
      <c r="E295" s="71">
        <v>3781056.001036017</v>
      </c>
      <c r="F295" s="72">
        <f t="shared" si="2"/>
        <v>167.5034777</v>
      </c>
      <c r="G295" s="71">
        <v>30118.0</v>
      </c>
      <c r="H295" s="71">
        <v>1507510.0000152588</v>
      </c>
      <c r="I295" s="72">
        <f t="shared" si="3"/>
        <v>50.05345641</v>
      </c>
      <c r="J295" s="73"/>
      <c r="K295" s="50"/>
      <c r="L295" s="56"/>
      <c r="M295" s="13"/>
      <c r="N295" s="13"/>
      <c r="O295" s="13"/>
      <c r="P295" s="13"/>
      <c r="Q295" s="13"/>
      <c r="R295" s="13"/>
      <c r="S295" s="13"/>
      <c r="T295" s="68"/>
      <c r="U295" s="68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</row>
    <row r="296" ht="15.75" customHeight="1">
      <c r="A296" s="69">
        <v>71102.0</v>
      </c>
      <c r="B296" s="70" t="s">
        <v>312</v>
      </c>
      <c r="C296" s="69" t="s">
        <v>387</v>
      </c>
      <c r="D296" s="71">
        <v>14043.0</v>
      </c>
      <c r="E296" s="71">
        <v>2651415.000608718</v>
      </c>
      <c r="F296" s="72">
        <f t="shared" si="2"/>
        <v>188.8068789</v>
      </c>
      <c r="G296" s="71">
        <v>14888.0</v>
      </c>
      <c r="H296" s="71">
        <v>470792.0001220703</v>
      </c>
      <c r="I296" s="72">
        <f t="shared" si="3"/>
        <v>31.62224611</v>
      </c>
      <c r="J296" s="73"/>
      <c r="K296" s="50"/>
      <c r="L296" s="56"/>
      <c r="M296" s="13"/>
      <c r="N296" s="13"/>
      <c r="O296" s="13"/>
      <c r="P296" s="13"/>
      <c r="Q296" s="13"/>
      <c r="R296" s="13"/>
      <c r="S296" s="13"/>
      <c r="T296" s="68"/>
      <c r="U296" s="68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</row>
    <row r="297" ht="15.75" customHeight="1">
      <c r="A297" s="69">
        <v>71103.0</v>
      </c>
      <c r="B297" s="70" t="s">
        <v>313</v>
      </c>
      <c r="C297" s="69" t="s">
        <v>387</v>
      </c>
      <c r="D297" s="71">
        <v>7840.0</v>
      </c>
      <c r="E297" s="71">
        <v>2063611.9991964512</v>
      </c>
      <c r="F297" s="72">
        <f t="shared" si="2"/>
        <v>263.2158162</v>
      </c>
      <c r="G297" s="71">
        <v>44909.0</v>
      </c>
      <c r="H297" s="71">
        <v>2540811.999885559</v>
      </c>
      <c r="I297" s="72">
        <f t="shared" si="3"/>
        <v>56.57689995</v>
      </c>
      <c r="J297" s="73"/>
      <c r="K297" s="50"/>
      <c r="L297" s="56"/>
      <c r="M297" s="13"/>
      <c r="N297" s="13"/>
      <c r="O297" s="13"/>
      <c r="P297" s="13"/>
      <c r="Q297" s="13"/>
      <c r="R297" s="13"/>
      <c r="S297" s="13"/>
      <c r="T297" s="68"/>
      <c r="U297" s="68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</row>
    <row r="298" ht="15.75" customHeight="1">
      <c r="A298" s="69">
        <v>71104.0</v>
      </c>
      <c r="B298" s="70" t="s">
        <v>314</v>
      </c>
      <c r="C298" s="69" t="s">
        <v>387</v>
      </c>
      <c r="D298" s="71">
        <v>46580.0</v>
      </c>
      <c r="E298" s="71">
        <v>1.0184307002994064E7</v>
      </c>
      <c r="F298" s="72">
        <f t="shared" si="2"/>
        <v>218.641198</v>
      </c>
      <c r="G298" s="71">
        <v>6364.0</v>
      </c>
      <c r="H298" s="71">
        <v>2312765.999206543</v>
      </c>
      <c r="I298" s="72">
        <f t="shared" si="3"/>
        <v>363.4138905</v>
      </c>
      <c r="J298" s="73"/>
      <c r="K298" s="50"/>
      <c r="L298" s="56"/>
      <c r="M298" s="13"/>
      <c r="N298" s="13"/>
      <c r="O298" s="13"/>
      <c r="P298" s="13"/>
      <c r="Q298" s="13"/>
      <c r="R298" s="13"/>
      <c r="S298" s="13"/>
      <c r="T298" s="68"/>
      <c r="U298" s="68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</row>
    <row r="299" ht="15.75" customHeight="1">
      <c r="A299" s="69">
        <v>71105.0</v>
      </c>
      <c r="B299" s="70" t="s">
        <v>315</v>
      </c>
      <c r="C299" s="69" t="s">
        <v>387</v>
      </c>
      <c r="D299" s="71">
        <v>6442.0</v>
      </c>
      <c r="E299" s="71">
        <v>708414.9999723146</v>
      </c>
      <c r="F299" s="72">
        <f t="shared" si="2"/>
        <v>109.9681776</v>
      </c>
      <c r="G299" s="71">
        <v>8541.0</v>
      </c>
      <c r="H299" s="71">
        <v>299220.0</v>
      </c>
      <c r="I299" s="72">
        <f t="shared" si="3"/>
        <v>35.03336846</v>
      </c>
      <c r="J299" s="73"/>
      <c r="K299" s="50"/>
      <c r="L299" s="56"/>
      <c r="M299" s="13"/>
      <c r="N299" s="13"/>
      <c r="O299" s="13"/>
      <c r="P299" s="13"/>
      <c r="Q299" s="13"/>
      <c r="R299" s="13"/>
      <c r="S299" s="13"/>
      <c r="T299" s="68"/>
      <c r="U299" s="68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</row>
    <row r="300" ht="15.75" customHeight="1">
      <c r="A300" s="69">
        <v>71106.0</v>
      </c>
      <c r="B300" s="70" t="s">
        <v>316</v>
      </c>
      <c r="C300" s="69" t="s">
        <v>387</v>
      </c>
      <c r="D300" s="71">
        <v>23649.0</v>
      </c>
      <c r="E300" s="71">
        <v>9607958.006211417</v>
      </c>
      <c r="F300" s="72">
        <f t="shared" si="2"/>
        <v>406.2733311</v>
      </c>
      <c r="G300" s="71">
        <v>25258.0</v>
      </c>
      <c r="H300" s="71">
        <v>0.0</v>
      </c>
      <c r="I300" s="72">
        <f t="shared" si="3"/>
        <v>0</v>
      </c>
      <c r="J300" s="73"/>
      <c r="K300" s="50"/>
      <c r="L300" s="56"/>
      <c r="M300" s="13"/>
      <c r="N300" s="13"/>
      <c r="O300" s="13"/>
      <c r="P300" s="13"/>
      <c r="Q300" s="13"/>
      <c r="R300" s="13"/>
      <c r="S300" s="13"/>
      <c r="T300" s="68"/>
      <c r="U300" s="68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</row>
    <row r="301" ht="15.75" customHeight="1">
      <c r="A301" s="69">
        <v>71201.0</v>
      </c>
      <c r="B301" s="70" t="s">
        <v>317</v>
      </c>
      <c r="C301" s="69" t="s">
        <v>387</v>
      </c>
      <c r="D301" s="71">
        <v>14773.0</v>
      </c>
      <c r="E301" s="71">
        <v>3259157.9980929596</v>
      </c>
      <c r="F301" s="72">
        <f t="shared" si="2"/>
        <v>220.6158531</v>
      </c>
      <c r="G301" s="71">
        <v>15378.0</v>
      </c>
      <c r="H301" s="71">
        <v>274252.0</v>
      </c>
      <c r="I301" s="72">
        <f t="shared" si="3"/>
        <v>17.83404864</v>
      </c>
      <c r="J301" s="73"/>
      <c r="K301" s="50"/>
      <c r="L301" s="56"/>
      <c r="M301" s="13"/>
      <c r="N301" s="13"/>
      <c r="O301" s="13"/>
      <c r="P301" s="13"/>
      <c r="Q301" s="13"/>
      <c r="R301" s="13"/>
      <c r="S301" s="13"/>
      <c r="T301" s="68"/>
      <c r="U301" s="68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</row>
    <row r="302" ht="15.75" customHeight="1">
      <c r="A302" s="69">
        <v>71301.0</v>
      </c>
      <c r="B302" s="70" t="s">
        <v>318</v>
      </c>
      <c r="C302" s="69" t="s">
        <v>387</v>
      </c>
      <c r="D302" s="71">
        <v>16344.0</v>
      </c>
      <c r="E302" s="71">
        <v>2467396.0003083833</v>
      </c>
      <c r="F302" s="72">
        <f t="shared" si="2"/>
        <v>150.9664709</v>
      </c>
      <c r="G302" s="71">
        <v>17195.0</v>
      </c>
      <c r="H302" s="71">
        <v>290093.9998550415</v>
      </c>
      <c r="I302" s="72">
        <f t="shared" si="3"/>
        <v>16.87083454</v>
      </c>
      <c r="J302" s="73"/>
      <c r="K302" s="50"/>
      <c r="L302" s="56"/>
      <c r="M302" s="13"/>
      <c r="N302" s="13"/>
      <c r="O302" s="13"/>
      <c r="P302" s="13"/>
      <c r="Q302" s="13"/>
      <c r="R302" s="13"/>
      <c r="S302" s="13"/>
      <c r="T302" s="68"/>
      <c r="U302" s="68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</row>
    <row r="303" ht="15.75" customHeight="1">
      <c r="A303" s="69">
        <v>71302.0</v>
      </c>
      <c r="B303" s="70" t="s">
        <v>319</v>
      </c>
      <c r="C303" s="69" t="s">
        <v>387</v>
      </c>
      <c r="D303" s="71">
        <v>6943.0</v>
      </c>
      <c r="E303" s="71">
        <v>803668.0007799324</v>
      </c>
      <c r="F303" s="72">
        <f t="shared" si="2"/>
        <v>115.7522686</v>
      </c>
      <c r="G303" s="71">
        <v>6048.0</v>
      </c>
      <c r="H303" s="71">
        <v>100802.0</v>
      </c>
      <c r="I303" s="72">
        <f t="shared" si="3"/>
        <v>16.66699735</v>
      </c>
      <c r="J303" s="73"/>
      <c r="K303" s="50"/>
      <c r="L303" s="56"/>
      <c r="M303" s="13"/>
      <c r="N303" s="13"/>
      <c r="O303" s="13"/>
      <c r="P303" s="13"/>
      <c r="Q303" s="13"/>
      <c r="R303" s="13"/>
      <c r="S303" s="13"/>
      <c r="T303" s="68"/>
      <c r="U303" s="68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</row>
    <row r="304" ht="15.75" customHeight="1">
      <c r="A304" s="69">
        <v>71401.0</v>
      </c>
      <c r="B304" s="70" t="s">
        <v>320</v>
      </c>
      <c r="C304" s="69" t="s">
        <v>387</v>
      </c>
      <c r="D304" s="71">
        <v>19025.0</v>
      </c>
      <c r="E304" s="71">
        <v>7722680.004833687</v>
      </c>
      <c r="F304" s="72">
        <f t="shared" si="2"/>
        <v>405.9227335</v>
      </c>
      <c r="G304" s="71">
        <v>17417.0</v>
      </c>
      <c r="H304" s="71">
        <v>520378.0004577637</v>
      </c>
      <c r="I304" s="72">
        <f t="shared" si="3"/>
        <v>29.87759089</v>
      </c>
      <c r="J304" s="73"/>
      <c r="K304" s="50"/>
      <c r="L304" s="56"/>
      <c r="M304" s="13"/>
      <c r="N304" s="13"/>
      <c r="O304" s="13"/>
      <c r="P304" s="13"/>
      <c r="Q304" s="13"/>
      <c r="R304" s="13"/>
      <c r="S304" s="13"/>
      <c r="T304" s="68"/>
      <c r="U304" s="68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</row>
    <row r="305" ht="15.75" customHeight="1">
      <c r="A305" s="69">
        <v>71402.0</v>
      </c>
      <c r="B305" s="70" t="s">
        <v>321</v>
      </c>
      <c r="C305" s="69" t="s">
        <v>387</v>
      </c>
      <c r="D305" s="71">
        <v>17097.0</v>
      </c>
      <c r="E305" s="71">
        <v>8600121.006346613</v>
      </c>
      <c r="F305" s="72">
        <f t="shared" si="2"/>
        <v>503.019302</v>
      </c>
      <c r="G305" s="71">
        <v>17974.0</v>
      </c>
      <c r="H305" s="71">
        <v>964467.9996032715</v>
      </c>
      <c r="I305" s="72">
        <f t="shared" si="3"/>
        <v>53.65906307</v>
      </c>
      <c r="J305" s="73"/>
      <c r="K305" s="50"/>
      <c r="L305" s="56"/>
      <c r="M305" s="13"/>
      <c r="N305" s="13"/>
      <c r="O305" s="13"/>
      <c r="P305" s="13"/>
      <c r="Q305" s="13"/>
      <c r="R305" s="13"/>
      <c r="S305" s="13"/>
      <c r="T305" s="68"/>
      <c r="U305" s="68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</row>
    <row r="306" ht="15.75" customHeight="1">
      <c r="A306" s="69">
        <v>71403.0</v>
      </c>
      <c r="B306" s="70" t="s">
        <v>322</v>
      </c>
      <c r="C306" s="69" t="s">
        <v>387</v>
      </c>
      <c r="D306" s="71">
        <v>7167.0</v>
      </c>
      <c r="E306" s="71">
        <v>1379133.9999175249</v>
      </c>
      <c r="F306" s="72">
        <f t="shared" si="2"/>
        <v>192.4283522</v>
      </c>
      <c r="G306" s="71">
        <v>8816.0</v>
      </c>
      <c r="H306" s="71">
        <v>1993679.0</v>
      </c>
      <c r="I306" s="72">
        <f t="shared" si="3"/>
        <v>226.1432623</v>
      </c>
      <c r="J306" s="73"/>
      <c r="K306" s="50"/>
      <c r="L306" s="56"/>
      <c r="M306" s="13"/>
      <c r="N306" s="13"/>
      <c r="O306" s="13"/>
      <c r="P306" s="13"/>
      <c r="Q306" s="13"/>
      <c r="R306" s="13"/>
      <c r="S306" s="13"/>
      <c r="T306" s="68"/>
      <c r="U306" s="68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</row>
    <row r="307" ht="15.75" customHeight="1">
      <c r="A307" s="69">
        <v>71501.0</v>
      </c>
      <c r="B307" s="70" t="s">
        <v>323</v>
      </c>
      <c r="C307" s="69" t="s">
        <v>387</v>
      </c>
      <c r="D307" s="71">
        <v>29406.0</v>
      </c>
      <c r="E307" s="71">
        <v>6305981.997392422</v>
      </c>
      <c r="F307" s="72">
        <f t="shared" si="2"/>
        <v>214.4454192</v>
      </c>
      <c r="G307" s="71">
        <v>34079.0</v>
      </c>
      <c r="H307" s="71">
        <v>1806654.0003814697</v>
      </c>
      <c r="I307" s="72">
        <f t="shared" si="3"/>
        <v>53.01370346</v>
      </c>
      <c r="J307" s="73"/>
      <c r="K307" s="50"/>
      <c r="L307" s="56"/>
      <c r="M307" s="13"/>
      <c r="N307" s="13"/>
      <c r="O307" s="13"/>
      <c r="P307" s="13"/>
      <c r="Q307" s="13"/>
      <c r="R307" s="13"/>
      <c r="S307" s="13"/>
      <c r="T307" s="68"/>
      <c r="U307" s="68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</row>
    <row r="308" ht="15.75" customHeight="1">
      <c r="A308" s="69">
        <v>71502.0</v>
      </c>
      <c r="B308" s="70" t="s">
        <v>324</v>
      </c>
      <c r="C308" s="69" t="s">
        <v>387</v>
      </c>
      <c r="D308" s="71">
        <v>6869.0</v>
      </c>
      <c r="E308" s="71">
        <v>855568.9998159232</v>
      </c>
      <c r="F308" s="72">
        <f t="shared" si="2"/>
        <v>124.5551026</v>
      </c>
      <c r="G308" s="71">
        <v>6555.0</v>
      </c>
      <c r="H308" s="71">
        <v>605416.0</v>
      </c>
      <c r="I308" s="72">
        <f t="shared" si="3"/>
        <v>92.35942029</v>
      </c>
      <c r="J308" s="73"/>
      <c r="K308" s="50"/>
      <c r="L308" s="56"/>
      <c r="M308" s="13"/>
      <c r="N308" s="13"/>
      <c r="O308" s="13"/>
      <c r="P308" s="13"/>
      <c r="Q308" s="13"/>
      <c r="R308" s="13"/>
      <c r="S308" s="13"/>
      <c r="T308" s="68"/>
      <c r="U308" s="68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</row>
    <row r="309" ht="15.75" customHeight="1">
      <c r="A309" s="69">
        <v>71503.0</v>
      </c>
      <c r="B309" s="70" t="s">
        <v>269</v>
      </c>
      <c r="C309" s="69" t="s">
        <v>387</v>
      </c>
      <c r="D309" s="71">
        <v>15233.0</v>
      </c>
      <c r="E309" s="71">
        <v>2121404.9994864576</v>
      </c>
      <c r="F309" s="72">
        <f t="shared" si="2"/>
        <v>139.2637694</v>
      </c>
      <c r="G309" s="71">
        <v>17290.0</v>
      </c>
      <c r="H309" s="71">
        <v>1305841.0001220703</v>
      </c>
      <c r="I309" s="72">
        <f t="shared" si="3"/>
        <v>75.52579526</v>
      </c>
      <c r="J309" s="73"/>
      <c r="K309" s="50"/>
      <c r="L309" s="56"/>
      <c r="M309" s="13"/>
      <c r="N309" s="13"/>
      <c r="O309" s="13"/>
      <c r="P309" s="13"/>
      <c r="Q309" s="13"/>
      <c r="R309" s="13"/>
      <c r="S309" s="13"/>
      <c r="T309" s="68"/>
      <c r="U309" s="68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</row>
    <row r="310" ht="15.75" customHeight="1">
      <c r="A310" s="69">
        <v>80101.0</v>
      </c>
      <c r="B310" s="70" t="s">
        <v>325</v>
      </c>
      <c r="C310" s="69" t="s">
        <v>374</v>
      </c>
      <c r="D310" s="71">
        <v>113927.0</v>
      </c>
      <c r="E310" s="71">
        <v>5.1759909005797595E7</v>
      </c>
      <c r="F310" s="72">
        <f t="shared" si="2"/>
        <v>454.3252171</v>
      </c>
      <c r="G310" s="71">
        <v>128589.0</v>
      </c>
      <c r="H310" s="71">
        <v>8.09838689986496E7</v>
      </c>
      <c r="I310" s="72">
        <f t="shared" si="3"/>
        <v>629.7884656</v>
      </c>
      <c r="J310" s="73"/>
      <c r="K310" s="50"/>
      <c r="L310" s="56"/>
      <c r="M310" s="13"/>
      <c r="N310" s="13"/>
      <c r="O310" s="13"/>
      <c r="P310" s="13"/>
      <c r="Q310" s="13"/>
      <c r="R310" s="13"/>
      <c r="S310" s="13"/>
      <c r="T310" s="68"/>
      <c r="U310" s="68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</row>
    <row r="311" ht="15.75" customHeight="1">
      <c r="A311" s="69">
        <v>80102.0</v>
      </c>
      <c r="B311" s="70" t="s">
        <v>312</v>
      </c>
      <c r="C311" s="69" t="s">
        <v>374</v>
      </c>
      <c r="D311" s="71">
        <v>6156.0</v>
      </c>
      <c r="E311" s="71">
        <v>312333.000259812</v>
      </c>
      <c r="F311" s="72">
        <f t="shared" si="2"/>
        <v>50.73635482</v>
      </c>
      <c r="G311" s="71">
        <v>7913.0</v>
      </c>
      <c r="H311" s="71">
        <v>4351053.000282288</v>
      </c>
      <c r="I311" s="72">
        <f t="shared" si="3"/>
        <v>549.8613674</v>
      </c>
      <c r="J311" s="73"/>
      <c r="K311" s="50"/>
      <c r="L311" s="56"/>
      <c r="M311" s="13"/>
      <c r="N311" s="13"/>
      <c r="O311" s="13"/>
      <c r="P311" s="13"/>
      <c r="Q311" s="13"/>
      <c r="R311" s="13"/>
      <c r="S311" s="13"/>
      <c r="T311" s="68"/>
      <c r="U311" s="68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</row>
    <row r="312" ht="15.75" customHeight="1">
      <c r="A312" s="69">
        <v>80201.0</v>
      </c>
      <c r="B312" s="70" t="s">
        <v>326</v>
      </c>
      <c r="C312" s="69" t="s">
        <v>374</v>
      </c>
      <c r="D312" s="71">
        <v>96115.0</v>
      </c>
      <c r="E312" s="71">
        <v>2.0338121007570855E7</v>
      </c>
      <c r="F312" s="72">
        <f t="shared" si="2"/>
        <v>211.6019457</v>
      </c>
      <c r="G312" s="71">
        <v>110302.0</v>
      </c>
      <c r="H312" s="71">
        <v>3.146384600061035E7</v>
      </c>
      <c r="I312" s="72">
        <f t="shared" si="3"/>
        <v>285.2518177</v>
      </c>
      <c r="J312" s="73"/>
      <c r="K312" s="50"/>
      <c r="L312" s="56"/>
      <c r="M312" s="13"/>
      <c r="N312" s="13"/>
      <c r="O312" s="13"/>
      <c r="P312" s="13"/>
      <c r="Q312" s="13"/>
      <c r="R312" s="13"/>
      <c r="S312" s="13"/>
      <c r="T312" s="68"/>
      <c r="U312" s="68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</row>
    <row r="313" ht="15.75" customHeight="1">
      <c r="A313" s="69">
        <v>80202.0</v>
      </c>
      <c r="B313" s="70" t="s">
        <v>327</v>
      </c>
      <c r="C313" s="69" t="s">
        <v>374</v>
      </c>
      <c r="D313" s="71">
        <v>41886.0</v>
      </c>
      <c r="E313" s="71">
        <v>1.146025399340142E7</v>
      </c>
      <c r="F313" s="72">
        <f t="shared" si="2"/>
        <v>273.6058347</v>
      </c>
      <c r="G313" s="71">
        <v>42031.0</v>
      </c>
      <c r="H313" s="71">
        <v>1.875028500138092E7</v>
      </c>
      <c r="I313" s="72">
        <f t="shared" si="3"/>
        <v>446.1060884</v>
      </c>
      <c r="J313" s="73"/>
      <c r="K313" s="50"/>
      <c r="L313" s="56"/>
      <c r="M313" s="13"/>
      <c r="N313" s="13"/>
      <c r="O313" s="13"/>
      <c r="P313" s="13"/>
      <c r="Q313" s="13"/>
      <c r="R313" s="13"/>
      <c r="S313" s="13"/>
      <c r="T313" s="68"/>
      <c r="U313" s="68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</row>
    <row r="314" ht="15.75" customHeight="1">
      <c r="A314" s="69">
        <v>80301.0</v>
      </c>
      <c r="B314" s="70" t="s">
        <v>328</v>
      </c>
      <c r="C314" s="69" t="s">
        <v>374</v>
      </c>
      <c r="D314" s="71">
        <v>12657.0</v>
      </c>
      <c r="E314" s="71">
        <v>1927539.0007418906</v>
      </c>
      <c r="F314" s="72">
        <f t="shared" si="2"/>
        <v>152.2903532</v>
      </c>
      <c r="G314" s="71">
        <v>11478.0</v>
      </c>
      <c r="H314" s="71">
        <v>3129698.9989242554</v>
      </c>
      <c r="I314" s="72">
        <f t="shared" si="3"/>
        <v>272.6693674</v>
      </c>
      <c r="J314" s="73"/>
      <c r="K314" s="50"/>
      <c r="L314" s="56"/>
      <c r="M314" s="13"/>
      <c r="N314" s="13"/>
      <c r="O314" s="13"/>
      <c r="P314" s="13"/>
      <c r="Q314" s="13"/>
      <c r="R314" s="13"/>
      <c r="S314" s="13"/>
      <c r="T314" s="68"/>
      <c r="U314" s="68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</row>
    <row r="315" ht="15.75" customHeight="1">
      <c r="A315" s="69">
        <v>80302.0</v>
      </c>
      <c r="B315" s="70" t="s">
        <v>329</v>
      </c>
      <c r="C315" s="69" t="s">
        <v>374</v>
      </c>
      <c r="D315" s="71">
        <v>42509.0</v>
      </c>
      <c r="E315" s="71">
        <v>6582143.00114262</v>
      </c>
      <c r="F315" s="72">
        <f t="shared" si="2"/>
        <v>154.8411631</v>
      </c>
      <c r="G315" s="71">
        <v>45798.0</v>
      </c>
      <c r="H315" s="71">
        <v>1.4745362000343323E7</v>
      </c>
      <c r="I315" s="72">
        <f t="shared" si="3"/>
        <v>321.965195</v>
      </c>
      <c r="J315" s="73"/>
      <c r="K315" s="50"/>
      <c r="L315" s="56"/>
      <c r="M315" s="13"/>
      <c r="N315" s="13"/>
      <c r="O315" s="13"/>
      <c r="P315" s="13"/>
      <c r="Q315" s="13"/>
      <c r="R315" s="13"/>
      <c r="S315" s="13"/>
      <c r="T315" s="68"/>
      <c r="U315" s="68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</row>
    <row r="316" ht="15.75" customHeight="1">
      <c r="A316" s="69">
        <v>80303.0</v>
      </c>
      <c r="B316" s="70" t="s">
        <v>330</v>
      </c>
      <c r="C316" s="69" t="s">
        <v>374</v>
      </c>
      <c r="D316" s="71">
        <v>10026.0</v>
      </c>
      <c r="E316" s="71">
        <v>1458203.0004765633</v>
      </c>
      <c r="F316" s="72">
        <f t="shared" si="2"/>
        <v>145.4421505</v>
      </c>
      <c r="G316" s="71">
        <v>11122.0</v>
      </c>
      <c r="H316" s="71">
        <v>3183756.0006103516</v>
      </c>
      <c r="I316" s="72">
        <f t="shared" si="3"/>
        <v>286.2575077</v>
      </c>
      <c r="J316" s="73"/>
      <c r="K316" s="50"/>
      <c r="L316" s="56"/>
      <c r="M316" s="13"/>
      <c r="N316" s="13"/>
      <c r="O316" s="13"/>
      <c r="P316" s="13"/>
      <c r="Q316" s="13"/>
      <c r="R316" s="13"/>
      <c r="S316" s="13"/>
      <c r="T316" s="68"/>
      <c r="U316" s="68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</row>
    <row r="317" ht="15.75" customHeight="1">
      <c r="A317" s="69">
        <v>80304.0</v>
      </c>
      <c r="B317" s="70" t="s">
        <v>331</v>
      </c>
      <c r="C317" s="69" t="s">
        <v>374</v>
      </c>
      <c r="D317" s="71">
        <v>19877.0</v>
      </c>
      <c r="E317" s="71">
        <v>4302058.00379261</v>
      </c>
      <c r="F317" s="72">
        <f t="shared" si="2"/>
        <v>216.4339691</v>
      </c>
      <c r="G317" s="71">
        <v>21240.0</v>
      </c>
      <c r="H317" s="71">
        <v>6618789.001335144</v>
      </c>
      <c r="I317" s="72">
        <f t="shared" si="3"/>
        <v>311.6190679</v>
      </c>
      <c r="J317" s="73"/>
      <c r="K317" s="50"/>
      <c r="L317" s="56"/>
      <c r="M317" s="13"/>
      <c r="N317" s="13"/>
      <c r="O317" s="13"/>
      <c r="P317" s="13"/>
      <c r="Q317" s="13"/>
      <c r="R317" s="13"/>
      <c r="S317" s="13"/>
      <c r="T317" s="68"/>
      <c r="U317" s="68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</row>
    <row r="318" ht="15.75" customHeight="1">
      <c r="A318" s="69">
        <v>80401.0</v>
      </c>
      <c r="B318" s="70" t="s">
        <v>332</v>
      </c>
      <c r="C318" s="69" t="s">
        <v>374</v>
      </c>
      <c r="D318" s="71">
        <v>17409.0</v>
      </c>
      <c r="E318" s="71">
        <v>3464398.0005378947</v>
      </c>
      <c r="F318" s="72">
        <f t="shared" si="2"/>
        <v>199.0004021</v>
      </c>
      <c r="G318" s="71">
        <v>18088.0</v>
      </c>
      <c r="H318" s="71">
        <v>6607459.998214722</v>
      </c>
      <c r="I318" s="72">
        <f t="shared" si="3"/>
        <v>365.2952233</v>
      </c>
      <c r="J318" s="73"/>
      <c r="K318" s="50"/>
      <c r="L318" s="56"/>
      <c r="M318" s="13"/>
      <c r="N318" s="13"/>
      <c r="O318" s="13"/>
      <c r="P318" s="13"/>
      <c r="Q318" s="13"/>
      <c r="R318" s="13"/>
      <c r="S318" s="13"/>
      <c r="T318" s="68"/>
      <c r="U318" s="68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</row>
    <row r="319" ht="15.75" customHeight="1">
      <c r="A319" s="69">
        <v>80402.0</v>
      </c>
      <c r="B319" s="70" t="s">
        <v>333</v>
      </c>
      <c r="C319" s="69" t="s">
        <v>374</v>
      </c>
      <c r="D319" s="71">
        <v>6912.0</v>
      </c>
      <c r="E319" s="71">
        <v>0.0</v>
      </c>
      <c r="F319" s="72">
        <f t="shared" si="2"/>
        <v>0</v>
      </c>
      <c r="G319" s="71">
        <v>8012.0</v>
      </c>
      <c r="H319" s="71">
        <v>1089460.9999160767</v>
      </c>
      <c r="I319" s="72">
        <f t="shared" si="3"/>
        <v>135.978657</v>
      </c>
      <c r="J319" s="73"/>
      <c r="K319" s="50"/>
      <c r="L319" s="56"/>
      <c r="M319" s="13"/>
      <c r="N319" s="13"/>
      <c r="O319" s="13"/>
      <c r="P319" s="13"/>
      <c r="Q319" s="13"/>
      <c r="R319" s="13"/>
      <c r="S319" s="13"/>
      <c r="T319" s="68"/>
      <c r="U319" s="68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</row>
    <row r="320" ht="15.75" customHeight="1">
      <c r="A320" s="69">
        <v>80501.0</v>
      </c>
      <c r="B320" s="70" t="s">
        <v>334</v>
      </c>
      <c r="C320" s="69" t="s">
        <v>374</v>
      </c>
      <c r="D320" s="71">
        <v>20029.0</v>
      </c>
      <c r="E320" s="71">
        <v>2555922.9992597364</v>
      </c>
      <c r="F320" s="72">
        <f t="shared" si="2"/>
        <v>127.6111138</v>
      </c>
      <c r="G320" s="71">
        <v>21584.0</v>
      </c>
      <c r="H320" s="71">
        <v>4747115.999343872</v>
      </c>
      <c r="I320" s="72">
        <f t="shared" si="3"/>
        <v>219.936805</v>
      </c>
      <c r="J320" s="73"/>
      <c r="K320" s="50"/>
      <c r="L320" s="56"/>
      <c r="M320" s="13"/>
      <c r="N320" s="13"/>
      <c r="O320" s="13"/>
      <c r="P320" s="13"/>
      <c r="Q320" s="13"/>
      <c r="R320" s="13"/>
      <c r="S320" s="13"/>
      <c r="T320" s="68"/>
      <c r="U320" s="68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</row>
    <row r="321" ht="15.75" customHeight="1">
      <c r="A321" s="69">
        <v>80601.0</v>
      </c>
      <c r="B321" s="70" t="s">
        <v>335</v>
      </c>
      <c r="C321" s="69" t="s">
        <v>374</v>
      </c>
      <c r="D321" s="71">
        <v>3975.0</v>
      </c>
      <c r="E321" s="71">
        <v>239932.9999756012</v>
      </c>
      <c r="F321" s="72">
        <f t="shared" si="2"/>
        <v>60.36050314</v>
      </c>
      <c r="G321" s="71">
        <v>4269.0</v>
      </c>
      <c r="H321" s="71">
        <v>3535019.0</v>
      </c>
      <c r="I321" s="72">
        <f t="shared" si="3"/>
        <v>828.0672289</v>
      </c>
      <c r="J321" s="73"/>
      <c r="K321" s="50"/>
      <c r="L321" s="56"/>
      <c r="M321" s="13"/>
      <c r="N321" s="13"/>
      <c r="O321" s="13"/>
      <c r="P321" s="13"/>
      <c r="Q321" s="13"/>
      <c r="R321" s="13"/>
      <c r="S321" s="13"/>
      <c r="T321" s="68"/>
      <c r="U321" s="68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</row>
    <row r="322" ht="15.75" customHeight="1">
      <c r="A322" s="69">
        <v>80602.0</v>
      </c>
      <c r="B322" s="70" t="s">
        <v>336</v>
      </c>
      <c r="C322" s="69" t="s">
        <v>374</v>
      </c>
      <c r="D322" s="71">
        <v>13525.0</v>
      </c>
      <c r="E322" s="71">
        <v>1194177.0009360788</v>
      </c>
      <c r="F322" s="72">
        <f t="shared" si="2"/>
        <v>88.29404813</v>
      </c>
      <c r="G322" s="71">
        <v>15570.0</v>
      </c>
      <c r="H322" s="71">
        <v>7884026.999435425</v>
      </c>
      <c r="I322" s="72">
        <f t="shared" si="3"/>
        <v>506.3601156</v>
      </c>
      <c r="J322" s="73"/>
      <c r="K322" s="50"/>
      <c r="L322" s="56"/>
      <c r="M322" s="13"/>
      <c r="N322" s="13"/>
      <c r="O322" s="13"/>
      <c r="P322" s="13"/>
      <c r="Q322" s="13"/>
      <c r="R322" s="13"/>
      <c r="S322" s="13"/>
      <c r="T322" s="68"/>
      <c r="U322" s="68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</row>
    <row r="323" ht="15.75" customHeight="1">
      <c r="A323" s="69">
        <v>80701.0</v>
      </c>
      <c r="B323" s="70" t="s">
        <v>337</v>
      </c>
      <c r="C323" s="69" t="s">
        <v>374</v>
      </c>
      <c r="D323" s="71">
        <v>6881.0</v>
      </c>
      <c r="E323" s="71">
        <v>1560814.9998645047</v>
      </c>
      <c r="F323" s="72">
        <f t="shared" si="2"/>
        <v>226.8296759</v>
      </c>
      <c r="G323" s="71">
        <v>6808.0</v>
      </c>
      <c r="H323" s="71">
        <v>2645097.999671936</v>
      </c>
      <c r="I323" s="72">
        <f t="shared" si="3"/>
        <v>388.5279083</v>
      </c>
      <c r="J323" s="73"/>
      <c r="K323" s="50"/>
      <c r="L323" s="56"/>
      <c r="M323" s="13"/>
      <c r="N323" s="13"/>
      <c r="O323" s="13"/>
      <c r="P323" s="13"/>
      <c r="Q323" s="13"/>
      <c r="R323" s="13"/>
      <c r="S323" s="13"/>
      <c r="T323" s="68"/>
      <c r="U323" s="68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</row>
    <row r="324" ht="15.75" customHeight="1">
      <c r="A324" s="69">
        <v>80702.0</v>
      </c>
      <c r="B324" s="70" t="s">
        <v>313</v>
      </c>
      <c r="C324" s="69" t="s">
        <v>374</v>
      </c>
      <c r="D324" s="71">
        <v>5133.0</v>
      </c>
      <c r="E324" s="71">
        <v>1283759.0014658775</v>
      </c>
      <c r="F324" s="72">
        <f t="shared" si="2"/>
        <v>250.0991626</v>
      </c>
      <c r="G324" s="71">
        <v>5489.0</v>
      </c>
      <c r="H324" s="71">
        <v>4523530.999397278</v>
      </c>
      <c r="I324" s="72">
        <f t="shared" si="3"/>
        <v>824.1083985</v>
      </c>
      <c r="J324" s="73"/>
      <c r="K324" s="50"/>
      <c r="L324" s="56"/>
      <c r="M324" s="13"/>
      <c r="N324" s="13"/>
      <c r="O324" s="13"/>
      <c r="P324" s="13"/>
      <c r="Q324" s="13"/>
      <c r="R324" s="13"/>
      <c r="S324" s="13"/>
      <c r="T324" s="68"/>
      <c r="U324" s="68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</row>
    <row r="325" ht="15.75" customHeight="1">
      <c r="A325" s="69">
        <v>80703.0</v>
      </c>
      <c r="B325" s="70" t="s">
        <v>338</v>
      </c>
      <c r="C325" s="69" t="s">
        <v>374</v>
      </c>
      <c r="D325" s="71">
        <v>993.6666667</v>
      </c>
      <c r="E325" s="71">
        <v>0.0</v>
      </c>
      <c r="F325" s="72">
        <f t="shared" si="2"/>
        <v>0</v>
      </c>
      <c r="G325" s="71">
        <v>1091.0</v>
      </c>
      <c r="H325" s="71">
        <v>0.0</v>
      </c>
      <c r="I325" s="72">
        <f t="shared" si="3"/>
        <v>0</v>
      </c>
      <c r="J325" s="73"/>
      <c r="K325" s="50"/>
      <c r="L325" s="56"/>
      <c r="M325" s="13"/>
      <c r="N325" s="13"/>
      <c r="O325" s="13"/>
      <c r="P325" s="13"/>
      <c r="Q325" s="13"/>
      <c r="R325" s="13"/>
      <c r="S325" s="13"/>
      <c r="T325" s="68"/>
      <c r="U325" s="68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</row>
    <row r="326" ht="15.75" customHeight="1">
      <c r="A326" s="69">
        <v>80801.0</v>
      </c>
      <c r="B326" s="70" t="s">
        <v>339</v>
      </c>
      <c r="C326" s="69" t="s">
        <v>374</v>
      </c>
      <c r="D326" s="71">
        <v>11846.0</v>
      </c>
      <c r="E326" s="71">
        <v>1665268.9990930036</v>
      </c>
      <c r="F326" s="72">
        <f t="shared" si="2"/>
        <v>140.5764814</v>
      </c>
      <c r="G326" s="71">
        <v>12785.0</v>
      </c>
      <c r="H326" s="71">
        <v>6959532.999931335</v>
      </c>
      <c r="I326" s="72">
        <f t="shared" si="3"/>
        <v>544.3514274</v>
      </c>
      <c r="J326" s="73"/>
      <c r="K326" s="50"/>
      <c r="L326" s="56"/>
      <c r="M326" s="13"/>
      <c r="N326" s="13"/>
      <c r="O326" s="13"/>
      <c r="P326" s="13"/>
      <c r="Q326" s="13"/>
      <c r="R326" s="13"/>
      <c r="S326" s="13"/>
      <c r="T326" s="68"/>
      <c r="U326" s="68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</row>
    <row r="327" ht="15.75" customHeight="1">
      <c r="A327" s="69">
        <v>80802.0</v>
      </c>
      <c r="B327" s="70" t="s">
        <v>340</v>
      </c>
      <c r="C327" s="69" t="s">
        <v>374</v>
      </c>
      <c r="D327" s="71">
        <v>6473.0</v>
      </c>
      <c r="E327" s="71">
        <v>231877.99961601384</v>
      </c>
      <c r="F327" s="72">
        <f t="shared" si="2"/>
        <v>35.82233889</v>
      </c>
      <c r="G327" s="71">
        <v>7488.0</v>
      </c>
      <c r="H327" s="71">
        <v>1817620.9998016357</v>
      </c>
      <c r="I327" s="72">
        <f t="shared" si="3"/>
        <v>242.7378472</v>
      </c>
      <c r="J327" s="73"/>
      <c r="K327" s="50"/>
      <c r="L327" s="56"/>
      <c r="M327" s="13"/>
      <c r="N327" s="13"/>
      <c r="O327" s="13"/>
      <c r="P327" s="13"/>
      <c r="Q327" s="13"/>
      <c r="R327" s="13"/>
      <c r="S327" s="13"/>
      <c r="T327" s="68"/>
      <c r="U327" s="68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</row>
    <row r="328" ht="15.75" customHeight="1">
      <c r="A328" s="69">
        <v>80803.0</v>
      </c>
      <c r="B328" s="70" t="s">
        <v>341</v>
      </c>
      <c r="C328" s="69" t="s">
        <v>374</v>
      </c>
      <c r="D328" s="71">
        <v>4284.0</v>
      </c>
      <c r="E328" s="71">
        <v>127167.00012107939</v>
      </c>
      <c r="F328" s="72">
        <f t="shared" si="2"/>
        <v>29.6841737</v>
      </c>
      <c r="G328" s="71">
        <v>4630.0</v>
      </c>
      <c r="H328" s="71">
        <v>1731269.0001983643</v>
      </c>
      <c r="I328" s="72">
        <f t="shared" si="3"/>
        <v>373.9241901</v>
      </c>
      <c r="J328" s="73"/>
      <c r="K328" s="50"/>
      <c r="L328" s="56"/>
      <c r="M328" s="13"/>
      <c r="N328" s="13"/>
      <c r="O328" s="13"/>
      <c r="P328" s="13"/>
      <c r="Q328" s="13"/>
      <c r="R328" s="13"/>
      <c r="S328" s="13"/>
      <c r="T328" s="68"/>
      <c r="U328" s="68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</row>
    <row r="329" ht="15.75" customHeight="1">
      <c r="A329" s="69">
        <v>80901.0</v>
      </c>
      <c r="B329" s="70" t="s">
        <v>342</v>
      </c>
      <c r="C329" s="69" t="s">
        <v>374</v>
      </c>
      <c r="D329" s="71">
        <v>3479.0</v>
      </c>
      <c r="E329" s="71">
        <v>0.0</v>
      </c>
      <c r="F329" s="72">
        <f t="shared" si="2"/>
        <v>0</v>
      </c>
      <c r="G329" s="71">
        <v>3973.0</v>
      </c>
      <c r="H329" s="71">
        <v>0.0</v>
      </c>
      <c r="I329" s="72">
        <f t="shared" si="3"/>
        <v>0</v>
      </c>
      <c r="J329" s="73"/>
      <c r="K329" s="50"/>
      <c r="L329" s="56"/>
      <c r="M329" s="13"/>
      <c r="N329" s="13"/>
      <c r="O329" s="13"/>
      <c r="P329" s="13"/>
      <c r="Q329" s="13"/>
      <c r="R329" s="13"/>
      <c r="S329" s="13"/>
      <c r="T329" s="68"/>
      <c r="U329" s="68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</row>
    <row r="330" ht="15.75" customHeight="1">
      <c r="A330" s="69">
        <v>90101.0</v>
      </c>
      <c r="B330" s="70" t="s">
        <v>343</v>
      </c>
      <c r="C330" s="69" t="s">
        <v>384</v>
      </c>
      <c r="D330" s="71">
        <v>49216.0</v>
      </c>
      <c r="E330" s="71">
        <v>2.3776788244639225E7</v>
      </c>
      <c r="F330" s="72">
        <f t="shared" si="2"/>
        <v>483.1109445</v>
      </c>
      <c r="G330" s="71">
        <v>55114.0</v>
      </c>
      <c r="H330" s="71">
        <v>3.3061341500198364E7</v>
      </c>
      <c r="I330" s="72">
        <f t="shared" si="3"/>
        <v>599.8719291</v>
      </c>
      <c r="J330" s="73"/>
      <c r="K330" s="50"/>
      <c r="L330" s="56"/>
      <c r="M330" s="13"/>
      <c r="N330" s="13"/>
      <c r="O330" s="13"/>
      <c r="P330" s="13"/>
      <c r="Q330" s="13"/>
      <c r="R330" s="13"/>
      <c r="S330" s="13"/>
      <c r="T330" s="68"/>
      <c r="U330" s="68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</row>
    <row r="331" ht="15.75" customHeight="1">
      <c r="A331" s="69">
        <v>90102.0</v>
      </c>
      <c r="B331" s="70" t="s">
        <v>344</v>
      </c>
      <c r="C331" s="69" t="s">
        <v>384</v>
      </c>
      <c r="D331" s="71">
        <v>8416.0</v>
      </c>
      <c r="E331" s="71">
        <v>1289749.1708425088</v>
      </c>
      <c r="F331" s="72">
        <f t="shared" si="2"/>
        <v>153.2496638</v>
      </c>
      <c r="G331" s="71">
        <v>9353.0</v>
      </c>
      <c r="H331" s="71">
        <v>3592961.5010681152</v>
      </c>
      <c r="I331" s="72">
        <f t="shared" si="3"/>
        <v>384.1507004</v>
      </c>
      <c r="J331" s="73"/>
      <c r="K331" s="50"/>
      <c r="L331" s="56"/>
      <c r="M331" s="13"/>
      <c r="N331" s="13"/>
      <c r="O331" s="13"/>
      <c r="P331" s="13"/>
      <c r="Q331" s="13"/>
      <c r="R331" s="13"/>
      <c r="S331" s="13"/>
      <c r="T331" s="68"/>
      <c r="U331" s="68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</row>
    <row r="332" ht="15.75" customHeight="1">
      <c r="A332" s="69">
        <v>90103.0</v>
      </c>
      <c r="B332" s="70" t="s">
        <v>345</v>
      </c>
      <c r="C332" s="69" t="s">
        <v>384</v>
      </c>
      <c r="D332" s="71">
        <v>2261.0</v>
      </c>
      <c r="E332" s="71">
        <v>0.0</v>
      </c>
      <c r="F332" s="72">
        <f t="shared" si="2"/>
        <v>0</v>
      </c>
      <c r="G332" s="71">
        <v>2437.0</v>
      </c>
      <c r="H332" s="71">
        <v>0.0</v>
      </c>
      <c r="I332" s="72">
        <f t="shared" si="3"/>
        <v>0</v>
      </c>
      <c r="J332" s="73"/>
      <c r="K332" s="50"/>
      <c r="L332" s="56"/>
      <c r="M332" s="13"/>
      <c r="N332" s="13"/>
      <c r="O332" s="13"/>
      <c r="P332" s="13"/>
      <c r="Q332" s="13"/>
      <c r="R332" s="13"/>
      <c r="S332" s="13"/>
      <c r="T332" s="68"/>
      <c r="U332" s="68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</row>
    <row r="333" ht="15.75" customHeight="1">
      <c r="A333" s="69">
        <v>90104.0</v>
      </c>
      <c r="B333" s="70" t="s">
        <v>346</v>
      </c>
      <c r="C333" s="69" t="s">
        <v>384</v>
      </c>
      <c r="D333" s="71">
        <v>3816.0</v>
      </c>
      <c r="E333" s="71">
        <v>185920.9995722724</v>
      </c>
      <c r="F333" s="72">
        <f t="shared" si="2"/>
        <v>48.72143595</v>
      </c>
      <c r="G333" s="71">
        <v>3630.0</v>
      </c>
      <c r="H333" s="71">
        <v>932741.0001907349</v>
      </c>
      <c r="I333" s="72">
        <f t="shared" si="3"/>
        <v>256.9534436</v>
      </c>
      <c r="J333" s="73"/>
      <c r="K333" s="50"/>
      <c r="L333" s="56"/>
      <c r="M333" s="13"/>
      <c r="N333" s="13"/>
      <c r="O333" s="13"/>
      <c r="P333" s="13"/>
      <c r="Q333" s="13"/>
      <c r="R333" s="13"/>
      <c r="S333" s="13"/>
      <c r="T333" s="68"/>
      <c r="U333" s="68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</row>
    <row r="334" ht="15.75" customHeight="1">
      <c r="A334" s="69">
        <v>90201.0</v>
      </c>
      <c r="B334" s="70" t="s">
        <v>347</v>
      </c>
      <c r="C334" s="69" t="s">
        <v>384</v>
      </c>
      <c r="D334" s="71">
        <v>6615.0</v>
      </c>
      <c r="E334" s="71">
        <v>914805.1112410333</v>
      </c>
      <c r="F334" s="72">
        <f t="shared" si="2"/>
        <v>138.2925338</v>
      </c>
      <c r="G334" s="71">
        <v>7367.0</v>
      </c>
      <c r="H334" s="71">
        <v>1585179.5001449585</v>
      </c>
      <c r="I334" s="72">
        <f t="shared" si="3"/>
        <v>215.1730012</v>
      </c>
      <c r="J334" s="73"/>
      <c r="K334" s="50"/>
      <c r="L334" s="56"/>
      <c r="M334" s="13"/>
      <c r="N334" s="13"/>
      <c r="O334" s="13"/>
      <c r="P334" s="13"/>
      <c r="Q334" s="13"/>
      <c r="R334" s="13"/>
      <c r="S334" s="13"/>
      <c r="T334" s="68"/>
      <c r="U334" s="68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</row>
    <row r="335" ht="15.75" customHeight="1">
      <c r="A335" s="69">
        <v>90202.0</v>
      </c>
      <c r="B335" s="70" t="s">
        <v>310</v>
      </c>
      <c r="C335" s="69" t="s">
        <v>384</v>
      </c>
      <c r="D335" s="71">
        <v>3167.0</v>
      </c>
      <c r="E335" s="71">
        <v>81834.99987585098</v>
      </c>
      <c r="F335" s="72">
        <f t="shared" si="2"/>
        <v>25.83991155</v>
      </c>
      <c r="G335" s="71">
        <v>3518.0</v>
      </c>
      <c r="H335" s="71">
        <v>353813.5003128052</v>
      </c>
      <c r="I335" s="72">
        <f t="shared" si="3"/>
        <v>100.5723423</v>
      </c>
      <c r="J335" s="73"/>
      <c r="K335" s="50"/>
      <c r="L335" s="56"/>
      <c r="M335" s="13"/>
      <c r="N335" s="13"/>
      <c r="O335" s="13"/>
      <c r="P335" s="13"/>
      <c r="Q335" s="13"/>
      <c r="R335" s="13"/>
      <c r="S335" s="13"/>
      <c r="T335" s="68"/>
      <c r="U335" s="68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</row>
    <row r="336" ht="15.75" customHeight="1">
      <c r="A336" s="69">
        <v>90203.0</v>
      </c>
      <c r="B336" s="70" t="s">
        <v>348</v>
      </c>
      <c r="C336" s="69" t="s">
        <v>384</v>
      </c>
      <c r="D336" s="71">
        <v>6519.0</v>
      </c>
      <c r="E336" s="71">
        <v>944520.9998827092</v>
      </c>
      <c r="F336" s="72">
        <f t="shared" si="2"/>
        <v>144.887406</v>
      </c>
      <c r="G336" s="71">
        <v>8045.0</v>
      </c>
      <c r="H336" s="71">
        <v>5176547.499481201</v>
      </c>
      <c r="I336" s="72">
        <f t="shared" si="3"/>
        <v>643.4490366</v>
      </c>
      <c r="J336" s="73"/>
      <c r="K336" s="50"/>
      <c r="L336" s="56"/>
      <c r="M336" s="13"/>
      <c r="N336" s="13"/>
      <c r="O336" s="13"/>
      <c r="P336" s="13"/>
      <c r="Q336" s="13"/>
      <c r="R336" s="13"/>
      <c r="S336" s="13"/>
      <c r="T336" s="68"/>
      <c r="U336" s="68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</row>
    <row r="337" ht="15.75" customHeight="1">
      <c r="A337" s="69">
        <v>90301.0</v>
      </c>
      <c r="B337" s="70" t="s">
        <v>349</v>
      </c>
      <c r="C337" s="69" t="s">
        <v>384</v>
      </c>
      <c r="D337" s="71">
        <v>9584.0</v>
      </c>
      <c r="E337" s="71">
        <v>186030.00017465465</v>
      </c>
      <c r="F337" s="72">
        <f t="shared" si="2"/>
        <v>19.41047581</v>
      </c>
      <c r="G337" s="71">
        <v>12431.0</v>
      </c>
      <c r="H337" s="71">
        <v>0.0</v>
      </c>
      <c r="I337" s="72">
        <f t="shared" si="3"/>
        <v>0</v>
      </c>
      <c r="J337" s="73"/>
      <c r="K337" s="50"/>
      <c r="L337" s="56"/>
      <c r="M337" s="13"/>
      <c r="N337" s="13"/>
      <c r="O337" s="13"/>
      <c r="P337" s="13"/>
      <c r="Q337" s="13"/>
      <c r="R337" s="13"/>
      <c r="S337" s="13"/>
      <c r="T337" s="68"/>
      <c r="U337" s="68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</row>
    <row r="338" ht="15.75" customHeight="1">
      <c r="A338" s="69">
        <v>90302.0</v>
      </c>
      <c r="B338" s="70" t="s">
        <v>350</v>
      </c>
      <c r="C338" s="69" t="s">
        <v>384</v>
      </c>
      <c r="D338" s="71">
        <v>8379.0</v>
      </c>
      <c r="E338" s="71">
        <v>303570.50026059896</v>
      </c>
      <c r="F338" s="72">
        <f t="shared" si="2"/>
        <v>36.22992007</v>
      </c>
      <c r="G338" s="71">
        <v>9832.0</v>
      </c>
      <c r="H338" s="71">
        <v>741663.5008773804</v>
      </c>
      <c r="I338" s="72">
        <f t="shared" si="3"/>
        <v>75.43363516</v>
      </c>
      <c r="J338" s="73"/>
      <c r="K338" s="50"/>
      <c r="L338" s="56"/>
      <c r="M338" s="13"/>
      <c r="N338" s="13"/>
      <c r="O338" s="13"/>
      <c r="P338" s="13"/>
      <c r="Q338" s="13"/>
      <c r="R338" s="13"/>
      <c r="S338" s="13"/>
      <c r="T338" s="68"/>
      <c r="U338" s="68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</row>
    <row r="339" ht="15.75" customHeight="1">
      <c r="A339" s="69">
        <v>90303.0</v>
      </c>
      <c r="B339" s="70" t="s">
        <v>351</v>
      </c>
      <c r="C339" s="69" t="s">
        <v>384</v>
      </c>
      <c r="D339" s="71">
        <v>9013.0</v>
      </c>
      <c r="E339" s="71">
        <v>723820.499534213</v>
      </c>
      <c r="F339" s="72">
        <f t="shared" si="2"/>
        <v>80.30849878</v>
      </c>
      <c r="G339" s="71">
        <v>10522.0</v>
      </c>
      <c r="H339" s="71">
        <v>1892991.0003128052</v>
      </c>
      <c r="I339" s="72">
        <f t="shared" si="3"/>
        <v>179.9079073</v>
      </c>
      <c r="J339" s="73"/>
      <c r="K339" s="50"/>
      <c r="L339" s="56"/>
      <c r="M339" s="13"/>
      <c r="N339" s="13"/>
      <c r="O339" s="13"/>
      <c r="P339" s="13"/>
      <c r="Q339" s="13"/>
      <c r="R339" s="13"/>
      <c r="S339" s="13"/>
      <c r="T339" s="68"/>
      <c r="U339" s="68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</row>
    <row r="340" ht="15.75" customHeight="1">
      <c r="A340" s="69">
        <v>90401.0</v>
      </c>
      <c r="B340" s="70" t="s">
        <v>352</v>
      </c>
      <c r="C340" s="69" t="s">
        <v>384</v>
      </c>
      <c r="D340" s="71">
        <v>2560.0</v>
      </c>
      <c r="E340" s="71">
        <v>0.0</v>
      </c>
      <c r="F340" s="72">
        <f t="shared" si="2"/>
        <v>0</v>
      </c>
      <c r="G340" s="71">
        <v>2889.0</v>
      </c>
      <c r="H340" s="71">
        <v>1226835.0000686646</v>
      </c>
      <c r="I340" s="72">
        <f t="shared" si="3"/>
        <v>424.6573209</v>
      </c>
      <c r="J340" s="73"/>
      <c r="K340" s="50"/>
      <c r="L340" s="56"/>
      <c r="M340" s="13"/>
      <c r="N340" s="13"/>
      <c r="O340" s="13"/>
      <c r="P340" s="13"/>
      <c r="Q340" s="13"/>
      <c r="R340" s="13"/>
      <c r="S340" s="13"/>
      <c r="T340" s="68"/>
      <c r="U340" s="68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</row>
    <row r="341" ht="15.75" customHeight="1">
      <c r="A341" s="69">
        <v>90402.0</v>
      </c>
      <c r="B341" s="70" t="s">
        <v>353</v>
      </c>
      <c r="C341" s="69" t="s">
        <v>384</v>
      </c>
      <c r="D341" s="71">
        <v>1969.0</v>
      </c>
      <c r="E341" s="71">
        <v>0.0</v>
      </c>
      <c r="F341" s="72">
        <f t="shared" si="2"/>
        <v>0</v>
      </c>
      <c r="G341" s="71">
        <v>2600.0</v>
      </c>
      <c r="H341" s="71">
        <v>0.0</v>
      </c>
      <c r="I341" s="72">
        <f t="shared" si="3"/>
        <v>0</v>
      </c>
      <c r="J341" s="73"/>
      <c r="K341" s="50"/>
      <c r="L341" s="56"/>
      <c r="M341" s="13"/>
      <c r="N341" s="13"/>
      <c r="O341" s="13"/>
      <c r="P341" s="13"/>
      <c r="Q341" s="13"/>
      <c r="R341" s="13"/>
      <c r="S341" s="13"/>
      <c r="T341" s="68"/>
      <c r="U341" s="68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</row>
    <row r="342" ht="15.75" customHeight="1">
      <c r="A342" s="69">
        <v>90501.0</v>
      </c>
      <c r="B342" s="70" t="s">
        <v>354</v>
      </c>
      <c r="C342" s="69" t="s">
        <v>384</v>
      </c>
      <c r="D342" s="71">
        <v>1911.0</v>
      </c>
      <c r="E342" s="71">
        <v>96837.0000496339</v>
      </c>
      <c r="F342" s="72">
        <f t="shared" si="2"/>
        <v>50.67346941</v>
      </c>
      <c r="G342" s="71">
        <v>1598.0</v>
      </c>
      <c r="H342" s="71">
        <v>0.0</v>
      </c>
      <c r="I342" s="72">
        <f t="shared" si="3"/>
        <v>0</v>
      </c>
      <c r="J342" s="73"/>
      <c r="K342" s="50"/>
      <c r="L342" s="56"/>
      <c r="M342" s="13"/>
      <c r="N342" s="13"/>
      <c r="O342" s="13"/>
      <c r="P342" s="13"/>
      <c r="Q342" s="13"/>
      <c r="R342" s="13"/>
      <c r="S342" s="13"/>
      <c r="T342" s="68"/>
      <c r="U342" s="68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</row>
    <row r="343" ht="15.75" customHeight="1">
      <c r="A343" s="69">
        <v>90502.0</v>
      </c>
      <c r="B343" s="70" t="s">
        <v>355</v>
      </c>
      <c r="C343" s="69" t="s">
        <v>384</v>
      </c>
      <c r="D343" s="71">
        <v>2704.0</v>
      </c>
      <c r="E343" s="71">
        <v>77098.00014922023</v>
      </c>
      <c r="F343" s="72">
        <f t="shared" si="2"/>
        <v>28.51257402</v>
      </c>
      <c r="G343" s="71">
        <v>2511.0</v>
      </c>
      <c r="H343" s="71">
        <v>0.0</v>
      </c>
      <c r="I343" s="72">
        <f t="shared" si="3"/>
        <v>0</v>
      </c>
      <c r="J343" s="73"/>
      <c r="K343" s="50"/>
      <c r="L343" s="56"/>
      <c r="M343" s="13"/>
      <c r="N343" s="13"/>
      <c r="O343" s="13"/>
      <c r="P343" s="13"/>
      <c r="Q343" s="13"/>
      <c r="R343" s="13"/>
      <c r="S343" s="13"/>
      <c r="T343" s="68"/>
      <c r="U343" s="68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</row>
    <row r="344" ht="15.75" customHeight="1">
      <c r="A344" s="69">
        <v>90503.0</v>
      </c>
      <c r="B344" s="70" t="s">
        <v>356</v>
      </c>
      <c r="C344" s="69" t="s">
        <v>384</v>
      </c>
      <c r="D344" s="71">
        <v>2226.0</v>
      </c>
      <c r="E344" s="71">
        <v>0.0</v>
      </c>
      <c r="F344" s="72">
        <f t="shared" si="2"/>
        <v>0</v>
      </c>
      <c r="G344" s="71">
        <v>2347.0</v>
      </c>
      <c r="H344" s="71">
        <v>0.0</v>
      </c>
      <c r="I344" s="72">
        <f t="shared" si="3"/>
        <v>0</v>
      </c>
      <c r="J344" s="73"/>
      <c r="K344" s="50"/>
      <c r="L344" s="56"/>
      <c r="M344" s="13"/>
      <c r="N344" s="13"/>
      <c r="O344" s="13"/>
      <c r="P344" s="13"/>
      <c r="Q344" s="13"/>
      <c r="R344" s="13"/>
      <c r="S344" s="13"/>
      <c r="T344" s="68"/>
      <c r="U344" s="68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</row>
    <row r="345" ht="15.75" customHeight="1">
      <c r="A345" s="69">
        <v>10.0</v>
      </c>
      <c r="B345" s="70"/>
      <c r="C345" s="70" t="s">
        <v>380</v>
      </c>
      <c r="D345" s="71">
        <f t="shared" ref="D345:E345" si="21">AVERAGE(D246:D248)</f>
        <v>50468.66667</v>
      </c>
      <c r="E345" s="71">
        <f t="shared" si="21"/>
        <v>15318677.33</v>
      </c>
      <c r="F345" s="72">
        <f t="shared" si="2"/>
        <v>303.5284731</v>
      </c>
      <c r="G345" s="71">
        <f t="shared" ref="G345:H345" si="22">AVERAGE(G246:G248)</f>
        <v>53088</v>
      </c>
      <c r="H345" s="71">
        <f t="shared" si="22"/>
        <v>18920485.33</v>
      </c>
      <c r="I345" s="72">
        <f t="shared" si="3"/>
        <v>356.3985333</v>
      </c>
      <c r="J345" s="13"/>
      <c r="K345" s="68"/>
      <c r="L345" s="56"/>
      <c r="M345" s="13"/>
      <c r="N345" s="68"/>
      <c r="O345" s="13"/>
      <c r="P345" s="13"/>
      <c r="Q345" s="13"/>
      <c r="R345" s="13"/>
      <c r="S345" s="13"/>
      <c r="T345" s="68"/>
      <c r="U345" s="68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</row>
    <row r="346" ht="15.75" customHeight="1">
      <c r="A346" s="69">
        <v>11.0</v>
      </c>
      <c r="B346" s="70"/>
      <c r="C346" s="70" t="s">
        <v>376</v>
      </c>
      <c r="D346" s="71">
        <f t="shared" ref="D346:E346" si="23">SUM(D2:D344)</f>
        <v>10495009</v>
      </c>
      <c r="E346" s="71">
        <f t="shared" si="23"/>
        <v>3233373110</v>
      </c>
      <c r="F346" s="72">
        <f t="shared" si="2"/>
        <v>308.0867401</v>
      </c>
      <c r="G346" s="71">
        <f t="shared" ref="G346:H346" si="24">SUM(G2:G344)</f>
        <v>11365333</v>
      </c>
      <c r="H346" s="71">
        <f t="shared" si="24"/>
        <v>4033077521</v>
      </c>
      <c r="I346" s="72">
        <f t="shared" si="3"/>
        <v>354.8578401</v>
      </c>
      <c r="J346" s="99"/>
      <c r="K346" s="68"/>
      <c r="L346" s="56"/>
      <c r="M346" s="99"/>
      <c r="N346" s="68"/>
      <c r="O346" s="13"/>
      <c r="P346" s="13"/>
      <c r="Q346" s="13"/>
      <c r="R346" s="13"/>
      <c r="S346" s="13"/>
      <c r="T346" s="68"/>
      <c r="U346" s="68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</row>
    <row r="347" ht="15.75" customHeight="1">
      <c r="A347" s="13"/>
      <c r="B347" s="13"/>
      <c r="C347" s="68"/>
      <c r="D347" s="95"/>
      <c r="E347" s="13"/>
      <c r="F347" s="100"/>
      <c r="G347" s="13"/>
      <c r="H347" s="95"/>
      <c r="I347" s="13"/>
      <c r="J347" s="13"/>
      <c r="K347" s="68"/>
      <c r="L347" s="56"/>
      <c r="M347" s="13"/>
      <c r="N347" s="13"/>
      <c r="O347" s="13"/>
      <c r="P347" s="13"/>
      <c r="Q347" s="13"/>
      <c r="R347" s="13"/>
      <c r="S347" s="13"/>
      <c r="T347" s="68"/>
      <c r="U347" s="68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</row>
    <row r="348" ht="15.75" customHeight="1">
      <c r="A348" s="13"/>
      <c r="B348" s="68"/>
      <c r="C348" s="68"/>
      <c r="D348" s="95"/>
      <c r="E348" s="50"/>
      <c r="F348" s="100"/>
      <c r="G348" s="95"/>
      <c r="H348" s="50"/>
      <c r="I348" s="13"/>
      <c r="J348" s="95"/>
      <c r="K348" s="95"/>
      <c r="L348" s="95"/>
      <c r="M348" s="95"/>
      <c r="N348" s="13"/>
      <c r="O348" s="13"/>
      <c r="P348" s="13"/>
      <c r="Q348" s="13"/>
      <c r="R348" s="13"/>
      <c r="S348" s="13"/>
      <c r="T348" s="68"/>
      <c r="U348" s="68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</row>
    <row r="349" ht="15.75" customHeight="1">
      <c r="A349" s="13"/>
      <c r="B349" s="68"/>
      <c r="C349" s="68"/>
      <c r="D349" s="95"/>
      <c r="E349" s="50"/>
      <c r="F349" s="68"/>
      <c r="G349" s="13"/>
      <c r="H349" s="50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68"/>
      <c r="U349" s="68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</row>
    <row r="350" ht="15.75" customHeight="1">
      <c r="A350" s="13"/>
      <c r="B350" s="68"/>
      <c r="C350" s="68"/>
      <c r="D350" s="95"/>
      <c r="E350" s="95"/>
      <c r="F350" s="100"/>
      <c r="G350" s="13"/>
      <c r="H350" s="95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68"/>
      <c r="U350" s="68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</row>
    <row r="351" ht="15.75" customHeight="1">
      <c r="A351" s="13"/>
      <c r="B351" s="68"/>
      <c r="C351" s="68"/>
      <c r="D351" s="95"/>
      <c r="E351" s="50"/>
      <c r="F351" s="100"/>
      <c r="G351" s="13"/>
      <c r="H351" s="50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68"/>
      <c r="U351" s="68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</row>
    <row r="352" ht="15.75" customHeight="1">
      <c r="A352" s="13"/>
      <c r="B352" s="13"/>
      <c r="C352" s="68"/>
      <c r="D352" s="95"/>
      <c r="E352" s="95"/>
      <c r="F352" s="100"/>
      <c r="G352" s="13"/>
      <c r="H352" s="95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68"/>
      <c r="U352" s="68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</row>
    <row r="353" ht="15.75" customHeight="1">
      <c r="A353" s="13"/>
      <c r="B353" s="13"/>
      <c r="C353" s="68"/>
      <c r="D353" s="95"/>
      <c r="E353" s="95"/>
      <c r="F353" s="100"/>
      <c r="G353" s="13"/>
      <c r="H353" s="95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68"/>
      <c r="U353" s="68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</row>
    <row r="354" ht="15.75" customHeight="1">
      <c r="A354" s="13"/>
      <c r="B354" s="13"/>
      <c r="C354" s="68"/>
      <c r="D354" s="95"/>
      <c r="E354" s="56"/>
      <c r="F354" s="100"/>
      <c r="G354" s="13"/>
      <c r="H354" s="95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68"/>
      <c r="U354" s="68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</row>
    <row r="355" ht="15.75" customHeight="1">
      <c r="A355" s="13"/>
      <c r="B355" s="13"/>
      <c r="C355" s="68"/>
      <c r="D355" s="95"/>
      <c r="E355" s="95"/>
      <c r="F355" s="100"/>
      <c r="G355" s="13"/>
      <c r="H355" s="95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68"/>
      <c r="U355" s="68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</row>
    <row r="356" ht="15.75" customHeight="1">
      <c r="A356" s="13"/>
      <c r="B356" s="13"/>
      <c r="C356" s="68"/>
      <c r="D356" s="95"/>
      <c r="E356" s="95"/>
      <c r="F356" s="100"/>
      <c r="G356" s="13"/>
      <c r="H356" s="95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68"/>
      <c r="U356" s="68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</row>
    <row r="357" ht="15.75" customHeight="1">
      <c r="A357" s="13"/>
      <c r="B357" s="13"/>
      <c r="C357" s="68"/>
      <c r="D357" s="95"/>
      <c r="E357" s="95"/>
      <c r="F357" s="100"/>
      <c r="G357" s="13"/>
      <c r="H357" s="95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68"/>
      <c r="U357" s="68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</row>
    <row r="358" ht="15.75" customHeight="1">
      <c r="A358" s="13"/>
      <c r="B358" s="13"/>
      <c r="C358" s="68"/>
      <c r="D358" s="95"/>
      <c r="E358" s="95"/>
      <c r="F358" s="100"/>
      <c r="G358" s="13"/>
      <c r="H358" s="95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68"/>
      <c r="U358" s="68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</row>
    <row r="359" ht="15.75" customHeight="1">
      <c r="A359" s="13"/>
      <c r="B359" s="13"/>
      <c r="C359" s="68"/>
      <c r="D359" s="95"/>
      <c r="E359" s="95"/>
      <c r="F359" s="100"/>
      <c r="G359" s="13"/>
      <c r="H359" s="95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68"/>
      <c r="U359" s="68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</row>
    <row r="360" ht="15.75" customHeight="1">
      <c r="A360" s="13"/>
      <c r="B360" s="13"/>
      <c r="C360" s="68"/>
      <c r="D360" s="95"/>
      <c r="E360" s="95"/>
      <c r="F360" s="100"/>
      <c r="G360" s="13"/>
      <c r="H360" s="95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68"/>
      <c r="U360" s="68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</row>
    <row r="361" ht="15.75" customHeight="1">
      <c r="A361" s="13"/>
      <c r="B361" s="13"/>
      <c r="C361" s="68"/>
      <c r="D361" s="95"/>
      <c r="E361" s="95"/>
      <c r="F361" s="100"/>
      <c r="G361" s="13"/>
      <c r="H361" s="95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68"/>
      <c r="U361" s="68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</row>
    <row r="362" ht="15.75" customHeight="1">
      <c r="A362" s="13"/>
      <c r="B362" s="13"/>
      <c r="C362" s="68"/>
      <c r="D362" s="95"/>
      <c r="E362" s="95"/>
      <c r="F362" s="100"/>
      <c r="G362" s="13"/>
      <c r="H362" s="95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68"/>
      <c r="U362" s="68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</row>
    <row r="363" ht="15.75" customHeight="1">
      <c r="A363" s="13"/>
      <c r="B363" s="13"/>
      <c r="C363" s="68"/>
      <c r="D363" s="95"/>
      <c r="E363" s="95"/>
      <c r="F363" s="100"/>
      <c r="G363" s="13"/>
      <c r="H363" s="95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68"/>
      <c r="U363" s="68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</row>
    <row r="364" ht="15.75" customHeight="1">
      <c r="A364" s="13"/>
      <c r="B364" s="13"/>
      <c r="C364" s="68"/>
      <c r="D364" s="95"/>
      <c r="E364" s="95"/>
      <c r="F364" s="100"/>
      <c r="G364" s="13"/>
      <c r="H364" s="95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68"/>
      <c r="U364" s="68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</row>
    <row r="365" ht="15.75" customHeight="1">
      <c r="A365" s="13"/>
      <c r="B365" s="13"/>
      <c r="C365" s="68"/>
      <c r="D365" s="95"/>
      <c r="E365" s="95"/>
      <c r="F365" s="100"/>
      <c r="G365" s="13"/>
      <c r="H365" s="95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68"/>
      <c r="U365" s="68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</row>
    <row r="366" ht="15.75" customHeight="1">
      <c r="A366" s="13"/>
      <c r="B366" s="13"/>
      <c r="C366" s="68"/>
      <c r="D366" s="95"/>
      <c r="E366" s="95"/>
      <c r="F366" s="100"/>
      <c r="G366" s="13"/>
      <c r="H366" s="95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68"/>
      <c r="U366" s="68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</row>
    <row r="367" ht="15.75" customHeight="1">
      <c r="A367" s="13"/>
      <c r="B367" s="13"/>
      <c r="C367" s="68"/>
      <c r="D367" s="95"/>
      <c r="E367" s="95"/>
      <c r="F367" s="100"/>
      <c r="G367" s="13"/>
      <c r="H367" s="95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68"/>
      <c r="U367" s="68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</row>
    <row r="368" ht="15.75" customHeight="1">
      <c r="A368" s="13"/>
      <c r="B368" s="13"/>
      <c r="C368" s="68"/>
      <c r="D368" s="95"/>
      <c r="E368" s="95"/>
      <c r="F368" s="100"/>
      <c r="G368" s="13"/>
      <c r="H368" s="95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68"/>
      <c r="U368" s="68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</row>
    <row r="369" ht="15.75" customHeight="1">
      <c r="A369" s="13"/>
      <c r="B369" s="13"/>
      <c r="C369" s="68"/>
      <c r="D369" s="95"/>
      <c r="E369" s="95"/>
      <c r="F369" s="100"/>
      <c r="G369" s="13"/>
      <c r="H369" s="95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68"/>
      <c r="U369" s="68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</row>
    <row r="370" ht="15.75" customHeight="1">
      <c r="A370" s="13"/>
      <c r="B370" s="13"/>
      <c r="C370" s="68"/>
      <c r="D370" s="95"/>
      <c r="E370" s="95"/>
      <c r="F370" s="100"/>
      <c r="G370" s="13"/>
      <c r="H370" s="95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68"/>
      <c r="U370" s="68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</row>
    <row r="371" ht="15.75" customHeight="1">
      <c r="A371" s="13"/>
      <c r="B371" s="13"/>
      <c r="C371" s="68"/>
      <c r="D371" s="95"/>
      <c r="E371" s="95"/>
      <c r="F371" s="100"/>
      <c r="G371" s="13"/>
      <c r="H371" s="95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68"/>
      <c r="U371" s="68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</row>
    <row r="372" ht="15.75" customHeight="1">
      <c r="A372" s="13"/>
      <c r="B372" s="13"/>
      <c r="C372" s="68"/>
      <c r="D372" s="95"/>
      <c r="E372" s="95"/>
      <c r="F372" s="100"/>
      <c r="G372" s="13"/>
      <c r="H372" s="95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68"/>
      <c r="U372" s="68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</row>
    <row r="373" ht="15.75" customHeight="1">
      <c r="A373" s="13"/>
      <c r="B373" s="13"/>
      <c r="C373" s="68"/>
      <c r="D373" s="95"/>
      <c r="E373" s="95"/>
      <c r="F373" s="100"/>
      <c r="G373" s="13"/>
      <c r="H373" s="95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68"/>
      <c r="U373" s="68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</row>
    <row r="374" ht="15.75" customHeight="1">
      <c r="A374" s="13"/>
      <c r="B374" s="13"/>
      <c r="C374" s="68"/>
      <c r="D374" s="95"/>
      <c r="E374" s="95"/>
      <c r="F374" s="100"/>
      <c r="G374" s="13"/>
      <c r="H374" s="95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68"/>
      <c r="U374" s="68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</row>
    <row r="375" ht="15.75" customHeight="1">
      <c r="A375" s="13"/>
      <c r="B375" s="13"/>
      <c r="C375" s="68"/>
      <c r="D375" s="95"/>
      <c r="E375" s="95"/>
      <c r="F375" s="100"/>
      <c r="G375" s="13"/>
      <c r="H375" s="95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68"/>
      <c r="U375" s="68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</row>
    <row r="376" ht="15.75" customHeight="1">
      <c r="A376" s="13"/>
      <c r="B376" s="13"/>
      <c r="C376" s="68"/>
      <c r="D376" s="95"/>
      <c r="E376" s="95"/>
      <c r="F376" s="100"/>
      <c r="G376" s="13"/>
      <c r="H376" s="95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68"/>
      <c r="U376" s="68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</row>
    <row r="377" ht="15.75" customHeight="1">
      <c r="A377" s="13"/>
      <c r="B377" s="13"/>
      <c r="C377" s="68"/>
      <c r="D377" s="95"/>
      <c r="E377" s="95"/>
      <c r="F377" s="100"/>
      <c r="G377" s="13"/>
      <c r="H377" s="95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68"/>
      <c r="U377" s="68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</row>
    <row r="378" ht="15.75" customHeight="1">
      <c r="A378" s="13"/>
      <c r="B378" s="13"/>
      <c r="C378" s="68"/>
      <c r="D378" s="95"/>
      <c r="E378" s="95"/>
      <c r="F378" s="100"/>
      <c r="G378" s="13"/>
      <c r="H378" s="95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68"/>
      <c r="U378" s="68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</row>
    <row r="379" ht="15.75" customHeight="1">
      <c r="A379" s="13"/>
      <c r="B379" s="13"/>
      <c r="C379" s="68"/>
      <c r="D379" s="95"/>
      <c r="E379" s="95"/>
      <c r="F379" s="100"/>
      <c r="G379" s="13"/>
      <c r="H379" s="95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68"/>
      <c r="U379" s="68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</row>
    <row r="380" ht="15.75" customHeight="1">
      <c r="A380" s="13"/>
      <c r="B380" s="13"/>
      <c r="C380" s="68"/>
      <c r="D380" s="95"/>
      <c r="E380" s="95"/>
      <c r="F380" s="100"/>
      <c r="G380" s="13"/>
      <c r="H380" s="95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68"/>
      <c r="U380" s="68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</row>
    <row r="381" ht="15.75" customHeight="1">
      <c r="A381" s="13"/>
      <c r="B381" s="13"/>
      <c r="C381" s="68"/>
      <c r="D381" s="95"/>
      <c r="E381" s="95"/>
      <c r="F381" s="100"/>
      <c r="G381" s="13"/>
      <c r="H381" s="95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68"/>
      <c r="U381" s="68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</row>
    <row r="382" ht="15.75" customHeight="1">
      <c r="A382" s="13"/>
      <c r="B382" s="13"/>
      <c r="C382" s="68"/>
      <c r="D382" s="95"/>
      <c r="E382" s="95"/>
      <c r="F382" s="100"/>
      <c r="G382" s="13"/>
      <c r="H382" s="95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68"/>
      <c r="U382" s="68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</row>
    <row r="383" ht="15.75" customHeight="1">
      <c r="A383" s="13"/>
      <c r="B383" s="13"/>
      <c r="C383" s="68"/>
      <c r="D383" s="95"/>
      <c r="E383" s="95"/>
      <c r="F383" s="100"/>
      <c r="G383" s="13"/>
      <c r="H383" s="95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68"/>
      <c r="U383" s="68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</row>
    <row r="384" ht="15.75" customHeight="1">
      <c r="A384" s="13"/>
      <c r="B384" s="13"/>
      <c r="C384" s="68"/>
      <c r="D384" s="95"/>
      <c r="E384" s="95"/>
      <c r="F384" s="100"/>
      <c r="G384" s="13"/>
      <c r="H384" s="95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68"/>
      <c r="U384" s="68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</row>
    <row r="385" ht="15.75" customHeight="1">
      <c r="A385" s="13"/>
      <c r="B385" s="13"/>
      <c r="C385" s="68"/>
      <c r="D385" s="95"/>
      <c r="E385" s="95"/>
      <c r="F385" s="100"/>
      <c r="G385" s="13"/>
      <c r="H385" s="95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68"/>
      <c r="U385" s="68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</row>
    <row r="386" ht="15.75" customHeight="1">
      <c r="A386" s="13"/>
      <c r="B386" s="13"/>
      <c r="C386" s="68"/>
      <c r="D386" s="95"/>
      <c r="E386" s="95"/>
      <c r="F386" s="100"/>
      <c r="G386" s="13"/>
      <c r="H386" s="95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68"/>
      <c r="U386" s="68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</row>
    <row r="387" ht="15.75" customHeight="1">
      <c r="A387" s="13"/>
      <c r="B387" s="13"/>
      <c r="C387" s="68"/>
      <c r="D387" s="95"/>
      <c r="E387" s="95"/>
      <c r="F387" s="100"/>
      <c r="G387" s="13"/>
      <c r="H387" s="95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68"/>
      <c r="U387" s="68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</row>
    <row r="388" ht="15.75" customHeight="1">
      <c r="A388" s="13"/>
      <c r="B388" s="13"/>
      <c r="C388" s="68"/>
      <c r="D388" s="95"/>
      <c r="E388" s="95"/>
      <c r="F388" s="100"/>
      <c r="G388" s="13"/>
      <c r="H388" s="95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68"/>
      <c r="U388" s="68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</row>
    <row r="389" ht="15.75" customHeight="1">
      <c r="A389" s="13"/>
      <c r="B389" s="13"/>
      <c r="C389" s="68"/>
      <c r="D389" s="95"/>
      <c r="E389" s="95"/>
      <c r="F389" s="100"/>
      <c r="G389" s="13"/>
      <c r="H389" s="95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68"/>
      <c r="U389" s="68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</row>
    <row r="390" ht="15.75" customHeight="1">
      <c r="A390" s="13"/>
      <c r="B390" s="13"/>
      <c r="C390" s="68"/>
      <c r="D390" s="95"/>
      <c r="E390" s="95"/>
      <c r="F390" s="100"/>
      <c r="G390" s="13"/>
      <c r="H390" s="95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68"/>
      <c r="U390" s="68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</row>
    <row r="391" ht="15.75" customHeight="1">
      <c r="A391" s="13"/>
      <c r="B391" s="13"/>
      <c r="C391" s="68"/>
      <c r="D391" s="95"/>
      <c r="E391" s="95"/>
      <c r="F391" s="100"/>
      <c r="G391" s="13"/>
      <c r="H391" s="95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68"/>
      <c r="U391" s="68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</row>
    <row r="392" ht="15.75" customHeight="1">
      <c r="A392" s="13"/>
      <c r="B392" s="13"/>
      <c r="C392" s="68"/>
      <c r="D392" s="95"/>
      <c r="E392" s="95"/>
      <c r="F392" s="100"/>
      <c r="G392" s="13"/>
      <c r="H392" s="95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68"/>
      <c r="U392" s="68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</row>
    <row r="393" ht="15.75" customHeight="1">
      <c r="A393" s="13"/>
      <c r="B393" s="13"/>
      <c r="C393" s="68"/>
      <c r="D393" s="95"/>
      <c r="E393" s="95"/>
      <c r="F393" s="100"/>
      <c r="G393" s="13"/>
      <c r="H393" s="95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68"/>
      <c r="U393" s="68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</row>
    <row r="394" ht="15.75" customHeight="1">
      <c r="A394" s="13"/>
      <c r="B394" s="13"/>
      <c r="C394" s="68"/>
      <c r="D394" s="95"/>
      <c r="E394" s="95"/>
      <c r="F394" s="100"/>
      <c r="G394" s="13"/>
      <c r="H394" s="95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68"/>
      <c r="U394" s="68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</row>
    <row r="395" ht="15.75" customHeight="1">
      <c r="A395" s="13"/>
      <c r="B395" s="13"/>
      <c r="C395" s="68"/>
      <c r="D395" s="95"/>
      <c r="E395" s="95"/>
      <c r="F395" s="100"/>
      <c r="G395" s="13"/>
      <c r="H395" s="95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68"/>
      <c r="U395" s="68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</row>
    <row r="396" ht="15.75" customHeight="1">
      <c r="A396" s="13"/>
      <c r="B396" s="13"/>
      <c r="C396" s="68"/>
      <c r="D396" s="95"/>
      <c r="E396" s="95"/>
      <c r="F396" s="100"/>
      <c r="G396" s="13"/>
      <c r="H396" s="95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68"/>
      <c r="U396" s="68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</row>
    <row r="397" ht="15.75" customHeight="1">
      <c r="A397" s="13"/>
      <c r="B397" s="13"/>
      <c r="C397" s="68"/>
      <c r="D397" s="95"/>
      <c r="E397" s="95"/>
      <c r="F397" s="100"/>
      <c r="G397" s="13"/>
      <c r="H397" s="95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68"/>
      <c r="U397" s="68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</row>
    <row r="398" ht="15.75" customHeight="1">
      <c r="A398" s="13"/>
      <c r="B398" s="13"/>
      <c r="C398" s="68"/>
      <c r="D398" s="95"/>
      <c r="E398" s="95"/>
      <c r="F398" s="100"/>
      <c r="G398" s="13"/>
      <c r="H398" s="95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68"/>
      <c r="U398" s="68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</row>
    <row r="399" ht="15.75" customHeight="1">
      <c r="A399" s="13"/>
      <c r="B399" s="13"/>
      <c r="C399" s="68"/>
      <c r="D399" s="95"/>
      <c r="E399" s="95"/>
      <c r="F399" s="100"/>
      <c r="G399" s="13"/>
      <c r="H399" s="95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68"/>
      <c r="U399" s="68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</row>
    <row r="400" ht="15.75" customHeight="1">
      <c r="A400" s="13"/>
      <c r="B400" s="13"/>
      <c r="C400" s="68"/>
      <c r="D400" s="95"/>
      <c r="E400" s="95"/>
      <c r="F400" s="100"/>
      <c r="G400" s="13"/>
      <c r="H400" s="95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68"/>
      <c r="U400" s="68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</row>
    <row r="401" ht="15.75" customHeight="1">
      <c r="A401" s="13"/>
      <c r="B401" s="13"/>
      <c r="C401" s="68"/>
      <c r="D401" s="95"/>
      <c r="E401" s="95"/>
      <c r="F401" s="100"/>
      <c r="G401" s="13"/>
      <c r="H401" s="95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68"/>
      <c r="U401" s="68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</row>
    <row r="402" ht="15.75" customHeight="1">
      <c r="A402" s="13"/>
      <c r="B402" s="13"/>
      <c r="C402" s="68"/>
      <c r="D402" s="95"/>
      <c r="E402" s="95"/>
      <c r="F402" s="100"/>
      <c r="G402" s="13"/>
      <c r="H402" s="95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68"/>
      <c r="U402" s="68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</row>
    <row r="403" ht="15.75" customHeight="1">
      <c r="A403" s="13"/>
      <c r="B403" s="13"/>
      <c r="C403" s="68"/>
      <c r="D403" s="95"/>
      <c r="E403" s="95"/>
      <c r="F403" s="100"/>
      <c r="G403" s="13"/>
      <c r="H403" s="95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68"/>
      <c r="U403" s="68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</row>
    <row r="404" ht="15.75" customHeight="1">
      <c r="A404" s="13"/>
      <c r="B404" s="13"/>
      <c r="C404" s="68"/>
      <c r="D404" s="95"/>
      <c r="E404" s="95"/>
      <c r="F404" s="100"/>
      <c r="G404" s="13"/>
      <c r="H404" s="95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68"/>
      <c r="U404" s="68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</row>
    <row r="405" ht="15.75" customHeight="1">
      <c r="A405" s="13"/>
      <c r="B405" s="13"/>
      <c r="C405" s="68"/>
      <c r="D405" s="95"/>
      <c r="E405" s="95"/>
      <c r="F405" s="100"/>
      <c r="G405" s="13"/>
      <c r="H405" s="95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68"/>
      <c r="U405" s="68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</row>
    <row r="406" ht="15.75" customHeight="1">
      <c r="A406" s="13"/>
      <c r="B406" s="13"/>
      <c r="C406" s="68"/>
      <c r="D406" s="95"/>
      <c r="E406" s="95"/>
      <c r="F406" s="100"/>
      <c r="G406" s="13"/>
      <c r="H406" s="95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68"/>
      <c r="U406" s="68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</row>
    <row r="407" ht="15.75" customHeight="1">
      <c r="A407" s="13"/>
      <c r="B407" s="13"/>
      <c r="C407" s="68"/>
      <c r="D407" s="95"/>
      <c r="E407" s="95"/>
      <c r="F407" s="100"/>
      <c r="G407" s="13"/>
      <c r="H407" s="95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68"/>
      <c r="U407" s="68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</row>
    <row r="408" ht="15.75" customHeight="1">
      <c r="A408" s="13"/>
      <c r="B408" s="13"/>
      <c r="C408" s="68"/>
      <c r="D408" s="95"/>
      <c r="E408" s="95"/>
      <c r="F408" s="100"/>
      <c r="G408" s="13"/>
      <c r="H408" s="95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68"/>
      <c r="U408" s="68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</row>
    <row r="409" ht="15.75" customHeight="1">
      <c r="A409" s="13"/>
      <c r="B409" s="13"/>
      <c r="C409" s="68"/>
      <c r="D409" s="95"/>
      <c r="E409" s="95"/>
      <c r="F409" s="100"/>
      <c r="G409" s="13"/>
      <c r="H409" s="95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68"/>
      <c r="U409" s="68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</row>
    <row r="410" ht="15.75" customHeight="1">
      <c r="A410" s="13"/>
      <c r="B410" s="13"/>
      <c r="C410" s="68"/>
      <c r="D410" s="95"/>
      <c r="E410" s="95"/>
      <c r="F410" s="100"/>
      <c r="G410" s="13"/>
      <c r="H410" s="95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68"/>
      <c r="U410" s="68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</row>
    <row r="411" ht="15.75" customHeight="1">
      <c r="A411" s="13"/>
      <c r="B411" s="13"/>
      <c r="C411" s="68"/>
      <c r="D411" s="95"/>
      <c r="E411" s="95"/>
      <c r="F411" s="100"/>
      <c r="G411" s="13"/>
      <c r="H411" s="95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68"/>
      <c r="U411" s="68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</row>
    <row r="412" ht="15.75" customHeight="1">
      <c r="A412" s="13"/>
      <c r="B412" s="13"/>
      <c r="C412" s="68"/>
      <c r="D412" s="95"/>
      <c r="E412" s="95"/>
      <c r="F412" s="100"/>
      <c r="G412" s="13"/>
      <c r="H412" s="95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68"/>
      <c r="U412" s="68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</row>
    <row r="413" ht="15.75" customHeight="1">
      <c r="A413" s="13"/>
      <c r="B413" s="13"/>
      <c r="C413" s="68"/>
      <c r="D413" s="95"/>
      <c r="E413" s="95"/>
      <c r="F413" s="100"/>
      <c r="G413" s="13"/>
      <c r="H413" s="95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68"/>
      <c r="U413" s="68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</row>
    <row r="414" ht="15.75" customHeight="1">
      <c r="A414" s="13"/>
      <c r="B414" s="13"/>
      <c r="C414" s="68"/>
      <c r="D414" s="95"/>
      <c r="E414" s="95"/>
      <c r="F414" s="100"/>
      <c r="G414" s="13"/>
      <c r="H414" s="95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68"/>
      <c r="U414" s="68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</row>
    <row r="415" ht="15.75" customHeight="1">
      <c r="A415" s="13"/>
      <c r="B415" s="13"/>
      <c r="C415" s="68"/>
      <c r="D415" s="95"/>
      <c r="E415" s="95"/>
      <c r="F415" s="100"/>
      <c r="G415" s="13"/>
      <c r="H415" s="95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68"/>
      <c r="U415" s="68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</row>
    <row r="416" ht="15.75" customHeight="1">
      <c r="A416" s="13"/>
      <c r="B416" s="13"/>
      <c r="C416" s="68"/>
      <c r="D416" s="95"/>
      <c r="E416" s="95"/>
      <c r="F416" s="100"/>
      <c r="G416" s="13"/>
      <c r="H416" s="95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68"/>
      <c r="U416" s="68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</row>
    <row r="417" ht="15.75" customHeight="1">
      <c r="A417" s="13"/>
      <c r="B417" s="13"/>
      <c r="C417" s="68"/>
      <c r="D417" s="95"/>
      <c r="E417" s="95"/>
      <c r="F417" s="100"/>
      <c r="G417" s="13"/>
      <c r="H417" s="95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68"/>
      <c r="U417" s="68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</row>
    <row r="418" ht="15.75" customHeight="1">
      <c r="A418" s="13"/>
      <c r="B418" s="13"/>
      <c r="C418" s="68"/>
      <c r="D418" s="95"/>
      <c r="E418" s="95"/>
      <c r="F418" s="100"/>
      <c r="G418" s="13"/>
      <c r="H418" s="95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68"/>
      <c r="U418" s="68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</row>
    <row r="419" ht="15.75" customHeight="1">
      <c r="A419" s="13"/>
      <c r="B419" s="13"/>
      <c r="C419" s="68"/>
      <c r="D419" s="95"/>
      <c r="E419" s="95"/>
      <c r="F419" s="100"/>
      <c r="G419" s="13"/>
      <c r="H419" s="95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68"/>
      <c r="U419" s="68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</row>
    <row r="420" ht="15.75" customHeight="1">
      <c r="A420" s="13"/>
      <c r="B420" s="13"/>
      <c r="C420" s="68"/>
      <c r="D420" s="95"/>
      <c r="E420" s="95"/>
      <c r="F420" s="100"/>
      <c r="G420" s="13"/>
      <c r="H420" s="95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68"/>
      <c r="U420" s="68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</row>
    <row r="421" ht="15.75" customHeight="1">
      <c r="A421" s="13"/>
      <c r="B421" s="13"/>
      <c r="C421" s="68"/>
      <c r="D421" s="95"/>
      <c r="E421" s="95"/>
      <c r="F421" s="100"/>
      <c r="G421" s="13"/>
      <c r="H421" s="95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68"/>
      <c r="U421" s="68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</row>
    <row r="422" ht="15.75" customHeight="1">
      <c r="A422" s="13"/>
      <c r="B422" s="13"/>
      <c r="C422" s="68"/>
      <c r="D422" s="95"/>
      <c r="E422" s="95"/>
      <c r="F422" s="100"/>
      <c r="G422" s="13"/>
      <c r="H422" s="95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68"/>
      <c r="U422" s="68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</row>
    <row r="423" ht="15.75" customHeight="1">
      <c r="A423" s="13"/>
      <c r="B423" s="13"/>
      <c r="C423" s="68"/>
      <c r="D423" s="95"/>
      <c r="E423" s="95"/>
      <c r="F423" s="100"/>
      <c r="G423" s="13"/>
      <c r="H423" s="95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68"/>
      <c r="U423" s="68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</row>
    <row r="424" ht="15.75" customHeight="1">
      <c r="A424" s="13"/>
      <c r="B424" s="13"/>
      <c r="C424" s="68"/>
      <c r="D424" s="95"/>
      <c r="E424" s="95"/>
      <c r="F424" s="100"/>
      <c r="G424" s="13"/>
      <c r="H424" s="95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68"/>
      <c r="U424" s="68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</row>
    <row r="425" ht="15.75" customHeight="1">
      <c r="A425" s="13"/>
      <c r="B425" s="13"/>
      <c r="C425" s="68"/>
      <c r="D425" s="95"/>
      <c r="E425" s="95"/>
      <c r="F425" s="100"/>
      <c r="G425" s="13"/>
      <c r="H425" s="95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68"/>
      <c r="U425" s="68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</row>
    <row r="426" ht="15.75" customHeight="1">
      <c r="A426" s="13"/>
      <c r="B426" s="13"/>
      <c r="C426" s="68"/>
      <c r="D426" s="95"/>
      <c r="E426" s="95"/>
      <c r="F426" s="100"/>
      <c r="G426" s="13"/>
      <c r="H426" s="95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68"/>
      <c r="U426" s="68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</row>
    <row r="427" ht="15.75" customHeight="1">
      <c r="A427" s="13"/>
      <c r="B427" s="13"/>
      <c r="C427" s="68"/>
      <c r="D427" s="95"/>
      <c r="E427" s="95"/>
      <c r="F427" s="100"/>
      <c r="G427" s="13"/>
      <c r="H427" s="95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68"/>
      <c r="U427" s="68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</row>
    <row r="428" ht="15.75" customHeight="1">
      <c r="A428" s="13"/>
      <c r="B428" s="13"/>
      <c r="C428" s="68"/>
      <c r="D428" s="95"/>
      <c r="E428" s="95"/>
      <c r="F428" s="100"/>
      <c r="G428" s="13"/>
      <c r="H428" s="95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68"/>
      <c r="U428" s="68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</row>
    <row r="429" ht="15.75" customHeight="1">
      <c r="A429" s="13"/>
      <c r="B429" s="13"/>
      <c r="C429" s="68"/>
      <c r="D429" s="95"/>
      <c r="E429" s="95"/>
      <c r="F429" s="100"/>
      <c r="G429" s="13"/>
      <c r="H429" s="95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68"/>
      <c r="U429" s="68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</row>
    <row r="430" ht="15.75" customHeight="1">
      <c r="A430" s="13"/>
      <c r="B430" s="13"/>
      <c r="C430" s="68"/>
      <c r="D430" s="95"/>
      <c r="E430" s="95"/>
      <c r="F430" s="100"/>
      <c r="G430" s="13"/>
      <c r="H430" s="95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68"/>
      <c r="U430" s="68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</row>
    <row r="431" ht="15.75" customHeight="1">
      <c r="A431" s="13"/>
      <c r="B431" s="13"/>
      <c r="C431" s="68"/>
      <c r="D431" s="95"/>
      <c r="E431" s="95"/>
      <c r="F431" s="100"/>
      <c r="G431" s="13"/>
      <c r="H431" s="95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68"/>
      <c r="U431" s="68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</row>
    <row r="432" ht="15.75" customHeight="1">
      <c r="A432" s="13"/>
      <c r="B432" s="13"/>
      <c r="C432" s="68"/>
      <c r="D432" s="95"/>
      <c r="E432" s="95"/>
      <c r="F432" s="100"/>
      <c r="G432" s="13"/>
      <c r="H432" s="95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68"/>
      <c r="U432" s="68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</row>
    <row r="433" ht="15.75" customHeight="1">
      <c r="A433" s="13"/>
      <c r="B433" s="13"/>
      <c r="C433" s="68"/>
      <c r="D433" s="95"/>
      <c r="E433" s="95"/>
      <c r="F433" s="100"/>
      <c r="G433" s="13"/>
      <c r="H433" s="95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68"/>
      <c r="U433" s="68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</row>
    <row r="434" ht="15.75" customHeight="1">
      <c r="A434" s="13"/>
      <c r="B434" s="13"/>
      <c r="C434" s="68"/>
      <c r="D434" s="95"/>
      <c r="E434" s="95"/>
      <c r="F434" s="100"/>
      <c r="G434" s="13"/>
      <c r="H434" s="95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68"/>
      <c r="U434" s="68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</row>
    <row r="435" ht="15.75" customHeight="1">
      <c r="A435" s="13"/>
      <c r="B435" s="13"/>
      <c r="C435" s="68"/>
      <c r="D435" s="95"/>
      <c r="E435" s="95"/>
      <c r="F435" s="100"/>
      <c r="G435" s="13"/>
      <c r="H435" s="95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68"/>
      <c r="U435" s="68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</row>
    <row r="436" ht="15.75" customHeight="1">
      <c r="A436" s="13"/>
      <c r="B436" s="13"/>
      <c r="C436" s="68"/>
      <c r="D436" s="95"/>
      <c r="E436" s="95"/>
      <c r="F436" s="100"/>
      <c r="G436" s="13"/>
      <c r="H436" s="95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68"/>
      <c r="U436" s="68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</row>
    <row r="437" ht="15.75" customHeight="1">
      <c r="A437" s="13"/>
      <c r="B437" s="13"/>
      <c r="C437" s="68"/>
      <c r="D437" s="95"/>
      <c r="E437" s="95"/>
      <c r="F437" s="100"/>
      <c r="G437" s="13"/>
      <c r="H437" s="95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68"/>
      <c r="U437" s="68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</row>
    <row r="438" ht="15.75" customHeight="1">
      <c r="A438" s="13"/>
      <c r="B438" s="13"/>
      <c r="C438" s="68"/>
      <c r="D438" s="95"/>
      <c r="E438" s="95"/>
      <c r="F438" s="100"/>
      <c r="G438" s="13"/>
      <c r="H438" s="95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68"/>
      <c r="U438" s="68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</row>
    <row r="439" ht="15.75" customHeight="1">
      <c r="A439" s="13"/>
      <c r="B439" s="13"/>
      <c r="C439" s="68"/>
      <c r="D439" s="95"/>
      <c r="E439" s="95"/>
      <c r="F439" s="100"/>
      <c r="G439" s="13"/>
      <c r="H439" s="95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68"/>
      <c r="U439" s="68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</row>
    <row r="440" ht="15.75" customHeight="1">
      <c r="A440" s="13"/>
      <c r="B440" s="13"/>
      <c r="C440" s="68"/>
      <c r="D440" s="95"/>
      <c r="E440" s="95"/>
      <c r="F440" s="100"/>
      <c r="G440" s="13"/>
      <c r="H440" s="95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68"/>
      <c r="U440" s="68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</row>
    <row r="441" ht="15.75" customHeight="1">
      <c r="A441" s="13"/>
      <c r="B441" s="13"/>
      <c r="C441" s="68"/>
      <c r="D441" s="95"/>
      <c r="E441" s="95"/>
      <c r="F441" s="100"/>
      <c r="G441" s="13"/>
      <c r="H441" s="95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68"/>
      <c r="U441" s="68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</row>
    <row r="442" ht="15.75" customHeight="1">
      <c r="A442" s="13"/>
      <c r="B442" s="13"/>
      <c r="C442" s="68"/>
      <c r="D442" s="95"/>
      <c r="E442" s="95"/>
      <c r="F442" s="100"/>
      <c r="G442" s="13"/>
      <c r="H442" s="95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68"/>
      <c r="U442" s="68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</row>
    <row r="443" ht="15.75" customHeight="1">
      <c r="A443" s="13"/>
      <c r="B443" s="13"/>
      <c r="C443" s="68"/>
      <c r="D443" s="95"/>
      <c r="E443" s="95"/>
      <c r="F443" s="100"/>
      <c r="G443" s="13"/>
      <c r="H443" s="95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68"/>
      <c r="U443" s="68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</row>
    <row r="444" ht="15.75" customHeight="1">
      <c r="A444" s="13"/>
      <c r="B444" s="13"/>
      <c r="C444" s="68"/>
      <c r="D444" s="95"/>
      <c r="E444" s="95"/>
      <c r="F444" s="100"/>
      <c r="G444" s="13"/>
      <c r="H444" s="95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68"/>
      <c r="U444" s="68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</row>
    <row r="445" ht="15.75" customHeight="1">
      <c r="A445" s="13"/>
      <c r="B445" s="13"/>
      <c r="C445" s="68"/>
      <c r="D445" s="95"/>
      <c r="E445" s="95"/>
      <c r="F445" s="100"/>
      <c r="G445" s="13"/>
      <c r="H445" s="95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68"/>
      <c r="U445" s="68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</row>
    <row r="446" ht="15.75" customHeight="1">
      <c r="A446" s="13"/>
      <c r="B446" s="13"/>
      <c r="C446" s="68"/>
      <c r="D446" s="95"/>
      <c r="E446" s="95"/>
      <c r="F446" s="100"/>
      <c r="G446" s="13"/>
      <c r="H446" s="95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68"/>
      <c r="U446" s="68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</row>
    <row r="447" ht="15.75" customHeight="1">
      <c r="A447" s="13"/>
      <c r="B447" s="13"/>
      <c r="C447" s="68"/>
      <c r="D447" s="95"/>
      <c r="E447" s="95"/>
      <c r="F447" s="100"/>
      <c r="G447" s="13"/>
      <c r="H447" s="95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68"/>
      <c r="U447" s="68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</row>
    <row r="448" ht="15.75" customHeight="1">
      <c r="A448" s="13"/>
      <c r="B448" s="13"/>
      <c r="C448" s="68"/>
      <c r="D448" s="95"/>
      <c r="E448" s="95"/>
      <c r="F448" s="100"/>
      <c r="G448" s="13"/>
      <c r="H448" s="95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68"/>
      <c r="U448" s="68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</row>
    <row r="449" ht="15.75" customHeight="1">
      <c r="A449" s="13"/>
      <c r="B449" s="13"/>
      <c r="C449" s="68"/>
      <c r="D449" s="95"/>
      <c r="E449" s="95"/>
      <c r="F449" s="100"/>
      <c r="G449" s="13"/>
      <c r="H449" s="95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68"/>
      <c r="U449" s="68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</row>
    <row r="450" ht="15.75" customHeight="1">
      <c r="A450" s="13"/>
      <c r="B450" s="13"/>
      <c r="C450" s="68"/>
      <c r="D450" s="95"/>
      <c r="E450" s="95"/>
      <c r="F450" s="100"/>
      <c r="G450" s="13"/>
      <c r="H450" s="95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68"/>
      <c r="U450" s="68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</row>
    <row r="451" ht="15.75" customHeight="1">
      <c r="A451" s="13"/>
      <c r="B451" s="13"/>
      <c r="C451" s="68"/>
      <c r="D451" s="95"/>
      <c r="E451" s="95"/>
      <c r="F451" s="100"/>
      <c r="G451" s="13"/>
      <c r="H451" s="95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68"/>
      <c r="U451" s="68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</row>
    <row r="452" ht="15.75" customHeight="1">
      <c r="A452" s="13"/>
      <c r="B452" s="13"/>
      <c r="C452" s="68"/>
      <c r="D452" s="95"/>
      <c r="E452" s="95"/>
      <c r="F452" s="100"/>
      <c r="G452" s="13"/>
      <c r="H452" s="95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68"/>
      <c r="U452" s="68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</row>
    <row r="453" ht="15.75" customHeight="1">
      <c r="A453" s="13"/>
      <c r="B453" s="13"/>
      <c r="C453" s="68"/>
      <c r="D453" s="95"/>
      <c r="E453" s="95"/>
      <c r="F453" s="100"/>
      <c r="G453" s="13"/>
      <c r="H453" s="95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68"/>
      <c r="U453" s="68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</row>
    <row r="454" ht="15.75" customHeight="1">
      <c r="A454" s="13"/>
      <c r="B454" s="13"/>
      <c r="C454" s="68"/>
      <c r="D454" s="95"/>
      <c r="E454" s="95"/>
      <c r="F454" s="100"/>
      <c r="G454" s="13"/>
      <c r="H454" s="95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68"/>
      <c r="U454" s="68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</row>
    <row r="455" ht="15.75" customHeight="1">
      <c r="A455" s="13"/>
      <c r="B455" s="13"/>
      <c r="C455" s="68"/>
      <c r="D455" s="95"/>
      <c r="E455" s="95"/>
      <c r="F455" s="100"/>
      <c r="G455" s="13"/>
      <c r="H455" s="95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68"/>
      <c r="U455" s="68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</row>
    <row r="456" ht="15.75" customHeight="1">
      <c r="A456" s="13"/>
      <c r="B456" s="13"/>
      <c r="C456" s="68"/>
      <c r="D456" s="95"/>
      <c r="E456" s="95"/>
      <c r="F456" s="100"/>
      <c r="G456" s="13"/>
      <c r="H456" s="95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68"/>
      <c r="U456" s="68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</row>
    <row r="457" ht="15.75" customHeight="1">
      <c r="A457" s="13"/>
      <c r="B457" s="13"/>
      <c r="C457" s="68"/>
      <c r="D457" s="95"/>
      <c r="E457" s="95"/>
      <c r="F457" s="100"/>
      <c r="G457" s="13"/>
      <c r="H457" s="95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68"/>
      <c r="U457" s="68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</row>
    <row r="458" ht="15.75" customHeight="1">
      <c r="A458" s="13"/>
      <c r="B458" s="13"/>
      <c r="C458" s="68"/>
      <c r="D458" s="95"/>
      <c r="E458" s="95"/>
      <c r="F458" s="100"/>
      <c r="G458" s="13"/>
      <c r="H458" s="95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68"/>
      <c r="U458" s="68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</row>
    <row r="459" ht="15.75" customHeight="1">
      <c r="A459" s="13"/>
      <c r="B459" s="13"/>
      <c r="C459" s="68"/>
      <c r="D459" s="95"/>
      <c r="E459" s="95"/>
      <c r="F459" s="100"/>
      <c r="G459" s="13"/>
      <c r="H459" s="95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68"/>
      <c r="U459" s="68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</row>
    <row r="460" ht="15.75" customHeight="1">
      <c r="A460" s="13"/>
      <c r="B460" s="13"/>
      <c r="C460" s="68"/>
      <c r="D460" s="95"/>
      <c r="E460" s="95"/>
      <c r="F460" s="100"/>
      <c r="G460" s="13"/>
      <c r="H460" s="95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68"/>
      <c r="U460" s="68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</row>
    <row r="461" ht="15.75" customHeight="1">
      <c r="A461" s="13"/>
      <c r="B461" s="13"/>
      <c r="C461" s="68"/>
      <c r="D461" s="95"/>
      <c r="E461" s="95"/>
      <c r="F461" s="100"/>
      <c r="G461" s="13"/>
      <c r="H461" s="95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68"/>
      <c r="U461" s="68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</row>
    <row r="462" ht="15.75" customHeight="1">
      <c r="A462" s="13"/>
      <c r="B462" s="13"/>
      <c r="C462" s="68"/>
      <c r="D462" s="95"/>
      <c r="E462" s="95"/>
      <c r="F462" s="100"/>
      <c r="G462" s="13"/>
      <c r="H462" s="95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68"/>
      <c r="U462" s="68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</row>
    <row r="463" ht="15.75" customHeight="1">
      <c r="A463" s="13"/>
      <c r="B463" s="13"/>
      <c r="C463" s="68"/>
      <c r="D463" s="95"/>
      <c r="E463" s="95"/>
      <c r="F463" s="100"/>
      <c r="G463" s="13"/>
      <c r="H463" s="95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68"/>
      <c r="U463" s="68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</row>
    <row r="464" ht="15.75" customHeight="1">
      <c r="A464" s="13"/>
      <c r="B464" s="13"/>
      <c r="C464" s="68"/>
      <c r="D464" s="95"/>
      <c r="E464" s="95"/>
      <c r="F464" s="100"/>
      <c r="G464" s="13"/>
      <c r="H464" s="95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68"/>
      <c r="U464" s="68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</row>
    <row r="465" ht="15.75" customHeight="1">
      <c r="A465" s="13"/>
      <c r="B465" s="13"/>
      <c r="C465" s="68"/>
      <c r="D465" s="95"/>
      <c r="E465" s="95"/>
      <c r="F465" s="100"/>
      <c r="G465" s="13"/>
      <c r="H465" s="95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68"/>
      <c r="U465" s="68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</row>
    <row r="466" ht="15.75" customHeight="1">
      <c r="A466" s="13"/>
      <c r="B466" s="13"/>
      <c r="C466" s="68"/>
      <c r="D466" s="95"/>
      <c r="E466" s="95"/>
      <c r="F466" s="100"/>
      <c r="G466" s="13"/>
      <c r="H466" s="95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68"/>
      <c r="U466" s="68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</row>
    <row r="467" ht="15.75" customHeight="1">
      <c r="A467" s="13"/>
      <c r="B467" s="13"/>
      <c r="C467" s="68"/>
      <c r="D467" s="95"/>
      <c r="E467" s="95"/>
      <c r="F467" s="100"/>
      <c r="G467" s="13"/>
      <c r="H467" s="95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68"/>
      <c r="U467" s="68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</row>
    <row r="468" ht="15.75" customHeight="1">
      <c r="A468" s="13"/>
      <c r="B468" s="13"/>
      <c r="C468" s="68"/>
      <c r="D468" s="95"/>
      <c r="E468" s="95"/>
      <c r="F468" s="100"/>
      <c r="G468" s="13"/>
      <c r="H468" s="95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68"/>
      <c r="U468" s="68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</row>
    <row r="469" ht="15.75" customHeight="1">
      <c r="A469" s="13"/>
      <c r="B469" s="13"/>
      <c r="C469" s="68"/>
      <c r="D469" s="95"/>
      <c r="E469" s="95"/>
      <c r="F469" s="100"/>
      <c r="G469" s="13"/>
      <c r="H469" s="95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68"/>
      <c r="U469" s="68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</row>
    <row r="470" ht="15.75" customHeight="1">
      <c r="A470" s="13"/>
      <c r="B470" s="13"/>
      <c r="C470" s="68"/>
      <c r="D470" s="95"/>
      <c r="E470" s="95"/>
      <c r="F470" s="100"/>
      <c r="G470" s="13"/>
      <c r="H470" s="95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68"/>
      <c r="U470" s="68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</row>
    <row r="471" ht="15.75" customHeight="1">
      <c r="A471" s="13"/>
      <c r="B471" s="13"/>
      <c r="C471" s="68"/>
      <c r="D471" s="95"/>
      <c r="E471" s="95"/>
      <c r="F471" s="100"/>
      <c r="G471" s="13"/>
      <c r="H471" s="95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68"/>
      <c r="U471" s="68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</row>
    <row r="472" ht="15.75" customHeight="1">
      <c r="A472" s="13"/>
      <c r="B472" s="13"/>
      <c r="C472" s="68"/>
      <c r="D472" s="95"/>
      <c r="E472" s="95"/>
      <c r="F472" s="100"/>
      <c r="G472" s="13"/>
      <c r="H472" s="95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68"/>
      <c r="U472" s="68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</row>
    <row r="473" ht="15.75" customHeight="1">
      <c r="A473" s="13"/>
      <c r="B473" s="13"/>
      <c r="C473" s="68"/>
      <c r="D473" s="95"/>
      <c r="E473" s="95"/>
      <c r="F473" s="100"/>
      <c r="G473" s="13"/>
      <c r="H473" s="95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68"/>
      <c r="U473" s="68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</row>
    <row r="474" ht="15.75" customHeight="1">
      <c r="A474" s="13"/>
      <c r="B474" s="13"/>
      <c r="C474" s="68"/>
      <c r="D474" s="95"/>
      <c r="E474" s="95"/>
      <c r="F474" s="100"/>
      <c r="G474" s="13"/>
      <c r="H474" s="95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68"/>
      <c r="U474" s="68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</row>
    <row r="475" ht="15.75" customHeight="1">
      <c r="A475" s="13"/>
      <c r="B475" s="13"/>
      <c r="C475" s="68"/>
      <c r="D475" s="95"/>
      <c r="E475" s="95"/>
      <c r="F475" s="100"/>
      <c r="G475" s="13"/>
      <c r="H475" s="95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68"/>
      <c r="U475" s="68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</row>
    <row r="476" ht="15.75" customHeight="1">
      <c r="A476" s="13"/>
      <c r="B476" s="13"/>
      <c r="C476" s="68"/>
      <c r="D476" s="95"/>
      <c r="E476" s="95"/>
      <c r="F476" s="100"/>
      <c r="G476" s="13"/>
      <c r="H476" s="95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68"/>
      <c r="U476" s="68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</row>
    <row r="477" ht="15.75" customHeight="1">
      <c r="A477" s="13"/>
      <c r="B477" s="13"/>
      <c r="C477" s="68"/>
      <c r="D477" s="95"/>
      <c r="E477" s="95"/>
      <c r="F477" s="100"/>
      <c r="G477" s="13"/>
      <c r="H477" s="95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68"/>
      <c r="U477" s="68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</row>
    <row r="478" ht="15.75" customHeight="1">
      <c r="A478" s="13"/>
      <c r="B478" s="13"/>
      <c r="C478" s="68"/>
      <c r="D478" s="95"/>
      <c r="E478" s="95"/>
      <c r="F478" s="100"/>
      <c r="G478" s="13"/>
      <c r="H478" s="95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68"/>
      <c r="U478" s="68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</row>
    <row r="479" ht="15.75" customHeight="1">
      <c r="A479" s="13"/>
      <c r="B479" s="13"/>
      <c r="C479" s="68"/>
      <c r="D479" s="95"/>
      <c r="E479" s="95"/>
      <c r="F479" s="100"/>
      <c r="G479" s="13"/>
      <c r="H479" s="95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68"/>
      <c r="U479" s="68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</row>
    <row r="480" ht="15.75" customHeight="1">
      <c r="A480" s="13"/>
      <c r="B480" s="13"/>
      <c r="C480" s="68"/>
      <c r="D480" s="95"/>
      <c r="E480" s="95"/>
      <c r="F480" s="100"/>
      <c r="G480" s="13"/>
      <c r="H480" s="95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68"/>
      <c r="U480" s="68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</row>
    <row r="481" ht="15.75" customHeight="1">
      <c r="A481" s="13"/>
      <c r="B481" s="13"/>
      <c r="C481" s="68"/>
      <c r="D481" s="95"/>
      <c r="E481" s="95"/>
      <c r="F481" s="100"/>
      <c r="G481" s="13"/>
      <c r="H481" s="95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68"/>
      <c r="U481" s="68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</row>
    <row r="482" ht="15.75" customHeight="1">
      <c r="A482" s="13"/>
      <c r="B482" s="13"/>
      <c r="C482" s="68"/>
      <c r="D482" s="95"/>
      <c r="E482" s="95"/>
      <c r="F482" s="100"/>
      <c r="G482" s="13"/>
      <c r="H482" s="95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68"/>
      <c r="U482" s="68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</row>
    <row r="483" ht="15.75" customHeight="1">
      <c r="A483" s="13"/>
      <c r="B483" s="13"/>
      <c r="C483" s="68"/>
      <c r="D483" s="95"/>
      <c r="E483" s="95"/>
      <c r="F483" s="100"/>
      <c r="G483" s="13"/>
      <c r="H483" s="95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68"/>
      <c r="U483" s="68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</row>
    <row r="484" ht="15.75" customHeight="1">
      <c r="A484" s="13"/>
      <c r="B484" s="13"/>
      <c r="C484" s="68"/>
      <c r="D484" s="95"/>
      <c r="E484" s="95"/>
      <c r="F484" s="100"/>
      <c r="G484" s="13"/>
      <c r="H484" s="95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68"/>
      <c r="U484" s="68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</row>
    <row r="485" ht="15.75" customHeight="1">
      <c r="A485" s="13"/>
      <c r="B485" s="13"/>
      <c r="C485" s="68"/>
      <c r="D485" s="95"/>
      <c r="E485" s="95"/>
      <c r="F485" s="100"/>
      <c r="G485" s="13"/>
      <c r="H485" s="95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68"/>
      <c r="U485" s="68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</row>
    <row r="486" ht="15.75" customHeight="1">
      <c r="A486" s="13"/>
      <c r="B486" s="13"/>
      <c r="C486" s="68"/>
      <c r="D486" s="95"/>
      <c r="E486" s="95"/>
      <c r="F486" s="100"/>
      <c r="G486" s="13"/>
      <c r="H486" s="95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68"/>
      <c r="U486" s="68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</row>
    <row r="487" ht="15.75" customHeight="1">
      <c r="A487" s="13"/>
      <c r="B487" s="13"/>
      <c r="C487" s="68"/>
      <c r="D487" s="95"/>
      <c r="E487" s="95"/>
      <c r="F487" s="100"/>
      <c r="G487" s="13"/>
      <c r="H487" s="95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68"/>
      <c r="U487" s="68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</row>
    <row r="488" ht="15.75" customHeight="1">
      <c r="A488" s="13"/>
      <c r="B488" s="13"/>
      <c r="C488" s="68"/>
      <c r="D488" s="95"/>
      <c r="E488" s="95"/>
      <c r="F488" s="100"/>
      <c r="G488" s="13"/>
      <c r="H488" s="95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68"/>
      <c r="U488" s="68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</row>
    <row r="489" ht="15.75" customHeight="1">
      <c r="A489" s="13"/>
      <c r="B489" s="13"/>
      <c r="C489" s="68"/>
      <c r="D489" s="95"/>
      <c r="E489" s="95"/>
      <c r="F489" s="100"/>
      <c r="G489" s="13"/>
      <c r="H489" s="95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68"/>
      <c r="U489" s="68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</row>
    <row r="490" ht="15.75" customHeight="1">
      <c r="A490" s="13"/>
      <c r="B490" s="13"/>
      <c r="C490" s="68"/>
      <c r="D490" s="95"/>
      <c r="E490" s="95"/>
      <c r="F490" s="100"/>
      <c r="G490" s="13"/>
      <c r="H490" s="95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68"/>
      <c r="U490" s="68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</row>
    <row r="491" ht="15.75" customHeight="1">
      <c r="A491" s="13"/>
      <c r="B491" s="13"/>
      <c r="C491" s="68"/>
      <c r="D491" s="95"/>
      <c r="E491" s="95"/>
      <c r="F491" s="100"/>
      <c r="G491" s="13"/>
      <c r="H491" s="95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68"/>
      <c r="U491" s="68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</row>
    <row r="492" ht="15.75" customHeight="1">
      <c r="A492" s="13"/>
      <c r="B492" s="13"/>
      <c r="C492" s="68"/>
      <c r="D492" s="95"/>
      <c r="E492" s="95"/>
      <c r="F492" s="100"/>
      <c r="G492" s="13"/>
      <c r="H492" s="95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68"/>
      <c r="U492" s="68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</row>
    <row r="493" ht="15.75" customHeight="1">
      <c r="A493" s="13"/>
      <c r="B493" s="13"/>
      <c r="C493" s="68"/>
      <c r="D493" s="95"/>
      <c r="E493" s="95"/>
      <c r="F493" s="100"/>
      <c r="G493" s="13"/>
      <c r="H493" s="95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68"/>
      <c r="U493" s="68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</row>
    <row r="494" ht="15.75" customHeight="1">
      <c r="A494" s="13"/>
      <c r="B494" s="13"/>
      <c r="C494" s="68"/>
      <c r="D494" s="95"/>
      <c r="E494" s="95"/>
      <c r="F494" s="100"/>
      <c r="G494" s="13"/>
      <c r="H494" s="95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68"/>
      <c r="U494" s="68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</row>
    <row r="495" ht="15.75" customHeight="1">
      <c r="A495" s="13"/>
      <c r="B495" s="13"/>
      <c r="C495" s="68"/>
      <c r="D495" s="95"/>
      <c r="E495" s="95"/>
      <c r="F495" s="100"/>
      <c r="G495" s="13"/>
      <c r="H495" s="95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68"/>
      <c r="U495" s="68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</row>
    <row r="496" ht="15.75" customHeight="1">
      <c r="A496" s="13"/>
      <c r="B496" s="13"/>
      <c r="C496" s="68"/>
      <c r="D496" s="95"/>
      <c r="E496" s="95"/>
      <c r="F496" s="100"/>
      <c r="G496" s="13"/>
      <c r="H496" s="95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68"/>
      <c r="U496" s="68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</row>
    <row r="497" ht="15.75" customHeight="1">
      <c r="A497" s="13"/>
      <c r="B497" s="13"/>
      <c r="C497" s="68"/>
      <c r="D497" s="95"/>
      <c r="E497" s="95"/>
      <c r="F497" s="100"/>
      <c r="G497" s="13"/>
      <c r="H497" s="95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68"/>
      <c r="U497" s="68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</row>
    <row r="498" ht="15.75" customHeight="1">
      <c r="A498" s="13"/>
      <c r="B498" s="13"/>
      <c r="C498" s="68"/>
      <c r="D498" s="95"/>
      <c r="E498" s="95"/>
      <c r="F498" s="100"/>
      <c r="G498" s="13"/>
      <c r="H498" s="95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68"/>
      <c r="U498" s="68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</row>
    <row r="499" ht="15.75" customHeight="1">
      <c r="A499" s="13"/>
      <c r="B499" s="13"/>
      <c r="C499" s="68"/>
      <c r="D499" s="95"/>
      <c r="E499" s="95"/>
      <c r="F499" s="100"/>
      <c r="G499" s="13"/>
      <c r="H499" s="95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68"/>
      <c r="U499" s="68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</row>
    <row r="500" ht="15.75" customHeight="1">
      <c r="A500" s="13"/>
      <c r="B500" s="13"/>
      <c r="C500" s="68"/>
      <c r="D500" s="95"/>
      <c r="E500" s="95"/>
      <c r="F500" s="100"/>
      <c r="G500" s="13"/>
      <c r="H500" s="95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68"/>
      <c r="U500" s="68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</row>
    <row r="501" ht="15.75" customHeight="1">
      <c r="A501" s="13"/>
      <c r="B501" s="13"/>
      <c r="C501" s="68"/>
      <c r="D501" s="95"/>
      <c r="E501" s="95"/>
      <c r="F501" s="100"/>
      <c r="G501" s="13"/>
      <c r="H501" s="95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68"/>
      <c r="U501" s="68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</row>
    <row r="502" ht="15.75" customHeight="1">
      <c r="A502" s="13"/>
      <c r="B502" s="13"/>
      <c r="C502" s="68"/>
      <c r="D502" s="95"/>
      <c r="E502" s="95"/>
      <c r="F502" s="100"/>
      <c r="G502" s="13"/>
      <c r="H502" s="95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68"/>
      <c r="U502" s="68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</row>
    <row r="503" ht="15.75" customHeight="1">
      <c r="A503" s="13"/>
      <c r="B503" s="13"/>
      <c r="C503" s="68"/>
      <c r="D503" s="95"/>
      <c r="E503" s="95"/>
      <c r="F503" s="100"/>
      <c r="G503" s="13"/>
      <c r="H503" s="95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68"/>
      <c r="U503" s="68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</row>
    <row r="504" ht="15.75" customHeight="1">
      <c r="A504" s="13"/>
      <c r="B504" s="13"/>
      <c r="C504" s="68"/>
      <c r="D504" s="95"/>
      <c r="E504" s="95"/>
      <c r="F504" s="100"/>
      <c r="G504" s="13"/>
      <c r="H504" s="95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68"/>
      <c r="U504" s="68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</row>
    <row r="505" ht="15.75" customHeight="1">
      <c r="A505" s="13"/>
      <c r="B505" s="13"/>
      <c r="C505" s="68"/>
      <c r="D505" s="95"/>
      <c r="E505" s="95"/>
      <c r="F505" s="100"/>
      <c r="G505" s="13"/>
      <c r="H505" s="95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68"/>
      <c r="U505" s="68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</row>
    <row r="506" ht="15.75" customHeight="1">
      <c r="A506" s="13"/>
      <c r="B506" s="13"/>
      <c r="C506" s="68"/>
      <c r="D506" s="95"/>
      <c r="E506" s="95"/>
      <c r="F506" s="100"/>
      <c r="G506" s="13"/>
      <c r="H506" s="95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68"/>
      <c r="U506" s="68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</row>
    <row r="507" ht="15.75" customHeight="1">
      <c r="A507" s="13"/>
      <c r="B507" s="13"/>
      <c r="C507" s="68"/>
      <c r="D507" s="95"/>
      <c r="E507" s="95"/>
      <c r="F507" s="100"/>
      <c r="G507" s="13"/>
      <c r="H507" s="95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68"/>
      <c r="U507" s="68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</row>
    <row r="508" ht="15.75" customHeight="1">
      <c r="A508" s="13"/>
      <c r="B508" s="13"/>
      <c r="C508" s="68"/>
      <c r="D508" s="95"/>
      <c r="E508" s="95"/>
      <c r="F508" s="100"/>
      <c r="G508" s="13"/>
      <c r="H508" s="95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68"/>
      <c r="U508" s="68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</row>
    <row r="509" ht="15.75" customHeight="1">
      <c r="A509" s="13"/>
      <c r="B509" s="13"/>
      <c r="C509" s="68"/>
      <c r="D509" s="95"/>
      <c r="E509" s="95"/>
      <c r="F509" s="100"/>
      <c r="G509" s="13"/>
      <c r="H509" s="95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68"/>
      <c r="U509" s="68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</row>
    <row r="510" ht="15.75" customHeight="1">
      <c r="A510" s="13"/>
      <c r="B510" s="13"/>
      <c r="C510" s="68"/>
      <c r="D510" s="95"/>
      <c r="E510" s="95"/>
      <c r="F510" s="100"/>
      <c r="G510" s="13"/>
      <c r="H510" s="95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68"/>
      <c r="U510" s="68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</row>
    <row r="511" ht="15.75" customHeight="1">
      <c r="A511" s="13"/>
      <c r="B511" s="13"/>
      <c r="C511" s="68"/>
      <c r="D511" s="95"/>
      <c r="E511" s="95"/>
      <c r="F511" s="100"/>
      <c r="G511" s="13"/>
      <c r="H511" s="95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68"/>
      <c r="U511" s="68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</row>
    <row r="512" ht="15.75" customHeight="1">
      <c r="A512" s="13"/>
      <c r="B512" s="13"/>
      <c r="C512" s="68"/>
      <c r="D512" s="95"/>
      <c r="E512" s="95"/>
      <c r="F512" s="100"/>
      <c r="G512" s="13"/>
      <c r="H512" s="95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68"/>
      <c r="U512" s="68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</row>
    <row r="513" ht="15.75" customHeight="1">
      <c r="A513" s="13"/>
      <c r="B513" s="13"/>
      <c r="C513" s="68"/>
      <c r="D513" s="95"/>
      <c r="E513" s="95"/>
      <c r="F513" s="100"/>
      <c r="G513" s="13"/>
      <c r="H513" s="95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68"/>
      <c r="U513" s="68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</row>
    <row r="514" ht="15.75" customHeight="1">
      <c r="A514" s="13"/>
      <c r="B514" s="13"/>
      <c r="C514" s="68"/>
      <c r="D514" s="95"/>
      <c r="E514" s="95"/>
      <c r="F514" s="100"/>
      <c r="G514" s="13"/>
      <c r="H514" s="95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68"/>
      <c r="U514" s="68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</row>
    <row r="515" ht="15.75" customHeight="1">
      <c r="A515" s="13"/>
      <c r="B515" s="13"/>
      <c r="C515" s="68"/>
      <c r="D515" s="95"/>
      <c r="E515" s="95"/>
      <c r="F515" s="100"/>
      <c r="G515" s="13"/>
      <c r="H515" s="95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68"/>
      <c r="U515" s="68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</row>
    <row r="516" ht="15.75" customHeight="1">
      <c r="A516" s="13"/>
      <c r="B516" s="13"/>
      <c r="C516" s="68"/>
      <c r="D516" s="95"/>
      <c r="E516" s="95"/>
      <c r="F516" s="100"/>
      <c r="G516" s="13"/>
      <c r="H516" s="95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68"/>
      <c r="U516" s="68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</row>
    <row r="517" ht="15.75" customHeight="1">
      <c r="A517" s="13"/>
      <c r="B517" s="13"/>
      <c r="C517" s="68"/>
      <c r="D517" s="95"/>
      <c r="E517" s="95"/>
      <c r="F517" s="100"/>
      <c r="G517" s="13"/>
      <c r="H517" s="95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68"/>
      <c r="U517" s="68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</row>
    <row r="518" ht="15.75" customHeight="1">
      <c r="A518" s="13"/>
      <c r="B518" s="13"/>
      <c r="C518" s="68"/>
      <c r="D518" s="95"/>
      <c r="E518" s="95"/>
      <c r="F518" s="100"/>
      <c r="G518" s="13"/>
      <c r="H518" s="95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68"/>
      <c r="U518" s="68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</row>
    <row r="519" ht="15.75" customHeight="1">
      <c r="A519" s="13"/>
      <c r="B519" s="13"/>
      <c r="C519" s="68"/>
      <c r="D519" s="95"/>
      <c r="E519" s="95"/>
      <c r="F519" s="100"/>
      <c r="G519" s="13"/>
      <c r="H519" s="95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68"/>
      <c r="U519" s="68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</row>
    <row r="520" ht="15.75" customHeight="1">
      <c r="A520" s="13"/>
      <c r="B520" s="13"/>
      <c r="C520" s="68"/>
      <c r="D520" s="95"/>
      <c r="E520" s="95"/>
      <c r="F520" s="100"/>
      <c r="G520" s="13"/>
      <c r="H520" s="95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68"/>
      <c r="U520" s="68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</row>
    <row r="521" ht="15.75" customHeight="1">
      <c r="A521" s="13"/>
      <c r="B521" s="13"/>
      <c r="C521" s="68"/>
      <c r="D521" s="95"/>
      <c r="E521" s="95"/>
      <c r="F521" s="100"/>
      <c r="G521" s="13"/>
      <c r="H521" s="95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68"/>
      <c r="U521" s="68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</row>
    <row r="522" ht="15.75" customHeight="1">
      <c r="A522" s="13"/>
      <c r="B522" s="13"/>
      <c r="C522" s="68"/>
      <c r="D522" s="95"/>
      <c r="E522" s="95"/>
      <c r="F522" s="100"/>
      <c r="G522" s="13"/>
      <c r="H522" s="95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68"/>
      <c r="U522" s="68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</row>
    <row r="523" ht="15.75" customHeight="1">
      <c r="A523" s="13"/>
      <c r="B523" s="13"/>
      <c r="C523" s="68"/>
      <c r="D523" s="95"/>
      <c r="E523" s="95"/>
      <c r="F523" s="100"/>
      <c r="G523" s="13"/>
      <c r="H523" s="95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68"/>
      <c r="U523" s="68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</row>
    <row r="524" ht="15.75" customHeight="1">
      <c r="A524" s="13"/>
      <c r="B524" s="13"/>
      <c r="C524" s="68"/>
      <c r="D524" s="95"/>
      <c r="E524" s="95"/>
      <c r="F524" s="100"/>
      <c r="G524" s="13"/>
      <c r="H524" s="95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68"/>
      <c r="U524" s="68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</row>
    <row r="525" ht="15.75" customHeight="1">
      <c r="A525" s="13"/>
      <c r="B525" s="13"/>
      <c r="C525" s="68"/>
      <c r="D525" s="95"/>
      <c r="E525" s="95"/>
      <c r="F525" s="100"/>
      <c r="G525" s="13"/>
      <c r="H525" s="95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68"/>
      <c r="U525" s="68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</row>
    <row r="526" ht="15.75" customHeight="1">
      <c r="A526" s="13"/>
      <c r="B526" s="13"/>
      <c r="C526" s="68"/>
      <c r="D526" s="95"/>
      <c r="E526" s="95"/>
      <c r="F526" s="100"/>
      <c r="G526" s="13"/>
      <c r="H526" s="95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68"/>
      <c r="U526" s="68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</row>
    <row r="527" ht="15.75" customHeight="1">
      <c r="A527" s="13"/>
      <c r="B527" s="13"/>
      <c r="C527" s="68"/>
      <c r="D527" s="95"/>
      <c r="E527" s="95"/>
      <c r="F527" s="100"/>
      <c r="G527" s="13"/>
      <c r="H527" s="95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68"/>
      <c r="U527" s="68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</row>
    <row r="528" ht="15.75" customHeight="1">
      <c r="A528" s="13"/>
      <c r="B528" s="13"/>
      <c r="C528" s="68"/>
      <c r="D528" s="95"/>
      <c r="E528" s="95"/>
      <c r="F528" s="100"/>
      <c r="G528" s="13"/>
      <c r="H528" s="95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68"/>
      <c r="U528" s="68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</row>
    <row r="529" ht="15.75" customHeight="1">
      <c r="A529" s="13"/>
      <c r="B529" s="13"/>
      <c r="C529" s="68"/>
      <c r="D529" s="95"/>
      <c r="E529" s="95"/>
      <c r="F529" s="100"/>
      <c r="G529" s="13"/>
      <c r="H529" s="95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68"/>
      <c r="U529" s="68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</row>
    <row r="530" ht="15.75" customHeight="1">
      <c r="A530" s="13"/>
      <c r="B530" s="13"/>
      <c r="C530" s="68"/>
      <c r="D530" s="95"/>
      <c r="E530" s="95"/>
      <c r="F530" s="100"/>
      <c r="G530" s="13"/>
      <c r="H530" s="95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68"/>
      <c r="U530" s="68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</row>
    <row r="531" ht="15.75" customHeight="1">
      <c r="A531" s="13"/>
      <c r="B531" s="13"/>
      <c r="C531" s="68"/>
      <c r="D531" s="95"/>
      <c r="E531" s="95"/>
      <c r="F531" s="100"/>
      <c r="G531" s="13"/>
      <c r="H531" s="95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68"/>
      <c r="U531" s="68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</row>
    <row r="532" ht="15.75" customHeight="1">
      <c r="A532" s="13"/>
      <c r="B532" s="13"/>
      <c r="C532" s="68"/>
      <c r="D532" s="95"/>
      <c r="E532" s="95"/>
      <c r="F532" s="100"/>
      <c r="G532" s="13"/>
      <c r="H532" s="95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68"/>
      <c r="U532" s="68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</row>
    <row r="533" ht="15.75" customHeight="1">
      <c r="A533" s="13"/>
      <c r="B533" s="13"/>
      <c r="C533" s="68"/>
      <c r="D533" s="95"/>
      <c r="E533" s="95"/>
      <c r="F533" s="100"/>
      <c r="G533" s="13"/>
      <c r="H533" s="95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68"/>
      <c r="U533" s="68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</row>
    <row r="534" ht="15.75" customHeight="1">
      <c r="A534" s="13"/>
      <c r="B534" s="13"/>
      <c r="C534" s="68"/>
      <c r="D534" s="95"/>
      <c r="E534" s="95"/>
      <c r="F534" s="100"/>
      <c r="G534" s="13"/>
      <c r="H534" s="95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68"/>
      <c r="U534" s="68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</row>
    <row r="535" ht="15.75" customHeight="1">
      <c r="A535" s="13"/>
      <c r="B535" s="13"/>
      <c r="C535" s="68"/>
      <c r="D535" s="95"/>
      <c r="E535" s="95"/>
      <c r="F535" s="100"/>
      <c r="G535" s="13"/>
      <c r="H535" s="95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68"/>
      <c r="U535" s="68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</row>
    <row r="536" ht="15.75" customHeight="1">
      <c r="A536" s="13"/>
      <c r="B536" s="13"/>
      <c r="C536" s="68"/>
      <c r="D536" s="95"/>
      <c r="E536" s="95"/>
      <c r="F536" s="100"/>
      <c r="G536" s="13"/>
      <c r="H536" s="95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68"/>
      <c r="U536" s="68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</row>
    <row r="537" ht="15.75" customHeight="1">
      <c r="A537" s="13"/>
      <c r="B537" s="13"/>
      <c r="C537" s="68"/>
      <c r="D537" s="95"/>
      <c r="E537" s="95"/>
      <c r="F537" s="100"/>
      <c r="G537" s="13"/>
      <c r="H537" s="95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68"/>
      <c r="U537" s="68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</row>
    <row r="538" ht="15.75" customHeight="1">
      <c r="A538" s="13"/>
      <c r="B538" s="13"/>
      <c r="C538" s="68"/>
      <c r="D538" s="95"/>
      <c r="E538" s="95"/>
      <c r="F538" s="100"/>
      <c r="G538" s="13"/>
      <c r="H538" s="95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68"/>
      <c r="U538" s="68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</row>
    <row r="539" ht="15.75" customHeight="1">
      <c r="A539" s="13"/>
      <c r="B539" s="13"/>
      <c r="C539" s="68"/>
      <c r="D539" s="95"/>
      <c r="E539" s="95"/>
      <c r="F539" s="100"/>
      <c r="G539" s="13"/>
      <c r="H539" s="95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68"/>
      <c r="U539" s="68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</row>
    <row r="540" ht="15.75" customHeight="1">
      <c r="A540" s="13"/>
      <c r="B540" s="13"/>
      <c r="C540" s="68"/>
      <c r="D540" s="95"/>
      <c r="E540" s="95"/>
      <c r="F540" s="100"/>
      <c r="G540" s="13"/>
      <c r="H540" s="95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68"/>
      <c r="U540" s="68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</row>
    <row r="541" ht="15.75" customHeight="1">
      <c r="A541" s="13"/>
      <c r="B541" s="13"/>
      <c r="C541" s="68"/>
      <c r="D541" s="95"/>
      <c r="E541" s="95"/>
      <c r="F541" s="100"/>
      <c r="G541" s="13"/>
      <c r="H541" s="95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68"/>
      <c r="U541" s="68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</row>
    <row r="542" ht="15.75" customHeight="1">
      <c r="A542" s="13"/>
      <c r="B542" s="13"/>
      <c r="C542" s="68"/>
      <c r="D542" s="95"/>
      <c r="E542" s="95"/>
      <c r="F542" s="100"/>
      <c r="G542" s="13"/>
      <c r="H542" s="95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68"/>
      <c r="U542" s="68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</row>
    <row r="543" ht="15.75" customHeight="1">
      <c r="A543" s="13"/>
      <c r="B543" s="13"/>
      <c r="C543" s="68"/>
      <c r="D543" s="95"/>
      <c r="E543" s="95"/>
      <c r="F543" s="100"/>
      <c r="G543" s="13"/>
      <c r="H543" s="95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68"/>
      <c r="U543" s="68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</row>
    <row r="544" ht="15.75" customHeight="1">
      <c r="A544" s="13"/>
      <c r="B544" s="13"/>
      <c r="C544" s="68"/>
      <c r="D544" s="95"/>
      <c r="E544" s="95"/>
      <c r="F544" s="100"/>
      <c r="G544" s="13"/>
      <c r="H544" s="95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68"/>
      <c r="U544" s="68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</row>
    <row r="545" ht="15.75" customHeight="1">
      <c r="A545" s="13"/>
      <c r="B545" s="13"/>
      <c r="C545" s="68"/>
      <c r="D545" s="95"/>
      <c r="E545" s="95"/>
      <c r="F545" s="100"/>
      <c r="G545" s="13"/>
      <c r="H545" s="95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68"/>
      <c r="U545" s="68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</row>
    <row r="546" ht="15.75" customHeight="1">
      <c r="A546" s="13"/>
      <c r="B546" s="13"/>
      <c r="C546" s="68"/>
      <c r="D546" s="95"/>
      <c r="E546" s="95"/>
      <c r="F546" s="100"/>
      <c r="G546" s="13"/>
      <c r="H546" s="95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68"/>
      <c r="U546" s="68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</row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M40:M44"/>
  </mergeCells>
  <hyperlinks>
    <hyperlink r:id="rId2" ref="J15"/>
  </hyperlinks>
  <printOptions/>
  <pageMargins bottom="0.75" footer="0.0" header="0.0" left="0.7" right="0.7" top="0.75"/>
  <pageSetup orientation="landscape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>
      <c r="A1" s="101" t="s">
        <v>361</v>
      </c>
      <c r="B1" s="102" t="s">
        <v>6</v>
      </c>
      <c r="C1" s="103" t="s">
        <v>365</v>
      </c>
      <c r="D1" s="103" t="s">
        <v>368</v>
      </c>
    </row>
    <row r="2" ht="15.75" customHeight="1">
      <c r="A2" s="26">
        <v>70103.0</v>
      </c>
      <c r="B2" s="104" t="s">
        <v>272</v>
      </c>
      <c r="C2" s="105">
        <v>944.1142855647423</v>
      </c>
      <c r="D2" s="105">
        <v>1635.4550287266004</v>
      </c>
    </row>
    <row r="3" ht="15.75" customHeight="1">
      <c r="A3" s="26">
        <v>70101.0</v>
      </c>
      <c r="B3" s="104" t="s">
        <v>270</v>
      </c>
      <c r="C3" s="105">
        <v>649.8497310037951</v>
      </c>
      <c r="D3" s="105">
        <v>765.5230834536216</v>
      </c>
    </row>
    <row r="4" ht="15.75" customHeight="1">
      <c r="A4" s="26">
        <v>20101.0</v>
      </c>
      <c r="B4" s="104" t="s">
        <v>48</v>
      </c>
      <c r="C4" s="105">
        <v>576.5765889755311</v>
      </c>
      <c r="D4" s="105">
        <v>566.9618328384189</v>
      </c>
    </row>
    <row r="5" ht="15.75" customHeight="1">
      <c r="A5" s="26">
        <v>71402.0</v>
      </c>
      <c r="B5" s="104" t="s">
        <v>321</v>
      </c>
      <c r="C5" s="105">
        <v>503.0193020030773</v>
      </c>
      <c r="D5" s="105">
        <v>53.65906306905928</v>
      </c>
    </row>
    <row r="6" ht="15.75" customHeight="1">
      <c r="A6" s="26">
        <v>90101.0</v>
      </c>
      <c r="B6" s="104" t="s">
        <v>343</v>
      </c>
      <c r="C6" s="105">
        <v>483.110944502585</v>
      </c>
      <c r="D6" s="105">
        <v>599.8719290960257</v>
      </c>
    </row>
    <row r="7" ht="15.75" customHeight="1">
      <c r="A7" s="26">
        <v>80101.0</v>
      </c>
      <c r="B7" s="104" t="s">
        <v>325</v>
      </c>
      <c r="C7" s="105">
        <v>454.3252170758257</v>
      </c>
      <c r="D7" s="105">
        <v>629.7884655658695</v>
      </c>
    </row>
    <row r="8" ht="15.75" customHeight="1">
      <c r="A8" s="26">
        <v>30101.0</v>
      </c>
      <c r="B8" s="104" t="s">
        <v>135</v>
      </c>
      <c r="C8" s="105">
        <v>433.6149862391894</v>
      </c>
      <c r="D8" s="105">
        <v>955.8862345641508</v>
      </c>
    </row>
    <row r="9" ht="15.75" customHeight="1">
      <c r="A9" s="26">
        <v>71001.0</v>
      </c>
      <c r="B9" s="104" t="s">
        <v>306</v>
      </c>
      <c r="C9" s="105">
        <v>432.24414812853803</v>
      </c>
      <c r="D9" s="105">
        <v>504.5474677792305</v>
      </c>
    </row>
    <row r="10" ht="15.75" customHeight="1">
      <c r="A10" s="26">
        <v>70601.0</v>
      </c>
      <c r="B10" s="104" t="s">
        <v>287</v>
      </c>
      <c r="C10" s="105">
        <v>414.3290153843258</v>
      </c>
      <c r="D10" s="105">
        <v>474.68090442281755</v>
      </c>
    </row>
    <row r="11" ht="15.75" customHeight="1">
      <c r="A11" s="26">
        <v>71106.0</v>
      </c>
      <c r="B11" s="104" t="s">
        <v>316</v>
      </c>
      <c r="C11" s="105">
        <v>406.27333105887845</v>
      </c>
      <c r="D11" s="105">
        <v>0.0</v>
      </c>
    </row>
    <row r="12" ht="15.75" customHeight="1">
      <c r="A12" s="26">
        <v>71401.0</v>
      </c>
      <c r="B12" s="104" t="s">
        <v>320</v>
      </c>
      <c r="C12" s="105">
        <v>405.92273349979956</v>
      </c>
      <c r="D12" s="105">
        <v>29.87759088578766</v>
      </c>
    </row>
    <row r="13" ht="15.75" customHeight="1">
      <c r="A13" s="26">
        <v>70201.0</v>
      </c>
      <c r="B13" s="104" t="s">
        <v>275</v>
      </c>
      <c r="C13" s="105">
        <v>396.85665325967176</v>
      </c>
      <c r="D13" s="105">
        <v>523.1942702983657</v>
      </c>
    </row>
    <row r="14" ht="15.75" customHeight="1">
      <c r="A14" s="26">
        <v>70104.0</v>
      </c>
      <c r="B14" s="104" t="s">
        <v>273</v>
      </c>
      <c r="C14" s="105">
        <v>392.812099674368</v>
      </c>
      <c r="D14" s="105">
        <v>480.3775164974731</v>
      </c>
    </row>
    <row r="15" ht="15.75" customHeight="1">
      <c r="A15" s="26">
        <v>70706.0</v>
      </c>
      <c r="B15" s="104" t="s">
        <v>295</v>
      </c>
      <c r="C15" s="105">
        <v>380.36365563944395</v>
      </c>
      <c r="D15" s="105">
        <v>73.040947794401</v>
      </c>
    </row>
    <row r="16" ht="15.75" customHeight="1">
      <c r="A16" s="26">
        <v>30903.0</v>
      </c>
      <c r="B16" s="104" t="s">
        <v>158</v>
      </c>
      <c r="C16" s="105">
        <v>372.56285714155774</v>
      </c>
      <c r="D16" s="105">
        <v>6.8345084087968955</v>
      </c>
    </row>
    <row r="17" ht="15.75" customHeight="1">
      <c r="A17" s="26">
        <v>30905.0</v>
      </c>
      <c r="B17" s="104" t="s">
        <v>160</v>
      </c>
      <c r="C17" s="105">
        <v>371.28894199553673</v>
      </c>
      <c r="D17" s="105">
        <v>1.5735959702278024</v>
      </c>
    </row>
    <row r="18" ht="15.75" customHeight="1">
      <c r="A18" s="26">
        <v>60303.0</v>
      </c>
      <c r="B18" s="104" t="s">
        <v>265</v>
      </c>
      <c r="C18" s="105">
        <v>359.75929394162836</v>
      </c>
      <c r="D18" s="105">
        <v>382.28147856835363</v>
      </c>
    </row>
    <row r="19" ht="15.75" customHeight="1">
      <c r="A19" s="26">
        <v>70202.0</v>
      </c>
      <c r="B19" s="104" t="s">
        <v>276</v>
      </c>
      <c r="C19" s="105">
        <v>352.2654094292684</v>
      </c>
      <c r="D19" s="105">
        <v>454.79934411529524</v>
      </c>
    </row>
    <row r="20" ht="15.75" customHeight="1">
      <c r="A20" s="26">
        <v>60101.0</v>
      </c>
      <c r="B20" s="104" t="s">
        <v>260</v>
      </c>
      <c r="C20" s="105">
        <v>336.0657550996422</v>
      </c>
      <c r="D20" s="105">
        <v>354.20258515443624</v>
      </c>
    </row>
    <row r="21" ht="15.75" customHeight="1">
      <c r="A21" s="26">
        <v>30901.0</v>
      </c>
      <c r="B21" s="104" t="s">
        <v>156</v>
      </c>
      <c r="C21" s="105">
        <v>331.4175944366659</v>
      </c>
      <c r="D21" s="105">
        <v>3.2185845113079568</v>
      </c>
    </row>
    <row r="22" ht="15.75" customHeight="1">
      <c r="A22" s="26">
        <v>10101.0</v>
      </c>
      <c r="B22" s="104" t="s">
        <v>19</v>
      </c>
      <c r="C22" s="105">
        <v>319.09710251944205</v>
      </c>
      <c r="D22" s="105">
        <v>351.3159200382142</v>
      </c>
    </row>
    <row r="23" ht="15.75" customHeight="1">
      <c r="A23" s="26">
        <v>70603.0</v>
      </c>
      <c r="B23" s="104" t="s">
        <v>289</v>
      </c>
      <c r="C23" s="105">
        <v>317.14252641590076</v>
      </c>
      <c r="D23" s="105">
        <v>381.33111366766036</v>
      </c>
    </row>
    <row r="24" ht="15.75" customHeight="1">
      <c r="A24" s="26">
        <v>40101.0</v>
      </c>
      <c r="B24" s="104" t="s">
        <v>183</v>
      </c>
      <c r="C24" s="105">
        <v>309.36131687858926</v>
      </c>
      <c r="D24" s="105">
        <v>320.802956257867</v>
      </c>
    </row>
    <row r="25" ht="15.75" customHeight="1">
      <c r="A25" s="26">
        <v>60202.0</v>
      </c>
      <c r="B25" s="104" t="s">
        <v>262</v>
      </c>
      <c r="C25" s="105">
        <v>307.3888526549938</v>
      </c>
      <c r="D25" s="105">
        <v>404.7449283293398</v>
      </c>
    </row>
    <row r="26" ht="15.75" customHeight="1">
      <c r="A26" s="26">
        <v>71003.0</v>
      </c>
      <c r="B26" s="104" t="s">
        <v>308</v>
      </c>
      <c r="C26" s="105">
        <v>305.7022927108544</v>
      </c>
      <c r="D26" s="105">
        <v>365.9142361983031</v>
      </c>
    </row>
    <row r="27" ht="15.75" customHeight="1">
      <c r="A27" s="26">
        <v>60301.0</v>
      </c>
      <c r="B27" s="104" t="s">
        <v>263</v>
      </c>
      <c r="C27" s="105">
        <v>293.4819174829156</v>
      </c>
      <c r="D27" s="105">
        <v>364.0701600003326</v>
      </c>
    </row>
    <row r="28" ht="15.75" customHeight="1">
      <c r="A28" s="26">
        <v>70102.0</v>
      </c>
      <c r="B28" s="104" t="s">
        <v>271</v>
      </c>
      <c r="C28" s="105">
        <v>292.35835777038244</v>
      </c>
      <c r="D28" s="105">
        <v>358.6048047561426</v>
      </c>
    </row>
    <row r="29" ht="15.75" customHeight="1">
      <c r="A29" s="26">
        <v>70502.0</v>
      </c>
      <c r="B29" s="104" t="s">
        <v>285</v>
      </c>
      <c r="C29" s="105">
        <v>285.466009453599</v>
      </c>
      <c r="D29" s="105">
        <v>397.15225244002863</v>
      </c>
    </row>
    <row r="30" ht="15.75" customHeight="1">
      <c r="A30" s="26">
        <v>20105.0</v>
      </c>
      <c r="B30" s="104" t="s">
        <v>52</v>
      </c>
      <c r="C30" s="105">
        <v>283.707560595156</v>
      </c>
      <c r="D30" s="105">
        <v>337.4779488082488</v>
      </c>
    </row>
    <row r="31" ht="15.75" customHeight="1">
      <c r="A31" s="26">
        <v>70401.0</v>
      </c>
      <c r="B31" s="104" t="s">
        <v>280</v>
      </c>
      <c r="C31" s="105">
        <v>283.40636434844026</v>
      </c>
      <c r="D31" s="105">
        <v>423.89861560564725</v>
      </c>
    </row>
    <row r="32" ht="15.75" customHeight="1">
      <c r="A32" s="26">
        <v>70404.0</v>
      </c>
      <c r="B32" s="104" t="s">
        <v>283</v>
      </c>
      <c r="C32" s="105">
        <v>283.2972602361397</v>
      </c>
      <c r="D32" s="105">
        <v>480.11450973809934</v>
      </c>
    </row>
    <row r="33" ht="15.75" customHeight="1">
      <c r="A33" s="26">
        <v>70105.0</v>
      </c>
      <c r="B33" s="104" t="s">
        <v>274</v>
      </c>
      <c r="C33" s="105">
        <v>280.3156558911692</v>
      </c>
      <c r="D33" s="105">
        <v>356.31998133397815</v>
      </c>
    </row>
    <row r="34" ht="15.75" customHeight="1">
      <c r="A34" s="26">
        <v>80202.0</v>
      </c>
      <c r="B34" s="104" t="s">
        <v>327</v>
      </c>
      <c r="C34" s="105">
        <v>273.60583472762784</v>
      </c>
      <c r="D34" s="105">
        <v>446.1060883962057</v>
      </c>
    </row>
    <row r="35" ht="15.75" customHeight="1">
      <c r="A35" s="26">
        <v>31001.0</v>
      </c>
      <c r="B35" s="104" t="s">
        <v>161</v>
      </c>
      <c r="C35" s="105">
        <v>266.8405625592239</v>
      </c>
      <c r="D35" s="105">
        <v>3.2106329761013637</v>
      </c>
    </row>
    <row r="36" ht="15.75" customHeight="1">
      <c r="A36" s="26">
        <v>70503.0</v>
      </c>
      <c r="B36" s="104" t="s">
        <v>286</v>
      </c>
      <c r="C36" s="105">
        <v>266.25362670192345</v>
      </c>
      <c r="D36" s="105">
        <v>47.05782657113594</v>
      </c>
    </row>
    <row r="37" ht="15.75" customHeight="1">
      <c r="A37" s="26">
        <v>71103.0</v>
      </c>
      <c r="B37" s="104" t="s">
        <v>313</v>
      </c>
      <c r="C37" s="105">
        <v>263.21581622403716</v>
      </c>
      <c r="D37" s="105">
        <v>56.57689995069049</v>
      </c>
    </row>
    <row r="38" ht="15.75" customHeight="1">
      <c r="A38" s="26">
        <v>70402.0</v>
      </c>
      <c r="B38" s="104" t="s">
        <v>281</v>
      </c>
      <c r="C38" s="105">
        <v>257.1060431254724</v>
      </c>
      <c r="D38" s="105">
        <v>393.3537113224739</v>
      </c>
    </row>
    <row r="39" ht="15.75" customHeight="1">
      <c r="A39" s="26">
        <v>70403.0</v>
      </c>
      <c r="B39" s="104" t="s">
        <v>282</v>
      </c>
      <c r="C39" s="105">
        <v>254.40475721563354</v>
      </c>
      <c r="D39" s="105">
        <v>501.426203413439</v>
      </c>
    </row>
    <row r="40" ht="15.75" customHeight="1">
      <c r="A40" s="26">
        <v>80702.0</v>
      </c>
      <c r="B40" s="104" t="s">
        <v>313</v>
      </c>
      <c r="C40" s="105">
        <v>250.09916256884424</v>
      </c>
      <c r="D40" s="105">
        <v>824.1083985056072</v>
      </c>
    </row>
    <row r="41" ht="15.75" customHeight="1">
      <c r="A41" s="26">
        <v>70901.0</v>
      </c>
      <c r="B41" s="104" t="s">
        <v>302</v>
      </c>
      <c r="C41" s="105">
        <v>248.19269877346892</v>
      </c>
      <c r="D41" s="105">
        <v>59.76880856666736</v>
      </c>
    </row>
    <row r="42" ht="15.75" customHeight="1">
      <c r="A42" s="26">
        <v>30803.0</v>
      </c>
      <c r="B42" s="104" t="s">
        <v>155</v>
      </c>
      <c r="C42" s="105">
        <v>241.75720777604107</v>
      </c>
      <c r="D42" s="105">
        <v>3.3972602739726026</v>
      </c>
    </row>
    <row r="43" ht="15.75" customHeight="1">
      <c r="A43" s="26">
        <v>30904.0</v>
      </c>
      <c r="B43" s="104" t="s">
        <v>159</v>
      </c>
      <c r="C43" s="105">
        <v>237.4107963144656</v>
      </c>
      <c r="D43" s="105">
        <v>1.7328053652968036</v>
      </c>
    </row>
    <row r="44" ht="15.75" customHeight="1">
      <c r="A44" s="26">
        <v>31403.0</v>
      </c>
      <c r="B44" s="104" t="s">
        <v>177</v>
      </c>
      <c r="C44" s="105">
        <v>232.25517072699742</v>
      </c>
      <c r="D44" s="105">
        <v>1.2260609774781677</v>
      </c>
    </row>
    <row r="45" ht="15.75" customHeight="1">
      <c r="A45" s="26">
        <v>31401.0</v>
      </c>
      <c r="B45" s="104" t="s">
        <v>175</v>
      </c>
      <c r="C45" s="105">
        <v>231.42717782742974</v>
      </c>
      <c r="D45" s="105">
        <v>0.6945074897866546</v>
      </c>
    </row>
    <row r="46" ht="15.75" customHeight="1">
      <c r="A46" s="26">
        <v>80701.0</v>
      </c>
      <c r="B46" s="104" t="s">
        <v>337</v>
      </c>
      <c r="C46" s="105">
        <v>226.82967589950655</v>
      </c>
      <c r="D46" s="105">
        <v>388.52790829493773</v>
      </c>
    </row>
    <row r="47" ht="15.75" customHeight="1">
      <c r="A47" s="26">
        <v>71002.0</v>
      </c>
      <c r="B47" s="104" t="s">
        <v>307</v>
      </c>
      <c r="C47" s="105">
        <v>224.80479810865623</v>
      </c>
      <c r="D47" s="105">
        <v>259.38582963227566</v>
      </c>
    </row>
    <row r="48" ht="15.75" customHeight="1">
      <c r="A48" s="26">
        <v>30801.0</v>
      </c>
      <c r="B48" s="104" t="s">
        <v>153</v>
      </c>
      <c r="C48" s="105">
        <v>223.84421035349132</v>
      </c>
      <c r="D48" s="105">
        <v>0.5947057433230915</v>
      </c>
    </row>
    <row r="49" ht="15.75" customHeight="1">
      <c r="A49" s="26">
        <v>71004.0</v>
      </c>
      <c r="B49" s="104" t="s">
        <v>309</v>
      </c>
      <c r="C49" s="105">
        <v>222.55853647766472</v>
      </c>
      <c r="D49" s="105">
        <v>286.1796713315323</v>
      </c>
    </row>
    <row r="50" ht="15.75" customHeight="1">
      <c r="A50" s="26">
        <v>71201.0</v>
      </c>
      <c r="B50" s="104" t="s">
        <v>317</v>
      </c>
      <c r="C50" s="105">
        <v>220.61585311669666</v>
      </c>
      <c r="D50" s="105">
        <v>17.834048640915594</v>
      </c>
    </row>
    <row r="51" ht="15.75" customHeight="1">
      <c r="A51" s="26">
        <v>71005.0</v>
      </c>
      <c r="B51" s="104" t="s">
        <v>310</v>
      </c>
      <c r="C51" s="105">
        <v>219.01504222208752</v>
      </c>
      <c r="D51" s="105">
        <v>353.2230748258268</v>
      </c>
    </row>
    <row r="52" ht="15.75" customHeight="1">
      <c r="A52" s="26">
        <v>71104.0</v>
      </c>
      <c r="B52" s="104" t="s">
        <v>314</v>
      </c>
      <c r="C52" s="105">
        <v>218.64119800330752</v>
      </c>
      <c r="D52" s="105">
        <v>363.41389051014187</v>
      </c>
    </row>
    <row r="53" ht="15.75" customHeight="1">
      <c r="A53" s="26">
        <v>40701.0</v>
      </c>
      <c r="B53" s="104" t="s">
        <v>201</v>
      </c>
      <c r="C53" s="105">
        <v>218.31649174174945</v>
      </c>
      <c r="D53" s="105">
        <v>231.07381455515971</v>
      </c>
    </row>
    <row r="54" ht="15.75" customHeight="1">
      <c r="A54" s="26">
        <v>80304.0</v>
      </c>
      <c r="B54" s="104" t="s">
        <v>331</v>
      </c>
      <c r="C54" s="105">
        <v>216.43396909959299</v>
      </c>
      <c r="D54" s="105">
        <v>311.6190678594701</v>
      </c>
    </row>
    <row r="55" ht="15.75" customHeight="1">
      <c r="A55" s="26">
        <v>50101.0</v>
      </c>
      <c r="B55" s="104" t="s">
        <v>218</v>
      </c>
      <c r="C55" s="105">
        <v>216.41687829673353</v>
      </c>
      <c r="D55" s="105">
        <v>256.4421450318085</v>
      </c>
    </row>
    <row r="56" ht="15.75" customHeight="1">
      <c r="A56" s="26">
        <v>71501.0</v>
      </c>
      <c r="B56" s="104" t="s">
        <v>323</v>
      </c>
      <c r="C56" s="105">
        <v>214.4454192135082</v>
      </c>
      <c r="D56" s="105">
        <v>53.01370346493353</v>
      </c>
    </row>
    <row r="57" ht="15.75" customHeight="1">
      <c r="A57" s="26">
        <v>60302.0</v>
      </c>
      <c r="B57" s="104" t="s">
        <v>264</v>
      </c>
      <c r="C57" s="105">
        <v>211.9373299196071</v>
      </c>
      <c r="D57" s="105">
        <v>231.61771324516164</v>
      </c>
    </row>
    <row r="58" ht="15.75" customHeight="1">
      <c r="A58" s="26">
        <v>80201.0</v>
      </c>
      <c r="B58" s="104" t="s">
        <v>326</v>
      </c>
      <c r="C58" s="105">
        <v>211.60194566478546</v>
      </c>
      <c r="D58" s="105">
        <v>285.25181774229253</v>
      </c>
    </row>
    <row r="59" ht="15.75" customHeight="1">
      <c r="A59" s="26">
        <v>70903.0</v>
      </c>
      <c r="B59" s="104" t="s">
        <v>304</v>
      </c>
      <c r="C59" s="105">
        <v>206.2118765528952</v>
      </c>
      <c r="D59" s="105">
        <v>20.06894383874181</v>
      </c>
    </row>
    <row r="60" ht="15.75" customHeight="1">
      <c r="A60" s="26">
        <v>70801.0</v>
      </c>
      <c r="B60" s="104" t="s">
        <v>297</v>
      </c>
      <c r="C60" s="105">
        <v>202.29642337053866</v>
      </c>
      <c r="D60" s="105">
        <v>40.372427378248716</v>
      </c>
    </row>
    <row r="61" ht="15.75" customHeight="1">
      <c r="A61" s="26">
        <v>80401.0</v>
      </c>
      <c r="B61" s="104" t="s">
        <v>332</v>
      </c>
      <c r="C61" s="105">
        <v>199.00040212177004</v>
      </c>
      <c r="D61" s="105">
        <v>365.2952232537993</v>
      </c>
    </row>
    <row r="62" ht="15.75" customHeight="1">
      <c r="A62" s="26">
        <v>30902.0</v>
      </c>
      <c r="B62" s="104" t="s">
        <v>157</v>
      </c>
      <c r="C62" s="105">
        <v>196.5811543507862</v>
      </c>
      <c r="D62" s="105">
        <v>3.2917650425699363</v>
      </c>
    </row>
    <row r="63" ht="15.75" customHeight="1">
      <c r="A63" s="26">
        <v>70602.0</v>
      </c>
      <c r="B63" s="104" t="s">
        <v>288</v>
      </c>
      <c r="C63" s="105">
        <v>195.1089257802548</v>
      </c>
      <c r="D63" s="105">
        <v>649.4860270502461</v>
      </c>
    </row>
    <row r="64" ht="15.75" customHeight="1">
      <c r="A64" s="26">
        <v>31206.0</v>
      </c>
      <c r="B64" s="104" t="s">
        <v>170</v>
      </c>
      <c r="C64" s="105">
        <v>192.84966802239774</v>
      </c>
      <c r="D64" s="105">
        <v>4.342507645259939</v>
      </c>
    </row>
    <row r="65" ht="15.75" customHeight="1">
      <c r="A65" s="26">
        <v>71403.0</v>
      </c>
      <c r="B65" s="104" t="s">
        <v>322</v>
      </c>
      <c r="C65" s="105">
        <v>192.4283521581589</v>
      </c>
      <c r="D65" s="105">
        <v>226.14326225045372</v>
      </c>
    </row>
    <row r="66" ht="15.75" customHeight="1">
      <c r="A66" s="26">
        <v>60501.0</v>
      </c>
      <c r="B66" s="104" t="s">
        <v>268</v>
      </c>
      <c r="C66" s="105">
        <v>190.12703663120817</v>
      </c>
      <c r="D66" s="105">
        <v>235.21455873531994</v>
      </c>
    </row>
    <row r="67" ht="15.75" customHeight="1">
      <c r="A67" s="26">
        <v>30501.0</v>
      </c>
      <c r="B67" s="104" t="s">
        <v>146</v>
      </c>
      <c r="C67" s="105">
        <v>189.5718897011014</v>
      </c>
      <c r="D67" s="105">
        <v>1.1106143253152105</v>
      </c>
    </row>
    <row r="68" ht="15.75" customHeight="1">
      <c r="A68" s="26">
        <v>71102.0</v>
      </c>
      <c r="B68" s="104" t="s">
        <v>312</v>
      </c>
      <c r="C68" s="105">
        <v>188.8068789153826</v>
      </c>
      <c r="D68" s="105">
        <v>31.622246112444273</v>
      </c>
    </row>
    <row r="69" ht="15.75" customHeight="1">
      <c r="A69" s="26">
        <v>70703.0</v>
      </c>
      <c r="B69" s="104" t="s">
        <v>292</v>
      </c>
      <c r="C69" s="105">
        <v>188.16242538840967</v>
      </c>
      <c r="D69" s="105">
        <v>251.1223870803964</v>
      </c>
    </row>
    <row r="70" ht="15.75" customHeight="1">
      <c r="A70" s="26">
        <v>20103.0</v>
      </c>
      <c r="B70" s="104" t="s">
        <v>50</v>
      </c>
      <c r="C70" s="105">
        <v>187.75470617760283</v>
      </c>
      <c r="D70" s="105">
        <v>349.04010562622466</v>
      </c>
    </row>
    <row r="71" ht="15.75" customHeight="1">
      <c r="A71" s="26">
        <v>70501.0</v>
      </c>
      <c r="B71" s="104" t="s">
        <v>284</v>
      </c>
      <c r="C71" s="105">
        <v>185.3684082969841</v>
      </c>
      <c r="D71" s="105">
        <v>92.07753697764608</v>
      </c>
    </row>
    <row r="72" ht="15.75" customHeight="1">
      <c r="A72" s="26">
        <v>70707.0</v>
      </c>
      <c r="B72" s="104" t="s">
        <v>296</v>
      </c>
      <c r="C72" s="105">
        <v>183.50551161555686</v>
      </c>
      <c r="D72" s="105">
        <v>41.898966508513254</v>
      </c>
    </row>
    <row r="73" ht="15.75" customHeight="1">
      <c r="A73" s="26">
        <v>51201.0</v>
      </c>
      <c r="B73" s="104" t="s">
        <v>250</v>
      </c>
      <c r="C73" s="105">
        <v>182.02179726363732</v>
      </c>
      <c r="D73" s="105">
        <v>175.12112804209568</v>
      </c>
    </row>
    <row r="74" ht="15.75" customHeight="1">
      <c r="A74" s="26">
        <v>30701.0</v>
      </c>
      <c r="B74" s="104" t="s">
        <v>150</v>
      </c>
      <c r="C74" s="105">
        <v>178.76264140489036</v>
      </c>
      <c r="D74" s="105">
        <v>4.013486384928193</v>
      </c>
    </row>
    <row r="75" ht="15.75" customHeight="1">
      <c r="A75" s="26">
        <v>70301.0</v>
      </c>
      <c r="B75" s="104" t="s">
        <v>277</v>
      </c>
      <c r="C75" s="105">
        <v>176.9470981917195</v>
      </c>
      <c r="D75" s="105">
        <v>30.41157623446098</v>
      </c>
    </row>
    <row r="76" ht="15.75" customHeight="1">
      <c r="A76" s="26">
        <v>20602.0</v>
      </c>
      <c r="B76" s="104" t="s">
        <v>76</v>
      </c>
      <c r="C76" s="105">
        <v>173.70674224119455</v>
      </c>
      <c r="D76" s="105">
        <v>347.5103746551771</v>
      </c>
    </row>
    <row r="77" ht="15.75" customHeight="1">
      <c r="A77" s="26">
        <v>50801.0</v>
      </c>
      <c r="B77" s="104" t="s">
        <v>240</v>
      </c>
      <c r="C77" s="105">
        <v>171.92370153386233</v>
      </c>
      <c r="D77" s="105">
        <v>211.90125029459938</v>
      </c>
    </row>
    <row r="78" ht="15.75" customHeight="1">
      <c r="A78" s="26">
        <v>20801.0</v>
      </c>
      <c r="B78" s="104" t="s">
        <v>85</v>
      </c>
      <c r="C78" s="105">
        <v>168.1007778750217</v>
      </c>
      <c r="D78" s="105">
        <v>202.4144460121554</v>
      </c>
    </row>
    <row r="79" ht="15.75" customHeight="1">
      <c r="A79" s="26">
        <v>71101.0</v>
      </c>
      <c r="B79" s="104" t="s">
        <v>311</v>
      </c>
      <c r="C79" s="105">
        <v>167.50347765188576</v>
      </c>
      <c r="D79" s="105">
        <v>50.05345640531439</v>
      </c>
    </row>
    <row r="80" ht="15.75" customHeight="1">
      <c r="A80" s="26">
        <v>21402.0</v>
      </c>
      <c r="B80" s="104" t="s">
        <v>120</v>
      </c>
      <c r="C80" s="105">
        <v>165.40047048229206</v>
      </c>
      <c r="D80" s="105">
        <v>153.88321293977995</v>
      </c>
    </row>
    <row r="81" ht="15.75" customHeight="1">
      <c r="A81" s="26">
        <v>31205.0</v>
      </c>
      <c r="B81" s="104" t="s">
        <v>169</v>
      </c>
      <c r="C81" s="105">
        <v>164.3827923824729</v>
      </c>
      <c r="D81" s="105">
        <v>3.9735583249477515</v>
      </c>
    </row>
    <row r="82" ht="15.75" customHeight="1">
      <c r="A82" s="26">
        <v>30401.0</v>
      </c>
      <c r="B82" s="104" t="s">
        <v>142</v>
      </c>
      <c r="C82" s="105">
        <v>164.30415049026058</v>
      </c>
      <c r="D82" s="105">
        <v>1.3747893196132353</v>
      </c>
    </row>
    <row r="83" ht="15.75" customHeight="1">
      <c r="A83" s="26">
        <v>30702.0</v>
      </c>
      <c r="B83" s="104" t="s">
        <v>151</v>
      </c>
      <c r="C83" s="105">
        <v>162.29908545480092</v>
      </c>
      <c r="D83" s="105">
        <v>4.399496221662469</v>
      </c>
    </row>
    <row r="84" ht="15.75" customHeight="1">
      <c r="A84" s="26">
        <v>60401.0</v>
      </c>
      <c r="B84" s="104" t="s">
        <v>266</v>
      </c>
      <c r="C84" s="105">
        <v>161.32376994079868</v>
      </c>
      <c r="D84" s="105">
        <v>196.58776609332975</v>
      </c>
    </row>
    <row r="85" ht="15.75" customHeight="1">
      <c r="A85" s="26">
        <v>10102.0</v>
      </c>
      <c r="B85" s="104" t="s">
        <v>20</v>
      </c>
      <c r="C85" s="105">
        <v>161.2525285538274</v>
      </c>
      <c r="D85" s="105">
        <v>215.31622719661675</v>
      </c>
    </row>
    <row r="86" ht="15.75" customHeight="1">
      <c r="A86" s="26">
        <v>31204.0</v>
      </c>
      <c r="B86" s="104" t="s">
        <v>168</v>
      </c>
      <c r="C86" s="105">
        <v>160.63180353228026</v>
      </c>
      <c r="D86" s="105">
        <v>7.520656952872352</v>
      </c>
    </row>
    <row r="87" ht="15.75" customHeight="1">
      <c r="A87" s="26">
        <v>20606.0</v>
      </c>
      <c r="B87" s="104" t="s">
        <v>80</v>
      </c>
      <c r="C87" s="105">
        <v>157.84126136094275</v>
      </c>
      <c r="D87" s="105">
        <v>339.32724211412494</v>
      </c>
    </row>
    <row r="88" ht="15.75" customHeight="1">
      <c r="A88" s="26">
        <v>10501.0</v>
      </c>
      <c r="B88" s="104" t="s">
        <v>33</v>
      </c>
      <c r="C88" s="105">
        <v>157.65432258394097</v>
      </c>
      <c r="D88" s="105">
        <v>211.29951926807723</v>
      </c>
    </row>
    <row r="89" ht="15.75" customHeight="1">
      <c r="A89" s="26">
        <v>70902.0</v>
      </c>
      <c r="B89" s="104" t="s">
        <v>303</v>
      </c>
      <c r="C89" s="105">
        <v>157.02371049928448</v>
      </c>
      <c r="D89" s="105">
        <v>20.44387123400743</v>
      </c>
    </row>
    <row r="90" ht="15.75" customHeight="1">
      <c r="A90" s="26">
        <v>31602.0</v>
      </c>
      <c r="B90" s="104" t="s">
        <v>182</v>
      </c>
      <c r="C90" s="105">
        <v>156.2089234821604</v>
      </c>
      <c r="D90" s="105">
        <v>6.109414102752834</v>
      </c>
    </row>
    <row r="91" ht="15.75" customHeight="1">
      <c r="A91" s="26">
        <v>21101.0</v>
      </c>
      <c r="B91" s="104" t="s">
        <v>103</v>
      </c>
      <c r="C91" s="105">
        <v>155.4336873659055</v>
      </c>
      <c r="D91" s="105">
        <v>237.3404906441239</v>
      </c>
    </row>
    <row r="92" ht="15.75" customHeight="1">
      <c r="A92" s="26">
        <v>80302.0</v>
      </c>
      <c r="B92" s="104" t="s">
        <v>329</v>
      </c>
      <c r="C92" s="105">
        <v>154.84116307470467</v>
      </c>
      <c r="D92" s="105">
        <v>321.9651949941771</v>
      </c>
    </row>
    <row r="93" ht="15.75" customHeight="1">
      <c r="A93" s="26">
        <v>90102.0</v>
      </c>
      <c r="B93" s="104" t="s">
        <v>344</v>
      </c>
      <c r="C93" s="105">
        <v>153.24966383584942</v>
      </c>
      <c r="D93" s="105">
        <v>384.15070042426123</v>
      </c>
    </row>
    <row r="94" ht="15.75" customHeight="1">
      <c r="A94" s="26">
        <v>80301.0</v>
      </c>
      <c r="B94" s="104" t="s">
        <v>328</v>
      </c>
      <c r="C94" s="105">
        <v>152.29035322287197</v>
      </c>
      <c r="D94" s="105">
        <v>272.66936739190237</v>
      </c>
    </row>
    <row r="95" ht="15.75" customHeight="1">
      <c r="A95" s="26">
        <v>71301.0</v>
      </c>
      <c r="B95" s="104" t="s">
        <v>318</v>
      </c>
      <c r="C95" s="105">
        <v>150.9664708950308</v>
      </c>
      <c r="D95" s="105">
        <v>16.87083453649558</v>
      </c>
    </row>
    <row r="96" ht="15.75" customHeight="1">
      <c r="A96" s="26">
        <v>21003.0</v>
      </c>
      <c r="B96" s="104" t="s">
        <v>99</v>
      </c>
      <c r="C96" s="105">
        <v>149.32952288271036</v>
      </c>
      <c r="D96" s="105">
        <v>151.37789913266946</v>
      </c>
    </row>
    <row r="97" ht="15.75" customHeight="1">
      <c r="A97" s="26">
        <v>70802.0</v>
      </c>
      <c r="B97" s="104" t="s">
        <v>298</v>
      </c>
      <c r="C97" s="105">
        <v>146.52895970337084</v>
      </c>
      <c r="D97" s="105">
        <v>13.682916496506481</v>
      </c>
    </row>
    <row r="98" ht="15.75" customHeight="1">
      <c r="A98" s="26">
        <v>80303.0</v>
      </c>
      <c r="B98" s="104" t="s">
        <v>330</v>
      </c>
      <c r="C98" s="105">
        <v>145.4421504564695</v>
      </c>
      <c r="D98" s="105">
        <v>286.2575076973882</v>
      </c>
    </row>
    <row r="99" ht="15.75" customHeight="1">
      <c r="A99" s="26">
        <v>50802.0</v>
      </c>
      <c r="B99" s="104" t="s">
        <v>241</v>
      </c>
      <c r="C99" s="105">
        <v>145.41531841289176</v>
      </c>
      <c r="D99" s="105">
        <v>161.39458900237307</v>
      </c>
    </row>
    <row r="100" ht="15.75" customHeight="1">
      <c r="A100" s="26">
        <v>90203.0</v>
      </c>
      <c r="B100" s="104" t="s">
        <v>348</v>
      </c>
      <c r="C100" s="105">
        <v>144.8874060258796</v>
      </c>
      <c r="D100" s="105">
        <v>643.4490366042512</v>
      </c>
    </row>
    <row r="101" ht="15.75" customHeight="1">
      <c r="A101" s="26">
        <v>70302.0</v>
      </c>
      <c r="B101" s="104" t="s">
        <v>278</v>
      </c>
      <c r="C101" s="105">
        <v>144.02739290343214</v>
      </c>
      <c r="D101" s="105">
        <v>43.71684493733184</v>
      </c>
    </row>
    <row r="102" ht="15.75" customHeight="1">
      <c r="A102" s="26">
        <v>80801.0</v>
      </c>
      <c r="B102" s="104" t="s">
        <v>339</v>
      </c>
      <c r="C102" s="105">
        <v>140.5764814361813</v>
      </c>
      <c r="D102" s="105">
        <v>544.351427448677</v>
      </c>
    </row>
    <row r="103" ht="15.75" customHeight="1">
      <c r="A103" s="26">
        <v>71503.0</v>
      </c>
      <c r="B103" s="104" t="s">
        <v>269</v>
      </c>
      <c r="C103" s="105">
        <v>139.26376941419664</v>
      </c>
      <c r="D103" s="105">
        <v>75.52579526443438</v>
      </c>
    </row>
    <row r="104" ht="15.75" customHeight="1">
      <c r="A104" s="26">
        <v>90201.0</v>
      </c>
      <c r="B104" s="104" t="s">
        <v>347</v>
      </c>
      <c r="C104" s="105">
        <v>138.29253382328545</v>
      </c>
      <c r="D104" s="105">
        <v>215.1730012413409</v>
      </c>
    </row>
    <row r="105" ht="15.75" customHeight="1">
      <c r="A105" s="26">
        <v>70303.0</v>
      </c>
      <c r="B105" s="104" t="s">
        <v>279</v>
      </c>
      <c r="C105" s="105">
        <v>137.5840908495262</v>
      </c>
      <c r="D105" s="105">
        <v>631.037887348899</v>
      </c>
    </row>
    <row r="106" ht="15.75" customHeight="1">
      <c r="A106" s="26">
        <v>60601.0</v>
      </c>
      <c r="B106" s="104" t="s">
        <v>170</v>
      </c>
      <c r="C106" s="105">
        <v>136.68873476264875</v>
      </c>
      <c r="D106" s="105">
        <v>188.22148197816193</v>
      </c>
    </row>
    <row r="107" ht="15.75" customHeight="1">
      <c r="A107" s="26">
        <v>70701.0</v>
      </c>
      <c r="B107" s="104" t="s">
        <v>290</v>
      </c>
      <c r="C107" s="105">
        <v>136.60928217620483</v>
      </c>
      <c r="D107" s="105">
        <v>20.002186354025422</v>
      </c>
    </row>
    <row r="108" ht="15.75" customHeight="1">
      <c r="A108" s="26">
        <v>51501.0</v>
      </c>
      <c r="B108" s="104" t="s">
        <v>258</v>
      </c>
      <c r="C108" s="105">
        <v>134.93353317582174</v>
      </c>
      <c r="D108" s="105">
        <v>164.39625051426512</v>
      </c>
    </row>
    <row r="109" ht="15.75" customHeight="1">
      <c r="A109" s="26">
        <v>50902.0</v>
      </c>
      <c r="B109" s="104" t="s">
        <v>243</v>
      </c>
      <c r="C109" s="105">
        <v>134.22534067900187</v>
      </c>
      <c r="D109" s="105">
        <v>134.84145594790422</v>
      </c>
    </row>
    <row r="110" ht="15.75" customHeight="1">
      <c r="A110" s="26">
        <v>21701.0</v>
      </c>
      <c r="B110" s="104" t="s">
        <v>125</v>
      </c>
      <c r="C110" s="105">
        <v>134.10301099236182</v>
      </c>
      <c r="D110" s="105">
        <v>117.48090248739214</v>
      </c>
    </row>
    <row r="111" ht="15.75" customHeight="1">
      <c r="A111" s="26">
        <v>31003.0</v>
      </c>
      <c r="B111" s="104" t="s">
        <v>163</v>
      </c>
      <c r="C111" s="105">
        <v>131.42055429598204</v>
      </c>
      <c r="D111" s="105">
        <v>7.990186352629951</v>
      </c>
    </row>
    <row r="112" ht="15.75" customHeight="1">
      <c r="A112" s="26">
        <v>80501.0</v>
      </c>
      <c r="B112" s="104" t="s">
        <v>334</v>
      </c>
      <c r="C112" s="105">
        <v>127.61111384790735</v>
      </c>
      <c r="D112" s="105">
        <v>219.93680501037213</v>
      </c>
    </row>
    <row r="113" ht="15.75" customHeight="1">
      <c r="A113" s="26">
        <v>31301.0</v>
      </c>
      <c r="B113" s="104" t="s">
        <v>171</v>
      </c>
      <c r="C113" s="105">
        <v>126.96364780644623</v>
      </c>
      <c r="D113" s="105">
        <v>12.413349416968234</v>
      </c>
    </row>
    <row r="114" ht="15.75" customHeight="1">
      <c r="A114" s="26">
        <v>31402.0</v>
      </c>
      <c r="B114" s="104" t="s">
        <v>176</v>
      </c>
      <c r="C114" s="105">
        <v>124.7430639795321</v>
      </c>
      <c r="D114" s="105">
        <v>0.6847307826491452</v>
      </c>
    </row>
    <row r="115" ht="15.75" customHeight="1">
      <c r="A115" s="26">
        <v>71502.0</v>
      </c>
      <c r="B115" s="104" t="s">
        <v>324</v>
      </c>
      <c r="C115" s="105">
        <v>124.55510260822874</v>
      </c>
      <c r="D115" s="105">
        <v>92.35942028985507</v>
      </c>
    </row>
    <row r="116" ht="15.75" customHeight="1">
      <c r="A116" s="26">
        <v>11003.0</v>
      </c>
      <c r="B116" s="104" t="s">
        <v>47</v>
      </c>
      <c r="C116" s="105">
        <v>122.98858220980131</v>
      </c>
      <c r="D116" s="105">
        <v>448.29302001721135</v>
      </c>
    </row>
    <row r="117" ht="15.75" customHeight="1">
      <c r="A117" s="26">
        <v>50203.0</v>
      </c>
      <c r="B117" s="104" t="s">
        <v>224</v>
      </c>
      <c r="C117" s="105">
        <v>122.53811325779049</v>
      </c>
      <c r="D117" s="105">
        <v>162.1675022535027</v>
      </c>
    </row>
    <row r="118" ht="15.75" customHeight="1">
      <c r="A118" s="26">
        <v>31002.0</v>
      </c>
      <c r="B118" s="104" t="s">
        <v>162</v>
      </c>
      <c r="C118" s="105">
        <v>120.84040906601297</v>
      </c>
      <c r="D118" s="105">
        <v>5.629039641124233</v>
      </c>
    </row>
    <row r="119" ht="15.75" customHeight="1">
      <c r="A119" s="26">
        <v>60201.0</v>
      </c>
      <c r="B119" s="104" t="s">
        <v>261</v>
      </c>
      <c r="C119" s="105">
        <v>120.48344485915297</v>
      </c>
      <c r="D119" s="105">
        <v>202.87236908399183</v>
      </c>
    </row>
    <row r="120" ht="15.75" customHeight="1">
      <c r="A120" s="26">
        <v>30403.0</v>
      </c>
      <c r="B120" s="104" t="s">
        <v>144</v>
      </c>
      <c r="C120" s="105">
        <v>117.48452517107012</v>
      </c>
      <c r="D120" s="105">
        <v>2.4726127659574466</v>
      </c>
    </row>
    <row r="121" ht="15.75" customHeight="1">
      <c r="A121" s="26">
        <v>21401.0</v>
      </c>
      <c r="B121" s="104" t="s">
        <v>119</v>
      </c>
      <c r="C121" s="105">
        <v>116.68680081383478</v>
      </c>
      <c r="D121" s="105">
        <v>181.99231352390873</v>
      </c>
    </row>
    <row r="122" ht="15.75" customHeight="1">
      <c r="A122" s="26">
        <v>71302.0</v>
      </c>
      <c r="B122" s="104" t="s">
        <v>319</v>
      </c>
      <c r="C122" s="105">
        <v>115.75226858417577</v>
      </c>
      <c r="D122" s="105">
        <v>16.666997354497354</v>
      </c>
    </row>
    <row r="123" ht="15.75" customHeight="1">
      <c r="A123" s="26">
        <v>51203.0</v>
      </c>
      <c r="B123" s="104" t="s">
        <v>252</v>
      </c>
      <c r="C123" s="105">
        <v>114.48684983064406</v>
      </c>
      <c r="D123" s="105">
        <v>122.77494204117556</v>
      </c>
    </row>
    <row r="124" ht="15.75" customHeight="1">
      <c r="A124" s="26">
        <v>20804.0</v>
      </c>
      <c r="B124" s="104" t="s">
        <v>88</v>
      </c>
      <c r="C124" s="105">
        <v>114.47421136782549</v>
      </c>
      <c r="D124" s="105">
        <v>136.21565156540296</v>
      </c>
    </row>
    <row r="125" ht="15.75" customHeight="1">
      <c r="A125" s="26">
        <v>20608.0</v>
      </c>
      <c r="B125" s="104" t="s">
        <v>82</v>
      </c>
      <c r="C125" s="105">
        <v>114.14646452160383</v>
      </c>
      <c r="D125" s="105">
        <v>376.0686148910015</v>
      </c>
    </row>
    <row r="126" ht="15.75" customHeight="1">
      <c r="A126" s="26">
        <v>21502.0</v>
      </c>
      <c r="B126" s="104" t="s">
        <v>122</v>
      </c>
      <c r="C126" s="105">
        <v>112.89069312481566</v>
      </c>
      <c r="D126" s="105">
        <v>189.35279570914093</v>
      </c>
    </row>
    <row r="127" ht="15.75" customHeight="1">
      <c r="A127" s="26">
        <v>21103.0</v>
      </c>
      <c r="B127" s="104" t="s">
        <v>105</v>
      </c>
      <c r="C127" s="105">
        <v>112.83030206131104</v>
      </c>
      <c r="D127" s="105">
        <v>142.74615891094044</v>
      </c>
    </row>
    <row r="128" ht="15.75" customHeight="1">
      <c r="A128" s="26">
        <v>30201.0</v>
      </c>
      <c r="B128" s="104" t="s">
        <v>136</v>
      </c>
      <c r="C128" s="105">
        <v>110.235410676985</v>
      </c>
      <c r="D128" s="105">
        <v>18.15517017951975</v>
      </c>
    </row>
    <row r="129" ht="15.75" customHeight="1">
      <c r="A129" s="26">
        <v>71105.0</v>
      </c>
      <c r="B129" s="104" t="s">
        <v>315</v>
      </c>
      <c r="C129" s="105">
        <v>109.9681775803034</v>
      </c>
      <c r="D129" s="105">
        <v>35.03336845802599</v>
      </c>
    </row>
    <row r="130" ht="15.75" customHeight="1">
      <c r="A130" s="26">
        <v>20104.0</v>
      </c>
      <c r="B130" s="104" t="s">
        <v>51</v>
      </c>
      <c r="C130" s="105">
        <v>109.24942356221145</v>
      </c>
      <c r="D130" s="105">
        <v>142.99395947560836</v>
      </c>
    </row>
    <row r="131" ht="15.75" customHeight="1">
      <c r="A131" s="26">
        <v>10401.0</v>
      </c>
      <c r="B131" s="104" t="s">
        <v>28</v>
      </c>
      <c r="C131" s="105">
        <v>108.66603231901824</v>
      </c>
      <c r="D131" s="105">
        <v>154.87826367520165</v>
      </c>
    </row>
    <row r="132" ht="15.75" customHeight="1">
      <c r="A132" s="26">
        <v>10701.0</v>
      </c>
      <c r="B132" s="104" t="s">
        <v>37</v>
      </c>
      <c r="C132" s="105">
        <v>106.75680374204477</v>
      </c>
      <c r="D132" s="105">
        <v>140.92972201661914</v>
      </c>
    </row>
    <row r="133" ht="15.75" customHeight="1">
      <c r="A133" s="26">
        <v>21305.0</v>
      </c>
      <c r="B133" s="104" t="s">
        <v>116</v>
      </c>
      <c r="C133" s="105">
        <v>104.89801448813199</v>
      </c>
      <c r="D133" s="105">
        <v>129.3869890016119</v>
      </c>
    </row>
    <row r="134" ht="15.75" customHeight="1">
      <c r="A134" s="26">
        <v>21104.0</v>
      </c>
      <c r="B134" s="104" t="s">
        <v>106</v>
      </c>
      <c r="C134" s="105">
        <v>102.90847139213365</v>
      </c>
      <c r="D134" s="105">
        <v>182.07668496408226</v>
      </c>
    </row>
    <row r="135" ht="15.75" customHeight="1">
      <c r="A135" s="26">
        <v>30203.0</v>
      </c>
      <c r="B135" s="104" t="s">
        <v>138</v>
      </c>
      <c r="C135" s="105">
        <v>102.43919933449129</v>
      </c>
      <c r="D135" s="105">
        <v>6.721791044776119</v>
      </c>
    </row>
    <row r="136" ht="15.75" customHeight="1">
      <c r="A136" s="26">
        <v>30802.0</v>
      </c>
      <c r="B136" s="104" t="s">
        <v>154</v>
      </c>
      <c r="C136" s="105">
        <v>102.33642707835813</v>
      </c>
      <c r="D136" s="105">
        <v>1.249254944459496</v>
      </c>
    </row>
    <row r="137" ht="15.75" customHeight="1">
      <c r="A137" s="26">
        <v>70704.0</v>
      </c>
      <c r="B137" s="104" t="s">
        <v>293</v>
      </c>
      <c r="C137" s="105">
        <v>102.27497090185655</v>
      </c>
      <c r="D137" s="105">
        <v>22.790627943072906</v>
      </c>
    </row>
    <row r="138" ht="15.75" customHeight="1">
      <c r="A138" s="26">
        <v>21102.0</v>
      </c>
      <c r="B138" s="104" t="s">
        <v>104</v>
      </c>
      <c r="C138" s="105">
        <v>101.82523215363574</v>
      </c>
      <c r="D138" s="105">
        <v>147.6355513634922</v>
      </c>
    </row>
    <row r="139" ht="15.75" customHeight="1">
      <c r="A139" s="26">
        <v>51401.0</v>
      </c>
      <c r="B139" s="104" t="s">
        <v>256</v>
      </c>
      <c r="C139" s="105">
        <v>101.32700633687598</v>
      </c>
      <c r="D139" s="105">
        <v>129.21829480375513</v>
      </c>
    </row>
    <row r="140" ht="15.75" customHeight="1">
      <c r="A140" s="26">
        <v>40702.0</v>
      </c>
      <c r="B140" s="104" t="s">
        <v>202</v>
      </c>
      <c r="C140" s="105">
        <v>101.0167523880278</v>
      </c>
      <c r="D140" s="105">
        <v>104.85996731278163</v>
      </c>
    </row>
    <row r="141" ht="15.75" customHeight="1">
      <c r="A141" s="26">
        <v>21501.0</v>
      </c>
      <c r="B141" s="104" t="s">
        <v>121</v>
      </c>
      <c r="C141" s="105">
        <v>98.52480842487118</v>
      </c>
      <c r="D141" s="105">
        <v>157.80381101674152</v>
      </c>
    </row>
    <row r="142" ht="15.75" customHeight="1">
      <c r="A142" s="26">
        <v>21105.0</v>
      </c>
      <c r="B142" s="104" t="s">
        <v>107</v>
      </c>
      <c r="C142" s="105">
        <v>93.21412069025722</v>
      </c>
      <c r="D142" s="105">
        <v>204.1241582249205</v>
      </c>
    </row>
    <row r="143" ht="15.75" customHeight="1">
      <c r="A143" s="26">
        <v>70803.0</v>
      </c>
      <c r="B143" s="104" t="s">
        <v>299</v>
      </c>
      <c r="C143" s="105">
        <v>91.94596522169722</v>
      </c>
      <c r="D143" s="105">
        <v>23.846043669703697</v>
      </c>
    </row>
    <row r="144" ht="15.75" customHeight="1">
      <c r="A144" s="26">
        <v>20607.0</v>
      </c>
      <c r="B144" s="104" t="s">
        <v>81</v>
      </c>
      <c r="C144" s="105">
        <v>91.69574427052007</v>
      </c>
      <c r="D144" s="105">
        <v>437.9324268085564</v>
      </c>
    </row>
    <row r="145" ht="15.75" customHeight="1">
      <c r="A145" s="26">
        <v>40501.0</v>
      </c>
      <c r="B145" s="104" t="s">
        <v>193</v>
      </c>
      <c r="C145" s="105">
        <v>91.61365909141591</v>
      </c>
      <c r="D145" s="105">
        <v>43.33707300156199</v>
      </c>
    </row>
    <row r="146" ht="15.75" customHeight="1">
      <c r="A146" s="26">
        <v>10801.0</v>
      </c>
      <c r="B146" s="104" t="s">
        <v>41</v>
      </c>
      <c r="C146" s="105">
        <v>90.92392141162115</v>
      </c>
      <c r="D146" s="105">
        <v>146.51092568252278</v>
      </c>
    </row>
    <row r="147" ht="15.75" customHeight="1">
      <c r="A147" s="26">
        <v>22001.0</v>
      </c>
      <c r="B147" s="104" t="s">
        <v>133</v>
      </c>
      <c r="C147" s="105">
        <v>90.04045277043458</v>
      </c>
      <c r="D147" s="105">
        <v>179.54494267582646</v>
      </c>
    </row>
    <row r="148" ht="15.75" customHeight="1">
      <c r="A148" s="26">
        <v>70804.0</v>
      </c>
      <c r="B148" s="104" t="s">
        <v>300</v>
      </c>
      <c r="C148" s="105">
        <v>89.44100228484703</v>
      </c>
      <c r="D148" s="105">
        <v>51.02602436323367</v>
      </c>
    </row>
    <row r="149" ht="15.75" customHeight="1">
      <c r="A149" s="26">
        <v>80602.0</v>
      </c>
      <c r="B149" s="104" t="s">
        <v>336</v>
      </c>
      <c r="C149" s="105">
        <v>88.29404812836073</v>
      </c>
      <c r="D149" s="105">
        <v>506.360115570676</v>
      </c>
    </row>
    <row r="150" ht="15.75" customHeight="1">
      <c r="A150" s="26">
        <v>31601.0</v>
      </c>
      <c r="B150" s="104" t="s">
        <v>181</v>
      </c>
      <c r="C150" s="105">
        <v>87.42841667020332</v>
      </c>
      <c r="D150" s="105">
        <v>1.2262516914749662</v>
      </c>
    </row>
    <row r="151" ht="15.75" customHeight="1">
      <c r="A151" s="26">
        <v>10502.0</v>
      </c>
      <c r="B151" s="104" t="s">
        <v>34</v>
      </c>
      <c r="C151" s="105">
        <v>87.39668589548886</v>
      </c>
      <c r="D151" s="105">
        <v>154.37069447199502</v>
      </c>
    </row>
    <row r="152" ht="15.75" customHeight="1">
      <c r="A152" s="26">
        <v>70702.0</v>
      </c>
      <c r="B152" s="104" t="s">
        <v>291</v>
      </c>
      <c r="C152" s="105">
        <v>85.26932061682598</v>
      </c>
      <c r="D152" s="105">
        <v>62.59456012354488</v>
      </c>
    </row>
    <row r="153" ht="15.75" customHeight="1">
      <c r="A153" s="26">
        <v>20201.0</v>
      </c>
      <c r="B153" s="104" t="s">
        <v>53</v>
      </c>
      <c r="C153" s="105">
        <v>81.89108439971517</v>
      </c>
      <c r="D153" s="105">
        <v>80.45605942784074</v>
      </c>
    </row>
    <row r="154" ht="15.75" customHeight="1">
      <c r="A154" s="26">
        <v>31203.0</v>
      </c>
      <c r="B154" s="104" t="s">
        <v>167</v>
      </c>
      <c r="C154" s="105">
        <v>81.50075527491663</v>
      </c>
      <c r="D154" s="105">
        <v>4.43930494371023</v>
      </c>
    </row>
    <row r="155" ht="15.75" customHeight="1">
      <c r="A155" s="26">
        <v>21203.0</v>
      </c>
      <c r="B155" s="104" t="s">
        <v>110</v>
      </c>
      <c r="C155" s="105">
        <v>81.19955647620995</v>
      </c>
      <c r="D155" s="105">
        <v>79.77769688800495</v>
      </c>
    </row>
    <row r="156" ht="15.75" customHeight="1">
      <c r="A156" s="26">
        <v>40201.0</v>
      </c>
      <c r="B156" s="104" t="s">
        <v>187</v>
      </c>
      <c r="C156" s="105">
        <v>80.57636389577495</v>
      </c>
      <c r="D156" s="105">
        <v>98.16682191828781</v>
      </c>
    </row>
    <row r="157" ht="15.75" customHeight="1">
      <c r="A157" s="26">
        <v>50401.0</v>
      </c>
      <c r="B157" s="104" t="s">
        <v>229</v>
      </c>
      <c r="C157" s="105">
        <v>80.42439868936333</v>
      </c>
      <c r="D157" s="105">
        <v>56.42920002724295</v>
      </c>
    </row>
    <row r="158" ht="15.75" customHeight="1">
      <c r="A158" s="26">
        <v>90303.0</v>
      </c>
      <c r="B158" s="104" t="s">
        <v>351</v>
      </c>
      <c r="C158" s="105">
        <v>80.30849878333662</v>
      </c>
      <c r="D158" s="105">
        <v>179.9079072716979</v>
      </c>
    </row>
    <row r="159" ht="15.75" customHeight="1">
      <c r="A159" s="26">
        <v>20603.0</v>
      </c>
      <c r="B159" s="104" t="s">
        <v>77</v>
      </c>
      <c r="C159" s="105">
        <v>79.55259549790931</v>
      </c>
      <c r="D159" s="105">
        <v>114.41911693284189</v>
      </c>
    </row>
    <row r="160" ht="15.75" customHeight="1">
      <c r="A160" s="26">
        <v>51601.0</v>
      </c>
      <c r="B160" s="104" t="s">
        <v>259</v>
      </c>
      <c r="C160" s="105">
        <v>77.51010358499913</v>
      </c>
      <c r="D160" s="105">
        <v>125.06820329538742</v>
      </c>
    </row>
    <row r="161" ht="15.75" customHeight="1">
      <c r="A161" s="26">
        <v>40902.0</v>
      </c>
      <c r="B161" s="104" t="s">
        <v>206</v>
      </c>
      <c r="C161" s="105">
        <v>77.2051683225677</v>
      </c>
      <c r="D161" s="105">
        <v>37.261735419630156</v>
      </c>
    </row>
    <row r="162" ht="15.75" customHeight="1">
      <c r="A162" s="26">
        <v>70705.0</v>
      </c>
      <c r="B162" s="104" t="s">
        <v>294</v>
      </c>
      <c r="C162" s="105">
        <v>77.16574198198154</v>
      </c>
      <c r="D162" s="105">
        <v>14.957815002869827</v>
      </c>
    </row>
    <row r="163" ht="15.75" customHeight="1">
      <c r="A163" s="26">
        <v>21002.0</v>
      </c>
      <c r="B163" s="104" t="s">
        <v>98</v>
      </c>
      <c r="C163" s="105">
        <v>76.81061281645916</v>
      </c>
      <c r="D163" s="105">
        <v>117.3602002437224</v>
      </c>
    </row>
    <row r="164" ht="15.75" customHeight="1">
      <c r="A164" s="26">
        <v>60502.0</v>
      </c>
      <c r="B164" s="104" t="s">
        <v>269</v>
      </c>
      <c r="C164" s="105">
        <v>75.0516567732936</v>
      </c>
      <c r="D164" s="105">
        <v>124.84574188645817</v>
      </c>
    </row>
    <row r="165" ht="15.75" customHeight="1">
      <c r="A165" s="26">
        <v>20802.0</v>
      </c>
      <c r="B165" s="104" t="s">
        <v>86</v>
      </c>
      <c r="C165" s="105">
        <v>74.99028011811224</v>
      </c>
      <c r="D165" s="105">
        <v>76.93621972597289</v>
      </c>
    </row>
    <row r="166" ht="15.75" customHeight="1">
      <c r="A166" s="26">
        <v>11002.0</v>
      </c>
      <c r="B166" s="104" t="s">
        <v>46</v>
      </c>
      <c r="C166" s="105">
        <v>74.30987029866803</v>
      </c>
      <c r="D166" s="105">
        <v>34.51315272870043</v>
      </c>
    </row>
    <row r="167" ht="15.75" customHeight="1">
      <c r="A167" s="26">
        <v>50901.0</v>
      </c>
      <c r="B167" s="104" t="s">
        <v>242</v>
      </c>
      <c r="C167" s="105">
        <v>72.90496492552472</v>
      </c>
      <c r="D167" s="105">
        <v>215.08948194303167</v>
      </c>
    </row>
    <row r="168" ht="15.75" customHeight="1">
      <c r="A168" s="26">
        <v>20601.0</v>
      </c>
      <c r="B168" s="104" t="s">
        <v>75</v>
      </c>
      <c r="C168" s="105">
        <v>71.05447051504538</v>
      </c>
      <c r="D168" s="105">
        <v>99.24671741413697</v>
      </c>
    </row>
    <row r="169" ht="15.75" customHeight="1">
      <c r="A169" s="26">
        <v>10402.0</v>
      </c>
      <c r="B169" s="104" t="s">
        <v>29</v>
      </c>
      <c r="C169" s="105">
        <v>69.92810912027744</v>
      </c>
      <c r="D169" s="105">
        <v>92.99306617151319</v>
      </c>
    </row>
    <row r="170" ht="15.75" customHeight="1">
      <c r="A170" s="26">
        <v>20102.0</v>
      </c>
      <c r="B170" s="104" t="s">
        <v>49</v>
      </c>
      <c r="C170" s="105">
        <v>68.97102165009251</v>
      </c>
      <c r="D170" s="105">
        <v>92.37516678560783</v>
      </c>
    </row>
    <row r="171" ht="15.75" customHeight="1">
      <c r="A171" s="26">
        <v>70904.0</v>
      </c>
      <c r="B171" s="104" t="s">
        <v>305</v>
      </c>
      <c r="C171" s="105">
        <v>68.55603303403093</v>
      </c>
      <c r="D171" s="105">
        <v>12.555087482009858</v>
      </c>
    </row>
    <row r="172" ht="15.75" customHeight="1">
      <c r="A172" s="26">
        <v>51001.0</v>
      </c>
      <c r="B172" s="104" t="s">
        <v>244</v>
      </c>
      <c r="C172" s="105">
        <v>68.23506210443573</v>
      </c>
      <c r="D172" s="105">
        <v>42.713333313957094</v>
      </c>
    </row>
    <row r="173" ht="15.75" customHeight="1">
      <c r="A173" s="26">
        <v>31404.0</v>
      </c>
      <c r="B173" s="104" t="s">
        <v>178</v>
      </c>
      <c r="C173" s="105">
        <v>68.03081658338405</v>
      </c>
      <c r="D173" s="105">
        <v>14.39005439005439</v>
      </c>
    </row>
    <row r="174" ht="15.75" customHeight="1">
      <c r="A174" s="26">
        <v>11001.0</v>
      </c>
      <c r="B174" s="104" t="s">
        <v>45</v>
      </c>
      <c r="C174" s="105">
        <v>67.0887502866501</v>
      </c>
      <c r="D174" s="105">
        <v>138.94661949248473</v>
      </c>
    </row>
    <row r="175" ht="15.75" customHeight="1">
      <c r="A175" s="26">
        <v>21702.0</v>
      </c>
      <c r="B175" s="104" t="s">
        <v>126</v>
      </c>
      <c r="C175" s="105">
        <v>66.87078588955892</v>
      </c>
      <c r="D175" s="105">
        <v>41.07038410841144</v>
      </c>
    </row>
    <row r="176" ht="15.75" customHeight="1">
      <c r="A176" s="26">
        <v>31202.0</v>
      </c>
      <c r="B176" s="104" t="s">
        <v>166</v>
      </c>
      <c r="C176" s="105">
        <v>66.16259558801275</v>
      </c>
      <c r="D176" s="105">
        <v>8.223261694058154</v>
      </c>
    </row>
    <row r="177" ht="15.75" customHeight="1">
      <c r="A177" s="26">
        <v>22002.0</v>
      </c>
      <c r="B177" s="104" t="s">
        <v>134</v>
      </c>
      <c r="C177" s="105">
        <v>64.32153578704157</v>
      </c>
      <c r="D177" s="105">
        <v>188.68908837723404</v>
      </c>
    </row>
    <row r="178" ht="15.75" customHeight="1">
      <c r="A178" s="26">
        <v>50201.0</v>
      </c>
      <c r="B178" s="104" t="s">
        <v>222</v>
      </c>
      <c r="C178" s="105">
        <v>64.03843912623522</v>
      </c>
      <c r="D178" s="105">
        <v>97.51308854633206</v>
      </c>
    </row>
    <row r="179" ht="15.75" customHeight="1">
      <c r="A179" s="26">
        <v>51102.0</v>
      </c>
      <c r="B179" s="104" t="s">
        <v>248</v>
      </c>
      <c r="C179" s="105">
        <v>63.25577639744622</v>
      </c>
      <c r="D179" s="105">
        <v>81.52434800446827</v>
      </c>
    </row>
    <row r="180" ht="15.75" customHeight="1">
      <c r="A180" s="26">
        <v>20203.0</v>
      </c>
      <c r="B180" s="104" t="s">
        <v>55</v>
      </c>
      <c r="C180" s="105">
        <v>62.90685932278263</v>
      </c>
      <c r="D180" s="105">
        <v>39.48173752296959</v>
      </c>
    </row>
    <row r="181" ht="15.75" customHeight="1">
      <c r="A181" s="26">
        <v>50301.0</v>
      </c>
      <c r="B181" s="104" t="s">
        <v>226</v>
      </c>
      <c r="C181" s="105">
        <v>62.28662515096631</v>
      </c>
      <c r="D181" s="105">
        <v>77.06190447917315</v>
      </c>
    </row>
    <row r="182" ht="15.75" customHeight="1">
      <c r="A182" s="26">
        <v>20204.0</v>
      </c>
      <c r="B182" s="104" t="s">
        <v>56</v>
      </c>
      <c r="C182" s="105">
        <v>62.00292973870137</v>
      </c>
      <c r="D182" s="105">
        <v>55.47281146673336</v>
      </c>
    </row>
    <row r="183" ht="15.75" customHeight="1">
      <c r="A183" s="26">
        <v>50601.0</v>
      </c>
      <c r="B183" s="104" t="s">
        <v>236</v>
      </c>
      <c r="C183" s="105">
        <v>60.98533563085444</v>
      </c>
      <c r="D183" s="105">
        <v>76.87878579533013</v>
      </c>
    </row>
    <row r="184" ht="15.75" customHeight="1">
      <c r="A184" s="26">
        <v>51101.0</v>
      </c>
      <c r="B184" s="104" t="s">
        <v>247</v>
      </c>
      <c r="C184" s="105">
        <v>60.54617909095933</v>
      </c>
      <c r="D184" s="105">
        <v>74.12343645919212</v>
      </c>
    </row>
    <row r="185" ht="15.75" customHeight="1">
      <c r="A185" s="26">
        <v>80601.0</v>
      </c>
      <c r="B185" s="104" t="s">
        <v>335</v>
      </c>
      <c r="C185" s="105">
        <v>60.36050313851603</v>
      </c>
      <c r="D185" s="105">
        <v>828.0672288592176</v>
      </c>
    </row>
    <row r="186" ht="15.75" customHeight="1">
      <c r="A186" s="26">
        <v>10903.0</v>
      </c>
      <c r="B186" s="104" t="s">
        <v>44</v>
      </c>
      <c r="C186" s="105">
        <v>60.26734133573384</v>
      </c>
      <c r="D186" s="105">
        <v>72.49122810667971</v>
      </c>
    </row>
    <row r="187" ht="15.75" customHeight="1">
      <c r="A187" s="26">
        <v>50302.0</v>
      </c>
      <c r="B187" s="104" t="s">
        <v>227</v>
      </c>
      <c r="C187" s="105">
        <v>59.586064730107765</v>
      </c>
      <c r="D187" s="105">
        <v>56.31114700555673</v>
      </c>
    </row>
    <row r="188" ht="15.75" customHeight="1">
      <c r="A188" s="26">
        <v>20901.0</v>
      </c>
      <c r="B188" s="104" t="s">
        <v>92</v>
      </c>
      <c r="C188" s="105">
        <v>59.0304712002904</v>
      </c>
      <c r="D188" s="105">
        <v>84.41717274175852</v>
      </c>
    </row>
    <row r="189" ht="15.75" customHeight="1">
      <c r="A189" s="26">
        <v>20902.0</v>
      </c>
      <c r="B189" s="104" t="s">
        <v>93</v>
      </c>
      <c r="C189" s="105">
        <v>58.205324845724824</v>
      </c>
      <c r="D189" s="105">
        <v>61.15330060242147</v>
      </c>
    </row>
    <row r="190" ht="15.75" customHeight="1">
      <c r="A190" s="26">
        <v>21202.0</v>
      </c>
      <c r="B190" s="104" t="s">
        <v>109</v>
      </c>
      <c r="C190" s="105">
        <v>57.639920614619555</v>
      </c>
      <c r="D190" s="105">
        <v>71.69678155104961</v>
      </c>
    </row>
    <row r="191" ht="15.75" customHeight="1">
      <c r="A191" s="26">
        <v>10403.0</v>
      </c>
      <c r="B191" s="104" t="s">
        <v>30</v>
      </c>
      <c r="C191" s="105">
        <v>56.99958261378648</v>
      </c>
      <c r="D191" s="105">
        <v>82.02448861999424</v>
      </c>
    </row>
    <row r="192" ht="15.75" customHeight="1">
      <c r="A192" s="26">
        <v>10303.0</v>
      </c>
      <c r="B192" s="104" t="s">
        <v>26</v>
      </c>
      <c r="C192" s="105">
        <v>56.826009379618974</v>
      </c>
      <c r="D192" s="105">
        <v>71.3508559043206</v>
      </c>
    </row>
    <row r="193" ht="15.75" customHeight="1">
      <c r="A193" s="26">
        <v>20702.0</v>
      </c>
      <c r="B193" s="104" t="s">
        <v>84</v>
      </c>
      <c r="C193" s="105">
        <v>56.062334135662645</v>
      </c>
      <c r="D193" s="105">
        <v>67.97196470180621</v>
      </c>
    </row>
    <row r="194" ht="15.75" customHeight="1">
      <c r="A194" s="26">
        <v>31201.0</v>
      </c>
      <c r="B194" s="104" t="s">
        <v>165</v>
      </c>
      <c r="C194" s="105">
        <v>55.5326493315866</v>
      </c>
      <c r="D194" s="105">
        <v>11.744416706025234</v>
      </c>
    </row>
    <row r="195" ht="15.75" customHeight="1">
      <c r="A195" s="26">
        <v>10901.0</v>
      </c>
      <c r="B195" s="104" t="s">
        <v>42</v>
      </c>
      <c r="C195" s="105">
        <v>54.71032906361001</v>
      </c>
      <c r="D195" s="105">
        <v>65.22009303603062</v>
      </c>
    </row>
    <row r="196" ht="15.75" customHeight="1">
      <c r="A196" s="26">
        <v>40102.0</v>
      </c>
      <c r="B196" s="104" t="s">
        <v>184</v>
      </c>
      <c r="C196" s="105">
        <v>54.62522260253287</v>
      </c>
      <c r="D196" s="105">
        <v>77.23908097014646</v>
      </c>
    </row>
    <row r="197" ht="15.75" customHeight="1">
      <c r="A197" s="26">
        <v>30703.0</v>
      </c>
      <c r="B197" s="104" t="s">
        <v>152</v>
      </c>
      <c r="C197" s="105">
        <v>54.47670159132137</v>
      </c>
      <c r="D197" s="105">
        <v>6.331658291457287</v>
      </c>
    </row>
    <row r="198" ht="15.75" customHeight="1">
      <c r="A198" s="26">
        <v>20701.0</v>
      </c>
      <c r="B198" s="104" t="s">
        <v>83</v>
      </c>
      <c r="C198" s="105">
        <v>53.78162020491871</v>
      </c>
      <c r="D198" s="105">
        <v>143.9355293416509</v>
      </c>
    </row>
    <row r="199" ht="15.75" customHeight="1">
      <c r="A199" s="26">
        <v>21204.0</v>
      </c>
      <c r="B199" s="104" t="s">
        <v>111</v>
      </c>
      <c r="C199" s="105">
        <v>53.15032292995802</v>
      </c>
      <c r="D199" s="105">
        <v>0.0</v>
      </c>
    </row>
    <row r="200" ht="15.75" customHeight="1">
      <c r="A200" s="26">
        <v>10404.0</v>
      </c>
      <c r="B200" s="104" t="s">
        <v>31</v>
      </c>
      <c r="C200" s="105">
        <v>53.089964763622255</v>
      </c>
      <c r="D200" s="105">
        <v>91.65923574978126</v>
      </c>
    </row>
    <row r="201" ht="15.75" customHeight="1">
      <c r="A201" s="26">
        <v>20604.0</v>
      </c>
      <c r="B201" s="104" t="s">
        <v>78</v>
      </c>
      <c r="C201" s="105">
        <v>52.82264614278293</v>
      </c>
      <c r="D201" s="105">
        <v>53.53527460856871</v>
      </c>
    </row>
    <row r="202" ht="15.75" customHeight="1">
      <c r="A202" s="26">
        <v>51402.0</v>
      </c>
      <c r="B202" s="104" t="s">
        <v>257</v>
      </c>
      <c r="C202" s="105">
        <v>51.76106745151553</v>
      </c>
      <c r="D202" s="105">
        <v>71.99870634387412</v>
      </c>
    </row>
    <row r="203" ht="15.75" customHeight="1">
      <c r="A203" s="26">
        <v>40801.0</v>
      </c>
      <c r="B203" s="104" t="s">
        <v>203</v>
      </c>
      <c r="C203" s="105">
        <v>51.234391595288415</v>
      </c>
      <c r="D203" s="105">
        <v>35.052654708301134</v>
      </c>
    </row>
    <row r="204" ht="15.75" customHeight="1">
      <c r="A204" s="26">
        <v>20803.0</v>
      </c>
      <c r="B204" s="104" t="s">
        <v>87</v>
      </c>
      <c r="C204" s="105">
        <v>50.989349143385546</v>
      </c>
      <c r="D204" s="105">
        <v>61.090123078747624</v>
      </c>
    </row>
    <row r="205" ht="15.75" customHeight="1">
      <c r="A205" s="26">
        <v>80102.0</v>
      </c>
      <c r="B205" s="104" t="s">
        <v>312</v>
      </c>
      <c r="C205" s="105">
        <v>50.736354818033135</v>
      </c>
      <c r="D205" s="105">
        <v>549.8613674058242</v>
      </c>
    </row>
    <row r="206" ht="15.75" customHeight="1">
      <c r="A206" s="26">
        <v>90501.0</v>
      </c>
      <c r="B206" s="104" t="s">
        <v>354</v>
      </c>
      <c r="C206" s="105">
        <v>50.673469413727844</v>
      </c>
      <c r="D206" s="105">
        <v>0.0</v>
      </c>
    </row>
    <row r="207" ht="15.75" customHeight="1">
      <c r="A207" s="26">
        <v>20301.0</v>
      </c>
      <c r="B207" s="104" t="s">
        <v>59</v>
      </c>
      <c r="C207" s="105">
        <v>50.546448501036956</v>
      </c>
      <c r="D207" s="105">
        <v>42.283964270692444</v>
      </c>
    </row>
    <row r="208" ht="15.75" customHeight="1">
      <c r="A208" s="26">
        <v>21201.0</v>
      </c>
      <c r="B208" s="104" t="s">
        <v>108</v>
      </c>
      <c r="C208" s="105">
        <v>49.234938284225315</v>
      </c>
      <c r="D208" s="105">
        <v>234.86920762531736</v>
      </c>
    </row>
    <row r="209" ht="15.75" customHeight="1">
      <c r="A209" s="26">
        <v>30404.0</v>
      </c>
      <c r="B209" s="104" t="s">
        <v>145</v>
      </c>
      <c r="C209" s="105">
        <v>49.00656035472695</v>
      </c>
      <c r="D209" s="105">
        <v>0.6978143172247845</v>
      </c>
    </row>
    <row r="210" ht="15.75" customHeight="1">
      <c r="A210" s="26">
        <v>90104.0</v>
      </c>
      <c r="B210" s="104" t="s">
        <v>346</v>
      </c>
      <c r="C210" s="105">
        <v>48.72143594661227</v>
      </c>
      <c r="D210" s="105">
        <v>256.9534435787148</v>
      </c>
    </row>
    <row r="211" ht="15.75" customHeight="1">
      <c r="A211" s="26">
        <v>50602.0</v>
      </c>
      <c r="B211" s="104" t="s">
        <v>237</v>
      </c>
      <c r="C211" s="105">
        <v>48.02201673429357</v>
      </c>
      <c r="D211" s="105">
        <v>57.46749802115201</v>
      </c>
    </row>
    <row r="212" ht="15.75" customHeight="1">
      <c r="A212" s="26">
        <v>20905.0</v>
      </c>
      <c r="B212" s="104" t="s">
        <v>96</v>
      </c>
      <c r="C212" s="105">
        <v>47.911096388779754</v>
      </c>
      <c r="D212" s="105">
        <v>61.738785132290175</v>
      </c>
    </row>
    <row r="213" ht="15.75" customHeight="1">
      <c r="A213" s="26">
        <v>21306.0</v>
      </c>
      <c r="B213" s="104" t="s">
        <v>117</v>
      </c>
      <c r="C213" s="105">
        <v>47.803981701864494</v>
      </c>
      <c r="D213" s="105">
        <v>45.20136107360009</v>
      </c>
    </row>
    <row r="214" ht="15.75" customHeight="1">
      <c r="A214" s="26">
        <v>21304.0</v>
      </c>
      <c r="B214" s="104" t="s">
        <v>115</v>
      </c>
      <c r="C214" s="105">
        <v>47.73214284039568</v>
      </c>
      <c r="D214" s="105">
        <v>51.49938018424501</v>
      </c>
    </row>
    <row r="215" ht="15.75" customHeight="1">
      <c r="A215" s="26">
        <v>10902.0</v>
      </c>
      <c r="B215" s="104" t="s">
        <v>43</v>
      </c>
      <c r="C215" s="105">
        <v>46.71272325208977</v>
      </c>
      <c r="D215" s="105">
        <v>68.0839170340834</v>
      </c>
    </row>
    <row r="216" ht="15.75" customHeight="1">
      <c r="A216" s="26">
        <v>51202.0</v>
      </c>
      <c r="B216" s="104" t="s">
        <v>251</v>
      </c>
      <c r="C216" s="105">
        <v>45.79326138661658</v>
      </c>
      <c r="D216" s="105">
        <v>51.10936905305959</v>
      </c>
    </row>
    <row r="217" ht="15.75" customHeight="1">
      <c r="A217" s="26">
        <v>10405.0</v>
      </c>
      <c r="B217" s="104" t="s">
        <v>32</v>
      </c>
      <c r="C217" s="105">
        <v>45.42686689598227</v>
      </c>
      <c r="D217" s="105">
        <v>63.304386300841614</v>
      </c>
    </row>
    <row r="218" ht="15.75" customHeight="1">
      <c r="A218" s="26">
        <v>10301.0</v>
      </c>
      <c r="B218" s="104" t="s">
        <v>24</v>
      </c>
      <c r="C218" s="105">
        <v>45.101738294447365</v>
      </c>
      <c r="D218" s="105">
        <v>5.696874543595736</v>
      </c>
    </row>
    <row r="219" ht="15.75" customHeight="1">
      <c r="A219" s="26">
        <v>20205.0</v>
      </c>
      <c r="B219" s="104" t="s">
        <v>57</v>
      </c>
      <c r="C219" s="105">
        <v>45.031803696645866</v>
      </c>
      <c r="D219" s="105">
        <v>85.713364620887</v>
      </c>
    </row>
    <row r="220" ht="15.75" customHeight="1">
      <c r="A220" s="26">
        <v>10602.0</v>
      </c>
      <c r="B220" s="104" t="s">
        <v>36</v>
      </c>
      <c r="C220" s="105">
        <v>44.83735750506772</v>
      </c>
      <c r="D220" s="105">
        <v>67.53679247352312</v>
      </c>
    </row>
    <row r="221" ht="15.75" customHeight="1">
      <c r="A221" s="26">
        <v>20206.0</v>
      </c>
      <c r="B221" s="104" t="s">
        <v>58</v>
      </c>
      <c r="C221" s="105">
        <v>43.77752077051117</v>
      </c>
      <c r="D221" s="105">
        <v>36.26847493361476</v>
      </c>
    </row>
    <row r="222" ht="15.75" customHeight="1">
      <c r="A222" s="26">
        <v>10601.0</v>
      </c>
      <c r="B222" s="104" t="s">
        <v>35</v>
      </c>
      <c r="C222" s="105">
        <v>42.43470802821524</v>
      </c>
      <c r="D222" s="105">
        <v>63.158823109081105</v>
      </c>
    </row>
    <row r="223" ht="15.75" customHeight="1">
      <c r="A223" s="26">
        <v>20202.0</v>
      </c>
      <c r="B223" s="104" t="s">
        <v>54</v>
      </c>
      <c r="C223" s="105">
        <v>42.06017483781454</v>
      </c>
      <c r="D223" s="105">
        <v>27.78499380145559</v>
      </c>
    </row>
    <row r="224" ht="15.75" customHeight="1">
      <c r="A224" s="26">
        <v>21301.0</v>
      </c>
      <c r="B224" s="104" t="s">
        <v>112</v>
      </c>
      <c r="C224" s="105">
        <v>41.54479336246563</v>
      </c>
      <c r="D224" s="105">
        <v>45.82366828214846</v>
      </c>
    </row>
    <row r="225" ht="15.75" customHeight="1">
      <c r="A225" s="26">
        <v>41401.0</v>
      </c>
      <c r="B225" s="104" t="s">
        <v>213</v>
      </c>
      <c r="C225" s="105">
        <v>40.62878100275297</v>
      </c>
      <c r="D225" s="105">
        <v>43.09561546663588</v>
      </c>
    </row>
    <row r="226" ht="15.75" customHeight="1">
      <c r="A226" s="26">
        <v>20403.0</v>
      </c>
      <c r="B226" s="104" t="s">
        <v>69</v>
      </c>
      <c r="C226" s="105">
        <v>40.51989686464929</v>
      </c>
      <c r="D226" s="105">
        <v>38.86023305471338</v>
      </c>
    </row>
    <row r="227" ht="15.75" customHeight="1">
      <c r="A227" s="26">
        <v>20503.0</v>
      </c>
      <c r="B227" s="104" t="s">
        <v>74</v>
      </c>
      <c r="C227" s="105">
        <v>39.92936993884188</v>
      </c>
      <c r="D227" s="105">
        <v>97.86118082467368</v>
      </c>
    </row>
    <row r="228" ht="15.75" customHeight="1">
      <c r="A228" s="26">
        <v>40903.0</v>
      </c>
      <c r="B228" s="104" t="s">
        <v>207</v>
      </c>
      <c r="C228" s="105">
        <v>39.89433963715828</v>
      </c>
      <c r="D228" s="105">
        <v>35.87091296736602</v>
      </c>
    </row>
    <row r="229" ht="15.75" customHeight="1">
      <c r="A229" s="26">
        <v>51003.0</v>
      </c>
      <c r="B229" s="104" t="s">
        <v>246</v>
      </c>
      <c r="C229" s="105">
        <v>39.38929876997187</v>
      </c>
      <c r="D229" s="105">
        <v>41.02530992129618</v>
      </c>
    </row>
    <row r="230" ht="15.75" customHeight="1">
      <c r="A230" s="26">
        <v>21303.0</v>
      </c>
      <c r="B230" s="104" t="s">
        <v>114</v>
      </c>
      <c r="C230" s="105">
        <v>38.46397049287321</v>
      </c>
      <c r="D230" s="105">
        <v>36.63030732955025</v>
      </c>
    </row>
    <row r="231" ht="15.75" customHeight="1">
      <c r="A231" s="26">
        <v>20405.0</v>
      </c>
      <c r="B231" s="104" t="s">
        <v>71</v>
      </c>
      <c r="C231" s="105">
        <v>38.22466393339957</v>
      </c>
      <c r="D231" s="105">
        <v>46.56161592178543</v>
      </c>
    </row>
    <row r="232" ht="15.75" customHeight="1">
      <c r="A232" s="26">
        <v>21302.0</v>
      </c>
      <c r="B232" s="104" t="s">
        <v>113</v>
      </c>
      <c r="C232" s="105">
        <v>37.82896648545802</v>
      </c>
      <c r="D232" s="105">
        <v>37.463854088780124</v>
      </c>
    </row>
    <row r="233" ht="15.75" customHeight="1">
      <c r="A233" s="26">
        <v>30202.0</v>
      </c>
      <c r="B233" s="104" t="s">
        <v>137</v>
      </c>
      <c r="C233" s="105">
        <v>37.789059031692986</v>
      </c>
      <c r="D233" s="105">
        <v>290.4393822393822</v>
      </c>
    </row>
    <row r="234" ht="15.75" customHeight="1">
      <c r="A234" s="26">
        <v>40104.0</v>
      </c>
      <c r="B234" s="104" t="s">
        <v>186</v>
      </c>
      <c r="C234" s="105">
        <v>37.59599102478847</v>
      </c>
      <c r="D234" s="105">
        <v>43.854034504652084</v>
      </c>
    </row>
    <row r="235" ht="15.75" customHeight="1">
      <c r="A235" s="26">
        <v>30402.0</v>
      </c>
      <c r="B235" s="104" t="s">
        <v>143</v>
      </c>
      <c r="C235" s="105">
        <v>37.49116028385952</v>
      </c>
      <c r="D235" s="105">
        <v>2.9660531697341512</v>
      </c>
    </row>
    <row r="236" ht="15.75" customHeight="1">
      <c r="A236" s="26">
        <v>20807.0</v>
      </c>
      <c r="B236" s="104" t="s">
        <v>91</v>
      </c>
      <c r="C236" s="105">
        <v>36.499783110909505</v>
      </c>
      <c r="D236" s="105">
        <v>37.21167108854501</v>
      </c>
    </row>
    <row r="237" ht="15.75" customHeight="1">
      <c r="A237" s="26">
        <v>40602.0</v>
      </c>
      <c r="B237" s="104" t="s">
        <v>199</v>
      </c>
      <c r="C237" s="105">
        <v>36.29664010047243</v>
      </c>
      <c r="D237" s="105">
        <v>34.79510704440752</v>
      </c>
    </row>
    <row r="238" ht="15.75" customHeight="1">
      <c r="A238" s="26">
        <v>90302.0</v>
      </c>
      <c r="B238" s="104" t="s">
        <v>350</v>
      </c>
      <c r="C238" s="105">
        <v>36.229920069292156</v>
      </c>
      <c r="D238" s="105">
        <v>75.43363515839914</v>
      </c>
    </row>
    <row r="239" ht="15.75" customHeight="1">
      <c r="A239" s="26">
        <v>20401.0</v>
      </c>
      <c r="B239" s="104" t="s">
        <v>67</v>
      </c>
      <c r="C239" s="105">
        <v>35.953841127555265</v>
      </c>
      <c r="D239" s="105">
        <v>35.45546674932577</v>
      </c>
    </row>
    <row r="240" ht="15.75" customHeight="1">
      <c r="A240" s="26">
        <v>80802.0</v>
      </c>
      <c r="B240" s="104" t="s">
        <v>340</v>
      </c>
      <c r="C240" s="105">
        <v>35.8223388870715</v>
      </c>
      <c r="D240" s="105">
        <v>242.73784719573126</v>
      </c>
    </row>
    <row r="241" ht="15.75" customHeight="1">
      <c r="A241" s="26">
        <v>10304.0</v>
      </c>
      <c r="B241" s="104" t="s">
        <v>27</v>
      </c>
      <c r="C241" s="105">
        <v>35.5144523520597</v>
      </c>
      <c r="D241" s="105">
        <v>44.22719828315539</v>
      </c>
    </row>
    <row r="242" ht="15.75" customHeight="1">
      <c r="A242" s="26">
        <v>10702.0</v>
      </c>
      <c r="B242" s="104" t="s">
        <v>38</v>
      </c>
      <c r="C242" s="105">
        <v>34.85940825376228</v>
      </c>
      <c r="D242" s="105">
        <v>56.065131961480525</v>
      </c>
    </row>
    <row r="243" ht="15.75" customHeight="1">
      <c r="A243" s="26">
        <v>30502.0</v>
      </c>
      <c r="B243" s="104" t="s">
        <v>147</v>
      </c>
      <c r="C243" s="105">
        <v>34.488531354018846</v>
      </c>
      <c r="D243" s="105">
        <v>1.0883577119752645</v>
      </c>
    </row>
    <row r="244" ht="15.75" customHeight="1">
      <c r="A244" s="26">
        <v>21006.0</v>
      </c>
      <c r="B244" s="104" t="s">
        <v>102</v>
      </c>
      <c r="C244" s="105">
        <v>34.33529596342877</v>
      </c>
      <c r="D244" s="105">
        <v>54.12073125641888</v>
      </c>
    </row>
    <row r="245" ht="15.75" customHeight="1">
      <c r="A245" s="26">
        <v>41201.0</v>
      </c>
      <c r="B245" s="104" t="s">
        <v>210</v>
      </c>
      <c r="C245" s="105">
        <v>34.25837659343454</v>
      </c>
      <c r="D245" s="105">
        <v>29.13991443390439</v>
      </c>
    </row>
    <row r="246" ht="15.75" customHeight="1">
      <c r="A246" s="26">
        <v>10201.0</v>
      </c>
      <c r="B246" s="104" t="s">
        <v>22</v>
      </c>
      <c r="C246" s="105">
        <v>34.16423581115606</v>
      </c>
      <c r="D246" s="105">
        <v>58.09667213630121</v>
      </c>
    </row>
    <row r="247" ht="15.75" customHeight="1">
      <c r="A247" s="26">
        <v>50502.0</v>
      </c>
      <c r="B247" s="104" t="s">
        <v>235</v>
      </c>
      <c r="C247" s="105">
        <v>33.32584583414061</v>
      </c>
      <c r="D247" s="105">
        <v>65.7185924929515</v>
      </c>
    </row>
    <row r="248" ht="15.75" customHeight="1">
      <c r="A248" s="26">
        <v>20502.0</v>
      </c>
      <c r="B248" s="104" t="s">
        <v>73</v>
      </c>
      <c r="C248" s="105">
        <v>32.60027854171618</v>
      </c>
      <c r="D248" s="105">
        <v>29.57304241887252</v>
      </c>
    </row>
    <row r="249" ht="15.75" customHeight="1">
      <c r="A249" s="26">
        <v>20305.0</v>
      </c>
      <c r="B249" s="104" t="s">
        <v>63</v>
      </c>
      <c r="C249" s="105">
        <v>32.56622793720354</v>
      </c>
      <c r="D249" s="105">
        <v>104.41246150201374</v>
      </c>
    </row>
    <row r="250" ht="15.75" customHeight="1">
      <c r="A250" s="26">
        <v>20501.0</v>
      </c>
      <c r="B250" s="104" t="s">
        <v>72</v>
      </c>
      <c r="C250" s="105">
        <v>31.991612723526757</v>
      </c>
      <c r="D250" s="105">
        <v>30.385698260929367</v>
      </c>
    </row>
    <row r="251" ht="15.75" customHeight="1">
      <c r="A251" s="26">
        <v>40901.0</v>
      </c>
      <c r="B251" s="104" t="s">
        <v>205</v>
      </c>
      <c r="C251" s="105">
        <v>31.107485924321125</v>
      </c>
      <c r="D251" s="105">
        <v>40.81927245320181</v>
      </c>
    </row>
    <row r="252" ht="15.75" customHeight="1">
      <c r="A252" s="26">
        <v>10704.0</v>
      </c>
      <c r="B252" s="104" t="s">
        <v>40</v>
      </c>
      <c r="C252" s="105">
        <v>30.94018997244664</v>
      </c>
      <c r="D252" s="105">
        <v>46.602226593333825</v>
      </c>
    </row>
    <row r="253" ht="15.75" customHeight="1">
      <c r="A253" s="26">
        <v>50103.0</v>
      </c>
      <c r="B253" s="104" t="s">
        <v>220</v>
      </c>
      <c r="C253" s="105">
        <v>30.544687186737935</v>
      </c>
      <c r="D253" s="105">
        <v>24.15555373820482</v>
      </c>
    </row>
    <row r="254" ht="15.75" customHeight="1">
      <c r="A254" s="26">
        <v>50701.0</v>
      </c>
      <c r="B254" s="104" t="s">
        <v>238</v>
      </c>
      <c r="C254" s="105">
        <v>30.531926214117437</v>
      </c>
      <c r="D254" s="105">
        <v>33.37849462099527</v>
      </c>
    </row>
    <row r="255" ht="15.75" customHeight="1">
      <c r="A255" s="26">
        <v>20304.0</v>
      </c>
      <c r="B255" s="104" t="s">
        <v>62</v>
      </c>
      <c r="C255" s="105">
        <v>30.191553127358695</v>
      </c>
      <c r="D255" s="105">
        <v>29.783123320775797</v>
      </c>
    </row>
    <row r="256" ht="15.75" customHeight="1">
      <c r="A256" s="26">
        <v>50403.0</v>
      </c>
      <c r="B256" s="104" t="s">
        <v>231</v>
      </c>
      <c r="C256" s="105">
        <v>29.917721721561804</v>
      </c>
      <c r="D256" s="105">
        <v>24.41653135439983</v>
      </c>
    </row>
    <row r="257" ht="15.75" customHeight="1">
      <c r="A257" s="26">
        <v>80803.0</v>
      </c>
      <c r="B257" s="104" t="s">
        <v>341</v>
      </c>
      <c r="C257" s="105">
        <v>29.684173697730948</v>
      </c>
      <c r="D257" s="105">
        <v>373.9241901076381</v>
      </c>
    </row>
    <row r="258" ht="15.75" customHeight="1">
      <c r="A258" s="26">
        <v>60402.0</v>
      </c>
      <c r="B258" s="104" t="s">
        <v>267</v>
      </c>
      <c r="C258" s="105">
        <v>29.307912301744828</v>
      </c>
      <c r="D258" s="105">
        <v>63.034497263855826</v>
      </c>
    </row>
    <row r="259" ht="15.75" customHeight="1">
      <c r="A259" s="26">
        <v>51302.0</v>
      </c>
      <c r="B259" s="104" t="s">
        <v>255</v>
      </c>
      <c r="C259" s="105">
        <v>28.714540852732203</v>
      </c>
      <c r="D259" s="105">
        <v>42.208007164061186</v>
      </c>
    </row>
    <row r="260" ht="15.75" customHeight="1">
      <c r="A260" s="26">
        <v>40401.0</v>
      </c>
      <c r="B260" s="104" t="s">
        <v>191</v>
      </c>
      <c r="C260" s="105">
        <v>28.653777175534866</v>
      </c>
      <c r="D260" s="105">
        <v>27.196169370165773</v>
      </c>
    </row>
    <row r="261" ht="15.75" customHeight="1">
      <c r="A261" s="26">
        <v>21001.0</v>
      </c>
      <c r="B261" s="104" t="s">
        <v>97</v>
      </c>
      <c r="C261" s="105">
        <v>28.616722798228594</v>
      </c>
      <c r="D261" s="105">
        <v>36.704855713792476</v>
      </c>
    </row>
    <row r="262" ht="15.75" customHeight="1">
      <c r="A262" s="26">
        <v>20605.0</v>
      </c>
      <c r="B262" s="104" t="s">
        <v>79</v>
      </c>
      <c r="C262" s="105">
        <v>28.596615627235185</v>
      </c>
      <c r="D262" s="105">
        <v>25.78464154367509</v>
      </c>
    </row>
    <row r="263" ht="15.75" customHeight="1">
      <c r="A263" s="26">
        <v>90502.0</v>
      </c>
      <c r="B263" s="104" t="s">
        <v>355</v>
      </c>
      <c r="C263" s="105">
        <v>28.512574019682038</v>
      </c>
      <c r="D263" s="105">
        <v>0.0</v>
      </c>
    </row>
    <row r="264" ht="15.75" customHeight="1">
      <c r="A264" s="26">
        <v>20404.0</v>
      </c>
      <c r="B264" s="104" t="s">
        <v>70</v>
      </c>
      <c r="C264" s="105">
        <v>27.52928219009013</v>
      </c>
      <c r="D264" s="105">
        <v>24.512725345993175</v>
      </c>
    </row>
    <row r="265" ht="15.75" customHeight="1">
      <c r="A265" s="26">
        <v>20903.0</v>
      </c>
      <c r="B265" s="104" t="s">
        <v>94</v>
      </c>
      <c r="C265" s="105">
        <v>26.928468079895072</v>
      </c>
      <c r="D265" s="105">
        <v>19.0879147628258</v>
      </c>
    </row>
    <row r="266" ht="15.75" customHeight="1">
      <c r="A266" s="26">
        <v>20402.0</v>
      </c>
      <c r="B266" s="104" t="s">
        <v>68</v>
      </c>
      <c r="C266" s="105">
        <v>26.808302828991362</v>
      </c>
      <c r="D266" s="105">
        <v>21.777721637410778</v>
      </c>
    </row>
    <row r="267" ht="15.75" customHeight="1">
      <c r="A267" s="26">
        <v>21901.0</v>
      </c>
      <c r="B267" s="104" t="s">
        <v>131</v>
      </c>
      <c r="C267" s="105">
        <v>26.57410887599561</v>
      </c>
      <c r="D267" s="105">
        <v>32.6177810612888</v>
      </c>
    </row>
    <row r="268" ht="15.75" customHeight="1">
      <c r="A268" s="26">
        <v>30301.0</v>
      </c>
      <c r="B268" s="104" t="s">
        <v>139</v>
      </c>
      <c r="C268" s="105">
        <v>25.98884743513515</v>
      </c>
      <c r="D268" s="105">
        <v>6.211551683221748</v>
      </c>
    </row>
    <row r="269" ht="15.75" customHeight="1">
      <c r="A269" s="26">
        <v>21307.0</v>
      </c>
      <c r="B269" s="104" t="s">
        <v>118</v>
      </c>
      <c r="C269" s="105">
        <v>25.875456486868003</v>
      </c>
      <c r="D269" s="105">
        <v>31.379840751424286</v>
      </c>
    </row>
    <row r="270" ht="15.75" customHeight="1">
      <c r="A270" s="26">
        <v>51301.0</v>
      </c>
      <c r="B270" s="104" t="s">
        <v>254</v>
      </c>
      <c r="C270" s="105">
        <v>25.8738131312733</v>
      </c>
      <c r="D270" s="105">
        <v>25.65466445947825</v>
      </c>
    </row>
    <row r="271" ht="15.75" customHeight="1">
      <c r="A271" s="26">
        <v>90202.0</v>
      </c>
      <c r="B271" s="104" t="s">
        <v>310</v>
      </c>
      <c r="C271" s="105">
        <v>25.83991154905304</v>
      </c>
      <c r="D271" s="105">
        <v>100.57234232882466</v>
      </c>
    </row>
    <row r="272" ht="15.75" customHeight="1">
      <c r="A272" s="26">
        <v>20806.0</v>
      </c>
      <c r="B272" s="104" t="s">
        <v>90</v>
      </c>
      <c r="C272" s="105">
        <v>25.56975412853029</v>
      </c>
      <c r="D272" s="105">
        <v>0.0</v>
      </c>
    </row>
    <row r="273" ht="15.75" customHeight="1">
      <c r="A273" s="26">
        <v>20805.0</v>
      </c>
      <c r="B273" s="104" t="s">
        <v>89</v>
      </c>
      <c r="C273" s="105">
        <v>24.889646903870037</v>
      </c>
      <c r="D273" s="105">
        <v>0.0</v>
      </c>
    </row>
    <row r="274" ht="15.75" customHeight="1">
      <c r="A274" s="26">
        <v>10202.0</v>
      </c>
      <c r="B274" s="104" t="s">
        <v>23</v>
      </c>
      <c r="C274" s="105">
        <v>24.415194225992636</v>
      </c>
      <c r="D274" s="105">
        <v>30.729776353402674</v>
      </c>
    </row>
    <row r="275" ht="15.75" customHeight="1">
      <c r="A275" s="26">
        <v>10302.0</v>
      </c>
      <c r="B275" s="104" t="s">
        <v>25</v>
      </c>
      <c r="C275" s="105">
        <v>24.2346413383385</v>
      </c>
      <c r="D275" s="105">
        <v>62.88499879947318</v>
      </c>
    </row>
    <row r="276" ht="15.75" customHeight="1">
      <c r="A276" s="26">
        <v>50702.0</v>
      </c>
      <c r="B276" s="104" t="s">
        <v>239</v>
      </c>
      <c r="C276" s="105">
        <v>23.97587569267354</v>
      </c>
      <c r="D276" s="105">
        <v>20.095294394936225</v>
      </c>
    </row>
    <row r="277" ht="15.75" customHeight="1">
      <c r="A277" s="26">
        <v>40301.0</v>
      </c>
      <c r="B277" s="104" t="s">
        <v>189</v>
      </c>
      <c r="C277" s="105">
        <v>22.954490155925633</v>
      </c>
      <c r="D277" s="105">
        <v>22.511086266985977</v>
      </c>
    </row>
    <row r="278" ht="15.75" customHeight="1">
      <c r="A278" s="26">
        <v>40302.0</v>
      </c>
      <c r="B278" s="104" t="s">
        <v>190</v>
      </c>
      <c r="C278" s="105">
        <v>22.846711758661087</v>
      </c>
      <c r="D278" s="105">
        <v>36.738019138860246</v>
      </c>
    </row>
    <row r="279" ht="15.75" customHeight="1">
      <c r="A279" s="26">
        <v>30302.0</v>
      </c>
      <c r="B279" s="104" t="s">
        <v>140</v>
      </c>
      <c r="C279" s="105">
        <v>22.69571368073549</v>
      </c>
      <c r="D279" s="105">
        <v>2.396942934782609</v>
      </c>
    </row>
    <row r="280" ht="15.75" customHeight="1">
      <c r="A280" s="26">
        <v>20302.0</v>
      </c>
      <c r="B280" s="104" t="s">
        <v>60</v>
      </c>
      <c r="C280" s="105">
        <v>22.5834724270503</v>
      </c>
      <c r="D280" s="105">
        <v>21.954720619510365</v>
      </c>
    </row>
    <row r="281" ht="15.75" customHeight="1">
      <c r="A281" s="26">
        <v>31101.0</v>
      </c>
      <c r="B281" s="104" t="s">
        <v>164</v>
      </c>
      <c r="C281" s="105">
        <v>22.48439465938038</v>
      </c>
      <c r="D281" s="105">
        <v>2.380361631395443</v>
      </c>
    </row>
    <row r="282" ht="15.75" customHeight="1">
      <c r="A282" s="26">
        <v>31501.0</v>
      </c>
      <c r="B282" s="104" t="s">
        <v>180</v>
      </c>
      <c r="C282" s="105">
        <v>22.338237259136953</v>
      </c>
      <c r="D282" s="105">
        <v>1.4474764549625694</v>
      </c>
    </row>
    <row r="283" ht="15.75" customHeight="1">
      <c r="A283" s="26">
        <v>10703.0</v>
      </c>
      <c r="B283" s="104" t="s">
        <v>39</v>
      </c>
      <c r="C283" s="105">
        <v>22.186393460057676</v>
      </c>
      <c r="D283" s="105">
        <v>25.855678233438486</v>
      </c>
    </row>
    <row r="284" ht="15.75" customHeight="1">
      <c r="A284" s="26">
        <v>50402.0</v>
      </c>
      <c r="B284" s="104" t="s">
        <v>230</v>
      </c>
      <c r="C284" s="105">
        <v>22.022449209449043</v>
      </c>
      <c r="D284" s="105">
        <v>25.275356311449542</v>
      </c>
    </row>
    <row r="285" ht="15.75" customHeight="1">
      <c r="A285" s="26">
        <v>40402.0</v>
      </c>
      <c r="B285" s="104" t="s">
        <v>192</v>
      </c>
      <c r="C285" s="105">
        <v>21.800776949208856</v>
      </c>
      <c r="D285" s="105">
        <v>21.13803205501616</v>
      </c>
    </row>
    <row r="286" ht="15.75" customHeight="1">
      <c r="A286" s="26">
        <v>21601.0</v>
      </c>
      <c r="B286" s="104" t="s">
        <v>123</v>
      </c>
      <c r="C286" s="105">
        <v>21.60239667463639</v>
      </c>
      <c r="D286" s="105">
        <v>37.224576528866585</v>
      </c>
    </row>
    <row r="287" ht="15.75" customHeight="1">
      <c r="A287" s="26">
        <v>30303.0</v>
      </c>
      <c r="B287" s="104" t="s">
        <v>141</v>
      </c>
      <c r="C287" s="105">
        <v>21.335288091588644</v>
      </c>
      <c r="D287" s="105">
        <v>12.62214402362601</v>
      </c>
    </row>
    <row r="288" ht="15.75" customHeight="1">
      <c r="A288" s="26">
        <v>41202.0</v>
      </c>
      <c r="B288" s="104" t="s">
        <v>211</v>
      </c>
      <c r="C288" s="105">
        <v>20.77495775459761</v>
      </c>
      <c r="D288" s="105">
        <v>0.9349885658281607</v>
      </c>
    </row>
    <row r="289" ht="15.75" customHeight="1">
      <c r="A289" s="26">
        <v>50303.0</v>
      </c>
      <c r="B289" s="104" t="s">
        <v>228</v>
      </c>
      <c r="C289" s="105">
        <v>20.65099773108263</v>
      </c>
      <c r="D289" s="105">
        <v>26.47946542195253</v>
      </c>
    </row>
    <row r="290" ht="15.75" customHeight="1">
      <c r="A290" s="26">
        <v>31302.0</v>
      </c>
      <c r="B290" s="104" t="s">
        <v>172</v>
      </c>
      <c r="C290" s="105">
        <v>20.30165213728415</v>
      </c>
      <c r="D290" s="105">
        <v>6.9286803966437835</v>
      </c>
    </row>
    <row r="291" ht="15.75" customHeight="1">
      <c r="A291" s="26">
        <v>30601.0</v>
      </c>
      <c r="B291" s="104" t="s">
        <v>148</v>
      </c>
      <c r="C291" s="105">
        <v>19.426995949443345</v>
      </c>
      <c r="D291" s="105">
        <v>2.2639202407825434</v>
      </c>
    </row>
    <row r="292" ht="15.75" customHeight="1">
      <c r="A292" s="26">
        <v>90301.0</v>
      </c>
      <c r="B292" s="104" t="s">
        <v>349</v>
      </c>
      <c r="C292" s="105">
        <v>19.410475811211878</v>
      </c>
      <c r="D292" s="105">
        <v>0.0</v>
      </c>
    </row>
    <row r="293" ht="15.75" customHeight="1">
      <c r="A293" s="26">
        <v>21803.0</v>
      </c>
      <c r="B293" s="104" t="s">
        <v>130</v>
      </c>
      <c r="C293" s="105">
        <v>19.089604039259235</v>
      </c>
      <c r="D293" s="105">
        <v>26.28265108699687</v>
      </c>
    </row>
    <row r="294" ht="15.75" customHeight="1">
      <c r="A294" s="26">
        <v>41001.0</v>
      </c>
      <c r="B294" s="104" t="s">
        <v>208</v>
      </c>
      <c r="C294" s="105">
        <v>18.808547983676448</v>
      </c>
      <c r="D294" s="105">
        <v>21.07203736529548</v>
      </c>
    </row>
    <row r="295" ht="15.75" customHeight="1">
      <c r="A295" s="26">
        <v>50404.0</v>
      </c>
      <c r="B295" s="104" t="s">
        <v>232</v>
      </c>
      <c r="C295" s="105">
        <v>18.781705071157493</v>
      </c>
      <c r="D295" s="105">
        <v>22.799132953226945</v>
      </c>
    </row>
    <row r="296" ht="15.75" customHeight="1">
      <c r="A296" s="26">
        <v>21005.0</v>
      </c>
      <c r="B296" s="104" t="s">
        <v>101</v>
      </c>
      <c r="C296" s="105">
        <v>17.464239305217326</v>
      </c>
      <c r="D296" s="105">
        <v>17.31564070830992</v>
      </c>
    </row>
    <row r="297" ht="15.75" customHeight="1">
      <c r="A297" s="26">
        <v>40504.0</v>
      </c>
      <c r="B297" s="104" t="s">
        <v>196</v>
      </c>
      <c r="C297" s="105">
        <v>17.066736647523747</v>
      </c>
      <c r="D297" s="105">
        <v>11.428571428571429</v>
      </c>
    </row>
    <row r="298" ht="15.75" customHeight="1">
      <c r="A298" s="26">
        <v>31303.0</v>
      </c>
      <c r="B298" s="104" t="s">
        <v>173</v>
      </c>
      <c r="C298" s="105">
        <v>16.53862786582655</v>
      </c>
      <c r="D298" s="105">
        <v>3.828587699316629</v>
      </c>
    </row>
    <row r="299" ht="15.75" customHeight="1">
      <c r="A299" s="26">
        <v>40802.0</v>
      </c>
      <c r="B299" s="104" t="s">
        <v>204</v>
      </c>
      <c r="C299" s="105">
        <v>15.439632530808156</v>
      </c>
      <c r="D299" s="105">
        <v>17.171410704688203</v>
      </c>
    </row>
    <row r="300" ht="15.75" customHeight="1">
      <c r="A300" s="26">
        <v>21004.0</v>
      </c>
      <c r="B300" s="104" t="s">
        <v>100</v>
      </c>
      <c r="C300" s="105">
        <v>14.7960793734287</v>
      </c>
      <c r="D300" s="105">
        <v>12.528610938712653</v>
      </c>
    </row>
    <row r="301" ht="15.75" customHeight="1">
      <c r="A301" s="26">
        <v>50102.0</v>
      </c>
      <c r="B301" s="104" t="s">
        <v>219</v>
      </c>
      <c r="C301" s="105">
        <v>14.299557262985607</v>
      </c>
      <c r="D301" s="105">
        <v>16.63713633690384</v>
      </c>
    </row>
    <row r="302" ht="15.75" customHeight="1">
      <c r="A302" s="26">
        <v>51103.0</v>
      </c>
      <c r="B302" s="104" t="s">
        <v>249</v>
      </c>
      <c r="C302" s="105">
        <v>14.28992885957261</v>
      </c>
      <c r="D302" s="105">
        <v>14.316641092533214</v>
      </c>
    </row>
    <row r="303" ht="15.75" customHeight="1">
      <c r="A303" s="26">
        <v>30602.0</v>
      </c>
      <c r="B303" s="104" t="s">
        <v>149</v>
      </c>
      <c r="C303" s="105">
        <v>14.245129098322689</v>
      </c>
      <c r="D303" s="105">
        <v>0.7666046511627908</v>
      </c>
    </row>
    <row r="304" ht="15.75" customHeight="1">
      <c r="A304" s="26">
        <v>40202.0</v>
      </c>
      <c r="B304" s="104" t="s">
        <v>188</v>
      </c>
      <c r="C304" s="105">
        <v>14.202669088901045</v>
      </c>
      <c r="D304" s="105">
        <v>44.6132532499299</v>
      </c>
    </row>
    <row r="305" ht="15.75" customHeight="1">
      <c r="A305" s="26">
        <v>50501.0</v>
      </c>
      <c r="B305" s="104" t="s">
        <v>234</v>
      </c>
      <c r="C305" s="105">
        <v>13.954681153054503</v>
      </c>
      <c r="D305" s="105">
        <v>23.872360648604126</v>
      </c>
    </row>
    <row r="306" ht="15.75" customHeight="1">
      <c r="A306" s="26">
        <v>50104.0</v>
      </c>
      <c r="B306" s="104" t="s">
        <v>221</v>
      </c>
      <c r="C306" s="105">
        <v>12.803819414127307</v>
      </c>
      <c r="D306" s="105">
        <v>11.286126239144698</v>
      </c>
    </row>
    <row r="307" ht="15.75" customHeight="1">
      <c r="A307" s="26">
        <v>20308.0</v>
      </c>
      <c r="B307" s="104" t="s">
        <v>66</v>
      </c>
      <c r="C307" s="105">
        <v>12.539135061520598</v>
      </c>
      <c r="D307" s="105">
        <v>13.228567880229658</v>
      </c>
    </row>
    <row r="308" ht="15.75" customHeight="1">
      <c r="A308" s="26">
        <v>20303.0</v>
      </c>
      <c r="B308" s="104" t="s">
        <v>61</v>
      </c>
      <c r="C308" s="105">
        <v>12.505582147652204</v>
      </c>
      <c r="D308" s="105">
        <v>12.849987724036337</v>
      </c>
    </row>
    <row r="309" ht="15.75" customHeight="1">
      <c r="A309" s="26">
        <v>21703.0</v>
      </c>
      <c r="B309" s="104" t="s">
        <v>127</v>
      </c>
      <c r="C309" s="105">
        <v>11.982789586166595</v>
      </c>
      <c r="D309" s="105">
        <v>14.847441874659339</v>
      </c>
    </row>
    <row r="310" ht="15.75" customHeight="1">
      <c r="A310" s="26">
        <v>50202.0</v>
      </c>
      <c r="B310" s="104" t="s">
        <v>223</v>
      </c>
      <c r="C310" s="105">
        <v>11.87690301638704</v>
      </c>
      <c r="D310" s="105">
        <v>13.149054369954133</v>
      </c>
    </row>
    <row r="311" ht="15.75" customHeight="1">
      <c r="A311" s="26">
        <v>20904.0</v>
      </c>
      <c r="B311" s="104" t="s">
        <v>95</v>
      </c>
      <c r="C311" s="105">
        <v>11.168997884370404</v>
      </c>
      <c r="D311" s="105">
        <v>14.39097603136624</v>
      </c>
    </row>
    <row r="312" ht="15.75" customHeight="1">
      <c r="A312" s="26">
        <v>21602.0</v>
      </c>
      <c r="B312" s="104" t="s">
        <v>124</v>
      </c>
      <c r="C312" s="105">
        <v>11.151570285521457</v>
      </c>
      <c r="D312" s="105">
        <v>22.56345485259682</v>
      </c>
    </row>
    <row r="313" ht="15.75" customHeight="1">
      <c r="A313" s="26">
        <v>41501.0</v>
      </c>
      <c r="B313" s="104" t="s">
        <v>214</v>
      </c>
      <c r="C313" s="105">
        <v>10.906578964095464</v>
      </c>
      <c r="D313" s="105">
        <v>36.94690963092206</v>
      </c>
    </row>
    <row r="314" ht="15.75" customHeight="1">
      <c r="A314" s="26">
        <v>10103.0</v>
      </c>
      <c r="B314" s="104" t="s">
        <v>21</v>
      </c>
      <c r="C314" s="105">
        <v>10.53548262878243</v>
      </c>
      <c r="D314" s="105">
        <v>30.36207781181081</v>
      </c>
    </row>
    <row r="315" ht="15.75" customHeight="1">
      <c r="A315" s="26">
        <v>20306.0</v>
      </c>
      <c r="B315" s="104" t="s">
        <v>64</v>
      </c>
      <c r="C315" s="105">
        <v>10.090645960908905</v>
      </c>
      <c r="D315" s="105">
        <v>0.0</v>
      </c>
    </row>
    <row r="316" ht="15.75" customHeight="1">
      <c r="A316" s="26">
        <v>40103.0</v>
      </c>
      <c r="B316" s="104" t="s">
        <v>185</v>
      </c>
      <c r="C316" s="105">
        <v>8.913979600208199</v>
      </c>
      <c r="D316" s="105">
        <v>14.797539270173386</v>
      </c>
    </row>
    <row r="317" ht="15.75" customHeight="1">
      <c r="A317" s="26">
        <v>41101.0</v>
      </c>
      <c r="B317" s="104" t="s">
        <v>209</v>
      </c>
      <c r="C317" s="105">
        <v>8.567674901483612</v>
      </c>
      <c r="D317" s="105">
        <v>56.01911901529414</v>
      </c>
    </row>
    <row r="318" ht="15.75" customHeight="1">
      <c r="A318" s="26">
        <v>21902.0</v>
      </c>
      <c r="B318" s="104" t="s">
        <v>132</v>
      </c>
      <c r="C318" s="105">
        <v>8.391198670981879</v>
      </c>
      <c r="D318" s="105">
        <v>9.6966922070641</v>
      </c>
    </row>
    <row r="319" ht="15.75" customHeight="1">
      <c r="A319" s="26">
        <v>40503.0</v>
      </c>
      <c r="B319" s="104" t="s">
        <v>195</v>
      </c>
      <c r="C319" s="105">
        <v>7.940011210508448</v>
      </c>
      <c r="D319" s="105">
        <v>2.80883322346737</v>
      </c>
    </row>
    <row r="320" ht="15.75" customHeight="1">
      <c r="A320" s="26">
        <v>41502.0</v>
      </c>
      <c r="B320" s="104" t="s">
        <v>215</v>
      </c>
      <c r="C320" s="105">
        <v>6.275250577831422</v>
      </c>
      <c r="D320" s="105">
        <v>32.192105310005054</v>
      </c>
    </row>
    <row r="321" ht="15.75" customHeight="1">
      <c r="A321" s="26">
        <v>20307.0</v>
      </c>
      <c r="B321" s="104" t="s">
        <v>65</v>
      </c>
      <c r="C321" s="105">
        <v>5.853992383561957</v>
      </c>
      <c r="D321" s="105">
        <v>8.30656389855793</v>
      </c>
    </row>
    <row r="322" ht="15.75" customHeight="1">
      <c r="A322" s="26">
        <v>41601.0</v>
      </c>
      <c r="B322" s="104" t="s">
        <v>217</v>
      </c>
      <c r="C322" s="105">
        <v>5.311981631108963</v>
      </c>
      <c r="D322" s="105">
        <v>28.8187125004316</v>
      </c>
    </row>
    <row r="323" ht="15.75" customHeight="1">
      <c r="A323" s="26">
        <v>41503.0</v>
      </c>
      <c r="B323" s="104" t="s">
        <v>216</v>
      </c>
      <c r="C323" s="105">
        <v>5.10395164726699</v>
      </c>
      <c r="D323" s="105">
        <v>204.81930938666642</v>
      </c>
    </row>
    <row r="324" ht="15.75" customHeight="1">
      <c r="A324" s="26">
        <v>40505.0</v>
      </c>
      <c r="B324" s="104" t="s">
        <v>197</v>
      </c>
      <c r="C324" s="105">
        <v>4.0387722479507495</v>
      </c>
      <c r="D324" s="105">
        <v>9.254250386398764</v>
      </c>
    </row>
    <row r="325" ht="15.75" customHeight="1">
      <c r="A325" s="26">
        <v>21801.0</v>
      </c>
      <c r="B325" s="104" t="s">
        <v>128</v>
      </c>
      <c r="C325" s="105">
        <v>3.704722664864826</v>
      </c>
      <c r="D325" s="105">
        <v>27.048931322556147</v>
      </c>
    </row>
    <row r="326" ht="15.75" customHeight="1">
      <c r="A326" s="26">
        <v>41301.0</v>
      </c>
      <c r="B326" s="104" t="s">
        <v>212</v>
      </c>
      <c r="C326" s="105">
        <v>2.6452542387042195</v>
      </c>
      <c r="D326" s="105">
        <v>20.02968208412997</v>
      </c>
    </row>
    <row r="327" ht="15.75" customHeight="1">
      <c r="A327" s="26">
        <v>21802.0</v>
      </c>
      <c r="B327" s="104" t="s">
        <v>129</v>
      </c>
      <c r="C327" s="105">
        <v>2.175599136960895</v>
      </c>
      <c r="D327" s="105">
        <v>28.332380796522283</v>
      </c>
    </row>
    <row r="328" ht="15.75" customHeight="1">
      <c r="A328" s="26">
        <v>40502.0</v>
      </c>
      <c r="B328" s="104" t="s">
        <v>194</v>
      </c>
      <c r="C328" s="105">
        <v>1.961665872532929</v>
      </c>
      <c r="D328" s="105">
        <v>25.030016537339264</v>
      </c>
    </row>
    <row r="329" ht="15.75" customHeight="1">
      <c r="A329" s="26">
        <v>40601.0</v>
      </c>
      <c r="B329" s="104" t="s">
        <v>198</v>
      </c>
      <c r="C329" s="105">
        <v>1.6831671035356692</v>
      </c>
      <c r="D329" s="105">
        <v>11.441614981898416</v>
      </c>
    </row>
    <row r="330" ht="15.75" customHeight="1">
      <c r="A330" s="26">
        <v>40603.0</v>
      </c>
      <c r="B330" s="104" t="s">
        <v>200</v>
      </c>
      <c r="C330" s="105">
        <v>0.7398469704803542</v>
      </c>
      <c r="D330" s="105">
        <v>8.604200763775232</v>
      </c>
    </row>
    <row r="331" ht="15.75" customHeight="1">
      <c r="A331" s="26">
        <v>31304.0</v>
      </c>
      <c r="B331" s="104" t="s">
        <v>174</v>
      </c>
      <c r="C331" s="105">
        <v>0.0</v>
      </c>
      <c r="D331" s="105">
        <v>0.0</v>
      </c>
    </row>
    <row r="332" ht="15.75" customHeight="1">
      <c r="A332" s="26">
        <v>31405.0</v>
      </c>
      <c r="B332" s="104" t="s">
        <v>179</v>
      </c>
      <c r="C332" s="105">
        <v>0.0</v>
      </c>
      <c r="D332" s="105">
        <v>0.0</v>
      </c>
    </row>
    <row r="333" ht="15.75" customHeight="1">
      <c r="A333" s="26">
        <v>50204.0</v>
      </c>
      <c r="B333" s="104" t="s">
        <v>225</v>
      </c>
      <c r="C333" s="105">
        <v>0.0</v>
      </c>
      <c r="D333" s="105">
        <v>0.0</v>
      </c>
    </row>
    <row r="334" ht="15.75" customHeight="1">
      <c r="A334" s="26">
        <v>51204.0</v>
      </c>
      <c r="B334" s="104" t="s">
        <v>253</v>
      </c>
      <c r="C334" s="105">
        <v>0.0</v>
      </c>
      <c r="D334" s="105">
        <v>0.0</v>
      </c>
    </row>
    <row r="335" ht="15.75" customHeight="1">
      <c r="A335" s="26">
        <v>70805.0</v>
      </c>
      <c r="B335" s="104" t="s">
        <v>301</v>
      </c>
      <c r="C335" s="105">
        <v>0.0</v>
      </c>
      <c r="D335" s="105">
        <v>0.0</v>
      </c>
    </row>
    <row r="336" ht="15.75" customHeight="1">
      <c r="A336" s="26">
        <v>80703.0</v>
      </c>
      <c r="B336" s="104" t="s">
        <v>338</v>
      </c>
      <c r="C336" s="105">
        <v>0.0</v>
      </c>
      <c r="D336" s="105">
        <v>0.0</v>
      </c>
    </row>
    <row r="337" ht="15.75" customHeight="1">
      <c r="A337" s="26">
        <v>80901.0</v>
      </c>
      <c r="B337" s="104" t="s">
        <v>342</v>
      </c>
      <c r="C337" s="105">
        <v>0.0</v>
      </c>
      <c r="D337" s="105">
        <v>0.0</v>
      </c>
    </row>
    <row r="338" ht="15.75" customHeight="1">
      <c r="A338" s="26">
        <v>90103.0</v>
      </c>
      <c r="B338" s="104" t="s">
        <v>345</v>
      </c>
      <c r="C338" s="105">
        <v>0.0</v>
      </c>
      <c r="D338" s="105">
        <v>0.0</v>
      </c>
    </row>
    <row r="339" ht="15.75" customHeight="1">
      <c r="A339" s="26">
        <v>90402.0</v>
      </c>
      <c r="B339" s="104" t="s">
        <v>353</v>
      </c>
      <c r="C339" s="105">
        <v>0.0</v>
      </c>
      <c r="D339" s="105">
        <v>0.0</v>
      </c>
    </row>
    <row r="340" ht="15.75" customHeight="1">
      <c r="A340" s="26">
        <v>90503.0</v>
      </c>
      <c r="B340" s="104" t="s">
        <v>356</v>
      </c>
      <c r="C340" s="105">
        <v>0.0</v>
      </c>
      <c r="D340" s="105">
        <v>0.0</v>
      </c>
    </row>
    <row r="341" ht="15.75" customHeight="1">
      <c r="A341" s="26">
        <v>50405.0</v>
      </c>
      <c r="B341" s="104" t="s">
        <v>233</v>
      </c>
      <c r="C341" s="105">
        <v>0.0</v>
      </c>
      <c r="D341" s="105">
        <v>28.993860361764558</v>
      </c>
    </row>
    <row r="342" ht="15.75" customHeight="1">
      <c r="A342" s="26">
        <v>90401.0</v>
      </c>
      <c r="B342" s="104" t="s">
        <v>352</v>
      </c>
      <c r="C342" s="105">
        <v>0.0</v>
      </c>
      <c r="D342" s="105">
        <v>424.6573208960417</v>
      </c>
    </row>
    <row r="343" ht="15.75" customHeight="1">
      <c r="A343" s="26">
        <v>51002.0</v>
      </c>
      <c r="B343" s="104" t="s">
        <v>245</v>
      </c>
      <c r="C343" s="105">
        <v>0.0</v>
      </c>
      <c r="D343" s="105">
        <v>34.089756157107466</v>
      </c>
    </row>
    <row r="344" ht="15.75" customHeight="1">
      <c r="A344" s="26">
        <v>80402.0</v>
      </c>
      <c r="B344" s="104" t="s">
        <v>333</v>
      </c>
      <c r="C344" s="105">
        <v>0.0</v>
      </c>
      <c r="D344" s="105">
        <v>135.97865700400357</v>
      </c>
    </row>
    <row r="345" ht="15.75" customHeight="1">
      <c r="A345" s="106"/>
      <c r="B345" s="107"/>
      <c r="C345" s="108"/>
      <c r="D345" s="108"/>
    </row>
    <row r="346" ht="15.75" customHeight="1">
      <c r="A346" s="106"/>
      <c r="B346" s="109"/>
      <c r="C346" s="108"/>
      <c r="D346" s="108"/>
    </row>
    <row r="347" ht="15.75" customHeight="1">
      <c r="A347" s="106"/>
      <c r="B347" s="109"/>
      <c r="C347" s="110"/>
      <c r="D347" s="110"/>
    </row>
    <row r="348" ht="15.75" customHeight="1">
      <c r="A348" s="106"/>
      <c r="B348" s="107"/>
      <c r="C348" s="110"/>
      <c r="D348" s="110"/>
    </row>
    <row r="349" ht="15.75" customHeight="1">
      <c r="A349" s="106"/>
      <c r="B349" s="109"/>
      <c r="C349" s="110"/>
      <c r="D349" s="110"/>
    </row>
    <row r="350" ht="15.75" customHeight="1">
      <c r="A350" s="106"/>
      <c r="B350" s="107"/>
      <c r="C350" s="110"/>
      <c r="D350" s="110"/>
    </row>
    <row r="351" ht="15.75" customHeight="1">
      <c r="A351" s="106"/>
      <c r="B351" s="107"/>
      <c r="C351" s="110"/>
      <c r="D351" s="110"/>
    </row>
    <row r="352" ht="15.75" customHeight="1">
      <c r="A352" s="106"/>
      <c r="B352" s="107"/>
      <c r="C352" s="110"/>
      <c r="D352" s="110"/>
    </row>
    <row r="353" ht="15.75" customHeight="1">
      <c r="A353" s="106"/>
      <c r="B353" s="107"/>
      <c r="C353" s="110"/>
      <c r="D353" s="110"/>
    </row>
    <row r="354" ht="15.75" customHeight="1">
      <c r="A354" s="106"/>
      <c r="B354" s="107"/>
      <c r="C354" s="110"/>
      <c r="D354" s="110"/>
    </row>
    <row r="355" ht="15.75" customHeight="1">
      <c r="A355" s="106"/>
      <c r="B355" s="107"/>
      <c r="C355" s="110"/>
      <c r="D355" s="110"/>
    </row>
    <row r="356" ht="15.75" customHeight="1">
      <c r="A356" s="106"/>
      <c r="B356" s="107"/>
      <c r="C356" s="110"/>
      <c r="D356" s="110"/>
    </row>
    <row r="357" ht="15.75" customHeight="1">
      <c r="A357" s="106"/>
      <c r="B357" s="107"/>
      <c r="C357" s="110"/>
      <c r="D357" s="110"/>
    </row>
    <row r="358" ht="15.75" customHeight="1">
      <c r="A358" s="106"/>
      <c r="B358" s="107"/>
      <c r="C358" s="110"/>
      <c r="D358" s="110"/>
    </row>
    <row r="359" ht="15.75" customHeight="1">
      <c r="A359" s="106"/>
      <c r="B359" s="107"/>
      <c r="C359" s="110"/>
      <c r="D359" s="110"/>
    </row>
    <row r="360" ht="15.75" customHeight="1">
      <c r="A360" s="106"/>
      <c r="B360" s="107"/>
      <c r="C360" s="110"/>
      <c r="D360" s="110"/>
    </row>
    <row r="361" ht="15.75" customHeight="1">
      <c r="A361" s="106"/>
      <c r="B361" s="107"/>
      <c r="C361" s="110"/>
      <c r="D361" s="110"/>
    </row>
    <row r="362" ht="15.75" customHeight="1">
      <c r="A362" s="106"/>
      <c r="B362" s="107"/>
      <c r="C362" s="110"/>
      <c r="D362" s="110"/>
    </row>
    <row r="363" ht="15.75" customHeight="1">
      <c r="A363" s="106"/>
      <c r="B363" s="107"/>
      <c r="C363" s="110"/>
      <c r="D363" s="110"/>
    </row>
    <row r="364" ht="15.75" customHeight="1">
      <c r="A364" s="106"/>
      <c r="B364" s="107"/>
      <c r="C364" s="110"/>
      <c r="D364" s="110"/>
    </row>
    <row r="365" ht="15.75" customHeight="1">
      <c r="A365" s="106"/>
      <c r="B365" s="107"/>
      <c r="C365" s="110"/>
      <c r="D365" s="110"/>
    </row>
    <row r="366" ht="15.75" customHeight="1">
      <c r="A366" s="106"/>
      <c r="B366" s="107"/>
      <c r="C366" s="110"/>
      <c r="D366" s="110"/>
    </row>
    <row r="367" ht="15.75" customHeight="1">
      <c r="A367" s="106"/>
      <c r="B367" s="107"/>
      <c r="C367" s="110"/>
      <c r="D367" s="110"/>
    </row>
    <row r="368" ht="15.75" customHeight="1">
      <c r="A368" s="106"/>
      <c r="B368" s="107"/>
      <c r="C368" s="110"/>
      <c r="D368" s="110"/>
    </row>
    <row r="369" ht="15.75" customHeight="1">
      <c r="A369" s="106"/>
      <c r="B369" s="107"/>
      <c r="C369" s="110"/>
      <c r="D369" s="110"/>
    </row>
    <row r="370" ht="15.75" customHeight="1">
      <c r="A370" s="106"/>
      <c r="B370" s="107"/>
      <c r="C370" s="110"/>
      <c r="D370" s="110"/>
    </row>
    <row r="371" ht="15.75" customHeight="1">
      <c r="A371" s="106"/>
      <c r="B371" s="107"/>
      <c r="C371" s="110"/>
      <c r="D371" s="110"/>
    </row>
    <row r="372" ht="15.75" customHeight="1">
      <c r="A372" s="106"/>
      <c r="B372" s="107"/>
      <c r="C372" s="110"/>
      <c r="D372" s="110"/>
    </row>
    <row r="373" ht="15.75" customHeight="1">
      <c r="A373" s="106"/>
      <c r="B373" s="107"/>
      <c r="C373" s="110"/>
      <c r="D373" s="110"/>
    </row>
    <row r="374" ht="15.75" customHeight="1">
      <c r="A374" s="106"/>
      <c r="B374" s="107"/>
      <c r="C374" s="110"/>
      <c r="D374" s="110"/>
    </row>
    <row r="375" ht="15.75" customHeight="1">
      <c r="A375" s="106"/>
      <c r="B375" s="107"/>
      <c r="C375" s="110"/>
      <c r="D375" s="110"/>
    </row>
    <row r="376" ht="15.75" customHeight="1">
      <c r="A376" s="106"/>
      <c r="B376" s="107"/>
      <c r="C376" s="110"/>
      <c r="D376" s="110"/>
    </row>
    <row r="377" ht="15.75" customHeight="1">
      <c r="A377" s="106"/>
      <c r="B377" s="107"/>
      <c r="C377" s="110"/>
      <c r="D377" s="110"/>
    </row>
    <row r="378" ht="15.75" customHeight="1">
      <c r="A378" s="106"/>
      <c r="B378" s="107"/>
      <c r="C378" s="110"/>
      <c r="D378" s="110"/>
    </row>
    <row r="379" ht="15.75" customHeight="1">
      <c r="A379" s="106"/>
      <c r="B379" s="107"/>
      <c r="C379" s="110"/>
      <c r="D379" s="110"/>
    </row>
    <row r="380" ht="15.75" customHeight="1">
      <c r="A380" s="106"/>
      <c r="B380" s="107"/>
      <c r="C380" s="110"/>
      <c r="D380" s="110"/>
    </row>
    <row r="381" ht="15.75" customHeight="1">
      <c r="A381" s="106"/>
      <c r="B381" s="107"/>
      <c r="C381" s="110"/>
      <c r="D381" s="110"/>
    </row>
    <row r="382" ht="15.75" customHeight="1">
      <c r="A382" s="106"/>
      <c r="B382" s="107"/>
      <c r="C382" s="110"/>
      <c r="D382" s="110"/>
    </row>
    <row r="383" ht="15.75" customHeight="1">
      <c r="A383" s="106"/>
      <c r="B383" s="107"/>
      <c r="C383" s="110"/>
      <c r="D383" s="110"/>
    </row>
    <row r="384" ht="15.75" customHeight="1">
      <c r="A384" s="106"/>
      <c r="B384" s="107"/>
      <c r="C384" s="110"/>
      <c r="D384" s="110"/>
    </row>
    <row r="385" ht="15.75" customHeight="1">
      <c r="A385" s="106"/>
      <c r="B385" s="107"/>
      <c r="C385" s="110"/>
      <c r="D385" s="110"/>
    </row>
    <row r="386" ht="15.75" customHeight="1">
      <c r="A386" s="106"/>
      <c r="B386" s="107"/>
      <c r="C386" s="110"/>
      <c r="D386" s="110"/>
    </row>
    <row r="387" ht="15.75" customHeight="1">
      <c r="A387" s="106"/>
      <c r="B387" s="107"/>
      <c r="C387" s="110"/>
      <c r="D387" s="110"/>
    </row>
    <row r="388" ht="15.75" customHeight="1">
      <c r="A388" s="106"/>
      <c r="B388" s="107"/>
      <c r="C388" s="110"/>
      <c r="D388" s="110"/>
    </row>
    <row r="389" ht="15.75" customHeight="1">
      <c r="A389" s="106"/>
      <c r="B389" s="107"/>
      <c r="C389" s="110"/>
      <c r="D389" s="110"/>
    </row>
    <row r="390" ht="15.75" customHeight="1">
      <c r="A390" s="106"/>
      <c r="B390" s="107"/>
      <c r="C390" s="110"/>
      <c r="D390" s="110"/>
    </row>
    <row r="391" ht="15.75" customHeight="1">
      <c r="A391" s="106"/>
      <c r="B391" s="107"/>
      <c r="C391" s="110"/>
      <c r="D391" s="110"/>
    </row>
    <row r="392" ht="15.75" customHeight="1">
      <c r="A392" s="106"/>
      <c r="B392" s="107"/>
      <c r="C392" s="110"/>
      <c r="D392" s="110"/>
    </row>
    <row r="393" ht="15.75" customHeight="1">
      <c r="A393" s="106"/>
      <c r="B393" s="107"/>
      <c r="C393" s="110"/>
      <c r="D393" s="110"/>
    </row>
    <row r="394" ht="15.75" customHeight="1">
      <c r="A394" s="106"/>
      <c r="B394" s="107"/>
      <c r="C394" s="110"/>
      <c r="D394" s="110"/>
    </row>
    <row r="395" ht="15.75" customHeight="1">
      <c r="A395" s="106"/>
      <c r="B395" s="107"/>
      <c r="C395" s="110"/>
      <c r="D395" s="110"/>
    </row>
    <row r="396" ht="15.75" customHeight="1">
      <c r="A396" s="106"/>
      <c r="B396" s="107"/>
      <c r="C396" s="110"/>
      <c r="D396" s="110"/>
    </row>
    <row r="397" ht="15.75" customHeight="1">
      <c r="A397" s="106"/>
      <c r="B397" s="107"/>
      <c r="C397" s="110"/>
      <c r="D397" s="110"/>
    </row>
    <row r="398" ht="15.75" customHeight="1">
      <c r="A398" s="106"/>
      <c r="B398" s="107"/>
      <c r="C398" s="110"/>
      <c r="D398" s="110"/>
    </row>
    <row r="399" ht="15.75" customHeight="1">
      <c r="A399" s="106"/>
      <c r="B399" s="107"/>
      <c r="C399" s="110"/>
      <c r="D399" s="110"/>
    </row>
    <row r="400" ht="15.75" customHeight="1">
      <c r="A400" s="106"/>
      <c r="B400" s="107"/>
      <c r="C400" s="110"/>
      <c r="D400" s="110"/>
    </row>
    <row r="401" ht="15.75" customHeight="1">
      <c r="A401" s="106"/>
      <c r="B401" s="107"/>
      <c r="C401" s="110"/>
      <c r="D401" s="110"/>
    </row>
    <row r="402" ht="15.75" customHeight="1">
      <c r="A402" s="106"/>
      <c r="B402" s="107"/>
      <c r="C402" s="110"/>
      <c r="D402" s="110"/>
    </row>
    <row r="403" ht="15.75" customHeight="1">
      <c r="A403" s="106"/>
      <c r="B403" s="107"/>
      <c r="C403" s="110"/>
      <c r="D403" s="110"/>
    </row>
    <row r="404" ht="15.75" customHeight="1">
      <c r="A404" s="106"/>
      <c r="B404" s="107"/>
      <c r="C404" s="110"/>
      <c r="D404" s="110"/>
    </row>
    <row r="405" ht="15.75" customHeight="1">
      <c r="A405" s="106"/>
      <c r="B405" s="107"/>
      <c r="C405" s="110"/>
      <c r="D405" s="110"/>
    </row>
    <row r="406" ht="15.75" customHeight="1">
      <c r="A406" s="106"/>
      <c r="B406" s="107"/>
      <c r="C406" s="110"/>
      <c r="D406" s="110"/>
    </row>
    <row r="407" ht="15.75" customHeight="1">
      <c r="A407" s="106"/>
      <c r="B407" s="107"/>
      <c r="C407" s="110"/>
      <c r="D407" s="110"/>
    </row>
    <row r="408" ht="15.75" customHeight="1">
      <c r="A408" s="106"/>
      <c r="B408" s="107"/>
      <c r="C408" s="110"/>
      <c r="D408" s="110"/>
    </row>
    <row r="409" ht="15.75" customHeight="1">
      <c r="A409" s="106"/>
      <c r="B409" s="107"/>
      <c r="C409" s="110"/>
      <c r="D409" s="110"/>
    </row>
    <row r="410" ht="15.75" customHeight="1">
      <c r="A410" s="106"/>
      <c r="B410" s="107"/>
      <c r="C410" s="110"/>
      <c r="D410" s="110"/>
    </row>
    <row r="411" ht="15.75" customHeight="1">
      <c r="A411" s="106"/>
      <c r="B411" s="107"/>
      <c r="C411" s="110"/>
      <c r="D411" s="110"/>
    </row>
    <row r="412" ht="15.75" customHeight="1">
      <c r="A412" s="106"/>
      <c r="B412" s="107"/>
      <c r="C412" s="110"/>
      <c r="D412" s="110"/>
    </row>
    <row r="413" ht="15.75" customHeight="1">
      <c r="A413" s="106"/>
      <c r="B413" s="107"/>
      <c r="C413" s="110"/>
      <c r="D413" s="110"/>
    </row>
    <row r="414" ht="15.75" customHeight="1">
      <c r="A414" s="106"/>
      <c r="B414" s="107"/>
      <c r="C414" s="110"/>
      <c r="D414" s="110"/>
    </row>
    <row r="415" ht="15.75" customHeight="1">
      <c r="A415" s="106"/>
      <c r="B415" s="107"/>
      <c r="C415" s="110"/>
      <c r="D415" s="110"/>
    </row>
    <row r="416" ht="15.75" customHeight="1">
      <c r="A416" s="106"/>
      <c r="B416" s="107"/>
      <c r="C416" s="110"/>
      <c r="D416" s="110"/>
    </row>
    <row r="417" ht="15.75" customHeight="1">
      <c r="A417" s="106"/>
      <c r="B417" s="107"/>
      <c r="C417" s="110"/>
      <c r="D417" s="110"/>
    </row>
    <row r="418" ht="15.75" customHeight="1">
      <c r="A418" s="106"/>
      <c r="B418" s="107"/>
      <c r="C418" s="110"/>
      <c r="D418" s="110"/>
    </row>
    <row r="419" ht="15.75" customHeight="1">
      <c r="A419" s="106"/>
      <c r="B419" s="107"/>
      <c r="C419" s="110"/>
      <c r="D419" s="110"/>
    </row>
    <row r="420" ht="15.75" customHeight="1">
      <c r="A420" s="106"/>
      <c r="B420" s="107"/>
      <c r="C420" s="110"/>
      <c r="D420" s="110"/>
    </row>
    <row r="421" ht="15.75" customHeight="1">
      <c r="A421" s="106"/>
      <c r="B421" s="107"/>
      <c r="C421" s="110"/>
      <c r="D421" s="110"/>
    </row>
    <row r="422" ht="15.75" customHeight="1">
      <c r="A422" s="106"/>
      <c r="B422" s="107"/>
      <c r="C422" s="110"/>
      <c r="D422" s="110"/>
    </row>
    <row r="423" ht="15.75" customHeight="1">
      <c r="A423" s="106"/>
      <c r="B423" s="107"/>
      <c r="C423" s="110"/>
      <c r="D423" s="110"/>
    </row>
    <row r="424" ht="15.75" customHeight="1">
      <c r="A424" s="106"/>
      <c r="B424" s="107"/>
      <c r="C424" s="110"/>
      <c r="D424" s="110"/>
    </row>
    <row r="425" ht="15.75" customHeight="1">
      <c r="A425" s="106"/>
      <c r="B425" s="107"/>
      <c r="C425" s="110"/>
      <c r="D425" s="110"/>
    </row>
    <row r="426" ht="15.75" customHeight="1">
      <c r="A426" s="106"/>
      <c r="B426" s="107"/>
      <c r="C426" s="110"/>
      <c r="D426" s="110"/>
    </row>
    <row r="427" ht="15.75" customHeight="1">
      <c r="A427" s="106"/>
      <c r="B427" s="107"/>
      <c r="C427" s="110"/>
      <c r="D427" s="110"/>
    </row>
    <row r="428" ht="15.75" customHeight="1">
      <c r="A428" s="106"/>
      <c r="B428" s="107"/>
      <c r="C428" s="110"/>
      <c r="D428" s="110"/>
    </row>
    <row r="429" ht="15.75" customHeight="1">
      <c r="A429" s="106"/>
      <c r="B429" s="107"/>
      <c r="C429" s="110"/>
      <c r="D429" s="110"/>
    </row>
    <row r="430" ht="15.75" customHeight="1">
      <c r="A430" s="106"/>
      <c r="B430" s="107"/>
      <c r="C430" s="110"/>
      <c r="D430" s="110"/>
    </row>
    <row r="431" ht="15.75" customHeight="1">
      <c r="A431" s="106"/>
      <c r="B431" s="107"/>
      <c r="C431" s="110"/>
      <c r="D431" s="110"/>
    </row>
    <row r="432" ht="15.75" customHeight="1">
      <c r="A432" s="106"/>
      <c r="B432" s="107"/>
      <c r="C432" s="110"/>
      <c r="D432" s="110"/>
    </row>
    <row r="433" ht="15.75" customHeight="1">
      <c r="A433" s="106"/>
      <c r="B433" s="107"/>
      <c r="C433" s="110"/>
      <c r="D433" s="110"/>
    </row>
    <row r="434" ht="15.75" customHeight="1">
      <c r="A434" s="106"/>
      <c r="B434" s="107"/>
      <c r="C434" s="110"/>
      <c r="D434" s="110"/>
    </row>
    <row r="435" ht="15.75" customHeight="1">
      <c r="A435" s="106"/>
      <c r="B435" s="107"/>
      <c r="C435" s="110"/>
      <c r="D435" s="110"/>
    </row>
    <row r="436" ht="15.75" customHeight="1">
      <c r="A436" s="106"/>
      <c r="B436" s="107"/>
      <c r="C436" s="110"/>
      <c r="D436" s="110"/>
    </row>
    <row r="437" ht="15.75" customHeight="1">
      <c r="A437" s="106"/>
      <c r="B437" s="107"/>
      <c r="C437" s="110"/>
      <c r="D437" s="110"/>
    </row>
    <row r="438" ht="15.75" customHeight="1">
      <c r="A438" s="106"/>
      <c r="B438" s="107"/>
      <c r="C438" s="110"/>
      <c r="D438" s="110"/>
    </row>
    <row r="439" ht="15.75" customHeight="1">
      <c r="A439" s="106"/>
      <c r="B439" s="107"/>
      <c r="C439" s="110"/>
      <c r="D439" s="110"/>
    </row>
    <row r="440" ht="15.75" customHeight="1">
      <c r="A440" s="106"/>
      <c r="B440" s="107"/>
      <c r="C440" s="110"/>
      <c r="D440" s="110"/>
    </row>
    <row r="441" ht="15.75" customHeight="1">
      <c r="A441" s="106"/>
      <c r="B441" s="107"/>
      <c r="C441" s="110"/>
      <c r="D441" s="110"/>
    </row>
    <row r="442" ht="15.75" customHeight="1">
      <c r="A442" s="106"/>
      <c r="B442" s="107"/>
      <c r="C442" s="110"/>
      <c r="D442" s="110"/>
    </row>
    <row r="443" ht="15.75" customHeight="1">
      <c r="A443" s="106"/>
      <c r="B443" s="107"/>
      <c r="C443" s="110"/>
      <c r="D443" s="110"/>
    </row>
    <row r="444" ht="15.75" customHeight="1">
      <c r="A444" s="106"/>
      <c r="B444" s="107"/>
      <c r="C444" s="110"/>
      <c r="D444" s="110"/>
    </row>
    <row r="445" ht="15.75" customHeight="1">
      <c r="A445" s="106"/>
      <c r="B445" s="107"/>
      <c r="C445" s="110"/>
      <c r="D445" s="110"/>
    </row>
    <row r="446" ht="15.75" customHeight="1">
      <c r="A446" s="106"/>
      <c r="B446" s="107"/>
      <c r="C446" s="110"/>
      <c r="D446" s="110"/>
    </row>
    <row r="447" ht="15.75" customHeight="1">
      <c r="A447" s="106"/>
      <c r="B447" s="107"/>
      <c r="C447" s="110"/>
      <c r="D447" s="110"/>
    </row>
    <row r="448" ht="15.75" customHeight="1">
      <c r="A448" s="106"/>
      <c r="B448" s="107"/>
      <c r="C448" s="110"/>
      <c r="D448" s="110"/>
    </row>
    <row r="449" ht="15.75" customHeight="1">
      <c r="A449" s="106"/>
      <c r="B449" s="107"/>
      <c r="C449" s="110"/>
      <c r="D449" s="110"/>
    </row>
    <row r="450" ht="15.75" customHeight="1">
      <c r="A450" s="106"/>
      <c r="B450" s="107"/>
      <c r="C450" s="110"/>
      <c r="D450" s="110"/>
    </row>
    <row r="451" ht="15.75" customHeight="1">
      <c r="A451" s="106"/>
      <c r="B451" s="107"/>
      <c r="C451" s="110"/>
      <c r="D451" s="110"/>
    </row>
    <row r="452" ht="15.75" customHeight="1">
      <c r="A452" s="106"/>
      <c r="B452" s="107"/>
      <c r="C452" s="110"/>
      <c r="D452" s="110"/>
    </row>
    <row r="453" ht="15.75" customHeight="1">
      <c r="A453" s="106"/>
      <c r="B453" s="107"/>
      <c r="C453" s="110"/>
      <c r="D453" s="110"/>
    </row>
    <row r="454" ht="15.75" customHeight="1">
      <c r="A454" s="106"/>
      <c r="B454" s="107"/>
      <c r="C454" s="110"/>
      <c r="D454" s="110"/>
    </row>
    <row r="455" ht="15.75" customHeight="1">
      <c r="A455" s="106"/>
      <c r="B455" s="107"/>
      <c r="C455" s="110"/>
      <c r="D455" s="110"/>
    </row>
    <row r="456" ht="15.75" customHeight="1">
      <c r="A456" s="106"/>
      <c r="B456" s="107"/>
      <c r="C456" s="110"/>
      <c r="D456" s="110"/>
    </row>
    <row r="457" ht="15.75" customHeight="1">
      <c r="A457" s="106"/>
      <c r="B457" s="107"/>
      <c r="C457" s="110"/>
      <c r="D457" s="110"/>
    </row>
    <row r="458" ht="15.75" customHeight="1">
      <c r="A458" s="106"/>
      <c r="B458" s="107"/>
      <c r="C458" s="110"/>
      <c r="D458" s="110"/>
    </row>
    <row r="459" ht="15.75" customHeight="1">
      <c r="A459" s="106"/>
      <c r="B459" s="107"/>
      <c r="C459" s="110"/>
      <c r="D459" s="110"/>
    </row>
    <row r="460" ht="15.75" customHeight="1">
      <c r="A460" s="106"/>
      <c r="B460" s="107"/>
      <c r="C460" s="110"/>
      <c r="D460" s="110"/>
    </row>
    <row r="461" ht="15.75" customHeight="1">
      <c r="A461" s="106"/>
      <c r="B461" s="107"/>
      <c r="C461" s="110"/>
      <c r="D461" s="110"/>
    </row>
    <row r="462" ht="15.75" customHeight="1">
      <c r="A462" s="106"/>
      <c r="B462" s="107"/>
      <c r="C462" s="110"/>
      <c r="D462" s="110"/>
    </row>
    <row r="463" ht="15.75" customHeight="1">
      <c r="A463" s="106"/>
      <c r="B463" s="107"/>
      <c r="C463" s="110"/>
      <c r="D463" s="110"/>
    </row>
    <row r="464" ht="15.75" customHeight="1">
      <c r="A464" s="106"/>
      <c r="B464" s="107"/>
      <c r="C464" s="110"/>
      <c r="D464" s="110"/>
    </row>
    <row r="465" ht="15.75" customHeight="1">
      <c r="A465" s="106"/>
      <c r="B465" s="107"/>
      <c r="C465" s="110"/>
      <c r="D465" s="110"/>
    </row>
    <row r="466" ht="15.75" customHeight="1">
      <c r="A466" s="106"/>
      <c r="B466" s="107"/>
      <c r="C466" s="110"/>
      <c r="D466" s="110"/>
    </row>
    <row r="467" ht="15.75" customHeight="1">
      <c r="A467" s="106"/>
      <c r="B467" s="107"/>
      <c r="C467" s="110"/>
      <c r="D467" s="110"/>
    </row>
    <row r="468" ht="15.75" customHeight="1">
      <c r="A468" s="106"/>
      <c r="B468" s="107"/>
      <c r="C468" s="110"/>
      <c r="D468" s="110"/>
    </row>
    <row r="469" ht="15.75" customHeight="1">
      <c r="A469" s="106"/>
      <c r="B469" s="107"/>
      <c r="C469" s="110"/>
      <c r="D469" s="110"/>
    </row>
    <row r="470" ht="15.75" customHeight="1">
      <c r="A470" s="106"/>
      <c r="B470" s="107"/>
      <c r="C470" s="110"/>
      <c r="D470" s="110"/>
    </row>
    <row r="471" ht="15.75" customHeight="1">
      <c r="A471" s="106"/>
      <c r="B471" s="107"/>
      <c r="C471" s="110"/>
      <c r="D471" s="110"/>
    </row>
    <row r="472" ht="15.75" customHeight="1">
      <c r="A472" s="106"/>
      <c r="B472" s="107"/>
      <c r="C472" s="110"/>
      <c r="D472" s="110"/>
    </row>
    <row r="473" ht="15.75" customHeight="1">
      <c r="A473" s="106"/>
      <c r="B473" s="107"/>
      <c r="C473" s="110"/>
      <c r="D473" s="110"/>
    </row>
    <row r="474" ht="15.75" customHeight="1">
      <c r="A474" s="106"/>
      <c r="B474" s="107"/>
      <c r="C474" s="110"/>
      <c r="D474" s="110"/>
    </row>
    <row r="475" ht="15.75" customHeight="1">
      <c r="A475" s="106"/>
      <c r="B475" s="107"/>
      <c r="C475" s="110"/>
      <c r="D475" s="110"/>
    </row>
    <row r="476" ht="15.75" customHeight="1">
      <c r="A476" s="106"/>
      <c r="B476" s="107"/>
      <c r="C476" s="110"/>
      <c r="D476" s="110"/>
    </row>
    <row r="477" ht="15.75" customHeight="1">
      <c r="A477" s="106"/>
      <c r="B477" s="107"/>
      <c r="C477" s="110"/>
      <c r="D477" s="110"/>
    </row>
    <row r="478" ht="15.75" customHeight="1">
      <c r="A478" s="106"/>
      <c r="B478" s="107"/>
      <c r="C478" s="110"/>
      <c r="D478" s="110"/>
    </row>
    <row r="479" ht="15.75" customHeight="1">
      <c r="A479" s="106"/>
      <c r="B479" s="107"/>
      <c r="C479" s="110"/>
      <c r="D479" s="110"/>
    </row>
    <row r="480" ht="15.75" customHeight="1">
      <c r="A480" s="106"/>
      <c r="B480" s="107"/>
      <c r="C480" s="110"/>
      <c r="D480" s="110"/>
    </row>
    <row r="481" ht="15.75" customHeight="1">
      <c r="A481" s="106"/>
      <c r="B481" s="107"/>
      <c r="C481" s="110"/>
      <c r="D481" s="110"/>
    </row>
    <row r="482" ht="15.75" customHeight="1">
      <c r="A482" s="106"/>
      <c r="B482" s="107"/>
      <c r="C482" s="110"/>
      <c r="D482" s="110"/>
    </row>
    <row r="483" ht="15.75" customHeight="1">
      <c r="A483" s="106"/>
      <c r="B483" s="107"/>
      <c r="C483" s="110"/>
      <c r="D483" s="110"/>
    </row>
    <row r="484" ht="15.75" customHeight="1">
      <c r="A484" s="106"/>
      <c r="B484" s="107"/>
      <c r="C484" s="110"/>
      <c r="D484" s="110"/>
    </row>
    <row r="485" ht="15.75" customHeight="1">
      <c r="A485" s="106"/>
      <c r="B485" s="107"/>
      <c r="C485" s="110"/>
      <c r="D485" s="110"/>
    </row>
    <row r="486" ht="15.75" customHeight="1">
      <c r="A486" s="106"/>
      <c r="B486" s="107"/>
      <c r="C486" s="110"/>
      <c r="D486" s="110"/>
    </row>
    <row r="487" ht="15.75" customHeight="1">
      <c r="A487" s="106"/>
      <c r="B487" s="107"/>
      <c r="C487" s="110"/>
      <c r="D487" s="110"/>
    </row>
    <row r="488" ht="15.75" customHeight="1">
      <c r="A488" s="106"/>
      <c r="B488" s="107"/>
      <c r="C488" s="110"/>
      <c r="D488" s="110"/>
    </row>
    <row r="489" ht="15.75" customHeight="1">
      <c r="A489" s="106"/>
      <c r="B489" s="107"/>
      <c r="C489" s="110"/>
      <c r="D489" s="110"/>
    </row>
    <row r="490" ht="15.75" customHeight="1">
      <c r="A490" s="106"/>
      <c r="B490" s="107"/>
      <c r="C490" s="110"/>
      <c r="D490" s="110"/>
    </row>
    <row r="491" ht="15.75" customHeight="1">
      <c r="A491" s="106"/>
      <c r="B491" s="107"/>
      <c r="C491" s="110"/>
      <c r="D491" s="110"/>
    </row>
    <row r="492" ht="15.75" customHeight="1">
      <c r="A492" s="106"/>
      <c r="B492" s="107"/>
      <c r="C492" s="110"/>
      <c r="D492" s="110"/>
    </row>
    <row r="493" ht="15.75" customHeight="1">
      <c r="A493" s="106"/>
      <c r="B493" s="107"/>
      <c r="C493" s="110"/>
      <c r="D493" s="110"/>
    </row>
    <row r="494" ht="15.75" customHeight="1">
      <c r="A494" s="106"/>
      <c r="B494" s="107"/>
      <c r="C494" s="110"/>
      <c r="D494" s="110"/>
    </row>
    <row r="495" ht="15.75" customHeight="1">
      <c r="A495" s="106"/>
      <c r="B495" s="107"/>
      <c r="C495" s="110"/>
      <c r="D495" s="110"/>
    </row>
    <row r="496" ht="15.75" customHeight="1">
      <c r="A496" s="106"/>
      <c r="B496" s="107"/>
      <c r="C496" s="110"/>
      <c r="D496" s="110"/>
    </row>
    <row r="497" ht="15.75" customHeight="1">
      <c r="A497" s="106"/>
      <c r="B497" s="107"/>
      <c r="C497" s="110"/>
      <c r="D497" s="110"/>
    </row>
    <row r="498" ht="15.75" customHeight="1">
      <c r="A498" s="106"/>
      <c r="B498" s="107"/>
      <c r="C498" s="110"/>
      <c r="D498" s="110"/>
    </row>
    <row r="499" ht="15.75" customHeight="1">
      <c r="A499" s="106"/>
      <c r="B499" s="107"/>
      <c r="C499" s="110"/>
      <c r="D499" s="110"/>
    </row>
    <row r="500" ht="15.75" customHeight="1">
      <c r="A500" s="106"/>
      <c r="B500" s="107"/>
      <c r="C500" s="110"/>
      <c r="D500" s="110"/>
    </row>
    <row r="501" ht="15.75" customHeight="1">
      <c r="A501" s="106"/>
      <c r="B501" s="107"/>
      <c r="C501" s="110"/>
      <c r="D501" s="110"/>
    </row>
    <row r="502" ht="15.75" customHeight="1">
      <c r="A502" s="106"/>
      <c r="B502" s="107"/>
      <c r="C502" s="110"/>
      <c r="D502" s="110"/>
    </row>
    <row r="503" ht="15.75" customHeight="1">
      <c r="A503" s="106"/>
      <c r="B503" s="107"/>
      <c r="C503" s="110"/>
      <c r="D503" s="110"/>
    </row>
    <row r="504" ht="15.75" customHeight="1">
      <c r="A504" s="106"/>
      <c r="B504" s="107"/>
      <c r="C504" s="110"/>
      <c r="D504" s="110"/>
    </row>
    <row r="505" ht="15.75" customHeight="1">
      <c r="A505" s="106"/>
      <c r="B505" s="107"/>
      <c r="C505" s="110"/>
      <c r="D505" s="110"/>
    </row>
    <row r="506" ht="15.75" customHeight="1">
      <c r="A506" s="106"/>
      <c r="B506" s="107"/>
      <c r="C506" s="110"/>
      <c r="D506" s="110"/>
    </row>
    <row r="507" ht="15.75" customHeight="1">
      <c r="A507" s="106"/>
      <c r="B507" s="107"/>
      <c r="C507" s="110"/>
      <c r="D507" s="110"/>
    </row>
    <row r="508" ht="15.75" customHeight="1">
      <c r="A508" s="106"/>
      <c r="B508" s="107"/>
      <c r="C508" s="110"/>
      <c r="D508" s="110"/>
    </row>
    <row r="509" ht="15.75" customHeight="1">
      <c r="A509" s="106"/>
      <c r="B509" s="107"/>
      <c r="C509" s="110"/>
      <c r="D509" s="110"/>
    </row>
    <row r="510" ht="15.75" customHeight="1">
      <c r="A510" s="106"/>
      <c r="B510" s="107"/>
      <c r="C510" s="110"/>
      <c r="D510" s="110"/>
    </row>
    <row r="511" ht="15.75" customHeight="1">
      <c r="A511" s="106"/>
      <c r="B511" s="107"/>
      <c r="C511" s="110"/>
      <c r="D511" s="110"/>
    </row>
    <row r="512" ht="15.75" customHeight="1">
      <c r="A512" s="106"/>
      <c r="B512" s="107"/>
      <c r="C512" s="110"/>
      <c r="D512" s="110"/>
    </row>
    <row r="513" ht="15.75" customHeight="1">
      <c r="A513" s="106"/>
      <c r="B513" s="107"/>
      <c r="C513" s="110"/>
      <c r="D513" s="110"/>
    </row>
    <row r="514" ht="15.75" customHeight="1">
      <c r="A514" s="106"/>
      <c r="B514" s="107"/>
      <c r="C514" s="110"/>
      <c r="D514" s="110"/>
    </row>
    <row r="515" ht="15.75" customHeight="1">
      <c r="A515" s="106"/>
      <c r="B515" s="107"/>
      <c r="C515" s="110"/>
      <c r="D515" s="110"/>
    </row>
    <row r="516" ht="15.75" customHeight="1">
      <c r="A516" s="106"/>
      <c r="B516" s="107"/>
      <c r="C516" s="110"/>
      <c r="D516" s="110"/>
    </row>
    <row r="517" ht="15.75" customHeight="1">
      <c r="A517" s="106"/>
      <c r="B517" s="107"/>
      <c r="C517" s="110"/>
      <c r="D517" s="110"/>
    </row>
    <row r="518" ht="15.75" customHeight="1">
      <c r="A518" s="106"/>
      <c r="B518" s="107"/>
      <c r="C518" s="110"/>
      <c r="D518" s="110"/>
    </row>
    <row r="519" ht="15.75" customHeight="1">
      <c r="A519" s="106"/>
      <c r="B519" s="107"/>
      <c r="C519" s="110"/>
      <c r="D519" s="110"/>
    </row>
    <row r="520" ht="15.75" customHeight="1">
      <c r="A520" s="106"/>
      <c r="B520" s="107"/>
      <c r="C520" s="110"/>
      <c r="D520" s="110"/>
    </row>
    <row r="521" ht="15.75" customHeight="1">
      <c r="A521" s="106"/>
      <c r="B521" s="107"/>
      <c r="C521" s="110"/>
      <c r="D521" s="110"/>
    </row>
    <row r="522" ht="15.75" customHeight="1">
      <c r="A522" s="106"/>
      <c r="B522" s="107"/>
      <c r="C522" s="110"/>
      <c r="D522" s="110"/>
    </row>
    <row r="523" ht="15.75" customHeight="1">
      <c r="A523" s="106"/>
      <c r="B523" s="107"/>
      <c r="C523" s="110"/>
      <c r="D523" s="110"/>
    </row>
    <row r="524" ht="15.75" customHeight="1">
      <c r="A524" s="106"/>
      <c r="B524" s="107"/>
      <c r="C524" s="110"/>
      <c r="D524" s="110"/>
    </row>
    <row r="525" ht="15.75" customHeight="1">
      <c r="A525" s="106"/>
      <c r="B525" s="107"/>
      <c r="C525" s="110"/>
      <c r="D525" s="110"/>
    </row>
    <row r="526" ht="15.75" customHeight="1">
      <c r="A526" s="106"/>
      <c r="B526" s="107"/>
      <c r="C526" s="110"/>
      <c r="D526" s="110"/>
    </row>
    <row r="527" ht="15.75" customHeight="1">
      <c r="A527" s="106"/>
      <c r="B527" s="107"/>
      <c r="C527" s="110"/>
      <c r="D527" s="110"/>
    </row>
    <row r="528" ht="15.75" customHeight="1">
      <c r="A528" s="106"/>
      <c r="B528" s="107"/>
      <c r="C528" s="110"/>
      <c r="D528" s="110"/>
    </row>
    <row r="529" ht="15.75" customHeight="1">
      <c r="A529" s="106"/>
      <c r="B529" s="107"/>
      <c r="C529" s="110"/>
      <c r="D529" s="110"/>
    </row>
    <row r="530" ht="15.75" customHeight="1">
      <c r="A530" s="106"/>
      <c r="B530" s="107"/>
      <c r="C530" s="110"/>
      <c r="D530" s="110"/>
    </row>
    <row r="531" ht="15.75" customHeight="1">
      <c r="A531" s="106"/>
      <c r="B531" s="107"/>
      <c r="C531" s="110"/>
      <c r="D531" s="110"/>
    </row>
    <row r="532" ht="15.75" customHeight="1">
      <c r="A532" s="106"/>
      <c r="B532" s="107"/>
      <c r="C532" s="110"/>
      <c r="D532" s="110"/>
    </row>
    <row r="533" ht="15.75" customHeight="1">
      <c r="A533" s="106"/>
      <c r="B533" s="107"/>
      <c r="C533" s="110"/>
      <c r="D533" s="110"/>
    </row>
    <row r="534" ht="15.75" customHeight="1">
      <c r="A534" s="106"/>
      <c r="B534" s="107"/>
      <c r="C534" s="110"/>
      <c r="D534" s="110"/>
    </row>
    <row r="535" ht="15.75" customHeight="1">
      <c r="A535" s="106"/>
      <c r="B535" s="107"/>
      <c r="C535" s="110"/>
      <c r="D535" s="110"/>
    </row>
    <row r="536" ht="15.75" customHeight="1">
      <c r="A536" s="106"/>
      <c r="B536" s="107"/>
      <c r="C536" s="110"/>
      <c r="D536" s="110"/>
    </row>
    <row r="537" ht="15.75" customHeight="1">
      <c r="A537" s="106"/>
      <c r="B537" s="107"/>
      <c r="C537" s="110"/>
      <c r="D537" s="110"/>
    </row>
    <row r="538" ht="15.75" customHeight="1">
      <c r="A538" s="106"/>
      <c r="B538" s="107"/>
      <c r="C538" s="110"/>
      <c r="D538" s="110"/>
    </row>
    <row r="539" ht="15.75" customHeight="1">
      <c r="A539" s="106"/>
      <c r="B539" s="107"/>
      <c r="C539" s="110"/>
      <c r="D539" s="110"/>
    </row>
    <row r="540" ht="15.75" customHeight="1">
      <c r="A540" s="106"/>
      <c r="B540" s="107"/>
      <c r="C540" s="110"/>
      <c r="D540" s="110"/>
    </row>
    <row r="541" ht="15.75" customHeight="1">
      <c r="A541" s="106"/>
      <c r="B541" s="107"/>
      <c r="C541" s="110"/>
      <c r="D541" s="110"/>
    </row>
    <row r="542" ht="15.75" customHeight="1">
      <c r="A542" s="106"/>
      <c r="B542" s="107"/>
      <c r="C542" s="110"/>
      <c r="D542" s="110"/>
    </row>
    <row r="543" ht="15.75" customHeight="1">
      <c r="A543" s="106"/>
      <c r="B543" s="107"/>
      <c r="C543" s="110"/>
      <c r="D543" s="110"/>
    </row>
    <row r="544" ht="15.75" customHeight="1">
      <c r="A544" s="106"/>
      <c r="B544" s="107"/>
      <c r="C544" s="110"/>
      <c r="D544" s="110"/>
    </row>
    <row r="545" ht="15.75" customHeight="1">
      <c r="A545" s="111"/>
      <c r="B545" s="111"/>
      <c r="C545" s="111"/>
      <c r="D545" s="111"/>
    </row>
    <row r="546" ht="15.75" customHeight="1">
      <c r="A546" s="111"/>
      <c r="B546" s="111"/>
      <c r="C546" s="111"/>
      <c r="D546" s="111"/>
    </row>
    <row r="547" ht="15.75" customHeight="1">
      <c r="A547" s="111"/>
      <c r="B547" s="111"/>
      <c r="C547" s="111"/>
      <c r="D547" s="111"/>
    </row>
    <row r="548" ht="15.75" customHeight="1">
      <c r="A548" s="111"/>
      <c r="B548" s="111"/>
      <c r="C548" s="111"/>
      <c r="D548" s="111"/>
    </row>
    <row r="549" ht="15.75" customHeight="1">
      <c r="A549" s="111"/>
      <c r="B549" s="111"/>
      <c r="C549" s="111"/>
      <c r="D549" s="111"/>
    </row>
    <row r="550" ht="15.75" customHeight="1">
      <c r="A550" s="111"/>
      <c r="B550" s="111"/>
      <c r="C550" s="111"/>
      <c r="D550" s="111"/>
    </row>
    <row r="551" ht="15.75" customHeight="1">
      <c r="A551" s="111"/>
      <c r="B551" s="111"/>
      <c r="C551" s="111"/>
      <c r="D551" s="111"/>
    </row>
    <row r="552" ht="15.75" customHeight="1">
      <c r="A552" s="111"/>
      <c r="B552" s="111"/>
      <c r="C552" s="111"/>
      <c r="D552" s="111"/>
    </row>
    <row r="553" ht="15.75" customHeight="1">
      <c r="A553" s="111"/>
      <c r="B553" s="111"/>
      <c r="C553" s="111"/>
      <c r="D553" s="111"/>
    </row>
    <row r="554" ht="15.75" customHeight="1">
      <c r="A554" s="111"/>
      <c r="B554" s="111"/>
      <c r="C554" s="111"/>
      <c r="D554" s="111"/>
    </row>
    <row r="555" ht="15.75" customHeight="1">
      <c r="A555" s="111"/>
      <c r="B555" s="111"/>
      <c r="C555" s="111"/>
      <c r="D555" s="111"/>
    </row>
    <row r="556" ht="15.75" customHeight="1">
      <c r="A556" s="111"/>
      <c r="B556" s="111"/>
      <c r="C556" s="111"/>
      <c r="D556" s="111"/>
    </row>
    <row r="557" ht="15.75" customHeight="1">
      <c r="A557" s="111"/>
      <c r="B557" s="111"/>
      <c r="C557" s="111"/>
      <c r="D557" s="111"/>
    </row>
    <row r="558" ht="15.75" customHeight="1">
      <c r="A558" s="111"/>
      <c r="B558" s="111"/>
      <c r="C558" s="111"/>
      <c r="D558" s="111"/>
    </row>
    <row r="559" ht="15.75" customHeight="1">
      <c r="A559" s="111"/>
      <c r="B559" s="111"/>
      <c r="C559" s="111"/>
      <c r="D559" s="111"/>
    </row>
    <row r="560" ht="15.75" customHeight="1">
      <c r="A560" s="111"/>
      <c r="B560" s="111"/>
      <c r="C560" s="111"/>
      <c r="D560" s="111"/>
    </row>
    <row r="561" ht="15.75" customHeight="1">
      <c r="A561" s="111"/>
      <c r="B561" s="111"/>
      <c r="C561" s="111"/>
      <c r="D561" s="111"/>
    </row>
    <row r="562" ht="15.75" customHeight="1">
      <c r="A562" s="111"/>
      <c r="B562" s="111"/>
      <c r="C562" s="111"/>
      <c r="D562" s="111"/>
    </row>
    <row r="563" ht="15.75" customHeight="1">
      <c r="A563" s="111"/>
      <c r="B563" s="111"/>
      <c r="C563" s="111"/>
      <c r="D563" s="111"/>
    </row>
    <row r="564" ht="15.75" customHeight="1">
      <c r="A564" s="111"/>
      <c r="B564" s="111"/>
      <c r="C564" s="111"/>
      <c r="D564" s="111"/>
    </row>
    <row r="565" ht="15.75" customHeight="1">
      <c r="A565" s="111"/>
      <c r="B565" s="111"/>
      <c r="C565" s="111"/>
      <c r="D565" s="111"/>
    </row>
    <row r="566" ht="15.75" customHeight="1">
      <c r="A566" s="111"/>
      <c r="B566" s="111"/>
      <c r="C566" s="111"/>
      <c r="D566" s="111"/>
    </row>
    <row r="567" ht="15.75" customHeight="1">
      <c r="A567" s="111"/>
      <c r="B567" s="111"/>
      <c r="C567" s="111"/>
      <c r="D567" s="111"/>
    </row>
    <row r="568" ht="15.75" customHeight="1">
      <c r="A568" s="111"/>
      <c r="B568" s="111"/>
      <c r="C568" s="111"/>
      <c r="D568" s="111"/>
    </row>
    <row r="569" ht="15.75" customHeight="1">
      <c r="A569" s="111"/>
      <c r="B569" s="111"/>
      <c r="C569" s="111"/>
      <c r="D569" s="111"/>
    </row>
    <row r="570" ht="15.75" customHeight="1">
      <c r="A570" s="111"/>
      <c r="B570" s="111"/>
      <c r="C570" s="111"/>
      <c r="D570" s="111"/>
    </row>
    <row r="571" ht="15.75" customHeight="1">
      <c r="A571" s="111"/>
      <c r="B571" s="111"/>
      <c r="C571" s="111"/>
      <c r="D571" s="111"/>
    </row>
    <row r="572" ht="15.75" customHeight="1">
      <c r="A572" s="111"/>
      <c r="B572" s="111"/>
      <c r="C572" s="111"/>
      <c r="D572" s="111"/>
    </row>
    <row r="573" ht="15.75" customHeight="1">
      <c r="A573" s="111"/>
      <c r="B573" s="111"/>
      <c r="C573" s="111"/>
      <c r="D573" s="111"/>
    </row>
    <row r="574" ht="15.75" customHeight="1">
      <c r="A574" s="111"/>
      <c r="B574" s="111"/>
      <c r="C574" s="111"/>
      <c r="D574" s="111"/>
    </row>
    <row r="575" ht="15.75" customHeight="1">
      <c r="A575" s="111"/>
      <c r="B575" s="111"/>
      <c r="C575" s="111"/>
      <c r="D575" s="111"/>
    </row>
    <row r="576" ht="15.75" customHeight="1">
      <c r="A576" s="111"/>
      <c r="B576" s="111"/>
      <c r="C576" s="111"/>
      <c r="D576" s="111"/>
    </row>
    <row r="577" ht="15.75" customHeight="1">
      <c r="A577" s="111"/>
      <c r="B577" s="111"/>
      <c r="C577" s="111"/>
      <c r="D577" s="111"/>
    </row>
    <row r="578" ht="15.75" customHeight="1">
      <c r="A578" s="111"/>
      <c r="B578" s="111"/>
      <c r="C578" s="111"/>
      <c r="D578" s="111"/>
    </row>
    <row r="579" ht="15.75" customHeight="1">
      <c r="A579" s="111"/>
      <c r="B579" s="111"/>
      <c r="C579" s="111"/>
      <c r="D579" s="111"/>
    </row>
    <row r="580" ht="15.75" customHeight="1">
      <c r="A580" s="111"/>
      <c r="B580" s="111"/>
      <c r="C580" s="111"/>
      <c r="D580" s="111"/>
    </row>
    <row r="581" ht="15.75" customHeight="1">
      <c r="A581" s="111"/>
      <c r="B581" s="111"/>
      <c r="C581" s="111"/>
      <c r="D581" s="111"/>
    </row>
    <row r="582" ht="15.75" customHeight="1">
      <c r="A582" s="111"/>
      <c r="B582" s="111"/>
      <c r="C582" s="111"/>
      <c r="D582" s="111"/>
    </row>
    <row r="583" ht="15.75" customHeight="1">
      <c r="A583" s="111"/>
      <c r="B583" s="111"/>
      <c r="C583" s="111"/>
      <c r="D583" s="111"/>
    </row>
    <row r="584" ht="15.75" customHeight="1">
      <c r="A584" s="111"/>
      <c r="B584" s="111"/>
      <c r="C584" s="111"/>
      <c r="D584" s="111"/>
    </row>
    <row r="585" ht="15.75" customHeight="1">
      <c r="A585" s="111"/>
      <c r="B585" s="111"/>
      <c r="C585" s="111"/>
      <c r="D585" s="111"/>
    </row>
    <row r="586" ht="15.75" customHeight="1">
      <c r="A586" s="111"/>
      <c r="B586" s="111"/>
      <c r="C586" s="111"/>
      <c r="D586" s="111"/>
    </row>
    <row r="587" ht="15.75" customHeight="1">
      <c r="A587" s="111"/>
      <c r="B587" s="111"/>
      <c r="C587" s="111"/>
      <c r="D587" s="111"/>
    </row>
    <row r="588" ht="15.75" customHeight="1">
      <c r="A588" s="111"/>
      <c r="B588" s="111"/>
      <c r="C588" s="111"/>
      <c r="D588" s="111"/>
    </row>
    <row r="589" ht="15.75" customHeight="1">
      <c r="A589" s="111"/>
      <c r="B589" s="111"/>
      <c r="C589" s="111"/>
      <c r="D589" s="111"/>
    </row>
    <row r="590" ht="15.75" customHeight="1">
      <c r="A590" s="111"/>
      <c r="B590" s="111"/>
      <c r="C590" s="111"/>
      <c r="D590" s="111"/>
    </row>
    <row r="591" ht="15.75" customHeight="1">
      <c r="A591" s="111"/>
      <c r="B591" s="111"/>
      <c r="C591" s="111"/>
      <c r="D591" s="111"/>
    </row>
    <row r="592" ht="15.75" customHeight="1">
      <c r="A592" s="111"/>
      <c r="B592" s="111"/>
      <c r="C592" s="111"/>
      <c r="D592" s="111"/>
    </row>
    <row r="593" ht="15.75" customHeight="1">
      <c r="A593" s="111"/>
      <c r="B593" s="111"/>
      <c r="C593" s="111"/>
      <c r="D593" s="111"/>
    </row>
    <row r="594" ht="15.75" customHeight="1">
      <c r="A594" s="111"/>
      <c r="B594" s="111"/>
      <c r="C594" s="111"/>
      <c r="D594" s="111"/>
    </row>
    <row r="595" ht="15.75" customHeight="1">
      <c r="A595" s="111"/>
      <c r="B595" s="111"/>
      <c r="C595" s="111"/>
      <c r="D595" s="111"/>
    </row>
    <row r="596" ht="15.75" customHeight="1">
      <c r="A596" s="111"/>
      <c r="B596" s="111"/>
      <c r="C596" s="111"/>
      <c r="D596" s="111"/>
    </row>
    <row r="597" ht="15.75" customHeight="1">
      <c r="A597" s="111"/>
      <c r="B597" s="111"/>
      <c r="C597" s="111"/>
      <c r="D597" s="111"/>
    </row>
    <row r="598" ht="15.75" customHeight="1">
      <c r="A598" s="111"/>
      <c r="B598" s="111"/>
      <c r="C598" s="111"/>
      <c r="D598" s="111"/>
    </row>
    <row r="599" ht="15.75" customHeight="1">
      <c r="A599" s="111"/>
      <c r="B599" s="111"/>
      <c r="C599" s="111"/>
      <c r="D599" s="111"/>
    </row>
    <row r="600" ht="15.75" customHeight="1">
      <c r="A600" s="111"/>
      <c r="B600" s="111"/>
      <c r="C600" s="111"/>
      <c r="D600" s="111"/>
    </row>
    <row r="601" ht="15.75" customHeight="1">
      <c r="A601" s="111"/>
      <c r="B601" s="111"/>
      <c r="C601" s="111"/>
      <c r="D601" s="111"/>
    </row>
    <row r="602" ht="15.75" customHeight="1">
      <c r="A602" s="111"/>
      <c r="B602" s="111"/>
      <c r="C602" s="111"/>
      <c r="D602" s="111"/>
    </row>
    <row r="603" ht="15.75" customHeight="1">
      <c r="A603" s="111"/>
      <c r="B603" s="111"/>
      <c r="C603" s="111"/>
      <c r="D603" s="111"/>
    </row>
    <row r="604" ht="15.75" customHeight="1">
      <c r="A604" s="111"/>
      <c r="B604" s="111"/>
      <c r="C604" s="111"/>
      <c r="D604" s="111"/>
    </row>
    <row r="605" ht="15.75" customHeight="1">
      <c r="A605" s="111"/>
      <c r="B605" s="111"/>
      <c r="C605" s="111"/>
      <c r="D605" s="111"/>
    </row>
    <row r="606" ht="15.75" customHeight="1">
      <c r="A606" s="111"/>
      <c r="B606" s="111"/>
      <c r="C606" s="111"/>
      <c r="D606" s="111"/>
    </row>
    <row r="607" ht="15.75" customHeight="1">
      <c r="A607" s="111"/>
      <c r="B607" s="111"/>
      <c r="C607" s="111"/>
      <c r="D607" s="111"/>
    </row>
    <row r="608" ht="15.75" customHeight="1">
      <c r="A608" s="111"/>
      <c r="B608" s="111"/>
      <c r="C608" s="111"/>
      <c r="D608" s="111"/>
    </row>
    <row r="609" ht="15.75" customHeight="1">
      <c r="A609" s="111"/>
      <c r="B609" s="111"/>
      <c r="C609" s="111"/>
      <c r="D609" s="111"/>
    </row>
    <row r="610" ht="15.75" customHeight="1">
      <c r="A610" s="111"/>
      <c r="B610" s="111"/>
      <c r="C610" s="111"/>
      <c r="D610" s="111"/>
    </row>
    <row r="611" ht="15.75" customHeight="1">
      <c r="A611" s="111"/>
      <c r="B611" s="111"/>
      <c r="C611" s="111"/>
      <c r="D611" s="111"/>
    </row>
    <row r="612" ht="15.75" customHeight="1">
      <c r="A612" s="111"/>
      <c r="B612" s="111"/>
      <c r="C612" s="111"/>
      <c r="D612" s="111"/>
    </row>
    <row r="613" ht="15.75" customHeight="1">
      <c r="A613" s="111"/>
      <c r="B613" s="111"/>
      <c r="C613" s="111"/>
      <c r="D613" s="111"/>
    </row>
    <row r="614" ht="15.75" customHeight="1">
      <c r="A614" s="111"/>
      <c r="B614" s="111"/>
      <c r="C614" s="111"/>
      <c r="D614" s="111"/>
    </row>
    <row r="615" ht="15.75" customHeight="1">
      <c r="A615" s="111"/>
      <c r="B615" s="111"/>
      <c r="C615" s="111"/>
      <c r="D615" s="111"/>
    </row>
    <row r="616" ht="15.75" customHeight="1">
      <c r="A616" s="111"/>
      <c r="B616" s="111"/>
      <c r="C616" s="111"/>
      <c r="D616" s="111"/>
    </row>
    <row r="617" ht="15.75" customHeight="1">
      <c r="A617" s="111"/>
      <c r="B617" s="111"/>
      <c r="C617" s="111"/>
      <c r="D617" s="111"/>
    </row>
    <row r="618" ht="15.75" customHeight="1">
      <c r="A618" s="111"/>
      <c r="B618" s="111"/>
      <c r="C618" s="111"/>
      <c r="D618" s="111"/>
    </row>
    <row r="619" ht="15.75" customHeight="1">
      <c r="A619" s="111"/>
      <c r="B619" s="111"/>
      <c r="C619" s="111"/>
      <c r="D619" s="111"/>
    </row>
    <row r="620" ht="15.75" customHeight="1">
      <c r="A620" s="111"/>
      <c r="B620" s="111"/>
      <c r="C620" s="111"/>
      <c r="D620" s="111"/>
    </row>
    <row r="621" ht="15.75" customHeight="1">
      <c r="A621" s="111"/>
      <c r="B621" s="111"/>
      <c r="C621" s="111"/>
      <c r="D621" s="111"/>
    </row>
    <row r="622" ht="15.75" customHeight="1">
      <c r="A622" s="111"/>
      <c r="B622" s="111"/>
      <c r="C622" s="111"/>
      <c r="D622" s="111"/>
    </row>
    <row r="623" ht="15.75" customHeight="1">
      <c r="A623" s="111"/>
      <c r="B623" s="111"/>
      <c r="C623" s="111"/>
      <c r="D623" s="111"/>
    </row>
    <row r="624" ht="15.75" customHeight="1">
      <c r="A624" s="111"/>
      <c r="B624" s="111"/>
      <c r="C624" s="111"/>
      <c r="D624" s="111"/>
    </row>
    <row r="625" ht="15.75" customHeight="1">
      <c r="A625" s="111"/>
      <c r="B625" s="111"/>
      <c r="C625" s="111"/>
      <c r="D625" s="111"/>
    </row>
    <row r="626" ht="15.75" customHeight="1">
      <c r="A626" s="111"/>
      <c r="B626" s="111"/>
      <c r="C626" s="111"/>
      <c r="D626" s="111"/>
    </row>
    <row r="627" ht="15.75" customHeight="1">
      <c r="A627" s="111"/>
      <c r="B627" s="111"/>
      <c r="C627" s="111"/>
      <c r="D627" s="111"/>
    </row>
    <row r="628" ht="15.75" customHeight="1">
      <c r="A628" s="111"/>
      <c r="B628" s="111"/>
      <c r="C628" s="111"/>
      <c r="D628" s="111"/>
    </row>
    <row r="629" ht="15.75" customHeight="1">
      <c r="A629" s="111"/>
      <c r="B629" s="111"/>
      <c r="C629" s="111"/>
      <c r="D629" s="111"/>
    </row>
    <row r="630" ht="15.75" customHeight="1">
      <c r="A630" s="111"/>
      <c r="B630" s="111"/>
      <c r="C630" s="111"/>
      <c r="D630" s="111"/>
    </row>
    <row r="631" ht="15.75" customHeight="1">
      <c r="A631" s="111"/>
      <c r="B631" s="111"/>
      <c r="C631" s="111"/>
      <c r="D631" s="111"/>
    </row>
    <row r="632" ht="15.75" customHeight="1">
      <c r="A632" s="111"/>
      <c r="B632" s="111"/>
      <c r="C632" s="111"/>
      <c r="D632" s="111"/>
    </row>
    <row r="633" ht="15.75" customHeight="1">
      <c r="A633" s="111"/>
      <c r="B633" s="111"/>
      <c r="C633" s="111"/>
      <c r="D633" s="111"/>
    </row>
    <row r="634" ht="15.75" customHeight="1">
      <c r="A634" s="111"/>
      <c r="B634" s="111"/>
      <c r="C634" s="111"/>
      <c r="D634" s="111"/>
    </row>
    <row r="635" ht="15.75" customHeight="1">
      <c r="A635" s="111"/>
      <c r="B635" s="111"/>
      <c r="C635" s="111"/>
      <c r="D635" s="111"/>
    </row>
    <row r="636" ht="15.75" customHeight="1">
      <c r="A636" s="111"/>
      <c r="B636" s="111"/>
      <c r="C636" s="111"/>
      <c r="D636" s="111"/>
    </row>
    <row r="637" ht="15.75" customHeight="1">
      <c r="A637" s="111"/>
      <c r="B637" s="111"/>
      <c r="C637" s="111"/>
      <c r="D637" s="111"/>
    </row>
    <row r="638" ht="15.75" customHeight="1">
      <c r="A638" s="111"/>
      <c r="B638" s="111"/>
      <c r="C638" s="111"/>
      <c r="D638" s="111"/>
    </row>
    <row r="639" ht="15.75" customHeight="1">
      <c r="A639" s="111"/>
      <c r="B639" s="111"/>
      <c r="C639" s="111"/>
      <c r="D639" s="111"/>
    </row>
    <row r="640" ht="15.75" customHeight="1">
      <c r="A640" s="111"/>
      <c r="B640" s="111"/>
      <c r="C640" s="111"/>
      <c r="D640" s="111"/>
    </row>
    <row r="641" ht="15.75" customHeight="1">
      <c r="A641" s="111"/>
      <c r="B641" s="111"/>
      <c r="C641" s="111"/>
      <c r="D641" s="111"/>
    </row>
    <row r="642" ht="15.75" customHeight="1">
      <c r="A642" s="111"/>
      <c r="B642" s="111"/>
      <c r="C642" s="111"/>
      <c r="D642" s="111"/>
    </row>
    <row r="643" ht="15.75" customHeight="1">
      <c r="A643" s="111"/>
      <c r="B643" s="111"/>
      <c r="C643" s="111"/>
      <c r="D643" s="111"/>
    </row>
    <row r="644" ht="15.75" customHeight="1">
      <c r="A644" s="111"/>
      <c r="B644" s="111"/>
      <c r="C644" s="111"/>
      <c r="D644" s="111"/>
    </row>
    <row r="645" ht="15.75" customHeight="1">
      <c r="A645" s="111"/>
      <c r="B645" s="111"/>
      <c r="C645" s="111"/>
      <c r="D645" s="111"/>
    </row>
    <row r="646" ht="15.75" customHeight="1">
      <c r="A646" s="111"/>
      <c r="B646" s="111"/>
      <c r="C646" s="111"/>
      <c r="D646" s="111"/>
    </row>
    <row r="647" ht="15.75" customHeight="1">
      <c r="A647" s="111"/>
      <c r="B647" s="111"/>
      <c r="C647" s="111"/>
      <c r="D647" s="111"/>
    </row>
    <row r="648" ht="15.75" customHeight="1">
      <c r="A648" s="111"/>
      <c r="B648" s="111"/>
      <c r="C648" s="111"/>
      <c r="D648" s="111"/>
    </row>
    <row r="649" ht="15.75" customHeight="1">
      <c r="A649" s="111"/>
      <c r="B649" s="111"/>
      <c r="C649" s="111"/>
      <c r="D649" s="111"/>
    </row>
    <row r="650" ht="15.75" customHeight="1">
      <c r="A650" s="111"/>
      <c r="B650" s="111"/>
      <c r="C650" s="111"/>
      <c r="D650" s="111"/>
    </row>
    <row r="651" ht="15.75" customHeight="1">
      <c r="A651" s="111"/>
      <c r="B651" s="111"/>
      <c r="C651" s="111"/>
      <c r="D651" s="111"/>
    </row>
    <row r="652" ht="15.75" customHeight="1">
      <c r="A652" s="111"/>
      <c r="B652" s="111"/>
      <c r="C652" s="111"/>
      <c r="D652" s="111"/>
    </row>
    <row r="653" ht="15.75" customHeight="1">
      <c r="A653" s="111"/>
      <c r="B653" s="111"/>
      <c r="C653" s="111"/>
      <c r="D653" s="111"/>
    </row>
    <row r="654" ht="15.75" customHeight="1">
      <c r="A654" s="111"/>
      <c r="B654" s="111"/>
      <c r="C654" s="111"/>
      <c r="D654" s="111"/>
    </row>
    <row r="655" ht="15.75" customHeight="1">
      <c r="A655" s="111"/>
      <c r="B655" s="111"/>
      <c r="C655" s="111"/>
      <c r="D655" s="111"/>
    </row>
    <row r="656" ht="15.75" customHeight="1">
      <c r="A656" s="111"/>
      <c r="B656" s="111"/>
      <c r="C656" s="111"/>
      <c r="D656" s="111"/>
    </row>
    <row r="657" ht="15.75" customHeight="1">
      <c r="A657" s="111"/>
      <c r="B657" s="111"/>
      <c r="C657" s="111"/>
      <c r="D657" s="111"/>
    </row>
    <row r="658" ht="15.75" customHeight="1">
      <c r="A658" s="111"/>
      <c r="B658" s="111"/>
      <c r="C658" s="111"/>
      <c r="D658" s="111"/>
    </row>
    <row r="659" ht="15.75" customHeight="1">
      <c r="A659" s="111"/>
      <c r="B659" s="111"/>
      <c r="C659" s="111"/>
      <c r="D659" s="111"/>
    </row>
    <row r="660" ht="15.75" customHeight="1">
      <c r="A660" s="111"/>
      <c r="B660" s="111"/>
      <c r="C660" s="111"/>
      <c r="D660" s="111"/>
    </row>
    <row r="661" ht="15.75" customHeight="1">
      <c r="A661" s="111"/>
      <c r="B661" s="111"/>
      <c r="C661" s="111"/>
      <c r="D661" s="111"/>
    </row>
    <row r="662" ht="15.75" customHeight="1">
      <c r="A662" s="111"/>
      <c r="B662" s="111"/>
      <c r="C662" s="111"/>
      <c r="D662" s="111"/>
    </row>
    <row r="663" ht="15.75" customHeight="1">
      <c r="A663" s="111"/>
      <c r="B663" s="111"/>
      <c r="C663" s="111"/>
      <c r="D663" s="111"/>
    </row>
    <row r="664" ht="15.75" customHeight="1">
      <c r="A664" s="111"/>
      <c r="B664" s="111"/>
      <c r="C664" s="111"/>
      <c r="D664" s="111"/>
    </row>
    <row r="665" ht="15.75" customHeight="1">
      <c r="A665" s="111"/>
      <c r="B665" s="111"/>
      <c r="C665" s="111"/>
      <c r="D665" s="111"/>
    </row>
    <row r="666" ht="15.75" customHeight="1">
      <c r="A666" s="111"/>
      <c r="B666" s="111"/>
      <c r="C666" s="111"/>
      <c r="D666" s="111"/>
    </row>
    <row r="667" ht="15.75" customHeight="1">
      <c r="A667" s="111"/>
      <c r="B667" s="111"/>
      <c r="C667" s="111"/>
      <c r="D667" s="111"/>
    </row>
    <row r="668" ht="15.75" customHeight="1">
      <c r="A668" s="111"/>
      <c r="B668" s="111"/>
      <c r="C668" s="111"/>
      <c r="D668" s="111"/>
    </row>
    <row r="669" ht="15.75" customHeight="1">
      <c r="A669" s="111"/>
      <c r="B669" s="111"/>
      <c r="C669" s="111"/>
      <c r="D669" s="111"/>
    </row>
    <row r="670" ht="15.75" customHeight="1">
      <c r="A670" s="111"/>
      <c r="B670" s="111"/>
      <c r="C670" s="111"/>
      <c r="D670" s="111"/>
    </row>
    <row r="671" ht="15.75" customHeight="1">
      <c r="A671" s="111"/>
      <c r="B671" s="111"/>
      <c r="C671" s="111"/>
      <c r="D671" s="111"/>
    </row>
    <row r="672" ht="15.75" customHeight="1">
      <c r="A672" s="111"/>
      <c r="B672" s="111"/>
      <c r="C672" s="111"/>
      <c r="D672" s="111"/>
    </row>
    <row r="673" ht="15.75" customHeight="1">
      <c r="A673" s="111"/>
      <c r="B673" s="111"/>
      <c r="C673" s="111"/>
      <c r="D673" s="111"/>
    </row>
    <row r="674" ht="15.75" customHeight="1">
      <c r="A674" s="111"/>
      <c r="B674" s="111"/>
      <c r="C674" s="111"/>
      <c r="D674" s="111"/>
    </row>
    <row r="675" ht="15.75" customHeight="1">
      <c r="A675" s="111"/>
      <c r="B675" s="111"/>
      <c r="C675" s="111"/>
      <c r="D675" s="111"/>
    </row>
    <row r="676" ht="15.75" customHeight="1">
      <c r="A676" s="111"/>
      <c r="B676" s="111"/>
      <c r="C676" s="111"/>
      <c r="D676" s="111"/>
    </row>
    <row r="677" ht="15.75" customHeight="1">
      <c r="A677" s="111"/>
      <c r="B677" s="111"/>
      <c r="C677" s="111"/>
      <c r="D677" s="111"/>
    </row>
    <row r="678" ht="15.75" customHeight="1">
      <c r="A678" s="111"/>
      <c r="B678" s="111"/>
      <c r="C678" s="111"/>
      <c r="D678" s="111"/>
    </row>
    <row r="679" ht="15.75" customHeight="1">
      <c r="A679" s="111"/>
      <c r="B679" s="111"/>
      <c r="C679" s="111"/>
      <c r="D679" s="111"/>
    </row>
    <row r="680" ht="15.75" customHeight="1">
      <c r="A680" s="111"/>
      <c r="B680" s="111"/>
      <c r="C680" s="111"/>
      <c r="D680" s="111"/>
    </row>
    <row r="681" ht="15.75" customHeight="1">
      <c r="A681" s="111"/>
      <c r="B681" s="111"/>
      <c r="C681" s="111"/>
      <c r="D681" s="111"/>
    </row>
    <row r="682" ht="15.75" customHeight="1">
      <c r="A682" s="111"/>
      <c r="B682" s="111"/>
      <c r="C682" s="111"/>
      <c r="D682" s="111"/>
    </row>
    <row r="683" ht="15.75" customHeight="1">
      <c r="A683" s="111"/>
      <c r="B683" s="111"/>
      <c r="C683" s="111"/>
      <c r="D683" s="111"/>
    </row>
    <row r="684" ht="15.75" customHeight="1">
      <c r="A684" s="111"/>
      <c r="B684" s="111"/>
      <c r="C684" s="111"/>
      <c r="D684" s="111"/>
    </row>
    <row r="685" ht="15.75" customHeight="1">
      <c r="A685" s="111"/>
      <c r="B685" s="111"/>
      <c r="C685" s="111"/>
      <c r="D685" s="111"/>
    </row>
    <row r="686" ht="15.75" customHeight="1">
      <c r="A686" s="111"/>
      <c r="B686" s="111"/>
      <c r="C686" s="111"/>
      <c r="D686" s="111"/>
    </row>
    <row r="687" ht="15.75" customHeight="1">
      <c r="A687" s="111"/>
      <c r="B687" s="111"/>
      <c r="C687" s="111"/>
      <c r="D687" s="111"/>
    </row>
    <row r="688" ht="15.75" customHeight="1">
      <c r="A688" s="111"/>
      <c r="B688" s="111"/>
      <c r="C688" s="111"/>
      <c r="D688" s="111"/>
    </row>
    <row r="689" ht="15.75" customHeight="1">
      <c r="A689" s="111"/>
      <c r="B689" s="111"/>
      <c r="C689" s="111"/>
      <c r="D689" s="111"/>
    </row>
    <row r="690" ht="15.75" customHeight="1">
      <c r="A690" s="111"/>
      <c r="B690" s="111"/>
      <c r="C690" s="111"/>
      <c r="D690" s="111"/>
    </row>
    <row r="691" ht="15.75" customHeight="1">
      <c r="A691" s="111"/>
      <c r="B691" s="111"/>
      <c r="C691" s="111"/>
      <c r="D691" s="111"/>
    </row>
    <row r="692" ht="15.75" customHeight="1">
      <c r="A692" s="111"/>
      <c r="B692" s="111"/>
      <c r="C692" s="111"/>
      <c r="D692" s="111"/>
    </row>
    <row r="693" ht="15.75" customHeight="1">
      <c r="A693" s="111"/>
      <c r="B693" s="111"/>
      <c r="C693" s="111"/>
      <c r="D693" s="111"/>
    </row>
    <row r="694" ht="15.75" customHeight="1">
      <c r="A694" s="111"/>
      <c r="B694" s="111"/>
      <c r="C694" s="111"/>
      <c r="D694" s="111"/>
    </row>
    <row r="695" ht="15.75" customHeight="1">
      <c r="A695" s="111"/>
      <c r="B695" s="111"/>
      <c r="C695" s="111"/>
      <c r="D695" s="111"/>
    </row>
    <row r="696" ht="15.75" customHeight="1">
      <c r="A696" s="111"/>
      <c r="B696" s="111"/>
      <c r="C696" s="111"/>
      <c r="D696" s="111"/>
    </row>
    <row r="697" ht="15.75" customHeight="1">
      <c r="A697" s="111"/>
      <c r="B697" s="111"/>
      <c r="C697" s="111"/>
      <c r="D697" s="111"/>
    </row>
    <row r="698" ht="15.75" customHeight="1">
      <c r="A698" s="111"/>
      <c r="B698" s="111"/>
      <c r="C698" s="111"/>
      <c r="D698" s="111"/>
    </row>
    <row r="699" ht="15.75" customHeight="1">
      <c r="A699" s="111"/>
      <c r="B699" s="111"/>
      <c r="C699" s="111"/>
      <c r="D699" s="111"/>
    </row>
    <row r="700" ht="15.75" customHeight="1">
      <c r="A700" s="111"/>
      <c r="B700" s="111"/>
      <c r="C700" s="111"/>
      <c r="D700" s="111"/>
    </row>
    <row r="701" ht="15.75" customHeight="1">
      <c r="A701" s="111"/>
      <c r="B701" s="111"/>
      <c r="C701" s="111"/>
      <c r="D701" s="111"/>
    </row>
    <row r="702" ht="15.75" customHeight="1">
      <c r="A702" s="111"/>
      <c r="B702" s="111"/>
      <c r="C702" s="111"/>
      <c r="D702" s="111"/>
    </row>
    <row r="703" ht="15.75" customHeight="1">
      <c r="A703" s="111"/>
      <c r="B703" s="111"/>
      <c r="C703" s="111"/>
      <c r="D703" s="111"/>
    </row>
    <row r="704" ht="15.75" customHeight="1">
      <c r="A704" s="111"/>
      <c r="B704" s="111"/>
      <c r="C704" s="111"/>
      <c r="D704" s="111"/>
    </row>
    <row r="705" ht="15.75" customHeight="1">
      <c r="A705" s="111"/>
      <c r="B705" s="111"/>
      <c r="C705" s="111"/>
      <c r="D705" s="111"/>
    </row>
    <row r="706" ht="15.75" customHeight="1">
      <c r="A706" s="111"/>
      <c r="B706" s="111"/>
      <c r="C706" s="111"/>
      <c r="D706" s="111"/>
    </row>
    <row r="707" ht="15.75" customHeight="1">
      <c r="A707" s="111"/>
      <c r="B707" s="111"/>
      <c r="C707" s="111"/>
      <c r="D707" s="111"/>
    </row>
    <row r="708" ht="15.75" customHeight="1">
      <c r="A708" s="111"/>
      <c r="B708" s="111"/>
      <c r="C708" s="111"/>
      <c r="D708" s="111"/>
    </row>
    <row r="709" ht="15.75" customHeight="1">
      <c r="A709" s="111"/>
      <c r="B709" s="111"/>
      <c r="C709" s="111"/>
      <c r="D709" s="111"/>
    </row>
    <row r="710" ht="15.75" customHeight="1">
      <c r="A710" s="111"/>
      <c r="B710" s="111"/>
      <c r="C710" s="111"/>
      <c r="D710" s="111"/>
    </row>
    <row r="711" ht="15.75" customHeight="1">
      <c r="A711" s="111"/>
      <c r="B711" s="111"/>
      <c r="C711" s="111"/>
      <c r="D711" s="111"/>
    </row>
    <row r="712" ht="15.75" customHeight="1">
      <c r="A712" s="111"/>
      <c r="B712" s="111"/>
      <c r="C712" s="111"/>
      <c r="D712" s="111"/>
    </row>
    <row r="713" ht="15.75" customHeight="1">
      <c r="A713" s="111"/>
      <c r="B713" s="111"/>
      <c r="C713" s="111"/>
      <c r="D713" s="111"/>
    </row>
    <row r="714" ht="15.75" customHeight="1">
      <c r="A714" s="111"/>
      <c r="B714" s="111"/>
      <c r="C714" s="111"/>
      <c r="D714" s="111"/>
    </row>
    <row r="715" ht="15.75" customHeight="1">
      <c r="A715" s="111"/>
      <c r="B715" s="111"/>
      <c r="C715" s="111"/>
      <c r="D715" s="111"/>
    </row>
    <row r="716" ht="15.75" customHeight="1">
      <c r="A716" s="111"/>
      <c r="B716" s="111"/>
      <c r="C716" s="111"/>
      <c r="D716" s="111"/>
    </row>
    <row r="717" ht="15.75" customHeight="1">
      <c r="A717" s="111"/>
      <c r="B717" s="111"/>
      <c r="C717" s="111"/>
      <c r="D717" s="111"/>
    </row>
    <row r="718" ht="15.75" customHeight="1">
      <c r="A718" s="111"/>
      <c r="B718" s="111"/>
      <c r="C718" s="111"/>
      <c r="D718" s="111"/>
    </row>
    <row r="719" ht="15.75" customHeight="1">
      <c r="A719" s="111"/>
      <c r="B719" s="111"/>
      <c r="C719" s="111"/>
      <c r="D719" s="111"/>
    </row>
    <row r="720" ht="15.75" customHeight="1">
      <c r="A720" s="111"/>
      <c r="B720" s="111"/>
      <c r="C720" s="111"/>
      <c r="D720" s="111"/>
    </row>
    <row r="721" ht="15.75" customHeight="1">
      <c r="A721" s="111"/>
      <c r="B721" s="111"/>
      <c r="C721" s="111"/>
      <c r="D721" s="111"/>
    </row>
    <row r="722" ht="15.75" customHeight="1">
      <c r="A722" s="111"/>
      <c r="B722" s="111"/>
      <c r="C722" s="111"/>
      <c r="D722" s="111"/>
    </row>
    <row r="723" ht="15.75" customHeight="1">
      <c r="A723" s="111"/>
      <c r="B723" s="111"/>
      <c r="C723" s="111"/>
      <c r="D723" s="111"/>
    </row>
    <row r="724" ht="15.75" customHeight="1">
      <c r="A724" s="111"/>
      <c r="B724" s="111"/>
      <c r="C724" s="111"/>
      <c r="D724" s="111"/>
    </row>
    <row r="725" ht="15.75" customHeight="1">
      <c r="A725" s="111"/>
      <c r="B725" s="111"/>
      <c r="C725" s="111"/>
      <c r="D725" s="111"/>
    </row>
    <row r="726" ht="15.75" customHeight="1">
      <c r="A726" s="111"/>
      <c r="B726" s="111"/>
      <c r="C726" s="111"/>
      <c r="D726" s="111"/>
    </row>
    <row r="727" ht="15.75" customHeight="1">
      <c r="A727" s="111"/>
      <c r="B727" s="111"/>
      <c r="C727" s="111"/>
      <c r="D727" s="111"/>
    </row>
    <row r="728" ht="15.75" customHeight="1">
      <c r="A728" s="111"/>
      <c r="B728" s="111"/>
      <c r="C728" s="111"/>
      <c r="D728" s="111"/>
    </row>
    <row r="729" ht="15.75" customHeight="1">
      <c r="A729" s="111"/>
      <c r="B729" s="111"/>
      <c r="C729" s="111"/>
      <c r="D729" s="111"/>
    </row>
    <row r="730" ht="15.75" customHeight="1">
      <c r="A730" s="111"/>
      <c r="B730" s="111"/>
      <c r="C730" s="111"/>
      <c r="D730" s="111"/>
    </row>
    <row r="731" ht="15.75" customHeight="1">
      <c r="A731" s="111"/>
      <c r="B731" s="111"/>
      <c r="C731" s="111"/>
      <c r="D731" s="111"/>
    </row>
    <row r="732" ht="15.75" customHeight="1">
      <c r="A732" s="111"/>
      <c r="B732" s="111"/>
      <c r="C732" s="111"/>
      <c r="D732" s="111"/>
    </row>
    <row r="733" ht="15.75" customHeight="1">
      <c r="A733" s="111"/>
      <c r="B733" s="111"/>
      <c r="C733" s="111"/>
      <c r="D733" s="111"/>
    </row>
    <row r="734" ht="15.75" customHeight="1">
      <c r="A734" s="111"/>
      <c r="B734" s="111"/>
      <c r="C734" s="111"/>
      <c r="D734" s="111"/>
    </row>
    <row r="735" ht="15.75" customHeight="1">
      <c r="A735" s="111"/>
      <c r="B735" s="111"/>
      <c r="C735" s="111"/>
      <c r="D735" s="111"/>
    </row>
    <row r="736" ht="15.75" customHeight="1">
      <c r="A736" s="111"/>
      <c r="B736" s="111"/>
      <c r="C736" s="111"/>
      <c r="D736" s="111"/>
    </row>
    <row r="737" ht="15.75" customHeight="1">
      <c r="A737" s="111"/>
      <c r="B737" s="111"/>
      <c r="C737" s="111"/>
      <c r="D737" s="111"/>
    </row>
    <row r="738" ht="15.75" customHeight="1">
      <c r="A738" s="111"/>
      <c r="B738" s="111"/>
      <c r="C738" s="111"/>
      <c r="D738" s="111"/>
    </row>
    <row r="739" ht="15.75" customHeight="1">
      <c r="A739" s="111"/>
      <c r="B739" s="111"/>
      <c r="C739" s="111"/>
      <c r="D739" s="111"/>
    </row>
    <row r="740" ht="15.75" customHeight="1">
      <c r="A740" s="111"/>
      <c r="B740" s="111"/>
      <c r="C740" s="111"/>
      <c r="D740" s="111"/>
    </row>
    <row r="741" ht="15.75" customHeight="1">
      <c r="A741" s="111"/>
      <c r="B741" s="111"/>
      <c r="C741" s="111"/>
      <c r="D741" s="111"/>
    </row>
    <row r="742" ht="15.75" customHeight="1">
      <c r="A742" s="111"/>
      <c r="B742" s="111"/>
      <c r="C742" s="111"/>
      <c r="D742" s="111"/>
    </row>
    <row r="743" ht="15.75" customHeight="1">
      <c r="A743" s="111"/>
      <c r="B743" s="111"/>
      <c r="C743" s="111"/>
      <c r="D743" s="111"/>
    </row>
    <row r="744" ht="15.75" customHeight="1">
      <c r="A744" s="111"/>
      <c r="B744" s="111"/>
      <c r="C744" s="111"/>
      <c r="D744" s="111"/>
    </row>
    <row r="745" ht="15.75" customHeight="1">
      <c r="A745" s="111"/>
      <c r="B745" s="111"/>
      <c r="C745" s="111"/>
      <c r="D745" s="111"/>
    </row>
    <row r="746" ht="15.75" customHeight="1">
      <c r="A746" s="111"/>
      <c r="B746" s="111"/>
      <c r="C746" s="111"/>
      <c r="D746" s="111"/>
    </row>
    <row r="747" ht="15.75" customHeight="1">
      <c r="A747" s="111"/>
      <c r="B747" s="111"/>
      <c r="C747" s="111"/>
      <c r="D747" s="111"/>
    </row>
    <row r="748" ht="15.75" customHeight="1">
      <c r="A748" s="111"/>
      <c r="B748" s="111"/>
      <c r="C748" s="111"/>
      <c r="D748" s="111"/>
    </row>
    <row r="749" ht="15.75" customHeight="1">
      <c r="A749" s="111"/>
      <c r="B749" s="111"/>
      <c r="C749" s="111"/>
      <c r="D749" s="111"/>
    </row>
    <row r="750" ht="15.75" customHeight="1">
      <c r="A750" s="111"/>
      <c r="B750" s="111"/>
      <c r="C750" s="111"/>
      <c r="D750" s="111"/>
    </row>
    <row r="751" ht="15.75" customHeight="1">
      <c r="A751" s="111"/>
      <c r="B751" s="111"/>
      <c r="C751" s="111"/>
      <c r="D751" s="111"/>
    </row>
    <row r="752" ht="15.75" customHeight="1">
      <c r="A752" s="111"/>
      <c r="B752" s="111"/>
      <c r="C752" s="111"/>
      <c r="D752" s="111"/>
    </row>
    <row r="753" ht="15.75" customHeight="1">
      <c r="A753" s="111"/>
      <c r="B753" s="111"/>
      <c r="C753" s="111"/>
      <c r="D753" s="111"/>
    </row>
    <row r="754" ht="15.75" customHeight="1">
      <c r="A754" s="111"/>
      <c r="B754" s="111"/>
      <c r="C754" s="111"/>
      <c r="D754" s="111"/>
    </row>
    <row r="755" ht="15.75" customHeight="1">
      <c r="A755" s="111"/>
      <c r="B755" s="111"/>
      <c r="C755" s="111"/>
      <c r="D755" s="111"/>
    </row>
    <row r="756" ht="15.75" customHeight="1">
      <c r="A756" s="111"/>
      <c r="B756" s="111"/>
      <c r="C756" s="111"/>
      <c r="D756" s="111"/>
    </row>
    <row r="757" ht="15.75" customHeight="1">
      <c r="A757" s="111"/>
      <c r="B757" s="111"/>
      <c r="C757" s="111"/>
      <c r="D757" s="111"/>
    </row>
    <row r="758" ht="15.75" customHeight="1">
      <c r="A758" s="111"/>
      <c r="B758" s="111"/>
      <c r="C758" s="111"/>
      <c r="D758" s="111"/>
    </row>
    <row r="759" ht="15.75" customHeight="1">
      <c r="A759" s="111"/>
      <c r="B759" s="111"/>
      <c r="C759" s="111"/>
      <c r="D759" s="111"/>
    </row>
    <row r="760" ht="15.75" customHeight="1">
      <c r="A760" s="111"/>
      <c r="B760" s="111"/>
      <c r="C760" s="111"/>
      <c r="D760" s="111"/>
    </row>
    <row r="761" ht="15.75" customHeight="1">
      <c r="A761" s="111"/>
      <c r="B761" s="111"/>
      <c r="C761" s="111"/>
      <c r="D761" s="111"/>
    </row>
    <row r="762" ht="15.75" customHeight="1">
      <c r="A762" s="111"/>
      <c r="B762" s="111"/>
      <c r="C762" s="111"/>
      <c r="D762" s="111"/>
    </row>
    <row r="763" ht="15.75" customHeight="1">
      <c r="A763" s="111"/>
      <c r="B763" s="111"/>
      <c r="C763" s="111"/>
      <c r="D763" s="111"/>
    </row>
    <row r="764" ht="15.75" customHeight="1">
      <c r="A764" s="111"/>
      <c r="B764" s="111"/>
      <c r="C764" s="111"/>
      <c r="D764" s="111"/>
    </row>
    <row r="765" ht="15.75" customHeight="1">
      <c r="A765" s="111"/>
      <c r="B765" s="111"/>
      <c r="C765" s="111"/>
      <c r="D765" s="111"/>
    </row>
    <row r="766" ht="15.75" customHeight="1">
      <c r="A766" s="111"/>
      <c r="B766" s="111"/>
      <c r="C766" s="111"/>
      <c r="D766" s="111"/>
    </row>
    <row r="767" ht="15.75" customHeight="1">
      <c r="A767" s="111"/>
      <c r="B767" s="111"/>
      <c r="C767" s="111"/>
      <c r="D767" s="111"/>
    </row>
    <row r="768" ht="15.75" customHeight="1">
      <c r="A768" s="111"/>
      <c r="B768" s="111"/>
      <c r="C768" s="111"/>
      <c r="D768" s="111"/>
    </row>
    <row r="769" ht="15.75" customHeight="1">
      <c r="A769" s="111"/>
      <c r="B769" s="111"/>
      <c r="C769" s="111"/>
      <c r="D769" s="111"/>
    </row>
    <row r="770" ht="15.75" customHeight="1">
      <c r="A770" s="111"/>
      <c r="B770" s="111"/>
      <c r="C770" s="111"/>
      <c r="D770" s="111"/>
    </row>
    <row r="771" ht="15.75" customHeight="1">
      <c r="A771" s="111"/>
      <c r="B771" s="111"/>
      <c r="C771" s="111"/>
      <c r="D771" s="111"/>
    </row>
    <row r="772" ht="15.75" customHeight="1">
      <c r="A772" s="111"/>
      <c r="B772" s="111"/>
      <c r="C772" s="111"/>
      <c r="D772" s="111"/>
    </row>
    <row r="773" ht="15.75" customHeight="1">
      <c r="A773" s="111"/>
      <c r="B773" s="111"/>
      <c r="C773" s="111"/>
      <c r="D773" s="111"/>
    </row>
    <row r="774" ht="15.75" customHeight="1">
      <c r="A774" s="111"/>
      <c r="B774" s="111"/>
      <c r="C774" s="111"/>
      <c r="D774" s="111"/>
    </row>
    <row r="775" ht="15.75" customHeight="1">
      <c r="A775" s="111"/>
      <c r="B775" s="111"/>
      <c r="C775" s="111"/>
      <c r="D775" s="111"/>
    </row>
    <row r="776" ht="15.75" customHeight="1">
      <c r="A776" s="111"/>
      <c r="B776" s="111"/>
      <c r="C776" s="111"/>
      <c r="D776" s="111"/>
    </row>
    <row r="777" ht="15.75" customHeight="1">
      <c r="A777" s="111"/>
      <c r="B777" s="111"/>
      <c r="C777" s="111"/>
      <c r="D777" s="111"/>
    </row>
    <row r="778" ht="15.75" customHeight="1">
      <c r="A778" s="111"/>
      <c r="B778" s="111"/>
      <c r="C778" s="111"/>
      <c r="D778" s="111"/>
    </row>
    <row r="779" ht="15.75" customHeight="1">
      <c r="A779" s="111"/>
      <c r="B779" s="111"/>
      <c r="C779" s="111"/>
      <c r="D779" s="111"/>
    </row>
    <row r="780" ht="15.75" customHeight="1">
      <c r="A780" s="111"/>
      <c r="B780" s="111"/>
      <c r="C780" s="111"/>
      <c r="D780" s="111"/>
    </row>
    <row r="781" ht="15.75" customHeight="1">
      <c r="A781" s="111"/>
      <c r="B781" s="111"/>
      <c r="C781" s="111"/>
      <c r="D781" s="111"/>
    </row>
    <row r="782" ht="15.75" customHeight="1">
      <c r="A782" s="111"/>
      <c r="B782" s="111"/>
      <c r="C782" s="111"/>
      <c r="D782" s="111"/>
    </row>
    <row r="783" ht="15.75" customHeight="1">
      <c r="A783" s="111"/>
      <c r="B783" s="111"/>
      <c r="C783" s="111"/>
      <c r="D783" s="111"/>
    </row>
    <row r="784" ht="15.75" customHeight="1">
      <c r="A784" s="111"/>
      <c r="B784" s="111"/>
      <c r="C784" s="111"/>
      <c r="D784" s="111"/>
    </row>
    <row r="785" ht="15.75" customHeight="1">
      <c r="A785" s="111"/>
      <c r="B785" s="111"/>
      <c r="C785" s="111"/>
      <c r="D785" s="111"/>
    </row>
    <row r="786" ht="15.75" customHeight="1">
      <c r="A786" s="111"/>
      <c r="B786" s="111"/>
      <c r="C786" s="111"/>
      <c r="D786" s="111"/>
    </row>
    <row r="787" ht="15.75" customHeight="1">
      <c r="A787" s="111"/>
      <c r="B787" s="111"/>
      <c r="C787" s="111"/>
      <c r="D787" s="111"/>
    </row>
    <row r="788" ht="15.75" customHeight="1">
      <c r="A788" s="111"/>
      <c r="B788" s="111"/>
      <c r="C788" s="111"/>
      <c r="D788" s="111"/>
    </row>
    <row r="789" ht="15.75" customHeight="1">
      <c r="A789" s="111"/>
      <c r="B789" s="111"/>
      <c r="C789" s="111"/>
      <c r="D789" s="111"/>
    </row>
    <row r="790" ht="15.75" customHeight="1">
      <c r="A790" s="111"/>
      <c r="B790" s="111"/>
      <c r="C790" s="111"/>
      <c r="D790" s="111"/>
    </row>
    <row r="791" ht="15.75" customHeight="1">
      <c r="A791" s="111"/>
      <c r="B791" s="111"/>
      <c r="C791" s="111"/>
      <c r="D791" s="111"/>
    </row>
    <row r="792" ht="15.75" customHeight="1">
      <c r="A792" s="111"/>
      <c r="B792" s="111"/>
      <c r="C792" s="111"/>
      <c r="D792" s="111"/>
    </row>
    <row r="793" ht="15.75" customHeight="1">
      <c r="A793" s="111"/>
      <c r="B793" s="111"/>
      <c r="C793" s="111"/>
      <c r="D793" s="111"/>
    </row>
    <row r="794" ht="15.75" customHeight="1">
      <c r="A794" s="111"/>
      <c r="B794" s="111"/>
      <c r="C794" s="111"/>
      <c r="D794" s="111"/>
    </row>
    <row r="795" ht="15.75" customHeight="1">
      <c r="A795" s="111"/>
      <c r="B795" s="111"/>
      <c r="C795" s="111"/>
      <c r="D795" s="111"/>
    </row>
    <row r="796" ht="15.75" customHeight="1">
      <c r="A796" s="111"/>
      <c r="B796" s="111"/>
      <c r="C796" s="111"/>
      <c r="D796" s="111"/>
    </row>
    <row r="797" ht="15.75" customHeight="1">
      <c r="A797" s="111"/>
      <c r="B797" s="111"/>
      <c r="C797" s="111"/>
      <c r="D797" s="111"/>
    </row>
    <row r="798" ht="15.75" customHeight="1">
      <c r="A798" s="111"/>
      <c r="B798" s="111"/>
      <c r="C798" s="111"/>
      <c r="D798" s="111"/>
    </row>
    <row r="799" ht="15.75" customHeight="1">
      <c r="A799" s="111"/>
      <c r="B799" s="111"/>
      <c r="C799" s="111"/>
      <c r="D799" s="111"/>
    </row>
    <row r="800" ht="15.75" customHeight="1">
      <c r="A800" s="111"/>
      <c r="B800" s="111"/>
      <c r="C800" s="111"/>
      <c r="D800" s="111"/>
    </row>
    <row r="801" ht="15.75" customHeight="1">
      <c r="A801" s="111"/>
      <c r="B801" s="111"/>
      <c r="C801" s="111"/>
      <c r="D801" s="111"/>
    </row>
    <row r="802" ht="15.75" customHeight="1">
      <c r="A802" s="111"/>
      <c r="B802" s="111"/>
      <c r="C802" s="111"/>
      <c r="D802" s="111"/>
    </row>
    <row r="803" ht="15.75" customHeight="1">
      <c r="A803" s="111"/>
      <c r="B803" s="111"/>
      <c r="C803" s="111"/>
      <c r="D803" s="111"/>
    </row>
    <row r="804" ht="15.75" customHeight="1">
      <c r="A804" s="111"/>
      <c r="B804" s="111"/>
      <c r="C804" s="111"/>
      <c r="D804" s="111"/>
    </row>
    <row r="805" ht="15.75" customHeight="1">
      <c r="A805" s="111"/>
      <c r="B805" s="111"/>
      <c r="C805" s="111"/>
      <c r="D805" s="111"/>
    </row>
    <row r="806" ht="15.75" customHeight="1">
      <c r="A806" s="111"/>
      <c r="B806" s="111"/>
      <c r="C806" s="111"/>
      <c r="D806" s="111"/>
    </row>
    <row r="807" ht="15.75" customHeight="1">
      <c r="A807" s="111"/>
      <c r="B807" s="111"/>
      <c r="C807" s="111"/>
      <c r="D807" s="111"/>
    </row>
    <row r="808" ht="15.75" customHeight="1">
      <c r="A808" s="111"/>
      <c r="B808" s="111"/>
      <c r="C808" s="111"/>
      <c r="D808" s="111"/>
    </row>
    <row r="809" ht="15.75" customHeight="1">
      <c r="A809" s="111"/>
      <c r="B809" s="111"/>
      <c r="C809" s="111"/>
      <c r="D809" s="111"/>
    </row>
    <row r="810" ht="15.75" customHeight="1">
      <c r="A810" s="111"/>
      <c r="B810" s="111"/>
      <c r="C810" s="111"/>
      <c r="D810" s="111"/>
    </row>
    <row r="811" ht="15.75" customHeight="1">
      <c r="A811" s="111"/>
      <c r="B811" s="111"/>
      <c r="C811" s="111"/>
      <c r="D811" s="111"/>
    </row>
    <row r="812" ht="15.75" customHeight="1">
      <c r="A812" s="111"/>
      <c r="B812" s="111"/>
      <c r="C812" s="111"/>
      <c r="D812" s="111"/>
    </row>
    <row r="813" ht="15.75" customHeight="1">
      <c r="A813" s="111"/>
      <c r="B813" s="111"/>
      <c r="C813" s="111"/>
      <c r="D813" s="111"/>
    </row>
    <row r="814" ht="15.75" customHeight="1">
      <c r="A814" s="111"/>
      <c r="B814" s="111"/>
      <c r="C814" s="111"/>
      <c r="D814" s="111"/>
    </row>
    <row r="815" ht="15.75" customHeight="1">
      <c r="A815" s="111"/>
      <c r="B815" s="111"/>
      <c r="C815" s="111"/>
      <c r="D815" s="111"/>
    </row>
    <row r="816" ht="15.75" customHeight="1">
      <c r="A816" s="111"/>
      <c r="B816" s="111"/>
      <c r="C816" s="111"/>
      <c r="D816" s="111"/>
    </row>
    <row r="817" ht="15.75" customHeight="1">
      <c r="A817" s="111"/>
      <c r="B817" s="111"/>
      <c r="C817" s="111"/>
      <c r="D817" s="111"/>
    </row>
    <row r="818" ht="15.75" customHeight="1">
      <c r="A818" s="111"/>
      <c r="B818" s="111"/>
      <c r="C818" s="111"/>
      <c r="D818" s="111"/>
    </row>
    <row r="819" ht="15.75" customHeight="1">
      <c r="A819" s="111"/>
      <c r="B819" s="111"/>
      <c r="C819" s="111"/>
      <c r="D819" s="111"/>
    </row>
    <row r="820" ht="15.75" customHeight="1">
      <c r="A820" s="111"/>
      <c r="B820" s="111"/>
      <c r="C820" s="111"/>
      <c r="D820" s="111"/>
    </row>
    <row r="821" ht="15.75" customHeight="1">
      <c r="A821" s="111"/>
      <c r="B821" s="111"/>
      <c r="C821" s="111"/>
      <c r="D821" s="111"/>
    </row>
    <row r="822" ht="15.75" customHeight="1">
      <c r="A822" s="111"/>
      <c r="B822" s="111"/>
      <c r="C822" s="111"/>
      <c r="D822" s="111"/>
    </row>
    <row r="823" ht="15.75" customHeight="1">
      <c r="A823" s="111"/>
      <c r="B823" s="111"/>
      <c r="C823" s="111"/>
      <c r="D823" s="111"/>
    </row>
    <row r="824" ht="15.75" customHeight="1">
      <c r="A824" s="111"/>
      <c r="B824" s="111"/>
      <c r="C824" s="111"/>
      <c r="D824" s="111"/>
    </row>
    <row r="825" ht="15.75" customHeight="1">
      <c r="A825" s="111"/>
      <c r="B825" s="111"/>
      <c r="C825" s="111"/>
      <c r="D825" s="111"/>
    </row>
    <row r="826" ht="15.75" customHeight="1">
      <c r="A826" s="111"/>
      <c r="B826" s="111"/>
      <c r="C826" s="111"/>
      <c r="D826" s="111"/>
    </row>
    <row r="827" ht="15.75" customHeight="1">
      <c r="A827" s="111"/>
      <c r="B827" s="111"/>
      <c r="C827" s="111"/>
      <c r="D827" s="111"/>
    </row>
    <row r="828" ht="15.75" customHeight="1">
      <c r="A828" s="111"/>
      <c r="B828" s="111"/>
      <c r="C828" s="111"/>
      <c r="D828" s="111"/>
    </row>
    <row r="829" ht="15.75" customHeight="1">
      <c r="A829" s="111"/>
      <c r="B829" s="111"/>
      <c r="C829" s="111"/>
      <c r="D829" s="111"/>
    </row>
    <row r="830" ht="15.75" customHeight="1">
      <c r="A830" s="111"/>
      <c r="B830" s="111"/>
      <c r="C830" s="111"/>
      <c r="D830" s="111"/>
    </row>
    <row r="831" ht="15.75" customHeight="1">
      <c r="A831" s="111"/>
      <c r="B831" s="111"/>
      <c r="C831" s="111"/>
      <c r="D831" s="111"/>
    </row>
    <row r="832" ht="15.75" customHeight="1">
      <c r="A832" s="111"/>
      <c r="B832" s="111"/>
      <c r="C832" s="111"/>
      <c r="D832" s="111"/>
    </row>
    <row r="833" ht="15.75" customHeight="1">
      <c r="A833" s="111"/>
      <c r="B833" s="111"/>
      <c r="C833" s="111"/>
      <c r="D833" s="111"/>
    </row>
    <row r="834" ht="15.75" customHeight="1">
      <c r="A834" s="111"/>
      <c r="B834" s="111"/>
      <c r="C834" s="111"/>
      <c r="D834" s="111"/>
    </row>
    <row r="835" ht="15.75" customHeight="1">
      <c r="A835" s="111"/>
      <c r="B835" s="111"/>
      <c r="C835" s="111"/>
      <c r="D835" s="111"/>
    </row>
    <row r="836" ht="15.75" customHeight="1">
      <c r="A836" s="111"/>
      <c r="B836" s="111"/>
      <c r="C836" s="111"/>
      <c r="D836" s="111"/>
    </row>
    <row r="837" ht="15.75" customHeight="1">
      <c r="A837" s="111"/>
      <c r="B837" s="111"/>
      <c r="C837" s="111"/>
      <c r="D837" s="111"/>
    </row>
    <row r="838" ht="15.75" customHeight="1">
      <c r="A838" s="111"/>
      <c r="B838" s="111"/>
      <c r="C838" s="111"/>
      <c r="D838" s="111"/>
    </row>
    <row r="839" ht="15.75" customHeight="1">
      <c r="A839" s="111"/>
      <c r="B839" s="111"/>
      <c r="C839" s="111"/>
      <c r="D839" s="111"/>
    </row>
    <row r="840" ht="15.75" customHeight="1">
      <c r="A840" s="111"/>
      <c r="B840" s="111"/>
      <c r="C840" s="111"/>
      <c r="D840" s="111"/>
    </row>
    <row r="841" ht="15.75" customHeight="1">
      <c r="A841" s="111"/>
      <c r="B841" s="111"/>
      <c r="C841" s="111"/>
      <c r="D841" s="111"/>
    </row>
    <row r="842" ht="15.75" customHeight="1">
      <c r="A842" s="111"/>
      <c r="B842" s="111"/>
      <c r="C842" s="111"/>
      <c r="D842" s="111"/>
    </row>
    <row r="843" ht="15.75" customHeight="1">
      <c r="A843" s="111"/>
      <c r="B843" s="111"/>
      <c r="C843" s="111"/>
      <c r="D843" s="111"/>
    </row>
    <row r="844" ht="15.75" customHeight="1">
      <c r="A844" s="111"/>
      <c r="B844" s="111"/>
      <c r="C844" s="111"/>
      <c r="D844" s="111"/>
    </row>
    <row r="845" ht="15.75" customHeight="1">
      <c r="A845" s="111"/>
      <c r="B845" s="111"/>
      <c r="C845" s="111"/>
      <c r="D845" s="111"/>
    </row>
    <row r="846" ht="15.75" customHeight="1">
      <c r="A846" s="111"/>
      <c r="B846" s="111"/>
      <c r="C846" s="111"/>
      <c r="D846" s="111"/>
    </row>
    <row r="847" ht="15.75" customHeight="1">
      <c r="A847" s="111"/>
      <c r="B847" s="111"/>
      <c r="C847" s="111"/>
      <c r="D847" s="111"/>
    </row>
    <row r="848" ht="15.75" customHeight="1">
      <c r="A848" s="111"/>
      <c r="B848" s="111"/>
      <c r="C848" s="111"/>
      <c r="D848" s="111"/>
    </row>
    <row r="849" ht="15.75" customHeight="1">
      <c r="A849" s="111"/>
      <c r="B849" s="111"/>
      <c r="C849" s="111"/>
      <c r="D849" s="111"/>
    </row>
    <row r="850" ht="15.75" customHeight="1">
      <c r="A850" s="111"/>
      <c r="B850" s="111"/>
      <c r="C850" s="111"/>
      <c r="D850" s="111"/>
    </row>
    <row r="851" ht="15.75" customHeight="1">
      <c r="A851" s="111"/>
      <c r="B851" s="111"/>
      <c r="C851" s="111"/>
      <c r="D851" s="111"/>
    </row>
    <row r="852" ht="15.75" customHeight="1">
      <c r="A852" s="111"/>
      <c r="B852" s="111"/>
      <c r="C852" s="111"/>
      <c r="D852" s="111"/>
    </row>
    <row r="853" ht="15.75" customHeight="1">
      <c r="A853" s="111"/>
      <c r="B853" s="111"/>
      <c r="C853" s="111"/>
      <c r="D853" s="111"/>
    </row>
    <row r="854" ht="15.75" customHeight="1">
      <c r="A854" s="111"/>
      <c r="B854" s="111"/>
      <c r="C854" s="111"/>
      <c r="D854" s="111"/>
    </row>
    <row r="855" ht="15.75" customHeight="1">
      <c r="A855" s="111"/>
      <c r="B855" s="111"/>
      <c r="C855" s="111"/>
      <c r="D855" s="111"/>
    </row>
    <row r="856" ht="15.75" customHeight="1">
      <c r="A856" s="111"/>
      <c r="B856" s="111"/>
      <c r="C856" s="111"/>
      <c r="D856" s="111"/>
    </row>
    <row r="857" ht="15.75" customHeight="1">
      <c r="A857" s="111"/>
      <c r="B857" s="111"/>
      <c r="C857" s="111"/>
      <c r="D857" s="111"/>
    </row>
    <row r="858" ht="15.75" customHeight="1">
      <c r="A858" s="111"/>
      <c r="B858" s="111"/>
      <c r="C858" s="111"/>
      <c r="D858" s="111"/>
    </row>
    <row r="859" ht="15.75" customHeight="1">
      <c r="A859" s="111"/>
      <c r="B859" s="111"/>
      <c r="C859" s="111"/>
      <c r="D859" s="111"/>
    </row>
    <row r="860" ht="15.75" customHeight="1">
      <c r="A860" s="111"/>
      <c r="B860" s="111"/>
      <c r="C860" s="111"/>
      <c r="D860" s="111"/>
    </row>
    <row r="861" ht="15.75" customHeight="1">
      <c r="A861" s="111"/>
      <c r="B861" s="111"/>
      <c r="C861" s="111"/>
      <c r="D861" s="111"/>
    </row>
    <row r="862" ht="15.75" customHeight="1">
      <c r="A862" s="111"/>
      <c r="B862" s="111"/>
      <c r="C862" s="111"/>
      <c r="D862" s="111"/>
    </row>
    <row r="863" ht="15.75" customHeight="1">
      <c r="A863" s="111"/>
      <c r="B863" s="111"/>
      <c r="C863" s="111"/>
      <c r="D863" s="111"/>
    </row>
    <row r="864" ht="15.75" customHeight="1">
      <c r="A864" s="111"/>
      <c r="B864" s="111"/>
      <c r="C864" s="111"/>
      <c r="D864" s="111"/>
    </row>
    <row r="865" ht="15.75" customHeight="1">
      <c r="A865" s="111"/>
      <c r="B865" s="111"/>
      <c r="C865" s="111"/>
      <c r="D865" s="111"/>
    </row>
    <row r="866" ht="15.75" customHeight="1">
      <c r="A866" s="111"/>
      <c r="B866" s="111"/>
      <c r="C866" s="111"/>
      <c r="D866" s="111"/>
    </row>
    <row r="867" ht="15.75" customHeight="1">
      <c r="A867" s="111"/>
      <c r="B867" s="111"/>
      <c r="C867" s="111"/>
      <c r="D867" s="111"/>
    </row>
    <row r="868" ht="15.75" customHeight="1">
      <c r="A868" s="111"/>
      <c r="B868" s="111"/>
      <c r="C868" s="111"/>
      <c r="D868" s="111"/>
    </row>
    <row r="869" ht="15.75" customHeight="1">
      <c r="A869" s="111"/>
      <c r="B869" s="111"/>
      <c r="C869" s="111"/>
      <c r="D869" s="111"/>
    </row>
    <row r="870" ht="15.75" customHeight="1">
      <c r="A870" s="111"/>
      <c r="B870" s="111"/>
      <c r="C870" s="111"/>
      <c r="D870" s="111"/>
    </row>
    <row r="871" ht="15.75" customHeight="1">
      <c r="A871" s="111"/>
      <c r="B871" s="111"/>
      <c r="C871" s="111"/>
      <c r="D871" s="111"/>
    </row>
    <row r="872" ht="15.75" customHeight="1">
      <c r="A872" s="111"/>
      <c r="B872" s="111"/>
      <c r="C872" s="111"/>
      <c r="D872" s="111"/>
    </row>
    <row r="873" ht="15.75" customHeight="1">
      <c r="A873" s="111"/>
      <c r="B873" s="111"/>
      <c r="C873" s="111"/>
      <c r="D873" s="111"/>
    </row>
    <row r="874" ht="15.75" customHeight="1">
      <c r="A874" s="111"/>
      <c r="B874" s="111"/>
      <c r="C874" s="111"/>
      <c r="D874" s="111"/>
    </row>
    <row r="875" ht="15.75" customHeight="1">
      <c r="A875" s="111"/>
      <c r="B875" s="111"/>
      <c r="C875" s="111"/>
      <c r="D875" s="111"/>
    </row>
    <row r="876" ht="15.75" customHeight="1">
      <c r="A876" s="111"/>
      <c r="B876" s="111"/>
      <c r="C876" s="111"/>
      <c r="D876" s="111"/>
    </row>
    <row r="877" ht="15.75" customHeight="1">
      <c r="A877" s="111"/>
      <c r="B877" s="111"/>
      <c r="C877" s="111"/>
      <c r="D877" s="111"/>
    </row>
    <row r="878" ht="15.75" customHeight="1">
      <c r="A878" s="111"/>
      <c r="B878" s="111"/>
      <c r="C878" s="111"/>
      <c r="D878" s="111"/>
    </row>
    <row r="879" ht="15.75" customHeight="1">
      <c r="A879" s="111"/>
      <c r="B879" s="111"/>
      <c r="C879" s="111"/>
      <c r="D879" s="111"/>
    </row>
    <row r="880" ht="15.75" customHeight="1">
      <c r="A880" s="111"/>
      <c r="B880" s="111"/>
      <c r="C880" s="111"/>
      <c r="D880" s="111"/>
    </row>
    <row r="881" ht="15.75" customHeight="1">
      <c r="A881" s="111"/>
      <c r="B881" s="111"/>
      <c r="C881" s="111"/>
      <c r="D881" s="111"/>
    </row>
    <row r="882" ht="15.75" customHeight="1">
      <c r="A882" s="111"/>
      <c r="B882" s="111"/>
      <c r="C882" s="111"/>
      <c r="D882" s="111"/>
    </row>
    <row r="883" ht="15.75" customHeight="1">
      <c r="A883" s="111"/>
      <c r="B883" s="111"/>
      <c r="C883" s="111"/>
      <c r="D883" s="111"/>
    </row>
    <row r="884" ht="15.75" customHeight="1">
      <c r="A884" s="111"/>
      <c r="B884" s="111"/>
      <c r="C884" s="111"/>
      <c r="D884" s="111"/>
    </row>
    <row r="885" ht="15.75" customHeight="1">
      <c r="A885" s="111"/>
      <c r="B885" s="111"/>
      <c r="C885" s="111"/>
      <c r="D885" s="111"/>
    </row>
    <row r="886" ht="15.75" customHeight="1">
      <c r="A886" s="111"/>
      <c r="B886" s="111"/>
      <c r="C886" s="111"/>
      <c r="D886" s="111"/>
    </row>
    <row r="887" ht="15.75" customHeight="1">
      <c r="A887" s="111"/>
      <c r="B887" s="111"/>
      <c r="C887" s="111"/>
      <c r="D887" s="111"/>
    </row>
    <row r="888" ht="15.75" customHeight="1">
      <c r="A888" s="111"/>
      <c r="B888" s="111"/>
      <c r="C888" s="111"/>
      <c r="D888" s="111"/>
    </row>
    <row r="889" ht="15.75" customHeight="1">
      <c r="A889" s="111"/>
      <c r="B889" s="111"/>
      <c r="C889" s="111"/>
      <c r="D889" s="111"/>
    </row>
    <row r="890" ht="15.75" customHeight="1">
      <c r="A890" s="111"/>
      <c r="B890" s="111"/>
      <c r="C890" s="111"/>
      <c r="D890" s="111"/>
    </row>
    <row r="891" ht="15.75" customHeight="1">
      <c r="A891" s="111"/>
      <c r="B891" s="111"/>
      <c r="C891" s="111"/>
      <c r="D891" s="111"/>
    </row>
    <row r="892" ht="15.75" customHeight="1">
      <c r="A892" s="111"/>
      <c r="B892" s="111"/>
      <c r="C892" s="111"/>
      <c r="D892" s="111"/>
    </row>
    <row r="893" ht="15.75" customHeight="1">
      <c r="A893" s="111"/>
      <c r="B893" s="111"/>
      <c r="C893" s="111"/>
      <c r="D893" s="111"/>
    </row>
    <row r="894" ht="15.75" customHeight="1">
      <c r="A894" s="111"/>
      <c r="B894" s="111"/>
      <c r="C894" s="111"/>
      <c r="D894" s="111"/>
    </row>
    <row r="895" ht="15.75" customHeight="1">
      <c r="A895" s="111"/>
      <c r="B895" s="111"/>
      <c r="C895" s="111"/>
      <c r="D895" s="111"/>
    </row>
    <row r="896" ht="15.75" customHeight="1">
      <c r="A896" s="111"/>
      <c r="B896" s="111"/>
      <c r="C896" s="111"/>
      <c r="D896" s="111"/>
    </row>
    <row r="897" ht="15.75" customHeight="1">
      <c r="A897" s="111"/>
      <c r="B897" s="111"/>
      <c r="C897" s="111"/>
      <c r="D897" s="111"/>
    </row>
    <row r="898" ht="15.75" customHeight="1">
      <c r="A898" s="111"/>
      <c r="B898" s="111"/>
      <c r="C898" s="111"/>
      <c r="D898" s="111"/>
    </row>
    <row r="899" ht="15.75" customHeight="1">
      <c r="A899" s="111"/>
      <c r="B899" s="111"/>
      <c r="C899" s="111"/>
      <c r="D899" s="111"/>
    </row>
    <row r="900" ht="15.75" customHeight="1">
      <c r="A900" s="111"/>
      <c r="B900" s="111"/>
      <c r="C900" s="111"/>
      <c r="D900" s="111"/>
    </row>
    <row r="901" ht="15.75" customHeight="1">
      <c r="A901" s="111"/>
      <c r="B901" s="111"/>
      <c r="C901" s="111"/>
      <c r="D901" s="111"/>
    </row>
    <row r="902" ht="15.75" customHeight="1">
      <c r="A902" s="111"/>
      <c r="B902" s="111"/>
      <c r="C902" s="111"/>
      <c r="D902" s="111"/>
    </row>
    <row r="903" ht="15.75" customHeight="1">
      <c r="A903" s="111"/>
      <c r="B903" s="111"/>
      <c r="C903" s="111"/>
      <c r="D903" s="111"/>
    </row>
    <row r="904" ht="15.75" customHeight="1">
      <c r="A904" s="111"/>
      <c r="B904" s="111"/>
      <c r="C904" s="111"/>
      <c r="D904" s="111"/>
    </row>
    <row r="905" ht="15.75" customHeight="1">
      <c r="A905" s="111"/>
      <c r="B905" s="111"/>
      <c r="C905" s="111"/>
      <c r="D905" s="111"/>
    </row>
    <row r="906" ht="15.75" customHeight="1">
      <c r="A906" s="111"/>
      <c r="B906" s="111"/>
      <c r="C906" s="111"/>
      <c r="D906" s="111"/>
    </row>
    <row r="907" ht="15.75" customHeight="1">
      <c r="A907" s="111"/>
      <c r="B907" s="111"/>
      <c r="C907" s="111"/>
      <c r="D907" s="111"/>
    </row>
    <row r="908" ht="15.75" customHeight="1">
      <c r="A908" s="111"/>
      <c r="B908" s="111"/>
      <c r="C908" s="111"/>
      <c r="D908" s="111"/>
    </row>
    <row r="909" ht="15.75" customHeight="1">
      <c r="A909" s="111"/>
      <c r="B909" s="111"/>
      <c r="C909" s="111"/>
      <c r="D909" s="111"/>
    </row>
    <row r="910" ht="15.75" customHeight="1">
      <c r="A910" s="111"/>
      <c r="B910" s="111"/>
      <c r="C910" s="111"/>
      <c r="D910" s="111"/>
    </row>
    <row r="911" ht="15.75" customHeight="1">
      <c r="A911" s="111"/>
      <c r="B911" s="111"/>
      <c r="C911" s="111"/>
      <c r="D911" s="111"/>
    </row>
    <row r="912" ht="15.75" customHeight="1">
      <c r="A912" s="111"/>
      <c r="B912" s="111"/>
      <c r="C912" s="111"/>
      <c r="D912" s="111"/>
    </row>
    <row r="913" ht="15.75" customHeight="1">
      <c r="A913" s="111"/>
      <c r="B913" s="111"/>
      <c r="C913" s="111"/>
      <c r="D913" s="111"/>
    </row>
    <row r="914" ht="15.75" customHeight="1">
      <c r="A914" s="111"/>
      <c r="B914" s="111"/>
      <c r="C914" s="111"/>
      <c r="D914" s="111"/>
    </row>
    <row r="915" ht="15.75" customHeight="1">
      <c r="A915" s="111"/>
      <c r="B915" s="111"/>
      <c r="C915" s="111"/>
      <c r="D915" s="111"/>
    </row>
    <row r="916" ht="15.75" customHeight="1">
      <c r="A916" s="111"/>
      <c r="B916" s="111"/>
      <c r="C916" s="111"/>
      <c r="D916" s="111"/>
    </row>
    <row r="917" ht="15.75" customHeight="1">
      <c r="A917" s="111"/>
      <c r="B917" s="111"/>
      <c r="C917" s="111"/>
      <c r="D917" s="111"/>
    </row>
    <row r="918" ht="15.75" customHeight="1">
      <c r="A918" s="111"/>
      <c r="B918" s="111"/>
      <c r="C918" s="111"/>
      <c r="D918" s="111"/>
    </row>
    <row r="919" ht="15.75" customHeight="1">
      <c r="A919" s="111"/>
      <c r="B919" s="111"/>
      <c r="C919" s="111"/>
      <c r="D919" s="111"/>
    </row>
    <row r="920" ht="15.75" customHeight="1">
      <c r="A920" s="111"/>
      <c r="B920" s="111"/>
      <c r="C920" s="111"/>
      <c r="D920" s="111"/>
    </row>
    <row r="921" ht="15.75" customHeight="1">
      <c r="A921" s="111"/>
      <c r="B921" s="111"/>
      <c r="C921" s="111"/>
      <c r="D921" s="111"/>
    </row>
    <row r="922" ht="15.75" customHeight="1">
      <c r="A922" s="111"/>
      <c r="B922" s="111"/>
      <c r="C922" s="111"/>
      <c r="D922" s="111"/>
    </row>
    <row r="923" ht="15.75" customHeight="1">
      <c r="A923" s="111"/>
      <c r="B923" s="111"/>
      <c r="C923" s="111"/>
      <c r="D923" s="111"/>
    </row>
    <row r="924" ht="15.75" customHeight="1">
      <c r="A924" s="111"/>
      <c r="B924" s="111"/>
      <c r="C924" s="111"/>
      <c r="D924" s="111"/>
    </row>
    <row r="925" ht="15.75" customHeight="1">
      <c r="A925" s="111"/>
      <c r="B925" s="111"/>
      <c r="C925" s="111"/>
      <c r="D925" s="111"/>
    </row>
    <row r="926" ht="15.75" customHeight="1">
      <c r="A926" s="111"/>
      <c r="B926" s="111"/>
      <c r="C926" s="111"/>
      <c r="D926" s="111"/>
    </row>
    <row r="927" ht="15.75" customHeight="1">
      <c r="A927" s="111"/>
      <c r="B927" s="111"/>
      <c r="C927" s="111"/>
      <c r="D927" s="111"/>
    </row>
    <row r="928" ht="15.75" customHeight="1">
      <c r="A928" s="111"/>
      <c r="B928" s="111"/>
      <c r="C928" s="111"/>
      <c r="D928" s="111"/>
    </row>
    <row r="929" ht="15.75" customHeight="1">
      <c r="A929" s="111"/>
      <c r="B929" s="111"/>
      <c r="C929" s="111"/>
      <c r="D929" s="111"/>
    </row>
    <row r="930" ht="15.75" customHeight="1">
      <c r="A930" s="111"/>
      <c r="B930" s="111"/>
      <c r="C930" s="111"/>
      <c r="D930" s="111"/>
    </row>
    <row r="931" ht="15.75" customHeight="1">
      <c r="A931" s="111"/>
      <c r="B931" s="111"/>
      <c r="C931" s="111"/>
      <c r="D931" s="111"/>
    </row>
    <row r="932" ht="15.75" customHeight="1">
      <c r="A932" s="111"/>
      <c r="B932" s="111"/>
      <c r="C932" s="111"/>
      <c r="D932" s="111"/>
    </row>
    <row r="933" ht="15.75" customHeight="1">
      <c r="A933" s="111"/>
      <c r="B933" s="111"/>
      <c r="C933" s="111"/>
      <c r="D933" s="111"/>
    </row>
    <row r="934" ht="15.75" customHeight="1">
      <c r="A934" s="111"/>
      <c r="B934" s="111"/>
      <c r="C934" s="111"/>
      <c r="D934" s="111"/>
    </row>
    <row r="935" ht="15.75" customHeight="1">
      <c r="A935" s="111"/>
      <c r="B935" s="111"/>
      <c r="C935" s="111"/>
      <c r="D935" s="111"/>
    </row>
    <row r="936" ht="15.75" customHeight="1">
      <c r="A936" s="111"/>
      <c r="B936" s="111"/>
      <c r="C936" s="111"/>
      <c r="D936" s="111"/>
    </row>
    <row r="937" ht="15.75" customHeight="1">
      <c r="A937" s="111"/>
      <c r="B937" s="111"/>
      <c r="C937" s="111"/>
      <c r="D937" s="111"/>
    </row>
    <row r="938" ht="15.75" customHeight="1">
      <c r="A938" s="111"/>
      <c r="B938" s="111"/>
      <c r="C938" s="111"/>
      <c r="D938" s="111"/>
    </row>
    <row r="939" ht="15.75" customHeight="1">
      <c r="A939" s="111"/>
      <c r="B939" s="111"/>
      <c r="C939" s="111"/>
      <c r="D939" s="111"/>
    </row>
    <row r="940" ht="15.75" customHeight="1">
      <c r="A940" s="111"/>
      <c r="B940" s="111"/>
      <c r="C940" s="111"/>
      <c r="D940" s="111"/>
    </row>
    <row r="941" ht="15.75" customHeight="1">
      <c r="A941" s="111"/>
      <c r="B941" s="111"/>
      <c r="C941" s="111"/>
      <c r="D941" s="111"/>
    </row>
    <row r="942" ht="15.75" customHeight="1">
      <c r="A942" s="111"/>
      <c r="B942" s="111"/>
      <c r="C942" s="111"/>
      <c r="D942" s="111"/>
    </row>
    <row r="943" ht="15.75" customHeight="1">
      <c r="A943" s="111"/>
      <c r="B943" s="111"/>
      <c r="C943" s="111"/>
      <c r="D943" s="111"/>
    </row>
    <row r="944" ht="15.75" customHeight="1">
      <c r="A944" s="111"/>
      <c r="B944" s="111"/>
      <c r="C944" s="111"/>
      <c r="D944" s="111"/>
    </row>
    <row r="945" ht="15.75" customHeight="1">
      <c r="A945" s="111"/>
      <c r="B945" s="111"/>
      <c r="C945" s="111"/>
      <c r="D945" s="111"/>
    </row>
    <row r="946" ht="15.75" customHeight="1">
      <c r="A946" s="111"/>
      <c r="B946" s="111"/>
      <c r="C946" s="111"/>
      <c r="D946" s="111"/>
    </row>
    <row r="947" ht="15.75" customHeight="1">
      <c r="A947" s="111"/>
      <c r="B947" s="111"/>
      <c r="C947" s="111"/>
      <c r="D947" s="111"/>
    </row>
    <row r="948" ht="15.75" customHeight="1">
      <c r="A948" s="111"/>
      <c r="B948" s="111"/>
      <c r="C948" s="111"/>
      <c r="D948" s="111"/>
    </row>
    <row r="949" ht="15.75" customHeight="1">
      <c r="A949" s="111"/>
      <c r="B949" s="111"/>
      <c r="C949" s="111"/>
      <c r="D949" s="111"/>
    </row>
    <row r="950" ht="15.75" customHeight="1">
      <c r="A950" s="111"/>
      <c r="B950" s="111"/>
      <c r="C950" s="111"/>
      <c r="D950" s="111"/>
    </row>
    <row r="951" ht="15.75" customHeight="1">
      <c r="A951" s="111"/>
      <c r="B951" s="111"/>
      <c r="C951" s="111"/>
      <c r="D951" s="111"/>
    </row>
    <row r="952" ht="15.75" customHeight="1">
      <c r="A952" s="111"/>
      <c r="B952" s="111"/>
      <c r="C952" s="111"/>
      <c r="D952" s="111"/>
    </row>
    <row r="953" ht="15.75" customHeight="1">
      <c r="A953" s="111"/>
      <c r="B953" s="111"/>
      <c r="C953" s="111"/>
      <c r="D953" s="111"/>
    </row>
    <row r="954" ht="15.75" customHeight="1">
      <c r="A954" s="111"/>
      <c r="B954" s="111"/>
      <c r="C954" s="111"/>
      <c r="D954" s="111"/>
    </row>
    <row r="955" ht="15.75" customHeight="1">
      <c r="A955" s="111"/>
      <c r="B955" s="111"/>
      <c r="C955" s="111"/>
      <c r="D955" s="111"/>
    </row>
    <row r="956" ht="15.75" customHeight="1">
      <c r="A956" s="111"/>
      <c r="B956" s="111"/>
      <c r="C956" s="111"/>
      <c r="D956" s="111"/>
    </row>
    <row r="957" ht="15.75" customHeight="1">
      <c r="A957" s="111"/>
      <c r="B957" s="111"/>
      <c r="C957" s="111"/>
      <c r="D957" s="111"/>
    </row>
    <row r="958" ht="15.75" customHeight="1">
      <c r="A958" s="111"/>
      <c r="B958" s="111"/>
      <c r="C958" s="111"/>
      <c r="D958" s="111"/>
    </row>
    <row r="959" ht="15.75" customHeight="1">
      <c r="A959" s="111"/>
      <c r="B959" s="111"/>
      <c r="C959" s="111"/>
      <c r="D959" s="111"/>
    </row>
    <row r="960" ht="15.75" customHeight="1">
      <c r="A960" s="111"/>
      <c r="B960" s="111"/>
      <c r="C960" s="111"/>
      <c r="D960" s="111"/>
    </row>
    <row r="961" ht="15.75" customHeight="1">
      <c r="A961" s="111"/>
      <c r="B961" s="111"/>
      <c r="C961" s="111"/>
      <c r="D961" s="111"/>
    </row>
    <row r="962" ht="15.75" customHeight="1">
      <c r="A962" s="111"/>
      <c r="B962" s="111"/>
      <c r="C962" s="111"/>
      <c r="D962" s="111"/>
    </row>
    <row r="963" ht="15.75" customHeight="1">
      <c r="A963" s="111"/>
      <c r="B963" s="111"/>
      <c r="C963" s="111"/>
      <c r="D963" s="111"/>
    </row>
    <row r="964" ht="15.75" customHeight="1">
      <c r="A964" s="111"/>
      <c r="B964" s="111"/>
      <c r="C964" s="111"/>
      <c r="D964" s="111"/>
    </row>
    <row r="965" ht="15.75" customHeight="1">
      <c r="A965" s="111"/>
      <c r="B965" s="111"/>
      <c r="C965" s="111"/>
      <c r="D965" s="111"/>
    </row>
    <row r="966" ht="15.75" customHeight="1">
      <c r="A966" s="111"/>
      <c r="B966" s="111"/>
      <c r="C966" s="111"/>
      <c r="D966" s="111"/>
    </row>
    <row r="967" ht="15.75" customHeight="1">
      <c r="A967" s="111"/>
      <c r="B967" s="111"/>
      <c r="C967" s="111"/>
      <c r="D967" s="111"/>
    </row>
    <row r="968" ht="15.75" customHeight="1">
      <c r="A968" s="111"/>
      <c r="B968" s="111"/>
      <c r="C968" s="111"/>
      <c r="D968" s="111"/>
    </row>
    <row r="969" ht="15.75" customHeight="1">
      <c r="A969" s="111"/>
      <c r="B969" s="111"/>
      <c r="C969" s="111"/>
      <c r="D969" s="111"/>
    </row>
    <row r="970" ht="15.75" customHeight="1">
      <c r="A970" s="111"/>
      <c r="B970" s="111"/>
      <c r="C970" s="111"/>
      <c r="D970" s="111"/>
    </row>
    <row r="971" ht="15.75" customHeight="1">
      <c r="A971" s="111"/>
      <c r="B971" s="111"/>
      <c r="C971" s="111"/>
      <c r="D971" s="111"/>
    </row>
    <row r="972" ht="15.75" customHeight="1">
      <c r="A972" s="111"/>
      <c r="B972" s="111"/>
      <c r="C972" s="111"/>
      <c r="D972" s="111"/>
    </row>
    <row r="973" ht="15.75" customHeight="1">
      <c r="A973" s="111"/>
      <c r="B973" s="111"/>
      <c r="C973" s="111"/>
      <c r="D973" s="111"/>
    </row>
    <row r="974" ht="15.75" customHeight="1">
      <c r="A974" s="111"/>
      <c r="B974" s="111"/>
      <c r="C974" s="111"/>
      <c r="D974" s="111"/>
    </row>
    <row r="975" ht="15.75" customHeight="1">
      <c r="A975" s="111"/>
      <c r="B975" s="111"/>
      <c r="C975" s="111"/>
      <c r="D975" s="111"/>
    </row>
    <row r="976" ht="15.75" customHeight="1">
      <c r="A976" s="111"/>
      <c r="B976" s="111"/>
      <c r="C976" s="111"/>
      <c r="D976" s="111"/>
    </row>
    <row r="977" ht="15.75" customHeight="1">
      <c r="A977" s="111"/>
      <c r="B977" s="111"/>
      <c r="C977" s="111"/>
      <c r="D977" s="111"/>
    </row>
    <row r="978" ht="15.75" customHeight="1">
      <c r="A978" s="111"/>
      <c r="B978" s="111"/>
      <c r="C978" s="111"/>
      <c r="D978" s="111"/>
    </row>
    <row r="979" ht="15.75" customHeight="1">
      <c r="A979" s="111"/>
      <c r="B979" s="111"/>
      <c r="C979" s="111"/>
      <c r="D979" s="111"/>
    </row>
    <row r="980" ht="15.75" customHeight="1">
      <c r="A980" s="111"/>
      <c r="B980" s="111"/>
      <c r="C980" s="111"/>
      <c r="D980" s="111"/>
    </row>
    <row r="981" ht="15.75" customHeight="1">
      <c r="A981" s="111"/>
      <c r="B981" s="111"/>
      <c r="C981" s="111"/>
      <c r="D981" s="111"/>
    </row>
    <row r="982" ht="15.75" customHeight="1">
      <c r="A982" s="111"/>
      <c r="B982" s="111"/>
      <c r="C982" s="111"/>
      <c r="D982" s="111"/>
    </row>
    <row r="983" ht="15.75" customHeight="1">
      <c r="A983" s="111"/>
      <c r="B983" s="111"/>
      <c r="C983" s="111"/>
      <c r="D983" s="111"/>
    </row>
    <row r="984" ht="15.75" customHeight="1">
      <c r="A984" s="111"/>
      <c r="B984" s="111"/>
      <c r="C984" s="111"/>
      <c r="D984" s="111"/>
    </row>
    <row r="985" ht="15.75" customHeight="1">
      <c r="A985" s="111"/>
      <c r="B985" s="111"/>
      <c r="C985" s="111"/>
      <c r="D985" s="111"/>
    </row>
    <row r="986" ht="15.75" customHeight="1">
      <c r="A986" s="111"/>
      <c r="B986" s="111"/>
      <c r="C986" s="111"/>
      <c r="D986" s="111"/>
    </row>
    <row r="987" ht="15.75" customHeight="1">
      <c r="A987" s="111"/>
      <c r="B987" s="111"/>
      <c r="C987" s="111"/>
      <c r="D987" s="111"/>
    </row>
    <row r="988" ht="15.75" customHeight="1">
      <c r="A988" s="111"/>
      <c r="B988" s="111"/>
      <c r="C988" s="111"/>
      <c r="D988" s="111"/>
    </row>
    <row r="989" ht="15.75" customHeight="1">
      <c r="A989" s="111"/>
      <c r="B989" s="111"/>
      <c r="C989" s="111"/>
      <c r="D989" s="111"/>
    </row>
    <row r="990" ht="15.75" customHeight="1">
      <c r="A990" s="111"/>
      <c r="B990" s="111"/>
      <c r="C990" s="111"/>
      <c r="D990" s="111"/>
    </row>
    <row r="991" ht="15.75" customHeight="1">
      <c r="A991" s="111"/>
      <c r="B991" s="111"/>
      <c r="C991" s="111"/>
      <c r="D991" s="111"/>
    </row>
    <row r="992" ht="15.75" customHeight="1">
      <c r="A992" s="111"/>
      <c r="B992" s="111"/>
      <c r="C992" s="111"/>
      <c r="D992" s="111"/>
    </row>
    <row r="993" ht="15.75" customHeight="1">
      <c r="A993" s="111"/>
      <c r="B993" s="111"/>
      <c r="C993" s="111"/>
      <c r="D993" s="111"/>
    </row>
    <row r="994" ht="15.75" customHeight="1">
      <c r="A994" s="111"/>
      <c r="B994" s="111"/>
      <c r="C994" s="111"/>
      <c r="D994" s="111"/>
    </row>
    <row r="995" ht="15.75" customHeight="1">
      <c r="A995" s="111"/>
      <c r="B995" s="111"/>
      <c r="C995" s="111"/>
      <c r="D995" s="111"/>
    </row>
    <row r="996" ht="15.75" customHeight="1">
      <c r="A996" s="111"/>
      <c r="B996" s="111"/>
      <c r="C996" s="111"/>
      <c r="D996" s="111"/>
    </row>
    <row r="997" ht="15.75" customHeight="1">
      <c r="A997" s="111"/>
      <c r="B997" s="111"/>
      <c r="C997" s="111"/>
      <c r="D997" s="111"/>
    </row>
    <row r="998" ht="15.75" customHeight="1">
      <c r="A998" s="111"/>
      <c r="B998" s="111"/>
      <c r="C998" s="111"/>
      <c r="D998" s="111"/>
    </row>
    <row r="999" ht="15.75" customHeight="1">
      <c r="A999" s="111"/>
      <c r="B999" s="111"/>
      <c r="C999" s="111"/>
      <c r="D999" s="111"/>
    </row>
    <row r="1000" ht="15.75" customHeight="1">
      <c r="A1000" s="111"/>
      <c r="B1000" s="111"/>
      <c r="C1000" s="111"/>
      <c r="D1000" s="111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12" t="s">
        <v>361</v>
      </c>
      <c r="B1" s="113" t="s">
        <v>6</v>
      </c>
      <c r="C1" s="60" t="s">
        <v>400</v>
      </c>
      <c r="D1" s="60" t="s">
        <v>367</v>
      </c>
    </row>
    <row r="2" ht="15.75" customHeight="1">
      <c r="A2" s="114">
        <v>10101.0</v>
      </c>
      <c r="B2" s="113" t="s">
        <v>19</v>
      </c>
      <c r="C2" s="71">
        <v>8.72188110316391E7</v>
      </c>
      <c r="D2" s="71">
        <v>1.0425159400765991E8</v>
      </c>
    </row>
    <row r="3" ht="15.75" customHeight="1">
      <c r="A3" s="114">
        <v>10102.0</v>
      </c>
      <c r="B3" s="113" t="s">
        <v>20</v>
      </c>
      <c r="C3" s="71">
        <v>1514645.0007061008</v>
      </c>
      <c r="D3" s="71">
        <v>1992966.9989318848</v>
      </c>
    </row>
    <row r="4" ht="15.75" customHeight="1">
      <c r="A4" s="114">
        <v>10103.0</v>
      </c>
      <c r="B4" s="113" t="s">
        <v>21</v>
      </c>
      <c r="C4" s="71">
        <v>164048.00001277123</v>
      </c>
      <c r="D4" s="71">
        <v>414412.00005340576</v>
      </c>
    </row>
    <row r="5" ht="15.75" customHeight="1">
      <c r="A5" s="114">
        <v>10201.0</v>
      </c>
      <c r="B5" s="113" t="s">
        <v>22</v>
      </c>
      <c r="C5" s="71">
        <v>332622.99985741545</v>
      </c>
      <c r="D5" s="71">
        <v>459137.9998931885</v>
      </c>
    </row>
    <row r="6" ht="15.75" customHeight="1">
      <c r="A6" s="114">
        <v>10202.0</v>
      </c>
      <c r="B6" s="113" t="s">
        <v>23</v>
      </c>
      <c r="C6" s="71">
        <v>368937.9999489747</v>
      </c>
      <c r="D6" s="71">
        <v>516629.00005340576</v>
      </c>
    </row>
    <row r="7" ht="15.75" customHeight="1">
      <c r="A7" s="114">
        <v>10301.0</v>
      </c>
      <c r="B7" s="113" t="s">
        <v>24</v>
      </c>
      <c r="C7" s="71">
        <v>547490.0011562966</v>
      </c>
      <c r="D7" s="71">
        <v>78013.0</v>
      </c>
    </row>
    <row r="8" ht="15.75" customHeight="1">
      <c r="A8" s="114">
        <v>10302.0</v>
      </c>
      <c r="B8" s="113" t="s">
        <v>25</v>
      </c>
      <c r="C8" s="71">
        <v>301381.99968357757</v>
      </c>
      <c r="D8" s="71">
        <v>788514.9999465942</v>
      </c>
    </row>
    <row r="9" ht="15.75" customHeight="1">
      <c r="A9" s="114">
        <v>10303.0</v>
      </c>
      <c r="B9" s="113" t="s">
        <v>26</v>
      </c>
      <c r="C9" s="71">
        <v>477168.0007606605</v>
      </c>
      <c r="D9" s="71">
        <v>646082.000213623</v>
      </c>
    </row>
    <row r="10" ht="15.75" customHeight="1">
      <c r="A10" s="114">
        <v>10304.0</v>
      </c>
      <c r="B10" s="113" t="s">
        <v>27</v>
      </c>
      <c r="C10" s="71">
        <v>292426.00066685956</v>
      </c>
      <c r="D10" s="71">
        <v>404900.0002822876</v>
      </c>
    </row>
    <row r="11" ht="15.75" customHeight="1">
      <c r="A11" s="114">
        <v>10401.0</v>
      </c>
      <c r="B11" s="113" t="s">
        <v>28</v>
      </c>
      <c r="C11" s="71">
        <v>1085138.998737716</v>
      </c>
      <c r="D11" s="71">
        <v>1423640.9997024536</v>
      </c>
    </row>
    <row r="12" ht="15.75" customHeight="1">
      <c r="A12" s="114">
        <v>10402.0</v>
      </c>
      <c r="B12" s="113" t="s">
        <v>29</v>
      </c>
      <c r="C12" s="71">
        <v>594318.9994132379</v>
      </c>
      <c r="D12" s="71">
        <v>791278.0000534058</v>
      </c>
    </row>
    <row r="13" ht="15.75" customHeight="1">
      <c r="A13" s="114">
        <v>10403.0</v>
      </c>
      <c r="B13" s="113" t="s">
        <v>30</v>
      </c>
      <c r="C13" s="71">
        <v>409769.999410511</v>
      </c>
      <c r="D13" s="71">
        <v>569414.0</v>
      </c>
    </row>
    <row r="14" ht="15.75" customHeight="1">
      <c r="A14" s="114">
        <v>10404.0</v>
      </c>
      <c r="B14" s="113" t="s">
        <v>31</v>
      </c>
      <c r="C14" s="71">
        <v>240179.00059062708</v>
      </c>
      <c r="D14" s="71">
        <v>345372.0003051758</v>
      </c>
    </row>
    <row r="15" ht="15.75" customHeight="1">
      <c r="A15" s="114">
        <v>10405.0</v>
      </c>
      <c r="B15" s="113" t="s">
        <v>32</v>
      </c>
      <c r="C15" s="71">
        <v>220819.99998136982</v>
      </c>
      <c r="D15" s="71">
        <v>357923.0001449585</v>
      </c>
    </row>
    <row r="16" ht="15.75" customHeight="1">
      <c r="A16" s="114">
        <v>10501.0</v>
      </c>
      <c r="B16" s="113" t="s">
        <v>33</v>
      </c>
      <c r="C16" s="71">
        <v>3844243.0018868167</v>
      </c>
      <c r="D16" s="71">
        <v>5186557.999954224</v>
      </c>
    </row>
    <row r="17" ht="15.75" customHeight="1">
      <c r="A17" s="114">
        <v>10502.0</v>
      </c>
      <c r="B17" s="113" t="s">
        <v>34</v>
      </c>
      <c r="C17" s="71">
        <v>696201.9998434642</v>
      </c>
      <c r="D17" s="71">
        <v>1111469.0001983643</v>
      </c>
    </row>
    <row r="18" ht="15.75" customHeight="1">
      <c r="A18" s="114">
        <v>10601.0</v>
      </c>
      <c r="B18" s="113" t="s">
        <v>35</v>
      </c>
      <c r="C18" s="71">
        <v>667795.0002400232</v>
      </c>
      <c r="D18" s="71">
        <v>841465.0002822876</v>
      </c>
    </row>
    <row r="19" ht="15.75" customHeight="1">
      <c r="A19" s="114">
        <v>10602.0</v>
      </c>
      <c r="B19" s="113" t="s">
        <v>36</v>
      </c>
      <c r="C19" s="71">
        <v>428958.9992509829</v>
      </c>
      <c r="D19" s="71">
        <v>572712.0001754761</v>
      </c>
    </row>
    <row r="20" ht="15.75" customHeight="1">
      <c r="A20" s="114">
        <v>10701.0</v>
      </c>
      <c r="B20" s="113" t="s">
        <v>37</v>
      </c>
      <c r="C20" s="71">
        <v>1637008.8285805145</v>
      </c>
      <c r="D20" s="71">
        <v>2073499.0000305176</v>
      </c>
    </row>
    <row r="21" ht="15.75" customHeight="1">
      <c r="A21" s="114">
        <v>10702.0</v>
      </c>
      <c r="B21" s="113" t="s">
        <v>38</v>
      </c>
      <c r="C21" s="71">
        <v>1066175.0014413195</v>
      </c>
      <c r="D21" s="71">
        <v>1497780.0003509521</v>
      </c>
    </row>
    <row r="22" ht="15.75" customHeight="1">
      <c r="A22" s="114">
        <v>10703.0</v>
      </c>
      <c r="B22" s="113" t="s">
        <v>39</v>
      </c>
      <c r="C22" s="71">
        <v>315024.6007393589</v>
      </c>
      <c r="D22" s="71">
        <v>426205.0</v>
      </c>
    </row>
    <row r="23" ht="15.75" customHeight="1">
      <c r="A23" s="114">
        <v>10704.0</v>
      </c>
      <c r="B23" s="113" t="s">
        <v>40</v>
      </c>
      <c r="C23" s="71">
        <v>480408.32970217895</v>
      </c>
      <c r="D23" s="71">
        <v>665573.0002059937</v>
      </c>
    </row>
    <row r="24" ht="15.75" customHeight="1">
      <c r="A24" s="114">
        <v>10801.0</v>
      </c>
      <c r="B24" s="113" t="s">
        <v>41</v>
      </c>
      <c r="C24" s="71">
        <v>952519.0007081432</v>
      </c>
      <c r="D24" s="71">
        <v>1334275.0001907349</v>
      </c>
    </row>
    <row r="25" ht="15.75" customHeight="1">
      <c r="A25" s="114">
        <v>10901.0</v>
      </c>
      <c r="B25" s="113" t="s">
        <v>42</v>
      </c>
      <c r="C25" s="71">
        <v>226172.50034896377</v>
      </c>
      <c r="D25" s="71">
        <v>350558.00006866455</v>
      </c>
    </row>
    <row r="26" ht="15.75" customHeight="1">
      <c r="A26" s="114">
        <v>10902.0</v>
      </c>
      <c r="B26" s="113" t="s">
        <v>43</v>
      </c>
      <c r="C26" s="71">
        <v>783372.3689375455</v>
      </c>
      <c r="D26" s="71">
        <v>1010910.0001220703</v>
      </c>
    </row>
    <row r="27" ht="15.75" customHeight="1">
      <c r="A27" s="114">
        <v>10903.0</v>
      </c>
      <c r="B27" s="113" t="s">
        <v>44</v>
      </c>
      <c r="C27" s="71">
        <v>264995.4998532217</v>
      </c>
      <c r="D27" s="71">
        <v>363616.00018310547</v>
      </c>
    </row>
    <row r="28" ht="15.75" customHeight="1">
      <c r="A28" s="114">
        <v>11001.0</v>
      </c>
      <c r="B28" s="113" t="s">
        <v>45</v>
      </c>
      <c r="C28" s="71">
        <v>731736.9993764926</v>
      </c>
      <c r="D28" s="71">
        <v>1845489.0000991821</v>
      </c>
    </row>
    <row r="29" ht="15.75" customHeight="1">
      <c r="A29" s="114">
        <v>11002.0</v>
      </c>
      <c r="B29" s="113" t="s">
        <v>46</v>
      </c>
      <c r="C29" s="71">
        <v>188970.00016951282</v>
      </c>
      <c r="D29" s="71">
        <v>87905.0</v>
      </c>
    </row>
    <row r="30" ht="15.75" customHeight="1">
      <c r="A30" s="114">
        <v>11003.0</v>
      </c>
      <c r="B30" s="113" t="s">
        <v>47</v>
      </c>
      <c r="C30" s="71">
        <v>904826.9993175082</v>
      </c>
      <c r="D30" s="71">
        <v>3243399.999824524</v>
      </c>
    </row>
    <row r="31" ht="15.75" customHeight="1">
      <c r="A31" s="114">
        <v>20101.0</v>
      </c>
      <c r="B31" s="113" t="s">
        <v>48</v>
      </c>
      <c r="C31" s="71">
        <v>4.4019085631290305E8</v>
      </c>
      <c r="D31" s="71">
        <v>4.294344680086365E8</v>
      </c>
    </row>
    <row r="32" ht="15.75" customHeight="1">
      <c r="A32" s="114">
        <v>20102.0</v>
      </c>
      <c r="B32" s="113" t="s">
        <v>49</v>
      </c>
      <c r="C32" s="71">
        <v>1263825.000716295</v>
      </c>
      <c r="D32" s="71">
        <v>2007219.9990844727</v>
      </c>
    </row>
    <row r="33" ht="15.75" customHeight="1">
      <c r="A33" s="114">
        <v>20103.0</v>
      </c>
      <c r="B33" s="113" t="s">
        <v>50</v>
      </c>
      <c r="C33" s="71">
        <v>3261487.001011139</v>
      </c>
      <c r="D33" s="71">
        <v>7136473.999633789</v>
      </c>
    </row>
    <row r="34" ht="15.75" customHeight="1">
      <c r="A34" s="114">
        <v>20104.0</v>
      </c>
      <c r="B34" s="113" t="s">
        <v>51</v>
      </c>
      <c r="C34" s="71">
        <v>3315720.0051131174</v>
      </c>
      <c r="D34" s="71">
        <v>6604605.000259399</v>
      </c>
    </row>
    <row r="35" ht="15.75" customHeight="1">
      <c r="A35" s="114">
        <v>20105.0</v>
      </c>
      <c r="B35" s="113" t="s">
        <v>52</v>
      </c>
      <c r="C35" s="71">
        <v>2.4424667599197575E8</v>
      </c>
      <c r="D35" s="71">
        <v>2.98946404003067E8</v>
      </c>
    </row>
    <row r="36" ht="15.75" customHeight="1">
      <c r="A36" s="114">
        <v>20201.0</v>
      </c>
      <c r="B36" s="113" t="s">
        <v>53</v>
      </c>
      <c r="C36" s="71">
        <v>3804495.999041967</v>
      </c>
      <c r="D36" s="71">
        <v>3802112.0003814697</v>
      </c>
    </row>
    <row r="37" ht="15.75" customHeight="1">
      <c r="A37" s="114">
        <v>20202.0</v>
      </c>
      <c r="B37" s="113" t="s">
        <v>54</v>
      </c>
      <c r="C37" s="71">
        <v>606002.999063232</v>
      </c>
      <c r="D37" s="71">
        <v>471038.99991607666</v>
      </c>
    </row>
    <row r="38" ht="15.75" customHeight="1">
      <c r="A38" s="114">
        <v>20203.0</v>
      </c>
      <c r="B38" s="113" t="s">
        <v>55</v>
      </c>
      <c r="C38" s="71">
        <v>361336.9999500634</v>
      </c>
      <c r="D38" s="71">
        <v>342661.999961853</v>
      </c>
    </row>
    <row r="39" ht="15.75" customHeight="1">
      <c r="A39" s="114">
        <v>20204.0</v>
      </c>
      <c r="B39" s="113" t="s">
        <v>56</v>
      </c>
      <c r="C39" s="71">
        <v>507928.0004194416</v>
      </c>
      <c r="D39" s="71">
        <v>515176.00009155273</v>
      </c>
    </row>
    <row r="40" ht="15.75" customHeight="1">
      <c r="A40" s="114">
        <v>20205.0</v>
      </c>
      <c r="B40" s="113" t="s">
        <v>57</v>
      </c>
      <c r="C40" s="71">
        <v>396459.99974527024</v>
      </c>
      <c r="D40" s="71">
        <v>438681.0001296997</v>
      </c>
    </row>
    <row r="41" ht="15.75" customHeight="1">
      <c r="A41" s="114">
        <v>20206.0</v>
      </c>
      <c r="B41" s="113" t="s">
        <v>58</v>
      </c>
      <c r="C41" s="71">
        <v>189293.9998116903</v>
      </c>
      <c r="D41" s="71">
        <v>262075.9998703003</v>
      </c>
    </row>
    <row r="42" ht="15.75" customHeight="1">
      <c r="A42" s="114">
        <v>20301.0</v>
      </c>
      <c r="B42" s="113" t="s">
        <v>59</v>
      </c>
      <c r="C42" s="71">
        <v>587096.9993395442</v>
      </c>
      <c r="D42" s="71">
        <v>572989.9998321533</v>
      </c>
    </row>
    <row r="43" ht="15.75" customHeight="1">
      <c r="A43" s="114">
        <v>20302.0</v>
      </c>
      <c r="B43" s="113" t="s">
        <v>60</v>
      </c>
      <c r="C43" s="71">
        <v>338323.0004296405</v>
      </c>
      <c r="D43" s="71">
        <v>341835.00004577637</v>
      </c>
    </row>
    <row r="44" ht="15.75" customHeight="1">
      <c r="A44" s="114">
        <v>20303.0</v>
      </c>
      <c r="B44" s="113" t="s">
        <v>61</v>
      </c>
      <c r="C44" s="71">
        <v>133297.00011182483</v>
      </c>
      <c r="D44" s="71">
        <v>157014.0</v>
      </c>
    </row>
    <row r="45" ht="15.75" customHeight="1">
      <c r="A45" s="114">
        <v>20304.0</v>
      </c>
      <c r="B45" s="113" t="s">
        <v>62</v>
      </c>
      <c r="C45" s="71">
        <v>130819.99970084522</v>
      </c>
      <c r="D45" s="71">
        <v>156003.99995422363</v>
      </c>
    </row>
    <row r="46" ht="15.75" customHeight="1">
      <c r="A46" s="114">
        <v>20305.0</v>
      </c>
      <c r="B46" s="113" t="s">
        <v>63</v>
      </c>
      <c r="C46" s="71">
        <v>116293.99996375386</v>
      </c>
      <c r="D46" s="71">
        <v>440725.0</v>
      </c>
    </row>
    <row r="47" ht="15.75" customHeight="1">
      <c r="A47" s="114">
        <v>20306.0</v>
      </c>
      <c r="B47" s="113" t="s">
        <v>64</v>
      </c>
      <c r="C47" s="71">
        <v>55771.00022594351</v>
      </c>
      <c r="D47" s="71">
        <v>0.0</v>
      </c>
    </row>
    <row r="48" ht="15.75" customHeight="1">
      <c r="A48" s="114">
        <v>20307.0</v>
      </c>
      <c r="B48" s="113" t="s">
        <v>65</v>
      </c>
      <c r="C48" s="71">
        <v>10263.9999772273</v>
      </c>
      <c r="D48" s="71">
        <v>33409.0</v>
      </c>
    </row>
    <row r="49" ht="15.75" customHeight="1">
      <c r="A49" s="114">
        <v>20308.0</v>
      </c>
      <c r="B49" s="113" t="s">
        <v>66</v>
      </c>
      <c r="C49" s="71">
        <v>94520.00009374227</v>
      </c>
      <c r="D49" s="71">
        <v>106318.00005340576</v>
      </c>
    </row>
    <row r="50" ht="15.75" customHeight="1">
      <c r="A50" s="114">
        <v>20401.0</v>
      </c>
      <c r="B50" s="113" t="s">
        <v>67</v>
      </c>
      <c r="C50" s="71">
        <v>438529.0002327915</v>
      </c>
      <c r="D50" s="71">
        <v>496802.00009155273</v>
      </c>
    </row>
    <row r="51" ht="15.75" customHeight="1">
      <c r="A51" s="114">
        <v>20402.0</v>
      </c>
      <c r="B51" s="113" t="s">
        <v>68</v>
      </c>
      <c r="C51" s="71">
        <v>439120.0003388785</v>
      </c>
      <c r="D51" s="71">
        <v>387883.00008392334</v>
      </c>
    </row>
    <row r="52" ht="15.75" customHeight="1">
      <c r="A52" s="114">
        <v>20403.0</v>
      </c>
      <c r="B52" s="113" t="s">
        <v>69</v>
      </c>
      <c r="C52" s="71">
        <v>628261.0008863872</v>
      </c>
      <c r="D52" s="71">
        <v>673681.0002365112</v>
      </c>
    </row>
    <row r="53" ht="15.75" customHeight="1">
      <c r="A53" s="114">
        <v>20404.0</v>
      </c>
      <c r="B53" s="113" t="s">
        <v>70</v>
      </c>
      <c r="C53" s="71">
        <v>149952.00008942094</v>
      </c>
      <c r="D53" s="71">
        <v>138693.0000076294</v>
      </c>
    </row>
    <row r="54" ht="15.75" customHeight="1">
      <c r="A54" s="114">
        <v>20405.0</v>
      </c>
      <c r="B54" s="113" t="s">
        <v>71</v>
      </c>
      <c r="C54" s="71">
        <v>295706.0001887791</v>
      </c>
      <c r="D54" s="71">
        <v>411464.9999008179</v>
      </c>
    </row>
    <row r="55" ht="15.75" customHeight="1">
      <c r="A55" s="114">
        <v>20501.0</v>
      </c>
      <c r="B55" s="113" t="s">
        <v>72</v>
      </c>
      <c r="C55" s="71">
        <v>434830.0001381757</v>
      </c>
      <c r="D55" s="71">
        <v>541776.9999923706</v>
      </c>
    </row>
    <row r="56" ht="15.75" customHeight="1">
      <c r="A56" s="114">
        <v>20502.0</v>
      </c>
      <c r="B56" s="113" t="s">
        <v>73</v>
      </c>
      <c r="C56" s="71">
        <v>280883.9999154266</v>
      </c>
      <c r="D56" s="71">
        <v>267015.0</v>
      </c>
    </row>
    <row r="57" ht="15.75" customHeight="1">
      <c r="A57" s="114">
        <v>20503.0</v>
      </c>
      <c r="B57" s="113" t="s">
        <v>74</v>
      </c>
      <c r="C57" s="71">
        <v>235743.00011892244</v>
      </c>
      <c r="D57" s="71">
        <v>657724.9963226318</v>
      </c>
    </row>
    <row r="58" ht="15.75" customHeight="1">
      <c r="A58" s="114">
        <v>20601.0</v>
      </c>
      <c r="B58" s="113" t="s">
        <v>75</v>
      </c>
      <c r="C58" s="71">
        <v>1826242.0011776965</v>
      </c>
      <c r="D58" s="71">
        <v>2985638.9999694824</v>
      </c>
    </row>
    <row r="59" ht="15.75" customHeight="1">
      <c r="A59" s="114">
        <v>20602.0</v>
      </c>
      <c r="B59" s="113" t="s">
        <v>76</v>
      </c>
      <c r="C59" s="71">
        <v>2661360.9978773417</v>
      </c>
      <c r="D59" s="71">
        <v>5694304.999099731</v>
      </c>
    </row>
    <row r="60" ht="15.75" customHeight="1">
      <c r="A60" s="114">
        <v>20603.0</v>
      </c>
      <c r="B60" s="113" t="s">
        <v>77</v>
      </c>
      <c r="C60" s="71">
        <v>692744.0015957942</v>
      </c>
      <c r="D60" s="71">
        <v>1116845.0003814697</v>
      </c>
    </row>
    <row r="61" ht="15.75" customHeight="1">
      <c r="A61" s="114">
        <v>20604.0</v>
      </c>
      <c r="B61" s="113" t="s">
        <v>78</v>
      </c>
      <c r="C61" s="71">
        <v>168873.99971847702</v>
      </c>
      <c r="D61" s="71">
        <v>226132.99994659424</v>
      </c>
    </row>
    <row r="62" ht="15.75" customHeight="1">
      <c r="A62" s="114">
        <v>20605.0</v>
      </c>
      <c r="B62" s="113" t="s">
        <v>79</v>
      </c>
      <c r="C62" s="71">
        <v>104777.99965818971</v>
      </c>
      <c r="D62" s="71">
        <v>90994.0000076294</v>
      </c>
    </row>
    <row r="63" ht="15.75" customHeight="1">
      <c r="A63" s="114">
        <v>20606.0</v>
      </c>
      <c r="B63" s="113" t="s">
        <v>80</v>
      </c>
      <c r="C63" s="71">
        <v>1456717.0011001406</v>
      </c>
      <c r="D63" s="71">
        <v>2618249.000152588</v>
      </c>
    </row>
    <row r="64" ht="15.75" customHeight="1">
      <c r="A64" s="114">
        <v>20607.0</v>
      </c>
      <c r="B64" s="113" t="s">
        <v>81</v>
      </c>
      <c r="C64" s="71">
        <v>1516831.001722943</v>
      </c>
      <c r="D64" s="71">
        <v>9565757.998779297</v>
      </c>
    </row>
    <row r="65" ht="15.75" customHeight="1">
      <c r="A65" s="114">
        <v>20608.0</v>
      </c>
      <c r="B65" s="113" t="s">
        <v>82</v>
      </c>
      <c r="C65" s="71">
        <v>1220453.9986649882</v>
      </c>
      <c r="D65" s="71">
        <v>5031421.998626709</v>
      </c>
    </row>
    <row r="66" ht="15.75" customHeight="1">
      <c r="A66" s="114">
        <v>20701.0</v>
      </c>
      <c r="B66" s="113" t="s">
        <v>83</v>
      </c>
      <c r="C66" s="71">
        <v>1071545.0009628003</v>
      </c>
      <c r="D66" s="71">
        <v>2757229.0000686646</v>
      </c>
    </row>
    <row r="67" ht="15.75" customHeight="1">
      <c r="A67" s="114">
        <v>20702.0</v>
      </c>
      <c r="B67" s="113" t="s">
        <v>84</v>
      </c>
      <c r="C67" s="71">
        <v>422709.99938289635</v>
      </c>
      <c r="D67" s="71">
        <v>615826.0001983643</v>
      </c>
    </row>
    <row r="68" ht="15.75" customHeight="1">
      <c r="A68" s="114">
        <v>20801.0</v>
      </c>
      <c r="B68" s="113" t="s">
        <v>85</v>
      </c>
      <c r="C68" s="71">
        <v>1.5409294005469613E7</v>
      </c>
      <c r="D68" s="71">
        <v>2.2984970002464294E7</v>
      </c>
    </row>
    <row r="69" ht="15.75" customHeight="1">
      <c r="A69" s="114">
        <v>20802.0</v>
      </c>
      <c r="B69" s="113" t="s">
        <v>86</v>
      </c>
      <c r="C69" s="71">
        <v>578625.001391354</v>
      </c>
      <c r="D69" s="71">
        <v>661035.9998855591</v>
      </c>
    </row>
    <row r="70" ht="15.75" customHeight="1">
      <c r="A70" s="114">
        <v>20803.0</v>
      </c>
      <c r="B70" s="113" t="s">
        <v>87</v>
      </c>
      <c r="C70" s="71">
        <v>646290.0003924118</v>
      </c>
      <c r="D70" s="71">
        <v>833757.9997787476</v>
      </c>
    </row>
    <row r="71" ht="15.75" customHeight="1">
      <c r="A71" s="114">
        <v>20804.0</v>
      </c>
      <c r="B71" s="113" t="s">
        <v>88</v>
      </c>
      <c r="C71" s="71">
        <v>834517.0008714478</v>
      </c>
      <c r="D71" s="71">
        <v>1075695.0004119873</v>
      </c>
    </row>
    <row r="72" ht="15.75" customHeight="1">
      <c r="A72" s="114">
        <v>20805.0</v>
      </c>
      <c r="B72" s="113" t="s">
        <v>89</v>
      </c>
      <c r="C72" s="71">
        <v>167805.9994258918</v>
      </c>
      <c r="D72" s="71">
        <v>0.0</v>
      </c>
    </row>
    <row r="73" ht="15.75" customHeight="1">
      <c r="A73" s="114">
        <v>20806.0</v>
      </c>
      <c r="B73" s="113" t="s">
        <v>90</v>
      </c>
      <c r="C73" s="71">
        <v>401394.0003096685</v>
      </c>
      <c r="D73" s="71">
        <v>0.0</v>
      </c>
    </row>
    <row r="74" ht="15.75" customHeight="1">
      <c r="A74" s="114">
        <v>20807.0</v>
      </c>
      <c r="B74" s="113" t="s">
        <v>91</v>
      </c>
      <c r="C74" s="71">
        <v>252396.00021193922</v>
      </c>
      <c r="D74" s="71">
        <v>280576.0000076294</v>
      </c>
    </row>
    <row r="75" ht="15.75" customHeight="1">
      <c r="A75" s="114">
        <v>20901.0</v>
      </c>
      <c r="B75" s="113" t="s">
        <v>92</v>
      </c>
      <c r="C75" s="71">
        <v>648981.0003759926</v>
      </c>
      <c r="D75" s="71">
        <v>903516.9998550415</v>
      </c>
    </row>
    <row r="76" ht="15.75" customHeight="1">
      <c r="A76" s="114">
        <v>20902.0</v>
      </c>
      <c r="B76" s="113" t="s">
        <v>93</v>
      </c>
      <c r="C76" s="71">
        <v>804514.0000176085</v>
      </c>
      <c r="D76" s="71">
        <v>1008846.000038147</v>
      </c>
    </row>
    <row r="77" ht="15.75" customHeight="1">
      <c r="A77" s="114">
        <v>20903.0</v>
      </c>
      <c r="B77" s="113" t="s">
        <v>94</v>
      </c>
      <c r="C77" s="71">
        <v>241683.00101705827</v>
      </c>
      <c r="D77" s="71">
        <v>234704.99992370605</v>
      </c>
    </row>
    <row r="78" ht="15.75" customHeight="1">
      <c r="A78" s="114">
        <v>20904.0</v>
      </c>
      <c r="B78" s="113" t="s">
        <v>95</v>
      </c>
      <c r="C78" s="71">
        <v>58290.99995852914</v>
      </c>
      <c r="D78" s="71">
        <v>76229.00003814697</v>
      </c>
    </row>
    <row r="79" ht="15.75" customHeight="1">
      <c r="A79" s="114">
        <v>20905.0</v>
      </c>
      <c r="B79" s="113" t="s">
        <v>96</v>
      </c>
      <c r="C79" s="71">
        <v>579867.9995934013</v>
      </c>
      <c r="D79" s="71">
        <v>839524.0002288818</v>
      </c>
    </row>
    <row r="80" ht="15.75" customHeight="1">
      <c r="A80" s="114">
        <v>21001.0</v>
      </c>
      <c r="B80" s="113" t="s">
        <v>97</v>
      </c>
      <c r="C80" s="71">
        <v>458955.00023799017</v>
      </c>
      <c r="D80" s="71">
        <v>685609.9998779297</v>
      </c>
    </row>
    <row r="81" ht="15.75" customHeight="1">
      <c r="A81" s="114">
        <v>21002.0</v>
      </c>
      <c r="B81" s="113" t="s">
        <v>98</v>
      </c>
      <c r="C81" s="71">
        <v>702049.0011424366</v>
      </c>
      <c r="D81" s="71">
        <v>1277700.5000534058</v>
      </c>
    </row>
    <row r="82" ht="15.75" customHeight="1">
      <c r="A82" s="114">
        <v>21003.0</v>
      </c>
      <c r="B82" s="113" t="s">
        <v>99</v>
      </c>
      <c r="C82" s="71">
        <v>1815846.998253758</v>
      </c>
      <c r="D82" s="71">
        <v>2356197.0</v>
      </c>
    </row>
    <row r="83" ht="15.75" customHeight="1">
      <c r="A83" s="114">
        <v>21004.0</v>
      </c>
      <c r="B83" s="113" t="s">
        <v>100</v>
      </c>
      <c r="C83" s="71">
        <v>309460.00009526126</v>
      </c>
      <c r="D83" s="71">
        <v>294485.0001144409</v>
      </c>
    </row>
    <row r="84" ht="15.75" customHeight="1">
      <c r="A84" s="114">
        <v>21005.0</v>
      </c>
      <c r="B84" s="113" t="s">
        <v>101</v>
      </c>
      <c r="C84" s="71">
        <v>147730.00028283335</v>
      </c>
      <c r="D84" s="71">
        <v>165399.00004577637</v>
      </c>
    </row>
    <row r="85" ht="15.75" customHeight="1">
      <c r="A85" s="114">
        <v>21006.0</v>
      </c>
      <c r="B85" s="113" t="s">
        <v>102</v>
      </c>
      <c r="C85" s="71">
        <v>215762.9998341864</v>
      </c>
      <c r="D85" s="71">
        <v>426309.0001068115</v>
      </c>
    </row>
    <row r="86" ht="15.75" customHeight="1">
      <c r="A86" s="114">
        <v>21101.0</v>
      </c>
      <c r="B86" s="113" t="s">
        <v>103</v>
      </c>
      <c r="C86" s="71">
        <v>2795163.9999010786</v>
      </c>
      <c r="D86" s="71">
        <v>4344043.000259399</v>
      </c>
    </row>
    <row r="87" ht="15.75" customHeight="1">
      <c r="A87" s="114">
        <v>21102.0</v>
      </c>
      <c r="B87" s="113" t="s">
        <v>104</v>
      </c>
      <c r="C87" s="71">
        <v>1962885.0002256362</v>
      </c>
      <c r="D87" s="71">
        <v>3436808.000190735</v>
      </c>
    </row>
    <row r="88" ht="15.75" customHeight="1">
      <c r="A88" s="114">
        <v>21103.0</v>
      </c>
      <c r="B88" s="113" t="s">
        <v>105</v>
      </c>
      <c r="C88" s="71">
        <v>769276.9994540187</v>
      </c>
      <c r="D88" s="71">
        <v>1087012.0001068115</v>
      </c>
    </row>
    <row r="89" ht="15.75" customHeight="1">
      <c r="A89" s="114">
        <v>21104.0</v>
      </c>
      <c r="B89" s="113" t="s">
        <v>106</v>
      </c>
      <c r="C89" s="71">
        <v>2627562.0000553485</v>
      </c>
      <c r="D89" s="71">
        <v>4941014.9998703</v>
      </c>
    </row>
    <row r="90" ht="15.75" customHeight="1">
      <c r="A90" s="114">
        <v>21105.0</v>
      </c>
      <c r="B90" s="113" t="s">
        <v>107</v>
      </c>
      <c r="C90" s="71">
        <v>3913222.000697688</v>
      </c>
      <c r="D90" s="71">
        <v>9305408.00099945</v>
      </c>
    </row>
    <row r="91" ht="15.75" customHeight="1">
      <c r="A91" s="114">
        <v>21201.0</v>
      </c>
      <c r="B91" s="113" t="s">
        <v>108</v>
      </c>
      <c r="C91" s="71">
        <v>1806873.0000927849</v>
      </c>
      <c r="D91" s="71">
        <v>1.170823000012207E7</v>
      </c>
    </row>
    <row r="92" ht="15.75" customHeight="1">
      <c r="A92" s="114">
        <v>21202.0</v>
      </c>
      <c r="B92" s="113" t="s">
        <v>109</v>
      </c>
      <c r="C92" s="71">
        <v>1685275.9989302466</v>
      </c>
      <c r="D92" s="71">
        <v>2771224.0005111694</v>
      </c>
    </row>
    <row r="93" ht="15.75" customHeight="1">
      <c r="A93" s="114">
        <v>21203.0</v>
      </c>
      <c r="B93" s="113" t="s">
        <v>110</v>
      </c>
      <c r="C93" s="71">
        <v>1501055.001019217</v>
      </c>
      <c r="D93" s="71">
        <v>1643978.9997711182</v>
      </c>
    </row>
    <row r="94" ht="15.75" customHeight="1">
      <c r="A94" s="114">
        <v>21204.0</v>
      </c>
      <c r="B94" s="113" t="s">
        <v>111</v>
      </c>
      <c r="C94" s="71">
        <v>370191.99920715764</v>
      </c>
      <c r="D94" s="71">
        <v>0.0</v>
      </c>
    </row>
    <row r="95" ht="15.75" customHeight="1">
      <c r="A95" s="114">
        <v>21301.0</v>
      </c>
      <c r="B95" s="113" t="s">
        <v>112</v>
      </c>
      <c r="C95" s="71">
        <v>1336496.0024705194</v>
      </c>
      <c r="D95" s="71">
        <v>1552734.9997406006</v>
      </c>
    </row>
    <row r="96" ht="15.75" customHeight="1">
      <c r="A96" s="114">
        <v>21302.0</v>
      </c>
      <c r="B96" s="113" t="s">
        <v>113</v>
      </c>
      <c r="C96" s="71">
        <v>339288.00040807296</v>
      </c>
      <c r="D96" s="71">
        <v>340995.99991607666</v>
      </c>
    </row>
    <row r="97" ht="15.75" customHeight="1">
      <c r="A97" s="114">
        <v>21303.0</v>
      </c>
      <c r="B97" s="113" t="s">
        <v>114</v>
      </c>
      <c r="C97" s="71">
        <v>344290.99988170806</v>
      </c>
      <c r="D97" s="71">
        <v>412383.99991607666</v>
      </c>
    </row>
    <row r="98" ht="15.75" customHeight="1">
      <c r="A98" s="114">
        <v>21304.0</v>
      </c>
      <c r="B98" s="113" t="s">
        <v>115</v>
      </c>
      <c r="C98" s="71">
        <v>638846.9997758558</v>
      </c>
      <c r="D98" s="71">
        <v>789331.0000839233</v>
      </c>
    </row>
    <row r="99" ht="15.75" customHeight="1">
      <c r="A99" s="114">
        <v>21305.0</v>
      </c>
      <c r="B99" s="113" t="s">
        <v>116</v>
      </c>
      <c r="C99" s="71">
        <v>2477796.0002241656</v>
      </c>
      <c r="D99" s="71">
        <v>3253823.9994125366</v>
      </c>
    </row>
    <row r="100" ht="15.75" customHeight="1">
      <c r="A100" s="114">
        <v>21306.0</v>
      </c>
      <c r="B100" s="113" t="s">
        <v>117</v>
      </c>
      <c r="C100" s="71">
        <v>513844.99931334145</v>
      </c>
      <c r="D100" s="71">
        <v>564564.9998092651</v>
      </c>
    </row>
    <row r="101" ht="15.75" customHeight="1">
      <c r="A101" s="114">
        <v>21307.0</v>
      </c>
      <c r="B101" s="113" t="s">
        <v>118</v>
      </c>
      <c r="C101" s="71">
        <v>134630.00010117423</v>
      </c>
      <c r="D101" s="71">
        <v>173404.9999923706</v>
      </c>
    </row>
    <row r="102" ht="15.75" customHeight="1">
      <c r="A102" s="114">
        <v>21401.0</v>
      </c>
      <c r="B102" s="113" t="s">
        <v>119</v>
      </c>
      <c r="C102" s="71">
        <v>2586713.0004410893</v>
      </c>
      <c r="D102" s="71">
        <v>5043189.000061035</v>
      </c>
    </row>
    <row r="103" ht="15.75" customHeight="1">
      <c r="A103" s="114">
        <v>21402.0</v>
      </c>
      <c r="B103" s="113" t="s">
        <v>120</v>
      </c>
      <c r="C103" s="71">
        <v>3164111.000326247</v>
      </c>
      <c r="D103" s="71">
        <v>3620872.0004730225</v>
      </c>
    </row>
    <row r="104" ht="15.75" customHeight="1">
      <c r="A104" s="114">
        <v>21501.0</v>
      </c>
      <c r="B104" s="113" t="s">
        <v>121</v>
      </c>
      <c r="C104" s="71">
        <v>1028598.9999556551</v>
      </c>
      <c r="D104" s="71">
        <v>1987538.9997558594</v>
      </c>
    </row>
    <row r="105" ht="15.75" customHeight="1">
      <c r="A105" s="114">
        <v>21502.0</v>
      </c>
      <c r="B105" s="113" t="s">
        <v>122</v>
      </c>
      <c r="C105" s="71">
        <v>1035885.0001133084</v>
      </c>
      <c r="D105" s="71">
        <v>1913410.0006408691</v>
      </c>
    </row>
    <row r="106" ht="15.75" customHeight="1">
      <c r="A106" s="114">
        <v>21601.0</v>
      </c>
      <c r="B106" s="113" t="s">
        <v>123</v>
      </c>
      <c r="C106" s="71">
        <v>301051.0000577327</v>
      </c>
      <c r="D106" s="71">
        <v>586770.9998245239</v>
      </c>
    </row>
    <row r="107" ht="15.75" customHeight="1">
      <c r="A107" s="114">
        <v>21602.0</v>
      </c>
      <c r="B107" s="113" t="s">
        <v>124</v>
      </c>
      <c r="C107" s="71">
        <v>48999.99983458128</v>
      </c>
      <c r="D107" s="71">
        <v>149167.00003051758</v>
      </c>
    </row>
    <row r="108" ht="15.75" customHeight="1">
      <c r="A108" s="114">
        <v>21701.0</v>
      </c>
      <c r="B108" s="113" t="s">
        <v>125</v>
      </c>
      <c r="C108" s="71">
        <v>2115474.9984045075</v>
      </c>
      <c r="D108" s="71">
        <v>2051569.000137329</v>
      </c>
    </row>
    <row r="109" ht="15.75" customHeight="1">
      <c r="A109" s="114">
        <v>21702.0</v>
      </c>
      <c r="B109" s="113" t="s">
        <v>126</v>
      </c>
      <c r="C109" s="71">
        <v>474047.0011710832</v>
      </c>
      <c r="D109" s="71">
        <v>376368.9999694824</v>
      </c>
    </row>
    <row r="110" ht="15.75" customHeight="1">
      <c r="A110" s="114">
        <v>21703.0</v>
      </c>
      <c r="B110" s="113" t="s">
        <v>127</v>
      </c>
      <c r="C110" s="71">
        <v>80069.00001476519</v>
      </c>
      <c r="D110" s="71">
        <v>111727.00010681152</v>
      </c>
    </row>
    <row r="111" ht="15.75" customHeight="1">
      <c r="A111" s="114">
        <v>21801.0</v>
      </c>
      <c r="B111" s="113" t="s">
        <v>128</v>
      </c>
      <c r="C111" s="71">
        <v>33261.00008515641</v>
      </c>
      <c r="D111" s="71">
        <v>249310.0</v>
      </c>
    </row>
    <row r="112" ht="15.75" customHeight="1">
      <c r="A112" s="114">
        <v>21802.0</v>
      </c>
      <c r="B112" s="113" t="s">
        <v>129</v>
      </c>
      <c r="C112" s="71">
        <v>14979.000057975762</v>
      </c>
      <c r="D112" s="71">
        <v>188381.99991607666</v>
      </c>
    </row>
    <row r="113" ht="15.75" customHeight="1">
      <c r="A113" s="114">
        <v>21803.0</v>
      </c>
      <c r="B113" s="113" t="s">
        <v>130</v>
      </c>
      <c r="C113" s="71">
        <v>38561.00015930366</v>
      </c>
      <c r="D113" s="71">
        <v>53932.00003051758</v>
      </c>
    </row>
    <row r="114" ht="15.75" customHeight="1">
      <c r="A114" s="114">
        <v>21901.0</v>
      </c>
      <c r="B114" s="113" t="s">
        <v>131</v>
      </c>
      <c r="C114" s="71">
        <v>141640.0003090566</v>
      </c>
      <c r="D114" s="71">
        <v>221964.0001220703</v>
      </c>
    </row>
    <row r="115" ht="15.75" customHeight="1">
      <c r="A115" s="114">
        <v>21902.0</v>
      </c>
      <c r="B115" s="113" t="s">
        <v>132</v>
      </c>
      <c r="C115" s="71">
        <v>31080.999877316877</v>
      </c>
      <c r="D115" s="71">
        <v>51887.0</v>
      </c>
    </row>
    <row r="116" ht="15.75" customHeight="1">
      <c r="A116" s="114">
        <v>22001.0</v>
      </c>
      <c r="B116" s="113" t="s">
        <v>133</v>
      </c>
      <c r="C116" s="71">
        <v>4812211.998315876</v>
      </c>
      <c r="D116" s="71">
        <v>1.071452399912262E7</v>
      </c>
    </row>
    <row r="117" ht="15.75" customHeight="1">
      <c r="A117" s="114">
        <v>22002.0</v>
      </c>
      <c r="B117" s="113" t="s">
        <v>134</v>
      </c>
      <c r="C117" s="71">
        <v>706957.9998353738</v>
      </c>
      <c r="D117" s="71">
        <v>1997274.0004730225</v>
      </c>
    </row>
    <row r="118" ht="15.75" customHeight="1">
      <c r="A118" s="114">
        <v>30101.0</v>
      </c>
      <c r="B118" s="113" t="s">
        <v>135</v>
      </c>
      <c r="C118" s="71">
        <v>2.788911860043631E8</v>
      </c>
      <c r="D118" s="71">
        <v>6.361470685336151E8</v>
      </c>
    </row>
    <row r="119" ht="15.75" customHeight="1">
      <c r="A119" s="114">
        <v>30201.0</v>
      </c>
      <c r="B119" s="113" t="s">
        <v>136</v>
      </c>
      <c r="C119" s="71">
        <v>2559556.0005089147</v>
      </c>
      <c r="D119" s="71">
        <v>419802.00006103516</v>
      </c>
    </row>
    <row r="120" ht="15.75" customHeight="1">
      <c r="A120" s="114">
        <v>30202.0</v>
      </c>
      <c r="B120" s="113" t="s">
        <v>137</v>
      </c>
      <c r="C120" s="71">
        <v>254207.0001061987</v>
      </c>
      <c r="D120" s="71">
        <v>1880595.0</v>
      </c>
    </row>
    <row r="121" ht="15.75" customHeight="1">
      <c r="A121" s="114">
        <v>30203.0</v>
      </c>
      <c r="B121" s="113" t="s">
        <v>138</v>
      </c>
      <c r="C121" s="71">
        <v>614123.0000102753</v>
      </c>
      <c r="D121" s="71">
        <v>45036.0</v>
      </c>
    </row>
    <row r="122" ht="15.75" customHeight="1">
      <c r="A122" s="114">
        <v>30301.0</v>
      </c>
      <c r="B122" s="113" t="s">
        <v>139</v>
      </c>
      <c r="C122" s="71">
        <v>598887.0002952544</v>
      </c>
      <c r="D122" s="71">
        <v>135504.99996948242</v>
      </c>
    </row>
    <row r="123" ht="15.75" customHeight="1">
      <c r="A123" s="114">
        <v>30302.0</v>
      </c>
      <c r="B123" s="113" t="s">
        <v>140</v>
      </c>
      <c r="C123" s="71">
        <v>304985.0004417235</v>
      </c>
      <c r="D123" s="71">
        <v>35283.0</v>
      </c>
    </row>
    <row r="124" ht="15.75" customHeight="1">
      <c r="A124" s="114">
        <v>30303.0</v>
      </c>
      <c r="B124" s="113" t="s">
        <v>141</v>
      </c>
      <c r="C124" s="71">
        <v>396558.9997583581</v>
      </c>
      <c r="D124" s="71">
        <v>247495.0000152588</v>
      </c>
    </row>
    <row r="125" ht="15.75" customHeight="1">
      <c r="A125" s="114">
        <v>30401.0</v>
      </c>
      <c r="B125" s="113" t="s">
        <v>142</v>
      </c>
      <c r="C125" s="71">
        <v>1520142.0003358908</v>
      </c>
      <c r="D125" s="71">
        <v>15498.0</v>
      </c>
    </row>
    <row r="126" ht="15.75" customHeight="1">
      <c r="A126" s="114">
        <v>30402.0</v>
      </c>
      <c r="B126" s="113" t="s">
        <v>143</v>
      </c>
      <c r="C126" s="71">
        <v>271436.00045514293</v>
      </c>
      <c r="D126" s="71">
        <v>21756.0</v>
      </c>
    </row>
    <row r="127" ht="15.75" customHeight="1">
      <c r="A127" s="114">
        <v>30403.0</v>
      </c>
      <c r="B127" s="113" t="s">
        <v>144</v>
      </c>
      <c r="C127" s="71">
        <v>2516753.498214664</v>
      </c>
      <c r="D127" s="71">
        <v>72633.0</v>
      </c>
    </row>
    <row r="128" ht="15.75" customHeight="1">
      <c r="A128" s="114">
        <v>30404.0</v>
      </c>
      <c r="B128" s="113" t="s">
        <v>145</v>
      </c>
      <c r="C128" s="71">
        <v>224107.00050216634</v>
      </c>
      <c r="D128" s="71">
        <v>3480.0</v>
      </c>
    </row>
    <row r="129" ht="15.75" customHeight="1">
      <c r="A129" s="114">
        <v>30501.0</v>
      </c>
      <c r="B129" s="113" t="s">
        <v>146</v>
      </c>
      <c r="C129" s="71">
        <v>1907851.4979518848</v>
      </c>
      <c r="D129" s="71">
        <v>12420.0</v>
      </c>
    </row>
    <row r="130" ht="15.75" customHeight="1">
      <c r="A130" s="114">
        <v>30502.0</v>
      </c>
      <c r="B130" s="113" t="s">
        <v>147</v>
      </c>
      <c r="C130" s="71">
        <v>302223.00025526714</v>
      </c>
      <c r="D130" s="71">
        <v>9152.0</v>
      </c>
    </row>
    <row r="131" ht="15.75" customHeight="1">
      <c r="A131" s="114">
        <v>30601.0</v>
      </c>
      <c r="B131" s="113" t="s">
        <v>148</v>
      </c>
      <c r="C131" s="71">
        <v>206101.00002764445</v>
      </c>
      <c r="D131" s="71">
        <v>24070.0</v>
      </c>
    </row>
    <row r="132" ht="15.75" customHeight="1">
      <c r="A132" s="114">
        <v>30602.0</v>
      </c>
      <c r="B132" s="113" t="s">
        <v>149</v>
      </c>
      <c r="C132" s="71">
        <v>148420.0000754241</v>
      </c>
      <c r="D132" s="71">
        <v>8241.0</v>
      </c>
    </row>
    <row r="133" ht="15.75" customHeight="1">
      <c r="A133" s="114">
        <v>30701.0</v>
      </c>
      <c r="B133" s="113" t="s">
        <v>150</v>
      </c>
      <c r="C133" s="71">
        <v>3478721.0017391667</v>
      </c>
      <c r="D133" s="71">
        <v>77970.0</v>
      </c>
    </row>
    <row r="134" ht="15.75" customHeight="1">
      <c r="A134" s="114">
        <v>30702.0</v>
      </c>
      <c r="B134" s="113" t="s">
        <v>151</v>
      </c>
      <c r="C134" s="71">
        <v>1135769.0000126967</v>
      </c>
      <c r="D134" s="71">
        <v>34932.0</v>
      </c>
    </row>
    <row r="135" ht="15.75" customHeight="1">
      <c r="A135" s="114">
        <v>30703.0</v>
      </c>
      <c r="B135" s="113" t="s">
        <v>152</v>
      </c>
      <c r="C135" s="71">
        <v>208101.00007884763</v>
      </c>
      <c r="D135" s="71">
        <v>25200.0</v>
      </c>
    </row>
    <row r="136" ht="15.75" customHeight="1">
      <c r="A136" s="114">
        <v>30801.0</v>
      </c>
      <c r="B136" s="113" t="s">
        <v>153</v>
      </c>
      <c r="C136" s="71">
        <v>4846450.998363441</v>
      </c>
      <c r="D136" s="71">
        <v>12581.0</v>
      </c>
    </row>
    <row r="137" ht="15.75" customHeight="1">
      <c r="A137" s="114">
        <v>30802.0</v>
      </c>
      <c r="B137" s="113" t="s">
        <v>154</v>
      </c>
      <c r="C137" s="71">
        <v>733240.500016436</v>
      </c>
      <c r="D137" s="71">
        <v>9222.0</v>
      </c>
    </row>
    <row r="138" ht="15.75" customHeight="1">
      <c r="A138" s="114">
        <v>30803.0</v>
      </c>
      <c r="B138" s="113" t="s">
        <v>155</v>
      </c>
      <c r="C138" s="71">
        <v>1593179.9992441107</v>
      </c>
      <c r="D138" s="71">
        <v>29512.0</v>
      </c>
    </row>
    <row r="139" ht="15.75" customHeight="1">
      <c r="A139" s="114">
        <v>30901.0</v>
      </c>
      <c r="B139" s="113" t="s">
        <v>156</v>
      </c>
      <c r="C139" s="71">
        <v>4.8729985997995175E7</v>
      </c>
      <c r="D139" s="71">
        <v>536670.0</v>
      </c>
    </row>
    <row r="140" ht="15.75" customHeight="1">
      <c r="A140" s="114">
        <v>30902.0</v>
      </c>
      <c r="B140" s="113" t="s">
        <v>157</v>
      </c>
      <c r="C140" s="71">
        <v>9111536.50415894</v>
      </c>
      <c r="D140" s="71">
        <v>184036.0</v>
      </c>
    </row>
    <row r="141" ht="15.75" customHeight="1">
      <c r="A141" s="114">
        <v>30903.0</v>
      </c>
      <c r="B141" s="113" t="s">
        <v>158</v>
      </c>
      <c r="C141" s="71">
        <v>2.106805700849795E7</v>
      </c>
      <c r="D141" s="71">
        <v>422646.0</v>
      </c>
    </row>
    <row r="142" ht="15.75" customHeight="1">
      <c r="A142" s="114">
        <v>30904.0</v>
      </c>
      <c r="B142" s="113" t="s">
        <v>159</v>
      </c>
      <c r="C142" s="71">
        <v>1.2661829999839395E7</v>
      </c>
      <c r="D142" s="71">
        <v>97148.0</v>
      </c>
    </row>
    <row r="143" ht="15.75" customHeight="1">
      <c r="A143" s="114">
        <v>30905.0</v>
      </c>
      <c r="B143" s="113" t="s">
        <v>160</v>
      </c>
      <c r="C143" s="71">
        <v>2.109960799572236E7</v>
      </c>
      <c r="D143" s="71">
        <v>104652.0</v>
      </c>
    </row>
    <row r="144" ht="15.75" customHeight="1">
      <c r="A144" s="114">
        <v>31001.0</v>
      </c>
      <c r="B144" s="113" t="s">
        <v>161</v>
      </c>
      <c r="C144" s="71">
        <v>5.0168160485634565E7</v>
      </c>
      <c r="D144" s="71">
        <v>703424.0</v>
      </c>
    </row>
    <row r="145" ht="15.75" customHeight="1">
      <c r="A145" s="114">
        <v>31002.0</v>
      </c>
      <c r="B145" s="113" t="s">
        <v>162</v>
      </c>
      <c r="C145" s="71">
        <v>2433604.998180435</v>
      </c>
      <c r="D145" s="71">
        <v>122972.0</v>
      </c>
    </row>
    <row r="146" ht="15.75" customHeight="1">
      <c r="A146" s="114">
        <v>31003.0</v>
      </c>
      <c r="B146" s="113" t="s">
        <v>163</v>
      </c>
      <c r="C146" s="71">
        <v>1.0361196500695225E7</v>
      </c>
      <c r="D146" s="71">
        <v>749056.0</v>
      </c>
    </row>
    <row r="147" ht="15.75" customHeight="1">
      <c r="A147" s="114">
        <v>31101.0</v>
      </c>
      <c r="B147" s="113" t="s">
        <v>164</v>
      </c>
      <c r="C147" s="71">
        <v>553993.0000124732</v>
      </c>
      <c r="D147" s="71">
        <v>58714.0</v>
      </c>
    </row>
    <row r="148" ht="15.75" customHeight="1">
      <c r="A148" s="114">
        <v>31201.0</v>
      </c>
      <c r="B148" s="113" t="s">
        <v>165</v>
      </c>
      <c r="C148" s="71">
        <v>817274.00021296</v>
      </c>
      <c r="D148" s="71">
        <v>174064.0</v>
      </c>
    </row>
    <row r="149" ht="15.75" customHeight="1">
      <c r="A149" s="114">
        <v>31202.0</v>
      </c>
      <c r="B149" s="113" t="s">
        <v>166</v>
      </c>
      <c r="C149" s="71">
        <v>709660.0002770247</v>
      </c>
      <c r="D149" s="71">
        <v>97569.0</v>
      </c>
    </row>
    <row r="150" ht="15.75" customHeight="1">
      <c r="A150" s="114">
        <v>31203.0</v>
      </c>
      <c r="B150" s="113" t="s">
        <v>167</v>
      </c>
      <c r="C150" s="71">
        <v>917127.9991086368</v>
      </c>
      <c r="D150" s="71">
        <v>54417.0</v>
      </c>
    </row>
    <row r="151" ht="15.75" customHeight="1">
      <c r="A151" s="114">
        <v>31204.0</v>
      </c>
      <c r="B151" s="113" t="s">
        <v>168</v>
      </c>
      <c r="C151" s="71">
        <v>3801190.99878788</v>
      </c>
      <c r="D151" s="71">
        <v>206976.0</v>
      </c>
    </row>
    <row r="152" ht="15.75" customHeight="1">
      <c r="A152" s="114">
        <v>31205.0</v>
      </c>
      <c r="B152" s="113" t="s">
        <v>169</v>
      </c>
      <c r="C152" s="71">
        <v>8649165.003996193</v>
      </c>
      <c r="D152" s="71">
        <v>256672.0</v>
      </c>
    </row>
    <row r="153" ht="15.75" customHeight="1">
      <c r="A153" s="114">
        <v>31206.0</v>
      </c>
      <c r="B153" s="113" t="s">
        <v>170</v>
      </c>
      <c r="C153" s="71">
        <v>6999093.001536882</v>
      </c>
      <c r="D153" s="71">
        <v>198800.0</v>
      </c>
    </row>
    <row r="154" ht="15.75" customHeight="1">
      <c r="A154" s="114">
        <v>31301.0</v>
      </c>
      <c r="B154" s="113" t="s">
        <v>171</v>
      </c>
      <c r="C154" s="71">
        <v>2523402.5001531187</v>
      </c>
      <c r="D154" s="71">
        <v>246976.0</v>
      </c>
    </row>
    <row r="155" ht="15.75" customHeight="1">
      <c r="A155" s="114">
        <v>31302.0</v>
      </c>
      <c r="B155" s="113" t="s">
        <v>172</v>
      </c>
      <c r="C155" s="71">
        <v>109365.00006354973</v>
      </c>
      <c r="D155" s="71">
        <v>36334.0</v>
      </c>
    </row>
    <row r="156" ht="15.75" customHeight="1">
      <c r="A156" s="114">
        <v>31303.0</v>
      </c>
      <c r="B156" s="113" t="s">
        <v>173</v>
      </c>
      <c r="C156" s="71">
        <v>57372.50006655231</v>
      </c>
      <c r="D156" s="71">
        <v>13446.0</v>
      </c>
    </row>
    <row r="157" ht="15.75" customHeight="1">
      <c r="A157" s="114">
        <v>31304.0</v>
      </c>
      <c r="B157" s="113" t="s">
        <v>174</v>
      </c>
      <c r="C157" s="71">
        <v>0.0</v>
      </c>
      <c r="D157" s="71">
        <v>0.0</v>
      </c>
    </row>
    <row r="158" ht="15.75" customHeight="1">
      <c r="A158" s="114">
        <v>31401.0</v>
      </c>
      <c r="B158" s="113" t="s">
        <v>175</v>
      </c>
      <c r="C158" s="71">
        <v>7175862.502895114</v>
      </c>
      <c r="D158" s="71">
        <v>24480.0</v>
      </c>
    </row>
    <row r="159" ht="15.75" customHeight="1">
      <c r="A159" s="114">
        <v>31402.0</v>
      </c>
      <c r="B159" s="113" t="s">
        <v>176</v>
      </c>
      <c r="C159" s="71">
        <v>1034120.000390321</v>
      </c>
      <c r="D159" s="71">
        <v>5888.0</v>
      </c>
    </row>
    <row r="160" ht="15.75" customHeight="1">
      <c r="A160" s="114">
        <v>31403.0</v>
      </c>
      <c r="B160" s="113" t="s">
        <v>177</v>
      </c>
      <c r="C160" s="71">
        <v>3110593.5015466763</v>
      </c>
      <c r="D160" s="71">
        <v>16005.0</v>
      </c>
    </row>
    <row r="161" ht="15.75" customHeight="1">
      <c r="A161" s="114">
        <v>31404.0</v>
      </c>
      <c r="B161" s="113" t="s">
        <v>178</v>
      </c>
      <c r="C161" s="71">
        <v>88303.99992523249</v>
      </c>
      <c r="D161" s="71">
        <v>18520.0</v>
      </c>
    </row>
    <row r="162" ht="15.75" customHeight="1">
      <c r="A162" s="114">
        <v>31405.0</v>
      </c>
      <c r="B162" s="113" t="s">
        <v>179</v>
      </c>
      <c r="C162" s="71">
        <v>0.0</v>
      </c>
      <c r="D162" s="71">
        <v>0.0</v>
      </c>
    </row>
    <row r="163" ht="15.75" customHeight="1">
      <c r="A163" s="114">
        <v>31501.0</v>
      </c>
      <c r="B163" s="113" t="s">
        <v>180</v>
      </c>
      <c r="C163" s="71">
        <v>170061.00025380962</v>
      </c>
      <c r="D163" s="71">
        <v>11988.0</v>
      </c>
    </row>
    <row r="164" ht="15.75" customHeight="1">
      <c r="A164" s="114">
        <v>31601.0</v>
      </c>
      <c r="B164" s="113" t="s">
        <v>181</v>
      </c>
      <c r="C164" s="71">
        <v>1775845.9994051699</v>
      </c>
      <c r="D164" s="71">
        <v>22655.0</v>
      </c>
    </row>
    <row r="165" ht="15.75" customHeight="1">
      <c r="A165" s="114">
        <v>31602.0</v>
      </c>
      <c r="B165" s="113" t="s">
        <v>182</v>
      </c>
      <c r="C165" s="71">
        <v>3585151.0028390633</v>
      </c>
      <c r="D165" s="71">
        <v>166005.0</v>
      </c>
    </row>
    <row r="166" ht="15.75" customHeight="1">
      <c r="A166" s="114">
        <v>40101.0</v>
      </c>
      <c r="B166" s="113" t="s">
        <v>183</v>
      </c>
      <c r="C166" s="71">
        <v>8.540816300252405E7</v>
      </c>
      <c r="D166" s="71">
        <v>9.57115619995346E7</v>
      </c>
    </row>
    <row r="167" ht="15.75" customHeight="1">
      <c r="A167" s="114">
        <v>40102.0</v>
      </c>
      <c r="B167" s="113" t="s">
        <v>184</v>
      </c>
      <c r="C167" s="71">
        <v>1257855.0008685244</v>
      </c>
      <c r="D167" s="71">
        <v>1764913.0001678467</v>
      </c>
    </row>
    <row r="168" ht="15.75" customHeight="1">
      <c r="A168" s="114">
        <v>40103.0</v>
      </c>
      <c r="B168" s="113" t="s">
        <v>185</v>
      </c>
      <c r="C168" s="71">
        <v>81553.9993623048</v>
      </c>
      <c r="D168" s="71">
        <v>147931.00008392334</v>
      </c>
    </row>
    <row r="169" ht="15.75" customHeight="1">
      <c r="A169" s="114">
        <v>40104.0</v>
      </c>
      <c r="B169" s="113" t="s">
        <v>186</v>
      </c>
      <c r="C169" s="71">
        <v>519538.9999715518</v>
      </c>
      <c r="D169" s="71">
        <v>691314.9999313354</v>
      </c>
    </row>
    <row r="170" ht="15.75" customHeight="1">
      <c r="A170" s="114">
        <v>40201.0</v>
      </c>
      <c r="B170" s="113" t="s">
        <v>187</v>
      </c>
      <c r="C170" s="71">
        <v>2504958.0007918514</v>
      </c>
      <c r="D170" s="71">
        <v>3477756.000099182</v>
      </c>
    </row>
    <row r="171" ht="15.75" customHeight="1">
      <c r="A171" s="114">
        <v>40202.0</v>
      </c>
      <c r="B171" s="113" t="s">
        <v>188</v>
      </c>
      <c r="C171" s="71">
        <v>62790.00004203152</v>
      </c>
      <c r="D171" s="71">
        <v>230249.00002288818</v>
      </c>
    </row>
    <row r="172" ht="15.75" customHeight="1">
      <c r="A172" s="114">
        <v>40301.0</v>
      </c>
      <c r="B172" s="113" t="s">
        <v>189</v>
      </c>
      <c r="C172" s="71">
        <v>264297.99965532776</v>
      </c>
      <c r="D172" s="71">
        <v>362450.9999847412</v>
      </c>
    </row>
    <row r="173" ht="15.75" customHeight="1">
      <c r="A173" s="114">
        <v>40302.0</v>
      </c>
      <c r="B173" s="113" t="s">
        <v>190</v>
      </c>
      <c r="C173" s="71">
        <v>47246.999916911125</v>
      </c>
      <c r="D173" s="71">
        <v>91991.99992370605</v>
      </c>
    </row>
    <row r="174" ht="15.75" customHeight="1">
      <c r="A174" s="114">
        <v>40401.0</v>
      </c>
      <c r="B174" s="113" t="s">
        <v>191</v>
      </c>
      <c r="C174" s="71">
        <v>143756.00008965842</v>
      </c>
      <c r="D174" s="71">
        <v>181751.99990081787</v>
      </c>
    </row>
    <row r="175" ht="15.75" customHeight="1">
      <c r="A175" s="114">
        <v>40402.0</v>
      </c>
      <c r="B175" s="113" t="s">
        <v>192</v>
      </c>
      <c r="C175" s="71">
        <v>117855.00018742308</v>
      </c>
      <c r="D175" s="71">
        <v>122664.00001525879</v>
      </c>
    </row>
    <row r="176" ht="15.75" customHeight="1">
      <c r="A176" s="114">
        <v>40501.0</v>
      </c>
      <c r="B176" s="113" t="s">
        <v>193</v>
      </c>
      <c r="C176" s="71">
        <v>183777.00013738032</v>
      </c>
      <c r="D176" s="71">
        <v>173824.99980926514</v>
      </c>
    </row>
    <row r="177" ht="15.75" customHeight="1">
      <c r="A177" s="114">
        <v>40502.0</v>
      </c>
      <c r="B177" s="113" t="s">
        <v>194</v>
      </c>
      <c r="C177" s="71">
        <v>8289.999977324158</v>
      </c>
      <c r="D177" s="71">
        <v>105901.99996948242</v>
      </c>
    </row>
    <row r="178" ht="15.75" customHeight="1">
      <c r="A178" s="114">
        <v>40503.0</v>
      </c>
      <c r="B178" s="113" t="s">
        <v>195</v>
      </c>
      <c r="C178" s="71">
        <v>14427.00036949385</v>
      </c>
      <c r="D178" s="71">
        <v>4261.0</v>
      </c>
    </row>
    <row r="179" ht="15.75" customHeight="1">
      <c r="A179" s="114">
        <v>40504.0</v>
      </c>
      <c r="B179" s="113" t="s">
        <v>196</v>
      </c>
      <c r="C179" s="71">
        <v>10825.999946177006</v>
      </c>
      <c r="D179" s="71">
        <v>10000.0</v>
      </c>
    </row>
    <row r="180" ht="15.75" customHeight="1">
      <c r="A180" s="114">
        <v>40505.0</v>
      </c>
      <c r="B180" s="113" t="s">
        <v>197</v>
      </c>
      <c r="C180" s="71">
        <v>12500.00010740757</v>
      </c>
      <c r="D180" s="71">
        <v>35925.0</v>
      </c>
    </row>
    <row r="181" ht="15.75" customHeight="1">
      <c r="A181" s="114">
        <v>40601.0</v>
      </c>
      <c r="B181" s="113" t="s">
        <v>198</v>
      </c>
      <c r="C181" s="71">
        <v>13669.00004781317</v>
      </c>
      <c r="D181" s="71">
        <v>105137.00006866455</v>
      </c>
    </row>
    <row r="182" ht="15.75" customHeight="1">
      <c r="A182" s="114">
        <v>40602.0</v>
      </c>
      <c r="B182" s="113" t="s">
        <v>199</v>
      </c>
      <c r="C182" s="71">
        <v>195530.000221245</v>
      </c>
      <c r="D182" s="71">
        <v>147914.00004577637</v>
      </c>
    </row>
    <row r="183" ht="15.75" customHeight="1">
      <c r="A183" s="114">
        <v>40603.0</v>
      </c>
      <c r="B183" s="113" t="s">
        <v>200</v>
      </c>
      <c r="C183" s="71">
        <v>2514.0000056922436</v>
      </c>
      <c r="D183" s="71">
        <v>31543.0</v>
      </c>
    </row>
    <row r="184" ht="15.75" customHeight="1">
      <c r="A184" s="114">
        <v>40701.0</v>
      </c>
      <c r="B184" s="113" t="s">
        <v>201</v>
      </c>
      <c r="C184" s="71">
        <v>5055554.999263692</v>
      </c>
      <c r="D184" s="71">
        <v>4648743.001220703</v>
      </c>
    </row>
    <row r="185" ht="15.75" customHeight="1">
      <c r="A185" s="114">
        <v>40702.0</v>
      </c>
      <c r="B185" s="113" t="s">
        <v>202</v>
      </c>
      <c r="C185" s="71">
        <v>530641.00029431</v>
      </c>
      <c r="D185" s="71">
        <v>641742.9999542236</v>
      </c>
    </row>
    <row r="186" ht="15.75" customHeight="1">
      <c r="A186" s="114">
        <v>40801.0</v>
      </c>
      <c r="B186" s="113" t="s">
        <v>203</v>
      </c>
      <c r="C186" s="71">
        <v>677831.0008056657</v>
      </c>
      <c r="D186" s="71">
        <v>558529.0001220703</v>
      </c>
    </row>
    <row r="187" ht="15.75" customHeight="1">
      <c r="A187" s="114">
        <v>40802.0</v>
      </c>
      <c r="B187" s="113" t="s">
        <v>204</v>
      </c>
      <c r="C187" s="71">
        <v>47059.99995390326</v>
      </c>
      <c r="D187" s="71">
        <v>54897.00002288818</v>
      </c>
    </row>
    <row r="188" ht="15.75" customHeight="1">
      <c r="A188" s="114">
        <v>40901.0</v>
      </c>
      <c r="B188" s="113" t="s">
        <v>205</v>
      </c>
      <c r="C188" s="71">
        <v>327032.999522388</v>
      </c>
      <c r="D188" s="71">
        <v>632862.0001144409</v>
      </c>
    </row>
    <row r="189" ht="15.75" customHeight="1">
      <c r="A189" s="114">
        <v>40902.0</v>
      </c>
      <c r="B189" s="113" t="s">
        <v>206</v>
      </c>
      <c r="C189" s="71">
        <v>82661.00024309754</v>
      </c>
      <c r="D189" s="71">
        <v>52390.0</v>
      </c>
    </row>
    <row r="190" ht="15.75" customHeight="1">
      <c r="A190" s="114">
        <v>40903.0</v>
      </c>
      <c r="B190" s="113" t="s">
        <v>207</v>
      </c>
      <c r="C190" s="71">
        <v>84576.00003077555</v>
      </c>
      <c r="D190" s="71">
        <v>84476.00003814697</v>
      </c>
    </row>
    <row r="191" ht="15.75" customHeight="1">
      <c r="A191" s="114">
        <v>41001.0</v>
      </c>
      <c r="B191" s="113" t="s">
        <v>208</v>
      </c>
      <c r="C191" s="71">
        <v>203753.00030716695</v>
      </c>
      <c r="D191" s="71">
        <v>257120.99993133545</v>
      </c>
    </row>
    <row r="192" ht="15.75" customHeight="1">
      <c r="A192" s="114">
        <v>41101.0</v>
      </c>
      <c r="B192" s="113" t="s">
        <v>209</v>
      </c>
      <c r="C192" s="71">
        <v>45323.00022884831</v>
      </c>
      <c r="D192" s="71">
        <v>298861.99994659424</v>
      </c>
    </row>
    <row r="193" ht="15.75" customHeight="1">
      <c r="A193" s="114">
        <v>41201.0</v>
      </c>
      <c r="B193" s="113" t="s">
        <v>210</v>
      </c>
      <c r="C193" s="71">
        <v>191195.9997679582</v>
      </c>
      <c r="D193" s="71">
        <v>183901.9999923706</v>
      </c>
    </row>
    <row r="194" ht="15.75" customHeight="1">
      <c r="A194" s="114">
        <v>41202.0</v>
      </c>
      <c r="B194" s="113" t="s">
        <v>211</v>
      </c>
      <c r="C194" s="71">
        <v>49112.00013186876</v>
      </c>
      <c r="D194" s="71">
        <v>2862.0</v>
      </c>
    </row>
    <row r="195" ht="15.75" customHeight="1">
      <c r="A195" s="114">
        <v>41301.0</v>
      </c>
      <c r="B195" s="113" t="s">
        <v>212</v>
      </c>
      <c r="C195" s="71">
        <v>15607.000008354895</v>
      </c>
      <c r="D195" s="71">
        <v>132936.9999923706</v>
      </c>
    </row>
    <row r="196" ht="15.75" customHeight="1">
      <c r="A196" s="114">
        <v>41401.0</v>
      </c>
      <c r="B196" s="113" t="s">
        <v>213</v>
      </c>
      <c r="C196" s="71">
        <v>542637.9990727687</v>
      </c>
      <c r="D196" s="71">
        <v>581877.0000305176</v>
      </c>
    </row>
    <row r="197" ht="15.75" customHeight="1">
      <c r="A197" s="114">
        <v>41501.0</v>
      </c>
      <c r="B197" s="113" t="s">
        <v>214</v>
      </c>
      <c r="C197" s="71">
        <v>8289.000012712553</v>
      </c>
      <c r="D197" s="71">
        <v>46626.99995422363</v>
      </c>
    </row>
    <row r="198" ht="15.75" customHeight="1">
      <c r="A198" s="114">
        <v>41502.0</v>
      </c>
      <c r="B198" s="113" t="s">
        <v>215</v>
      </c>
      <c r="C198" s="71">
        <v>5425.999999840744</v>
      </c>
      <c r="D198" s="71">
        <v>36699.00005340576</v>
      </c>
    </row>
    <row r="199" ht="15.75" customHeight="1">
      <c r="A199" s="114">
        <v>41503.0</v>
      </c>
      <c r="B199" s="113" t="s">
        <v>216</v>
      </c>
      <c r="C199" s="71">
        <v>4779.000058887526</v>
      </c>
      <c r="D199" s="71">
        <v>231241.0002975464</v>
      </c>
    </row>
    <row r="200" ht="15.75" customHeight="1">
      <c r="A200" s="114">
        <v>41601.0</v>
      </c>
      <c r="B200" s="113" t="s">
        <v>217</v>
      </c>
      <c r="C200" s="71">
        <v>30102.999903494492</v>
      </c>
      <c r="D200" s="71">
        <v>172797.0001525879</v>
      </c>
    </row>
    <row r="201" ht="15.75" customHeight="1">
      <c r="A201" s="114">
        <v>50101.0</v>
      </c>
      <c r="B201" s="113" t="s">
        <v>218</v>
      </c>
      <c r="C201" s="71">
        <v>4.337751700140578E7</v>
      </c>
      <c r="D201" s="71">
        <v>5.608441000274658E7</v>
      </c>
    </row>
    <row r="202" ht="15.75" customHeight="1">
      <c r="A202" s="114">
        <v>50102.0</v>
      </c>
      <c r="B202" s="113" t="s">
        <v>219</v>
      </c>
      <c r="C202" s="71">
        <v>397256.00032300316</v>
      </c>
      <c r="D202" s="71">
        <v>481511.9998626709</v>
      </c>
    </row>
    <row r="203" ht="15.75" customHeight="1">
      <c r="A203" s="114">
        <v>50103.0</v>
      </c>
      <c r="B203" s="113" t="s">
        <v>220</v>
      </c>
      <c r="C203" s="71">
        <v>307584.999970451</v>
      </c>
      <c r="D203" s="71">
        <v>295977.99995422363</v>
      </c>
    </row>
    <row r="204" ht="15.75" customHeight="1">
      <c r="A204" s="114">
        <v>50104.0</v>
      </c>
      <c r="B204" s="113" t="s">
        <v>221</v>
      </c>
      <c r="C204" s="71">
        <v>36874.999912686646</v>
      </c>
      <c r="D204" s="71">
        <v>35223.999992370605</v>
      </c>
    </row>
    <row r="205" ht="15.75" customHeight="1">
      <c r="A205" s="114">
        <v>50201.0</v>
      </c>
      <c r="B205" s="113" t="s">
        <v>222</v>
      </c>
      <c r="C205" s="71">
        <v>1426072.0009021321</v>
      </c>
      <c r="D205" s="71">
        <v>2220178.000022888</v>
      </c>
    </row>
    <row r="206" ht="15.75" customHeight="1">
      <c r="A206" s="114">
        <v>50202.0</v>
      </c>
      <c r="B206" s="113" t="s">
        <v>223</v>
      </c>
      <c r="C206" s="71">
        <v>191135.00024271663</v>
      </c>
      <c r="D206" s="71">
        <v>210661.00006103516</v>
      </c>
    </row>
    <row r="207" ht="15.75" customHeight="1">
      <c r="A207" s="114">
        <v>50203.0</v>
      </c>
      <c r="B207" s="113" t="s">
        <v>224</v>
      </c>
      <c r="C207" s="71">
        <v>5060579.001320232</v>
      </c>
      <c r="D207" s="71">
        <v>6760114.498939514</v>
      </c>
    </row>
    <row r="208" ht="15.75" customHeight="1">
      <c r="A208" s="114">
        <v>50204.0</v>
      </c>
      <c r="B208" s="113" t="s">
        <v>225</v>
      </c>
      <c r="C208" s="71">
        <v>0.0</v>
      </c>
      <c r="D208" s="71">
        <v>34120.999992370605</v>
      </c>
    </row>
    <row r="209" ht="15.75" customHeight="1">
      <c r="A209" s="114">
        <v>50301.0</v>
      </c>
      <c r="B209" s="113" t="s">
        <v>226</v>
      </c>
      <c r="C209" s="71">
        <v>2070967.9996444788</v>
      </c>
      <c r="D209" s="71">
        <v>2458583.00050354</v>
      </c>
    </row>
    <row r="210" ht="15.75" customHeight="1">
      <c r="A210" s="114">
        <v>50302.0</v>
      </c>
      <c r="B210" s="113" t="s">
        <v>227</v>
      </c>
      <c r="C210" s="71">
        <v>578104.0000115056</v>
      </c>
      <c r="D210" s="71">
        <v>522848.99994659424</v>
      </c>
    </row>
    <row r="211" ht="15.75" customHeight="1">
      <c r="A211" s="114">
        <v>50303.0</v>
      </c>
      <c r="B211" s="113" t="s">
        <v>228</v>
      </c>
      <c r="C211" s="71">
        <v>261834.00023239665</v>
      </c>
      <c r="D211" s="71">
        <v>380404.00025177</v>
      </c>
    </row>
    <row r="212" ht="15.75" customHeight="1">
      <c r="A212" s="114">
        <v>50401.0</v>
      </c>
      <c r="B212" s="113" t="s">
        <v>229</v>
      </c>
      <c r="C212" s="71">
        <v>1256872.5027173702</v>
      </c>
      <c r="D212" s="71">
        <v>923351.0000457764</v>
      </c>
    </row>
    <row r="213" ht="15.75" customHeight="1">
      <c r="A213" s="114">
        <v>50402.0</v>
      </c>
      <c r="B213" s="113" t="s">
        <v>230</v>
      </c>
      <c r="C213" s="71">
        <v>435560.00046448316</v>
      </c>
      <c r="D213" s="71">
        <v>427380.9998703003</v>
      </c>
    </row>
    <row r="214" ht="15.75" customHeight="1">
      <c r="A214" s="114">
        <v>50403.0</v>
      </c>
      <c r="B214" s="113" t="s">
        <v>231</v>
      </c>
      <c r="C214" s="71">
        <v>850680.4994308883</v>
      </c>
      <c r="D214" s="71">
        <v>796979.9999389648</v>
      </c>
    </row>
    <row r="215" ht="15.75" customHeight="1">
      <c r="A215" s="114">
        <v>50404.0</v>
      </c>
      <c r="B215" s="113" t="s">
        <v>232</v>
      </c>
      <c r="C215" s="71">
        <v>292788.0003542742</v>
      </c>
      <c r="D215" s="71">
        <v>331317.00007629395</v>
      </c>
    </row>
    <row r="216" ht="15.75" customHeight="1">
      <c r="A216" s="114">
        <v>50405.0</v>
      </c>
      <c r="B216" s="113" t="s">
        <v>233</v>
      </c>
      <c r="C216" s="71">
        <v>0.0</v>
      </c>
      <c r="D216" s="71">
        <v>609190.0000610352</v>
      </c>
    </row>
    <row r="217" ht="15.75" customHeight="1">
      <c r="A217" s="114">
        <v>50501.0</v>
      </c>
      <c r="B217" s="113" t="s">
        <v>234</v>
      </c>
      <c r="C217" s="71">
        <v>411384.00039204676</v>
      </c>
      <c r="D217" s="71">
        <v>678357.0001907349</v>
      </c>
    </row>
    <row r="218" ht="15.75" customHeight="1">
      <c r="A218" s="114">
        <v>50502.0</v>
      </c>
      <c r="B218" s="113" t="s">
        <v>235</v>
      </c>
      <c r="C218" s="71">
        <v>360519.0002337331</v>
      </c>
      <c r="D218" s="71">
        <v>704108.9999694824</v>
      </c>
    </row>
    <row r="219" ht="15.75" customHeight="1">
      <c r="A219" s="114">
        <v>50601.0</v>
      </c>
      <c r="B219" s="113" t="s">
        <v>236</v>
      </c>
      <c r="C219" s="71">
        <v>1886947.2697542673</v>
      </c>
      <c r="D219" s="71">
        <v>2246474.999725342</v>
      </c>
    </row>
    <row r="220" ht="15.75" customHeight="1">
      <c r="A220" s="114">
        <v>50602.0</v>
      </c>
      <c r="B220" s="113" t="s">
        <v>237</v>
      </c>
      <c r="C220" s="71">
        <v>503846.9995762082</v>
      </c>
      <c r="D220" s="71">
        <v>585248.9998474121</v>
      </c>
    </row>
    <row r="221" ht="15.75" customHeight="1">
      <c r="A221" s="114">
        <v>50701.0</v>
      </c>
      <c r="B221" s="113" t="s">
        <v>238</v>
      </c>
      <c r="C221" s="71">
        <v>574275.0001613349</v>
      </c>
      <c r="D221" s="71">
        <v>574276.9999542236</v>
      </c>
    </row>
    <row r="222" ht="15.75" customHeight="1">
      <c r="A222" s="114">
        <v>50702.0</v>
      </c>
      <c r="B222" s="113" t="s">
        <v>239</v>
      </c>
      <c r="C222" s="71">
        <v>206720.00022223126</v>
      </c>
      <c r="D222" s="71">
        <v>169965.9999923706</v>
      </c>
    </row>
    <row r="223" ht="15.75" customHeight="1">
      <c r="A223" s="114">
        <v>50801.0</v>
      </c>
      <c r="B223" s="113" t="s">
        <v>240</v>
      </c>
      <c r="C223" s="71">
        <v>7749116.999235776</v>
      </c>
      <c r="D223" s="71">
        <v>9660578.000930786</v>
      </c>
    </row>
    <row r="224" ht="15.75" customHeight="1">
      <c r="A224" s="114">
        <v>50802.0</v>
      </c>
      <c r="B224" s="113" t="s">
        <v>241</v>
      </c>
      <c r="C224" s="71">
        <v>1554925.9997890517</v>
      </c>
      <c r="D224" s="71">
        <v>1551002.0003128052</v>
      </c>
    </row>
    <row r="225" ht="15.75" customHeight="1">
      <c r="A225" s="114">
        <v>50901.0</v>
      </c>
      <c r="B225" s="113" t="s">
        <v>242</v>
      </c>
      <c r="C225" s="71">
        <v>941276.0021534497</v>
      </c>
      <c r="D225" s="71">
        <v>2740239.9999542236</v>
      </c>
    </row>
    <row r="226" ht="15.75" customHeight="1">
      <c r="A226" s="114">
        <v>50902.0</v>
      </c>
      <c r="B226" s="113" t="s">
        <v>243</v>
      </c>
      <c r="C226" s="71">
        <v>167378.99982671533</v>
      </c>
      <c r="D226" s="71">
        <v>218578.00009155273</v>
      </c>
    </row>
    <row r="227" ht="15.75" customHeight="1">
      <c r="A227" s="114">
        <v>51001.0</v>
      </c>
      <c r="B227" s="113" t="s">
        <v>244</v>
      </c>
      <c r="C227" s="71">
        <v>224970.9997583246</v>
      </c>
      <c r="D227" s="71">
        <v>134546.99993896484</v>
      </c>
    </row>
    <row r="228" ht="15.75" customHeight="1">
      <c r="A228" s="114">
        <v>51002.0</v>
      </c>
      <c r="B228" s="113" t="s">
        <v>245</v>
      </c>
      <c r="C228" s="71">
        <v>0.0</v>
      </c>
      <c r="D228" s="71">
        <v>34942.000061035156</v>
      </c>
    </row>
    <row r="229" ht="15.75" customHeight="1">
      <c r="A229" s="114">
        <v>51003.0</v>
      </c>
      <c r="B229" s="113" t="s">
        <v>246</v>
      </c>
      <c r="C229" s="71">
        <v>85395.99973329902</v>
      </c>
      <c r="D229" s="71">
        <v>79425.0000076294</v>
      </c>
    </row>
    <row r="230" ht="15.75" customHeight="1">
      <c r="A230" s="114">
        <v>51101.0</v>
      </c>
      <c r="B230" s="113" t="s">
        <v>247</v>
      </c>
      <c r="C230" s="71">
        <v>1215403.9990719175</v>
      </c>
      <c r="D230" s="71">
        <v>1214809.0001296997</v>
      </c>
    </row>
    <row r="231" ht="15.75" customHeight="1">
      <c r="A231" s="114">
        <v>51102.0</v>
      </c>
      <c r="B231" s="113" t="s">
        <v>248</v>
      </c>
      <c r="C231" s="71">
        <v>782980.0002475893</v>
      </c>
      <c r="D231" s="71">
        <v>1059734.999710083</v>
      </c>
    </row>
    <row r="232" ht="15.75" customHeight="1">
      <c r="A232" s="114">
        <v>51103.0</v>
      </c>
      <c r="B232" s="113" t="s">
        <v>249</v>
      </c>
      <c r="C232" s="71">
        <v>218936.00005751196</v>
      </c>
      <c r="D232" s="71">
        <v>205271.9999847412</v>
      </c>
    </row>
    <row r="233" ht="15.75" customHeight="1">
      <c r="A233" s="114">
        <v>51201.0</v>
      </c>
      <c r="B233" s="113" t="s">
        <v>250</v>
      </c>
      <c r="C233" s="71">
        <v>5743515.790856812</v>
      </c>
      <c r="D233" s="71">
        <v>6184928.000190735</v>
      </c>
    </row>
    <row r="234" ht="15.75" customHeight="1">
      <c r="A234" s="114">
        <v>51202.0</v>
      </c>
      <c r="B234" s="113" t="s">
        <v>251</v>
      </c>
      <c r="C234" s="71">
        <v>390067.0004912</v>
      </c>
      <c r="D234" s="71">
        <v>400953.00022125244</v>
      </c>
    </row>
    <row r="235" ht="15.75" customHeight="1">
      <c r="A235" s="114">
        <v>51203.0</v>
      </c>
      <c r="B235" s="113" t="s">
        <v>252</v>
      </c>
      <c r="C235" s="71">
        <v>1388611.0015958818</v>
      </c>
      <c r="D235" s="71">
        <v>1799144.0006713867</v>
      </c>
    </row>
    <row r="236" ht="15.75" customHeight="1">
      <c r="A236" s="114">
        <v>51204.0</v>
      </c>
      <c r="B236" s="113" t="s">
        <v>253</v>
      </c>
      <c r="C236" s="71">
        <v>0.0</v>
      </c>
      <c r="D236" s="71">
        <v>0.0</v>
      </c>
    </row>
    <row r="237" ht="15.75" customHeight="1">
      <c r="A237" s="114">
        <v>51301.0</v>
      </c>
      <c r="B237" s="113" t="s">
        <v>254</v>
      </c>
      <c r="C237" s="71">
        <v>103547.00015135575</v>
      </c>
      <c r="D237" s="71">
        <v>94049.99990844727</v>
      </c>
    </row>
    <row r="238" ht="15.75" customHeight="1">
      <c r="A238" s="114">
        <v>51302.0</v>
      </c>
      <c r="B238" s="113" t="s">
        <v>255</v>
      </c>
      <c r="C238" s="71">
        <v>160743.99969359487</v>
      </c>
      <c r="D238" s="71">
        <v>188712.00003051758</v>
      </c>
    </row>
    <row r="239" ht="15.75" customHeight="1">
      <c r="A239" s="114">
        <v>51401.0</v>
      </c>
      <c r="B239" s="113" t="s">
        <v>256</v>
      </c>
      <c r="C239" s="71">
        <v>421723.0003740778</v>
      </c>
      <c r="D239" s="71">
        <v>541037.0003433228</v>
      </c>
    </row>
    <row r="240" ht="15.75" customHeight="1">
      <c r="A240" s="114">
        <v>51402.0</v>
      </c>
      <c r="B240" s="113" t="s">
        <v>257</v>
      </c>
      <c r="C240" s="71">
        <v>85354.00022754911</v>
      </c>
      <c r="D240" s="71">
        <v>111310.0000076294</v>
      </c>
    </row>
    <row r="241" ht="15.75" customHeight="1">
      <c r="A241" s="114">
        <v>51501.0</v>
      </c>
      <c r="B241" s="113" t="s">
        <v>258</v>
      </c>
      <c r="C241" s="71">
        <v>6258757.002827316</v>
      </c>
      <c r="D241" s="71">
        <v>8111311.00037384</v>
      </c>
    </row>
    <row r="242" ht="15.75" customHeight="1">
      <c r="A242" s="114">
        <v>51601.0</v>
      </c>
      <c r="B242" s="113" t="s">
        <v>259</v>
      </c>
      <c r="C242" s="71">
        <v>141920.99966413341</v>
      </c>
      <c r="D242" s="71">
        <v>265895.00020599365</v>
      </c>
    </row>
    <row r="243" ht="15.75" customHeight="1">
      <c r="A243" s="114">
        <v>60101.0</v>
      </c>
      <c r="B243" s="113" t="s">
        <v>260</v>
      </c>
      <c r="C243" s="71">
        <v>7.275823597907254E7</v>
      </c>
      <c r="D243" s="71">
        <v>8.45655130030365E7</v>
      </c>
    </row>
    <row r="244" ht="15.75" customHeight="1">
      <c r="A244" s="114">
        <v>60201.0</v>
      </c>
      <c r="B244" s="113" t="s">
        <v>261</v>
      </c>
      <c r="C244" s="71">
        <v>2216052.0012944005</v>
      </c>
      <c r="D244" s="71">
        <v>3614576.9999694824</v>
      </c>
    </row>
    <row r="245" ht="15.75" customHeight="1">
      <c r="A245" s="114">
        <v>60202.0</v>
      </c>
      <c r="B245" s="113" t="s">
        <v>262</v>
      </c>
      <c r="C245" s="71">
        <v>1.0859125997742966E7</v>
      </c>
      <c r="D245" s="71">
        <v>1.4963420000335693E7</v>
      </c>
    </row>
    <row r="246" ht="15.75" customHeight="1">
      <c r="A246" s="114">
        <v>60301.0</v>
      </c>
      <c r="B246" s="113" t="s">
        <v>263</v>
      </c>
      <c r="C246" s="71">
        <v>2.7599333002010867E7</v>
      </c>
      <c r="D246" s="71">
        <v>3.554562600147247E7</v>
      </c>
    </row>
    <row r="247" ht="15.75" customHeight="1">
      <c r="A247" s="114">
        <v>60302.0</v>
      </c>
      <c r="B247" s="113" t="s">
        <v>264</v>
      </c>
      <c r="C247" s="71">
        <v>3270193.0006595375</v>
      </c>
      <c r="D247" s="71">
        <v>3603740.0003814697</v>
      </c>
    </row>
    <row r="248" ht="15.75" customHeight="1">
      <c r="A248" s="114">
        <v>60303.0</v>
      </c>
      <c r="B248" s="113" t="s">
        <v>265</v>
      </c>
      <c r="C248" s="71">
        <v>1.5086505991442185E7</v>
      </c>
      <c r="D248" s="71">
        <v>1.761208999912262E7</v>
      </c>
    </row>
    <row r="249" ht="15.75" customHeight="1">
      <c r="A249" s="114">
        <v>60401.0</v>
      </c>
      <c r="B249" s="113" t="s">
        <v>266</v>
      </c>
      <c r="C249" s="71">
        <v>2445990.9998423895</v>
      </c>
      <c r="D249" s="71">
        <v>3130266.9995040894</v>
      </c>
    </row>
    <row r="250" ht="15.75" customHeight="1">
      <c r="A250" s="114">
        <v>60402.0</v>
      </c>
      <c r="B250" s="113" t="s">
        <v>267</v>
      </c>
      <c r="C250" s="71">
        <v>153720.00002265163</v>
      </c>
      <c r="D250" s="71">
        <v>299665.9999923706</v>
      </c>
    </row>
    <row r="251" ht="15.75" customHeight="1">
      <c r="A251" s="114">
        <v>60501.0</v>
      </c>
      <c r="B251" s="113" t="s">
        <v>268</v>
      </c>
      <c r="C251" s="71">
        <v>4947866.001290562</v>
      </c>
      <c r="D251" s="71">
        <v>7137820.999382019</v>
      </c>
    </row>
    <row r="252" ht="15.75" customHeight="1">
      <c r="A252" s="114">
        <v>60502.0</v>
      </c>
      <c r="B252" s="113" t="s">
        <v>269</v>
      </c>
      <c r="C252" s="71">
        <v>806355.0003722664</v>
      </c>
      <c r="D252" s="71">
        <v>1188905.9999847412</v>
      </c>
    </row>
    <row r="253" ht="15.75" customHeight="1">
      <c r="A253" s="114">
        <v>60601.0</v>
      </c>
      <c r="B253" s="113" t="s">
        <v>170</v>
      </c>
      <c r="C253" s="71">
        <v>2954527.001894653</v>
      </c>
      <c r="D253" s="71">
        <v>3927052.9999923706</v>
      </c>
    </row>
    <row r="254" ht="15.75" customHeight="1">
      <c r="A254" s="114">
        <v>70101.0</v>
      </c>
      <c r="B254" s="113" t="s">
        <v>270</v>
      </c>
      <c r="C254" s="71">
        <v>9.747382049207565E8</v>
      </c>
      <c r="D254" s="71">
        <v>1.2332439080282822E9</v>
      </c>
    </row>
    <row r="255" ht="15.75" customHeight="1">
      <c r="A255" s="114">
        <v>70102.0</v>
      </c>
      <c r="B255" s="113" t="s">
        <v>271</v>
      </c>
      <c r="C255" s="71">
        <v>2.1231941016358484E7</v>
      </c>
      <c r="D255" s="71">
        <v>3.822834800141907E7</v>
      </c>
    </row>
    <row r="256" ht="15.75" customHeight="1">
      <c r="A256" s="114">
        <v>70103.0</v>
      </c>
      <c r="B256" s="113" t="s">
        <v>272</v>
      </c>
      <c r="C256" s="71">
        <v>1.6918527997320183E7</v>
      </c>
      <c r="D256" s="71">
        <v>3.782153299433136E7</v>
      </c>
    </row>
    <row r="257" ht="15.75" customHeight="1">
      <c r="A257" s="114">
        <v>70104.0</v>
      </c>
      <c r="B257" s="113" t="s">
        <v>273</v>
      </c>
      <c r="C257" s="71">
        <v>4.272420802108264E7</v>
      </c>
      <c r="D257" s="71">
        <v>7.096424900210571E7</v>
      </c>
    </row>
    <row r="258" ht="15.75" customHeight="1">
      <c r="A258" s="114">
        <v>70105.0</v>
      </c>
      <c r="B258" s="113" t="s">
        <v>274</v>
      </c>
      <c r="C258" s="71">
        <v>1.4483068992929038E7</v>
      </c>
      <c r="D258" s="71">
        <v>1.984595400035858E7</v>
      </c>
    </row>
    <row r="259" ht="15.75" customHeight="1">
      <c r="A259" s="114">
        <v>70201.0</v>
      </c>
      <c r="B259" s="113" t="s">
        <v>275</v>
      </c>
      <c r="C259" s="71">
        <v>4.5514298992391974E7</v>
      </c>
      <c r="D259" s="71">
        <v>7.913208699408722E7</v>
      </c>
    </row>
    <row r="260" ht="15.75" customHeight="1">
      <c r="A260" s="114">
        <v>70202.0</v>
      </c>
      <c r="B260" s="113" t="s">
        <v>276</v>
      </c>
      <c r="C260" s="71">
        <v>4183504.0023819916</v>
      </c>
      <c r="D260" s="71">
        <v>4850435.004989624</v>
      </c>
    </row>
    <row r="261" ht="15.75" customHeight="1">
      <c r="A261" s="114">
        <v>70301.0</v>
      </c>
      <c r="B261" s="113" t="s">
        <v>277</v>
      </c>
      <c r="C261" s="71">
        <v>1.0134821996028926E7</v>
      </c>
      <c r="D261" s="71">
        <v>2040708.0000610352</v>
      </c>
    </row>
    <row r="262" ht="15.75" customHeight="1">
      <c r="A262" s="114">
        <v>70302.0</v>
      </c>
      <c r="B262" s="113" t="s">
        <v>278</v>
      </c>
      <c r="C262" s="71">
        <v>1819209.9997632513</v>
      </c>
      <c r="D262" s="71">
        <v>666201.0</v>
      </c>
    </row>
    <row r="263" ht="15.75" customHeight="1">
      <c r="A263" s="114">
        <v>70303.0</v>
      </c>
      <c r="B263" s="113" t="s">
        <v>279</v>
      </c>
      <c r="C263" s="71">
        <v>968591.9995806646</v>
      </c>
      <c r="D263" s="71">
        <v>5579636.999938965</v>
      </c>
    </row>
    <row r="264" ht="15.75" customHeight="1">
      <c r="A264" s="114">
        <v>70401.0</v>
      </c>
      <c r="B264" s="113" t="s">
        <v>280</v>
      </c>
      <c r="C264" s="71">
        <v>3722826.002081111</v>
      </c>
      <c r="D264" s="71">
        <v>5786640.00163269</v>
      </c>
    </row>
    <row r="265" ht="15.75" customHeight="1">
      <c r="A265" s="114">
        <v>70402.0</v>
      </c>
      <c r="B265" s="113" t="s">
        <v>281</v>
      </c>
      <c r="C265" s="71">
        <v>5067303.003959936</v>
      </c>
      <c r="D265" s="71">
        <v>7450905.9998703</v>
      </c>
    </row>
    <row r="266" ht="15.75" customHeight="1">
      <c r="A266" s="114">
        <v>70403.0</v>
      </c>
      <c r="B266" s="113" t="s">
        <v>282</v>
      </c>
      <c r="C266" s="71">
        <v>1.3475819989712108E7</v>
      </c>
      <c r="D266" s="71">
        <v>2.8979426000076294E7</v>
      </c>
    </row>
    <row r="267" ht="15.75" customHeight="1">
      <c r="A267" s="114">
        <v>70404.0</v>
      </c>
      <c r="B267" s="113" t="s">
        <v>283</v>
      </c>
      <c r="C267" s="71">
        <v>2698972.9982697032</v>
      </c>
      <c r="D267" s="71">
        <v>4897167.999328613</v>
      </c>
    </row>
    <row r="268" ht="15.75" customHeight="1">
      <c r="A268" s="114">
        <v>70501.0</v>
      </c>
      <c r="B268" s="113" t="s">
        <v>284</v>
      </c>
      <c r="C268" s="71">
        <v>6105850.000894358</v>
      </c>
      <c r="D268" s="71">
        <v>3772785.0001220703</v>
      </c>
    </row>
    <row r="269" ht="15.75" customHeight="1">
      <c r="A269" s="114">
        <v>70502.0</v>
      </c>
      <c r="B269" s="113" t="s">
        <v>285</v>
      </c>
      <c r="C269" s="71">
        <v>1.2391794004371278E7</v>
      </c>
      <c r="D269" s="71">
        <v>2.164281199671936E7</v>
      </c>
    </row>
    <row r="270" ht="15.75" customHeight="1">
      <c r="A270" s="114">
        <v>70503.0</v>
      </c>
      <c r="B270" s="113" t="s">
        <v>286</v>
      </c>
      <c r="C270" s="71">
        <v>4441643.000641487</v>
      </c>
      <c r="D270" s="71">
        <v>882945.9999542236</v>
      </c>
    </row>
    <row r="271" ht="15.75" customHeight="1">
      <c r="A271" s="114">
        <v>70601.0</v>
      </c>
      <c r="B271" s="113" t="s">
        <v>287</v>
      </c>
      <c r="C271" s="71">
        <v>7805129.99180993</v>
      </c>
      <c r="D271" s="71">
        <v>9846306.000442505</v>
      </c>
    </row>
    <row r="272" ht="15.75" customHeight="1">
      <c r="A272" s="114">
        <v>70602.0</v>
      </c>
      <c r="B272" s="113" t="s">
        <v>288</v>
      </c>
      <c r="C272" s="71">
        <v>3670194.002852373</v>
      </c>
      <c r="D272" s="71">
        <v>1.169009900087738E7</v>
      </c>
    </row>
    <row r="273" ht="15.75" customHeight="1">
      <c r="A273" s="114">
        <v>70603.0</v>
      </c>
      <c r="B273" s="113" t="s">
        <v>289</v>
      </c>
      <c r="C273" s="71">
        <v>1918077.9997633677</v>
      </c>
      <c r="D273" s="71">
        <v>2290655.9998016357</v>
      </c>
    </row>
    <row r="274" ht="15.75" customHeight="1">
      <c r="A274" s="114">
        <v>70701.0</v>
      </c>
      <c r="B274" s="113" t="s">
        <v>290</v>
      </c>
      <c r="C274" s="71">
        <v>759410.9996175226</v>
      </c>
      <c r="D274" s="71">
        <v>118933.00006103516</v>
      </c>
    </row>
    <row r="275" ht="15.75" customHeight="1">
      <c r="A275" s="114">
        <v>70702.0</v>
      </c>
      <c r="B275" s="113" t="s">
        <v>291</v>
      </c>
      <c r="C275" s="71">
        <v>2921668.0016149255</v>
      </c>
      <c r="D275" s="71">
        <v>2404882.9999465942</v>
      </c>
    </row>
    <row r="276" ht="15.75" customHeight="1">
      <c r="A276" s="114">
        <v>70703.0</v>
      </c>
      <c r="B276" s="113" t="s">
        <v>292</v>
      </c>
      <c r="C276" s="71">
        <v>5383326.990362401</v>
      </c>
      <c r="D276" s="71">
        <v>8277245.000556946</v>
      </c>
    </row>
    <row r="277" ht="15.75" customHeight="1">
      <c r="A277" s="114">
        <v>70704.0</v>
      </c>
      <c r="B277" s="113" t="s">
        <v>293</v>
      </c>
      <c r="C277" s="71">
        <v>526307.0002609538</v>
      </c>
      <c r="D277" s="71">
        <v>121588.00007629395</v>
      </c>
    </row>
    <row r="278" ht="15.75" customHeight="1">
      <c r="A278" s="114">
        <v>70705.0</v>
      </c>
      <c r="B278" s="113" t="s">
        <v>294</v>
      </c>
      <c r="C278" s="71">
        <v>1001456.9994421564</v>
      </c>
      <c r="D278" s="71">
        <v>215228.00007629395</v>
      </c>
    </row>
    <row r="279" ht="15.75" customHeight="1">
      <c r="A279" s="114">
        <v>70706.0</v>
      </c>
      <c r="B279" s="113" t="s">
        <v>295</v>
      </c>
      <c r="C279" s="71">
        <v>1.2673717005906273E7</v>
      </c>
      <c r="D279" s="71">
        <v>2358126.9995422363</v>
      </c>
    </row>
    <row r="280" ht="15.75" customHeight="1">
      <c r="A280" s="114">
        <v>70707.0</v>
      </c>
      <c r="B280" s="113" t="s">
        <v>296</v>
      </c>
      <c r="C280" s="71">
        <v>965606.0021210602</v>
      </c>
      <c r="D280" s="71">
        <v>235137.00004577637</v>
      </c>
    </row>
    <row r="281" ht="15.75" customHeight="1">
      <c r="A281" s="114">
        <v>70801.0</v>
      </c>
      <c r="B281" s="113" t="s">
        <v>297</v>
      </c>
      <c r="C281" s="71">
        <v>3483949.003287417</v>
      </c>
      <c r="D281" s="71">
        <v>696383.9998474121</v>
      </c>
    </row>
    <row r="282" ht="15.75" customHeight="1">
      <c r="A282" s="114">
        <v>70802.0</v>
      </c>
      <c r="B282" s="113" t="s">
        <v>298</v>
      </c>
      <c r="C282" s="71">
        <v>323829.00094444957</v>
      </c>
      <c r="D282" s="71">
        <v>32278.00001525879</v>
      </c>
    </row>
    <row r="283" ht="15.75" customHeight="1">
      <c r="A283" s="114">
        <v>70803.0</v>
      </c>
      <c r="B283" s="113" t="s">
        <v>299</v>
      </c>
      <c r="C283" s="71">
        <v>255241.99945543148</v>
      </c>
      <c r="D283" s="71">
        <v>66601.99996948242</v>
      </c>
    </row>
    <row r="284" ht="15.75" customHeight="1">
      <c r="A284" s="114">
        <v>70804.0</v>
      </c>
      <c r="B284" s="113" t="s">
        <v>300</v>
      </c>
      <c r="C284" s="71">
        <v>196323.00001523923</v>
      </c>
      <c r="D284" s="71">
        <v>92153.0</v>
      </c>
    </row>
    <row r="285" ht="15.75" customHeight="1">
      <c r="A285" s="114">
        <v>70805.0</v>
      </c>
      <c r="B285" s="113" t="s">
        <v>301</v>
      </c>
      <c r="C285" s="71">
        <v>0.0</v>
      </c>
      <c r="D285" s="71">
        <v>0.0</v>
      </c>
    </row>
    <row r="286" ht="15.75" customHeight="1">
      <c r="A286" s="114">
        <v>70901.0</v>
      </c>
      <c r="B286" s="113" t="s">
        <v>302</v>
      </c>
      <c r="C286" s="71">
        <v>2712498.004895242</v>
      </c>
      <c r="D286" s="71">
        <v>707841.9998550415</v>
      </c>
    </row>
    <row r="287" ht="15.75" customHeight="1">
      <c r="A287" s="114">
        <v>70902.0</v>
      </c>
      <c r="B287" s="113" t="s">
        <v>303</v>
      </c>
      <c r="C287" s="71">
        <v>1470213.0014048005</v>
      </c>
      <c r="D287" s="71">
        <v>198142.0</v>
      </c>
    </row>
    <row r="288" ht="15.75" customHeight="1">
      <c r="A288" s="114">
        <v>70903.0</v>
      </c>
      <c r="B288" s="113" t="s">
        <v>304</v>
      </c>
      <c r="C288" s="71">
        <v>2274516.998378434</v>
      </c>
      <c r="D288" s="71">
        <v>255577.99978637695</v>
      </c>
    </row>
    <row r="289" ht="15.75" customHeight="1">
      <c r="A289" s="114">
        <v>70904.0</v>
      </c>
      <c r="B289" s="113" t="s">
        <v>305</v>
      </c>
      <c r="C289" s="71">
        <v>207381.99992794357</v>
      </c>
      <c r="D289" s="71">
        <v>38744.99996948242</v>
      </c>
    </row>
    <row r="290" ht="15.75" customHeight="1">
      <c r="A290" s="114">
        <v>71001.0</v>
      </c>
      <c r="B290" s="113" t="s">
        <v>306</v>
      </c>
      <c r="C290" s="71">
        <v>4.984077598825733E7</v>
      </c>
      <c r="D290" s="71">
        <v>6.402000999663544E7</v>
      </c>
    </row>
    <row r="291" ht="15.75" customHeight="1">
      <c r="A291" s="114">
        <v>71002.0</v>
      </c>
      <c r="B291" s="113" t="s">
        <v>307</v>
      </c>
      <c r="C291" s="71">
        <v>3373195.9956203867</v>
      </c>
      <c r="D291" s="71">
        <v>4305286.000236511</v>
      </c>
    </row>
    <row r="292" ht="15.75" customHeight="1">
      <c r="A292" s="114">
        <v>71003.0</v>
      </c>
      <c r="B292" s="113" t="s">
        <v>308</v>
      </c>
      <c r="C292" s="71">
        <v>7093516.000062666</v>
      </c>
      <c r="D292" s="71">
        <v>8456277.998542786</v>
      </c>
    </row>
    <row r="293" ht="15.75" customHeight="1">
      <c r="A293" s="114">
        <v>71004.0</v>
      </c>
      <c r="B293" s="113" t="s">
        <v>309</v>
      </c>
      <c r="C293" s="71">
        <v>3326805.003268132</v>
      </c>
      <c r="D293" s="71">
        <v>4181084.9981536865</v>
      </c>
    </row>
    <row r="294" ht="15.75" customHeight="1">
      <c r="A294" s="114">
        <v>71005.0</v>
      </c>
      <c r="B294" s="113" t="s">
        <v>310</v>
      </c>
      <c r="C294" s="71">
        <v>3902191.007270933</v>
      </c>
      <c r="D294" s="71">
        <v>5385238.998794556</v>
      </c>
    </row>
    <row r="295" ht="15.75" customHeight="1">
      <c r="A295" s="114">
        <v>71101.0</v>
      </c>
      <c r="B295" s="113" t="s">
        <v>311</v>
      </c>
      <c r="C295" s="71">
        <v>3781056.001036017</v>
      </c>
      <c r="D295" s="71">
        <v>1507510.0000152588</v>
      </c>
    </row>
    <row r="296" ht="15.75" customHeight="1">
      <c r="A296" s="114">
        <v>71102.0</v>
      </c>
      <c r="B296" s="113" t="s">
        <v>312</v>
      </c>
      <c r="C296" s="71">
        <v>2651415.000608718</v>
      </c>
      <c r="D296" s="71">
        <v>470792.0001220703</v>
      </c>
    </row>
    <row r="297" ht="15.75" customHeight="1">
      <c r="A297" s="114">
        <v>71103.0</v>
      </c>
      <c r="B297" s="113" t="s">
        <v>313</v>
      </c>
      <c r="C297" s="71">
        <v>2063611.9991964512</v>
      </c>
      <c r="D297" s="71">
        <v>2540811.999885559</v>
      </c>
    </row>
    <row r="298" ht="15.75" customHeight="1">
      <c r="A298" s="114">
        <v>71104.0</v>
      </c>
      <c r="B298" s="113" t="s">
        <v>314</v>
      </c>
      <c r="C298" s="71">
        <v>1.0184307002994064E7</v>
      </c>
      <c r="D298" s="71">
        <v>2312765.999206543</v>
      </c>
    </row>
    <row r="299" ht="15.75" customHeight="1">
      <c r="A299" s="114">
        <v>71105.0</v>
      </c>
      <c r="B299" s="113" t="s">
        <v>315</v>
      </c>
      <c r="C299" s="71">
        <v>708414.9999723146</v>
      </c>
      <c r="D299" s="71">
        <v>299220.0</v>
      </c>
    </row>
    <row r="300" ht="15.75" customHeight="1">
      <c r="A300" s="114">
        <v>71106.0</v>
      </c>
      <c r="B300" s="113" t="s">
        <v>316</v>
      </c>
      <c r="C300" s="71">
        <v>9607958.006211417</v>
      </c>
      <c r="D300" s="71">
        <v>0.0</v>
      </c>
    </row>
    <row r="301" ht="15.75" customHeight="1">
      <c r="A301" s="114">
        <v>71201.0</v>
      </c>
      <c r="B301" s="113" t="s">
        <v>317</v>
      </c>
      <c r="C301" s="71">
        <v>3259157.9980929596</v>
      </c>
      <c r="D301" s="71">
        <v>274252.0</v>
      </c>
    </row>
    <row r="302" ht="15.75" customHeight="1">
      <c r="A302" s="114">
        <v>71301.0</v>
      </c>
      <c r="B302" s="113" t="s">
        <v>318</v>
      </c>
      <c r="C302" s="71">
        <v>2467396.0003083833</v>
      </c>
      <c r="D302" s="71">
        <v>290093.9998550415</v>
      </c>
    </row>
    <row r="303" ht="15.75" customHeight="1">
      <c r="A303" s="114">
        <v>71302.0</v>
      </c>
      <c r="B303" s="113" t="s">
        <v>319</v>
      </c>
      <c r="C303" s="71">
        <v>803668.0007799324</v>
      </c>
      <c r="D303" s="71">
        <v>100802.0</v>
      </c>
    </row>
    <row r="304" ht="15.75" customHeight="1">
      <c r="A304" s="114">
        <v>71401.0</v>
      </c>
      <c r="B304" s="113" t="s">
        <v>320</v>
      </c>
      <c r="C304" s="71">
        <v>7722680.004833687</v>
      </c>
      <c r="D304" s="71">
        <v>520378.0004577637</v>
      </c>
    </row>
    <row r="305" ht="15.75" customHeight="1">
      <c r="A305" s="114">
        <v>71402.0</v>
      </c>
      <c r="B305" s="113" t="s">
        <v>321</v>
      </c>
      <c r="C305" s="71">
        <v>8600121.006346613</v>
      </c>
      <c r="D305" s="71">
        <v>964467.9996032715</v>
      </c>
    </row>
    <row r="306" ht="15.75" customHeight="1">
      <c r="A306" s="114">
        <v>71403.0</v>
      </c>
      <c r="B306" s="113" t="s">
        <v>322</v>
      </c>
      <c r="C306" s="71">
        <v>1379133.9999175249</v>
      </c>
      <c r="D306" s="71">
        <v>1993679.0</v>
      </c>
    </row>
    <row r="307" ht="15.75" customHeight="1">
      <c r="A307" s="114">
        <v>71501.0</v>
      </c>
      <c r="B307" s="113" t="s">
        <v>323</v>
      </c>
      <c r="C307" s="71">
        <v>6305981.997392422</v>
      </c>
      <c r="D307" s="71">
        <v>1806654.0003814697</v>
      </c>
    </row>
    <row r="308" ht="15.75" customHeight="1">
      <c r="A308" s="114">
        <v>71502.0</v>
      </c>
      <c r="B308" s="113" t="s">
        <v>324</v>
      </c>
      <c r="C308" s="71">
        <v>855568.9998159232</v>
      </c>
      <c r="D308" s="71">
        <v>605416.0</v>
      </c>
    </row>
    <row r="309" ht="15.75" customHeight="1">
      <c r="A309" s="114">
        <v>71503.0</v>
      </c>
      <c r="B309" s="113" t="s">
        <v>269</v>
      </c>
      <c r="C309" s="71">
        <v>2121404.9994864576</v>
      </c>
      <c r="D309" s="71">
        <v>1305841.0001220703</v>
      </c>
    </row>
    <row r="310" ht="15.75" customHeight="1">
      <c r="A310" s="114">
        <v>80101.0</v>
      </c>
      <c r="B310" s="113" t="s">
        <v>325</v>
      </c>
      <c r="C310" s="71">
        <v>5.1759909005797595E7</v>
      </c>
      <c r="D310" s="71">
        <v>8.09838689986496E7</v>
      </c>
    </row>
    <row r="311" ht="15.75" customHeight="1">
      <c r="A311" s="114">
        <v>80102.0</v>
      </c>
      <c r="B311" s="113" t="s">
        <v>312</v>
      </c>
      <c r="C311" s="71">
        <v>312333.000259812</v>
      </c>
      <c r="D311" s="71">
        <v>4351053.000282288</v>
      </c>
    </row>
    <row r="312" ht="15.75" customHeight="1">
      <c r="A312" s="114">
        <v>80201.0</v>
      </c>
      <c r="B312" s="113" t="s">
        <v>326</v>
      </c>
      <c r="C312" s="71">
        <v>2.0338121007570855E7</v>
      </c>
      <c r="D312" s="71">
        <v>3.146384600061035E7</v>
      </c>
    </row>
    <row r="313" ht="15.75" customHeight="1">
      <c r="A313" s="114">
        <v>80202.0</v>
      </c>
      <c r="B313" s="113" t="s">
        <v>327</v>
      </c>
      <c r="C313" s="71">
        <v>1.146025399340142E7</v>
      </c>
      <c r="D313" s="71">
        <v>1.875028500138092E7</v>
      </c>
    </row>
    <row r="314" ht="15.75" customHeight="1">
      <c r="A314" s="114">
        <v>80301.0</v>
      </c>
      <c r="B314" s="113" t="s">
        <v>328</v>
      </c>
      <c r="C314" s="71">
        <v>1927539.0007418906</v>
      </c>
      <c r="D314" s="71">
        <v>3129698.9989242554</v>
      </c>
    </row>
    <row r="315" ht="15.75" customHeight="1">
      <c r="A315" s="114">
        <v>80302.0</v>
      </c>
      <c r="B315" s="113" t="s">
        <v>329</v>
      </c>
      <c r="C315" s="71">
        <v>6582143.00114262</v>
      </c>
      <c r="D315" s="71">
        <v>1.4745362000343323E7</v>
      </c>
    </row>
    <row r="316" ht="15.75" customHeight="1">
      <c r="A316" s="114">
        <v>80303.0</v>
      </c>
      <c r="B316" s="113" t="s">
        <v>330</v>
      </c>
      <c r="C316" s="71">
        <v>1458203.0004765633</v>
      </c>
      <c r="D316" s="71">
        <v>3183756.0006103516</v>
      </c>
    </row>
    <row r="317" ht="15.75" customHeight="1">
      <c r="A317" s="114">
        <v>80304.0</v>
      </c>
      <c r="B317" s="113" t="s">
        <v>331</v>
      </c>
      <c r="C317" s="71">
        <v>4302058.00379261</v>
      </c>
      <c r="D317" s="71">
        <v>6618789.001335144</v>
      </c>
    </row>
    <row r="318" ht="15.75" customHeight="1">
      <c r="A318" s="114">
        <v>80401.0</v>
      </c>
      <c r="B318" s="113" t="s">
        <v>332</v>
      </c>
      <c r="C318" s="71">
        <v>3464398.0005378947</v>
      </c>
      <c r="D318" s="71">
        <v>6607459.998214722</v>
      </c>
    </row>
    <row r="319" ht="15.75" customHeight="1">
      <c r="A319" s="114">
        <v>80402.0</v>
      </c>
      <c r="B319" s="113" t="s">
        <v>333</v>
      </c>
      <c r="C319" s="71">
        <v>0.0</v>
      </c>
      <c r="D319" s="71">
        <v>1089460.9999160767</v>
      </c>
    </row>
    <row r="320" ht="15.75" customHeight="1">
      <c r="A320" s="114">
        <v>80501.0</v>
      </c>
      <c r="B320" s="113" t="s">
        <v>334</v>
      </c>
      <c r="C320" s="71">
        <v>2555922.9992597364</v>
      </c>
      <c r="D320" s="71">
        <v>4747115.999343872</v>
      </c>
    </row>
    <row r="321" ht="15.75" customHeight="1">
      <c r="A321" s="114">
        <v>80601.0</v>
      </c>
      <c r="B321" s="113" t="s">
        <v>335</v>
      </c>
      <c r="C321" s="71">
        <v>239932.9999756012</v>
      </c>
      <c r="D321" s="71">
        <v>3535019.0</v>
      </c>
    </row>
    <row r="322" ht="15.75" customHeight="1">
      <c r="A322" s="114">
        <v>80602.0</v>
      </c>
      <c r="B322" s="113" t="s">
        <v>336</v>
      </c>
      <c r="C322" s="71">
        <v>1194177.0009360788</v>
      </c>
      <c r="D322" s="71">
        <v>7884026.999435425</v>
      </c>
    </row>
    <row r="323" ht="15.75" customHeight="1">
      <c r="A323" s="114">
        <v>80701.0</v>
      </c>
      <c r="B323" s="113" t="s">
        <v>337</v>
      </c>
      <c r="C323" s="71">
        <v>1560814.9998645047</v>
      </c>
      <c r="D323" s="71">
        <v>2645097.999671936</v>
      </c>
    </row>
    <row r="324" ht="15.75" customHeight="1">
      <c r="A324" s="114">
        <v>80702.0</v>
      </c>
      <c r="B324" s="113" t="s">
        <v>313</v>
      </c>
      <c r="C324" s="71">
        <v>1283759.0014658775</v>
      </c>
      <c r="D324" s="71">
        <v>4523530.999397278</v>
      </c>
    </row>
    <row r="325" ht="15.75" customHeight="1">
      <c r="A325" s="114">
        <v>80703.0</v>
      </c>
      <c r="B325" s="113" t="s">
        <v>338</v>
      </c>
      <c r="C325" s="71">
        <v>0.0</v>
      </c>
      <c r="D325" s="71">
        <v>0.0</v>
      </c>
    </row>
    <row r="326" ht="15.75" customHeight="1">
      <c r="A326" s="114">
        <v>80801.0</v>
      </c>
      <c r="B326" s="113" t="s">
        <v>339</v>
      </c>
      <c r="C326" s="71">
        <v>1665268.9990930036</v>
      </c>
      <c r="D326" s="71">
        <v>6959532.999931335</v>
      </c>
    </row>
    <row r="327" ht="15.75" customHeight="1">
      <c r="A327" s="114">
        <v>80802.0</v>
      </c>
      <c r="B327" s="113" t="s">
        <v>340</v>
      </c>
      <c r="C327" s="71">
        <v>231877.99961601384</v>
      </c>
      <c r="D327" s="71">
        <v>1817620.9998016357</v>
      </c>
    </row>
    <row r="328" ht="15.75" customHeight="1">
      <c r="A328" s="114">
        <v>80803.0</v>
      </c>
      <c r="B328" s="113" t="s">
        <v>341</v>
      </c>
      <c r="C328" s="71">
        <v>127167.00012107939</v>
      </c>
      <c r="D328" s="71">
        <v>1731269.0001983643</v>
      </c>
    </row>
    <row r="329" ht="15.75" customHeight="1">
      <c r="A329" s="114">
        <v>80901.0</v>
      </c>
      <c r="B329" s="113" t="s">
        <v>342</v>
      </c>
      <c r="C329" s="71">
        <v>0.0</v>
      </c>
      <c r="D329" s="71">
        <v>0.0</v>
      </c>
    </row>
    <row r="330" ht="15.75" customHeight="1">
      <c r="A330" s="114">
        <v>90101.0</v>
      </c>
      <c r="B330" s="113" t="s">
        <v>343</v>
      </c>
      <c r="C330" s="71">
        <v>2.3776788244639225E7</v>
      </c>
      <c r="D330" s="71">
        <v>3.3061341500198364E7</v>
      </c>
    </row>
    <row r="331" ht="15.75" customHeight="1">
      <c r="A331" s="114">
        <v>90102.0</v>
      </c>
      <c r="B331" s="113" t="s">
        <v>344</v>
      </c>
      <c r="C331" s="71">
        <v>1289749.1708425088</v>
      </c>
      <c r="D331" s="71">
        <v>3592961.5010681152</v>
      </c>
    </row>
    <row r="332" ht="15.75" customHeight="1">
      <c r="A332" s="114">
        <v>90103.0</v>
      </c>
      <c r="B332" s="113" t="s">
        <v>345</v>
      </c>
      <c r="C332" s="71">
        <v>0.0</v>
      </c>
      <c r="D332" s="71">
        <v>0.0</v>
      </c>
    </row>
    <row r="333" ht="15.75" customHeight="1">
      <c r="A333" s="114">
        <v>90104.0</v>
      </c>
      <c r="B333" s="113" t="s">
        <v>346</v>
      </c>
      <c r="C333" s="71">
        <v>185920.9995722724</v>
      </c>
      <c r="D333" s="71">
        <v>932741.0001907349</v>
      </c>
    </row>
    <row r="334" ht="15.75" customHeight="1">
      <c r="A334" s="114">
        <v>90201.0</v>
      </c>
      <c r="B334" s="113" t="s">
        <v>347</v>
      </c>
      <c r="C334" s="71">
        <v>914805.1112410333</v>
      </c>
      <c r="D334" s="71">
        <v>1585179.5001449585</v>
      </c>
    </row>
    <row r="335" ht="15.75" customHeight="1">
      <c r="A335" s="114">
        <v>90202.0</v>
      </c>
      <c r="B335" s="113" t="s">
        <v>310</v>
      </c>
      <c r="C335" s="71">
        <v>81834.99987585098</v>
      </c>
      <c r="D335" s="71">
        <v>353813.5003128052</v>
      </c>
    </row>
    <row r="336" ht="15.75" customHeight="1">
      <c r="A336" s="114">
        <v>90203.0</v>
      </c>
      <c r="B336" s="113" t="s">
        <v>348</v>
      </c>
      <c r="C336" s="71">
        <v>944520.9998827092</v>
      </c>
      <c r="D336" s="71">
        <v>5176547.499481201</v>
      </c>
    </row>
    <row r="337" ht="15.75" customHeight="1">
      <c r="A337" s="114">
        <v>90301.0</v>
      </c>
      <c r="B337" s="113" t="s">
        <v>349</v>
      </c>
      <c r="C337" s="71">
        <v>186030.00017465465</v>
      </c>
      <c r="D337" s="71">
        <v>0.0</v>
      </c>
    </row>
    <row r="338" ht="15.75" customHeight="1">
      <c r="A338" s="114">
        <v>90302.0</v>
      </c>
      <c r="B338" s="113" t="s">
        <v>350</v>
      </c>
      <c r="C338" s="71">
        <v>303570.50026059896</v>
      </c>
      <c r="D338" s="71">
        <v>741663.5008773804</v>
      </c>
    </row>
    <row r="339" ht="15.75" customHeight="1">
      <c r="A339" s="114">
        <v>90303.0</v>
      </c>
      <c r="B339" s="113" t="s">
        <v>351</v>
      </c>
      <c r="C339" s="71">
        <v>723820.499534213</v>
      </c>
      <c r="D339" s="71">
        <v>1892991.0003128052</v>
      </c>
    </row>
    <row r="340" ht="15.75" customHeight="1">
      <c r="A340" s="114">
        <v>90401.0</v>
      </c>
      <c r="B340" s="113" t="s">
        <v>352</v>
      </c>
      <c r="C340" s="71">
        <v>0.0</v>
      </c>
      <c r="D340" s="71">
        <v>1226835.0000686646</v>
      </c>
    </row>
    <row r="341" ht="15.75" customHeight="1">
      <c r="A341" s="114">
        <v>90402.0</v>
      </c>
      <c r="B341" s="113" t="s">
        <v>353</v>
      </c>
      <c r="C341" s="71">
        <v>0.0</v>
      </c>
      <c r="D341" s="71">
        <v>0.0</v>
      </c>
    </row>
    <row r="342" ht="15.75" customHeight="1">
      <c r="A342" s="114">
        <v>90501.0</v>
      </c>
      <c r="B342" s="113" t="s">
        <v>354</v>
      </c>
      <c r="C342" s="71">
        <v>96837.0000496339</v>
      </c>
      <c r="D342" s="71">
        <v>0.0</v>
      </c>
    </row>
    <row r="343" ht="15.75" customHeight="1">
      <c r="A343" s="114">
        <v>90502.0</v>
      </c>
      <c r="B343" s="113" t="s">
        <v>355</v>
      </c>
      <c r="C343" s="71">
        <v>77098.00014922023</v>
      </c>
      <c r="D343" s="71">
        <v>0.0</v>
      </c>
    </row>
    <row r="344" ht="15.75" customHeight="1">
      <c r="A344" s="114">
        <v>90503.0</v>
      </c>
      <c r="B344" s="113" t="s">
        <v>356</v>
      </c>
      <c r="C344" s="71">
        <v>0.0</v>
      </c>
      <c r="D344" s="71">
        <v>0.0</v>
      </c>
    </row>
    <row r="345" ht="15.75" customHeight="1">
      <c r="A345" s="47"/>
      <c r="B345" s="115"/>
      <c r="C345" s="50"/>
      <c r="D345" s="50"/>
      <c r="E345" s="48"/>
      <c r="F345" s="48"/>
      <c r="G345" s="48"/>
      <c r="H345" s="48"/>
      <c r="I345" s="48"/>
      <c r="J345" s="48"/>
      <c r="K345" s="48"/>
      <c r="L345" s="48"/>
      <c r="M345" s="48"/>
      <c r="N345" s="48"/>
      <c r="O345" s="48"/>
      <c r="P345" s="48"/>
      <c r="Q345" s="48"/>
      <c r="R345" s="48"/>
      <c r="S345" s="48"/>
      <c r="T345" s="48"/>
      <c r="U345" s="48"/>
      <c r="V345" s="48"/>
      <c r="W345" s="48"/>
      <c r="X345" s="48"/>
      <c r="Y345" s="48"/>
      <c r="Z345" s="48"/>
    </row>
    <row r="346" ht="15.75" customHeight="1">
      <c r="A346" s="47"/>
      <c r="B346" s="115"/>
      <c r="C346" s="50"/>
      <c r="D346" s="50"/>
      <c r="E346" s="48"/>
      <c r="F346" s="48"/>
      <c r="G346" s="48"/>
      <c r="H346" s="48"/>
      <c r="I346" s="48"/>
      <c r="J346" s="48"/>
      <c r="K346" s="48"/>
      <c r="L346" s="48"/>
      <c r="M346" s="48"/>
      <c r="N346" s="48"/>
      <c r="O346" s="48"/>
      <c r="P346" s="48"/>
      <c r="Q346" s="48"/>
      <c r="R346" s="48"/>
      <c r="S346" s="48"/>
      <c r="T346" s="48"/>
      <c r="U346" s="48"/>
      <c r="V346" s="48"/>
      <c r="W346" s="48"/>
      <c r="X346" s="48"/>
      <c r="Y346" s="48"/>
      <c r="Z346" s="48"/>
    </row>
    <row r="347" ht="15.75" customHeight="1">
      <c r="A347" s="47"/>
      <c r="B347" s="115"/>
      <c r="C347" s="116"/>
      <c r="D347" s="116"/>
      <c r="E347" s="48"/>
      <c r="F347" s="48"/>
      <c r="G347" s="48"/>
      <c r="H347" s="48"/>
      <c r="I347" s="48"/>
      <c r="J347" s="48"/>
      <c r="K347" s="48"/>
      <c r="L347" s="48"/>
      <c r="M347" s="48"/>
      <c r="N347" s="48"/>
      <c r="O347" s="48"/>
      <c r="P347" s="48"/>
      <c r="Q347" s="48"/>
      <c r="R347" s="48"/>
      <c r="S347" s="48"/>
      <c r="T347" s="48"/>
      <c r="U347" s="48"/>
      <c r="V347" s="48"/>
      <c r="W347" s="48"/>
      <c r="X347" s="48"/>
      <c r="Y347" s="48"/>
      <c r="Z347" s="48"/>
    </row>
    <row r="348" ht="15.75" customHeight="1">
      <c r="A348" s="47"/>
      <c r="B348" s="117"/>
      <c r="C348" s="116"/>
      <c r="D348" s="116"/>
    </row>
    <row r="349" ht="15.75" customHeight="1">
      <c r="A349" s="47"/>
      <c r="B349" s="117"/>
      <c r="C349" s="116"/>
      <c r="D349" s="116"/>
    </row>
    <row r="350" ht="15.75" customHeight="1">
      <c r="A350" s="47"/>
      <c r="B350" s="115"/>
      <c r="C350" s="116"/>
      <c r="D350" s="116"/>
    </row>
    <row r="351" ht="15.75" customHeight="1">
      <c r="A351" s="47"/>
      <c r="B351" s="117"/>
      <c r="C351" s="116"/>
      <c r="D351" s="116"/>
    </row>
    <row r="352" ht="15.75" customHeight="1">
      <c r="A352" s="47"/>
      <c r="B352" s="115"/>
      <c r="C352" s="116"/>
      <c r="D352" s="116"/>
    </row>
    <row r="353" ht="15.75" customHeight="1">
      <c r="A353" s="47"/>
      <c r="B353" s="115"/>
      <c r="C353" s="116"/>
      <c r="D353" s="116"/>
    </row>
    <row r="354" ht="15.75" customHeight="1">
      <c r="A354" s="47"/>
      <c r="B354" s="115"/>
      <c r="C354" s="116"/>
      <c r="D354" s="116"/>
    </row>
    <row r="355" ht="15.75" customHeight="1">
      <c r="A355" s="47"/>
      <c r="B355" s="115"/>
      <c r="C355" s="116"/>
      <c r="D355" s="116"/>
    </row>
    <row r="356" ht="15.75" customHeight="1">
      <c r="A356" s="47"/>
      <c r="B356" s="115"/>
      <c r="C356" s="116"/>
      <c r="D356" s="116"/>
    </row>
    <row r="357" ht="15.75" customHeight="1">
      <c r="A357" s="47"/>
      <c r="B357" s="115"/>
      <c r="C357" s="116"/>
      <c r="D357" s="116"/>
    </row>
    <row r="358" ht="15.75" customHeight="1">
      <c r="A358" s="47"/>
      <c r="B358" s="115"/>
      <c r="C358" s="116"/>
      <c r="D358" s="116"/>
    </row>
    <row r="359" ht="15.75" customHeight="1">
      <c r="A359" s="47"/>
      <c r="B359" s="115"/>
      <c r="C359" s="116"/>
      <c r="D359" s="116"/>
    </row>
    <row r="360" ht="15.75" customHeight="1">
      <c r="A360" s="47"/>
      <c r="B360" s="115"/>
      <c r="C360" s="116"/>
      <c r="D360" s="116"/>
    </row>
    <row r="361" ht="15.75" customHeight="1">
      <c r="A361" s="47"/>
      <c r="B361" s="115"/>
      <c r="C361" s="116"/>
      <c r="D361" s="116"/>
    </row>
    <row r="362" ht="15.75" customHeight="1">
      <c r="A362" s="47"/>
      <c r="B362" s="115"/>
      <c r="C362" s="116"/>
      <c r="D362" s="116"/>
    </row>
    <row r="363" ht="15.75" customHeight="1">
      <c r="A363" s="47"/>
      <c r="B363" s="115"/>
      <c r="C363" s="116"/>
      <c r="D363" s="116"/>
    </row>
    <row r="364" ht="15.75" customHeight="1">
      <c r="A364" s="47"/>
      <c r="B364" s="115"/>
      <c r="C364" s="116"/>
      <c r="D364" s="116"/>
    </row>
    <row r="365" ht="15.75" customHeight="1">
      <c r="A365" s="47"/>
      <c r="B365" s="115"/>
      <c r="C365" s="116"/>
      <c r="D365" s="116"/>
    </row>
    <row r="366" ht="15.75" customHeight="1">
      <c r="A366" s="47"/>
      <c r="B366" s="115"/>
      <c r="C366" s="116"/>
      <c r="D366" s="116"/>
    </row>
    <row r="367" ht="15.75" customHeight="1">
      <c r="A367" s="47"/>
      <c r="B367" s="115"/>
      <c r="C367" s="116"/>
      <c r="D367" s="116"/>
    </row>
    <row r="368" ht="15.75" customHeight="1">
      <c r="A368" s="47"/>
      <c r="B368" s="115"/>
      <c r="C368" s="116"/>
      <c r="D368" s="116"/>
    </row>
    <row r="369" ht="15.75" customHeight="1">
      <c r="A369" s="47"/>
      <c r="B369" s="115"/>
      <c r="C369" s="116"/>
      <c r="D369" s="116"/>
    </row>
    <row r="370" ht="15.75" customHeight="1">
      <c r="A370" s="47"/>
      <c r="B370" s="115"/>
      <c r="C370" s="116"/>
      <c r="D370" s="116"/>
    </row>
    <row r="371" ht="15.75" customHeight="1">
      <c r="A371" s="47"/>
      <c r="B371" s="115"/>
      <c r="C371" s="116"/>
      <c r="D371" s="116"/>
    </row>
    <row r="372" ht="15.75" customHeight="1">
      <c r="A372" s="47"/>
      <c r="B372" s="115"/>
      <c r="C372" s="116"/>
      <c r="D372" s="116"/>
    </row>
    <row r="373" ht="15.75" customHeight="1">
      <c r="A373" s="47"/>
      <c r="B373" s="115"/>
      <c r="C373" s="116"/>
      <c r="D373" s="116"/>
    </row>
    <row r="374" ht="15.75" customHeight="1">
      <c r="A374" s="47"/>
      <c r="B374" s="115"/>
      <c r="C374" s="116"/>
      <c r="D374" s="116"/>
    </row>
    <row r="375" ht="15.75" customHeight="1">
      <c r="A375" s="47"/>
      <c r="B375" s="115"/>
      <c r="C375" s="116"/>
      <c r="D375" s="116"/>
    </row>
    <row r="376" ht="15.75" customHeight="1">
      <c r="A376" s="47"/>
      <c r="B376" s="115"/>
      <c r="C376" s="116"/>
      <c r="D376" s="116"/>
    </row>
    <row r="377" ht="15.75" customHeight="1">
      <c r="A377" s="47"/>
      <c r="B377" s="115"/>
      <c r="C377" s="116"/>
      <c r="D377" s="116"/>
    </row>
    <row r="378" ht="15.75" customHeight="1">
      <c r="A378" s="47"/>
      <c r="B378" s="115"/>
      <c r="C378" s="116"/>
      <c r="D378" s="116"/>
    </row>
    <row r="379" ht="15.75" customHeight="1">
      <c r="A379" s="47"/>
      <c r="B379" s="115"/>
      <c r="C379" s="116"/>
      <c r="D379" s="116"/>
    </row>
    <row r="380" ht="15.75" customHeight="1">
      <c r="A380" s="47"/>
      <c r="B380" s="115"/>
      <c r="C380" s="116"/>
      <c r="D380" s="116"/>
    </row>
    <row r="381" ht="15.75" customHeight="1">
      <c r="A381" s="47"/>
      <c r="B381" s="115"/>
      <c r="C381" s="116"/>
      <c r="D381" s="116"/>
    </row>
    <row r="382" ht="15.75" customHeight="1">
      <c r="A382" s="47"/>
      <c r="B382" s="115"/>
      <c r="C382" s="116"/>
      <c r="D382" s="116"/>
    </row>
    <row r="383" ht="15.75" customHeight="1">
      <c r="A383" s="47"/>
      <c r="B383" s="115"/>
      <c r="C383" s="116"/>
      <c r="D383" s="116"/>
    </row>
    <row r="384" ht="15.75" customHeight="1">
      <c r="A384" s="47"/>
      <c r="B384" s="115"/>
      <c r="C384" s="116"/>
      <c r="D384" s="116"/>
    </row>
    <row r="385" ht="15.75" customHeight="1">
      <c r="A385" s="47"/>
      <c r="B385" s="115"/>
      <c r="C385" s="116"/>
      <c r="D385" s="116"/>
    </row>
    <row r="386" ht="15.75" customHeight="1">
      <c r="A386" s="47"/>
      <c r="B386" s="115"/>
      <c r="C386" s="116"/>
      <c r="D386" s="116"/>
    </row>
    <row r="387" ht="15.75" customHeight="1">
      <c r="A387" s="47"/>
      <c r="B387" s="115"/>
      <c r="C387" s="116"/>
      <c r="D387" s="116"/>
    </row>
    <row r="388" ht="15.75" customHeight="1">
      <c r="A388" s="47"/>
      <c r="B388" s="115"/>
      <c r="C388" s="116"/>
      <c r="D388" s="116"/>
    </row>
    <row r="389" ht="15.75" customHeight="1">
      <c r="A389" s="47"/>
      <c r="B389" s="115"/>
      <c r="C389" s="116"/>
      <c r="D389" s="116"/>
    </row>
    <row r="390" ht="15.75" customHeight="1">
      <c r="A390" s="47"/>
      <c r="B390" s="115"/>
      <c r="C390" s="116"/>
      <c r="D390" s="116"/>
    </row>
    <row r="391" ht="15.75" customHeight="1">
      <c r="A391" s="47"/>
      <c r="B391" s="115"/>
      <c r="C391" s="116"/>
      <c r="D391" s="116"/>
    </row>
    <row r="392" ht="15.75" customHeight="1">
      <c r="A392" s="47"/>
      <c r="B392" s="115"/>
      <c r="C392" s="116"/>
      <c r="D392" s="116"/>
    </row>
    <row r="393" ht="15.75" customHeight="1">
      <c r="A393" s="47"/>
      <c r="B393" s="115"/>
      <c r="C393" s="116"/>
      <c r="D393" s="116"/>
    </row>
    <row r="394" ht="15.75" customHeight="1">
      <c r="A394" s="47"/>
      <c r="B394" s="115"/>
      <c r="C394" s="116"/>
      <c r="D394" s="116"/>
    </row>
    <row r="395" ht="15.75" customHeight="1">
      <c r="A395" s="47"/>
      <c r="B395" s="115"/>
      <c r="C395" s="116"/>
      <c r="D395" s="116"/>
    </row>
    <row r="396" ht="15.75" customHeight="1">
      <c r="A396" s="47"/>
      <c r="B396" s="115"/>
      <c r="C396" s="116"/>
      <c r="D396" s="116"/>
    </row>
    <row r="397" ht="15.75" customHeight="1">
      <c r="A397" s="47"/>
      <c r="B397" s="115"/>
      <c r="C397" s="116"/>
      <c r="D397" s="116"/>
    </row>
    <row r="398" ht="15.75" customHeight="1">
      <c r="A398" s="47"/>
      <c r="B398" s="115"/>
      <c r="C398" s="116"/>
      <c r="D398" s="116"/>
    </row>
    <row r="399" ht="15.75" customHeight="1">
      <c r="A399" s="47"/>
      <c r="B399" s="115"/>
      <c r="C399" s="116"/>
      <c r="D399" s="116"/>
    </row>
    <row r="400" ht="15.75" customHeight="1">
      <c r="A400" s="47"/>
      <c r="B400" s="115"/>
      <c r="C400" s="116"/>
      <c r="D400" s="116"/>
    </row>
    <row r="401" ht="15.75" customHeight="1">
      <c r="A401" s="47"/>
      <c r="B401" s="115"/>
      <c r="C401" s="116"/>
      <c r="D401" s="116"/>
    </row>
    <row r="402" ht="15.75" customHeight="1">
      <c r="A402" s="47"/>
      <c r="B402" s="115"/>
      <c r="C402" s="116"/>
      <c r="D402" s="116"/>
    </row>
    <row r="403" ht="15.75" customHeight="1">
      <c r="A403" s="47"/>
      <c r="B403" s="115"/>
      <c r="C403" s="116"/>
      <c r="D403" s="116"/>
    </row>
    <row r="404" ht="15.75" customHeight="1">
      <c r="A404" s="47"/>
      <c r="B404" s="115"/>
      <c r="C404" s="116"/>
      <c r="D404" s="116"/>
    </row>
    <row r="405" ht="15.75" customHeight="1">
      <c r="A405" s="47"/>
      <c r="B405" s="115"/>
      <c r="C405" s="116"/>
      <c r="D405" s="116"/>
    </row>
    <row r="406" ht="15.75" customHeight="1">
      <c r="A406" s="47"/>
      <c r="B406" s="115"/>
      <c r="C406" s="116"/>
      <c r="D406" s="116"/>
    </row>
    <row r="407" ht="15.75" customHeight="1">
      <c r="A407" s="47"/>
      <c r="B407" s="115"/>
      <c r="C407" s="116"/>
      <c r="D407" s="116"/>
    </row>
    <row r="408" ht="15.75" customHeight="1">
      <c r="A408" s="47"/>
      <c r="B408" s="115"/>
      <c r="C408" s="116"/>
      <c r="D408" s="116"/>
    </row>
    <row r="409" ht="15.75" customHeight="1">
      <c r="A409" s="47"/>
      <c r="B409" s="115"/>
      <c r="C409" s="116"/>
      <c r="D409" s="116"/>
    </row>
    <row r="410" ht="15.75" customHeight="1">
      <c r="A410" s="47"/>
      <c r="B410" s="115"/>
      <c r="C410" s="116"/>
      <c r="D410" s="116"/>
    </row>
    <row r="411" ht="15.75" customHeight="1">
      <c r="A411" s="47"/>
      <c r="B411" s="115"/>
      <c r="C411" s="116"/>
      <c r="D411" s="116"/>
    </row>
    <row r="412" ht="15.75" customHeight="1">
      <c r="A412" s="47"/>
      <c r="B412" s="115"/>
      <c r="C412" s="116"/>
      <c r="D412" s="116"/>
    </row>
    <row r="413" ht="15.75" customHeight="1">
      <c r="A413" s="47"/>
      <c r="B413" s="115"/>
      <c r="C413" s="116"/>
      <c r="D413" s="116"/>
    </row>
    <row r="414" ht="15.75" customHeight="1">
      <c r="A414" s="47"/>
      <c r="B414" s="115"/>
      <c r="C414" s="116"/>
      <c r="D414" s="116"/>
    </row>
    <row r="415" ht="15.75" customHeight="1">
      <c r="A415" s="47"/>
      <c r="B415" s="115"/>
      <c r="C415" s="116"/>
      <c r="D415" s="116"/>
    </row>
    <row r="416" ht="15.75" customHeight="1">
      <c r="A416" s="47"/>
      <c r="B416" s="115"/>
      <c r="C416" s="116"/>
      <c r="D416" s="116"/>
    </row>
    <row r="417" ht="15.75" customHeight="1">
      <c r="A417" s="47"/>
      <c r="B417" s="115"/>
      <c r="C417" s="116"/>
      <c r="D417" s="116"/>
    </row>
    <row r="418" ht="15.75" customHeight="1">
      <c r="A418" s="47"/>
      <c r="B418" s="115"/>
      <c r="C418" s="116"/>
      <c r="D418" s="116"/>
    </row>
    <row r="419" ht="15.75" customHeight="1">
      <c r="A419" s="47"/>
      <c r="B419" s="115"/>
      <c r="C419" s="116"/>
      <c r="D419" s="116"/>
    </row>
    <row r="420" ht="15.75" customHeight="1">
      <c r="A420" s="47"/>
      <c r="B420" s="115"/>
      <c r="C420" s="116"/>
      <c r="D420" s="116"/>
    </row>
    <row r="421" ht="15.75" customHeight="1">
      <c r="A421" s="47"/>
      <c r="B421" s="115"/>
      <c r="C421" s="116"/>
      <c r="D421" s="116"/>
    </row>
    <row r="422" ht="15.75" customHeight="1">
      <c r="A422" s="47"/>
      <c r="B422" s="115"/>
      <c r="C422" s="116"/>
      <c r="D422" s="116"/>
    </row>
    <row r="423" ht="15.75" customHeight="1">
      <c r="A423" s="47"/>
      <c r="B423" s="115"/>
      <c r="C423" s="116"/>
      <c r="D423" s="116"/>
    </row>
    <row r="424" ht="15.75" customHeight="1">
      <c r="A424" s="47"/>
      <c r="B424" s="115"/>
      <c r="C424" s="116"/>
      <c r="D424" s="116"/>
    </row>
    <row r="425" ht="15.75" customHeight="1">
      <c r="A425" s="47"/>
      <c r="B425" s="115"/>
      <c r="C425" s="116"/>
      <c r="D425" s="116"/>
    </row>
    <row r="426" ht="15.75" customHeight="1">
      <c r="A426" s="47"/>
      <c r="B426" s="115"/>
      <c r="C426" s="116"/>
      <c r="D426" s="116"/>
    </row>
    <row r="427" ht="15.75" customHeight="1">
      <c r="A427" s="47"/>
      <c r="B427" s="115"/>
      <c r="C427" s="116"/>
      <c r="D427" s="116"/>
    </row>
    <row r="428" ht="15.75" customHeight="1">
      <c r="A428" s="47"/>
      <c r="B428" s="115"/>
      <c r="C428" s="116"/>
      <c r="D428" s="116"/>
    </row>
    <row r="429" ht="15.75" customHeight="1">
      <c r="A429" s="47"/>
      <c r="B429" s="115"/>
      <c r="C429" s="116"/>
      <c r="D429" s="116"/>
    </row>
    <row r="430" ht="15.75" customHeight="1">
      <c r="A430" s="47"/>
      <c r="B430" s="115"/>
      <c r="C430" s="116"/>
      <c r="D430" s="116"/>
    </row>
    <row r="431" ht="15.75" customHeight="1">
      <c r="A431" s="47"/>
      <c r="B431" s="115"/>
      <c r="C431" s="116"/>
      <c r="D431" s="116"/>
    </row>
    <row r="432" ht="15.75" customHeight="1">
      <c r="A432" s="47"/>
      <c r="B432" s="115"/>
      <c r="C432" s="116"/>
      <c r="D432" s="116"/>
    </row>
    <row r="433" ht="15.75" customHeight="1">
      <c r="A433" s="47"/>
      <c r="B433" s="115"/>
      <c r="C433" s="116"/>
      <c r="D433" s="116"/>
    </row>
    <row r="434" ht="15.75" customHeight="1">
      <c r="A434" s="47"/>
      <c r="B434" s="115"/>
      <c r="C434" s="116"/>
      <c r="D434" s="116"/>
    </row>
    <row r="435" ht="15.75" customHeight="1">
      <c r="A435" s="47"/>
      <c r="B435" s="115"/>
      <c r="C435" s="116"/>
      <c r="D435" s="116"/>
    </row>
    <row r="436" ht="15.75" customHeight="1">
      <c r="A436" s="47"/>
      <c r="B436" s="115"/>
      <c r="C436" s="116"/>
      <c r="D436" s="116"/>
    </row>
    <row r="437" ht="15.75" customHeight="1">
      <c r="A437" s="47"/>
      <c r="B437" s="115"/>
      <c r="C437" s="116"/>
      <c r="D437" s="116"/>
    </row>
    <row r="438" ht="15.75" customHeight="1">
      <c r="A438" s="47"/>
      <c r="B438" s="115"/>
      <c r="C438" s="116"/>
      <c r="D438" s="116"/>
    </row>
    <row r="439" ht="15.75" customHeight="1">
      <c r="A439" s="47"/>
      <c r="B439" s="115"/>
      <c r="C439" s="116"/>
      <c r="D439" s="116"/>
    </row>
    <row r="440" ht="15.75" customHeight="1">
      <c r="A440" s="47"/>
      <c r="B440" s="115"/>
      <c r="C440" s="116"/>
      <c r="D440" s="116"/>
    </row>
    <row r="441" ht="15.75" customHeight="1">
      <c r="A441" s="47"/>
      <c r="B441" s="115"/>
      <c r="C441" s="116"/>
      <c r="D441" s="116"/>
    </row>
    <row r="442" ht="15.75" customHeight="1">
      <c r="A442" s="47"/>
      <c r="B442" s="115"/>
      <c r="C442" s="116"/>
      <c r="D442" s="116"/>
    </row>
    <row r="443" ht="15.75" customHeight="1">
      <c r="A443" s="47"/>
      <c r="B443" s="115"/>
      <c r="C443" s="116"/>
      <c r="D443" s="116"/>
    </row>
    <row r="444" ht="15.75" customHeight="1">
      <c r="A444" s="47"/>
      <c r="B444" s="115"/>
      <c r="C444" s="116"/>
      <c r="D444" s="116"/>
    </row>
    <row r="445" ht="15.75" customHeight="1">
      <c r="A445" s="47"/>
      <c r="B445" s="115"/>
      <c r="C445" s="116"/>
      <c r="D445" s="116"/>
    </row>
    <row r="446" ht="15.75" customHeight="1">
      <c r="A446" s="47"/>
      <c r="B446" s="115"/>
      <c r="C446" s="116"/>
      <c r="D446" s="116"/>
    </row>
    <row r="447" ht="15.75" customHeight="1">
      <c r="A447" s="47"/>
      <c r="B447" s="115"/>
      <c r="C447" s="116"/>
      <c r="D447" s="116"/>
    </row>
    <row r="448" ht="15.75" customHeight="1">
      <c r="A448" s="47"/>
      <c r="B448" s="115"/>
      <c r="C448" s="116"/>
      <c r="D448" s="116"/>
    </row>
    <row r="449" ht="15.75" customHeight="1">
      <c r="A449" s="47"/>
      <c r="B449" s="115"/>
      <c r="C449" s="116"/>
      <c r="D449" s="116"/>
    </row>
    <row r="450" ht="15.75" customHeight="1">
      <c r="A450" s="47"/>
      <c r="B450" s="115"/>
      <c r="C450" s="116"/>
      <c r="D450" s="116"/>
    </row>
    <row r="451" ht="15.75" customHeight="1">
      <c r="A451" s="47"/>
      <c r="B451" s="115"/>
      <c r="C451" s="116"/>
      <c r="D451" s="116"/>
    </row>
    <row r="452" ht="15.75" customHeight="1">
      <c r="A452" s="47"/>
      <c r="B452" s="115"/>
      <c r="C452" s="116"/>
      <c r="D452" s="116"/>
    </row>
    <row r="453" ht="15.75" customHeight="1">
      <c r="A453" s="47"/>
      <c r="B453" s="115"/>
      <c r="C453" s="116"/>
      <c r="D453" s="116"/>
    </row>
    <row r="454" ht="15.75" customHeight="1">
      <c r="A454" s="47"/>
      <c r="B454" s="115"/>
      <c r="C454" s="116"/>
      <c r="D454" s="116"/>
    </row>
    <row r="455" ht="15.75" customHeight="1">
      <c r="A455" s="47"/>
      <c r="B455" s="115"/>
      <c r="C455" s="116"/>
      <c r="D455" s="116"/>
    </row>
    <row r="456" ht="15.75" customHeight="1">
      <c r="A456" s="47"/>
      <c r="B456" s="115"/>
      <c r="C456" s="116"/>
      <c r="D456" s="116"/>
    </row>
    <row r="457" ht="15.75" customHeight="1">
      <c r="A457" s="47"/>
      <c r="B457" s="115"/>
      <c r="C457" s="116"/>
      <c r="D457" s="116"/>
    </row>
    <row r="458" ht="15.75" customHeight="1">
      <c r="A458" s="47"/>
      <c r="B458" s="115"/>
      <c r="C458" s="116"/>
      <c r="D458" s="116"/>
    </row>
    <row r="459" ht="15.75" customHeight="1">
      <c r="A459" s="47"/>
      <c r="B459" s="115"/>
      <c r="C459" s="116"/>
      <c r="D459" s="116"/>
    </row>
    <row r="460" ht="15.75" customHeight="1">
      <c r="A460" s="47"/>
      <c r="B460" s="115"/>
      <c r="C460" s="116"/>
      <c r="D460" s="116"/>
    </row>
    <row r="461" ht="15.75" customHeight="1">
      <c r="A461" s="47"/>
      <c r="B461" s="115"/>
      <c r="C461" s="116"/>
      <c r="D461" s="116"/>
    </row>
    <row r="462" ht="15.75" customHeight="1">
      <c r="A462" s="47"/>
      <c r="B462" s="115"/>
      <c r="C462" s="116"/>
      <c r="D462" s="116"/>
    </row>
    <row r="463" ht="15.75" customHeight="1">
      <c r="A463" s="47"/>
      <c r="B463" s="115"/>
      <c r="C463" s="116"/>
      <c r="D463" s="116"/>
    </row>
    <row r="464" ht="15.75" customHeight="1">
      <c r="A464" s="47"/>
      <c r="B464" s="115"/>
      <c r="C464" s="116"/>
      <c r="D464" s="116"/>
    </row>
    <row r="465" ht="15.75" customHeight="1">
      <c r="A465" s="47"/>
      <c r="B465" s="115"/>
      <c r="C465" s="116"/>
      <c r="D465" s="116"/>
    </row>
    <row r="466" ht="15.75" customHeight="1">
      <c r="A466" s="47"/>
      <c r="B466" s="115"/>
      <c r="C466" s="116"/>
      <c r="D466" s="116"/>
    </row>
    <row r="467" ht="15.75" customHeight="1">
      <c r="A467" s="47"/>
      <c r="B467" s="115"/>
      <c r="C467" s="116"/>
      <c r="D467" s="116"/>
    </row>
    <row r="468" ht="15.75" customHeight="1">
      <c r="A468" s="47"/>
      <c r="B468" s="115"/>
      <c r="C468" s="116"/>
      <c r="D468" s="116"/>
    </row>
    <row r="469" ht="15.75" customHeight="1">
      <c r="A469" s="47"/>
      <c r="B469" s="115"/>
      <c r="C469" s="116"/>
      <c r="D469" s="116"/>
    </row>
    <row r="470" ht="15.75" customHeight="1">
      <c r="A470" s="47"/>
      <c r="B470" s="115"/>
      <c r="C470" s="116"/>
      <c r="D470" s="116"/>
    </row>
    <row r="471" ht="15.75" customHeight="1">
      <c r="A471" s="47"/>
      <c r="B471" s="115"/>
      <c r="C471" s="116"/>
      <c r="D471" s="116"/>
    </row>
    <row r="472" ht="15.75" customHeight="1">
      <c r="A472" s="47"/>
      <c r="B472" s="115"/>
      <c r="C472" s="116"/>
      <c r="D472" s="116"/>
    </row>
    <row r="473" ht="15.75" customHeight="1">
      <c r="A473" s="47"/>
      <c r="B473" s="115"/>
      <c r="C473" s="116"/>
      <c r="D473" s="116"/>
    </row>
    <row r="474" ht="15.75" customHeight="1">
      <c r="A474" s="47"/>
      <c r="B474" s="115"/>
      <c r="C474" s="116"/>
      <c r="D474" s="116"/>
    </row>
    <row r="475" ht="15.75" customHeight="1">
      <c r="A475" s="47"/>
      <c r="B475" s="115"/>
      <c r="C475" s="116"/>
      <c r="D475" s="116"/>
    </row>
    <row r="476" ht="15.75" customHeight="1">
      <c r="A476" s="47"/>
      <c r="B476" s="115"/>
      <c r="C476" s="116"/>
      <c r="D476" s="116"/>
    </row>
    <row r="477" ht="15.75" customHeight="1">
      <c r="A477" s="47"/>
      <c r="B477" s="115"/>
      <c r="C477" s="116"/>
      <c r="D477" s="116"/>
    </row>
    <row r="478" ht="15.75" customHeight="1">
      <c r="A478" s="47"/>
      <c r="B478" s="115"/>
      <c r="C478" s="116"/>
      <c r="D478" s="116"/>
    </row>
    <row r="479" ht="15.75" customHeight="1">
      <c r="A479" s="47"/>
      <c r="B479" s="115"/>
      <c r="C479" s="116"/>
      <c r="D479" s="116"/>
    </row>
    <row r="480" ht="15.75" customHeight="1">
      <c r="A480" s="47"/>
      <c r="B480" s="115"/>
      <c r="C480" s="116"/>
      <c r="D480" s="116"/>
    </row>
    <row r="481" ht="15.75" customHeight="1">
      <c r="A481" s="47"/>
      <c r="B481" s="115"/>
      <c r="C481" s="116"/>
      <c r="D481" s="116"/>
    </row>
    <row r="482" ht="15.75" customHeight="1">
      <c r="A482" s="47"/>
      <c r="B482" s="115"/>
      <c r="C482" s="116"/>
      <c r="D482" s="116"/>
    </row>
    <row r="483" ht="15.75" customHeight="1">
      <c r="A483" s="47"/>
      <c r="B483" s="115"/>
      <c r="C483" s="116"/>
      <c r="D483" s="116"/>
    </row>
    <row r="484" ht="15.75" customHeight="1">
      <c r="A484" s="47"/>
      <c r="B484" s="115"/>
      <c r="C484" s="116"/>
      <c r="D484" s="116"/>
    </row>
    <row r="485" ht="15.75" customHeight="1">
      <c r="A485" s="47"/>
      <c r="B485" s="115"/>
      <c r="C485" s="116"/>
      <c r="D485" s="116"/>
    </row>
    <row r="486" ht="15.75" customHeight="1">
      <c r="A486" s="47"/>
      <c r="B486" s="115"/>
      <c r="C486" s="116"/>
      <c r="D486" s="116"/>
    </row>
    <row r="487" ht="15.75" customHeight="1">
      <c r="A487" s="47"/>
      <c r="B487" s="115"/>
      <c r="C487" s="116"/>
      <c r="D487" s="116"/>
    </row>
    <row r="488" ht="15.75" customHeight="1">
      <c r="A488" s="47"/>
      <c r="B488" s="115"/>
      <c r="C488" s="116"/>
      <c r="D488" s="116"/>
    </row>
    <row r="489" ht="15.75" customHeight="1">
      <c r="A489" s="47"/>
      <c r="B489" s="115"/>
      <c r="C489" s="116"/>
      <c r="D489" s="116"/>
    </row>
    <row r="490" ht="15.75" customHeight="1">
      <c r="A490" s="47"/>
      <c r="B490" s="115"/>
      <c r="C490" s="116"/>
      <c r="D490" s="116"/>
    </row>
    <row r="491" ht="15.75" customHeight="1">
      <c r="A491" s="47"/>
      <c r="B491" s="115"/>
      <c r="C491" s="116"/>
      <c r="D491" s="116"/>
    </row>
    <row r="492" ht="15.75" customHeight="1">
      <c r="A492" s="47"/>
      <c r="B492" s="115"/>
      <c r="C492" s="116"/>
      <c r="D492" s="116"/>
    </row>
    <row r="493" ht="15.75" customHeight="1">
      <c r="A493" s="47"/>
      <c r="B493" s="115"/>
      <c r="C493" s="116"/>
      <c r="D493" s="116"/>
    </row>
    <row r="494" ht="15.75" customHeight="1">
      <c r="A494" s="47"/>
      <c r="B494" s="115"/>
      <c r="C494" s="116"/>
      <c r="D494" s="116"/>
    </row>
    <row r="495" ht="15.75" customHeight="1">
      <c r="A495" s="47"/>
      <c r="B495" s="115"/>
      <c r="C495" s="116"/>
      <c r="D495" s="116"/>
    </row>
    <row r="496" ht="15.75" customHeight="1">
      <c r="A496" s="47"/>
      <c r="B496" s="115"/>
      <c r="C496" s="116"/>
      <c r="D496" s="116"/>
    </row>
    <row r="497" ht="15.75" customHeight="1">
      <c r="A497" s="47"/>
      <c r="B497" s="115"/>
      <c r="C497" s="116"/>
      <c r="D497" s="116"/>
    </row>
    <row r="498" ht="15.75" customHeight="1">
      <c r="A498" s="47"/>
      <c r="B498" s="115"/>
      <c r="C498" s="116"/>
      <c r="D498" s="116"/>
    </row>
    <row r="499" ht="15.75" customHeight="1">
      <c r="A499" s="47"/>
      <c r="B499" s="115"/>
      <c r="C499" s="116"/>
      <c r="D499" s="116"/>
    </row>
    <row r="500" ht="15.75" customHeight="1">
      <c r="A500" s="47"/>
      <c r="B500" s="115"/>
      <c r="C500" s="116"/>
      <c r="D500" s="116"/>
    </row>
    <row r="501" ht="15.75" customHeight="1">
      <c r="A501" s="47"/>
      <c r="B501" s="115"/>
      <c r="C501" s="116"/>
      <c r="D501" s="116"/>
    </row>
    <row r="502" ht="15.75" customHeight="1">
      <c r="A502" s="47"/>
      <c r="B502" s="115"/>
      <c r="C502" s="116"/>
      <c r="D502" s="116"/>
    </row>
    <row r="503" ht="15.75" customHeight="1">
      <c r="A503" s="47"/>
      <c r="B503" s="115"/>
      <c r="C503" s="116"/>
      <c r="D503" s="116"/>
    </row>
    <row r="504" ht="15.75" customHeight="1">
      <c r="A504" s="47"/>
      <c r="B504" s="115"/>
      <c r="C504" s="116"/>
      <c r="D504" s="116"/>
    </row>
    <row r="505" ht="15.75" customHeight="1">
      <c r="A505" s="47"/>
      <c r="B505" s="115"/>
      <c r="C505" s="116"/>
      <c r="D505" s="116"/>
    </row>
    <row r="506" ht="15.75" customHeight="1">
      <c r="A506" s="47"/>
      <c r="B506" s="115"/>
      <c r="C506" s="116"/>
      <c r="D506" s="116"/>
    </row>
    <row r="507" ht="15.75" customHeight="1">
      <c r="A507" s="47"/>
      <c r="B507" s="115"/>
      <c r="C507" s="116"/>
      <c r="D507" s="116"/>
    </row>
    <row r="508" ht="15.75" customHeight="1">
      <c r="A508" s="47"/>
      <c r="B508" s="115"/>
      <c r="C508" s="116"/>
      <c r="D508" s="116"/>
    </row>
    <row r="509" ht="15.75" customHeight="1">
      <c r="A509" s="47"/>
      <c r="B509" s="115"/>
      <c r="C509" s="116"/>
      <c r="D509" s="116"/>
    </row>
    <row r="510" ht="15.75" customHeight="1">
      <c r="A510" s="47"/>
      <c r="B510" s="115"/>
      <c r="C510" s="116"/>
      <c r="D510" s="116"/>
    </row>
    <row r="511" ht="15.75" customHeight="1">
      <c r="A511" s="47"/>
      <c r="B511" s="115"/>
      <c r="C511" s="116"/>
      <c r="D511" s="116"/>
    </row>
    <row r="512" ht="15.75" customHeight="1">
      <c r="A512" s="47"/>
      <c r="B512" s="115"/>
      <c r="C512" s="116"/>
      <c r="D512" s="116"/>
    </row>
    <row r="513" ht="15.75" customHeight="1">
      <c r="A513" s="47"/>
      <c r="B513" s="115"/>
      <c r="C513" s="116"/>
      <c r="D513" s="116"/>
    </row>
    <row r="514" ht="15.75" customHeight="1">
      <c r="A514" s="47"/>
      <c r="B514" s="115"/>
      <c r="C514" s="116"/>
      <c r="D514" s="116"/>
    </row>
    <row r="515" ht="15.75" customHeight="1">
      <c r="A515" s="47"/>
      <c r="B515" s="115"/>
      <c r="C515" s="116"/>
      <c r="D515" s="116"/>
    </row>
    <row r="516" ht="15.75" customHeight="1">
      <c r="A516" s="47"/>
      <c r="B516" s="115"/>
      <c r="C516" s="116"/>
      <c r="D516" s="116"/>
    </row>
    <row r="517" ht="15.75" customHeight="1">
      <c r="A517" s="47"/>
      <c r="B517" s="115"/>
      <c r="C517" s="116"/>
      <c r="D517" s="116"/>
    </row>
    <row r="518" ht="15.75" customHeight="1">
      <c r="A518" s="47"/>
      <c r="B518" s="115"/>
      <c r="C518" s="116"/>
      <c r="D518" s="116"/>
    </row>
    <row r="519" ht="15.75" customHeight="1">
      <c r="A519" s="47"/>
      <c r="B519" s="115"/>
      <c r="C519" s="116"/>
      <c r="D519" s="116"/>
    </row>
    <row r="520" ht="15.75" customHeight="1">
      <c r="A520" s="47"/>
      <c r="B520" s="115"/>
      <c r="C520" s="116"/>
      <c r="D520" s="116"/>
    </row>
    <row r="521" ht="15.75" customHeight="1">
      <c r="A521" s="47"/>
      <c r="B521" s="115"/>
      <c r="C521" s="116"/>
      <c r="D521" s="116"/>
    </row>
    <row r="522" ht="15.75" customHeight="1">
      <c r="A522" s="47"/>
      <c r="B522" s="115"/>
      <c r="C522" s="116"/>
      <c r="D522" s="116"/>
    </row>
    <row r="523" ht="15.75" customHeight="1">
      <c r="A523" s="47"/>
      <c r="B523" s="115"/>
      <c r="C523" s="116"/>
      <c r="D523" s="116"/>
    </row>
    <row r="524" ht="15.75" customHeight="1">
      <c r="A524" s="47"/>
      <c r="B524" s="115"/>
      <c r="C524" s="116"/>
      <c r="D524" s="116"/>
    </row>
    <row r="525" ht="15.75" customHeight="1">
      <c r="A525" s="47"/>
      <c r="B525" s="115"/>
      <c r="C525" s="116"/>
      <c r="D525" s="116"/>
    </row>
    <row r="526" ht="15.75" customHeight="1">
      <c r="A526" s="47"/>
      <c r="B526" s="115"/>
      <c r="C526" s="116"/>
      <c r="D526" s="116"/>
    </row>
    <row r="527" ht="15.75" customHeight="1">
      <c r="A527" s="47"/>
      <c r="B527" s="115"/>
      <c r="C527" s="116"/>
      <c r="D527" s="116"/>
    </row>
    <row r="528" ht="15.75" customHeight="1">
      <c r="A528" s="47"/>
      <c r="B528" s="115"/>
      <c r="C528" s="116"/>
      <c r="D528" s="116"/>
    </row>
    <row r="529" ht="15.75" customHeight="1">
      <c r="A529" s="47"/>
      <c r="B529" s="115"/>
      <c r="C529" s="116"/>
      <c r="D529" s="116"/>
    </row>
    <row r="530" ht="15.75" customHeight="1">
      <c r="A530" s="47"/>
      <c r="B530" s="115"/>
      <c r="C530" s="116"/>
      <c r="D530" s="116"/>
    </row>
    <row r="531" ht="15.75" customHeight="1">
      <c r="A531" s="47"/>
      <c r="B531" s="115"/>
      <c r="C531" s="116"/>
      <c r="D531" s="116"/>
    </row>
    <row r="532" ht="15.75" customHeight="1">
      <c r="A532" s="47"/>
      <c r="B532" s="115"/>
      <c r="C532" s="116"/>
      <c r="D532" s="116"/>
    </row>
    <row r="533" ht="15.75" customHeight="1">
      <c r="A533" s="47"/>
      <c r="B533" s="115"/>
      <c r="C533" s="116"/>
      <c r="D533" s="116"/>
    </row>
    <row r="534" ht="15.75" customHeight="1">
      <c r="A534" s="47"/>
      <c r="B534" s="115"/>
      <c r="C534" s="116"/>
      <c r="D534" s="116"/>
    </row>
    <row r="535" ht="15.75" customHeight="1">
      <c r="A535" s="47"/>
      <c r="B535" s="115"/>
      <c r="C535" s="116"/>
      <c r="D535" s="116"/>
    </row>
    <row r="536" ht="15.75" customHeight="1">
      <c r="A536" s="47"/>
      <c r="B536" s="115"/>
      <c r="C536" s="116"/>
      <c r="D536" s="116"/>
    </row>
    <row r="537" ht="15.75" customHeight="1">
      <c r="A537" s="47"/>
      <c r="B537" s="115"/>
      <c r="C537" s="116"/>
      <c r="D537" s="116"/>
    </row>
    <row r="538" ht="15.75" customHeight="1">
      <c r="A538" s="47"/>
      <c r="B538" s="115"/>
      <c r="C538" s="116"/>
      <c r="D538" s="116"/>
    </row>
    <row r="539" ht="15.75" customHeight="1">
      <c r="A539" s="47"/>
      <c r="B539" s="115"/>
      <c r="C539" s="116"/>
      <c r="D539" s="116"/>
    </row>
    <row r="540" ht="15.75" customHeight="1">
      <c r="A540" s="47"/>
      <c r="B540" s="115"/>
      <c r="C540" s="116"/>
      <c r="D540" s="116"/>
    </row>
    <row r="541" ht="15.75" customHeight="1">
      <c r="A541" s="47"/>
      <c r="B541" s="115"/>
      <c r="C541" s="116"/>
      <c r="D541" s="116"/>
    </row>
    <row r="542" ht="15.75" customHeight="1">
      <c r="A542" s="47"/>
      <c r="B542" s="115"/>
      <c r="C542" s="116"/>
      <c r="D542" s="116"/>
    </row>
    <row r="543" ht="15.75" customHeight="1">
      <c r="A543" s="47"/>
      <c r="B543" s="115"/>
      <c r="C543" s="116"/>
      <c r="D543" s="116"/>
    </row>
    <row r="544" ht="15.75" customHeight="1">
      <c r="A544" s="47"/>
      <c r="B544" s="115"/>
      <c r="C544" s="116"/>
      <c r="D544" s="116"/>
    </row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0"/>
    <col customWidth="1" min="2" max="2" width="12.63"/>
    <col customWidth="1" min="3" max="4" width="12.13"/>
    <col customWidth="1" min="5" max="6" width="12.63"/>
  </cols>
  <sheetData>
    <row r="1" ht="15.75" customHeight="1">
      <c r="A1" s="59" t="s">
        <v>391</v>
      </c>
      <c r="B1" s="113" t="s">
        <v>362</v>
      </c>
      <c r="C1" s="60" t="s">
        <v>365</v>
      </c>
      <c r="D1" s="60" t="s">
        <v>368</v>
      </c>
    </row>
    <row r="2" ht="15.75" customHeight="1">
      <c r="A2" s="71">
        <v>1.0</v>
      </c>
      <c r="B2" s="113" t="s">
        <v>373</v>
      </c>
      <c r="C2" s="71">
        <v>181.50036257754903</v>
      </c>
      <c r="D2" s="71">
        <v>220.53686058364792</v>
      </c>
      <c r="E2" s="118"/>
      <c r="F2" s="118"/>
    </row>
    <row r="3" ht="15.75" customHeight="1">
      <c r="A3" s="71">
        <v>2.0</v>
      </c>
      <c r="B3" s="113" t="s">
        <v>48</v>
      </c>
      <c r="C3" s="71">
        <v>275.48900660577056</v>
      </c>
      <c r="D3" s="71">
        <v>295.55215616560264</v>
      </c>
      <c r="E3" s="118"/>
      <c r="F3" s="118"/>
    </row>
    <row r="4" ht="15.75" customHeight="1">
      <c r="A4" s="71">
        <v>3.0</v>
      </c>
      <c r="B4" s="113" t="s">
        <v>377</v>
      </c>
      <c r="C4" s="71">
        <v>281.7222611707788</v>
      </c>
      <c r="D4" s="71">
        <v>319.28748953367926</v>
      </c>
      <c r="E4" s="118"/>
      <c r="F4" s="118"/>
    </row>
    <row r="5" ht="15.75" customHeight="1">
      <c r="A5" s="71">
        <v>4.0</v>
      </c>
      <c r="B5" s="113" t="s">
        <v>183</v>
      </c>
      <c r="C5" s="71">
        <v>189.82716987514988</v>
      </c>
      <c r="D5" s="71">
        <v>196.01284579861607</v>
      </c>
      <c r="E5" s="118"/>
      <c r="F5" s="118"/>
    </row>
    <row r="6" ht="15.75" customHeight="1">
      <c r="A6" s="71">
        <v>5.0</v>
      </c>
      <c r="B6" s="113" t="s">
        <v>218</v>
      </c>
      <c r="C6" s="71">
        <v>104.97704793544733</v>
      </c>
      <c r="D6" s="71">
        <v>130.18483221139886</v>
      </c>
      <c r="E6" s="118"/>
      <c r="F6" s="118"/>
    </row>
    <row r="7" ht="15.75" customHeight="1">
      <c r="A7" s="71">
        <v>6.0</v>
      </c>
      <c r="B7" s="113" t="s">
        <v>260</v>
      </c>
      <c r="C7" s="71">
        <v>285.95789298432703</v>
      </c>
      <c r="D7" s="71">
        <v>328.68849142317407</v>
      </c>
      <c r="E7" s="118"/>
      <c r="F7" s="118"/>
    </row>
    <row r="8" ht="15.75" customHeight="1">
      <c r="A8" s="71">
        <v>7.0</v>
      </c>
      <c r="B8" s="113" t="s">
        <v>387</v>
      </c>
      <c r="C8" s="71">
        <v>483.24169979679937</v>
      </c>
      <c r="D8" s="71">
        <v>546.5860238538525</v>
      </c>
      <c r="E8" s="118"/>
      <c r="F8" s="118"/>
    </row>
    <row r="9" ht="15.75" customHeight="1">
      <c r="A9" s="71">
        <v>8.0</v>
      </c>
      <c r="B9" s="113" t="s">
        <v>374</v>
      </c>
      <c r="C9" s="71">
        <v>248.74060597122713</v>
      </c>
      <c r="D9" s="71">
        <v>419.3806455536945</v>
      </c>
      <c r="E9" s="118"/>
      <c r="F9" s="118"/>
    </row>
    <row r="10" ht="15.75" customHeight="1">
      <c r="A10" s="71">
        <v>9.0</v>
      </c>
      <c r="B10" s="113" t="s">
        <v>384</v>
      </c>
      <c r="C10" s="71">
        <v>241.48311472356215</v>
      </c>
      <c r="D10" s="71">
        <v>361.8945258555154</v>
      </c>
      <c r="E10" s="118"/>
      <c r="F10" s="118"/>
    </row>
    <row r="11" ht="15.75" customHeight="1">
      <c r="A11" s="71">
        <v>10.0</v>
      </c>
      <c r="B11" s="113" t="s">
        <v>380</v>
      </c>
      <c r="C11" s="71">
        <v>303.528473073145</v>
      </c>
      <c r="D11" s="71">
        <v>356.39853325909536</v>
      </c>
      <c r="E11" s="118"/>
      <c r="F11" s="118"/>
    </row>
    <row r="12" ht="15.75" customHeight="1">
      <c r="A12" s="71">
        <v>11.0</v>
      </c>
      <c r="B12" s="113" t="s">
        <v>376</v>
      </c>
      <c r="C12" s="71">
        <v>308.08674009099997</v>
      </c>
      <c r="D12" s="71">
        <v>354.85784011590357</v>
      </c>
      <c r="E12" s="118"/>
      <c r="F12" s="118"/>
    </row>
    <row r="13" ht="15.75" customHeight="1">
      <c r="A13" s="116"/>
      <c r="B13" s="115"/>
      <c r="C13" s="116"/>
      <c r="D13" s="116"/>
    </row>
    <row r="14" ht="15.75" customHeight="1">
      <c r="A14" s="116"/>
      <c r="B14" s="115"/>
      <c r="C14" s="116"/>
      <c r="D14" s="116"/>
    </row>
    <row r="15" ht="15.75" customHeight="1">
      <c r="A15" s="116"/>
      <c r="B15" s="115"/>
      <c r="C15" s="116"/>
      <c r="D15" s="116"/>
    </row>
    <row r="16" ht="15.75" customHeight="1">
      <c r="A16" s="116"/>
      <c r="B16" s="115"/>
      <c r="C16" s="116"/>
      <c r="D16" s="116"/>
    </row>
    <row r="17" ht="15.75" customHeight="1">
      <c r="A17" s="116"/>
      <c r="B17" s="115"/>
      <c r="C17" s="116"/>
      <c r="D17" s="116"/>
    </row>
    <row r="18" ht="15.75" customHeight="1">
      <c r="A18" s="116"/>
      <c r="B18" s="115"/>
      <c r="C18" s="116"/>
      <c r="D18" s="116"/>
    </row>
    <row r="19" ht="15.75" customHeight="1">
      <c r="A19" s="116"/>
      <c r="B19" s="115"/>
      <c r="C19" s="116"/>
      <c r="D19" s="116"/>
    </row>
    <row r="20" ht="15.75" customHeight="1">
      <c r="A20" s="116"/>
      <c r="B20" s="115"/>
      <c r="C20" s="116"/>
      <c r="D20" s="116"/>
    </row>
    <row r="21" ht="15.75" customHeight="1">
      <c r="A21" s="116"/>
      <c r="B21" s="115"/>
      <c r="C21" s="116"/>
      <c r="D21" s="116"/>
    </row>
    <row r="22" ht="15.75" customHeight="1">
      <c r="A22" s="116"/>
      <c r="B22" s="115"/>
      <c r="C22" s="116"/>
      <c r="D22" s="116"/>
    </row>
    <row r="23" ht="15.75" customHeight="1">
      <c r="A23" s="116"/>
      <c r="B23" s="115"/>
      <c r="C23" s="116"/>
      <c r="D23" s="116"/>
    </row>
    <row r="24" ht="15.75" customHeight="1">
      <c r="A24" s="116"/>
      <c r="B24" s="115"/>
      <c r="C24" s="116"/>
      <c r="D24" s="116"/>
    </row>
    <row r="25" ht="15.75" customHeight="1">
      <c r="A25" s="116"/>
      <c r="B25" s="115"/>
      <c r="C25" s="116"/>
      <c r="D25" s="116"/>
    </row>
    <row r="26" ht="15.75" customHeight="1">
      <c r="A26" s="116"/>
      <c r="B26" s="115"/>
      <c r="C26" s="116"/>
      <c r="D26" s="116"/>
    </row>
    <row r="27" ht="15.75" customHeight="1">
      <c r="A27" s="116"/>
      <c r="B27" s="115"/>
      <c r="C27" s="116"/>
      <c r="D27" s="116"/>
    </row>
    <row r="28" ht="15.75" customHeight="1">
      <c r="A28" s="116"/>
      <c r="B28" s="115"/>
      <c r="C28" s="116"/>
      <c r="D28" s="116"/>
    </row>
    <row r="29" ht="15.75" customHeight="1">
      <c r="A29" s="116"/>
      <c r="B29" s="115"/>
      <c r="C29" s="116"/>
      <c r="D29" s="116"/>
    </row>
    <row r="30" ht="15.75" customHeight="1">
      <c r="A30" s="116"/>
      <c r="B30" s="115"/>
      <c r="C30" s="116"/>
      <c r="D30" s="116"/>
    </row>
    <row r="31" ht="15.75" customHeight="1">
      <c r="A31" s="116"/>
      <c r="B31" s="115"/>
      <c r="C31" s="116"/>
      <c r="D31" s="116"/>
    </row>
    <row r="32" ht="15.75" customHeight="1">
      <c r="A32" s="116"/>
      <c r="B32" s="115"/>
      <c r="C32" s="116"/>
      <c r="D32" s="116"/>
    </row>
    <row r="33" ht="15.75" customHeight="1">
      <c r="A33" s="116"/>
      <c r="B33" s="115"/>
      <c r="C33" s="116"/>
      <c r="D33" s="116"/>
    </row>
    <row r="34" ht="15.75" customHeight="1">
      <c r="A34" s="116"/>
      <c r="B34" s="115"/>
      <c r="C34" s="116"/>
      <c r="D34" s="116"/>
    </row>
    <row r="35" ht="15.75" customHeight="1">
      <c r="A35" s="116"/>
      <c r="B35" s="115"/>
      <c r="C35" s="116"/>
      <c r="D35" s="116"/>
    </row>
    <row r="36" ht="15.75" customHeight="1">
      <c r="A36" s="116"/>
      <c r="B36" s="115"/>
      <c r="C36" s="116"/>
      <c r="D36" s="116"/>
    </row>
    <row r="37" ht="15.75" customHeight="1">
      <c r="A37" s="116"/>
      <c r="B37" s="115"/>
      <c r="C37" s="116"/>
      <c r="D37" s="116"/>
    </row>
    <row r="38" ht="15.75" customHeight="1">
      <c r="A38" s="116"/>
      <c r="B38" s="115"/>
      <c r="C38" s="116"/>
      <c r="D38" s="116"/>
    </row>
    <row r="39" ht="15.75" customHeight="1">
      <c r="A39" s="116"/>
      <c r="B39" s="115"/>
      <c r="C39" s="116"/>
      <c r="D39" s="116"/>
    </row>
    <row r="40" ht="15.75" customHeight="1">
      <c r="A40" s="116"/>
      <c r="B40" s="115"/>
      <c r="C40" s="116"/>
      <c r="D40" s="116"/>
    </row>
    <row r="41" ht="15.75" customHeight="1">
      <c r="A41" s="116"/>
      <c r="B41" s="115"/>
      <c r="C41" s="116"/>
      <c r="D41" s="116"/>
    </row>
    <row r="42" ht="15.75" customHeight="1">
      <c r="A42" s="116"/>
      <c r="B42" s="115"/>
      <c r="C42" s="116"/>
      <c r="D42" s="116"/>
    </row>
    <row r="43" ht="15.75" customHeight="1">
      <c r="A43" s="116"/>
      <c r="B43" s="115"/>
      <c r="C43" s="116"/>
      <c r="D43" s="116"/>
    </row>
    <row r="44" ht="15.75" customHeight="1">
      <c r="A44" s="116"/>
      <c r="B44" s="115"/>
      <c r="C44" s="116"/>
      <c r="D44" s="116"/>
    </row>
    <row r="45" ht="15.75" customHeight="1">
      <c r="A45" s="116"/>
      <c r="B45" s="115"/>
      <c r="C45" s="116"/>
      <c r="D45" s="116"/>
    </row>
    <row r="46" ht="15.75" customHeight="1">
      <c r="A46" s="116"/>
      <c r="B46" s="115"/>
      <c r="C46" s="116"/>
      <c r="D46" s="116"/>
    </row>
    <row r="47" ht="15.75" customHeight="1">
      <c r="A47" s="116"/>
      <c r="B47" s="115"/>
      <c r="C47" s="116"/>
      <c r="D47" s="116"/>
    </row>
    <row r="48" ht="15.75" customHeight="1">
      <c r="A48" s="116"/>
      <c r="B48" s="115"/>
      <c r="C48" s="116"/>
      <c r="D48" s="116"/>
    </row>
    <row r="49" ht="15.75" customHeight="1">
      <c r="A49" s="116"/>
      <c r="B49" s="115"/>
      <c r="C49" s="116"/>
      <c r="D49" s="116"/>
    </row>
    <row r="50" ht="15.75" customHeight="1">
      <c r="A50" s="116"/>
      <c r="B50" s="115"/>
      <c r="C50" s="116"/>
      <c r="D50" s="116"/>
    </row>
    <row r="51" ht="15.75" customHeight="1">
      <c r="A51" s="116"/>
      <c r="B51" s="115"/>
      <c r="C51" s="116"/>
      <c r="D51" s="116"/>
    </row>
    <row r="52" ht="15.75" customHeight="1">
      <c r="A52" s="116"/>
      <c r="B52" s="115"/>
      <c r="C52" s="116"/>
      <c r="D52" s="116"/>
    </row>
    <row r="53" ht="15.75" customHeight="1">
      <c r="A53" s="116"/>
      <c r="B53" s="115"/>
      <c r="C53" s="116"/>
      <c r="D53" s="116"/>
    </row>
    <row r="54" ht="15.75" customHeight="1">
      <c r="A54" s="116"/>
      <c r="B54" s="115"/>
      <c r="C54" s="116"/>
      <c r="D54" s="116"/>
    </row>
    <row r="55" ht="15.75" customHeight="1">
      <c r="A55" s="116"/>
      <c r="B55" s="115"/>
      <c r="C55" s="116"/>
      <c r="D55" s="116"/>
    </row>
    <row r="56" ht="15.75" customHeight="1">
      <c r="A56" s="116"/>
      <c r="B56" s="115"/>
      <c r="C56" s="116"/>
      <c r="D56" s="116"/>
    </row>
    <row r="57" ht="15.75" customHeight="1">
      <c r="A57" s="116"/>
      <c r="B57" s="115"/>
      <c r="C57" s="116"/>
      <c r="D57" s="116"/>
    </row>
    <row r="58" ht="15.75" customHeight="1">
      <c r="A58" s="116"/>
      <c r="B58" s="115"/>
      <c r="C58" s="116"/>
      <c r="D58" s="116"/>
    </row>
    <row r="59" ht="15.75" customHeight="1">
      <c r="A59" s="116"/>
      <c r="B59" s="115"/>
      <c r="C59" s="116"/>
      <c r="D59" s="116"/>
    </row>
    <row r="60" ht="15.75" customHeight="1">
      <c r="A60" s="116"/>
      <c r="B60" s="115"/>
      <c r="C60" s="116"/>
      <c r="D60" s="116"/>
    </row>
    <row r="61" ht="15.75" customHeight="1">
      <c r="A61" s="116"/>
      <c r="B61" s="115"/>
      <c r="C61" s="116"/>
      <c r="D61" s="116"/>
    </row>
    <row r="62" ht="15.75" customHeight="1">
      <c r="A62" s="116"/>
      <c r="B62" s="115"/>
      <c r="C62" s="116"/>
      <c r="D62" s="116"/>
    </row>
    <row r="63" ht="15.75" customHeight="1">
      <c r="A63" s="116"/>
      <c r="B63" s="115"/>
      <c r="C63" s="116"/>
      <c r="D63" s="116"/>
    </row>
    <row r="64" ht="15.75" customHeight="1">
      <c r="A64" s="116"/>
      <c r="B64" s="115"/>
      <c r="C64" s="116"/>
      <c r="D64" s="116"/>
    </row>
    <row r="65" ht="15.75" customHeight="1">
      <c r="A65" s="116"/>
      <c r="B65" s="115"/>
      <c r="C65" s="116"/>
      <c r="D65" s="116"/>
    </row>
    <row r="66" ht="15.75" customHeight="1">
      <c r="A66" s="116"/>
      <c r="B66" s="115"/>
      <c r="C66" s="116"/>
      <c r="D66" s="116"/>
    </row>
    <row r="67" ht="15.75" customHeight="1">
      <c r="A67" s="116"/>
      <c r="B67" s="115"/>
      <c r="C67" s="116"/>
      <c r="D67" s="116"/>
    </row>
    <row r="68" ht="15.75" customHeight="1">
      <c r="A68" s="116"/>
      <c r="B68" s="115"/>
      <c r="C68" s="116"/>
      <c r="D68" s="116"/>
    </row>
    <row r="69" ht="15.75" customHeight="1">
      <c r="A69" s="116"/>
      <c r="B69" s="115"/>
      <c r="C69" s="116"/>
      <c r="D69" s="116"/>
    </row>
    <row r="70" ht="15.75" customHeight="1">
      <c r="A70" s="116"/>
      <c r="B70" s="115"/>
      <c r="C70" s="116"/>
      <c r="D70" s="116"/>
    </row>
    <row r="71" ht="15.75" customHeight="1">
      <c r="A71" s="116"/>
      <c r="B71" s="115"/>
      <c r="C71" s="116"/>
      <c r="D71" s="116"/>
    </row>
    <row r="72" ht="15.75" customHeight="1">
      <c r="A72" s="116"/>
      <c r="B72" s="115"/>
      <c r="C72" s="116"/>
      <c r="D72" s="116"/>
    </row>
    <row r="73" ht="15.75" customHeight="1">
      <c r="A73" s="116"/>
      <c r="B73" s="115"/>
      <c r="C73" s="116"/>
      <c r="D73" s="116"/>
    </row>
    <row r="74" ht="15.75" customHeight="1">
      <c r="A74" s="116"/>
      <c r="B74" s="115"/>
      <c r="C74" s="116"/>
      <c r="D74" s="116"/>
    </row>
    <row r="75" ht="15.75" customHeight="1">
      <c r="A75" s="116"/>
      <c r="B75" s="115"/>
      <c r="C75" s="116"/>
      <c r="D75" s="116"/>
    </row>
    <row r="76" ht="15.75" customHeight="1">
      <c r="A76" s="116"/>
      <c r="B76" s="115"/>
      <c r="C76" s="116"/>
      <c r="D76" s="116"/>
    </row>
    <row r="77" ht="15.75" customHeight="1">
      <c r="A77" s="116"/>
      <c r="B77" s="115"/>
      <c r="C77" s="116"/>
      <c r="D77" s="116"/>
    </row>
    <row r="78" ht="15.75" customHeight="1">
      <c r="A78" s="116"/>
      <c r="B78" s="115"/>
      <c r="C78" s="116"/>
      <c r="D78" s="116"/>
    </row>
    <row r="79" ht="15.75" customHeight="1">
      <c r="A79" s="116"/>
      <c r="B79" s="115"/>
      <c r="C79" s="116"/>
      <c r="D79" s="116"/>
    </row>
    <row r="80" ht="15.75" customHeight="1">
      <c r="A80" s="116"/>
      <c r="B80" s="115"/>
      <c r="C80" s="116"/>
      <c r="D80" s="116"/>
    </row>
    <row r="81" ht="15.75" customHeight="1">
      <c r="A81" s="116"/>
      <c r="B81" s="115"/>
      <c r="C81" s="116"/>
      <c r="D81" s="116"/>
    </row>
    <row r="82" ht="15.75" customHeight="1">
      <c r="A82" s="116"/>
      <c r="B82" s="115"/>
      <c r="C82" s="116"/>
      <c r="D82" s="116"/>
    </row>
    <row r="83" ht="15.75" customHeight="1">
      <c r="A83" s="116"/>
      <c r="B83" s="115"/>
      <c r="C83" s="116"/>
      <c r="D83" s="116"/>
    </row>
    <row r="84" ht="15.75" customHeight="1">
      <c r="A84" s="116"/>
      <c r="B84" s="115"/>
      <c r="C84" s="116"/>
      <c r="D84" s="116"/>
    </row>
    <row r="85" ht="15.75" customHeight="1">
      <c r="A85" s="116"/>
      <c r="B85" s="115"/>
      <c r="C85" s="116"/>
      <c r="D85" s="116"/>
    </row>
    <row r="86" ht="15.75" customHeight="1">
      <c r="A86" s="116"/>
      <c r="B86" s="115"/>
      <c r="C86" s="116"/>
      <c r="D86" s="116"/>
    </row>
    <row r="87" ht="15.75" customHeight="1">
      <c r="A87" s="116"/>
      <c r="B87" s="115"/>
      <c r="C87" s="116"/>
      <c r="D87" s="116"/>
    </row>
    <row r="88" ht="15.75" customHeight="1">
      <c r="A88" s="116"/>
      <c r="B88" s="115"/>
      <c r="C88" s="116"/>
      <c r="D88" s="116"/>
    </row>
    <row r="89" ht="15.75" customHeight="1">
      <c r="A89" s="116"/>
      <c r="B89" s="115"/>
      <c r="C89" s="116"/>
      <c r="D89" s="116"/>
    </row>
    <row r="90" ht="15.75" customHeight="1">
      <c r="A90" s="116"/>
      <c r="B90" s="115"/>
      <c r="C90" s="116"/>
      <c r="D90" s="116"/>
    </row>
    <row r="91" ht="15.75" customHeight="1">
      <c r="A91" s="116"/>
      <c r="B91" s="115"/>
      <c r="C91" s="116"/>
      <c r="D91" s="116"/>
    </row>
    <row r="92" ht="15.75" customHeight="1">
      <c r="A92" s="116"/>
      <c r="B92" s="115"/>
      <c r="C92" s="116"/>
      <c r="D92" s="116"/>
    </row>
    <row r="93" ht="15.75" customHeight="1">
      <c r="A93" s="116"/>
      <c r="B93" s="115"/>
      <c r="C93" s="116"/>
      <c r="D93" s="116"/>
    </row>
    <row r="94" ht="15.75" customHeight="1">
      <c r="A94" s="116"/>
      <c r="B94" s="115"/>
      <c r="C94" s="116"/>
      <c r="D94" s="116"/>
    </row>
    <row r="95" ht="15.75" customHeight="1">
      <c r="A95" s="116"/>
      <c r="B95" s="115"/>
      <c r="C95" s="116"/>
      <c r="D95" s="116"/>
    </row>
    <row r="96" ht="15.75" customHeight="1">
      <c r="A96" s="116"/>
      <c r="B96" s="115"/>
      <c r="C96" s="116"/>
      <c r="D96" s="116"/>
    </row>
    <row r="97" ht="15.75" customHeight="1">
      <c r="A97" s="116"/>
      <c r="B97" s="115"/>
      <c r="C97" s="116"/>
      <c r="D97" s="116"/>
    </row>
    <row r="98" ht="15.75" customHeight="1">
      <c r="A98" s="116"/>
      <c r="B98" s="115"/>
      <c r="C98" s="116"/>
      <c r="D98" s="116"/>
    </row>
    <row r="99" ht="15.75" customHeight="1">
      <c r="A99" s="116"/>
      <c r="B99" s="115"/>
      <c r="C99" s="116"/>
      <c r="D99" s="116"/>
    </row>
    <row r="100" ht="15.75" customHeight="1">
      <c r="A100" s="116"/>
      <c r="B100" s="115"/>
      <c r="C100" s="116"/>
      <c r="D100" s="116"/>
    </row>
    <row r="101" ht="15.75" customHeight="1">
      <c r="A101" s="116"/>
      <c r="B101" s="115"/>
      <c r="C101" s="116"/>
      <c r="D101" s="116"/>
    </row>
    <row r="102" ht="15.75" customHeight="1">
      <c r="A102" s="116"/>
      <c r="B102" s="115"/>
      <c r="C102" s="116"/>
      <c r="D102" s="116"/>
    </row>
    <row r="103" ht="15.75" customHeight="1">
      <c r="A103" s="116"/>
      <c r="B103" s="115"/>
      <c r="C103" s="116"/>
      <c r="D103" s="116"/>
    </row>
    <row r="104" ht="15.75" customHeight="1">
      <c r="A104" s="116"/>
      <c r="B104" s="115"/>
      <c r="C104" s="116"/>
      <c r="D104" s="116"/>
    </row>
    <row r="105" ht="15.75" customHeight="1">
      <c r="A105" s="116"/>
      <c r="B105" s="115"/>
      <c r="C105" s="116"/>
      <c r="D105" s="116"/>
    </row>
    <row r="106" ht="15.75" customHeight="1">
      <c r="A106" s="116"/>
      <c r="B106" s="115"/>
      <c r="C106" s="116"/>
      <c r="D106" s="116"/>
    </row>
    <row r="107" ht="15.75" customHeight="1">
      <c r="A107" s="116"/>
      <c r="B107" s="115"/>
      <c r="C107" s="116"/>
      <c r="D107" s="116"/>
    </row>
    <row r="108" ht="15.75" customHeight="1">
      <c r="A108" s="116"/>
      <c r="B108" s="115"/>
      <c r="C108" s="116"/>
      <c r="D108" s="116"/>
    </row>
    <row r="109" ht="15.75" customHeight="1">
      <c r="A109" s="116"/>
      <c r="B109" s="115"/>
      <c r="C109" s="116"/>
      <c r="D109" s="116"/>
    </row>
    <row r="110" ht="15.75" customHeight="1">
      <c r="A110" s="116"/>
      <c r="B110" s="115"/>
      <c r="C110" s="116"/>
      <c r="D110" s="116"/>
    </row>
    <row r="111" ht="15.75" customHeight="1">
      <c r="A111" s="116"/>
      <c r="B111" s="115"/>
      <c r="C111" s="116"/>
      <c r="D111" s="116"/>
    </row>
    <row r="112" ht="15.75" customHeight="1">
      <c r="A112" s="116"/>
      <c r="B112" s="115"/>
      <c r="C112" s="116"/>
      <c r="D112" s="116"/>
    </row>
    <row r="113" ht="15.75" customHeight="1">
      <c r="A113" s="116"/>
      <c r="B113" s="115"/>
      <c r="C113" s="116"/>
      <c r="D113" s="116"/>
    </row>
    <row r="114" ht="15.75" customHeight="1">
      <c r="A114" s="116"/>
      <c r="B114" s="115"/>
      <c r="C114" s="116"/>
      <c r="D114" s="116"/>
    </row>
    <row r="115" ht="15.75" customHeight="1">
      <c r="A115" s="116"/>
      <c r="B115" s="115"/>
      <c r="C115" s="116"/>
      <c r="D115" s="116"/>
    </row>
    <row r="116" ht="15.75" customHeight="1">
      <c r="A116" s="116"/>
      <c r="B116" s="115"/>
      <c r="C116" s="116"/>
      <c r="D116" s="116"/>
    </row>
    <row r="117" ht="15.75" customHeight="1">
      <c r="A117" s="116"/>
      <c r="B117" s="115"/>
      <c r="C117" s="116"/>
      <c r="D117" s="116"/>
    </row>
    <row r="118" ht="15.75" customHeight="1">
      <c r="A118" s="116"/>
      <c r="B118" s="115"/>
      <c r="C118" s="116"/>
      <c r="D118" s="116"/>
    </row>
    <row r="119" ht="15.75" customHeight="1">
      <c r="A119" s="116"/>
      <c r="B119" s="115"/>
      <c r="C119" s="116"/>
      <c r="D119" s="116"/>
    </row>
    <row r="120" ht="15.75" customHeight="1">
      <c r="A120" s="116"/>
      <c r="B120" s="115"/>
      <c r="C120" s="116"/>
      <c r="D120" s="116"/>
    </row>
    <row r="121" ht="15.75" customHeight="1">
      <c r="A121" s="116"/>
      <c r="B121" s="115"/>
      <c r="C121" s="116"/>
      <c r="D121" s="116"/>
    </row>
    <row r="122" ht="15.75" customHeight="1">
      <c r="A122" s="116"/>
      <c r="B122" s="115"/>
      <c r="C122" s="116"/>
      <c r="D122" s="116"/>
    </row>
    <row r="123" ht="15.75" customHeight="1">
      <c r="A123" s="116"/>
      <c r="B123" s="115"/>
      <c r="C123" s="116"/>
      <c r="D123" s="116"/>
    </row>
    <row r="124" ht="15.75" customHeight="1">
      <c r="A124" s="116"/>
      <c r="B124" s="115"/>
      <c r="C124" s="116"/>
      <c r="D124" s="116"/>
    </row>
    <row r="125" ht="15.75" customHeight="1">
      <c r="A125" s="116"/>
      <c r="B125" s="115"/>
      <c r="C125" s="116"/>
      <c r="D125" s="116"/>
    </row>
    <row r="126" ht="15.75" customHeight="1">
      <c r="A126" s="116"/>
      <c r="B126" s="115"/>
      <c r="C126" s="116"/>
      <c r="D126" s="116"/>
    </row>
    <row r="127" ht="15.75" customHeight="1">
      <c r="A127" s="116"/>
      <c r="B127" s="115"/>
      <c r="C127" s="116"/>
      <c r="D127" s="116"/>
    </row>
    <row r="128" ht="15.75" customHeight="1">
      <c r="A128" s="116"/>
      <c r="B128" s="115"/>
      <c r="C128" s="116"/>
      <c r="D128" s="116"/>
    </row>
    <row r="129" ht="15.75" customHeight="1">
      <c r="A129" s="116"/>
      <c r="B129" s="115"/>
      <c r="C129" s="116"/>
      <c r="D129" s="116"/>
    </row>
    <row r="130" ht="15.75" customHeight="1">
      <c r="A130" s="116"/>
      <c r="B130" s="115"/>
      <c r="C130" s="116"/>
      <c r="D130" s="116"/>
    </row>
    <row r="131" ht="15.75" customHeight="1">
      <c r="A131" s="116"/>
      <c r="B131" s="115"/>
      <c r="C131" s="116"/>
      <c r="D131" s="116"/>
    </row>
    <row r="132" ht="15.75" customHeight="1">
      <c r="A132" s="116"/>
      <c r="B132" s="115"/>
      <c r="C132" s="116"/>
      <c r="D132" s="116"/>
    </row>
    <row r="133" ht="15.75" customHeight="1">
      <c r="A133" s="116"/>
      <c r="B133" s="115"/>
      <c r="C133" s="116"/>
      <c r="D133" s="116"/>
    </row>
    <row r="134" ht="15.75" customHeight="1">
      <c r="A134" s="116"/>
      <c r="B134" s="115"/>
      <c r="C134" s="116"/>
      <c r="D134" s="116"/>
    </row>
    <row r="135" ht="15.75" customHeight="1">
      <c r="A135" s="116"/>
      <c r="B135" s="115"/>
      <c r="C135" s="116"/>
      <c r="D135" s="116"/>
    </row>
    <row r="136" ht="15.75" customHeight="1">
      <c r="A136" s="116"/>
      <c r="B136" s="115"/>
      <c r="C136" s="116"/>
      <c r="D136" s="116"/>
    </row>
    <row r="137" ht="15.75" customHeight="1">
      <c r="A137" s="116"/>
      <c r="B137" s="115"/>
      <c r="C137" s="116"/>
      <c r="D137" s="116"/>
    </row>
    <row r="138" ht="15.75" customHeight="1">
      <c r="A138" s="116"/>
      <c r="B138" s="115"/>
      <c r="C138" s="116"/>
      <c r="D138" s="116"/>
    </row>
    <row r="139" ht="15.75" customHeight="1">
      <c r="A139" s="116"/>
      <c r="B139" s="115"/>
      <c r="C139" s="116"/>
      <c r="D139" s="116"/>
    </row>
    <row r="140" ht="15.75" customHeight="1">
      <c r="A140" s="116"/>
      <c r="B140" s="115"/>
      <c r="C140" s="116"/>
      <c r="D140" s="116"/>
    </row>
    <row r="141" ht="15.75" customHeight="1">
      <c r="A141" s="116"/>
      <c r="B141" s="115"/>
      <c r="C141" s="116"/>
      <c r="D141" s="116"/>
    </row>
    <row r="142" ht="15.75" customHeight="1">
      <c r="A142" s="116"/>
      <c r="B142" s="115"/>
      <c r="C142" s="116"/>
      <c r="D142" s="116"/>
    </row>
    <row r="143" ht="15.75" customHeight="1">
      <c r="A143" s="116"/>
      <c r="B143" s="115"/>
      <c r="C143" s="116"/>
      <c r="D143" s="116"/>
    </row>
    <row r="144" ht="15.75" customHeight="1">
      <c r="A144" s="116"/>
      <c r="B144" s="115"/>
      <c r="C144" s="116"/>
      <c r="D144" s="116"/>
    </row>
    <row r="145" ht="15.75" customHeight="1">
      <c r="A145" s="116"/>
      <c r="B145" s="115"/>
      <c r="C145" s="116"/>
      <c r="D145" s="116"/>
    </row>
    <row r="146" ht="15.75" customHeight="1">
      <c r="A146" s="116"/>
      <c r="B146" s="115"/>
      <c r="C146" s="116"/>
      <c r="D146" s="116"/>
    </row>
    <row r="147" ht="15.75" customHeight="1">
      <c r="A147" s="116"/>
      <c r="B147" s="115"/>
      <c r="C147" s="116"/>
      <c r="D147" s="116"/>
    </row>
    <row r="148" ht="15.75" customHeight="1">
      <c r="A148" s="116"/>
      <c r="B148" s="115"/>
      <c r="C148" s="116"/>
      <c r="D148" s="116"/>
    </row>
    <row r="149" ht="15.75" customHeight="1">
      <c r="A149" s="116"/>
      <c r="B149" s="115"/>
      <c r="C149" s="116"/>
      <c r="D149" s="116"/>
    </row>
    <row r="150" ht="15.75" customHeight="1">
      <c r="A150" s="116"/>
      <c r="B150" s="115"/>
      <c r="C150" s="116"/>
      <c r="D150" s="116"/>
    </row>
    <row r="151" ht="15.75" customHeight="1">
      <c r="A151" s="116"/>
      <c r="B151" s="115"/>
      <c r="C151" s="116"/>
      <c r="D151" s="116"/>
    </row>
    <row r="152" ht="15.75" customHeight="1">
      <c r="A152" s="116"/>
      <c r="B152" s="115"/>
      <c r="C152" s="116"/>
      <c r="D152" s="116"/>
    </row>
    <row r="153" ht="15.75" customHeight="1">
      <c r="A153" s="116"/>
      <c r="B153" s="115"/>
      <c r="C153" s="116"/>
      <c r="D153" s="116"/>
    </row>
    <row r="154" ht="15.75" customHeight="1">
      <c r="A154" s="116"/>
      <c r="B154" s="115"/>
      <c r="C154" s="116"/>
      <c r="D154" s="116"/>
    </row>
    <row r="155" ht="15.75" customHeight="1">
      <c r="A155" s="116"/>
      <c r="B155" s="115"/>
      <c r="C155" s="116"/>
      <c r="D155" s="116"/>
    </row>
    <row r="156" ht="15.75" customHeight="1">
      <c r="A156" s="116"/>
      <c r="B156" s="115"/>
      <c r="C156" s="116"/>
      <c r="D156" s="116"/>
    </row>
    <row r="157" ht="15.75" customHeight="1">
      <c r="A157" s="116"/>
      <c r="B157" s="115"/>
      <c r="C157" s="116"/>
      <c r="D157" s="116"/>
    </row>
    <row r="158" ht="15.75" customHeight="1">
      <c r="A158" s="116"/>
      <c r="B158" s="115"/>
      <c r="C158" s="116"/>
      <c r="D158" s="116"/>
    </row>
    <row r="159" ht="15.75" customHeight="1">
      <c r="A159" s="116"/>
      <c r="B159" s="115"/>
      <c r="C159" s="116"/>
      <c r="D159" s="116"/>
    </row>
    <row r="160" ht="15.75" customHeight="1">
      <c r="A160" s="116"/>
      <c r="B160" s="115"/>
      <c r="C160" s="116"/>
      <c r="D160" s="116"/>
    </row>
    <row r="161" ht="15.75" customHeight="1">
      <c r="A161" s="116"/>
      <c r="B161" s="115"/>
      <c r="C161" s="116"/>
      <c r="D161" s="116"/>
    </row>
    <row r="162" ht="15.75" customHeight="1">
      <c r="A162" s="116"/>
      <c r="B162" s="115"/>
      <c r="C162" s="116"/>
      <c r="D162" s="116"/>
    </row>
    <row r="163" ht="15.75" customHeight="1">
      <c r="A163" s="116"/>
      <c r="B163" s="115"/>
      <c r="C163" s="116"/>
      <c r="D163" s="116"/>
    </row>
    <row r="164" ht="15.75" customHeight="1">
      <c r="A164" s="116"/>
      <c r="B164" s="115"/>
      <c r="C164" s="116"/>
      <c r="D164" s="116"/>
    </row>
    <row r="165" ht="15.75" customHeight="1">
      <c r="A165" s="116"/>
      <c r="B165" s="115"/>
      <c r="C165" s="116"/>
      <c r="D165" s="116"/>
    </row>
    <row r="166" ht="15.75" customHeight="1">
      <c r="A166" s="116"/>
      <c r="B166" s="115"/>
      <c r="C166" s="116"/>
      <c r="D166" s="116"/>
    </row>
    <row r="167" ht="15.75" customHeight="1">
      <c r="A167" s="116"/>
      <c r="B167" s="115"/>
      <c r="C167" s="116"/>
      <c r="D167" s="116"/>
    </row>
    <row r="168" ht="15.75" customHeight="1">
      <c r="A168" s="116"/>
      <c r="B168" s="115"/>
      <c r="C168" s="116"/>
      <c r="D168" s="116"/>
    </row>
    <row r="169" ht="15.75" customHeight="1">
      <c r="A169" s="116"/>
      <c r="B169" s="115"/>
      <c r="C169" s="116"/>
      <c r="D169" s="116"/>
    </row>
    <row r="170" ht="15.75" customHeight="1">
      <c r="A170" s="116"/>
      <c r="B170" s="115"/>
      <c r="C170" s="116"/>
      <c r="D170" s="116"/>
    </row>
    <row r="171" ht="15.75" customHeight="1">
      <c r="A171" s="116"/>
      <c r="B171" s="115"/>
      <c r="C171" s="116"/>
      <c r="D171" s="116"/>
    </row>
    <row r="172" ht="15.75" customHeight="1">
      <c r="A172" s="116"/>
      <c r="B172" s="115"/>
      <c r="C172" s="116"/>
      <c r="D172" s="116"/>
    </row>
    <row r="173" ht="15.75" customHeight="1">
      <c r="A173" s="116"/>
      <c r="B173" s="115"/>
      <c r="C173" s="116"/>
      <c r="D173" s="116"/>
    </row>
    <row r="174" ht="15.75" customHeight="1">
      <c r="A174" s="116"/>
      <c r="B174" s="115"/>
      <c r="C174" s="116"/>
      <c r="D174" s="116"/>
    </row>
    <row r="175" ht="15.75" customHeight="1">
      <c r="A175" s="116"/>
      <c r="B175" s="115"/>
      <c r="C175" s="116"/>
      <c r="D175" s="116"/>
    </row>
    <row r="176" ht="15.75" customHeight="1">
      <c r="A176" s="116"/>
      <c r="B176" s="115"/>
      <c r="C176" s="116"/>
      <c r="D176" s="116"/>
    </row>
    <row r="177" ht="15.75" customHeight="1">
      <c r="A177" s="116"/>
      <c r="B177" s="115"/>
      <c r="C177" s="116"/>
      <c r="D177" s="116"/>
    </row>
    <row r="178" ht="15.75" customHeight="1">
      <c r="A178" s="116"/>
      <c r="B178" s="115"/>
      <c r="C178" s="116"/>
      <c r="D178" s="116"/>
    </row>
    <row r="179" ht="15.75" customHeight="1">
      <c r="A179" s="116"/>
      <c r="B179" s="115"/>
      <c r="C179" s="116"/>
      <c r="D179" s="116"/>
    </row>
    <row r="180" ht="15.75" customHeight="1">
      <c r="A180" s="116"/>
      <c r="B180" s="115"/>
      <c r="C180" s="116"/>
      <c r="D180" s="116"/>
    </row>
    <row r="181" ht="15.75" customHeight="1">
      <c r="A181" s="116"/>
      <c r="B181" s="115"/>
      <c r="C181" s="116"/>
      <c r="D181" s="116"/>
    </row>
    <row r="182" ht="15.75" customHeight="1">
      <c r="A182" s="116"/>
      <c r="B182" s="115"/>
      <c r="C182" s="116"/>
      <c r="D182" s="116"/>
    </row>
    <row r="183" ht="15.75" customHeight="1">
      <c r="A183" s="116"/>
      <c r="B183" s="115"/>
      <c r="C183" s="116"/>
      <c r="D183" s="116"/>
    </row>
    <row r="184" ht="15.75" customHeight="1">
      <c r="A184" s="116"/>
      <c r="B184" s="115"/>
      <c r="C184" s="116"/>
      <c r="D184" s="116"/>
    </row>
    <row r="185" ht="15.75" customHeight="1">
      <c r="A185" s="116"/>
      <c r="B185" s="115"/>
      <c r="C185" s="116"/>
      <c r="D185" s="116"/>
    </row>
    <row r="186" ht="15.75" customHeight="1">
      <c r="A186" s="116"/>
      <c r="B186" s="115"/>
      <c r="C186" s="116"/>
      <c r="D186" s="116"/>
    </row>
    <row r="187" ht="15.75" customHeight="1">
      <c r="A187" s="116"/>
      <c r="B187" s="115"/>
      <c r="C187" s="116"/>
      <c r="D187" s="116"/>
    </row>
    <row r="188" ht="15.75" customHeight="1">
      <c r="A188" s="116"/>
      <c r="B188" s="115"/>
      <c r="C188" s="116"/>
      <c r="D188" s="116"/>
    </row>
    <row r="189" ht="15.75" customHeight="1">
      <c r="A189" s="116"/>
      <c r="B189" s="115"/>
      <c r="C189" s="116"/>
      <c r="D189" s="116"/>
    </row>
    <row r="190" ht="15.75" customHeight="1">
      <c r="A190" s="116"/>
      <c r="B190" s="115"/>
      <c r="C190" s="116"/>
      <c r="D190" s="116"/>
    </row>
    <row r="191" ht="15.75" customHeight="1">
      <c r="A191" s="116"/>
      <c r="B191" s="115"/>
      <c r="C191" s="116"/>
      <c r="D191" s="116"/>
    </row>
    <row r="192" ht="15.75" customHeight="1">
      <c r="A192" s="116"/>
      <c r="B192" s="115"/>
      <c r="C192" s="116"/>
      <c r="D192" s="116"/>
    </row>
    <row r="193" ht="15.75" customHeight="1">
      <c r="A193" s="116"/>
      <c r="B193" s="115"/>
      <c r="C193" s="116"/>
      <c r="D193" s="116"/>
    </row>
    <row r="194" ht="15.75" customHeight="1">
      <c r="A194" s="116"/>
      <c r="B194" s="115"/>
      <c r="C194" s="116"/>
      <c r="D194" s="116"/>
    </row>
    <row r="195" ht="15.75" customHeight="1">
      <c r="A195" s="116"/>
      <c r="B195" s="115"/>
      <c r="C195" s="116"/>
      <c r="D195" s="116"/>
    </row>
    <row r="196" ht="15.75" customHeight="1">
      <c r="A196" s="116"/>
      <c r="B196" s="115"/>
      <c r="C196" s="116"/>
      <c r="D196" s="116"/>
    </row>
    <row r="197" ht="15.75" customHeight="1">
      <c r="A197" s="116"/>
      <c r="B197" s="115"/>
      <c r="C197" s="116"/>
      <c r="D197" s="116"/>
    </row>
    <row r="198" ht="15.75" customHeight="1">
      <c r="A198" s="116"/>
      <c r="B198" s="115"/>
      <c r="C198" s="116"/>
      <c r="D198" s="116"/>
    </row>
    <row r="199" ht="15.75" customHeight="1">
      <c r="A199" s="116"/>
      <c r="B199" s="115"/>
      <c r="C199" s="116"/>
      <c r="D199" s="116"/>
    </row>
    <row r="200" ht="15.75" customHeight="1">
      <c r="A200" s="116"/>
      <c r="B200" s="115"/>
      <c r="C200" s="116"/>
      <c r="D200" s="116"/>
    </row>
    <row r="201" ht="15.75" customHeight="1">
      <c r="A201" s="116"/>
      <c r="B201" s="115"/>
      <c r="C201" s="116"/>
      <c r="D201" s="116"/>
    </row>
    <row r="202" ht="15.75" customHeight="1">
      <c r="A202" s="116"/>
      <c r="B202" s="115"/>
      <c r="C202" s="116"/>
      <c r="D202" s="116"/>
    </row>
    <row r="203" ht="15.75" customHeight="1">
      <c r="A203" s="116"/>
      <c r="B203" s="115"/>
      <c r="C203" s="116"/>
      <c r="D203" s="116"/>
    </row>
    <row r="204" ht="15.75" customHeight="1">
      <c r="A204" s="116"/>
      <c r="B204" s="115"/>
      <c r="C204" s="116"/>
      <c r="D204" s="116"/>
    </row>
    <row r="205" ht="15.75" customHeight="1">
      <c r="A205" s="116"/>
      <c r="B205" s="115"/>
      <c r="C205" s="116"/>
      <c r="D205" s="116"/>
    </row>
    <row r="206" ht="15.75" customHeight="1">
      <c r="A206" s="116"/>
      <c r="B206" s="115"/>
      <c r="C206" s="116"/>
      <c r="D206" s="116"/>
    </row>
    <row r="207" ht="15.75" customHeight="1">
      <c r="A207" s="116"/>
      <c r="B207" s="115"/>
      <c r="C207" s="116"/>
      <c r="D207" s="116"/>
    </row>
    <row r="208" ht="15.75" customHeight="1">
      <c r="A208" s="116"/>
      <c r="B208" s="115"/>
      <c r="C208" s="116"/>
      <c r="D208" s="116"/>
    </row>
    <row r="209" ht="15.75" customHeight="1">
      <c r="A209" s="116"/>
      <c r="B209" s="115"/>
      <c r="C209" s="116"/>
      <c r="D209" s="116"/>
    </row>
    <row r="210" ht="15.75" customHeight="1">
      <c r="A210" s="116"/>
      <c r="B210" s="115"/>
      <c r="C210" s="116"/>
      <c r="D210" s="116"/>
    </row>
    <row r="211" ht="15.75" customHeight="1">
      <c r="A211" s="116"/>
      <c r="B211" s="115"/>
      <c r="C211" s="116"/>
      <c r="D211" s="116"/>
    </row>
    <row r="212" ht="15.75" customHeight="1">
      <c r="A212" s="116"/>
      <c r="B212" s="115"/>
      <c r="C212" s="116"/>
      <c r="D212" s="116"/>
    </row>
    <row r="213" ht="15.75" customHeight="1">
      <c r="A213" s="116"/>
      <c r="B213" s="115"/>
      <c r="C213" s="116"/>
      <c r="D213" s="116"/>
    </row>
    <row r="214" ht="15.75" customHeight="1">
      <c r="A214" s="116"/>
      <c r="B214" s="115"/>
      <c r="C214" s="116"/>
      <c r="D214" s="116"/>
    </row>
    <row r="215" ht="15.75" customHeight="1">
      <c r="A215" s="116"/>
      <c r="B215" s="115"/>
      <c r="C215" s="116"/>
      <c r="D215" s="116"/>
    </row>
    <row r="216" ht="15.75" customHeight="1">
      <c r="A216" s="116"/>
      <c r="B216" s="115"/>
      <c r="C216" s="116"/>
      <c r="D216" s="116"/>
    </row>
    <row r="217" ht="15.75" customHeight="1">
      <c r="A217" s="116"/>
      <c r="B217" s="115"/>
      <c r="C217" s="116"/>
      <c r="D217" s="116"/>
    </row>
    <row r="218" ht="15.75" customHeight="1">
      <c r="A218" s="116"/>
      <c r="B218" s="115"/>
      <c r="C218" s="116"/>
      <c r="D218" s="116"/>
    </row>
    <row r="219" ht="15.75" customHeight="1">
      <c r="A219" s="116"/>
      <c r="B219" s="115"/>
      <c r="C219" s="116"/>
      <c r="D219" s="116"/>
    </row>
    <row r="220" ht="15.75" customHeight="1">
      <c r="A220" s="116"/>
      <c r="B220" s="115"/>
      <c r="C220" s="116"/>
      <c r="D220" s="116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0"/>
    <col customWidth="1" min="2" max="6" width="12.63"/>
  </cols>
  <sheetData>
    <row r="1" ht="15.75" customHeight="1">
      <c r="A1" s="60" t="s">
        <v>391</v>
      </c>
      <c r="B1" s="119" t="s">
        <v>362</v>
      </c>
      <c r="C1" s="60" t="s">
        <v>392</v>
      </c>
      <c r="D1" s="60" t="s">
        <v>367</v>
      </c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</row>
    <row r="2" ht="15.75" customHeight="1">
      <c r="A2" s="71">
        <v>1.0</v>
      </c>
      <c r="B2" s="113" t="s">
        <v>373</v>
      </c>
      <c r="C2" s="71">
        <v>1.0695616716296129E8</v>
      </c>
      <c r="D2" s="71">
        <v>1.3365129200892639E8</v>
      </c>
    </row>
    <row r="3" ht="15.75" customHeight="1">
      <c r="A3" s="71">
        <v>2.0</v>
      </c>
      <c r="B3" s="113" t="s">
        <v>48</v>
      </c>
      <c r="C3" s="71">
        <v>7.77759553322962E8</v>
      </c>
      <c r="D3" s="71">
        <v>8.957940545089798E8</v>
      </c>
    </row>
    <row r="4" ht="15.75" customHeight="1">
      <c r="A4" s="71">
        <v>3.0</v>
      </c>
      <c r="B4" s="113" t="s">
        <v>377</v>
      </c>
      <c r="C4" s="71">
        <v>5.204235610049514E8</v>
      </c>
      <c r="D4" s="71">
        <v>6.437975645336609E8</v>
      </c>
    </row>
    <row r="5" ht="15.75" customHeight="1">
      <c r="A5" s="71">
        <v>4.0</v>
      </c>
      <c r="B5" s="113" t="s">
        <v>183</v>
      </c>
      <c r="C5" s="71">
        <v>9.875113100382791E7</v>
      </c>
      <c r="D5" s="71">
        <v>1.1201565700138092E8</v>
      </c>
    </row>
    <row r="6" ht="15.75" customHeight="1">
      <c r="A6" s="71">
        <v>5.0</v>
      </c>
      <c r="B6" s="113" t="s">
        <v>218</v>
      </c>
      <c r="C6" s="71">
        <v>8.812214307302777E7</v>
      </c>
      <c r="D6" s="71">
        <v>1.1212715450502014E8</v>
      </c>
    </row>
    <row r="7" ht="15.75" customHeight="1">
      <c r="A7" s="71">
        <v>6.0</v>
      </c>
      <c r="B7" s="113" t="s">
        <v>260</v>
      </c>
      <c r="C7" s="71">
        <v>1.43097904975645E8</v>
      </c>
      <c r="D7" s="71">
        <v>1.7558867900317383E8</v>
      </c>
    </row>
    <row r="8" ht="15.75" customHeight="1">
      <c r="A8" s="71">
        <v>7.0</v>
      </c>
      <c r="B8" s="113" t="s">
        <v>387</v>
      </c>
      <c r="C8" s="71">
        <v>1.359217794952056E9</v>
      </c>
      <c r="D8" s="71">
        <v>1.706772251016159E9</v>
      </c>
    </row>
    <row r="9" ht="15.75" customHeight="1">
      <c r="A9" s="71">
        <v>8.0</v>
      </c>
      <c r="B9" s="113" t="s">
        <v>374</v>
      </c>
      <c r="C9" s="71">
        <v>1.1046387901405314E8</v>
      </c>
      <c r="D9" s="71">
        <v>2.0476679399804688E8</v>
      </c>
    </row>
    <row r="10" ht="15.75" customHeight="1">
      <c r="A10" s="71">
        <v>9.0</v>
      </c>
      <c r="B10" s="113" t="s">
        <v>384</v>
      </c>
      <c r="C10" s="71">
        <v>2.8580975526221924E7</v>
      </c>
      <c r="D10" s="71">
        <v>4.856407400265503E7</v>
      </c>
    </row>
    <row r="11" ht="15.75" customHeight="1">
      <c r="A11" s="71">
        <v>10.0</v>
      </c>
      <c r="B11" s="113" t="s">
        <v>380</v>
      </c>
      <c r="C11" s="71">
        <v>1.5318677331370862E7</v>
      </c>
      <c r="D11" s="71">
        <v>1.8920485333658855E7</v>
      </c>
    </row>
    <row r="12" ht="15.75" customHeight="1">
      <c r="A12" s="71">
        <v>11.0</v>
      </c>
      <c r="B12" s="113" t="s">
        <v>376</v>
      </c>
      <c r="C12" s="71">
        <v>3.233373110035706E9</v>
      </c>
      <c r="D12" s="71">
        <v>4.033077520578003E9</v>
      </c>
    </row>
    <row r="13" ht="15.75" customHeight="1">
      <c r="A13" s="116"/>
      <c r="B13" s="115"/>
      <c r="C13" s="116"/>
      <c r="D13" s="116"/>
    </row>
    <row r="14" ht="15.75" customHeight="1">
      <c r="A14" s="116"/>
      <c r="B14" s="115"/>
      <c r="C14" s="116"/>
      <c r="D14" s="116"/>
    </row>
    <row r="15" ht="15.75" customHeight="1">
      <c r="A15" s="116"/>
      <c r="B15" s="115"/>
      <c r="C15" s="116"/>
      <c r="D15" s="116"/>
    </row>
    <row r="16" ht="15.75" customHeight="1">
      <c r="A16" s="116"/>
      <c r="B16" s="115"/>
      <c r="C16" s="116"/>
      <c r="D16" s="116"/>
    </row>
    <row r="17" ht="15.75" customHeight="1">
      <c r="A17" s="116"/>
      <c r="B17" s="115"/>
      <c r="C17" s="116"/>
      <c r="D17" s="116"/>
    </row>
    <row r="18" ht="15.75" customHeight="1">
      <c r="A18" s="116"/>
      <c r="B18" s="115"/>
      <c r="C18" s="116"/>
      <c r="D18" s="116"/>
    </row>
    <row r="19" ht="15.75" customHeight="1">
      <c r="A19" s="116"/>
      <c r="B19" s="115"/>
      <c r="C19" s="116"/>
      <c r="D19" s="116"/>
    </row>
    <row r="20" ht="15.75" customHeight="1">
      <c r="A20" s="116"/>
      <c r="B20" s="115"/>
      <c r="C20" s="116"/>
      <c r="D20" s="116"/>
    </row>
    <row r="21" ht="15.75" customHeight="1">
      <c r="A21" s="116"/>
      <c r="B21" s="115"/>
      <c r="C21" s="116"/>
      <c r="D21" s="116"/>
    </row>
    <row r="22" ht="15.75" customHeight="1">
      <c r="A22" s="116"/>
      <c r="B22" s="115"/>
      <c r="C22" s="116"/>
      <c r="D22" s="116"/>
    </row>
    <row r="23" ht="15.75" customHeight="1">
      <c r="A23" s="116"/>
      <c r="B23" s="115"/>
      <c r="C23" s="116"/>
      <c r="D23" s="116"/>
    </row>
    <row r="24" ht="15.75" customHeight="1">
      <c r="A24" s="116"/>
      <c r="B24" s="115"/>
      <c r="C24" s="116"/>
      <c r="D24" s="116"/>
    </row>
    <row r="25" ht="15.75" customHeight="1">
      <c r="A25" s="116"/>
      <c r="B25" s="115"/>
      <c r="C25" s="116"/>
      <c r="D25" s="116"/>
    </row>
    <row r="26" ht="15.75" customHeight="1">
      <c r="A26" s="116"/>
      <c r="B26" s="115"/>
      <c r="C26" s="116"/>
      <c r="D26" s="116"/>
    </row>
    <row r="27" ht="15.75" customHeight="1">
      <c r="A27" s="116"/>
      <c r="B27" s="115"/>
      <c r="C27" s="116"/>
      <c r="D27" s="116"/>
    </row>
    <row r="28" ht="15.75" customHeight="1">
      <c r="A28" s="116"/>
      <c r="B28" s="115"/>
      <c r="C28" s="116"/>
      <c r="D28" s="116"/>
    </row>
    <row r="29" ht="15.75" customHeight="1">
      <c r="A29" s="116"/>
      <c r="B29" s="115"/>
      <c r="C29" s="116"/>
      <c r="D29" s="116"/>
    </row>
    <row r="30" ht="15.75" customHeight="1">
      <c r="A30" s="116"/>
      <c r="B30" s="115"/>
      <c r="C30" s="116"/>
      <c r="D30" s="116"/>
    </row>
    <row r="31" ht="15.75" customHeight="1">
      <c r="A31" s="116"/>
      <c r="B31" s="115"/>
      <c r="C31" s="116"/>
      <c r="D31" s="116"/>
    </row>
    <row r="32" ht="15.75" customHeight="1">
      <c r="A32" s="116"/>
      <c r="B32" s="115"/>
      <c r="C32" s="116"/>
      <c r="D32" s="116"/>
    </row>
    <row r="33" ht="15.75" customHeight="1">
      <c r="A33" s="116"/>
      <c r="B33" s="115"/>
      <c r="C33" s="116"/>
      <c r="D33" s="116"/>
    </row>
    <row r="34" ht="15.75" customHeight="1">
      <c r="A34" s="116"/>
      <c r="B34" s="115"/>
      <c r="C34" s="116"/>
      <c r="D34" s="116"/>
    </row>
    <row r="35" ht="15.75" customHeight="1">
      <c r="A35" s="116"/>
      <c r="B35" s="115"/>
      <c r="C35" s="116"/>
      <c r="D35" s="116"/>
    </row>
    <row r="36" ht="15.75" customHeight="1">
      <c r="A36" s="116"/>
      <c r="B36" s="115"/>
      <c r="C36" s="116"/>
      <c r="D36" s="116"/>
    </row>
    <row r="37" ht="15.75" customHeight="1">
      <c r="A37" s="116"/>
      <c r="B37" s="115"/>
      <c r="C37" s="116"/>
      <c r="D37" s="116"/>
    </row>
    <row r="38" ht="15.75" customHeight="1">
      <c r="A38" s="116"/>
      <c r="B38" s="115"/>
      <c r="C38" s="116"/>
      <c r="D38" s="116"/>
    </row>
    <row r="39" ht="15.75" customHeight="1">
      <c r="A39" s="116"/>
      <c r="B39" s="115"/>
      <c r="C39" s="116"/>
      <c r="D39" s="116"/>
    </row>
    <row r="40" ht="15.75" customHeight="1">
      <c r="A40" s="116"/>
      <c r="B40" s="115"/>
      <c r="C40" s="116"/>
      <c r="D40" s="116"/>
    </row>
    <row r="41" ht="15.75" customHeight="1">
      <c r="A41" s="116"/>
      <c r="B41" s="115"/>
      <c r="C41" s="116"/>
      <c r="D41" s="116"/>
    </row>
    <row r="42" ht="15.75" customHeight="1">
      <c r="A42" s="116"/>
      <c r="B42" s="115"/>
      <c r="C42" s="116"/>
      <c r="D42" s="116"/>
    </row>
    <row r="43" ht="15.75" customHeight="1">
      <c r="A43" s="116"/>
      <c r="B43" s="115"/>
      <c r="C43" s="116"/>
      <c r="D43" s="116"/>
    </row>
    <row r="44" ht="15.75" customHeight="1">
      <c r="A44" s="116"/>
      <c r="B44" s="115"/>
      <c r="C44" s="116"/>
      <c r="D44" s="116"/>
    </row>
    <row r="45" ht="15.75" customHeight="1">
      <c r="A45" s="116"/>
      <c r="B45" s="115"/>
      <c r="C45" s="116"/>
      <c r="D45" s="116"/>
    </row>
    <row r="46" ht="15.75" customHeight="1">
      <c r="A46" s="116"/>
      <c r="B46" s="115"/>
      <c r="C46" s="116"/>
      <c r="D46" s="116"/>
    </row>
    <row r="47" ht="15.75" customHeight="1">
      <c r="A47" s="116"/>
      <c r="B47" s="115"/>
      <c r="C47" s="116"/>
      <c r="D47" s="116"/>
    </row>
    <row r="48" ht="15.75" customHeight="1">
      <c r="A48" s="116"/>
      <c r="B48" s="115"/>
      <c r="C48" s="116"/>
      <c r="D48" s="116"/>
    </row>
    <row r="49" ht="15.75" customHeight="1">
      <c r="A49" s="116"/>
      <c r="B49" s="115"/>
      <c r="C49" s="116"/>
      <c r="D49" s="116"/>
    </row>
    <row r="50" ht="15.75" customHeight="1">
      <c r="A50" s="116"/>
      <c r="B50" s="115"/>
      <c r="C50" s="116"/>
      <c r="D50" s="116"/>
    </row>
    <row r="51" ht="15.75" customHeight="1">
      <c r="A51" s="116"/>
      <c r="B51" s="115"/>
      <c r="C51" s="116"/>
      <c r="D51" s="116"/>
    </row>
    <row r="52" ht="15.75" customHeight="1">
      <c r="A52" s="116"/>
      <c r="B52" s="115"/>
      <c r="C52" s="116"/>
      <c r="D52" s="116"/>
    </row>
    <row r="53" ht="15.75" customHeight="1">
      <c r="A53" s="116"/>
      <c r="B53" s="115"/>
      <c r="C53" s="116"/>
      <c r="D53" s="116"/>
    </row>
    <row r="54" ht="15.75" customHeight="1">
      <c r="A54" s="116"/>
      <c r="B54" s="115"/>
      <c r="C54" s="116"/>
      <c r="D54" s="116"/>
    </row>
    <row r="55" ht="15.75" customHeight="1">
      <c r="A55" s="116"/>
      <c r="B55" s="115"/>
      <c r="C55" s="116"/>
      <c r="D55" s="116"/>
    </row>
    <row r="56" ht="15.75" customHeight="1">
      <c r="A56" s="116"/>
      <c r="B56" s="115"/>
      <c r="C56" s="116"/>
      <c r="D56" s="116"/>
    </row>
    <row r="57" ht="15.75" customHeight="1">
      <c r="A57" s="116"/>
      <c r="B57" s="115"/>
      <c r="C57" s="116"/>
      <c r="D57" s="116"/>
    </row>
    <row r="58" ht="15.75" customHeight="1">
      <c r="A58" s="116"/>
      <c r="B58" s="115"/>
      <c r="C58" s="116"/>
      <c r="D58" s="116"/>
    </row>
    <row r="59" ht="15.75" customHeight="1">
      <c r="A59" s="116"/>
      <c r="B59" s="115"/>
      <c r="C59" s="116"/>
      <c r="D59" s="116"/>
    </row>
    <row r="60" ht="15.75" customHeight="1">
      <c r="A60" s="116"/>
      <c r="B60" s="115"/>
      <c r="C60" s="116"/>
      <c r="D60" s="116"/>
    </row>
    <row r="61" ht="15.75" customHeight="1">
      <c r="A61" s="116"/>
      <c r="B61" s="115"/>
      <c r="C61" s="116"/>
      <c r="D61" s="116"/>
    </row>
    <row r="62" ht="15.75" customHeight="1">
      <c r="A62" s="116"/>
      <c r="B62" s="115"/>
      <c r="C62" s="116"/>
      <c r="D62" s="116"/>
    </row>
    <row r="63" ht="15.75" customHeight="1">
      <c r="A63" s="116"/>
      <c r="B63" s="115"/>
      <c r="C63" s="116"/>
      <c r="D63" s="116"/>
    </row>
    <row r="64" ht="15.75" customHeight="1">
      <c r="A64" s="116"/>
      <c r="B64" s="115"/>
      <c r="C64" s="116"/>
      <c r="D64" s="116"/>
    </row>
    <row r="65" ht="15.75" customHeight="1">
      <c r="A65" s="116"/>
      <c r="B65" s="115"/>
      <c r="C65" s="116"/>
      <c r="D65" s="116"/>
    </row>
    <row r="66" ht="15.75" customHeight="1">
      <c r="A66" s="116"/>
      <c r="B66" s="115"/>
      <c r="C66" s="116"/>
      <c r="D66" s="116"/>
    </row>
    <row r="67" ht="15.75" customHeight="1">
      <c r="A67" s="116"/>
      <c r="B67" s="115"/>
      <c r="C67" s="116"/>
      <c r="D67" s="116"/>
    </row>
    <row r="68" ht="15.75" customHeight="1">
      <c r="A68" s="116"/>
      <c r="B68" s="115"/>
      <c r="C68" s="116"/>
      <c r="D68" s="116"/>
    </row>
    <row r="69" ht="15.75" customHeight="1">
      <c r="A69" s="116"/>
      <c r="B69" s="115"/>
      <c r="C69" s="116"/>
      <c r="D69" s="116"/>
    </row>
    <row r="70" ht="15.75" customHeight="1">
      <c r="A70" s="116"/>
      <c r="B70" s="115"/>
      <c r="C70" s="116"/>
      <c r="D70" s="116"/>
    </row>
    <row r="71" ht="15.75" customHeight="1">
      <c r="A71" s="116"/>
      <c r="B71" s="115"/>
      <c r="C71" s="116"/>
      <c r="D71" s="116"/>
    </row>
    <row r="72" ht="15.75" customHeight="1">
      <c r="A72" s="116"/>
      <c r="B72" s="115"/>
      <c r="C72" s="116"/>
      <c r="D72" s="116"/>
    </row>
    <row r="73" ht="15.75" customHeight="1">
      <c r="A73" s="116"/>
      <c r="B73" s="115"/>
      <c r="C73" s="116"/>
      <c r="D73" s="116"/>
    </row>
    <row r="74" ht="15.75" customHeight="1">
      <c r="A74" s="116"/>
      <c r="B74" s="115"/>
      <c r="C74" s="116"/>
      <c r="D74" s="116"/>
    </row>
    <row r="75" ht="15.75" customHeight="1">
      <c r="A75" s="116"/>
      <c r="B75" s="115"/>
      <c r="C75" s="116"/>
      <c r="D75" s="116"/>
    </row>
    <row r="76" ht="15.75" customHeight="1">
      <c r="A76" s="116"/>
      <c r="B76" s="115"/>
      <c r="C76" s="116"/>
      <c r="D76" s="116"/>
    </row>
    <row r="77" ht="15.75" customHeight="1">
      <c r="A77" s="116"/>
      <c r="B77" s="115"/>
      <c r="C77" s="116"/>
      <c r="D77" s="116"/>
    </row>
    <row r="78" ht="15.75" customHeight="1">
      <c r="A78" s="116"/>
      <c r="B78" s="115"/>
      <c r="C78" s="116"/>
      <c r="D78" s="116"/>
    </row>
    <row r="79" ht="15.75" customHeight="1">
      <c r="A79" s="116"/>
      <c r="B79" s="115"/>
      <c r="C79" s="116"/>
      <c r="D79" s="116"/>
    </row>
    <row r="80" ht="15.75" customHeight="1">
      <c r="A80" s="116"/>
      <c r="B80" s="115"/>
      <c r="C80" s="116"/>
      <c r="D80" s="116"/>
    </row>
    <row r="81" ht="15.75" customHeight="1">
      <c r="A81" s="116"/>
      <c r="B81" s="115"/>
      <c r="C81" s="116"/>
      <c r="D81" s="116"/>
    </row>
    <row r="82" ht="15.75" customHeight="1">
      <c r="A82" s="116"/>
      <c r="B82" s="115"/>
      <c r="C82" s="116"/>
      <c r="D82" s="116"/>
    </row>
    <row r="83" ht="15.75" customHeight="1">
      <c r="A83" s="116"/>
      <c r="B83" s="115"/>
      <c r="C83" s="116"/>
      <c r="D83" s="116"/>
    </row>
    <row r="84" ht="15.75" customHeight="1">
      <c r="A84" s="116"/>
      <c r="B84" s="115"/>
      <c r="C84" s="116"/>
      <c r="D84" s="116"/>
    </row>
    <row r="85" ht="15.75" customHeight="1">
      <c r="A85" s="116"/>
      <c r="B85" s="115"/>
      <c r="C85" s="116"/>
      <c r="D85" s="116"/>
    </row>
    <row r="86" ht="15.75" customHeight="1">
      <c r="A86" s="116"/>
      <c r="B86" s="115"/>
      <c r="C86" s="116"/>
      <c r="D86" s="116"/>
    </row>
    <row r="87" ht="15.75" customHeight="1">
      <c r="A87" s="116"/>
      <c r="B87" s="115"/>
      <c r="C87" s="116"/>
      <c r="D87" s="116"/>
    </row>
    <row r="88" ht="15.75" customHeight="1">
      <c r="A88" s="116"/>
      <c r="B88" s="115"/>
      <c r="C88" s="116"/>
      <c r="D88" s="116"/>
    </row>
    <row r="89" ht="15.75" customHeight="1">
      <c r="A89" s="116"/>
      <c r="B89" s="115"/>
      <c r="C89" s="116"/>
      <c r="D89" s="116"/>
    </row>
    <row r="90" ht="15.75" customHeight="1">
      <c r="A90" s="116"/>
      <c r="B90" s="115"/>
      <c r="C90" s="116"/>
      <c r="D90" s="116"/>
    </row>
    <row r="91" ht="15.75" customHeight="1">
      <c r="A91" s="116"/>
      <c r="B91" s="115"/>
      <c r="C91" s="116"/>
      <c r="D91" s="116"/>
    </row>
    <row r="92" ht="15.75" customHeight="1">
      <c r="A92" s="116"/>
      <c r="B92" s="115"/>
      <c r="C92" s="116"/>
      <c r="D92" s="116"/>
    </row>
    <row r="93" ht="15.75" customHeight="1">
      <c r="A93" s="116"/>
      <c r="B93" s="115"/>
      <c r="C93" s="116"/>
      <c r="D93" s="116"/>
    </row>
    <row r="94" ht="15.75" customHeight="1">
      <c r="A94" s="116"/>
      <c r="B94" s="115"/>
      <c r="C94" s="116"/>
      <c r="D94" s="116"/>
    </row>
    <row r="95" ht="15.75" customHeight="1">
      <c r="A95" s="116"/>
      <c r="B95" s="115"/>
      <c r="C95" s="116"/>
      <c r="D95" s="116"/>
    </row>
    <row r="96" ht="15.75" customHeight="1">
      <c r="A96" s="116"/>
      <c r="B96" s="115"/>
      <c r="C96" s="116"/>
      <c r="D96" s="116"/>
    </row>
    <row r="97" ht="15.75" customHeight="1">
      <c r="A97" s="116"/>
      <c r="B97" s="115"/>
      <c r="C97" s="116"/>
      <c r="D97" s="116"/>
    </row>
    <row r="98" ht="15.75" customHeight="1">
      <c r="A98" s="116"/>
      <c r="B98" s="115"/>
      <c r="C98" s="116"/>
      <c r="D98" s="116"/>
    </row>
    <row r="99" ht="15.75" customHeight="1">
      <c r="A99" s="116"/>
      <c r="B99" s="115"/>
      <c r="C99" s="116"/>
      <c r="D99" s="116"/>
    </row>
    <row r="100" ht="15.75" customHeight="1">
      <c r="A100" s="116"/>
      <c r="B100" s="115"/>
      <c r="C100" s="116"/>
      <c r="D100" s="116"/>
    </row>
    <row r="101" ht="15.75" customHeight="1">
      <c r="A101" s="116"/>
      <c r="B101" s="115"/>
      <c r="C101" s="116"/>
      <c r="D101" s="116"/>
    </row>
    <row r="102" ht="15.75" customHeight="1">
      <c r="A102" s="116"/>
      <c r="B102" s="115"/>
      <c r="C102" s="116"/>
      <c r="D102" s="116"/>
    </row>
    <row r="103" ht="15.75" customHeight="1">
      <c r="A103" s="116"/>
      <c r="B103" s="115"/>
      <c r="C103" s="116"/>
      <c r="D103" s="116"/>
    </row>
    <row r="104" ht="15.75" customHeight="1">
      <c r="A104" s="116"/>
      <c r="B104" s="115"/>
      <c r="C104" s="116"/>
      <c r="D104" s="116"/>
    </row>
    <row r="105" ht="15.75" customHeight="1">
      <c r="A105" s="116"/>
      <c r="B105" s="115"/>
      <c r="C105" s="116"/>
      <c r="D105" s="116"/>
    </row>
    <row r="106" ht="15.75" customHeight="1">
      <c r="A106" s="116"/>
      <c r="B106" s="115"/>
      <c r="C106" s="116"/>
      <c r="D106" s="116"/>
    </row>
    <row r="107" ht="15.75" customHeight="1">
      <c r="A107" s="116"/>
      <c r="B107" s="115"/>
      <c r="C107" s="116"/>
      <c r="D107" s="116"/>
    </row>
    <row r="108" ht="15.75" customHeight="1">
      <c r="A108" s="116"/>
      <c r="B108" s="115"/>
      <c r="C108" s="116"/>
      <c r="D108" s="116"/>
    </row>
    <row r="109" ht="15.75" customHeight="1">
      <c r="A109" s="116"/>
      <c r="B109" s="115"/>
      <c r="C109" s="116"/>
      <c r="D109" s="116"/>
    </row>
    <row r="110" ht="15.75" customHeight="1">
      <c r="A110" s="116"/>
      <c r="B110" s="115"/>
      <c r="C110" s="116"/>
      <c r="D110" s="116"/>
    </row>
    <row r="111" ht="15.75" customHeight="1">
      <c r="A111" s="116"/>
      <c r="B111" s="115"/>
      <c r="C111" s="116"/>
      <c r="D111" s="116"/>
    </row>
    <row r="112" ht="15.75" customHeight="1">
      <c r="A112" s="116"/>
      <c r="B112" s="115"/>
      <c r="C112" s="116"/>
      <c r="D112" s="116"/>
    </row>
    <row r="113" ht="15.75" customHeight="1">
      <c r="A113" s="116"/>
      <c r="B113" s="115"/>
      <c r="C113" s="116"/>
      <c r="D113" s="116"/>
    </row>
    <row r="114" ht="15.75" customHeight="1">
      <c r="A114" s="116"/>
      <c r="B114" s="115"/>
      <c r="C114" s="116"/>
      <c r="D114" s="116"/>
    </row>
    <row r="115" ht="15.75" customHeight="1">
      <c r="A115" s="116"/>
      <c r="B115" s="115"/>
      <c r="C115" s="116"/>
      <c r="D115" s="116"/>
    </row>
    <row r="116" ht="15.75" customHeight="1">
      <c r="A116" s="116"/>
      <c r="B116" s="115"/>
      <c r="C116" s="116"/>
      <c r="D116" s="116"/>
    </row>
    <row r="117" ht="15.75" customHeight="1">
      <c r="A117" s="116"/>
      <c r="B117" s="115"/>
      <c r="C117" s="116"/>
      <c r="D117" s="116"/>
    </row>
    <row r="118" ht="15.75" customHeight="1">
      <c r="A118" s="116"/>
      <c r="B118" s="115"/>
      <c r="C118" s="116"/>
      <c r="D118" s="116"/>
    </row>
    <row r="119" ht="15.75" customHeight="1">
      <c r="A119" s="116"/>
      <c r="B119" s="115"/>
      <c r="C119" s="116"/>
      <c r="D119" s="116"/>
    </row>
    <row r="120" ht="15.75" customHeight="1">
      <c r="A120" s="116"/>
      <c r="B120" s="115"/>
      <c r="C120" s="116"/>
      <c r="D120" s="116"/>
    </row>
    <row r="121" ht="15.75" customHeight="1">
      <c r="A121" s="116"/>
      <c r="B121" s="115"/>
      <c r="C121" s="116"/>
      <c r="D121" s="116"/>
    </row>
    <row r="122" ht="15.75" customHeight="1">
      <c r="A122" s="116"/>
      <c r="B122" s="115"/>
      <c r="C122" s="116"/>
      <c r="D122" s="116"/>
    </row>
    <row r="123" ht="15.75" customHeight="1">
      <c r="A123" s="116"/>
      <c r="B123" s="115"/>
      <c r="C123" s="116"/>
      <c r="D123" s="116"/>
    </row>
    <row r="124" ht="15.75" customHeight="1">
      <c r="A124" s="116"/>
      <c r="B124" s="115"/>
      <c r="C124" s="116"/>
      <c r="D124" s="116"/>
    </row>
    <row r="125" ht="15.75" customHeight="1">
      <c r="A125" s="116"/>
      <c r="B125" s="115"/>
      <c r="C125" s="116"/>
      <c r="D125" s="116"/>
    </row>
    <row r="126" ht="15.75" customHeight="1">
      <c r="A126" s="116"/>
      <c r="B126" s="115"/>
      <c r="C126" s="116"/>
      <c r="D126" s="116"/>
    </row>
    <row r="127" ht="15.75" customHeight="1">
      <c r="A127" s="116"/>
      <c r="B127" s="115"/>
      <c r="C127" s="116"/>
      <c r="D127" s="116"/>
    </row>
    <row r="128" ht="15.75" customHeight="1">
      <c r="A128" s="116"/>
      <c r="B128" s="115"/>
      <c r="C128" s="116"/>
      <c r="D128" s="116"/>
    </row>
    <row r="129" ht="15.75" customHeight="1">
      <c r="A129" s="116"/>
      <c r="B129" s="115"/>
      <c r="C129" s="116"/>
      <c r="D129" s="116"/>
    </row>
    <row r="130" ht="15.75" customHeight="1">
      <c r="A130" s="116"/>
      <c r="B130" s="115"/>
      <c r="C130" s="116"/>
      <c r="D130" s="116"/>
    </row>
    <row r="131" ht="15.75" customHeight="1">
      <c r="A131" s="116"/>
      <c r="B131" s="115"/>
      <c r="C131" s="116"/>
      <c r="D131" s="116"/>
    </row>
    <row r="132" ht="15.75" customHeight="1">
      <c r="A132" s="116"/>
      <c r="B132" s="115"/>
      <c r="C132" s="116"/>
      <c r="D132" s="116"/>
    </row>
    <row r="133" ht="15.75" customHeight="1">
      <c r="A133" s="116"/>
      <c r="B133" s="115"/>
      <c r="C133" s="116"/>
      <c r="D133" s="116"/>
    </row>
    <row r="134" ht="15.75" customHeight="1">
      <c r="A134" s="116"/>
      <c r="B134" s="115"/>
      <c r="C134" s="116"/>
      <c r="D134" s="116"/>
    </row>
    <row r="135" ht="15.75" customHeight="1">
      <c r="A135" s="116"/>
      <c r="B135" s="115"/>
      <c r="C135" s="116"/>
      <c r="D135" s="116"/>
    </row>
    <row r="136" ht="15.75" customHeight="1">
      <c r="A136" s="116"/>
      <c r="B136" s="115"/>
      <c r="C136" s="116"/>
      <c r="D136" s="116"/>
    </row>
    <row r="137" ht="15.75" customHeight="1">
      <c r="A137" s="116"/>
      <c r="B137" s="115"/>
      <c r="C137" s="116"/>
      <c r="D137" s="116"/>
    </row>
    <row r="138" ht="15.75" customHeight="1">
      <c r="A138" s="116"/>
      <c r="B138" s="115"/>
      <c r="C138" s="116"/>
      <c r="D138" s="116"/>
    </row>
    <row r="139" ht="15.75" customHeight="1">
      <c r="A139" s="116"/>
      <c r="B139" s="115"/>
      <c r="C139" s="116"/>
      <c r="D139" s="116"/>
    </row>
    <row r="140" ht="15.75" customHeight="1">
      <c r="A140" s="116"/>
      <c r="B140" s="115"/>
      <c r="C140" s="116"/>
      <c r="D140" s="116"/>
    </row>
    <row r="141" ht="15.75" customHeight="1">
      <c r="A141" s="116"/>
      <c r="B141" s="115"/>
      <c r="C141" s="116"/>
      <c r="D141" s="116"/>
    </row>
    <row r="142" ht="15.75" customHeight="1">
      <c r="A142" s="116"/>
      <c r="B142" s="115"/>
      <c r="C142" s="116"/>
      <c r="D142" s="116"/>
    </row>
    <row r="143" ht="15.75" customHeight="1">
      <c r="A143" s="116"/>
      <c r="B143" s="115"/>
      <c r="C143" s="116"/>
      <c r="D143" s="116"/>
    </row>
    <row r="144" ht="15.75" customHeight="1">
      <c r="A144" s="116"/>
      <c r="B144" s="115"/>
      <c r="C144" s="116"/>
      <c r="D144" s="116"/>
    </row>
    <row r="145" ht="15.75" customHeight="1">
      <c r="A145" s="116"/>
      <c r="B145" s="115"/>
      <c r="C145" s="116"/>
      <c r="D145" s="116"/>
    </row>
    <row r="146" ht="15.75" customHeight="1">
      <c r="A146" s="116"/>
      <c r="B146" s="115"/>
      <c r="C146" s="116"/>
      <c r="D146" s="116"/>
    </row>
    <row r="147" ht="15.75" customHeight="1">
      <c r="A147" s="116"/>
      <c r="B147" s="115"/>
      <c r="C147" s="116"/>
      <c r="D147" s="116"/>
    </row>
    <row r="148" ht="15.75" customHeight="1">
      <c r="A148" s="116"/>
      <c r="B148" s="115"/>
      <c r="C148" s="116"/>
      <c r="D148" s="116"/>
    </row>
    <row r="149" ht="15.75" customHeight="1">
      <c r="A149" s="116"/>
      <c r="B149" s="115"/>
      <c r="C149" s="116"/>
      <c r="D149" s="116"/>
    </row>
    <row r="150" ht="15.75" customHeight="1">
      <c r="A150" s="116"/>
      <c r="B150" s="115"/>
      <c r="C150" s="116"/>
      <c r="D150" s="116"/>
    </row>
    <row r="151" ht="15.75" customHeight="1">
      <c r="A151" s="116"/>
      <c r="B151" s="115"/>
      <c r="C151" s="116"/>
      <c r="D151" s="116"/>
    </row>
    <row r="152" ht="15.75" customHeight="1">
      <c r="A152" s="116"/>
      <c r="B152" s="115"/>
      <c r="C152" s="116"/>
      <c r="D152" s="116"/>
    </row>
    <row r="153" ht="15.75" customHeight="1">
      <c r="A153" s="116"/>
      <c r="B153" s="115"/>
      <c r="C153" s="116"/>
      <c r="D153" s="116"/>
    </row>
    <row r="154" ht="15.75" customHeight="1">
      <c r="A154" s="116"/>
      <c r="B154" s="115"/>
      <c r="C154" s="116"/>
      <c r="D154" s="116"/>
    </row>
    <row r="155" ht="15.75" customHeight="1">
      <c r="A155" s="116"/>
      <c r="B155" s="115"/>
      <c r="C155" s="116"/>
      <c r="D155" s="116"/>
    </row>
    <row r="156" ht="15.75" customHeight="1">
      <c r="A156" s="116"/>
      <c r="B156" s="115"/>
      <c r="C156" s="116"/>
      <c r="D156" s="116"/>
    </row>
    <row r="157" ht="15.75" customHeight="1">
      <c r="A157" s="116"/>
      <c r="B157" s="115"/>
      <c r="C157" s="116"/>
      <c r="D157" s="116"/>
    </row>
    <row r="158" ht="15.75" customHeight="1">
      <c r="A158" s="116"/>
      <c r="B158" s="115"/>
      <c r="C158" s="116"/>
      <c r="D158" s="116"/>
    </row>
    <row r="159" ht="15.75" customHeight="1">
      <c r="A159" s="116"/>
      <c r="B159" s="115"/>
      <c r="C159" s="116"/>
      <c r="D159" s="116"/>
    </row>
    <row r="160" ht="15.75" customHeight="1">
      <c r="A160" s="116"/>
      <c r="B160" s="115"/>
      <c r="C160" s="116"/>
      <c r="D160" s="116"/>
    </row>
    <row r="161" ht="15.75" customHeight="1">
      <c r="A161" s="116"/>
      <c r="B161" s="115"/>
      <c r="C161" s="116"/>
      <c r="D161" s="116"/>
    </row>
    <row r="162" ht="15.75" customHeight="1">
      <c r="A162" s="116"/>
      <c r="B162" s="115"/>
      <c r="C162" s="116"/>
      <c r="D162" s="116"/>
    </row>
    <row r="163" ht="15.75" customHeight="1">
      <c r="A163" s="116"/>
      <c r="B163" s="115"/>
      <c r="C163" s="116"/>
      <c r="D163" s="116"/>
    </row>
    <row r="164" ht="15.75" customHeight="1">
      <c r="A164" s="116"/>
      <c r="B164" s="115"/>
      <c r="C164" s="116"/>
      <c r="D164" s="116"/>
    </row>
    <row r="165" ht="15.75" customHeight="1">
      <c r="A165" s="116"/>
      <c r="B165" s="115"/>
      <c r="C165" s="116"/>
      <c r="D165" s="116"/>
    </row>
    <row r="166" ht="15.75" customHeight="1">
      <c r="A166" s="116"/>
      <c r="B166" s="115"/>
      <c r="C166" s="116"/>
      <c r="D166" s="116"/>
    </row>
    <row r="167" ht="15.75" customHeight="1">
      <c r="A167" s="116"/>
      <c r="B167" s="115"/>
      <c r="C167" s="116"/>
      <c r="D167" s="116"/>
    </row>
    <row r="168" ht="15.75" customHeight="1">
      <c r="A168" s="116"/>
      <c r="B168" s="115"/>
      <c r="C168" s="116"/>
      <c r="D168" s="116"/>
    </row>
    <row r="169" ht="15.75" customHeight="1">
      <c r="A169" s="116"/>
      <c r="B169" s="115"/>
      <c r="C169" s="116"/>
      <c r="D169" s="116"/>
    </row>
    <row r="170" ht="15.75" customHeight="1">
      <c r="A170" s="116"/>
      <c r="B170" s="115"/>
      <c r="C170" s="116"/>
      <c r="D170" s="116"/>
    </row>
    <row r="171" ht="15.75" customHeight="1">
      <c r="A171" s="116"/>
      <c r="B171" s="115"/>
      <c r="C171" s="116"/>
      <c r="D171" s="116"/>
    </row>
    <row r="172" ht="15.75" customHeight="1">
      <c r="A172" s="116"/>
      <c r="B172" s="115"/>
      <c r="C172" s="116"/>
      <c r="D172" s="116"/>
    </row>
    <row r="173" ht="15.75" customHeight="1">
      <c r="A173" s="116"/>
      <c r="B173" s="115"/>
      <c r="C173" s="116"/>
      <c r="D173" s="116"/>
    </row>
    <row r="174" ht="15.75" customHeight="1">
      <c r="A174" s="116"/>
      <c r="B174" s="115"/>
      <c r="C174" s="116"/>
      <c r="D174" s="116"/>
    </row>
    <row r="175" ht="15.75" customHeight="1">
      <c r="A175" s="116"/>
      <c r="B175" s="115"/>
      <c r="C175" s="116"/>
      <c r="D175" s="116"/>
    </row>
    <row r="176" ht="15.75" customHeight="1">
      <c r="A176" s="116"/>
      <c r="B176" s="115"/>
      <c r="C176" s="116"/>
      <c r="D176" s="116"/>
    </row>
    <row r="177" ht="15.75" customHeight="1">
      <c r="A177" s="116"/>
      <c r="B177" s="115"/>
      <c r="C177" s="116"/>
      <c r="D177" s="116"/>
    </row>
    <row r="178" ht="15.75" customHeight="1">
      <c r="A178" s="116"/>
      <c r="B178" s="115"/>
      <c r="C178" s="116"/>
      <c r="D178" s="116"/>
    </row>
    <row r="179" ht="15.75" customHeight="1">
      <c r="A179" s="116"/>
      <c r="B179" s="115"/>
      <c r="C179" s="116"/>
      <c r="D179" s="116"/>
    </row>
    <row r="180" ht="15.75" customHeight="1">
      <c r="A180" s="116"/>
      <c r="B180" s="115"/>
      <c r="C180" s="116"/>
      <c r="D180" s="116"/>
    </row>
    <row r="181" ht="15.75" customHeight="1">
      <c r="A181" s="116"/>
      <c r="B181" s="115"/>
      <c r="C181" s="116"/>
      <c r="D181" s="116"/>
    </row>
    <row r="182" ht="15.75" customHeight="1">
      <c r="A182" s="116"/>
      <c r="B182" s="115"/>
      <c r="C182" s="116"/>
      <c r="D182" s="116"/>
    </row>
    <row r="183" ht="15.75" customHeight="1">
      <c r="A183" s="116"/>
      <c r="B183" s="115"/>
      <c r="C183" s="116"/>
      <c r="D183" s="116"/>
    </row>
    <row r="184" ht="15.75" customHeight="1">
      <c r="A184" s="116"/>
      <c r="B184" s="115"/>
      <c r="C184" s="116"/>
      <c r="D184" s="116"/>
    </row>
    <row r="185" ht="15.75" customHeight="1">
      <c r="A185" s="116"/>
      <c r="B185" s="115"/>
      <c r="C185" s="116"/>
      <c r="D185" s="116"/>
    </row>
    <row r="186" ht="15.75" customHeight="1">
      <c r="A186" s="116"/>
      <c r="B186" s="115"/>
      <c r="C186" s="116"/>
      <c r="D186" s="116"/>
    </row>
    <row r="187" ht="15.75" customHeight="1">
      <c r="A187" s="116"/>
      <c r="B187" s="115"/>
      <c r="C187" s="116"/>
      <c r="D187" s="116"/>
    </row>
    <row r="188" ht="15.75" customHeight="1">
      <c r="A188" s="116"/>
      <c r="B188" s="115"/>
      <c r="C188" s="116"/>
      <c r="D188" s="116"/>
    </row>
    <row r="189" ht="15.75" customHeight="1">
      <c r="A189" s="116"/>
      <c r="B189" s="115"/>
      <c r="C189" s="116"/>
      <c r="D189" s="116"/>
    </row>
    <row r="190" ht="15.75" customHeight="1">
      <c r="A190" s="116"/>
      <c r="B190" s="115"/>
      <c r="C190" s="116"/>
      <c r="D190" s="116"/>
    </row>
    <row r="191" ht="15.75" customHeight="1">
      <c r="A191" s="116"/>
      <c r="B191" s="115"/>
      <c r="C191" s="116"/>
      <c r="D191" s="116"/>
    </row>
    <row r="192" ht="15.75" customHeight="1">
      <c r="A192" s="116"/>
      <c r="B192" s="115"/>
      <c r="C192" s="116"/>
      <c r="D192" s="116"/>
    </row>
    <row r="193" ht="15.75" customHeight="1">
      <c r="A193" s="116"/>
      <c r="B193" s="115"/>
      <c r="C193" s="116"/>
      <c r="D193" s="116"/>
    </row>
    <row r="194" ht="15.75" customHeight="1">
      <c r="A194" s="116"/>
      <c r="B194" s="115"/>
      <c r="C194" s="116"/>
      <c r="D194" s="116"/>
    </row>
    <row r="195" ht="15.75" customHeight="1">
      <c r="A195" s="116"/>
      <c r="B195" s="115"/>
      <c r="C195" s="116"/>
      <c r="D195" s="116"/>
    </row>
    <row r="196" ht="15.75" customHeight="1">
      <c r="A196" s="116"/>
      <c r="B196" s="115"/>
      <c r="C196" s="116"/>
      <c r="D196" s="116"/>
    </row>
    <row r="197" ht="15.75" customHeight="1">
      <c r="A197" s="116"/>
      <c r="B197" s="115"/>
      <c r="C197" s="116"/>
      <c r="D197" s="116"/>
    </row>
    <row r="198" ht="15.75" customHeight="1">
      <c r="A198" s="116"/>
      <c r="B198" s="115"/>
      <c r="C198" s="116"/>
      <c r="D198" s="116"/>
    </row>
    <row r="199" ht="15.75" customHeight="1">
      <c r="A199" s="116"/>
      <c r="B199" s="115"/>
      <c r="C199" s="116"/>
      <c r="D199" s="116"/>
    </row>
    <row r="200" ht="15.75" customHeight="1">
      <c r="A200" s="116"/>
      <c r="B200" s="115"/>
      <c r="C200" s="116"/>
      <c r="D200" s="116"/>
    </row>
    <row r="201" ht="15.75" customHeight="1">
      <c r="A201" s="116"/>
      <c r="B201" s="115"/>
      <c r="C201" s="116"/>
      <c r="D201" s="116"/>
    </row>
    <row r="202" ht="15.75" customHeight="1">
      <c r="A202" s="116"/>
      <c r="B202" s="115"/>
      <c r="C202" s="116"/>
      <c r="D202" s="116"/>
    </row>
    <row r="203" ht="15.75" customHeight="1">
      <c r="A203" s="116"/>
      <c r="B203" s="115"/>
      <c r="C203" s="116"/>
      <c r="D203" s="116"/>
    </row>
    <row r="204" ht="15.75" customHeight="1">
      <c r="A204" s="116"/>
      <c r="B204" s="115"/>
      <c r="C204" s="116"/>
      <c r="D204" s="116"/>
    </row>
    <row r="205" ht="15.75" customHeight="1">
      <c r="A205" s="116"/>
      <c r="B205" s="115"/>
      <c r="C205" s="116"/>
      <c r="D205" s="116"/>
    </row>
    <row r="206" ht="15.75" customHeight="1">
      <c r="A206" s="116"/>
      <c r="B206" s="115"/>
      <c r="C206" s="116"/>
      <c r="D206" s="116"/>
    </row>
    <row r="207" ht="15.75" customHeight="1">
      <c r="A207" s="116"/>
      <c r="B207" s="115"/>
      <c r="C207" s="116"/>
      <c r="D207" s="116"/>
    </row>
    <row r="208" ht="15.75" customHeight="1">
      <c r="A208" s="116"/>
      <c r="B208" s="115"/>
      <c r="C208" s="116"/>
      <c r="D208" s="116"/>
    </row>
    <row r="209" ht="15.75" customHeight="1">
      <c r="A209" s="116"/>
      <c r="B209" s="115"/>
      <c r="C209" s="116"/>
      <c r="D209" s="116"/>
    </row>
    <row r="210" ht="15.75" customHeight="1">
      <c r="A210" s="116"/>
      <c r="B210" s="115"/>
      <c r="C210" s="116"/>
      <c r="D210" s="116"/>
    </row>
    <row r="211" ht="15.75" customHeight="1">
      <c r="A211" s="116"/>
      <c r="B211" s="115"/>
      <c r="C211" s="116"/>
      <c r="D211" s="116"/>
    </row>
    <row r="212" ht="15.75" customHeight="1">
      <c r="A212" s="116"/>
      <c r="B212" s="115"/>
      <c r="C212" s="116"/>
      <c r="D212" s="116"/>
    </row>
    <row r="213" ht="15.75" customHeight="1">
      <c r="A213" s="116"/>
      <c r="B213" s="115"/>
      <c r="C213" s="116"/>
      <c r="D213" s="116"/>
    </row>
    <row r="214" ht="15.75" customHeight="1">
      <c r="A214" s="116"/>
      <c r="B214" s="115"/>
      <c r="C214" s="116"/>
      <c r="D214" s="116"/>
    </row>
    <row r="215" ht="15.75" customHeight="1">
      <c r="A215" s="116"/>
      <c r="B215" s="115"/>
      <c r="C215" s="116"/>
      <c r="D215" s="116"/>
    </row>
    <row r="216" ht="15.75" customHeight="1">
      <c r="A216" s="116"/>
      <c r="B216" s="115"/>
      <c r="C216" s="116"/>
      <c r="D216" s="116"/>
    </row>
    <row r="217" ht="15.75" customHeight="1">
      <c r="A217" s="116"/>
      <c r="B217" s="115"/>
      <c r="C217" s="116"/>
      <c r="D217" s="116"/>
    </row>
    <row r="218" ht="15.75" customHeight="1">
      <c r="A218" s="116"/>
      <c r="B218" s="115"/>
      <c r="C218" s="116"/>
      <c r="D218" s="116"/>
    </row>
    <row r="219" ht="15.75" customHeight="1">
      <c r="A219" s="116"/>
      <c r="B219" s="115"/>
      <c r="C219" s="116"/>
      <c r="D219" s="116"/>
    </row>
    <row r="220" ht="15.75" customHeight="1">
      <c r="A220" s="116"/>
      <c r="B220" s="115"/>
      <c r="C220" s="116"/>
      <c r="D220" s="116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  <col customWidth="1" min="11" max="11" width="18.63"/>
  </cols>
  <sheetData>
    <row r="1">
      <c r="A1" s="121" t="s">
        <v>401</v>
      </c>
      <c r="B1" s="121" t="s">
        <v>402</v>
      </c>
      <c r="C1" s="122" t="s">
        <v>403</v>
      </c>
      <c r="D1" s="122" t="s">
        <v>404</v>
      </c>
      <c r="E1" s="123" t="s">
        <v>405</v>
      </c>
      <c r="F1" s="123" t="s">
        <v>406</v>
      </c>
      <c r="G1" s="124" t="s">
        <v>407</v>
      </c>
      <c r="H1" s="124" t="s">
        <v>408</v>
      </c>
      <c r="I1" s="125" t="s">
        <v>409</v>
      </c>
      <c r="J1" s="125" t="s">
        <v>410</v>
      </c>
      <c r="K1" s="126" t="s">
        <v>411</v>
      </c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</row>
    <row r="2" ht="68.25" customHeight="1">
      <c r="A2" s="96">
        <v>7.0</v>
      </c>
      <c r="B2" s="57" t="s">
        <v>412</v>
      </c>
      <c r="C2" s="128">
        <v>1700.0</v>
      </c>
      <c r="D2" s="129">
        <v>800.0</v>
      </c>
      <c r="E2" s="129">
        <v>800.0</v>
      </c>
      <c r="F2" s="129">
        <v>200.0</v>
      </c>
      <c r="G2" s="129">
        <v>200.0</v>
      </c>
      <c r="H2" s="130">
        <v>50.0</v>
      </c>
      <c r="I2" s="130">
        <v>50.0</v>
      </c>
      <c r="J2" s="96">
        <v>0.0</v>
      </c>
      <c r="K2" s="131" t="s">
        <v>413</v>
      </c>
      <c r="L2" s="127"/>
      <c r="M2" s="127"/>
      <c r="N2" s="127"/>
      <c r="O2" s="127"/>
      <c r="P2" s="127"/>
      <c r="Q2" s="127"/>
      <c r="R2" s="127"/>
      <c r="S2" s="127"/>
      <c r="T2" s="127"/>
      <c r="U2" s="127"/>
      <c r="V2" s="127"/>
      <c r="W2" s="127"/>
      <c r="X2" s="127"/>
      <c r="Y2" s="127"/>
      <c r="Z2" s="127"/>
    </row>
    <row r="3" ht="15.75" customHeight="1"/>
    <row r="4" ht="15.75" customHeight="1">
      <c r="C4" s="68"/>
    </row>
    <row r="5" ht="15.75" customHeight="1">
      <c r="C5" s="68"/>
      <c r="D5" s="118"/>
    </row>
    <row r="6" ht="15.75" customHeight="1">
      <c r="C6" s="68"/>
      <c r="D6" s="118"/>
    </row>
    <row r="7" ht="15.75" customHeight="1">
      <c r="D7" s="118"/>
    </row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