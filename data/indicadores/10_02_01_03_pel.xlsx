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aolo\Desktop\bion\"/>
    </mc:Choice>
  </mc:AlternateContent>
  <xr:revisionPtr revIDLastSave="0" documentId="8_{4D67F611-A72C-40BB-B87C-877C9D03916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tos  crudos " sheetId="1" r:id="rId1"/>
    <sheet name="Indicador_MUN" sheetId="2" r:id="rId2"/>
    <sheet name="Umbral" sheetId="3" r:id="rId3"/>
  </sheets>
  <calcPr calcId="191029"/>
</workbook>
</file>

<file path=xl/calcChain.xml><?xml version="1.0" encoding="utf-8"?>
<calcChain xmlns="http://schemas.openxmlformats.org/spreadsheetml/2006/main">
  <c r="E344" i="1" l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D329" i="1"/>
  <c r="C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D236" i="1"/>
  <c r="E236" i="1" s="1"/>
  <c r="C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D216" i="1"/>
  <c r="E216" i="1" s="1"/>
  <c r="C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D157" i="1"/>
  <c r="E157" i="1" s="1"/>
  <c r="C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<sst xmlns="http://schemas.openxmlformats.org/spreadsheetml/2006/main" count="709" uniqueCount="357">
  <si>
    <t xml:space="preserve">id </t>
  </si>
  <si>
    <t>Municipio</t>
  </si>
  <si>
    <t>indigena 2012</t>
  </si>
  <si>
    <t>no indigena 2012</t>
  </si>
  <si>
    <t>brecha 2012</t>
  </si>
  <si>
    <t>indigena 2024</t>
  </si>
  <si>
    <t>no indigena 2024</t>
  </si>
  <si>
    <t>brecha 2024</t>
  </si>
  <si>
    <t>Sucre</t>
  </si>
  <si>
    <t>Yotala</t>
  </si>
  <si>
    <t>Poroma</t>
  </si>
  <si>
    <t>Villa Azurduy</t>
  </si>
  <si>
    <t>Tarvita</t>
  </si>
  <si>
    <t>Zudañez</t>
  </si>
  <si>
    <t>Presto</t>
  </si>
  <si>
    <t>Villa 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</si>
  <si>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</si>
  <si>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</si>
  <si>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</si>
  <si>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</si>
  <si>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</si>
  <si>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</si>
  <si>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</si>
  <si>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</si>
  <si>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</si>
  <si>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</si>
  <si>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</si>
  <si>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</si>
  <si>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</si>
  <si>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</si>
  <si>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</si>
  <si>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</si>
  <si>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</si>
  <si>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</si>
  <si>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</si>
  <si>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</si>
  <si>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</si>
  <si>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</si>
  <si>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</si>
  <si>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</si>
  <si>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</si>
  <si>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</si>
  <si>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</si>
  <si>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</si>
  <si>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</si>
  <si>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</si>
  <si>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</si>
  <si>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</si>
  <si>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</si>
  <si>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</si>
  <si>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</si>
  <si>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</si>
  <si>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</si>
  <si>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</si>
  <si>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</si>
  <si>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</si>
  <si>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</si>
  <si>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</si>
  <si>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</si>
  <si>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</si>
  <si>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</si>
  <si>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</si>
  <si>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</si>
  <si>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</si>
  <si>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</si>
  <si>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</si>
  <si>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</si>
  <si>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</si>
  <si>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</si>
  <si>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</si>
  <si>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</si>
  <si>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</si>
  <si>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</si>
  <si>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</si>
  <si>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</si>
  <si>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</si>
  <si>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</si>
  <si>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</si>
  <si>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</si>
  <si>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</si>
  <si>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</si>
  <si>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</si>
  <si>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</si>
  <si>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</si>
  <si>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</si>
  <si>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</si>
  <si>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</si>
  <si>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</si>
  <si>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</si>
  <si>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</si>
  <si>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</si>
  <si>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</si>
  <si>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</si>
  <si>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</si>
  <si>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</si>
  <si>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</si>
  <si>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</si>
  <si>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</si>
  <si>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</si>
  <si>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</si>
  <si>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</si>
  <si>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</si>
  <si>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</si>
  <si>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</si>
  <si>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</si>
  <si>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</si>
  <si>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</si>
  <si>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</si>
  <si>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</si>
  <si>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</si>
  <si>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</si>
  <si>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</si>
  <si>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</si>
  <si>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</si>
  <si>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</si>
  <si>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</si>
  <si>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</si>
  <si>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</si>
  <si>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</si>
  <si>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</si>
  <si>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</si>
  <si>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</si>
  <si>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</si>
  <si>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</si>
  <si>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Cochabamba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</si>
  <si>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</si>
  <si>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</si>
  <si>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</si>
  <si>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</si>
  <si>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</si>
  <si>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</si>
  <si>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</si>
  <si>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</si>
  <si>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</si>
  <si>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</si>
  <si>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</si>
  <si>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</si>
  <si>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</si>
  <si>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</si>
  <si>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</si>
  <si>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</si>
  <si>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</si>
  <si>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</si>
  <si>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</si>
  <si>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</si>
  <si>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</si>
  <si>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</si>
  <si>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</si>
  <si>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</si>
  <si>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</si>
  <si>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</si>
  <si>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</si>
  <si>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</si>
  <si>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</si>
  <si>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</si>
  <si>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</si>
  <si>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</si>
  <si>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</si>
  <si>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</si>
  <si>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</si>
  <si>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</si>
  <si>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</si>
  <si>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</si>
  <si>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</si>
  <si>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</si>
  <si>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</si>
  <si>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</si>
  <si>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</si>
  <si>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</si>
  <si>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</si>
  <si>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</si>
  <si>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</si>
  <si>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Oruro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</si>
  <si>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</si>
  <si>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</si>
  <si>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</si>
  <si>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</si>
  <si>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</si>
  <si>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</si>
  <si>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</si>
  <si>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</si>
  <si>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</si>
  <si>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</si>
  <si>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</si>
  <si>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</si>
  <si>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</si>
  <si>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</si>
  <si>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</si>
  <si>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</si>
  <si>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</si>
  <si>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</si>
  <si>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</si>
  <si>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</si>
  <si>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</si>
  <si>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</si>
  <si>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</si>
  <si>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</si>
  <si>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</si>
  <si>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</si>
  <si>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</si>
  <si>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</si>
  <si>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</si>
  <si>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</si>
  <si>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</si>
  <si>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</si>
  <si>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</si>
  <si>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</si>
  <si>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Potosí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</si>
  <si>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</si>
  <si>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</si>
  <si>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</si>
  <si>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</si>
  <si>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</si>
  <si>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</si>
  <si>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</si>
  <si>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</si>
  <si>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</si>
  <si>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</si>
  <si>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</si>
  <si>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</si>
  <si>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</si>
  <si>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</si>
  <si>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</si>
  <si>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</si>
  <si>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</si>
  <si>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</si>
  <si>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</si>
  <si>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</si>
  <si>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</si>
  <si>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</si>
  <si>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</si>
  <si>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</si>
  <si>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</si>
  <si>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</si>
  <si>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</si>
  <si>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</si>
  <si>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</si>
  <si>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</si>
  <si>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</si>
  <si>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</si>
  <si>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</si>
  <si>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</si>
  <si>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</si>
  <si>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</si>
  <si>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</si>
  <si>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</si>
  <si>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</si>
  <si>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</si>
  <si>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</si>
  <si>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</si>
  <si>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</si>
  <si>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</si>
  <si>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</si>
  <si>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</si>
  <si>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</si>
  <si>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</si>
  <si>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</si>
  <si>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</si>
  <si>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</si>
  <si>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</si>
  <si>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</si>
  <si>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</si>
  <si>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</si>
  <si>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</si>
  <si>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</si>
  <si>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</si>
  <si>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</si>
  <si>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</si>
  <si>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</si>
  <si>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</si>
  <si>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</si>
  <si>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</si>
  <si>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</si>
  <si>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</si>
  <si>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</si>
  <si>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</si>
  <si>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</si>
  <si>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</si>
  <si>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</si>
  <si>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</si>
  <si>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</si>
  <si>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</si>
  <si>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</si>
  <si>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</si>
  <si>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</si>
  <si>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</si>
  <si>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</si>
  <si>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</si>
  <si>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</si>
  <si>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</si>
  <si>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</si>
  <si>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</si>
  <si>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</si>
  <si>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</si>
  <si>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</si>
  <si>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</si>
  <si>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</si>
  <si>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</si>
  <si>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</si>
  <si>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</si>
  <si>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</si>
  <si>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</si>
  <si>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</si>
  <si>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</si>
  <si>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</si>
  <si>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</si>
  <si>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</si>
  <si>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</si>
  <si>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</si>
  <si>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</si>
  <si>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</si>
  <si>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</si>
  <si>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</si>
  <si>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</si>
  <si>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</si>
  <si>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</si>
  <si>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</si>
  <si>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</si>
  <si>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</si>
  <si>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</si>
  <si>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</si>
  <si>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</si>
  <si>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</si>
  <si>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</si>
  <si>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</si>
  <si>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</si>
  <si>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</si>
  <si>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</si>
  <si>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</si>
  <si>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</si>
  <si>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</si>
  <si>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Indigena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</si>
  <si>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</si>
  <si>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</si>
  <si>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</si>
  <si>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</si>
  <si>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</si>
  <si>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</si>
  <si>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</si>
  <si>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</si>
  <si>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</si>
  <si>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</si>
  <si>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</si>
  <si>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</si>
  <si>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</si>
  <si>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</si>
  <si>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</si>
  <si>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</si>
  <si>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</si>
  <si>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</si>
  <si>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</si>
  <si>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</si>
  <si>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</si>
  <si>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</si>
  <si>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</si>
  <si>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</si>
  <si>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 xml:space="preserve">Brecha de pobreza multidimensional según condición étnica-lingüística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</si>
</sst>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"/>
    <numFmt numFmtId="165" formatCode="0.000"/>
    <numFmt numFmtId="166" formatCode="000"/>
    <numFmt numFmtId="167" formatCode="0.0"/>
  </numFmts>
  <fonts count="7">
    <font>
      <sz val="10"/>
      <color rgb="FF000000"/>
      <name val="Arial"/>
      <scheme val="minor"/>
    </font>
    <font>
      <sz val="11"/>
      <color theme="1"/>
      <name val="Calibri"/>
    </font>
    <font>
      <sz val="10"/>
      <color theme="1"/>
      <name val="Arial"/>
      <scheme val="minor"/>
    </font>
    <font>
      <sz val="10"/>
      <color theme="1"/>
      <name val="Arial"/>
    </font>
    <font>
      <b/>
      <sz val="11"/>
      <color theme="1"/>
      <name val="Calibri"/>
    </font>
    <font>
      <b/>
      <sz val="9"/>
      <color theme="1"/>
      <name val="Play"/>
    </font>
    <font>
      <sz val="11"/>
      <color theme="1"/>
      <name val="Arial"/>
    </font>
  </fonts>
  <fills count="7">
    <fill>
      <patternFill patternType="none"/>
    </fill>
    <fill>
      <patternFill patternType="gray125"/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1" fontId="1" fillId="0" borderId="1" xfId="0" applyNumberFormat="1" applyFont="1" applyBorder="1"/>
    <xf numFmtId="49" fontId="1" fillId="0" borderId="1" xfId="0" applyNumberFormat="1" applyFont="1" applyBorder="1"/>
    <xf numFmtId="0" fontId="2" fillId="0" borderId="0" xfId="0" applyFont="1"/>
    <xf numFmtId="164" fontId="1" fillId="0" borderId="0" xfId="0" applyNumberFormat="1" applyFont="1"/>
    <xf numFmtId="164" fontId="2" fillId="0" borderId="0" xfId="0" applyNumberFormat="1" applyFont="1"/>
    <xf numFmtId="0" fontId="1" fillId="0" borderId="0" xfId="0" applyFont="1"/>
    <xf numFmtId="165" fontId="1" fillId="0" borderId="0" xfId="0" applyNumberFormat="1" applyFont="1"/>
    <xf numFmtId="1" fontId="1" fillId="0" borderId="1" xfId="0" applyNumberFormat="1" applyFont="1" applyBorder="1" applyAlignment="1">
      <alignment horizontal="right"/>
    </xf>
    <xf numFmtId="165" fontId="2" fillId="0" borderId="0" xfId="0" applyNumberFormat="1" applyFont="1"/>
    <xf numFmtId="165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right"/>
    </xf>
    <xf numFmtId="166" fontId="1" fillId="0" borderId="1" xfId="0" applyNumberFormat="1" applyFont="1" applyBorder="1"/>
    <xf numFmtId="4" fontId="1" fillId="0" borderId="0" xfId="0" applyNumberFormat="1" applyFont="1"/>
    <xf numFmtId="166" fontId="1" fillId="0" borderId="1" xfId="0" applyNumberFormat="1" applyFont="1" applyBorder="1" applyAlignment="1">
      <alignment horizontal="right"/>
    </xf>
    <xf numFmtId="4" fontId="1" fillId="0" borderId="0" xfId="0" applyNumberFormat="1" applyFont="1" applyAlignment="1">
      <alignment horizontal="right"/>
    </xf>
    <xf numFmtId="4" fontId="3" fillId="0" borderId="0" xfId="0" applyNumberFormat="1" applyFont="1" applyAlignment="1">
      <alignment horizontal="right"/>
    </xf>
    <xf numFmtId="166" fontId="3" fillId="0" borderId="0" xfId="0" applyNumberFormat="1" applyFont="1"/>
    <xf numFmtId="49" fontId="3" fillId="0" borderId="0" xfId="0" applyNumberFormat="1" applyFont="1"/>
    <xf numFmtId="4" fontId="3" fillId="0" borderId="0" xfId="0" applyNumberFormat="1" applyFont="1"/>
    <xf numFmtId="0" fontId="4" fillId="2" borderId="1" xfId="0" applyFont="1" applyFill="1" applyBorder="1"/>
    <xf numFmtId="0" fontId="5" fillId="3" borderId="1" xfId="0" applyFont="1" applyFill="1" applyBorder="1" applyAlignment="1">
      <alignment horizontal="center" wrapText="1"/>
    </xf>
    <xf numFmtId="0" fontId="5" fillId="4" borderId="1" xfId="0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center" wrapText="1"/>
    </xf>
    <xf numFmtId="0" fontId="5" fillId="6" borderId="1" xfId="0" applyFont="1" applyFill="1" applyBorder="1" applyAlignment="1">
      <alignment horizontal="center" wrapText="1"/>
    </xf>
    <xf numFmtId="0" fontId="3" fillId="0" borderId="0" xfId="0" applyFont="1"/>
    <xf numFmtId="0" fontId="1" fillId="0" borderId="1" xfId="0" applyFont="1" applyBorder="1" applyAlignment="1">
      <alignment horizontal="right"/>
    </xf>
    <xf numFmtId="0" fontId="1" fillId="0" borderId="1" xfId="0" applyFont="1" applyBorder="1"/>
    <xf numFmtId="1" fontId="6" fillId="0" borderId="1" xfId="0" applyNumberFormat="1" applyFont="1" applyBorder="1" applyAlignment="1">
      <alignment horizontal="right"/>
    </xf>
    <xf numFmtId="2" fontId="6" fillId="0" borderId="1" xfId="0" applyNumberFormat="1" applyFont="1" applyBorder="1" applyAlignment="1">
      <alignment horizontal="right"/>
    </xf>
    <xf numFmtId="167" fontId="6" fillId="0" borderId="1" xfId="0" applyNumberFormat="1" applyFont="1" applyBorder="1" applyAlignment="1">
      <alignment horizontal="right"/>
    </xf>
    <xf numFmtId="167" fontId="1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000"/>
  <sheetViews>
    <sheetView workbookViewId="0"/>
  </sheetViews>
  <sheetFormatPr baseColWidth="10" defaultColWidth="12.6640625" defaultRowHeight="15.75" customHeight="1"/>
  <sheetData>
    <row r="1" spans="1:12" ht="15.75" customHeight="1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5" t="s">
        <v>6</v>
      </c>
      <c r="H1" s="4" t="s">
        <v>7</v>
      </c>
      <c r="I1" s="6"/>
      <c r="J1" s="7"/>
      <c r="K1" s="6"/>
      <c r="L1" s="7"/>
    </row>
    <row r="2" spans="1:12" ht="15.75" customHeight="1">
      <c r="A2" s="8">
        <v>10101</v>
      </c>
      <c r="B2" s="2" t="s">
        <v>8</v>
      </c>
      <c r="C2" s="9">
        <v>0.11250302940607071</v>
      </c>
      <c r="D2" s="9">
        <v>1.8107693642377853E-2</v>
      </c>
      <c r="E2" s="4">
        <f t="shared" ref="E2:E256" si="0">D2/C2</f>
        <v>0.16095294267161089</v>
      </c>
      <c r="F2" s="10">
        <v>2.5394780561327934E-2</v>
      </c>
      <c r="G2" s="4">
        <v>6.089391652494669E-3</v>
      </c>
      <c r="H2" s="10">
        <v>0.23978910303197534</v>
      </c>
      <c r="I2" s="11"/>
      <c r="J2" s="10"/>
      <c r="K2" s="11"/>
      <c r="L2" s="10"/>
    </row>
    <row r="3" spans="1:12" ht="15.75" customHeight="1">
      <c r="A3" s="8">
        <v>10102</v>
      </c>
      <c r="B3" s="2" t="s">
        <v>9</v>
      </c>
      <c r="C3" s="9">
        <v>0.15403461456298828</v>
      </c>
      <c r="D3" s="9">
        <v>7.5480170547962189E-2</v>
      </c>
      <c r="E3" s="4">
        <f t="shared" si="0"/>
        <v>0.49002083565507037</v>
      </c>
      <c r="F3" s="10">
        <v>2.9261276125907898E-2</v>
      </c>
      <c r="G3" s="4">
        <v>2.6976129040122032E-2</v>
      </c>
      <c r="H3" s="10">
        <v>0.92190541943717219</v>
      </c>
      <c r="I3" s="11"/>
      <c r="J3" s="10"/>
      <c r="K3" s="11"/>
      <c r="L3" s="10"/>
    </row>
    <row r="4" spans="1:12" ht="15.75" customHeight="1">
      <c r="A4" s="8">
        <v>10103</v>
      </c>
      <c r="B4" s="2" t="s">
        <v>10</v>
      </c>
      <c r="C4" s="9">
        <v>0.53826236724853516</v>
      </c>
      <c r="D4" s="9">
        <v>0.35650986433029175</v>
      </c>
      <c r="E4" s="4">
        <f t="shared" si="0"/>
        <v>0.66233473863811532</v>
      </c>
      <c r="F4" s="10">
        <v>0.22564534842967987</v>
      </c>
      <c r="G4" s="4">
        <v>0.20407900214195251</v>
      </c>
      <c r="H4" s="10">
        <v>0.90442370543947515</v>
      </c>
      <c r="I4" s="11"/>
      <c r="J4" s="10"/>
      <c r="K4" s="11"/>
      <c r="L4" s="10"/>
    </row>
    <row r="5" spans="1:12" ht="15.75" customHeight="1">
      <c r="A5" s="8">
        <v>10201</v>
      </c>
      <c r="B5" s="2" t="s">
        <v>11</v>
      </c>
      <c r="C5" s="9">
        <v>0.55174726247787476</v>
      </c>
      <c r="D5" s="9">
        <v>0.36817246675491333</v>
      </c>
      <c r="E5" s="4">
        <f t="shared" si="0"/>
        <v>0.66728462793175558</v>
      </c>
      <c r="F5" s="10">
        <v>0.23744048178195953</v>
      </c>
      <c r="G5" s="4">
        <v>0.12302391976118088</v>
      </c>
      <c r="H5" s="10">
        <v>0.51812529539151275</v>
      </c>
      <c r="I5" s="11"/>
      <c r="J5" s="10"/>
      <c r="K5" s="11"/>
      <c r="L5" s="10"/>
    </row>
    <row r="6" spans="1:12" ht="15.75" customHeight="1">
      <c r="A6" s="8">
        <v>10202</v>
      </c>
      <c r="B6" s="2" t="s">
        <v>12</v>
      </c>
      <c r="C6" s="9">
        <v>0.4598124623298645</v>
      </c>
      <c r="D6" s="9">
        <v>0.25176623463630676</v>
      </c>
      <c r="E6" s="4">
        <f t="shared" si="0"/>
        <v>0.54754112874759875</v>
      </c>
      <c r="F6" s="10">
        <v>0.14152954518795013</v>
      </c>
      <c r="G6" s="4">
        <v>8.8634736835956573E-2</v>
      </c>
      <c r="H6" s="10">
        <v>0.62626313621124363</v>
      </c>
      <c r="I6" s="11"/>
      <c r="J6" s="10"/>
      <c r="K6" s="11"/>
      <c r="L6" s="10"/>
    </row>
    <row r="7" spans="1:12" ht="15.75" customHeight="1">
      <c r="A7" s="8">
        <v>10301</v>
      </c>
      <c r="B7" s="2" t="s">
        <v>13</v>
      </c>
      <c r="C7" s="9">
        <v>0.32336476445198059</v>
      </c>
      <c r="D7" s="9">
        <v>0.10248401761054993</v>
      </c>
      <c r="E7" s="4">
        <f t="shared" si="0"/>
        <v>0.31693007054814321</v>
      </c>
      <c r="F7" s="10">
        <v>8.8672906160354614E-2</v>
      </c>
      <c r="G7" s="4">
        <v>5.1226262003183365E-2</v>
      </c>
      <c r="H7" s="10">
        <v>0.57769914420698742</v>
      </c>
      <c r="I7" s="11"/>
      <c r="J7" s="10"/>
      <c r="K7" s="11"/>
      <c r="L7" s="10"/>
    </row>
    <row r="8" spans="1:12" ht="15.75" customHeight="1">
      <c r="A8" s="8">
        <v>10302</v>
      </c>
      <c r="B8" s="2" t="s">
        <v>14</v>
      </c>
      <c r="C8" s="9">
        <v>0.47437027096748352</v>
      </c>
      <c r="D8" s="9">
        <v>0.19377671182155609</v>
      </c>
      <c r="E8" s="4">
        <f t="shared" si="0"/>
        <v>0.40849252931965213</v>
      </c>
      <c r="F8" s="10">
        <v>0.13864490389823914</v>
      </c>
      <c r="G8" s="4">
        <v>9.9687151610851288E-2</v>
      </c>
      <c r="H8" s="10">
        <v>0.71901057166889037</v>
      </c>
      <c r="I8" s="11"/>
      <c r="J8" s="10"/>
      <c r="K8" s="11"/>
      <c r="L8" s="10"/>
    </row>
    <row r="9" spans="1:12" ht="15.75" customHeight="1">
      <c r="A9" s="8">
        <v>10303</v>
      </c>
      <c r="B9" s="2" t="s">
        <v>15</v>
      </c>
      <c r="C9" s="9">
        <v>0.34566587209701538</v>
      </c>
      <c r="D9" s="9">
        <v>0.26188716292381287</v>
      </c>
      <c r="E9" s="4">
        <f t="shared" si="0"/>
        <v>0.75763094960763444</v>
      </c>
      <c r="F9" s="10">
        <v>7.0846155285835266E-2</v>
      </c>
      <c r="G9" s="4">
        <v>8.1893175840377808E-2</v>
      </c>
      <c r="H9" s="10">
        <v>1.1559297114991256</v>
      </c>
      <c r="I9" s="11"/>
      <c r="J9" s="10"/>
      <c r="K9" s="11"/>
      <c r="L9" s="10"/>
    </row>
    <row r="10" spans="1:12" ht="15.75" customHeight="1">
      <c r="A10" s="8">
        <v>10304</v>
      </c>
      <c r="B10" s="2" t="s">
        <v>16</v>
      </c>
      <c r="C10" s="9">
        <v>0.31064140796661377</v>
      </c>
      <c r="D10" s="9">
        <v>8.1904761493206024E-2</v>
      </c>
      <c r="E10" s="4">
        <f t="shared" si="0"/>
        <v>0.26366337324227151</v>
      </c>
      <c r="F10" s="10">
        <v>0.10634977370500565</v>
      </c>
      <c r="G10" s="4">
        <v>0.12122605741024017</v>
      </c>
      <c r="H10" s="10">
        <v>1.1398807274051994</v>
      </c>
      <c r="I10" s="11"/>
      <c r="J10" s="10"/>
      <c r="K10" s="11"/>
      <c r="L10" s="10"/>
    </row>
    <row r="11" spans="1:12" ht="15.75" customHeight="1">
      <c r="A11" s="8">
        <v>10401</v>
      </c>
      <c r="B11" s="2" t="s">
        <v>17</v>
      </c>
      <c r="C11" s="9">
        <v>0.37111923098564148</v>
      </c>
      <c r="D11" s="9">
        <v>0.27084493637084961</v>
      </c>
      <c r="E11" s="4">
        <f t="shared" si="0"/>
        <v>0.72980571675448569</v>
      </c>
      <c r="F11" s="10">
        <v>5.8296691626310349E-2</v>
      </c>
      <c r="G11" s="4">
        <v>6.8447999656200409E-2</v>
      </c>
      <c r="H11" s="10">
        <v>1.174131803138355</v>
      </c>
      <c r="I11" s="11"/>
      <c r="J11" s="10"/>
      <c r="K11" s="11"/>
      <c r="L11" s="10"/>
    </row>
    <row r="12" spans="1:12" ht="15.75" customHeight="1">
      <c r="A12" s="8">
        <v>10402</v>
      </c>
      <c r="B12" s="2" t="s">
        <v>18</v>
      </c>
      <c r="C12" s="9">
        <v>0.33093714714050293</v>
      </c>
      <c r="D12" s="9">
        <v>0.157695472240448</v>
      </c>
      <c r="E12" s="4">
        <f t="shared" si="0"/>
        <v>0.47651185006890956</v>
      </c>
      <c r="F12" s="10">
        <v>6.6348925232887268E-2</v>
      </c>
      <c r="G12" s="4">
        <v>5.55555559694767E-2</v>
      </c>
      <c r="H12" s="10">
        <v>0.83732412807704981</v>
      </c>
      <c r="I12" s="11"/>
      <c r="J12" s="10"/>
      <c r="K12" s="11"/>
      <c r="L12" s="10"/>
    </row>
    <row r="13" spans="1:12" ht="15.75" customHeight="1">
      <c r="A13" s="8">
        <v>10403</v>
      </c>
      <c r="B13" s="2" t="s">
        <v>19</v>
      </c>
      <c r="C13" s="9">
        <v>0.39477494359016418</v>
      </c>
      <c r="D13" s="9">
        <v>0.20789876580238342</v>
      </c>
      <c r="E13" s="4">
        <f t="shared" si="0"/>
        <v>0.52662604143948311</v>
      </c>
      <c r="F13" s="10">
        <v>0.15622290968894958</v>
      </c>
      <c r="G13" s="4">
        <v>9.5884367823600769E-2</v>
      </c>
      <c r="H13" s="10">
        <v>0.6137663676506413</v>
      </c>
      <c r="I13" s="11"/>
      <c r="J13" s="10"/>
      <c r="K13" s="11"/>
      <c r="L13" s="10"/>
    </row>
    <row r="14" spans="1:12" ht="15.75" customHeight="1">
      <c r="A14" s="8">
        <v>10404</v>
      </c>
      <c r="B14" s="2" t="s">
        <v>20</v>
      </c>
      <c r="C14" s="9">
        <v>0.2944922149181366</v>
      </c>
      <c r="D14" s="9">
        <v>0.26023513078689575</v>
      </c>
      <c r="E14" s="4">
        <f t="shared" si="0"/>
        <v>0.88367405861386294</v>
      </c>
      <c r="F14" s="10">
        <v>4.7489829361438751E-2</v>
      </c>
      <c r="G14" s="4">
        <v>2.5708442553877831E-2</v>
      </c>
      <c r="H14" s="10">
        <v>0.54134628192100476</v>
      </c>
      <c r="I14" s="11"/>
      <c r="J14" s="10"/>
      <c r="K14" s="11"/>
      <c r="L14" s="10"/>
    </row>
    <row r="15" spans="1:12" ht="15.75" customHeight="1">
      <c r="A15" s="8">
        <v>10405</v>
      </c>
      <c r="B15" s="2" t="s">
        <v>21</v>
      </c>
      <c r="C15" s="9">
        <v>0.35251224040985107</v>
      </c>
      <c r="D15" s="9">
        <v>0.31738439202308655</v>
      </c>
      <c r="E15" s="4">
        <f t="shared" si="0"/>
        <v>0.90034998970270408</v>
      </c>
      <c r="F15" s="10">
        <v>9.3421004712581635E-2</v>
      </c>
      <c r="G15" s="4">
        <v>8.5873015224933624E-2</v>
      </c>
      <c r="H15" s="10">
        <v>0.91920457812597822</v>
      </c>
      <c r="I15" s="11"/>
      <c r="J15" s="10"/>
      <c r="K15" s="11"/>
      <c r="L15" s="10"/>
    </row>
    <row r="16" spans="1:12" ht="15.75" customHeight="1">
      <c r="A16" s="8">
        <v>10501</v>
      </c>
      <c r="B16" s="2" t="s">
        <v>22</v>
      </c>
      <c r="C16" s="9">
        <v>0.25107473134994507</v>
      </c>
      <c r="D16" s="9">
        <v>0.18711359798908234</v>
      </c>
      <c r="E16" s="4">
        <f t="shared" si="0"/>
        <v>0.74525061515762636</v>
      </c>
      <c r="F16" s="10">
        <v>5.0320055335760117E-2</v>
      </c>
      <c r="G16" s="4">
        <v>4.0809847414493561E-2</v>
      </c>
      <c r="H16" s="10">
        <v>0.81100561480288968</v>
      </c>
      <c r="I16" s="11"/>
      <c r="J16" s="10"/>
      <c r="K16" s="11"/>
      <c r="L16" s="10"/>
    </row>
    <row r="17" spans="1:12" ht="15.75" customHeight="1">
      <c r="A17" s="8">
        <v>10502</v>
      </c>
      <c r="B17" s="2" t="s">
        <v>23</v>
      </c>
      <c r="C17" s="9">
        <v>0.41711962223052979</v>
      </c>
      <c r="D17" s="9">
        <v>0.28403118252754211</v>
      </c>
      <c r="E17" s="4">
        <f t="shared" si="0"/>
        <v>0.6809345985899613</v>
      </c>
      <c r="F17" s="10">
        <v>9.5458939671516418E-2</v>
      </c>
      <c r="G17" s="4">
        <v>3.7926997989416122E-2</v>
      </c>
      <c r="H17" s="10">
        <v>0.39731216499917815</v>
      </c>
      <c r="I17" s="11"/>
      <c r="J17" s="10"/>
      <c r="K17" s="11"/>
      <c r="L17" s="10"/>
    </row>
    <row r="18" spans="1:12" ht="15.75" customHeight="1">
      <c r="A18" s="8">
        <v>10601</v>
      </c>
      <c r="B18" s="2" t="s">
        <v>24</v>
      </c>
      <c r="C18" s="9">
        <v>0.35558032989501953</v>
      </c>
      <c r="D18" s="9">
        <v>0.17393012344837189</v>
      </c>
      <c r="E18" s="4">
        <f t="shared" si="0"/>
        <v>0.48914438967904239</v>
      </c>
      <c r="F18" s="10">
        <v>9.2559128999710083E-2</v>
      </c>
      <c r="G18" s="4">
        <v>8.4160320460796356E-2</v>
      </c>
      <c r="H18" s="10">
        <v>0.9092600737530705</v>
      </c>
      <c r="I18" s="11"/>
      <c r="J18" s="10"/>
      <c r="K18" s="11"/>
      <c r="L18" s="10"/>
    </row>
    <row r="19" spans="1:12" ht="15.75" customHeight="1">
      <c r="A19" s="8">
        <v>10602</v>
      </c>
      <c r="B19" s="2" t="s">
        <v>25</v>
      </c>
      <c r="C19" s="9">
        <v>0.32482290267944336</v>
      </c>
      <c r="D19" s="9">
        <v>0.19667705893516541</v>
      </c>
      <c r="E19" s="4">
        <f t="shared" si="0"/>
        <v>0.60549012188730822</v>
      </c>
      <c r="F19" s="10">
        <v>7.8037664294242859E-2</v>
      </c>
      <c r="G19" s="4">
        <v>4.7975171357393265E-2</v>
      </c>
      <c r="H19" s="10">
        <v>0.61476944231059694</v>
      </c>
      <c r="I19" s="11"/>
      <c r="J19" s="10"/>
      <c r="K19" s="11"/>
      <c r="L19" s="10"/>
    </row>
    <row r="20" spans="1:12" ht="15.75" customHeight="1">
      <c r="A20" s="8">
        <v>10701</v>
      </c>
      <c r="B20" s="2" t="s">
        <v>26</v>
      </c>
      <c r="C20" s="9">
        <v>0.25101736187934875</v>
      </c>
      <c r="D20" s="9">
        <v>0.12604428827762604</v>
      </c>
      <c r="E20" s="4">
        <f t="shared" si="0"/>
        <v>0.50213374618369666</v>
      </c>
      <c r="F20" s="10">
        <v>5.9638239443302155E-2</v>
      </c>
      <c r="G20" s="4">
        <v>3.5880018025636673E-2</v>
      </c>
      <c r="H20" s="10">
        <v>0.60162772007627197</v>
      </c>
      <c r="I20" s="11"/>
      <c r="J20" s="10"/>
      <c r="K20" s="11"/>
      <c r="L20" s="10"/>
    </row>
    <row r="21" spans="1:12" ht="15.75" customHeight="1">
      <c r="A21" s="8">
        <v>10702</v>
      </c>
      <c r="B21" s="2" t="s">
        <v>27</v>
      </c>
      <c r="C21" s="9">
        <v>0.4020845890045166</v>
      </c>
      <c r="D21" s="9">
        <v>0.22075767815113068</v>
      </c>
      <c r="E21" s="4">
        <f t="shared" si="0"/>
        <v>0.54903292537941795</v>
      </c>
      <c r="F21" s="10">
        <v>0.12919308245182037</v>
      </c>
      <c r="G21" s="4">
        <v>9.8870702087879181E-2</v>
      </c>
      <c r="H21" s="10">
        <v>0.76529408704797153</v>
      </c>
      <c r="I21" s="11"/>
      <c r="J21" s="10"/>
      <c r="K21" s="11"/>
      <c r="L21" s="10"/>
    </row>
    <row r="22" spans="1:12" ht="15.75" customHeight="1">
      <c r="A22" s="8">
        <v>10703</v>
      </c>
      <c r="B22" s="2" t="s">
        <v>28</v>
      </c>
      <c r="C22" s="9">
        <v>0.52832132577896118</v>
      </c>
      <c r="D22" s="9">
        <v>0.24916931986808777</v>
      </c>
      <c r="E22" s="4">
        <f t="shared" si="0"/>
        <v>0.4716245733611274</v>
      </c>
      <c r="F22" s="10">
        <v>0.2255547046661377</v>
      </c>
      <c r="G22" s="4">
        <v>0.14521770179271698</v>
      </c>
      <c r="H22" s="10">
        <v>0.64382475199382694</v>
      </c>
      <c r="I22" s="11"/>
      <c r="J22" s="10"/>
      <c r="K22" s="11"/>
      <c r="L22" s="10"/>
    </row>
    <row r="23" spans="1:12" ht="15.75" customHeight="1">
      <c r="A23" s="8">
        <v>10704</v>
      </c>
      <c r="B23" s="2" t="s">
        <v>29</v>
      </c>
      <c r="C23" s="9">
        <v>0.42467722296714783</v>
      </c>
      <c r="D23" s="9">
        <v>0.2157883495092392</v>
      </c>
      <c r="E23" s="4">
        <f t="shared" si="0"/>
        <v>0.50812320001897571</v>
      </c>
      <c r="F23" s="10">
        <v>0.16690501570701599</v>
      </c>
      <c r="G23" s="4">
        <v>8.6459584534168243E-2</v>
      </c>
      <c r="H23" s="10">
        <v>0.51801669451287702</v>
      </c>
      <c r="I23" s="11"/>
      <c r="J23" s="10"/>
      <c r="K23" s="11"/>
      <c r="L23" s="10"/>
    </row>
    <row r="24" spans="1:12" ht="15.75" customHeight="1">
      <c r="A24" s="8">
        <v>10801</v>
      </c>
      <c r="B24" s="2" t="s">
        <v>30</v>
      </c>
      <c r="C24" s="9">
        <v>0.29677832126617432</v>
      </c>
      <c r="D24" s="9">
        <v>0.22023209929466248</v>
      </c>
      <c r="E24" s="4">
        <f t="shared" si="0"/>
        <v>0.74207610028611515</v>
      </c>
      <c r="F24" s="10">
        <v>8.0332234501838684E-2</v>
      </c>
      <c r="G24" s="4">
        <v>3.9389673620462418E-2</v>
      </c>
      <c r="H24" s="10">
        <v>0.49033459438453497</v>
      </c>
      <c r="I24" s="11"/>
      <c r="J24" s="10"/>
      <c r="K24" s="11"/>
      <c r="L24" s="10"/>
    </row>
    <row r="25" spans="1:12" ht="15.75" customHeight="1">
      <c r="A25" s="8">
        <v>10901</v>
      </c>
      <c r="B25" s="2" t="s">
        <v>31</v>
      </c>
      <c r="C25" s="9">
        <v>0.32690882682800293</v>
      </c>
      <c r="D25" s="9">
        <v>0.27195873856544495</v>
      </c>
      <c r="E25" s="4">
        <f t="shared" si="0"/>
        <v>0.83191005028607268</v>
      </c>
      <c r="F25" s="10">
        <v>9.8778240382671356E-2</v>
      </c>
      <c r="G25" s="4">
        <v>4.1365150362253189E-2</v>
      </c>
      <c r="H25" s="10">
        <v>0.41876783998178885</v>
      </c>
      <c r="I25" s="11"/>
      <c r="J25" s="10"/>
      <c r="K25" s="11"/>
      <c r="L25" s="10"/>
    </row>
    <row r="26" spans="1:12" ht="14.4">
      <c r="A26" s="8">
        <v>10902</v>
      </c>
      <c r="B26" s="2" t="s">
        <v>32</v>
      </c>
      <c r="C26" s="9">
        <v>0.41759952902793884</v>
      </c>
      <c r="D26" s="9">
        <v>0.30167639255523682</v>
      </c>
      <c r="E26" s="4">
        <f t="shared" si="0"/>
        <v>0.72240596932055834</v>
      </c>
      <c r="F26" s="10">
        <v>0.15698778629302979</v>
      </c>
      <c r="G26" s="4">
        <v>9.9675461649894714E-2</v>
      </c>
      <c r="H26" s="10">
        <v>0.63492494545940537</v>
      </c>
      <c r="I26" s="11"/>
      <c r="J26" s="10"/>
      <c r="K26" s="11"/>
      <c r="L26" s="10"/>
    </row>
    <row r="27" spans="1:12" ht="14.4">
      <c r="A27" s="8">
        <v>10903</v>
      </c>
      <c r="B27" s="2" t="s">
        <v>33</v>
      </c>
      <c r="C27" s="9">
        <v>0.22262872755527496</v>
      </c>
      <c r="D27" s="9">
        <v>0.22339858114719391</v>
      </c>
      <c r="E27" s="4">
        <f t="shared" si="0"/>
        <v>1.0034580155057833</v>
      </c>
      <c r="F27" s="10">
        <v>3.6286920309066772E-2</v>
      </c>
      <c r="G27" s="4">
        <v>6.2199942767620087E-2</v>
      </c>
      <c r="H27" s="10">
        <v>1.7141146792795916</v>
      </c>
      <c r="I27" s="11"/>
      <c r="J27" s="10"/>
      <c r="K27" s="11"/>
      <c r="L27" s="10"/>
    </row>
    <row r="28" spans="1:12" ht="14.4">
      <c r="A28" s="8">
        <v>11001</v>
      </c>
      <c r="B28" s="2" t="s">
        <v>34</v>
      </c>
      <c r="C28" s="9">
        <v>0.3253406286239624</v>
      </c>
      <c r="D28" s="9">
        <v>0.17329871654510498</v>
      </c>
      <c r="E28" s="4">
        <f t="shared" si="0"/>
        <v>0.53266853659832436</v>
      </c>
      <c r="F28" s="10">
        <v>0.12056438624858856</v>
      </c>
      <c r="G28" s="4">
        <v>4.6896450221538544E-2</v>
      </c>
      <c r="H28" s="10">
        <v>0.38897432053312969</v>
      </c>
      <c r="I28" s="11"/>
      <c r="J28" s="10"/>
      <c r="K28" s="11"/>
      <c r="L28" s="10"/>
    </row>
    <row r="29" spans="1:12" ht="14.4">
      <c r="A29" s="8">
        <v>11002</v>
      </c>
      <c r="B29" s="2" t="s">
        <v>35</v>
      </c>
      <c r="C29" s="9">
        <v>0.30477777123451233</v>
      </c>
      <c r="D29" s="9">
        <v>0.26806524395942688</v>
      </c>
      <c r="E29" s="4">
        <f t="shared" si="0"/>
        <v>0.87954329107933249</v>
      </c>
      <c r="F29" s="10">
        <v>2.5123672559857368E-2</v>
      </c>
      <c r="G29" s="4">
        <v>4.5145332813262939E-2</v>
      </c>
      <c r="H29" s="10">
        <v>1.796924104376213</v>
      </c>
      <c r="I29" s="11"/>
      <c r="J29" s="10"/>
      <c r="K29" s="11"/>
      <c r="L29" s="10"/>
    </row>
    <row r="30" spans="1:12" ht="14.4">
      <c r="A30" s="8">
        <v>11003</v>
      </c>
      <c r="B30" s="2" t="s">
        <v>36</v>
      </c>
      <c r="C30" s="9">
        <v>0.26287338137626648</v>
      </c>
      <c r="D30" s="9">
        <v>0.18869209289550781</v>
      </c>
      <c r="E30" s="4">
        <f t="shared" si="0"/>
        <v>0.71780600952297058</v>
      </c>
      <c r="F30" s="10">
        <v>3.5332240164279938E-2</v>
      </c>
      <c r="G30" s="4">
        <v>2.814614400267601E-2</v>
      </c>
      <c r="H30" s="10">
        <v>0.79661362743512365</v>
      </c>
      <c r="I30" s="11"/>
      <c r="J30" s="10"/>
      <c r="K30" s="11"/>
      <c r="L30" s="10"/>
    </row>
    <row r="31" spans="1:12" ht="14.4">
      <c r="A31" s="8">
        <v>20101</v>
      </c>
      <c r="B31" s="2" t="s">
        <v>37</v>
      </c>
      <c r="C31" s="9">
        <v>3.4255992621183395E-2</v>
      </c>
      <c r="D31" s="9">
        <v>8.8308099657297134E-3</v>
      </c>
      <c r="E31" s="4">
        <f t="shared" si="0"/>
        <v>0.25778876307524867</v>
      </c>
      <c r="F31" s="10">
        <v>6.1450786888599396E-3</v>
      </c>
      <c r="G31" s="4">
        <v>1.0829910170286894E-3</v>
      </c>
      <c r="H31" s="10">
        <v>0.17623712760456292</v>
      </c>
      <c r="I31" s="11"/>
      <c r="J31" s="10"/>
      <c r="K31" s="11"/>
      <c r="L31" s="10"/>
    </row>
    <row r="32" spans="1:12" ht="14.4">
      <c r="A32" s="8">
        <v>20102</v>
      </c>
      <c r="B32" s="2" t="s">
        <v>38</v>
      </c>
      <c r="C32" s="9">
        <v>0.22652985155582428</v>
      </c>
      <c r="D32" s="9">
        <v>0.15762004256248474</v>
      </c>
      <c r="E32" s="4">
        <f t="shared" si="0"/>
        <v>0.69580252439110468</v>
      </c>
      <c r="F32" s="10">
        <v>5.4822392761707306E-2</v>
      </c>
      <c r="G32" s="4">
        <v>6.4713642001152039E-2</v>
      </c>
      <c r="H32" s="10">
        <v>1.1804235229651201</v>
      </c>
      <c r="I32" s="11"/>
      <c r="J32" s="10"/>
      <c r="K32" s="11"/>
      <c r="L32" s="10"/>
    </row>
    <row r="33" spans="1:12" ht="14.4">
      <c r="A33" s="8">
        <v>20103</v>
      </c>
      <c r="B33" s="2" t="s">
        <v>39</v>
      </c>
      <c r="C33" s="9">
        <v>0.19426749646663666</v>
      </c>
      <c r="D33" s="9">
        <v>5.1287811249494553E-2</v>
      </c>
      <c r="E33" s="4">
        <f t="shared" si="0"/>
        <v>0.26400613680787655</v>
      </c>
      <c r="F33" s="10">
        <v>3.7770397961139679E-2</v>
      </c>
      <c r="G33" s="4">
        <v>9.0882442891597748E-3</v>
      </c>
      <c r="H33" s="10">
        <v>0.24061817666073507</v>
      </c>
      <c r="I33" s="11"/>
      <c r="J33" s="10"/>
      <c r="K33" s="11"/>
      <c r="L33" s="10"/>
    </row>
    <row r="34" spans="1:12" ht="14.4">
      <c r="A34" s="8">
        <v>20104</v>
      </c>
      <c r="B34" s="2" t="s">
        <v>40</v>
      </c>
      <c r="C34" s="9">
        <v>0.20225898921489716</v>
      </c>
      <c r="D34" s="9">
        <v>0.1646321564912796</v>
      </c>
      <c r="E34" s="4">
        <f t="shared" si="0"/>
        <v>0.81396706831339094</v>
      </c>
      <c r="F34" s="10">
        <v>4.573870450258255E-2</v>
      </c>
      <c r="G34" s="4">
        <v>3.5456206649541855E-2</v>
      </c>
      <c r="H34" s="10">
        <v>0.77519044396064796</v>
      </c>
      <c r="I34" s="11"/>
      <c r="J34" s="10"/>
      <c r="K34" s="11"/>
      <c r="L34" s="10"/>
    </row>
    <row r="35" spans="1:12" ht="14.4">
      <c r="A35" s="8">
        <v>20105</v>
      </c>
      <c r="B35" s="2" t="s">
        <v>41</v>
      </c>
      <c r="C35" s="9">
        <v>6.2965191900730133E-2</v>
      </c>
      <c r="D35" s="9">
        <v>3.2404586672782898E-2</v>
      </c>
      <c r="E35" s="4">
        <f t="shared" si="0"/>
        <v>0.51464286369318823</v>
      </c>
      <c r="F35" s="10">
        <v>6.7467340268194675E-3</v>
      </c>
      <c r="G35" s="4">
        <v>3.5435059107840061E-3</v>
      </c>
      <c r="H35" s="10">
        <v>0.5252179642324627</v>
      </c>
      <c r="I35" s="11"/>
      <c r="J35" s="10"/>
      <c r="K35" s="11"/>
      <c r="L35" s="10"/>
    </row>
    <row r="36" spans="1:12" ht="14.4">
      <c r="A36" s="8">
        <v>20201</v>
      </c>
      <c r="B36" s="2" t="s">
        <v>42</v>
      </c>
      <c r="C36" s="9">
        <v>0.16387468576431274</v>
      </c>
      <c r="D36" s="9">
        <v>0.10240381211042404</v>
      </c>
      <c r="E36" s="4">
        <f t="shared" si="0"/>
        <v>0.62489097466647703</v>
      </c>
      <c r="F36" s="10">
        <v>3.5481803119182587E-2</v>
      </c>
      <c r="G36" s="4">
        <v>2.464546263217926E-2</v>
      </c>
      <c r="H36" s="10">
        <v>0.69459442490551282</v>
      </c>
      <c r="I36" s="11"/>
      <c r="J36" s="10"/>
      <c r="K36" s="11"/>
      <c r="L36" s="10"/>
    </row>
    <row r="37" spans="1:12" ht="14.4">
      <c r="A37" s="8">
        <v>20202</v>
      </c>
      <c r="B37" s="2" t="s">
        <v>43</v>
      </c>
      <c r="C37" s="9">
        <v>0.23493899405002594</v>
      </c>
      <c r="D37" s="9">
        <v>0.14517436921596527</v>
      </c>
      <c r="E37" s="4">
        <f t="shared" si="0"/>
        <v>0.61792368611680126</v>
      </c>
      <c r="F37" s="10">
        <v>6.4615190029144287E-2</v>
      </c>
      <c r="G37" s="4">
        <v>6.0849457979202271E-2</v>
      </c>
      <c r="H37" s="10">
        <v>0.94172063800720074</v>
      </c>
      <c r="I37" s="11"/>
      <c r="J37" s="10"/>
      <c r="K37" s="11"/>
      <c r="L37" s="10"/>
    </row>
    <row r="38" spans="1:12" ht="14.4">
      <c r="A38" s="8">
        <v>20203</v>
      </c>
      <c r="B38" s="2" t="s">
        <v>44</v>
      </c>
      <c r="C38" s="9">
        <v>0.14868970215320587</v>
      </c>
      <c r="D38" s="9">
        <v>0.15760442614555359</v>
      </c>
      <c r="E38" s="4">
        <f t="shared" si="0"/>
        <v>1.0599552212644976</v>
      </c>
      <c r="F38" s="10">
        <v>3.4508001059293747E-2</v>
      </c>
      <c r="G38" s="4">
        <v>4.7284878790378571E-2</v>
      </c>
      <c r="H38" s="10">
        <v>1.3702584136684943</v>
      </c>
      <c r="I38" s="11"/>
      <c r="J38" s="10"/>
      <c r="K38" s="11"/>
      <c r="L38" s="10"/>
    </row>
    <row r="39" spans="1:12" ht="14.4">
      <c r="A39" s="8">
        <v>20204</v>
      </c>
      <c r="B39" s="2" t="s">
        <v>45</v>
      </c>
      <c r="C39" s="9">
        <v>0.18091763556003571</v>
      </c>
      <c r="D39" s="9">
        <v>0.17180617153644562</v>
      </c>
      <c r="E39" s="4">
        <f t="shared" si="0"/>
        <v>0.94963750219603915</v>
      </c>
      <c r="F39" s="10">
        <v>3.6703705787658691E-2</v>
      </c>
      <c r="G39" s="4">
        <v>3.3968254923820496E-2</v>
      </c>
      <c r="H39" s="10">
        <v>0.92547207958609001</v>
      </c>
      <c r="I39" s="11"/>
      <c r="J39" s="10"/>
      <c r="K39" s="11"/>
      <c r="L39" s="10"/>
    </row>
    <row r="40" spans="1:12" ht="14.4">
      <c r="A40" s="8">
        <v>20205</v>
      </c>
      <c r="B40" s="2" t="s">
        <v>46</v>
      </c>
      <c r="C40" s="9">
        <v>0.15833471715450287</v>
      </c>
      <c r="D40" s="9">
        <v>0.1027911975979805</v>
      </c>
      <c r="E40" s="4">
        <f t="shared" si="0"/>
        <v>0.64920188980207638</v>
      </c>
      <c r="F40" s="10">
        <v>2.992670051753521E-2</v>
      </c>
      <c r="G40" s="4">
        <v>6.3352830708026886E-2</v>
      </c>
      <c r="H40" s="10">
        <v>2.1169333609265082</v>
      </c>
      <c r="I40" s="11"/>
      <c r="J40" s="10"/>
      <c r="K40" s="11"/>
      <c r="L40" s="10"/>
    </row>
    <row r="41" spans="1:12" ht="14.4">
      <c r="A41" s="8">
        <v>20206</v>
      </c>
      <c r="B41" s="2" t="s">
        <v>47</v>
      </c>
      <c r="C41" s="9">
        <v>8.2952812314033508E-2</v>
      </c>
      <c r="D41" s="9">
        <v>5.483405664563179E-2</v>
      </c>
      <c r="E41" s="4">
        <f t="shared" si="0"/>
        <v>0.66102709620075484</v>
      </c>
      <c r="F41" s="10">
        <v>2.164725586771965E-2</v>
      </c>
      <c r="G41" s="4">
        <v>1.3671875931322575E-2</v>
      </c>
      <c r="H41" s="10">
        <v>0.63157547611889464</v>
      </c>
      <c r="I41" s="11"/>
      <c r="J41" s="10"/>
      <c r="K41" s="11"/>
      <c r="L41" s="10"/>
    </row>
    <row r="42" spans="1:12" ht="14.4">
      <c r="A42" s="8">
        <v>20301</v>
      </c>
      <c r="B42" s="2" t="s">
        <v>48</v>
      </c>
      <c r="C42" s="9">
        <v>0.30456027388572693</v>
      </c>
      <c r="D42" s="9">
        <v>0.20242345333099365</v>
      </c>
      <c r="E42" s="4">
        <f t="shared" si="0"/>
        <v>0.66464168405280688</v>
      </c>
      <c r="F42" s="10">
        <v>9.2984855175018311E-2</v>
      </c>
      <c r="G42" s="4">
        <v>5.8120783418416977E-2</v>
      </c>
      <c r="H42" s="10">
        <v>0.62505644934350491</v>
      </c>
      <c r="I42" s="11"/>
      <c r="J42" s="10"/>
      <c r="K42" s="11"/>
      <c r="L42" s="10"/>
    </row>
    <row r="43" spans="1:12" ht="14.4">
      <c r="A43" s="8">
        <v>20302</v>
      </c>
      <c r="B43" s="2" t="s">
        <v>49</v>
      </c>
      <c r="C43" s="9">
        <v>0.32042112946510315</v>
      </c>
      <c r="D43" s="9">
        <v>0.27427822351455688</v>
      </c>
      <c r="E43" s="4">
        <f t="shared" si="0"/>
        <v>0.85599293645966734</v>
      </c>
      <c r="F43" s="10">
        <v>5.4775960743427277E-2</v>
      </c>
      <c r="G43" s="4">
        <v>4.4268544763326645E-2</v>
      </c>
      <c r="H43" s="10">
        <v>0.80817468397646597</v>
      </c>
      <c r="I43" s="11"/>
      <c r="J43" s="10"/>
      <c r="K43" s="11"/>
      <c r="L43" s="10"/>
    </row>
    <row r="44" spans="1:12" ht="14.4">
      <c r="A44" s="8">
        <v>20303</v>
      </c>
      <c r="B44" s="2" t="s">
        <v>50</v>
      </c>
      <c r="C44" s="9">
        <v>0.36040416359901428</v>
      </c>
      <c r="D44" s="9">
        <v>0.30912107229232788</v>
      </c>
      <c r="E44" s="4">
        <f t="shared" si="0"/>
        <v>0.85770671793974063</v>
      </c>
      <c r="F44" s="10">
        <v>9.8736561834812164E-2</v>
      </c>
      <c r="G44" s="4">
        <v>6.9097228348255157E-2</v>
      </c>
      <c r="H44" s="10">
        <v>0.6998140006521183</v>
      </c>
      <c r="I44" s="11"/>
      <c r="J44" s="10"/>
      <c r="K44" s="11"/>
      <c r="L44" s="10"/>
    </row>
    <row r="45" spans="1:12" ht="14.4">
      <c r="A45" s="8">
        <v>20304</v>
      </c>
      <c r="B45" s="2" t="s">
        <v>51</v>
      </c>
      <c r="C45" s="9">
        <v>0.28417789936065674</v>
      </c>
      <c r="D45" s="9">
        <v>7.0707075297832489E-2</v>
      </c>
      <c r="E45" s="4">
        <f t="shared" si="0"/>
        <v>0.24881271716382317</v>
      </c>
      <c r="F45" s="10">
        <v>3.8403496146202087E-2</v>
      </c>
      <c r="G45" s="4">
        <v>2.5582283735275269E-2</v>
      </c>
      <c r="H45" s="10">
        <v>0.66614465615014662</v>
      </c>
      <c r="I45" s="11"/>
      <c r="J45" s="10"/>
      <c r="K45" s="11"/>
      <c r="L45" s="10"/>
    </row>
    <row r="46" spans="1:12" ht="14.4">
      <c r="A46" s="8">
        <v>20305</v>
      </c>
      <c r="B46" s="2" t="s">
        <v>52</v>
      </c>
      <c r="C46" s="9">
        <v>0.32530725002288818</v>
      </c>
      <c r="D46" s="9">
        <v>0.23114806413650513</v>
      </c>
      <c r="E46" s="4">
        <f t="shared" si="0"/>
        <v>0.710553066739957</v>
      </c>
      <c r="F46" s="10">
        <v>0.1290113627910614</v>
      </c>
      <c r="G46" s="4">
        <v>0.10474371165037155</v>
      </c>
      <c r="H46" s="10">
        <v>0.8118952422819361</v>
      </c>
      <c r="I46" s="11"/>
      <c r="J46" s="10"/>
      <c r="K46" s="11"/>
      <c r="L46" s="10"/>
    </row>
    <row r="47" spans="1:12" ht="14.4">
      <c r="A47" s="8">
        <v>20306</v>
      </c>
      <c r="B47" s="2" t="s">
        <v>53</v>
      </c>
      <c r="C47" s="9">
        <v>0.29389384388923645</v>
      </c>
      <c r="D47" s="9">
        <v>0.22147901356220245</v>
      </c>
      <c r="E47" s="4">
        <f t="shared" si="0"/>
        <v>0.75360208513137172</v>
      </c>
      <c r="F47" s="10">
        <v>7.097432017326355E-2</v>
      </c>
      <c r="G47" s="4">
        <v>6.8906120955944061E-2</v>
      </c>
      <c r="H47" s="10">
        <v>0.9708598939409272</v>
      </c>
      <c r="I47" s="11"/>
      <c r="J47" s="10"/>
      <c r="K47" s="11"/>
      <c r="L47" s="10"/>
    </row>
    <row r="48" spans="1:12" ht="14.4">
      <c r="A48" s="8">
        <v>20307</v>
      </c>
      <c r="B48" s="2" t="s">
        <v>54</v>
      </c>
      <c r="C48" s="9">
        <v>0.25893887877464294</v>
      </c>
      <c r="D48" s="9">
        <v>0.33838388323783875</v>
      </c>
      <c r="E48" s="4">
        <f t="shared" si="0"/>
        <v>1.3068098728130262</v>
      </c>
      <c r="F48" s="10">
        <v>7.4643075466156006E-2</v>
      </c>
      <c r="G48" s="4">
        <v>5.0597511231899261E-2</v>
      </c>
      <c r="H48" s="10">
        <v>0.67785941181966347</v>
      </c>
      <c r="I48" s="11"/>
      <c r="J48" s="10"/>
      <c r="K48" s="11"/>
      <c r="L48" s="10"/>
    </row>
    <row r="49" spans="1:12" ht="14.4">
      <c r="A49" s="8">
        <v>20308</v>
      </c>
      <c r="B49" s="2" t="s">
        <v>55</v>
      </c>
      <c r="C49" s="9">
        <v>0.43639957904815674</v>
      </c>
      <c r="D49" s="9">
        <v>0.3406708836555481</v>
      </c>
      <c r="E49" s="4">
        <f t="shared" si="0"/>
        <v>0.78063980812858447</v>
      </c>
      <c r="F49" s="10">
        <v>0.13624534010887146</v>
      </c>
      <c r="G49" s="4">
        <v>9.5325954258441925E-2</v>
      </c>
      <c r="H49" s="10">
        <v>0.69966396048678425</v>
      </c>
      <c r="I49" s="11"/>
      <c r="J49" s="10"/>
      <c r="K49" s="11"/>
      <c r="L49" s="10"/>
    </row>
    <row r="50" spans="1:12" ht="14.4">
      <c r="A50" s="8">
        <v>20401</v>
      </c>
      <c r="B50" s="2" t="s">
        <v>56</v>
      </c>
      <c r="C50" s="9">
        <v>0.28652763366699219</v>
      </c>
      <c r="D50" s="9">
        <v>0.27054399251937866</v>
      </c>
      <c r="E50" s="4">
        <f t="shared" si="0"/>
        <v>0.9442160571284024</v>
      </c>
      <c r="F50" s="10">
        <v>9.4804935157299042E-2</v>
      </c>
      <c r="G50" s="4">
        <v>5.4553266614675522E-2</v>
      </c>
      <c r="H50" s="10">
        <v>0.57542644298170231</v>
      </c>
      <c r="I50" s="11"/>
      <c r="J50" s="10"/>
      <c r="K50" s="11"/>
      <c r="L50" s="10"/>
    </row>
    <row r="51" spans="1:12" ht="14.4">
      <c r="A51" s="8">
        <v>20402</v>
      </c>
      <c r="B51" s="2" t="s">
        <v>57</v>
      </c>
      <c r="C51" s="9">
        <v>0.27025997638702393</v>
      </c>
      <c r="D51" s="9">
        <v>0.16460904479026794</v>
      </c>
      <c r="E51" s="4">
        <f t="shared" si="0"/>
        <v>0.60907666385103465</v>
      </c>
      <c r="F51" s="10">
        <v>6.6946782171726227E-2</v>
      </c>
      <c r="G51" s="4">
        <v>5.7113189250230789E-2</v>
      </c>
      <c r="H51" s="10">
        <v>0.85311328487348148</v>
      </c>
      <c r="I51" s="11"/>
      <c r="J51" s="10"/>
      <c r="K51" s="11"/>
      <c r="L51" s="10"/>
    </row>
    <row r="52" spans="1:12" ht="14.4">
      <c r="A52" s="8">
        <v>20403</v>
      </c>
      <c r="B52" s="2" t="s">
        <v>58</v>
      </c>
      <c r="C52" s="9">
        <v>0.28407296538352966</v>
      </c>
      <c r="D52" s="9">
        <v>0.14751426875591278</v>
      </c>
      <c r="E52" s="4">
        <f t="shared" si="0"/>
        <v>0.51928302489732647</v>
      </c>
      <c r="F52" s="10">
        <v>6.6325634717941284E-2</v>
      </c>
      <c r="G52" s="4">
        <v>5.5423799902200699E-2</v>
      </c>
      <c r="H52" s="10">
        <v>0.83563165490836067</v>
      </c>
      <c r="I52" s="11"/>
      <c r="J52" s="10"/>
      <c r="K52" s="11"/>
      <c r="L52" s="10"/>
    </row>
    <row r="53" spans="1:12" ht="14.4">
      <c r="A53" s="8">
        <v>20404</v>
      </c>
      <c r="B53" s="2" t="s">
        <v>59</v>
      </c>
      <c r="C53" s="9">
        <v>0.30964305996894836</v>
      </c>
      <c r="D53" s="9">
        <v>0.25154322385787964</v>
      </c>
      <c r="E53" s="4">
        <f t="shared" si="0"/>
        <v>0.81236512739250444</v>
      </c>
      <c r="F53" s="10">
        <v>0.10377359390258789</v>
      </c>
      <c r="G53" s="4">
        <v>0.10951238870620728</v>
      </c>
      <c r="H53" s="10">
        <v>1.0553011087676734</v>
      </c>
      <c r="I53" s="11"/>
      <c r="J53" s="10"/>
      <c r="K53" s="11"/>
      <c r="L53" s="10"/>
    </row>
    <row r="54" spans="1:12" ht="14.4">
      <c r="A54" s="8">
        <v>20405</v>
      </c>
      <c r="B54" s="2" t="s">
        <v>60</v>
      </c>
      <c r="C54" s="9">
        <v>0.21990345418453217</v>
      </c>
      <c r="D54" s="9">
        <v>0.12927350401878357</v>
      </c>
      <c r="E54" s="4">
        <f t="shared" si="0"/>
        <v>0.58786481775908628</v>
      </c>
      <c r="F54" s="10">
        <v>8.4863334894180298E-2</v>
      </c>
      <c r="G54" s="4">
        <v>7.2923406958580017E-2</v>
      </c>
      <c r="H54" s="10">
        <v>0.85930404513929737</v>
      </c>
      <c r="I54" s="11"/>
      <c r="J54" s="10"/>
      <c r="K54" s="11"/>
      <c r="L54" s="10"/>
    </row>
    <row r="55" spans="1:12" ht="14.4">
      <c r="A55" s="8">
        <v>20501</v>
      </c>
      <c r="B55" s="2" t="s">
        <v>61</v>
      </c>
      <c r="C55" s="9">
        <v>0.2367766797542572</v>
      </c>
      <c r="D55" s="9">
        <v>0.13677313923835754</v>
      </c>
      <c r="E55" s="4">
        <f t="shared" si="0"/>
        <v>0.57764615746918124</v>
      </c>
      <c r="F55" s="10">
        <v>5.7246744632720947E-2</v>
      </c>
      <c r="G55" s="4">
        <v>3.5551153123378754E-2</v>
      </c>
      <c r="H55" s="10">
        <v>0.62101615299638391</v>
      </c>
      <c r="I55" s="11"/>
      <c r="J55" s="10"/>
      <c r="K55" s="11"/>
      <c r="L55" s="10"/>
    </row>
    <row r="56" spans="1:12" ht="14.4">
      <c r="A56" s="8">
        <v>20502</v>
      </c>
      <c r="B56" s="2" t="s">
        <v>62</v>
      </c>
      <c r="C56" s="9">
        <v>0.31267035007476807</v>
      </c>
      <c r="D56" s="9">
        <v>0.10908564925193787</v>
      </c>
      <c r="E56" s="4">
        <f t="shared" si="0"/>
        <v>0.34888389393446639</v>
      </c>
      <c r="F56" s="10">
        <v>8.3496958017349243E-2</v>
      </c>
      <c r="G56" s="4">
        <v>7.1343898773193359E-2</v>
      </c>
      <c r="H56" s="10">
        <v>0.85444907775405798</v>
      </c>
      <c r="I56" s="11"/>
      <c r="J56" s="10"/>
      <c r="K56" s="11"/>
      <c r="L56" s="10"/>
    </row>
    <row r="57" spans="1:12" ht="14.4">
      <c r="A57" s="8">
        <v>20503</v>
      </c>
      <c r="B57" s="2" t="s">
        <v>63</v>
      </c>
      <c r="C57" s="9">
        <v>0.30489671230316162</v>
      </c>
      <c r="D57" s="9">
        <v>0.1666666716337204</v>
      </c>
      <c r="E57" s="4">
        <f t="shared" si="0"/>
        <v>0.54663322006569293</v>
      </c>
      <c r="F57" s="10">
        <v>7.601301372051239E-2</v>
      </c>
      <c r="G57" s="4">
        <v>6.8815454840660095E-2</v>
      </c>
      <c r="H57" s="10">
        <v>0.90531149170960967</v>
      </c>
      <c r="I57" s="11"/>
      <c r="J57" s="10"/>
      <c r="K57" s="11"/>
      <c r="L57" s="10"/>
    </row>
    <row r="58" spans="1:12" ht="14.4">
      <c r="A58" s="8">
        <v>20601</v>
      </c>
      <c r="B58" s="2" t="s">
        <v>64</v>
      </c>
      <c r="C58" s="9">
        <v>0.23377478122711182</v>
      </c>
      <c r="D58" s="9">
        <v>0.21591250598430634</v>
      </c>
      <c r="E58" s="4">
        <f t="shared" si="0"/>
        <v>0.92359194970028735</v>
      </c>
      <c r="F58" s="10">
        <v>5.466199666261673E-2</v>
      </c>
      <c r="G58" s="4">
        <v>5.0893299281597137E-2</v>
      </c>
      <c r="H58" s="10">
        <v>0.93105452396331878</v>
      </c>
      <c r="I58" s="11"/>
      <c r="J58" s="10"/>
      <c r="K58" s="11"/>
      <c r="L58" s="10"/>
    </row>
    <row r="59" spans="1:12" ht="14.4">
      <c r="A59" s="8">
        <v>20602</v>
      </c>
      <c r="B59" s="2" t="s">
        <v>65</v>
      </c>
      <c r="C59" s="9">
        <v>0.22082310914993286</v>
      </c>
      <c r="D59" s="9">
        <v>0.1188129335641861</v>
      </c>
      <c r="E59" s="4">
        <f t="shared" si="0"/>
        <v>0.53804574177748465</v>
      </c>
      <c r="F59" s="10">
        <v>5.0195056945085526E-2</v>
      </c>
      <c r="G59" s="4">
        <v>3.5592850297689438E-2</v>
      </c>
      <c r="H59" s="10">
        <v>0.70909074446571074</v>
      </c>
      <c r="I59" s="11"/>
      <c r="J59" s="10"/>
      <c r="K59" s="11"/>
      <c r="L59" s="10"/>
    </row>
    <row r="60" spans="1:12" ht="14.4">
      <c r="A60" s="8">
        <v>20603</v>
      </c>
      <c r="B60" s="2" t="s">
        <v>66</v>
      </c>
      <c r="C60" s="9">
        <v>0.26297378540039063</v>
      </c>
      <c r="D60" s="9">
        <v>0.19473740458488464</v>
      </c>
      <c r="E60" s="4">
        <f t="shared" si="0"/>
        <v>0.74052021682840852</v>
      </c>
      <c r="F60" s="10">
        <v>6.9012939929962158E-2</v>
      </c>
      <c r="G60" s="4">
        <v>8.3428144454956055E-2</v>
      </c>
      <c r="H60" s="10">
        <v>1.2088768358459034</v>
      </c>
      <c r="I60" s="11"/>
      <c r="J60" s="10"/>
      <c r="K60" s="11"/>
      <c r="L60" s="10"/>
    </row>
    <row r="61" spans="1:12" ht="14.4">
      <c r="A61" s="8">
        <v>20604</v>
      </c>
      <c r="B61" s="2" t="s">
        <v>67</v>
      </c>
      <c r="C61" s="9">
        <v>0.25570032000541687</v>
      </c>
      <c r="D61" s="9">
        <v>0.12566137313842773</v>
      </c>
      <c r="E61" s="4">
        <f t="shared" si="0"/>
        <v>0.4914400307976371</v>
      </c>
      <c r="F61" s="10">
        <v>9.4450540840625763E-2</v>
      </c>
      <c r="G61" s="4">
        <v>5.5896390229463577E-2</v>
      </c>
      <c r="H61" s="10">
        <v>0.59180593072285526</v>
      </c>
      <c r="I61" s="11"/>
      <c r="J61" s="10"/>
      <c r="K61" s="11"/>
      <c r="L61" s="10"/>
    </row>
    <row r="62" spans="1:12" ht="14.4">
      <c r="A62" s="8">
        <v>20605</v>
      </c>
      <c r="B62" s="2" t="s">
        <v>68</v>
      </c>
      <c r="C62" s="9">
        <v>0.20034368336200714</v>
      </c>
      <c r="D62" s="9">
        <v>0.11302682012319565</v>
      </c>
      <c r="E62" s="4">
        <f t="shared" si="0"/>
        <v>0.56416463063107425</v>
      </c>
      <c r="F62" s="10">
        <v>6.7527242004871368E-2</v>
      </c>
      <c r="G62" s="4">
        <v>3.9858907461166382E-2</v>
      </c>
      <c r="H62" s="10">
        <v>0.59026411086493047</v>
      </c>
      <c r="I62" s="11"/>
      <c r="J62" s="10"/>
      <c r="K62" s="11"/>
      <c r="L62" s="10"/>
    </row>
    <row r="63" spans="1:12" ht="14.4">
      <c r="A63" s="8">
        <v>20606</v>
      </c>
      <c r="B63" s="2" t="s">
        <v>69</v>
      </c>
      <c r="C63" s="9">
        <v>0.12969101965427399</v>
      </c>
      <c r="D63" s="9">
        <v>0.10238350927829742</v>
      </c>
      <c r="E63" s="4">
        <f t="shared" si="0"/>
        <v>0.78944177901621859</v>
      </c>
      <c r="F63" s="10">
        <v>3.2906383275985718E-2</v>
      </c>
      <c r="G63" s="4">
        <v>2.501334622502327E-2</v>
      </c>
      <c r="H63" s="10">
        <v>0.7601365976697112</v>
      </c>
      <c r="I63" s="11"/>
      <c r="J63" s="10"/>
      <c r="K63" s="11"/>
      <c r="L63" s="10"/>
    </row>
    <row r="64" spans="1:12" ht="14.4">
      <c r="A64" s="8">
        <v>20607</v>
      </c>
      <c r="B64" s="2" t="s">
        <v>70</v>
      </c>
      <c r="C64" s="9">
        <v>0.12481795996427536</v>
      </c>
      <c r="D64" s="9">
        <v>8.2954026758670807E-2</v>
      </c>
      <c r="E64" s="4">
        <f t="shared" si="0"/>
        <v>0.66460008465459142</v>
      </c>
      <c r="F64" s="10">
        <v>2.2261746227741241E-2</v>
      </c>
      <c r="G64" s="4">
        <v>2.1710213273763657E-2</v>
      </c>
      <c r="H64" s="10">
        <v>0.97522508125214824</v>
      </c>
      <c r="I64" s="11"/>
      <c r="J64" s="10"/>
      <c r="K64" s="11"/>
      <c r="L64" s="10"/>
    </row>
    <row r="65" spans="1:12" ht="14.4">
      <c r="A65" s="8">
        <v>20608</v>
      </c>
      <c r="B65" s="2" t="s">
        <v>71</v>
      </c>
      <c r="C65" s="9">
        <v>0.29306018352508545</v>
      </c>
      <c r="D65" s="9">
        <v>0.19295567274093628</v>
      </c>
      <c r="E65" s="4">
        <f t="shared" si="0"/>
        <v>0.65841654236328429</v>
      </c>
      <c r="F65" s="10">
        <v>8.65597203373909E-2</v>
      </c>
      <c r="G65" s="4">
        <v>7.5063914060592651E-2</v>
      </c>
      <c r="H65" s="10">
        <v>0.86719219710980922</v>
      </c>
      <c r="I65" s="11"/>
      <c r="J65" s="10"/>
      <c r="K65" s="11"/>
      <c r="L65" s="10"/>
    </row>
    <row r="66" spans="1:12" ht="14.4">
      <c r="A66" s="8">
        <v>20701</v>
      </c>
      <c r="B66" s="2" t="s">
        <v>72</v>
      </c>
      <c r="C66" s="9">
        <v>0.29762285947799683</v>
      </c>
      <c r="D66" s="9">
        <v>0.15736296772956848</v>
      </c>
      <c r="E66" s="4">
        <f t="shared" si="0"/>
        <v>0.52873279964304043</v>
      </c>
      <c r="F66" s="10">
        <v>9.6205964684486389E-2</v>
      </c>
      <c r="G66" s="4">
        <v>4.9598362296819687E-2</v>
      </c>
      <c r="H66" s="10">
        <v>0.5155435264277084</v>
      </c>
      <c r="I66" s="11"/>
      <c r="J66" s="10"/>
      <c r="K66" s="11"/>
      <c r="L66" s="10"/>
    </row>
    <row r="67" spans="1:12" ht="14.4">
      <c r="A67" s="8">
        <v>20702</v>
      </c>
      <c r="B67" s="2" t="s">
        <v>73</v>
      </c>
      <c r="C67" s="9">
        <v>0.3403778076171875</v>
      </c>
      <c r="D67" s="9">
        <v>0.20395229756832123</v>
      </c>
      <c r="E67" s="4">
        <f t="shared" si="0"/>
        <v>0.59919387517091049</v>
      </c>
      <c r="F67" s="10">
        <v>5.0354942679405212E-2</v>
      </c>
      <c r="G67" s="4">
        <v>6.2408413738012314E-2</v>
      </c>
      <c r="H67" s="10">
        <v>1.2393701674004065</v>
      </c>
      <c r="I67" s="11"/>
      <c r="J67" s="10"/>
      <c r="K67" s="11"/>
      <c r="L67" s="10"/>
    </row>
    <row r="68" spans="1:12" ht="14.4">
      <c r="A68" s="8">
        <v>20801</v>
      </c>
      <c r="B68" s="2" t="s">
        <v>74</v>
      </c>
      <c r="C68" s="9">
        <v>0.13820470869541168</v>
      </c>
      <c r="D68" s="9">
        <v>8.9880317449569702E-2</v>
      </c>
      <c r="E68" s="4">
        <f t="shared" si="0"/>
        <v>0.65034193333930657</v>
      </c>
      <c r="F68" s="10">
        <v>2.3229246959090233E-2</v>
      </c>
      <c r="G68" s="4">
        <v>1.7259867861866951E-2</v>
      </c>
      <c r="H68" s="10">
        <v>0.74302313339144632</v>
      </c>
      <c r="I68" s="11"/>
      <c r="J68" s="10"/>
      <c r="K68" s="11"/>
      <c r="L68" s="10"/>
    </row>
    <row r="69" spans="1:12" ht="14.4">
      <c r="A69" s="8">
        <v>20802</v>
      </c>
      <c r="B69" s="2" t="s">
        <v>75</v>
      </c>
      <c r="C69" s="9">
        <v>0.15102803707122803</v>
      </c>
      <c r="D69" s="9">
        <v>0.14228491485118866</v>
      </c>
      <c r="E69" s="4">
        <f t="shared" si="0"/>
        <v>0.94210927726011606</v>
      </c>
      <c r="F69" s="10">
        <v>2.9050160199403763E-2</v>
      </c>
      <c r="G69" s="4">
        <v>2.2538987919688225E-2</v>
      </c>
      <c r="H69" s="10">
        <v>0.77586449661474932</v>
      </c>
      <c r="I69" s="11"/>
      <c r="J69" s="10"/>
      <c r="K69" s="11"/>
      <c r="L69" s="10"/>
    </row>
    <row r="70" spans="1:12" ht="14.4">
      <c r="A70" s="8">
        <v>20803</v>
      </c>
      <c r="B70" s="2" t="s">
        <v>76</v>
      </c>
      <c r="C70" s="9">
        <v>0.20894654095172882</v>
      </c>
      <c r="D70" s="9">
        <v>0.10789408534765244</v>
      </c>
      <c r="E70" s="4">
        <f t="shared" si="0"/>
        <v>0.51637172291154754</v>
      </c>
      <c r="F70" s="10">
        <v>7.9532548785209656E-2</v>
      </c>
      <c r="G70" s="4">
        <v>4.0051680058240891E-2</v>
      </c>
      <c r="H70" s="10">
        <v>0.50358853915780877</v>
      </c>
      <c r="I70" s="11"/>
      <c r="J70" s="10"/>
      <c r="K70" s="11"/>
      <c r="L70" s="10"/>
    </row>
    <row r="71" spans="1:12" ht="14.4">
      <c r="A71" s="8">
        <v>20804</v>
      </c>
      <c r="B71" s="2" t="s">
        <v>77</v>
      </c>
      <c r="C71" s="9">
        <v>0.10521043092012405</v>
      </c>
      <c r="D71" s="9">
        <v>6.3180826604366302E-2</v>
      </c>
      <c r="E71" s="4">
        <f t="shared" si="0"/>
        <v>0.60051865629495704</v>
      </c>
      <c r="F71" s="10">
        <v>1.4388729818165302E-2</v>
      </c>
      <c r="G71" s="4">
        <v>9.2097446322441101E-3</v>
      </c>
      <c r="H71" s="10">
        <v>0.64006654851612454</v>
      </c>
      <c r="I71" s="11"/>
      <c r="J71" s="10"/>
      <c r="K71" s="11"/>
      <c r="L71" s="10"/>
    </row>
    <row r="72" spans="1:12" ht="14.4">
      <c r="A72" s="8">
        <v>20805</v>
      </c>
      <c r="B72" s="2" t="s">
        <v>78</v>
      </c>
      <c r="C72" s="9">
        <v>0.290657639503479</v>
      </c>
      <c r="D72" s="9">
        <v>0.25378790497779846</v>
      </c>
      <c r="E72" s="4">
        <f t="shared" si="0"/>
        <v>0.87315064352458127</v>
      </c>
      <c r="F72" s="10">
        <v>5.6828737258911133E-2</v>
      </c>
      <c r="G72" s="4">
        <v>6.2378168106079102E-2</v>
      </c>
      <c r="H72" s="10">
        <v>1.0976518415653831</v>
      </c>
      <c r="I72" s="11"/>
      <c r="J72" s="10"/>
      <c r="K72" s="11"/>
      <c r="L72" s="10"/>
    </row>
    <row r="73" spans="1:12" ht="14.4">
      <c r="A73" s="8">
        <v>20806</v>
      </c>
      <c r="B73" s="2" t="s">
        <v>79</v>
      </c>
      <c r="C73" s="9">
        <v>0.19613200426101685</v>
      </c>
      <c r="D73" s="9">
        <v>0.12881022691726685</v>
      </c>
      <c r="E73" s="4">
        <f t="shared" si="0"/>
        <v>0.65675271816344327</v>
      </c>
      <c r="F73" s="10">
        <v>4.6093638986349106E-2</v>
      </c>
      <c r="G73" s="4">
        <v>3.382573276758194E-2</v>
      </c>
      <c r="H73" s="10">
        <v>0.73384817322840623</v>
      </c>
      <c r="I73" s="11"/>
      <c r="J73" s="10"/>
      <c r="K73" s="11"/>
      <c r="L73" s="10"/>
    </row>
    <row r="74" spans="1:12" ht="14.4">
      <c r="A74" s="8">
        <v>20807</v>
      </c>
      <c r="B74" s="2" t="s">
        <v>80</v>
      </c>
      <c r="C74" s="9">
        <v>0.16898292303085327</v>
      </c>
      <c r="D74" s="9">
        <v>0.17582418024539948</v>
      </c>
      <c r="E74" s="4">
        <f t="shared" si="0"/>
        <v>1.040484902804629</v>
      </c>
      <c r="F74" s="10">
        <v>4.1531827300786972E-2</v>
      </c>
      <c r="G74" s="4">
        <v>3.9611361920833588E-2</v>
      </c>
      <c r="H74" s="10">
        <v>0.95375918892167322</v>
      </c>
      <c r="I74" s="11"/>
      <c r="J74" s="10"/>
      <c r="K74" s="11"/>
      <c r="L74" s="10"/>
    </row>
    <row r="75" spans="1:12" ht="14.4">
      <c r="A75" s="8">
        <v>20901</v>
      </c>
      <c r="B75" s="2" t="s">
        <v>81</v>
      </c>
      <c r="C75" s="9">
        <v>0.17727392911911011</v>
      </c>
      <c r="D75" s="9">
        <v>0.15603345632553101</v>
      </c>
      <c r="E75" s="4">
        <f t="shared" si="0"/>
        <v>0.88018276066241152</v>
      </c>
      <c r="F75" s="10">
        <v>4.1460558772087097E-2</v>
      </c>
      <c r="G75" s="4">
        <v>3.8340270519256592E-2</v>
      </c>
      <c r="H75" s="10">
        <v>0.9247408055935028</v>
      </c>
      <c r="I75" s="11"/>
      <c r="J75" s="10"/>
      <c r="K75" s="11"/>
      <c r="L75" s="10"/>
    </row>
    <row r="76" spans="1:12" ht="14.4">
      <c r="A76" s="8">
        <v>20902</v>
      </c>
      <c r="B76" s="2" t="s">
        <v>82</v>
      </c>
      <c r="C76" s="9">
        <v>0.30026295781135559</v>
      </c>
      <c r="D76" s="9">
        <v>0.23951378464698792</v>
      </c>
      <c r="E76" s="4">
        <f t="shared" si="0"/>
        <v>0.7976800947836723</v>
      </c>
      <c r="F76" s="10">
        <v>5.4323110729455948E-2</v>
      </c>
      <c r="G76" s="4">
        <v>2.9512582346796989E-2</v>
      </c>
      <c r="H76" s="10">
        <v>0.54327857794775003</v>
      </c>
      <c r="I76" s="11"/>
      <c r="J76" s="10"/>
      <c r="K76" s="11"/>
      <c r="L76" s="10"/>
    </row>
    <row r="77" spans="1:12" ht="14.4">
      <c r="A77" s="8">
        <v>20903</v>
      </c>
      <c r="B77" s="2" t="s">
        <v>83</v>
      </c>
      <c r="C77" s="9">
        <v>0.25045633316040039</v>
      </c>
      <c r="D77" s="9">
        <v>0.23467715084552765</v>
      </c>
      <c r="E77" s="4">
        <f t="shared" si="0"/>
        <v>0.93699826985501999</v>
      </c>
      <c r="F77" s="10">
        <v>9.1748692095279694E-2</v>
      </c>
      <c r="G77" s="4">
        <v>9.8983414471149445E-2</v>
      </c>
      <c r="H77" s="10">
        <v>1.078853684021529</v>
      </c>
      <c r="I77" s="11"/>
      <c r="J77" s="10"/>
      <c r="K77" s="11"/>
      <c r="L77" s="10"/>
    </row>
    <row r="78" spans="1:12" ht="14.4">
      <c r="A78" s="8">
        <v>20904</v>
      </c>
      <c r="B78" s="2" t="s">
        <v>84</v>
      </c>
      <c r="C78" s="9">
        <v>0.22456477582454681</v>
      </c>
      <c r="D78" s="9">
        <v>0.25595235824584961</v>
      </c>
      <c r="E78" s="4">
        <f t="shared" si="0"/>
        <v>1.1397707289847898</v>
      </c>
      <c r="F78" s="10">
        <v>8.3092786371707916E-2</v>
      </c>
      <c r="G78" s="4">
        <v>0.10387732833623886</v>
      </c>
      <c r="H78" s="10">
        <v>1.2501365385865533</v>
      </c>
      <c r="I78" s="11"/>
      <c r="J78" s="10"/>
      <c r="K78" s="11"/>
      <c r="L78" s="10"/>
    </row>
    <row r="79" spans="1:12" ht="14.4">
      <c r="A79" s="8">
        <v>20905</v>
      </c>
      <c r="B79" s="2" t="s">
        <v>85</v>
      </c>
      <c r="C79" s="9">
        <v>0.19849716126918793</v>
      </c>
      <c r="D79" s="9">
        <v>0.10669122636318207</v>
      </c>
      <c r="E79" s="4">
        <f t="shared" si="0"/>
        <v>0.53749497313210903</v>
      </c>
      <c r="F79" s="10">
        <v>6.0501769185066223E-2</v>
      </c>
      <c r="G79" s="4">
        <v>6.753065437078476E-2</v>
      </c>
      <c r="H79" s="10">
        <v>1.1161765231065919</v>
      </c>
      <c r="I79" s="11"/>
      <c r="J79" s="10"/>
      <c r="K79" s="11"/>
      <c r="L79" s="10"/>
    </row>
    <row r="80" spans="1:12" ht="14.4">
      <c r="A80" s="8">
        <v>21001</v>
      </c>
      <c r="B80" s="2" t="s">
        <v>86</v>
      </c>
      <c r="C80" s="9">
        <v>0.38789883255958557</v>
      </c>
      <c r="D80" s="9">
        <v>0.20679445564746857</v>
      </c>
      <c r="E80" s="4">
        <f t="shared" si="0"/>
        <v>0.53311440584370062</v>
      </c>
      <c r="F80" s="10">
        <v>0.10462336242198944</v>
      </c>
      <c r="G80" s="4">
        <v>7.6679341495037079E-2</v>
      </c>
      <c r="H80" s="10">
        <v>0.73290840324704409</v>
      </c>
      <c r="I80" s="11"/>
      <c r="J80" s="10"/>
      <c r="K80" s="11"/>
      <c r="L80" s="10"/>
    </row>
    <row r="81" spans="1:12" ht="14.4">
      <c r="A81" s="8">
        <v>21002</v>
      </c>
      <c r="B81" s="2" t="s">
        <v>87</v>
      </c>
      <c r="C81" s="9">
        <v>0.20486219227313995</v>
      </c>
      <c r="D81" s="9">
        <v>9.3670889735221863E-2</v>
      </c>
      <c r="E81" s="4">
        <f t="shared" si="0"/>
        <v>0.45723854019062604</v>
      </c>
      <c r="F81" s="10">
        <v>6.1091825366020203E-2</v>
      </c>
      <c r="G81" s="4">
        <v>2.7718447148799896E-2</v>
      </c>
      <c r="H81" s="10">
        <v>0.45371777619558795</v>
      </c>
      <c r="I81" s="11"/>
      <c r="J81" s="10"/>
      <c r="K81" s="11"/>
      <c r="L81" s="10"/>
    </row>
    <row r="82" spans="1:12" ht="14.4">
      <c r="A82" s="8">
        <v>21003</v>
      </c>
      <c r="B82" s="2" t="s">
        <v>88</v>
      </c>
      <c r="C82" s="9">
        <v>0.14421434700489044</v>
      </c>
      <c r="D82" s="9">
        <v>0.10690843313932419</v>
      </c>
      <c r="E82" s="4">
        <f t="shared" si="0"/>
        <v>0.7413162099308942</v>
      </c>
      <c r="F82" s="10">
        <v>4.3226886540651321E-2</v>
      </c>
      <c r="G82" s="4">
        <v>2.5012988597154617E-2</v>
      </c>
      <c r="H82" s="10">
        <v>0.5786442327654564</v>
      </c>
      <c r="I82" s="11"/>
      <c r="J82" s="10"/>
      <c r="K82" s="11"/>
      <c r="L82" s="10"/>
    </row>
    <row r="83" spans="1:12" ht="14.4">
      <c r="A83" s="8">
        <v>21004</v>
      </c>
      <c r="B83" s="2" t="s">
        <v>89</v>
      </c>
      <c r="C83" s="9">
        <v>0.22559909522533417</v>
      </c>
      <c r="D83" s="9">
        <v>0.10397003591060638</v>
      </c>
      <c r="E83" s="4">
        <f t="shared" si="0"/>
        <v>0.4608619365550134</v>
      </c>
      <c r="F83" s="10">
        <v>6.5770067274570465E-2</v>
      </c>
      <c r="G83" s="4">
        <v>3.6914464086294174E-2</v>
      </c>
      <c r="H83" s="10">
        <v>0.56126541473931091</v>
      </c>
      <c r="I83" s="11"/>
      <c r="J83" s="10"/>
      <c r="K83" s="11"/>
      <c r="L83" s="10"/>
    </row>
    <row r="84" spans="1:12" ht="14.4">
      <c r="A84" s="8">
        <v>21005</v>
      </c>
      <c r="B84" s="2" t="s">
        <v>90</v>
      </c>
      <c r="C84" s="9">
        <v>0.33793628215789795</v>
      </c>
      <c r="D84" s="9">
        <v>0.25242358446121216</v>
      </c>
      <c r="E84" s="4">
        <f t="shared" si="0"/>
        <v>0.74695615057772724</v>
      </c>
      <c r="F84" s="10">
        <v>0.14551073312759399</v>
      </c>
      <c r="G84" s="4">
        <v>0.12358443439006805</v>
      </c>
      <c r="H84" s="10">
        <v>0.84931490436310686</v>
      </c>
      <c r="I84" s="11"/>
      <c r="J84" s="10"/>
      <c r="K84" s="11"/>
      <c r="L84" s="10"/>
    </row>
    <row r="85" spans="1:12" ht="14.4">
      <c r="A85" s="8">
        <v>21006</v>
      </c>
      <c r="B85" s="2" t="s">
        <v>91</v>
      </c>
      <c r="C85" s="9">
        <v>0.23417706787586212</v>
      </c>
      <c r="D85" s="9">
        <v>0.10232426971197128</v>
      </c>
      <c r="E85" s="4">
        <f t="shared" si="0"/>
        <v>0.43695256175217656</v>
      </c>
      <c r="F85" s="10">
        <v>6.5697290003299713E-2</v>
      </c>
      <c r="G85" s="4">
        <v>4.2769253253936768E-2</v>
      </c>
      <c r="H85" s="10">
        <v>0.65100483219001326</v>
      </c>
      <c r="I85" s="11"/>
      <c r="J85" s="10"/>
      <c r="K85" s="11"/>
      <c r="L85" s="10"/>
    </row>
    <row r="86" spans="1:12" ht="14.4">
      <c r="A86" s="8">
        <v>21101</v>
      </c>
      <c r="B86" s="2" t="s">
        <v>92</v>
      </c>
      <c r="C86" s="9">
        <v>0.11947924643754959</v>
      </c>
      <c r="D86" s="9">
        <v>9.3179449439048767E-2</v>
      </c>
      <c r="E86" s="4">
        <f t="shared" si="0"/>
        <v>0.77987978847650818</v>
      </c>
      <c r="F86" s="10">
        <v>1.9164411351084709E-2</v>
      </c>
      <c r="G86" s="4">
        <v>2.0232889801263809E-2</v>
      </c>
      <c r="H86" s="10">
        <v>1.055753262158956</v>
      </c>
      <c r="I86" s="11"/>
      <c r="J86" s="10"/>
      <c r="K86" s="11"/>
      <c r="L86" s="10"/>
    </row>
    <row r="87" spans="1:12" ht="14.4">
      <c r="A87" s="8">
        <v>21102</v>
      </c>
      <c r="B87" s="2" t="s">
        <v>93</v>
      </c>
      <c r="C87" s="9">
        <v>0.19101399183273315</v>
      </c>
      <c r="D87" s="9">
        <v>0.12798100709915161</v>
      </c>
      <c r="E87" s="4">
        <f t="shared" si="0"/>
        <v>0.67000854686719402</v>
      </c>
      <c r="F87" s="10">
        <v>4.5929059386253357E-2</v>
      </c>
      <c r="G87" s="4">
        <v>3.9637897163629532E-2</v>
      </c>
      <c r="H87" s="10">
        <v>0.86302436177243425</v>
      </c>
      <c r="I87" s="11"/>
      <c r="J87" s="10"/>
      <c r="K87" s="11"/>
      <c r="L87" s="10"/>
    </row>
    <row r="88" spans="1:12" ht="14.4">
      <c r="A88" s="8">
        <v>21103</v>
      </c>
      <c r="B88" s="2" t="s">
        <v>94</v>
      </c>
      <c r="C88" s="9">
        <v>0.12051263451576233</v>
      </c>
      <c r="D88" s="9">
        <v>6.981930136680603E-2</v>
      </c>
      <c r="E88" s="4">
        <f t="shared" si="0"/>
        <v>0.57935254380049328</v>
      </c>
      <c r="F88" s="10">
        <v>2.4038681760430336E-2</v>
      </c>
      <c r="G88" s="4">
        <v>1.2786243110895157E-2</v>
      </c>
      <c r="H88" s="10">
        <v>0.53190284052690329</v>
      </c>
      <c r="I88" s="11"/>
      <c r="J88" s="10"/>
      <c r="K88" s="11"/>
      <c r="L88" s="10"/>
    </row>
    <row r="89" spans="1:12" ht="14.4">
      <c r="A89" s="8">
        <v>21104</v>
      </c>
      <c r="B89" s="2" t="s">
        <v>95</v>
      </c>
      <c r="C89" s="9">
        <v>0.21319612860679626</v>
      </c>
      <c r="D89" s="9">
        <v>0.1830500066280365</v>
      </c>
      <c r="E89" s="4">
        <f t="shared" si="0"/>
        <v>0.85859911164541303</v>
      </c>
      <c r="F89" s="10">
        <v>8.7891459465026855E-2</v>
      </c>
      <c r="G89" s="4">
        <v>5.7436872273683548E-2</v>
      </c>
      <c r="H89" s="10">
        <v>0.65349776443908547</v>
      </c>
      <c r="I89" s="11"/>
      <c r="J89" s="10"/>
      <c r="K89" s="11"/>
      <c r="L89" s="10"/>
    </row>
    <row r="90" spans="1:12" ht="14.4">
      <c r="A90" s="8">
        <v>21105</v>
      </c>
      <c r="B90" s="2" t="s">
        <v>96</v>
      </c>
      <c r="C90" s="9">
        <v>0.38789457082748413</v>
      </c>
      <c r="D90" s="9">
        <v>0.32984030246734619</v>
      </c>
      <c r="E90" s="4">
        <f t="shared" si="0"/>
        <v>0.85033492931779775</v>
      </c>
      <c r="F90" s="10">
        <v>7.6714798808097839E-2</v>
      </c>
      <c r="G90" s="4">
        <v>7.0129796862602234E-2</v>
      </c>
      <c r="H90" s="10">
        <v>0.91416255992578443</v>
      </c>
      <c r="I90" s="11"/>
      <c r="J90" s="10"/>
      <c r="K90" s="11"/>
      <c r="L90" s="10"/>
    </row>
    <row r="91" spans="1:12" ht="14.4">
      <c r="A91" s="8">
        <v>21201</v>
      </c>
      <c r="B91" s="2" t="s">
        <v>97</v>
      </c>
      <c r="C91" s="9">
        <v>0.22709453105926514</v>
      </c>
      <c r="D91" s="9">
        <v>0.19538554549217224</v>
      </c>
      <c r="E91" s="4">
        <f t="shared" si="0"/>
        <v>0.86037098551343905</v>
      </c>
      <c r="F91" s="10">
        <v>5.6562982499599457E-2</v>
      </c>
      <c r="G91" s="4">
        <v>5.8309987187385559E-2</v>
      </c>
      <c r="H91" s="10">
        <v>1.0308860072539221</v>
      </c>
      <c r="I91" s="11"/>
      <c r="J91" s="10"/>
      <c r="K91" s="11"/>
      <c r="L91" s="10"/>
    </row>
    <row r="92" spans="1:12" ht="14.4">
      <c r="A92" s="8">
        <v>21202</v>
      </c>
      <c r="B92" s="2" t="s">
        <v>98</v>
      </c>
      <c r="C92" s="9">
        <v>0.22375212609767914</v>
      </c>
      <c r="D92" s="9">
        <v>0.1909722238779068</v>
      </c>
      <c r="E92" s="4">
        <f t="shared" si="0"/>
        <v>0.85349903577916286</v>
      </c>
      <c r="F92" s="10">
        <v>4.8827420920133591E-2</v>
      </c>
      <c r="G92" s="4">
        <v>3.9586715400218964E-2</v>
      </c>
      <c r="H92" s="10">
        <v>0.81074762201694961</v>
      </c>
      <c r="I92" s="11"/>
      <c r="J92" s="10"/>
      <c r="K92" s="11"/>
      <c r="L92" s="10"/>
    </row>
    <row r="93" spans="1:12" ht="14.4">
      <c r="A93" s="8">
        <v>21203</v>
      </c>
      <c r="B93" s="2" t="s">
        <v>99</v>
      </c>
      <c r="C93" s="9">
        <v>0.17422965168952942</v>
      </c>
      <c r="D93" s="9">
        <v>9.1183580458164215E-2</v>
      </c>
      <c r="E93" s="4">
        <f t="shared" si="0"/>
        <v>0.52335282527367888</v>
      </c>
      <c r="F93" s="10">
        <v>4.7351323068141937E-2</v>
      </c>
      <c r="G93" s="4">
        <v>4.9721773713827133E-2</v>
      </c>
      <c r="H93" s="10">
        <v>1.0500609168253641</v>
      </c>
      <c r="I93" s="11"/>
      <c r="J93" s="10"/>
      <c r="K93" s="11"/>
      <c r="L93" s="10"/>
    </row>
    <row r="94" spans="1:12" ht="14.4">
      <c r="A94" s="8">
        <v>21204</v>
      </c>
      <c r="B94" s="2" t="s">
        <v>100</v>
      </c>
      <c r="C94" s="9">
        <v>0.19926699995994568</v>
      </c>
      <c r="D94" s="9">
        <v>0.1424836665391922</v>
      </c>
      <c r="E94" s="4">
        <f t="shared" si="0"/>
        <v>0.71503895059308664</v>
      </c>
      <c r="F94" s="10">
        <v>5.487552285194397E-2</v>
      </c>
      <c r="G94" s="4">
        <v>2.9508195817470551E-2</v>
      </c>
      <c r="H94" s="10">
        <v>0.53772965220002855</v>
      </c>
      <c r="I94" s="11"/>
      <c r="J94" s="10"/>
      <c r="K94" s="11"/>
      <c r="L94" s="10"/>
    </row>
    <row r="95" spans="1:12" ht="14.4">
      <c r="A95" s="8">
        <v>21301</v>
      </c>
      <c r="B95" s="2" t="s">
        <v>101</v>
      </c>
      <c r="C95" s="9">
        <v>0.23962134122848511</v>
      </c>
      <c r="D95" s="9">
        <v>0.1365807056427002</v>
      </c>
      <c r="E95" s="4">
        <f t="shared" si="0"/>
        <v>0.56998556531935518</v>
      </c>
      <c r="F95" s="10">
        <v>6.9222338497638702E-2</v>
      </c>
      <c r="G95" s="4">
        <v>5.0596848130226135E-2</v>
      </c>
      <c r="H95" s="10">
        <v>0.73093237281996881</v>
      </c>
      <c r="I95" s="11"/>
      <c r="J95" s="10"/>
      <c r="K95" s="11"/>
      <c r="L95" s="10"/>
    </row>
    <row r="96" spans="1:12" ht="14.4">
      <c r="A96" s="8">
        <v>21302</v>
      </c>
      <c r="B96" s="2" t="s">
        <v>102</v>
      </c>
      <c r="C96" s="9">
        <v>0.25127166509628296</v>
      </c>
      <c r="D96" s="9">
        <v>0.19300034642219543</v>
      </c>
      <c r="E96" s="4">
        <f t="shared" si="0"/>
        <v>0.76809435058362441</v>
      </c>
      <c r="F96" s="10">
        <v>5.9319522231817245E-2</v>
      </c>
      <c r="G96" s="4">
        <v>3.3465612679719925E-2</v>
      </c>
      <c r="H96" s="10">
        <v>0.56415849994439027</v>
      </c>
      <c r="I96" s="11"/>
      <c r="J96" s="10"/>
      <c r="K96" s="11"/>
      <c r="L96" s="10"/>
    </row>
    <row r="97" spans="1:12" ht="14.4">
      <c r="A97" s="8">
        <v>21303</v>
      </c>
      <c r="B97" s="2" t="s">
        <v>103</v>
      </c>
      <c r="C97" s="9">
        <v>0.27144250273704529</v>
      </c>
      <c r="D97" s="9">
        <v>0.28688526153564453</v>
      </c>
      <c r="E97" s="4">
        <f t="shared" si="0"/>
        <v>1.0568914545175674</v>
      </c>
      <c r="F97" s="10">
        <v>9.1236412525177002E-2</v>
      </c>
      <c r="G97" s="4">
        <v>9.721016138792038E-2</v>
      </c>
      <c r="H97" s="10">
        <v>1.0654754905131205</v>
      </c>
      <c r="I97" s="11"/>
      <c r="J97" s="10"/>
      <c r="K97" s="11"/>
      <c r="L97" s="10"/>
    </row>
    <row r="98" spans="1:12" ht="14.4">
      <c r="A98" s="8">
        <v>21304</v>
      </c>
      <c r="B98" s="2" t="s">
        <v>104</v>
      </c>
      <c r="C98" s="9">
        <v>0.21096277236938477</v>
      </c>
      <c r="D98" s="9">
        <v>0.18063972890377045</v>
      </c>
      <c r="E98" s="4">
        <f t="shared" si="0"/>
        <v>0.85626353348959472</v>
      </c>
      <c r="F98" s="10">
        <v>4.4121567159891129E-2</v>
      </c>
      <c r="G98" s="4">
        <v>4.1928719729185104E-2</v>
      </c>
      <c r="H98" s="10">
        <v>0.95029987437301544</v>
      </c>
      <c r="I98" s="11"/>
      <c r="J98" s="10"/>
      <c r="K98" s="11"/>
      <c r="L98" s="10"/>
    </row>
    <row r="99" spans="1:12" ht="14.4">
      <c r="A99" s="8">
        <v>21305</v>
      </c>
      <c r="B99" s="2" t="s">
        <v>105</v>
      </c>
      <c r="C99" s="9">
        <v>0.1488652378320694</v>
      </c>
      <c r="D99" s="9">
        <v>8.5770949721336365E-2</v>
      </c>
      <c r="E99" s="4">
        <f t="shared" si="0"/>
        <v>0.57616506694526037</v>
      </c>
      <c r="F99" s="10">
        <v>3.9191786199808121E-2</v>
      </c>
      <c r="G99" s="4">
        <v>3.3176746219396591E-2</v>
      </c>
      <c r="H99" s="10">
        <v>0.84652294361513492</v>
      </c>
      <c r="I99" s="11"/>
      <c r="J99" s="10"/>
      <c r="K99" s="11"/>
      <c r="L99" s="10"/>
    </row>
    <row r="100" spans="1:12" ht="14.4">
      <c r="A100" s="8">
        <v>21306</v>
      </c>
      <c r="B100" s="2" t="s">
        <v>106</v>
      </c>
      <c r="C100" s="9">
        <v>0.22152560949325562</v>
      </c>
      <c r="D100" s="9">
        <v>0.1803964376449585</v>
      </c>
      <c r="E100" s="4">
        <f t="shared" si="0"/>
        <v>0.81433671735570012</v>
      </c>
      <c r="F100" s="10">
        <v>4.6556312590837479E-2</v>
      </c>
      <c r="G100" s="4">
        <v>5.8798644691705704E-2</v>
      </c>
      <c r="H100" s="10">
        <v>1.2629575114434122</v>
      </c>
      <c r="I100" s="11"/>
      <c r="J100" s="10"/>
      <c r="K100" s="11"/>
      <c r="L100" s="10"/>
    </row>
    <row r="101" spans="1:12" ht="14.4">
      <c r="A101" s="8">
        <v>21307</v>
      </c>
      <c r="B101" s="2" t="s">
        <v>107</v>
      </c>
      <c r="C101" s="9">
        <v>0.15828391909599304</v>
      </c>
      <c r="D101" s="9">
        <v>0.17188316583633423</v>
      </c>
      <c r="E101" s="4">
        <f t="shared" si="0"/>
        <v>1.0859167931777944</v>
      </c>
      <c r="F101" s="10">
        <v>3.7162080407142639E-2</v>
      </c>
      <c r="G101" s="4">
        <v>4.8454470932483673E-2</v>
      </c>
      <c r="H101" s="10">
        <v>1.3038686317241435</v>
      </c>
      <c r="I101" s="11"/>
      <c r="J101" s="10"/>
      <c r="K101" s="11"/>
      <c r="L101" s="10"/>
    </row>
    <row r="102" spans="1:12" ht="14.4">
      <c r="A102" s="8">
        <v>21401</v>
      </c>
      <c r="B102" s="2" t="s">
        <v>108</v>
      </c>
      <c r="C102" s="9">
        <v>0.16296581923961639</v>
      </c>
      <c r="D102" s="9">
        <v>0.10365637391805649</v>
      </c>
      <c r="E102" s="4">
        <f t="shared" si="0"/>
        <v>0.63606205523162862</v>
      </c>
      <c r="F102" s="10">
        <v>4.2321745306253433E-2</v>
      </c>
      <c r="G102" s="4">
        <v>3.3748943358659744E-2</v>
      </c>
      <c r="H102" s="10">
        <v>0.79743741933235024</v>
      </c>
      <c r="I102" s="11"/>
      <c r="J102" s="10"/>
      <c r="K102" s="11"/>
      <c r="L102" s="10"/>
    </row>
    <row r="103" spans="1:12" ht="14.4">
      <c r="A103" s="8">
        <v>21402</v>
      </c>
      <c r="B103" s="2" t="s">
        <v>109</v>
      </c>
      <c r="C103" s="9">
        <v>9.0607047080993652E-2</v>
      </c>
      <c r="D103" s="9">
        <v>6.0318831354379654E-2</v>
      </c>
      <c r="E103" s="4">
        <f t="shared" si="0"/>
        <v>0.66571898431322507</v>
      </c>
      <c r="F103" s="10">
        <v>2.0489213988184929E-2</v>
      </c>
      <c r="G103" s="4">
        <v>1.8813388422131538E-2</v>
      </c>
      <c r="H103" s="10">
        <v>0.91820937752811049</v>
      </c>
      <c r="I103" s="11"/>
      <c r="J103" s="10"/>
      <c r="K103" s="11"/>
      <c r="L103" s="10"/>
    </row>
    <row r="104" spans="1:12" ht="14.4">
      <c r="A104" s="8">
        <v>21501</v>
      </c>
      <c r="B104" s="2" t="s">
        <v>110</v>
      </c>
      <c r="C104" s="9">
        <v>0.30761393904685974</v>
      </c>
      <c r="D104" s="9">
        <v>0.22996072471141815</v>
      </c>
      <c r="E104" s="4">
        <f t="shared" si="0"/>
        <v>0.747562758124519</v>
      </c>
      <c r="F104" s="10">
        <v>0.10896944254636765</v>
      </c>
      <c r="G104" s="4">
        <v>7.1976043283939362E-2</v>
      </c>
      <c r="H104" s="10">
        <v>0.66051584372667405</v>
      </c>
      <c r="I104" s="11"/>
      <c r="J104" s="10"/>
      <c r="K104" s="11"/>
      <c r="L104" s="10"/>
    </row>
    <row r="105" spans="1:12" ht="14.4">
      <c r="A105" s="8">
        <v>21502</v>
      </c>
      <c r="B105" s="2" t="s">
        <v>111</v>
      </c>
      <c r="C105" s="9">
        <v>0.19670379161834717</v>
      </c>
      <c r="D105" s="9">
        <v>0.10494367033243179</v>
      </c>
      <c r="E105" s="4">
        <f t="shared" si="0"/>
        <v>0.533511171640493</v>
      </c>
      <c r="F105" s="10">
        <v>4.1221067309379578E-2</v>
      </c>
      <c r="G105" s="4">
        <v>3.398040309548378E-2</v>
      </c>
      <c r="H105" s="10">
        <v>0.82434554254619619</v>
      </c>
      <c r="I105" s="11"/>
      <c r="J105" s="10"/>
      <c r="K105" s="11"/>
      <c r="L105" s="10"/>
    </row>
    <row r="106" spans="1:12" ht="14.4">
      <c r="A106" s="8">
        <v>21601</v>
      </c>
      <c r="B106" s="2" t="s">
        <v>112</v>
      </c>
      <c r="C106" s="9">
        <v>0.33376514911651611</v>
      </c>
      <c r="D106" s="9">
        <v>0.22327044606208801</v>
      </c>
      <c r="E106" s="4">
        <f t="shared" si="0"/>
        <v>0.66894475547578869</v>
      </c>
      <c r="F106" s="10">
        <v>8.3431780338287354E-2</v>
      </c>
      <c r="G106" s="4">
        <v>7.4036166071891785E-2</v>
      </c>
      <c r="H106" s="10">
        <v>0.88738566732845015</v>
      </c>
      <c r="I106" s="11"/>
      <c r="J106" s="10"/>
      <c r="K106" s="11"/>
      <c r="L106" s="10"/>
    </row>
    <row r="107" spans="1:12" ht="14.4">
      <c r="A107" s="8">
        <v>21602</v>
      </c>
      <c r="B107" s="2" t="s">
        <v>113</v>
      </c>
      <c r="C107" s="9">
        <v>0.33706119656562805</v>
      </c>
      <c r="D107" s="9">
        <v>0.29135802388191223</v>
      </c>
      <c r="E107" s="4">
        <f t="shared" si="0"/>
        <v>0.8644068995500136</v>
      </c>
      <c r="F107" s="10">
        <v>0.12451201677322388</v>
      </c>
      <c r="G107" s="4">
        <v>0.10533469915390015</v>
      </c>
      <c r="H107" s="10">
        <v>0.84598018636023098</v>
      </c>
      <c r="I107" s="11"/>
      <c r="J107" s="10"/>
      <c r="K107" s="11"/>
      <c r="L107" s="10"/>
    </row>
    <row r="108" spans="1:12" ht="14.4">
      <c r="A108" s="8">
        <v>21701</v>
      </c>
      <c r="B108" s="2" t="s">
        <v>114</v>
      </c>
      <c r="C108" s="9">
        <v>0.13954897224903107</v>
      </c>
      <c r="D108" s="9">
        <v>4.8703853040933609E-2</v>
      </c>
      <c r="E108" s="4">
        <f t="shared" si="0"/>
        <v>0.34900904145692679</v>
      </c>
      <c r="F108" s="10">
        <v>4.7127414494752884E-2</v>
      </c>
      <c r="G108" s="4">
        <v>2.5930691510438919E-2</v>
      </c>
      <c r="H108" s="10">
        <v>0.5502252094335881</v>
      </c>
      <c r="I108" s="11"/>
      <c r="J108" s="10"/>
      <c r="K108" s="11"/>
      <c r="L108" s="10"/>
    </row>
    <row r="109" spans="1:12" ht="14.4">
      <c r="A109" s="8">
        <v>21702</v>
      </c>
      <c r="B109" s="2" t="s">
        <v>115</v>
      </c>
      <c r="C109" s="9">
        <v>0.19320110976696014</v>
      </c>
      <c r="D109" s="9">
        <v>0.13099415600299835</v>
      </c>
      <c r="E109" s="4">
        <f t="shared" si="0"/>
        <v>0.67801968715916783</v>
      </c>
      <c r="F109" s="10">
        <v>3.8100693374872208E-2</v>
      </c>
      <c r="G109" s="4">
        <v>3.1529255211353302E-2</v>
      </c>
      <c r="H109" s="10">
        <v>0.8275244468948999</v>
      </c>
      <c r="I109" s="11"/>
      <c r="J109" s="10"/>
      <c r="K109" s="11"/>
      <c r="L109" s="10"/>
    </row>
    <row r="110" spans="1:12" ht="14.4">
      <c r="A110" s="8">
        <v>21703</v>
      </c>
      <c r="B110" s="2" t="s">
        <v>116</v>
      </c>
      <c r="C110" s="9">
        <v>0.27393397688865662</v>
      </c>
      <c r="D110" s="9">
        <v>0.24923548102378845</v>
      </c>
      <c r="E110" s="4">
        <f t="shared" si="0"/>
        <v>0.90983777863047954</v>
      </c>
      <c r="F110" s="10">
        <v>9.3440182507038116E-2</v>
      </c>
      <c r="G110" s="4">
        <v>6.4704321324825287E-2</v>
      </c>
      <c r="H110" s="10">
        <v>0.69246783973213688</v>
      </c>
      <c r="I110" s="11"/>
      <c r="J110" s="10"/>
      <c r="K110" s="11"/>
      <c r="L110" s="10"/>
    </row>
    <row r="111" spans="1:12" ht="14.4">
      <c r="A111" s="8">
        <v>21801</v>
      </c>
      <c r="B111" s="2" t="s">
        <v>117</v>
      </c>
      <c r="C111" s="9">
        <v>0.31503176689147949</v>
      </c>
      <c r="D111" s="9">
        <v>0.27798131108283997</v>
      </c>
      <c r="E111" s="4">
        <f t="shared" si="0"/>
        <v>0.88239136587961153</v>
      </c>
      <c r="F111" s="10">
        <v>7.4434913694858551E-2</v>
      </c>
      <c r="G111" s="4">
        <v>7.5922742486000061E-2</v>
      </c>
      <c r="H111" s="10">
        <v>1.0199883188854195</v>
      </c>
      <c r="I111" s="11"/>
      <c r="J111" s="10"/>
      <c r="K111" s="11"/>
      <c r="L111" s="10"/>
    </row>
    <row r="112" spans="1:12" ht="14.4">
      <c r="A112" s="8">
        <v>21802</v>
      </c>
      <c r="B112" s="2" t="s">
        <v>118</v>
      </c>
      <c r="C112" s="9">
        <v>0.21853360533714294</v>
      </c>
      <c r="D112" s="9">
        <v>0.29155060648918152</v>
      </c>
      <c r="E112" s="4">
        <f t="shared" si="0"/>
        <v>1.3341225302140214</v>
      </c>
      <c r="F112" s="10">
        <v>4.6487487852573395E-2</v>
      </c>
      <c r="G112" s="4">
        <v>4.988662526011467E-2</v>
      </c>
      <c r="H112" s="10">
        <v>1.0731194040495589</v>
      </c>
      <c r="I112" s="11"/>
      <c r="J112" s="10"/>
      <c r="K112" s="11"/>
      <c r="L112" s="10"/>
    </row>
    <row r="113" spans="1:12" ht="14.4">
      <c r="A113" s="8">
        <v>21803</v>
      </c>
      <c r="B113" s="2" t="s">
        <v>119</v>
      </c>
      <c r="C113" s="9">
        <v>0.34799462556838989</v>
      </c>
      <c r="D113" s="9">
        <v>0.34848484396934509</v>
      </c>
      <c r="E113" s="4">
        <f t="shared" si="0"/>
        <v>1.0014086953215284</v>
      </c>
      <c r="F113" s="10">
        <v>8.9123427867889404E-2</v>
      </c>
      <c r="G113" s="4">
        <v>8.9324623346328735E-2</v>
      </c>
      <c r="H113" s="10">
        <v>1.0022574925948491</v>
      </c>
      <c r="I113" s="11"/>
      <c r="J113" s="10"/>
      <c r="K113" s="11"/>
      <c r="L113" s="10"/>
    </row>
    <row r="114" spans="1:12" ht="14.4">
      <c r="A114" s="8">
        <v>21901</v>
      </c>
      <c r="B114" s="2" t="s">
        <v>120</v>
      </c>
      <c r="C114" s="9">
        <v>0.21928182244300842</v>
      </c>
      <c r="D114" s="9">
        <v>0.22819596529006958</v>
      </c>
      <c r="E114" s="4">
        <f t="shared" si="0"/>
        <v>1.0406515357622859</v>
      </c>
      <c r="F114" s="10">
        <v>5.9934146702289581E-2</v>
      </c>
      <c r="G114" s="4">
        <v>3.7984494119882584E-2</v>
      </c>
      <c r="H114" s="10">
        <v>0.63377049995493662</v>
      </c>
      <c r="I114" s="11"/>
      <c r="J114" s="10"/>
      <c r="K114" s="11"/>
      <c r="L114" s="10"/>
    </row>
    <row r="115" spans="1:12" ht="14.4">
      <c r="A115" s="8">
        <v>21902</v>
      </c>
      <c r="B115" s="2" t="s">
        <v>121</v>
      </c>
      <c r="C115" s="9">
        <v>0.22851076722145081</v>
      </c>
      <c r="D115" s="9">
        <v>0.23661071062088013</v>
      </c>
      <c r="E115" s="4">
        <f t="shared" si="0"/>
        <v>1.0354466596822531</v>
      </c>
      <c r="F115" s="10">
        <v>6.5281689167022705E-2</v>
      </c>
      <c r="G115" s="4">
        <v>5.5866792798042297E-2</v>
      </c>
      <c r="H115" s="10">
        <v>0.85578044181895374</v>
      </c>
      <c r="I115" s="11"/>
      <c r="J115" s="10"/>
      <c r="K115" s="11"/>
      <c r="L115" s="10"/>
    </row>
    <row r="116" spans="1:12" ht="14.4">
      <c r="A116" s="8">
        <v>22001</v>
      </c>
      <c r="B116" s="2" t="s">
        <v>122</v>
      </c>
      <c r="C116" s="9">
        <v>0.22404558956623077</v>
      </c>
      <c r="D116" s="9">
        <v>0.13752852380275726</v>
      </c>
      <c r="E116" s="4">
        <f t="shared" si="0"/>
        <v>0.6138416920816111</v>
      </c>
      <c r="F116" s="10">
        <v>4.6417362987995148E-2</v>
      </c>
      <c r="G116" s="4">
        <v>3.9924647659063339E-2</v>
      </c>
      <c r="H116" s="10">
        <v>0.86012313257409712</v>
      </c>
      <c r="I116" s="11"/>
      <c r="J116" s="10"/>
      <c r="K116" s="11"/>
      <c r="L116" s="10"/>
    </row>
    <row r="117" spans="1:12" ht="14.4">
      <c r="A117" s="8">
        <v>22002</v>
      </c>
      <c r="B117" s="2" t="s">
        <v>123</v>
      </c>
      <c r="C117" s="9">
        <v>0.30134698748588562</v>
      </c>
      <c r="D117" s="9">
        <v>0.27245053648948669</v>
      </c>
      <c r="E117" s="4">
        <f t="shared" si="0"/>
        <v>0.90410904307529416</v>
      </c>
      <c r="F117" s="10">
        <v>9.024985134601593E-2</v>
      </c>
      <c r="G117" s="4">
        <v>8.7528519332408905E-2</v>
      </c>
      <c r="H117" s="10">
        <v>0.96984668702474097</v>
      </c>
      <c r="I117" s="11"/>
      <c r="J117" s="10"/>
      <c r="K117" s="11"/>
      <c r="L117" s="10"/>
    </row>
    <row r="118" spans="1:12" ht="14.4">
      <c r="A118" s="8">
        <v>30101</v>
      </c>
      <c r="B118" s="2" t="s">
        <v>124</v>
      </c>
      <c r="C118" s="9">
        <v>0.14087286591529846</v>
      </c>
      <c r="D118" s="9">
        <v>4.4225439429283142E-2</v>
      </c>
      <c r="E118" s="4">
        <f t="shared" si="0"/>
        <v>0.31393866478072668</v>
      </c>
      <c r="F118" s="10">
        <v>3.8313526660203934E-2</v>
      </c>
      <c r="G118" s="4">
        <v>1.2140269391238689E-2</v>
      </c>
      <c r="H118" s="10">
        <v>0.31686640331777982</v>
      </c>
      <c r="I118" s="11"/>
      <c r="J118" s="10"/>
      <c r="K118" s="11"/>
      <c r="L118" s="10"/>
    </row>
    <row r="119" spans="1:12" ht="14.4">
      <c r="A119" s="8">
        <v>30201</v>
      </c>
      <c r="B119" s="2" t="s">
        <v>125</v>
      </c>
      <c r="C119" s="9">
        <v>0.26199671626091003</v>
      </c>
      <c r="D119" s="9">
        <v>7.8612722456455231E-2</v>
      </c>
      <c r="E119" s="4">
        <f t="shared" si="0"/>
        <v>0.30005231965643636</v>
      </c>
      <c r="F119" s="10">
        <v>8.2851067185401917E-2</v>
      </c>
      <c r="G119" s="4">
        <v>5.4609030485153198E-2</v>
      </c>
      <c r="H119" s="10">
        <v>0.65912283740353717</v>
      </c>
      <c r="I119" s="11"/>
      <c r="J119" s="10"/>
      <c r="K119" s="11"/>
      <c r="L119" s="10"/>
    </row>
    <row r="120" spans="1:12" ht="14.4">
      <c r="A120" s="8">
        <v>30202</v>
      </c>
      <c r="B120" s="2" t="s">
        <v>126</v>
      </c>
      <c r="C120" s="9">
        <v>0.3265807032585144</v>
      </c>
      <c r="D120" s="9">
        <v>0.20905916392803192</v>
      </c>
      <c r="E120" s="4">
        <f t="shared" si="0"/>
        <v>0.64014548882438127</v>
      </c>
      <c r="F120" s="10">
        <v>8.7919704616069794E-2</v>
      </c>
      <c r="G120" s="4">
        <v>4.8906214535236359E-2</v>
      </c>
      <c r="H120" s="10">
        <v>0.55625999596792752</v>
      </c>
      <c r="I120" s="11"/>
      <c r="J120" s="10"/>
      <c r="K120" s="11"/>
      <c r="L120" s="10"/>
    </row>
    <row r="121" spans="1:12" ht="14.4">
      <c r="A121" s="8">
        <v>30203</v>
      </c>
      <c r="B121" s="2" t="s">
        <v>127</v>
      </c>
      <c r="C121" s="9">
        <v>0.19874197244644165</v>
      </c>
      <c r="D121" s="9">
        <v>7.6664082705974579E-2</v>
      </c>
      <c r="E121" s="4">
        <f t="shared" si="0"/>
        <v>0.38574681413426415</v>
      </c>
      <c r="F121" s="10">
        <v>3.9027560502290726E-2</v>
      </c>
      <c r="G121" s="4">
        <v>3.0379999428987503E-2</v>
      </c>
      <c r="H121" s="10">
        <v>0.77842424783901998</v>
      </c>
      <c r="I121" s="11"/>
      <c r="J121" s="10"/>
      <c r="K121" s="11"/>
      <c r="L121" s="10"/>
    </row>
    <row r="122" spans="1:12" ht="14.4">
      <c r="A122" s="8">
        <v>30301</v>
      </c>
      <c r="B122" s="2" t="s">
        <v>128</v>
      </c>
      <c r="C122" s="9">
        <v>0.35174524784088135</v>
      </c>
      <c r="D122" s="9">
        <v>0.13385076820850372</v>
      </c>
      <c r="E122" s="4">
        <f t="shared" si="0"/>
        <v>0.38053326670401433</v>
      </c>
      <c r="F122" s="10">
        <v>0.1078566238284111</v>
      </c>
      <c r="G122" s="4">
        <v>5.9796206653118134E-2</v>
      </c>
      <c r="H122" s="10">
        <v>0.55440458388766001</v>
      </c>
      <c r="I122" s="11"/>
      <c r="J122" s="10"/>
      <c r="K122" s="11"/>
      <c r="L122" s="10"/>
    </row>
    <row r="123" spans="1:12" ht="14.4">
      <c r="A123" s="8">
        <v>30302</v>
      </c>
      <c r="B123" s="2" t="s">
        <v>129</v>
      </c>
      <c r="C123" s="9">
        <v>0.38820391893386841</v>
      </c>
      <c r="D123" s="9">
        <v>0.3039298951625824</v>
      </c>
      <c r="E123" s="4">
        <f t="shared" si="0"/>
        <v>0.78291300097451533</v>
      </c>
      <c r="F123" s="10">
        <v>0.10098357498645782</v>
      </c>
      <c r="G123" s="4">
        <v>0.12665170431137085</v>
      </c>
      <c r="H123" s="10">
        <v>1.2541812302481388</v>
      </c>
      <c r="I123" s="11"/>
      <c r="J123" s="10"/>
      <c r="K123" s="11"/>
      <c r="L123" s="10"/>
    </row>
    <row r="124" spans="1:12" ht="14.4">
      <c r="A124" s="8">
        <v>30303</v>
      </c>
      <c r="B124" s="2" t="s">
        <v>130</v>
      </c>
      <c r="C124" s="9">
        <v>0.42435780167579651</v>
      </c>
      <c r="D124" s="9">
        <v>0.38027137517929077</v>
      </c>
      <c r="E124" s="4">
        <f t="shared" si="0"/>
        <v>0.89611024865712929</v>
      </c>
      <c r="F124" s="10">
        <v>0.14023424685001373</v>
      </c>
      <c r="G124" s="4">
        <v>0.158060222864151</v>
      </c>
      <c r="H124" s="10">
        <v>1.1271157111372578</v>
      </c>
      <c r="I124" s="11"/>
      <c r="J124" s="10"/>
      <c r="K124" s="11"/>
      <c r="L124" s="10"/>
    </row>
    <row r="125" spans="1:12" ht="14.4">
      <c r="A125" s="8">
        <v>30401</v>
      </c>
      <c r="B125" s="2" t="s">
        <v>131</v>
      </c>
      <c r="C125" s="9">
        <v>0.20643651485443115</v>
      </c>
      <c r="D125" s="9">
        <v>4.5318610966205597E-2</v>
      </c>
      <c r="E125" s="4">
        <f t="shared" si="0"/>
        <v>0.21952807621346468</v>
      </c>
      <c r="F125" s="10">
        <v>7.1913696825504303E-2</v>
      </c>
      <c r="G125" s="4">
        <v>4.2462106794118881E-2</v>
      </c>
      <c r="H125" s="10">
        <v>0.59045924029119901</v>
      </c>
      <c r="I125" s="11"/>
      <c r="J125" s="10"/>
      <c r="K125" s="11"/>
      <c r="L125" s="10"/>
    </row>
    <row r="126" spans="1:12" ht="14.4">
      <c r="A126" s="8">
        <v>30402</v>
      </c>
      <c r="B126" s="2" t="s">
        <v>132</v>
      </c>
      <c r="C126" s="9">
        <v>0.35376438498497009</v>
      </c>
      <c r="D126" s="9">
        <v>0.15726496279239655</v>
      </c>
      <c r="E126" s="4">
        <f t="shared" si="0"/>
        <v>0.4445471886580048</v>
      </c>
      <c r="F126" s="10">
        <v>0.1036042794585228</v>
      </c>
      <c r="G126" s="4">
        <v>8.4782242774963379E-2</v>
      </c>
      <c r="H126" s="10">
        <v>0.81832761366682083</v>
      </c>
      <c r="I126" s="11"/>
      <c r="J126" s="10"/>
      <c r="K126" s="11"/>
      <c r="L126" s="10"/>
    </row>
    <row r="127" spans="1:12" ht="14.4">
      <c r="A127" s="8">
        <v>30403</v>
      </c>
      <c r="B127" s="2" t="s">
        <v>133</v>
      </c>
      <c r="C127" s="9">
        <v>0.18381565809249878</v>
      </c>
      <c r="D127" s="9">
        <v>0.13784067332744598</v>
      </c>
      <c r="E127" s="4">
        <f t="shared" si="0"/>
        <v>0.74988537297558455</v>
      </c>
      <c r="F127" s="10">
        <v>0.11981495469808578</v>
      </c>
      <c r="G127" s="4">
        <v>0.11281366646289825</v>
      </c>
      <c r="H127" s="10">
        <v>0.94156582329117733</v>
      </c>
      <c r="I127" s="11"/>
      <c r="J127" s="10"/>
      <c r="K127" s="11"/>
      <c r="L127" s="10"/>
    </row>
    <row r="128" spans="1:12" ht="14.4">
      <c r="A128" s="8">
        <v>30404</v>
      </c>
      <c r="B128" s="2" t="s">
        <v>134</v>
      </c>
      <c r="C128" s="9">
        <v>0.2942027747631073</v>
      </c>
      <c r="D128" s="9">
        <v>0.27077865600585938</v>
      </c>
      <c r="E128" s="4">
        <f t="shared" si="0"/>
        <v>0.92038104067472148</v>
      </c>
      <c r="F128" s="10">
        <v>0.12543691694736481</v>
      </c>
      <c r="G128" s="4">
        <v>0.14097969233989716</v>
      </c>
      <c r="H128" s="10">
        <v>1.1239090992570737</v>
      </c>
      <c r="I128" s="11"/>
      <c r="J128" s="10"/>
      <c r="K128" s="11"/>
      <c r="L128" s="10"/>
    </row>
    <row r="129" spans="1:12" ht="14.4">
      <c r="A129" s="8">
        <v>30501</v>
      </c>
      <c r="B129" s="2" t="s">
        <v>135</v>
      </c>
      <c r="C129" s="9">
        <v>0.13124106824398041</v>
      </c>
      <c r="D129" s="9">
        <v>3.0835285782814026E-2</v>
      </c>
      <c r="E129" s="4">
        <f t="shared" si="0"/>
        <v>0.23495149952216529</v>
      </c>
      <c r="F129" s="10">
        <v>2.9717516154050827E-2</v>
      </c>
      <c r="G129" s="4">
        <v>1.216066163033247E-2</v>
      </c>
      <c r="H129" s="10">
        <v>0.40920854782390137</v>
      </c>
      <c r="I129" s="11"/>
      <c r="J129" s="10"/>
      <c r="K129" s="11"/>
      <c r="L129" s="10"/>
    </row>
    <row r="130" spans="1:12" ht="14.4">
      <c r="A130" s="8">
        <v>30502</v>
      </c>
      <c r="B130" s="2" t="s">
        <v>136</v>
      </c>
      <c r="C130" s="9">
        <v>0.23825517296791077</v>
      </c>
      <c r="D130" s="9">
        <v>0.18831698596477509</v>
      </c>
      <c r="E130" s="4">
        <f t="shared" si="0"/>
        <v>0.79040040817975621</v>
      </c>
      <c r="F130" s="10">
        <v>6.5961472690105438E-2</v>
      </c>
      <c r="G130" s="4">
        <v>6.9675929844379425E-2</v>
      </c>
      <c r="H130" s="10">
        <v>1.0563125261275614</v>
      </c>
      <c r="I130" s="11"/>
      <c r="J130" s="10"/>
      <c r="K130" s="11"/>
      <c r="L130" s="10"/>
    </row>
    <row r="131" spans="1:12" ht="14.4">
      <c r="A131" s="8">
        <v>30601</v>
      </c>
      <c r="B131" s="2" t="s">
        <v>137</v>
      </c>
      <c r="C131" s="9">
        <v>0.41811564564704895</v>
      </c>
      <c r="D131" s="9">
        <v>0.19702842831611633</v>
      </c>
      <c r="E131" s="4">
        <f t="shared" si="0"/>
        <v>0.4712295040076957</v>
      </c>
      <c r="F131" s="10">
        <v>0.16148731112480164</v>
      </c>
      <c r="G131" s="4">
        <v>0.10755106806755066</v>
      </c>
      <c r="H131" s="10">
        <v>0.66600321299815546</v>
      </c>
      <c r="I131" s="11"/>
      <c r="J131" s="10"/>
      <c r="K131" s="11"/>
      <c r="L131" s="10"/>
    </row>
    <row r="132" spans="1:12" ht="14.4">
      <c r="A132" s="8">
        <v>30602</v>
      </c>
      <c r="B132" s="2" t="s">
        <v>138</v>
      </c>
      <c r="C132" s="9">
        <v>0.31685489416122437</v>
      </c>
      <c r="D132" s="9">
        <v>0.19762846827507019</v>
      </c>
      <c r="E132" s="4">
        <f t="shared" si="0"/>
        <v>0.62371915951694745</v>
      </c>
      <c r="F132" s="10">
        <v>8.5541315376758575E-2</v>
      </c>
      <c r="G132" s="4">
        <v>6.8997085094451904E-2</v>
      </c>
      <c r="H132" s="10">
        <v>0.80659368856511982</v>
      </c>
      <c r="I132" s="11"/>
      <c r="J132" s="10"/>
      <c r="K132" s="11"/>
      <c r="L132" s="10"/>
    </row>
    <row r="133" spans="1:12" ht="14.4">
      <c r="A133" s="8">
        <v>30701</v>
      </c>
      <c r="B133" s="2" t="s">
        <v>139</v>
      </c>
      <c r="C133" s="9">
        <v>0.171441450715065</v>
      </c>
      <c r="D133" s="9">
        <v>6.9144271314144135E-2</v>
      </c>
      <c r="E133" s="4">
        <f t="shared" si="0"/>
        <v>0.40331128222346668</v>
      </c>
      <c r="F133" s="10">
        <v>5.3272996097803116E-2</v>
      </c>
      <c r="G133" s="4">
        <v>3.0738597735762596E-2</v>
      </c>
      <c r="H133" s="10">
        <v>0.57700148268984264</v>
      </c>
      <c r="I133" s="11"/>
      <c r="J133" s="10"/>
      <c r="K133" s="11"/>
      <c r="L133" s="10"/>
    </row>
    <row r="134" spans="1:12" ht="14.4">
      <c r="A134" s="8">
        <v>30702</v>
      </c>
      <c r="B134" s="2" t="s">
        <v>140</v>
      </c>
      <c r="C134" s="9">
        <v>0.15336625277996063</v>
      </c>
      <c r="D134" s="9">
        <v>6.4847767353057861E-2</v>
      </c>
      <c r="E134" s="4">
        <f t="shared" si="0"/>
        <v>0.42282944375055564</v>
      </c>
      <c r="F134" s="10">
        <v>2.5736050680279732E-2</v>
      </c>
      <c r="G134" s="4">
        <v>2.8599034994840622E-2</v>
      </c>
      <c r="H134" s="10">
        <v>1.1112441201693255</v>
      </c>
      <c r="I134" s="11"/>
      <c r="J134" s="10"/>
      <c r="K134" s="11"/>
      <c r="L134" s="10"/>
    </row>
    <row r="135" spans="1:12" ht="14.4">
      <c r="A135" s="8">
        <v>30703</v>
      </c>
      <c r="B135" s="2" t="s">
        <v>141</v>
      </c>
      <c r="C135" s="9">
        <v>0.27427595853805542</v>
      </c>
      <c r="D135" s="9">
        <v>0.16402116417884827</v>
      </c>
      <c r="E135" s="4">
        <f t="shared" si="0"/>
        <v>0.59801509783472528</v>
      </c>
      <c r="F135" s="10">
        <v>4.839787632226944E-2</v>
      </c>
      <c r="G135" s="4">
        <v>7.2831541299819946E-2</v>
      </c>
      <c r="H135" s="10">
        <v>1.5048499404158315</v>
      </c>
      <c r="I135" s="11"/>
      <c r="J135" s="10"/>
      <c r="K135" s="11"/>
      <c r="L135" s="10"/>
    </row>
    <row r="136" spans="1:12" ht="14.4">
      <c r="A136" s="8">
        <v>30801</v>
      </c>
      <c r="B136" s="2" t="s">
        <v>142</v>
      </c>
      <c r="C136" s="9">
        <v>5.9096481651067734E-2</v>
      </c>
      <c r="D136" s="9">
        <v>5.7266939431428909E-2</v>
      </c>
      <c r="E136" s="4">
        <f t="shared" si="0"/>
        <v>0.96904143582622626</v>
      </c>
      <c r="F136" s="10">
        <v>7.1605267003178596E-3</v>
      </c>
      <c r="G136" s="4">
        <v>7.99567811191082E-3</v>
      </c>
      <c r="H136" s="10">
        <v>1.1166326789279184</v>
      </c>
      <c r="I136" s="11"/>
      <c r="J136" s="10"/>
      <c r="K136" s="11"/>
      <c r="L136" s="10"/>
    </row>
    <row r="137" spans="1:12" ht="14.4">
      <c r="A137" s="8">
        <v>30802</v>
      </c>
      <c r="B137" s="2" t="s">
        <v>143</v>
      </c>
      <c r="C137" s="9">
        <v>0.11879537254571915</v>
      </c>
      <c r="D137" s="9">
        <v>6.489262729883194E-2</v>
      </c>
      <c r="E137" s="4">
        <f t="shared" si="0"/>
        <v>0.54625551406775208</v>
      </c>
      <c r="F137" s="10">
        <v>3.2852061092853546E-2</v>
      </c>
      <c r="G137" s="4">
        <v>2.8359513729810715E-2</v>
      </c>
      <c r="H137" s="10">
        <v>0.86324914743263659</v>
      </c>
      <c r="I137" s="11"/>
      <c r="J137" s="10"/>
      <c r="K137" s="11"/>
      <c r="L137" s="10"/>
    </row>
    <row r="138" spans="1:12" ht="14.4">
      <c r="A138" s="8">
        <v>30803</v>
      </c>
      <c r="B138" s="2" t="s">
        <v>144</v>
      </c>
      <c r="C138" s="9">
        <v>0.10422464460134506</v>
      </c>
      <c r="D138" s="9">
        <v>5.8340411633253098E-2</v>
      </c>
      <c r="E138" s="4">
        <f t="shared" si="0"/>
        <v>0.55975639788845288</v>
      </c>
      <c r="F138" s="10">
        <v>6.7780300974845886E-2</v>
      </c>
      <c r="G138" s="4">
        <v>5.4008956998586655E-2</v>
      </c>
      <c r="H138" s="10">
        <v>0.79682380015736509</v>
      </c>
      <c r="I138" s="11"/>
      <c r="J138" s="10"/>
      <c r="K138" s="11"/>
      <c r="L138" s="10"/>
    </row>
    <row r="139" spans="1:12" ht="14.4">
      <c r="A139" s="8">
        <v>30901</v>
      </c>
      <c r="B139" s="2" t="s">
        <v>145</v>
      </c>
      <c r="C139" s="9">
        <v>8.3901509642601013E-2</v>
      </c>
      <c r="D139" s="9">
        <v>3.806711733341217E-2</v>
      </c>
      <c r="E139" s="4">
        <f t="shared" si="0"/>
        <v>0.4537119474437154</v>
      </c>
      <c r="F139" s="10">
        <v>2.0693564787507057E-2</v>
      </c>
      <c r="G139" s="4">
        <v>8.7051577866077423E-3</v>
      </c>
      <c r="H139" s="10">
        <v>0.42066980126416625</v>
      </c>
      <c r="I139" s="11"/>
      <c r="J139" s="10"/>
      <c r="K139" s="11"/>
      <c r="L139" s="10"/>
    </row>
    <row r="140" spans="1:12" ht="14.4">
      <c r="A140" s="8">
        <v>30902</v>
      </c>
      <c r="B140" s="2" t="s">
        <v>146</v>
      </c>
      <c r="C140" s="9">
        <v>0.14019416272640228</v>
      </c>
      <c r="D140" s="9">
        <v>5.2355624735355377E-2</v>
      </c>
      <c r="E140" s="4">
        <f t="shared" si="0"/>
        <v>0.37345081790267309</v>
      </c>
      <c r="F140" s="10">
        <v>3.4316379576921463E-2</v>
      </c>
      <c r="G140" s="4">
        <v>2.110307477414608E-2</v>
      </c>
      <c r="H140" s="10">
        <v>0.61495632797867672</v>
      </c>
      <c r="I140" s="11"/>
      <c r="J140" s="10"/>
      <c r="K140" s="11"/>
      <c r="L140" s="10"/>
    </row>
    <row r="141" spans="1:12" ht="14.4">
      <c r="A141" s="8">
        <v>30903</v>
      </c>
      <c r="B141" s="2" t="s">
        <v>147</v>
      </c>
      <c r="C141" s="9">
        <v>0.13107292354106903</v>
      </c>
      <c r="D141" s="9">
        <v>5.9697497636079788E-2</v>
      </c>
      <c r="E141" s="4">
        <f t="shared" si="0"/>
        <v>0.45545255284837521</v>
      </c>
      <c r="F141" s="10">
        <v>2.4957016110420227E-2</v>
      </c>
      <c r="G141" s="4">
        <v>8.6947036907076836E-3</v>
      </c>
      <c r="H141" s="10">
        <v>0.34838714901808354</v>
      </c>
      <c r="I141" s="11"/>
      <c r="J141" s="10"/>
      <c r="K141" s="11"/>
      <c r="L141" s="10"/>
    </row>
    <row r="142" spans="1:12" ht="14.4">
      <c r="A142" s="8">
        <v>30904</v>
      </c>
      <c r="B142" s="2" t="s">
        <v>148</v>
      </c>
      <c r="C142" s="9">
        <v>0.12839405238628387</v>
      </c>
      <c r="D142" s="9">
        <v>6.1088766902685165E-2</v>
      </c>
      <c r="E142" s="4">
        <f t="shared" si="0"/>
        <v>0.47579125175436227</v>
      </c>
      <c r="F142" s="10">
        <v>2.6384551078081131E-2</v>
      </c>
      <c r="G142" s="4">
        <v>1.3008640147745609E-2</v>
      </c>
      <c r="H142" s="10">
        <v>0.49304004109255017</v>
      </c>
      <c r="I142" s="11"/>
      <c r="J142" s="10"/>
      <c r="K142" s="11"/>
      <c r="L142" s="10"/>
    </row>
    <row r="143" spans="1:12" ht="14.4">
      <c r="A143" s="8">
        <v>30905</v>
      </c>
      <c r="B143" s="2" t="s">
        <v>149</v>
      </c>
      <c r="C143" s="9">
        <v>5.0288993865251541E-2</v>
      </c>
      <c r="D143" s="9">
        <v>2.9584035277366638E-2</v>
      </c>
      <c r="E143" s="4">
        <f t="shared" si="0"/>
        <v>0.58828051634193623</v>
      </c>
      <c r="F143" s="10">
        <v>8.6772385984659195E-3</v>
      </c>
      <c r="G143" s="4">
        <v>3.8327991496771574E-3</v>
      </c>
      <c r="H143" s="10">
        <v>0.44170724432479841</v>
      </c>
      <c r="I143" s="11"/>
      <c r="J143" s="10"/>
      <c r="K143" s="11"/>
      <c r="L143" s="10"/>
    </row>
    <row r="144" spans="1:12" ht="14.4">
      <c r="A144" s="8">
        <v>31001</v>
      </c>
      <c r="B144" s="2" t="s">
        <v>150</v>
      </c>
      <c r="C144" s="9">
        <v>0.12616166472434998</v>
      </c>
      <c r="D144" s="9">
        <v>4.7766782343387604E-2</v>
      </c>
      <c r="E144" s="4">
        <f t="shared" si="0"/>
        <v>0.37861566306811995</v>
      </c>
      <c r="F144" s="10">
        <v>2.817186713218689E-2</v>
      </c>
      <c r="G144" s="4">
        <v>1.2165145017206669E-2</v>
      </c>
      <c r="H144" s="10">
        <v>0.43181891211277795</v>
      </c>
      <c r="I144" s="11"/>
      <c r="J144" s="10"/>
      <c r="K144" s="11"/>
      <c r="L144" s="10"/>
    </row>
    <row r="145" spans="1:12" ht="14.4">
      <c r="A145" s="8">
        <v>31002</v>
      </c>
      <c r="B145" s="2" t="s">
        <v>151</v>
      </c>
      <c r="C145" s="9">
        <v>0.19399711489677429</v>
      </c>
      <c r="D145" s="9">
        <v>0.11657087504863739</v>
      </c>
      <c r="E145" s="4">
        <f t="shared" si="0"/>
        <v>0.60088973545129609</v>
      </c>
      <c r="F145" s="10">
        <v>5.0360981374979019E-2</v>
      </c>
      <c r="G145" s="4">
        <v>4.2021483182907104E-2</v>
      </c>
      <c r="H145" s="10">
        <v>0.83440556628598084</v>
      </c>
      <c r="I145" s="11"/>
      <c r="J145" s="10"/>
      <c r="K145" s="11"/>
      <c r="L145" s="10"/>
    </row>
    <row r="146" spans="1:12" ht="14.4">
      <c r="A146" s="8">
        <v>31003</v>
      </c>
      <c r="B146" s="2" t="s">
        <v>152</v>
      </c>
      <c r="C146" s="9">
        <v>0.27763667702674866</v>
      </c>
      <c r="D146" s="9">
        <v>0.17503394186496735</v>
      </c>
      <c r="E146" s="4">
        <f t="shared" si="0"/>
        <v>0.63044243195614913</v>
      </c>
      <c r="F146" s="10">
        <v>7.2525516152381897E-2</v>
      </c>
      <c r="G146" s="4">
        <v>5.2823793143033981E-2</v>
      </c>
      <c r="H146" s="10">
        <v>0.72834770361436629</v>
      </c>
      <c r="I146" s="11"/>
      <c r="J146" s="10"/>
      <c r="K146" s="11"/>
      <c r="L146" s="10"/>
    </row>
    <row r="147" spans="1:12" ht="14.4">
      <c r="A147" s="8">
        <v>31101</v>
      </c>
      <c r="B147" s="2" t="s">
        <v>153</v>
      </c>
      <c r="C147" s="9">
        <v>0.41057431697845459</v>
      </c>
      <c r="D147" s="9">
        <v>0.295278400182724</v>
      </c>
      <c r="E147" s="4">
        <f t="shared" si="0"/>
        <v>0.71918380661452608</v>
      </c>
      <c r="F147" s="10">
        <v>0.1481020599603653</v>
      </c>
      <c r="G147" s="4">
        <v>0.1498597264289856</v>
      </c>
      <c r="H147" s="10">
        <v>1.0118679407233815</v>
      </c>
      <c r="I147" s="11"/>
      <c r="J147" s="10"/>
      <c r="K147" s="11"/>
      <c r="L147" s="10"/>
    </row>
    <row r="148" spans="1:12" ht="14.4">
      <c r="A148" s="8">
        <v>31201</v>
      </c>
      <c r="B148" s="2" t="s">
        <v>154</v>
      </c>
      <c r="C148" s="9">
        <v>0.36788055300712585</v>
      </c>
      <c r="D148" s="9">
        <v>0.18864908814430237</v>
      </c>
      <c r="E148" s="4">
        <f t="shared" si="0"/>
        <v>0.51279983843192778</v>
      </c>
      <c r="F148" s="10">
        <v>0.1038677990436554</v>
      </c>
      <c r="G148" s="4">
        <v>0.10513096302747726</v>
      </c>
      <c r="H148" s="10">
        <v>1.012161266489251</v>
      </c>
      <c r="I148" s="11"/>
      <c r="J148" s="10"/>
      <c r="K148" s="11"/>
      <c r="L148" s="10"/>
    </row>
    <row r="149" spans="1:12" ht="14.4">
      <c r="A149" s="8">
        <v>31202</v>
      </c>
      <c r="B149" s="2" t="s">
        <v>155</v>
      </c>
      <c r="C149" s="9">
        <v>0.36954966187477112</v>
      </c>
      <c r="D149" s="9">
        <v>0.25060692429542542</v>
      </c>
      <c r="E149" s="4">
        <f t="shared" si="0"/>
        <v>0.67814139789511785</v>
      </c>
      <c r="F149" s="10">
        <v>0.11399930715560913</v>
      </c>
      <c r="G149" s="4">
        <v>0.1175578311085701</v>
      </c>
      <c r="H149" s="10">
        <v>1.0312153121080252</v>
      </c>
      <c r="I149" s="11"/>
      <c r="J149" s="10"/>
      <c r="K149" s="11"/>
      <c r="L149" s="10"/>
    </row>
    <row r="150" spans="1:12" ht="14.4">
      <c r="A150" s="8">
        <v>31203</v>
      </c>
      <c r="B150" s="2" t="s">
        <v>156</v>
      </c>
      <c r="C150" s="9">
        <v>0.23255585134029388</v>
      </c>
      <c r="D150" s="9">
        <v>0.16067864000797272</v>
      </c>
      <c r="E150" s="4">
        <f t="shared" si="0"/>
        <v>0.69092495020843481</v>
      </c>
      <c r="F150" s="10">
        <v>5.4903324693441391E-2</v>
      </c>
      <c r="G150" s="4">
        <v>5.559217557311058E-2</v>
      </c>
      <c r="H150" s="10">
        <v>1.0125466150459095</v>
      </c>
      <c r="I150" s="11"/>
      <c r="J150" s="10"/>
      <c r="K150" s="11"/>
      <c r="L150" s="10"/>
    </row>
    <row r="151" spans="1:12" ht="14.4">
      <c r="A151" s="8">
        <v>31204</v>
      </c>
      <c r="B151" s="2" t="s">
        <v>157</v>
      </c>
      <c r="C151" s="9">
        <v>0.26204028725624084</v>
      </c>
      <c r="D151" s="9">
        <v>0.15240564942359924</v>
      </c>
      <c r="E151" s="4">
        <f t="shared" si="0"/>
        <v>0.58161151866913741</v>
      </c>
      <c r="F151" s="10">
        <v>5.8119405061006546E-2</v>
      </c>
      <c r="G151" s="4">
        <v>4.4638283550739288E-2</v>
      </c>
      <c r="H151" s="10">
        <v>0.76804439935136215</v>
      </c>
      <c r="I151" s="11"/>
      <c r="J151" s="10"/>
      <c r="K151" s="11"/>
      <c r="L151" s="10"/>
    </row>
    <row r="152" spans="1:12" ht="14.4">
      <c r="A152" s="8">
        <v>31205</v>
      </c>
      <c r="B152" s="2" t="s">
        <v>158</v>
      </c>
      <c r="C152" s="9">
        <v>0.22945681214332581</v>
      </c>
      <c r="D152" s="9">
        <v>0.16090662777423859</v>
      </c>
      <c r="E152" s="4">
        <f t="shared" si="0"/>
        <v>0.70125016673608864</v>
      </c>
      <c r="F152" s="10">
        <v>5.5952791124582291E-2</v>
      </c>
      <c r="G152" s="4">
        <v>4.5274641364812851E-2</v>
      </c>
      <c r="H152" s="10">
        <v>0.80915787139208317</v>
      </c>
      <c r="I152" s="11"/>
      <c r="J152" s="10"/>
      <c r="K152" s="11"/>
      <c r="L152" s="10"/>
    </row>
    <row r="153" spans="1:12" ht="14.4">
      <c r="A153" s="8">
        <v>31206</v>
      </c>
      <c r="B153" s="2" t="s">
        <v>159</v>
      </c>
      <c r="C153" s="9">
        <v>0.23701018095016479</v>
      </c>
      <c r="D153" s="9">
        <v>0.15512555837631226</v>
      </c>
      <c r="E153" s="4">
        <f t="shared" si="0"/>
        <v>0.65451010481667837</v>
      </c>
      <c r="F153" s="10">
        <v>5.8728855103254318E-2</v>
      </c>
      <c r="G153" s="4">
        <v>5.0939347594976425E-2</v>
      </c>
      <c r="H153" s="10">
        <v>0.86736490104254971</v>
      </c>
      <c r="I153" s="11"/>
      <c r="J153" s="10"/>
      <c r="K153" s="11"/>
      <c r="L153" s="10"/>
    </row>
    <row r="154" spans="1:12" ht="14.4">
      <c r="A154" s="8">
        <v>31301</v>
      </c>
      <c r="B154" s="2" t="s">
        <v>160</v>
      </c>
      <c r="C154" s="9">
        <v>0.35985967516899109</v>
      </c>
      <c r="D154" s="9">
        <v>0.11691348999738693</v>
      </c>
      <c r="E154" s="4">
        <f t="shared" si="0"/>
        <v>0.3248863322696105</v>
      </c>
      <c r="F154" s="10">
        <v>7.0608682930469513E-2</v>
      </c>
      <c r="G154" s="4">
        <v>5.9615764766931534E-2</v>
      </c>
      <c r="H154" s="10">
        <v>0.84431209155447584</v>
      </c>
      <c r="I154" s="11"/>
      <c r="J154" s="10"/>
      <c r="K154" s="11"/>
      <c r="L154" s="10"/>
    </row>
    <row r="155" spans="1:12" ht="14.4">
      <c r="A155" s="8">
        <v>31302</v>
      </c>
      <c r="B155" s="2" t="s">
        <v>161</v>
      </c>
      <c r="C155" s="9">
        <v>0.46602308750152588</v>
      </c>
      <c r="D155" s="9">
        <v>0.25647452473640442</v>
      </c>
      <c r="E155" s="4">
        <f t="shared" si="0"/>
        <v>0.55034725020048425</v>
      </c>
      <c r="F155" s="10">
        <v>0.19540959596633911</v>
      </c>
      <c r="G155" s="4">
        <v>0.21749643981456757</v>
      </c>
      <c r="H155" s="10">
        <v>1.1130284505170007</v>
      </c>
      <c r="I155" s="11"/>
      <c r="J155" s="10"/>
      <c r="K155" s="11"/>
      <c r="L155" s="10"/>
    </row>
    <row r="156" spans="1:12" ht="14.4">
      <c r="A156" s="8">
        <v>31303</v>
      </c>
      <c r="B156" s="2" t="s">
        <v>162</v>
      </c>
      <c r="C156" s="9">
        <v>0.47983101010322571</v>
      </c>
      <c r="D156" s="9">
        <v>0.39743590354919434</v>
      </c>
      <c r="E156" s="4">
        <f t="shared" si="0"/>
        <v>0.82828307295873649</v>
      </c>
      <c r="F156" s="10">
        <v>0.14989149570465088</v>
      </c>
      <c r="G156" s="4">
        <v>0.1698630154132843</v>
      </c>
      <c r="H156" s="10">
        <v>1.1332398453611117</v>
      </c>
      <c r="I156" s="11"/>
      <c r="J156" s="10"/>
      <c r="K156" s="11"/>
      <c r="L156" s="10"/>
    </row>
    <row r="157" spans="1:12" ht="14.4">
      <c r="A157" s="8">
        <v>31304</v>
      </c>
      <c r="B157" s="2" t="s">
        <v>163</v>
      </c>
      <c r="C157" s="9">
        <f t="shared" ref="C157:D157" si="1">C154</f>
        <v>0.35985967516899109</v>
      </c>
      <c r="D157" s="9">
        <f t="shared" si="1"/>
        <v>0.11691348999738693</v>
      </c>
      <c r="E157" s="9">
        <f t="shared" si="0"/>
        <v>0.3248863322696105</v>
      </c>
      <c r="F157" s="10">
        <v>0.29754310846328735</v>
      </c>
      <c r="G157" s="4">
        <v>0.26900586485862732</v>
      </c>
      <c r="H157" s="10">
        <v>0.90409038961767407</v>
      </c>
      <c r="I157" s="11"/>
      <c r="J157" s="10"/>
      <c r="K157" s="11"/>
      <c r="L157" s="10"/>
    </row>
    <row r="158" spans="1:12" ht="14.4">
      <c r="A158" s="8">
        <v>31401</v>
      </c>
      <c r="B158" s="2" t="s">
        <v>164</v>
      </c>
      <c r="C158" s="9">
        <v>6.5326027572154999E-2</v>
      </c>
      <c r="D158" s="9">
        <v>3.4824732691049576E-2</v>
      </c>
      <c r="E158" s="4">
        <f t="shared" si="0"/>
        <v>0.53309123461677477</v>
      </c>
      <c r="F158" s="10">
        <v>2.0996794104576111E-2</v>
      </c>
      <c r="G158" s="4">
        <v>1.5060576610267162E-2</v>
      </c>
      <c r="H158" s="10">
        <v>0.7172798159212701</v>
      </c>
      <c r="I158" s="11"/>
      <c r="J158" s="10"/>
      <c r="K158" s="11"/>
      <c r="L158" s="10"/>
    </row>
    <row r="159" spans="1:12" ht="14.4">
      <c r="A159" s="8">
        <v>31402</v>
      </c>
      <c r="B159" s="2" t="s">
        <v>165</v>
      </c>
      <c r="C159" s="9">
        <v>0.11601923406124115</v>
      </c>
      <c r="D159" s="9">
        <v>0.10693792998790741</v>
      </c>
      <c r="E159" s="4">
        <f t="shared" si="0"/>
        <v>0.92172587462058109</v>
      </c>
      <c r="F159" s="10">
        <v>2.7160141617059708E-2</v>
      </c>
      <c r="G159" s="4">
        <v>2.7582285925745964E-2</v>
      </c>
      <c r="H159" s="10">
        <v>1.0155427874654785</v>
      </c>
      <c r="I159" s="11"/>
      <c r="J159" s="10"/>
      <c r="K159" s="11"/>
      <c r="L159" s="10"/>
    </row>
    <row r="160" spans="1:12" ht="14.4">
      <c r="A160" s="8">
        <v>31403</v>
      </c>
      <c r="B160" s="2" t="s">
        <v>166</v>
      </c>
      <c r="C160" s="9">
        <v>9.6542418003082275E-2</v>
      </c>
      <c r="D160" s="9">
        <v>6.7641809582710266E-2</v>
      </c>
      <c r="E160" s="4">
        <f t="shared" si="0"/>
        <v>0.70064341645711303</v>
      </c>
      <c r="F160" s="10">
        <v>1.9224436953663826E-2</v>
      </c>
      <c r="G160" s="4">
        <v>1.2832358479499817E-2</v>
      </c>
      <c r="H160" s="10">
        <v>0.66750243507413642</v>
      </c>
      <c r="I160" s="11"/>
      <c r="J160" s="10"/>
      <c r="K160" s="11"/>
      <c r="L160" s="10"/>
    </row>
    <row r="161" spans="1:12" ht="14.4">
      <c r="A161" s="8">
        <v>31404</v>
      </c>
      <c r="B161" s="2" t="s">
        <v>167</v>
      </c>
      <c r="C161" s="9">
        <v>0.19648562371730804</v>
      </c>
      <c r="D161" s="9">
        <v>0.14646464586257935</v>
      </c>
      <c r="E161" s="4">
        <f t="shared" si="0"/>
        <v>0.74542169086784726</v>
      </c>
      <c r="F161" s="10">
        <v>2.2622054442763329E-2</v>
      </c>
      <c r="G161" s="4">
        <v>1.3274337165057659E-2</v>
      </c>
      <c r="H161" s="10">
        <v>0.58678742899516123</v>
      </c>
      <c r="I161" s="11"/>
      <c r="J161" s="10"/>
      <c r="K161" s="11"/>
      <c r="L161" s="10"/>
    </row>
    <row r="162" spans="1:12" ht="14.4">
      <c r="A162" s="8">
        <v>31405</v>
      </c>
      <c r="B162" s="2" t="s">
        <v>168</v>
      </c>
      <c r="C162" s="9">
        <v>0.2342950701713562</v>
      </c>
      <c r="D162" s="9">
        <v>0.11627907305955887</v>
      </c>
      <c r="E162" s="4">
        <f t="shared" si="0"/>
        <v>0.49629329791068988</v>
      </c>
      <c r="F162" s="10">
        <v>7.0119842886924744E-2</v>
      </c>
      <c r="G162" s="4">
        <v>4.4114615768194199E-2</v>
      </c>
      <c r="H162" s="10">
        <v>0.6291316972762393</v>
      </c>
      <c r="I162" s="11"/>
      <c r="J162" s="10"/>
      <c r="K162" s="11"/>
      <c r="L162" s="10"/>
    </row>
    <row r="163" spans="1:12" ht="14.4">
      <c r="A163" s="8">
        <v>31501</v>
      </c>
      <c r="B163" s="2" t="s">
        <v>169</v>
      </c>
      <c r="C163" s="9">
        <v>0.34988453984260559</v>
      </c>
      <c r="D163" s="9">
        <v>0.19890262186527252</v>
      </c>
      <c r="E163" s="4">
        <f t="shared" si="0"/>
        <v>0.56848073925972331</v>
      </c>
      <c r="F163" s="10">
        <v>0.10691738128662109</v>
      </c>
      <c r="G163" s="4">
        <v>9.0254075825214386E-2</v>
      </c>
      <c r="H163" s="10">
        <v>0.84414783395474124</v>
      </c>
      <c r="I163" s="11"/>
      <c r="J163" s="10"/>
      <c r="K163" s="11"/>
      <c r="L163" s="10"/>
    </row>
    <row r="164" spans="1:12" ht="14.4">
      <c r="A164" s="8">
        <v>31601</v>
      </c>
      <c r="B164" s="2" t="s">
        <v>170</v>
      </c>
      <c r="C164" s="9">
        <v>0.18860673904418945</v>
      </c>
      <c r="D164" s="9">
        <v>0.1182524785399437</v>
      </c>
      <c r="E164" s="4">
        <f t="shared" si="0"/>
        <v>0.62697907370233374</v>
      </c>
      <c r="F164" s="10">
        <v>4.5853365212678909E-2</v>
      </c>
      <c r="G164" s="4">
        <v>4.1557800024747849E-2</v>
      </c>
      <c r="H164" s="10">
        <v>0.90631952163146157</v>
      </c>
      <c r="I164" s="11"/>
      <c r="J164" s="10"/>
      <c r="K164" s="11"/>
      <c r="L164" s="10"/>
    </row>
    <row r="165" spans="1:12" ht="14.4">
      <c r="A165" s="8">
        <v>31602</v>
      </c>
      <c r="B165" s="2" t="s">
        <v>171</v>
      </c>
      <c r="C165" s="9">
        <v>0.19905379414558411</v>
      </c>
      <c r="D165" s="9">
        <v>0.11244391649961472</v>
      </c>
      <c r="E165" s="4">
        <f t="shared" si="0"/>
        <v>0.56489210357565656</v>
      </c>
      <c r="F165" s="10">
        <v>4.2258437722921371E-2</v>
      </c>
      <c r="G165" s="4">
        <v>2.8482982888817787E-2</v>
      </c>
      <c r="H165" s="10">
        <v>0.67401883324636847</v>
      </c>
      <c r="I165" s="11"/>
      <c r="J165" s="10"/>
      <c r="K165" s="11"/>
      <c r="L165" s="10"/>
    </row>
    <row r="166" spans="1:12" ht="14.4">
      <c r="A166" s="8">
        <v>40101</v>
      </c>
      <c r="B166" s="2" t="s">
        <v>172</v>
      </c>
      <c r="C166" s="9">
        <v>7.3371157050132751E-2</v>
      </c>
      <c r="D166" s="9">
        <v>2.482883632183075E-2</v>
      </c>
      <c r="E166" s="4">
        <f t="shared" si="0"/>
        <v>0.33840050123328164</v>
      </c>
      <c r="F166" s="10">
        <v>1.2220853939652443E-2</v>
      </c>
      <c r="G166" s="4">
        <v>4.0894122794270515E-3</v>
      </c>
      <c r="H166" s="10">
        <v>0.33462573889033431</v>
      </c>
      <c r="I166" s="11"/>
      <c r="J166" s="10"/>
      <c r="K166" s="11"/>
      <c r="L166" s="10"/>
    </row>
    <row r="167" spans="1:12" ht="14.4">
      <c r="A167" s="8">
        <v>40102</v>
      </c>
      <c r="B167" s="2" t="s">
        <v>173</v>
      </c>
      <c r="C167" s="9">
        <v>0.24184642732143402</v>
      </c>
      <c r="D167" s="9">
        <v>0.12101772427558899</v>
      </c>
      <c r="E167" s="4">
        <f t="shared" si="0"/>
        <v>0.50039078772392354</v>
      </c>
      <c r="F167" s="10">
        <v>5.1872745156288147E-2</v>
      </c>
      <c r="G167" s="4">
        <v>3.95655557513237E-2</v>
      </c>
      <c r="H167" s="10">
        <v>0.76274266249291534</v>
      </c>
      <c r="I167" s="11"/>
      <c r="J167" s="10"/>
      <c r="K167" s="11"/>
      <c r="L167" s="10"/>
    </row>
    <row r="168" spans="1:12" ht="14.4">
      <c r="A168" s="8">
        <v>40103</v>
      </c>
      <c r="B168" s="2" t="s">
        <v>174</v>
      </c>
      <c r="C168" s="9">
        <v>0.44477707147598267</v>
      </c>
      <c r="D168" s="9">
        <v>0.42489409446716309</v>
      </c>
      <c r="E168" s="4">
        <f t="shared" si="0"/>
        <v>0.95529675812011094</v>
      </c>
      <c r="F168" s="10">
        <v>0.20215223729610443</v>
      </c>
      <c r="G168" s="4">
        <v>0.20753635466098785</v>
      </c>
      <c r="H168" s="10">
        <v>1.0266339736670684</v>
      </c>
      <c r="I168" s="11"/>
      <c r="J168" s="10"/>
      <c r="K168" s="11"/>
      <c r="L168" s="10"/>
    </row>
    <row r="169" spans="1:12" ht="14.4">
      <c r="A169" s="8">
        <v>40104</v>
      </c>
      <c r="B169" s="2" t="s">
        <v>175</v>
      </c>
      <c r="C169" s="9">
        <v>0.22073966264724731</v>
      </c>
      <c r="D169" s="9">
        <v>0.18087854981422424</v>
      </c>
      <c r="E169" s="4">
        <f t="shared" si="0"/>
        <v>0.81942025119100115</v>
      </c>
      <c r="F169" s="10">
        <v>4.394366592168808E-2</v>
      </c>
      <c r="G169" s="4">
        <v>4.7538679093122482E-2</v>
      </c>
      <c r="H169" s="10">
        <v>1.0818095872529403</v>
      </c>
      <c r="I169" s="11"/>
      <c r="J169" s="10"/>
      <c r="K169" s="11"/>
      <c r="L169" s="10"/>
    </row>
    <row r="170" spans="1:12" ht="14.4">
      <c r="A170" s="8">
        <v>40201</v>
      </c>
      <c r="B170" s="2" t="s">
        <v>176</v>
      </c>
      <c r="C170" s="9">
        <v>0.22341156005859375</v>
      </c>
      <c r="D170" s="9">
        <v>0.10053323954343796</v>
      </c>
      <c r="E170" s="4">
        <f t="shared" si="0"/>
        <v>0.44999121583982171</v>
      </c>
      <c r="F170" s="10">
        <v>7.1043416857719421E-2</v>
      </c>
      <c r="G170" s="4">
        <v>4.0548097342252731E-2</v>
      </c>
      <c r="H170" s="10">
        <v>0.57075094548815841</v>
      </c>
      <c r="I170" s="11"/>
      <c r="J170" s="10"/>
      <c r="K170" s="11"/>
      <c r="L170" s="10"/>
    </row>
    <row r="171" spans="1:12" ht="14.4">
      <c r="A171" s="8">
        <v>40202</v>
      </c>
      <c r="B171" s="2" t="s">
        <v>177</v>
      </c>
      <c r="C171" s="9">
        <v>0.21502663195133209</v>
      </c>
      <c r="D171" s="9">
        <v>0.23004317283630371</v>
      </c>
      <c r="E171" s="4">
        <f t="shared" si="0"/>
        <v>1.0698357256898781</v>
      </c>
      <c r="F171" s="10">
        <v>8.2447387278079987E-2</v>
      </c>
      <c r="G171" s="4">
        <v>4.2815372347831726E-2</v>
      </c>
      <c r="H171" s="10">
        <v>0.519305386881737</v>
      </c>
      <c r="I171" s="11"/>
      <c r="J171" s="10"/>
      <c r="K171" s="11"/>
      <c r="L171" s="10"/>
    </row>
    <row r="172" spans="1:12" ht="14.4">
      <c r="A172" s="8">
        <v>40301</v>
      </c>
      <c r="B172" s="2" t="s">
        <v>178</v>
      </c>
      <c r="C172" s="9">
        <v>0.33989468216896057</v>
      </c>
      <c r="D172" s="9">
        <v>0.27150353789329529</v>
      </c>
      <c r="E172" s="4">
        <f t="shared" si="0"/>
        <v>0.79878724833456427</v>
      </c>
      <c r="F172" s="10">
        <v>0.12520317733287811</v>
      </c>
      <c r="G172" s="4">
        <v>0.1247563362121582</v>
      </c>
      <c r="H172" s="10">
        <v>0.99643107203635983</v>
      </c>
      <c r="I172" s="11"/>
      <c r="J172" s="10"/>
      <c r="K172" s="11"/>
      <c r="L172" s="10"/>
    </row>
    <row r="173" spans="1:12" ht="14.4">
      <c r="A173" s="8">
        <v>40302</v>
      </c>
      <c r="B173" s="2" t="s">
        <v>179</v>
      </c>
      <c r="C173" s="9">
        <v>0.33281230926513672</v>
      </c>
      <c r="D173" s="9">
        <v>0.24718195199966431</v>
      </c>
      <c r="E173" s="4">
        <f t="shared" si="0"/>
        <v>0.74270676029216653</v>
      </c>
      <c r="F173" s="10">
        <v>9.9481575191020966E-2</v>
      </c>
      <c r="G173" s="4">
        <v>4.1666667908430099E-2</v>
      </c>
      <c r="H173" s="10">
        <v>0.4188380393899398</v>
      </c>
      <c r="I173" s="11"/>
      <c r="J173" s="10"/>
      <c r="K173" s="11"/>
      <c r="L173" s="10"/>
    </row>
    <row r="174" spans="1:12" ht="14.4">
      <c r="A174" s="8">
        <v>40401</v>
      </c>
      <c r="B174" s="2" t="s">
        <v>180</v>
      </c>
      <c r="C174" s="9">
        <v>0.20840825140476227</v>
      </c>
      <c r="D174" s="9">
        <v>0.10460843145847321</v>
      </c>
      <c r="E174" s="4">
        <f t="shared" si="0"/>
        <v>0.50193997000294799</v>
      </c>
      <c r="F174" s="10">
        <v>7.3015347123146057E-2</v>
      </c>
      <c r="G174" s="4">
        <v>3.738977387547493E-2</v>
      </c>
      <c r="H174" s="10">
        <v>0.51208102609461226</v>
      </c>
      <c r="I174" s="11"/>
      <c r="J174" s="10"/>
      <c r="K174" s="11"/>
      <c r="L174" s="10"/>
    </row>
    <row r="175" spans="1:12" ht="14.4">
      <c r="A175" s="8">
        <v>40402</v>
      </c>
      <c r="B175" s="2" t="s">
        <v>181</v>
      </c>
      <c r="C175" s="9">
        <v>0.24780356884002686</v>
      </c>
      <c r="D175" s="9">
        <v>0.15226337313652039</v>
      </c>
      <c r="E175" s="4">
        <f t="shared" si="0"/>
        <v>0.6144518977239436</v>
      </c>
      <c r="F175" s="10">
        <v>0.12597958743572235</v>
      </c>
      <c r="G175" s="4">
        <v>7.7001012861728668E-2</v>
      </c>
      <c r="H175" s="10">
        <v>0.61121816977703891</v>
      </c>
      <c r="I175" s="11"/>
      <c r="J175" s="10"/>
      <c r="K175" s="11"/>
      <c r="L175" s="10"/>
    </row>
    <row r="176" spans="1:12" ht="14.4">
      <c r="A176" s="8">
        <v>40501</v>
      </c>
      <c r="B176" s="2" t="s">
        <v>182</v>
      </c>
      <c r="C176" s="9">
        <v>3.0762169510126114E-2</v>
      </c>
      <c r="D176" s="9">
        <v>1.3357620686292648E-2</v>
      </c>
      <c r="E176" s="4">
        <f t="shared" si="0"/>
        <v>0.43422232238515113</v>
      </c>
      <c r="F176" s="10">
        <v>7.289007306098938E-3</v>
      </c>
      <c r="G176" s="4">
        <v>1.2755102477967739E-2</v>
      </c>
      <c r="H176" s="10">
        <v>1.7499094104755732</v>
      </c>
      <c r="I176" s="11"/>
      <c r="J176" s="10"/>
      <c r="K176" s="11"/>
      <c r="L176" s="10"/>
    </row>
    <row r="177" spans="1:12" ht="14.4">
      <c r="A177" s="8">
        <v>40502</v>
      </c>
      <c r="B177" s="2" t="s">
        <v>183</v>
      </c>
      <c r="C177" s="9">
        <v>0.3172115683555603</v>
      </c>
      <c r="D177" s="9">
        <v>0.32738912105560303</v>
      </c>
      <c r="E177" s="4">
        <f t="shared" si="0"/>
        <v>1.0320844310716777</v>
      </c>
      <c r="F177" s="10">
        <v>7.767871767282486E-2</v>
      </c>
      <c r="G177" s="4">
        <v>4.7303978353738785E-2</v>
      </c>
      <c r="H177" s="10">
        <v>0.60896960932051558</v>
      </c>
      <c r="I177" s="11"/>
      <c r="J177" s="10"/>
      <c r="K177" s="11"/>
      <c r="L177" s="10"/>
    </row>
    <row r="178" spans="1:12" ht="14.4">
      <c r="A178" s="8">
        <v>40503</v>
      </c>
      <c r="B178" s="2" t="s">
        <v>184</v>
      </c>
      <c r="C178" s="9">
        <v>0.28372037410736084</v>
      </c>
      <c r="D178" s="9">
        <v>0.30940172076225281</v>
      </c>
      <c r="E178" s="4">
        <f t="shared" si="0"/>
        <v>1.0905163992388296</v>
      </c>
      <c r="F178" s="10">
        <v>3.3114809542894363E-2</v>
      </c>
      <c r="G178" s="4">
        <v>4.3534763157367706E-2</v>
      </c>
      <c r="H178" s="10">
        <v>1.3146614387431745</v>
      </c>
      <c r="I178" s="11"/>
      <c r="J178" s="10"/>
      <c r="K178" s="11"/>
      <c r="L178" s="10"/>
    </row>
    <row r="179" spans="1:12" ht="14.4">
      <c r="A179" s="8">
        <v>40504</v>
      </c>
      <c r="B179" s="2" t="s">
        <v>185</v>
      </c>
      <c r="C179" s="9">
        <v>0.26637235283851624</v>
      </c>
      <c r="D179" s="9">
        <v>0.16481481492519379</v>
      </c>
      <c r="E179" s="4">
        <f t="shared" si="0"/>
        <v>0.61873844326896044</v>
      </c>
      <c r="F179" s="10">
        <v>4.7214357182383537E-3</v>
      </c>
      <c r="G179" s="4">
        <v>3.5502959042787552E-2</v>
      </c>
      <c r="H179" s="10">
        <v>7.5195260851786623</v>
      </c>
      <c r="I179" s="11"/>
      <c r="J179" s="10"/>
      <c r="K179" s="11"/>
      <c r="L179" s="10"/>
    </row>
    <row r="180" spans="1:12" ht="14.4">
      <c r="A180" s="8">
        <v>40505</v>
      </c>
      <c r="B180" s="2" t="s">
        <v>186</v>
      </c>
      <c r="C180" s="9">
        <v>0.14358773827552795</v>
      </c>
      <c r="D180" s="9">
        <v>0.2389649897813797</v>
      </c>
      <c r="E180" s="4">
        <f t="shared" si="0"/>
        <v>1.6642437066794245</v>
      </c>
      <c r="F180" s="10">
        <v>2.526276558637619E-2</v>
      </c>
      <c r="G180" s="4">
        <v>6.1259917914867401E-2</v>
      </c>
      <c r="H180" s="10">
        <v>2.424909406906103</v>
      </c>
      <c r="I180" s="11"/>
      <c r="J180" s="10"/>
      <c r="K180" s="11"/>
      <c r="L180" s="10"/>
    </row>
    <row r="181" spans="1:12" ht="14.4">
      <c r="A181" s="8">
        <v>40601</v>
      </c>
      <c r="B181" s="2" t="s">
        <v>187</v>
      </c>
      <c r="C181" s="9">
        <v>0.17406819760799408</v>
      </c>
      <c r="D181" s="9">
        <v>6.9818861782550812E-2</v>
      </c>
      <c r="E181" s="4">
        <f t="shared" si="0"/>
        <v>0.40110061884931231</v>
      </c>
      <c r="F181" s="10">
        <v>4.5249942690134048E-2</v>
      </c>
      <c r="G181" s="4">
        <v>2.797355130314827E-2</v>
      </c>
      <c r="H181" s="10">
        <v>0.61820081176030772</v>
      </c>
      <c r="I181" s="11"/>
      <c r="J181" s="10"/>
      <c r="K181" s="11"/>
      <c r="L181" s="10"/>
    </row>
    <row r="182" spans="1:12" ht="14.4">
      <c r="A182" s="8">
        <v>40602</v>
      </c>
      <c r="B182" s="2" t="s">
        <v>188</v>
      </c>
      <c r="C182" s="9">
        <v>0.16704267263412476</v>
      </c>
      <c r="D182" s="9">
        <v>9.3581452965736389E-2</v>
      </c>
      <c r="E182" s="4">
        <f t="shared" si="0"/>
        <v>0.56022483051806038</v>
      </c>
      <c r="F182" s="10">
        <v>5.0027325749397278E-2</v>
      </c>
      <c r="G182" s="4">
        <v>4.2355671525001526E-2</v>
      </c>
      <c r="H182" s="10">
        <v>0.84665072319025214</v>
      </c>
      <c r="I182" s="11"/>
      <c r="J182" s="10"/>
      <c r="K182" s="11"/>
      <c r="L182" s="10"/>
    </row>
    <row r="183" spans="1:12" ht="14.4">
      <c r="A183" s="8">
        <v>40603</v>
      </c>
      <c r="B183" s="2" t="s">
        <v>189</v>
      </c>
      <c r="C183" s="9">
        <v>0.14385400712490082</v>
      </c>
      <c r="D183" s="9">
        <v>3.9373602718114853E-2</v>
      </c>
      <c r="E183" s="4">
        <f t="shared" si="0"/>
        <v>0.27370528986327675</v>
      </c>
      <c r="F183" s="10">
        <v>3.1707316637039185E-2</v>
      </c>
      <c r="G183" s="4">
        <v>1.631912961602211E-2</v>
      </c>
      <c r="H183" s="10">
        <v>0.51468024881546659</v>
      </c>
      <c r="I183" s="11"/>
      <c r="J183" s="10"/>
      <c r="K183" s="11"/>
      <c r="L183" s="10"/>
    </row>
    <row r="184" spans="1:12" ht="14.4">
      <c r="A184" s="8">
        <v>40701</v>
      </c>
      <c r="B184" s="2" t="s">
        <v>190</v>
      </c>
      <c r="C184" s="9">
        <v>9.5571406185626984E-2</v>
      </c>
      <c r="D184" s="9">
        <v>3.7058226764202118E-2</v>
      </c>
      <c r="E184" s="4">
        <f t="shared" si="0"/>
        <v>0.38775433200411902</v>
      </c>
      <c r="F184" s="10">
        <v>1.7586726695299149E-2</v>
      </c>
      <c r="G184" s="4">
        <v>3.8776674773544073E-3</v>
      </c>
      <c r="H184" s="10">
        <v>0.22048830032656902</v>
      </c>
      <c r="I184" s="11"/>
      <c r="J184" s="10"/>
      <c r="K184" s="11"/>
      <c r="L184" s="10"/>
    </row>
    <row r="185" spans="1:12" ht="14.4">
      <c r="A185" s="8">
        <v>40702</v>
      </c>
      <c r="B185" s="2" t="s">
        <v>191</v>
      </c>
      <c r="C185" s="9">
        <v>0.111111119389534</v>
      </c>
      <c r="D185" s="9">
        <v>4.5438025146722794E-2</v>
      </c>
      <c r="E185" s="4">
        <f t="shared" si="0"/>
        <v>0.40894219585193725</v>
      </c>
      <c r="F185" s="10">
        <v>2.2635567933320999E-2</v>
      </c>
      <c r="G185" s="4">
        <v>1.352409366518259E-2</v>
      </c>
      <c r="H185" s="10">
        <v>0.59747092297491078</v>
      </c>
      <c r="I185" s="11"/>
      <c r="J185" s="10"/>
      <c r="K185" s="11"/>
      <c r="L185" s="10"/>
    </row>
    <row r="186" spans="1:12" ht="14.4">
      <c r="A186" s="8">
        <v>40801</v>
      </c>
      <c r="B186" s="2" t="s">
        <v>192</v>
      </c>
      <c r="C186" s="9">
        <v>0.23570266366004944</v>
      </c>
      <c r="D186" s="9">
        <v>0.19682817161083221</v>
      </c>
      <c r="E186" s="4">
        <f t="shared" si="0"/>
        <v>0.83506978052108338</v>
      </c>
      <c r="F186" s="10">
        <v>5.5137313902378082E-2</v>
      </c>
      <c r="G186" s="4">
        <v>4.7073554247617722E-2</v>
      </c>
      <c r="H186" s="10">
        <v>0.85375131496181633</v>
      </c>
      <c r="I186" s="11"/>
      <c r="J186" s="10"/>
      <c r="K186" s="11"/>
      <c r="L186" s="10"/>
    </row>
    <row r="187" spans="1:12" ht="14.4">
      <c r="A187" s="8">
        <v>40802</v>
      </c>
      <c r="B187" s="2" t="s">
        <v>193</v>
      </c>
      <c r="C187" s="9">
        <v>0.25688326358795166</v>
      </c>
      <c r="D187" s="9">
        <v>0.29707604646682739</v>
      </c>
      <c r="E187" s="4">
        <f t="shared" si="0"/>
        <v>1.1564632211436949</v>
      </c>
      <c r="F187" s="10">
        <v>6.8630851805210114E-2</v>
      </c>
      <c r="G187" s="4">
        <v>9.3014851212501526E-2</v>
      </c>
      <c r="H187" s="10">
        <v>1.3552920991932129</v>
      </c>
      <c r="I187" s="11"/>
      <c r="J187" s="10"/>
      <c r="K187" s="11"/>
      <c r="L187" s="10"/>
    </row>
    <row r="188" spans="1:12" ht="14.4">
      <c r="A188" s="8">
        <v>40901</v>
      </c>
      <c r="B188" s="2" t="s">
        <v>194</v>
      </c>
      <c r="C188" s="9">
        <v>0.20253463089466095</v>
      </c>
      <c r="D188" s="9">
        <v>0.15119491517543793</v>
      </c>
      <c r="E188" s="4">
        <f t="shared" si="0"/>
        <v>0.74651389003234214</v>
      </c>
      <c r="F188" s="10">
        <v>3.8214929401874542E-2</v>
      </c>
      <c r="G188" s="4">
        <v>2.4066342040896416E-2</v>
      </c>
      <c r="H188" s="10">
        <v>0.62976282875759804</v>
      </c>
      <c r="I188" s="11"/>
      <c r="J188" s="10"/>
      <c r="K188" s="11"/>
      <c r="L188" s="10"/>
    </row>
    <row r="189" spans="1:12" ht="14.4">
      <c r="A189" s="8">
        <v>40902</v>
      </c>
      <c r="B189" s="2" t="s">
        <v>195</v>
      </c>
      <c r="C189" s="9">
        <v>0.23385535180568695</v>
      </c>
      <c r="D189" s="9">
        <v>0.19121447205543518</v>
      </c>
      <c r="E189" s="4">
        <f t="shared" si="0"/>
        <v>0.81766130464406661</v>
      </c>
      <c r="F189" s="10">
        <v>4.4134728610515594E-2</v>
      </c>
      <c r="G189" s="4">
        <v>3.5113036632537842E-2</v>
      </c>
      <c r="H189" s="10">
        <v>0.7955874599888616</v>
      </c>
      <c r="I189" s="11"/>
      <c r="J189" s="10"/>
      <c r="K189" s="11"/>
      <c r="L189" s="10"/>
    </row>
    <row r="190" spans="1:12" ht="14.4">
      <c r="A190" s="8">
        <v>40903</v>
      </c>
      <c r="B190" s="2" t="s">
        <v>196</v>
      </c>
      <c r="C190" s="9">
        <v>0.23324853181838989</v>
      </c>
      <c r="D190" s="9">
        <v>0.16818875074386597</v>
      </c>
      <c r="E190" s="4">
        <f t="shared" si="0"/>
        <v>0.72107099424239784</v>
      </c>
      <c r="F190" s="10">
        <v>0.14486892521381378</v>
      </c>
      <c r="G190" s="4">
        <v>0.12463768571615219</v>
      </c>
      <c r="H190" s="10">
        <v>0.86034796994730189</v>
      </c>
      <c r="I190" s="11"/>
      <c r="J190" s="10"/>
      <c r="K190" s="11"/>
      <c r="L190" s="10"/>
    </row>
    <row r="191" spans="1:12" ht="14.4">
      <c r="A191" s="8">
        <v>41001</v>
      </c>
      <c r="B191" s="2" t="s">
        <v>197</v>
      </c>
      <c r="C191" s="9">
        <v>0.35334351658821106</v>
      </c>
      <c r="D191" s="9">
        <v>0.28335398435592651</v>
      </c>
      <c r="E191" s="4">
        <f t="shared" si="0"/>
        <v>0.80192212692032827</v>
      </c>
      <c r="F191" s="10">
        <v>0.12199164927005768</v>
      </c>
      <c r="G191" s="4">
        <v>8.4188453853130341E-2</v>
      </c>
      <c r="H191" s="10">
        <v>0.69011653139272733</v>
      </c>
      <c r="I191" s="11"/>
      <c r="J191" s="10"/>
      <c r="K191" s="11"/>
      <c r="L191" s="10"/>
    </row>
    <row r="192" spans="1:12" ht="14.4">
      <c r="A192" s="8">
        <v>41101</v>
      </c>
      <c r="B192" s="2" t="s">
        <v>198</v>
      </c>
      <c r="C192" s="9">
        <v>0.18363106250762939</v>
      </c>
      <c r="D192" s="9">
        <v>9.0945042669773102E-2</v>
      </c>
      <c r="E192" s="4">
        <f t="shared" si="0"/>
        <v>0.49525957878719223</v>
      </c>
      <c r="F192" s="10">
        <v>4.6512193977832794E-2</v>
      </c>
      <c r="G192" s="4">
        <v>2.400362491607666E-2</v>
      </c>
      <c r="H192" s="10">
        <v>0.51607165483349438</v>
      </c>
      <c r="I192" s="11"/>
      <c r="J192" s="10"/>
      <c r="K192" s="11"/>
      <c r="L192" s="10"/>
    </row>
    <row r="193" spans="1:12" ht="14.4">
      <c r="A193" s="8">
        <v>41201</v>
      </c>
      <c r="B193" s="2" t="s">
        <v>199</v>
      </c>
      <c r="C193" s="9">
        <v>0.31826820969581604</v>
      </c>
      <c r="D193" s="9">
        <v>0.25774368643760681</v>
      </c>
      <c r="E193" s="4">
        <f t="shared" si="0"/>
        <v>0.80983170353063105</v>
      </c>
      <c r="F193" s="10">
        <v>0.11411411315202713</v>
      </c>
      <c r="G193" s="4">
        <v>0.12804232537746429</v>
      </c>
      <c r="H193" s="10">
        <v>1.122055123951947</v>
      </c>
      <c r="I193" s="11"/>
      <c r="J193" s="10"/>
      <c r="K193" s="11"/>
      <c r="L193" s="10"/>
    </row>
    <row r="194" spans="1:12" ht="14.4">
      <c r="A194" s="8">
        <v>41202</v>
      </c>
      <c r="B194" s="2" t="s">
        <v>200</v>
      </c>
      <c r="C194" s="9">
        <v>0.25960651040077209</v>
      </c>
      <c r="D194" s="9">
        <v>0.21004566550254822</v>
      </c>
      <c r="E194" s="4">
        <f t="shared" si="0"/>
        <v>0.80909244216674903</v>
      </c>
      <c r="F194" s="10">
        <v>7.9965747892856598E-2</v>
      </c>
      <c r="G194" s="4">
        <v>6.2925174832344055E-2</v>
      </c>
      <c r="H194" s="10">
        <v>0.78690159837753748</v>
      </c>
      <c r="I194" s="11"/>
      <c r="J194" s="10"/>
      <c r="K194" s="11"/>
      <c r="L194" s="10"/>
    </row>
    <row r="195" spans="1:12" ht="14.4">
      <c r="A195" s="8">
        <v>41301</v>
      </c>
      <c r="B195" s="2" t="s">
        <v>201</v>
      </c>
      <c r="C195" s="9">
        <v>0.32847589254379272</v>
      </c>
      <c r="D195" s="9">
        <v>0.27089947462081909</v>
      </c>
      <c r="E195" s="4">
        <f t="shared" si="0"/>
        <v>0.8247164579504187</v>
      </c>
      <c r="F195" s="10">
        <v>0.13888019323348999</v>
      </c>
      <c r="G195" s="4">
        <v>9.8012641072273254E-2</v>
      </c>
      <c r="H195" s="10">
        <v>0.70573520089715858</v>
      </c>
      <c r="I195" s="11"/>
      <c r="J195" s="10"/>
      <c r="K195" s="11"/>
      <c r="L195" s="10"/>
    </row>
    <row r="196" spans="1:12" ht="14.4">
      <c r="A196" s="8">
        <v>41401</v>
      </c>
      <c r="B196" s="2" t="s">
        <v>202</v>
      </c>
      <c r="C196" s="9">
        <v>0.27348068356513977</v>
      </c>
      <c r="D196" s="9">
        <v>6.8560607731342316E-2</v>
      </c>
      <c r="E196" s="4">
        <f t="shared" si="0"/>
        <v>0.25069634475669289</v>
      </c>
      <c r="F196" s="10">
        <v>7.7263601124286652E-2</v>
      </c>
      <c r="G196" s="4">
        <v>4.722990095615387E-2</v>
      </c>
      <c r="H196" s="10">
        <v>0.61128267733961295</v>
      </c>
      <c r="I196" s="11"/>
      <c r="J196" s="10"/>
      <c r="K196" s="11"/>
      <c r="L196" s="10"/>
    </row>
    <row r="197" spans="1:12" ht="14.4">
      <c r="A197" s="8">
        <v>41501</v>
      </c>
      <c r="B197" s="2" t="s">
        <v>203</v>
      </c>
      <c r="C197" s="9">
        <v>0.3138173520565033</v>
      </c>
      <c r="D197" s="9">
        <v>0.26805555820465088</v>
      </c>
      <c r="E197" s="4">
        <f t="shared" si="0"/>
        <v>0.85417698048891533</v>
      </c>
      <c r="F197" s="10">
        <v>0.13316917419433594</v>
      </c>
      <c r="G197" s="4">
        <v>7.8914143145084381E-2</v>
      </c>
      <c r="H197" s="10">
        <v>0.59258566122760281</v>
      </c>
      <c r="I197" s="11"/>
      <c r="J197" s="10"/>
      <c r="K197" s="11"/>
      <c r="L197" s="10"/>
    </row>
    <row r="198" spans="1:12" ht="14.4">
      <c r="A198" s="8">
        <v>41502</v>
      </c>
      <c r="B198" s="2" t="s">
        <v>204</v>
      </c>
      <c r="C198" s="9">
        <v>0.34175628423690796</v>
      </c>
      <c r="D198" s="9">
        <v>0.15718157589435577</v>
      </c>
      <c r="E198" s="4">
        <f t="shared" si="0"/>
        <v>0.45992300110975093</v>
      </c>
      <c r="F198" s="10">
        <v>4.061204195022583E-2</v>
      </c>
      <c r="G198" s="4">
        <v>7.1851857006549835E-2</v>
      </c>
      <c r="H198" s="10">
        <v>1.7692254207412561</v>
      </c>
      <c r="I198" s="11"/>
      <c r="J198" s="10"/>
      <c r="K198" s="11"/>
      <c r="L198" s="10"/>
    </row>
    <row r="199" spans="1:12" ht="14.4">
      <c r="A199" s="8">
        <v>41503</v>
      </c>
      <c r="B199" s="2" t="s">
        <v>205</v>
      </c>
      <c r="C199" s="9">
        <v>0.3554627001285553</v>
      </c>
      <c r="D199" s="9">
        <v>0.35792350769042969</v>
      </c>
      <c r="E199" s="4">
        <f t="shared" si="0"/>
        <v>1.0069228292053833</v>
      </c>
      <c r="F199" s="10">
        <v>6.1035525053739548E-2</v>
      </c>
      <c r="G199" s="4">
        <v>7.7212810516357422E-2</v>
      </c>
      <c r="H199" s="10">
        <v>1.2650470434779477</v>
      </c>
      <c r="I199" s="11"/>
      <c r="J199" s="10"/>
      <c r="K199" s="11"/>
      <c r="L199" s="10"/>
    </row>
    <row r="200" spans="1:12" ht="14.4">
      <c r="A200" s="8">
        <v>41601</v>
      </c>
      <c r="B200" s="2" t="s">
        <v>206</v>
      </c>
      <c r="C200" s="9">
        <v>0.35307410359382629</v>
      </c>
      <c r="D200" s="9">
        <v>0.26117753982543945</v>
      </c>
      <c r="E200" s="4">
        <f t="shared" si="0"/>
        <v>0.73972442942430028</v>
      </c>
      <c r="F200" s="10">
        <v>0.11516017466783524</v>
      </c>
      <c r="G200" s="4">
        <v>0.1093750074505806</v>
      </c>
      <c r="H200" s="10">
        <v>0.94976416774339556</v>
      </c>
      <c r="I200" s="11"/>
      <c r="J200" s="10"/>
      <c r="K200" s="11"/>
      <c r="L200" s="10"/>
    </row>
    <row r="201" spans="1:12" ht="14.4">
      <c r="A201" s="8">
        <v>50101</v>
      </c>
      <c r="B201" s="2" t="s">
        <v>207</v>
      </c>
      <c r="C201" s="9">
        <v>8.3396874368190765E-2</v>
      </c>
      <c r="D201" s="9">
        <v>1.6019459813833237E-2</v>
      </c>
      <c r="E201" s="4">
        <f t="shared" si="0"/>
        <v>0.19208705284455335</v>
      </c>
      <c r="F201" s="10">
        <v>2.1888189017772675E-2</v>
      </c>
      <c r="G201" s="4">
        <v>5.392769817262888E-3</v>
      </c>
      <c r="H201" s="10">
        <v>0.2463780723423071</v>
      </c>
      <c r="I201" s="11"/>
      <c r="J201" s="10"/>
      <c r="K201" s="11"/>
      <c r="L201" s="10"/>
    </row>
    <row r="202" spans="1:12" ht="14.4">
      <c r="A202" s="8">
        <v>50102</v>
      </c>
      <c r="B202" s="2" t="s">
        <v>208</v>
      </c>
      <c r="C202" s="9">
        <v>0.46603459119796753</v>
      </c>
      <c r="D202" s="9">
        <v>0.34909188747406006</v>
      </c>
      <c r="E202" s="4">
        <f t="shared" si="0"/>
        <v>0.7490686186548946</v>
      </c>
      <c r="F202" s="10">
        <v>0.13582183420658112</v>
      </c>
      <c r="G202" s="4">
        <v>0.10525114834308624</v>
      </c>
      <c r="H202" s="10">
        <v>0.7749206816262123</v>
      </c>
      <c r="I202" s="11"/>
      <c r="J202" s="10"/>
      <c r="K202" s="11"/>
      <c r="L202" s="10"/>
    </row>
    <row r="203" spans="1:12" ht="14.4">
      <c r="A203" s="8">
        <v>50103</v>
      </c>
      <c r="B203" s="2" t="s">
        <v>209</v>
      </c>
      <c r="C203" s="9">
        <v>0.15254124999046326</v>
      </c>
      <c r="D203" s="9">
        <v>0.11707109957933426</v>
      </c>
      <c r="E203" s="4">
        <f t="shared" si="0"/>
        <v>0.767471746735086</v>
      </c>
      <c r="F203" s="10">
        <v>3.3362369984388351E-2</v>
      </c>
      <c r="G203" s="4">
        <v>1.7328696325421333E-2</v>
      </c>
      <c r="H203" s="10">
        <v>0.51940843331963993</v>
      </c>
      <c r="I203" s="11"/>
      <c r="J203" s="10"/>
      <c r="K203" s="11"/>
      <c r="L203" s="10"/>
    </row>
    <row r="204" spans="1:12" ht="14.4">
      <c r="A204" s="8">
        <v>50104</v>
      </c>
      <c r="B204" s="2" t="s">
        <v>210</v>
      </c>
      <c r="C204" s="9">
        <v>0.28341564536094666</v>
      </c>
      <c r="D204" s="9">
        <v>0.21810699999332428</v>
      </c>
      <c r="E204" s="4">
        <f t="shared" si="0"/>
        <v>0.76956584282971419</v>
      </c>
      <c r="F204" s="10">
        <v>0.14126716554164886</v>
      </c>
      <c r="G204" s="4">
        <v>6.9272980093955994E-2</v>
      </c>
      <c r="H204" s="10">
        <v>0.49036858514396042</v>
      </c>
      <c r="I204" s="11"/>
      <c r="J204" s="10"/>
      <c r="K204" s="11"/>
      <c r="L204" s="10"/>
    </row>
    <row r="205" spans="1:12" ht="14.4">
      <c r="A205" s="8">
        <v>50201</v>
      </c>
      <c r="B205" s="2" t="s">
        <v>211</v>
      </c>
      <c r="C205" s="9">
        <v>0.24136213958263397</v>
      </c>
      <c r="D205" s="9">
        <v>5.7757452130317688E-2</v>
      </c>
      <c r="E205" s="4">
        <f t="shared" si="0"/>
        <v>0.2392978958099746</v>
      </c>
      <c r="F205" s="10">
        <v>6.9633990526199341E-2</v>
      </c>
      <c r="G205" s="4">
        <v>2.0824870094656944E-2</v>
      </c>
      <c r="H205" s="10">
        <v>0.29906185093358567</v>
      </c>
      <c r="I205" s="11"/>
      <c r="J205" s="10"/>
      <c r="K205" s="11"/>
      <c r="L205" s="10"/>
    </row>
    <row r="206" spans="1:12" ht="14.4">
      <c r="A206" s="8">
        <v>50202</v>
      </c>
      <c r="B206" s="2" t="s">
        <v>212</v>
      </c>
      <c r="C206" s="9">
        <v>0.25351244211196899</v>
      </c>
      <c r="D206" s="9">
        <v>0.12195448577404022</v>
      </c>
      <c r="E206" s="4">
        <f t="shared" si="0"/>
        <v>0.4810591731043185</v>
      </c>
      <c r="F206" s="10">
        <v>5.2602663636207581E-2</v>
      </c>
      <c r="G206" s="4">
        <v>4.7694753855466843E-2</v>
      </c>
      <c r="H206" s="10">
        <v>0.90669845514510194</v>
      </c>
      <c r="I206" s="11"/>
      <c r="J206" s="10"/>
      <c r="K206" s="11"/>
      <c r="L206" s="10"/>
    </row>
    <row r="207" spans="1:12" ht="14.4">
      <c r="A207" s="8">
        <v>50203</v>
      </c>
      <c r="B207" s="2" t="s">
        <v>213</v>
      </c>
      <c r="C207" s="9">
        <v>0.14167280495166779</v>
      </c>
      <c r="D207" s="9">
        <v>4.6480301767587662E-2</v>
      </c>
      <c r="E207" s="4">
        <f t="shared" si="0"/>
        <v>0.32808203228166899</v>
      </c>
      <c r="F207" s="10">
        <v>3.3343050628900528E-2</v>
      </c>
      <c r="G207" s="4">
        <v>1.0521762073040009E-2</v>
      </c>
      <c r="H207" s="10">
        <v>0.31556087024383223</v>
      </c>
      <c r="I207" s="11"/>
      <c r="J207" s="10"/>
      <c r="K207" s="11"/>
      <c r="L207" s="10"/>
    </row>
    <row r="208" spans="1:12" ht="14.4">
      <c r="A208" s="8">
        <v>50204</v>
      </c>
      <c r="B208" s="2" t="s">
        <v>214</v>
      </c>
      <c r="C208" s="9">
        <v>0.35632234811782837</v>
      </c>
      <c r="D208" s="9">
        <v>0.13766597211360931</v>
      </c>
      <c r="E208" s="4">
        <f t="shared" si="0"/>
        <v>0.3863523375415287</v>
      </c>
      <c r="F208" s="10">
        <v>0.10373500734567642</v>
      </c>
      <c r="G208" s="4">
        <v>4.9339998513460159E-2</v>
      </c>
      <c r="H208" s="10">
        <v>0.4756349835600277</v>
      </c>
      <c r="I208" s="11"/>
      <c r="J208" s="10"/>
      <c r="K208" s="11"/>
      <c r="L208" s="10"/>
    </row>
    <row r="209" spans="1:12" ht="14.4">
      <c r="A209" s="8">
        <v>50301</v>
      </c>
      <c r="B209" s="2" t="s">
        <v>215</v>
      </c>
      <c r="C209" s="9">
        <v>0.29584938287734985</v>
      </c>
      <c r="D209" s="9">
        <v>0.12607353925704956</v>
      </c>
      <c r="E209" s="4">
        <f t="shared" si="0"/>
        <v>0.4261409573712574</v>
      </c>
      <c r="F209" s="10">
        <v>8.1093005836009979E-2</v>
      </c>
      <c r="G209" s="4">
        <v>6.9276995956897736E-2</v>
      </c>
      <c r="H209" s="10">
        <v>0.85429064125447363</v>
      </c>
      <c r="I209" s="11"/>
      <c r="J209" s="10"/>
      <c r="K209" s="11"/>
      <c r="L209" s="10"/>
    </row>
    <row r="210" spans="1:12" ht="14.4">
      <c r="A210" s="8">
        <v>50302</v>
      </c>
      <c r="B210" s="2" t="s">
        <v>216</v>
      </c>
      <c r="C210" s="9">
        <v>0.24792695045471191</v>
      </c>
      <c r="D210" s="9">
        <v>0.22678476572036743</v>
      </c>
      <c r="E210" s="4">
        <f t="shared" si="0"/>
        <v>0.91472413670410369</v>
      </c>
      <c r="F210" s="10">
        <v>7.666962593793869E-2</v>
      </c>
      <c r="G210" s="4">
        <v>5.5512920022010803E-2</v>
      </c>
      <c r="H210" s="10">
        <v>0.72405361762096665</v>
      </c>
      <c r="I210" s="11"/>
      <c r="J210" s="10"/>
      <c r="K210" s="11"/>
      <c r="L210" s="10"/>
    </row>
    <row r="211" spans="1:12" ht="14.4">
      <c r="A211" s="8">
        <v>50303</v>
      </c>
      <c r="B211" s="2" t="s">
        <v>217</v>
      </c>
      <c r="C211" s="9">
        <v>0.48783233761787415</v>
      </c>
      <c r="D211" s="9">
        <v>0.37170568108558655</v>
      </c>
      <c r="E211" s="4">
        <f t="shared" si="0"/>
        <v>0.76195375423584322</v>
      </c>
      <c r="F211" s="10">
        <v>0.17405545711517334</v>
      </c>
      <c r="G211" s="4">
        <v>0.1402672678232193</v>
      </c>
      <c r="H211" s="10">
        <v>0.80587687480780201</v>
      </c>
      <c r="I211" s="11"/>
      <c r="J211" s="10"/>
      <c r="K211" s="11"/>
      <c r="L211" s="10"/>
    </row>
    <row r="212" spans="1:12" ht="14.4">
      <c r="A212" s="8">
        <v>50401</v>
      </c>
      <c r="B212" s="2" t="s">
        <v>218</v>
      </c>
      <c r="C212" s="9">
        <v>0.39743676781654358</v>
      </c>
      <c r="D212" s="9">
        <v>0.24648351967334747</v>
      </c>
      <c r="E212" s="4">
        <f t="shared" si="0"/>
        <v>0.62018298162872543</v>
      </c>
      <c r="F212" s="10">
        <v>0.14998580515384674</v>
      </c>
      <c r="G212" s="4">
        <v>6.4900770783424377E-2</v>
      </c>
      <c r="H212" s="10">
        <v>0.43271275382929025</v>
      </c>
      <c r="I212" s="11"/>
      <c r="J212" s="10"/>
      <c r="K212" s="11"/>
      <c r="L212" s="10"/>
    </row>
    <row r="213" spans="1:12" ht="14.4">
      <c r="A213" s="8">
        <v>50402</v>
      </c>
      <c r="B213" s="2" t="s">
        <v>219</v>
      </c>
      <c r="C213" s="9">
        <v>0.43152803182601929</v>
      </c>
      <c r="D213" s="9">
        <v>0.24780702590942383</v>
      </c>
      <c r="E213" s="4">
        <f t="shared" si="0"/>
        <v>0.57425475898013756</v>
      </c>
      <c r="F213" s="10">
        <v>0.14696264266967773</v>
      </c>
      <c r="G213" s="4">
        <v>0.12507355213165283</v>
      </c>
      <c r="H213" s="10">
        <v>0.85105677102429245</v>
      </c>
      <c r="I213" s="11"/>
      <c r="J213" s="10"/>
      <c r="K213" s="11"/>
      <c r="L213" s="10"/>
    </row>
    <row r="214" spans="1:12" ht="14.4">
      <c r="A214" s="8">
        <v>50403</v>
      </c>
      <c r="B214" s="2" t="s">
        <v>220</v>
      </c>
      <c r="C214" s="9">
        <v>0.35930120944976807</v>
      </c>
      <c r="D214" s="9">
        <v>0.28487229347229004</v>
      </c>
      <c r="E214" s="4">
        <f t="shared" si="0"/>
        <v>0.79285091722497103</v>
      </c>
      <c r="F214" s="10">
        <v>0.11168841272592545</v>
      </c>
      <c r="G214" s="4">
        <v>9.8395295441150665E-2</v>
      </c>
      <c r="H214" s="10">
        <v>0.88098033663174136</v>
      </c>
      <c r="I214" s="11"/>
      <c r="J214" s="10"/>
      <c r="K214" s="11"/>
      <c r="L214" s="10"/>
    </row>
    <row r="215" spans="1:12" ht="14.4">
      <c r="A215" s="8">
        <v>50404</v>
      </c>
      <c r="B215" s="2" t="s">
        <v>221</v>
      </c>
      <c r="C215" s="9">
        <v>0.46208745241165161</v>
      </c>
      <c r="D215" s="9">
        <v>0.29081633687019348</v>
      </c>
      <c r="E215" s="4">
        <f t="shared" si="0"/>
        <v>0.62935345972372159</v>
      </c>
      <c r="F215" s="10">
        <v>0.15382978320121765</v>
      </c>
      <c r="G215" s="4">
        <v>0.13389724493026733</v>
      </c>
      <c r="H215" s="10">
        <v>0.87042471323724424</v>
      </c>
      <c r="I215" s="11"/>
      <c r="J215" s="10"/>
      <c r="K215" s="11"/>
      <c r="L215" s="10"/>
    </row>
    <row r="216" spans="1:12" ht="14.4">
      <c r="A216" s="8">
        <v>50405</v>
      </c>
      <c r="B216" s="2" t="s">
        <v>222</v>
      </c>
      <c r="C216" s="9">
        <f t="shared" ref="C216:D216" si="2">C212</f>
        <v>0.39743676781654358</v>
      </c>
      <c r="D216" s="9">
        <f t="shared" si="2"/>
        <v>0.24648351967334747</v>
      </c>
      <c r="E216" s="4">
        <f t="shared" si="0"/>
        <v>0.62018298162872543</v>
      </c>
      <c r="F216" s="10">
        <v>0.12336201220750809</v>
      </c>
      <c r="G216" s="4">
        <v>0.12004068493843079</v>
      </c>
      <c r="H216" s="10">
        <v>0.97307657998079289</v>
      </c>
      <c r="I216" s="11"/>
      <c r="J216" s="10"/>
      <c r="K216" s="11"/>
      <c r="L216" s="10"/>
    </row>
    <row r="217" spans="1:12" ht="14.4">
      <c r="A217" s="8">
        <v>50501</v>
      </c>
      <c r="B217" s="2" t="s">
        <v>223</v>
      </c>
      <c r="C217" s="9">
        <v>0.50188267230987549</v>
      </c>
      <c r="D217" s="9">
        <v>0.31316310167312622</v>
      </c>
      <c r="E217" s="4">
        <f t="shared" si="0"/>
        <v>0.62397671597590265</v>
      </c>
      <c r="F217" s="10">
        <v>0.21621246635913849</v>
      </c>
      <c r="G217" s="4">
        <v>0.16615751385688782</v>
      </c>
      <c r="H217" s="10">
        <v>0.76849182961029094</v>
      </c>
      <c r="I217" s="11"/>
      <c r="J217" s="10"/>
      <c r="K217" s="11"/>
      <c r="L217" s="10"/>
    </row>
    <row r="218" spans="1:12" ht="14.4">
      <c r="A218" s="8">
        <v>50502</v>
      </c>
      <c r="B218" s="2" t="s">
        <v>224</v>
      </c>
      <c r="C218" s="9">
        <v>0.41669416427612305</v>
      </c>
      <c r="D218" s="9">
        <v>0.16546894609928131</v>
      </c>
      <c r="E218" s="4">
        <f t="shared" si="0"/>
        <v>0.39709926436510651</v>
      </c>
      <c r="F218" s="10">
        <v>0.16969697177410126</v>
      </c>
      <c r="G218" s="4">
        <v>0.15537671744823456</v>
      </c>
      <c r="H218" s="10">
        <v>0.91561278804120516</v>
      </c>
      <c r="I218" s="11"/>
      <c r="J218" s="10"/>
      <c r="K218" s="11"/>
      <c r="L218" s="10"/>
    </row>
    <row r="219" spans="1:12" ht="14.4">
      <c r="A219" s="8">
        <v>50601</v>
      </c>
      <c r="B219" s="2" t="s">
        <v>225</v>
      </c>
      <c r="C219" s="9">
        <v>0.27288585901260376</v>
      </c>
      <c r="D219" s="9">
        <v>0.14508183300495148</v>
      </c>
      <c r="E219" s="4">
        <f t="shared" si="0"/>
        <v>0.53165757115413803</v>
      </c>
      <c r="F219" s="10">
        <v>8.0875188112258911E-2</v>
      </c>
      <c r="G219" s="4">
        <v>3.7013538181781769E-2</v>
      </c>
      <c r="H219" s="10">
        <v>0.45766246788081755</v>
      </c>
      <c r="I219" s="11"/>
      <c r="J219" s="10"/>
      <c r="K219" s="11"/>
      <c r="L219" s="10"/>
    </row>
    <row r="220" spans="1:12" ht="14.4">
      <c r="A220" s="8">
        <v>50602</v>
      </c>
      <c r="B220" s="2" t="s">
        <v>226</v>
      </c>
      <c r="C220" s="9">
        <v>0.22350980341434479</v>
      </c>
      <c r="D220" s="9">
        <v>0.14548361301422119</v>
      </c>
      <c r="E220" s="4">
        <f t="shared" si="0"/>
        <v>0.65090484082491074</v>
      </c>
      <c r="F220" s="10">
        <v>5.8152180165052414E-2</v>
      </c>
      <c r="G220" s="4">
        <v>5.8249156922101974E-2</v>
      </c>
      <c r="H220" s="10">
        <v>1.0016676375120299</v>
      </c>
      <c r="I220" s="11"/>
      <c r="J220" s="10"/>
      <c r="K220" s="11"/>
      <c r="L220" s="10"/>
    </row>
    <row r="221" spans="1:12" ht="14.4">
      <c r="A221" s="8">
        <v>50701</v>
      </c>
      <c r="B221" s="2" t="s">
        <v>227</v>
      </c>
      <c r="C221" s="9">
        <v>0.36502370238304138</v>
      </c>
      <c r="D221" s="9">
        <v>0.22062636911869049</v>
      </c>
      <c r="E221" s="4">
        <f t="shared" si="0"/>
        <v>0.60441655618071055</v>
      </c>
      <c r="F221" s="10">
        <v>9.9859550595283508E-2</v>
      </c>
      <c r="G221" s="4">
        <v>7.8321449458599091E-2</v>
      </c>
      <c r="H221" s="10">
        <v>0.78431606182592128</v>
      </c>
      <c r="I221" s="11"/>
      <c r="J221" s="10"/>
      <c r="K221" s="11"/>
      <c r="L221" s="10"/>
    </row>
    <row r="222" spans="1:12" ht="14.4">
      <c r="A222" s="8">
        <v>50702</v>
      </c>
      <c r="B222" s="2" t="s">
        <v>228</v>
      </c>
      <c r="C222" s="9">
        <v>0.32541471719741821</v>
      </c>
      <c r="D222" s="9">
        <v>0.11897274851799011</v>
      </c>
      <c r="E222" s="4">
        <f t="shared" si="0"/>
        <v>0.36560346607130656</v>
      </c>
      <c r="F222" s="10">
        <v>8.9820191264152527E-2</v>
      </c>
      <c r="G222" s="4">
        <v>8.0734245479106903E-2</v>
      </c>
      <c r="H222" s="10">
        <v>0.89884294770287521</v>
      </c>
      <c r="I222" s="11"/>
      <c r="J222" s="10"/>
      <c r="K222" s="11"/>
      <c r="L222" s="10"/>
    </row>
    <row r="223" spans="1:12" ht="14.4">
      <c r="A223" s="8">
        <v>50801</v>
      </c>
      <c r="B223" s="2" t="s">
        <v>229</v>
      </c>
      <c r="C223" s="9">
        <v>0.13494306802749634</v>
      </c>
      <c r="D223" s="9">
        <v>0.12000676989555359</v>
      </c>
      <c r="E223" s="4">
        <f t="shared" si="0"/>
        <v>0.88931407629698112</v>
      </c>
      <c r="F223" s="10">
        <v>2.7303203940391541E-2</v>
      </c>
      <c r="G223" s="4">
        <v>1.6826072707772255E-2</v>
      </c>
      <c r="H223" s="10">
        <v>0.61626733421128899</v>
      </c>
      <c r="I223" s="11"/>
      <c r="J223" s="10"/>
      <c r="K223" s="11"/>
      <c r="L223" s="10"/>
    </row>
    <row r="224" spans="1:12" ht="14.4">
      <c r="A224" s="8">
        <v>50802</v>
      </c>
      <c r="B224" s="2" t="s">
        <v>230</v>
      </c>
      <c r="C224" s="9">
        <v>0.10016798973083496</v>
      </c>
      <c r="D224" s="9">
        <v>5.3757146000862122E-2</v>
      </c>
      <c r="E224" s="4">
        <f t="shared" si="0"/>
        <v>0.53666990967189121</v>
      </c>
      <c r="F224" s="10">
        <v>2.3317907005548477E-2</v>
      </c>
      <c r="G224" s="4">
        <v>1.0014677420258522E-2</v>
      </c>
      <c r="H224" s="10">
        <v>0.42948440517734021</v>
      </c>
      <c r="I224" s="11"/>
      <c r="J224" s="10"/>
      <c r="K224" s="11"/>
      <c r="L224" s="10"/>
    </row>
    <row r="225" spans="1:12" ht="14.4">
      <c r="A225" s="8">
        <v>50901</v>
      </c>
      <c r="B225" s="2" t="s">
        <v>231</v>
      </c>
      <c r="C225" s="9">
        <v>0.23516134917736053</v>
      </c>
      <c r="D225" s="9">
        <v>9.9568024277687073E-2</v>
      </c>
      <c r="E225" s="4">
        <f t="shared" si="0"/>
        <v>0.42340301510428946</v>
      </c>
      <c r="F225" s="10">
        <v>2.9539519920945168E-2</v>
      </c>
      <c r="G225" s="4">
        <v>1.3972323387861252E-2</v>
      </c>
      <c r="H225" s="10">
        <v>0.47300441663420856</v>
      </c>
      <c r="I225" s="11"/>
      <c r="J225" s="10"/>
      <c r="K225" s="11"/>
      <c r="L225" s="10"/>
    </row>
    <row r="226" spans="1:12" ht="14.4">
      <c r="A226" s="8">
        <v>50902</v>
      </c>
      <c r="B226" s="2" t="s">
        <v>232</v>
      </c>
      <c r="C226" s="9">
        <v>0.16476288437843323</v>
      </c>
      <c r="D226" s="9">
        <v>0.21561221778392792</v>
      </c>
      <c r="E226" s="4">
        <f t="shared" si="0"/>
        <v>1.3086212868712721</v>
      </c>
      <c r="F226" s="10">
        <v>3.5326622426509857E-2</v>
      </c>
      <c r="G226" s="4">
        <v>2.7562446892261505E-2</v>
      </c>
      <c r="H226" s="10">
        <v>0.78021743939998212</v>
      </c>
      <c r="I226" s="11"/>
      <c r="J226" s="10"/>
      <c r="K226" s="11"/>
      <c r="L226" s="10"/>
    </row>
    <row r="227" spans="1:12" ht="14.4">
      <c r="A227" s="8">
        <v>51001</v>
      </c>
      <c r="B227" s="2" t="s">
        <v>233</v>
      </c>
      <c r="C227" s="9">
        <v>0.29311251640319824</v>
      </c>
      <c r="D227" s="9">
        <v>0.19483938813209534</v>
      </c>
      <c r="E227" s="4">
        <f t="shared" si="0"/>
        <v>0.66472558225415102</v>
      </c>
      <c r="F227" s="10">
        <v>7.7336862683296204E-2</v>
      </c>
      <c r="G227" s="4">
        <v>6.5113507211208344E-2</v>
      </c>
      <c r="H227" s="10">
        <v>0.84194658216038609</v>
      </c>
      <c r="I227" s="11"/>
      <c r="J227" s="10"/>
      <c r="K227" s="11"/>
      <c r="L227" s="10"/>
    </row>
    <row r="228" spans="1:12" ht="14.4">
      <c r="A228" s="8">
        <v>51002</v>
      </c>
      <c r="B228" s="2" t="s">
        <v>234</v>
      </c>
      <c r="C228" s="9">
        <v>0.38687559962272644</v>
      </c>
      <c r="D228" s="9">
        <v>0.13871197402477264</v>
      </c>
      <c r="E228" s="4">
        <f t="shared" si="0"/>
        <v>0.35854412674265801</v>
      </c>
      <c r="F228" s="10">
        <v>0.14006960391998291</v>
      </c>
      <c r="G228" s="4">
        <v>0.14866979420185089</v>
      </c>
      <c r="H228" s="10">
        <v>1.0613994045901707</v>
      </c>
      <c r="I228" s="11"/>
      <c r="J228" s="10"/>
      <c r="K228" s="11"/>
      <c r="L228" s="10"/>
    </row>
    <row r="229" spans="1:12" ht="14.4">
      <c r="A229" s="8">
        <v>51003</v>
      </c>
      <c r="B229" s="2" t="s">
        <v>235</v>
      </c>
      <c r="C229" s="9">
        <v>0.25434175133705139</v>
      </c>
      <c r="D229" s="9">
        <v>0.22736172378063202</v>
      </c>
      <c r="E229" s="4">
        <f t="shared" si="0"/>
        <v>0.89392214445883211</v>
      </c>
      <c r="F229" s="10">
        <v>0.1150013655424118</v>
      </c>
      <c r="G229" s="4">
        <v>7.8853048384189606E-2</v>
      </c>
      <c r="H229" s="10">
        <v>0.68567053975640913</v>
      </c>
      <c r="I229" s="11"/>
      <c r="J229" s="10"/>
      <c r="K229" s="11"/>
      <c r="L229" s="10"/>
    </row>
    <row r="230" spans="1:12" ht="14.4">
      <c r="A230" s="8">
        <v>51101</v>
      </c>
      <c r="B230" s="2" t="s">
        <v>236</v>
      </c>
      <c r="C230" s="9">
        <v>0.22694785892963409</v>
      </c>
      <c r="D230" s="9">
        <v>0.17851220071315765</v>
      </c>
      <c r="E230" s="4">
        <f t="shared" si="0"/>
        <v>0.78657803406951698</v>
      </c>
      <c r="F230" s="10">
        <v>5.4577101022005081E-2</v>
      </c>
      <c r="G230" s="4">
        <v>5.4025229066610336E-2</v>
      </c>
      <c r="H230" s="10">
        <v>0.98988821419495632</v>
      </c>
      <c r="I230" s="11"/>
      <c r="J230" s="10"/>
      <c r="K230" s="11"/>
      <c r="L230" s="10"/>
    </row>
    <row r="231" spans="1:12" ht="14.4">
      <c r="A231" s="8">
        <v>51102</v>
      </c>
      <c r="B231" s="2" t="s">
        <v>237</v>
      </c>
      <c r="C231" s="9">
        <v>0.20522981882095337</v>
      </c>
      <c r="D231" s="9">
        <v>0.14820435643196106</v>
      </c>
      <c r="E231" s="4">
        <f t="shared" si="0"/>
        <v>0.7221385141954324</v>
      </c>
      <c r="F231" s="10">
        <v>6.0251757502555847E-2</v>
      </c>
      <c r="G231" s="4">
        <v>5.3700558841228485E-2</v>
      </c>
      <c r="H231" s="10">
        <v>0.89126958394451039</v>
      </c>
      <c r="I231" s="11"/>
      <c r="J231" s="10"/>
      <c r="K231" s="11"/>
      <c r="L231" s="10"/>
    </row>
    <row r="232" spans="1:12" ht="14.4">
      <c r="A232" s="8">
        <v>51103</v>
      </c>
      <c r="B232" s="2" t="s">
        <v>238</v>
      </c>
      <c r="C232" s="9">
        <v>0.47870033979415894</v>
      </c>
      <c r="D232" s="9">
        <v>0.30396321415901184</v>
      </c>
      <c r="E232" s="4">
        <f t="shared" si="0"/>
        <v>0.63497597325649691</v>
      </c>
      <c r="F232" s="10">
        <v>0.1844007670879364</v>
      </c>
      <c r="G232" s="4">
        <v>0.16147282719612122</v>
      </c>
      <c r="H232" s="10">
        <v>0.87566244840575214</v>
      </c>
      <c r="I232" s="11"/>
      <c r="J232" s="10"/>
      <c r="K232" s="11"/>
      <c r="L232" s="10"/>
    </row>
    <row r="233" spans="1:12" ht="14.4">
      <c r="A233" s="8">
        <v>51201</v>
      </c>
      <c r="B233" s="2" t="s">
        <v>239</v>
      </c>
      <c r="C233" s="9">
        <v>0.20461563766002655</v>
      </c>
      <c r="D233" s="9">
        <v>8.4230229258537292E-2</v>
      </c>
      <c r="E233" s="4">
        <f t="shared" si="0"/>
        <v>0.41165098729398042</v>
      </c>
      <c r="F233" s="10">
        <v>3.9702434092760086E-2</v>
      </c>
      <c r="G233" s="4">
        <v>1.46144675090909E-2</v>
      </c>
      <c r="H233" s="10">
        <v>0.36810003827336907</v>
      </c>
      <c r="I233" s="11"/>
      <c r="J233" s="10"/>
      <c r="K233" s="11"/>
      <c r="L233" s="10"/>
    </row>
    <row r="234" spans="1:12" ht="14.4">
      <c r="A234" s="8">
        <v>51202</v>
      </c>
      <c r="B234" s="2" t="s">
        <v>240</v>
      </c>
      <c r="C234" s="9">
        <v>0.31048557162284851</v>
      </c>
      <c r="D234" s="9">
        <v>0.26969274878501892</v>
      </c>
      <c r="E234" s="4">
        <f t="shared" si="0"/>
        <v>0.86861604349402344</v>
      </c>
      <c r="F234" s="10">
        <v>7.8374557197093964E-2</v>
      </c>
      <c r="G234" s="4">
        <v>8.075559139251709E-2</v>
      </c>
      <c r="H234" s="10">
        <v>1.0303801932741434</v>
      </c>
      <c r="I234" s="11"/>
      <c r="J234" s="10"/>
      <c r="K234" s="11"/>
      <c r="L234" s="10"/>
    </row>
    <row r="235" spans="1:12" ht="14.4">
      <c r="A235" s="8">
        <v>51203</v>
      </c>
      <c r="B235" s="2" t="s">
        <v>241</v>
      </c>
      <c r="C235" s="9">
        <v>0.13658356666564941</v>
      </c>
      <c r="D235" s="9">
        <v>0.1054285392165184</v>
      </c>
      <c r="E235" s="4">
        <f t="shared" si="0"/>
        <v>0.77189768718372131</v>
      </c>
      <c r="F235" s="10">
        <v>2.5437185540795326E-2</v>
      </c>
      <c r="G235" s="4">
        <v>2.1985378116369247E-2</v>
      </c>
      <c r="H235" s="10">
        <v>0.8643007333146121</v>
      </c>
      <c r="I235" s="11"/>
      <c r="J235" s="10"/>
      <c r="K235" s="11"/>
      <c r="L235" s="10"/>
    </row>
    <row r="236" spans="1:12" ht="14.4">
      <c r="A236" s="8">
        <v>51204</v>
      </c>
      <c r="B236" s="2" t="s">
        <v>242</v>
      </c>
      <c r="C236" s="9">
        <f t="shared" ref="C236:D236" si="3">C234</f>
        <v>0.31048557162284851</v>
      </c>
      <c r="D236" s="9">
        <f t="shared" si="3"/>
        <v>0.26969274878501892</v>
      </c>
      <c r="E236" s="4">
        <f t="shared" si="0"/>
        <v>0.86861604349402344</v>
      </c>
      <c r="F236" s="10">
        <v>9.0356826782226563E-2</v>
      </c>
      <c r="G236" s="4">
        <v>7.8621029853820801E-2</v>
      </c>
      <c r="H236" s="10">
        <v>0.87011720811432669</v>
      </c>
      <c r="I236" s="11"/>
      <c r="J236" s="10"/>
      <c r="K236" s="11"/>
      <c r="L236" s="10"/>
    </row>
    <row r="237" spans="1:12" ht="14.4">
      <c r="A237" s="8">
        <v>51301</v>
      </c>
      <c r="B237" s="2" t="s">
        <v>243</v>
      </c>
      <c r="C237" s="9">
        <v>0.37972366809844971</v>
      </c>
      <c r="D237" s="9">
        <v>0.27203065156936646</v>
      </c>
      <c r="E237" s="4">
        <f t="shared" si="0"/>
        <v>0.71639108758118797</v>
      </c>
      <c r="F237" s="10">
        <v>0.10186044871807098</v>
      </c>
      <c r="G237" s="4">
        <v>0.11419752985239029</v>
      </c>
      <c r="H237" s="10">
        <v>1.121117482689143</v>
      </c>
      <c r="I237" s="11"/>
      <c r="J237" s="10"/>
      <c r="K237" s="11"/>
      <c r="L237" s="10"/>
    </row>
    <row r="238" spans="1:12" ht="14.4">
      <c r="A238" s="8">
        <v>51302</v>
      </c>
      <c r="B238" s="2" t="s">
        <v>244</v>
      </c>
      <c r="C238" s="9">
        <v>0.33128061890602112</v>
      </c>
      <c r="D238" s="9">
        <v>0.19151312112808228</v>
      </c>
      <c r="E238" s="4">
        <f t="shared" si="0"/>
        <v>0.5780993822111018</v>
      </c>
      <c r="F238" s="10">
        <v>0.10233377665281296</v>
      </c>
      <c r="G238" s="4">
        <v>5.6859679520130157E-2</v>
      </c>
      <c r="H238" s="10">
        <v>0.55562964037805007</v>
      </c>
      <c r="I238" s="11"/>
      <c r="J238" s="10"/>
      <c r="K238" s="11"/>
      <c r="L238" s="10"/>
    </row>
    <row r="239" spans="1:12" ht="14.4">
      <c r="A239" s="8">
        <v>51401</v>
      </c>
      <c r="B239" s="2" t="s">
        <v>245</v>
      </c>
      <c r="C239" s="9">
        <v>0.24156369268894196</v>
      </c>
      <c r="D239" s="9">
        <v>0.20034416019916534</v>
      </c>
      <c r="E239" s="4">
        <f t="shared" si="0"/>
        <v>0.82936370929362135</v>
      </c>
      <c r="F239" s="10">
        <v>1.8222955986857414E-2</v>
      </c>
      <c r="G239" s="4">
        <v>2.4096386041492224E-3</v>
      </c>
      <c r="H239" s="10">
        <v>0.13223094024301429</v>
      </c>
      <c r="I239" s="11"/>
      <c r="J239" s="10"/>
      <c r="K239" s="11"/>
      <c r="L239" s="10"/>
    </row>
    <row r="240" spans="1:12" ht="14.4">
      <c r="A240" s="8">
        <v>51402</v>
      </c>
      <c r="B240" s="2" t="s">
        <v>246</v>
      </c>
      <c r="C240" s="9">
        <v>0.15856251120567322</v>
      </c>
      <c r="D240" s="9">
        <v>9.4833694398403168E-2</v>
      </c>
      <c r="E240" s="4">
        <f t="shared" si="0"/>
        <v>0.5980839586691038</v>
      </c>
      <c r="F240" s="10">
        <v>5.2494082599878311E-2</v>
      </c>
      <c r="G240" s="4">
        <v>0.12469135969877243</v>
      </c>
      <c r="H240" s="10">
        <v>2.3753412484450482</v>
      </c>
      <c r="I240" s="11"/>
      <c r="J240" s="10"/>
      <c r="K240" s="11"/>
      <c r="L240" s="10"/>
    </row>
    <row r="241" spans="1:12" ht="14.4">
      <c r="A241" s="8">
        <v>51501</v>
      </c>
      <c r="B241" s="2" t="s">
        <v>247</v>
      </c>
      <c r="C241" s="9">
        <v>0.12788501381874084</v>
      </c>
      <c r="D241" s="9">
        <v>8.7021246552467346E-2</v>
      </c>
      <c r="E241" s="4">
        <f t="shared" si="0"/>
        <v>0.68046477029597707</v>
      </c>
      <c r="F241" s="10">
        <v>2.6237007230520248E-2</v>
      </c>
      <c r="G241" s="4">
        <v>1.716608926653862E-2</v>
      </c>
      <c r="H241" s="10">
        <v>0.65427009703187999</v>
      </c>
      <c r="I241" s="11"/>
      <c r="J241" s="10"/>
      <c r="K241" s="11"/>
      <c r="L241" s="10"/>
    </row>
    <row r="242" spans="1:12" ht="14.4">
      <c r="A242" s="8">
        <v>51601</v>
      </c>
      <c r="B242" s="2" t="s">
        <v>248</v>
      </c>
      <c r="C242" s="9">
        <v>0.23749569058418274</v>
      </c>
      <c r="D242" s="9">
        <v>0.29966330528259277</v>
      </c>
      <c r="E242" s="4">
        <f t="shared" si="0"/>
        <v>1.2617631273455638</v>
      </c>
      <c r="F242" s="10">
        <v>2.501959539949894E-2</v>
      </c>
      <c r="G242" s="4">
        <v>1.887810043990612E-2</v>
      </c>
      <c r="H242" s="10">
        <v>0.75453260288470481</v>
      </c>
      <c r="I242" s="11"/>
      <c r="J242" s="10"/>
      <c r="K242" s="11"/>
      <c r="L242" s="10"/>
    </row>
    <row r="243" spans="1:12" ht="14.4">
      <c r="A243" s="8">
        <v>60101</v>
      </c>
      <c r="B243" s="2" t="s">
        <v>249</v>
      </c>
      <c r="C243" s="9">
        <v>7.1786455810070038E-2</v>
      </c>
      <c r="D243" s="9">
        <v>3.5148821771144867E-2</v>
      </c>
      <c r="E243" s="4">
        <f t="shared" si="0"/>
        <v>0.48963027042511093</v>
      </c>
      <c r="F243" s="10">
        <v>1.7280969768762589E-2</v>
      </c>
      <c r="G243" s="4">
        <v>9.2362910509109497E-3</v>
      </c>
      <c r="H243" s="10">
        <v>0.53447758861349592</v>
      </c>
      <c r="I243" s="11"/>
      <c r="J243" s="10"/>
      <c r="K243" s="11"/>
      <c r="L243" s="10"/>
    </row>
    <row r="244" spans="1:12" ht="14.4">
      <c r="A244" s="8">
        <v>60201</v>
      </c>
      <c r="B244" s="2" t="s">
        <v>250</v>
      </c>
      <c r="C244" s="9">
        <v>0.17059986293315887</v>
      </c>
      <c r="D244" s="9">
        <v>0.15960243344306946</v>
      </c>
      <c r="E244" s="4">
        <f t="shared" si="0"/>
        <v>0.93553670383429199</v>
      </c>
      <c r="F244" s="10">
        <v>3.741304948925972E-2</v>
      </c>
      <c r="G244" s="4">
        <v>3.9362989366054535E-2</v>
      </c>
      <c r="H244" s="10">
        <v>1.0521192445794774</v>
      </c>
      <c r="I244" s="11"/>
      <c r="J244" s="10"/>
      <c r="K244" s="11"/>
      <c r="L244" s="10"/>
    </row>
    <row r="245" spans="1:12" ht="14.4">
      <c r="A245" s="8">
        <v>60202</v>
      </c>
      <c r="B245" s="2" t="s">
        <v>251</v>
      </c>
      <c r="C245" s="9">
        <v>9.0857647359371185E-2</v>
      </c>
      <c r="D245" s="9">
        <v>4.1920501738786697E-2</v>
      </c>
      <c r="E245" s="4">
        <f t="shared" si="0"/>
        <v>0.46138660814072857</v>
      </c>
      <c r="F245" s="10">
        <v>1.670028455555439E-2</v>
      </c>
      <c r="G245" s="4">
        <v>9.8574087023735046E-3</v>
      </c>
      <c r="H245" s="10">
        <v>0.59025393666690573</v>
      </c>
      <c r="I245" s="11"/>
      <c r="J245" s="10"/>
      <c r="K245" s="11"/>
      <c r="L245" s="10"/>
    </row>
    <row r="246" spans="1:12" ht="14.4">
      <c r="A246" s="8">
        <v>60301</v>
      </c>
      <c r="B246" s="2" t="s">
        <v>252</v>
      </c>
      <c r="C246" s="9">
        <v>0.11856052279472351</v>
      </c>
      <c r="D246" s="9">
        <v>4.7685384750366211E-2</v>
      </c>
      <c r="E246" s="4">
        <f t="shared" si="0"/>
        <v>0.40220288867086906</v>
      </c>
      <c r="F246" s="10">
        <v>4.0443252772092819E-2</v>
      </c>
      <c r="G246" s="4">
        <v>1.0560007765889168E-2</v>
      </c>
      <c r="H246" s="10">
        <v>0.26110678647430463</v>
      </c>
      <c r="I246" s="11"/>
      <c r="J246" s="10"/>
      <c r="K246" s="11"/>
      <c r="L246" s="10"/>
    </row>
    <row r="247" spans="1:12" ht="14.4">
      <c r="A247" s="8">
        <v>60302</v>
      </c>
      <c r="B247" s="2" t="s">
        <v>253</v>
      </c>
      <c r="C247" s="9">
        <v>9.8118044435977936E-2</v>
      </c>
      <c r="D247" s="9">
        <v>5.573122575879097E-2</v>
      </c>
      <c r="E247" s="4">
        <f t="shared" si="0"/>
        <v>0.56800179904885506</v>
      </c>
      <c r="F247" s="10">
        <v>3.3189468085765839E-2</v>
      </c>
      <c r="G247" s="4">
        <v>1.3905187137424946E-2</v>
      </c>
      <c r="H247" s="10">
        <v>0.41896384423794197</v>
      </c>
      <c r="I247" s="11"/>
      <c r="J247" s="10"/>
      <c r="K247" s="11"/>
      <c r="L247" s="10"/>
    </row>
    <row r="248" spans="1:12" ht="14.4">
      <c r="A248" s="8">
        <v>60303</v>
      </c>
      <c r="B248" s="2" t="s">
        <v>254</v>
      </c>
      <c r="C248" s="9">
        <v>0.1454748809337616</v>
      </c>
      <c r="D248" s="9">
        <v>8.0864965915679932E-2</v>
      </c>
      <c r="E248" s="4">
        <f t="shared" si="0"/>
        <v>0.55586892662589493</v>
      </c>
      <c r="F248" s="10">
        <v>5.1143661141395569E-2</v>
      </c>
      <c r="G248" s="4">
        <v>1.310358289629221E-2</v>
      </c>
      <c r="H248" s="10">
        <v>0.25621128022229517</v>
      </c>
      <c r="I248" s="11"/>
      <c r="J248" s="10"/>
      <c r="K248" s="11"/>
      <c r="L248" s="10"/>
    </row>
    <row r="249" spans="1:12" ht="14.4">
      <c r="A249" s="8">
        <v>60401</v>
      </c>
      <c r="B249" s="2" t="s">
        <v>255</v>
      </c>
      <c r="C249" s="9">
        <v>0.1622188538312912</v>
      </c>
      <c r="D249" s="9">
        <v>0.13975571095943451</v>
      </c>
      <c r="E249" s="4">
        <f t="shared" si="0"/>
        <v>0.86152569604998863</v>
      </c>
      <c r="F249" s="10">
        <v>3.7831399589776993E-2</v>
      </c>
      <c r="G249" s="4">
        <v>2.7741970494389534E-2</v>
      </c>
      <c r="H249" s="10">
        <v>0.73330542341040217</v>
      </c>
      <c r="I249" s="11"/>
      <c r="J249" s="10"/>
      <c r="K249" s="11"/>
      <c r="L249" s="10"/>
    </row>
    <row r="250" spans="1:12" ht="14.4">
      <c r="A250" s="8">
        <v>60402</v>
      </c>
      <c r="B250" s="2" t="s">
        <v>256</v>
      </c>
      <c r="C250" s="9">
        <v>0.16477926075458527</v>
      </c>
      <c r="D250" s="9">
        <v>0.15945352613925934</v>
      </c>
      <c r="E250" s="4">
        <f t="shared" si="0"/>
        <v>0.96767958181789737</v>
      </c>
      <c r="F250" s="10">
        <v>3.7116345018148422E-2</v>
      </c>
      <c r="G250" s="4">
        <v>4.3437428772449493E-2</v>
      </c>
      <c r="H250" s="10">
        <v>1.1703045855191374</v>
      </c>
      <c r="I250" s="11"/>
      <c r="J250" s="10"/>
      <c r="K250" s="11"/>
      <c r="L250" s="10"/>
    </row>
    <row r="251" spans="1:12" ht="14.4">
      <c r="A251" s="8">
        <v>60501</v>
      </c>
      <c r="B251" s="2" t="s">
        <v>257</v>
      </c>
      <c r="C251" s="9">
        <v>0.13366970419883728</v>
      </c>
      <c r="D251" s="9">
        <v>0.14193008840084076</v>
      </c>
      <c r="E251" s="4">
        <f t="shared" si="0"/>
        <v>1.0617969812345507</v>
      </c>
      <c r="F251" s="10">
        <v>5.1444556564092636E-2</v>
      </c>
      <c r="G251" s="4">
        <v>3.3316884189844131E-2</v>
      </c>
      <c r="H251" s="10">
        <v>0.64762700691833175</v>
      </c>
      <c r="I251" s="11"/>
      <c r="J251" s="10"/>
      <c r="K251" s="11"/>
      <c r="L251" s="10"/>
    </row>
    <row r="252" spans="1:12" ht="14.4">
      <c r="A252" s="8">
        <v>60502</v>
      </c>
      <c r="B252" s="2" t="s">
        <v>258</v>
      </c>
      <c r="C252" s="9">
        <v>0.15155196189880371</v>
      </c>
      <c r="D252" s="9">
        <v>0.13573984801769257</v>
      </c>
      <c r="E252" s="4">
        <f t="shared" si="0"/>
        <v>0.8956653963234773</v>
      </c>
      <c r="F252" s="10">
        <v>1.0875261388719082E-2</v>
      </c>
      <c r="G252" s="4">
        <v>2.4595143273472786E-2</v>
      </c>
      <c r="H252" s="10">
        <v>2.2615680115041052</v>
      </c>
      <c r="I252" s="11"/>
      <c r="J252" s="10"/>
      <c r="K252" s="11"/>
      <c r="L252" s="10"/>
    </row>
    <row r="253" spans="1:12" ht="14.4">
      <c r="A253" s="8">
        <v>60601</v>
      </c>
      <c r="B253" s="2" t="s">
        <v>159</v>
      </c>
      <c r="C253" s="9">
        <v>0.26118826866149902</v>
      </c>
      <c r="D253" s="9">
        <v>0.17095214128494263</v>
      </c>
      <c r="E253" s="4">
        <f t="shared" si="0"/>
        <v>0.65451692053787169</v>
      </c>
      <c r="F253" s="10">
        <v>6.625104695558548E-2</v>
      </c>
      <c r="G253" s="4">
        <v>3.0722623690962791E-2</v>
      </c>
      <c r="H253" s="10">
        <v>0.46373038771084107</v>
      </c>
      <c r="I253" s="11"/>
      <c r="J253" s="10"/>
      <c r="K253" s="11"/>
      <c r="L253" s="10"/>
    </row>
    <row r="254" spans="1:12" ht="14.4">
      <c r="A254" s="8">
        <v>70101</v>
      </c>
      <c r="B254" s="2" t="s">
        <v>259</v>
      </c>
      <c r="C254" s="9">
        <v>6.6568486392498016E-2</v>
      </c>
      <c r="D254" s="9">
        <v>4.6198487281799316E-2</v>
      </c>
      <c r="E254" s="4">
        <f t="shared" si="0"/>
        <v>0.69399936494583847</v>
      </c>
      <c r="F254" s="10">
        <v>9.0005816891789436E-3</v>
      </c>
      <c r="G254" s="4">
        <v>5.4827290587127209E-3</v>
      </c>
      <c r="H254" s="10">
        <v>0.60915274679462073</v>
      </c>
      <c r="I254" s="11"/>
      <c r="J254" s="10"/>
      <c r="K254" s="11"/>
      <c r="L254" s="10"/>
    </row>
    <row r="255" spans="1:12" ht="14.4">
      <c r="A255" s="8">
        <v>70102</v>
      </c>
      <c r="B255" s="2" t="s">
        <v>260</v>
      </c>
      <c r="C255" s="9">
        <v>0.11628731340169907</v>
      </c>
      <c r="D255" s="9">
        <v>8.1501342356204987E-2</v>
      </c>
      <c r="E255" s="4">
        <f t="shared" si="0"/>
        <v>0.70086185648359967</v>
      </c>
      <c r="F255" s="10">
        <v>2.7508273720741272E-2</v>
      </c>
      <c r="G255" s="4">
        <v>2.0257920026779175E-2</v>
      </c>
      <c r="H255" s="10">
        <v>0.73643007309123432</v>
      </c>
      <c r="I255" s="11"/>
      <c r="J255" s="10"/>
      <c r="K255" s="11"/>
      <c r="L255" s="10"/>
    </row>
    <row r="256" spans="1:12" ht="14.4">
      <c r="A256" s="8">
        <v>70103</v>
      </c>
      <c r="B256" s="2" t="s">
        <v>261</v>
      </c>
      <c r="C256" s="9">
        <v>0.20181940495967865</v>
      </c>
      <c r="D256" s="9">
        <v>0.11525516211986542</v>
      </c>
      <c r="E256" s="4">
        <f t="shared" si="0"/>
        <v>0.57108067553212816</v>
      </c>
      <c r="F256" s="10">
        <v>2.7176650241017342E-2</v>
      </c>
      <c r="G256" s="4">
        <v>1.2144308537244797E-2</v>
      </c>
      <c r="H256" s="10">
        <v>0.44686554190978106</v>
      </c>
      <c r="I256" s="11"/>
      <c r="J256" s="10"/>
      <c r="K256" s="11"/>
      <c r="L256" s="10"/>
    </row>
    <row r="257" spans="1:12" ht="14.4">
      <c r="A257" s="8">
        <v>70104</v>
      </c>
      <c r="B257" s="2" t="s">
        <v>262</v>
      </c>
      <c r="C257" s="9">
        <v>0.1043703556060791</v>
      </c>
      <c r="D257" s="9">
        <v>8.5465960204601288E-2</v>
      </c>
      <c r="E257" s="4">
        <f t="shared" ref="E257:E344" si="4">D257/C257</f>
        <v>0.81887198437046704</v>
      </c>
      <c r="F257" s="10">
        <v>1.5814255923032761E-2</v>
      </c>
      <c r="G257" s="4">
        <v>1.0269003920257092E-2</v>
      </c>
      <c r="H257" s="10">
        <v>0.64935106464925385</v>
      </c>
      <c r="I257" s="11"/>
      <c r="J257" s="10"/>
      <c r="K257" s="11"/>
      <c r="L257" s="10"/>
    </row>
    <row r="258" spans="1:12" ht="14.4">
      <c r="A258" s="8">
        <v>70105</v>
      </c>
      <c r="B258" s="2" t="s">
        <v>263</v>
      </c>
      <c r="C258" s="9">
        <v>0.17572808265686035</v>
      </c>
      <c r="D258" s="9">
        <v>9.9939778447151184E-2</v>
      </c>
      <c r="E258" s="4">
        <f t="shared" si="4"/>
        <v>0.56871831147387519</v>
      </c>
      <c r="F258" s="10">
        <v>2.5692800059914589E-2</v>
      </c>
      <c r="G258" s="4">
        <v>1.6069706529378891E-2</v>
      </c>
      <c r="H258" s="10">
        <v>0.62545563316979758</v>
      </c>
      <c r="I258" s="11"/>
      <c r="J258" s="10"/>
      <c r="K258" s="11"/>
      <c r="L258" s="10"/>
    </row>
    <row r="259" spans="1:12" ht="14.4">
      <c r="A259" s="8">
        <v>70201</v>
      </c>
      <c r="B259" s="2" t="s">
        <v>264</v>
      </c>
      <c r="C259" s="9">
        <v>0.1134641095995903</v>
      </c>
      <c r="D259" s="9">
        <v>9.6020437777042389E-2</v>
      </c>
      <c r="E259" s="4">
        <f t="shared" si="4"/>
        <v>0.84626264742123447</v>
      </c>
      <c r="F259" s="10">
        <v>1.8874421715736389E-2</v>
      </c>
      <c r="G259" s="4">
        <v>1.6106747090816498E-2</v>
      </c>
      <c r="H259" s="10">
        <v>0.85336373921261033</v>
      </c>
      <c r="I259" s="11"/>
      <c r="J259" s="10"/>
      <c r="K259" s="11"/>
      <c r="L259" s="10"/>
    </row>
    <row r="260" spans="1:12" ht="14.4">
      <c r="A260" s="8">
        <v>70202</v>
      </c>
      <c r="B260" s="2" t="s">
        <v>265</v>
      </c>
      <c r="C260" s="9">
        <v>0.10113196074962616</v>
      </c>
      <c r="D260" s="9">
        <v>0.11077988147735596</v>
      </c>
      <c r="E260" s="4">
        <f t="shared" si="4"/>
        <v>1.0953993243700209</v>
      </c>
      <c r="F260" s="10">
        <v>1.8118837848305702E-2</v>
      </c>
      <c r="G260" s="4">
        <v>1.1796478182077408E-2</v>
      </c>
      <c r="H260" s="10">
        <v>0.65106152396967887</v>
      </c>
      <c r="I260" s="11"/>
      <c r="J260" s="10"/>
      <c r="K260" s="11"/>
      <c r="L260" s="10"/>
    </row>
    <row r="261" spans="1:12" ht="14.4">
      <c r="A261" s="8">
        <v>70301</v>
      </c>
      <c r="B261" s="2" t="s">
        <v>266</v>
      </c>
      <c r="C261" s="9">
        <v>0.20771278440952301</v>
      </c>
      <c r="D261" s="9">
        <v>0.17124056816101074</v>
      </c>
      <c r="E261" s="4">
        <f t="shared" si="4"/>
        <v>0.82441034454285556</v>
      </c>
      <c r="F261" s="10">
        <v>4.1869021952152252E-2</v>
      </c>
      <c r="G261" s="4">
        <v>6.1318971216678619E-2</v>
      </c>
      <c r="H261" s="10">
        <v>1.4645427181641284</v>
      </c>
      <c r="I261" s="11"/>
      <c r="J261" s="10"/>
      <c r="K261" s="11"/>
      <c r="L261" s="10"/>
    </row>
    <row r="262" spans="1:12" ht="14.4">
      <c r="A262" s="8">
        <v>70302</v>
      </c>
      <c r="B262" s="2" t="s">
        <v>267</v>
      </c>
      <c r="C262" s="9">
        <v>0.27077198028564453</v>
      </c>
      <c r="D262" s="9">
        <v>0.20348557829856873</v>
      </c>
      <c r="E262" s="4">
        <f t="shared" si="4"/>
        <v>0.75150160693845203</v>
      </c>
      <c r="F262" s="10">
        <v>5.8897815644741058E-2</v>
      </c>
      <c r="G262" s="4">
        <v>6.2600068747997284E-2</v>
      </c>
      <c r="H262" s="10">
        <v>1.0628589203645076</v>
      </c>
      <c r="I262" s="11"/>
      <c r="J262" s="10"/>
      <c r="K262" s="11"/>
      <c r="L262" s="10"/>
    </row>
    <row r="263" spans="1:12" ht="14.4">
      <c r="A263" s="8">
        <v>70303</v>
      </c>
      <c r="B263" s="2" t="s">
        <v>268</v>
      </c>
      <c r="C263" s="9">
        <v>0.27160114049911499</v>
      </c>
      <c r="D263" s="9">
        <v>0.21524558961391449</v>
      </c>
      <c r="E263" s="4">
        <f t="shared" si="4"/>
        <v>0.79250620677940731</v>
      </c>
      <c r="F263" s="10">
        <v>5.7860706001520157E-2</v>
      </c>
      <c r="G263" s="4">
        <v>6.8722747266292572E-2</v>
      </c>
      <c r="H263" s="10">
        <v>1.1877274235901485</v>
      </c>
      <c r="I263" s="11"/>
      <c r="J263" s="10"/>
      <c r="K263" s="11"/>
      <c r="L263" s="10"/>
    </row>
    <row r="264" spans="1:12" ht="14.4">
      <c r="A264" s="8">
        <v>70401</v>
      </c>
      <c r="B264" s="2" t="s">
        <v>269</v>
      </c>
      <c r="C264" s="9">
        <v>0.16603165864944458</v>
      </c>
      <c r="D264" s="9">
        <v>9.7822919487953186E-2</v>
      </c>
      <c r="E264" s="4">
        <f t="shared" si="4"/>
        <v>0.58918232994644859</v>
      </c>
      <c r="F264" s="10">
        <v>3.4409623593091965E-2</v>
      </c>
      <c r="G264" s="4">
        <v>1.5919908881187439E-2</v>
      </c>
      <c r="H264" s="10">
        <v>0.46265861752650794</v>
      </c>
      <c r="I264" s="11"/>
      <c r="J264" s="10"/>
      <c r="K264" s="11"/>
      <c r="L264" s="10"/>
    </row>
    <row r="265" spans="1:12" ht="14.4">
      <c r="A265" s="8">
        <v>70402</v>
      </c>
      <c r="B265" s="2" t="s">
        <v>270</v>
      </c>
      <c r="C265" s="9">
        <v>0.19529919326305389</v>
      </c>
      <c r="D265" s="9">
        <v>0.16992330551147461</v>
      </c>
      <c r="E265" s="4">
        <f t="shared" si="4"/>
        <v>0.8700666022854493</v>
      </c>
      <c r="F265" s="10">
        <v>3.7346910685300827E-2</v>
      </c>
      <c r="G265" s="4">
        <v>2.3728515952825546E-2</v>
      </c>
      <c r="H265" s="10">
        <v>0.63535418371738916</v>
      </c>
      <c r="I265" s="11"/>
      <c r="J265" s="10"/>
      <c r="K265" s="11"/>
      <c r="L265" s="10"/>
    </row>
    <row r="266" spans="1:12" ht="14.4">
      <c r="A266" s="8">
        <v>70403</v>
      </c>
      <c r="B266" s="2" t="s">
        <v>271</v>
      </c>
      <c r="C266" s="9">
        <v>0.24241703748703003</v>
      </c>
      <c r="D266" s="9">
        <v>0.16531385481357574</v>
      </c>
      <c r="E266" s="4">
        <f t="shared" si="4"/>
        <v>0.68193991860997183</v>
      </c>
      <c r="F266" s="10">
        <v>7.2801277041435242E-2</v>
      </c>
      <c r="G266" s="4">
        <v>3.5767324268817902E-2</v>
      </c>
      <c r="H266" s="10">
        <v>0.49130078100773883</v>
      </c>
      <c r="I266" s="11"/>
      <c r="J266" s="10"/>
      <c r="K266" s="11"/>
      <c r="L266" s="10"/>
    </row>
    <row r="267" spans="1:12" ht="14.4">
      <c r="A267" s="8">
        <v>70404</v>
      </c>
      <c r="B267" s="2" t="s">
        <v>272</v>
      </c>
      <c r="C267" s="9">
        <v>0.20431317389011383</v>
      </c>
      <c r="D267" s="9">
        <v>0.17475053668022156</v>
      </c>
      <c r="E267" s="4">
        <f t="shared" si="4"/>
        <v>0.85530723914165219</v>
      </c>
      <c r="F267" s="10">
        <v>4.6464648097753525E-2</v>
      </c>
      <c r="G267" s="4">
        <v>2.3662552237510681E-2</v>
      </c>
      <c r="H267" s="10">
        <v>0.50925925851690068</v>
      </c>
      <c r="I267" s="11"/>
      <c r="J267" s="10"/>
      <c r="K267" s="11"/>
      <c r="L267" s="10"/>
    </row>
    <row r="268" spans="1:12" ht="14.4">
      <c r="A268" s="8">
        <v>70501</v>
      </c>
      <c r="B268" s="2" t="s">
        <v>273</v>
      </c>
      <c r="C268" s="9">
        <v>0.12619726359844208</v>
      </c>
      <c r="D268" s="9">
        <v>0.12623398005962372</v>
      </c>
      <c r="E268" s="4">
        <f t="shared" si="4"/>
        <v>1.0002909449867192</v>
      </c>
      <c r="F268" s="10">
        <v>4.676520824432373E-2</v>
      </c>
      <c r="G268" s="4">
        <v>6.8277120590209961E-2</v>
      </c>
      <c r="H268" s="10">
        <v>1.4599982156285449</v>
      </c>
      <c r="I268" s="11"/>
      <c r="J268" s="10"/>
      <c r="K268" s="11"/>
      <c r="L268" s="10"/>
    </row>
    <row r="269" spans="1:12" ht="14.4">
      <c r="A269" s="8">
        <v>70502</v>
      </c>
      <c r="B269" s="2" t="s">
        <v>274</v>
      </c>
      <c r="C269" s="9">
        <v>0.14316606521606445</v>
      </c>
      <c r="D269" s="9">
        <v>0.12206404656171799</v>
      </c>
      <c r="E269" s="4">
        <f t="shared" si="4"/>
        <v>0.85260460555020801</v>
      </c>
      <c r="F269" s="10">
        <v>4.4296789914369583E-2</v>
      </c>
      <c r="G269" s="4">
        <v>3.7615574896335602E-2</v>
      </c>
      <c r="H269" s="10">
        <v>0.84917157584218894</v>
      </c>
      <c r="I269" s="11"/>
      <c r="J269" s="10"/>
      <c r="K269" s="11"/>
      <c r="L269" s="10"/>
    </row>
    <row r="270" spans="1:12" ht="14.4">
      <c r="A270" s="8">
        <v>70503</v>
      </c>
      <c r="B270" s="2" t="s">
        <v>275</v>
      </c>
      <c r="C270" s="9">
        <v>9.9001839756965637E-2</v>
      </c>
      <c r="D270" s="9">
        <v>8.5312493145465851E-2</v>
      </c>
      <c r="E270" s="4">
        <f t="shared" si="4"/>
        <v>0.86172634119623392</v>
      </c>
      <c r="F270" s="10">
        <v>2.5867022573947906E-2</v>
      </c>
      <c r="G270" s="4">
        <v>1.9413234665989876E-2</v>
      </c>
      <c r="H270" s="10">
        <v>0.75050132308393336</v>
      </c>
      <c r="I270" s="11"/>
      <c r="J270" s="10"/>
      <c r="K270" s="11"/>
      <c r="L270" s="10"/>
    </row>
    <row r="271" spans="1:12" ht="14.4">
      <c r="A271" s="8">
        <v>70601</v>
      </c>
      <c r="B271" s="2" t="s">
        <v>276</v>
      </c>
      <c r="C271" s="9">
        <v>9.2132873833179474E-2</v>
      </c>
      <c r="D271" s="9">
        <v>8.9621081948280334E-2</v>
      </c>
      <c r="E271" s="4">
        <f t="shared" si="4"/>
        <v>0.972737289304064</v>
      </c>
      <c r="F271" s="10">
        <v>2.1100988611578941E-2</v>
      </c>
      <c r="G271" s="4">
        <v>1.2298358604311943E-2</v>
      </c>
      <c r="H271" s="10">
        <v>0.58283328950584579</v>
      </c>
      <c r="I271" s="11"/>
      <c r="J271" s="10"/>
      <c r="K271" s="11"/>
      <c r="L271" s="10"/>
    </row>
    <row r="272" spans="1:12" ht="14.4">
      <c r="A272" s="8">
        <v>70602</v>
      </c>
      <c r="B272" s="2" t="s">
        <v>277</v>
      </c>
      <c r="C272" s="9">
        <v>0.26849144697189331</v>
      </c>
      <c r="D272" s="9">
        <v>0.19542390108108521</v>
      </c>
      <c r="E272" s="4">
        <f t="shared" si="4"/>
        <v>0.72785894405620644</v>
      </c>
      <c r="F272" s="10">
        <v>4.227118194103241E-2</v>
      </c>
      <c r="G272" s="4">
        <v>2.2440213710069656E-2</v>
      </c>
      <c r="H272" s="10">
        <v>0.53086317154257434</v>
      </c>
      <c r="I272" s="11"/>
      <c r="J272" s="10"/>
      <c r="K272" s="11"/>
      <c r="L272" s="10"/>
    </row>
    <row r="273" spans="1:12" ht="14.4">
      <c r="A273" s="8">
        <v>70603</v>
      </c>
      <c r="B273" s="2" t="s">
        <v>278</v>
      </c>
      <c r="C273" s="9">
        <v>0.11159674078226089</v>
      </c>
      <c r="D273" s="9">
        <v>0.1466270387172699</v>
      </c>
      <c r="E273" s="4">
        <f t="shared" si="4"/>
        <v>1.3139007258586295</v>
      </c>
      <c r="F273" s="10">
        <v>3.0074074864387512E-2</v>
      </c>
      <c r="G273" s="4">
        <v>1.8699759617447853E-2</v>
      </c>
      <c r="H273" s="10">
        <v>0.62179002020079899</v>
      </c>
      <c r="I273" s="11"/>
      <c r="J273" s="10"/>
      <c r="K273" s="11"/>
      <c r="L273" s="10"/>
    </row>
    <row r="274" spans="1:12" ht="14.4">
      <c r="A274" s="8">
        <v>70701</v>
      </c>
      <c r="B274" s="2" t="s">
        <v>279</v>
      </c>
      <c r="C274" s="9">
        <v>0.30291485786437988</v>
      </c>
      <c r="D274" s="9">
        <v>0.12590600550174713</v>
      </c>
      <c r="E274" s="4">
        <f t="shared" si="4"/>
        <v>0.4156481672421542</v>
      </c>
      <c r="F274" s="10">
        <v>2.8889469802379608E-2</v>
      </c>
      <c r="G274" s="4">
        <v>1.3105708174407482E-2</v>
      </c>
      <c r="H274" s="10">
        <v>0.45365000687302237</v>
      </c>
      <c r="I274" s="11"/>
      <c r="J274" s="10"/>
      <c r="K274" s="11"/>
      <c r="L274" s="10"/>
    </row>
    <row r="275" spans="1:12" ht="14.4">
      <c r="A275" s="8">
        <v>70702</v>
      </c>
      <c r="B275" s="2" t="s">
        <v>280</v>
      </c>
      <c r="C275" s="9">
        <v>0.26505181193351746</v>
      </c>
      <c r="D275" s="9">
        <v>0.19805341958999634</v>
      </c>
      <c r="E275" s="4">
        <f t="shared" si="4"/>
        <v>0.747225299631884</v>
      </c>
      <c r="F275" s="10">
        <v>3.7501852959394455E-2</v>
      </c>
      <c r="G275" s="4">
        <v>8.6460575461387634E-2</v>
      </c>
      <c r="H275" s="10">
        <v>2.3055014256229893</v>
      </c>
      <c r="I275" s="11"/>
      <c r="J275" s="10"/>
      <c r="K275" s="11"/>
      <c r="L275" s="10"/>
    </row>
    <row r="276" spans="1:12" ht="14.4">
      <c r="A276" s="8">
        <v>70703</v>
      </c>
      <c r="B276" s="2" t="s">
        <v>281</v>
      </c>
      <c r="C276" s="9">
        <v>0.18620763719081879</v>
      </c>
      <c r="D276" s="9">
        <v>0.14771279692649841</v>
      </c>
      <c r="E276" s="4">
        <f t="shared" si="4"/>
        <v>0.79326927270511327</v>
      </c>
      <c r="F276" s="10">
        <v>3.3062763512134552E-2</v>
      </c>
      <c r="G276" s="4">
        <v>4.6375248581171036E-2</v>
      </c>
      <c r="H276" s="10">
        <v>1.4026428421251174</v>
      </c>
      <c r="I276" s="11"/>
      <c r="J276" s="10"/>
      <c r="K276" s="11"/>
      <c r="L276" s="10"/>
    </row>
    <row r="277" spans="1:12" ht="14.4">
      <c r="A277" s="8">
        <v>70704</v>
      </c>
      <c r="B277" s="2" t="s">
        <v>282</v>
      </c>
      <c r="C277" s="9">
        <v>0.3306921124458313</v>
      </c>
      <c r="D277" s="9">
        <v>0.14070205390453339</v>
      </c>
      <c r="E277" s="4">
        <f t="shared" si="4"/>
        <v>0.42547750190921457</v>
      </c>
      <c r="F277" s="10">
        <v>3.1300276517868042E-2</v>
      </c>
      <c r="G277" s="4">
        <v>1.5531225129961967E-2</v>
      </c>
      <c r="H277" s="10">
        <v>0.49620089206227391</v>
      </c>
      <c r="I277" s="11"/>
      <c r="J277" s="10"/>
      <c r="K277" s="11"/>
      <c r="L277" s="10"/>
    </row>
    <row r="278" spans="1:12" ht="14.4">
      <c r="A278" s="8">
        <v>70705</v>
      </c>
      <c r="B278" s="2" t="s">
        <v>283</v>
      </c>
      <c r="C278" s="9">
        <v>0.35308733582496643</v>
      </c>
      <c r="D278" s="9">
        <v>0.15440738201141357</v>
      </c>
      <c r="E278" s="4">
        <f t="shared" si="4"/>
        <v>0.43730648580371878</v>
      </c>
      <c r="F278" s="10">
        <v>4.2505595833063126E-2</v>
      </c>
      <c r="G278" s="4">
        <v>1.8046708777546883E-2</v>
      </c>
      <c r="H278" s="10">
        <v>0.42457253977626136</v>
      </c>
      <c r="I278" s="11"/>
      <c r="J278" s="10"/>
      <c r="K278" s="11"/>
      <c r="L278" s="10"/>
    </row>
    <row r="279" spans="1:12" ht="14.4">
      <c r="A279" s="8">
        <v>70706</v>
      </c>
      <c r="B279" s="2" t="s">
        <v>284</v>
      </c>
      <c r="C279" s="9">
        <v>0.12303382903337479</v>
      </c>
      <c r="D279" s="9">
        <v>4.0968865156173706E-2</v>
      </c>
      <c r="E279" s="4">
        <f t="shared" si="4"/>
        <v>0.33298862173150995</v>
      </c>
      <c r="F279" s="10">
        <v>2.8034482151269913E-2</v>
      </c>
      <c r="G279" s="4">
        <v>6.1978516168892384E-3</v>
      </c>
      <c r="H279" s="10">
        <v>0.22107958275977951</v>
      </c>
      <c r="I279" s="11"/>
      <c r="J279" s="10"/>
      <c r="K279" s="11"/>
      <c r="L279" s="10"/>
    </row>
    <row r="280" spans="1:12" ht="14.4">
      <c r="A280" s="8">
        <v>70707</v>
      </c>
      <c r="B280" s="2" t="s">
        <v>285</v>
      </c>
      <c r="C280" s="9">
        <v>0.29061666131019592</v>
      </c>
      <c r="D280" s="9">
        <v>0.14321927726268768</v>
      </c>
      <c r="E280" s="4">
        <f t="shared" si="4"/>
        <v>0.49281165304496949</v>
      </c>
      <c r="F280" s="10">
        <v>1.8990661948919296E-2</v>
      </c>
      <c r="G280" s="4">
        <v>5.0204198807477951E-2</v>
      </c>
      <c r="H280" s="10">
        <v>2.6436255325125688</v>
      </c>
      <c r="I280" s="11"/>
      <c r="J280" s="10"/>
      <c r="K280" s="11"/>
      <c r="L280" s="10"/>
    </row>
    <row r="281" spans="1:12" ht="14.4">
      <c r="A281" s="8">
        <v>70801</v>
      </c>
      <c r="B281" s="2" t="s">
        <v>286</v>
      </c>
      <c r="C281" s="9">
        <v>0.15363471210002899</v>
      </c>
      <c r="D281" s="9">
        <v>0.13786177337169647</v>
      </c>
      <c r="E281" s="4">
        <f t="shared" si="4"/>
        <v>0.89733479815379857</v>
      </c>
      <c r="F281" s="10">
        <v>1.5602363273501396E-2</v>
      </c>
      <c r="G281" s="4">
        <v>1.5202833339571953E-2</v>
      </c>
      <c r="H281" s="10">
        <v>0.97439298605436309</v>
      </c>
      <c r="I281" s="11"/>
      <c r="J281" s="10"/>
      <c r="K281" s="11"/>
      <c r="L281" s="10"/>
    </row>
    <row r="282" spans="1:12" ht="14.4">
      <c r="A282" s="8">
        <v>70802</v>
      </c>
      <c r="B282" s="2" t="s">
        <v>287</v>
      </c>
      <c r="C282" s="9">
        <v>0.1068948432803154</v>
      </c>
      <c r="D282" s="9">
        <v>9.2353865504264832E-2</v>
      </c>
      <c r="E282" s="4">
        <f t="shared" si="4"/>
        <v>0.86396932415234406</v>
      </c>
      <c r="F282" s="10">
        <v>2.1256038919091225E-2</v>
      </c>
      <c r="G282" s="4">
        <v>4.858942236751318E-3</v>
      </c>
      <c r="H282" s="10">
        <v>0.22859114321564555</v>
      </c>
      <c r="I282" s="11"/>
      <c r="J282" s="10"/>
      <c r="K282" s="11"/>
      <c r="L282" s="10"/>
    </row>
    <row r="283" spans="1:12" ht="14.4">
      <c r="A283" s="8">
        <v>70803</v>
      </c>
      <c r="B283" s="2" t="s">
        <v>288</v>
      </c>
      <c r="C283" s="9">
        <v>0.20949958264827728</v>
      </c>
      <c r="D283" s="9">
        <v>0.20191879570484161</v>
      </c>
      <c r="E283" s="4">
        <f t="shared" si="4"/>
        <v>0.96381478737280912</v>
      </c>
      <c r="F283" s="10">
        <v>3.680555522441864E-2</v>
      </c>
      <c r="G283" s="4">
        <v>2.7082532644271851E-2</v>
      </c>
      <c r="H283" s="10">
        <v>0.73582730865323143</v>
      </c>
      <c r="I283" s="11"/>
      <c r="J283" s="10"/>
      <c r="K283" s="11"/>
      <c r="L283" s="10"/>
    </row>
    <row r="284" spans="1:12" ht="14.4">
      <c r="A284" s="8">
        <v>70804</v>
      </c>
      <c r="B284" s="2" t="s">
        <v>289</v>
      </c>
      <c r="C284" s="9">
        <v>0.29983660578727722</v>
      </c>
      <c r="D284" s="9">
        <v>0.27089163661003113</v>
      </c>
      <c r="E284" s="4">
        <f t="shared" si="4"/>
        <v>0.90346419143437928</v>
      </c>
      <c r="F284" s="10">
        <v>6.7215360701084137E-2</v>
      </c>
      <c r="G284" s="4">
        <v>6.3011348247528076E-2</v>
      </c>
      <c r="H284" s="10">
        <v>0.93745458761648437</v>
      </c>
      <c r="I284" s="11"/>
      <c r="J284" s="10"/>
      <c r="K284" s="11"/>
      <c r="L284" s="10"/>
    </row>
    <row r="285" spans="1:12" ht="14.4">
      <c r="A285" s="8">
        <v>70805</v>
      </c>
      <c r="B285" s="2" t="s">
        <v>290</v>
      </c>
      <c r="C285" s="9">
        <v>0.22546634078025818</v>
      </c>
      <c r="D285" s="9">
        <v>0.2462107241153717</v>
      </c>
      <c r="E285" s="4">
        <f t="shared" si="4"/>
        <v>1.0920065640987682</v>
      </c>
      <c r="F285" s="10">
        <v>4.3859649449586868E-3</v>
      </c>
      <c r="G285" s="4">
        <v>2.8395701199769974E-2</v>
      </c>
      <c r="H285" s="10">
        <v>6.4742198253108576</v>
      </c>
      <c r="I285" s="11"/>
      <c r="J285" s="10"/>
      <c r="K285" s="11"/>
      <c r="L285" s="10"/>
    </row>
    <row r="286" spans="1:12" ht="14.4">
      <c r="A286" s="8">
        <v>70901</v>
      </c>
      <c r="B286" s="2" t="s">
        <v>291</v>
      </c>
      <c r="C286" s="9">
        <v>0.2025422602891922</v>
      </c>
      <c r="D286" s="9">
        <v>0.13355863094329834</v>
      </c>
      <c r="E286" s="4">
        <f t="shared" si="4"/>
        <v>0.65941118042526914</v>
      </c>
      <c r="F286" s="10">
        <v>4.6720325946807861E-2</v>
      </c>
      <c r="G286" s="4">
        <v>2.2522853687405586E-2</v>
      </c>
      <c r="H286" s="10">
        <v>0.4820782653153653</v>
      </c>
      <c r="I286" s="11"/>
      <c r="J286" s="10"/>
      <c r="K286" s="11"/>
      <c r="L286" s="10"/>
    </row>
    <row r="287" spans="1:12" ht="14.4">
      <c r="A287" s="8">
        <v>70902</v>
      </c>
      <c r="B287" s="2" t="s">
        <v>292</v>
      </c>
      <c r="C287" s="9">
        <v>0.20013146102428436</v>
      </c>
      <c r="D287" s="9">
        <v>9.4790719449520111E-2</v>
      </c>
      <c r="E287" s="4">
        <f t="shared" si="4"/>
        <v>0.47364226975796681</v>
      </c>
      <c r="F287" s="10">
        <v>3.9034992456436157E-2</v>
      </c>
      <c r="G287" s="4">
        <v>2.1218206733465195E-2</v>
      </c>
      <c r="H287" s="10">
        <v>0.54356886983250075</v>
      </c>
      <c r="I287" s="11"/>
      <c r="J287" s="10"/>
      <c r="K287" s="11"/>
      <c r="L287" s="10"/>
    </row>
    <row r="288" spans="1:12" ht="14.4">
      <c r="A288" s="8">
        <v>70903</v>
      </c>
      <c r="B288" s="2" t="s">
        <v>293</v>
      </c>
      <c r="C288" s="9">
        <v>0.15978196263313293</v>
      </c>
      <c r="D288" s="9">
        <v>7.3750607669353485E-2</v>
      </c>
      <c r="E288" s="4">
        <f t="shared" si="4"/>
        <v>0.46157029525722137</v>
      </c>
      <c r="F288" s="10">
        <v>6.625058501958847E-2</v>
      </c>
      <c r="G288" s="4">
        <v>3.0711807310581207E-2</v>
      </c>
      <c r="H288" s="10">
        <v>0.46357035642025762</v>
      </c>
      <c r="I288" s="11"/>
      <c r="J288" s="10"/>
      <c r="K288" s="11"/>
      <c r="L288" s="10"/>
    </row>
    <row r="289" spans="1:12" ht="14.4">
      <c r="A289" s="8">
        <v>70904</v>
      </c>
      <c r="B289" s="2" t="s">
        <v>294</v>
      </c>
      <c r="C289" s="9">
        <v>0.12953059375286102</v>
      </c>
      <c r="D289" s="9">
        <v>0.13845366239547729</v>
      </c>
      <c r="E289" s="4">
        <f t="shared" si="4"/>
        <v>1.0688877305668891</v>
      </c>
      <c r="F289" s="10">
        <v>3.0204962939023972E-2</v>
      </c>
      <c r="G289" s="4">
        <v>2.7407925575971603E-2</v>
      </c>
      <c r="H289" s="10">
        <v>0.90739808657607479</v>
      </c>
      <c r="I289" s="11"/>
      <c r="J289" s="10"/>
      <c r="K289" s="11"/>
      <c r="L289" s="10"/>
    </row>
    <row r="290" spans="1:12" ht="14.4">
      <c r="A290" s="8">
        <v>71001</v>
      </c>
      <c r="B290" s="2" t="s">
        <v>295</v>
      </c>
      <c r="C290" s="9">
        <v>0.10093734413385391</v>
      </c>
      <c r="D290" s="9">
        <v>7.3237806558609009E-2</v>
      </c>
      <c r="E290" s="4">
        <f t="shared" si="4"/>
        <v>0.72557691295589966</v>
      </c>
      <c r="F290" s="10">
        <v>2.1804090589284897E-2</v>
      </c>
      <c r="G290" s="4">
        <v>1.3812714256346226E-2</v>
      </c>
      <c r="H290" s="10">
        <v>0.63349187620483272</v>
      </c>
      <c r="I290" s="11"/>
      <c r="J290" s="10"/>
      <c r="K290" s="11"/>
      <c r="L290" s="10"/>
    </row>
    <row r="291" spans="1:12" ht="14.4">
      <c r="A291" s="8">
        <v>71002</v>
      </c>
      <c r="B291" s="2" t="s">
        <v>296</v>
      </c>
      <c r="C291" s="9">
        <v>0.15799444913864136</v>
      </c>
      <c r="D291" s="9">
        <v>0.1242777407169342</v>
      </c>
      <c r="E291" s="4">
        <f t="shared" si="4"/>
        <v>0.78659561392488875</v>
      </c>
      <c r="F291" s="10">
        <v>3.2493848353624344E-2</v>
      </c>
      <c r="G291" s="4">
        <v>2.5067867711186409E-2</v>
      </c>
      <c r="H291" s="10">
        <v>0.77146503049985315</v>
      </c>
      <c r="I291" s="11"/>
      <c r="J291" s="10"/>
      <c r="K291" s="11"/>
      <c r="L291" s="10"/>
    </row>
    <row r="292" spans="1:12" ht="14.4">
      <c r="A292" s="8">
        <v>71003</v>
      </c>
      <c r="B292" s="2" t="s">
        <v>297</v>
      </c>
      <c r="C292" s="9">
        <v>0.17503640055656433</v>
      </c>
      <c r="D292" s="9">
        <v>0.13478356599807739</v>
      </c>
      <c r="E292" s="4">
        <f t="shared" si="4"/>
        <v>0.77003163667388752</v>
      </c>
      <c r="F292" s="10">
        <v>2.671063132584095E-2</v>
      </c>
      <c r="G292" s="4">
        <v>1.8170842900872231E-2</v>
      </c>
      <c r="H292" s="10">
        <v>0.68028504003546408</v>
      </c>
      <c r="I292" s="11"/>
      <c r="J292" s="10"/>
      <c r="K292" s="11"/>
      <c r="L292" s="10"/>
    </row>
    <row r="293" spans="1:12" ht="14.4">
      <c r="A293" s="8">
        <v>71004</v>
      </c>
      <c r="B293" s="2" t="s">
        <v>298</v>
      </c>
      <c r="C293" s="9">
        <v>0.14405347406864166</v>
      </c>
      <c r="D293" s="9">
        <v>0.11584432423114777</v>
      </c>
      <c r="E293" s="4">
        <f t="shared" si="4"/>
        <v>0.8041758449778712</v>
      </c>
      <c r="F293" s="10">
        <v>4.067566990852356E-2</v>
      </c>
      <c r="G293" s="4">
        <v>2.0981751382350922E-2</v>
      </c>
      <c r="H293" s="10">
        <v>0.51583050579221579</v>
      </c>
      <c r="I293" s="11"/>
      <c r="J293" s="10"/>
      <c r="K293" s="11"/>
      <c r="L293" s="10"/>
    </row>
    <row r="294" spans="1:12" ht="14.4">
      <c r="A294" s="8">
        <v>71005</v>
      </c>
      <c r="B294" s="2" t="s">
        <v>299</v>
      </c>
      <c r="C294" s="9">
        <v>0.11135099083185196</v>
      </c>
      <c r="D294" s="9">
        <v>0.12037723511457443</v>
      </c>
      <c r="E294" s="4">
        <f t="shared" si="4"/>
        <v>1.0810611941150372</v>
      </c>
      <c r="F294" s="10">
        <v>2.3339226841926575E-2</v>
      </c>
      <c r="G294" s="4">
        <v>2.1075349301099777E-2</v>
      </c>
      <c r="H294" s="10">
        <v>0.90300117668165558</v>
      </c>
      <c r="I294" s="11"/>
      <c r="J294" s="10"/>
      <c r="K294" s="11"/>
      <c r="L294" s="10"/>
    </row>
    <row r="295" spans="1:12" ht="14.4">
      <c r="A295" s="8">
        <v>71101</v>
      </c>
      <c r="B295" s="2" t="s">
        <v>300</v>
      </c>
      <c r="C295" s="9">
        <v>0.24989195168018341</v>
      </c>
      <c r="D295" s="9">
        <v>0.2205403745174408</v>
      </c>
      <c r="E295" s="4">
        <f t="shared" si="4"/>
        <v>0.88254292719155947</v>
      </c>
      <c r="F295" s="10">
        <v>6.2109228223562241E-2</v>
      </c>
      <c r="G295" s="4">
        <v>5.4372478276491165E-2</v>
      </c>
      <c r="H295" s="10">
        <v>0.87543316559621975</v>
      </c>
      <c r="I295" s="11"/>
      <c r="J295" s="10"/>
      <c r="K295" s="11"/>
      <c r="L295" s="10"/>
    </row>
    <row r="296" spans="1:12" ht="14.4">
      <c r="A296" s="8">
        <v>71102</v>
      </c>
      <c r="B296" s="2" t="s">
        <v>301</v>
      </c>
      <c r="C296" s="9">
        <v>0.24225229024887085</v>
      </c>
      <c r="D296" s="9">
        <v>0.20717206597328186</v>
      </c>
      <c r="E296" s="4">
        <f t="shared" si="4"/>
        <v>0.85519136170167742</v>
      </c>
      <c r="F296" s="10">
        <v>3.5902198404073715E-2</v>
      </c>
      <c r="G296" s="4">
        <v>4.1971832513809204E-2</v>
      </c>
      <c r="H296" s="10">
        <v>1.1690602352931898</v>
      </c>
      <c r="I296" s="11"/>
      <c r="J296" s="10"/>
      <c r="K296" s="11"/>
      <c r="L296" s="10"/>
    </row>
    <row r="297" spans="1:12" ht="14.4">
      <c r="A297" s="8">
        <v>71103</v>
      </c>
      <c r="B297" s="2" t="s">
        <v>302</v>
      </c>
      <c r="C297" s="9">
        <v>0.19254791736602783</v>
      </c>
      <c r="D297" s="9">
        <v>0.17888149619102478</v>
      </c>
      <c r="E297" s="4">
        <f t="shared" si="4"/>
        <v>0.92902327191094158</v>
      </c>
      <c r="F297" s="10">
        <v>4.0227089077234268E-2</v>
      </c>
      <c r="G297" s="4">
        <v>3.5664215683937073E-2</v>
      </c>
      <c r="H297" s="10">
        <v>0.88657212097706906</v>
      </c>
      <c r="I297" s="11"/>
      <c r="J297" s="10"/>
      <c r="K297" s="11"/>
      <c r="L297" s="10"/>
    </row>
    <row r="298" spans="1:12" ht="14.4">
      <c r="A298" s="8">
        <v>71104</v>
      </c>
      <c r="B298" s="2" t="s">
        <v>303</v>
      </c>
      <c r="C298" s="9">
        <v>0.17032620310783386</v>
      </c>
      <c r="D298" s="9">
        <v>0.15186324715614319</v>
      </c>
      <c r="E298" s="4">
        <f t="shared" si="4"/>
        <v>0.89160237465047154</v>
      </c>
      <c r="F298" s="10">
        <v>2.1316356956958771E-2</v>
      </c>
      <c r="G298" s="4">
        <v>2.0787343382835388E-2</v>
      </c>
      <c r="H298" s="10">
        <v>0.97518273994043414</v>
      </c>
      <c r="I298" s="11"/>
      <c r="J298" s="10"/>
      <c r="K298" s="11"/>
      <c r="L298" s="10"/>
    </row>
    <row r="299" spans="1:12" ht="14.4">
      <c r="A299" s="8">
        <v>71105</v>
      </c>
      <c r="B299" s="2" t="s">
        <v>304</v>
      </c>
      <c r="C299" s="9">
        <v>0.15504954755306244</v>
      </c>
      <c r="D299" s="9">
        <v>6.5302148461341858E-2</v>
      </c>
      <c r="E299" s="4">
        <f t="shared" si="4"/>
        <v>0.42116955187498095</v>
      </c>
      <c r="F299" s="10">
        <v>2.319611981511116E-2</v>
      </c>
      <c r="G299" s="4">
        <v>4.7499999403953552E-2</v>
      </c>
      <c r="H299" s="10">
        <v>2.0477562533113653</v>
      </c>
      <c r="I299" s="11"/>
      <c r="J299" s="10"/>
      <c r="K299" s="11"/>
      <c r="L299" s="10"/>
    </row>
    <row r="300" spans="1:12" ht="14.4">
      <c r="A300" s="8">
        <v>71106</v>
      </c>
      <c r="B300" s="2" t="s">
        <v>305</v>
      </c>
      <c r="C300" s="9">
        <v>0.13673707842826843</v>
      </c>
      <c r="D300" s="9">
        <v>9.7261600196361542E-2</v>
      </c>
      <c r="E300" s="4">
        <f t="shared" si="4"/>
        <v>0.71130377593510219</v>
      </c>
      <c r="F300" s="10">
        <v>1.3873792253434658E-2</v>
      </c>
      <c r="G300" s="4">
        <v>2.2571729496121407E-2</v>
      </c>
      <c r="H300" s="10">
        <v>1.6269329310833127</v>
      </c>
      <c r="I300" s="11"/>
      <c r="J300" s="10"/>
      <c r="K300" s="11"/>
      <c r="L300" s="10"/>
    </row>
    <row r="301" spans="1:12" ht="14.4">
      <c r="A301" s="8">
        <v>71201</v>
      </c>
      <c r="B301" s="2" t="s">
        <v>306</v>
      </c>
      <c r="C301" s="9">
        <v>0.24484062194824219</v>
      </c>
      <c r="D301" s="9">
        <v>0.22827203571796417</v>
      </c>
      <c r="E301" s="4">
        <f t="shared" si="4"/>
        <v>0.93232909597092706</v>
      </c>
      <c r="F301" s="10">
        <v>4.708317294716835E-2</v>
      </c>
      <c r="G301" s="4">
        <v>5.2309613674879074E-2</v>
      </c>
      <c r="H301" s="10">
        <v>1.1110044289830525</v>
      </c>
      <c r="I301" s="11"/>
      <c r="J301" s="10"/>
      <c r="K301" s="11"/>
      <c r="L301" s="10"/>
    </row>
    <row r="302" spans="1:12" ht="14.4">
      <c r="A302" s="8">
        <v>71301</v>
      </c>
      <c r="B302" s="2" t="s">
        <v>307</v>
      </c>
      <c r="C302" s="9">
        <v>0.1960391104221344</v>
      </c>
      <c r="D302" s="9">
        <v>0.10037557035684586</v>
      </c>
      <c r="E302" s="4">
        <f t="shared" si="4"/>
        <v>0.51201808731280918</v>
      </c>
      <c r="F302" s="10">
        <v>5.225522443652153E-2</v>
      </c>
      <c r="G302" s="4">
        <v>2.8904730454087257E-2</v>
      </c>
      <c r="H302" s="10">
        <v>0.55314527429118732</v>
      </c>
      <c r="I302" s="11"/>
      <c r="J302" s="10"/>
      <c r="K302" s="11"/>
      <c r="L302" s="10"/>
    </row>
    <row r="303" spans="1:12" ht="14.4">
      <c r="A303" s="8">
        <v>71302</v>
      </c>
      <c r="B303" s="2" t="s">
        <v>308</v>
      </c>
      <c r="C303" s="9">
        <v>0.18465518951416016</v>
      </c>
      <c r="D303" s="9">
        <v>0.13064369559288025</v>
      </c>
      <c r="E303" s="4">
        <f t="shared" si="4"/>
        <v>0.70750080697224016</v>
      </c>
      <c r="F303" s="10">
        <v>3.2385151833295822E-2</v>
      </c>
      <c r="G303" s="4">
        <v>2.2744916379451752E-2</v>
      </c>
      <c r="H303" s="10">
        <v>0.70232545138378044</v>
      </c>
      <c r="I303" s="11"/>
      <c r="J303" s="10"/>
      <c r="K303" s="11"/>
      <c r="L303" s="10"/>
    </row>
    <row r="304" spans="1:12" ht="14.4">
      <c r="A304" s="8">
        <v>71401</v>
      </c>
      <c r="B304" s="2" t="s">
        <v>309</v>
      </c>
      <c r="C304" s="9">
        <v>0.10423826426267624</v>
      </c>
      <c r="D304" s="9">
        <v>8.7331429123878479E-2</v>
      </c>
      <c r="E304" s="4">
        <f t="shared" si="4"/>
        <v>0.83780586468522522</v>
      </c>
      <c r="F304" s="10">
        <v>3.4121282398700714E-2</v>
      </c>
      <c r="G304" s="4">
        <v>1.267602015286684E-2</v>
      </c>
      <c r="H304" s="10">
        <v>0.37149893737140205</v>
      </c>
      <c r="I304" s="11"/>
      <c r="J304" s="10"/>
      <c r="K304" s="11"/>
      <c r="L304" s="10"/>
    </row>
    <row r="305" spans="1:12" ht="14.4">
      <c r="A305" s="8">
        <v>71402</v>
      </c>
      <c r="B305" s="2" t="s">
        <v>310</v>
      </c>
      <c r="C305" s="9">
        <v>0.11043758690357208</v>
      </c>
      <c r="D305" s="9">
        <v>0.10162786394357681</v>
      </c>
      <c r="E305" s="4">
        <f t="shared" si="4"/>
        <v>0.92022894372287012</v>
      </c>
      <c r="F305" s="10">
        <v>2.0353469997644424E-2</v>
      </c>
      <c r="G305" s="4">
        <v>1.9324356690049171E-2</v>
      </c>
      <c r="H305" s="10">
        <v>0.94943794312643714</v>
      </c>
      <c r="I305" s="11"/>
      <c r="J305" s="10"/>
      <c r="K305" s="11"/>
      <c r="L305" s="10"/>
    </row>
    <row r="306" spans="1:12" ht="14.4">
      <c r="A306" s="8">
        <v>71403</v>
      </c>
      <c r="B306" s="2" t="s">
        <v>311</v>
      </c>
      <c r="C306" s="9">
        <v>0.21773336827754974</v>
      </c>
      <c r="D306" s="9">
        <v>0.19482091069221497</v>
      </c>
      <c r="E306" s="4">
        <f t="shared" si="4"/>
        <v>0.8947682766009124</v>
      </c>
      <c r="F306" s="10">
        <v>6.8696938455104828E-2</v>
      </c>
      <c r="G306" s="4">
        <v>2.4415364488959312E-2</v>
      </c>
      <c r="H306" s="10">
        <v>0.35540687893850414</v>
      </c>
      <c r="I306" s="11"/>
      <c r="J306" s="10"/>
      <c r="K306" s="11"/>
      <c r="L306" s="10"/>
    </row>
    <row r="307" spans="1:12" ht="14.4">
      <c r="A307" s="8">
        <v>71501</v>
      </c>
      <c r="B307" s="2" t="s">
        <v>312</v>
      </c>
      <c r="C307" s="9">
        <v>0.26624098420143127</v>
      </c>
      <c r="D307" s="9">
        <v>0.2787037193775177</v>
      </c>
      <c r="E307" s="4">
        <f t="shared" si="4"/>
        <v>1.0468099801143216</v>
      </c>
      <c r="F307" s="10">
        <v>8.3802923560142517E-2</v>
      </c>
      <c r="G307" s="4">
        <v>6.8263247609138489E-2</v>
      </c>
      <c r="H307" s="10">
        <v>0.81456880869016779</v>
      </c>
      <c r="I307" s="11"/>
      <c r="J307" s="10"/>
      <c r="K307" s="11"/>
      <c r="L307" s="10"/>
    </row>
    <row r="308" spans="1:12" ht="14.4">
      <c r="A308" s="8">
        <v>71502</v>
      </c>
      <c r="B308" s="2" t="s">
        <v>313</v>
      </c>
      <c r="C308" s="9">
        <v>0.24925453960895538</v>
      </c>
      <c r="D308" s="9">
        <v>0.24272243678569794</v>
      </c>
      <c r="E308" s="4">
        <f t="shared" si="4"/>
        <v>0.97379344491175412</v>
      </c>
      <c r="F308" s="10">
        <v>5.1678717136383057E-2</v>
      </c>
      <c r="G308" s="4">
        <v>4.922935739159584E-2</v>
      </c>
      <c r="H308" s="10">
        <v>0.9526040915775208</v>
      </c>
      <c r="I308" s="11"/>
      <c r="J308" s="10"/>
      <c r="K308" s="11"/>
      <c r="L308" s="10"/>
    </row>
    <row r="309" spans="1:12" ht="14.4">
      <c r="A309" s="8">
        <v>71503</v>
      </c>
      <c r="B309" s="2" t="s">
        <v>258</v>
      </c>
      <c r="C309" s="9">
        <v>0.30521780252456665</v>
      </c>
      <c r="D309" s="9">
        <v>0.25079125165939331</v>
      </c>
      <c r="E309" s="4">
        <f t="shared" si="4"/>
        <v>0.82167963200379635</v>
      </c>
      <c r="F309" s="10">
        <v>5.5780012160539627E-2</v>
      </c>
      <c r="G309" s="4">
        <v>5.0753265619277954E-2</v>
      </c>
      <c r="H309" s="10">
        <v>0.90988265605259699</v>
      </c>
      <c r="I309" s="11"/>
      <c r="J309" s="10"/>
      <c r="K309" s="11"/>
      <c r="L309" s="10"/>
    </row>
    <row r="310" spans="1:12" ht="14.4">
      <c r="A310" s="8">
        <v>80101</v>
      </c>
      <c r="B310" s="2" t="s">
        <v>314</v>
      </c>
      <c r="C310" s="9">
        <v>0.16842555999755859</v>
      </c>
      <c r="D310" s="9">
        <v>0.13476540148258209</v>
      </c>
      <c r="E310" s="4">
        <f t="shared" si="4"/>
        <v>0.80014815734936895</v>
      </c>
      <c r="F310" s="10">
        <v>3.8410007953643799E-2</v>
      </c>
      <c r="G310" s="4">
        <v>3.3830512315034866E-2</v>
      </c>
      <c r="H310" s="10">
        <v>0.88077337437326686</v>
      </c>
      <c r="I310" s="11"/>
      <c r="J310" s="10"/>
      <c r="K310" s="11"/>
      <c r="L310" s="10"/>
    </row>
    <row r="311" spans="1:12" ht="14.4">
      <c r="A311" s="8">
        <v>80102</v>
      </c>
      <c r="B311" s="2" t="s">
        <v>301</v>
      </c>
      <c r="C311" s="9">
        <v>0.25596791505813599</v>
      </c>
      <c r="D311" s="9">
        <v>0.23864021897315979</v>
      </c>
      <c r="E311" s="4">
        <f t="shared" si="4"/>
        <v>0.9323052028570038</v>
      </c>
      <c r="F311" s="10">
        <v>7.808995246887207E-2</v>
      </c>
      <c r="G311" s="4">
        <v>6.9336049258708954E-2</v>
      </c>
      <c r="H311" s="10">
        <v>0.88789974979620379</v>
      </c>
      <c r="I311" s="11"/>
      <c r="J311" s="10"/>
      <c r="K311" s="11"/>
      <c r="L311" s="10"/>
    </row>
    <row r="312" spans="1:12" ht="14.4">
      <c r="A312" s="8">
        <v>80201</v>
      </c>
      <c r="B312" s="2" t="s">
        <v>315</v>
      </c>
      <c r="C312" s="9">
        <v>0.33543598651885986</v>
      </c>
      <c r="D312" s="9">
        <v>0.28616327047348022</v>
      </c>
      <c r="E312" s="4">
        <f t="shared" si="4"/>
        <v>0.85310843789681079</v>
      </c>
      <c r="F312" s="10">
        <v>9.2583715915679932E-2</v>
      </c>
      <c r="G312" s="4">
        <v>9.2204444110393524E-2</v>
      </c>
      <c r="H312" s="10">
        <v>0.99590347177648575</v>
      </c>
      <c r="I312" s="11"/>
      <c r="J312" s="10"/>
      <c r="K312" s="11"/>
      <c r="L312" s="10"/>
    </row>
    <row r="313" spans="1:12" ht="14.4">
      <c r="A313" s="8">
        <v>80202</v>
      </c>
      <c r="B313" s="2" t="s">
        <v>316</v>
      </c>
      <c r="C313" s="9">
        <v>0.17319269478321075</v>
      </c>
      <c r="D313" s="9">
        <v>0.15243597328662872</v>
      </c>
      <c r="E313" s="4">
        <f t="shared" si="4"/>
        <v>0.88015244221147038</v>
      </c>
      <c r="F313" s="10">
        <v>5.7996880263090134E-2</v>
      </c>
      <c r="G313" s="4">
        <v>3.4670609980821609E-2</v>
      </c>
      <c r="H313" s="10">
        <v>0.59780129247549152</v>
      </c>
      <c r="I313" s="11"/>
      <c r="J313" s="10"/>
      <c r="K313" s="11"/>
      <c r="L313" s="10"/>
    </row>
    <row r="314" spans="1:12" ht="14.4">
      <c r="A314" s="8">
        <v>80301</v>
      </c>
      <c r="B314" s="2" t="s">
        <v>317</v>
      </c>
      <c r="C314" s="9">
        <v>0.32000187039375305</v>
      </c>
      <c r="D314" s="9">
        <v>0.24112817645072937</v>
      </c>
      <c r="E314" s="4">
        <f t="shared" si="4"/>
        <v>0.75352114709213458</v>
      </c>
      <c r="F314" s="10">
        <v>8.1534095108509064E-2</v>
      </c>
      <c r="G314" s="4">
        <v>8.0969817936420441E-2</v>
      </c>
      <c r="H314" s="10">
        <v>0.99307924897752697</v>
      </c>
      <c r="I314" s="11"/>
      <c r="J314" s="10"/>
      <c r="K314" s="11"/>
      <c r="L314" s="10"/>
    </row>
    <row r="315" spans="1:12" ht="14.4">
      <c r="A315" s="8">
        <v>80302</v>
      </c>
      <c r="B315" s="2" t="s">
        <v>318</v>
      </c>
      <c r="C315" s="9">
        <v>0.45847633481025696</v>
      </c>
      <c r="D315" s="9">
        <v>0.18009208142757416</v>
      </c>
      <c r="E315" s="4">
        <f t="shared" si="4"/>
        <v>0.39280562104062861</v>
      </c>
      <c r="F315" s="10">
        <v>0.23933127522468567</v>
      </c>
      <c r="G315" s="4">
        <v>4.3582644313573837E-2</v>
      </c>
      <c r="H315" s="10">
        <v>0.18210175110903573</v>
      </c>
      <c r="I315" s="11"/>
      <c r="J315" s="10"/>
      <c r="K315" s="11"/>
      <c r="L315" s="10"/>
    </row>
    <row r="316" spans="1:12" ht="14.4">
      <c r="A316" s="8">
        <v>80303</v>
      </c>
      <c r="B316" s="2" t="s">
        <v>319</v>
      </c>
      <c r="C316" s="9">
        <v>0.26117011904716492</v>
      </c>
      <c r="D316" s="9">
        <v>0.18838340044021606</v>
      </c>
      <c r="E316" s="4">
        <f t="shared" si="4"/>
        <v>0.72130533587648193</v>
      </c>
      <c r="F316" s="10">
        <v>8.9751124382019043E-2</v>
      </c>
      <c r="G316" s="4">
        <v>3.3866550773382187E-2</v>
      </c>
      <c r="H316" s="10">
        <v>0.37733845683349559</v>
      </c>
      <c r="I316" s="11"/>
      <c r="J316" s="10"/>
      <c r="K316" s="11"/>
      <c r="L316" s="10"/>
    </row>
    <row r="317" spans="1:12" ht="14.4">
      <c r="A317" s="8">
        <v>80304</v>
      </c>
      <c r="B317" s="2" t="s">
        <v>320</v>
      </c>
      <c r="C317" s="9">
        <v>0.25125649571418762</v>
      </c>
      <c r="D317" s="9">
        <v>0.10314962267875671</v>
      </c>
      <c r="E317" s="4">
        <f t="shared" si="4"/>
        <v>0.41053514809858982</v>
      </c>
      <c r="F317" s="10">
        <v>9.7321614623069763E-2</v>
      </c>
      <c r="G317" s="4">
        <v>2.6122579351067543E-2</v>
      </c>
      <c r="H317" s="10">
        <v>0.26841498111433176</v>
      </c>
      <c r="I317" s="11"/>
      <c r="J317" s="10"/>
      <c r="K317" s="11"/>
      <c r="L317" s="10"/>
    </row>
    <row r="318" spans="1:12" ht="14.4">
      <c r="A318" s="8">
        <v>80401</v>
      </c>
      <c r="B318" s="2" t="s">
        <v>321</v>
      </c>
      <c r="C318" s="9">
        <v>0.22023889422416687</v>
      </c>
      <c r="D318" s="9">
        <v>0.15627187490463257</v>
      </c>
      <c r="E318" s="4">
        <f t="shared" si="4"/>
        <v>0.70955620920241991</v>
      </c>
      <c r="F318" s="10">
        <v>0.14042133092880249</v>
      </c>
      <c r="G318" s="4">
        <v>4.6007595956325531E-2</v>
      </c>
      <c r="H318" s="10">
        <v>0.32763965169688258</v>
      </c>
      <c r="I318" s="11"/>
      <c r="J318" s="10"/>
      <c r="K318" s="11"/>
      <c r="L318" s="10"/>
    </row>
    <row r="319" spans="1:12" ht="14.4">
      <c r="A319" s="8">
        <v>80402</v>
      </c>
      <c r="B319" s="2" t="s">
        <v>322</v>
      </c>
      <c r="C319" s="9">
        <v>0.35292530059814453</v>
      </c>
      <c r="D319" s="9">
        <v>0.34494486451148987</v>
      </c>
      <c r="E319" s="4">
        <f t="shared" si="4"/>
        <v>0.9773877472849658</v>
      </c>
      <c r="F319" s="10">
        <v>0.1224709078669548</v>
      </c>
      <c r="G319" s="4">
        <v>6.7764252424240112E-2</v>
      </c>
      <c r="H319" s="10">
        <v>0.55330897438806625</v>
      </c>
      <c r="I319" s="11"/>
      <c r="J319" s="10"/>
      <c r="K319" s="11"/>
      <c r="L319" s="10"/>
    </row>
    <row r="320" spans="1:12" ht="14.4">
      <c r="A320" s="8">
        <v>80501</v>
      </c>
      <c r="B320" s="2" t="s">
        <v>323</v>
      </c>
      <c r="C320" s="9">
        <v>0.34782007336616516</v>
      </c>
      <c r="D320" s="9">
        <v>0.28825169801712036</v>
      </c>
      <c r="E320" s="4">
        <f t="shared" si="4"/>
        <v>0.82873795990970711</v>
      </c>
      <c r="F320" s="10">
        <v>9.5862023532390594E-2</v>
      </c>
      <c r="G320" s="4">
        <v>3.9075251668691635E-2</v>
      </c>
      <c r="H320" s="10">
        <v>0.40761972498409227</v>
      </c>
      <c r="I320" s="11"/>
      <c r="J320" s="10"/>
      <c r="K320" s="11"/>
      <c r="L320" s="10"/>
    </row>
    <row r="321" spans="1:12" ht="14.4">
      <c r="A321" s="8">
        <v>80601</v>
      </c>
      <c r="B321" s="2" t="s">
        <v>324</v>
      </c>
      <c r="C321" s="9">
        <v>0.40862172842025757</v>
      </c>
      <c r="D321" s="9">
        <v>0.25719472765922546</v>
      </c>
      <c r="E321" s="4">
        <f t="shared" si="4"/>
        <v>0.62942009631633422</v>
      </c>
      <c r="F321" s="10">
        <v>0.14902998507022858</v>
      </c>
      <c r="G321" s="4">
        <v>6.5692663192749023E-2</v>
      </c>
      <c r="H321" s="10">
        <v>0.44080164915665898</v>
      </c>
      <c r="I321" s="11"/>
      <c r="J321" s="10"/>
      <c r="K321" s="11"/>
      <c r="L321" s="10"/>
    </row>
    <row r="322" spans="1:12" ht="14.4">
      <c r="A322" s="8">
        <v>80602</v>
      </c>
      <c r="B322" s="2" t="s">
        <v>325</v>
      </c>
      <c r="C322" s="9">
        <v>0.24810825288295746</v>
      </c>
      <c r="D322" s="9">
        <v>0.19500903785228729</v>
      </c>
      <c r="E322" s="4">
        <f t="shared" si="4"/>
        <v>0.78598368085837444</v>
      </c>
      <c r="F322" s="10">
        <v>6.592290848493576E-2</v>
      </c>
      <c r="G322" s="4">
        <v>4.8218026757240295E-2</v>
      </c>
      <c r="H322" s="10">
        <v>0.73143051278234694</v>
      </c>
      <c r="I322" s="11"/>
      <c r="J322" s="10"/>
      <c r="K322" s="11"/>
      <c r="L322" s="10"/>
    </row>
    <row r="323" spans="1:12" ht="14.4">
      <c r="A323" s="8">
        <v>80701</v>
      </c>
      <c r="B323" s="2" t="s">
        <v>326</v>
      </c>
      <c r="C323" s="9">
        <v>0.22674347460269928</v>
      </c>
      <c r="D323" s="9">
        <v>0.22817595303058624</v>
      </c>
      <c r="E323" s="4">
        <f t="shared" si="4"/>
        <v>1.006317616991611</v>
      </c>
      <c r="F323" s="10">
        <v>5.4438009858131409E-2</v>
      </c>
      <c r="G323" s="4">
        <v>4.835907369852066E-2</v>
      </c>
      <c r="H323" s="10">
        <v>0.88833287301551234</v>
      </c>
      <c r="I323" s="11"/>
      <c r="J323" s="10"/>
      <c r="K323" s="11"/>
      <c r="L323" s="10"/>
    </row>
    <row r="324" spans="1:12" ht="14.4">
      <c r="A324" s="8">
        <v>80702</v>
      </c>
      <c r="B324" s="2" t="s">
        <v>302</v>
      </c>
      <c r="C324" s="9">
        <v>0.21797840297222137</v>
      </c>
      <c r="D324" s="9">
        <v>0.17131887376308441</v>
      </c>
      <c r="E324" s="4">
        <f t="shared" si="4"/>
        <v>0.78594425606887697</v>
      </c>
      <c r="F324" s="10">
        <v>6.9717936217784882E-2</v>
      </c>
      <c r="G324" s="4">
        <v>4.2078342288732529E-2</v>
      </c>
      <c r="H324" s="10">
        <v>0.60355117451107854</v>
      </c>
      <c r="I324" s="11"/>
      <c r="J324" s="10"/>
      <c r="K324" s="11"/>
      <c r="L324" s="10"/>
    </row>
    <row r="325" spans="1:12" ht="14.4">
      <c r="A325" s="8">
        <v>80703</v>
      </c>
      <c r="B325" s="2" t="s">
        <v>327</v>
      </c>
      <c r="C325" s="9">
        <v>0.23582768440246582</v>
      </c>
      <c r="D325" s="9">
        <v>0.19963032007217407</v>
      </c>
      <c r="E325" s="4">
        <f t="shared" si="4"/>
        <v>0.84650926619574918</v>
      </c>
      <c r="F325" s="10">
        <v>4.7541428357362747E-2</v>
      </c>
      <c r="G325" s="4">
        <v>3.1509120017290115E-2</v>
      </c>
      <c r="H325" s="10">
        <v>0.6627718414440591</v>
      </c>
      <c r="I325" s="11"/>
      <c r="J325" s="10"/>
      <c r="K325" s="11"/>
      <c r="L325" s="10"/>
    </row>
    <row r="326" spans="1:12" ht="14.4">
      <c r="A326" s="8">
        <v>80801</v>
      </c>
      <c r="B326" s="2" t="s">
        <v>328</v>
      </c>
      <c r="C326" s="9">
        <v>0.28236430883407593</v>
      </c>
      <c r="D326" s="9">
        <v>0.22901634871959686</v>
      </c>
      <c r="E326" s="4">
        <f t="shared" si="4"/>
        <v>0.8110669144596897</v>
      </c>
      <c r="F326" s="10">
        <v>6.0502208769321442E-2</v>
      </c>
      <c r="G326" s="4">
        <v>6.0560174286365509E-2</v>
      </c>
      <c r="H326" s="10">
        <v>1.0009580727418577</v>
      </c>
      <c r="I326" s="11"/>
      <c r="J326" s="10"/>
      <c r="K326" s="11"/>
      <c r="L326" s="10"/>
    </row>
    <row r="327" spans="1:12" ht="14.4">
      <c r="A327" s="8">
        <v>80802</v>
      </c>
      <c r="B327" s="2" t="s">
        <v>329</v>
      </c>
      <c r="C327" s="9">
        <v>0.21547800302505493</v>
      </c>
      <c r="D327" s="9">
        <v>0.18373803794384003</v>
      </c>
      <c r="E327" s="4">
        <f t="shared" si="4"/>
        <v>0.85269974366003243</v>
      </c>
      <c r="F327" s="10">
        <v>7.1405999362468719E-2</v>
      </c>
      <c r="G327" s="4">
        <v>4.9210663884878159E-2</v>
      </c>
      <c r="H327" s="10">
        <v>0.68916707733585036</v>
      </c>
      <c r="I327" s="11"/>
      <c r="J327" s="10"/>
      <c r="K327" s="11"/>
      <c r="L327" s="10"/>
    </row>
    <row r="328" spans="1:12" ht="14.4">
      <c r="A328" s="8">
        <v>80803</v>
      </c>
      <c r="B328" s="2" t="s">
        <v>330</v>
      </c>
      <c r="C328" s="9">
        <v>0.22153817117214203</v>
      </c>
      <c r="D328" s="9">
        <v>0.22965024411678314</v>
      </c>
      <c r="E328" s="4">
        <f t="shared" si="4"/>
        <v>1.0366170439239466</v>
      </c>
      <c r="F328" s="10">
        <v>3.9983168244361877E-2</v>
      </c>
      <c r="G328" s="4">
        <v>5.0953414291143417E-2</v>
      </c>
      <c r="H328" s="10">
        <v>1.2743716050648008</v>
      </c>
      <c r="I328" s="11"/>
      <c r="J328" s="10"/>
      <c r="K328" s="11"/>
      <c r="L328" s="10"/>
    </row>
    <row r="329" spans="1:12" ht="14.4">
      <c r="A329" s="8">
        <v>80901</v>
      </c>
      <c r="B329" s="2" t="s">
        <v>331</v>
      </c>
      <c r="C329" s="9">
        <f t="shared" ref="C329:D329" si="5">AVERAGE(C320,C318)</f>
        <v>0.28402948379516602</v>
      </c>
      <c r="D329" s="9">
        <f t="shared" si="5"/>
        <v>0.22226178646087646</v>
      </c>
      <c r="E329" s="4">
        <f t="shared" si="4"/>
        <v>0.78253068481145904</v>
      </c>
      <c r="F329" s="10">
        <v>0.17194624245166779</v>
      </c>
      <c r="G329" s="4">
        <v>0.10692700743675232</v>
      </c>
      <c r="H329" s="10">
        <v>0.62186300736876143</v>
      </c>
      <c r="I329" s="11"/>
      <c r="J329" s="10"/>
      <c r="K329" s="11"/>
      <c r="L329" s="10"/>
    </row>
    <row r="330" spans="1:12" ht="14.4">
      <c r="A330" s="8">
        <v>90101</v>
      </c>
      <c r="B330" s="2" t="s">
        <v>332</v>
      </c>
      <c r="C330" s="9">
        <v>9.6168205142021179E-2</v>
      </c>
      <c r="D330" s="9">
        <v>0.11663176119327545</v>
      </c>
      <c r="E330" s="4">
        <f t="shared" si="4"/>
        <v>1.2127892063809831</v>
      </c>
      <c r="F330" s="10">
        <v>1.6228564083576202E-2</v>
      </c>
      <c r="G330" s="4">
        <v>1.9911441951990128E-2</v>
      </c>
      <c r="H330" s="10">
        <v>1.2269379995326333</v>
      </c>
      <c r="I330" s="11"/>
      <c r="J330" s="10"/>
      <c r="K330" s="11"/>
      <c r="L330" s="10"/>
    </row>
    <row r="331" spans="1:12" ht="14.4">
      <c r="A331" s="8">
        <v>90102</v>
      </c>
      <c r="B331" s="2" t="s">
        <v>333</v>
      </c>
      <c r="C331" s="9">
        <v>0.16146039962768555</v>
      </c>
      <c r="D331" s="9">
        <v>0.16782508790493011</v>
      </c>
      <c r="E331" s="4">
        <f t="shared" si="4"/>
        <v>1.0394195003351969</v>
      </c>
      <c r="F331" s="10">
        <v>3.0590230599045753E-2</v>
      </c>
      <c r="G331" s="4">
        <v>3.6495078355073929E-2</v>
      </c>
      <c r="H331" s="10">
        <v>1.1930305081195554</v>
      </c>
      <c r="I331" s="11"/>
      <c r="J331" s="10"/>
      <c r="K331" s="11"/>
      <c r="L331" s="10"/>
    </row>
    <row r="332" spans="1:12" ht="14.4">
      <c r="A332" s="8">
        <v>90103</v>
      </c>
      <c r="B332" s="2" t="s">
        <v>334</v>
      </c>
      <c r="C332" s="9">
        <v>0.40563791990280151</v>
      </c>
      <c r="D332" s="9">
        <v>0.34420707821846008</v>
      </c>
      <c r="E332" s="4">
        <f t="shared" si="4"/>
        <v>0.84855744823101986</v>
      </c>
      <c r="F332" s="10">
        <v>6.2162891030311584E-2</v>
      </c>
      <c r="G332" s="4">
        <v>4.3960079550743103E-2</v>
      </c>
      <c r="H332" s="10">
        <v>0.70717559660002771</v>
      </c>
      <c r="I332" s="11"/>
      <c r="J332" s="10"/>
      <c r="K332" s="11"/>
      <c r="L332" s="10"/>
    </row>
    <row r="333" spans="1:12" ht="14.4">
      <c r="A333" s="8">
        <v>90104</v>
      </c>
      <c r="B333" s="2" t="s">
        <v>335</v>
      </c>
      <c r="C333" s="9">
        <v>0.21912720799446106</v>
      </c>
      <c r="D333" s="9">
        <v>0.31900078058242798</v>
      </c>
      <c r="E333" s="4">
        <f t="shared" si="4"/>
        <v>1.4557789673954658</v>
      </c>
      <c r="F333" s="10">
        <v>5.1765576004981995E-2</v>
      </c>
      <c r="G333" s="4">
        <v>5.4278705269098282E-2</v>
      </c>
      <c r="H333" s="10">
        <v>1.0485482719998021</v>
      </c>
      <c r="I333" s="11"/>
      <c r="J333" s="10"/>
      <c r="K333" s="11"/>
      <c r="L333" s="10"/>
    </row>
    <row r="334" spans="1:12" ht="14.4">
      <c r="A334" s="8">
        <v>90201</v>
      </c>
      <c r="B334" s="2" t="s">
        <v>336</v>
      </c>
      <c r="C334" s="9">
        <v>0.23487968742847443</v>
      </c>
      <c r="D334" s="9">
        <v>0.21193790435791016</v>
      </c>
      <c r="E334" s="4">
        <f t="shared" si="4"/>
        <v>0.90232538487368985</v>
      </c>
      <c r="F334" s="10">
        <v>4.6610865741968155E-2</v>
      </c>
      <c r="G334" s="4">
        <v>5.620996281504631E-2</v>
      </c>
      <c r="H334" s="10">
        <v>1.2059411881816902</v>
      </c>
      <c r="I334" s="11"/>
      <c r="J334" s="10"/>
      <c r="K334" s="11"/>
      <c r="L334" s="10"/>
    </row>
    <row r="335" spans="1:12" ht="14.4">
      <c r="A335" s="8">
        <v>90202</v>
      </c>
      <c r="B335" s="2" t="s">
        <v>299</v>
      </c>
      <c r="C335" s="9">
        <v>0.48121175169944763</v>
      </c>
      <c r="D335" s="9">
        <v>0.46808159351348877</v>
      </c>
      <c r="E335" s="4">
        <f t="shared" si="4"/>
        <v>0.9727143858403533</v>
      </c>
      <c r="F335" s="10">
        <v>0.137847900390625</v>
      </c>
      <c r="G335" s="4">
        <v>0.19456878304481506</v>
      </c>
      <c r="H335" s="10">
        <v>1.4114744039877132</v>
      </c>
      <c r="I335" s="11"/>
      <c r="J335" s="10"/>
      <c r="K335" s="11"/>
      <c r="L335" s="10"/>
    </row>
    <row r="336" spans="1:12" ht="14.4">
      <c r="A336" s="8">
        <v>90203</v>
      </c>
      <c r="B336" s="2" t="s">
        <v>337</v>
      </c>
      <c r="C336" s="9">
        <v>0.27864035964012146</v>
      </c>
      <c r="D336" s="9">
        <v>0.30487480759620667</v>
      </c>
      <c r="E336" s="4">
        <f t="shared" si="4"/>
        <v>1.0941516440402546</v>
      </c>
      <c r="F336" s="10">
        <v>5.6888889521360397E-2</v>
      </c>
      <c r="G336" s="4">
        <v>4.3918203562498093E-2</v>
      </c>
      <c r="H336" s="10">
        <v>0.77199966341420456</v>
      </c>
      <c r="I336" s="11"/>
      <c r="J336" s="10"/>
      <c r="K336" s="11"/>
      <c r="L336" s="10"/>
    </row>
    <row r="337" spans="1:12" ht="14.4">
      <c r="A337" s="8">
        <v>90301</v>
      </c>
      <c r="B337" s="2" t="s">
        <v>338</v>
      </c>
      <c r="C337" s="9">
        <v>0.39036110043525696</v>
      </c>
      <c r="D337" s="9">
        <v>0.2642744779586792</v>
      </c>
      <c r="E337" s="4">
        <f t="shared" si="4"/>
        <v>0.67700003321030255</v>
      </c>
      <c r="F337" s="10">
        <v>7.8388743102550507E-2</v>
      </c>
      <c r="G337" s="4">
        <v>7.7608577907085419E-2</v>
      </c>
      <c r="H337" s="10">
        <v>0.99004748431232714</v>
      </c>
      <c r="I337" s="11"/>
      <c r="J337" s="10"/>
      <c r="K337" s="11"/>
      <c r="L337" s="10"/>
    </row>
    <row r="338" spans="1:12" ht="14.4">
      <c r="A338" s="8">
        <v>90302</v>
      </c>
      <c r="B338" s="2" t="s">
        <v>339</v>
      </c>
      <c r="C338" s="9">
        <v>0.36144173145294189</v>
      </c>
      <c r="D338" s="9">
        <v>0.30398222804069519</v>
      </c>
      <c r="E338" s="4">
        <f t="shared" si="4"/>
        <v>0.8410269251940885</v>
      </c>
      <c r="F338" s="10">
        <v>5.9082213789224625E-2</v>
      </c>
      <c r="G338" s="4">
        <v>7.2100125253200531E-2</v>
      </c>
      <c r="H338" s="10">
        <v>1.2203355397348044</v>
      </c>
      <c r="I338" s="11"/>
      <c r="J338" s="10"/>
      <c r="K338" s="11"/>
      <c r="L338" s="10"/>
    </row>
    <row r="339" spans="1:12" ht="14.4">
      <c r="A339" s="8">
        <v>90303</v>
      </c>
      <c r="B339" s="2" t="s">
        <v>340</v>
      </c>
      <c r="C339" s="9">
        <v>0.49259752035140991</v>
      </c>
      <c r="D339" s="9">
        <v>0.5148501992225647</v>
      </c>
      <c r="E339" s="4">
        <f t="shared" si="4"/>
        <v>1.0451741593325117</v>
      </c>
      <c r="F339" s="10">
        <v>0.10780409723520279</v>
      </c>
      <c r="G339" s="4">
        <v>0.10348321497440338</v>
      </c>
      <c r="H339" s="10">
        <v>0.95991912764343013</v>
      </c>
      <c r="I339" s="11"/>
      <c r="J339" s="10"/>
      <c r="K339" s="11"/>
      <c r="L339" s="10"/>
    </row>
    <row r="340" spans="1:12" ht="14.4">
      <c r="A340" s="8">
        <v>90401</v>
      </c>
      <c r="B340" s="2" t="s">
        <v>341</v>
      </c>
      <c r="C340" s="9">
        <v>0.22086058557033539</v>
      </c>
      <c r="D340" s="9">
        <v>0.22360402345657349</v>
      </c>
      <c r="E340" s="4">
        <f t="shared" si="4"/>
        <v>1.0124215820543698</v>
      </c>
      <c r="F340" s="10">
        <v>3.9050702005624771E-2</v>
      </c>
      <c r="G340" s="4">
        <v>4.2540036141872406E-2</v>
      </c>
      <c r="H340" s="10">
        <v>1.0893539413387507</v>
      </c>
      <c r="I340" s="11"/>
      <c r="J340" s="10"/>
      <c r="K340" s="11"/>
      <c r="L340" s="10"/>
    </row>
    <row r="341" spans="1:12" ht="14.4">
      <c r="A341" s="8">
        <v>90402</v>
      </c>
      <c r="B341" s="2" t="s">
        <v>342</v>
      </c>
      <c r="C341" s="9">
        <v>0.30727970600128174</v>
      </c>
      <c r="D341" s="9">
        <v>0.31276416778564453</v>
      </c>
      <c r="E341" s="4">
        <f t="shared" si="4"/>
        <v>1.017848434755857</v>
      </c>
      <c r="F341" s="10">
        <v>0.10203757137060165</v>
      </c>
      <c r="G341" s="4">
        <v>0.1059977114200592</v>
      </c>
      <c r="H341" s="10">
        <v>1.038810606684025</v>
      </c>
      <c r="I341" s="11"/>
      <c r="J341" s="10"/>
      <c r="K341" s="11"/>
      <c r="L341" s="10"/>
    </row>
    <row r="342" spans="1:12" ht="14.4">
      <c r="A342" s="8">
        <v>90501</v>
      </c>
      <c r="B342" s="2" t="s">
        <v>343</v>
      </c>
      <c r="C342" s="9">
        <v>0.35832583904266357</v>
      </c>
      <c r="D342" s="9">
        <v>0.33247783780097961</v>
      </c>
      <c r="E342" s="4">
        <f t="shared" si="4"/>
        <v>0.92786453438372773</v>
      </c>
      <c r="F342" s="10">
        <v>6.5551474690437317E-2</v>
      </c>
      <c r="G342" s="4">
        <v>6.2840327620506287E-2</v>
      </c>
      <c r="H342" s="10">
        <v>0.95864094465098992</v>
      </c>
      <c r="I342" s="11"/>
      <c r="J342" s="10"/>
      <c r="K342" s="11"/>
      <c r="L342" s="10"/>
    </row>
    <row r="343" spans="1:12" ht="14.4">
      <c r="A343" s="8">
        <v>90502</v>
      </c>
      <c r="B343" s="2" t="s">
        <v>344</v>
      </c>
      <c r="C343" s="9">
        <v>0.32629948854446411</v>
      </c>
      <c r="D343" s="9">
        <v>0.39215332269668579</v>
      </c>
      <c r="E343" s="4">
        <f t="shared" si="4"/>
        <v>1.2018202187382465</v>
      </c>
      <c r="F343" s="10">
        <v>6.5984524786472321E-2</v>
      </c>
      <c r="G343" s="4">
        <v>5.1282055675983429E-2</v>
      </c>
      <c r="H343" s="10">
        <v>0.7771830719692765</v>
      </c>
      <c r="I343" s="11"/>
      <c r="J343" s="10"/>
      <c r="K343" s="11"/>
      <c r="L343" s="10"/>
    </row>
    <row r="344" spans="1:12" ht="14.4">
      <c r="A344" s="8">
        <v>90503</v>
      </c>
      <c r="B344" s="2" t="s">
        <v>345</v>
      </c>
      <c r="C344" s="9">
        <v>0.3550039529800415</v>
      </c>
      <c r="D344" s="9">
        <v>0.38046658039093018</v>
      </c>
      <c r="E344" s="4">
        <f t="shared" si="4"/>
        <v>1.0717249123485681</v>
      </c>
      <c r="F344" s="10">
        <v>6.3655704259872437E-2</v>
      </c>
      <c r="G344" s="4">
        <v>8.5256807506084442E-2</v>
      </c>
      <c r="H344" s="10">
        <v>1.3393427737131958</v>
      </c>
      <c r="I344" s="11"/>
      <c r="J344" s="10"/>
      <c r="K344" s="11"/>
      <c r="L344" s="10"/>
    </row>
    <row r="345" spans="1:12" ht="13.2">
      <c r="E345" s="5"/>
      <c r="G345" s="5"/>
    </row>
    <row r="346" spans="1:12" ht="13.2">
      <c r="E346" s="5"/>
      <c r="G346" s="5"/>
    </row>
    <row r="347" spans="1:12" ht="13.2">
      <c r="E347" s="5"/>
      <c r="G347" s="5"/>
    </row>
    <row r="348" spans="1:12" ht="13.2">
      <c r="E348" s="5"/>
      <c r="G348" s="5"/>
    </row>
    <row r="349" spans="1:12" ht="13.2">
      <c r="E349" s="5"/>
      <c r="G349" s="5"/>
    </row>
    <row r="350" spans="1:12" ht="13.2">
      <c r="E350" s="5"/>
      <c r="G350" s="5"/>
    </row>
    <row r="351" spans="1:12" ht="13.2">
      <c r="E351" s="5"/>
      <c r="G351" s="5"/>
    </row>
    <row r="352" spans="1:12" ht="13.2">
      <c r="E352" s="5"/>
      <c r="G352" s="5"/>
    </row>
    <row r="353" spans="5:7" ht="13.2">
      <c r="E353" s="5"/>
      <c r="G353" s="5"/>
    </row>
    <row r="354" spans="5:7" ht="13.2">
      <c r="E354" s="5"/>
      <c r="G354" s="5"/>
    </row>
    <row r="355" spans="5:7" ht="13.2">
      <c r="E355" s="5"/>
      <c r="G355" s="5"/>
    </row>
    <row r="356" spans="5:7" ht="13.2">
      <c r="E356" s="5"/>
      <c r="G356" s="5"/>
    </row>
    <row r="357" spans="5:7" ht="13.2">
      <c r="E357" s="5"/>
      <c r="G357" s="5"/>
    </row>
    <row r="358" spans="5:7" ht="13.2">
      <c r="E358" s="5"/>
      <c r="G358" s="5"/>
    </row>
    <row r="359" spans="5:7" ht="13.2">
      <c r="E359" s="5"/>
      <c r="G359" s="5"/>
    </row>
    <row r="360" spans="5:7" ht="13.2">
      <c r="E360" s="5"/>
      <c r="G360" s="5"/>
    </row>
    <row r="361" spans="5:7" ht="13.2">
      <c r="E361" s="5"/>
      <c r="G361" s="5"/>
    </row>
    <row r="362" spans="5:7" ht="13.2">
      <c r="E362" s="5"/>
      <c r="G362" s="5"/>
    </row>
    <row r="363" spans="5:7" ht="13.2">
      <c r="E363" s="5"/>
      <c r="G363" s="5"/>
    </row>
    <row r="364" spans="5:7" ht="13.2">
      <c r="E364" s="5"/>
      <c r="G364" s="5"/>
    </row>
    <row r="365" spans="5:7" ht="13.2">
      <c r="E365" s="5"/>
      <c r="G365" s="5"/>
    </row>
    <row r="366" spans="5:7" ht="13.2">
      <c r="E366" s="5"/>
      <c r="G366" s="5"/>
    </row>
    <row r="367" spans="5:7" ht="13.2">
      <c r="E367" s="5"/>
      <c r="G367" s="5"/>
    </row>
    <row r="368" spans="5:7" ht="13.2">
      <c r="E368" s="5"/>
      <c r="G368" s="5"/>
    </row>
    <row r="369" spans="5:7" ht="13.2">
      <c r="E369" s="5"/>
      <c r="G369" s="5"/>
    </row>
    <row r="370" spans="5:7" ht="13.2">
      <c r="E370" s="5"/>
      <c r="G370" s="5"/>
    </row>
    <row r="371" spans="5:7" ht="13.2">
      <c r="E371" s="5"/>
      <c r="G371" s="5"/>
    </row>
    <row r="372" spans="5:7" ht="13.2">
      <c r="E372" s="5"/>
      <c r="G372" s="5"/>
    </row>
    <row r="373" spans="5:7" ht="13.2">
      <c r="E373" s="5"/>
      <c r="G373" s="5"/>
    </row>
    <row r="374" spans="5:7" ht="13.2">
      <c r="E374" s="5"/>
      <c r="G374" s="5"/>
    </row>
    <row r="375" spans="5:7" ht="13.2">
      <c r="E375" s="5"/>
      <c r="G375" s="5"/>
    </row>
    <row r="376" spans="5:7" ht="13.2">
      <c r="E376" s="5"/>
      <c r="G376" s="5"/>
    </row>
    <row r="377" spans="5:7" ht="13.2">
      <c r="E377" s="5"/>
      <c r="G377" s="5"/>
    </row>
    <row r="378" spans="5:7" ht="13.2">
      <c r="E378" s="5"/>
      <c r="G378" s="5"/>
    </row>
    <row r="379" spans="5:7" ht="13.2">
      <c r="E379" s="5"/>
      <c r="G379" s="5"/>
    </row>
    <row r="380" spans="5:7" ht="13.2">
      <c r="E380" s="5"/>
      <c r="G380" s="5"/>
    </row>
    <row r="381" spans="5:7" ht="13.2">
      <c r="E381" s="5"/>
      <c r="G381" s="5"/>
    </row>
    <row r="382" spans="5:7" ht="13.2">
      <c r="E382" s="5"/>
      <c r="G382" s="5"/>
    </row>
    <row r="383" spans="5:7" ht="13.2">
      <c r="E383" s="5"/>
      <c r="G383" s="5"/>
    </row>
    <row r="384" spans="5:7" ht="13.2">
      <c r="E384" s="5"/>
      <c r="G384" s="5"/>
    </row>
    <row r="385" spans="5:7" ht="13.2">
      <c r="E385" s="5"/>
      <c r="G385" s="5"/>
    </row>
    <row r="386" spans="5:7" ht="13.2">
      <c r="E386" s="5"/>
      <c r="G386" s="5"/>
    </row>
    <row r="387" spans="5:7" ht="13.2">
      <c r="E387" s="5"/>
      <c r="G387" s="5"/>
    </row>
    <row r="388" spans="5:7" ht="13.2">
      <c r="E388" s="5"/>
      <c r="G388" s="5"/>
    </row>
    <row r="389" spans="5:7" ht="13.2">
      <c r="E389" s="5"/>
      <c r="G389" s="5"/>
    </row>
    <row r="390" spans="5:7" ht="13.2">
      <c r="E390" s="5"/>
      <c r="G390" s="5"/>
    </row>
    <row r="391" spans="5:7" ht="13.2">
      <c r="E391" s="5"/>
      <c r="G391" s="5"/>
    </row>
    <row r="392" spans="5:7" ht="13.2">
      <c r="E392" s="5"/>
      <c r="G392" s="5"/>
    </row>
    <row r="393" spans="5:7" ht="13.2">
      <c r="E393" s="5"/>
      <c r="G393" s="5"/>
    </row>
    <row r="394" spans="5:7" ht="13.2">
      <c r="E394" s="5"/>
      <c r="G394" s="5"/>
    </row>
    <row r="395" spans="5:7" ht="13.2">
      <c r="E395" s="5"/>
      <c r="G395" s="5"/>
    </row>
    <row r="396" spans="5:7" ht="13.2">
      <c r="E396" s="5"/>
      <c r="G396" s="5"/>
    </row>
    <row r="397" spans="5:7" ht="13.2">
      <c r="E397" s="5"/>
      <c r="G397" s="5"/>
    </row>
    <row r="398" spans="5:7" ht="13.2">
      <c r="E398" s="5"/>
      <c r="G398" s="5"/>
    </row>
    <row r="399" spans="5:7" ht="13.2">
      <c r="E399" s="5"/>
      <c r="G399" s="5"/>
    </row>
    <row r="400" spans="5:7" ht="13.2">
      <c r="E400" s="5"/>
      <c r="G400" s="5"/>
    </row>
    <row r="401" spans="5:7" ht="13.2">
      <c r="E401" s="5"/>
      <c r="G401" s="5"/>
    </row>
    <row r="402" spans="5:7" ht="13.2">
      <c r="E402" s="5"/>
      <c r="G402" s="5"/>
    </row>
    <row r="403" spans="5:7" ht="13.2">
      <c r="E403" s="5"/>
      <c r="G403" s="5"/>
    </row>
    <row r="404" spans="5:7" ht="13.2">
      <c r="E404" s="5"/>
      <c r="G404" s="5"/>
    </row>
    <row r="405" spans="5:7" ht="13.2">
      <c r="E405" s="5"/>
      <c r="G405" s="5"/>
    </row>
    <row r="406" spans="5:7" ht="13.2">
      <c r="E406" s="5"/>
      <c r="G406" s="5"/>
    </row>
    <row r="407" spans="5:7" ht="13.2">
      <c r="E407" s="5"/>
      <c r="G407" s="5"/>
    </row>
    <row r="408" spans="5:7" ht="13.2">
      <c r="E408" s="5"/>
      <c r="G408" s="5"/>
    </row>
    <row r="409" spans="5:7" ht="13.2">
      <c r="E409" s="5"/>
      <c r="G409" s="5"/>
    </row>
    <row r="410" spans="5:7" ht="13.2">
      <c r="E410" s="5"/>
      <c r="G410" s="5"/>
    </row>
    <row r="411" spans="5:7" ht="13.2">
      <c r="E411" s="5"/>
      <c r="G411" s="5"/>
    </row>
    <row r="412" spans="5:7" ht="13.2">
      <c r="E412" s="5"/>
      <c r="G412" s="5"/>
    </row>
    <row r="413" spans="5:7" ht="13.2">
      <c r="E413" s="5"/>
      <c r="G413" s="5"/>
    </row>
    <row r="414" spans="5:7" ht="13.2">
      <c r="E414" s="5"/>
      <c r="G414" s="5"/>
    </row>
    <row r="415" spans="5:7" ht="13.2">
      <c r="E415" s="5"/>
      <c r="G415" s="5"/>
    </row>
    <row r="416" spans="5:7" ht="13.2">
      <c r="E416" s="5"/>
      <c r="G416" s="5"/>
    </row>
    <row r="417" spans="5:7" ht="13.2">
      <c r="E417" s="5"/>
      <c r="G417" s="5"/>
    </row>
    <row r="418" spans="5:7" ht="13.2">
      <c r="E418" s="5"/>
      <c r="G418" s="5"/>
    </row>
    <row r="419" spans="5:7" ht="13.2">
      <c r="E419" s="5"/>
      <c r="G419" s="5"/>
    </row>
    <row r="420" spans="5:7" ht="13.2">
      <c r="E420" s="5"/>
      <c r="G420" s="5"/>
    </row>
    <row r="421" spans="5:7" ht="13.2">
      <c r="E421" s="5"/>
      <c r="G421" s="5"/>
    </row>
    <row r="422" spans="5:7" ht="13.2">
      <c r="E422" s="5"/>
      <c r="G422" s="5"/>
    </row>
    <row r="423" spans="5:7" ht="13.2">
      <c r="E423" s="5"/>
      <c r="G423" s="5"/>
    </row>
    <row r="424" spans="5:7" ht="13.2">
      <c r="E424" s="5"/>
      <c r="G424" s="5"/>
    </row>
    <row r="425" spans="5:7" ht="13.2">
      <c r="E425" s="5"/>
      <c r="G425" s="5"/>
    </row>
    <row r="426" spans="5:7" ht="13.2">
      <c r="E426" s="5"/>
      <c r="G426" s="5"/>
    </row>
    <row r="427" spans="5:7" ht="13.2">
      <c r="E427" s="5"/>
      <c r="G427" s="5"/>
    </row>
    <row r="428" spans="5:7" ht="13.2">
      <c r="E428" s="5"/>
      <c r="G428" s="5"/>
    </row>
    <row r="429" spans="5:7" ht="13.2">
      <c r="E429" s="5"/>
      <c r="G429" s="5"/>
    </row>
    <row r="430" spans="5:7" ht="13.2">
      <c r="E430" s="5"/>
      <c r="G430" s="5"/>
    </row>
    <row r="431" spans="5:7" ht="13.2">
      <c r="E431" s="5"/>
      <c r="G431" s="5"/>
    </row>
    <row r="432" spans="5:7" ht="13.2">
      <c r="E432" s="5"/>
      <c r="G432" s="5"/>
    </row>
    <row r="433" spans="5:7" ht="13.2">
      <c r="E433" s="5"/>
      <c r="G433" s="5"/>
    </row>
    <row r="434" spans="5:7" ht="13.2">
      <c r="E434" s="5"/>
      <c r="G434" s="5"/>
    </row>
    <row r="435" spans="5:7" ht="13.2">
      <c r="E435" s="5"/>
      <c r="G435" s="5"/>
    </row>
    <row r="436" spans="5:7" ht="13.2">
      <c r="E436" s="5"/>
      <c r="G436" s="5"/>
    </row>
    <row r="437" spans="5:7" ht="13.2">
      <c r="E437" s="5"/>
      <c r="G437" s="5"/>
    </row>
    <row r="438" spans="5:7" ht="13.2">
      <c r="E438" s="5"/>
      <c r="G438" s="5"/>
    </row>
    <row r="439" spans="5:7" ht="13.2">
      <c r="E439" s="5"/>
      <c r="G439" s="5"/>
    </row>
    <row r="440" spans="5:7" ht="13.2">
      <c r="E440" s="5"/>
      <c r="G440" s="5"/>
    </row>
    <row r="441" spans="5:7" ht="13.2">
      <c r="E441" s="5"/>
      <c r="G441" s="5"/>
    </row>
    <row r="442" spans="5:7" ht="13.2">
      <c r="E442" s="5"/>
      <c r="G442" s="5"/>
    </row>
    <row r="443" spans="5:7" ht="13.2">
      <c r="E443" s="5"/>
      <c r="G443" s="5"/>
    </row>
    <row r="444" spans="5:7" ht="13.2">
      <c r="E444" s="5"/>
      <c r="G444" s="5"/>
    </row>
    <row r="445" spans="5:7" ht="13.2">
      <c r="E445" s="5"/>
      <c r="G445" s="5"/>
    </row>
    <row r="446" spans="5:7" ht="13.2">
      <c r="E446" s="5"/>
      <c r="G446" s="5"/>
    </row>
    <row r="447" spans="5:7" ht="13.2">
      <c r="E447" s="5"/>
      <c r="G447" s="5"/>
    </row>
    <row r="448" spans="5:7" ht="13.2">
      <c r="E448" s="5"/>
      <c r="G448" s="5"/>
    </row>
    <row r="449" spans="5:7" ht="13.2">
      <c r="E449" s="5"/>
      <c r="G449" s="5"/>
    </row>
    <row r="450" spans="5:7" ht="13.2">
      <c r="E450" s="5"/>
      <c r="G450" s="5"/>
    </row>
    <row r="451" spans="5:7" ht="13.2">
      <c r="E451" s="5"/>
      <c r="G451" s="5"/>
    </row>
    <row r="452" spans="5:7" ht="13.2">
      <c r="E452" s="5"/>
      <c r="G452" s="5"/>
    </row>
    <row r="453" spans="5:7" ht="13.2">
      <c r="E453" s="5"/>
      <c r="G453" s="5"/>
    </row>
    <row r="454" spans="5:7" ht="13.2">
      <c r="E454" s="5"/>
      <c r="G454" s="5"/>
    </row>
    <row r="455" spans="5:7" ht="13.2">
      <c r="E455" s="5"/>
      <c r="G455" s="5"/>
    </row>
    <row r="456" spans="5:7" ht="13.2">
      <c r="E456" s="5"/>
      <c r="G456" s="5"/>
    </row>
    <row r="457" spans="5:7" ht="13.2">
      <c r="E457" s="5"/>
      <c r="G457" s="5"/>
    </row>
    <row r="458" spans="5:7" ht="13.2">
      <c r="E458" s="5"/>
      <c r="G458" s="5"/>
    </row>
    <row r="459" spans="5:7" ht="13.2">
      <c r="E459" s="5"/>
      <c r="G459" s="5"/>
    </row>
    <row r="460" spans="5:7" ht="13.2">
      <c r="E460" s="5"/>
      <c r="G460" s="5"/>
    </row>
    <row r="461" spans="5:7" ht="13.2">
      <c r="E461" s="5"/>
      <c r="G461" s="5"/>
    </row>
    <row r="462" spans="5:7" ht="13.2">
      <c r="E462" s="5"/>
      <c r="G462" s="5"/>
    </row>
    <row r="463" spans="5:7" ht="13.2">
      <c r="E463" s="5"/>
      <c r="G463" s="5"/>
    </row>
    <row r="464" spans="5:7" ht="13.2">
      <c r="E464" s="5"/>
      <c r="G464" s="5"/>
    </row>
    <row r="465" spans="5:7" ht="13.2">
      <c r="E465" s="5"/>
      <c r="G465" s="5"/>
    </row>
    <row r="466" spans="5:7" ht="13.2">
      <c r="E466" s="5"/>
      <c r="G466" s="5"/>
    </row>
    <row r="467" spans="5:7" ht="13.2">
      <c r="E467" s="5"/>
      <c r="G467" s="5"/>
    </row>
    <row r="468" spans="5:7" ht="13.2">
      <c r="E468" s="5"/>
      <c r="G468" s="5"/>
    </row>
    <row r="469" spans="5:7" ht="13.2">
      <c r="E469" s="5"/>
      <c r="G469" s="5"/>
    </row>
    <row r="470" spans="5:7" ht="13.2">
      <c r="E470" s="5"/>
      <c r="G470" s="5"/>
    </row>
    <row r="471" spans="5:7" ht="13.2">
      <c r="E471" s="5"/>
      <c r="G471" s="5"/>
    </row>
    <row r="472" spans="5:7" ht="13.2">
      <c r="E472" s="5"/>
      <c r="G472" s="5"/>
    </row>
    <row r="473" spans="5:7" ht="13.2">
      <c r="E473" s="5"/>
      <c r="G473" s="5"/>
    </row>
    <row r="474" spans="5:7" ht="13.2">
      <c r="E474" s="5"/>
      <c r="G474" s="5"/>
    </row>
    <row r="475" spans="5:7" ht="13.2">
      <c r="E475" s="5"/>
      <c r="G475" s="5"/>
    </row>
    <row r="476" spans="5:7" ht="13.2">
      <c r="E476" s="5"/>
      <c r="G476" s="5"/>
    </row>
    <row r="477" spans="5:7" ht="13.2">
      <c r="E477" s="5"/>
      <c r="G477" s="5"/>
    </row>
    <row r="478" spans="5:7" ht="13.2">
      <c r="E478" s="5"/>
      <c r="G478" s="5"/>
    </row>
    <row r="479" spans="5:7" ht="13.2">
      <c r="E479" s="5"/>
      <c r="G479" s="5"/>
    </row>
    <row r="480" spans="5:7" ht="13.2">
      <c r="E480" s="5"/>
      <c r="G480" s="5"/>
    </row>
    <row r="481" spans="5:7" ht="13.2">
      <c r="E481" s="5"/>
      <c r="G481" s="5"/>
    </row>
    <row r="482" spans="5:7" ht="13.2">
      <c r="E482" s="5"/>
      <c r="G482" s="5"/>
    </row>
    <row r="483" spans="5:7" ht="13.2">
      <c r="E483" s="5"/>
      <c r="G483" s="5"/>
    </row>
    <row r="484" spans="5:7" ht="13.2">
      <c r="E484" s="5"/>
      <c r="G484" s="5"/>
    </row>
    <row r="485" spans="5:7" ht="13.2">
      <c r="E485" s="5"/>
      <c r="G485" s="5"/>
    </row>
    <row r="486" spans="5:7" ht="13.2">
      <c r="E486" s="5"/>
      <c r="G486" s="5"/>
    </row>
    <row r="487" spans="5:7" ht="13.2">
      <c r="E487" s="5"/>
      <c r="G487" s="5"/>
    </row>
    <row r="488" spans="5:7" ht="13.2">
      <c r="E488" s="5"/>
      <c r="G488" s="5"/>
    </row>
    <row r="489" spans="5:7" ht="13.2">
      <c r="E489" s="5"/>
      <c r="G489" s="5"/>
    </row>
    <row r="490" spans="5:7" ht="13.2">
      <c r="E490" s="5"/>
      <c r="G490" s="5"/>
    </row>
    <row r="491" spans="5:7" ht="13.2">
      <c r="E491" s="5"/>
      <c r="G491" s="5"/>
    </row>
    <row r="492" spans="5:7" ht="13.2">
      <c r="E492" s="5"/>
      <c r="G492" s="5"/>
    </row>
    <row r="493" spans="5:7" ht="13.2">
      <c r="E493" s="5"/>
      <c r="G493" s="5"/>
    </row>
    <row r="494" spans="5:7" ht="13.2">
      <c r="E494" s="5"/>
      <c r="G494" s="5"/>
    </row>
    <row r="495" spans="5:7" ht="13.2">
      <c r="E495" s="5"/>
      <c r="G495" s="5"/>
    </row>
    <row r="496" spans="5:7" ht="13.2">
      <c r="E496" s="5"/>
      <c r="G496" s="5"/>
    </row>
    <row r="497" spans="5:7" ht="13.2">
      <c r="E497" s="5"/>
      <c r="G497" s="5"/>
    </row>
    <row r="498" spans="5:7" ht="13.2">
      <c r="E498" s="5"/>
      <c r="G498" s="5"/>
    </row>
    <row r="499" spans="5:7" ht="13.2">
      <c r="E499" s="5"/>
      <c r="G499" s="5"/>
    </row>
    <row r="500" spans="5:7" ht="13.2">
      <c r="E500" s="5"/>
      <c r="G500" s="5"/>
    </row>
    <row r="501" spans="5:7" ht="13.2">
      <c r="E501" s="5"/>
      <c r="G501" s="5"/>
    </row>
    <row r="502" spans="5:7" ht="13.2">
      <c r="E502" s="5"/>
      <c r="G502" s="5"/>
    </row>
    <row r="503" spans="5:7" ht="13.2">
      <c r="E503" s="5"/>
      <c r="G503" s="5"/>
    </row>
    <row r="504" spans="5:7" ht="13.2">
      <c r="E504" s="5"/>
      <c r="G504" s="5"/>
    </row>
    <row r="505" spans="5:7" ht="13.2">
      <c r="E505" s="5"/>
      <c r="G505" s="5"/>
    </row>
    <row r="506" spans="5:7" ht="13.2">
      <c r="E506" s="5"/>
      <c r="G506" s="5"/>
    </row>
    <row r="507" spans="5:7" ht="13.2">
      <c r="E507" s="5"/>
      <c r="G507" s="5"/>
    </row>
    <row r="508" spans="5:7" ht="13.2">
      <c r="E508" s="5"/>
      <c r="G508" s="5"/>
    </row>
    <row r="509" spans="5:7" ht="13.2">
      <c r="E509" s="5"/>
      <c r="G509" s="5"/>
    </row>
    <row r="510" spans="5:7" ht="13.2">
      <c r="E510" s="5"/>
      <c r="G510" s="5"/>
    </row>
    <row r="511" spans="5:7" ht="13.2">
      <c r="E511" s="5"/>
      <c r="G511" s="5"/>
    </row>
    <row r="512" spans="5:7" ht="13.2">
      <c r="E512" s="5"/>
      <c r="G512" s="5"/>
    </row>
    <row r="513" spans="5:7" ht="13.2">
      <c r="E513" s="5"/>
      <c r="G513" s="5"/>
    </row>
    <row r="514" spans="5:7" ht="13.2">
      <c r="E514" s="5"/>
      <c r="G514" s="5"/>
    </row>
    <row r="515" spans="5:7" ht="13.2">
      <c r="E515" s="5"/>
      <c r="G515" s="5"/>
    </row>
    <row r="516" spans="5:7" ht="13.2">
      <c r="E516" s="5"/>
      <c r="G516" s="5"/>
    </row>
    <row r="517" spans="5:7" ht="13.2">
      <c r="E517" s="5"/>
      <c r="G517" s="5"/>
    </row>
    <row r="518" spans="5:7" ht="13.2">
      <c r="E518" s="5"/>
      <c r="G518" s="5"/>
    </row>
    <row r="519" spans="5:7" ht="13.2">
      <c r="E519" s="5"/>
      <c r="G519" s="5"/>
    </row>
    <row r="520" spans="5:7" ht="13.2">
      <c r="E520" s="5"/>
      <c r="G520" s="5"/>
    </row>
    <row r="521" spans="5:7" ht="13.2">
      <c r="E521" s="5"/>
      <c r="G521" s="5"/>
    </row>
    <row r="522" spans="5:7" ht="13.2">
      <c r="E522" s="5"/>
      <c r="G522" s="5"/>
    </row>
    <row r="523" spans="5:7" ht="13.2">
      <c r="E523" s="5"/>
      <c r="G523" s="5"/>
    </row>
    <row r="524" spans="5:7" ht="13.2">
      <c r="E524" s="5"/>
      <c r="G524" s="5"/>
    </row>
    <row r="525" spans="5:7" ht="13.2">
      <c r="E525" s="5"/>
      <c r="G525" s="5"/>
    </row>
    <row r="526" spans="5:7" ht="13.2">
      <c r="E526" s="5"/>
      <c r="G526" s="5"/>
    </row>
    <row r="527" spans="5:7" ht="13.2">
      <c r="E527" s="5"/>
      <c r="G527" s="5"/>
    </row>
    <row r="528" spans="5:7" ht="13.2">
      <c r="E528" s="5"/>
      <c r="G528" s="5"/>
    </row>
    <row r="529" spans="5:7" ht="13.2">
      <c r="E529" s="5"/>
      <c r="G529" s="5"/>
    </row>
    <row r="530" spans="5:7" ht="13.2">
      <c r="E530" s="5"/>
      <c r="G530" s="5"/>
    </row>
    <row r="531" spans="5:7" ht="13.2">
      <c r="E531" s="5"/>
      <c r="G531" s="5"/>
    </row>
    <row r="532" spans="5:7" ht="13.2">
      <c r="E532" s="5"/>
      <c r="G532" s="5"/>
    </row>
    <row r="533" spans="5:7" ht="13.2">
      <c r="E533" s="5"/>
      <c r="G533" s="5"/>
    </row>
    <row r="534" spans="5:7" ht="13.2">
      <c r="E534" s="5"/>
      <c r="G534" s="5"/>
    </row>
    <row r="535" spans="5:7" ht="13.2">
      <c r="E535" s="5"/>
      <c r="G535" s="5"/>
    </row>
    <row r="536" spans="5:7" ht="13.2">
      <c r="E536" s="5"/>
      <c r="G536" s="5"/>
    </row>
    <row r="537" spans="5:7" ht="13.2">
      <c r="E537" s="5"/>
      <c r="G537" s="5"/>
    </row>
    <row r="538" spans="5:7" ht="13.2">
      <c r="E538" s="5"/>
      <c r="G538" s="5"/>
    </row>
    <row r="539" spans="5:7" ht="13.2">
      <c r="E539" s="5"/>
      <c r="G539" s="5"/>
    </row>
    <row r="540" spans="5:7" ht="13.2">
      <c r="E540" s="5"/>
      <c r="G540" s="5"/>
    </row>
    <row r="541" spans="5:7" ht="13.2">
      <c r="E541" s="5"/>
      <c r="G541" s="5"/>
    </row>
    <row r="542" spans="5:7" ht="13.2">
      <c r="E542" s="5"/>
      <c r="G542" s="5"/>
    </row>
    <row r="543" spans="5:7" ht="13.2">
      <c r="E543" s="5"/>
      <c r="G543" s="5"/>
    </row>
    <row r="544" spans="5:7" ht="13.2">
      <c r="E544" s="5"/>
      <c r="G544" s="5"/>
    </row>
    <row r="545" spans="5:7" ht="13.2">
      <c r="E545" s="5"/>
      <c r="G545" s="5"/>
    </row>
    <row r="546" spans="5:7" ht="13.2">
      <c r="E546" s="5"/>
      <c r="G546" s="5"/>
    </row>
    <row r="547" spans="5:7" ht="13.2">
      <c r="E547" s="5"/>
      <c r="G547" s="5"/>
    </row>
    <row r="548" spans="5:7" ht="13.2">
      <c r="E548" s="5"/>
      <c r="G548" s="5"/>
    </row>
    <row r="549" spans="5:7" ht="13.2">
      <c r="E549" s="5"/>
      <c r="G549" s="5"/>
    </row>
    <row r="550" spans="5:7" ht="13.2">
      <c r="E550" s="5"/>
      <c r="G550" s="5"/>
    </row>
    <row r="551" spans="5:7" ht="13.2">
      <c r="E551" s="5"/>
      <c r="G551" s="5"/>
    </row>
    <row r="552" spans="5:7" ht="13.2">
      <c r="E552" s="5"/>
      <c r="G552" s="5"/>
    </row>
    <row r="553" spans="5:7" ht="13.2">
      <c r="E553" s="5"/>
      <c r="G553" s="5"/>
    </row>
    <row r="554" spans="5:7" ht="13.2">
      <c r="E554" s="5"/>
      <c r="G554" s="5"/>
    </row>
    <row r="555" spans="5:7" ht="13.2">
      <c r="E555" s="5"/>
      <c r="G555" s="5"/>
    </row>
    <row r="556" spans="5:7" ht="13.2">
      <c r="E556" s="5"/>
      <c r="G556" s="5"/>
    </row>
    <row r="557" spans="5:7" ht="13.2">
      <c r="E557" s="5"/>
      <c r="G557" s="5"/>
    </row>
    <row r="558" spans="5:7" ht="13.2">
      <c r="E558" s="5"/>
      <c r="G558" s="5"/>
    </row>
    <row r="559" spans="5:7" ht="13.2">
      <c r="E559" s="5"/>
      <c r="G559" s="5"/>
    </row>
    <row r="560" spans="5:7" ht="13.2">
      <c r="E560" s="5"/>
      <c r="G560" s="5"/>
    </row>
    <row r="561" spans="5:7" ht="13.2">
      <c r="E561" s="5"/>
      <c r="G561" s="5"/>
    </row>
    <row r="562" spans="5:7" ht="13.2">
      <c r="E562" s="5"/>
      <c r="G562" s="5"/>
    </row>
    <row r="563" spans="5:7" ht="13.2">
      <c r="E563" s="5"/>
      <c r="G563" s="5"/>
    </row>
    <row r="564" spans="5:7" ht="13.2">
      <c r="E564" s="5"/>
      <c r="G564" s="5"/>
    </row>
    <row r="565" spans="5:7" ht="13.2">
      <c r="E565" s="5"/>
      <c r="G565" s="5"/>
    </row>
    <row r="566" spans="5:7" ht="13.2">
      <c r="E566" s="5"/>
      <c r="G566" s="5"/>
    </row>
    <row r="567" spans="5:7" ht="13.2">
      <c r="E567" s="5"/>
      <c r="G567" s="5"/>
    </row>
    <row r="568" spans="5:7" ht="13.2">
      <c r="E568" s="5"/>
      <c r="G568" s="5"/>
    </row>
    <row r="569" spans="5:7" ht="13.2">
      <c r="E569" s="5"/>
      <c r="G569" s="5"/>
    </row>
    <row r="570" spans="5:7" ht="13.2">
      <c r="E570" s="5"/>
      <c r="G570" s="5"/>
    </row>
    <row r="571" spans="5:7" ht="13.2">
      <c r="E571" s="5"/>
      <c r="G571" s="5"/>
    </row>
    <row r="572" spans="5:7" ht="13.2">
      <c r="E572" s="5"/>
      <c r="G572" s="5"/>
    </row>
    <row r="573" spans="5:7" ht="13.2">
      <c r="E573" s="5"/>
      <c r="G573" s="5"/>
    </row>
    <row r="574" spans="5:7" ht="13.2">
      <c r="E574" s="5"/>
      <c r="G574" s="5"/>
    </row>
    <row r="575" spans="5:7" ht="13.2">
      <c r="E575" s="5"/>
      <c r="G575" s="5"/>
    </row>
    <row r="576" spans="5:7" ht="13.2">
      <c r="E576" s="5"/>
      <c r="G576" s="5"/>
    </row>
    <row r="577" spans="5:7" ht="13.2">
      <c r="E577" s="5"/>
      <c r="G577" s="5"/>
    </row>
    <row r="578" spans="5:7" ht="13.2">
      <c r="E578" s="5"/>
      <c r="G578" s="5"/>
    </row>
    <row r="579" spans="5:7" ht="13.2">
      <c r="E579" s="5"/>
      <c r="G579" s="5"/>
    </row>
    <row r="580" spans="5:7" ht="13.2">
      <c r="E580" s="5"/>
      <c r="G580" s="5"/>
    </row>
    <row r="581" spans="5:7" ht="13.2">
      <c r="E581" s="5"/>
      <c r="G581" s="5"/>
    </row>
    <row r="582" spans="5:7" ht="13.2">
      <c r="E582" s="5"/>
      <c r="G582" s="5"/>
    </row>
    <row r="583" spans="5:7" ht="13.2">
      <c r="E583" s="5"/>
      <c r="G583" s="5"/>
    </row>
    <row r="584" spans="5:7" ht="13.2">
      <c r="E584" s="5"/>
      <c r="G584" s="5"/>
    </row>
    <row r="585" spans="5:7" ht="13.2">
      <c r="E585" s="5"/>
      <c r="G585" s="5"/>
    </row>
    <row r="586" spans="5:7" ht="13.2">
      <c r="E586" s="5"/>
      <c r="G586" s="5"/>
    </row>
    <row r="587" spans="5:7" ht="13.2">
      <c r="E587" s="5"/>
      <c r="G587" s="5"/>
    </row>
    <row r="588" spans="5:7" ht="13.2">
      <c r="E588" s="5"/>
      <c r="G588" s="5"/>
    </row>
    <row r="589" spans="5:7" ht="13.2">
      <c r="E589" s="5"/>
      <c r="G589" s="5"/>
    </row>
    <row r="590" spans="5:7" ht="13.2">
      <c r="E590" s="5"/>
      <c r="G590" s="5"/>
    </row>
    <row r="591" spans="5:7" ht="13.2">
      <c r="E591" s="5"/>
      <c r="G591" s="5"/>
    </row>
    <row r="592" spans="5:7" ht="13.2">
      <c r="E592" s="5"/>
      <c r="G592" s="5"/>
    </row>
    <row r="593" spans="5:7" ht="13.2">
      <c r="E593" s="5"/>
      <c r="G593" s="5"/>
    </row>
    <row r="594" spans="5:7" ht="13.2">
      <c r="E594" s="5"/>
      <c r="G594" s="5"/>
    </row>
    <row r="595" spans="5:7" ht="13.2">
      <c r="E595" s="5"/>
      <c r="G595" s="5"/>
    </row>
    <row r="596" spans="5:7" ht="13.2">
      <c r="E596" s="5"/>
      <c r="G596" s="5"/>
    </row>
    <row r="597" spans="5:7" ht="13.2">
      <c r="E597" s="5"/>
      <c r="G597" s="5"/>
    </row>
    <row r="598" spans="5:7" ht="13.2">
      <c r="E598" s="5"/>
      <c r="G598" s="5"/>
    </row>
    <row r="599" spans="5:7" ht="13.2">
      <c r="E599" s="5"/>
      <c r="G599" s="5"/>
    </row>
    <row r="600" spans="5:7" ht="13.2">
      <c r="E600" s="5"/>
      <c r="G600" s="5"/>
    </row>
    <row r="601" spans="5:7" ht="13.2">
      <c r="E601" s="5"/>
      <c r="G601" s="5"/>
    </row>
    <row r="602" spans="5:7" ht="13.2">
      <c r="E602" s="5"/>
      <c r="G602" s="5"/>
    </row>
    <row r="603" spans="5:7" ht="13.2">
      <c r="E603" s="5"/>
      <c r="G603" s="5"/>
    </row>
    <row r="604" spans="5:7" ht="13.2">
      <c r="E604" s="5"/>
      <c r="G604" s="5"/>
    </row>
    <row r="605" spans="5:7" ht="13.2">
      <c r="E605" s="5"/>
      <c r="G605" s="5"/>
    </row>
    <row r="606" spans="5:7" ht="13.2">
      <c r="E606" s="5"/>
      <c r="G606" s="5"/>
    </row>
    <row r="607" spans="5:7" ht="13.2">
      <c r="E607" s="5"/>
      <c r="G607" s="5"/>
    </row>
    <row r="608" spans="5:7" ht="13.2">
      <c r="E608" s="5"/>
      <c r="G608" s="5"/>
    </row>
    <row r="609" spans="5:7" ht="13.2">
      <c r="E609" s="5"/>
      <c r="G609" s="5"/>
    </row>
    <row r="610" spans="5:7" ht="13.2">
      <c r="E610" s="5"/>
      <c r="G610" s="5"/>
    </row>
    <row r="611" spans="5:7" ht="13.2">
      <c r="E611" s="5"/>
      <c r="G611" s="5"/>
    </row>
    <row r="612" spans="5:7" ht="13.2">
      <c r="E612" s="5"/>
      <c r="G612" s="5"/>
    </row>
    <row r="613" spans="5:7" ht="13.2">
      <c r="E613" s="5"/>
      <c r="G613" s="5"/>
    </row>
    <row r="614" spans="5:7" ht="13.2">
      <c r="E614" s="5"/>
      <c r="G614" s="5"/>
    </row>
    <row r="615" spans="5:7" ht="13.2">
      <c r="E615" s="5"/>
      <c r="G615" s="5"/>
    </row>
    <row r="616" spans="5:7" ht="13.2">
      <c r="E616" s="5"/>
      <c r="G616" s="5"/>
    </row>
    <row r="617" spans="5:7" ht="13.2">
      <c r="E617" s="5"/>
      <c r="G617" s="5"/>
    </row>
    <row r="618" spans="5:7" ht="13.2">
      <c r="E618" s="5"/>
      <c r="G618" s="5"/>
    </row>
    <row r="619" spans="5:7" ht="13.2">
      <c r="E619" s="5"/>
      <c r="G619" s="5"/>
    </row>
    <row r="620" spans="5:7" ht="13.2">
      <c r="E620" s="5"/>
      <c r="G620" s="5"/>
    </row>
    <row r="621" spans="5:7" ht="13.2">
      <c r="E621" s="5"/>
      <c r="G621" s="5"/>
    </row>
    <row r="622" spans="5:7" ht="13.2">
      <c r="E622" s="5"/>
      <c r="G622" s="5"/>
    </row>
    <row r="623" spans="5:7" ht="13.2">
      <c r="E623" s="5"/>
      <c r="G623" s="5"/>
    </row>
    <row r="624" spans="5:7" ht="13.2">
      <c r="E624" s="5"/>
      <c r="G624" s="5"/>
    </row>
    <row r="625" spans="5:7" ht="13.2">
      <c r="E625" s="5"/>
      <c r="G625" s="5"/>
    </row>
    <row r="626" spans="5:7" ht="13.2">
      <c r="E626" s="5"/>
      <c r="G626" s="5"/>
    </row>
    <row r="627" spans="5:7" ht="13.2">
      <c r="E627" s="5"/>
      <c r="G627" s="5"/>
    </row>
    <row r="628" spans="5:7" ht="13.2">
      <c r="E628" s="5"/>
      <c r="G628" s="5"/>
    </row>
    <row r="629" spans="5:7" ht="13.2">
      <c r="E629" s="5"/>
      <c r="G629" s="5"/>
    </row>
    <row r="630" spans="5:7" ht="13.2">
      <c r="E630" s="5"/>
      <c r="G630" s="5"/>
    </row>
    <row r="631" spans="5:7" ht="13.2">
      <c r="E631" s="5"/>
      <c r="G631" s="5"/>
    </row>
    <row r="632" spans="5:7" ht="13.2">
      <c r="E632" s="5"/>
      <c r="G632" s="5"/>
    </row>
    <row r="633" spans="5:7" ht="13.2">
      <c r="E633" s="5"/>
      <c r="G633" s="5"/>
    </row>
    <row r="634" spans="5:7" ht="13.2">
      <c r="E634" s="5"/>
      <c r="G634" s="5"/>
    </row>
    <row r="635" spans="5:7" ht="13.2">
      <c r="E635" s="5"/>
      <c r="G635" s="5"/>
    </row>
    <row r="636" spans="5:7" ht="13.2">
      <c r="E636" s="5"/>
      <c r="G636" s="5"/>
    </row>
    <row r="637" spans="5:7" ht="13.2">
      <c r="E637" s="5"/>
      <c r="G637" s="5"/>
    </row>
    <row r="638" spans="5:7" ht="13.2">
      <c r="E638" s="5"/>
      <c r="G638" s="5"/>
    </row>
    <row r="639" spans="5:7" ht="13.2">
      <c r="E639" s="5"/>
      <c r="G639" s="5"/>
    </row>
    <row r="640" spans="5:7" ht="13.2">
      <c r="E640" s="5"/>
      <c r="G640" s="5"/>
    </row>
    <row r="641" spans="5:7" ht="13.2">
      <c r="E641" s="5"/>
      <c r="G641" s="5"/>
    </row>
    <row r="642" spans="5:7" ht="13.2">
      <c r="E642" s="5"/>
      <c r="G642" s="5"/>
    </row>
    <row r="643" spans="5:7" ht="13.2">
      <c r="E643" s="5"/>
      <c r="G643" s="5"/>
    </row>
    <row r="644" spans="5:7" ht="13.2">
      <c r="E644" s="5"/>
      <c r="G644" s="5"/>
    </row>
    <row r="645" spans="5:7" ht="13.2">
      <c r="E645" s="5"/>
      <c r="G645" s="5"/>
    </row>
    <row r="646" spans="5:7" ht="13.2">
      <c r="E646" s="5"/>
      <c r="G646" s="5"/>
    </row>
    <row r="647" spans="5:7" ht="13.2">
      <c r="E647" s="5"/>
      <c r="G647" s="5"/>
    </row>
    <row r="648" spans="5:7" ht="13.2">
      <c r="E648" s="5"/>
      <c r="G648" s="5"/>
    </row>
    <row r="649" spans="5:7" ht="13.2">
      <c r="E649" s="5"/>
      <c r="G649" s="5"/>
    </row>
    <row r="650" spans="5:7" ht="13.2">
      <c r="E650" s="5"/>
      <c r="G650" s="5"/>
    </row>
    <row r="651" spans="5:7" ht="13.2">
      <c r="E651" s="5"/>
      <c r="G651" s="5"/>
    </row>
    <row r="652" spans="5:7" ht="13.2">
      <c r="E652" s="5"/>
      <c r="G652" s="5"/>
    </row>
    <row r="653" spans="5:7" ht="13.2">
      <c r="E653" s="5"/>
      <c r="G653" s="5"/>
    </row>
    <row r="654" spans="5:7" ht="13.2">
      <c r="E654" s="5"/>
      <c r="G654" s="5"/>
    </row>
    <row r="655" spans="5:7" ht="13.2">
      <c r="E655" s="5"/>
      <c r="G655" s="5"/>
    </row>
    <row r="656" spans="5:7" ht="13.2">
      <c r="E656" s="5"/>
      <c r="G656" s="5"/>
    </row>
    <row r="657" spans="5:7" ht="13.2">
      <c r="E657" s="5"/>
      <c r="G657" s="5"/>
    </row>
    <row r="658" spans="5:7" ht="13.2">
      <c r="E658" s="5"/>
      <c r="G658" s="5"/>
    </row>
    <row r="659" spans="5:7" ht="13.2">
      <c r="E659" s="5"/>
      <c r="G659" s="5"/>
    </row>
    <row r="660" spans="5:7" ht="13.2">
      <c r="E660" s="5"/>
      <c r="G660" s="5"/>
    </row>
    <row r="661" spans="5:7" ht="13.2">
      <c r="E661" s="5"/>
      <c r="G661" s="5"/>
    </row>
    <row r="662" spans="5:7" ht="13.2">
      <c r="E662" s="5"/>
      <c r="G662" s="5"/>
    </row>
    <row r="663" spans="5:7" ht="13.2">
      <c r="E663" s="5"/>
      <c r="G663" s="5"/>
    </row>
    <row r="664" spans="5:7" ht="13.2">
      <c r="E664" s="5"/>
      <c r="G664" s="5"/>
    </row>
    <row r="665" spans="5:7" ht="13.2">
      <c r="E665" s="5"/>
      <c r="G665" s="5"/>
    </row>
    <row r="666" spans="5:7" ht="13.2">
      <c r="E666" s="5"/>
      <c r="G666" s="5"/>
    </row>
    <row r="667" spans="5:7" ht="13.2">
      <c r="E667" s="5"/>
      <c r="G667" s="5"/>
    </row>
    <row r="668" spans="5:7" ht="13.2">
      <c r="E668" s="5"/>
      <c r="G668" s="5"/>
    </row>
    <row r="669" spans="5:7" ht="13.2">
      <c r="E669" s="5"/>
      <c r="G669" s="5"/>
    </row>
    <row r="670" spans="5:7" ht="13.2">
      <c r="E670" s="5"/>
      <c r="G670" s="5"/>
    </row>
    <row r="671" spans="5:7" ht="13.2">
      <c r="E671" s="5"/>
      <c r="G671" s="5"/>
    </row>
    <row r="672" spans="5:7" ht="13.2">
      <c r="E672" s="5"/>
      <c r="G672" s="5"/>
    </row>
    <row r="673" spans="5:7" ht="13.2">
      <c r="E673" s="5"/>
      <c r="G673" s="5"/>
    </row>
    <row r="674" spans="5:7" ht="13.2">
      <c r="E674" s="5"/>
      <c r="G674" s="5"/>
    </row>
    <row r="675" spans="5:7" ht="13.2">
      <c r="E675" s="5"/>
      <c r="G675" s="5"/>
    </row>
    <row r="676" spans="5:7" ht="13.2">
      <c r="E676" s="5"/>
      <c r="G676" s="5"/>
    </row>
    <row r="677" spans="5:7" ht="13.2">
      <c r="E677" s="5"/>
      <c r="G677" s="5"/>
    </row>
    <row r="678" spans="5:7" ht="13.2">
      <c r="E678" s="5"/>
      <c r="G678" s="5"/>
    </row>
    <row r="679" spans="5:7" ht="13.2">
      <c r="E679" s="5"/>
      <c r="G679" s="5"/>
    </row>
    <row r="680" spans="5:7" ht="13.2">
      <c r="E680" s="5"/>
      <c r="G680" s="5"/>
    </row>
    <row r="681" spans="5:7" ht="13.2">
      <c r="E681" s="5"/>
      <c r="G681" s="5"/>
    </row>
    <row r="682" spans="5:7" ht="13.2">
      <c r="E682" s="5"/>
      <c r="G682" s="5"/>
    </row>
    <row r="683" spans="5:7" ht="13.2">
      <c r="E683" s="5"/>
      <c r="G683" s="5"/>
    </row>
    <row r="684" spans="5:7" ht="13.2">
      <c r="E684" s="5"/>
      <c r="G684" s="5"/>
    </row>
    <row r="685" spans="5:7" ht="13.2">
      <c r="E685" s="5"/>
      <c r="G685" s="5"/>
    </row>
    <row r="686" spans="5:7" ht="13.2">
      <c r="E686" s="5"/>
      <c r="G686" s="5"/>
    </row>
    <row r="687" spans="5:7" ht="13.2">
      <c r="E687" s="5"/>
      <c r="G687" s="5"/>
    </row>
    <row r="688" spans="5:7" ht="13.2">
      <c r="E688" s="5"/>
      <c r="G688" s="5"/>
    </row>
    <row r="689" spans="5:7" ht="13.2">
      <c r="E689" s="5"/>
      <c r="G689" s="5"/>
    </row>
    <row r="690" spans="5:7" ht="13.2">
      <c r="E690" s="5"/>
      <c r="G690" s="5"/>
    </row>
    <row r="691" spans="5:7" ht="13.2">
      <c r="E691" s="5"/>
      <c r="G691" s="5"/>
    </row>
    <row r="692" spans="5:7" ht="13.2">
      <c r="E692" s="5"/>
      <c r="G692" s="5"/>
    </row>
    <row r="693" spans="5:7" ht="13.2">
      <c r="E693" s="5"/>
      <c r="G693" s="5"/>
    </row>
    <row r="694" spans="5:7" ht="13.2">
      <c r="E694" s="5"/>
      <c r="G694" s="5"/>
    </row>
    <row r="695" spans="5:7" ht="13.2">
      <c r="E695" s="5"/>
      <c r="G695" s="5"/>
    </row>
    <row r="696" spans="5:7" ht="13.2">
      <c r="E696" s="5"/>
      <c r="G696" s="5"/>
    </row>
    <row r="697" spans="5:7" ht="13.2">
      <c r="E697" s="5"/>
      <c r="G697" s="5"/>
    </row>
    <row r="698" spans="5:7" ht="13.2">
      <c r="E698" s="5"/>
      <c r="G698" s="5"/>
    </row>
    <row r="699" spans="5:7" ht="13.2">
      <c r="E699" s="5"/>
      <c r="G699" s="5"/>
    </row>
    <row r="700" spans="5:7" ht="13.2">
      <c r="E700" s="5"/>
      <c r="G700" s="5"/>
    </row>
    <row r="701" spans="5:7" ht="13.2">
      <c r="E701" s="5"/>
      <c r="G701" s="5"/>
    </row>
    <row r="702" spans="5:7" ht="13.2">
      <c r="E702" s="5"/>
      <c r="G702" s="5"/>
    </row>
    <row r="703" spans="5:7" ht="13.2">
      <c r="E703" s="5"/>
      <c r="G703" s="5"/>
    </row>
    <row r="704" spans="5:7" ht="13.2">
      <c r="E704" s="5"/>
      <c r="G704" s="5"/>
    </row>
    <row r="705" spans="5:7" ht="13.2">
      <c r="E705" s="5"/>
      <c r="G705" s="5"/>
    </row>
    <row r="706" spans="5:7" ht="13.2">
      <c r="E706" s="5"/>
      <c r="G706" s="5"/>
    </row>
    <row r="707" spans="5:7" ht="13.2">
      <c r="E707" s="5"/>
      <c r="G707" s="5"/>
    </row>
    <row r="708" spans="5:7" ht="13.2">
      <c r="E708" s="5"/>
      <c r="G708" s="5"/>
    </row>
    <row r="709" spans="5:7" ht="13.2">
      <c r="E709" s="5"/>
      <c r="G709" s="5"/>
    </row>
    <row r="710" spans="5:7" ht="13.2">
      <c r="E710" s="5"/>
      <c r="G710" s="5"/>
    </row>
    <row r="711" spans="5:7" ht="13.2">
      <c r="E711" s="5"/>
      <c r="G711" s="5"/>
    </row>
    <row r="712" spans="5:7" ht="13.2">
      <c r="E712" s="5"/>
      <c r="G712" s="5"/>
    </row>
    <row r="713" spans="5:7" ht="13.2">
      <c r="E713" s="5"/>
      <c r="G713" s="5"/>
    </row>
    <row r="714" spans="5:7" ht="13.2">
      <c r="E714" s="5"/>
      <c r="G714" s="5"/>
    </row>
    <row r="715" spans="5:7" ht="13.2">
      <c r="E715" s="5"/>
      <c r="G715" s="5"/>
    </row>
    <row r="716" spans="5:7" ht="13.2">
      <c r="E716" s="5"/>
      <c r="G716" s="5"/>
    </row>
    <row r="717" spans="5:7" ht="13.2">
      <c r="E717" s="5"/>
      <c r="G717" s="5"/>
    </row>
    <row r="718" spans="5:7" ht="13.2">
      <c r="E718" s="5"/>
      <c r="G718" s="5"/>
    </row>
    <row r="719" spans="5:7" ht="13.2">
      <c r="E719" s="5"/>
      <c r="G719" s="5"/>
    </row>
    <row r="720" spans="5:7" ht="13.2">
      <c r="E720" s="5"/>
      <c r="G720" s="5"/>
    </row>
    <row r="721" spans="5:7" ht="13.2">
      <c r="E721" s="5"/>
      <c r="G721" s="5"/>
    </row>
    <row r="722" spans="5:7" ht="13.2">
      <c r="E722" s="5"/>
      <c r="G722" s="5"/>
    </row>
    <row r="723" spans="5:7" ht="13.2">
      <c r="E723" s="5"/>
      <c r="G723" s="5"/>
    </row>
    <row r="724" spans="5:7" ht="13.2">
      <c r="E724" s="5"/>
      <c r="G724" s="5"/>
    </row>
    <row r="725" spans="5:7" ht="13.2">
      <c r="E725" s="5"/>
      <c r="G725" s="5"/>
    </row>
    <row r="726" spans="5:7" ht="13.2">
      <c r="E726" s="5"/>
      <c r="G726" s="5"/>
    </row>
    <row r="727" spans="5:7" ht="13.2">
      <c r="E727" s="5"/>
      <c r="G727" s="5"/>
    </row>
    <row r="728" spans="5:7" ht="13.2">
      <c r="E728" s="5"/>
      <c r="G728" s="5"/>
    </row>
    <row r="729" spans="5:7" ht="13.2">
      <c r="E729" s="5"/>
      <c r="G729" s="5"/>
    </row>
    <row r="730" spans="5:7" ht="13.2">
      <c r="E730" s="5"/>
      <c r="G730" s="5"/>
    </row>
    <row r="731" spans="5:7" ht="13.2">
      <c r="E731" s="5"/>
      <c r="G731" s="5"/>
    </row>
    <row r="732" spans="5:7" ht="13.2">
      <c r="E732" s="5"/>
      <c r="G732" s="5"/>
    </row>
    <row r="733" spans="5:7" ht="13.2">
      <c r="E733" s="5"/>
      <c r="G733" s="5"/>
    </row>
    <row r="734" spans="5:7" ht="13.2">
      <c r="E734" s="5"/>
      <c r="G734" s="5"/>
    </row>
    <row r="735" spans="5:7" ht="13.2">
      <c r="E735" s="5"/>
      <c r="G735" s="5"/>
    </row>
    <row r="736" spans="5:7" ht="13.2">
      <c r="E736" s="5"/>
      <c r="G736" s="5"/>
    </row>
    <row r="737" spans="5:7" ht="13.2">
      <c r="E737" s="5"/>
      <c r="G737" s="5"/>
    </row>
    <row r="738" spans="5:7" ht="13.2">
      <c r="E738" s="5"/>
      <c r="G738" s="5"/>
    </row>
    <row r="739" spans="5:7" ht="13.2">
      <c r="E739" s="5"/>
      <c r="G739" s="5"/>
    </row>
    <row r="740" spans="5:7" ht="13.2">
      <c r="E740" s="5"/>
      <c r="G740" s="5"/>
    </row>
    <row r="741" spans="5:7" ht="13.2">
      <c r="E741" s="5"/>
      <c r="G741" s="5"/>
    </row>
    <row r="742" spans="5:7" ht="13.2">
      <c r="E742" s="5"/>
      <c r="G742" s="5"/>
    </row>
    <row r="743" spans="5:7" ht="13.2">
      <c r="E743" s="5"/>
      <c r="G743" s="5"/>
    </row>
    <row r="744" spans="5:7" ht="13.2">
      <c r="E744" s="5"/>
      <c r="G744" s="5"/>
    </row>
    <row r="745" spans="5:7" ht="13.2">
      <c r="E745" s="5"/>
      <c r="G745" s="5"/>
    </row>
    <row r="746" spans="5:7" ht="13.2">
      <c r="E746" s="5"/>
      <c r="G746" s="5"/>
    </row>
    <row r="747" spans="5:7" ht="13.2">
      <c r="E747" s="5"/>
      <c r="G747" s="5"/>
    </row>
    <row r="748" spans="5:7" ht="13.2">
      <c r="E748" s="5"/>
      <c r="G748" s="5"/>
    </row>
    <row r="749" spans="5:7" ht="13.2">
      <c r="E749" s="5"/>
      <c r="G749" s="5"/>
    </row>
    <row r="750" spans="5:7" ht="13.2">
      <c r="E750" s="5"/>
      <c r="G750" s="5"/>
    </row>
    <row r="751" spans="5:7" ht="13.2">
      <c r="E751" s="5"/>
      <c r="G751" s="5"/>
    </row>
    <row r="752" spans="5:7" ht="13.2">
      <c r="E752" s="5"/>
      <c r="G752" s="5"/>
    </row>
    <row r="753" spans="5:7" ht="13.2">
      <c r="E753" s="5"/>
      <c r="G753" s="5"/>
    </row>
    <row r="754" spans="5:7" ht="13.2">
      <c r="E754" s="5"/>
      <c r="G754" s="5"/>
    </row>
    <row r="755" spans="5:7" ht="13.2">
      <c r="E755" s="5"/>
      <c r="G755" s="5"/>
    </row>
    <row r="756" spans="5:7" ht="13.2">
      <c r="E756" s="5"/>
      <c r="G756" s="5"/>
    </row>
    <row r="757" spans="5:7" ht="13.2">
      <c r="E757" s="5"/>
      <c r="G757" s="5"/>
    </row>
    <row r="758" spans="5:7" ht="13.2">
      <c r="E758" s="5"/>
      <c r="G758" s="5"/>
    </row>
    <row r="759" spans="5:7" ht="13.2">
      <c r="E759" s="5"/>
      <c r="G759" s="5"/>
    </row>
    <row r="760" spans="5:7" ht="13.2">
      <c r="E760" s="5"/>
      <c r="G760" s="5"/>
    </row>
    <row r="761" spans="5:7" ht="13.2">
      <c r="E761" s="5"/>
      <c r="G761" s="5"/>
    </row>
    <row r="762" spans="5:7" ht="13.2">
      <c r="E762" s="5"/>
      <c r="G762" s="5"/>
    </row>
    <row r="763" spans="5:7" ht="13.2">
      <c r="E763" s="5"/>
      <c r="G763" s="5"/>
    </row>
    <row r="764" spans="5:7" ht="13.2">
      <c r="E764" s="5"/>
      <c r="G764" s="5"/>
    </row>
    <row r="765" spans="5:7" ht="13.2">
      <c r="E765" s="5"/>
      <c r="G765" s="5"/>
    </row>
    <row r="766" spans="5:7" ht="13.2">
      <c r="E766" s="5"/>
      <c r="G766" s="5"/>
    </row>
    <row r="767" spans="5:7" ht="13.2">
      <c r="E767" s="5"/>
      <c r="G767" s="5"/>
    </row>
    <row r="768" spans="5:7" ht="13.2">
      <c r="E768" s="5"/>
      <c r="G768" s="5"/>
    </row>
    <row r="769" spans="5:7" ht="13.2">
      <c r="E769" s="5"/>
      <c r="G769" s="5"/>
    </row>
    <row r="770" spans="5:7" ht="13.2">
      <c r="E770" s="5"/>
      <c r="G770" s="5"/>
    </row>
    <row r="771" spans="5:7" ht="13.2">
      <c r="E771" s="5"/>
      <c r="G771" s="5"/>
    </row>
    <row r="772" spans="5:7" ht="13.2">
      <c r="E772" s="5"/>
      <c r="G772" s="5"/>
    </row>
    <row r="773" spans="5:7" ht="13.2">
      <c r="E773" s="5"/>
      <c r="G773" s="5"/>
    </row>
    <row r="774" spans="5:7" ht="13.2">
      <c r="E774" s="5"/>
      <c r="G774" s="5"/>
    </row>
    <row r="775" spans="5:7" ht="13.2">
      <c r="E775" s="5"/>
      <c r="G775" s="5"/>
    </row>
    <row r="776" spans="5:7" ht="13.2">
      <c r="E776" s="5"/>
      <c r="G776" s="5"/>
    </row>
    <row r="777" spans="5:7" ht="13.2">
      <c r="E777" s="5"/>
      <c r="G777" s="5"/>
    </row>
    <row r="778" spans="5:7" ht="13.2">
      <c r="E778" s="5"/>
      <c r="G778" s="5"/>
    </row>
    <row r="779" spans="5:7" ht="13.2">
      <c r="E779" s="5"/>
      <c r="G779" s="5"/>
    </row>
    <row r="780" spans="5:7" ht="13.2">
      <c r="E780" s="5"/>
      <c r="G780" s="5"/>
    </row>
    <row r="781" spans="5:7" ht="13.2">
      <c r="E781" s="5"/>
      <c r="G781" s="5"/>
    </row>
    <row r="782" spans="5:7" ht="13.2">
      <c r="E782" s="5"/>
      <c r="G782" s="5"/>
    </row>
    <row r="783" spans="5:7" ht="13.2">
      <c r="E783" s="5"/>
      <c r="G783" s="5"/>
    </row>
    <row r="784" spans="5:7" ht="13.2">
      <c r="E784" s="5"/>
      <c r="G784" s="5"/>
    </row>
    <row r="785" spans="5:7" ht="13.2">
      <c r="E785" s="5"/>
      <c r="G785" s="5"/>
    </row>
    <row r="786" spans="5:7" ht="13.2">
      <c r="E786" s="5"/>
      <c r="G786" s="5"/>
    </row>
    <row r="787" spans="5:7" ht="13.2">
      <c r="E787" s="5"/>
      <c r="G787" s="5"/>
    </row>
    <row r="788" spans="5:7" ht="13.2">
      <c r="E788" s="5"/>
      <c r="G788" s="5"/>
    </row>
    <row r="789" spans="5:7" ht="13.2">
      <c r="E789" s="5"/>
      <c r="G789" s="5"/>
    </row>
    <row r="790" spans="5:7" ht="13.2">
      <c r="E790" s="5"/>
      <c r="G790" s="5"/>
    </row>
    <row r="791" spans="5:7" ht="13.2">
      <c r="E791" s="5"/>
      <c r="G791" s="5"/>
    </row>
    <row r="792" spans="5:7" ht="13.2">
      <c r="E792" s="5"/>
      <c r="G792" s="5"/>
    </row>
    <row r="793" spans="5:7" ht="13.2">
      <c r="E793" s="5"/>
      <c r="G793" s="5"/>
    </row>
    <row r="794" spans="5:7" ht="13.2">
      <c r="E794" s="5"/>
      <c r="G794" s="5"/>
    </row>
    <row r="795" spans="5:7" ht="13.2">
      <c r="E795" s="5"/>
      <c r="G795" s="5"/>
    </row>
    <row r="796" spans="5:7" ht="13.2">
      <c r="E796" s="5"/>
      <c r="G796" s="5"/>
    </row>
    <row r="797" spans="5:7" ht="13.2">
      <c r="E797" s="5"/>
      <c r="G797" s="5"/>
    </row>
    <row r="798" spans="5:7" ht="13.2">
      <c r="E798" s="5"/>
      <c r="G798" s="5"/>
    </row>
    <row r="799" spans="5:7" ht="13.2">
      <c r="E799" s="5"/>
      <c r="G799" s="5"/>
    </row>
    <row r="800" spans="5:7" ht="13.2">
      <c r="E800" s="5"/>
      <c r="G800" s="5"/>
    </row>
    <row r="801" spans="5:7" ht="13.2">
      <c r="E801" s="5"/>
      <c r="G801" s="5"/>
    </row>
    <row r="802" spans="5:7" ht="13.2">
      <c r="E802" s="5"/>
      <c r="G802" s="5"/>
    </row>
    <row r="803" spans="5:7" ht="13.2">
      <c r="E803" s="5"/>
      <c r="G803" s="5"/>
    </row>
    <row r="804" spans="5:7" ht="13.2">
      <c r="E804" s="5"/>
      <c r="G804" s="5"/>
    </row>
    <row r="805" spans="5:7" ht="13.2">
      <c r="E805" s="5"/>
      <c r="G805" s="5"/>
    </row>
    <row r="806" spans="5:7" ht="13.2">
      <c r="E806" s="5"/>
      <c r="G806" s="5"/>
    </row>
    <row r="807" spans="5:7" ht="13.2">
      <c r="E807" s="5"/>
      <c r="G807" s="5"/>
    </row>
    <row r="808" spans="5:7" ht="13.2">
      <c r="E808" s="5"/>
      <c r="G808" s="5"/>
    </row>
    <row r="809" spans="5:7" ht="13.2">
      <c r="E809" s="5"/>
      <c r="G809" s="5"/>
    </row>
    <row r="810" spans="5:7" ht="13.2">
      <c r="E810" s="5"/>
      <c r="G810" s="5"/>
    </row>
    <row r="811" spans="5:7" ht="13.2">
      <c r="E811" s="5"/>
      <c r="G811" s="5"/>
    </row>
    <row r="812" spans="5:7" ht="13.2">
      <c r="E812" s="5"/>
      <c r="G812" s="5"/>
    </row>
    <row r="813" spans="5:7" ht="13.2">
      <c r="E813" s="5"/>
      <c r="G813" s="5"/>
    </row>
    <row r="814" spans="5:7" ht="13.2">
      <c r="E814" s="5"/>
      <c r="G814" s="5"/>
    </row>
    <row r="815" spans="5:7" ht="13.2">
      <c r="E815" s="5"/>
      <c r="G815" s="5"/>
    </row>
    <row r="816" spans="5:7" ht="13.2">
      <c r="E816" s="5"/>
      <c r="G816" s="5"/>
    </row>
    <row r="817" spans="5:7" ht="13.2">
      <c r="E817" s="5"/>
      <c r="G817" s="5"/>
    </row>
    <row r="818" spans="5:7" ht="13.2">
      <c r="E818" s="5"/>
      <c r="G818" s="5"/>
    </row>
    <row r="819" spans="5:7" ht="13.2">
      <c r="E819" s="5"/>
      <c r="G819" s="5"/>
    </row>
    <row r="820" spans="5:7" ht="13.2">
      <c r="E820" s="5"/>
      <c r="G820" s="5"/>
    </row>
    <row r="821" spans="5:7" ht="13.2">
      <c r="E821" s="5"/>
      <c r="G821" s="5"/>
    </row>
    <row r="822" spans="5:7" ht="13.2">
      <c r="E822" s="5"/>
      <c r="G822" s="5"/>
    </row>
    <row r="823" spans="5:7" ht="13.2">
      <c r="E823" s="5"/>
      <c r="G823" s="5"/>
    </row>
    <row r="824" spans="5:7" ht="13.2">
      <c r="E824" s="5"/>
      <c r="G824" s="5"/>
    </row>
    <row r="825" spans="5:7" ht="13.2">
      <c r="E825" s="5"/>
      <c r="G825" s="5"/>
    </row>
    <row r="826" spans="5:7" ht="13.2">
      <c r="E826" s="5"/>
      <c r="G826" s="5"/>
    </row>
    <row r="827" spans="5:7" ht="13.2">
      <c r="E827" s="5"/>
      <c r="G827" s="5"/>
    </row>
    <row r="828" spans="5:7" ht="13.2">
      <c r="E828" s="5"/>
      <c r="G828" s="5"/>
    </row>
    <row r="829" spans="5:7" ht="13.2">
      <c r="E829" s="5"/>
      <c r="G829" s="5"/>
    </row>
    <row r="830" spans="5:7" ht="13.2">
      <c r="E830" s="5"/>
      <c r="G830" s="5"/>
    </row>
    <row r="831" spans="5:7" ht="13.2">
      <c r="E831" s="5"/>
      <c r="G831" s="5"/>
    </row>
    <row r="832" spans="5:7" ht="13.2">
      <c r="E832" s="5"/>
      <c r="G832" s="5"/>
    </row>
    <row r="833" spans="5:7" ht="13.2">
      <c r="E833" s="5"/>
      <c r="G833" s="5"/>
    </row>
    <row r="834" spans="5:7" ht="13.2">
      <c r="E834" s="5"/>
      <c r="G834" s="5"/>
    </row>
    <row r="835" spans="5:7" ht="13.2">
      <c r="E835" s="5"/>
      <c r="G835" s="5"/>
    </row>
    <row r="836" spans="5:7" ht="13.2">
      <c r="E836" s="5"/>
      <c r="G836" s="5"/>
    </row>
    <row r="837" spans="5:7" ht="13.2">
      <c r="E837" s="5"/>
      <c r="G837" s="5"/>
    </row>
    <row r="838" spans="5:7" ht="13.2">
      <c r="E838" s="5"/>
      <c r="G838" s="5"/>
    </row>
    <row r="839" spans="5:7" ht="13.2">
      <c r="E839" s="5"/>
      <c r="G839" s="5"/>
    </row>
    <row r="840" spans="5:7" ht="13.2">
      <c r="E840" s="5"/>
      <c r="G840" s="5"/>
    </row>
    <row r="841" spans="5:7" ht="13.2">
      <c r="E841" s="5"/>
      <c r="G841" s="5"/>
    </row>
    <row r="842" spans="5:7" ht="13.2">
      <c r="E842" s="5"/>
      <c r="G842" s="5"/>
    </row>
    <row r="843" spans="5:7" ht="13.2">
      <c r="E843" s="5"/>
      <c r="G843" s="5"/>
    </row>
    <row r="844" spans="5:7" ht="13.2">
      <c r="E844" s="5"/>
      <c r="G844" s="5"/>
    </row>
    <row r="845" spans="5:7" ht="13.2">
      <c r="E845" s="5"/>
      <c r="G845" s="5"/>
    </row>
    <row r="846" spans="5:7" ht="13.2">
      <c r="E846" s="5"/>
      <c r="G846" s="5"/>
    </row>
    <row r="847" spans="5:7" ht="13.2">
      <c r="E847" s="5"/>
      <c r="G847" s="5"/>
    </row>
    <row r="848" spans="5:7" ht="13.2">
      <c r="E848" s="5"/>
      <c r="G848" s="5"/>
    </row>
    <row r="849" spans="5:7" ht="13.2">
      <c r="E849" s="5"/>
      <c r="G849" s="5"/>
    </row>
    <row r="850" spans="5:7" ht="13.2">
      <c r="E850" s="5"/>
      <c r="G850" s="5"/>
    </row>
    <row r="851" spans="5:7" ht="13.2">
      <c r="E851" s="5"/>
      <c r="G851" s="5"/>
    </row>
    <row r="852" spans="5:7" ht="13.2">
      <c r="E852" s="5"/>
      <c r="G852" s="5"/>
    </row>
    <row r="853" spans="5:7" ht="13.2">
      <c r="E853" s="5"/>
      <c r="G853" s="5"/>
    </row>
    <row r="854" spans="5:7" ht="13.2">
      <c r="E854" s="5"/>
      <c r="G854" s="5"/>
    </row>
    <row r="855" spans="5:7" ht="13.2">
      <c r="E855" s="5"/>
      <c r="G855" s="5"/>
    </row>
    <row r="856" spans="5:7" ht="13.2">
      <c r="E856" s="5"/>
      <c r="G856" s="5"/>
    </row>
    <row r="857" spans="5:7" ht="13.2">
      <c r="E857" s="5"/>
      <c r="G857" s="5"/>
    </row>
    <row r="858" spans="5:7" ht="13.2">
      <c r="E858" s="5"/>
      <c r="G858" s="5"/>
    </row>
    <row r="859" spans="5:7" ht="13.2">
      <c r="E859" s="5"/>
      <c r="G859" s="5"/>
    </row>
    <row r="860" spans="5:7" ht="13.2">
      <c r="E860" s="5"/>
      <c r="G860" s="5"/>
    </row>
    <row r="861" spans="5:7" ht="13.2">
      <c r="E861" s="5"/>
      <c r="G861" s="5"/>
    </row>
    <row r="862" spans="5:7" ht="13.2">
      <c r="E862" s="5"/>
      <c r="G862" s="5"/>
    </row>
    <row r="863" spans="5:7" ht="13.2">
      <c r="E863" s="5"/>
      <c r="G863" s="5"/>
    </row>
    <row r="864" spans="5:7" ht="13.2">
      <c r="E864" s="5"/>
      <c r="G864" s="5"/>
    </row>
    <row r="865" spans="5:7" ht="13.2">
      <c r="E865" s="5"/>
      <c r="G865" s="5"/>
    </row>
    <row r="866" spans="5:7" ht="13.2">
      <c r="E866" s="5"/>
      <c r="G866" s="5"/>
    </row>
    <row r="867" spans="5:7" ht="13.2">
      <c r="E867" s="5"/>
      <c r="G867" s="5"/>
    </row>
    <row r="868" spans="5:7" ht="13.2">
      <c r="E868" s="5"/>
      <c r="G868" s="5"/>
    </row>
    <row r="869" spans="5:7" ht="13.2">
      <c r="E869" s="5"/>
      <c r="G869" s="5"/>
    </row>
    <row r="870" spans="5:7" ht="13.2">
      <c r="E870" s="5"/>
      <c r="G870" s="5"/>
    </row>
    <row r="871" spans="5:7" ht="13.2">
      <c r="E871" s="5"/>
      <c r="G871" s="5"/>
    </row>
    <row r="872" spans="5:7" ht="13.2">
      <c r="E872" s="5"/>
      <c r="G872" s="5"/>
    </row>
    <row r="873" spans="5:7" ht="13.2">
      <c r="E873" s="5"/>
      <c r="G873" s="5"/>
    </row>
    <row r="874" spans="5:7" ht="13.2">
      <c r="E874" s="5"/>
      <c r="G874" s="5"/>
    </row>
    <row r="875" spans="5:7" ht="13.2">
      <c r="E875" s="5"/>
      <c r="G875" s="5"/>
    </row>
    <row r="876" spans="5:7" ht="13.2">
      <c r="E876" s="5"/>
      <c r="G876" s="5"/>
    </row>
    <row r="877" spans="5:7" ht="13.2">
      <c r="E877" s="5"/>
      <c r="G877" s="5"/>
    </row>
    <row r="878" spans="5:7" ht="13.2">
      <c r="E878" s="5"/>
      <c r="G878" s="5"/>
    </row>
    <row r="879" spans="5:7" ht="13.2">
      <c r="E879" s="5"/>
      <c r="G879" s="5"/>
    </row>
    <row r="880" spans="5:7" ht="13.2">
      <c r="E880" s="5"/>
      <c r="G880" s="5"/>
    </row>
    <row r="881" spans="5:7" ht="13.2">
      <c r="E881" s="5"/>
      <c r="G881" s="5"/>
    </row>
    <row r="882" spans="5:7" ht="13.2">
      <c r="E882" s="5"/>
      <c r="G882" s="5"/>
    </row>
    <row r="883" spans="5:7" ht="13.2">
      <c r="E883" s="5"/>
      <c r="G883" s="5"/>
    </row>
    <row r="884" spans="5:7" ht="13.2">
      <c r="E884" s="5"/>
      <c r="G884" s="5"/>
    </row>
    <row r="885" spans="5:7" ht="13.2">
      <c r="E885" s="5"/>
      <c r="G885" s="5"/>
    </row>
    <row r="886" spans="5:7" ht="13.2">
      <c r="E886" s="5"/>
      <c r="G886" s="5"/>
    </row>
    <row r="887" spans="5:7" ht="13.2">
      <c r="E887" s="5"/>
      <c r="G887" s="5"/>
    </row>
    <row r="888" spans="5:7" ht="13.2">
      <c r="E888" s="5"/>
      <c r="G888" s="5"/>
    </row>
    <row r="889" spans="5:7" ht="13.2">
      <c r="E889" s="5"/>
      <c r="G889" s="5"/>
    </row>
    <row r="890" spans="5:7" ht="13.2">
      <c r="E890" s="5"/>
      <c r="G890" s="5"/>
    </row>
    <row r="891" spans="5:7" ht="13.2">
      <c r="E891" s="5"/>
      <c r="G891" s="5"/>
    </row>
    <row r="892" spans="5:7" ht="13.2">
      <c r="E892" s="5"/>
      <c r="G892" s="5"/>
    </row>
    <row r="893" spans="5:7" ht="13.2">
      <c r="E893" s="5"/>
      <c r="G893" s="5"/>
    </row>
    <row r="894" spans="5:7" ht="13.2">
      <c r="E894" s="5"/>
      <c r="G894" s="5"/>
    </row>
    <row r="895" spans="5:7" ht="13.2">
      <c r="E895" s="5"/>
      <c r="G895" s="5"/>
    </row>
    <row r="896" spans="5:7" ht="13.2">
      <c r="E896" s="5"/>
      <c r="G896" s="5"/>
    </row>
    <row r="897" spans="5:7" ht="13.2">
      <c r="E897" s="5"/>
      <c r="G897" s="5"/>
    </row>
    <row r="898" spans="5:7" ht="13.2">
      <c r="E898" s="5"/>
      <c r="G898" s="5"/>
    </row>
    <row r="899" spans="5:7" ht="13.2">
      <c r="E899" s="5"/>
      <c r="G899" s="5"/>
    </row>
    <row r="900" spans="5:7" ht="13.2">
      <c r="E900" s="5"/>
      <c r="G900" s="5"/>
    </row>
    <row r="901" spans="5:7" ht="13.2">
      <c r="E901" s="5"/>
      <c r="G901" s="5"/>
    </row>
    <row r="902" spans="5:7" ht="13.2">
      <c r="E902" s="5"/>
      <c r="G902" s="5"/>
    </row>
    <row r="903" spans="5:7" ht="13.2">
      <c r="E903" s="5"/>
      <c r="G903" s="5"/>
    </row>
    <row r="904" spans="5:7" ht="13.2">
      <c r="E904" s="5"/>
      <c r="G904" s="5"/>
    </row>
    <row r="905" spans="5:7" ht="13.2">
      <c r="E905" s="5"/>
      <c r="G905" s="5"/>
    </row>
    <row r="906" spans="5:7" ht="13.2">
      <c r="E906" s="5"/>
      <c r="G906" s="5"/>
    </row>
    <row r="907" spans="5:7" ht="13.2">
      <c r="E907" s="5"/>
      <c r="G907" s="5"/>
    </row>
    <row r="908" spans="5:7" ht="13.2">
      <c r="E908" s="5"/>
      <c r="G908" s="5"/>
    </row>
    <row r="909" spans="5:7" ht="13.2">
      <c r="E909" s="5"/>
      <c r="G909" s="5"/>
    </row>
    <row r="910" spans="5:7" ht="13.2">
      <c r="E910" s="5"/>
      <c r="G910" s="5"/>
    </row>
    <row r="911" spans="5:7" ht="13.2">
      <c r="E911" s="5"/>
      <c r="G911" s="5"/>
    </row>
    <row r="912" spans="5:7" ht="13.2">
      <c r="E912" s="5"/>
      <c r="G912" s="5"/>
    </row>
    <row r="913" spans="5:7" ht="13.2">
      <c r="E913" s="5"/>
      <c r="G913" s="5"/>
    </row>
    <row r="914" spans="5:7" ht="13.2">
      <c r="E914" s="5"/>
      <c r="G914" s="5"/>
    </row>
    <row r="915" spans="5:7" ht="13.2">
      <c r="E915" s="5"/>
      <c r="G915" s="5"/>
    </row>
    <row r="916" spans="5:7" ht="13.2">
      <c r="E916" s="5"/>
      <c r="G916" s="5"/>
    </row>
    <row r="917" spans="5:7" ht="13.2">
      <c r="E917" s="5"/>
      <c r="G917" s="5"/>
    </row>
    <row r="918" spans="5:7" ht="13.2">
      <c r="E918" s="5"/>
      <c r="G918" s="5"/>
    </row>
    <row r="919" spans="5:7" ht="13.2">
      <c r="E919" s="5"/>
      <c r="G919" s="5"/>
    </row>
    <row r="920" spans="5:7" ht="13.2">
      <c r="E920" s="5"/>
      <c r="G920" s="5"/>
    </row>
    <row r="921" spans="5:7" ht="13.2">
      <c r="E921" s="5"/>
      <c r="G921" s="5"/>
    </row>
    <row r="922" spans="5:7" ht="13.2">
      <c r="E922" s="5"/>
      <c r="G922" s="5"/>
    </row>
    <row r="923" spans="5:7" ht="13.2">
      <c r="E923" s="5"/>
      <c r="G923" s="5"/>
    </row>
    <row r="924" spans="5:7" ht="13.2">
      <c r="E924" s="5"/>
      <c r="G924" s="5"/>
    </row>
    <row r="925" spans="5:7" ht="13.2">
      <c r="E925" s="5"/>
      <c r="G925" s="5"/>
    </row>
    <row r="926" spans="5:7" ht="13.2">
      <c r="E926" s="5"/>
      <c r="G926" s="5"/>
    </row>
    <row r="927" spans="5:7" ht="13.2">
      <c r="E927" s="5"/>
      <c r="G927" s="5"/>
    </row>
    <row r="928" spans="5:7" ht="13.2">
      <c r="E928" s="5"/>
      <c r="G928" s="5"/>
    </row>
    <row r="929" spans="5:7" ht="13.2">
      <c r="E929" s="5"/>
      <c r="G929" s="5"/>
    </row>
    <row r="930" spans="5:7" ht="13.2">
      <c r="E930" s="5"/>
      <c r="G930" s="5"/>
    </row>
    <row r="931" spans="5:7" ht="13.2">
      <c r="E931" s="5"/>
      <c r="G931" s="5"/>
    </row>
    <row r="932" spans="5:7" ht="13.2">
      <c r="E932" s="5"/>
      <c r="G932" s="5"/>
    </row>
    <row r="933" spans="5:7" ht="13.2">
      <c r="E933" s="5"/>
      <c r="G933" s="5"/>
    </row>
    <row r="934" spans="5:7" ht="13.2">
      <c r="E934" s="5"/>
      <c r="G934" s="5"/>
    </row>
    <row r="935" spans="5:7" ht="13.2">
      <c r="E935" s="5"/>
      <c r="G935" s="5"/>
    </row>
    <row r="936" spans="5:7" ht="13.2">
      <c r="E936" s="5"/>
      <c r="G936" s="5"/>
    </row>
    <row r="937" spans="5:7" ht="13.2">
      <c r="E937" s="5"/>
      <c r="G937" s="5"/>
    </row>
    <row r="938" spans="5:7" ht="13.2">
      <c r="E938" s="5"/>
      <c r="G938" s="5"/>
    </row>
    <row r="939" spans="5:7" ht="13.2">
      <c r="E939" s="5"/>
      <c r="G939" s="5"/>
    </row>
    <row r="940" spans="5:7" ht="13.2">
      <c r="E940" s="5"/>
      <c r="G940" s="5"/>
    </row>
    <row r="941" spans="5:7" ht="13.2">
      <c r="E941" s="5"/>
      <c r="G941" s="5"/>
    </row>
    <row r="942" spans="5:7" ht="13.2">
      <c r="E942" s="5"/>
      <c r="G942" s="5"/>
    </row>
    <row r="943" spans="5:7" ht="13.2">
      <c r="E943" s="5"/>
      <c r="G943" s="5"/>
    </row>
    <row r="944" spans="5:7" ht="13.2">
      <c r="E944" s="5"/>
      <c r="G944" s="5"/>
    </row>
    <row r="945" spans="5:7" ht="13.2">
      <c r="E945" s="5"/>
      <c r="G945" s="5"/>
    </row>
    <row r="946" spans="5:7" ht="13.2">
      <c r="E946" s="5"/>
      <c r="G946" s="5"/>
    </row>
    <row r="947" spans="5:7" ht="13.2">
      <c r="E947" s="5"/>
      <c r="G947" s="5"/>
    </row>
    <row r="948" spans="5:7" ht="13.2">
      <c r="E948" s="5"/>
      <c r="G948" s="5"/>
    </row>
    <row r="949" spans="5:7" ht="13.2">
      <c r="E949" s="5"/>
      <c r="G949" s="5"/>
    </row>
    <row r="950" spans="5:7" ht="13.2">
      <c r="E950" s="5"/>
      <c r="G950" s="5"/>
    </row>
    <row r="951" spans="5:7" ht="13.2">
      <c r="E951" s="5"/>
      <c r="G951" s="5"/>
    </row>
    <row r="952" spans="5:7" ht="13.2">
      <c r="E952" s="5"/>
      <c r="G952" s="5"/>
    </row>
    <row r="953" spans="5:7" ht="13.2">
      <c r="E953" s="5"/>
      <c r="G953" s="5"/>
    </row>
    <row r="954" spans="5:7" ht="13.2">
      <c r="E954" s="5"/>
      <c r="G954" s="5"/>
    </row>
    <row r="955" spans="5:7" ht="13.2">
      <c r="E955" s="5"/>
      <c r="G955" s="5"/>
    </row>
    <row r="956" spans="5:7" ht="13.2">
      <c r="E956" s="5"/>
      <c r="G956" s="5"/>
    </row>
    <row r="957" spans="5:7" ht="13.2">
      <c r="E957" s="5"/>
      <c r="G957" s="5"/>
    </row>
    <row r="958" spans="5:7" ht="13.2">
      <c r="E958" s="5"/>
      <c r="G958" s="5"/>
    </row>
    <row r="959" spans="5:7" ht="13.2">
      <c r="E959" s="5"/>
      <c r="G959" s="5"/>
    </row>
    <row r="960" spans="5:7" ht="13.2">
      <c r="E960" s="5"/>
      <c r="G960" s="5"/>
    </row>
    <row r="961" spans="5:7" ht="13.2">
      <c r="E961" s="5"/>
      <c r="G961" s="5"/>
    </row>
    <row r="962" spans="5:7" ht="13.2">
      <c r="E962" s="5"/>
      <c r="G962" s="5"/>
    </row>
    <row r="963" spans="5:7" ht="13.2">
      <c r="E963" s="5"/>
      <c r="G963" s="5"/>
    </row>
    <row r="964" spans="5:7" ht="13.2">
      <c r="E964" s="5"/>
      <c r="G964" s="5"/>
    </row>
    <row r="965" spans="5:7" ht="13.2">
      <c r="E965" s="5"/>
      <c r="G965" s="5"/>
    </row>
    <row r="966" spans="5:7" ht="13.2">
      <c r="E966" s="5"/>
      <c r="G966" s="5"/>
    </row>
    <row r="967" spans="5:7" ht="13.2">
      <c r="E967" s="5"/>
      <c r="G967" s="5"/>
    </row>
    <row r="968" spans="5:7" ht="13.2">
      <c r="E968" s="5"/>
      <c r="G968" s="5"/>
    </row>
    <row r="969" spans="5:7" ht="13.2">
      <c r="E969" s="5"/>
      <c r="G969" s="5"/>
    </row>
    <row r="970" spans="5:7" ht="13.2">
      <c r="E970" s="5"/>
      <c r="G970" s="5"/>
    </row>
    <row r="971" spans="5:7" ht="13.2">
      <c r="E971" s="5"/>
      <c r="G971" s="5"/>
    </row>
    <row r="972" spans="5:7" ht="13.2">
      <c r="E972" s="5"/>
      <c r="G972" s="5"/>
    </row>
    <row r="973" spans="5:7" ht="13.2">
      <c r="E973" s="5"/>
      <c r="G973" s="5"/>
    </row>
    <row r="974" spans="5:7" ht="13.2">
      <c r="E974" s="5"/>
      <c r="G974" s="5"/>
    </row>
    <row r="975" spans="5:7" ht="13.2">
      <c r="E975" s="5"/>
      <c r="G975" s="5"/>
    </row>
    <row r="976" spans="5:7" ht="13.2">
      <c r="E976" s="5"/>
      <c r="G976" s="5"/>
    </row>
    <row r="977" spans="5:7" ht="13.2">
      <c r="E977" s="5"/>
      <c r="G977" s="5"/>
    </row>
    <row r="978" spans="5:7" ht="13.2">
      <c r="E978" s="5"/>
      <c r="G978" s="5"/>
    </row>
    <row r="979" spans="5:7" ht="13.2">
      <c r="E979" s="5"/>
      <c r="G979" s="5"/>
    </row>
    <row r="980" spans="5:7" ht="13.2">
      <c r="E980" s="5"/>
      <c r="G980" s="5"/>
    </row>
    <row r="981" spans="5:7" ht="13.2">
      <c r="E981" s="5"/>
      <c r="G981" s="5"/>
    </row>
    <row r="982" spans="5:7" ht="13.2">
      <c r="E982" s="5"/>
      <c r="G982" s="5"/>
    </row>
    <row r="983" spans="5:7" ht="13.2">
      <c r="E983" s="5"/>
      <c r="G983" s="5"/>
    </row>
    <row r="984" spans="5:7" ht="13.2">
      <c r="E984" s="5"/>
      <c r="G984" s="5"/>
    </row>
    <row r="985" spans="5:7" ht="13.2">
      <c r="E985" s="5"/>
      <c r="G985" s="5"/>
    </row>
    <row r="986" spans="5:7" ht="13.2">
      <c r="E986" s="5"/>
      <c r="G986" s="5"/>
    </row>
    <row r="987" spans="5:7" ht="13.2">
      <c r="E987" s="5"/>
      <c r="G987" s="5"/>
    </row>
    <row r="988" spans="5:7" ht="13.2">
      <c r="E988" s="5"/>
      <c r="G988" s="5"/>
    </row>
    <row r="989" spans="5:7" ht="13.2">
      <c r="E989" s="5"/>
      <c r="G989" s="5"/>
    </row>
    <row r="990" spans="5:7" ht="13.2">
      <c r="E990" s="5"/>
      <c r="G990" s="5"/>
    </row>
    <row r="991" spans="5:7" ht="13.2">
      <c r="E991" s="5"/>
      <c r="G991" s="5"/>
    </row>
    <row r="992" spans="5:7" ht="13.2">
      <c r="E992" s="5"/>
      <c r="G992" s="5"/>
    </row>
    <row r="993" spans="5:7" ht="13.2">
      <c r="E993" s="5"/>
      <c r="G993" s="5"/>
    </row>
    <row r="994" spans="5:7" ht="13.2">
      <c r="E994" s="5"/>
      <c r="G994" s="5"/>
    </row>
    <row r="995" spans="5:7" ht="13.2">
      <c r="E995" s="5"/>
      <c r="G995" s="5"/>
    </row>
    <row r="996" spans="5:7" ht="13.2">
      <c r="E996" s="5"/>
      <c r="G996" s="5"/>
    </row>
    <row r="997" spans="5:7" ht="13.2">
      <c r="E997" s="5"/>
      <c r="G997" s="5"/>
    </row>
    <row r="998" spans="5:7" ht="13.2">
      <c r="E998" s="5"/>
      <c r="G998" s="5"/>
    </row>
    <row r="999" spans="5:7" ht="13.2">
      <c r="E999" s="5"/>
      <c r="G999" s="5"/>
    </row>
    <row r="1000" spans="5:7" ht="13.2">
      <c r="E1000" s="5"/>
      <c r="G1000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00"/>
  <sheetViews>
    <sheetView tabSelected="1" workbookViewId="0">
      <selection activeCell="F13" sqref="F13"/>
    </sheetView>
  </sheetViews>
  <sheetFormatPr baseColWidth="10" defaultColWidth="12.6640625" defaultRowHeight="15.75" customHeight="1"/>
  <sheetData>
    <row r="1" spans="1:4" ht="15.75" customHeight="1">
      <c r="A1" s="12" t="s">
        <v>0</v>
      </c>
      <c r="B1" s="2" t="s">
        <v>1</v>
      </c>
      <c r="C1" s="13" t="s">
        <v>4</v>
      </c>
      <c r="D1" s="13" t="s">
        <v>7</v>
      </c>
    </row>
    <row r="2" spans="1:4" ht="15.75" customHeight="1">
      <c r="A2" s="14">
        <v>10101</v>
      </c>
      <c r="B2" s="2" t="s">
        <v>8</v>
      </c>
      <c r="C2" s="15">
        <v>0.16095294267161089</v>
      </c>
      <c r="D2" s="15">
        <v>0.23978910303197534</v>
      </c>
    </row>
    <row r="3" spans="1:4" ht="15.75" customHeight="1">
      <c r="A3" s="14">
        <v>10102</v>
      </c>
      <c r="B3" s="2" t="s">
        <v>9</v>
      </c>
      <c r="C3" s="15">
        <v>0.49002083565507037</v>
      </c>
      <c r="D3" s="15">
        <v>0.92190541943717219</v>
      </c>
    </row>
    <row r="4" spans="1:4" ht="15.75" customHeight="1">
      <c r="A4" s="14">
        <v>10103</v>
      </c>
      <c r="B4" s="2" t="s">
        <v>10</v>
      </c>
      <c r="C4" s="15">
        <v>0.66233473863811532</v>
      </c>
      <c r="D4" s="15">
        <v>0.90442370543947515</v>
      </c>
    </row>
    <row r="5" spans="1:4" ht="15.75" customHeight="1">
      <c r="A5" s="14">
        <v>10201</v>
      </c>
      <c r="B5" s="2" t="s">
        <v>11</v>
      </c>
      <c r="C5" s="15">
        <v>0.66728462793175558</v>
      </c>
      <c r="D5" s="15">
        <v>0.51812529539151275</v>
      </c>
    </row>
    <row r="6" spans="1:4" ht="15.75" customHeight="1">
      <c r="A6" s="14">
        <v>10202</v>
      </c>
      <c r="B6" s="2" t="s">
        <v>12</v>
      </c>
      <c r="C6" s="15">
        <v>0.54754112874759875</v>
      </c>
      <c r="D6" s="15">
        <v>0.62626313621124363</v>
      </c>
    </row>
    <row r="7" spans="1:4" ht="15.75" customHeight="1">
      <c r="A7" s="14">
        <v>10301</v>
      </c>
      <c r="B7" s="2" t="s">
        <v>13</v>
      </c>
      <c r="C7" s="15">
        <v>0.31693007054814321</v>
      </c>
      <c r="D7" s="15">
        <v>0.57769914420698742</v>
      </c>
    </row>
    <row r="8" spans="1:4" ht="15.75" customHeight="1">
      <c r="A8" s="14">
        <v>10302</v>
      </c>
      <c r="B8" s="2" t="s">
        <v>14</v>
      </c>
      <c r="C8" s="15">
        <v>0.40849252931965213</v>
      </c>
      <c r="D8" s="15">
        <v>0.71901057166889037</v>
      </c>
    </row>
    <row r="9" spans="1:4" ht="15.75" customHeight="1">
      <c r="A9" s="14">
        <v>10303</v>
      </c>
      <c r="B9" s="2" t="s">
        <v>15</v>
      </c>
      <c r="C9" s="15">
        <v>0.75763094960763444</v>
      </c>
      <c r="D9" s="15">
        <v>1.1559297114991256</v>
      </c>
    </row>
    <row r="10" spans="1:4" ht="15.75" customHeight="1">
      <c r="A10" s="14">
        <v>10304</v>
      </c>
      <c r="B10" s="2" t="s">
        <v>16</v>
      </c>
      <c r="C10" s="15">
        <v>0.26366337324227151</v>
      </c>
      <c r="D10" s="15">
        <v>1.1398807274051994</v>
      </c>
    </row>
    <row r="11" spans="1:4" ht="15.75" customHeight="1">
      <c r="A11" s="14">
        <v>10401</v>
      </c>
      <c r="B11" s="2" t="s">
        <v>17</v>
      </c>
      <c r="C11" s="15">
        <v>0.72980571675448569</v>
      </c>
      <c r="D11" s="15">
        <v>1.174131803138355</v>
      </c>
    </row>
    <row r="12" spans="1:4" ht="15.75" customHeight="1">
      <c r="A12" s="14">
        <v>10402</v>
      </c>
      <c r="B12" s="2" t="s">
        <v>18</v>
      </c>
      <c r="C12" s="15">
        <v>0.47651185006890956</v>
      </c>
      <c r="D12" s="15">
        <v>0.83732412807704981</v>
      </c>
    </row>
    <row r="13" spans="1:4" ht="15.75" customHeight="1">
      <c r="A13" s="14">
        <v>10403</v>
      </c>
      <c r="B13" s="2" t="s">
        <v>19</v>
      </c>
      <c r="C13" s="15">
        <v>0.52662604143948311</v>
      </c>
      <c r="D13" s="15">
        <v>0.6137663676506413</v>
      </c>
    </row>
    <row r="14" spans="1:4" ht="15.75" customHeight="1">
      <c r="A14" s="14">
        <v>10404</v>
      </c>
      <c r="B14" s="2" t="s">
        <v>20</v>
      </c>
      <c r="C14" s="15">
        <v>0.88367405861386294</v>
      </c>
      <c r="D14" s="15">
        <v>0.54134628192100476</v>
      </c>
    </row>
    <row r="15" spans="1:4" ht="15.75" customHeight="1">
      <c r="A15" s="14">
        <v>10405</v>
      </c>
      <c r="B15" s="2" t="s">
        <v>21</v>
      </c>
      <c r="C15" s="15">
        <v>0.90034998970270408</v>
      </c>
      <c r="D15" s="15">
        <v>0.91920457812597822</v>
      </c>
    </row>
    <row r="16" spans="1:4" ht="15.75" customHeight="1">
      <c r="A16" s="14">
        <v>10501</v>
      </c>
      <c r="B16" s="2" t="s">
        <v>22</v>
      </c>
      <c r="C16" s="15">
        <v>0.74525061515762636</v>
      </c>
      <c r="D16" s="15">
        <v>0.81100561480288968</v>
      </c>
    </row>
    <row r="17" spans="1:4" ht="15.75" customHeight="1">
      <c r="A17" s="14">
        <v>10502</v>
      </c>
      <c r="B17" s="2" t="s">
        <v>23</v>
      </c>
      <c r="C17" s="15">
        <v>0.6809345985899613</v>
      </c>
      <c r="D17" s="15">
        <v>0.39731216499917815</v>
      </c>
    </row>
    <row r="18" spans="1:4" ht="15.75" customHeight="1">
      <c r="A18" s="14">
        <v>10601</v>
      </c>
      <c r="B18" s="2" t="s">
        <v>24</v>
      </c>
      <c r="C18" s="15">
        <v>0.48914438967904239</v>
      </c>
      <c r="D18" s="15">
        <v>0.9092600737530705</v>
      </c>
    </row>
    <row r="19" spans="1:4" ht="15.75" customHeight="1">
      <c r="A19" s="14">
        <v>10602</v>
      </c>
      <c r="B19" s="2" t="s">
        <v>25</v>
      </c>
      <c r="C19" s="15">
        <v>0.60549012188730822</v>
      </c>
      <c r="D19" s="15">
        <v>0.61476944231059694</v>
      </c>
    </row>
    <row r="20" spans="1:4" ht="15.75" customHeight="1">
      <c r="A20" s="14">
        <v>10701</v>
      </c>
      <c r="B20" s="2" t="s">
        <v>26</v>
      </c>
      <c r="C20" s="15">
        <v>0.50213374618369666</v>
      </c>
      <c r="D20" s="15">
        <v>0.60162772007627197</v>
      </c>
    </row>
    <row r="21" spans="1:4" ht="15.75" customHeight="1">
      <c r="A21" s="14">
        <v>10702</v>
      </c>
      <c r="B21" s="2" t="s">
        <v>27</v>
      </c>
      <c r="C21" s="15">
        <v>0.54903292537941795</v>
      </c>
      <c r="D21" s="15">
        <v>0.76529408704797153</v>
      </c>
    </row>
    <row r="22" spans="1:4" ht="15.75" customHeight="1">
      <c r="A22" s="14">
        <v>10703</v>
      </c>
      <c r="B22" s="2" t="s">
        <v>28</v>
      </c>
      <c r="C22" s="15">
        <v>0.4716245733611274</v>
      </c>
      <c r="D22" s="15">
        <v>0.64382475199382694</v>
      </c>
    </row>
    <row r="23" spans="1:4" ht="15.75" customHeight="1">
      <c r="A23" s="14">
        <v>10704</v>
      </c>
      <c r="B23" s="2" t="s">
        <v>29</v>
      </c>
      <c r="C23" s="15">
        <v>0.50812320001897571</v>
      </c>
      <c r="D23" s="15">
        <v>0.51801669451287702</v>
      </c>
    </row>
    <row r="24" spans="1:4" ht="15.75" customHeight="1">
      <c r="A24" s="14">
        <v>10801</v>
      </c>
      <c r="B24" s="2" t="s">
        <v>30</v>
      </c>
      <c r="C24" s="15">
        <v>0.74207610028611515</v>
      </c>
      <c r="D24" s="15">
        <v>0.49033459438453497</v>
      </c>
    </row>
    <row r="25" spans="1:4" ht="15.75" customHeight="1">
      <c r="A25" s="14">
        <v>10901</v>
      </c>
      <c r="B25" s="2" t="s">
        <v>31</v>
      </c>
      <c r="C25" s="15">
        <v>0.83191005028607268</v>
      </c>
      <c r="D25" s="15">
        <v>0.41876783998178885</v>
      </c>
    </row>
    <row r="26" spans="1:4" ht="14.4">
      <c r="A26" s="14">
        <v>10902</v>
      </c>
      <c r="B26" s="2" t="s">
        <v>32</v>
      </c>
      <c r="C26" s="15">
        <v>0.72240596932055834</v>
      </c>
      <c r="D26" s="15">
        <v>0.63492494545940537</v>
      </c>
    </row>
    <row r="27" spans="1:4" ht="14.4">
      <c r="A27" s="14">
        <v>10903</v>
      </c>
      <c r="B27" s="2" t="s">
        <v>33</v>
      </c>
      <c r="C27" s="15">
        <v>1.0034580155057833</v>
      </c>
      <c r="D27" s="15">
        <v>1.7141146792795916</v>
      </c>
    </row>
    <row r="28" spans="1:4" ht="14.4">
      <c r="A28" s="14">
        <v>11001</v>
      </c>
      <c r="B28" s="2" t="s">
        <v>34</v>
      </c>
      <c r="C28" s="15">
        <v>0.53266853659832436</v>
      </c>
      <c r="D28" s="15">
        <v>0.38897432053312969</v>
      </c>
    </row>
    <row r="29" spans="1:4" ht="14.4">
      <c r="A29" s="14">
        <v>11002</v>
      </c>
      <c r="B29" s="2" t="s">
        <v>35</v>
      </c>
      <c r="C29" s="15">
        <v>0.87954329107933249</v>
      </c>
      <c r="D29" s="15">
        <v>1.796924104376213</v>
      </c>
    </row>
    <row r="30" spans="1:4" ht="14.4">
      <c r="A30" s="14">
        <v>11003</v>
      </c>
      <c r="B30" s="2" t="s">
        <v>36</v>
      </c>
      <c r="C30" s="15">
        <v>0.71780600952297058</v>
      </c>
      <c r="D30" s="15">
        <v>0.79661362743512365</v>
      </c>
    </row>
    <row r="31" spans="1:4" ht="14.4">
      <c r="A31" s="14">
        <v>20101</v>
      </c>
      <c r="B31" s="2" t="s">
        <v>37</v>
      </c>
      <c r="C31" s="15">
        <v>0.25778876307524867</v>
      </c>
      <c r="D31" s="15">
        <v>0.17623712760456292</v>
      </c>
    </row>
    <row r="32" spans="1:4" ht="14.4">
      <c r="A32" s="14">
        <v>20102</v>
      </c>
      <c r="B32" s="2" t="s">
        <v>38</v>
      </c>
      <c r="C32" s="15">
        <v>0.69580252439110468</v>
      </c>
      <c r="D32" s="15">
        <v>1.1804235229651201</v>
      </c>
    </row>
    <row r="33" spans="1:4" ht="14.4">
      <c r="A33" s="14">
        <v>20103</v>
      </c>
      <c r="B33" s="2" t="s">
        <v>39</v>
      </c>
      <c r="C33" s="15">
        <v>0.26400613680787655</v>
      </c>
      <c r="D33" s="15">
        <v>0.24061817666073507</v>
      </c>
    </row>
    <row r="34" spans="1:4" ht="14.4">
      <c r="A34" s="14">
        <v>20104</v>
      </c>
      <c r="B34" s="2" t="s">
        <v>40</v>
      </c>
      <c r="C34" s="15">
        <v>0.81396706831339094</v>
      </c>
      <c r="D34" s="15">
        <v>0.77519044396064796</v>
      </c>
    </row>
    <row r="35" spans="1:4" ht="14.4">
      <c r="A35" s="14">
        <v>20105</v>
      </c>
      <c r="B35" s="2" t="s">
        <v>41</v>
      </c>
      <c r="C35" s="15">
        <v>0.51464286369318823</v>
      </c>
      <c r="D35" s="15">
        <v>0.5252179642324627</v>
      </c>
    </row>
    <row r="36" spans="1:4" ht="14.4">
      <c r="A36" s="14">
        <v>20201</v>
      </c>
      <c r="B36" s="2" t="s">
        <v>42</v>
      </c>
      <c r="C36" s="15">
        <v>0.62489097466647703</v>
      </c>
      <c r="D36" s="15">
        <v>0.69459442490551282</v>
      </c>
    </row>
    <row r="37" spans="1:4" ht="14.4">
      <c r="A37" s="14">
        <v>20202</v>
      </c>
      <c r="B37" s="2" t="s">
        <v>43</v>
      </c>
      <c r="C37" s="15">
        <v>0.61792368611680126</v>
      </c>
      <c r="D37" s="15">
        <v>0.94172063800720074</v>
      </c>
    </row>
    <row r="38" spans="1:4" ht="14.4">
      <c r="A38" s="14">
        <v>20203</v>
      </c>
      <c r="B38" s="2" t="s">
        <v>44</v>
      </c>
      <c r="C38" s="15">
        <v>1.0599552212644976</v>
      </c>
      <c r="D38" s="15">
        <v>1.3702584136684943</v>
      </c>
    </row>
    <row r="39" spans="1:4" ht="14.4">
      <c r="A39" s="14">
        <v>20204</v>
      </c>
      <c r="B39" s="2" t="s">
        <v>45</v>
      </c>
      <c r="C39" s="15">
        <v>0.94963750219603915</v>
      </c>
      <c r="D39" s="15">
        <v>0.92547207958609001</v>
      </c>
    </row>
    <row r="40" spans="1:4" ht="14.4">
      <c r="A40" s="14">
        <v>20205</v>
      </c>
      <c r="B40" s="2" t="s">
        <v>46</v>
      </c>
      <c r="C40" s="15">
        <v>0.64920188980207638</v>
      </c>
      <c r="D40" s="15">
        <v>2.1169333609265082</v>
      </c>
    </row>
    <row r="41" spans="1:4" ht="14.4">
      <c r="A41" s="14">
        <v>20206</v>
      </c>
      <c r="B41" s="2" t="s">
        <v>47</v>
      </c>
      <c r="C41" s="15">
        <v>0.66102709620075484</v>
      </c>
      <c r="D41" s="15">
        <v>0.63157547611889464</v>
      </c>
    </row>
    <row r="42" spans="1:4" ht="14.4">
      <c r="A42" s="14">
        <v>20301</v>
      </c>
      <c r="B42" s="2" t="s">
        <v>48</v>
      </c>
      <c r="C42" s="15">
        <v>0.66464168405280688</v>
      </c>
      <c r="D42" s="15">
        <v>0.62505644934350491</v>
      </c>
    </row>
    <row r="43" spans="1:4" ht="14.4">
      <c r="A43" s="14">
        <v>20302</v>
      </c>
      <c r="B43" s="2" t="s">
        <v>49</v>
      </c>
      <c r="C43" s="15">
        <v>0.85599293645966734</v>
      </c>
      <c r="D43" s="15">
        <v>0.80817468397646597</v>
      </c>
    </row>
    <row r="44" spans="1:4" ht="14.4">
      <c r="A44" s="14">
        <v>20303</v>
      </c>
      <c r="B44" s="2" t="s">
        <v>50</v>
      </c>
      <c r="C44" s="15">
        <v>0.85770671793974063</v>
      </c>
      <c r="D44" s="15">
        <v>0.6998140006521183</v>
      </c>
    </row>
    <row r="45" spans="1:4" ht="14.4">
      <c r="A45" s="14">
        <v>20304</v>
      </c>
      <c r="B45" s="2" t="s">
        <v>51</v>
      </c>
      <c r="C45" s="15">
        <v>0.24881271716382317</v>
      </c>
      <c r="D45" s="15">
        <v>0.66614465615014662</v>
      </c>
    </row>
    <row r="46" spans="1:4" ht="14.4">
      <c r="A46" s="14">
        <v>20305</v>
      </c>
      <c r="B46" s="2" t="s">
        <v>52</v>
      </c>
      <c r="C46" s="15">
        <v>0.710553066739957</v>
      </c>
      <c r="D46" s="15">
        <v>0.8118952422819361</v>
      </c>
    </row>
    <row r="47" spans="1:4" ht="14.4">
      <c r="A47" s="14">
        <v>20306</v>
      </c>
      <c r="B47" s="2" t="s">
        <v>53</v>
      </c>
      <c r="C47" s="15">
        <v>0.75360208513137172</v>
      </c>
      <c r="D47" s="15">
        <v>0.9708598939409272</v>
      </c>
    </row>
    <row r="48" spans="1:4" ht="14.4">
      <c r="A48" s="14">
        <v>20307</v>
      </c>
      <c r="B48" s="2" t="s">
        <v>54</v>
      </c>
      <c r="C48" s="15">
        <v>1.3068098728130262</v>
      </c>
      <c r="D48" s="15">
        <v>0.67785941181966347</v>
      </c>
    </row>
    <row r="49" spans="1:4" ht="14.4">
      <c r="A49" s="14">
        <v>20308</v>
      </c>
      <c r="B49" s="2" t="s">
        <v>55</v>
      </c>
      <c r="C49" s="15">
        <v>0.78063980812858447</v>
      </c>
      <c r="D49" s="15">
        <v>0.69966396048678425</v>
      </c>
    </row>
    <row r="50" spans="1:4" ht="14.4">
      <c r="A50" s="14">
        <v>20401</v>
      </c>
      <c r="B50" s="2" t="s">
        <v>56</v>
      </c>
      <c r="C50" s="15">
        <v>0.9442160571284024</v>
      </c>
      <c r="D50" s="15">
        <v>0.57542644298170231</v>
      </c>
    </row>
    <row r="51" spans="1:4" ht="14.4">
      <c r="A51" s="14">
        <v>20402</v>
      </c>
      <c r="B51" s="2" t="s">
        <v>57</v>
      </c>
      <c r="C51" s="15">
        <v>0.60907666385103465</v>
      </c>
      <c r="D51" s="15">
        <v>0.85311328487348148</v>
      </c>
    </row>
    <row r="52" spans="1:4" ht="14.4">
      <c r="A52" s="14">
        <v>20403</v>
      </c>
      <c r="B52" s="2" t="s">
        <v>58</v>
      </c>
      <c r="C52" s="15">
        <v>0.51928302489732647</v>
      </c>
      <c r="D52" s="15">
        <v>0.83563165490836067</v>
      </c>
    </row>
    <row r="53" spans="1:4" ht="14.4">
      <c r="A53" s="14">
        <v>20404</v>
      </c>
      <c r="B53" s="2" t="s">
        <v>59</v>
      </c>
      <c r="C53" s="15">
        <v>0.81236512739250444</v>
      </c>
      <c r="D53" s="15">
        <v>1.0553011087676734</v>
      </c>
    </row>
    <row r="54" spans="1:4" ht="14.4">
      <c r="A54" s="14">
        <v>20405</v>
      </c>
      <c r="B54" s="2" t="s">
        <v>60</v>
      </c>
      <c r="C54" s="15">
        <v>0.58786481775908628</v>
      </c>
      <c r="D54" s="15">
        <v>0.85930404513929737</v>
      </c>
    </row>
    <row r="55" spans="1:4" ht="14.4">
      <c r="A55" s="14">
        <v>20501</v>
      </c>
      <c r="B55" s="2" t="s">
        <v>61</v>
      </c>
      <c r="C55" s="15">
        <v>0.57764615746918124</v>
      </c>
      <c r="D55" s="15">
        <v>0.62101615299638391</v>
      </c>
    </row>
    <row r="56" spans="1:4" ht="14.4">
      <c r="A56" s="14">
        <v>20502</v>
      </c>
      <c r="B56" s="2" t="s">
        <v>62</v>
      </c>
      <c r="C56" s="15">
        <v>0.34888389393446639</v>
      </c>
      <c r="D56" s="15">
        <v>0.85444907775405798</v>
      </c>
    </row>
    <row r="57" spans="1:4" ht="14.4">
      <c r="A57" s="14">
        <v>20503</v>
      </c>
      <c r="B57" s="2" t="s">
        <v>63</v>
      </c>
      <c r="C57" s="15">
        <v>0.54663322006569293</v>
      </c>
      <c r="D57" s="15">
        <v>0.90531149170960967</v>
      </c>
    </row>
    <row r="58" spans="1:4" ht="14.4">
      <c r="A58" s="14">
        <v>20601</v>
      </c>
      <c r="B58" s="2" t="s">
        <v>64</v>
      </c>
      <c r="C58" s="15">
        <v>0.92359194970028735</v>
      </c>
      <c r="D58" s="15">
        <v>0.93105452396331878</v>
      </c>
    </row>
    <row r="59" spans="1:4" ht="14.4">
      <c r="A59" s="14">
        <v>20602</v>
      </c>
      <c r="B59" s="2" t="s">
        <v>65</v>
      </c>
      <c r="C59" s="15">
        <v>0.53804574177748465</v>
      </c>
      <c r="D59" s="15">
        <v>0.70909074446571074</v>
      </c>
    </row>
    <row r="60" spans="1:4" ht="14.4">
      <c r="A60" s="14">
        <v>20603</v>
      </c>
      <c r="B60" s="2" t="s">
        <v>66</v>
      </c>
      <c r="C60" s="15">
        <v>0.74052021682840852</v>
      </c>
      <c r="D60" s="15">
        <v>1.2088768358459034</v>
      </c>
    </row>
    <row r="61" spans="1:4" ht="14.4">
      <c r="A61" s="14">
        <v>20604</v>
      </c>
      <c r="B61" s="2" t="s">
        <v>67</v>
      </c>
      <c r="C61" s="15">
        <v>0.4914400307976371</v>
      </c>
      <c r="D61" s="15">
        <v>0.59180593072285526</v>
      </c>
    </row>
    <row r="62" spans="1:4" ht="14.4">
      <c r="A62" s="14">
        <v>20605</v>
      </c>
      <c r="B62" s="2" t="s">
        <v>68</v>
      </c>
      <c r="C62" s="15">
        <v>0.56416463063107425</v>
      </c>
      <c r="D62" s="15">
        <v>0.59026411086493047</v>
      </c>
    </row>
    <row r="63" spans="1:4" ht="14.4">
      <c r="A63" s="14">
        <v>20606</v>
      </c>
      <c r="B63" s="2" t="s">
        <v>69</v>
      </c>
      <c r="C63" s="15">
        <v>0.78944177901621859</v>
      </c>
      <c r="D63" s="15">
        <v>0.7601365976697112</v>
      </c>
    </row>
    <row r="64" spans="1:4" ht="14.4">
      <c r="A64" s="14">
        <v>20607</v>
      </c>
      <c r="B64" s="2" t="s">
        <v>70</v>
      </c>
      <c r="C64" s="15">
        <v>0.66460008465459142</v>
      </c>
      <c r="D64" s="15">
        <v>0.97522508125214824</v>
      </c>
    </row>
    <row r="65" spans="1:4" ht="14.4">
      <c r="A65" s="14">
        <v>20608</v>
      </c>
      <c r="B65" s="2" t="s">
        <v>71</v>
      </c>
      <c r="C65" s="15">
        <v>0.65841654236328429</v>
      </c>
      <c r="D65" s="15">
        <v>0.86719219710980922</v>
      </c>
    </row>
    <row r="66" spans="1:4" ht="14.4">
      <c r="A66" s="14">
        <v>20701</v>
      </c>
      <c r="B66" s="2" t="s">
        <v>72</v>
      </c>
      <c r="C66" s="15">
        <v>0.52873279964304043</v>
      </c>
      <c r="D66" s="15">
        <v>0.5155435264277084</v>
      </c>
    </row>
    <row r="67" spans="1:4" ht="14.4">
      <c r="A67" s="14">
        <v>20702</v>
      </c>
      <c r="B67" s="2" t="s">
        <v>73</v>
      </c>
      <c r="C67" s="15">
        <v>0.59919387517091049</v>
      </c>
      <c r="D67" s="15">
        <v>1.2393701674004065</v>
      </c>
    </row>
    <row r="68" spans="1:4" ht="14.4">
      <c r="A68" s="14">
        <v>20801</v>
      </c>
      <c r="B68" s="2" t="s">
        <v>74</v>
      </c>
      <c r="C68" s="15">
        <v>0.65034193333930657</v>
      </c>
      <c r="D68" s="15">
        <v>0.74302313339144632</v>
      </c>
    </row>
    <row r="69" spans="1:4" ht="14.4">
      <c r="A69" s="14">
        <v>20802</v>
      </c>
      <c r="B69" s="2" t="s">
        <v>75</v>
      </c>
      <c r="C69" s="15">
        <v>0.94210927726011606</v>
      </c>
      <c r="D69" s="15">
        <v>0.77586449661474932</v>
      </c>
    </row>
    <row r="70" spans="1:4" ht="14.4">
      <c r="A70" s="14">
        <v>20803</v>
      </c>
      <c r="B70" s="2" t="s">
        <v>76</v>
      </c>
      <c r="C70" s="15">
        <v>0.51637172291154754</v>
      </c>
      <c r="D70" s="15">
        <v>0.50358853915780877</v>
      </c>
    </row>
    <row r="71" spans="1:4" ht="14.4">
      <c r="A71" s="14">
        <v>20804</v>
      </c>
      <c r="B71" s="2" t="s">
        <v>77</v>
      </c>
      <c r="C71" s="15">
        <v>0.60051865629495704</v>
      </c>
      <c r="D71" s="15">
        <v>0.64006654851612454</v>
      </c>
    </row>
    <row r="72" spans="1:4" ht="14.4">
      <c r="A72" s="14">
        <v>20805</v>
      </c>
      <c r="B72" s="2" t="s">
        <v>78</v>
      </c>
      <c r="C72" s="15">
        <v>0.87315064352458127</v>
      </c>
      <c r="D72" s="15">
        <v>1.0976518415653831</v>
      </c>
    </row>
    <row r="73" spans="1:4" ht="14.4">
      <c r="A73" s="14">
        <v>20806</v>
      </c>
      <c r="B73" s="2" t="s">
        <v>79</v>
      </c>
      <c r="C73" s="15">
        <v>0.65675271816344327</v>
      </c>
      <c r="D73" s="15">
        <v>0.73384817322840623</v>
      </c>
    </row>
    <row r="74" spans="1:4" ht="14.4">
      <c r="A74" s="14">
        <v>20807</v>
      </c>
      <c r="B74" s="2" t="s">
        <v>80</v>
      </c>
      <c r="C74" s="15">
        <v>1.040484902804629</v>
      </c>
      <c r="D74" s="15">
        <v>0.95375918892167322</v>
      </c>
    </row>
    <row r="75" spans="1:4" ht="14.4">
      <c r="A75" s="14">
        <v>20901</v>
      </c>
      <c r="B75" s="2" t="s">
        <v>81</v>
      </c>
      <c r="C75" s="15">
        <v>0.88018276066241152</v>
      </c>
      <c r="D75" s="15">
        <v>0.9247408055935028</v>
      </c>
    </row>
    <row r="76" spans="1:4" ht="14.4">
      <c r="A76" s="14">
        <v>20902</v>
      </c>
      <c r="B76" s="2" t="s">
        <v>82</v>
      </c>
      <c r="C76" s="15">
        <v>0.7976800947836723</v>
      </c>
      <c r="D76" s="15">
        <v>0.54327857794775003</v>
      </c>
    </row>
    <row r="77" spans="1:4" ht="14.4">
      <c r="A77" s="14">
        <v>20903</v>
      </c>
      <c r="B77" s="2" t="s">
        <v>83</v>
      </c>
      <c r="C77" s="15">
        <v>0.93699826985501999</v>
      </c>
      <c r="D77" s="15">
        <v>1.078853684021529</v>
      </c>
    </row>
    <row r="78" spans="1:4" ht="14.4">
      <c r="A78" s="14">
        <v>20904</v>
      </c>
      <c r="B78" s="2" t="s">
        <v>84</v>
      </c>
      <c r="C78" s="15">
        <v>1.1397707289847898</v>
      </c>
      <c r="D78" s="15">
        <v>1.2501365385865533</v>
      </c>
    </row>
    <row r="79" spans="1:4" ht="14.4">
      <c r="A79" s="14">
        <v>20905</v>
      </c>
      <c r="B79" s="2" t="s">
        <v>85</v>
      </c>
      <c r="C79" s="15">
        <v>0.53749497313210903</v>
      </c>
      <c r="D79" s="15">
        <v>1.1161765231065919</v>
      </c>
    </row>
    <row r="80" spans="1:4" ht="14.4">
      <c r="A80" s="14">
        <v>21001</v>
      </c>
      <c r="B80" s="2" t="s">
        <v>86</v>
      </c>
      <c r="C80" s="15">
        <v>0.53311440584370062</v>
      </c>
      <c r="D80" s="15">
        <v>0.73290840324704409</v>
      </c>
    </row>
    <row r="81" spans="1:4" ht="14.4">
      <c r="A81" s="14">
        <v>21002</v>
      </c>
      <c r="B81" s="2" t="s">
        <v>87</v>
      </c>
      <c r="C81" s="15">
        <v>0.45723854019062604</v>
      </c>
      <c r="D81" s="15">
        <v>0.45371777619558795</v>
      </c>
    </row>
    <row r="82" spans="1:4" ht="14.4">
      <c r="A82" s="14">
        <v>21003</v>
      </c>
      <c r="B82" s="2" t="s">
        <v>88</v>
      </c>
      <c r="C82" s="15">
        <v>0.7413162099308942</v>
      </c>
      <c r="D82" s="15">
        <v>0.5786442327654564</v>
      </c>
    </row>
    <row r="83" spans="1:4" ht="14.4">
      <c r="A83" s="14">
        <v>21004</v>
      </c>
      <c r="B83" s="2" t="s">
        <v>89</v>
      </c>
      <c r="C83" s="15">
        <v>0.4608619365550134</v>
      </c>
      <c r="D83" s="15">
        <v>0.56126541473931091</v>
      </c>
    </row>
    <row r="84" spans="1:4" ht="14.4">
      <c r="A84" s="14">
        <v>21005</v>
      </c>
      <c r="B84" s="2" t="s">
        <v>90</v>
      </c>
      <c r="C84" s="15">
        <v>0.74695615057772724</v>
      </c>
      <c r="D84" s="15">
        <v>0.84931490436310686</v>
      </c>
    </row>
    <row r="85" spans="1:4" ht="14.4">
      <c r="A85" s="14">
        <v>21006</v>
      </c>
      <c r="B85" s="2" t="s">
        <v>91</v>
      </c>
      <c r="C85" s="15">
        <v>0.43695256175217656</v>
      </c>
      <c r="D85" s="15">
        <v>0.65100483219001326</v>
      </c>
    </row>
    <row r="86" spans="1:4" ht="14.4">
      <c r="A86" s="14">
        <v>21101</v>
      </c>
      <c r="B86" s="2" t="s">
        <v>92</v>
      </c>
      <c r="C86" s="15">
        <v>0.77987978847650818</v>
      </c>
      <c r="D86" s="15">
        <v>1.055753262158956</v>
      </c>
    </row>
    <row r="87" spans="1:4" ht="14.4">
      <c r="A87" s="14">
        <v>21102</v>
      </c>
      <c r="B87" s="2" t="s">
        <v>93</v>
      </c>
      <c r="C87" s="15">
        <v>0.67000854686719402</v>
      </c>
      <c r="D87" s="15">
        <v>0.86302436177243425</v>
      </c>
    </row>
    <row r="88" spans="1:4" ht="14.4">
      <c r="A88" s="14">
        <v>21103</v>
      </c>
      <c r="B88" s="2" t="s">
        <v>94</v>
      </c>
      <c r="C88" s="15">
        <v>0.57935254380049328</v>
      </c>
      <c r="D88" s="15">
        <v>0.53190284052690329</v>
      </c>
    </row>
    <row r="89" spans="1:4" ht="14.4">
      <c r="A89" s="14">
        <v>21104</v>
      </c>
      <c r="B89" s="2" t="s">
        <v>95</v>
      </c>
      <c r="C89" s="15">
        <v>0.85859911164541303</v>
      </c>
      <c r="D89" s="15">
        <v>0.65349776443908547</v>
      </c>
    </row>
    <row r="90" spans="1:4" ht="14.4">
      <c r="A90" s="14">
        <v>21105</v>
      </c>
      <c r="B90" s="2" t="s">
        <v>96</v>
      </c>
      <c r="C90" s="15">
        <v>0.85033492931779775</v>
      </c>
      <c r="D90" s="15">
        <v>0.91416255992578443</v>
      </c>
    </row>
    <row r="91" spans="1:4" ht="14.4">
      <c r="A91" s="14">
        <v>21201</v>
      </c>
      <c r="B91" s="2" t="s">
        <v>97</v>
      </c>
      <c r="C91" s="15">
        <v>0.86037098551343905</v>
      </c>
      <c r="D91" s="15">
        <v>1.0308860072539221</v>
      </c>
    </row>
    <row r="92" spans="1:4" ht="14.4">
      <c r="A92" s="14">
        <v>21202</v>
      </c>
      <c r="B92" s="2" t="s">
        <v>98</v>
      </c>
      <c r="C92" s="15">
        <v>0.85349903577916286</v>
      </c>
      <c r="D92" s="15">
        <v>0.81074762201694961</v>
      </c>
    </row>
    <row r="93" spans="1:4" ht="14.4">
      <c r="A93" s="14">
        <v>21203</v>
      </c>
      <c r="B93" s="2" t="s">
        <v>99</v>
      </c>
      <c r="C93" s="15">
        <v>0.52335282527367888</v>
      </c>
      <c r="D93" s="15">
        <v>1.0500609168253641</v>
      </c>
    </row>
    <row r="94" spans="1:4" ht="14.4">
      <c r="A94" s="14">
        <v>21204</v>
      </c>
      <c r="B94" s="2" t="s">
        <v>100</v>
      </c>
      <c r="C94" s="15">
        <v>0.71503895059308664</v>
      </c>
      <c r="D94" s="15">
        <v>0.53772965220002855</v>
      </c>
    </row>
    <row r="95" spans="1:4" ht="14.4">
      <c r="A95" s="14">
        <v>21301</v>
      </c>
      <c r="B95" s="2" t="s">
        <v>101</v>
      </c>
      <c r="C95" s="15">
        <v>0.56998556531935518</v>
      </c>
      <c r="D95" s="15">
        <v>0.73093237281996881</v>
      </c>
    </row>
    <row r="96" spans="1:4" ht="14.4">
      <c r="A96" s="14">
        <v>21302</v>
      </c>
      <c r="B96" s="2" t="s">
        <v>102</v>
      </c>
      <c r="C96" s="15">
        <v>0.76809435058362441</v>
      </c>
      <c r="D96" s="15">
        <v>0.56415849994439027</v>
      </c>
    </row>
    <row r="97" spans="1:4" ht="14.4">
      <c r="A97" s="14">
        <v>21303</v>
      </c>
      <c r="B97" s="2" t="s">
        <v>103</v>
      </c>
      <c r="C97" s="15">
        <v>1.0568914545175674</v>
      </c>
      <c r="D97" s="15">
        <v>1.0654754905131205</v>
      </c>
    </row>
    <row r="98" spans="1:4" ht="14.4">
      <c r="A98" s="14">
        <v>21304</v>
      </c>
      <c r="B98" s="2" t="s">
        <v>104</v>
      </c>
      <c r="C98" s="15">
        <v>0.85626353348959472</v>
      </c>
      <c r="D98" s="15">
        <v>0.95029987437301544</v>
      </c>
    </row>
    <row r="99" spans="1:4" ht="14.4">
      <c r="A99" s="14">
        <v>21305</v>
      </c>
      <c r="B99" s="2" t="s">
        <v>105</v>
      </c>
      <c r="C99" s="15">
        <v>0.57616506694526037</v>
      </c>
      <c r="D99" s="15">
        <v>0.84652294361513492</v>
      </c>
    </row>
    <row r="100" spans="1:4" ht="14.4">
      <c r="A100" s="14">
        <v>21306</v>
      </c>
      <c r="B100" s="2" t="s">
        <v>106</v>
      </c>
      <c r="C100" s="15">
        <v>0.81433671735570012</v>
      </c>
      <c r="D100" s="15">
        <v>1.2629575114434122</v>
      </c>
    </row>
    <row r="101" spans="1:4" ht="14.4">
      <c r="A101" s="14">
        <v>21307</v>
      </c>
      <c r="B101" s="2" t="s">
        <v>107</v>
      </c>
      <c r="C101" s="15">
        <v>1.0859167931777944</v>
      </c>
      <c r="D101" s="15">
        <v>1.3038686317241435</v>
      </c>
    </row>
    <row r="102" spans="1:4" ht="14.4">
      <c r="A102" s="14">
        <v>21401</v>
      </c>
      <c r="B102" s="2" t="s">
        <v>108</v>
      </c>
      <c r="C102" s="15">
        <v>0.63606205523162862</v>
      </c>
      <c r="D102" s="15">
        <v>0.79743741933235024</v>
      </c>
    </row>
    <row r="103" spans="1:4" ht="14.4">
      <c r="A103" s="14">
        <v>21402</v>
      </c>
      <c r="B103" s="2" t="s">
        <v>109</v>
      </c>
      <c r="C103" s="15">
        <v>0.66571898431322507</v>
      </c>
      <c r="D103" s="15">
        <v>0.91820937752811049</v>
      </c>
    </row>
    <row r="104" spans="1:4" ht="14.4">
      <c r="A104" s="14">
        <v>21501</v>
      </c>
      <c r="B104" s="2" t="s">
        <v>110</v>
      </c>
      <c r="C104" s="15">
        <v>0.747562758124519</v>
      </c>
      <c r="D104" s="15">
        <v>0.66051584372667405</v>
      </c>
    </row>
    <row r="105" spans="1:4" ht="14.4">
      <c r="A105" s="14">
        <v>21502</v>
      </c>
      <c r="B105" s="2" t="s">
        <v>111</v>
      </c>
      <c r="C105" s="15">
        <v>0.533511171640493</v>
      </c>
      <c r="D105" s="15">
        <v>0.82434554254619619</v>
      </c>
    </row>
    <row r="106" spans="1:4" ht="14.4">
      <c r="A106" s="14">
        <v>21601</v>
      </c>
      <c r="B106" s="2" t="s">
        <v>112</v>
      </c>
      <c r="C106" s="15">
        <v>0.66894475547578869</v>
      </c>
      <c r="D106" s="15">
        <v>0.88738566732845015</v>
      </c>
    </row>
    <row r="107" spans="1:4" ht="14.4">
      <c r="A107" s="14">
        <v>21602</v>
      </c>
      <c r="B107" s="2" t="s">
        <v>113</v>
      </c>
      <c r="C107" s="15">
        <v>0.8644068995500136</v>
      </c>
      <c r="D107" s="15">
        <v>0.84598018636023098</v>
      </c>
    </row>
    <row r="108" spans="1:4" ht="14.4">
      <c r="A108" s="14">
        <v>21701</v>
      </c>
      <c r="B108" s="2" t="s">
        <v>114</v>
      </c>
      <c r="C108" s="15">
        <v>0.34900904145692679</v>
      </c>
      <c r="D108" s="15">
        <v>0.5502252094335881</v>
      </c>
    </row>
    <row r="109" spans="1:4" ht="14.4">
      <c r="A109" s="14">
        <v>21702</v>
      </c>
      <c r="B109" s="2" t="s">
        <v>115</v>
      </c>
      <c r="C109" s="15">
        <v>0.67801968715916783</v>
      </c>
      <c r="D109" s="15">
        <v>0.8275244468948999</v>
      </c>
    </row>
    <row r="110" spans="1:4" ht="14.4">
      <c r="A110" s="14">
        <v>21703</v>
      </c>
      <c r="B110" s="2" t="s">
        <v>116</v>
      </c>
      <c r="C110" s="15">
        <v>0.90983777863047954</v>
      </c>
      <c r="D110" s="15">
        <v>0.69246783973213688</v>
      </c>
    </row>
    <row r="111" spans="1:4" ht="14.4">
      <c r="A111" s="14">
        <v>21801</v>
      </c>
      <c r="B111" s="2" t="s">
        <v>117</v>
      </c>
      <c r="C111" s="15">
        <v>0.88239136587961153</v>
      </c>
      <c r="D111" s="15">
        <v>1.0199883188854195</v>
      </c>
    </row>
    <row r="112" spans="1:4" ht="14.4">
      <c r="A112" s="14">
        <v>21802</v>
      </c>
      <c r="B112" s="2" t="s">
        <v>118</v>
      </c>
      <c r="C112" s="15">
        <v>1.3341225302140214</v>
      </c>
      <c r="D112" s="15">
        <v>1.0731194040495589</v>
      </c>
    </row>
    <row r="113" spans="1:4" ht="14.4">
      <c r="A113" s="14">
        <v>21803</v>
      </c>
      <c r="B113" s="2" t="s">
        <v>119</v>
      </c>
      <c r="C113" s="15">
        <v>1.0014086953215284</v>
      </c>
      <c r="D113" s="15">
        <v>1.0022574925948491</v>
      </c>
    </row>
    <row r="114" spans="1:4" ht="14.4">
      <c r="A114" s="14">
        <v>21901</v>
      </c>
      <c r="B114" s="2" t="s">
        <v>120</v>
      </c>
      <c r="C114" s="15">
        <v>1.0406515357622859</v>
      </c>
      <c r="D114" s="15">
        <v>0.63377049995493662</v>
      </c>
    </row>
    <row r="115" spans="1:4" ht="14.4">
      <c r="A115" s="14">
        <v>21902</v>
      </c>
      <c r="B115" s="2" t="s">
        <v>121</v>
      </c>
      <c r="C115" s="15">
        <v>1.0354466596822531</v>
      </c>
      <c r="D115" s="15">
        <v>0.85578044181895374</v>
      </c>
    </row>
    <row r="116" spans="1:4" ht="14.4">
      <c r="A116" s="14">
        <v>22001</v>
      </c>
      <c r="B116" s="2" t="s">
        <v>122</v>
      </c>
      <c r="C116" s="15">
        <v>0.6138416920816111</v>
      </c>
      <c r="D116" s="15">
        <v>0.86012313257409712</v>
      </c>
    </row>
    <row r="117" spans="1:4" ht="14.4">
      <c r="A117" s="14">
        <v>22002</v>
      </c>
      <c r="B117" s="2" t="s">
        <v>123</v>
      </c>
      <c r="C117" s="15">
        <v>0.90410904307529416</v>
      </c>
      <c r="D117" s="15">
        <v>0.96984668702474097</v>
      </c>
    </row>
    <row r="118" spans="1:4" ht="14.4">
      <c r="A118" s="14">
        <v>30101</v>
      </c>
      <c r="B118" s="2" t="s">
        <v>124</v>
      </c>
      <c r="C118" s="15">
        <v>0.31393866478072668</v>
      </c>
      <c r="D118" s="15">
        <v>0.31686640331777982</v>
      </c>
    </row>
    <row r="119" spans="1:4" ht="14.4">
      <c r="A119" s="14">
        <v>30201</v>
      </c>
      <c r="B119" s="2" t="s">
        <v>125</v>
      </c>
      <c r="C119" s="15">
        <v>0.30005231965643636</v>
      </c>
      <c r="D119" s="15">
        <v>0.65912283740353717</v>
      </c>
    </row>
    <row r="120" spans="1:4" ht="14.4">
      <c r="A120" s="14">
        <v>30202</v>
      </c>
      <c r="B120" s="2" t="s">
        <v>126</v>
      </c>
      <c r="C120" s="15">
        <v>0.64014548882438127</v>
      </c>
      <c r="D120" s="15">
        <v>0.55625999596792752</v>
      </c>
    </row>
    <row r="121" spans="1:4" ht="14.4">
      <c r="A121" s="14">
        <v>30203</v>
      </c>
      <c r="B121" s="2" t="s">
        <v>127</v>
      </c>
      <c r="C121" s="15">
        <v>0.38574681413426415</v>
      </c>
      <c r="D121" s="15">
        <v>0.77842424783901998</v>
      </c>
    </row>
    <row r="122" spans="1:4" ht="14.4">
      <c r="A122" s="14">
        <v>30301</v>
      </c>
      <c r="B122" s="2" t="s">
        <v>128</v>
      </c>
      <c r="C122" s="15">
        <v>0.38053326670401433</v>
      </c>
      <c r="D122" s="15">
        <v>0.55440458388766001</v>
      </c>
    </row>
    <row r="123" spans="1:4" ht="14.4">
      <c r="A123" s="14">
        <v>30302</v>
      </c>
      <c r="B123" s="2" t="s">
        <v>129</v>
      </c>
      <c r="C123" s="15">
        <v>0.78291300097451533</v>
      </c>
      <c r="D123" s="15">
        <v>1.2541812302481388</v>
      </c>
    </row>
    <row r="124" spans="1:4" ht="14.4">
      <c r="A124" s="14">
        <v>30303</v>
      </c>
      <c r="B124" s="2" t="s">
        <v>130</v>
      </c>
      <c r="C124" s="15">
        <v>0.89611024865712929</v>
      </c>
      <c r="D124" s="15">
        <v>1.1271157111372578</v>
      </c>
    </row>
    <row r="125" spans="1:4" ht="14.4">
      <c r="A125" s="14">
        <v>30401</v>
      </c>
      <c r="B125" s="2" t="s">
        <v>131</v>
      </c>
      <c r="C125" s="15">
        <v>0.21952807621346468</v>
      </c>
      <c r="D125" s="15">
        <v>0.59045924029119901</v>
      </c>
    </row>
    <row r="126" spans="1:4" ht="14.4">
      <c r="A126" s="14">
        <v>30402</v>
      </c>
      <c r="B126" s="2" t="s">
        <v>132</v>
      </c>
      <c r="C126" s="15">
        <v>0.4445471886580048</v>
      </c>
      <c r="D126" s="15">
        <v>0.81832761366682083</v>
      </c>
    </row>
    <row r="127" spans="1:4" ht="14.4">
      <c r="A127" s="14">
        <v>30403</v>
      </c>
      <c r="B127" s="2" t="s">
        <v>133</v>
      </c>
      <c r="C127" s="15">
        <v>0.74988537297558455</v>
      </c>
      <c r="D127" s="15">
        <v>0.94156582329117733</v>
      </c>
    </row>
    <row r="128" spans="1:4" ht="14.4">
      <c r="A128" s="14">
        <v>30404</v>
      </c>
      <c r="B128" s="2" t="s">
        <v>134</v>
      </c>
      <c r="C128" s="15">
        <v>0.92038104067472148</v>
      </c>
      <c r="D128" s="15">
        <v>1.1239090992570737</v>
      </c>
    </row>
    <row r="129" spans="1:4" ht="14.4">
      <c r="A129" s="14">
        <v>30501</v>
      </c>
      <c r="B129" s="2" t="s">
        <v>135</v>
      </c>
      <c r="C129" s="15">
        <v>0.23495149952216529</v>
      </c>
      <c r="D129" s="15">
        <v>0.40920854782390137</v>
      </c>
    </row>
    <row r="130" spans="1:4" ht="14.4">
      <c r="A130" s="14">
        <v>30502</v>
      </c>
      <c r="B130" s="2" t="s">
        <v>136</v>
      </c>
      <c r="C130" s="15">
        <v>0.79040040817975621</v>
      </c>
      <c r="D130" s="15">
        <v>1.0563125261275614</v>
      </c>
    </row>
    <row r="131" spans="1:4" ht="14.4">
      <c r="A131" s="14">
        <v>30601</v>
      </c>
      <c r="B131" s="2" t="s">
        <v>137</v>
      </c>
      <c r="C131" s="15">
        <v>0.4712295040076957</v>
      </c>
      <c r="D131" s="15">
        <v>0.66600321299815546</v>
      </c>
    </row>
    <row r="132" spans="1:4" ht="14.4">
      <c r="A132" s="14">
        <v>30602</v>
      </c>
      <c r="B132" s="2" t="s">
        <v>138</v>
      </c>
      <c r="C132" s="15">
        <v>0.62371915951694745</v>
      </c>
      <c r="D132" s="15">
        <v>0.80659368856511982</v>
      </c>
    </row>
    <row r="133" spans="1:4" ht="14.4">
      <c r="A133" s="14">
        <v>30701</v>
      </c>
      <c r="B133" s="2" t="s">
        <v>139</v>
      </c>
      <c r="C133" s="15">
        <v>0.40331128222346668</v>
      </c>
      <c r="D133" s="15">
        <v>0.57700148268984264</v>
      </c>
    </row>
    <row r="134" spans="1:4" ht="14.4">
      <c r="A134" s="14">
        <v>30702</v>
      </c>
      <c r="B134" s="2" t="s">
        <v>140</v>
      </c>
      <c r="C134" s="15">
        <v>0.42282944375055564</v>
      </c>
      <c r="D134" s="15">
        <v>1.1112441201693255</v>
      </c>
    </row>
    <row r="135" spans="1:4" ht="14.4">
      <c r="A135" s="14">
        <v>30703</v>
      </c>
      <c r="B135" s="2" t="s">
        <v>141</v>
      </c>
      <c r="C135" s="15">
        <v>0.59801509783472528</v>
      </c>
      <c r="D135" s="15">
        <v>1.5048499404158315</v>
      </c>
    </row>
    <row r="136" spans="1:4" ht="14.4">
      <c r="A136" s="14">
        <v>30801</v>
      </c>
      <c r="B136" s="2" t="s">
        <v>142</v>
      </c>
      <c r="C136" s="15">
        <v>0.96904143582622626</v>
      </c>
      <c r="D136" s="15">
        <v>1.1166326789279184</v>
      </c>
    </row>
    <row r="137" spans="1:4" ht="14.4">
      <c r="A137" s="14">
        <v>30802</v>
      </c>
      <c r="B137" s="2" t="s">
        <v>143</v>
      </c>
      <c r="C137" s="15">
        <v>0.54625551406775208</v>
      </c>
      <c r="D137" s="15">
        <v>0.86324914743263659</v>
      </c>
    </row>
    <row r="138" spans="1:4" ht="14.4">
      <c r="A138" s="14">
        <v>30803</v>
      </c>
      <c r="B138" s="2" t="s">
        <v>144</v>
      </c>
      <c r="C138" s="15">
        <v>0.55975639788845288</v>
      </c>
      <c r="D138" s="15">
        <v>0.79682380015736509</v>
      </c>
    </row>
    <row r="139" spans="1:4" ht="14.4">
      <c r="A139" s="14">
        <v>30901</v>
      </c>
      <c r="B139" s="2" t="s">
        <v>145</v>
      </c>
      <c r="C139" s="15">
        <v>0.4537119474437154</v>
      </c>
      <c r="D139" s="15">
        <v>0.42066980126416625</v>
      </c>
    </row>
    <row r="140" spans="1:4" ht="14.4">
      <c r="A140" s="14">
        <v>30902</v>
      </c>
      <c r="B140" s="2" t="s">
        <v>146</v>
      </c>
      <c r="C140" s="15">
        <v>0.37345081790267309</v>
      </c>
      <c r="D140" s="15">
        <v>0.61495632797867672</v>
      </c>
    </row>
    <row r="141" spans="1:4" ht="14.4">
      <c r="A141" s="14">
        <v>30903</v>
      </c>
      <c r="B141" s="2" t="s">
        <v>147</v>
      </c>
      <c r="C141" s="15">
        <v>0.45545255284837521</v>
      </c>
      <c r="D141" s="15">
        <v>0.34838714901808354</v>
      </c>
    </row>
    <row r="142" spans="1:4" ht="14.4">
      <c r="A142" s="14">
        <v>30904</v>
      </c>
      <c r="B142" s="2" t="s">
        <v>148</v>
      </c>
      <c r="C142" s="15">
        <v>0.47579125175436227</v>
      </c>
      <c r="D142" s="15">
        <v>0.49304004109255017</v>
      </c>
    </row>
    <row r="143" spans="1:4" ht="14.4">
      <c r="A143" s="14">
        <v>30905</v>
      </c>
      <c r="B143" s="2" t="s">
        <v>149</v>
      </c>
      <c r="C143" s="15">
        <v>0.58828051634193623</v>
      </c>
      <c r="D143" s="15">
        <v>0.44170724432479841</v>
      </c>
    </row>
    <row r="144" spans="1:4" ht="14.4">
      <c r="A144" s="14">
        <v>31001</v>
      </c>
      <c r="B144" s="2" t="s">
        <v>150</v>
      </c>
      <c r="C144" s="15">
        <v>0.37861566306811995</v>
      </c>
      <c r="D144" s="15">
        <v>0.43181891211277795</v>
      </c>
    </row>
    <row r="145" spans="1:4" ht="14.4">
      <c r="A145" s="14">
        <v>31002</v>
      </c>
      <c r="B145" s="2" t="s">
        <v>151</v>
      </c>
      <c r="C145" s="15">
        <v>0.60088973545129609</v>
      </c>
      <c r="D145" s="15">
        <v>0.83440556628598084</v>
      </c>
    </row>
    <row r="146" spans="1:4" ht="14.4">
      <c r="A146" s="14">
        <v>31003</v>
      </c>
      <c r="B146" s="2" t="s">
        <v>152</v>
      </c>
      <c r="C146" s="15">
        <v>0.63044243195614913</v>
      </c>
      <c r="D146" s="15">
        <v>0.72834770361436629</v>
      </c>
    </row>
    <row r="147" spans="1:4" ht="14.4">
      <c r="A147" s="14">
        <v>31101</v>
      </c>
      <c r="B147" s="2" t="s">
        <v>153</v>
      </c>
      <c r="C147" s="15">
        <v>0.71918380661452608</v>
      </c>
      <c r="D147" s="15">
        <v>1.0118679407233815</v>
      </c>
    </row>
    <row r="148" spans="1:4" ht="14.4">
      <c r="A148" s="14">
        <v>31201</v>
      </c>
      <c r="B148" s="2" t="s">
        <v>154</v>
      </c>
      <c r="C148" s="15">
        <v>0.51279983843192778</v>
      </c>
      <c r="D148" s="15">
        <v>1.012161266489251</v>
      </c>
    </row>
    <row r="149" spans="1:4" ht="14.4">
      <c r="A149" s="14">
        <v>31202</v>
      </c>
      <c r="B149" s="2" t="s">
        <v>155</v>
      </c>
      <c r="C149" s="15">
        <v>0.67814139789511785</v>
      </c>
      <c r="D149" s="15">
        <v>1.0312153121080252</v>
      </c>
    </row>
    <row r="150" spans="1:4" ht="14.4">
      <c r="A150" s="14">
        <v>31203</v>
      </c>
      <c r="B150" s="2" t="s">
        <v>156</v>
      </c>
      <c r="C150" s="15">
        <v>0.69092495020843481</v>
      </c>
      <c r="D150" s="15">
        <v>1.0125466150459095</v>
      </c>
    </row>
    <row r="151" spans="1:4" ht="14.4">
      <c r="A151" s="14">
        <v>31204</v>
      </c>
      <c r="B151" s="2" t="s">
        <v>157</v>
      </c>
      <c r="C151" s="15">
        <v>0.58161151866913741</v>
      </c>
      <c r="D151" s="15">
        <v>0.76804439935136215</v>
      </c>
    </row>
    <row r="152" spans="1:4" ht="14.4">
      <c r="A152" s="14">
        <v>31205</v>
      </c>
      <c r="B152" s="2" t="s">
        <v>158</v>
      </c>
      <c r="C152" s="15">
        <v>0.70125016673608864</v>
      </c>
      <c r="D152" s="15">
        <v>0.80915787139208317</v>
      </c>
    </row>
    <row r="153" spans="1:4" ht="14.4">
      <c r="A153" s="14">
        <v>31206</v>
      </c>
      <c r="B153" s="2" t="s">
        <v>159</v>
      </c>
      <c r="C153" s="15">
        <v>0.65451010481667837</v>
      </c>
      <c r="D153" s="15">
        <v>0.86736490104254971</v>
      </c>
    </row>
    <row r="154" spans="1:4" ht="14.4">
      <c r="A154" s="14">
        <v>31301</v>
      </c>
      <c r="B154" s="2" t="s">
        <v>160</v>
      </c>
      <c r="C154" s="15">
        <v>0.3248863322696105</v>
      </c>
      <c r="D154" s="15">
        <v>0.84431209155447584</v>
      </c>
    </row>
    <row r="155" spans="1:4" ht="14.4">
      <c r="A155" s="14">
        <v>31302</v>
      </c>
      <c r="B155" s="2" t="s">
        <v>161</v>
      </c>
      <c r="C155" s="15">
        <v>0.55034725020048425</v>
      </c>
      <c r="D155" s="15">
        <v>1.1130284505170007</v>
      </c>
    </row>
    <row r="156" spans="1:4" ht="14.4">
      <c r="A156" s="14">
        <v>31303</v>
      </c>
      <c r="B156" s="2" t="s">
        <v>162</v>
      </c>
      <c r="C156" s="15">
        <v>0.82828307295873649</v>
      </c>
      <c r="D156" s="15">
        <v>1.1332398453611117</v>
      </c>
    </row>
    <row r="157" spans="1:4" ht="14.4">
      <c r="A157" s="14">
        <v>31304</v>
      </c>
      <c r="B157" s="2" t="s">
        <v>163</v>
      </c>
      <c r="C157" s="16">
        <v>0.3248863322696105</v>
      </c>
      <c r="D157" s="15">
        <v>0.90409038961767407</v>
      </c>
    </row>
    <row r="158" spans="1:4" ht="14.4">
      <c r="A158" s="14">
        <v>31401</v>
      </c>
      <c r="B158" s="2" t="s">
        <v>164</v>
      </c>
      <c r="C158" s="15">
        <v>0.53309123461677477</v>
      </c>
      <c r="D158" s="15">
        <v>0.7172798159212701</v>
      </c>
    </row>
    <row r="159" spans="1:4" ht="14.4">
      <c r="A159" s="14">
        <v>31402</v>
      </c>
      <c r="B159" s="2" t="s">
        <v>165</v>
      </c>
      <c r="C159" s="15">
        <v>0.92172587462058109</v>
      </c>
      <c r="D159" s="15">
        <v>1.0155427874654785</v>
      </c>
    </row>
    <row r="160" spans="1:4" ht="14.4">
      <c r="A160" s="14">
        <v>31403</v>
      </c>
      <c r="B160" s="2" t="s">
        <v>166</v>
      </c>
      <c r="C160" s="15">
        <v>0.70064341645711303</v>
      </c>
      <c r="D160" s="15">
        <v>0.66750243507413642</v>
      </c>
    </row>
    <row r="161" spans="1:4" ht="14.4">
      <c r="A161" s="14">
        <v>31404</v>
      </c>
      <c r="B161" s="2" t="s">
        <v>167</v>
      </c>
      <c r="C161" s="15">
        <v>0.74542169086784726</v>
      </c>
      <c r="D161" s="15">
        <v>0.58678742899516123</v>
      </c>
    </row>
    <row r="162" spans="1:4" ht="14.4">
      <c r="A162" s="14">
        <v>31405</v>
      </c>
      <c r="B162" s="2" t="s">
        <v>168</v>
      </c>
      <c r="C162" s="15">
        <v>0.49629329791068988</v>
      </c>
      <c r="D162" s="15">
        <v>0.6291316972762393</v>
      </c>
    </row>
    <row r="163" spans="1:4" ht="14.4">
      <c r="A163" s="14">
        <v>31501</v>
      </c>
      <c r="B163" s="2" t="s">
        <v>169</v>
      </c>
      <c r="C163" s="15">
        <v>0.56848073925972331</v>
      </c>
      <c r="D163" s="15">
        <v>0.84414783395474124</v>
      </c>
    </row>
    <row r="164" spans="1:4" ht="14.4">
      <c r="A164" s="14">
        <v>31601</v>
      </c>
      <c r="B164" s="2" t="s">
        <v>170</v>
      </c>
      <c r="C164" s="15">
        <v>0.62697907370233374</v>
      </c>
      <c r="D164" s="15">
        <v>0.90631952163146157</v>
      </c>
    </row>
    <row r="165" spans="1:4" ht="14.4">
      <c r="A165" s="14">
        <v>31602</v>
      </c>
      <c r="B165" s="2" t="s">
        <v>171</v>
      </c>
      <c r="C165" s="15">
        <v>0.56489210357565656</v>
      </c>
      <c r="D165" s="15">
        <v>0.67401883324636847</v>
      </c>
    </row>
    <row r="166" spans="1:4" ht="14.4">
      <c r="A166" s="14">
        <v>40101</v>
      </c>
      <c r="B166" s="2" t="s">
        <v>172</v>
      </c>
      <c r="C166" s="15">
        <v>0.33840050123328164</v>
      </c>
      <c r="D166" s="15">
        <v>0.33462573889033431</v>
      </c>
    </row>
    <row r="167" spans="1:4" ht="14.4">
      <c r="A167" s="14">
        <v>40102</v>
      </c>
      <c r="B167" s="2" t="s">
        <v>173</v>
      </c>
      <c r="C167" s="15">
        <v>0.50039078772392354</v>
      </c>
      <c r="D167" s="15">
        <v>0.76274266249291534</v>
      </c>
    </row>
    <row r="168" spans="1:4" ht="14.4">
      <c r="A168" s="14">
        <v>40103</v>
      </c>
      <c r="B168" s="2" t="s">
        <v>174</v>
      </c>
      <c r="C168" s="15">
        <v>0.95529675812011094</v>
      </c>
      <c r="D168" s="15">
        <v>1.0266339736670684</v>
      </c>
    </row>
    <row r="169" spans="1:4" ht="14.4">
      <c r="A169" s="14">
        <v>40104</v>
      </c>
      <c r="B169" s="2" t="s">
        <v>175</v>
      </c>
      <c r="C169" s="15">
        <v>0.81942025119100115</v>
      </c>
      <c r="D169" s="15">
        <v>1.0818095872529403</v>
      </c>
    </row>
    <row r="170" spans="1:4" ht="14.4">
      <c r="A170" s="14">
        <v>40201</v>
      </c>
      <c r="B170" s="2" t="s">
        <v>176</v>
      </c>
      <c r="C170" s="15">
        <v>0.44999121583982171</v>
      </c>
      <c r="D170" s="15">
        <v>0.57075094548815841</v>
      </c>
    </row>
    <row r="171" spans="1:4" ht="14.4">
      <c r="A171" s="14">
        <v>40202</v>
      </c>
      <c r="B171" s="2" t="s">
        <v>177</v>
      </c>
      <c r="C171" s="15">
        <v>1.0698357256898781</v>
      </c>
      <c r="D171" s="15">
        <v>0.519305386881737</v>
      </c>
    </row>
    <row r="172" spans="1:4" ht="14.4">
      <c r="A172" s="14">
        <v>40301</v>
      </c>
      <c r="B172" s="2" t="s">
        <v>178</v>
      </c>
      <c r="C172" s="15">
        <v>0.79878724833456427</v>
      </c>
      <c r="D172" s="15">
        <v>0.99643107203635983</v>
      </c>
    </row>
    <row r="173" spans="1:4" ht="14.4">
      <c r="A173" s="14">
        <v>40302</v>
      </c>
      <c r="B173" s="2" t="s">
        <v>179</v>
      </c>
      <c r="C173" s="15">
        <v>0.74270676029216653</v>
      </c>
      <c r="D173" s="15">
        <v>0.4188380393899398</v>
      </c>
    </row>
    <row r="174" spans="1:4" ht="14.4">
      <c r="A174" s="14">
        <v>40401</v>
      </c>
      <c r="B174" s="2" t="s">
        <v>180</v>
      </c>
      <c r="C174" s="15">
        <v>0.50193997000294799</v>
      </c>
      <c r="D174" s="15">
        <v>0.51208102609461226</v>
      </c>
    </row>
    <row r="175" spans="1:4" ht="14.4">
      <c r="A175" s="14">
        <v>40402</v>
      </c>
      <c r="B175" s="2" t="s">
        <v>181</v>
      </c>
      <c r="C175" s="15">
        <v>0.6144518977239436</v>
      </c>
      <c r="D175" s="15">
        <v>0.61121816977703891</v>
      </c>
    </row>
    <row r="176" spans="1:4" ht="14.4">
      <c r="A176" s="14">
        <v>40501</v>
      </c>
      <c r="B176" s="2" t="s">
        <v>182</v>
      </c>
      <c r="C176" s="15">
        <v>0.43422232238515113</v>
      </c>
      <c r="D176" s="15">
        <v>1.7499094104755732</v>
      </c>
    </row>
    <row r="177" spans="1:4" ht="14.4">
      <c r="A177" s="14">
        <v>40502</v>
      </c>
      <c r="B177" s="2" t="s">
        <v>183</v>
      </c>
      <c r="C177" s="15">
        <v>1.0320844310716777</v>
      </c>
      <c r="D177" s="15">
        <v>0.60896960932051558</v>
      </c>
    </row>
    <row r="178" spans="1:4" ht="14.4">
      <c r="A178" s="14">
        <v>40503</v>
      </c>
      <c r="B178" s="2" t="s">
        <v>184</v>
      </c>
      <c r="C178" s="15">
        <v>1.0905163992388296</v>
      </c>
      <c r="D178" s="15">
        <v>1.3146614387431745</v>
      </c>
    </row>
    <row r="179" spans="1:4" ht="14.4">
      <c r="A179" s="14">
        <v>40504</v>
      </c>
      <c r="B179" s="2" t="s">
        <v>185</v>
      </c>
      <c r="C179" s="15">
        <v>0.61873844326896044</v>
      </c>
      <c r="D179" s="15">
        <v>7.5195260851786623</v>
      </c>
    </row>
    <row r="180" spans="1:4" ht="14.4">
      <c r="A180" s="14">
        <v>40505</v>
      </c>
      <c r="B180" s="2" t="s">
        <v>186</v>
      </c>
      <c r="C180" s="15">
        <v>1.6642437066794245</v>
      </c>
      <c r="D180" s="15">
        <v>2.424909406906103</v>
      </c>
    </row>
    <row r="181" spans="1:4" ht="14.4">
      <c r="A181" s="14">
        <v>40601</v>
      </c>
      <c r="B181" s="2" t="s">
        <v>187</v>
      </c>
      <c r="C181" s="15">
        <v>0.40110061884931231</v>
      </c>
      <c r="D181" s="15">
        <v>0.61820081176030772</v>
      </c>
    </row>
    <row r="182" spans="1:4" ht="14.4">
      <c r="A182" s="14">
        <v>40602</v>
      </c>
      <c r="B182" s="2" t="s">
        <v>188</v>
      </c>
      <c r="C182" s="15">
        <v>0.56022483051806038</v>
      </c>
      <c r="D182" s="15">
        <v>0.84665072319025214</v>
      </c>
    </row>
    <row r="183" spans="1:4" ht="14.4">
      <c r="A183" s="14">
        <v>40603</v>
      </c>
      <c r="B183" s="2" t="s">
        <v>189</v>
      </c>
      <c r="C183" s="15">
        <v>0.27370528986327675</v>
      </c>
      <c r="D183" s="15">
        <v>0.51468024881546659</v>
      </c>
    </row>
    <row r="184" spans="1:4" ht="14.4">
      <c r="A184" s="14">
        <v>40701</v>
      </c>
      <c r="B184" s="2" t="s">
        <v>190</v>
      </c>
      <c r="C184" s="15">
        <v>0.38775433200411902</v>
      </c>
      <c r="D184" s="15">
        <v>0.22048830032656902</v>
      </c>
    </row>
    <row r="185" spans="1:4" ht="14.4">
      <c r="A185" s="14">
        <v>40702</v>
      </c>
      <c r="B185" s="2" t="s">
        <v>191</v>
      </c>
      <c r="C185" s="15">
        <v>0.40894219585193725</v>
      </c>
      <c r="D185" s="15">
        <v>0.59747092297491078</v>
      </c>
    </row>
    <row r="186" spans="1:4" ht="14.4">
      <c r="A186" s="14">
        <v>40801</v>
      </c>
      <c r="B186" s="2" t="s">
        <v>192</v>
      </c>
      <c r="C186" s="15">
        <v>0.83506978052108338</v>
      </c>
      <c r="D186" s="15">
        <v>0.85375131496181633</v>
      </c>
    </row>
    <row r="187" spans="1:4" ht="14.4">
      <c r="A187" s="14">
        <v>40802</v>
      </c>
      <c r="B187" s="2" t="s">
        <v>193</v>
      </c>
      <c r="C187" s="15">
        <v>1.1564632211436949</v>
      </c>
      <c r="D187" s="15">
        <v>1.3552920991932129</v>
      </c>
    </row>
    <row r="188" spans="1:4" ht="14.4">
      <c r="A188" s="14">
        <v>40901</v>
      </c>
      <c r="B188" s="2" t="s">
        <v>194</v>
      </c>
      <c r="C188" s="15">
        <v>0.74651389003234214</v>
      </c>
      <c r="D188" s="15">
        <v>0.62976282875759804</v>
      </c>
    </row>
    <row r="189" spans="1:4" ht="14.4">
      <c r="A189" s="14">
        <v>40902</v>
      </c>
      <c r="B189" s="2" t="s">
        <v>195</v>
      </c>
      <c r="C189" s="15">
        <v>0.81766130464406661</v>
      </c>
      <c r="D189" s="15">
        <v>0.7955874599888616</v>
      </c>
    </row>
    <row r="190" spans="1:4" ht="14.4">
      <c r="A190" s="14">
        <v>40903</v>
      </c>
      <c r="B190" s="2" t="s">
        <v>196</v>
      </c>
      <c r="C190" s="15">
        <v>0.72107099424239784</v>
      </c>
      <c r="D190" s="15">
        <v>0.86034796994730189</v>
      </c>
    </row>
    <row r="191" spans="1:4" ht="14.4">
      <c r="A191" s="14">
        <v>41001</v>
      </c>
      <c r="B191" s="2" t="s">
        <v>197</v>
      </c>
      <c r="C191" s="15">
        <v>0.80192212692032827</v>
      </c>
      <c r="D191" s="15">
        <v>0.69011653139272733</v>
      </c>
    </row>
    <row r="192" spans="1:4" ht="14.4">
      <c r="A192" s="14">
        <v>41101</v>
      </c>
      <c r="B192" s="2" t="s">
        <v>198</v>
      </c>
      <c r="C192" s="15">
        <v>0.49525957878719223</v>
      </c>
      <c r="D192" s="15">
        <v>0.51607165483349438</v>
      </c>
    </row>
    <row r="193" spans="1:4" ht="14.4">
      <c r="A193" s="14">
        <v>41201</v>
      </c>
      <c r="B193" s="2" t="s">
        <v>199</v>
      </c>
      <c r="C193" s="15">
        <v>0.80983170353063105</v>
      </c>
      <c r="D193" s="15">
        <v>1.122055123951947</v>
      </c>
    </row>
    <row r="194" spans="1:4" ht="14.4">
      <c r="A194" s="14">
        <v>41202</v>
      </c>
      <c r="B194" s="2" t="s">
        <v>200</v>
      </c>
      <c r="C194" s="15">
        <v>0.80909244216674903</v>
      </c>
      <c r="D194" s="15">
        <v>0.78690159837753748</v>
      </c>
    </row>
    <row r="195" spans="1:4" ht="14.4">
      <c r="A195" s="14">
        <v>41301</v>
      </c>
      <c r="B195" s="2" t="s">
        <v>201</v>
      </c>
      <c r="C195" s="15">
        <v>0.8247164579504187</v>
      </c>
      <c r="D195" s="15">
        <v>0.70573520089715858</v>
      </c>
    </row>
    <row r="196" spans="1:4" ht="14.4">
      <c r="A196" s="14">
        <v>41401</v>
      </c>
      <c r="B196" s="2" t="s">
        <v>202</v>
      </c>
      <c r="C196" s="15">
        <v>0.25069634475669289</v>
      </c>
      <c r="D196" s="15">
        <v>0.61128267733961295</v>
      </c>
    </row>
    <row r="197" spans="1:4" ht="14.4">
      <c r="A197" s="14">
        <v>41501</v>
      </c>
      <c r="B197" s="2" t="s">
        <v>203</v>
      </c>
      <c r="C197" s="15">
        <v>0.85417698048891533</v>
      </c>
      <c r="D197" s="15">
        <v>0.59258566122760281</v>
      </c>
    </row>
    <row r="198" spans="1:4" ht="14.4">
      <c r="A198" s="14">
        <v>41502</v>
      </c>
      <c r="B198" s="2" t="s">
        <v>204</v>
      </c>
      <c r="C198" s="15">
        <v>0.45992300110975093</v>
      </c>
      <c r="D198" s="15">
        <v>1.7692254207412561</v>
      </c>
    </row>
    <row r="199" spans="1:4" ht="14.4">
      <c r="A199" s="14">
        <v>41503</v>
      </c>
      <c r="B199" s="2" t="s">
        <v>205</v>
      </c>
      <c r="C199" s="15">
        <v>1.0069228292053833</v>
      </c>
      <c r="D199" s="15">
        <v>1.2650470434779477</v>
      </c>
    </row>
    <row r="200" spans="1:4" ht="14.4">
      <c r="A200" s="14">
        <v>41601</v>
      </c>
      <c r="B200" s="2" t="s">
        <v>206</v>
      </c>
      <c r="C200" s="15">
        <v>0.73972442942430028</v>
      </c>
      <c r="D200" s="15">
        <v>0.94976416774339556</v>
      </c>
    </row>
    <row r="201" spans="1:4" ht="14.4">
      <c r="A201" s="14">
        <v>50101</v>
      </c>
      <c r="B201" s="2" t="s">
        <v>207</v>
      </c>
      <c r="C201" s="15">
        <v>0.19208705284455335</v>
      </c>
      <c r="D201" s="15">
        <v>0.2463780723423071</v>
      </c>
    </row>
    <row r="202" spans="1:4" ht="14.4">
      <c r="A202" s="14">
        <v>50102</v>
      </c>
      <c r="B202" s="2" t="s">
        <v>208</v>
      </c>
      <c r="C202" s="15">
        <v>0.7490686186548946</v>
      </c>
      <c r="D202" s="15">
        <v>0.7749206816262123</v>
      </c>
    </row>
    <row r="203" spans="1:4" ht="14.4">
      <c r="A203" s="14">
        <v>50103</v>
      </c>
      <c r="B203" s="2" t="s">
        <v>209</v>
      </c>
      <c r="C203" s="15">
        <v>0.767471746735086</v>
      </c>
      <c r="D203" s="15">
        <v>0.51940843331963993</v>
      </c>
    </row>
    <row r="204" spans="1:4" ht="14.4">
      <c r="A204" s="14">
        <v>50104</v>
      </c>
      <c r="B204" s="2" t="s">
        <v>210</v>
      </c>
      <c r="C204" s="15">
        <v>0.76956584282971419</v>
      </c>
      <c r="D204" s="15">
        <v>0.49036858514396042</v>
      </c>
    </row>
    <row r="205" spans="1:4" ht="14.4">
      <c r="A205" s="14">
        <v>50201</v>
      </c>
      <c r="B205" s="2" t="s">
        <v>211</v>
      </c>
      <c r="C205" s="15">
        <v>0.2392978958099746</v>
      </c>
      <c r="D205" s="15">
        <v>0.29906185093358567</v>
      </c>
    </row>
    <row r="206" spans="1:4" ht="14.4">
      <c r="A206" s="14">
        <v>50202</v>
      </c>
      <c r="B206" s="2" t="s">
        <v>212</v>
      </c>
      <c r="C206" s="15">
        <v>0.4810591731043185</v>
      </c>
      <c r="D206" s="15">
        <v>0.90669845514510194</v>
      </c>
    </row>
    <row r="207" spans="1:4" ht="14.4">
      <c r="A207" s="14">
        <v>50203</v>
      </c>
      <c r="B207" s="2" t="s">
        <v>213</v>
      </c>
      <c r="C207" s="15">
        <v>0.32808203228166899</v>
      </c>
      <c r="D207" s="15">
        <v>0.31556087024383223</v>
      </c>
    </row>
    <row r="208" spans="1:4" ht="14.4">
      <c r="A208" s="14">
        <v>50204</v>
      </c>
      <c r="B208" s="2" t="s">
        <v>214</v>
      </c>
      <c r="C208" s="15">
        <v>0.3863523375415287</v>
      </c>
      <c r="D208" s="15">
        <v>0.4756349835600277</v>
      </c>
    </row>
    <row r="209" spans="1:4" ht="14.4">
      <c r="A209" s="14">
        <v>50301</v>
      </c>
      <c r="B209" s="2" t="s">
        <v>215</v>
      </c>
      <c r="C209" s="15">
        <v>0.4261409573712574</v>
      </c>
      <c r="D209" s="15">
        <v>0.85429064125447363</v>
      </c>
    </row>
    <row r="210" spans="1:4" ht="14.4">
      <c r="A210" s="14">
        <v>50302</v>
      </c>
      <c r="B210" s="2" t="s">
        <v>216</v>
      </c>
      <c r="C210" s="15">
        <v>0.91472413670410369</v>
      </c>
      <c r="D210" s="15">
        <v>0.72405361762096665</v>
      </c>
    </row>
    <row r="211" spans="1:4" ht="14.4">
      <c r="A211" s="14">
        <v>50303</v>
      </c>
      <c r="B211" s="2" t="s">
        <v>217</v>
      </c>
      <c r="C211" s="15">
        <v>0.76195375423584322</v>
      </c>
      <c r="D211" s="15">
        <v>0.80587687480780201</v>
      </c>
    </row>
    <row r="212" spans="1:4" ht="14.4">
      <c r="A212" s="14">
        <v>50401</v>
      </c>
      <c r="B212" s="2" t="s">
        <v>218</v>
      </c>
      <c r="C212" s="15">
        <v>0.62018298162872543</v>
      </c>
      <c r="D212" s="15">
        <v>0.43271275382929025</v>
      </c>
    </row>
    <row r="213" spans="1:4" ht="14.4">
      <c r="A213" s="14">
        <v>50402</v>
      </c>
      <c r="B213" s="2" t="s">
        <v>219</v>
      </c>
      <c r="C213" s="15">
        <v>0.57425475898013756</v>
      </c>
      <c r="D213" s="15">
        <v>0.85105677102429245</v>
      </c>
    </row>
    <row r="214" spans="1:4" ht="14.4">
      <c r="A214" s="14">
        <v>50403</v>
      </c>
      <c r="B214" s="2" t="s">
        <v>220</v>
      </c>
      <c r="C214" s="15">
        <v>0.79285091722497103</v>
      </c>
      <c r="D214" s="15">
        <v>0.88098033663174136</v>
      </c>
    </row>
    <row r="215" spans="1:4" ht="14.4">
      <c r="A215" s="14">
        <v>50404</v>
      </c>
      <c r="B215" s="2" t="s">
        <v>221</v>
      </c>
      <c r="C215" s="15">
        <v>0.62935345972372159</v>
      </c>
      <c r="D215" s="15">
        <v>0.87042471323724424</v>
      </c>
    </row>
    <row r="216" spans="1:4" ht="14.4">
      <c r="A216" s="14">
        <v>50405</v>
      </c>
      <c r="B216" s="2" t="s">
        <v>222</v>
      </c>
      <c r="C216" s="15">
        <v>0.62018298162872543</v>
      </c>
      <c r="D216" s="15">
        <v>0.97307657998079289</v>
      </c>
    </row>
    <row r="217" spans="1:4" ht="14.4">
      <c r="A217" s="14">
        <v>50501</v>
      </c>
      <c r="B217" s="2" t="s">
        <v>223</v>
      </c>
      <c r="C217" s="15">
        <v>0.62397671597590265</v>
      </c>
      <c r="D217" s="15">
        <v>0.76849182961029094</v>
      </c>
    </row>
    <row r="218" spans="1:4" ht="14.4">
      <c r="A218" s="14">
        <v>50502</v>
      </c>
      <c r="B218" s="2" t="s">
        <v>224</v>
      </c>
      <c r="C218" s="15">
        <v>0.39709926436510651</v>
      </c>
      <c r="D218" s="15">
        <v>0.91561278804120516</v>
      </c>
    </row>
    <row r="219" spans="1:4" ht="14.4">
      <c r="A219" s="14">
        <v>50601</v>
      </c>
      <c r="B219" s="2" t="s">
        <v>225</v>
      </c>
      <c r="C219" s="15">
        <v>0.53165757115413803</v>
      </c>
      <c r="D219" s="15">
        <v>0.45766246788081755</v>
      </c>
    </row>
    <row r="220" spans="1:4" ht="14.4">
      <c r="A220" s="14">
        <v>50602</v>
      </c>
      <c r="B220" s="2" t="s">
        <v>226</v>
      </c>
      <c r="C220" s="15">
        <v>0.65090484082491074</v>
      </c>
      <c r="D220" s="15">
        <v>1.0016676375120299</v>
      </c>
    </row>
    <row r="221" spans="1:4" ht="14.4">
      <c r="A221" s="14">
        <v>50701</v>
      </c>
      <c r="B221" s="2" t="s">
        <v>227</v>
      </c>
      <c r="C221" s="15">
        <v>0.60441655618071055</v>
      </c>
      <c r="D221" s="15">
        <v>0.78431606182592128</v>
      </c>
    </row>
    <row r="222" spans="1:4" ht="14.4">
      <c r="A222" s="14">
        <v>50702</v>
      </c>
      <c r="B222" s="2" t="s">
        <v>228</v>
      </c>
      <c r="C222" s="15">
        <v>0.36560346607130656</v>
      </c>
      <c r="D222" s="15">
        <v>0.89884294770287521</v>
      </c>
    </row>
    <row r="223" spans="1:4" ht="14.4">
      <c r="A223" s="14">
        <v>50801</v>
      </c>
      <c r="B223" s="2" t="s">
        <v>229</v>
      </c>
      <c r="C223" s="15">
        <v>0.88931407629698112</v>
      </c>
      <c r="D223" s="15">
        <v>0.61626733421128899</v>
      </c>
    </row>
    <row r="224" spans="1:4" ht="14.4">
      <c r="A224" s="14">
        <v>50802</v>
      </c>
      <c r="B224" s="2" t="s">
        <v>230</v>
      </c>
      <c r="C224" s="15">
        <v>0.53666990967189121</v>
      </c>
      <c r="D224" s="15">
        <v>0.42948440517734021</v>
      </c>
    </row>
    <row r="225" spans="1:4" ht="14.4">
      <c r="A225" s="14">
        <v>50901</v>
      </c>
      <c r="B225" s="2" t="s">
        <v>231</v>
      </c>
      <c r="C225" s="15">
        <v>0.42340301510428946</v>
      </c>
      <c r="D225" s="15">
        <v>0.47300441663420856</v>
      </c>
    </row>
    <row r="226" spans="1:4" ht="14.4">
      <c r="A226" s="14">
        <v>50902</v>
      </c>
      <c r="B226" s="2" t="s">
        <v>232</v>
      </c>
      <c r="C226" s="15">
        <v>1.3086212868712721</v>
      </c>
      <c r="D226" s="15">
        <v>0.78021743939998212</v>
      </c>
    </row>
    <row r="227" spans="1:4" ht="14.4">
      <c r="A227" s="14">
        <v>51001</v>
      </c>
      <c r="B227" s="2" t="s">
        <v>233</v>
      </c>
      <c r="C227" s="15">
        <v>0.66472558225415102</v>
      </c>
      <c r="D227" s="15">
        <v>0.84194658216038609</v>
      </c>
    </row>
    <row r="228" spans="1:4" ht="14.4">
      <c r="A228" s="14">
        <v>51002</v>
      </c>
      <c r="B228" s="2" t="s">
        <v>234</v>
      </c>
      <c r="C228" s="15">
        <v>0.35854412674265801</v>
      </c>
      <c r="D228" s="15">
        <v>1.0613994045901707</v>
      </c>
    </row>
    <row r="229" spans="1:4" ht="14.4">
      <c r="A229" s="14">
        <v>51003</v>
      </c>
      <c r="B229" s="2" t="s">
        <v>235</v>
      </c>
      <c r="C229" s="15">
        <v>0.89392214445883211</v>
      </c>
      <c r="D229" s="15">
        <v>0.68567053975640913</v>
      </c>
    </row>
    <row r="230" spans="1:4" ht="14.4">
      <c r="A230" s="14">
        <v>51101</v>
      </c>
      <c r="B230" s="2" t="s">
        <v>236</v>
      </c>
      <c r="C230" s="15">
        <v>0.78657803406951698</v>
      </c>
      <c r="D230" s="15">
        <v>0.98988821419495632</v>
      </c>
    </row>
    <row r="231" spans="1:4" ht="14.4">
      <c r="A231" s="14">
        <v>51102</v>
      </c>
      <c r="B231" s="2" t="s">
        <v>237</v>
      </c>
      <c r="C231" s="15">
        <v>0.7221385141954324</v>
      </c>
      <c r="D231" s="15">
        <v>0.89126958394451039</v>
      </c>
    </row>
    <row r="232" spans="1:4" ht="14.4">
      <c r="A232" s="14">
        <v>51103</v>
      </c>
      <c r="B232" s="2" t="s">
        <v>238</v>
      </c>
      <c r="C232" s="15">
        <v>0.63497597325649691</v>
      </c>
      <c r="D232" s="15">
        <v>0.87566244840575214</v>
      </c>
    </row>
    <row r="233" spans="1:4" ht="14.4">
      <c r="A233" s="14">
        <v>51201</v>
      </c>
      <c r="B233" s="2" t="s">
        <v>239</v>
      </c>
      <c r="C233" s="15">
        <v>0.41165098729398042</v>
      </c>
      <c r="D233" s="15">
        <v>0.36810003827336907</v>
      </c>
    </row>
    <row r="234" spans="1:4" ht="14.4">
      <c r="A234" s="14">
        <v>51202</v>
      </c>
      <c r="B234" s="2" t="s">
        <v>240</v>
      </c>
      <c r="C234" s="15">
        <v>0.86861604349402344</v>
      </c>
      <c r="D234" s="15">
        <v>1.0303801932741434</v>
      </c>
    </row>
    <row r="235" spans="1:4" ht="14.4">
      <c r="A235" s="14">
        <v>51203</v>
      </c>
      <c r="B235" s="2" t="s">
        <v>241</v>
      </c>
      <c r="C235" s="15">
        <v>0.77189768718372131</v>
      </c>
      <c r="D235" s="15">
        <v>0.8643007333146121</v>
      </c>
    </row>
    <row r="236" spans="1:4" ht="14.4">
      <c r="A236" s="14">
        <v>51204</v>
      </c>
      <c r="B236" s="2" t="s">
        <v>242</v>
      </c>
      <c r="C236" s="15">
        <v>0.86861604349402344</v>
      </c>
      <c r="D236" s="15">
        <v>0.87011720811432669</v>
      </c>
    </row>
    <row r="237" spans="1:4" ht="14.4">
      <c r="A237" s="14">
        <v>51301</v>
      </c>
      <c r="B237" s="2" t="s">
        <v>243</v>
      </c>
      <c r="C237" s="15">
        <v>0.71639108758118797</v>
      </c>
      <c r="D237" s="15">
        <v>1.121117482689143</v>
      </c>
    </row>
    <row r="238" spans="1:4" ht="14.4">
      <c r="A238" s="14">
        <v>51302</v>
      </c>
      <c r="B238" s="2" t="s">
        <v>244</v>
      </c>
      <c r="C238" s="15">
        <v>0.5780993822111018</v>
      </c>
      <c r="D238" s="15">
        <v>0.55562964037805007</v>
      </c>
    </row>
    <row r="239" spans="1:4" ht="14.4">
      <c r="A239" s="14">
        <v>51401</v>
      </c>
      <c r="B239" s="2" t="s">
        <v>245</v>
      </c>
      <c r="C239" s="15">
        <v>0.82936370929362135</v>
      </c>
      <c r="D239" s="15">
        <v>0.13223094024301429</v>
      </c>
    </row>
    <row r="240" spans="1:4" ht="14.4">
      <c r="A240" s="14">
        <v>51402</v>
      </c>
      <c r="B240" s="2" t="s">
        <v>246</v>
      </c>
      <c r="C240" s="15">
        <v>0.5980839586691038</v>
      </c>
      <c r="D240" s="15">
        <v>2.3753412484450482</v>
      </c>
    </row>
    <row r="241" spans="1:4" ht="14.4">
      <c r="A241" s="14">
        <v>51501</v>
      </c>
      <c r="B241" s="2" t="s">
        <v>247</v>
      </c>
      <c r="C241" s="15">
        <v>0.68046477029597707</v>
      </c>
      <c r="D241" s="15">
        <v>0.65427009703187999</v>
      </c>
    </row>
    <row r="242" spans="1:4" ht="14.4">
      <c r="A242" s="14">
        <v>51601</v>
      </c>
      <c r="B242" s="2" t="s">
        <v>248</v>
      </c>
      <c r="C242" s="15">
        <v>1.2617631273455638</v>
      </c>
      <c r="D242" s="15">
        <v>0.75453260288470481</v>
      </c>
    </row>
    <row r="243" spans="1:4" ht="14.4">
      <c r="A243" s="14">
        <v>60101</v>
      </c>
      <c r="B243" s="2" t="s">
        <v>249</v>
      </c>
      <c r="C243" s="15">
        <v>0.48963027042511093</v>
      </c>
      <c r="D243" s="15">
        <v>0.53447758861349592</v>
      </c>
    </row>
    <row r="244" spans="1:4" ht="14.4">
      <c r="A244" s="14">
        <v>60201</v>
      </c>
      <c r="B244" s="2" t="s">
        <v>250</v>
      </c>
      <c r="C244" s="15">
        <v>0.93553670383429199</v>
      </c>
      <c r="D244" s="15">
        <v>1.0521192445794774</v>
      </c>
    </row>
    <row r="245" spans="1:4" ht="14.4">
      <c r="A245" s="14">
        <v>60202</v>
      </c>
      <c r="B245" s="2" t="s">
        <v>251</v>
      </c>
      <c r="C245" s="15">
        <v>0.46138660814072857</v>
      </c>
      <c r="D245" s="15">
        <v>0.59025393666690573</v>
      </c>
    </row>
    <row r="246" spans="1:4" ht="14.4">
      <c r="A246" s="14">
        <v>60301</v>
      </c>
      <c r="B246" s="2" t="s">
        <v>252</v>
      </c>
      <c r="C246" s="15">
        <v>0.40220288867086906</v>
      </c>
      <c r="D246" s="15">
        <v>0.26110678647430463</v>
      </c>
    </row>
    <row r="247" spans="1:4" ht="14.4">
      <c r="A247" s="14">
        <v>60302</v>
      </c>
      <c r="B247" s="2" t="s">
        <v>253</v>
      </c>
      <c r="C247" s="15">
        <v>0.56800179904885506</v>
      </c>
      <c r="D247" s="15">
        <v>0.41896384423794197</v>
      </c>
    </row>
    <row r="248" spans="1:4" ht="14.4">
      <c r="A248" s="14">
        <v>60303</v>
      </c>
      <c r="B248" s="2" t="s">
        <v>254</v>
      </c>
      <c r="C248" s="15">
        <v>0.55586892662589493</v>
      </c>
      <c r="D248" s="15">
        <v>0.25621128022229517</v>
      </c>
    </row>
    <row r="249" spans="1:4" ht="14.4">
      <c r="A249" s="14">
        <v>60401</v>
      </c>
      <c r="B249" s="2" t="s">
        <v>255</v>
      </c>
      <c r="C249" s="15">
        <v>0.86152569604998863</v>
      </c>
      <c r="D249" s="15">
        <v>0.73330542341040217</v>
      </c>
    </row>
    <row r="250" spans="1:4" ht="14.4">
      <c r="A250" s="14">
        <v>60402</v>
      </c>
      <c r="B250" s="2" t="s">
        <v>256</v>
      </c>
      <c r="C250" s="15">
        <v>0.96767958181789737</v>
      </c>
      <c r="D250" s="15">
        <v>1.1703045855191374</v>
      </c>
    </row>
    <row r="251" spans="1:4" ht="14.4">
      <c r="A251" s="14">
        <v>60501</v>
      </c>
      <c r="B251" s="2" t="s">
        <v>257</v>
      </c>
      <c r="C251" s="15">
        <v>1.0617969812345507</v>
      </c>
      <c r="D251" s="15">
        <v>0.64762700691833175</v>
      </c>
    </row>
    <row r="252" spans="1:4" ht="14.4">
      <c r="A252" s="14">
        <v>60502</v>
      </c>
      <c r="B252" s="2" t="s">
        <v>258</v>
      </c>
      <c r="C252" s="15">
        <v>0.8956653963234773</v>
      </c>
      <c r="D252" s="15">
        <v>2.2615680115041052</v>
      </c>
    </row>
    <row r="253" spans="1:4" ht="14.4">
      <c r="A253" s="14">
        <v>60601</v>
      </c>
      <c r="B253" s="2" t="s">
        <v>159</v>
      </c>
      <c r="C253" s="15">
        <v>0.65451692053787169</v>
      </c>
      <c r="D253" s="15">
        <v>0.46373038771084107</v>
      </c>
    </row>
    <row r="254" spans="1:4" ht="14.4">
      <c r="A254" s="14">
        <v>70101</v>
      </c>
      <c r="B254" s="2" t="s">
        <v>259</v>
      </c>
      <c r="C254" s="15">
        <v>0.69399936494583847</v>
      </c>
      <c r="D254" s="15">
        <v>0.60915274679462073</v>
      </c>
    </row>
    <row r="255" spans="1:4" ht="14.4">
      <c r="A255" s="14">
        <v>70102</v>
      </c>
      <c r="B255" s="2" t="s">
        <v>260</v>
      </c>
      <c r="C255" s="15">
        <v>0.70086185648359967</v>
      </c>
      <c r="D255" s="15">
        <v>0.73643007309123432</v>
      </c>
    </row>
    <row r="256" spans="1:4" ht="14.4">
      <c r="A256" s="14">
        <v>70103</v>
      </c>
      <c r="B256" s="2" t="s">
        <v>261</v>
      </c>
      <c r="C256" s="15">
        <v>0.57108067553212816</v>
      </c>
      <c r="D256" s="15">
        <v>0.44686554190978106</v>
      </c>
    </row>
    <row r="257" spans="1:4" ht="14.4">
      <c r="A257" s="14">
        <v>70104</v>
      </c>
      <c r="B257" s="2" t="s">
        <v>262</v>
      </c>
      <c r="C257" s="15">
        <v>0.81887198437046704</v>
      </c>
      <c r="D257" s="15">
        <v>0.64935106464925385</v>
      </c>
    </row>
    <row r="258" spans="1:4" ht="14.4">
      <c r="A258" s="14">
        <v>70105</v>
      </c>
      <c r="B258" s="2" t="s">
        <v>263</v>
      </c>
      <c r="C258" s="15">
        <v>0.56871831147387519</v>
      </c>
      <c r="D258" s="15">
        <v>0.62545563316979758</v>
      </c>
    </row>
    <row r="259" spans="1:4" ht="14.4">
      <c r="A259" s="14">
        <v>70201</v>
      </c>
      <c r="B259" s="2" t="s">
        <v>264</v>
      </c>
      <c r="C259" s="15">
        <v>0.84626264742123447</v>
      </c>
      <c r="D259" s="15">
        <v>0.85336373921261033</v>
      </c>
    </row>
    <row r="260" spans="1:4" ht="14.4">
      <c r="A260" s="14">
        <v>70202</v>
      </c>
      <c r="B260" s="2" t="s">
        <v>265</v>
      </c>
      <c r="C260" s="15">
        <v>1.0953993243700209</v>
      </c>
      <c r="D260" s="15">
        <v>0.65106152396967887</v>
      </c>
    </row>
    <row r="261" spans="1:4" ht="14.4">
      <c r="A261" s="14">
        <v>70301</v>
      </c>
      <c r="B261" s="2" t="s">
        <v>266</v>
      </c>
      <c r="C261" s="15">
        <v>0.82441034454285556</v>
      </c>
      <c r="D261" s="15">
        <v>1.4645427181641284</v>
      </c>
    </row>
    <row r="262" spans="1:4" ht="14.4">
      <c r="A262" s="14">
        <v>70302</v>
      </c>
      <c r="B262" s="2" t="s">
        <v>267</v>
      </c>
      <c r="C262" s="15">
        <v>0.75150160693845203</v>
      </c>
      <c r="D262" s="15">
        <v>1.0628589203645076</v>
      </c>
    </row>
    <row r="263" spans="1:4" ht="14.4">
      <c r="A263" s="14">
        <v>70303</v>
      </c>
      <c r="B263" s="2" t="s">
        <v>268</v>
      </c>
      <c r="C263" s="15">
        <v>0.79250620677940731</v>
      </c>
      <c r="D263" s="15">
        <v>1.1877274235901485</v>
      </c>
    </row>
    <row r="264" spans="1:4" ht="14.4">
      <c r="A264" s="14">
        <v>70401</v>
      </c>
      <c r="B264" s="2" t="s">
        <v>269</v>
      </c>
      <c r="C264" s="15">
        <v>0.58918232994644859</v>
      </c>
      <c r="D264" s="15">
        <v>0.46265861752650794</v>
      </c>
    </row>
    <row r="265" spans="1:4" ht="14.4">
      <c r="A265" s="14">
        <v>70402</v>
      </c>
      <c r="B265" s="2" t="s">
        <v>270</v>
      </c>
      <c r="C265" s="15">
        <v>0.8700666022854493</v>
      </c>
      <c r="D265" s="15">
        <v>0.63535418371738916</v>
      </c>
    </row>
    <row r="266" spans="1:4" ht="14.4">
      <c r="A266" s="14">
        <v>70403</v>
      </c>
      <c r="B266" s="2" t="s">
        <v>271</v>
      </c>
      <c r="C266" s="15">
        <v>0.68193991860997183</v>
      </c>
      <c r="D266" s="15">
        <v>0.49130078100773883</v>
      </c>
    </row>
    <row r="267" spans="1:4" ht="14.4">
      <c r="A267" s="14">
        <v>70404</v>
      </c>
      <c r="B267" s="2" t="s">
        <v>272</v>
      </c>
      <c r="C267" s="15">
        <v>0.85530723914165219</v>
      </c>
      <c r="D267" s="15">
        <v>0.50925925851690068</v>
      </c>
    </row>
    <row r="268" spans="1:4" ht="14.4">
      <c r="A268" s="14">
        <v>70501</v>
      </c>
      <c r="B268" s="2" t="s">
        <v>273</v>
      </c>
      <c r="C268" s="15">
        <v>1.0002909449867192</v>
      </c>
      <c r="D268" s="15">
        <v>1.4599982156285449</v>
      </c>
    </row>
    <row r="269" spans="1:4" ht="14.4">
      <c r="A269" s="14">
        <v>70502</v>
      </c>
      <c r="B269" s="2" t="s">
        <v>274</v>
      </c>
      <c r="C269" s="15">
        <v>0.85260460555020801</v>
      </c>
      <c r="D269" s="15">
        <v>0.84917157584218894</v>
      </c>
    </row>
    <row r="270" spans="1:4" ht="14.4">
      <c r="A270" s="14">
        <v>70503</v>
      </c>
      <c r="B270" s="2" t="s">
        <v>275</v>
      </c>
      <c r="C270" s="15">
        <v>0.86172634119623392</v>
      </c>
      <c r="D270" s="15">
        <v>0.75050132308393336</v>
      </c>
    </row>
    <row r="271" spans="1:4" ht="14.4">
      <c r="A271" s="14">
        <v>70601</v>
      </c>
      <c r="B271" s="2" t="s">
        <v>276</v>
      </c>
      <c r="C271" s="15">
        <v>0.972737289304064</v>
      </c>
      <c r="D271" s="15">
        <v>0.58283328950584579</v>
      </c>
    </row>
    <row r="272" spans="1:4" ht="14.4">
      <c r="A272" s="14">
        <v>70602</v>
      </c>
      <c r="B272" s="2" t="s">
        <v>277</v>
      </c>
      <c r="C272" s="15">
        <v>0.72785894405620644</v>
      </c>
      <c r="D272" s="15">
        <v>0.53086317154257434</v>
      </c>
    </row>
    <row r="273" spans="1:4" ht="14.4">
      <c r="A273" s="14">
        <v>70603</v>
      </c>
      <c r="B273" s="2" t="s">
        <v>278</v>
      </c>
      <c r="C273" s="15">
        <v>1.3139007258586295</v>
      </c>
      <c r="D273" s="15">
        <v>0.62179002020079899</v>
      </c>
    </row>
    <row r="274" spans="1:4" ht="14.4">
      <c r="A274" s="14">
        <v>70701</v>
      </c>
      <c r="B274" s="2" t="s">
        <v>279</v>
      </c>
      <c r="C274" s="15">
        <v>0.4156481672421542</v>
      </c>
      <c r="D274" s="15">
        <v>0.45365000687302237</v>
      </c>
    </row>
    <row r="275" spans="1:4" ht="14.4">
      <c r="A275" s="14">
        <v>70702</v>
      </c>
      <c r="B275" s="2" t="s">
        <v>280</v>
      </c>
      <c r="C275" s="15">
        <v>0.747225299631884</v>
      </c>
      <c r="D275" s="15">
        <v>2.3055014256229893</v>
      </c>
    </row>
    <row r="276" spans="1:4" ht="14.4">
      <c r="A276" s="14">
        <v>70703</v>
      </c>
      <c r="B276" s="2" t="s">
        <v>281</v>
      </c>
      <c r="C276" s="15">
        <v>0.79326927270511327</v>
      </c>
      <c r="D276" s="15">
        <v>1.4026428421251174</v>
      </c>
    </row>
    <row r="277" spans="1:4" ht="14.4">
      <c r="A277" s="14">
        <v>70704</v>
      </c>
      <c r="B277" s="2" t="s">
        <v>282</v>
      </c>
      <c r="C277" s="15">
        <v>0.42547750190921457</v>
      </c>
      <c r="D277" s="15">
        <v>0.49620089206227391</v>
      </c>
    </row>
    <row r="278" spans="1:4" ht="14.4">
      <c r="A278" s="14">
        <v>70705</v>
      </c>
      <c r="B278" s="2" t="s">
        <v>283</v>
      </c>
      <c r="C278" s="15">
        <v>0.43730648580371878</v>
      </c>
      <c r="D278" s="15">
        <v>0.42457253977626136</v>
      </c>
    </row>
    <row r="279" spans="1:4" ht="14.4">
      <c r="A279" s="14">
        <v>70706</v>
      </c>
      <c r="B279" s="2" t="s">
        <v>284</v>
      </c>
      <c r="C279" s="15">
        <v>0.33298862173150995</v>
      </c>
      <c r="D279" s="15">
        <v>0.22107958275977951</v>
      </c>
    </row>
    <row r="280" spans="1:4" ht="14.4">
      <c r="A280" s="14">
        <v>70707</v>
      </c>
      <c r="B280" s="2" t="s">
        <v>285</v>
      </c>
      <c r="C280" s="15">
        <v>0.49281165304496949</v>
      </c>
      <c r="D280" s="15">
        <v>2.6436255325125688</v>
      </c>
    </row>
    <row r="281" spans="1:4" ht="14.4">
      <c r="A281" s="14">
        <v>70801</v>
      </c>
      <c r="B281" s="2" t="s">
        <v>286</v>
      </c>
      <c r="C281" s="15">
        <v>0.89733479815379857</v>
      </c>
      <c r="D281" s="15">
        <v>0.97439298605436309</v>
      </c>
    </row>
    <row r="282" spans="1:4" ht="14.4">
      <c r="A282" s="14">
        <v>70802</v>
      </c>
      <c r="B282" s="2" t="s">
        <v>287</v>
      </c>
      <c r="C282" s="15">
        <v>0.86396932415234406</v>
      </c>
      <c r="D282" s="15">
        <v>0.22859114321564555</v>
      </c>
    </row>
    <row r="283" spans="1:4" ht="14.4">
      <c r="A283" s="14">
        <v>70803</v>
      </c>
      <c r="B283" s="2" t="s">
        <v>288</v>
      </c>
      <c r="C283" s="15">
        <v>0.96381478737280912</v>
      </c>
      <c r="D283" s="15">
        <v>0.73582730865323143</v>
      </c>
    </row>
    <row r="284" spans="1:4" ht="14.4">
      <c r="A284" s="14">
        <v>70804</v>
      </c>
      <c r="B284" s="2" t="s">
        <v>289</v>
      </c>
      <c r="C284" s="15">
        <v>0.90346419143437928</v>
      </c>
      <c r="D284" s="15">
        <v>0.93745458761648437</v>
      </c>
    </row>
    <row r="285" spans="1:4" ht="14.4">
      <c r="A285" s="14">
        <v>70805</v>
      </c>
      <c r="B285" s="2" t="s">
        <v>290</v>
      </c>
      <c r="C285" s="15">
        <v>1.0920065640987682</v>
      </c>
      <c r="D285" s="15">
        <v>6.4742198253108576</v>
      </c>
    </row>
    <row r="286" spans="1:4" ht="14.4">
      <c r="A286" s="14">
        <v>70901</v>
      </c>
      <c r="B286" s="2" t="s">
        <v>291</v>
      </c>
      <c r="C286" s="15">
        <v>0.65941118042526914</v>
      </c>
      <c r="D286" s="15">
        <v>0.4820782653153653</v>
      </c>
    </row>
    <row r="287" spans="1:4" ht="14.4">
      <c r="A287" s="14">
        <v>70902</v>
      </c>
      <c r="B287" s="2" t="s">
        <v>292</v>
      </c>
      <c r="C287" s="15">
        <v>0.47364226975796681</v>
      </c>
      <c r="D287" s="15">
        <v>0.54356886983250075</v>
      </c>
    </row>
    <row r="288" spans="1:4" ht="14.4">
      <c r="A288" s="14">
        <v>70903</v>
      </c>
      <c r="B288" s="2" t="s">
        <v>293</v>
      </c>
      <c r="C288" s="15">
        <v>0.46157029525722137</v>
      </c>
      <c r="D288" s="15">
        <v>0.46357035642025762</v>
      </c>
    </row>
    <row r="289" spans="1:4" ht="14.4">
      <c r="A289" s="14">
        <v>70904</v>
      </c>
      <c r="B289" s="2" t="s">
        <v>294</v>
      </c>
      <c r="C289" s="15">
        <v>1.0688877305668891</v>
      </c>
      <c r="D289" s="15">
        <v>0.90739808657607479</v>
      </c>
    </row>
    <row r="290" spans="1:4" ht="14.4">
      <c r="A290" s="14">
        <v>71001</v>
      </c>
      <c r="B290" s="2" t="s">
        <v>295</v>
      </c>
      <c r="C290" s="15">
        <v>0.72557691295589966</v>
      </c>
      <c r="D290" s="15">
        <v>0.63349187620483272</v>
      </c>
    </row>
    <row r="291" spans="1:4" ht="14.4">
      <c r="A291" s="14">
        <v>71002</v>
      </c>
      <c r="B291" s="2" t="s">
        <v>296</v>
      </c>
      <c r="C291" s="15">
        <v>0.78659561392488875</v>
      </c>
      <c r="D291" s="15">
        <v>0.77146503049985315</v>
      </c>
    </row>
    <row r="292" spans="1:4" ht="14.4">
      <c r="A292" s="14">
        <v>71003</v>
      </c>
      <c r="B292" s="2" t="s">
        <v>297</v>
      </c>
      <c r="C292" s="15">
        <v>0.77003163667388752</v>
      </c>
      <c r="D292" s="15">
        <v>0.68028504003546408</v>
      </c>
    </row>
    <row r="293" spans="1:4" ht="14.4">
      <c r="A293" s="14">
        <v>71004</v>
      </c>
      <c r="B293" s="2" t="s">
        <v>298</v>
      </c>
      <c r="C293" s="15">
        <v>0.8041758449778712</v>
      </c>
      <c r="D293" s="15">
        <v>0.51583050579221579</v>
      </c>
    </row>
    <row r="294" spans="1:4" ht="14.4">
      <c r="A294" s="14">
        <v>71005</v>
      </c>
      <c r="B294" s="2" t="s">
        <v>299</v>
      </c>
      <c r="C294" s="15">
        <v>1.0810611941150372</v>
      </c>
      <c r="D294" s="15">
        <v>0.90300117668165558</v>
      </c>
    </row>
    <row r="295" spans="1:4" ht="14.4">
      <c r="A295" s="14">
        <v>71101</v>
      </c>
      <c r="B295" s="2" t="s">
        <v>300</v>
      </c>
      <c r="C295" s="15">
        <v>0.88254292719155947</v>
      </c>
      <c r="D295" s="15">
        <v>0.87543316559621975</v>
      </c>
    </row>
    <row r="296" spans="1:4" ht="14.4">
      <c r="A296" s="14">
        <v>71102</v>
      </c>
      <c r="B296" s="2" t="s">
        <v>301</v>
      </c>
      <c r="C296" s="15">
        <v>0.85519136170167742</v>
      </c>
      <c r="D296" s="15">
        <v>1.1690602352931898</v>
      </c>
    </row>
    <row r="297" spans="1:4" ht="14.4">
      <c r="A297" s="14">
        <v>71103</v>
      </c>
      <c r="B297" s="2" t="s">
        <v>302</v>
      </c>
      <c r="C297" s="15">
        <v>0.92902327191094158</v>
      </c>
      <c r="D297" s="15">
        <v>0.88657212097706906</v>
      </c>
    </row>
    <row r="298" spans="1:4" ht="14.4">
      <c r="A298" s="14">
        <v>71104</v>
      </c>
      <c r="B298" s="2" t="s">
        <v>303</v>
      </c>
      <c r="C298" s="15">
        <v>0.89160237465047154</v>
      </c>
      <c r="D298" s="15">
        <v>0.97518273994043414</v>
      </c>
    </row>
    <row r="299" spans="1:4" ht="14.4">
      <c r="A299" s="14">
        <v>71105</v>
      </c>
      <c r="B299" s="2" t="s">
        <v>304</v>
      </c>
      <c r="C299" s="15">
        <v>0.42116955187498095</v>
      </c>
      <c r="D299" s="15">
        <v>2.0477562533113653</v>
      </c>
    </row>
    <row r="300" spans="1:4" ht="14.4">
      <c r="A300" s="14">
        <v>71106</v>
      </c>
      <c r="B300" s="2" t="s">
        <v>305</v>
      </c>
      <c r="C300" s="15">
        <v>0.71130377593510219</v>
      </c>
      <c r="D300" s="15">
        <v>1.6269329310833127</v>
      </c>
    </row>
    <row r="301" spans="1:4" ht="14.4">
      <c r="A301" s="14">
        <v>71201</v>
      </c>
      <c r="B301" s="2" t="s">
        <v>306</v>
      </c>
      <c r="C301" s="15">
        <v>0.93232909597092706</v>
      </c>
      <c r="D301" s="15">
        <v>1.1110044289830525</v>
      </c>
    </row>
    <row r="302" spans="1:4" ht="14.4">
      <c r="A302" s="14">
        <v>71301</v>
      </c>
      <c r="B302" s="2" t="s">
        <v>307</v>
      </c>
      <c r="C302" s="15">
        <v>0.51201808731280918</v>
      </c>
      <c r="D302" s="15">
        <v>0.55314527429118732</v>
      </c>
    </row>
    <row r="303" spans="1:4" ht="14.4">
      <c r="A303" s="14">
        <v>71302</v>
      </c>
      <c r="B303" s="2" t="s">
        <v>308</v>
      </c>
      <c r="C303" s="15">
        <v>0.70750080697224016</v>
      </c>
      <c r="D303" s="15">
        <v>0.70232545138378044</v>
      </c>
    </row>
    <row r="304" spans="1:4" ht="14.4">
      <c r="A304" s="14">
        <v>71401</v>
      </c>
      <c r="B304" s="2" t="s">
        <v>309</v>
      </c>
      <c r="C304" s="15">
        <v>0.83780586468522522</v>
      </c>
      <c r="D304" s="15">
        <v>0.37149893737140205</v>
      </c>
    </row>
    <row r="305" spans="1:4" ht="14.4">
      <c r="A305" s="14">
        <v>71402</v>
      </c>
      <c r="B305" s="2" t="s">
        <v>310</v>
      </c>
      <c r="C305" s="15">
        <v>0.92022894372287012</v>
      </c>
      <c r="D305" s="15">
        <v>0.94943794312643714</v>
      </c>
    </row>
    <row r="306" spans="1:4" ht="14.4">
      <c r="A306" s="14">
        <v>71403</v>
      </c>
      <c r="B306" s="2" t="s">
        <v>311</v>
      </c>
      <c r="C306" s="15">
        <v>0.8947682766009124</v>
      </c>
      <c r="D306" s="15">
        <v>0.35540687893850414</v>
      </c>
    </row>
    <row r="307" spans="1:4" ht="14.4">
      <c r="A307" s="14">
        <v>71501</v>
      </c>
      <c r="B307" s="2" t="s">
        <v>312</v>
      </c>
      <c r="C307" s="15">
        <v>1.0468099801143216</v>
      </c>
      <c r="D307" s="15">
        <v>0.81456880869016779</v>
      </c>
    </row>
    <row r="308" spans="1:4" ht="14.4">
      <c r="A308" s="14">
        <v>71502</v>
      </c>
      <c r="B308" s="2" t="s">
        <v>313</v>
      </c>
      <c r="C308" s="15">
        <v>0.97379344491175412</v>
      </c>
      <c r="D308" s="15">
        <v>0.9526040915775208</v>
      </c>
    </row>
    <row r="309" spans="1:4" ht="14.4">
      <c r="A309" s="14">
        <v>71503</v>
      </c>
      <c r="B309" s="2" t="s">
        <v>258</v>
      </c>
      <c r="C309" s="15">
        <v>0.82167963200379635</v>
      </c>
      <c r="D309" s="15">
        <v>0.90988265605259699</v>
      </c>
    </row>
    <row r="310" spans="1:4" ht="14.4">
      <c r="A310" s="14">
        <v>80101</v>
      </c>
      <c r="B310" s="2" t="s">
        <v>314</v>
      </c>
      <c r="C310" s="15">
        <v>0.80014815734936895</v>
      </c>
      <c r="D310" s="15">
        <v>0.88077337437326686</v>
      </c>
    </row>
    <row r="311" spans="1:4" ht="14.4">
      <c r="A311" s="14">
        <v>80102</v>
      </c>
      <c r="B311" s="2" t="s">
        <v>301</v>
      </c>
      <c r="C311" s="15">
        <v>0.9323052028570038</v>
      </c>
      <c r="D311" s="15">
        <v>0.88789974979620379</v>
      </c>
    </row>
    <row r="312" spans="1:4" ht="14.4">
      <c r="A312" s="14">
        <v>80201</v>
      </c>
      <c r="B312" s="2" t="s">
        <v>315</v>
      </c>
      <c r="C312" s="15">
        <v>0.85310843789681079</v>
      </c>
      <c r="D312" s="15">
        <v>0.99590347177648575</v>
      </c>
    </row>
    <row r="313" spans="1:4" ht="14.4">
      <c r="A313" s="14">
        <v>80202</v>
      </c>
      <c r="B313" s="2" t="s">
        <v>316</v>
      </c>
      <c r="C313" s="15">
        <v>0.88015244221147038</v>
      </c>
      <c r="D313" s="15">
        <v>0.59780129247549152</v>
      </c>
    </row>
    <row r="314" spans="1:4" ht="14.4">
      <c r="A314" s="14">
        <v>80301</v>
      </c>
      <c r="B314" s="2" t="s">
        <v>317</v>
      </c>
      <c r="C314" s="15">
        <v>0.75352114709213458</v>
      </c>
      <c r="D314" s="15">
        <v>0.99307924897752697</v>
      </c>
    </row>
    <row r="315" spans="1:4" ht="14.4">
      <c r="A315" s="14">
        <v>80302</v>
      </c>
      <c r="B315" s="2" t="s">
        <v>318</v>
      </c>
      <c r="C315" s="15">
        <v>0.39280562104062861</v>
      </c>
      <c r="D315" s="15">
        <v>0.18210175110903573</v>
      </c>
    </row>
    <row r="316" spans="1:4" ht="14.4">
      <c r="A316" s="14">
        <v>80303</v>
      </c>
      <c r="B316" s="2" t="s">
        <v>319</v>
      </c>
      <c r="C316" s="15">
        <v>0.72130533587648193</v>
      </c>
      <c r="D316" s="15">
        <v>0.37733845683349559</v>
      </c>
    </row>
    <row r="317" spans="1:4" ht="14.4">
      <c r="A317" s="14">
        <v>80304</v>
      </c>
      <c r="B317" s="2" t="s">
        <v>320</v>
      </c>
      <c r="C317" s="15">
        <v>0.41053514809858982</v>
      </c>
      <c r="D317" s="15">
        <v>0.26841498111433176</v>
      </c>
    </row>
    <row r="318" spans="1:4" ht="14.4">
      <c r="A318" s="14">
        <v>80401</v>
      </c>
      <c r="B318" s="2" t="s">
        <v>321</v>
      </c>
      <c r="C318" s="15">
        <v>0.70955620920241991</v>
      </c>
      <c r="D318" s="15">
        <v>0.32763965169688258</v>
      </c>
    </row>
    <row r="319" spans="1:4" ht="14.4">
      <c r="A319" s="14">
        <v>80402</v>
      </c>
      <c r="B319" s="2" t="s">
        <v>322</v>
      </c>
      <c r="C319" s="15">
        <v>0.9773877472849658</v>
      </c>
      <c r="D319" s="15">
        <v>0.55330897438806625</v>
      </c>
    </row>
    <row r="320" spans="1:4" ht="14.4">
      <c r="A320" s="14">
        <v>80501</v>
      </c>
      <c r="B320" s="2" t="s">
        <v>323</v>
      </c>
      <c r="C320" s="15">
        <v>0.82873795990970711</v>
      </c>
      <c r="D320" s="15">
        <v>0.40761972498409227</v>
      </c>
    </row>
    <row r="321" spans="1:4" ht="14.4">
      <c r="A321" s="14">
        <v>80601</v>
      </c>
      <c r="B321" s="2" t="s">
        <v>324</v>
      </c>
      <c r="C321" s="15">
        <v>0.62942009631633422</v>
      </c>
      <c r="D321" s="15">
        <v>0.44080164915665898</v>
      </c>
    </row>
    <row r="322" spans="1:4" ht="14.4">
      <c r="A322" s="14">
        <v>80602</v>
      </c>
      <c r="B322" s="2" t="s">
        <v>325</v>
      </c>
      <c r="C322" s="15">
        <v>0.78598368085837444</v>
      </c>
      <c r="D322" s="15">
        <v>0.73143051278234694</v>
      </c>
    </row>
    <row r="323" spans="1:4" ht="14.4">
      <c r="A323" s="14">
        <v>80701</v>
      </c>
      <c r="B323" s="2" t="s">
        <v>326</v>
      </c>
      <c r="C323" s="15">
        <v>1.006317616991611</v>
      </c>
      <c r="D323" s="15">
        <v>0.88833287301551234</v>
      </c>
    </row>
    <row r="324" spans="1:4" ht="14.4">
      <c r="A324" s="14">
        <v>80702</v>
      </c>
      <c r="B324" s="2" t="s">
        <v>302</v>
      </c>
      <c r="C324" s="15">
        <v>0.78594425606887697</v>
      </c>
      <c r="D324" s="15">
        <v>0.60355117451107854</v>
      </c>
    </row>
    <row r="325" spans="1:4" ht="14.4">
      <c r="A325" s="14">
        <v>80703</v>
      </c>
      <c r="B325" s="2" t="s">
        <v>327</v>
      </c>
      <c r="C325" s="15">
        <v>0.84650926619574918</v>
      </c>
      <c r="D325" s="15">
        <v>0.6627718414440591</v>
      </c>
    </row>
    <row r="326" spans="1:4" ht="14.4">
      <c r="A326" s="14">
        <v>80801</v>
      </c>
      <c r="B326" s="2" t="s">
        <v>328</v>
      </c>
      <c r="C326" s="15">
        <v>0.8110669144596897</v>
      </c>
      <c r="D326" s="15">
        <v>1.0009580727418577</v>
      </c>
    </row>
    <row r="327" spans="1:4" ht="14.4">
      <c r="A327" s="14">
        <v>80802</v>
      </c>
      <c r="B327" s="2" t="s">
        <v>329</v>
      </c>
      <c r="C327" s="15">
        <v>0.85269974366003243</v>
      </c>
      <c r="D327" s="15">
        <v>0.68916707733585036</v>
      </c>
    </row>
    <row r="328" spans="1:4" ht="14.4">
      <c r="A328" s="14">
        <v>80803</v>
      </c>
      <c r="B328" s="2" t="s">
        <v>330</v>
      </c>
      <c r="C328" s="15">
        <v>1.0366170439239466</v>
      </c>
      <c r="D328" s="15">
        <v>1.2743716050648008</v>
      </c>
    </row>
    <row r="329" spans="1:4" ht="14.4">
      <c r="A329" s="14">
        <v>80901</v>
      </c>
      <c r="B329" s="2" t="s">
        <v>331</v>
      </c>
      <c r="C329" s="15">
        <v>0.78253068481145904</v>
      </c>
      <c r="D329" s="15">
        <v>0.62186300736876143</v>
      </c>
    </row>
    <row r="330" spans="1:4" ht="14.4">
      <c r="A330" s="14">
        <v>90101</v>
      </c>
      <c r="B330" s="2" t="s">
        <v>332</v>
      </c>
      <c r="C330" s="15">
        <v>1.2127892063809831</v>
      </c>
      <c r="D330" s="15">
        <v>1.2269379995326333</v>
      </c>
    </row>
    <row r="331" spans="1:4" ht="14.4">
      <c r="A331" s="14">
        <v>90102</v>
      </c>
      <c r="B331" s="2" t="s">
        <v>333</v>
      </c>
      <c r="C331" s="15">
        <v>1.0394195003351969</v>
      </c>
      <c r="D331" s="15">
        <v>1.1930305081195554</v>
      </c>
    </row>
    <row r="332" spans="1:4" ht="14.4">
      <c r="A332" s="14">
        <v>90103</v>
      </c>
      <c r="B332" s="2" t="s">
        <v>334</v>
      </c>
      <c r="C332" s="15">
        <v>0.84855744823101986</v>
      </c>
      <c r="D332" s="15">
        <v>0.70717559660002771</v>
      </c>
    </row>
    <row r="333" spans="1:4" ht="14.4">
      <c r="A333" s="14">
        <v>90104</v>
      </c>
      <c r="B333" s="2" t="s">
        <v>335</v>
      </c>
      <c r="C333" s="15">
        <v>1.4557789673954658</v>
      </c>
      <c r="D333" s="15">
        <v>1.0485482719998021</v>
      </c>
    </row>
    <row r="334" spans="1:4" ht="14.4">
      <c r="A334" s="14">
        <v>90201</v>
      </c>
      <c r="B334" s="2" t="s">
        <v>336</v>
      </c>
      <c r="C334" s="15">
        <v>0.90232538487368985</v>
      </c>
      <c r="D334" s="15">
        <v>1.2059411881816902</v>
      </c>
    </row>
    <row r="335" spans="1:4" ht="14.4">
      <c r="A335" s="14">
        <v>90202</v>
      </c>
      <c r="B335" s="2" t="s">
        <v>299</v>
      </c>
      <c r="C335" s="15">
        <v>0.9727143858403533</v>
      </c>
      <c r="D335" s="15">
        <v>1.4114744039877132</v>
      </c>
    </row>
    <row r="336" spans="1:4" ht="14.4">
      <c r="A336" s="14">
        <v>90203</v>
      </c>
      <c r="B336" s="2" t="s">
        <v>337</v>
      </c>
      <c r="C336" s="15">
        <v>1.0941516440402546</v>
      </c>
      <c r="D336" s="15">
        <v>0.77199966341420456</v>
      </c>
    </row>
    <row r="337" spans="1:4" ht="14.4">
      <c r="A337" s="14">
        <v>90301</v>
      </c>
      <c r="B337" s="2" t="s">
        <v>338</v>
      </c>
      <c r="C337" s="15">
        <v>0.67700003321030255</v>
      </c>
      <c r="D337" s="15">
        <v>0.99004748431232714</v>
      </c>
    </row>
    <row r="338" spans="1:4" ht="14.4">
      <c r="A338" s="14">
        <v>90302</v>
      </c>
      <c r="B338" s="2" t="s">
        <v>339</v>
      </c>
      <c r="C338" s="15">
        <v>0.8410269251940885</v>
      </c>
      <c r="D338" s="15">
        <v>1.2203355397348044</v>
      </c>
    </row>
    <row r="339" spans="1:4" ht="14.4">
      <c r="A339" s="14">
        <v>90303</v>
      </c>
      <c r="B339" s="2" t="s">
        <v>340</v>
      </c>
      <c r="C339" s="15">
        <v>1.0451741593325117</v>
      </c>
      <c r="D339" s="15">
        <v>0.95991912764343013</v>
      </c>
    </row>
    <row r="340" spans="1:4" ht="14.4">
      <c r="A340" s="14">
        <v>90401</v>
      </c>
      <c r="B340" s="2" t="s">
        <v>341</v>
      </c>
      <c r="C340" s="15">
        <v>1.0124215820543698</v>
      </c>
      <c r="D340" s="15">
        <v>1.0893539413387507</v>
      </c>
    </row>
    <row r="341" spans="1:4" ht="14.4">
      <c r="A341" s="14">
        <v>90402</v>
      </c>
      <c r="B341" s="2" t="s">
        <v>342</v>
      </c>
      <c r="C341" s="15">
        <v>1.017848434755857</v>
      </c>
      <c r="D341" s="15">
        <v>1.038810606684025</v>
      </c>
    </row>
    <row r="342" spans="1:4" ht="14.4">
      <c r="A342" s="14">
        <v>90501</v>
      </c>
      <c r="B342" s="2" t="s">
        <v>343</v>
      </c>
      <c r="C342" s="15">
        <v>0.92786453438372773</v>
      </c>
      <c r="D342" s="15">
        <v>0.95864094465098992</v>
      </c>
    </row>
    <row r="343" spans="1:4" ht="14.4">
      <c r="A343" s="14">
        <v>90502</v>
      </c>
      <c r="B343" s="2" t="s">
        <v>344</v>
      </c>
      <c r="C343" s="15">
        <v>1.2018202187382465</v>
      </c>
      <c r="D343" s="15">
        <v>0.7771830719692765</v>
      </c>
    </row>
    <row r="344" spans="1:4" ht="14.4">
      <c r="A344" s="14">
        <v>90503</v>
      </c>
      <c r="B344" s="2" t="s">
        <v>345</v>
      </c>
      <c r="C344" s="15">
        <v>1.0717249123485681</v>
      </c>
      <c r="D344" s="15">
        <v>1.3393427737131958</v>
      </c>
    </row>
    <row r="345" spans="1:4" ht="13.2">
      <c r="A345" s="17"/>
      <c r="B345" s="18"/>
      <c r="C345" s="19"/>
      <c r="D345" s="19"/>
    </row>
    <row r="346" spans="1:4" ht="13.2">
      <c r="A346" s="17"/>
      <c r="B346" s="18"/>
      <c r="C346" s="19"/>
      <c r="D346" s="19"/>
    </row>
    <row r="347" spans="1:4" ht="13.2">
      <c r="A347" s="17"/>
      <c r="B347" s="18"/>
      <c r="C347" s="19"/>
      <c r="D347" s="19"/>
    </row>
    <row r="348" spans="1:4" ht="13.2">
      <c r="A348" s="17"/>
      <c r="B348" s="18"/>
      <c r="C348" s="19"/>
      <c r="D348" s="19"/>
    </row>
    <row r="349" spans="1:4" ht="13.2">
      <c r="A349" s="17"/>
      <c r="B349" s="18"/>
      <c r="C349" s="19"/>
      <c r="D349" s="19"/>
    </row>
    <row r="350" spans="1:4" ht="13.2">
      <c r="A350" s="17"/>
      <c r="B350" s="18"/>
      <c r="C350" s="19"/>
      <c r="D350" s="19"/>
    </row>
    <row r="351" spans="1:4" ht="13.2">
      <c r="A351" s="17"/>
      <c r="B351" s="18"/>
      <c r="C351" s="19"/>
      <c r="D351" s="19"/>
    </row>
    <row r="352" spans="1:4" ht="13.2">
      <c r="A352" s="17"/>
      <c r="B352" s="18"/>
      <c r="C352" s="19"/>
      <c r="D352" s="19"/>
    </row>
    <row r="353" spans="1:4" ht="13.2">
      <c r="A353" s="17"/>
      <c r="B353" s="18"/>
      <c r="C353" s="19"/>
      <c r="D353" s="19"/>
    </row>
    <row r="354" spans="1:4" ht="13.2">
      <c r="A354" s="17"/>
      <c r="B354" s="18"/>
      <c r="C354" s="19"/>
      <c r="D354" s="19"/>
    </row>
    <row r="355" spans="1:4" ht="13.2">
      <c r="A355" s="17"/>
      <c r="B355" s="18"/>
      <c r="C355" s="19"/>
      <c r="D355" s="19"/>
    </row>
    <row r="356" spans="1:4" ht="13.2">
      <c r="A356" s="17"/>
      <c r="B356" s="18"/>
      <c r="C356" s="19"/>
      <c r="D356" s="19"/>
    </row>
    <row r="357" spans="1:4" ht="13.2">
      <c r="A357" s="17"/>
      <c r="B357" s="18"/>
      <c r="C357" s="19"/>
      <c r="D357" s="19"/>
    </row>
    <row r="358" spans="1:4" ht="13.2">
      <c r="A358" s="17"/>
      <c r="B358" s="18"/>
      <c r="C358" s="19"/>
      <c r="D358" s="19"/>
    </row>
    <row r="359" spans="1:4" ht="13.2">
      <c r="A359" s="17"/>
      <c r="B359" s="18"/>
      <c r="C359" s="19"/>
      <c r="D359" s="19"/>
    </row>
    <row r="360" spans="1:4" ht="13.2">
      <c r="A360" s="17"/>
      <c r="B360" s="18"/>
      <c r="C360" s="19"/>
      <c r="D360" s="19"/>
    </row>
    <row r="361" spans="1:4" ht="13.2">
      <c r="A361" s="17"/>
      <c r="B361" s="18"/>
      <c r="C361" s="19"/>
      <c r="D361" s="19"/>
    </row>
    <row r="362" spans="1:4" ht="13.2">
      <c r="A362" s="17"/>
      <c r="B362" s="18"/>
      <c r="C362" s="19"/>
      <c r="D362" s="19"/>
    </row>
    <row r="363" spans="1:4" ht="13.2">
      <c r="A363" s="17"/>
      <c r="B363" s="18"/>
      <c r="C363" s="19"/>
      <c r="D363" s="19"/>
    </row>
    <row r="364" spans="1:4" ht="13.2">
      <c r="A364" s="17"/>
      <c r="B364" s="18"/>
      <c r="C364" s="19"/>
      <c r="D364" s="19"/>
    </row>
    <row r="365" spans="1:4" ht="13.2">
      <c r="A365" s="17"/>
      <c r="B365" s="18"/>
      <c r="C365" s="19"/>
      <c r="D365" s="19"/>
    </row>
    <row r="366" spans="1:4" ht="13.2">
      <c r="A366" s="17"/>
      <c r="B366" s="18"/>
      <c r="C366" s="19"/>
      <c r="D366" s="19"/>
    </row>
    <row r="367" spans="1:4" ht="13.2">
      <c r="A367" s="17"/>
      <c r="B367" s="18"/>
      <c r="C367" s="19"/>
      <c r="D367" s="19"/>
    </row>
    <row r="368" spans="1:4" ht="13.2">
      <c r="A368" s="17"/>
      <c r="B368" s="18"/>
      <c r="C368" s="19"/>
      <c r="D368" s="19"/>
    </row>
    <row r="369" spans="1:4" ht="13.2">
      <c r="A369" s="17"/>
      <c r="B369" s="18"/>
      <c r="C369" s="19"/>
      <c r="D369" s="19"/>
    </row>
    <row r="370" spans="1:4" ht="13.2">
      <c r="A370" s="17"/>
      <c r="B370" s="18"/>
      <c r="C370" s="19"/>
      <c r="D370" s="19"/>
    </row>
    <row r="371" spans="1:4" ht="13.2">
      <c r="A371" s="17"/>
      <c r="B371" s="18"/>
      <c r="C371" s="19"/>
      <c r="D371" s="19"/>
    </row>
    <row r="372" spans="1:4" ht="13.2">
      <c r="A372" s="17"/>
      <c r="B372" s="18"/>
      <c r="C372" s="19"/>
      <c r="D372" s="19"/>
    </row>
    <row r="373" spans="1:4" ht="13.2">
      <c r="A373" s="17"/>
      <c r="B373" s="18"/>
      <c r="C373" s="19"/>
      <c r="D373" s="19"/>
    </row>
    <row r="374" spans="1:4" ht="13.2">
      <c r="A374" s="17"/>
      <c r="B374" s="18"/>
      <c r="C374" s="19"/>
      <c r="D374" s="19"/>
    </row>
    <row r="375" spans="1:4" ht="13.2">
      <c r="A375" s="17"/>
      <c r="B375" s="18"/>
      <c r="C375" s="19"/>
      <c r="D375" s="19"/>
    </row>
    <row r="376" spans="1:4" ht="13.2">
      <c r="A376" s="17"/>
      <c r="B376" s="18"/>
      <c r="C376" s="19"/>
      <c r="D376" s="19"/>
    </row>
    <row r="377" spans="1:4" ht="13.2">
      <c r="A377" s="17"/>
      <c r="B377" s="18"/>
      <c r="C377" s="19"/>
      <c r="D377" s="19"/>
    </row>
    <row r="378" spans="1:4" ht="13.2">
      <c r="A378" s="17"/>
      <c r="B378" s="18"/>
      <c r="C378" s="19"/>
      <c r="D378" s="19"/>
    </row>
    <row r="379" spans="1:4" ht="13.2">
      <c r="A379" s="17"/>
      <c r="B379" s="18"/>
      <c r="C379" s="19"/>
      <c r="D379" s="19"/>
    </row>
    <row r="380" spans="1:4" ht="13.2">
      <c r="A380" s="17"/>
      <c r="B380" s="18"/>
      <c r="C380" s="19"/>
      <c r="D380" s="19"/>
    </row>
    <row r="381" spans="1:4" ht="13.2">
      <c r="A381" s="17"/>
      <c r="B381" s="18"/>
      <c r="C381" s="19"/>
      <c r="D381" s="19"/>
    </row>
    <row r="382" spans="1:4" ht="13.2">
      <c r="A382" s="17"/>
      <c r="B382" s="18"/>
      <c r="C382" s="19"/>
      <c r="D382" s="19"/>
    </row>
    <row r="383" spans="1:4" ht="13.2">
      <c r="A383" s="17"/>
      <c r="B383" s="18"/>
      <c r="C383" s="19"/>
      <c r="D383" s="19"/>
    </row>
    <row r="384" spans="1:4" ht="13.2">
      <c r="A384" s="17"/>
      <c r="B384" s="18"/>
      <c r="C384" s="19"/>
      <c r="D384" s="19"/>
    </row>
    <row r="385" spans="1:4" ht="13.2">
      <c r="A385" s="17"/>
      <c r="B385" s="18"/>
      <c r="C385" s="19"/>
      <c r="D385" s="19"/>
    </row>
    <row r="386" spans="1:4" ht="13.2">
      <c r="A386" s="17"/>
      <c r="B386" s="18"/>
      <c r="C386" s="19"/>
      <c r="D386" s="19"/>
    </row>
    <row r="387" spans="1:4" ht="13.2">
      <c r="A387" s="17"/>
      <c r="B387" s="18"/>
      <c r="C387" s="19"/>
      <c r="D387" s="19"/>
    </row>
    <row r="388" spans="1:4" ht="13.2">
      <c r="A388" s="17"/>
      <c r="B388" s="18"/>
      <c r="C388" s="19"/>
      <c r="D388" s="19"/>
    </row>
    <row r="389" spans="1:4" ht="13.2">
      <c r="A389" s="17"/>
      <c r="B389" s="18"/>
      <c r="C389" s="19"/>
      <c r="D389" s="19"/>
    </row>
    <row r="390" spans="1:4" ht="13.2">
      <c r="A390" s="17"/>
      <c r="B390" s="18"/>
      <c r="C390" s="19"/>
      <c r="D390" s="19"/>
    </row>
    <row r="391" spans="1:4" ht="13.2">
      <c r="A391" s="17"/>
      <c r="B391" s="18"/>
      <c r="C391" s="19"/>
      <c r="D391" s="19"/>
    </row>
    <row r="392" spans="1:4" ht="13.2">
      <c r="A392" s="17"/>
      <c r="B392" s="18"/>
      <c r="C392" s="19"/>
      <c r="D392" s="19"/>
    </row>
    <row r="393" spans="1:4" ht="13.2">
      <c r="A393" s="17"/>
      <c r="B393" s="18"/>
      <c r="C393" s="19"/>
      <c r="D393" s="19"/>
    </row>
    <row r="394" spans="1:4" ht="13.2">
      <c r="A394" s="17"/>
      <c r="B394" s="18"/>
      <c r="C394" s="19"/>
      <c r="D394" s="19"/>
    </row>
    <row r="395" spans="1:4" ht="13.2">
      <c r="A395" s="17"/>
      <c r="B395" s="18"/>
      <c r="C395" s="19"/>
      <c r="D395" s="19"/>
    </row>
    <row r="396" spans="1:4" ht="13.2">
      <c r="A396" s="17"/>
      <c r="B396" s="18"/>
      <c r="C396" s="19"/>
      <c r="D396" s="19"/>
    </row>
    <row r="397" spans="1:4" ht="13.2">
      <c r="A397" s="17"/>
      <c r="B397" s="18"/>
      <c r="C397" s="19"/>
      <c r="D397" s="19"/>
    </row>
    <row r="398" spans="1:4" ht="13.2">
      <c r="A398" s="17"/>
      <c r="B398" s="18"/>
      <c r="C398" s="19"/>
      <c r="D398" s="19"/>
    </row>
    <row r="399" spans="1:4" ht="13.2">
      <c r="A399" s="17"/>
      <c r="B399" s="18"/>
      <c r="C399" s="19"/>
      <c r="D399" s="19"/>
    </row>
    <row r="400" spans="1:4" ht="13.2">
      <c r="A400" s="17"/>
      <c r="B400" s="18"/>
      <c r="C400" s="19"/>
      <c r="D400" s="19"/>
    </row>
    <row r="401" spans="1:4" ht="13.2">
      <c r="A401" s="17"/>
      <c r="B401" s="18"/>
      <c r="C401" s="19"/>
      <c r="D401" s="19"/>
    </row>
    <row r="402" spans="1:4" ht="13.2">
      <c r="A402" s="17"/>
      <c r="B402" s="18"/>
      <c r="C402" s="19"/>
      <c r="D402" s="19"/>
    </row>
    <row r="403" spans="1:4" ht="13.2">
      <c r="A403" s="17"/>
      <c r="B403" s="18"/>
      <c r="C403" s="19"/>
      <c r="D403" s="19"/>
    </row>
    <row r="404" spans="1:4" ht="13.2">
      <c r="A404" s="17"/>
      <c r="B404" s="18"/>
      <c r="C404" s="19"/>
      <c r="D404" s="19"/>
    </row>
    <row r="405" spans="1:4" ht="13.2">
      <c r="A405" s="17"/>
      <c r="B405" s="18"/>
      <c r="C405" s="19"/>
      <c r="D405" s="19"/>
    </row>
    <row r="406" spans="1:4" ht="13.2">
      <c r="A406" s="17"/>
      <c r="B406" s="18"/>
      <c r="C406" s="19"/>
      <c r="D406" s="19"/>
    </row>
    <row r="407" spans="1:4" ht="13.2">
      <c r="A407" s="17"/>
      <c r="B407" s="18"/>
      <c r="C407" s="19"/>
      <c r="D407" s="19"/>
    </row>
    <row r="408" spans="1:4" ht="13.2">
      <c r="A408" s="17"/>
      <c r="B408" s="18"/>
      <c r="C408" s="19"/>
      <c r="D408" s="19"/>
    </row>
    <row r="409" spans="1:4" ht="13.2">
      <c r="A409" s="17"/>
      <c r="B409" s="18"/>
      <c r="C409" s="19"/>
      <c r="D409" s="19"/>
    </row>
    <row r="410" spans="1:4" ht="13.2">
      <c r="A410" s="17"/>
      <c r="B410" s="18"/>
      <c r="C410" s="19"/>
      <c r="D410" s="19"/>
    </row>
    <row r="411" spans="1:4" ht="13.2">
      <c r="A411" s="17"/>
      <c r="B411" s="18"/>
      <c r="C411" s="19"/>
      <c r="D411" s="19"/>
    </row>
    <row r="412" spans="1:4" ht="13.2">
      <c r="A412" s="17"/>
      <c r="B412" s="18"/>
      <c r="C412" s="19"/>
      <c r="D412" s="19"/>
    </row>
    <row r="413" spans="1:4" ht="13.2">
      <c r="A413" s="17"/>
      <c r="B413" s="18"/>
      <c r="C413" s="19"/>
      <c r="D413" s="19"/>
    </row>
    <row r="414" spans="1:4" ht="13.2">
      <c r="A414" s="17"/>
      <c r="B414" s="18"/>
      <c r="C414" s="19"/>
      <c r="D414" s="19"/>
    </row>
    <row r="415" spans="1:4" ht="13.2">
      <c r="A415" s="17"/>
      <c r="B415" s="18"/>
      <c r="C415" s="19"/>
      <c r="D415" s="19"/>
    </row>
    <row r="416" spans="1:4" ht="13.2">
      <c r="A416" s="17"/>
      <c r="B416" s="18"/>
      <c r="C416" s="19"/>
      <c r="D416" s="19"/>
    </row>
    <row r="417" spans="1:4" ht="13.2">
      <c r="A417" s="17"/>
      <c r="B417" s="18"/>
      <c r="C417" s="19"/>
      <c r="D417" s="19"/>
    </row>
    <row r="418" spans="1:4" ht="13.2">
      <c r="A418" s="17"/>
      <c r="B418" s="18"/>
      <c r="C418" s="19"/>
      <c r="D418" s="19"/>
    </row>
    <row r="419" spans="1:4" ht="13.2">
      <c r="A419" s="17"/>
      <c r="B419" s="18"/>
      <c r="C419" s="19"/>
      <c r="D419" s="19"/>
    </row>
    <row r="420" spans="1:4" ht="13.2">
      <c r="A420" s="17"/>
      <c r="B420" s="18"/>
      <c r="C420" s="19"/>
      <c r="D420" s="19"/>
    </row>
    <row r="421" spans="1:4" ht="13.2">
      <c r="A421" s="17"/>
      <c r="B421" s="18"/>
      <c r="C421" s="19"/>
      <c r="D421" s="19"/>
    </row>
    <row r="422" spans="1:4" ht="13.2">
      <c r="A422" s="17"/>
      <c r="B422" s="18"/>
      <c r="C422" s="19"/>
      <c r="D422" s="19"/>
    </row>
    <row r="423" spans="1:4" ht="13.2">
      <c r="A423" s="17"/>
      <c r="B423" s="18"/>
      <c r="C423" s="19"/>
      <c r="D423" s="19"/>
    </row>
    <row r="424" spans="1:4" ht="13.2">
      <c r="A424" s="17"/>
      <c r="B424" s="18"/>
      <c r="C424" s="19"/>
      <c r="D424" s="19"/>
    </row>
    <row r="425" spans="1:4" ht="13.2">
      <c r="A425" s="17"/>
      <c r="B425" s="18"/>
      <c r="C425" s="19"/>
      <c r="D425" s="19"/>
    </row>
    <row r="426" spans="1:4" ht="13.2">
      <c r="A426" s="17"/>
      <c r="B426" s="18"/>
      <c r="C426" s="19"/>
      <c r="D426" s="19"/>
    </row>
    <row r="427" spans="1:4" ht="13.2">
      <c r="A427" s="17"/>
      <c r="B427" s="18"/>
      <c r="C427" s="19"/>
      <c r="D427" s="19"/>
    </row>
    <row r="428" spans="1:4" ht="13.2">
      <c r="A428" s="17"/>
      <c r="B428" s="18"/>
      <c r="C428" s="19"/>
      <c r="D428" s="19"/>
    </row>
    <row r="429" spans="1:4" ht="13.2">
      <c r="A429" s="17"/>
      <c r="B429" s="18"/>
      <c r="C429" s="19"/>
      <c r="D429" s="19"/>
    </row>
    <row r="430" spans="1:4" ht="13.2">
      <c r="A430" s="17"/>
      <c r="B430" s="18"/>
      <c r="C430" s="19"/>
      <c r="D430" s="19"/>
    </row>
    <row r="431" spans="1:4" ht="13.2">
      <c r="A431" s="17"/>
      <c r="B431" s="18"/>
      <c r="C431" s="19"/>
      <c r="D431" s="19"/>
    </row>
    <row r="432" spans="1:4" ht="13.2">
      <c r="A432" s="17"/>
      <c r="B432" s="18"/>
      <c r="C432" s="19"/>
      <c r="D432" s="19"/>
    </row>
    <row r="433" spans="1:4" ht="13.2">
      <c r="A433" s="17"/>
      <c r="B433" s="18"/>
      <c r="C433" s="19"/>
      <c r="D433" s="19"/>
    </row>
    <row r="434" spans="1:4" ht="13.2">
      <c r="A434" s="17"/>
      <c r="B434" s="18"/>
      <c r="C434" s="19"/>
      <c r="D434" s="19"/>
    </row>
    <row r="435" spans="1:4" ht="13.2">
      <c r="A435" s="17"/>
      <c r="B435" s="18"/>
      <c r="C435" s="19"/>
      <c r="D435" s="19"/>
    </row>
    <row r="436" spans="1:4" ht="13.2">
      <c r="A436" s="17"/>
      <c r="B436" s="18"/>
      <c r="C436" s="19"/>
      <c r="D436" s="19"/>
    </row>
    <row r="437" spans="1:4" ht="13.2">
      <c r="A437" s="17"/>
      <c r="B437" s="18"/>
      <c r="C437" s="19"/>
      <c r="D437" s="19"/>
    </row>
    <row r="438" spans="1:4" ht="13.2">
      <c r="A438" s="17"/>
      <c r="B438" s="18"/>
      <c r="C438" s="19"/>
      <c r="D438" s="19"/>
    </row>
    <row r="439" spans="1:4" ht="13.2">
      <c r="A439" s="17"/>
      <c r="B439" s="18"/>
      <c r="C439" s="19"/>
      <c r="D439" s="19"/>
    </row>
    <row r="440" spans="1:4" ht="13.2">
      <c r="A440" s="17"/>
      <c r="B440" s="18"/>
      <c r="C440" s="19"/>
      <c r="D440" s="19"/>
    </row>
    <row r="441" spans="1:4" ht="13.2">
      <c r="A441" s="17"/>
      <c r="B441" s="18"/>
      <c r="C441" s="19"/>
      <c r="D441" s="19"/>
    </row>
    <row r="442" spans="1:4" ht="13.2">
      <c r="A442" s="17"/>
      <c r="B442" s="18"/>
      <c r="C442" s="19"/>
      <c r="D442" s="19"/>
    </row>
    <row r="443" spans="1:4" ht="13.2">
      <c r="A443" s="17"/>
      <c r="B443" s="18"/>
      <c r="C443" s="19"/>
      <c r="D443" s="19"/>
    </row>
    <row r="444" spans="1:4" ht="13.2">
      <c r="A444" s="17"/>
      <c r="B444" s="18"/>
      <c r="C444" s="19"/>
      <c r="D444" s="19"/>
    </row>
    <row r="445" spans="1:4" ht="13.2">
      <c r="A445" s="17"/>
      <c r="B445" s="18"/>
      <c r="C445" s="19"/>
      <c r="D445" s="19"/>
    </row>
    <row r="446" spans="1:4" ht="13.2">
      <c r="A446" s="17"/>
      <c r="B446" s="18"/>
      <c r="C446" s="19"/>
      <c r="D446" s="19"/>
    </row>
    <row r="447" spans="1:4" ht="13.2">
      <c r="A447" s="17"/>
      <c r="B447" s="18"/>
      <c r="C447" s="19"/>
      <c r="D447" s="19"/>
    </row>
    <row r="448" spans="1:4" ht="13.2">
      <c r="A448" s="17"/>
      <c r="B448" s="18"/>
      <c r="C448" s="19"/>
      <c r="D448" s="19"/>
    </row>
    <row r="449" spans="1:4" ht="13.2">
      <c r="A449" s="17"/>
      <c r="B449" s="18"/>
      <c r="C449" s="19"/>
      <c r="D449" s="19"/>
    </row>
    <row r="450" spans="1:4" ht="13.2">
      <c r="A450" s="17"/>
      <c r="B450" s="18"/>
      <c r="C450" s="19"/>
      <c r="D450" s="19"/>
    </row>
    <row r="451" spans="1:4" ht="13.2">
      <c r="A451" s="17"/>
      <c r="B451" s="18"/>
      <c r="C451" s="19"/>
      <c r="D451" s="19"/>
    </row>
    <row r="452" spans="1:4" ht="13.2">
      <c r="A452" s="17"/>
      <c r="B452" s="18"/>
      <c r="C452" s="19"/>
      <c r="D452" s="19"/>
    </row>
    <row r="453" spans="1:4" ht="13.2">
      <c r="A453" s="17"/>
      <c r="B453" s="18"/>
      <c r="C453" s="19"/>
      <c r="D453" s="19"/>
    </row>
    <row r="454" spans="1:4" ht="13.2">
      <c r="A454" s="17"/>
      <c r="B454" s="18"/>
      <c r="C454" s="19"/>
      <c r="D454" s="19"/>
    </row>
    <row r="455" spans="1:4" ht="13.2">
      <c r="A455" s="17"/>
      <c r="B455" s="18"/>
      <c r="C455" s="19"/>
      <c r="D455" s="19"/>
    </row>
    <row r="456" spans="1:4" ht="13.2">
      <c r="A456" s="17"/>
      <c r="B456" s="18"/>
      <c r="C456" s="19"/>
      <c r="D456" s="19"/>
    </row>
    <row r="457" spans="1:4" ht="13.2">
      <c r="A457" s="17"/>
      <c r="B457" s="18"/>
      <c r="C457" s="19"/>
      <c r="D457" s="19"/>
    </row>
    <row r="458" spans="1:4" ht="13.2">
      <c r="A458" s="17"/>
      <c r="B458" s="18"/>
      <c r="C458" s="19"/>
      <c r="D458" s="19"/>
    </row>
    <row r="459" spans="1:4" ht="13.2">
      <c r="A459" s="17"/>
      <c r="B459" s="18"/>
      <c r="C459" s="19"/>
      <c r="D459" s="19"/>
    </row>
    <row r="460" spans="1:4" ht="13.2">
      <c r="A460" s="17"/>
      <c r="B460" s="18"/>
      <c r="C460" s="19"/>
      <c r="D460" s="19"/>
    </row>
    <row r="461" spans="1:4" ht="13.2">
      <c r="A461" s="17"/>
      <c r="B461" s="18"/>
      <c r="C461" s="19"/>
      <c r="D461" s="19"/>
    </row>
    <row r="462" spans="1:4" ht="13.2">
      <c r="A462" s="17"/>
      <c r="B462" s="18"/>
      <c r="C462" s="19"/>
      <c r="D462" s="19"/>
    </row>
    <row r="463" spans="1:4" ht="13.2">
      <c r="A463" s="17"/>
      <c r="B463" s="18"/>
      <c r="C463" s="19"/>
      <c r="D463" s="19"/>
    </row>
    <row r="464" spans="1:4" ht="13.2">
      <c r="A464" s="17"/>
      <c r="B464" s="18"/>
      <c r="C464" s="19"/>
      <c r="D464" s="19"/>
    </row>
    <row r="465" spans="1:4" ht="13.2">
      <c r="A465" s="17"/>
      <c r="B465" s="18"/>
      <c r="C465" s="19"/>
      <c r="D465" s="19"/>
    </row>
    <row r="466" spans="1:4" ht="13.2">
      <c r="A466" s="17"/>
      <c r="B466" s="18"/>
      <c r="C466" s="19"/>
      <c r="D466" s="19"/>
    </row>
    <row r="467" spans="1:4" ht="13.2">
      <c r="A467" s="17"/>
      <c r="B467" s="18"/>
      <c r="C467" s="19"/>
      <c r="D467" s="19"/>
    </row>
    <row r="468" spans="1:4" ht="13.2">
      <c r="A468" s="17"/>
      <c r="B468" s="18"/>
      <c r="C468" s="19"/>
      <c r="D468" s="19"/>
    </row>
    <row r="469" spans="1:4" ht="13.2">
      <c r="A469" s="17"/>
      <c r="B469" s="18"/>
      <c r="C469" s="19"/>
      <c r="D469" s="19"/>
    </row>
    <row r="470" spans="1:4" ht="13.2">
      <c r="A470" s="17"/>
      <c r="B470" s="18"/>
      <c r="C470" s="19"/>
      <c r="D470" s="19"/>
    </row>
    <row r="471" spans="1:4" ht="13.2">
      <c r="A471" s="17"/>
      <c r="B471" s="18"/>
      <c r="C471" s="19"/>
      <c r="D471" s="19"/>
    </row>
    <row r="472" spans="1:4" ht="13.2">
      <c r="A472" s="17"/>
      <c r="B472" s="18"/>
      <c r="C472" s="19"/>
      <c r="D472" s="19"/>
    </row>
    <row r="473" spans="1:4" ht="13.2">
      <c r="A473" s="17"/>
      <c r="B473" s="18"/>
      <c r="C473" s="19"/>
      <c r="D473" s="19"/>
    </row>
    <row r="474" spans="1:4" ht="13.2">
      <c r="A474" s="17"/>
      <c r="B474" s="18"/>
      <c r="C474" s="19"/>
      <c r="D474" s="19"/>
    </row>
    <row r="475" spans="1:4" ht="13.2">
      <c r="A475" s="17"/>
      <c r="B475" s="18"/>
      <c r="C475" s="19"/>
      <c r="D475" s="19"/>
    </row>
    <row r="476" spans="1:4" ht="13.2">
      <c r="A476" s="17"/>
      <c r="B476" s="18"/>
      <c r="C476" s="19"/>
      <c r="D476" s="19"/>
    </row>
    <row r="477" spans="1:4" ht="13.2">
      <c r="A477" s="17"/>
      <c r="B477" s="18"/>
      <c r="C477" s="19"/>
      <c r="D477" s="19"/>
    </row>
    <row r="478" spans="1:4" ht="13.2">
      <c r="A478" s="17"/>
      <c r="B478" s="18"/>
      <c r="C478" s="19"/>
      <c r="D478" s="19"/>
    </row>
    <row r="479" spans="1:4" ht="13.2">
      <c r="A479" s="17"/>
      <c r="B479" s="18"/>
      <c r="C479" s="19"/>
      <c r="D479" s="19"/>
    </row>
    <row r="480" spans="1:4" ht="13.2">
      <c r="A480" s="17"/>
      <c r="B480" s="18"/>
      <c r="C480" s="19"/>
      <c r="D480" s="19"/>
    </row>
    <row r="481" spans="1:4" ht="13.2">
      <c r="A481" s="17"/>
      <c r="B481" s="18"/>
      <c r="C481" s="19"/>
      <c r="D481" s="19"/>
    </row>
    <row r="482" spans="1:4" ht="13.2">
      <c r="A482" s="17"/>
      <c r="B482" s="18"/>
      <c r="C482" s="19"/>
      <c r="D482" s="19"/>
    </row>
    <row r="483" spans="1:4" ht="13.2">
      <c r="A483" s="17"/>
      <c r="B483" s="18"/>
      <c r="C483" s="19"/>
      <c r="D483" s="19"/>
    </row>
    <row r="484" spans="1:4" ht="13.2">
      <c r="A484" s="17"/>
      <c r="B484" s="18"/>
      <c r="C484" s="19"/>
      <c r="D484" s="19"/>
    </row>
    <row r="485" spans="1:4" ht="13.2">
      <c r="A485" s="17"/>
      <c r="B485" s="18"/>
      <c r="C485" s="19"/>
      <c r="D485" s="19"/>
    </row>
    <row r="486" spans="1:4" ht="13.2">
      <c r="A486" s="17"/>
      <c r="B486" s="18"/>
      <c r="C486" s="19"/>
      <c r="D486" s="19"/>
    </row>
    <row r="487" spans="1:4" ht="13.2">
      <c r="A487" s="17"/>
      <c r="B487" s="18"/>
      <c r="C487" s="19"/>
      <c r="D487" s="19"/>
    </row>
    <row r="488" spans="1:4" ht="13.2">
      <c r="A488" s="17"/>
      <c r="B488" s="18"/>
      <c r="C488" s="19"/>
      <c r="D488" s="19"/>
    </row>
    <row r="489" spans="1:4" ht="13.2">
      <c r="A489" s="17"/>
      <c r="B489" s="18"/>
      <c r="C489" s="19"/>
      <c r="D489" s="19"/>
    </row>
    <row r="490" spans="1:4" ht="13.2">
      <c r="A490" s="17"/>
      <c r="B490" s="18"/>
      <c r="C490" s="19"/>
      <c r="D490" s="19"/>
    </row>
    <row r="491" spans="1:4" ht="13.2">
      <c r="A491" s="17"/>
      <c r="B491" s="18"/>
      <c r="C491" s="19"/>
      <c r="D491" s="19"/>
    </row>
    <row r="492" spans="1:4" ht="13.2">
      <c r="A492" s="17"/>
      <c r="B492" s="18"/>
      <c r="C492" s="19"/>
      <c r="D492" s="19"/>
    </row>
    <row r="493" spans="1:4" ht="13.2">
      <c r="A493" s="17"/>
      <c r="B493" s="18"/>
      <c r="C493" s="19"/>
      <c r="D493" s="19"/>
    </row>
    <row r="494" spans="1:4" ht="13.2">
      <c r="A494" s="17"/>
      <c r="B494" s="18"/>
      <c r="C494" s="19"/>
      <c r="D494" s="19"/>
    </row>
    <row r="495" spans="1:4" ht="13.2">
      <c r="A495" s="17"/>
      <c r="B495" s="18"/>
      <c r="C495" s="19"/>
      <c r="D495" s="19"/>
    </row>
    <row r="496" spans="1:4" ht="13.2">
      <c r="A496" s="17"/>
      <c r="B496" s="18"/>
      <c r="C496" s="19"/>
      <c r="D496" s="19"/>
    </row>
    <row r="497" spans="1:4" ht="13.2">
      <c r="A497" s="17"/>
      <c r="B497" s="18"/>
      <c r="C497" s="19"/>
      <c r="D497" s="19"/>
    </row>
    <row r="498" spans="1:4" ht="13.2">
      <c r="A498" s="17"/>
      <c r="B498" s="18"/>
      <c r="C498" s="19"/>
      <c r="D498" s="19"/>
    </row>
    <row r="499" spans="1:4" ht="13.2">
      <c r="A499" s="17"/>
      <c r="B499" s="18"/>
      <c r="C499" s="19"/>
      <c r="D499" s="19"/>
    </row>
    <row r="500" spans="1:4" ht="13.2">
      <c r="A500" s="17"/>
      <c r="B500" s="18"/>
      <c r="C500" s="19"/>
      <c r="D500" s="19"/>
    </row>
    <row r="501" spans="1:4" ht="13.2">
      <c r="A501" s="17"/>
      <c r="B501" s="18"/>
      <c r="C501" s="19"/>
      <c r="D501" s="19"/>
    </row>
    <row r="502" spans="1:4" ht="13.2">
      <c r="A502" s="17"/>
      <c r="B502" s="18"/>
      <c r="C502" s="19"/>
      <c r="D502" s="19"/>
    </row>
    <row r="503" spans="1:4" ht="13.2">
      <c r="A503" s="17"/>
      <c r="B503" s="18"/>
      <c r="C503" s="19"/>
      <c r="D503" s="19"/>
    </row>
    <row r="504" spans="1:4" ht="13.2">
      <c r="A504" s="17"/>
      <c r="B504" s="18"/>
      <c r="C504" s="19"/>
      <c r="D504" s="19"/>
    </row>
    <row r="505" spans="1:4" ht="13.2">
      <c r="A505" s="17"/>
      <c r="B505" s="18"/>
      <c r="C505" s="19"/>
      <c r="D505" s="19"/>
    </row>
    <row r="506" spans="1:4" ht="13.2">
      <c r="A506" s="17"/>
      <c r="B506" s="18"/>
      <c r="C506" s="19"/>
      <c r="D506" s="19"/>
    </row>
    <row r="507" spans="1:4" ht="13.2">
      <c r="A507" s="17"/>
      <c r="B507" s="18"/>
      <c r="C507" s="19"/>
      <c r="D507" s="19"/>
    </row>
    <row r="508" spans="1:4" ht="13.2">
      <c r="A508" s="17"/>
      <c r="B508" s="18"/>
      <c r="C508" s="19"/>
      <c r="D508" s="19"/>
    </row>
    <row r="509" spans="1:4" ht="13.2">
      <c r="A509" s="17"/>
      <c r="B509" s="18"/>
      <c r="C509" s="19"/>
      <c r="D509" s="19"/>
    </row>
    <row r="510" spans="1:4" ht="13.2">
      <c r="A510" s="17"/>
      <c r="B510" s="18"/>
      <c r="C510" s="19"/>
      <c r="D510" s="19"/>
    </row>
    <row r="511" spans="1:4" ht="13.2">
      <c r="A511" s="17"/>
      <c r="B511" s="18"/>
      <c r="C511" s="19"/>
      <c r="D511" s="19"/>
    </row>
    <row r="512" spans="1:4" ht="13.2">
      <c r="A512" s="17"/>
      <c r="B512" s="18"/>
      <c r="C512" s="19"/>
      <c r="D512" s="19"/>
    </row>
    <row r="513" spans="1:4" ht="13.2">
      <c r="A513" s="17"/>
      <c r="B513" s="18"/>
      <c r="C513" s="19"/>
      <c r="D513" s="19"/>
    </row>
    <row r="514" spans="1:4" ht="13.2">
      <c r="A514" s="17"/>
      <c r="B514" s="18"/>
      <c r="C514" s="19"/>
      <c r="D514" s="19"/>
    </row>
    <row r="515" spans="1:4" ht="13.2">
      <c r="A515" s="17"/>
      <c r="B515" s="18"/>
      <c r="C515" s="19"/>
      <c r="D515" s="19"/>
    </row>
    <row r="516" spans="1:4" ht="13.2">
      <c r="A516" s="17"/>
      <c r="B516" s="18"/>
      <c r="C516" s="19"/>
      <c r="D516" s="19"/>
    </row>
    <row r="517" spans="1:4" ht="13.2">
      <c r="A517" s="17"/>
      <c r="B517" s="18"/>
      <c r="C517" s="19"/>
      <c r="D517" s="19"/>
    </row>
    <row r="518" spans="1:4" ht="13.2">
      <c r="A518" s="17"/>
      <c r="B518" s="18"/>
      <c r="C518" s="19"/>
      <c r="D518" s="19"/>
    </row>
    <row r="519" spans="1:4" ht="13.2">
      <c r="A519" s="17"/>
      <c r="B519" s="18"/>
      <c r="C519" s="19"/>
      <c r="D519" s="19"/>
    </row>
    <row r="520" spans="1:4" ht="13.2">
      <c r="A520" s="17"/>
      <c r="B520" s="18"/>
      <c r="C520" s="19"/>
      <c r="D520" s="19"/>
    </row>
    <row r="521" spans="1:4" ht="13.2">
      <c r="A521" s="17"/>
      <c r="B521" s="18"/>
      <c r="C521" s="19"/>
      <c r="D521" s="19"/>
    </row>
    <row r="522" spans="1:4" ht="13.2">
      <c r="A522" s="17"/>
      <c r="B522" s="18"/>
      <c r="C522" s="19"/>
      <c r="D522" s="19"/>
    </row>
    <row r="523" spans="1:4" ht="13.2">
      <c r="A523" s="17"/>
      <c r="B523" s="18"/>
      <c r="C523" s="19"/>
      <c r="D523" s="19"/>
    </row>
    <row r="524" spans="1:4" ht="13.2">
      <c r="A524" s="17"/>
      <c r="B524" s="18"/>
      <c r="C524" s="19"/>
      <c r="D524" s="19"/>
    </row>
    <row r="525" spans="1:4" ht="13.2">
      <c r="A525" s="17"/>
      <c r="B525" s="18"/>
      <c r="C525" s="19"/>
      <c r="D525" s="19"/>
    </row>
    <row r="526" spans="1:4" ht="13.2">
      <c r="A526" s="17"/>
      <c r="B526" s="18"/>
      <c r="C526" s="19"/>
      <c r="D526" s="19"/>
    </row>
    <row r="527" spans="1:4" ht="13.2">
      <c r="A527" s="17"/>
      <c r="B527" s="18"/>
      <c r="C527" s="19"/>
      <c r="D527" s="19"/>
    </row>
    <row r="528" spans="1:4" ht="13.2">
      <c r="A528" s="17"/>
      <c r="B528" s="18"/>
      <c r="C528" s="19"/>
      <c r="D528" s="19"/>
    </row>
    <row r="529" spans="1:4" ht="13.2">
      <c r="A529" s="17"/>
      <c r="B529" s="18"/>
      <c r="C529" s="19"/>
      <c r="D529" s="19"/>
    </row>
    <row r="530" spans="1:4" ht="13.2">
      <c r="A530" s="17"/>
      <c r="B530" s="18"/>
      <c r="C530" s="19"/>
      <c r="D530" s="19"/>
    </row>
    <row r="531" spans="1:4" ht="13.2">
      <c r="A531" s="17"/>
      <c r="B531" s="18"/>
      <c r="C531" s="19"/>
      <c r="D531" s="19"/>
    </row>
    <row r="532" spans="1:4" ht="13.2">
      <c r="A532" s="17"/>
      <c r="B532" s="18"/>
      <c r="C532" s="19"/>
      <c r="D532" s="19"/>
    </row>
    <row r="533" spans="1:4" ht="13.2">
      <c r="A533" s="17"/>
      <c r="B533" s="18"/>
      <c r="C533" s="19"/>
      <c r="D533" s="19"/>
    </row>
    <row r="534" spans="1:4" ht="13.2">
      <c r="A534" s="17"/>
      <c r="B534" s="18"/>
      <c r="C534" s="19"/>
      <c r="D534" s="19"/>
    </row>
    <row r="535" spans="1:4" ht="13.2">
      <c r="A535" s="17"/>
      <c r="B535" s="18"/>
      <c r="C535" s="19"/>
      <c r="D535" s="19"/>
    </row>
    <row r="536" spans="1:4" ht="13.2">
      <c r="A536" s="17"/>
      <c r="B536" s="18"/>
      <c r="C536" s="19"/>
      <c r="D536" s="19"/>
    </row>
    <row r="537" spans="1:4" ht="13.2">
      <c r="A537" s="17"/>
      <c r="B537" s="18"/>
      <c r="C537" s="19"/>
      <c r="D537" s="19"/>
    </row>
    <row r="538" spans="1:4" ht="13.2">
      <c r="A538" s="17"/>
      <c r="B538" s="18"/>
      <c r="C538" s="19"/>
      <c r="D538" s="19"/>
    </row>
    <row r="539" spans="1:4" ht="13.2">
      <c r="A539" s="17"/>
      <c r="B539" s="18"/>
      <c r="C539" s="19"/>
      <c r="D539" s="19"/>
    </row>
    <row r="540" spans="1:4" ht="13.2">
      <c r="A540" s="17"/>
      <c r="B540" s="18"/>
      <c r="C540" s="19"/>
      <c r="D540" s="19"/>
    </row>
    <row r="541" spans="1:4" ht="13.2">
      <c r="A541" s="17"/>
      <c r="B541" s="18"/>
      <c r="C541" s="19"/>
      <c r="D541" s="19"/>
    </row>
    <row r="542" spans="1:4" ht="13.2">
      <c r="A542" s="17"/>
      <c r="B542" s="18"/>
      <c r="C542" s="19"/>
      <c r="D542" s="19"/>
    </row>
    <row r="543" spans="1:4" ht="13.2">
      <c r="A543" s="17"/>
      <c r="B543" s="18"/>
      <c r="C543" s="19"/>
      <c r="D543" s="19"/>
    </row>
    <row r="544" spans="1:4" ht="13.2">
      <c r="A544" s="17"/>
      <c r="B544" s="18"/>
      <c r="C544" s="19"/>
      <c r="D544" s="19"/>
    </row>
    <row r="545" spans="1:4" ht="13.2">
      <c r="A545" s="17"/>
      <c r="B545" s="18"/>
      <c r="C545" s="19"/>
      <c r="D545" s="19"/>
    </row>
    <row r="546" spans="1:4" ht="13.2">
      <c r="A546" s="17"/>
      <c r="B546" s="18"/>
      <c r="C546" s="19"/>
      <c r="D546" s="19"/>
    </row>
    <row r="547" spans="1:4" ht="13.2">
      <c r="A547" s="17"/>
      <c r="B547" s="18"/>
      <c r="C547" s="19"/>
      <c r="D547" s="19"/>
    </row>
    <row r="548" spans="1:4" ht="13.2">
      <c r="A548" s="17"/>
      <c r="B548" s="18"/>
      <c r="C548" s="19"/>
      <c r="D548" s="19"/>
    </row>
    <row r="549" spans="1:4" ht="13.2">
      <c r="A549" s="17"/>
      <c r="B549" s="18"/>
      <c r="C549" s="19"/>
      <c r="D549" s="19"/>
    </row>
    <row r="550" spans="1:4" ht="13.2">
      <c r="A550" s="17"/>
      <c r="B550" s="18"/>
      <c r="C550" s="19"/>
      <c r="D550" s="19"/>
    </row>
    <row r="551" spans="1:4" ht="13.2">
      <c r="A551" s="17"/>
      <c r="B551" s="18"/>
      <c r="C551" s="19"/>
      <c r="D551" s="19"/>
    </row>
    <row r="552" spans="1:4" ht="13.2">
      <c r="A552" s="17"/>
      <c r="B552" s="18"/>
      <c r="C552" s="19"/>
      <c r="D552" s="19"/>
    </row>
    <row r="553" spans="1:4" ht="13.2">
      <c r="A553" s="17"/>
      <c r="B553" s="18"/>
      <c r="C553" s="19"/>
      <c r="D553" s="19"/>
    </row>
    <row r="554" spans="1:4" ht="13.2">
      <c r="A554" s="17"/>
      <c r="B554" s="18"/>
      <c r="C554" s="19"/>
      <c r="D554" s="19"/>
    </row>
    <row r="555" spans="1:4" ht="13.2">
      <c r="A555" s="17"/>
      <c r="B555" s="18"/>
      <c r="C555" s="19"/>
      <c r="D555" s="19"/>
    </row>
    <row r="556" spans="1:4" ht="13.2">
      <c r="A556" s="17"/>
      <c r="B556" s="18"/>
      <c r="C556" s="19"/>
      <c r="D556" s="19"/>
    </row>
    <row r="557" spans="1:4" ht="13.2">
      <c r="A557" s="17"/>
      <c r="B557" s="18"/>
      <c r="C557" s="19"/>
      <c r="D557" s="19"/>
    </row>
    <row r="558" spans="1:4" ht="13.2">
      <c r="A558" s="17"/>
      <c r="B558" s="18"/>
      <c r="C558" s="19"/>
      <c r="D558" s="19"/>
    </row>
    <row r="559" spans="1:4" ht="13.2">
      <c r="A559" s="17"/>
      <c r="B559" s="18"/>
      <c r="C559" s="19"/>
      <c r="D559" s="19"/>
    </row>
    <row r="560" spans="1:4" ht="13.2">
      <c r="A560" s="17"/>
      <c r="B560" s="18"/>
      <c r="C560" s="19"/>
      <c r="D560" s="19"/>
    </row>
    <row r="561" spans="1:4" ht="13.2">
      <c r="A561" s="17"/>
      <c r="B561" s="18"/>
      <c r="C561" s="19"/>
      <c r="D561" s="19"/>
    </row>
    <row r="562" spans="1:4" ht="13.2">
      <c r="A562" s="17"/>
      <c r="B562" s="18"/>
      <c r="C562" s="19"/>
      <c r="D562" s="19"/>
    </row>
    <row r="563" spans="1:4" ht="13.2">
      <c r="A563" s="17"/>
      <c r="B563" s="18"/>
      <c r="C563" s="19"/>
      <c r="D563" s="19"/>
    </row>
    <row r="564" spans="1:4" ht="13.2">
      <c r="A564" s="17"/>
      <c r="B564" s="18"/>
      <c r="C564" s="19"/>
      <c r="D564" s="19"/>
    </row>
    <row r="565" spans="1:4" ht="13.2">
      <c r="A565" s="17"/>
      <c r="B565" s="18"/>
      <c r="C565" s="19"/>
      <c r="D565" s="19"/>
    </row>
    <row r="566" spans="1:4" ht="13.2">
      <c r="A566" s="17"/>
      <c r="B566" s="18"/>
      <c r="C566" s="19"/>
      <c r="D566" s="19"/>
    </row>
    <row r="567" spans="1:4" ht="13.2">
      <c r="A567" s="17"/>
      <c r="B567" s="18"/>
      <c r="C567" s="19"/>
      <c r="D567" s="19"/>
    </row>
    <row r="568" spans="1:4" ht="13.2">
      <c r="A568" s="17"/>
      <c r="B568" s="18"/>
      <c r="C568" s="19"/>
      <c r="D568" s="19"/>
    </row>
    <row r="569" spans="1:4" ht="13.2">
      <c r="A569" s="17"/>
      <c r="B569" s="18"/>
      <c r="C569" s="19"/>
      <c r="D569" s="19"/>
    </row>
    <row r="570" spans="1:4" ht="13.2">
      <c r="A570" s="17"/>
      <c r="B570" s="18"/>
      <c r="C570" s="19"/>
      <c r="D570" s="19"/>
    </row>
    <row r="571" spans="1:4" ht="13.2">
      <c r="A571" s="17"/>
      <c r="B571" s="18"/>
      <c r="C571" s="19"/>
      <c r="D571" s="19"/>
    </row>
    <row r="572" spans="1:4" ht="13.2">
      <c r="A572" s="17"/>
      <c r="B572" s="18"/>
      <c r="C572" s="19"/>
      <c r="D572" s="19"/>
    </row>
    <row r="573" spans="1:4" ht="13.2">
      <c r="A573" s="17"/>
      <c r="B573" s="18"/>
      <c r="C573" s="19"/>
      <c r="D573" s="19"/>
    </row>
    <row r="574" spans="1:4" ht="13.2">
      <c r="A574" s="17"/>
      <c r="B574" s="18"/>
      <c r="C574" s="19"/>
      <c r="D574" s="19"/>
    </row>
    <row r="575" spans="1:4" ht="13.2">
      <c r="A575" s="17"/>
      <c r="B575" s="18"/>
      <c r="C575" s="19"/>
      <c r="D575" s="19"/>
    </row>
    <row r="576" spans="1:4" ht="13.2">
      <c r="A576" s="17"/>
      <c r="B576" s="18"/>
      <c r="C576" s="19"/>
      <c r="D576" s="19"/>
    </row>
    <row r="577" spans="1:4" ht="13.2">
      <c r="A577" s="17"/>
      <c r="B577" s="18"/>
      <c r="C577" s="19"/>
      <c r="D577" s="19"/>
    </row>
    <row r="578" spans="1:4" ht="13.2">
      <c r="A578" s="17"/>
      <c r="B578" s="18"/>
      <c r="C578" s="19"/>
      <c r="D578" s="19"/>
    </row>
    <row r="579" spans="1:4" ht="13.2">
      <c r="A579" s="17"/>
      <c r="B579" s="18"/>
      <c r="C579" s="19"/>
      <c r="D579" s="19"/>
    </row>
    <row r="580" spans="1:4" ht="13.2">
      <c r="A580" s="17"/>
      <c r="B580" s="18"/>
      <c r="C580" s="19"/>
      <c r="D580" s="19"/>
    </row>
    <row r="581" spans="1:4" ht="13.2">
      <c r="A581" s="17"/>
      <c r="B581" s="18"/>
      <c r="C581" s="19"/>
      <c r="D581" s="19"/>
    </row>
    <row r="582" spans="1:4" ht="13.2">
      <c r="A582" s="17"/>
      <c r="B582" s="18"/>
      <c r="C582" s="19"/>
      <c r="D582" s="19"/>
    </row>
    <row r="583" spans="1:4" ht="13.2">
      <c r="A583" s="17"/>
      <c r="B583" s="18"/>
      <c r="C583" s="19"/>
      <c r="D583" s="19"/>
    </row>
    <row r="584" spans="1:4" ht="13.2">
      <c r="A584" s="17"/>
      <c r="B584" s="18"/>
      <c r="C584" s="19"/>
      <c r="D584" s="19"/>
    </row>
    <row r="585" spans="1:4" ht="13.2">
      <c r="A585" s="17"/>
      <c r="B585" s="18"/>
      <c r="C585" s="19"/>
      <c r="D585" s="19"/>
    </row>
    <row r="586" spans="1:4" ht="13.2">
      <c r="A586" s="17"/>
      <c r="B586" s="18"/>
      <c r="C586" s="19"/>
      <c r="D586" s="19"/>
    </row>
    <row r="587" spans="1:4" ht="13.2">
      <c r="A587" s="17"/>
      <c r="B587" s="18"/>
      <c r="C587" s="19"/>
      <c r="D587" s="19"/>
    </row>
    <row r="588" spans="1:4" ht="13.2">
      <c r="A588" s="17"/>
      <c r="B588" s="18"/>
      <c r="C588" s="19"/>
      <c r="D588" s="19"/>
    </row>
    <row r="589" spans="1:4" ht="13.2">
      <c r="A589" s="17"/>
      <c r="B589" s="18"/>
      <c r="C589" s="19"/>
      <c r="D589" s="19"/>
    </row>
    <row r="590" spans="1:4" ht="13.2">
      <c r="A590" s="17"/>
      <c r="B590" s="18"/>
      <c r="C590" s="19"/>
      <c r="D590" s="19"/>
    </row>
    <row r="591" spans="1:4" ht="13.2">
      <c r="A591" s="17"/>
      <c r="B591" s="18"/>
      <c r="C591" s="19"/>
      <c r="D591" s="19"/>
    </row>
    <row r="592" spans="1:4" ht="13.2">
      <c r="A592" s="17"/>
      <c r="B592" s="18"/>
      <c r="C592" s="19"/>
      <c r="D592" s="19"/>
    </row>
    <row r="593" spans="1:4" ht="13.2">
      <c r="A593" s="17"/>
      <c r="B593" s="18"/>
      <c r="C593" s="19"/>
      <c r="D593" s="19"/>
    </row>
    <row r="594" spans="1:4" ht="13.2">
      <c r="A594" s="17"/>
      <c r="B594" s="18"/>
      <c r="C594" s="19"/>
      <c r="D594" s="19"/>
    </row>
    <row r="595" spans="1:4" ht="13.2">
      <c r="A595" s="17"/>
      <c r="B595" s="18"/>
      <c r="C595" s="19"/>
      <c r="D595" s="19"/>
    </row>
    <row r="596" spans="1:4" ht="13.2">
      <c r="A596" s="17"/>
      <c r="B596" s="18"/>
      <c r="C596" s="19"/>
      <c r="D596" s="19"/>
    </row>
    <row r="597" spans="1:4" ht="13.2">
      <c r="A597" s="17"/>
      <c r="B597" s="18"/>
      <c r="C597" s="19"/>
      <c r="D597" s="19"/>
    </row>
    <row r="598" spans="1:4" ht="13.2">
      <c r="A598" s="17"/>
      <c r="B598" s="18"/>
      <c r="C598" s="19"/>
      <c r="D598" s="19"/>
    </row>
    <row r="599" spans="1:4" ht="13.2">
      <c r="A599" s="17"/>
      <c r="B599" s="18"/>
      <c r="C599" s="19"/>
      <c r="D599" s="19"/>
    </row>
    <row r="600" spans="1:4" ht="13.2">
      <c r="A600" s="17"/>
      <c r="B600" s="18"/>
      <c r="C600" s="19"/>
      <c r="D600" s="19"/>
    </row>
    <row r="601" spans="1:4" ht="13.2">
      <c r="A601" s="17"/>
      <c r="B601" s="18"/>
      <c r="C601" s="19"/>
      <c r="D601" s="19"/>
    </row>
    <row r="602" spans="1:4" ht="13.2">
      <c r="A602" s="17"/>
      <c r="B602" s="18"/>
      <c r="C602" s="19"/>
      <c r="D602" s="19"/>
    </row>
    <row r="603" spans="1:4" ht="13.2">
      <c r="A603" s="17"/>
      <c r="B603" s="18"/>
      <c r="C603" s="19"/>
      <c r="D603" s="19"/>
    </row>
    <row r="604" spans="1:4" ht="13.2">
      <c r="A604" s="17"/>
      <c r="B604" s="18"/>
      <c r="C604" s="19"/>
      <c r="D604" s="19"/>
    </row>
    <row r="605" spans="1:4" ht="13.2">
      <c r="A605" s="17"/>
      <c r="B605" s="18"/>
      <c r="C605" s="19"/>
      <c r="D605" s="19"/>
    </row>
    <row r="606" spans="1:4" ht="13.2">
      <c r="A606" s="17"/>
      <c r="B606" s="18"/>
      <c r="C606" s="19"/>
      <c r="D606" s="19"/>
    </row>
    <row r="607" spans="1:4" ht="13.2">
      <c r="A607" s="17"/>
      <c r="B607" s="18"/>
      <c r="C607" s="19"/>
      <c r="D607" s="19"/>
    </row>
    <row r="608" spans="1:4" ht="13.2">
      <c r="A608" s="17"/>
      <c r="B608" s="18"/>
      <c r="C608" s="19"/>
      <c r="D608" s="19"/>
    </row>
    <row r="609" spans="1:4" ht="13.2">
      <c r="A609" s="17"/>
      <c r="B609" s="18"/>
      <c r="C609" s="19"/>
      <c r="D609" s="19"/>
    </row>
    <row r="610" spans="1:4" ht="13.2">
      <c r="A610" s="17"/>
      <c r="B610" s="18"/>
      <c r="C610" s="19"/>
      <c r="D610" s="19"/>
    </row>
    <row r="611" spans="1:4" ht="13.2">
      <c r="A611" s="17"/>
      <c r="B611" s="18"/>
      <c r="C611" s="19"/>
      <c r="D611" s="19"/>
    </row>
    <row r="612" spans="1:4" ht="13.2">
      <c r="A612" s="17"/>
      <c r="B612" s="18"/>
      <c r="C612" s="19"/>
      <c r="D612" s="19"/>
    </row>
    <row r="613" spans="1:4" ht="13.2">
      <c r="A613" s="17"/>
      <c r="B613" s="18"/>
      <c r="C613" s="19"/>
      <c r="D613" s="19"/>
    </row>
    <row r="614" spans="1:4" ht="13.2">
      <c r="A614" s="17"/>
      <c r="B614" s="18"/>
      <c r="C614" s="19"/>
      <c r="D614" s="19"/>
    </row>
    <row r="615" spans="1:4" ht="13.2">
      <c r="A615" s="17"/>
      <c r="B615" s="18"/>
      <c r="C615" s="19"/>
      <c r="D615" s="19"/>
    </row>
    <row r="616" spans="1:4" ht="13.2">
      <c r="A616" s="17"/>
      <c r="B616" s="18"/>
      <c r="C616" s="19"/>
      <c r="D616" s="19"/>
    </row>
    <row r="617" spans="1:4" ht="13.2">
      <c r="A617" s="17"/>
      <c r="B617" s="18"/>
      <c r="C617" s="19"/>
      <c r="D617" s="19"/>
    </row>
    <row r="618" spans="1:4" ht="13.2">
      <c r="A618" s="17"/>
      <c r="B618" s="18"/>
      <c r="C618" s="19"/>
      <c r="D618" s="19"/>
    </row>
    <row r="619" spans="1:4" ht="13.2">
      <c r="A619" s="17"/>
      <c r="B619" s="18"/>
      <c r="C619" s="19"/>
      <c r="D619" s="19"/>
    </row>
    <row r="620" spans="1:4" ht="13.2">
      <c r="A620" s="17"/>
      <c r="B620" s="18"/>
      <c r="C620" s="19"/>
      <c r="D620" s="19"/>
    </row>
    <row r="621" spans="1:4" ht="13.2">
      <c r="A621" s="17"/>
      <c r="B621" s="18"/>
      <c r="C621" s="19"/>
      <c r="D621" s="19"/>
    </row>
    <row r="622" spans="1:4" ht="13.2">
      <c r="A622" s="17"/>
      <c r="B622" s="18"/>
      <c r="C622" s="19"/>
      <c r="D622" s="19"/>
    </row>
    <row r="623" spans="1:4" ht="13.2">
      <c r="A623" s="17"/>
      <c r="B623" s="18"/>
      <c r="C623" s="19"/>
      <c r="D623" s="19"/>
    </row>
    <row r="624" spans="1:4" ht="13.2">
      <c r="A624" s="17"/>
      <c r="B624" s="18"/>
      <c r="C624" s="19"/>
      <c r="D624" s="19"/>
    </row>
    <row r="625" spans="1:4" ht="13.2">
      <c r="A625" s="17"/>
      <c r="B625" s="18"/>
      <c r="C625" s="19"/>
      <c r="D625" s="19"/>
    </row>
    <row r="626" spans="1:4" ht="13.2">
      <c r="A626" s="17"/>
      <c r="B626" s="18"/>
      <c r="C626" s="19"/>
      <c r="D626" s="19"/>
    </row>
    <row r="627" spans="1:4" ht="13.2">
      <c r="A627" s="17"/>
      <c r="B627" s="18"/>
      <c r="C627" s="19"/>
      <c r="D627" s="19"/>
    </row>
    <row r="628" spans="1:4" ht="13.2">
      <c r="A628" s="17"/>
      <c r="B628" s="18"/>
      <c r="C628" s="19"/>
      <c r="D628" s="19"/>
    </row>
    <row r="629" spans="1:4" ht="13.2">
      <c r="A629" s="17"/>
      <c r="B629" s="18"/>
      <c r="C629" s="19"/>
      <c r="D629" s="19"/>
    </row>
    <row r="630" spans="1:4" ht="13.2">
      <c r="A630" s="17"/>
      <c r="B630" s="18"/>
      <c r="C630" s="19"/>
      <c r="D630" s="19"/>
    </row>
    <row r="631" spans="1:4" ht="13.2">
      <c r="A631" s="17"/>
      <c r="B631" s="18"/>
      <c r="C631" s="19"/>
      <c r="D631" s="19"/>
    </row>
    <row r="632" spans="1:4" ht="13.2">
      <c r="A632" s="17"/>
      <c r="B632" s="18"/>
      <c r="C632" s="19"/>
      <c r="D632" s="19"/>
    </row>
    <row r="633" spans="1:4" ht="13.2">
      <c r="A633" s="17"/>
      <c r="B633" s="18"/>
      <c r="C633" s="19"/>
      <c r="D633" s="19"/>
    </row>
    <row r="634" spans="1:4" ht="13.2">
      <c r="A634" s="17"/>
      <c r="B634" s="18"/>
      <c r="C634" s="19"/>
      <c r="D634" s="19"/>
    </row>
    <row r="635" spans="1:4" ht="13.2">
      <c r="A635" s="17"/>
      <c r="B635" s="18"/>
      <c r="C635" s="19"/>
      <c r="D635" s="19"/>
    </row>
    <row r="636" spans="1:4" ht="13.2">
      <c r="A636" s="17"/>
      <c r="B636" s="18"/>
      <c r="C636" s="19"/>
      <c r="D636" s="19"/>
    </row>
    <row r="637" spans="1:4" ht="13.2">
      <c r="A637" s="17"/>
      <c r="B637" s="18"/>
      <c r="C637" s="19"/>
      <c r="D637" s="19"/>
    </row>
    <row r="638" spans="1:4" ht="13.2">
      <c r="A638" s="17"/>
      <c r="B638" s="18"/>
      <c r="C638" s="19"/>
      <c r="D638" s="19"/>
    </row>
    <row r="639" spans="1:4" ht="13.2">
      <c r="A639" s="17"/>
      <c r="B639" s="18"/>
      <c r="C639" s="19"/>
      <c r="D639" s="19"/>
    </row>
    <row r="640" spans="1:4" ht="13.2">
      <c r="A640" s="17"/>
      <c r="B640" s="18"/>
      <c r="C640" s="19"/>
      <c r="D640" s="19"/>
    </row>
    <row r="641" spans="1:4" ht="13.2">
      <c r="A641" s="17"/>
      <c r="B641" s="18"/>
      <c r="C641" s="19"/>
      <c r="D641" s="19"/>
    </row>
    <row r="642" spans="1:4" ht="13.2">
      <c r="A642" s="17"/>
      <c r="B642" s="18"/>
      <c r="C642" s="19"/>
      <c r="D642" s="19"/>
    </row>
    <row r="643" spans="1:4" ht="13.2">
      <c r="A643" s="17"/>
      <c r="B643" s="18"/>
      <c r="C643" s="19"/>
      <c r="D643" s="19"/>
    </row>
    <row r="644" spans="1:4" ht="13.2">
      <c r="A644" s="17"/>
      <c r="B644" s="18"/>
      <c r="C644" s="19"/>
      <c r="D644" s="19"/>
    </row>
    <row r="645" spans="1:4" ht="13.2">
      <c r="A645" s="17"/>
      <c r="B645" s="18"/>
      <c r="C645" s="19"/>
      <c r="D645" s="19"/>
    </row>
    <row r="646" spans="1:4" ht="13.2">
      <c r="A646" s="17"/>
      <c r="B646" s="18"/>
      <c r="C646" s="19"/>
      <c r="D646" s="19"/>
    </row>
    <row r="647" spans="1:4" ht="13.2">
      <c r="A647" s="17"/>
      <c r="B647" s="18"/>
      <c r="C647" s="19"/>
      <c r="D647" s="19"/>
    </row>
    <row r="648" spans="1:4" ht="13.2">
      <c r="A648" s="17"/>
      <c r="B648" s="18"/>
      <c r="C648" s="19"/>
      <c r="D648" s="19"/>
    </row>
    <row r="649" spans="1:4" ht="13.2">
      <c r="A649" s="17"/>
      <c r="B649" s="18"/>
      <c r="C649" s="19"/>
      <c r="D649" s="19"/>
    </row>
    <row r="650" spans="1:4" ht="13.2">
      <c r="A650" s="17"/>
      <c r="B650" s="18"/>
      <c r="C650" s="19"/>
      <c r="D650" s="19"/>
    </row>
    <row r="651" spans="1:4" ht="13.2">
      <c r="A651" s="17"/>
      <c r="B651" s="18"/>
      <c r="C651" s="19"/>
      <c r="D651" s="19"/>
    </row>
    <row r="652" spans="1:4" ht="13.2">
      <c r="A652" s="17"/>
      <c r="B652" s="18"/>
      <c r="C652" s="19"/>
      <c r="D652" s="19"/>
    </row>
    <row r="653" spans="1:4" ht="13.2">
      <c r="A653" s="17"/>
      <c r="B653" s="18"/>
      <c r="C653" s="19"/>
      <c r="D653" s="19"/>
    </row>
    <row r="654" spans="1:4" ht="13.2">
      <c r="A654" s="17"/>
      <c r="B654" s="18"/>
      <c r="C654" s="19"/>
      <c r="D654" s="19"/>
    </row>
    <row r="655" spans="1:4" ht="13.2">
      <c r="A655" s="17"/>
      <c r="B655" s="18"/>
      <c r="C655" s="19"/>
      <c r="D655" s="19"/>
    </row>
    <row r="656" spans="1:4" ht="13.2">
      <c r="A656" s="17"/>
      <c r="B656" s="18"/>
      <c r="C656" s="19"/>
      <c r="D656" s="19"/>
    </row>
    <row r="657" spans="1:4" ht="13.2">
      <c r="A657" s="17"/>
      <c r="B657" s="18"/>
      <c r="C657" s="19"/>
      <c r="D657" s="19"/>
    </row>
    <row r="658" spans="1:4" ht="13.2">
      <c r="A658" s="17"/>
      <c r="B658" s="18"/>
      <c r="C658" s="19"/>
      <c r="D658" s="19"/>
    </row>
    <row r="659" spans="1:4" ht="13.2">
      <c r="A659" s="17"/>
      <c r="B659" s="18"/>
      <c r="C659" s="19"/>
      <c r="D659" s="19"/>
    </row>
    <row r="660" spans="1:4" ht="13.2">
      <c r="A660" s="17"/>
      <c r="B660" s="18"/>
      <c r="C660" s="19"/>
      <c r="D660" s="19"/>
    </row>
    <row r="661" spans="1:4" ht="13.2">
      <c r="A661" s="17"/>
      <c r="B661" s="18"/>
      <c r="C661" s="19"/>
      <c r="D661" s="19"/>
    </row>
    <row r="662" spans="1:4" ht="13.2">
      <c r="A662" s="17"/>
      <c r="B662" s="18"/>
      <c r="C662" s="19"/>
      <c r="D662" s="19"/>
    </row>
    <row r="663" spans="1:4" ht="13.2">
      <c r="A663" s="17"/>
      <c r="B663" s="18"/>
      <c r="C663" s="19"/>
      <c r="D663" s="19"/>
    </row>
    <row r="664" spans="1:4" ht="13.2">
      <c r="A664" s="17"/>
      <c r="B664" s="18"/>
      <c r="C664" s="19"/>
      <c r="D664" s="19"/>
    </row>
    <row r="665" spans="1:4" ht="13.2">
      <c r="A665" s="17"/>
      <c r="B665" s="18"/>
      <c r="C665" s="19"/>
      <c r="D665" s="19"/>
    </row>
    <row r="666" spans="1:4" ht="13.2">
      <c r="A666" s="17"/>
      <c r="B666" s="18"/>
      <c r="C666" s="19"/>
      <c r="D666" s="19"/>
    </row>
    <row r="667" spans="1:4" ht="13.2">
      <c r="A667" s="17"/>
      <c r="B667" s="18"/>
      <c r="C667" s="19"/>
      <c r="D667" s="19"/>
    </row>
    <row r="668" spans="1:4" ht="13.2">
      <c r="A668" s="17"/>
      <c r="B668" s="18"/>
      <c r="C668" s="19"/>
      <c r="D668" s="19"/>
    </row>
    <row r="669" spans="1:4" ht="13.2">
      <c r="A669" s="17"/>
      <c r="B669" s="18"/>
      <c r="C669" s="19"/>
      <c r="D669" s="19"/>
    </row>
    <row r="670" spans="1:4" ht="13.2">
      <c r="A670" s="17"/>
      <c r="B670" s="18"/>
      <c r="C670" s="19"/>
      <c r="D670" s="19"/>
    </row>
    <row r="671" spans="1:4" ht="13.2">
      <c r="A671" s="17"/>
      <c r="B671" s="18"/>
      <c r="C671" s="19"/>
      <c r="D671" s="19"/>
    </row>
    <row r="672" spans="1:4" ht="13.2">
      <c r="A672" s="17"/>
      <c r="B672" s="18"/>
      <c r="C672" s="19"/>
      <c r="D672" s="19"/>
    </row>
    <row r="673" spans="1:4" ht="13.2">
      <c r="A673" s="17"/>
      <c r="B673" s="18"/>
      <c r="C673" s="19"/>
      <c r="D673" s="19"/>
    </row>
    <row r="674" spans="1:4" ht="13.2">
      <c r="A674" s="17"/>
      <c r="B674" s="18"/>
      <c r="C674" s="19"/>
      <c r="D674" s="19"/>
    </row>
    <row r="675" spans="1:4" ht="13.2">
      <c r="A675" s="17"/>
      <c r="B675" s="18"/>
      <c r="C675" s="19"/>
      <c r="D675" s="19"/>
    </row>
    <row r="676" spans="1:4" ht="13.2">
      <c r="A676" s="17"/>
      <c r="B676" s="18"/>
      <c r="C676" s="19"/>
      <c r="D676" s="19"/>
    </row>
    <row r="677" spans="1:4" ht="13.2">
      <c r="A677" s="17"/>
      <c r="B677" s="18"/>
      <c r="C677" s="19"/>
      <c r="D677" s="19"/>
    </row>
    <row r="678" spans="1:4" ht="13.2">
      <c r="A678" s="17"/>
      <c r="B678" s="18"/>
      <c r="C678" s="19"/>
      <c r="D678" s="19"/>
    </row>
    <row r="679" spans="1:4" ht="13.2">
      <c r="A679" s="17"/>
      <c r="B679" s="18"/>
      <c r="C679" s="19"/>
      <c r="D679" s="19"/>
    </row>
    <row r="680" spans="1:4" ht="13.2">
      <c r="A680" s="17"/>
      <c r="B680" s="18"/>
      <c r="C680" s="19"/>
      <c r="D680" s="19"/>
    </row>
    <row r="681" spans="1:4" ht="13.2">
      <c r="A681" s="17"/>
      <c r="B681" s="18"/>
      <c r="C681" s="19"/>
      <c r="D681" s="19"/>
    </row>
    <row r="682" spans="1:4" ht="13.2">
      <c r="A682" s="17"/>
      <c r="B682" s="18"/>
      <c r="C682" s="19"/>
      <c r="D682" s="19"/>
    </row>
    <row r="683" spans="1:4" ht="13.2">
      <c r="A683" s="17"/>
      <c r="B683" s="18"/>
      <c r="C683" s="19"/>
      <c r="D683" s="19"/>
    </row>
    <row r="684" spans="1:4" ht="13.2">
      <c r="A684" s="17"/>
      <c r="B684" s="18"/>
      <c r="C684" s="19"/>
      <c r="D684" s="19"/>
    </row>
    <row r="685" spans="1:4" ht="13.2">
      <c r="A685" s="17"/>
      <c r="B685" s="18"/>
      <c r="C685" s="19"/>
      <c r="D685" s="19"/>
    </row>
    <row r="686" spans="1:4" ht="13.2">
      <c r="A686" s="17"/>
      <c r="B686" s="18"/>
      <c r="C686" s="19"/>
      <c r="D686" s="19"/>
    </row>
    <row r="687" spans="1:4" ht="13.2">
      <c r="A687" s="17"/>
      <c r="B687" s="18"/>
      <c r="C687" s="19"/>
      <c r="D687" s="19"/>
    </row>
    <row r="688" spans="1:4" ht="13.2">
      <c r="A688" s="17"/>
      <c r="B688" s="18"/>
      <c r="C688" s="19"/>
      <c r="D688" s="19"/>
    </row>
    <row r="689" spans="1:4" ht="13.2">
      <c r="A689" s="17"/>
      <c r="B689" s="18"/>
      <c r="C689" s="19"/>
      <c r="D689" s="19"/>
    </row>
    <row r="690" spans="1:4" ht="13.2">
      <c r="A690" s="17"/>
      <c r="B690" s="18"/>
      <c r="C690" s="19"/>
      <c r="D690" s="19"/>
    </row>
    <row r="691" spans="1:4" ht="13.2">
      <c r="A691" s="17"/>
      <c r="B691" s="18"/>
      <c r="C691" s="19"/>
      <c r="D691" s="19"/>
    </row>
    <row r="692" spans="1:4" ht="13.2">
      <c r="A692" s="17"/>
      <c r="B692" s="18"/>
      <c r="C692" s="19"/>
      <c r="D692" s="19"/>
    </row>
    <row r="693" spans="1:4" ht="13.2">
      <c r="A693" s="17"/>
      <c r="B693" s="18"/>
      <c r="C693" s="19"/>
      <c r="D693" s="19"/>
    </row>
    <row r="694" spans="1:4" ht="13.2">
      <c r="A694" s="17"/>
      <c r="B694" s="18"/>
      <c r="C694" s="19"/>
      <c r="D694" s="19"/>
    </row>
    <row r="695" spans="1:4" ht="13.2">
      <c r="A695" s="17"/>
      <c r="B695" s="18"/>
      <c r="C695" s="19"/>
      <c r="D695" s="19"/>
    </row>
    <row r="696" spans="1:4" ht="13.2">
      <c r="A696" s="17"/>
      <c r="B696" s="18"/>
      <c r="C696" s="19"/>
      <c r="D696" s="19"/>
    </row>
    <row r="697" spans="1:4" ht="13.2">
      <c r="A697" s="17"/>
      <c r="B697" s="18"/>
      <c r="C697" s="19"/>
      <c r="D697" s="19"/>
    </row>
    <row r="698" spans="1:4" ht="13.2">
      <c r="A698" s="17"/>
      <c r="B698" s="18"/>
      <c r="C698" s="19"/>
      <c r="D698" s="19"/>
    </row>
    <row r="699" spans="1:4" ht="13.2">
      <c r="A699" s="17"/>
      <c r="B699" s="18"/>
      <c r="C699" s="19"/>
      <c r="D699" s="19"/>
    </row>
    <row r="700" spans="1:4" ht="13.2">
      <c r="A700" s="17"/>
      <c r="B700" s="18"/>
      <c r="C700" s="19"/>
      <c r="D700" s="19"/>
    </row>
    <row r="701" spans="1:4" ht="13.2">
      <c r="A701" s="17"/>
      <c r="B701" s="18"/>
      <c r="C701" s="19"/>
      <c r="D701" s="19"/>
    </row>
    <row r="702" spans="1:4" ht="13.2">
      <c r="A702" s="17"/>
      <c r="B702" s="18"/>
      <c r="C702" s="19"/>
      <c r="D702" s="19"/>
    </row>
    <row r="703" spans="1:4" ht="13.2">
      <c r="A703" s="17"/>
      <c r="B703" s="18"/>
      <c r="C703" s="19"/>
      <c r="D703" s="19"/>
    </row>
    <row r="704" spans="1:4" ht="13.2">
      <c r="A704" s="17"/>
      <c r="B704" s="18"/>
      <c r="C704" s="19"/>
      <c r="D704" s="19"/>
    </row>
    <row r="705" spans="1:4" ht="13.2">
      <c r="A705" s="17"/>
      <c r="B705" s="18"/>
      <c r="C705" s="19"/>
      <c r="D705" s="19"/>
    </row>
    <row r="706" spans="1:4" ht="13.2">
      <c r="A706" s="17"/>
      <c r="B706" s="18"/>
      <c r="C706" s="19"/>
      <c r="D706" s="19"/>
    </row>
    <row r="707" spans="1:4" ht="13.2">
      <c r="A707" s="17"/>
      <c r="B707" s="18"/>
      <c r="C707" s="19"/>
      <c r="D707" s="19"/>
    </row>
    <row r="708" spans="1:4" ht="13.2">
      <c r="A708" s="17"/>
      <c r="B708" s="18"/>
      <c r="C708" s="19"/>
      <c r="D708" s="19"/>
    </row>
    <row r="709" spans="1:4" ht="13.2">
      <c r="A709" s="17"/>
      <c r="B709" s="18"/>
      <c r="C709" s="19"/>
      <c r="D709" s="19"/>
    </row>
    <row r="710" spans="1:4" ht="13.2">
      <c r="A710" s="17"/>
      <c r="B710" s="18"/>
      <c r="C710" s="19"/>
      <c r="D710" s="19"/>
    </row>
    <row r="711" spans="1:4" ht="13.2">
      <c r="A711" s="17"/>
      <c r="B711" s="18"/>
      <c r="C711" s="19"/>
      <c r="D711" s="19"/>
    </row>
    <row r="712" spans="1:4" ht="13.2">
      <c r="A712" s="17"/>
      <c r="B712" s="18"/>
      <c r="C712" s="19"/>
      <c r="D712" s="19"/>
    </row>
    <row r="713" spans="1:4" ht="13.2">
      <c r="A713" s="17"/>
      <c r="B713" s="18"/>
      <c r="C713" s="19"/>
      <c r="D713" s="19"/>
    </row>
    <row r="714" spans="1:4" ht="13.2">
      <c r="A714" s="17"/>
      <c r="B714" s="18"/>
      <c r="C714" s="19"/>
      <c r="D714" s="19"/>
    </row>
    <row r="715" spans="1:4" ht="13.2">
      <c r="A715" s="17"/>
      <c r="B715" s="18"/>
      <c r="C715" s="19"/>
      <c r="D715" s="19"/>
    </row>
    <row r="716" spans="1:4" ht="13.2">
      <c r="A716" s="17"/>
      <c r="B716" s="18"/>
      <c r="C716" s="19"/>
      <c r="D716" s="19"/>
    </row>
    <row r="717" spans="1:4" ht="13.2">
      <c r="A717" s="17"/>
      <c r="B717" s="18"/>
      <c r="C717" s="19"/>
      <c r="D717" s="19"/>
    </row>
    <row r="718" spans="1:4" ht="13.2">
      <c r="A718" s="17"/>
      <c r="B718" s="18"/>
      <c r="C718" s="19"/>
      <c r="D718" s="19"/>
    </row>
    <row r="719" spans="1:4" ht="13.2">
      <c r="A719" s="17"/>
      <c r="B719" s="18"/>
      <c r="C719" s="19"/>
      <c r="D719" s="19"/>
    </row>
    <row r="720" spans="1:4" ht="13.2">
      <c r="A720" s="17"/>
      <c r="B720" s="18"/>
      <c r="C720" s="19"/>
      <c r="D720" s="19"/>
    </row>
    <row r="721" spans="1:4" ht="13.2">
      <c r="A721" s="17"/>
      <c r="B721" s="18"/>
      <c r="C721" s="19"/>
      <c r="D721" s="19"/>
    </row>
    <row r="722" spans="1:4" ht="13.2">
      <c r="A722" s="17"/>
      <c r="B722" s="18"/>
      <c r="C722" s="19"/>
      <c r="D722" s="19"/>
    </row>
    <row r="723" spans="1:4" ht="13.2">
      <c r="A723" s="17"/>
      <c r="B723" s="18"/>
      <c r="C723" s="19"/>
      <c r="D723" s="19"/>
    </row>
    <row r="724" spans="1:4" ht="13.2">
      <c r="A724" s="17"/>
      <c r="B724" s="18"/>
      <c r="C724" s="19"/>
      <c r="D724" s="19"/>
    </row>
    <row r="725" spans="1:4" ht="13.2">
      <c r="A725" s="17"/>
      <c r="B725" s="18"/>
      <c r="C725" s="19"/>
      <c r="D725" s="19"/>
    </row>
    <row r="726" spans="1:4" ht="13.2">
      <c r="A726" s="17"/>
      <c r="B726" s="18"/>
      <c r="C726" s="19"/>
      <c r="D726" s="19"/>
    </row>
    <row r="727" spans="1:4" ht="13.2">
      <c r="A727" s="17"/>
      <c r="B727" s="18"/>
      <c r="C727" s="19"/>
      <c r="D727" s="19"/>
    </row>
    <row r="728" spans="1:4" ht="13.2">
      <c r="A728" s="17"/>
      <c r="B728" s="18"/>
      <c r="C728" s="19"/>
      <c r="D728" s="19"/>
    </row>
    <row r="729" spans="1:4" ht="13.2">
      <c r="A729" s="17"/>
      <c r="B729" s="18"/>
      <c r="C729" s="19"/>
      <c r="D729" s="19"/>
    </row>
    <row r="730" spans="1:4" ht="13.2">
      <c r="A730" s="17"/>
      <c r="B730" s="18"/>
      <c r="C730" s="19"/>
      <c r="D730" s="19"/>
    </row>
    <row r="731" spans="1:4" ht="13.2">
      <c r="A731" s="17"/>
      <c r="B731" s="18"/>
      <c r="C731" s="19"/>
      <c r="D731" s="19"/>
    </row>
    <row r="732" spans="1:4" ht="13.2">
      <c r="A732" s="17"/>
      <c r="B732" s="18"/>
      <c r="C732" s="19"/>
      <c r="D732" s="19"/>
    </row>
    <row r="733" spans="1:4" ht="13.2">
      <c r="A733" s="17"/>
      <c r="B733" s="18"/>
      <c r="C733" s="19"/>
      <c r="D733" s="19"/>
    </row>
    <row r="734" spans="1:4" ht="13.2">
      <c r="A734" s="17"/>
      <c r="B734" s="18"/>
      <c r="C734" s="19"/>
      <c r="D734" s="19"/>
    </row>
    <row r="735" spans="1:4" ht="13.2">
      <c r="A735" s="17"/>
      <c r="B735" s="18"/>
      <c r="C735" s="19"/>
      <c r="D735" s="19"/>
    </row>
    <row r="736" spans="1:4" ht="13.2">
      <c r="A736" s="17"/>
      <c r="B736" s="18"/>
      <c r="C736" s="19"/>
      <c r="D736" s="19"/>
    </row>
    <row r="737" spans="1:4" ht="13.2">
      <c r="A737" s="17"/>
      <c r="B737" s="18"/>
      <c r="C737" s="19"/>
      <c r="D737" s="19"/>
    </row>
    <row r="738" spans="1:4" ht="13.2">
      <c r="A738" s="17"/>
      <c r="B738" s="18"/>
      <c r="C738" s="19"/>
      <c r="D738" s="19"/>
    </row>
    <row r="739" spans="1:4" ht="13.2">
      <c r="A739" s="17"/>
      <c r="B739" s="18"/>
      <c r="C739" s="19"/>
      <c r="D739" s="19"/>
    </row>
    <row r="740" spans="1:4" ht="13.2">
      <c r="A740" s="17"/>
      <c r="B740" s="18"/>
      <c r="C740" s="19"/>
      <c r="D740" s="19"/>
    </row>
    <row r="741" spans="1:4" ht="13.2">
      <c r="A741" s="17"/>
      <c r="B741" s="18"/>
      <c r="C741" s="19"/>
      <c r="D741" s="19"/>
    </row>
    <row r="742" spans="1:4" ht="13.2">
      <c r="A742" s="17"/>
      <c r="B742" s="18"/>
      <c r="C742" s="19"/>
      <c r="D742" s="19"/>
    </row>
    <row r="743" spans="1:4" ht="13.2">
      <c r="A743" s="17"/>
      <c r="B743" s="18"/>
      <c r="C743" s="19"/>
      <c r="D743" s="19"/>
    </row>
    <row r="744" spans="1:4" ht="13.2">
      <c r="A744" s="17"/>
      <c r="B744" s="18"/>
      <c r="C744" s="19"/>
      <c r="D744" s="19"/>
    </row>
    <row r="745" spans="1:4" ht="13.2">
      <c r="A745" s="17"/>
      <c r="B745" s="18"/>
      <c r="C745" s="19"/>
      <c r="D745" s="19"/>
    </row>
    <row r="746" spans="1:4" ht="13.2">
      <c r="A746" s="17"/>
      <c r="B746" s="18"/>
      <c r="C746" s="19"/>
      <c r="D746" s="19"/>
    </row>
    <row r="747" spans="1:4" ht="13.2">
      <c r="A747" s="17"/>
      <c r="B747" s="18"/>
      <c r="C747" s="19"/>
      <c r="D747" s="19"/>
    </row>
    <row r="748" spans="1:4" ht="13.2">
      <c r="A748" s="17"/>
      <c r="B748" s="18"/>
      <c r="C748" s="19"/>
      <c r="D748" s="19"/>
    </row>
    <row r="749" spans="1:4" ht="13.2">
      <c r="A749" s="17"/>
      <c r="B749" s="18"/>
      <c r="C749" s="19"/>
      <c r="D749" s="19"/>
    </row>
    <row r="750" spans="1:4" ht="13.2">
      <c r="A750" s="17"/>
      <c r="B750" s="18"/>
      <c r="C750" s="19"/>
      <c r="D750" s="19"/>
    </row>
    <row r="751" spans="1:4" ht="13.2">
      <c r="A751" s="17"/>
      <c r="B751" s="18"/>
      <c r="C751" s="19"/>
      <c r="D751" s="19"/>
    </row>
    <row r="752" spans="1:4" ht="13.2">
      <c r="A752" s="17"/>
      <c r="B752" s="18"/>
      <c r="C752" s="19"/>
      <c r="D752" s="19"/>
    </row>
    <row r="753" spans="1:4" ht="13.2">
      <c r="A753" s="17"/>
      <c r="B753" s="18"/>
      <c r="C753" s="19"/>
      <c r="D753" s="19"/>
    </row>
    <row r="754" spans="1:4" ht="13.2">
      <c r="A754" s="17"/>
      <c r="B754" s="18"/>
      <c r="C754" s="19"/>
      <c r="D754" s="19"/>
    </row>
    <row r="755" spans="1:4" ht="13.2">
      <c r="A755" s="17"/>
      <c r="B755" s="18"/>
      <c r="C755" s="19"/>
      <c r="D755" s="19"/>
    </row>
    <row r="756" spans="1:4" ht="13.2">
      <c r="A756" s="17"/>
      <c r="B756" s="18"/>
      <c r="C756" s="19"/>
      <c r="D756" s="19"/>
    </row>
    <row r="757" spans="1:4" ht="13.2">
      <c r="A757" s="17"/>
      <c r="B757" s="18"/>
      <c r="C757" s="19"/>
      <c r="D757" s="19"/>
    </row>
    <row r="758" spans="1:4" ht="13.2">
      <c r="A758" s="17"/>
      <c r="B758" s="18"/>
      <c r="C758" s="19"/>
      <c r="D758" s="19"/>
    </row>
    <row r="759" spans="1:4" ht="13.2">
      <c r="A759" s="17"/>
      <c r="B759" s="18"/>
      <c r="C759" s="19"/>
      <c r="D759" s="19"/>
    </row>
    <row r="760" spans="1:4" ht="13.2">
      <c r="A760" s="17"/>
      <c r="B760" s="18"/>
      <c r="C760" s="19"/>
      <c r="D760" s="19"/>
    </row>
    <row r="761" spans="1:4" ht="13.2">
      <c r="A761" s="17"/>
      <c r="B761" s="18"/>
      <c r="C761" s="19"/>
      <c r="D761" s="19"/>
    </row>
    <row r="762" spans="1:4" ht="13.2">
      <c r="A762" s="17"/>
      <c r="B762" s="18"/>
      <c r="C762" s="19"/>
      <c r="D762" s="19"/>
    </row>
    <row r="763" spans="1:4" ht="13.2">
      <c r="A763" s="17"/>
      <c r="B763" s="18"/>
      <c r="C763" s="19"/>
      <c r="D763" s="19"/>
    </row>
    <row r="764" spans="1:4" ht="13.2">
      <c r="A764" s="17"/>
      <c r="B764" s="18"/>
      <c r="C764" s="19"/>
      <c r="D764" s="19"/>
    </row>
    <row r="765" spans="1:4" ht="13.2">
      <c r="A765" s="17"/>
      <c r="B765" s="18"/>
      <c r="C765" s="19"/>
      <c r="D765" s="19"/>
    </row>
    <row r="766" spans="1:4" ht="13.2">
      <c r="A766" s="17"/>
      <c r="B766" s="18"/>
      <c r="C766" s="19"/>
      <c r="D766" s="19"/>
    </row>
    <row r="767" spans="1:4" ht="13.2">
      <c r="A767" s="17"/>
      <c r="B767" s="18"/>
      <c r="C767" s="19"/>
      <c r="D767" s="19"/>
    </row>
    <row r="768" spans="1:4" ht="13.2">
      <c r="A768" s="17"/>
      <c r="B768" s="18"/>
      <c r="C768" s="19"/>
      <c r="D768" s="19"/>
    </row>
    <row r="769" spans="1:4" ht="13.2">
      <c r="A769" s="17"/>
      <c r="B769" s="18"/>
      <c r="C769" s="19"/>
      <c r="D769" s="19"/>
    </row>
    <row r="770" spans="1:4" ht="13.2">
      <c r="A770" s="17"/>
      <c r="B770" s="18"/>
      <c r="C770" s="19"/>
      <c r="D770" s="19"/>
    </row>
    <row r="771" spans="1:4" ht="13.2">
      <c r="A771" s="17"/>
      <c r="B771" s="18"/>
      <c r="C771" s="19"/>
      <c r="D771" s="19"/>
    </row>
    <row r="772" spans="1:4" ht="13.2">
      <c r="A772" s="17"/>
      <c r="B772" s="18"/>
      <c r="C772" s="19"/>
      <c r="D772" s="19"/>
    </row>
    <row r="773" spans="1:4" ht="13.2">
      <c r="A773" s="17"/>
      <c r="B773" s="18"/>
      <c r="C773" s="19"/>
      <c r="D773" s="19"/>
    </row>
    <row r="774" spans="1:4" ht="13.2">
      <c r="A774" s="17"/>
      <c r="B774" s="18"/>
      <c r="C774" s="19"/>
      <c r="D774" s="19"/>
    </row>
    <row r="775" spans="1:4" ht="13.2">
      <c r="A775" s="17"/>
      <c r="B775" s="18"/>
      <c r="C775" s="19"/>
      <c r="D775" s="19"/>
    </row>
    <row r="776" spans="1:4" ht="13.2">
      <c r="A776" s="17"/>
      <c r="B776" s="18"/>
      <c r="C776" s="19"/>
      <c r="D776" s="19"/>
    </row>
    <row r="777" spans="1:4" ht="13.2">
      <c r="A777" s="17"/>
      <c r="B777" s="18"/>
      <c r="C777" s="19"/>
      <c r="D777" s="19"/>
    </row>
    <row r="778" spans="1:4" ht="13.2">
      <c r="A778" s="17"/>
      <c r="B778" s="18"/>
      <c r="C778" s="19"/>
      <c r="D778" s="19"/>
    </row>
    <row r="779" spans="1:4" ht="13.2">
      <c r="A779" s="17"/>
      <c r="B779" s="18"/>
      <c r="C779" s="19"/>
      <c r="D779" s="19"/>
    </row>
    <row r="780" spans="1:4" ht="13.2">
      <c r="A780" s="17"/>
      <c r="B780" s="18"/>
      <c r="C780" s="19"/>
      <c r="D780" s="19"/>
    </row>
    <row r="781" spans="1:4" ht="13.2">
      <c r="A781" s="17"/>
      <c r="B781" s="18"/>
      <c r="C781" s="19"/>
      <c r="D781" s="19"/>
    </row>
    <row r="782" spans="1:4" ht="13.2">
      <c r="A782" s="17"/>
      <c r="B782" s="18"/>
      <c r="C782" s="19"/>
      <c r="D782" s="19"/>
    </row>
    <row r="783" spans="1:4" ht="13.2">
      <c r="A783" s="17"/>
      <c r="B783" s="18"/>
      <c r="C783" s="19"/>
      <c r="D783" s="19"/>
    </row>
    <row r="784" spans="1:4" ht="13.2">
      <c r="A784" s="17"/>
      <c r="B784" s="18"/>
      <c r="C784" s="19"/>
      <c r="D784" s="19"/>
    </row>
    <row r="785" spans="1:4" ht="13.2">
      <c r="A785" s="17"/>
      <c r="B785" s="18"/>
      <c r="C785" s="19"/>
      <c r="D785" s="19"/>
    </row>
    <row r="786" spans="1:4" ht="13.2">
      <c r="A786" s="17"/>
      <c r="B786" s="18"/>
      <c r="C786" s="19"/>
      <c r="D786" s="19"/>
    </row>
    <row r="787" spans="1:4" ht="13.2">
      <c r="A787" s="17"/>
      <c r="B787" s="18"/>
      <c r="C787" s="19"/>
      <c r="D787" s="19"/>
    </row>
    <row r="788" spans="1:4" ht="13.2">
      <c r="A788" s="17"/>
      <c r="B788" s="18"/>
      <c r="C788" s="19"/>
      <c r="D788" s="19"/>
    </row>
    <row r="789" spans="1:4" ht="13.2">
      <c r="A789" s="17"/>
      <c r="B789" s="18"/>
      <c r="C789" s="19"/>
      <c r="D789" s="19"/>
    </row>
    <row r="790" spans="1:4" ht="13.2">
      <c r="A790" s="17"/>
      <c r="B790" s="18"/>
      <c r="C790" s="19"/>
      <c r="D790" s="19"/>
    </row>
    <row r="791" spans="1:4" ht="13.2">
      <c r="A791" s="17"/>
      <c r="B791" s="18"/>
      <c r="C791" s="19"/>
      <c r="D791" s="19"/>
    </row>
    <row r="792" spans="1:4" ht="13.2">
      <c r="A792" s="17"/>
      <c r="B792" s="18"/>
      <c r="C792" s="19"/>
      <c r="D792" s="19"/>
    </row>
    <row r="793" spans="1:4" ht="13.2">
      <c r="A793" s="17"/>
      <c r="B793" s="18"/>
      <c r="C793" s="19"/>
      <c r="D793" s="19"/>
    </row>
    <row r="794" spans="1:4" ht="13.2">
      <c r="A794" s="17"/>
      <c r="B794" s="18"/>
      <c r="C794" s="19"/>
      <c r="D794" s="19"/>
    </row>
    <row r="795" spans="1:4" ht="13.2">
      <c r="A795" s="17"/>
      <c r="B795" s="18"/>
      <c r="C795" s="19"/>
      <c r="D795" s="19"/>
    </row>
    <row r="796" spans="1:4" ht="13.2">
      <c r="A796" s="17"/>
      <c r="B796" s="18"/>
      <c r="C796" s="19"/>
      <c r="D796" s="19"/>
    </row>
    <row r="797" spans="1:4" ht="13.2">
      <c r="A797" s="17"/>
      <c r="B797" s="18"/>
      <c r="C797" s="19"/>
      <c r="D797" s="19"/>
    </row>
    <row r="798" spans="1:4" ht="13.2">
      <c r="A798" s="17"/>
      <c r="B798" s="18"/>
      <c r="C798" s="19"/>
      <c r="D798" s="19"/>
    </row>
    <row r="799" spans="1:4" ht="13.2">
      <c r="A799" s="17"/>
      <c r="B799" s="18"/>
      <c r="C799" s="19"/>
      <c r="D799" s="19"/>
    </row>
    <row r="800" spans="1:4" ht="13.2">
      <c r="A800" s="17"/>
      <c r="B800" s="18"/>
      <c r="C800" s="19"/>
      <c r="D800" s="19"/>
    </row>
    <row r="801" spans="1:4" ht="13.2">
      <c r="A801" s="17"/>
      <c r="B801" s="18"/>
      <c r="C801" s="19"/>
      <c r="D801" s="19"/>
    </row>
    <row r="802" spans="1:4" ht="13.2">
      <c r="A802" s="17"/>
      <c r="B802" s="18"/>
      <c r="C802" s="19"/>
      <c r="D802" s="19"/>
    </row>
    <row r="803" spans="1:4" ht="13.2">
      <c r="A803" s="17"/>
      <c r="B803" s="18"/>
      <c r="C803" s="19"/>
      <c r="D803" s="19"/>
    </row>
    <row r="804" spans="1:4" ht="13.2">
      <c r="A804" s="17"/>
      <c r="B804" s="18"/>
      <c r="C804" s="19"/>
      <c r="D804" s="19"/>
    </row>
    <row r="805" spans="1:4" ht="13.2">
      <c r="A805" s="17"/>
      <c r="B805" s="18"/>
      <c r="C805" s="19"/>
      <c r="D805" s="19"/>
    </row>
    <row r="806" spans="1:4" ht="13.2">
      <c r="A806" s="17"/>
      <c r="B806" s="18"/>
      <c r="C806" s="19"/>
      <c r="D806" s="19"/>
    </row>
    <row r="807" spans="1:4" ht="13.2">
      <c r="A807" s="17"/>
      <c r="B807" s="18"/>
      <c r="C807" s="19"/>
      <c r="D807" s="19"/>
    </row>
    <row r="808" spans="1:4" ht="13.2">
      <c r="A808" s="17"/>
      <c r="B808" s="18"/>
      <c r="C808" s="19"/>
      <c r="D808" s="19"/>
    </row>
    <row r="809" spans="1:4" ht="13.2">
      <c r="A809" s="17"/>
      <c r="B809" s="18"/>
      <c r="C809" s="19"/>
      <c r="D809" s="19"/>
    </row>
    <row r="810" spans="1:4" ht="13.2">
      <c r="A810" s="17"/>
      <c r="B810" s="18"/>
      <c r="C810" s="19"/>
      <c r="D810" s="19"/>
    </row>
    <row r="811" spans="1:4" ht="13.2">
      <c r="A811" s="17"/>
      <c r="B811" s="18"/>
      <c r="C811" s="19"/>
      <c r="D811" s="19"/>
    </row>
    <row r="812" spans="1:4" ht="13.2">
      <c r="A812" s="17"/>
      <c r="B812" s="18"/>
      <c r="C812" s="19"/>
      <c r="D812" s="19"/>
    </row>
    <row r="813" spans="1:4" ht="13.2">
      <c r="A813" s="17"/>
      <c r="B813" s="18"/>
      <c r="C813" s="19"/>
      <c r="D813" s="19"/>
    </row>
    <row r="814" spans="1:4" ht="13.2">
      <c r="A814" s="17"/>
      <c r="B814" s="18"/>
      <c r="C814" s="19"/>
      <c r="D814" s="19"/>
    </row>
    <row r="815" spans="1:4" ht="13.2">
      <c r="A815" s="17"/>
      <c r="B815" s="18"/>
      <c r="C815" s="19"/>
      <c r="D815" s="19"/>
    </row>
    <row r="816" spans="1:4" ht="13.2">
      <c r="A816" s="17"/>
      <c r="B816" s="18"/>
      <c r="C816" s="19"/>
      <c r="D816" s="19"/>
    </row>
    <row r="817" spans="1:4" ht="13.2">
      <c r="A817" s="17"/>
      <c r="B817" s="18"/>
      <c r="C817" s="19"/>
      <c r="D817" s="19"/>
    </row>
    <row r="818" spans="1:4" ht="13.2">
      <c r="A818" s="17"/>
      <c r="B818" s="18"/>
      <c r="C818" s="19"/>
      <c r="D818" s="19"/>
    </row>
    <row r="819" spans="1:4" ht="13.2">
      <c r="A819" s="17"/>
      <c r="B819" s="18"/>
      <c r="C819" s="19"/>
      <c r="D819" s="19"/>
    </row>
    <row r="820" spans="1:4" ht="13.2">
      <c r="A820" s="17"/>
      <c r="B820" s="18"/>
      <c r="C820" s="19"/>
      <c r="D820" s="19"/>
    </row>
    <row r="821" spans="1:4" ht="13.2">
      <c r="A821" s="17"/>
      <c r="B821" s="18"/>
      <c r="C821" s="19"/>
      <c r="D821" s="19"/>
    </row>
    <row r="822" spans="1:4" ht="13.2">
      <c r="A822" s="17"/>
      <c r="B822" s="18"/>
      <c r="C822" s="19"/>
      <c r="D822" s="19"/>
    </row>
    <row r="823" spans="1:4" ht="13.2">
      <c r="A823" s="17"/>
      <c r="B823" s="18"/>
      <c r="C823" s="19"/>
      <c r="D823" s="19"/>
    </row>
    <row r="824" spans="1:4" ht="13.2">
      <c r="A824" s="17"/>
      <c r="B824" s="18"/>
      <c r="C824" s="19"/>
      <c r="D824" s="19"/>
    </row>
    <row r="825" spans="1:4" ht="13.2">
      <c r="A825" s="17"/>
      <c r="B825" s="18"/>
      <c r="C825" s="19"/>
      <c r="D825" s="19"/>
    </row>
    <row r="826" spans="1:4" ht="13.2">
      <c r="A826" s="17"/>
      <c r="B826" s="18"/>
      <c r="C826" s="19"/>
      <c r="D826" s="19"/>
    </row>
    <row r="827" spans="1:4" ht="13.2">
      <c r="A827" s="17"/>
      <c r="B827" s="18"/>
      <c r="C827" s="19"/>
      <c r="D827" s="19"/>
    </row>
    <row r="828" spans="1:4" ht="13.2">
      <c r="A828" s="17"/>
      <c r="B828" s="18"/>
      <c r="C828" s="19"/>
      <c r="D828" s="19"/>
    </row>
    <row r="829" spans="1:4" ht="13.2">
      <c r="A829" s="17"/>
      <c r="B829" s="18"/>
      <c r="C829" s="19"/>
      <c r="D829" s="19"/>
    </row>
    <row r="830" spans="1:4" ht="13.2">
      <c r="A830" s="17"/>
      <c r="B830" s="18"/>
      <c r="C830" s="19"/>
      <c r="D830" s="19"/>
    </row>
    <row r="831" spans="1:4" ht="13.2">
      <c r="A831" s="17"/>
      <c r="B831" s="18"/>
      <c r="C831" s="19"/>
      <c r="D831" s="19"/>
    </row>
    <row r="832" spans="1:4" ht="13.2">
      <c r="A832" s="17"/>
      <c r="B832" s="18"/>
      <c r="C832" s="19"/>
      <c r="D832" s="19"/>
    </row>
    <row r="833" spans="1:4" ht="13.2">
      <c r="A833" s="17"/>
      <c r="B833" s="18"/>
      <c r="C833" s="19"/>
      <c r="D833" s="19"/>
    </row>
    <row r="834" spans="1:4" ht="13.2">
      <c r="A834" s="17"/>
      <c r="B834" s="18"/>
      <c r="C834" s="19"/>
      <c r="D834" s="19"/>
    </row>
    <row r="835" spans="1:4" ht="13.2">
      <c r="A835" s="17"/>
      <c r="B835" s="18"/>
      <c r="C835" s="19"/>
      <c r="D835" s="19"/>
    </row>
    <row r="836" spans="1:4" ht="13.2">
      <c r="A836" s="17"/>
      <c r="B836" s="18"/>
      <c r="C836" s="19"/>
      <c r="D836" s="19"/>
    </row>
    <row r="837" spans="1:4" ht="13.2">
      <c r="A837" s="17"/>
      <c r="B837" s="18"/>
      <c r="C837" s="19"/>
      <c r="D837" s="19"/>
    </row>
    <row r="838" spans="1:4" ht="13.2">
      <c r="A838" s="17"/>
      <c r="B838" s="18"/>
      <c r="C838" s="19"/>
      <c r="D838" s="19"/>
    </row>
    <row r="839" spans="1:4" ht="13.2">
      <c r="A839" s="17"/>
      <c r="B839" s="18"/>
      <c r="C839" s="19"/>
      <c r="D839" s="19"/>
    </row>
    <row r="840" spans="1:4" ht="13.2">
      <c r="A840" s="17"/>
      <c r="B840" s="18"/>
      <c r="C840" s="19"/>
      <c r="D840" s="19"/>
    </row>
    <row r="841" spans="1:4" ht="13.2">
      <c r="A841" s="17"/>
      <c r="B841" s="18"/>
      <c r="C841" s="19"/>
      <c r="D841" s="19"/>
    </row>
    <row r="842" spans="1:4" ht="13.2">
      <c r="A842" s="17"/>
      <c r="B842" s="18"/>
      <c r="C842" s="19"/>
      <c r="D842" s="19"/>
    </row>
    <row r="843" spans="1:4" ht="13.2">
      <c r="A843" s="17"/>
      <c r="B843" s="18"/>
      <c r="C843" s="19"/>
      <c r="D843" s="19"/>
    </row>
    <row r="844" spans="1:4" ht="13.2">
      <c r="A844" s="17"/>
      <c r="B844" s="18"/>
      <c r="C844" s="19"/>
      <c r="D844" s="19"/>
    </row>
    <row r="845" spans="1:4" ht="13.2">
      <c r="A845" s="17"/>
      <c r="B845" s="18"/>
      <c r="C845" s="19"/>
      <c r="D845" s="19"/>
    </row>
    <row r="846" spans="1:4" ht="13.2">
      <c r="A846" s="17"/>
      <c r="B846" s="18"/>
      <c r="C846" s="19"/>
      <c r="D846" s="19"/>
    </row>
    <row r="847" spans="1:4" ht="13.2">
      <c r="A847" s="17"/>
      <c r="B847" s="18"/>
      <c r="C847" s="19"/>
      <c r="D847" s="19"/>
    </row>
    <row r="848" spans="1:4" ht="13.2">
      <c r="A848" s="17"/>
      <c r="B848" s="18"/>
      <c r="C848" s="19"/>
      <c r="D848" s="19"/>
    </row>
    <row r="849" spans="1:4" ht="13.2">
      <c r="A849" s="17"/>
      <c r="B849" s="18"/>
      <c r="C849" s="19"/>
      <c r="D849" s="19"/>
    </row>
    <row r="850" spans="1:4" ht="13.2">
      <c r="A850" s="17"/>
      <c r="B850" s="18"/>
      <c r="C850" s="19"/>
      <c r="D850" s="19"/>
    </row>
    <row r="851" spans="1:4" ht="13.2">
      <c r="A851" s="17"/>
      <c r="B851" s="18"/>
      <c r="C851" s="19"/>
      <c r="D851" s="19"/>
    </row>
    <row r="852" spans="1:4" ht="13.2">
      <c r="A852" s="17"/>
      <c r="B852" s="18"/>
      <c r="C852" s="19"/>
      <c r="D852" s="19"/>
    </row>
    <row r="853" spans="1:4" ht="13.2">
      <c r="A853" s="17"/>
      <c r="B853" s="18"/>
      <c r="C853" s="19"/>
      <c r="D853" s="19"/>
    </row>
    <row r="854" spans="1:4" ht="13.2">
      <c r="A854" s="17"/>
      <c r="B854" s="18"/>
      <c r="C854" s="19"/>
      <c r="D854" s="19"/>
    </row>
    <row r="855" spans="1:4" ht="13.2">
      <c r="A855" s="17"/>
      <c r="B855" s="18"/>
      <c r="C855" s="19"/>
      <c r="D855" s="19"/>
    </row>
    <row r="856" spans="1:4" ht="13.2">
      <c r="A856" s="17"/>
      <c r="B856" s="18"/>
      <c r="C856" s="19"/>
      <c r="D856" s="19"/>
    </row>
    <row r="857" spans="1:4" ht="13.2">
      <c r="A857" s="17"/>
      <c r="B857" s="18"/>
      <c r="C857" s="19"/>
      <c r="D857" s="19"/>
    </row>
    <row r="858" spans="1:4" ht="13.2">
      <c r="A858" s="17"/>
      <c r="B858" s="18"/>
      <c r="C858" s="19"/>
      <c r="D858" s="19"/>
    </row>
    <row r="859" spans="1:4" ht="13.2">
      <c r="A859" s="17"/>
      <c r="B859" s="18"/>
      <c r="C859" s="19"/>
      <c r="D859" s="19"/>
    </row>
    <row r="860" spans="1:4" ht="13.2">
      <c r="A860" s="17"/>
      <c r="B860" s="18"/>
      <c r="C860" s="19"/>
      <c r="D860" s="19"/>
    </row>
    <row r="861" spans="1:4" ht="13.2">
      <c r="A861" s="17"/>
      <c r="B861" s="18"/>
      <c r="C861" s="19"/>
      <c r="D861" s="19"/>
    </row>
    <row r="862" spans="1:4" ht="13.2">
      <c r="A862" s="17"/>
      <c r="B862" s="18"/>
      <c r="C862" s="19"/>
      <c r="D862" s="19"/>
    </row>
    <row r="863" spans="1:4" ht="13.2">
      <c r="A863" s="17"/>
      <c r="B863" s="18"/>
      <c r="C863" s="19"/>
      <c r="D863" s="19"/>
    </row>
    <row r="864" spans="1:4" ht="13.2">
      <c r="A864" s="17"/>
      <c r="B864" s="18"/>
      <c r="C864" s="19"/>
      <c r="D864" s="19"/>
    </row>
    <row r="865" spans="1:4" ht="13.2">
      <c r="A865" s="17"/>
      <c r="B865" s="18"/>
      <c r="C865" s="19"/>
      <c r="D865" s="19"/>
    </row>
    <row r="866" spans="1:4" ht="13.2">
      <c r="A866" s="17"/>
      <c r="B866" s="18"/>
      <c r="C866" s="19"/>
      <c r="D866" s="19"/>
    </row>
    <row r="867" spans="1:4" ht="13.2">
      <c r="A867" s="17"/>
      <c r="B867" s="18"/>
      <c r="C867" s="19"/>
      <c r="D867" s="19"/>
    </row>
    <row r="868" spans="1:4" ht="13.2">
      <c r="A868" s="17"/>
      <c r="B868" s="18"/>
      <c r="C868" s="19"/>
      <c r="D868" s="19"/>
    </row>
    <row r="869" spans="1:4" ht="13.2">
      <c r="A869" s="17"/>
      <c r="B869" s="18"/>
      <c r="C869" s="19"/>
      <c r="D869" s="19"/>
    </row>
    <row r="870" spans="1:4" ht="13.2">
      <c r="A870" s="17"/>
      <c r="B870" s="18"/>
      <c r="C870" s="19"/>
      <c r="D870" s="19"/>
    </row>
    <row r="871" spans="1:4" ht="13.2">
      <c r="A871" s="17"/>
      <c r="B871" s="18"/>
      <c r="C871" s="19"/>
      <c r="D871" s="19"/>
    </row>
    <row r="872" spans="1:4" ht="13.2">
      <c r="A872" s="17"/>
      <c r="B872" s="18"/>
      <c r="C872" s="19"/>
      <c r="D872" s="19"/>
    </row>
    <row r="873" spans="1:4" ht="13.2">
      <c r="A873" s="17"/>
      <c r="B873" s="18"/>
      <c r="C873" s="19"/>
      <c r="D873" s="19"/>
    </row>
    <row r="874" spans="1:4" ht="13.2">
      <c r="A874" s="17"/>
      <c r="B874" s="18"/>
      <c r="C874" s="19"/>
      <c r="D874" s="19"/>
    </row>
    <row r="875" spans="1:4" ht="13.2">
      <c r="A875" s="17"/>
      <c r="B875" s="18"/>
      <c r="C875" s="19"/>
      <c r="D875" s="19"/>
    </row>
    <row r="876" spans="1:4" ht="13.2">
      <c r="A876" s="17"/>
      <c r="B876" s="18"/>
      <c r="C876" s="19"/>
      <c r="D876" s="19"/>
    </row>
    <row r="877" spans="1:4" ht="13.2">
      <c r="A877" s="17"/>
      <c r="B877" s="18"/>
      <c r="C877" s="19"/>
      <c r="D877" s="19"/>
    </row>
    <row r="878" spans="1:4" ht="13.2">
      <c r="A878" s="17"/>
      <c r="B878" s="18"/>
      <c r="C878" s="19"/>
      <c r="D878" s="19"/>
    </row>
    <row r="879" spans="1:4" ht="13.2">
      <c r="A879" s="17"/>
      <c r="B879" s="18"/>
      <c r="C879" s="19"/>
      <c r="D879" s="19"/>
    </row>
    <row r="880" spans="1:4" ht="13.2">
      <c r="A880" s="17"/>
      <c r="B880" s="18"/>
      <c r="C880" s="19"/>
      <c r="D880" s="19"/>
    </row>
    <row r="881" spans="1:4" ht="13.2">
      <c r="A881" s="17"/>
      <c r="B881" s="18"/>
      <c r="C881" s="19"/>
      <c r="D881" s="19"/>
    </row>
    <row r="882" spans="1:4" ht="13.2">
      <c r="A882" s="17"/>
      <c r="B882" s="18"/>
      <c r="C882" s="19"/>
      <c r="D882" s="19"/>
    </row>
    <row r="883" spans="1:4" ht="13.2">
      <c r="A883" s="17"/>
      <c r="B883" s="18"/>
      <c r="C883" s="19"/>
      <c r="D883" s="19"/>
    </row>
    <row r="884" spans="1:4" ht="13.2">
      <c r="A884" s="17"/>
      <c r="B884" s="18"/>
      <c r="C884" s="19"/>
      <c r="D884" s="19"/>
    </row>
    <row r="885" spans="1:4" ht="13.2">
      <c r="A885" s="17"/>
      <c r="B885" s="18"/>
      <c r="C885" s="19"/>
      <c r="D885" s="19"/>
    </row>
    <row r="886" spans="1:4" ht="13.2">
      <c r="A886" s="17"/>
      <c r="B886" s="18"/>
      <c r="C886" s="19"/>
      <c r="D886" s="19"/>
    </row>
    <row r="887" spans="1:4" ht="13.2">
      <c r="A887" s="17"/>
      <c r="B887" s="18"/>
      <c r="C887" s="19"/>
      <c r="D887" s="19"/>
    </row>
    <row r="888" spans="1:4" ht="13.2">
      <c r="A888" s="17"/>
      <c r="B888" s="18"/>
      <c r="C888" s="19"/>
      <c r="D888" s="19"/>
    </row>
    <row r="889" spans="1:4" ht="13.2">
      <c r="A889" s="17"/>
      <c r="B889" s="18"/>
      <c r="C889" s="19"/>
      <c r="D889" s="19"/>
    </row>
    <row r="890" spans="1:4" ht="13.2">
      <c r="A890" s="17"/>
      <c r="B890" s="18"/>
      <c r="C890" s="19"/>
      <c r="D890" s="19"/>
    </row>
    <row r="891" spans="1:4" ht="13.2">
      <c r="A891" s="17"/>
      <c r="B891" s="18"/>
      <c r="C891" s="19"/>
      <c r="D891" s="19"/>
    </row>
    <row r="892" spans="1:4" ht="13.2">
      <c r="A892" s="17"/>
      <c r="B892" s="18"/>
      <c r="C892" s="19"/>
      <c r="D892" s="19"/>
    </row>
    <row r="893" spans="1:4" ht="13.2">
      <c r="A893" s="17"/>
      <c r="B893" s="18"/>
      <c r="C893" s="19"/>
      <c r="D893" s="19"/>
    </row>
    <row r="894" spans="1:4" ht="13.2">
      <c r="A894" s="17"/>
      <c r="B894" s="18"/>
      <c r="C894" s="19"/>
      <c r="D894" s="19"/>
    </row>
    <row r="895" spans="1:4" ht="13.2">
      <c r="A895" s="17"/>
      <c r="B895" s="18"/>
      <c r="C895" s="19"/>
      <c r="D895" s="19"/>
    </row>
    <row r="896" spans="1:4" ht="13.2">
      <c r="A896" s="17"/>
      <c r="B896" s="18"/>
      <c r="C896" s="19"/>
      <c r="D896" s="19"/>
    </row>
    <row r="897" spans="1:4" ht="13.2">
      <c r="A897" s="17"/>
      <c r="B897" s="18"/>
      <c r="C897" s="19"/>
      <c r="D897" s="19"/>
    </row>
    <row r="898" spans="1:4" ht="13.2">
      <c r="A898" s="17"/>
      <c r="B898" s="18"/>
      <c r="C898" s="19"/>
      <c r="D898" s="19"/>
    </row>
    <row r="899" spans="1:4" ht="13.2">
      <c r="A899" s="17"/>
      <c r="B899" s="18"/>
      <c r="C899" s="19"/>
      <c r="D899" s="19"/>
    </row>
    <row r="900" spans="1:4" ht="13.2">
      <c r="A900" s="17"/>
      <c r="B900" s="18"/>
      <c r="C900" s="19"/>
      <c r="D900" s="19"/>
    </row>
    <row r="901" spans="1:4" ht="13.2">
      <c r="A901" s="17"/>
      <c r="B901" s="18"/>
      <c r="C901" s="19"/>
      <c r="D901" s="19"/>
    </row>
    <row r="902" spans="1:4" ht="13.2">
      <c r="A902" s="17"/>
      <c r="B902" s="18"/>
      <c r="C902" s="19"/>
      <c r="D902" s="19"/>
    </row>
    <row r="903" spans="1:4" ht="13.2">
      <c r="A903" s="17"/>
      <c r="B903" s="18"/>
      <c r="C903" s="19"/>
      <c r="D903" s="19"/>
    </row>
    <row r="904" spans="1:4" ht="13.2">
      <c r="A904" s="17"/>
      <c r="B904" s="18"/>
      <c r="C904" s="19"/>
      <c r="D904" s="19"/>
    </row>
    <row r="905" spans="1:4" ht="13.2">
      <c r="A905" s="17"/>
      <c r="B905" s="18"/>
      <c r="C905" s="19"/>
      <c r="D905" s="19"/>
    </row>
    <row r="906" spans="1:4" ht="13.2">
      <c r="A906" s="17"/>
      <c r="B906" s="18"/>
      <c r="C906" s="19"/>
      <c r="D906" s="19"/>
    </row>
    <row r="907" spans="1:4" ht="13.2">
      <c r="A907" s="17"/>
      <c r="B907" s="18"/>
      <c r="C907" s="19"/>
      <c r="D907" s="19"/>
    </row>
    <row r="908" spans="1:4" ht="13.2">
      <c r="A908" s="17"/>
      <c r="B908" s="18"/>
      <c r="C908" s="19"/>
      <c r="D908" s="19"/>
    </row>
    <row r="909" spans="1:4" ht="13.2">
      <c r="A909" s="17"/>
      <c r="B909" s="18"/>
      <c r="C909" s="19"/>
      <c r="D909" s="19"/>
    </row>
    <row r="910" spans="1:4" ht="13.2">
      <c r="A910" s="17"/>
      <c r="B910" s="18"/>
      <c r="C910" s="19"/>
      <c r="D910" s="19"/>
    </row>
    <row r="911" spans="1:4" ht="13.2">
      <c r="A911" s="17"/>
      <c r="B911" s="18"/>
      <c r="C911" s="19"/>
      <c r="D911" s="19"/>
    </row>
    <row r="912" spans="1:4" ht="13.2">
      <c r="A912" s="17"/>
      <c r="B912" s="18"/>
      <c r="C912" s="19"/>
      <c r="D912" s="19"/>
    </row>
    <row r="913" spans="1:4" ht="13.2">
      <c r="A913" s="17"/>
      <c r="B913" s="18"/>
      <c r="C913" s="19"/>
      <c r="D913" s="19"/>
    </row>
    <row r="914" spans="1:4" ht="13.2">
      <c r="A914" s="17"/>
      <c r="B914" s="18"/>
      <c r="C914" s="19"/>
      <c r="D914" s="19"/>
    </row>
    <row r="915" spans="1:4" ht="13.2">
      <c r="A915" s="17"/>
      <c r="B915" s="18"/>
      <c r="C915" s="19"/>
      <c r="D915" s="19"/>
    </row>
    <row r="916" spans="1:4" ht="13.2">
      <c r="A916" s="17"/>
      <c r="B916" s="18"/>
      <c r="C916" s="19"/>
      <c r="D916" s="19"/>
    </row>
    <row r="917" spans="1:4" ht="13.2">
      <c r="A917" s="17"/>
      <c r="B917" s="18"/>
      <c r="C917" s="19"/>
      <c r="D917" s="19"/>
    </row>
    <row r="918" spans="1:4" ht="13.2">
      <c r="A918" s="17"/>
      <c r="B918" s="18"/>
      <c r="C918" s="19"/>
      <c r="D918" s="19"/>
    </row>
    <row r="919" spans="1:4" ht="13.2">
      <c r="A919" s="17"/>
      <c r="B919" s="18"/>
      <c r="C919" s="19"/>
      <c r="D919" s="19"/>
    </row>
    <row r="920" spans="1:4" ht="13.2">
      <c r="A920" s="17"/>
      <c r="B920" s="18"/>
      <c r="C920" s="19"/>
      <c r="D920" s="19"/>
    </row>
    <row r="921" spans="1:4" ht="13.2">
      <c r="A921" s="17"/>
      <c r="B921" s="18"/>
      <c r="C921" s="19"/>
      <c r="D921" s="19"/>
    </row>
    <row r="922" spans="1:4" ht="13.2">
      <c r="A922" s="17"/>
      <c r="B922" s="18"/>
      <c r="C922" s="19"/>
      <c r="D922" s="19"/>
    </row>
    <row r="923" spans="1:4" ht="13.2">
      <c r="A923" s="17"/>
      <c r="B923" s="18"/>
      <c r="C923" s="19"/>
      <c r="D923" s="19"/>
    </row>
    <row r="924" spans="1:4" ht="13.2">
      <c r="A924" s="17"/>
      <c r="B924" s="18"/>
      <c r="C924" s="19"/>
      <c r="D924" s="19"/>
    </row>
    <row r="925" spans="1:4" ht="13.2">
      <c r="A925" s="17"/>
      <c r="B925" s="18"/>
      <c r="C925" s="19"/>
      <c r="D925" s="19"/>
    </row>
    <row r="926" spans="1:4" ht="13.2">
      <c r="A926" s="17"/>
      <c r="B926" s="18"/>
      <c r="C926" s="19"/>
      <c r="D926" s="19"/>
    </row>
    <row r="927" spans="1:4" ht="13.2">
      <c r="A927" s="17"/>
      <c r="B927" s="18"/>
      <c r="C927" s="19"/>
      <c r="D927" s="19"/>
    </row>
    <row r="928" spans="1:4" ht="13.2">
      <c r="A928" s="17"/>
      <c r="B928" s="18"/>
      <c r="C928" s="19"/>
      <c r="D928" s="19"/>
    </row>
    <row r="929" spans="1:4" ht="13.2">
      <c r="A929" s="17"/>
      <c r="B929" s="18"/>
      <c r="C929" s="19"/>
      <c r="D929" s="19"/>
    </row>
    <row r="930" spans="1:4" ht="13.2">
      <c r="A930" s="17"/>
      <c r="B930" s="18"/>
      <c r="C930" s="19"/>
      <c r="D930" s="19"/>
    </row>
    <row r="931" spans="1:4" ht="13.2">
      <c r="A931" s="17"/>
      <c r="B931" s="18"/>
      <c r="C931" s="19"/>
      <c r="D931" s="19"/>
    </row>
    <row r="932" spans="1:4" ht="13.2">
      <c r="A932" s="17"/>
      <c r="B932" s="18"/>
      <c r="C932" s="19"/>
      <c r="D932" s="19"/>
    </row>
    <row r="933" spans="1:4" ht="13.2">
      <c r="A933" s="17"/>
      <c r="B933" s="18"/>
      <c r="C933" s="19"/>
      <c r="D933" s="19"/>
    </row>
    <row r="934" spans="1:4" ht="13.2">
      <c r="A934" s="17"/>
      <c r="B934" s="18"/>
      <c r="C934" s="19"/>
      <c r="D934" s="19"/>
    </row>
    <row r="935" spans="1:4" ht="13.2">
      <c r="A935" s="17"/>
      <c r="B935" s="18"/>
      <c r="C935" s="19"/>
      <c r="D935" s="19"/>
    </row>
    <row r="936" spans="1:4" ht="13.2">
      <c r="A936" s="17"/>
      <c r="B936" s="18"/>
      <c r="C936" s="19"/>
      <c r="D936" s="19"/>
    </row>
    <row r="937" spans="1:4" ht="13.2">
      <c r="A937" s="17"/>
      <c r="B937" s="18"/>
      <c r="C937" s="19"/>
      <c r="D937" s="19"/>
    </row>
    <row r="938" spans="1:4" ht="13.2">
      <c r="A938" s="17"/>
      <c r="B938" s="18"/>
      <c r="C938" s="19"/>
      <c r="D938" s="19"/>
    </row>
    <row r="939" spans="1:4" ht="13.2">
      <c r="A939" s="17"/>
      <c r="B939" s="18"/>
      <c r="C939" s="19"/>
      <c r="D939" s="19"/>
    </row>
    <row r="940" spans="1:4" ht="13.2">
      <c r="A940" s="17"/>
      <c r="B940" s="18"/>
      <c r="C940" s="19"/>
      <c r="D940" s="19"/>
    </row>
    <row r="941" spans="1:4" ht="13.2">
      <c r="A941" s="17"/>
      <c r="B941" s="18"/>
      <c r="C941" s="19"/>
      <c r="D941" s="19"/>
    </row>
    <row r="942" spans="1:4" ht="13.2">
      <c r="A942" s="17"/>
      <c r="B942" s="18"/>
      <c r="C942" s="19"/>
      <c r="D942" s="19"/>
    </row>
    <row r="943" spans="1:4" ht="13.2">
      <c r="A943" s="17"/>
      <c r="B943" s="18"/>
      <c r="C943" s="19"/>
      <c r="D943" s="19"/>
    </row>
    <row r="944" spans="1:4" ht="13.2">
      <c r="A944" s="17"/>
      <c r="B944" s="18"/>
      <c r="C944" s="19"/>
      <c r="D944" s="19"/>
    </row>
    <row r="945" spans="1:4" ht="13.2">
      <c r="A945" s="17"/>
      <c r="B945" s="18"/>
      <c r="C945" s="19"/>
      <c r="D945" s="19"/>
    </row>
    <row r="946" spans="1:4" ht="13.2">
      <c r="A946" s="17"/>
      <c r="B946" s="18"/>
      <c r="C946" s="19"/>
      <c r="D946" s="19"/>
    </row>
    <row r="947" spans="1:4" ht="13.2">
      <c r="A947" s="17"/>
      <c r="B947" s="18"/>
      <c r="C947" s="19"/>
      <c r="D947" s="19"/>
    </row>
    <row r="948" spans="1:4" ht="13.2">
      <c r="A948" s="17"/>
      <c r="B948" s="18"/>
      <c r="C948" s="19"/>
      <c r="D948" s="19"/>
    </row>
    <row r="949" spans="1:4" ht="13.2">
      <c r="A949" s="17"/>
      <c r="B949" s="18"/>
      <c r="C949" s="19"/>
      <c r="D949" s="19"/>
    </row>
    <row r="950" spans="1:4" ht="13.2">
      <c r="A950" s="17"/>
      <c r="B950" s="18"/>
      <c r="C950" s="19"/>
      <c r="D950" s="19"/>
    </row>
    <row r="951" spans="1:4" ht="13.2">
      <c r="A951" s="17"/>
      <c r="B951" s="18"/>
      <c r="C951" s="19"/>
      <c r="D951" s="19"/>
    </row>
    <row r="952" spans="1:4" ht="13.2">
      <c r="A952" s="17"/>
      <c r="B952" s="18"/>
      <c r="C952" s="19"/>
      <c r="D952" s="19"/>
    </row>
    <row r="953" spans="1:4" ht="13.2">
      <c r="A953" s="17"/>
      <c r="B953" s="18"/>
      <c r="C953" s="19"/>
      <c r="D953" s="19"/>
    </row>
    <row r="954" spans="1:4" ht="13.2">
      <c r="A954" s="17"/>
      <c r="B954" s="18"/>
      <c r="C954" s="19"/>
      <c r="D954" s="19"/>
    </row>
    <row r="955" spans="1:4" ht="13.2">
      <c r="A955" s="17"/>
      <c r="B955" s="18"/>
      <c r="C955" s="19"/>
      <c r="D955" s="19"/>
    </row>
    <row r="956" spans="1:4" ht="13.2">
      <c r="A956" s="17"/>
      <c r="B956" s="18"/>
      <c r="C956" s="19"/>
      <c r="D956" s="19"/>
    </row>
    <row r="957" spans="1:4" ht="13.2">
      <c r="A957" s="17"/>
      <c r="B957" s="18"/>
      <c r="C957" s="19"/>
      <c r="D957" s="19"/>
    </row>
    <row r="958" spans="1:4" ht="13.2">
      <c r="A958" s="17"/>
      <c r="B958" s="18"/>
      <c r="C958" s="19"/>
      <c r="D958" s="19"/>
    </row>
    <row r="959" spans="1:4" ht="13.2">
      <c r="A959" s="17"/>
      <c r="B959" s="18"/>
      <c r="C959" s="19"/>
      <c r="D959" s="19"/>
    </row>
    <row r="960" spans="1:4" ht="13.2">
      <c r="A960" s="17"/>
      <c r="B960" s="18"/>
      <c r="C960" s="19"/>
      <c r="D960" s="19"/>
    </row>
    <row r="961" spans="1:4" ht="13.2">
      <c r="A961" s="17"/>
      <c r="B961" s="18"/>
      <c r="C961" s="19"/>
      <c r="D961" s="19"/>
    </row>
    <row r="962" spans="1:4" ht="13.2">
      <c r="A962" s="17"/>
      <c r="B962" s="18"/>
      <c r="C962" s="19"/>
      <c r="D962" s="19"/>
    </row>
    <row r="963" spans="1:4" ht="13.2">
      <c r="A963" s="17"/>
      <c r="B963" s="18"/>
      <c r="C963" s="19"/>
      <c r="D963" s="19"/>
    </row>
    <row r="964" spans="1:4" ht="13.2">
      <c r="A964" s="17"/>
      <c r="B964" s="18"/>
      <c r="C964" s="19"/>
      <c r="D964" s="19"/>
    </row>
    <row r="965" spans="1:4" ht="13.2">
      <c r="A965" s="17"/>
      <c r="B965" s="18"/>
      <c r="C965" s="19"/>
      <c r="D965" s="19"/>
    </row>
    <row r="966" spans="1:4" ht="13.2">
      <c r="A966" s="17"/>
      <c r="B966" s="18"/>
      <c r="C966" s="19"/>
      <c r="D966" s="19"/>
    </row>
    <row r="967" spans="1:4" ht="13.2">
      <c r="A967" s="17"/>
      <c r="B967" s="18"/>
      <c r="C967" s="19"/>
      <c r="D967" s="19"/>
    </row>
    <row r="968" spans="1:4" ht="13.2">
      <c r="A968" s="17"/>
      <c r="B968" s="18"/>
      <c r="C968" s="19"/>
      <c r="D968" s="19"/>
    </row>
    <row r="969" spans="1:4" ht="13.2">
      <c r="A969" s="17"/>
      <c r="B969" s="18"/>
      <c r="C969" s="19"/>
      <c r="D969" s="19"/>
    </row>
    <row r="970" spans="1:4" ht="13.2">
      <c r="A970" s="17"/>
      <c r="B970" s="18"/>
      <c r="C970" s="19"/>
      <c r="D970" s="19"/>
    </row>
    <row r="971" spans="1:4" ht="13.2">
      <c r="A971" s="17"/>
      <c r="B971" s="18"/>
      <c r="C971" s="19"/>
      <c r="D971" s="19"/>
    </row>
    <row r="972" spans="1:4" ht="13.2">
      <c r="A972" s="17"/>
      <c r="B972" s="18"/>
      <c r="C972" s="19"/>
      <c r="D972" s="19"/>
    </row>
    <row r="973" spans="1:4" ht="13.2">
      <c r="A973" s="17"/>
      <c r="B973" s="18"/>
      <c r="C973" s="19"/>
      <c r="D973" s="19"/>
    </row>
    <row r="974" spans="1:4" ht="13.2">
      <c r="A974" s="17"/>
      <c r="B974" s="18"/>
      <c r="C974" s="19"/>
      <c r="D974" s="19"/>
    </row>
    <row r="975" spans="1:4" ht="13.2">
      <c r="A975" s="17"/>
      <c r="B975" s="18"/>
      <c r="C975" s="19"/>
      <c r="D975" s="19"/>
    </row>
    <row r="976" spans="1:4" ht="13.2">
      <c r="A976" s="17"/>
      <c r="B976" s="18"/>
      <c r="C976" s="19"/>
      <c r="D976" s="19"/>
    </row>
    <row r="977" spans="1:4" ht="13.2">
      <c r="A977" s="17"/>
      <c r="B977" s="18"/>
      <c r="C977" s="19"/>
      <c r="D977" s="19"/>
    </row>
    <row r="978" spans="1:4" ht="13.2">
      <c r="A978" s="17"/>
      <c r="B978" s="18"/>
      <c r="C978" s="19"/>
      <c r="D978" s="19"/>
    </row>
    <row r="979" spans="1:4" ht="13.2">
      <c r="A979" s="17"/>
      <c r="B979" s="18"/>
      <c r="C979" s="19"/>
      <c r="D979" s="19"/>
    </row>
    <row r="980" spans="1:4" ht="13.2">
      <c r="A980" s="17"/>
      <c r="B980" s="18"/>
      <c r="C980" s="19"/>
      <c r="D980" s="19"/>
    </row>
    <row r="981" spans="1:4" ht="13.2">
      <c r="A981" s="17"/>
      <c r="B981" s="18"/>
      <c r="C981" s="19"/>
      <c r="D981" s="19"/>
    </row>
    <row r="982" spans="1:4" ht="13.2">
      <c r="A982" s="17"/>
      <c r="B982" s="18"/>
      <c r="C982" s="19"/>
      <c r="D982" s="19"/>
    </row>
    <row r="983" spans="1:4" ht="13.2">
      <c r="A983" s="17"/>
      <c r="B983" s="18"/>
      <c r="C983" s="19"/>
      <c r="D983" s="19"/>
    </row>
    <row r="984" spans="1:4" ht="13.2">
      <c r="A984" s="17"/>
      <c r="B984" s="18"/>
      <c r="C984" s="19"/>
      <c r="D984" s="19"/>
    </row>
    <row r="985" spans="1:4" ht="13.2">
      <c r="A985" s="17"/>
      <c r="B985" s="18"/>
      <c r="C985" s="19"/>
      <c r="D985" s="19"/>
    </row>
    <row r="986" spans="1:4" ht="13.2">
      <c r="A986" s="17"/>
      <c r="B986" s="18"/>
      <c r="C986" s="19"/>
      <c r="D986" s="19"/>
    </row>
    <row r="987" spans="1:4" ht="13.2">
      <c r="A987" s="17"/>
      <c r="B987" s="18"/>
      <c r="C987" s="19"/>
      <c r="D987" s="19"/>
    </row>
    <row r="988" spans="1:4" ht="13.2">
      <c r="A988" s="17"/>
      <c r="B988" s="18"/>
      <c r="C988" s="19"/>
      <c r="D988" s="19"/>
    </row>
    <row r="989" spans="1:4" ht="13.2">
      <c r="A989" s="17"/>
      <c r="B989" s="18"/>
      <c r="C989" s="19"/>
      <c r="D989" s="19"/>
    </row>
    <row r="990" spans="1:4" ht="13.2">
      <c r="A990" s="17"/>
      <c r="B990" s="18"/>
      <c r="C990" s="19"/>
      <c r="D990" s="19"/>
    </row>
    <row r="991" spans="1:4" ht="13.2">
      <c r="A991" s="17"/>
      <c r="B991" s="18"/>
      <c r="C991" s="19"/>
      <c r="D991" s="19"/>
    </row>
    <row r="992" spans="1:4" ht="13.2">
      <c r="A992" s="17"/>
      <c r="B992" s="18"/>
      <c r="C992" s="19"/>
      <c r="D992" s="19"/>
    </row>
    <row r="993" spans="1:4" ht="13.2">
      <c r="A993" s="17"/>
      <c r="B993" s="18"/>
      <c r="C993" s="19"/>
      <c r="D993" s="19"/>
    </row>
    <row r="994" spans="1:4" ht="13.2">
      <c r="A994" s="17"/>
      <c r="B994" s="18"/>
      <c r="C994" s="19"/>
      <c r="D994" s="19"/>
    </row>
    <row r="995" spans="1:4" ht="13.2">
      <c r="A995" s="17"/>
      <c r="B995" s="18"/>
      <c r="C995" s="19"/>
      <c r="D995" s="19"/>
    </row>
    <row r="996" spans="1:4" ht="13.2">
      <c r="A996" s="17"/>
      <c r="B996" s="18"/>
      <c r="C996" s="19"/>
      <c r="D996" s="19"/>
    </row>
    <row r="997" spans="1:4" ht="13.2">
      <c r="A997" s="17"/>
      <c r="B997" s="18"/>
      <c r="C997" s="19"/>
      <c r="D997" s="19"/>
    </row>
    <row r="998" spans="1:4" ht="13.2">
      <c r="A998" s="17"/>
      <c r="B998" s="18"/>
      <c r="C998" s="19"/>
      <c r="D998" s="19"/>
    </row>
    <row r="999" spans="1:4" ht="13.2">
      <c r="A999" s="17"/>
      <c r="B999" s="18"/>
      <c r="C999" s="19"/>
      <c r="D999" s="19"/>
    </row>
    <row r="1000" spans="1:4" ht="13.2">
      <c r="A1000" s="17"/>
      <c r="B1000" s="18"/>
      <c r="C1000" s="19"/>
      <c r="D1000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2"/>
  <sheetViews>
    <sheetView workbookViewId="0"/>
  </sheetViews>
  <sheetFormatPr baseColWidth="10" defaultColWidth="12.6640625" defaultRowHeight="15.75" customHeight="1"/>
  <sheetData>
    <row r="1" spans="1:26" ht="15.75" customHeight="1">
      <c r="A1" s="20" t="s">
        <v>346</v>
      </c>
      <c r="B1" s="20" t="s">
        <v>347</v>
      </c>
      <c r="C1" s="21" t="s">
        <v>348</v>
      </c>
      <c r="D1" s="21" t="s">
        <v>349</v>
      </c>
      <c r="E1" s="22" t="s">
        <v>350</v>
      </c>
      <c r="F1" s="22" t="s">
        <v>351</v>
      </c>
      <c r="G1" s="23" t="s">
        <v>352</v>
      </c>
      <c r="H1" s="23" t="s">
        <v>353</v>
      </c>
      <c r="I1" s="24" t="s">
        <v>354</v>
      </c>
      <c r="J1" s="24" t="s">
        <v>355</v>
      </c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 spans="1:26" ht="15.75" customHeight="1">
      <c r="A2" s="26">
        <v>10</v>
      </c>
      <c r="B2" s="27" t="s">
        <v>356</v>
      </c>
      <c r="C2" s="26">
        <v>999</v>
      </c>
      <c r="D2" s="28">
        <v>1</v>
      </c>
      <c r="E2" s="28">
        <v>1</v>
      </c>
      <c r="F2" s="29">
        <v>0.75</v>
      </c>
      <c r="G2" s="29">
        <v>0.75</v>
      </c>
      <c r="H2" s="30">
        <v>0.5</v>
      </c>
      <c r="I2" s="30">
        <v>0.5</v>
      </c>
      <c r="J2" s="31">
        <v>0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  crudos </vt:lpstr>
      <vt:lpstr>Indicador_MUN</vt:lpstr>
      <vt:lpstr>Umbral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Paolo</dc:creator>
  <cp:lastModifiedBy>Paolo</cp:lastModifiedBy>
  <dcterms:created xsi:type="dcterms:W3CDTF">2026-05-29T20:30:01Z</dcterms:created>
  <dcterms:modified xsi:type="dcterms:W3CDTF">2026-05-29T20:30:02Z</dcterms:modified>
</cp:coreProperties>
</file>