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>
    <definedName hidden="1" localSheetId="0" name="_xlnm._FilterDatabase">'Datos originales'!$A$6:$O$1409</definedName>
  </definedNames>
  <calcPr/>
  <extLst>
    <ext uri="GoogleSheetsCustomDataVersion2">
      <go:sheetsCustomData xmlns:go="http://customooxmlschemas.google.com/" r:id="rId11" roundtripDataChecksum="R4vnSjgh3wtH7R+otQ5YtNk5HtV3IY3ta/zqEp+KI+A="/>
    </ext>
  </extLst>
</workbook>
</file>

<file path=xl/sharedStrings.xml><?xml version="1.0" encoding="utf-8"?>
<sst xmlns="http://schemas.openxmlformats.org/spreadsheetml/2006/main" count="7727" uniqueCount="490">
  <si>
    <t>Cuadro N° 15. INDICADOR COMPLEMENTARIO ODS 16.9.1</t>
  </si>
  <si>
    <t>BOLIVIA: NIÑAS Y NIÑOS MENORES DE 5 AÑOS Y PORCENTAJE DE INSCRIPCIÓN DE SU NACIMIENTO EN EL REGISTRO CIVIL POR CATEGORÍAS SELECCIONADAS, SEGÚN DEPARTAMENTO, PROVINCIA, MUNICIPIO O TERRITORIO INDÍGENA ORIGINARIO CAMPESINO (TIOC) Y ÁREA, CENSOS 2012 Y 2024</t>
  </si>
  <si>
    <t>(En número y porcentaje)</t>
  </si>
  <si>
    <t xml:space="preserve">NIÑAS Y NIÑOS MENORES DE 5 AÑOS </t>
  </si>
  <si>
    <t>N°</t>
  </si>
  <si>
    <t>NIVEL</t>
  </si>
  <si>
    <t>DEPARTAMENTO</t>
  </si>
  <si>
    <t>PROVINCIA</t>
  </si>
  <si>
    <t>MUNICIPIO/TIOC</t>
  </si>
  <si>
    <t>ÁREA</t>
  </si>
  <si>
    <t>Inscrito</t>
  </si>
  <si>
    <t xml:space="preserve">No inscrito </t>
  </si>
  <si>
    <t>Sin especificar</t>
  </si>
  <si>
    <r>
      <rPr>
        <rFont val="Arial"/>
        <b/>
        <color theme="1"/>
        <sz val="10.0"/>
      </rPr>
      <t>PORCENTAJE</t>
    </r>
    <r>
      <rPr>
        <rFont val="Arial"/>
        <b/>
        <color theme="1"/>
        <sz val="10.0"/>
        <vertAlign val="superscript"/>
      </rPr>
      <t>(1)</t>
    </r>
  </si>
  <si>
    <t>Total</t>
  </si>
  <si>
    <r>
      <rPr>
        <rFont val="Arial"/>
        <b/>
        <color theme="1"/>
        <sz val="10.0"/>
      </rPr>
      <t>PORCENTAJE</t>
    </r>
    <r>
      <rPr>
        <rFont val="Arial"/>
        <b/>
        <color theme="1"/>
        <sz val="10.0"/>
        <vertAlign val="superscript"/>
      </rPr>
      <t>(1)</t>
    </r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</si>
  <si>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</si>
  <si>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</si>
  <si>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</si>
  <si>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</si>
  <si>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</si>
  <si>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</si>
  <si>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</si>
  <si>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</si>
  <si>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</si>
  <si>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</si>
  <si>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</si>
  <si>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</si>
  <si>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</si>
  <si>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</si>
  <si>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</si>
  <si>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</si>
  <si>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</si>
  <si>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</si>
  <si>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</si>
  <si>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</si>
  <si>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</si>
  <si>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</si>
  <si>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</si>
  <si>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</si>
  <si>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</si>
  <si>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</si>
  <si>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</si>
  <si>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</si>
  <si>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</si>
  <si>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</si>
  <si>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</si>
  <si>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</si>
  <si>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</si>
  <si>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</si>
  <si>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</si>
  <si>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</si>
  <si>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</si>
  <si>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</si>
  <si>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</si>
  <si>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</si>
  <si>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</si>
  <si>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</si>
  <si>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</si>
  <si>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</si>
  <si>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</si>
  <si>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</si>
  <si>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</si>
  <si>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</si>
  <si>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</si>
  <si>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</si>
  <si>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</si>
  <si>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</si>
  <si>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</si>
  <si>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</si>
  <si>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</si>
  <si>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</si>
  <si>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</si>
  <si>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</si>
  <si>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</si>
  <si>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</si>
  <si>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</si>
  <si>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</si>
  <si>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</si>
  <si>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</si>
  <si>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</si>
  <si>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</si>
  <si>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</si>
  <si>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</si>
  <si>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</si>
  <si>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</si>
  <si>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</si>
  <si>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</si>
  <si>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</si>
  <si>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</si>
  <si>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</si>
  <si>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</si>
  <si>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</si>
  <si>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</si>
  <si>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</si>
  <si>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</si>
  <si>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</si>
  <si>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</si>
  <si>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</si>
  <si>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</si>
  <si>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</si>
  <si>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</si>
  <si>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</si>
  <si>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</si>
  <si>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</si>
  <si>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</si>
  <si>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</si>
  <si>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</si>
  <si>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</si>
  <si>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</si>
  <si>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</si>
  <si>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</si>
  <si>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</si>
  <si>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</si>
  <si>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</si>
  <si>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</si>
  <si>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</si>
  <si>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</si>
  <si>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</si>
  <si>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</si>
  <si>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</si>
  <si>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</si>
  <si>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</si>
  <si>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</si>
  <si>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</si>
  <si>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</si>
  <si>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</si>
  <si>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</si>
  <si>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</si>
  <si>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</si>
  <si>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</si>
  <si>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</si>
  <si>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</si>
  <si>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</si>
  <si>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</si>
  <si>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</si>
  <si>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</si>
  <si>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</si>
  <si>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</si>
  <si>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</si>
  <si>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</si>
  <si>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</si>
  <si>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</si>
  <si>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</si>
  <si>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</si>
  <si>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</si>
  <si>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</si>
  <si>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</si>
  <si>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</si>
  <si>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</si>
  <si>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</si>
  <si>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</si>
  <si>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</si>
  <si>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</si>
  <si>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</si>
  <si>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</si>
  <si>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</si>
  <si>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</si>
  <si>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</si>
  <si>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</si>
  <si>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</si>
  <si>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</si>
  <si>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</si>
  <si>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</si>
  <si>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</si>
  <si>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</si>
  <si>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</si>
  <si>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</si>
  <si>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</si>
  <si>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</si>
  <si>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</si>
  <si>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</si>
  <si>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</si>
  <si>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</si>
  <si>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</si>
  <si>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</si>
  <si>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</si>
  <si>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</si>
  <si>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</si>
  <si>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</si>
  <si>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</si>
  <si>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</si>
  <si>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</si>
  <si>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</si>
  <si>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</si>
  <si>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</si>
  <si>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</si>
  <si>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</si>
  <si>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</si>
  <si>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</si>
  <si>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</si>
  <si>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</si>
  <si>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</si>
  <si>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</si>
  <si>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</si>
  <si>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</si>
  <si>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</si>
  <si>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</si>
  <si>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</si>
  <si>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</si>
  <si>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</si>
  <si>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</si>
  <si>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</si>
  <si>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</si>
  <si>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</si>
  <si>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</si>
  <si>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</si>
  <si>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</si>
  <si>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</si>
  <si>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</si>
  <si>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</si>
  <si>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</si>
  <si>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</si>
  <si>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</si>
  <si>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</si>
  <si>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</si>
  <si>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</si>
  <si>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</si>
  <si>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</si>
  <si>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</si>
  <si>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</si>
  <si>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</si>
  <si>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</si>
  <si>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</si>
  <si>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</si>
  <si>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</si>
  <si>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</si>
  <si>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</si>
  <si>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</si>
  <si>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</si>
  <si>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</si>
  <si>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</si>
  <si>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</si>
  <si>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</si>
  <si>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</si>
  <si>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</si>
  <si>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</si>
  <si>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</si>
  <si>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</si>
  <si>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</si>
  <si>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</si>
  <si>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</si>
  <si>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</si>
  <si>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</si>
  <si>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</si>
  <si>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</si>
  <si>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</si>
  <si>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</si>
  <si>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</si>
  <si>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</si>
  <si>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</si>
  <si>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</si>
  <si>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</si>
  <si>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</si>
  <si>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</si>
  <si>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</si>
  <si>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</si>
  <si>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</si>
  <si>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</si>
  <si>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</si>
  <si>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</si>
  <si>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</si>
  <si>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</si>
  <si>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</si>
  <si>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</si>
  <si>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</si>
  <si>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</si>
  <si>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</si>
  <si>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</si>
  <si>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</si>
  <si>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</si>
  <si>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</si>
  <si>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</si>
  <si>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</si>
  <si>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</si>
  <si>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</si>
  <si>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</si>
  <si>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</si>
  <si>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</si>
  <si>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</si>
  <si>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</si>
  <si>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</si>
  <si>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</si>
  <si>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</si>
  <si>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</si>
  <si>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</si>
  <si>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</si>
  <si>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</si>
  <si>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</si>
  <si>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</si>
  <si>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</si>
  <si>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</si>
  <si>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</si>
  <si>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</si>
  <si>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</si>
  <si>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</si>
  <si>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</si>
  <si>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</si>
  <si>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</si>
  <si>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</si>
  <si>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</si>
  <si>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</si>
  <si>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</si>
  <si>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</si>
  <si>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</si>
  <si>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</si>
  <si>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</si>
  <si>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</si>
  <si>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</si>
  <si>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</si>
  <si>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</si>
  <si>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</si>
  <si>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</si>
  <si>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</si>
  <si>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</si>
  <si>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</si>
  <si>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</si>
  <si>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</si>
  <si>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</si>
  <si>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</si>
  <si>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</si>
  <si>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</si>
  <si>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</si>
  <si>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</si>
  <si>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</si>
  <si>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</si>
  <si>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</si>
  <si>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</si>
  <si>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</si>
  <si>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</si>
  <si>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</si>
  <si>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</si>
  <si>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</si>
  <si>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</si>
  <si>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</si>
  <si>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</si>
  <si>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</si>
  <si>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</si>
  <si>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</si>
  <si>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</si>
  <si>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</si>
  <si>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</si>
  <si>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</si>
  <si>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</si>
  <si>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</si>
  <si>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</si>
  <si>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</si>
  <si>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</si>
  <si>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</si>
  <si>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</si>
  <si>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</si>
  <si>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</si>
  <si>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</si>
  <si>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</si>
  <si>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</si>
  <si>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</si>
  <si>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</si>
  <si>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</si>
  <si>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</si>
  <si>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</si>
  <si>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</si>
  <si>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</si>
  <si>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</si>
  <si>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</si>
  <si>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</si>
  <si>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</si>
  <si>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</si>
  <si>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</si>
  <si>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</si>
  <si>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</si>
  <si>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</si>
  <si>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</si>
  <si>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</si>
  <si>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</si>
  <si>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</si>
  <si>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</si>
  <si>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</si>
  <si>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</si>
  <si>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</si>
  <si>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</si>
  <si>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</si>
  <si>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</si>
  <si>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</si>
  <si>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</si>
  <si>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</si>
  <si>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</si>
  <si>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</si>
  <si>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</si>
  <si>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</si>
  <si>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</si>
  <si>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</si>
  <si>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</si>
  <si>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</si>
  <si>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</si>
  <si>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</si>
  <si>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</si>
  <si>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</si>
  <si>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</si>
  <si>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</si>
  <si>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</si>
  <si>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</si>
  <si>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</si>
  <si>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</si>
  <si>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</si>
  <si>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</si>
  <si>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</si>
  <si>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</si>
  <si>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</si>
  <si>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</si>
  <si>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</si>
  <si>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</si>
  <si>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</si>
  <si>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</si>
  <si>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</si>
  <si>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</si>
  <si>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</si>
  <si>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</si>
  <si>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</si>
  <si>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</si>
  <si>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</si>
  <si>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</si>
  <si>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</si>
  <si>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</si>
  <si>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</si>
  <si>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</si>
  <si>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</si>
  <si>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</si>
  <si>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</si>
  <si>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</si>
  <si>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</si>
  <si>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</si>
  <si>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</si>
  <si>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</si>
  <si>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</si>
  <si>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</si>
  <si>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</si>
  <si>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</si>
  <si>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</si>
  <si>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</si>
  <si>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</si>
  <si>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</si>
  <si>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</si>
  <si>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</si>
  <si>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</si>
  <si>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</si>
  <si>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</si>
  <si>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</si>
  <si>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</si>
  <si>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</si>
  <si>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(1) No incluye personas que no declararon en la pregunta.</t>
  </si>
  <si>
    <t>(2) Para personas que residen habitualmente en el país.</t>
  </si>
  <si>
    <t>(3) Corresponde a personas que declararon haber nacido en otro país que no sea Bolivia.</t>
  </si>
  <si>
    <t>ID</t>
  </si>
  <si>
    <t>Municipio</t>
  </si>
  <si>
    <t>Menores de 5 años inscritos 2012</t>
  </si>
  <si>
    <t>Menores de 5 años no inscritos 2012</t>
  </si>
  <si>
    <t>Total menores de 5 años 2012</t>
  </si>
  <si>
    <t>Niños menores de 5 años inscritos en registro civil (%) 2012</t>
  </si>
  <si>
    <t>Población 2012</t>
  </si>
  <si>
    <t>Porcentaje de la población menores de 5 años 2012</t>
  </si>
  <si>
    <t>Menores de 5 años inscritos 2024</t>
  </si>
  <si>
    <t>Menores de 5 años no inscritos 2024</t>
  </si>
  <si>
    <t>Menores de 5 años 2024</t>
  </si>
  <si>
    <t>Niños menores de 5 años inscritos en registro civil (%) 2024</t>
  </si>
  <si>
    <t>Población 2024</t>
  </si>
  <si>
    <t>Porcentaje de la población menores de 5 años 2024</t>
  </si>
  <si>
    <t>Menores de 5 que no están inscritos 2012</t>
  </si>
  <si>
    <t>Menores de 5 años 2012</t>
  </si>
  <si>
    <t>Menores de 5 que no están inscritos 2024</t>
  </si>
  <si>
    <t>TIOCaRaqaypampa</t>
  </si>
  <si>
    <t>TIOCaJatun Ayllu Yura</t>
  </si>
  <si>
    <t>TIOCaTerritorio Indígena Multiétnico</t>
  </si>
  <si>
    <t>sdg16_9_niños_registro_civil_2012</t>
  </si>
  <si>
    <t>sdg16_9_niños_registro_civil_2024</t>
  </si>
  <si>
    <t>sdg16_9_niños_registro_civil_abs_2012</t>
  </si>
  <si>
    <t>sdg16_9_niños_registro_civil_abs_2024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</si>
  <si>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</si>
  <si>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</si>
  <si>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</si>
  <si>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</si>
  <si>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</si>
  <si>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</si>
  <si>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</si>
  <si>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</si>
  <si>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</si>
  <si>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</si>
  <si>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</si>
  <si>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</si>
  <si>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Niños inscritos en el registro civil (&lt; 5 años)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</si>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</sst>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#,##0_ ;\-#,##0\ "/>
    <numFmt numFmtId="166" formatCode="0.0"/>
  </numFmts>
  <fonts count="17">
    <font>
      <sz val="11.0"/>
      <color theme="1"/>
      <name val="Calibri"/>
      <scheme val="minor"/>
    </font>
    <font>
      <b/>
      <sz val="10.0"/>
      <color rgb="FF17223D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u/>
      <sz val="8.0"/>
      <color theme="10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Play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9">
    <border/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 vertical="center"/>
    </xf>
    <xf borderId="1" fillId="2" fontId="3" numFmtId="0" xfId="0" applyBorder="1" applyFont="1"/>
    <xf borderId="1" fillId="2" fontId="1" numFmtId="0" xfId="0" applyBorder="1" applyFont="1"/>
    <xf borderId="1" fillId="2" fontId="4" numFmtId="164" xfId="0" applyBorder="1" applyFont="1" applyNumberFormat="1"/>
    <xf borderId="1" fillId="2" fontId="4" numFmtId="3" xfId="0" applyBorder="1" applyFont="1" applyNumberFormat="1"/>
    <xf borderId="0" fillId="0" fontId="5" numFmtId="0" xfId="0" applyAlignment="1" applyFont="1">
      <alignment horizontal="left"/>
    </xf>
    <xf borderId="1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5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7" fillId="3" fontId="6" numFmtId="3" xfId="0" applyAlignment="1" applyBorder="1" applyFont="1" applyNumberFormat="1">
      <alignment horizontal="center" shrinkToFit="0" vertical="center" wrapText="1"/>
    </xf>
    <xf borderId="1" fillId="3" fontId="6" numFmtId="3" xfId="0" applyAlignment="1" applyBorder="1" applyFont="1" applyNumberForma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vertical="center"/>
    </xf>
    <xf borderId="11" fillId="3" fontId="6" numFmtId="0" xfId="0" applyAlignment="1" applyBorder="1" applyFont="1">
      <alignment horizontal="center" vertical="center"/>
    </xf>
    <xf borderId="12" fillId="3" fontId="6" numFmtId="164" xfId="0" applyAlignment="1" applyBorder="1" applyFont="1" applyNumberForma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4" fillId="3" fontId="6" numFmtId="0" xfId="0" applyAlignment="1" applyBorder="1" applyFont="1">
      <alignment horizontal="center" shrinkToFit="0" vertical="center" wrapText="1"/>
    </xf>
    <xf borderId="9" fillId="4" fontId="8" numFmtId="0" xfId="0" applyAlignment="1" applyBorder="1" applyFill="1" applyFont="1">
      <alignment horizontal="right" vertical="center"/>
    </xf>
    <xf borderId="9" fillId="4" fontId="8" numFmtId="0" xfId="0" applyAlignment="1" applyBorder="1" applyFont="1">
      <alignment horizontal="left" vertical="center"/>
    </xf>
    <xf borderId="9" fillId="4" fontId="8" numFmtId="3" xfId="0" applyAlignment="1" applyBorder="1" applyFont="1" applyNumberFormat="1">
      <alignment vertical="center"/>
    </xf>
    <xf borderId="9" fillId="4" fontId="8" numFmtId="164" xfId="0" applyAlignment="1" applyBorder="1" applyFont="1" applyNumberFormat="1">
      <alignment horizontal="right" vertical="center"/>
    </xf>
    <xf borderId="9" fillId="4" fontId="8" numFmtId="165" xfId="0" applyAlignment="1" applyBorder="1" applyFont="1" applyNumberFormat="1">
      <alignment vertical="center"/>
    </xf>
    <xf borderId="1" fillId="4" fontId="8" numFmtId="164" xfId="0" applyAlignment="1" applyBorder="1" applyFont="1" applyNumberFormat="1">
      <alignment horizontal="right" vertical="center"/>
    </xf>
    <xf borderId="7" fillId="2" fontId="8" numFmtId="0" xfId="0" applyAlignment="1" applyBorder="1" applyFont="1">
      <alignment horizontal="right" vertical="center"/>
    </xf>
    <xf borderId="7" fillId="2" fontId="8" numFmtId="0" xfId="0" applyAlignment="1" applyBorder="1" applyFont="1">
      <alignment horizontal="left" vertical="center"/>
    </xf>
    <xf borderId="7" fillId="2" fontId="9" numFmtId="3" xfId="0" applyAlignment="1" applyBorder="1" applyFont="1" applyNumberFormat="1">
      <alignment vertical="center"/>
    </xf>
    <xf borderId="7" fillId="2" fontId="9" numFmtId="164" xfId="0" applyAlignment="1" applyBorder="1" applyFont="1" applyNumberFormat="1">
      <alignment horizontal="right" vertical="center"/>
    </xf>
    <xf borderId="7" fillId="2" fontId="9" numFmtId="165" xfId="0" applyAlignment="1" applyBorder="1" applyFont="1" applyNumberFormat="1">
      <alignment vertical="center"/>
    </xf>
    <xf borderId="1" fillId="2" fontId="9" numFmtId="164" xfId="0" applyAlignment="1" applyBorder="1" applyFont="1" applyNumberFormat="1">
      <alignment horizontal="right" vertical="center"/>
    </xf>
    <xf borderId="7" fillId="5" fontId="8" numFmtId="0" xfId="0" applyAlignment="1" applyBorder="1" applyFill="1" applyFont="1">
      <alignment horizontal="right" vertical="center"/>
    </xf>
    <xf borderId="7" fillId="5" fontId="8" numFmtId="0" xfId="0" applyAlignment="1" applyBorder="1" applyFont="1">
      <alignment horizontal="left" vertical="center"/>
    </xf>
    <xf borderId="7" fillId="5" fontId="8" numFmtId="3" xfId="0" applyAlignment="1" applyBorder="1" applyFont="1" applyNumberFormat="1">
      <alignment vertical="center"/>
    </xf>
    <xf borderId="7" fillId="5" fontId="8" numFmtId="164" xfId="0" applyAlignment="1" applyBorder="1" applyFont="1" applyNumberFormat="1">
      <alignment horizontal="right" vertical="center"/>
    </xf>
    <xf borderId="7" fillId="5" fontId="8" numFmtId="165" xfId="0" applyAlignment="1" applyBorder="1" applyFont="1" applyNumberFormat="1">
      <alignment vertical="center"/>
    </xf>
    <xf borderId="1" fillId="5" fontId="8" numFmtId="164" xfId="0" applyAlignment="1" applyBorder="1" applyFont="1" applyNumberFormat="1">
      <alignment horizontal="right" vertical="center"/>
    </xf>
    <xf borderId="15" fillId="0" fontId="9" numFmtId="0" xfId="0" applyAlignment="1" applyBorder="1" applyFont="1">
      <alignment horizontal="right" vertical="center"/>
    </xf>
    <xf borderId="15" fillId="0" fontId="9" numFmtId="0" xfId="0" applyAlignment="1" applyBorder="1" applyFont="1">
      <alignment vertical="center"/>
    </xf>
    <xf borderId="7" fillId="6" fontId="9" numFmtId="0" xfId="0" applyAlignment="1" applyBorder="1" applyFill="1" applyFont="1">
      <alignment horizontal="left" vertical="center"/>
    </xf>
    <xf borderId="7" fillId="6" fontId="9" numFmtId="3" xfId="0" applyAlignment="1" applyBorder="1" applyFont="1" applyNumberFormat="1">
      <alignment vertical="center"/>
    </xf>
    <xf borderId="7" fillId="6" fontId="9" numFmtId="164" xfId="0" applyAlignment="1" applyBorder="1" applyFont="1" applyNumberFormat="1">
      <alignment horizontal="right" vertical="center"/>
    </xf>
    <xf borderId="7" fillId="6" fontId="9" numFmtId="165" xfId="0" applyAlignment="1" applyBorder="1" applyFont="1" applyNumberFormat="1">
      <alignment vertical="center"/>
    </xf>
    <xf borderId="1" fillId="6" fontId="9" numFmtId="164" xfId="0" applyAlignment="1" applyBorder="1" applyFont="1" applyNumberFormat="1">
      <alignment horizontal="right" vertical="center"/>
    </xf>
    <xf borderId="7" fillId="7" fontId="9" numFmtId="0" xfId="0" applyAlignment="1" applyBorder="1" applyFill="1" applyFont="1">
      <alignment horizontal="right" vertical="center"/>
    </xf>
    <xf borderId="7" fillId="7" fontId="9" numFmtId="0" xfId="0" applyAlignment="1" applyBorder="1" applyFont="1">
      <alignment horizontal="left" vertical="center"/>
    </xf>
    <xf borderId="7" fillId="7" fontId="9" numFmtId="3" xfId="0" applyAlignment="1" applyBorder="1" applyFont="1" applyNumberFormat="1">
      <alignment vertical="center"/>
    </xf>
    <xf borderId="7" fillId="7" fontId="9" numFmtId="164" xfId="0" applyAlignment="1" applyBorder="1" applyFont="1" applyNumberFormat="1">
      <alignment horizontal="right" vertical="center"/>
    </xf>
    <xf borderId="7" fillId="7" fontId="9" numFmtId="165" xfId="0" applyAlignment="1" applyBorder="1" applyFont="1" applyNumberFormat="1">
      <alignment vertical="center"/>
    </xf>
    <xf borderId="1" fillId="7" fontId="9" numFmtId="164" xfId="0" applyAlignment="1" applyBorder="1" applyFont="1" applyNumberFormat="1">
      <alignment horizontal="right" vertical="center"/>
    </xf>
    <xf borderId="7" fillId="2" fontId="8" numFmtId="0" xfId="0" applyAlignment="1" applyBorder="1" applyFont="1">
      <alignment vertical="center"/>
    </xf>
    <xf borderId="7" fillId="5" fontId="8" numFmtId="0" xfId="0" applyAlignment="1" applyBorder="1" applyFont="1">
      <alignment vertical="center"/>
    </xf>
    <xf borderId="7" fillId="7" fontId="9" numFmtId="1" xfId="0" applyAlignment="1" applyBorder="1" applyFont="1" applyNumberFormat="1">
      <alignment vertical="center"/>
    </xf>
    <xf borderId="7" fillId="7" fontId="9" numFmtId="1" xfId="0" applyAlignment="1" applyBorder="1" applyFont="1" applyNumberFormat="1">
      <alignment horizontal="left" vertical="center"/>
    </xf>
    <xf borderId="16" fillId="0" fontId="9" numFmtId="0" xfId="0" applyAlignment="1" applyBorder="1" applyFont="1">
      <alignment horizontal="right" vertical="center"/>
    </xf>
    <xf borderId="16" fillId="0" fontId="9" numFmtId="0" xfId="0" applyAlignment="1" applyBorder="1" applyFont="1">
      <alignment vertical="center"/>
    </xf>
    <xf borderId="17" fillId="6" fontId="9" numFmtId="0" xfId="0" applyAlignment="1" applyBorder="1" applyFont="1">
      <alignment horizontal="left" vertical="center"/>
    </xf>
    <xf borderId="17" fillId="6" fontId="9" numFmtId="3" xfId="0" applyAlignment="1" applyBorder="1" applyFont="1" applyNumberFormat="1">
      <alignment vertical="center"/>
    </xf>
    <xf borderId="17" fillId="6" fontId="9" numFmtId="164" xfId="0" applyAlignment="1" applyBorder="1" applyFont="1" applyNumberFormat="1">
      <alignment horizontal="right" vertical="center"/>
    </xf>
    <xf borderId="17" fillId="6" fontId="9" numFmtId="165" xfId="0" applyAlignment="1" applyBorder="1" applyFont="1" applyNumberFormat="1">
      <alignment vertical="center"/>
    </xf>
    <xf borderId="1" fillId="2" fontId="10" numFmtId="0" xfId="0" applyAlignment="1" applyBorder="1" applyFont="1">
      <alignment horizontal="left"/>
    </xf>
    <xf borderId="1" fillId="2" fontId="11" numFmtId="0" xfId="0" applyAlignment="1" applyBorder="1" applyFont="1">
      <alignment horizontal="left" vertical="center"/>
    </xf>
    <xf borderId="1" fillId="2" fontId="11" numFmtId="0" xfId="0" applyBorder="1" applyFont="1"/>
    <xf borderId="0" fillId="0" fontId="12" numFmtId="2" xfId="0" applyAlignment="1" applyFont="1" applyNumberFormat="1">
      <alignment horizontal="right" vertical="center"/>
    </xf>
    <xf borderId="0" fillId="0" fontId="10" numFmtId="0" xfId="0" applyAlignment="1" applyFont="1">
      <alignment horizontal="left" vertical="top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shrinkToFit="0" vertical="center" wrapText="1"/>
    </xf>
    <xf borderId="12" fillId="8" fontId="14" numFmtId="0" xfId="0" applyAlignment="1" applyBorder="1" applyFill="1" applyFont="1">
      <alignment horizontal="center" shrinkToFit="0" vertical="center" wrapText="1"/>
    </xf>
    <xf borderId="12" fillId="8" fontId="14" numFmtId="3" xfId="0" applyAlignment="1" applyBorder="1" applyFont="1" applyNumberFormat="1">
      <alignment horizontal="center" shrinkToFit="0" vertical="center" wrapText="1"/>
    </xf>
    <xf borderId="12" fillId="8" fontId="14" numFmtId="166" xfId="0" applyAlignment="1" applyBorder="1" applyFont="1" applyNumberFormat="1">
      <alignment shrinkToFit="0" vertical="center" wrapText="1"/>
    </xf>
    <xf borderId="12" fillId="9" fontId="14" numFmtId="0" xfId="0" applyAlignment="1" applyBorder="1" applyFill="1" applyFont="1">
      <alignment horizontal="center" shrinkToFit="0" vertical="center" wrapText="1"/>
    </xf>
    <xf borderId="12" fillId="9" fontId="14" numFmtId="3" xfId="0" applyAlignment="1" applyBorder="1" applyFont="1" applyNumberFormat="1">
      <alignment horizontal="center" shrinkToFit="0" vertical="center" wrapText="1"/>
    </xf>
    <xf borderId="12" fillId="9" fontId="14" numFmtId="166" xfId="0" applyAlignment="1" applyBorder="1" applyFont="1" applyNumberFormat="1">
      <alignment shrinkToFit="0" vertical="center" wrapText="1"/>
    </xf>
    <xf borderId="0" fillId="0" fontId="14" numFmtId="0" xfId="0" applyAlignment="1" applyFont="1">
      <alignment shrinkToFit="0" vertical="center" wrapText="1"/>
    </xf>
    <xf borderId="12" fillId="0" fontId="14" numFmtId="0" xfId="0" applyAlignment="1" applyBorder="1" applyFont="1">
      <alignment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right"/>
    </xf>
    <xf borderId="0" fillId="0" fontId="15" numFmtId="0" xfId="0" applyFont="1"/>
    <xf borderId="0" fillId="0" fontId="15" numFmtId="3" xfId="0" applyFont="1" applyNumberFormat="1"/>
    <xf borderId="0" fillId="0" fontId="15" numFmtId="164" xfId="0" applyFont="1" applyNumberFormat="1"/>
    <xf borderId="0" fillId="0" fontId="15" numFmtId="166" xfId="0" applyFont="1" applyNumberFormat="1"/>
    <xf borderId="0" fillId="0" fontId="15" numFmtId="165" xfId="0" applyFont="1" applyNumberFormat="1"/>
    <xf borderId="12" fillId="0" fontId="15" numFmtId="0" xfId="0" applyBorder="1" applyFont="1"/>
    <xf borderId="12" fillId="0" fontId="15" numFmtId="3" xfId="0" applyBorder="1" applyFont="1" applyNumberFormat="1"/>
    <xf borderId="12" fillId="0" fontId="15" numFmtId="164" xfId="0" applyBorder="1" applyFont="1" applyNumberFormat="1"/>
    <xf borderId="12" fillId="0" fontId="15" numFmtId="165" xfId="0" applyBorder="1" applyFont="1" applyNumberFormat="1"/>
    <xf borderId="18" fillId="0" fontId="15" numFmtId="165" xfId="0" applyBorder="1" applyFont="1" applyNumberFormat="1"/>
    <xf borderId="18" fillId="0" fontId="15" numFmtId="3" xfId="0" applyBorder="1" applyFont="1" applyNumberFormat="1"/>
    <xf borderId="18" fillId="0" fontId="15" numFmtId="164" xfId="0" applyBorder="1" applyFont="1" applyNumberFormat="1"/>
    <xf borderId="0" fillId="0" fontId="15" numFmtId="1" xfId="0" applyFont="1" applyNumberFormat="1"/>
    <xf borderId="12" fillId="0" fontId="15" numFmtId="1" xfId="0" applyBorder="1" applyFont="1" applyNumberFormat="1"/>
    <xf borderId="0" fillId="0" fontId="14" numFmtId="0" xfId="0" applyAlignment="1" applyFont="1">
      <alignment vertical="center"/>
    </xf>
    <xf borderId="12" fillId="0" fontId="15" numFmtId="0" xfId="0" applyAlignment="1" applyBorder="1" applyFont="1">
      <alignment shrinkToFit="0" wrapText="1"/>
    </xf>
    <xf borderId="12" fillId="0" fontId="15" numFmtId="164" xfId="0" applyAlignment="1" applyBorder="1" applyFont="1" applyNumberFormat="1">
      <alignment shrinkToFit="0" wrapText="1"/>
    </xf>
    <xf borderId="18" fillId="0" fontId="15" numFmtId="0" xfId="0" applyAlignment="1" applyBorder="1" applyFont="1">
      <alignment shrinkToFit="0" wrapText="1"/>
    </xf>
    <xf borderId="18" fillId="0" fontId="15" numFmtId="164" xfId="0" applyAlignment="1" applyBorder="1" applyFont="1" applyNumberFormat="1">
      <alignment shrinkToFit="0" wrapText="1"/>
    </xf>
    <xf borderId="12" fillId="10" fontId="14" numFmtId="0" xfId="0" applyAlignment="1" applyBorder="1" applyFill="1" applyFont="1">
      <alignment horizontal="center" shrinkToFit="0" vertical="center" wrapText="1"/>
    </xf>
    <xf borderId="12" fillId="11" fontId="16" numFmtId="0" xfId="0" applyAlignment="1" applyBorder="1" applyFill="1" applyFont="1">
      <alignment horizontal="center" shrinkToFit="0" vertical="center" wrapText="1"/>
    </xf>
    <xf borderId="12" fillId="12" fontId="16" numFmtId="0" xfId="0" applyAlignment="1" applyBorder="1" applyFill="1" applyFont="1">
      <alignment horizontal="center" shrinkToFit="0" vertical="center" wrapText="1"/>
    </xf>
    <xf borderId="12" fillId="13" fontId="16" numFmtId="0" xfId="0" applyAlignment="1" applyBorder="1" applyFill="1" applyFont="1">
      <alignment horizontal="center" shrinkToFit="0" vertical="center" wrapText="1"/>
    </xf>
    <xf borderId="12" fillId="14" fontId="16" numFmtId="0" xfId="0" applyAlignment="1" applyBorder="1" applyFill="1" applyFont="1">
      <alignment horizontal="center" shrinkToFit="0" vertical="center" wrapText="1"/>
    </xf>
    <xf borderId="12" fillId="15" fontId="14" numFmtId="0" xfId="0" applyAlignment="1" applyBorder="1" applyFill="1" applyFont="1">
      <alignment horizontal="center" vertical="bottom"/>
    </xf>
    <xf borderId="12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readingOrder="0" vertical="center"/>
    </xf>
    <xf borderId="12" fillId="0" fontId="15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71"/>
    <col customWidth="1" min="2" max="2" width="14.71"/>
    <col customWidth="1" min="3" max="3" width="17.71"/>
    <col customWidth="1" min="4" max="5" width="20.71"/>
    <col customWidth="1" min="6" max="6" width="30.71"/>
    <col customWidth="1" min="7" max="16" width="14.29"/>
  </cols>
  <sheetData>
    <row r="1" ht="15.0" customHeight="1">
      <c r="A1" s="1" t="s">
        <v>0</v>
      </c>
      <c r="B1" s="2"/>
      <c r="C1" s="3"/>
      <c r="D1" s="2"/>
      <c r="E1" s="2"/>
      <c r="F1" s="4"/>
      <c r="G1" s="5"/>
      <c r="H1" s="5"/>
      <c r="I1" s="5"/>
      <c r="J1" s="6"/>
      <c r="K1" s="6"/>
      <c r="L1" s="5"/>
      <c r="M1" s="5"/>
      <c r="N1" s="5"/>
      <c r="O1" s="6"/>
      <c r="P1" s="6"/>
    </row>
    <row r="2" ht="15.0" customHeight="1">
      <c r="A2" s="7" t="s">
        <v>1</v>
      </c>
      <c r="B2" s="8"/>
      <c r="D2" s="8"/>
      <c r="E2" s="8"/>
      <c r="F2" s="9"/>
      <c r="G2" s="5"/>
      <c r="H2" s="5"/>
      <c r="I2" s="5"/>
      <c r="J2" s="6"/>
      <c r="K2" s="6"/>
      <c r="L2" s="5"/>
      <c r="M2" s="5"/>
      <c r="N2" s="5"/>
      <c r="O2" s="6"/>
      <c r="P2" s="6"/>
    </row>
    <row r="3" ht="15.0" customHeight="1">
      <c r="A3" s="10" t="s">
        <v>2</v>
      </c>
      <c r="B3" s="8"/>
      <c r="D3" s="8"/>
      <c r="E3" s="8"/>
      <c r="G3" s="5"/>
      <c r="H3" s="5"/>
      <c r="I3" s="5"/>
      <c r="J3" s="6"/>
      <c r="K3" s="6"/>
      <c r="L3" s="5"/>
      <c r="M3" s="5"/>
      <c r="N3" s="5"/>
      <c r="O3" s="6"/>
      <c r="P3" s="6"/>
    </row>
    <row r="4" ht="19.5" customHeight="1">
      <c r="G4" s="11">
        <v>2012.0</v>
      </c>
      <c r="H4" s="12"/>
      <c r="I4" s="12"/>
      <c r="J4" s="13"/>
      <c r="K4" s="14"/>
      <c r="L4" s="15">
        <v>2024.0</v>
      </c>
      <c r="M4" s="12"/>
      <c r="N4" s="12"/>
      <c r="O4" s="13"/>
      <c r="P4" s="16"/>
    </row>
    <row r="5" ht="19.5" customHeight="1">
      <c r="A5" s="17"/>
      <c r="B5" s="17"/>
      <c r="C5" s="17"/>
      <c r="D5" s="17"/>
      <c r="E5" s="17"/>
      <c r="F5" s="17"/>
      <c r="G5" s="11" t="s">
        <v>3</v>
      </c>
      <c r="H5" s="12"/>
      <c r="I5" s="13"/>
      <c r="L5" s="15" t="s">
        <v>3</v>
      </c>
      <c r="M5" s="12"/>
      <c r="N5" s="18"/>
      <c r="O5" s="19"/>
      <c r="P5" s="20"/>
    </row>
    <row r="6" ht="27.75" customHeight="1">
      <c r="A6" s="21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2" t="s">
        <v>10</v>
      </c>
      <c r="H6" s="23" t="s">
        <v>11</v>
      </c>
      <c r="I6" s="24" t="s">
        <v>12</v>
      </c>
      <c r="J6" s="25" t="s">
        <v>13</v>
      </c>
      <c r="K6" s="16" t="s">
        <v>14</v>
      </c>
      <c r="L6" s="23" t="s">
        <v>10</v>
      </c>
      <c r="M6" s="23" t="s">
        <v>11</v>
      </c>
      <c r="N6" s="24" t="s">
        <v>12</v>
      </c>
      <c r="O6" s="26" t="s">
        <v>15</v>
      </c>
      <c r="P6" s="16" t="s">
        <v>14</v>
      </c>
    </row>
    <row r="7" ht="15.0" hidden="1" customHeight="1">
      <c r="A7" s="27">
        <v>1.0</v>
      </c>
      <c r="B7" s="28" t="s">
        <v>16</v>
      </c>
      <c r="C7" s="28"/>
      <c r="D7" s="28"/>
      <c r="E7" s="28"/>
      <c r="F7" s="28" t="s">
        <v>17</v>
      </c>
      <c r="G7" s="29">
        <v>957169.0</v>
      </c>
      <c r="H7" s="29">
        <v>117894.0</v>
      </c>
      <c r="I7" s="29">
        <v>14885.0</v>
      </c>
      <c r="J7" s="30">
        <v>89.033758951801</v>
      </c>
      <c r="K7" s="30">
        <f>G7+H7+I7</f>
        <v>1089948</v>
      </c>
      <c r="L7" s="31">
        <v>815104.0</v>
      </c>
      <c r="M7" s="31">
        <v>30812.0</v>
      </c>
      <c r="N7" s="31">
        <v>6633.0</v>
      </c>
      <c r="O7" s="30">
        <v>96.3575579608377</v>
      </c>
      <c r="P7" s="32">
        <f>L7+M7+N7</f>
        <v>852549</v>
      </c>
    </row>
    <row r="8" ht="15.0" hidden="1" customHeight="1">
      <c r="A8" s="33">
        <v>2.0</v>
      </c>
      <c r="B8" s="34" t="s">
        <v>16</v>
      </c>
      <c r="C8" s="34"/>
      <c r="D8" s="34"/>
      <c r="E8" s="34"/>
      <c r="F8" s="34" t="s">
        <v>18</v>
      </c>
      <c r="G8" s="35">
        <v>642102.0</v>
      </c>
      <c r="H8" s="35">
        <v>69266.0</v>
      </c>
      <c r="I8" s="35">
        <v>8388.0</v>
      </c>
      <c r="J8" s="36">
        <v>90.2629862462186</v>
      </c>
      <c r="K8" s="36"/>
      <c r="L8" s="37">
        <v>544957.0</v>
      </c>
      <c r="M8" s="37">
        <v>15488.0</v>
      </c>
      <c r="N8" s="37">
        <v>3221.0</v>
      </c>
      <c r="O8" s="36">
        <v>97.236481724344</v>
      </c>
      <c r="P8" s="38"/>
    </row>
    <row r="9" ht="15.0" hidden="1" customHeight="1">
      <c r="A9" s="33">
        <v>3.0</v>
      </c>
      <c r="B9" s="34" t="s">
        <v>16</v>
      </c>
      <c r="C9" s="34"/>
      <c r="D9" s="34"/>
      <c r="E9" s="34"/>
      <c r="F9" s="34" t="s">
        <v>19</v>
      </c>
      <c r="G9" s="35">
        <v>315067.0</v>
      </c>
      <c r="H9" s="35">
        <v>48628.0</v>
      </c>
      <c r="I9" s="35">
        <v>6497.0</v>
      </c>
      <c r="J9" s="36">
        <v>86.62945600022</v>
      </c>
      <c r="K9" s="36"/>
      <c r="L9" s="37">
        <v>270147.0</v>
      </c>
      <c r="M9" s="37">
        <v>15324.0</v>
      </c>
      <c r="N9" s="37">
        <v>3412.0</v>
      </c>
      <c r="O9" s="36">
        <v>94.6320291728407</v>
      </c>
      <c r="P9" s="38"/>
    </row>
    <row r="10" ht="15.0" hidden="1" customHeight="1">
      <c r="A10" s="27">
        <v>4.0</v>
      </c>
      <c r="B10" s="28" t="s">
        <v>20</v>
      </c>
      <c r="C10" s="28" t="s">
        <v>21</v>
      </c>
      <c r="D10" s="28"/>
      <c r="E10" s="28"/>
      <c r="F10" s="28" t="s">
        <v>21</v>
      </c>
      <c r="G10" s="29">
        <v>57918.0</v>
      </c>
      <c r="H10" s="29">
        <v>5339.0</v>
      </c>
      <c r="I10" s="29">
        <v>993.0</v>
      </c>
      <c r="J10" s="30">
        <v>91.5598273708839</v>
      </c>
      <c r="K10" s="30">
        <f>G10+H10+I10</f>
        <v>64250</v>
      </c>
      <c r="L10" s="31">
        <v>41815.0</v>
      </c>
      <c r="M10" s="31">
        <v>996.0</v>
      </c>
      <c r="N10" s="31">
        <v>248.0</v>
      </c>
      <c r="O10" s="30">
        <v>97.6734951297564</v>
      </c>
      <c r="P10" s="32">
        <f>L10+M10+N10</f>
        <v>43059</v>
      </c>
    </row>
    <row r="11" ht="15.0" hidden="1" customHeight="1">
      <c r="A11" s="33">
        <v>5.0</v>
      </c>
      <c r="B11" s="34" t="s">
        <v>20</v>
      </c>
      <c r="C11" s="34" t="s">
        <v>21</v>
      </c>
      <c r="D11" s="34"/>
      <c r="E11" s="34"/>
      <c r="F11" s="34" t="s">
        <v>18</v>
      </c>
      <c r="G11" s="35">
        <v>27680.0</v>
      </c>
      <c r="H11" s="35">
        <v>1468.0</v>
      </c>
      <c r="I11" s="35">
        <v>403.0</v>
      </c>
      <c r="J11" s="36">
        <v>94.963633868533</v>
      </c>
      <c r="K11" s="36"/>
      <c r="L11" s="37">
        <v>22198.0</v>
      </c>
      <c r="M11" s="37">
        <v>320.0</v>
      </c>
      <c r="N11" s="37">
        <v>90.0</v>
      </c>
      <c r="O11" s="36">
        <v>98.5789146460609</v>
      </c>
      <c r="P11" s="38"/>
    </row>
    <row r="12" ht="15.0" hidden="1" customHeight="1">
      <c r="A12" s="33">
        <v>6.0</v>
      </c>
      <c r="B12" s="34" t="s">
        <v>20</v>
      </c>
      <c r="C12" s="34" t="s">
        <v>21</v>
      </c>
      <c r="D12" s="34"/>
      <c r="E12" s="34"/>
      <c r="F12" s="34" t="s">
        <v>19</v>
      </c>
      <c r="G12" s="35">
        <v>30238.0</v>
      </c>
      <c r="H12" s="35">
        <v>3871.0</v>
      </c>
      <c r="I12" s="35">
        <v>590.0</v>
      </c>
      <c r="J12" s="36">
        <v>88.6510891553549</v>
      </c>
      <c r="K12" s="36"/>
      <c r="L12" s="37">
        <v>19617.0</v>
      </c>
      <c r="M12" s="37">
        <v>676.0</v>
      </c>
      <c r="N12" s="37">
        <v>158.0</v>
      </c>
      <c r="O12" s="36">
        <v>96.668802049968</v>
      </c>
      <c r="P12" s="38"/>
    </row>
    <row r="13" ht="15.0" hidden="1" customHeight="1">
      <c r="A13" s="39">
        <v>7.0</v>
      </c>
      <c r="B13" s="40" t="s">
        <v>22</v>
      </c>
      <c r="C13" s="40" t="s">
        <v>21</v>
      </c>
      <c r="D13" s="40" t="s">
        <v>23</v>
      </c>
      <c r="E13" s="40"/>
      <c r="F13" s="40" t="s">
        <v>23</v>
      </c>
      <c r="G13" s="41">
        <v>28257.0</v>
      </c>
      <c r="H13" s="41">
        <v>1648.0</v>
      </c>
      <c r="I13" s="41">
        <v>469.0</v>
      </c>
      <c r="J13" s="42">
        <v>94.4892158501923</v>
      </c>
      <c r="K13" s="42"/>
      <c r="L13" s="43">
        <v>21008.0</v>
      </c>
      <c r="M13" s="43">
        <v>260.0</v>
      </c>
      <c r="N13" s="43">
        <v>93.0</v>
      </c>
      <c r="O13" s="42">
        <v>98.7775061124694</v>
      </c>
      <c r="P13" s="44"/>
    </row>
    <row r="14" ht="15.0" hidden="1" customHeight="1">
      <c r="A14" s="45">
        <v>8.0</v>
      </c>
      <c r="B14" s="46" t="s">
        <v>22</v>
      </c>
      <c r="C14" s="46" t="s">
        <v>21</v>
      </c>
      <c r="D14" s="46" t="s">
        <v>23</v>
      </c>
      <c r="E14" s="46"/>
      <c r="F14" s="47" t="s">
        <v>18</v>
      </c>
      <c r="G14" s="48">
        <v>23287.0</v>
      </c>
      <c r="H14" s="48">
        <v>1120.0</v>
      </c>
      <c r="I14" s="48">
        <v>363.0</v>
      </c>
      <c r="J14" s="49">
        <v>95.4111525382063</v>
      </c>
      <c r="K14" s="49"/>
      <c r="L14" s="50">
        <v>17907.0</v>
      </c>
      <c r="M14" s="50">
        <v>222.0</v>
      </c>
      <c r="N14" s="50">
        <v>70.0</v>
      </c>
      <c r="O14" s="49">
        <v>98.77544266093</v>
      </c>
      <c r="P14" s="51"/>
    </row>
    <row r="15" ht="15.0" hidden="1" customHeight="1">
      <c r="A15" s="45">
        <v>9.0</v>
      </c>
      <c r="B15" s="46" t="s">
        <v>22</v>
      </c>
      <c r="C15" s="46" t="s">
        <v>21</v>
      </c>
      <c r="D15" s="46" t="s">
        <v>23</v>
      </c>
      <c r="E15" s="46"/>
      <c r="F15" s="47" t="s">
        <v>19</v>
      </c>
      <c r="G15" s="48">
        <v>4970.0</v>
      </c>
      <c r="H15" s="48">
        <v>528.0</v>
      </c>
      <c r="I15" s="48">
        <v>106.0</v>
      </c>
      <c r="J15" s="49">
        <v>90.3965078210258</v>
      </c>
      <c r="K15" s="49"/>
      <c r="L15" s="50">
        <v>3101.0</v>
      </c>
      <c r="M15" s="50">
        <v>38.0</v>
      </c>
      <c r="N15" s="50">
        <v>23.0</v>
      </c>
      <c r="O15" s="49">
        <v>98.7894233832431</v>
      </c>
      <c r="P15" s="51"/>
    </row>
    <row r="16" ht="15.0" customHeight="1">
      <c r="A16" s="52">
        <v>10.0</v>
      </c>
      <c r="B16" s="53" t="s">
        <v>24</v>
      </c>
      <c r="C16" s="53" t="s">
        <v>21</v>
      </c>
      <c r="D16" s="53" t="s">
        <v>23</v>
      </c>
      <c r="E16" s="53" t="s">
        <v>25</v>
      </c>
      <c r="F16" s="53" t="s">
        <v>25</v>
      </c>
      <c r="G16" s="54">
        <v>25527.0</v>
      </c>
      <c r="H16" s="54">
        <v>1307.0</v>
      </c>
      <c r="I16" s="54">
        <v>414.0</v>
      </c>
      <c r="J16" s="55">
        <v>95.1293135574271</v>
      </c>
      <c r="K16" s="55">
        <f>G16+H16+I16</f>
        <v>27248</v>
      </c>
      <c r="L16" s="56">
        <v>19284.0</v>
      </c>
      <c r="M16" s="56">
        <v>234.0</v>
      </c>
      <c r="N16" s="56">
        <v>80.0</v>
      </c>
      <c r="O16" s="55">
        <v>98.8011066707654</v>
      </c>
      <c r="P16" s="57">
        <f>L16+M16+N16</f>
        <v>19598</v>
      </c>
    </row>
    <row r="17" ht="15.0" hidden="1" customHeight="1">
      <c r="A17" s="45">
        <v>11.0</v>
      </c>
      <c r="B17" s="46" t="s">
        <v>24</v>
      </c>
      <c r="C17" s="46" t="s">
        <v>21</v>
      </c>
      <c r="D17" s="46" t="s">
        <v>23</v>
      </c>
      <c r="E17" s="46" t="s">
        <v>25</v>
      </c>
      <c r="F17" s="47" t="s">
        <v>18</v>
      </c>
      <c r="G17" s="48">
        <v>23287.0</v>
      </c>
      <c r="H17" s="48">
        <v>1120.0</v>
      </c>
      <c r="I17" s="48">
        <v>363.0</v>
      </c>
      <c r="J17" s="49">
        <v>95.4111525382063</v>
      </c>
      <c r="K17" s="49"/>
      <c r="L17" s="50">
        <v>17907.0</v>
      </c>
      <c r="M17" s="50">
        <v>222.0</v>
      </c>
      <c r="N17" s="50">
        <v>70.0</v>
      </c>
      <c r="O17" s="49">
        <v>98.77544266093</v>
      </c>
      <c r="P17" s="51"/>
    </row>
    <row r="18" ht="15.0" hidden="1" customHeight="1">
      <c r="A18" s="45">
        <v>12.0</v>
      </c>
      <c r="B18" s="46" t="s">
        <v>24</v>
      </c>
      <c r="C18" s="46" t="s">
        <v>21</v>
      </c>
      <c r="D18" s="46" t="s">
        <v>23</v>
      </c>
      <c r="E18" s="46" t="s">
        <v>25</v>
      </c>
      <c r="F18" s="47" t="s">
        <v>19</v>
      </c>
      <c r="G18" s="48">
        <v>2240.0</v>
      </c>
      <c r="H18" s="48">
        <v>187.0</v>
      </c>
      <c r="I18" s="48">
        <v>51.0</v>
      </c>
      <c r="J18" s="49">
        <v>92.295014421096</v>
      </c>
      <c r="K18" s="49"/>
      <c r="L18" s="50">
        <v>1377.0</v>
      </c>
      <c r="M18" s="50">
        <v>12.0</v>
      </c>
      <c r="N18" s="50">
        <v>10.0</v>
      </c>
      <c r="O18" s="49">
        <v>99.1360691144708</v>
      </c>
      <c r="P18" s="51"/>
    </row>
    <row r="19" ht="15.0" customHeight="1">
      <c r="A19" s="52">
        <v>13.0</v>
      </c>
      <c r="B19" s="53" t="s">
        <v>24</v>
      </c>
      <c r="C19" s="53" t="s">
        <v>21</v>
      </c>
      <c r="D19" s="53" t="s">
        <v>23</v>
      </c>
      <c r="E19" s="53" t="s">
        <v>26</v>
      </c>
      <c r="F19" s="53" t="s">
        <v>26</v>
      </c>
      <c r="G19" s="54">
        <v>885.0</v>
      </c>
      <c r="H19" s="54">
        <v>34.0</v>
      </c>
      <c r="I19" s="54">
        <v>9.0</v>
      </c>
      <c r="J19" s="55">
        <v>96.3003264417845</v>
      </c>
      <c r="K19" s="55">
        <f>G19+H19+I19</f>
        <v>928</v>
      </c>
      <c r="L19" s="56">
        <v>618.0</v>
      </c>
      <c r="M19" s="56">
        <v>9.0</v>
      </c>
      <c r="N19" s="56">
        <v>1.0</v>
      </c>
      <c r="O19" s="55">
        <v>98.5645933014354</v>
      </c>
      <c r="P19" s="57">
        <f>L19+M19+N19</f>
        <v>628</v>
      </c>
    </row>
    <row r="20" ht="15.0" hidden="1" customHeight="1">
      <c r="A20" s="45">
        <v>14.0</v>
      </c>
      <c r="B20" s="46" t="s">
        <v>24</v>
      </c>
      <c r="C20" s="46" t="s">
        <v>21</v>
      </c>
      <c r="D20" s="46" t="s">
        <v>23</v>
      </c>
      <c r="E20" s="46" t="s">
        <v>26</v>
      </c>
      <c r="F20" s="47" t="s">
        <v>18</v>
      </c>
      <c r="G20" s="48"/>
      <c r="H20" s="48"/>
      <c r="I20" s="48"/>
      <c r="J20" s="49"/>
      <c r="K20" s="49"/>
      <c r="L20" s="50"/>
      <c r="M20" s="50"/>
      <c r="N20" s="50"/>
      <c r="O20" s="49"/>
      <c r="P20" s="51"/>
    </row>
    <row r="21" ht="15.0" hidden="1" customHeight="1">
      <c r="A21" s="45">
        <v>15.0</v>
      </c>
      <c r="B21" s="46" t="s">
        <v>24</v>
      </c>
      <c r="C21" s="46" t="s">
        <v>21</v>
      </c>
      <c r="D21" s="46" t="s">
        <v>23</v>
      </c>
      <c r="E21" s="46" t="s">
        <v>26</v>
      </c>
      <c r="F21" s="47" t="s">
        <v>19</v>
      </c>
      <c r="G21" s="48">
        <v>885.0</v>
      </c>
      <c r="H21" s="48">
        <v>34.0</v>
      </c>
      <c r="I21" s="48">
        <v>9.0</v>
      </c>
      <c r="J21" s="49">
        <v>96.3003264417845</v>
      </c>
      <c r="K21" s="49"/>
      <c r="L21" s="50">
        <v>618.0</v>
      </c>
      <c r="M21" s="50">
        <v>9.0</v>
      </c>
      <c r="N21" s="50">
        <v>1.0</v>
      </c>
      <c r="O21" s="49">
        <v>98.5645933014354</v>
      </c>
      <c r="P21" s="51"/>
    </row>
    <row r="22" ht="15.0" customHeight="1">
      <c r="A22" s="52">
        <v>16.0</v>
      </c>
      <c r="B22" s="53" t="s">
        <v>24</v>
      </c>
      <c r="C22" s="53" t="s">
        <v>21</v>
      </c>
      <c r="D22" s="53" t="s">
        <v>23</v>
      </c>
      <c r="E22" s="53" t="s">
        <v>27</v>
      </c>
      <c r="F22" s="53" t="s">
        <v>27</v>
      </c>
      <c r="G22" s="54">
        <v>1845.0</v>
      </c>
      <c r="H22" s="54">
        <v>307.0</v>
      </c>
      <c r="I22" s="54">
        <v>46.0</v>
      </c>
      <c r="J22" s="55">
        <v>85.7342007434944</v>
      </c>
      <c r="K22" s="55">
        <f>G22+H22+I22</f>
        <v>2198</v>
      </c>
      <c r="L22" s="56">
        <v>1106.0</v>
      </c>
      <c r="M22" s="56">
        <v>17.0</v>
      </c>
      <c r="N22" s="56">
        <v>12.0</v>
      </c>
      <c r="O22" s="55">
        <v>98.4861976847729</v>
      </c>
      <c r="P22" s="57">
        <f>L22+M22+N22</f>
        <v>1135</v>
      </c>
    </row>
    <row r="23" ht="15.0" hidden="1" customHeight="1">
      <c r="A23" s="45">
        <v>17.0</v>
      </c>
      <c r="B23" s="46" t="s">
        <v>24</v>
      </c>
      <c r="C23" s="46" t="s">
        <v>21</v>
      </c>
      <c r="D23" s="46" t="s">
        <v>23</v>
      </c>
      <c r="E23" s="46" t="s">
        <v>27</v>
      </c>
      <c r="F23" s="47" t="s">
        <v>18</v>
      </c>
      <c r="G23" s="48"/>
      <c r="H23" s="48"/>
      <c r="I23" s="48"/>
      <c r="J23" s="49"/>
      <c r="K23" s="49"/>
      <c r="L23" s="50"/>
      <c r="M23" s="50"/>
      <c r="N23" s="50"/>
      <c r="O23" s="49"/>
      <c r="P23" s="51"/>
    </row>
    <row r="24" ht="15.0" hidden="1" customHeight="1">
      <c r="A24" s="45">
        <v>18.0</v>
      </c>
      <c r="B24" s="46" t="s">
        <v>24</v>
      </c>
      <c r="C24" s="46" t="s">
        <v>21</v>
      </c>
      <c r="D24" s="46" t="s">
        <v>23</v>
      </c>
      <c r="E24" s="46" t="s">
        <v>27</v>
      </c>
      <c r="F24" s="47" t="s">
        <v>19</v>
      </c>
      <c r="G24" s="48">
        <v>1845.0</v>
      </c>
      <c r="H24" s="48">
        <v>307.0</v>
      </c>
      <c r="I24" s="48">
        <v>46.0</v>
      </c>
      <c r="J24" s="49">
        <v>85.7342007434944</v>
      </c>
      <c r="K24" s="49"/>
      <c r="L24" s="50">
        <v>1106.0</v>
      </c>
      <c r="M24" s="50">
        <v>17.0</v>
      </c>
      <c r="N24" s="50">
        <v>12.0</v>
      </c>
      <c r="O24" s="49">
        <v>98.4861976847729</v>
      </c>
      <c r="P24" s="51"/>
    </row>
    <row r="25" ht="15.0" hidden="1" customHeight="1">
      <c r="A25" s="39">
        <v>19.0</v>
      </c>
      <c r="B25" s="40" t="s">
        <v>22</v>
      </c>
      <c r="C25" s="40" t="s">
        <v>21</v>
      </c>
      <c r="D25" s="40" t="s">
        <v>28</v>
      </c>
      <c r="E25" s="40"/>
      <c r="F25" s="40" t="s">
        <v>28</v>
      </c>
      <c r="G25" s="41">
        <v>2563.0</v>
      </c>
      <c r="H25" s="41">
        <v>350.0</v>
      </c>
      <c r="I25" s="41">
        <v>64.0</v>
      </c>
      <c r="J25" s="42">
        <v>87.9848952969447</v>
      </c>
      <c r="K25" s="42"/>
      <c r="L25" s="43">
        <v>2095.0</v>
      </c>
      <c r="M25" s="43">
        <v>63.0</v>
      </c>
      <c r="N25" s="43">
        <v>22.0</v>
      </c>
      <c r="O25" s="42">
        <v>97.0806302131603</v>
      </c>
      <c r="P25" s="44"/>
    </row>
    <row r="26" ht="15.0" hidden="1" customHeight="1">
      <c r="A26" s="45">
        <v>20.0</v>
      </c>
      <c r="B26" s="46" t="s">
        <v>22</v>
      </c>
      <c r="C26" s="46" t="s">
        <v>21</v>
      </c>
      <c r="D26" s="46" t="s">
        <v>28</v>
      </c>
      <c r="E26" s="46"/>
      <c r="F26" s="47" t="s">
        <v>18</v>
      </c>
      <c r="G26" s="48"/>
      <c r="H26" s="48"/>
      <c r="I26" s="48"/>
      <c r="J26" s="49"/>
      <c r="K26" s="49"/>
      <c r="L26" s="50"/>
      <c r="M26" s="50"/>
      <c r="N26" s="50"/>
      <c r="O26" s="49"/>
      <c r="P26" s="51"/>
    </row>
    <row r="27" ht="15.0" hidden="1" customHeight="1">
      <c r="A27" s="45">
        <v>21.0</v>
      </c>
      <c r="B27" s="46" t="s">
        <v>22</v>
      </c>
      <c r="C27" s="46" t="s">
        <v>21</v>
      </c>
      <c r="D27" s="46" t="s">
        <v>28</v>
      </c>
      <c r="E27" s="46"/>
      <c r="F27" s="47" t="s">
        <v>19</v>
      </c>
      <c r="G27" s="48">
        <v>2563.0</v>
      </c>
      <c r="H27" s="48">
        <v>350.0</v>
      </c>
      <c r="I27" s="48">
        <v>64.0</v>
      </c>
      <c r="J27" s="49">
        <v>87.9848952969447</v>
      </c>
      <c r="K27" s="49"/>
      <c r="L27" s="50">
        <v>2095.0</v>
      </c>
      <c r="M27" s="50">
        <v>63.0</v>
      </c>
      <c r="N27" s="50">
        <v>22.0</v>
      </c>
      <c r="O27" s="49">
        <v>97.0806302131603</v>
      </c>
      <c r="P27" s="51"/>
    </row>
    <row r="28" ht="15.0" customHeight="1">
      <c r="A28" s="52">
        <v>22.0</v>
      </c>
      <c r="B28" s="53" t="s">
        <v>24</v>
      </c>
      <c r="C28" s="53" t="s">
        <v>21</v>
      </c>
      <c r="D28" s="53" t="s">
        <v>28</v>
      </c>
      <c r="E28" s="53" t="s">
        <v>28</v>
      </c>
      <c r="F28" s="53" t="s">
        <v>28</v>
      </c>
      <c r="G28" s="54">
        <v>1175.0</v>
      </c>
      <c r="H28" s="54">
        <v>146.0</v>
      </c>
      <c r="I28" s="54">
        <v>33.0</v>
      </c>
      <c r="J28" s="55">
        <v>88.9477668433005</v>
      </c>
      <c r="K28" s="55">
        <f>G28+H28+I28</f>
        <v>1354</v>
      </c>
      <c r="L28" s="56">
        <v>696.0</v>
      </c>
      <c r="M28" s="56">
        <v>16.0</v>
      </c>
      <c r="N28" s="56">
        <v>13.0</v>
      </c>
      <c r="O28" s="55">
        <v>97.752808988764</v>
      </c>
      <c r="P28" s="57">
        <f>L28+M28+N28</f>
        <v>725</v>
      </c>
    </row>
    <row r="29" ht="15.0" hidden="1" customHeight="1">
      <c r="A29" s="45">
        <v>23.0</v>
      </c>
      <c r="B29" s="46" t="s">
        <v>24</v>
      </c>
      <c r="C29" s="46" t="s">
        <v>21</v>
      </c>
      <c r="D29" s="46" t="s">
        <v>28</v>
      </c>
      <c r="E29" s="46" t="s">
        <v>28</v>
      </c>
      <c r="F29" s="47" t="s">
        <v>18</v>
      </c>
      <c r="G29" s="48"/>
      <c r="H29" s="48"/>
      <c r="I29" s="48"/>
      <c r="J29" s="49"/>
      <c r="K29" s="49"/>
      <c r="L29" s="50"/>
      <c r="M29" s="50"/>
      <c r="N29" s="50"/>
      <c r="O29" s="49"/>
      <c r="P29" s="51"/>
    </row>
    <row r="30" ht="15.0" hidden="1" customHeight="1">
      <c r="A30" s="45">
        <v>24.0</v>
      </c>
      <c r="B30" s="46" t="s">
        <v>24</v>
      </c>
      <c r="C30" s="46" t="s">
        <v>21</v>
      </c>
      <c r="D30" s="46" t="s">
        <v>28</v>
      </c>
      <c r="E30" s="46" t="s">
        <v>28</v>
      </c>
      <c r="F30" s="47" t="s">
        <v>19</v>
      </c>
      <c r="G30" s="48">
        <v>1175.0</v>
      </c>
      <c r="H30" s="48">
        <v>146.0</v>
      </c>
      <c r="I30" s="48">
        <v>33.0</v>
      </c>
      <c r="J30" s="49">
        <v>88.9477668433005</v>
      </c>
      <c r="K30" s="49"/>
      <c r="L30" s="50">
        <v>696.0</v>
      </c>
      <c r="M30" s="50">
        <v>16.0</v>
      </c>
      <c r="N30" s="50">
        <v>13.0</v>
      </c>
      <c r="O30" s="49">
        <v>97.752808988764</v>
      </c>
      <c r="P30" s="51"/>
    </row>
    <row r="31" ht="15.0" customHeight="1">
      <c r="A31" s="52">
        <v>25.0</v>
      </c>
      <c r="B31" s="53" t="s">
        <v>24</v>
      </c>
      <c r="C31" s="53" t="s">
        <v>21</v>
      </c>
      <c r="D31" s="53" t="s">
        <v>28</v>
      </c>
      <c r="E31" s="53" t="s">
        <v>29</v>
      </c>
      <c r="F31" s="53" t="s">
        <v>29</v>
      </c>
      <c r="G31" s="54">
        <v>1388.0</v>
      </c>
      <c r="H31" s="54">
        <v>204.0</v>
      </c>
      <c r="I31" s="54">
        <v>31.0</v>
      </c>
      <c r="J31" s="55">
        <v>87.1859296482412</v>
      </c>
      <c r="K31" s="55">
        <f>G31+H31+I31</f>
        <v>1623</v>
      </c>
      <c r="L31" s="56">
        <v>1399.0</v>
      </c>
      <c r="M31" s="56">
        <v>47.0</v>
      </c>
      <c r="N31" s="56">
        <v>9.0</v>
      </c>
      <c r="O31" s="55">
        <v>96.7496542185339</v>
      </c>
      <c r="P31" s="57">
        <f>L31+M31+N31</f>
        <v>1455</v>
      </c>
    </row>
    <row r="32" ht="15.0" hidden="1" customHeight="1">
      <c r="A32" s="45">
        <v>26.0</v>
      </c>
      <c r="B32" s="46" t="s">
        <v>24</v>
      </c>
      <c r="C32" s="46" t="s">
        <v>21</v>
      </c>
      <c r="D32" s="46" t="s">
        <v>28</v>
      </c>
      <c r="E32" s="46" t="s">
        <v>29</v>
      </c>
      <c r="F32" s="47" t="s">
        <v>18</v>
      </c>
      <c r="G32" s="48"/>
      <c r="H32" s="48"/>
      <c r="I32" s="48"/>
      <c r="J32" s="49"/>
      <c r="K32" s="49"/>
      <c r="L32" s="50"/>
      <c r="M32" s="50"/>
      <c r="N32" s="50"/>
      <c r="O32" s="49"/>
      <c r="P32" s="51"/>
    </row>
    <row r="33" ht="15.0" hidden="1" customHeight="1">
      <c r="A33" s="45">
        <v>27.0</v>
      </c>
      <c r="B33" s="46" t="s">
        <v>24</v>
      </c>
      <c r="C33" s="46" t="s">
        <v>21</v>
      </c>
      <c r="D33" s="46" t="s">
        <v>28</v>
      </c>
      <c r="E33" s="46" t="s">
        <v>29</v>
      </c>
      <c r="F33" s="47" t="s">
        <v>19</v>
      </c>
      <c r="G33" s="48">
        <v>1388.0</v>
      </c>
      <c r="H33" s="48">
        <v>204.0</v>
      </c>
      <c r="I33" s="48">
        <v>31.0</v>
      </c>
      <c r="J33" s="49">
        <v>87.1859296482412</v>
      </c>
      <c r="K33" s="49"/>
      <c r="L33" s="50">
        <v>1399.0</v>
      </c>
      <c r="M33" s="50">
        <v>47.0</v>
      </c>
      <c r="N33" s="50">
        <v>9.0</v>
      </c>
      <c r="O33" s="49">
        <v>96.7496542185339</v>
      </c>
      <c r="P33" s="51"/>
    </row>
    <row r="34" ht="15.0" hidden="1" customHeight="1">
      <c r="A34" s="39">
        <v>28.0</v>
      </c>
      <c r="B34" s="40" t="s">
        <v>22</v>
      </c>
      <c r="C34" s="40" t="s">
        <v>21</v>
      </c>
      <c r="D34" s="40" t="s">
        <v>30</v>
      </c>
      <c r="E34" s="40"/>
      <c r="F34" s="40" t="s">
        <v>30</v>
      </c>
      <c r="G34" s="41">
        <v>3866.0</v>
      </c>
      <c r="H34" s="41">
        <v>498.0</v>
      </c>
      <c r="I34" s="41">
        <v>79.0</v>
      </c>
      <c r="J34" s="42">
        <v>88.5884509624198</v>
      </c>
      <c r="K34" s="42"/>
      <c r="L34" s="43">
        <v>3177.0</v>
      </c>
      <c r="M34" s="43">
        <v>94.0</v>
      </c>
      <c r="N34" s="43">
        <v>26.0</v>
      </c>
      <c r="O34" s="42">
        <v>97.1262610822378</v>
      </c>
      <c r="P34" s="44"/>
    </row>
    <row r="35" ht="15.0" hidden="1" customHeight="1">
      <c r="A35" s="45">
        <v>29.0</v>
      </c>
      <c r="B35" s="46" t="s">
        <v>22</v>
      </c>
      <c r="C35" s="46" t="s">
        <v>21</v>
      </c>
      <c r="D35" s="46" t="s">
        <v>30</v>
      </c>
      <c r="E35" s="46"/>
      <c r="F35" s="47" t="s">
        <v>18</v>
      </c>
      <c r="G35" s="48">
        <v>658.0</v>
      </c>
      <c r="H35" s="48">
        <v>57.0</v>
      </c>
      <c r="I35" s="48">
        <v>6.0</v>
      </c>
      <c r="J35" s="49">
        <v>92.027972027972</v>
      </c>
      <c r="K35" s="49"/>
      <c r="L35" s="50">
        <v>788.0</v>
      </c>
      <c r="M35" s="50">
        <v>21.0</v>
      </c>
      <c r="N35" s="50">
        <v>5.0</v>
      </c>
      <c r="O35" s="49">
        <v>97.4042027194067</v>
      </c>
      <c r="P35" s="51"/>
    </row>
    <row r="36" ht="15.0" hidden="1" customHeight="1">
      <c r="A36" s="45">
        <v>30.0</v>
      </c>
      <c r="B36" s="46" t="s">
        <v>22</v>
      </c>
      <c r="C36" s="46" t="s">
        <v>21</v>
      </c>
      <c r="D36" s="46" t="s">
        <v>30</v>
      </c>
      <c r="E36" s="46"/>
      <c r="F36" s="47" t="s">
        <v>19</v>
      </c>
      <c r="G36" s="48">
        <v>3208.0</v>
      </c>
      <c r="H36" s="48">
        <v>441.0</v>
      </c>
      <c r="I36" s="48">
        <v>73.0</v>
      </c>
      <c r="J36" s="49">
        <v>87.9144971224993</v>
      </c>
      <c r="K36" s="49"/>
      <c r="L36" s="50">
        <v>2389.0</v>
      </c>
      <c r="M36" s="50">
        <v>73.0</v>
      </c>
      <c r="N36" s="50">
        <v>21.0</v>
      </c>
      <c r="O36" s="49">
        <v>97.0349309504468</v>
      </c>
      <c r="P36" s="51"/>
    </row>
    <row r="37" ht="15.0" customHeight="1">
      <c r="A37" s="52">
        <v>31.0</v>
      </c>
      <c r="B37" s="53" t="s">
        <v>24</v>
      </c>
      <c r="C37" s="53" t="s">
        <v>21</v>
      </c>
      <c r="D37" s="53" t="s">
        <v>30</v>
      </c>
      <c r="E37" s="53" t="s">
        <v>30</v>
      </c>
      <c r="F37" s="53" t="s">
        <v>30</v>
      </c>
      <c r="G37" s="54">
        <v>988.0</v>
      </c>
      <c r="H37" s="54">
        <v>97.0</v>
      </c>
      <c r="I37" s="54">
        <v>18.0</v>
      </c>
      <c r="J37" s="55">
        <v>91.0599078341014</v>
      </c>
      <c r="K37" s="55">
        <f>G37+H37+I37</f>
        <v>1103</v>
      </c>
      <c r="L37" s="56">
        <v>875.0</v>
      </c>
      <c r="M37" s="56">
        <v>17.0</v>
      </c>
      <c r="N37" s="56">
        <v>4.0</v>
      </c>
      <c r="O37" s="55">
        <v>98.0941704035874</v>
      </c>
      <c r="P37" s="57">
        <f>L37+M37+N37</f>
        <v>896</v>
      </c>
    </row>
    <row r="38" ht="15.0" hidden="1" customHeight="1">
      <c r="A38" s="45">
        <v>32.0</v>
      </c>
      <c r="B38" s="46" t="s">
        <v>24</v>
      </c>
      <c r="C38" s="46" t="s">
        <v>21</v>
      </c>
      <c r="D38" s="46" t="s">
        <v>30</v>
      </c>
      <c r="E38" s="46" t="s">
        <v>30</v>
      </c>
      <c r="F38" s="47" t="s">
        <v>18</v>
      </c>
      <c r="G38" s="48">
        <v>330.0</v>
      </c>
      <c r="H38" s="48">
        <v>14.0</v>
      </c>
      <c r="I38" s="48">
        <v>4.0</v>
      </c>
      <c r="J38" s="49">
        <v>95.9302325581395</v>
      </c>
      <c r="K38" s="49"/>
      <c r="L38" s="50">
        <v>361.0</v>
      </c>
      <c r="M38" s="50">
        <v>11.0</v>
      </c>
      <c r="N38" s="50">
        <v>1.0</v>
      </c>
      <c r="O38" s="49">
        <v>97.0430107526882</v>
      </c>
      <c r="P38" s="51"/>
    </row>
    <row r="39" ht="15.0" hidden="1" customHeight="1">
      <c r="A39" s="45">
        <v>33.0</v>
      </c>
      <c r="B39" s="46" t="s">
        <v>24</v>
      </c>
      <c r="C39" s="46" t="s">
        <v>21</v>
      </c>
      <c r="D39" s="46" t="s">
        <v>30</v>
      </c>
      <c r="E39" s="46" t="s">
        <v>30</v>
      </c>
      <c r="F39" s="47" t="s">
        <v>19</v>
      </c>
      <c r="G39" s="48">
        <v>658.0</v>
      </c>
      <c r="H39" s="48">
        <v>83.0</v>
      </c>
      <c r="I39" s="48">
        <v>14.0</v>
      </c>
      <c r="J39" s="49">
        <v>88.7989203778677</v>
      </c>
      <c r="K39" s="49"/>
      <c r="L39" s="50">
        <v>514.0</v>
      </c>
      <c r="M39" s="50">
        <v>6.0</v>
      </c>
      <c r="N39" s="50">
        <v>3.0</v>
      </c>
      <c r="O39" s="49">
        <v>98.8461538461539</v>
      </c>
      <c r="P39" s="51"/>
    </row>
    <row r="40" ht="15.0" customHeight="1">
      <c r="A40" s="52">
        <v>34.0</v>
      </c>
      <c r="B40" s="53" t="s">
        <v>24</v>
      </c>
      <c r="C40" s="53" t="s">
        <v>21</v>
      </c>
      <c r="D40" s="53" t="s">
        <v>30</v>
      </c>
      <c r="E40" s="53" t="s">
        <v>31</v>
      </c>
      <c r="F40" s="53" t="s">
        <v>31</v>
      </c>
      <c r="G40" s="54">
        <v>1288.0</v>
      </c>
      <c r="H40" s="54">
        <v>227.0</v>
      </c>
      <c r="I40" s="54">
        <v>37.0</v>
      </c>
      <c r="J40" s="55">
        <v>85.016501650165</v>
      </c>
      <c r="K40" s="55">
        <f>G40+H40+I40</f>
        <v>1552</v>
      </c>
      <c r="L40" s="56">
        <v>997.0</v>
      </c>
      <c r="M40" s="56">
        <v>38.0</v>
      </c>
      <c r="N40" s="56">
        <v>15.0</v>
      </c>
      <c r="O40" s="55">
        <v>96.3285024154589</v>
      </c>
      <c r="P40" s="57">
        <f>L40+M40+N40</f>
        <v>1050</v>
      </c>
    </row>
    <row r="41" ht="15.0" hidden="1" customHeight="1">
      <c r="A41" s="45">
        <v>35.0</v>
      </c>
      <c r="B41" s="46" t="s">
        <v>24</v>
      </c>
      <c r="C41" s="46" t="s">
        <v>21</v>
      </c>
      <c r="D41" s="46" t="s">
        <v>30</v>
      </c>
      <c r="E41" s="46" t="s">
        <v>31</v>
      </c>
      <c r="F41" s="47" t="s">
        <v>18</v>
      </c>
      <c r="G41" s="48">
        <v>328.0</v>
      </c>
      <c r="H41" s="48">
        <v>43.0</v>
      </c>
      <c r="I41" s="48">
        <v>2.0</v>
      </c>
      <c r="J41" s="49">
        <v>88.4097035040431</v>
      </c>
      <c r="K41" s="49"/>
      <c r="L41" s="50">
        <v>180.0</v>
      </c>
      <c r="M41" s="50">
        <v>4.0</v>
      </c>
      <c r="N41" s="50">
        <v>4.0</v>
      </c>
      <c r="O41" s="49">
        <v>97.8260869565217</v>
      </c>
      <c r="P41" s="51"/>
    </row>
    <row r="42" ht="15.0" hidden="1" customHeight="1">
      <c r="A42" s="45">
        <v>36.0</v>
      </c>
      <c r="B42" s="46" t="s">
        <v>24</v>
      </c>
      <c r="C42" s="46" t="s">
        <v>21</v>
      </c>
      <c r="D42" s="46" t="s">
        <v>30</v>
      </c>
      <c r="E42" s="46" t="s">
        <v>31</v>
      </c>
      <c r="F42" s="47" t="s">
        <v>19</v>
      </c>
      <c r="G42" s="48">
        <v>960.0</v>
      </c>
      <c r="H42" s="48">
        <v>184.0</v>
      </c>
      <c r="I42" s="48">
        <v>35.0</v>
      </c>
      <c r="J42" s="49">
        <v>83.9160839160839</v>
      </c>
      <c r="K42" s="49"/>
      <c r="L42" s="50">
        <v>817.0</v>
      </c>
      <c r="M42" s="50">
        <v>34.0</v>
      </c>
      <c r="N42" s="50">
        <v>11.0</v>
      </c>
      <c r="O42" s="49">
        <v>96.0047003525264</v>
      </c>
      <c r="P42" s="51"/>
    </row>
    <row r="43" ht="15.0" customHeight="1">
      <c r="A43" s="52">
        <v>37.0</v>
      </c>
      <c r="B43" s="53" t="s">
        <v>24</v>
      </c>
      <c r="C43" s="53" t="s">
        <v>21</v>
      </c>
      <c r="D43" s="53" t="s">
        <v>30</v>
      </c>
      <c r="E43" s="53" t="s">
        <v>32</v>
      </c>
      <c r="F43" s="53" t="s">
        <v>32</v>
      </c>
      <c r="G43" s="54">
        <v>855.0</v>
      </c>
      <c r="H43" s="54">
        <v>76.0</v>
      </c>
      <c r="I43" s="54">
        <v>14.0</v>
      </c>
      <c r="J43" s="55">
        <v>91.8367346938776</v>
      </c>
      <c r="K43" s="55">
        <f>G43+H43+I43</f>
        <v>945</v>
      </c>
      <c r="L43" s="56">
        <v>733.0</v>
      </c>
      <c r="M43" s="56">
        <v>30.0</v>
      </c>
      <c r="N43" s="56">
        <v>2.0</v>
      </c>
      <c r="O43" s="55">
        <v>96.0681520314548</v>
      </c>
      <c r="P43" s="57">
        <f>L43+M43+N43</f>
        <v>765</v>
      </c>
    </row>
    <row r="44" ht="15.0" hidden="1" customHeight="1">
      <c r="A44" s="45">
        <v>38.0</v>
      </c>
      <c r="B44" s="46" t="s">
        <v>24</v>
      </c>
      <c r="C44" s="46" t="s">
        <v>21</v>
      </c>
      <c r="D44" s="46" t="s">
        <v>30</v>
      </c>
      <c r="E44" s="46" t="s">
        <v>32</v>
      </c>
      <c r="F44" s="47" t="s">
        <v>18</v>
      </c>
      <c r="G44" s="48"/>
      <c r="H44" s="48"/>
      <c r="I44" s="48"/>
      <c r="J44" s="49"/>
      <c r="K44" s="49"/>
      <c r="L44" s="50">
        <v>247.0</v>
      </c>
      <c r="M44" s="50">
        <v>6.0</v>
      </c>
      <c r="N44" s="50">
        <v>0.0</v>
      </c>
      <c r="O44" s="49">
        <v>97.6284584980237</v>
      </c>
      <c r="P44" s="51"/>
    </row>
    <row r="45" ht="15.0" hidden="1" customHeight="1">
      <c r="A45" s="45">
        <v>39.0</v>
      </c>
      <c r="B45" s="46" t="s">
        <v>24</v>
      </c>
      <c r="C45" s="46" t="s">
        <v>21</v>
      </c>
      <c r="D45" s="46" t="s">
        <v>30</v>
      </c>
      <c r="E45" s="46" t="s">
        <v>32</v>
      </c>
      <c r="F45" s="47" t="s">
        <v>19</v>
      </c>
      <c r="G45" s="48">
        <v>855.0</v>
      </c>
      <c r="H45" s="48">
        <v>76.0</v>
      </c>
      <c r="I45" s="48">
        <v>14.0</v>
      </c>
      <c r="J45" s="49">
        <v>91.8367346938776</v>
      </c>
      <c r="K45" s="49"/>
      <c r="L45" s="50">
        <v>486.0</v>
      </c>
      <c r="M45" s="50">
        <v>24.0</v>
      </c>
      <c r="N45" s="50">
        <v>2.0</v>
      </c>
      <c r="O45" s="49">
        <v>95.2941176470588</v>
      </c>
      <c r="P45" s="51"/>
    </row>
    <row r="46" ht="15.0" customHeight="1">
      <c r="A46" s="52">
        <v>40.0</v>
      </c>
      <c r="B46" s="53" t="s">
        <v>24</v>
      </c>
      <c r="C46" s="53" t="s">
        <v>21</v>
      </c>
      <c r="D46" s="53" t="s">
        <v>30</v>
      </c>
      <c r="E46" s="53" t="s">
        <v>33</v>
      </c>
      <c r="F46" s="53" t="s">
        <v>33</v>
      </c>
      <c r="G46" s="54">
        <v>735.0</v>
      </c>
      <c r="H46" s="54">
        <v>98.0</v>
      </c>
      <c r="I46" s="54">
        <v>10.0</v>
      </c>
      <c r="J46" s="55">
        <v>88.2352941176471</v>
      </c>
      <c r="K46" s="55">
        <f>G46+H46+I46</f>
        <v>843</v>
      </c>
      <c r="L46" s="56">
        <v>572.0</v>
      </c>
      <c r="M46" s="56">
        <v>9.0</v>
      </c>
      <c r="N46" s="56">
        <v>5.0</v>
      </c>
      <c r="O46" s="55">
        <v>98.4509466437177</v>
      </c>
      <c r="P46" s="57">
        <f>L46+M46+N46</f>
        <v>586</v>
      </c>
    </row>
    <row r="47" ht="15.0" hidden="1" customHeight="1">
      <c r="A47" s="45">
        <v>41.0</v>
      </c>
      <c r="B47" s="46" t="s">
        <v>24</v>
      </c>
      <c r="C47" s="46" t="s">
        <v>21</v>
      </c>
      <c r="D47" s="46" t="s">
        <v>30</v>
      </c>
      <c r="E47" s="46" t="s">
        <v>33</v>
      </c>
      <c r="F47" s="47" t="s">
        <v>18</v>
      </c>
      <c r="G47" s="48"/>
      <c r="H47" s="48"/>
      <c r="I47" s="48"/>
      <c r="J47" s="49"/>
      <c r="K47" s="49"/>
      <c r="L47" s="50"/>
      <c r="M47" s="50"/>
      <c r="N47" s="50"/>
      <c r="O47" s="49"/>
      <c r="P47" s="51"/>
    </row>
    <row r="48" ht="15.0" hidden="1" customHeight="1">
      <c r="A48" s="45">
        <v>42.0</v>
      </c>
      <c r="B48" s="46" t="s">
        <v>24</v>
      </c>
      <c r="C48" s="46" t="s">
        <v>21</v>
      </c>
      <c r="D48" s="46" t="s">
        <v>30</v>
      </c>
      <c r="E48" s="46" t="s">
        <v>33</v>
      </c>
      <c r="F48" s="47" t="s">
        <v>19</v>
      </c>
      <c r="G48" s="48">
        <v>735.0</v>
      </c>
      <c r="H48" s="48">
        <v>98.0</v>
      </c>
      <c r="I48" s="48">
        <v>10.0</v>
      </c>
      <c r="J48" s="49">
        <v>88.2352941176471</v>
      </c>
      <c r="K48" s="49"/>
      <c r="L48" s="50">
        <v>572.0</v>
      </c>
      <c r="M48" s="50">
        <v>9.0</v>
      </c>
      <c r="N48" s="50">
        <v>5.0</v>
      </c>
      <c r="O48" s="49">
        <v>98.4509466437177</v>
      </c>
      <c r="P48" s="51"/>
    </row>
    <row r="49" ht="15.0" hidden="1" customHeight="1">
      <c r="A49" s="39">
        <v>43.0</v>
      </c>
      <c r="B49" s="40" t="s">
        <v>22</v>
      </c>
      <c r="C49" s="40" t="s">
        <v>21</v>
      </c>
      <c r="D49" s="40" t="s">
        <v>34</v>
      </c>
      <c r="E49" s="40"/>
      <c r="F49" s="40" t="s">
        <v>34</v>
      </c>
      <c r="G49" s="41">
        <v>3343.0</v>
      </c>
      <c r="H49" s="41">
        <v>364.0</v>
      </c>
      <c r="I49" s="41">
        <v>70.0</v>
      </c>
      <c r="J49" s="42">
        <v>90.1807391421635</v>
      </c>
      <c r="K49" s="42"/>
      <c r="L49" s="43">
        <v>2448.0</v>
      </c>
      <c r="M49" s="43">
        <v>63.0</v>
      </c>
      <c r="N49" s="43">
        <v>13.0</v>
      </c>
      <c r="O49" s="42">
        <v>97.4910394265233</v>
      </c>
      <c r="P49" s="44"/>
    </row>
    <row r="50" ht="15.0" hidden="1" customHeight="1">
      <c r="A50" s="45">
        <v>44.0</v>
      </c>
      <c r="B50" s="46" t="s">
        <v>22</v>
      </c>
      <c r="C50" s="46" t="s">
        <v>21</v>
      </c>
      <c r="D50" s="46" t="s">
        <v>34</v>
      </c>
      <c r="E50" s="46"/>
      <c r="F50" s="47" t="s">
        <v>18</v>
      </c>
      <c r="G50" s="48">
        <v>545.0</v>
      </c>
      <c r="H50" s="48">
        <v>37.0</v>
      </c>
      <c r="I50" s="48">
        <v>6.0</v>
      </c>
      <c r="J50" s="49">
        <v>93.6426116838488</v>
      </c>
      <c r="K50" s="49"/>
      <c r="L50" s="50">
        <v>472.0</v>
      </c>
      <c r="M50" s="50">
        <v>4.0</v>
      </c>
      <c r="N50" s="50">
        <v>3.0</v>
      </c>
      <c r="O50" s="49">
        <v>99.1596638655462</v>
      </c>
      <c r="P50" s="51"/>
    </row>
    <row r="51" ht="15.0" hidden="1" customHeight="1">
      <c r="A51" s="45">
        <v>45.0</v>
      </c>
      <c r="B51" s="46" t="s">
        <v>22</v>
      </c>
      <c r="C51" s="46" t="s">
        <v>21</v>
      </c>
      <c r="D51" s="46" t="s">
        <v>34</v>
      </c>
      <c r="E51" s="46"/>
      <c r="F51" s="47" t="s">
        <v>19</v>
      </c>
      <c r="G51" s="48">
        <v>2798.0</v>
      </c>
      <c r="H51" s="48">
        <v>327.0</v>
      </c>
      <c r="I51" s="48">
        <v>64.0</v>
      </c>
      <c r="J51" s="49">
        <v>89.536</v>
      </c>
      <c r="K51" s="49"/>
      <c r="L51" s="50">
        <v>1976.0</v>
      </c>
      <c r="M51" s="50">
        <v>59.0</v>
      </c>
      <c r="N51" s="50">
        <v>10.0</v>
      </c>
      <c r="O51" s="49">
        <v>97.1007371007371</v>
      </c>
      <c r="P51" s="51"/>
    </row>
    <row r="52" ht="15.0" customHeight="1">
      <c r="A52" s="52">
        <v>46.0</v>
      </c>
      <c r="B52" s="53" t="s">
        <v>24</v>
      </c>
      <c r="C52" s="53" t="s">
        <v>21</v>
      </c>
      <c r="D52" s="53" t="s">
        <v>34</v>
      </c>
      <c r="E52" s="53" t="s">
        <v>35</v>
      </c>
      <c r="F52" s="53" t="s">
        <v>35</v>
      </c>
      <c r="G52" s="54">
        <v>892.0</v>
      </c>
      <c r="H52" s="54">
        <v>105.0</v>
      </c>
      <c r="I52" s="54">
        <v>36.0</v>
      </c>
      <c r="J52" s="55">
        <v>89.4684052156469</v>
      </c>
      <c r="K52" s="55">
        <f>G52+H52+I52</f>
        <v>1033</v>
      </c>
      <c r="L52" s="56">
        <v>669.0</v>
      </c>
      <c r="M52" s="56">
        <v>16.0</v>
      </c>
      <c r="N52" s="56">
        <v>4.0</v>
      </c>
      <c r="O52" s="55">
        <v>97.6642335766423</v>
      </c>
      <c r="P52" s="57">
        <f>L52+M52+N52</f>
        <v>689</v>
      </c>
    </row>
    <row r="53" ht="15.0" hidden="1" customHeight="1">
      <c r="A53" s="45">
        <v>47.0</v>
      </c>
      <c r="B53" s="46" t="s">
        <v>24</v>
      </c>
      <c r="C53" s="46" t="s">
        <v>21</v>
      </c>
      <c r="D53" s="46" t="s">
        <v>34</v>
      </c>
      <c r="E53" s="46" t="s">
        <v>35</v>
      </c>
      <c r="F53" s="47" t="s">
        <v>18</v>
      </c>
      <c r="G53" s="48">
        <v>324.0</v>
      </c>
      <c r="H53" s="48">
        <v>23.0</v>
      </c>
      <c r="I53" s="48">
        <v>5.0</v>
      </c>
      <c r="J53" s="49">
        <v>93.371757925072</v>
      </c>
      <c r="K53" s="49"/>
      <c r="L53" s="50">
        <v>309.0</v>
      </c>
      <c r="M53" s="50">
        <v>2.0</v>
      </c>
      <c r="N53" s="50">
        <v>0.0</v>
      </c>
      <c r="O53" s="49">
        <v>99.3569131832797</v>
      </c>
      <c r="P53" s="51"/>
    </row>
    <row r="54" ht="15.0" hidden="1" customHeight="1">
      <c r="A54" s="45">
        <v>48.0</v>
      </c>
      <c r="B54" s="46" t="s">
        <v>24</v>
      </c>
      <c r="C54" s="46" t="s">
        <v>21</v>
      </c>
      <c r="D54" s="46" t="s">
        <v>34</v>
      </c>
      <c r="E54" s="46" t="s">
        <v>35</v>
      </c>
      <c r="F54" s="47" t="s">
        <v>19</v>
      </c>
      <c r="G54" s="48">
        <v>568.0</v>
      </c>
      <c r="H54" s="48">
        <v>82.0</v>
      </c>
      <c r="I54" s="48">
        <v>31.0</v>
      </c>
      <c r="J54" s="49">
        <v>87.3846153846154</v>
      </c>
      <c r="K54" s="49"/>
      <c r="L54" s="50">
        <v>360.0</v>
      </c>
      <c r="M54" s="50">
        <v>14.0</v>
      </c>
      <c r="N54" s="50">
        <v>4.0</v>
      </c>
      <c r="O54" s="49">
        <v>96.2566844919786</v>
      </c>
      <c r="P54" s="51"/>
    </row>
    <row r="55" ht="15.0" customHeight="1">
      <c r="A55" s="52">
        <v>49.0</v>
      </c>
      <c r="B55" s="53" t="s">
        <v>24</v>
      </c>
      <c r="C55" s="53" t="s">
        <v>21</v>
      </c>
      <c r="D55" s="53" t="s">
        <v>34</v>
      </c>
      <c r="E55" s="53" t="s">
        <v>34</v>
      </c>
      <c r="F55" s="53" t="s">
        <v>34</v>
      </c>
      <c r="G55" s="54">
        <v>849.0</v>
      </c>
      <c r="H55" s="54">
        <v>90.0</v>
      </c>
      <c r="I55" s="54">
        <v>15.0</v>
      </c>
      <c r="J55" s="55">
        <v>90.4153354632588</v>
      </c>
      <c r="K55" s="55">
        <f>G55+H55+I55</f>
        <v>954</v>
      </c>
      <c r="L55" s="56">
        <v>611.0</v>
      </c>
      <c r="M55" s="56">
        <v>13.0</v>
      </c>
      <c r="N55" s="56">
        <v>3.0</v>
      </c>
      <c r="O55" s="55">
        <v>97.9166666666667</v>
      </c>
      <c r="P55" s="57">
        <f>L55+M55+N55</f>
        <v>627</v>
      </c>
    </row>
    <row r="56" ht="15.0" hidden="1" customHeight="1">
      <c r="A56" s="45">
        <v>50.0</v>
      </c>
      <c r="B56" s="46" t="s">
        <v>24</v>
      </c>
      <c r="C56" s="46" t="s">
        <v>21</v>
      </c>
      <c r="D56" s="46" t="s">
        <v>34</v>
      </c>
      <c r="E56" s="46" t="s">
        <v>34</v>
      </c>
      <c r="F56" s="47" t="s">
        <v>18</v>
      </c>
      <c r="G56" s="48"/>
      <c r="H56" s="48"/>
      <c r="I56" s="48"/>
      <c r="J56" s="49"/>
      <c r="K56" s="49"/>
      <c r="L56" s="50">
        <v>163.0</v>
      </c>
      <c r="M56" s="50">
        <v>2.0</v>
      </c>
      <c r="N56" s="50">
        <v>3.0</v>
      </c>
      <c r="O56" s="49">
        <v>98.7878787878788</v>
      </c>
      <c r="P56" s="51"/>
    </row>
    <row r="57" ht="15.0" hidden="1" customHeight="1">
      <c r="A57" s="45">
        <v>51.0</v>
      </c>
      <c r="B57" s="46" t="s">
        <v>24</v>
      </c>
      <c r="C57" s="46" t="s">
        <v>21</v>
      </c>
      <c r="D57" s="46" t="s">
        <v>34</v>
      </c>
      <c r="E57" s="46" t="s">
        <v>34</v>
      </c>
      <c r="F57" s="47" t="s">
        <v>19</v>
      </c>
      <c r="G57" s="48">
        <v>849.0</v>
      </c>
      <c r="H57" s="48">
        <v>90.0</v>
      </c>
      <c r="I57" s="48">
        <v>15.0</v>
      </c>
      <c r="J57" s="49">
        <v>90.4153354632588</v>
      </c>
      <c r="K57" s="49"/>
      <c r="L57" s="50">
        <v>448.0</v>
      </c>
      <c r="M57" s="50">
        <v>11.0</v>
      </c>
      <c r="N57" s="50">
        <v>0.0</v>
      </c>
      <c r="O57" s="49">
        <v>97.60348583878</v>
      </c>
      <c r="P57" s="51"/>
    </row>
    <row r="58" ht="15.0" customHeight="1">
      <c r="A58" s="52">
        <v>52.0</v>
      </c>
      <c r="B58" s="53" t="s">
        <v>24</v>
      </c>
      <c r="C58" s="53" t="s">
        <v>21</v>
      </c>
      <c r="D58" s="53" t="s">
        <v>34</v>
      </c>
      <c r="E58" s="53" t="s">
        <v>36</v>
      </c>
      <c r="F58" s="53" t="s">
        <v>36</v>
      </c>
      <c r="G58" s="54">
        <v>765.0</v>
      </c>
      <c r="H58" s="54">
        <v>88.0</v>
      </c>
      <c r="I58" s="54">
        <v>10.0</v>
      </c>
      <c r="J58" s="55">
        <v>89.68347010551</v>
      </c>
      <c r="K58" s="55">
        <f>G58+H58+I58</f>
        <v>863</v>
      </c>
      <c r="L58" s="56">
        <v>528.0</v>
      </c>
      <c r="M58" s="56">
        <v>15.0</v>
      </c>
      <c r="N58" s="56">
        <v>2.0</v>
      </c>
      <c r="O58" s="55">
        <v>97.2375690607735</v>
      </c>
      <c r="P58" s="57">
        <f>L58+M58+N58</f>
        <v>545</v>
      </c>
    </row>
    <row r="59" ht="15.0" hidden="1" customHeight="1">
      <c r="A59" s="45">
        <v>53.0</v>
      </c>
      <c r="B59" s="46" t="s">
        <v>24</v>
      </c>
      <c r="C59" s="46" t="s">
        <v>21</v>
      </c>
      <c r="D59" s="46" t="s">
        <v>34</v>
      </c>
      <c r="E59" s="46" t="s">
        <v>36</v>
      </c>
      <c r="F59" s="47" t="s">
        <v>18</v>
      </c>
      <c r="G59" s="48">
        <v>221.0</v>
      </c>
      <c r="H59" s="48">
        <v>14.0</v>
      </c>
      <c r="I59" s="48">
        <v>1.0</v>
      </c>
      <c r="J59" s="49">
        <v>94.0425531914894</v>
      </c>
      <c r="K59" s="49"/>
      <c r="L59" s="50"/>
      <c r="M59" s="50"/>
      <c r="N59" s="50"/>
      <c r="O59" s="49"/>
      <c r="P59" s="51"/>
    </row>
    <row r="60" ht="15.0" hidden="1" customHeight="1">
      <c r="A60" s="45">
        <v>54.0</v>
      </c>
      <c r="B60" s="46" t="s">
        <v>24</v>
      </c>
      <c r="C60" s="46" t="s">
        <v>21</v>
      </c>
      <c r="D60" s="46" t="s">
        <v>34</v>
      </c>
      <c r="E60" s="46" t="s">
        <v>36</v>
      </c>
      <c r="F60" s="47" t="s">
        <v>19</v>
      </c>
      <c r="G60" s="48">
        <v>544.0</v>
      </c>
      <c r="H60" s="48">
        <v>74.0</v>
      </c>
      <c r="I60" s="48">
        <v>9.0</v>
      </c>
      <c r="J60" s="49">
        <v>88.0258899676375</v>
      </c>
      <c r="K60" s="49"/>
      <c r="L60" s="50">
        <v>528.0</v>
      </c>
      <c r="M60" s="50">
        <v>15.0</v>
      </c>
      <c r="N60" s="50">
        <v>2.0</v>
      </c>
      <c r="O60" s="49">
        <v>97.2375690607735</v>
      </c>
      <c r="P60" s="51"/>
    </row>
    <row r="61" ht="15.0" customHeight="1">
      <c r="A61" s="52">
        <v>55.0</v>
      </c>
      <c r="B61" s="53" t="s">
        <v>24</v>
      </c>
      <c r="C61" s="53" t="s">
        <v>21</v>
      </c>
      <c r="D61" s="53" t="s">
        <v>34</v>
      </c>
      <c r="E61" s="53" t="s">
        <v>37</v>
      </c>
      <c r="F61" s="53" t="s">
        <v>37</v>
      </c>
      <c r="G61" s="54">
        <v>432.0</v>
      </c>
      <c r="H61" s="54">
        <v>63.0</v>
      </c>
      <c r="I61" s="54">
        <v>5.0</v>
      </c>
      <c r="J61" s="55">
        <v>87.2727272727273</v>
      </c>
      <c r="K61" s="55">
        <f>G61+H61+I61</f>
        <v>500</v>
      </c>
      <c r="L61" s="56">
        <v>228.0</v>
      </c>
      <c r="M61" s="56">
        <v>5.0</v>
      </c>
      <c r="N61" s="56">
        <v>1.0</v>
      </c>
      <c r="O61" s="55">
        <v>97.8540772532189</v>
      </c>
      <c r="P61" s="57">
        <f>L61+M61+N61</f>
        <v>234</v>
      </c>
    </row>
    <row r="62" ht="15.0" hidden="1" customHeight="1">
      <c r="A62" s="45">
        <v>56.0</v>
      </c>
      <c r="B62" s="46" t="s">
        <v>24</v>
      </c>
      <c r="C62" s="46" t="s">
        <v>21</v>
      </c>
      <c r="D62" s="46" t="s">
        <v>34</v>
      </c>
      <c r="E62" s="46" t="s">
        <v>37</v>
      </c>
      <c r="F62" s="47" t="s">
        <v>18</v>
      </c>
      <c r="G62" s="48"/>
      <c r="H62" s="48"/>
      <c r="I62" s="48"/>
      <c r="J62" s="49"/>
      <c r="K62" s="49"/>
      <c r="L62" s="50"/>
      <c r="M62" s="50"/>
      <c r="N62" s="50"/>
      <c r="O62" s="49"/>
      <c r="P62" s="51"/>
    </row>
    <row r="63" ht="15.0" hidden="1" customHeight="1">
      <c r="A63" s="45">
        <v>57.0</v>
      </c>
      <c r="B63" s="46" t="s">
        <v>24</v>
      </c>
      <c r="C63" s="46" t="s">
        <v>21</v>
      </c>
      <c r="D63" s="46" t="s">
        <v>34</v>
      </c>
      <c r="E63" s="46" t="s">
        <v>37</v>
      </c>
      <c r="F63" s="47" t="s">
        <v>19</v>
      </c>
      <c r="G63" s="48">
        <v>432.0</v>
      </c>
      <c r="H63" s="48">
        <v>63.0</v>
      </c>
      <c r="I63" s="48">
        <v>5.0</v>
      </c>
      <c r="J63" s="49">
        <v>87.2727272727273</v>
      </c>
      <c r="K63" s="49"/>
      <c r="L63" s="50">
        <v>228.0</v>
      </c>
      <c r="M63" s="50">
        <v>5.0</v>
      </c>
      <c r="N63" s="50">
        <v>1.0</v>
      </c>
      <c r="O63" s="49">
        <v>97.8540772532189</v>
      </c>
      <c r="P63" s="51"/>
    </row>
    <row r="64" ht="15.0" customHeight="1">
      <c r="A64" s="52">
        <v>58.0</v>
      </c>
      <c r="B64" s="53" t="s">
        <v>24</v>
      </c>
      <c r="C64" s="53" t="s">
        <v>21</v>
      </c>
      <c r="D64" s="53" t="s">
        <v>34</v>
      </c>
      <c r="E64" s="53" t="s">
        <v>38</v>
      </c>
      <c r="F64" s="53" t="s">
        <v>38</v>
      </c>
      <c r="G64" s="54">
        <v>405.0</v>
      </c>
      <c r="H64" s="54">
        <v>18.0</v>
      </c>
      <c r="I64" s="54">
        <v>4.0</v>
      </c>
      <c r="J64" s="55">
        <v>95.7446808510638</v>
      </c>
      <c r="K64" s="55">
        <f>G64+H64+I64</f>
        <v>427</v>
      </c>
      <c r="L64" s="56">
        <v>412.0</v>
      </c>
      <c r="M64" s="56">
        <v>14.0</v>
      </c>
      <c r="N64" s="56">
        <v>3.0</v>
      </c>
      <c r="O64" s="55">
        <v>96.7136150234742</v>
      </c>
      <c r="P64" s="57">
        <f>L64+M64+N64</f>
        <v>429</v>
      </c>
    </row>
    <row r="65" ht="15.0" hidden="1" customHeight="1">
      <c r="A65" s="45">
        <v>59.0</v>
      </c>
      <c r="B65" s="46" t="s">
        <v>24</v>
      </c>
      <c r="C65" s="46" t="s">
        <v>21</v>
      </c>
      <c r="D65" s="46" t="s">
        <v>34</v>
      </c>
      <c r="E65" s="46" t="s">
        <v>38</v>
      </c>
      <c r="F65" s="47" t="s">
        <v>18</v>
      </c>
      <c r="G65" s="48"/>
      <c r="H65" s="48"/>
      <c r="I65" s="48"/>
      <c r="J65" s="49"/>
      <c r="K65" s="49"/>
      <c r="L65" s="50"/>
      <c r="M65" s="50"/>
      <c r="N65" s="50"/>
      <c r="O65" s="49"/>
      <c r="P65" s="51"/>
    </row>
    <row r="66" ht="15.0" hidden="1" customHeight="1">
      <c r="A66" s="45">
        <v>60.0</v>
      </c>
      <c r="B66" s="46" t="s">
        <v>24</v>
      </c>
      <c r="C66" s="46" t="s">
        <v>21</v>
      </c>
      <c r="D66" s="46" t="s">
        <v>34</v>
      </c>
      <c r="E66" s="46" t="s">
        <v>38</v>
      </c>
      <c r="F66" s="47" t="s">
        <v>19</v>
      </c>
      <c r="G66" s="48">
        <v>405.0</v>
      </c>
      <c r="H66" s="48">
        <v>18.0</v>
      </c>
      <c r="I66" s="48">
        <v>4.0</v>
      </c>
      <c r="J66" s="49">
        <v>95.7446808510638</v>
      </c>
      <c r="K66" s="49"/>
      <c r="L66" s="50">
        <v>412.0</v>
      </c>
      <c r="M66" s="50">
        <v>14.0</v>
      </c>
      <c r="N66" s="50">
        <v>3.0</v>
      </c>
      <c r="O66" s="49">
        <v>96.7136150234742</v>
      </c>
      <c r="P66" s="51"/>
    </row>
    <row r="67" ht="15.0" hidden="1" customHeight="1">
      <c r="A67" s="39">
        <v>61.0</v>
      </c>
      <c r="B67" s="40" t="s">
        <v>22</v>
      </c>
      <c r="C67" s="40" t="s">
        <v>21</v>
      </c>
      <c r="D67" s="40" t="s">
        <v>39</v>
      </c>
      <c r="E67" s="40"/>
      <c r="F67" s="40" t="s">
        <v>39</v>
      </c>
      <c r="G67" s="41">
        <v>3185.0</v>
      </c>
      <c r="H67" s="41">
        <v>307.0</v>
      </c>
      <c r="I67" s="41">
        <v>37.0</v>
      </c>
      <c r="J67" s="42">
        <v>91.2084765177549</v>
      </c>
      <c r="K67" s="42"/>
      <c r="L67" s="43">
        <v>2263.0</v>
      </c>
      <c r="M67" s="43">
        <v>57.0</v>
      </c>
      <c r="N67" s="43">
        <v>16.0</v>
      </c>
      <c r="O67" s="42">
        <v>97.5431034482759</v>
      </c>
      <c r="P67" s="44"/>
    </row>
    <row r="68" ht="15.0" hidden="1" customHeight="1">
      <c r="A68" s="45">
        <v>62.0</v>
      </c>
      <c r="B68" s="46" t="s">
        <v>22</v>
      </c>
      <c r="C68" s="46" t="s">
        <v>21</v>
      </c>
      <c r="D68" s="46" t="s">
        <v>39</v>
      </c>
      <c r="E68" s="46"/>
      <c r="F68" s="47" t="s">
        <v>18</v>
      </c>
      <c r="G68" s="48">
        <v>1112.0</v>
      </c>
      <c r="H68" s="48">
        <v>72.0</v>
      </c>
      <c r="I68" s="48">
        <v>4.0</v>
      </c>
      <c r="J68" s="49">
        <v>93.9189189189189</v>
      </c>
      <c r="K68" s="49"/>
      <c r="L68" s="50">
        <v>954.0</v>
      </c>
      <c r="M68" s="50">
        <v>17.0</v>
      </c>
      <c r="N68" s="50">
        <v>6.0</v>
      </c>
      <c r="O68" s="49">
        <v>98.2492276004119</v>
      </c>
      <c r="P68" s="51"/>
    </row>
    <row r="69" ht="15.0" hidden="1" customHeight="1">
      <c r="A69" s="45">
        <v>63.0</v>
      </c>
      <c r="B69" s="46" t="s">
        <v>22</v>
      </c>
      <c r="C69" s="46" t="s">
        <v>21</v>
      </c>
      <c r="D69" s="46" t="s">
        <v>39</v>
      </c>
      <c r="E69" s="46"/>
      <c r="F69" s="47" t="s">
        <v>19</v>
      </c>
      <c r="G69" s="48">
        <v>2073.0</v>
      </c>
      <c r="H69" s="48">
        <v>235.0</v>
      </c>
      <c r="I69" s="48">
        <v>33.0</v>
      </c>
      <c r="J69" s="49">
        <v>89.8180242634315</v>
      </c>
      <c r="K69" s="49"/>
      <c r="L69" s="50">
        <v>1309.0</v>
      </c>
      <c r="M69" s="50">
        <v>40.0</v>
      </c>
      <c r="N69" s="50">
        <v>10.0</v>
      </c>
      <c r="O69" s="49">
        <v>97.0348406226835</v>
      </c>
      <c r="P69" s="51"/>
    </row>
    <row r="70" ht="15.0" customHeight="1">
      <c r="A70" s="52">
        <v>64.0</v>
      </c>
      <c r="B70" s="53" t="s">
        <v>24</v>
      </c>
      <c r="C70" s="53" t="s">
        <v>21</v>
      </c>
      <c r="D70" s="53" t="s">
        <v>39</v>
      </c>
      <c r="E70" s="53" t="s">
        <v>40</v>
      </c>
      <c r="F70" s="53" t="s">
        <v>40</v>
      </c>
      <c r="G70" s="54">
        <v>2296.0</v>
      </c>
      <c r="H70" s="54">
        <v>219.0</v>
      </c>
      <c r="I70" s="54">
        <v>32.0</v>
      </c>
      <c r="J70" s="55">
        <v>91.2922465208748</v>
      </c>
      <c r="K70" s="55">
        <f>G70+H70+I70</f>
        <v>2547</v>
      </c>
      <c r="L70" s="56">
        <v>1683.0</v>
      </c>
      <c r="M70" s="56">
        <v>29.0</v>
      </c>
      <c r="N70" s="56">
        <v>11.0</v>
      </c>
      <c r="O70" s="55">
        <v>98.3060747663551</v>
      </c>
      <c r="P70" s="57">
        <f>L70+M70+N70</f>
        <v>1723</v>
      </c>
    </row>
    <row r="71" ht="15.0" hidden="1" customHeight="1">
      <c r="A71" s="45">
        <v>65.0</v>
      </c>
      <c r="B71" s="46" t="s">
        <v>24</v>
      </c>
      <c r="C71" s="46" t="s">
        <v>21</v>
      </c>
      <c r="D71" s="46" t="s">
        <v>39</v>
      </c>
      <c r="E71" s="46" t="s">
        <v>40</v>
      </c>
      <c r="F71" s="47" t="s">
        <v>18</v>
      </c>
      <c r="G71" s="48">
        <v>1112.0</v>
      </c>
      <c r="H71" s="48">
        <v>72.0</v>
      </c>
      <c r="I71" s="48">
        <v>4.0</v>
      </c>
      <c r="J71" s="49">
        <v>93.9189189189189</v>
      </c>
      <c r="K71" s="49"/>
      <c r="L71" s="50">
        <v>954.0</v>
      </c>
      <c r="M71" s="50">
        <v>17.0</v>
      </c>
      <c r="N71" s="50">
        <v>6.0</v>
      </c>
      <c r="O71" s="49">
        <v>98.2492276004119</v>
      </c>
      <c r="P71" s="51"/>
    </row>
    <row r="72" ht="15.0" hidden="1" customHeight="1">
      <c r="A72" s="45">
        <v>66.0</v>
      </c>
      <c r="B72" s="46" t="s">
        <v>24</v>
      </c>
      <c r="C72" s="46" t="s">
        <v>21</v>
      </c>
      <c r="D72" s="46" t="s">
        <v>39</v>
      </c>
      <c r="E72" s="46" t="s">
        <v>40</v>
      </c>
      <c r="F72" s="47" t="s">
        <v>19</v>
      </c>
      <c r="G72" s="48">
        <v>1184.0</v>
      </c>
      <c r="H72" s="48">
        <v>147.0</v>
      </c>
      <c r="I72" s="48">
        <v>28.0</v>
      </c>
      <c r="J72" s="49">
        <v>88.9556724267468</v>
      </c>
      <c r="K72" s="49"/>
      <c r="L72" s="50">
        <v>729.0</v>
      </c>
      <c r="M72" s="50">
        <v>12.0</v>
      </c>
      <c r="N72" s="50">
        <v>5.0</v>
      </c>
      <c r="O72" s="49">
        <v>98.3805668016194</v>
      </c>
      <c r="P72" s="51"/>
    </row>
    <row r="73" ht="15.0" customHeight="1">
      <c r="A73" s="52">
        <v>67.0</v>
      </c>
      <c r="B73" s="53" t="s">
        <v>24</v>
      </c>
      <c r="C73" s="53" t="s">
        <v>21</v>
      </c>
      <c r="D73" s="53" t="s">
        <v>39</v>
      </c>
      <c r="E73" s="53" t="s">
        <v>41</v>
      </c>
      <c r="F73" s="53" t="s">
        <v>41</v>
      </c>
      <c r="G73" s="54">
        <v>889.0</v>
      </c>
      <c r="H73" s="54">
        <v>88.0</v>
      </c>
      <c r="I73" s="54">
        <v>5.0</v>
      </c>
      <c r="J73" s="55">
        <v>90.992835209826</v>
      </c>
      <c r="K73" s="55">
        <f>G73+H73+I73</f>
        <v>982</v>
      </c>
      <c r="L73" s="56">
        <v>580.0</v>
      </c>
      <c r="M73" s="56">
        <v>28.0</v>
      </c>
      <c r="N73" s="56">
        <v>5.0</v>
      </c>
      <c r="O73" s="55">
        <v>95.3947368421053</v>
      </c>
      <c r="P73" s="57">
        <f>L73+M73+N73</f>
        <v>613</v>
      </c>
    </row>
    <row r="74" ht="15.0" hidden="1" customHeight="1">
      <c r="A74" s="45">
        <v>68.0</v>
      </c>
      <c r="B74" s="46" t="s">
        <v>24</v>
      </c>
      <c r="C74" s="46" t="s">
        <v>21</v>
      </c>
      <c r="D74" s="46" t="s">
        <v>39</v>
      </c>
      <c r="E74" s="46" t="s">
        <v>41</v>
      </c>
      <c r="F74" s="47" t="s">
        <v>18</v>
      </c>
      <c r="G74" s="48"/>
      <c r="H74" s="48"/>
      <c r="I74" s="48"/>
      <c r="J74" s="49"/>
      <c r="K74" s="49"/>
      <c r="L74" s="50"/>
      <c r="M74" s="50"/>
      <c r="N74" s="50"/>
      <c r="O74" s="49"/>
      <c r="P74" s="51"/>
    </row>
    <row r="75" ht="15.0" hidden="1" customHeight="1">
      <c r="A75" s="45">
        <v>69.0</v>
      </c>
      <c r="B75" s="46" t="s">
        <v>24</v>
      </c>
      <c r="C75" s="46" t="s">
        <v>21</v>
      </c>
      <c r="D75" s="46" t="s">
        <v>39</v>
      </c>
      <c r="E75" s="46" t="s">
        <v>41</v>
      </c>
      <c r="F75" s="47" t="s">
        <v>19</v>
      </c>
      <c r="G75" s="48">
        <v>889.0</v>
      </c>
      <c r="H75" s="48">
        <v>88.0</v>
      </c>
      <c r="I75" s="48">
        <v>5.0</v>
      </c>
      <c r="J75" s="49">
        <v>90.992835209826</v>
      </c>
      <c r="K75" s="49"/>
      <c r="L75" s="50">
        <v>580.0</v>
      </c>
      <c r="M75" s="50">
        <v>28.0</v>
      </c>
      <c r="N75" s="50">
        <v>5.0</v>
      </c>
      <c r="O75" s="49">
        <v>95.3947368421053</v>
      </c>
      <c r="P75" s="51"/>
    </row>
    <row r="76" ht="15.0" hidden="1" customHeight="1">
      <c r="A76" s="39">
        <v>70.0</v>
      </c>
      <c r="B76" s="40" t="s">
        <v>22</v>
      </c>
      <c r="C76" s="40" t="s">
        <v>21</v>
      </c>
      <c r="D76" s="40" t="s">
        <v>42</v>
      </c>
      <c r="E76" s="40"/>
      <c r="F76" s="40" t="s">
        <v>42</v>
      </c>
      <c r="G76" s="41">
        <v>2588.0</v>
      </c>
      <c r="H76" s="41">
        <v>192.0</v>
      </c>
      <c r="I76" s="41">
        <v>42.0</v>
      </c>
      <c r="J76" s="42">
        <v>93.0935251798561</v>
      </c>
      <c r="K76" s="42"/>
      <c r="L76" s="43">
        <v>1408.0</v>
      </c>
      <c r="M76" s="43">
        <v>20.0</v>
      </c>
      <c r="N76" s="43">
        <v>16.0</v>
      </c>
      <c r="O76" s="42">
        <v>98.5994397759104</v>
      </c>
      <c r="P76" s="44"/>
    </row>
    <row r="77" ht="15.0" hidden="1" customHeight="1">
      <c r="A77" s="45">
        <v>71.0</v>
      </c>
      <c r="B77" s="46" t="s">
        <v>22</v>
      </c>
      <c r="C77" s="46" t="s">
        <v>21</v>
      </c>
      <c r="D77" s="46" t="s">
        <v>42</v>
      </c>
      <c r="E77" s="46"/>
      <c r="F77" s="47" t="s">
        <v>18</v>
      </c>
      <c r="G77" s="48">
        <v>324.0</v>
      </c>
      <c r="H77" s="48">
        <v>19.0</v>
      </c>
      <c r="I77" s="48">
        <v>2.0</v>
      </c>
      <c r="J77" s="49">
        <v>94.4606413994169</v>
      </c>
      <c r="K77" s="49"/>
      <c r="L77" s="50">
        <v>251.0</v>
      </c>
      <c r="M77" s="50">
        <v>5.0</v>
      </c>
      <c r="N77" s="50">
        <v>3.0</v>
      </c>
      <c r="O77" s="49">
        <v>98.046875</v>
      </c>
      <c r="P77" s="51"/>
    </row>
    <row r="78" ht="15.0" hidden="1" customHeight="1">
      <c r="A78" s="45">
        <v>72.0</v>
      </c>
      <c r="B78" s="46" t="s">
        <v>22</v>
      </c>
      <c r="C78" s="46" t="s">
        <v>21</v>
      </c>
      <c r="D78" s="46" t="s">
        <v>42</v>
      </c>
      <c r="E78" s="46"/>
      <c r="F78" s="47" t="s">
        <v>19</v>
      </c>
      <c r="G78" s="48">
        <v>2264.0</v>
      </c>
      <c r="H78" s="48">
        <v>173.0</v>
      </c>
      <c r="I78" s="48">
        <v>40.0</v>
      </c>
      <c r="J78" s="49">
        <v>92.9011079195732</v>
      </c>
      <c r="K78" s="49"/>
      <c r="L78" s="50">
        <v>1157.0</v>
      </c>
      <c r="M78" s="50">
        <v>15.0</v>
      </c>
      <c r="N78" s="50">
        <v>13.0</v>
      </c>
      <c r="O78" s="49">
        <v>98.7201365187713</v>
      </c>
      <c r="P78" s="51"/>
    </row>
    <row r="79" ht="15.0" customHeight="1">
      <c r="A79" s="52">
        <v>73.0</v>
      </c>
      <c r="B79" s="53" t="s">
        <v>24</v>
      </c>
      <c r="C79" s="53" t="s">
        <v>21</v>
      </c>
      <c r="D79" s="53" t="s">
        <v>42</v>
      </c>
      <c r="E79" s="53" t="s">
        <v>43</v>
      </c>
      <c r="F79" s="53" t="s">
        <v>43</v>
      </c>
      <c r="G79" s="54">
        <v>1651.0</v>
      </c>
      <c r="H79" s="54">
        <v>144.0</v>
      </c>
      <c r="I79" s="54">
        <v>24.0</v>
      </c>
      <c r="J79" s="55">
        <v>91.9777158774373</v>
      </c>
      <c r="K79" s="55">
        <f>G79+H79+I79</f>
        <v>1819</v>
      </c>
      <c r="L79" s="56">
        <v>880.0</v>
      </c>
      <c r="M79" s="56">
        <v>14.0</v>
      </c>
      <c r="N79" s="56">
        <v>11.0</v>
      </c>
      <c r="O79" s="55">
        <v>98.4340044742729</v>
      </c>
      <c r="P79" s="57">
        <f>L79+M79+N79</f>
        <v>905</v>
      </c>
    </row>
    <row r="80" ht="15.0" hidden="1" customHeight="1">
      <c r="A80" s="45">
        <v>74.0</v>
      </c>
      <c r="B80" s="46" t="s">
        <v>24</v>
      </c>
      <c r="C80" s="46" t="s">
        <v>21</v>
      </c>
      <c r="D80" s="46" t="s">
        <v>42</v>
      </c>
      <c r="E80" s="46" t="s">
        <v>43</v>
      </c>
      <c r="F80" s="47" t="s">
        <v>18</v>
      </c>
      <c r="G80" s="48">
        <v>324.0</v>
      </c>
      <c r="H80" s="48">
        <v>19.0</v>
      </c>
      <c r="I80" s="48">
        <v>2.0</v>
      </c>
      <c r="J80" s="49">
        <v>94.4606413994169</v>
      </c>
      <c r="K80" s="49"/>
      <c r="L80" s="50">
        <v>251.0</v>
      </c>
      <c r="M80" s="50">
        <v>5.0</v>
      </c>
      <c r="N80" s="50">
        <v>3.0</v>
      </c>
      <c r="O80" s="49">
        <v>98.046875</v>
      </c>
      <c r="P80" s="51"/>
    </row>
    <row r="81" ht="15.0" hidden="1" customHeight="1">
      <c r="A81" s="45">
        <v>75.0</v>
      </c>
      <c r="B81" s="46" t="s">
        <v>24</v>
      </c>
      <c r="C81" s="46" t="s">
        <v>21</v>
      </c>
      <c r="D81" s="46" t="s">
        <v>42</v>
      </c>
      <c r="E81" s="46" t="s">
        <v>43</v>
      </c>
      <c r="F81" s="47" t="s">
        <v>19</v>
      </c>
      <c r="G81" s="48">
        <v>1327.0</v>
      </c>
      <c r="H81" s="48">
        <v>125.0</v>
      </c>
      <c r="I81" s="48">
        <v>22.0</v>
      </c>
      <c r="J81" s="49">
        <v>91.3911845730028</v>
      </c>
      <c r="K81" s="49"/>
      <c r="L81" s="50">
        <v>629.0</v>
      </c>
      <c r="M81" s="50">
        <v>9.0</v>
      </c>
      <c r="N81" s="50">
        <v>8.0</v>
      </c>
      <c r="O81" s="49">
        <v>98.58934169279</v>
      </c>
      <c r="P81" s="51"/>
    </row>
    <row r="82" ht="15.0" customHeight="1">
      <c r="A82" s="52">
        <v>76.0</v>
      </c>
      <c r="B82" s="53" t="s">
        <v>24</v>
      </c>
      <c r="C82" s="53" t="s">
        <v>21</v>
      </c>
      <c r="D82" s="53" t="s">
        <v>42</v>
      </c>
      <c r="E82" s="53" t="s">
        <v>42</v>
      </c>
      <c r="F82" s="53" t="s">
        <v>42</v>
      </c>
      <c r="G82" s="54">
        <v>937.0</v>
      </c>
      <c r="H82" s="54">
        <v>48.0</v>
      </c>
      <c r="I82" s="54">
        <v>18.0</v>
      </c>
      <c r="J82" s="55">
        <v>95.1269035532995</v>
      </c>
      <c r="K82" s="55">
        <f>G82+H82+I82</f>
        <v>1003</v>
      </c>
      <c r="L82" s="56">
        <v>528.0</v>
      </c>
      <c r="M82" s="56">
        <v>6.0</v>
      </c>
      <c r="N82" s="56">
        <v>5.0</v>
      </c>
      <c r="O82" s="55">
        <v>98.876404494382</v>
      </c>
      <c r="P82" s="57">
        <f>L82+M82+N82</f>
        <v>539</v>
      </c>
    </row>
    <row r="83" ht="15.0" hidden="1" customHeight="1">
      <c r="A83" s="45">
        <v>77.0</v>
      </c>
      <c r="B83" s="46" t="s">
        <v>24</v>
      </c>
      <c r="C83" s="46" t="s">
        <v>21</v>
      </c>
      <c r="D83" s="46" t="s">
        <v>42</v>
      </c>
      <c r="E83" s="46" t="s">
        <v>42</v>
      </c>
      <c r="F83" s="47" t="s">
        <v>18</v>
      </c>
      <c r="G83" s="48"/>
      <c r="H83" s="48"/>
      <c r="I83" s="48"/>
      <c r="J83" s="49"/>
      <c r="K83" s="49"/>
      <c r="L83" s="50"/>
      <c r="M83" s="50"/>
      <c r="N83" s="50"/>
      <c r="O83" s="49"/>
      <c r="P83" s="51"/>
    </row>
    <row r="84" ht="15.0" hidden="1" customHeight="1">
      <c r="A84" s="45">
        <v>78.0</v>
      </c>
      <c r="B84" s="46" t="s">
        <v>24</v>
      </c>
      <c r="C84" s="46" t="s">
        <v>21</v>
      </c>
      <c r="D84" s="46" t="s">
        <v>42</v>
      </c>
      <c r="E84" s="46" t="s">
        <v>42</v>
      </c>
      <c r="F84" s="47" t="s">
        <v>19</v>
      </c>
      <c r="G84" s="48">
        <v>937.0</v>
      </c>
      <c r="H84" s="48">
        <v>48.0</v>
      </c>
      <c r="I84" s="48">
        <v>18.0</v>
      </c>
      <c r="J84" s="49">
        <v>95.1269035532995</v>
      </c>
      <c r="K84" s="49"/>
      <c r="L84" s="50">
        <v>528.0</v>
      </c>
      <c r="M84" s="50">
        <v>6.0</v>
      </c>
      <c r="N84" s="50">
        <v>5.0</v>
      </c>
      <c r="O84" s="49">
        <v>98.876404494382</v>
      </c>
      <c r="P84" s="51"/>
    </row>
    <row r="85" ht="15.0" hidden="1" customHeight="1">
      <c r="A85" s="39">
        <v>79.0</v>
      </c>
      <c r="B85" s="40" t="s">
        <v>22</v>
      </c>
      <c r="C85" s="40" t="s">
        <v>21</v>
      </c>
      <c r="D85" s="40" t="s">
        <v>44</v>
      </c>
      <c r="E85" s="40"/>
      <c r="F85" s="40" t="s">
        <v>44</v>
      </c>
      <c r="G85" s="41">
        <v>8525.0</v>
      </c>
      <c r="H85" s="41">
        <v>1300.0</v>
      </c>
      <c r="I85" s="41">
        <v>146.0</v>
      </c>
      <c r="J85" s="42">
        <v>86.7684478371501</v>
      </c>
      <c r="K85" s="42"/>
      <c r="L85" s="43">
        <v>5545.0</v>
      </c>
      <c r="M85" s="43">
        <v>260.0</v>
      </c>
      <c r="N85" s="43">
        <v>40.0</v>
      </c>
      <c r="O85" s="42">
        <v>95.5211024978467</v>
      </c>
      <c r="P85" s="44"/>
    </row>
    <row r="86" ht="15.0" hidden="1" customHeight="1">
      <c r="A86" s="45">
        <v>80.0</v>
      </c>
      <c r="B86" s="46" t="s">
        <v>22</v>
      </c>
      <c r="C86" s="46" t="s">
        <v>21</v>
      </c>
      <c r="D86" s="46" t="s">
        <v>44</v>
      </c>
      <c r="E86" s="46"/>
      <c r="F86" s="47" t="s">
        <v>18</v>
      </c>
      <c r="G86" s="48">
        <v>838.0</v>
      </c>
      <c r="H86" s="48">
        <v>90.0</v>
      </c>
      <c r="I86" s="48">
        <v>10.0</v>
      </c>
      <c r="J86" s="49">
        <v>90.301724137931</v>
      </c>
      <c r="K86" s="49"/>
      <c r="L86" s="50">
        <v>966.0</v>
      </c>
      <c r="M86" s="50">
        <v>29.0</v>
      </c>
      <c r="N86" s="50">
        <v>0.0</v>
      </c>
      <c r="O86" s="49">
        <v>97.0854271356784</v>
      </c>
      <c r="P86" s="51"/>
    </row>
    <row r="87" ht="15.0" hidden="1" customHeight="1">
      <c r="A87" s="45">
        <v>81.0</v>
      </c>
      <c r="B87" s="46" t="s">
        <v>22</v>
      </c>
      <c r="C87" s="46" t="s">
        <v>21</v>
      </c>
      <c r="D87" s="46" t="s">
        <v>44</v>
      </c>
      <c r="E87" s="46"/>
      <c r="F87" s="47" t="s">
        <v>19</v>
      </c>
      <c r="G87" s="48">
        <v>7687.0</v>
      </c>
      <c r="H87" s="48">
        <v>1210.0</v>
      </c>
      <c r="I87" s="48">
        <v>136.0</v>
      </c>
      <c r="J87" s="49">
        <v>86.3999100820501</v>
      </c>
      <c r="K87" s="49"/>
      <c r="L87" s="50">
        <v>4579.0</v>
      </c>
      <c r="M87" s="50">
        <v>231.0</v>
      </c>
      <c r="N87" s="50">
        <v>40.0</v>
      </c>
      <c r="O87" s="49">
        <v>95.1975051975052</v>
      </c>
      <c r="P87" s="51"/>
    </row>
    <row r="88" ht="15.0" customHeight="1">
      <c r="A88" s="52">
        <v>82.0</v>
      </c>
      <c r="B88" s="53" t="s">
        <v>24</v>
      </c>
      <c r="C88" s="53" t="s">
        <v>21</v>
      </c>
      <c r="D88" s="53" t="s">
        <v>44</v>
      </c>
      <c r="E88" s="53" t="s">
        <v>45</v>
      </c>
      <c r="F88" s="53" t="s">
        <v>45</v>
      </c>
      <c r="G88" s="54">
        <v>1523.0</v>
      </c>
      <c r="H88" s="54">
        <v>132.0</v>
      </c>
      <c r="I88" s="54">
        <v>23.0</v>
      </c>
      <c r="J88" s="55">
        <v>92.02416918429</v>
      </c>
      <c r="K88" s="55">
        <f>G88+H88+I88</f>
        <v>1678</v>
      </c>
      <c r="L88" s="56">
        <v>930.0</v>
      </c>
      <c r="M88" s="56">
        <v>28.0</v>
      </c>
      <c r="N88" s="56">
        <v>5.0</v>
      </c>
      <c r="O88" s="55">
        <v>97.0772442588727</v>
      </c>
      <c r="P88" s="57">
        <f>L88+M88+N88</f>
        <v>963</v>
      </c>
    </row>
    <row r="89" ht="15.0" hidden="1" customHeight="1">
      <c r="A89" s="45">
        <v>83.0</v>
      </c>
      <c r="B89" s="46" t="s">
        <v>24</v>
      </c>
      <c r="C89" s="46" t="s">
        <v>21</v>
      </c>
      <c r="D89" s="46" t="s">
        <v>44</v>
      </c>
      <c r="E89" s="46" t="s">
        <v>45</v>
      </c>
      <c r="F89" s="47" t="s">
        <v>18</v>
      </c>
      <c r="G89" s="48">
        <v>525.0</v>
      </c>
      <c r="H89" s="48">
        <v>39.0</v>
      </c>
      <c r="I89" s="48">
        <v>4.0</v>
      </c>
      <c r="J89" s="49">
        <v>93.0851063829787</v>
      </c>
      <c r="K89" s="49"/>
      <c r="L89" s="50">
        <v>296.0</v>
      </c>
      <c r="M89" s="50">
        <v>4.0</v>
      </c>
      <c r="N89" s="50">
        <v>0.0</v>
      </c>
      <c r="O89" s="49">
        <v>98.6666666666667</v>
      </c>
      <c r="P89" s="51"/>
    </row>
    <row r="90" ht="15.0" hidden="1" customHeight="1">
      <c r="A90" s="45">
        <v>84.0</v>
      </c>
      <c r="B90" s="46" t="s">
        <v>24</v>
      </c>
      <c r="C90" s="46" t="s">
        <v>21</v>
      </c>
      <c r="D90" s="46" t="s">
        <v>44</v>
      </c>
      <c r="E90" s="46" t="s">
        <v>45</v>
      </c>
      <c r="F90" s="47" t="s">
        <v>19</v>
      </c>
      <c r="G90" s="48">
        <v>998.0</v>
      </c>
      <c r="H90" s="48">
        <v>93.0</v>
      </c>
      <c r="I90" s="48">
        <v>19.0</v>
      </c>
      <c r="J90" s="49">
        <v>91.4757103574702</v>
      </c>
      <c r="K90" s="49"/>
      <c r="L90" s="50">
        <v>634.0</v>
      </c>
      <c r="M90" s="50">
        <v>24.0</v>
      </c>
      <c r="N90" s="50">
        <v>5.0</v>
      </c>
      <c r="O90" s="49">
        <v>96.3525835866261</v>
      </c>
      <c r="P90" s="51"/>
    </row>
    <row r="91" ht="15.0" customHeight="1">
      <c r="A91" s="52">
        <v>85.0</v>
      </c>
      <c r="B91" s="53" t="s">
        <v>24</v>
      </c>
      <c r="C91" s="53" t="s">
        <v>21</v>
      </c>
      <c r="D91" s="53" t="s">
        <v>44</v>
      </c>
      <c r="E91" s="53" t="s">
        <v>46</v>
      </c>
      <c r="F91" s="53" t="s">
        <v>46</v>
      </c>
      <c r="G91" s="54">
        <v>3699.0</v>
      </c>
      <c r="H91" s="54">
        <v>526.0</v>
      </c>
      <c r="I91" s="54">
        <v>73.0</v>
      </c>
      <c r="J91" s="55">
        <v>87.5502958579882</v>
      </c>
      <c r="K91" s="55">
        <f>G91+H91+I91</f>
        <v>4298</v>
      </c>
      <c r="L91" s="56">
        <v>2196.0</v>
      </c>
      <c r="M91" s="56">
        <v>94.0</v>
      </c>
      <c r="N91" s="56">
        <v>16.0</v>
      </c>
      <c r="O91" s="55">
        <v>95.8951965065502</v>
      </c>
      <c r="P91" s="57">
        <f>L91+M91+N91</f>
        <v>2306</v>
      </c>
    </row>
    <row r="92" ht="15.0" hidden="1" customHeight="1">
      <c r="A92" s="45">
        <v>86.0</v>
      </c>
      <c r="B92" s="46" t="s">
        <v>24</v>
      </c>
      <c r="C92" s="46" t="s">
        <v>21</v>
      </c>
      <c r="D92" s="46" t="s">
        <v>44</v>
      </c>
      <c r="E92" s="46" t="s">
        <v>46</v>
      </c>
      <c r="F92" s="47" t="s">
        <v>18</v>
      </c>
      <c r="G92" s="48"/>
      <c r="H92" s="48"/>
      <c r="I92" s="48"/>
      <c r="J92" s="49"/>
      <c r="K92" s="49"/>
      <c r="L92" s="50">
        <v>258.0</v>
      </c>
      <c r="M92" s="50">
        <v>8.0</v>
      </c>
      <c r="N92" s="50">
        <v>0.0</v>
      </c>
      <c r="O92" s="49">
        <v>96.9924812030075</v>
      </c>
      <c r="P92" s="51"/>
    </row>
    <row r="93" ht="15.0" hidden="1" customHeight="1">
      <c r="A93" s="45">
        <v>87.0</v>
      </c>
      <c r="B93" s="46" t="s">
        <v>24</v>
      </c>
      <c r="C93" s="46" t="s">
        <v>21</v>
      </c>
      <c r="D93" s="46" t="s">
        <v>44</v>
      </c>
      <c r="E93" s="46" t="s">
        <v>46</v>
      </c>
      <c r="F93" s="47" t="s">
        <v>19</v>
      </c>
      <c r="G93" s="48">
        <v>3699.0</v>
      </c>
      <c r="H93" s="48">
        <v>526.0</v>
      </c>
      <c r="I93" s="48">
        <v>73.0</v>
      </c>
      <c r="J93" s="49">
        <v>87.5502958579882</v>
      </c>
      <c r="K93" s="49"/>
      <c r="L93" s="50">
        <v>1938.0</v>
      </c>
      <c r="M93" s="50">
        <v>86.0</v>
      </c>
      <c r="N93" s="50">
        <v>16.0</v>
      </c>
      <c r="O93" s="49">
        <v>95.7509881422925</v>
      </c>
      <c r="P93" s="51"/>
    </row>
    <row r="94" ht="15.0" customHeight="1">
      <c r="A94" s="52">
        <v>88.0</v>
      </c>
      <c r="B94" s="53" t="s">
        <v>24</v>
      </c>
      <c r="C94" s="53" t="s">
        <v>21</v>
      </c>
      <c r="D94" s="53" t="s">
        <v>44</v>
      </c>
      <c r="E94" s="53" t="s">
        <v>47</v>
      </c>
      <c r="F94" s="53" t="s">
        <v>47</v>
      </c>
      <c r="G94" s="54">
        <v>1411.0</v>
      </c>
      <c r="H94" s="54">
        <v>356.0</v>
      </c>
      <c r="I94" s="54">
        <v>29.0</v>
      </c>
      <c r="J94" s="55">
        <v>79.8528579513299</v>
      </c>
      <c r="K94" s="55">
        <f>G94+H94+I94</f>
        <v>1796</v>
      </c>
      <c r="L94" s="56">
        <v>1310.0</v>
      </c>
      <c r="M94" s="56">
        <v>49.0</v>
      </c>
      <c r="N94" s="56">
        <v>13.0</v>
      </c>
      <c r="O94" s="55">
        <v>96.3944076526858</v>
      </c>
      <c r="P94" s="57">
        <f>L94+M94+N94</f>
        <v>1372</v>
      </c>
    </row>
    <row r="95" ht="15.0" hidden="1" customHeight="1">
      <c r="A95" s="45">
        <v>89.0</v>
      </c>
      <c r="B95" s="46" t="s">
        <v>24</v>
      </c>
      <c r="C95" s="46" t="s">
        <v>21</v>
      </c>
      <c r="D95" s="46" t="s">
        <v>44</v>
      </c>
      <c r="E95" s="46" t="s">
        <v>47</v>
      </c>
      <c r="F95" s="47" t="s">
        <v>18</v>
      </c>
      <c r="G95" s="48"/>
      <c r="H95" s="48"/>
      <c r="I95" s="48"/>
      <c r="J95" s="49"/>
      <c r="K95" s="49"/>
      <c r="L95" s="50">
        <v>210.0</v>
      </c>
      <c r="M95" s="50">
        <v>5.0</v>
      </c>
      <c r="N95" s="50">
        <v>0.0</v>
      </c>
      <c r="O95" s="49">
        <v>97.6744186046512</v>
      </c>
      <c r="P95" s="51"/>
    </row>
    <row r="96" ht="15.0" hidden="1" customHeight="1">
      <c r="A96" s="45">
        <v>90.0</v>
      </c>
      <c r="B96" s="46" t="s">
        <v>24</v>
      </c>
      <c r="C96" s="46" t="s">
        <v>21</v>
      </c>
      <c r="D96" s="46" t="s">
        <v>44</v>
      </c>
      <c r="E96" s="46" t="s">
        <v>47</v>
      </c>
      <c r="F96" s="47" t="s">
        <v>19</v>
      </c>
      <c r="G96" s="48">
        <v>1411.0</v>
      </c>
      <c r="H96" s="48">
        <v>356.0</v>
      </c>
      <c r="I96" s="48">
        <v>29.0</v>
      </c>
      <c r="J96" s="49">
        <v>79.8528579513299</v>
      </c>
      <c r="K96" s="49"/>
      <c r="L96" s="50">
        <v>1100.0</v>
      </c>
      <c r="M96" s="50">
        <v>44.0</v>
      </c>
      <c r="N96" s="50">
        <v>13.0</v>
      </c>
      <c r="O96" s="49">
        <v>96.1538461538462</v>
      </c>
      <c r="P96" s="51"/>
    </row>
    <row r="97" ht="15.0" customHeight="1">
      <c r="A97" s="52">
        <v>91.0</v>
      </c>
      <c r="B97" s="53" t="s">
        <v>24</v>
      </c>
      <c r="C97" s="53" t="s">
        <v>21</v>
      </c>
      <c r="D97" s="53" t="s">
        <v>44</v>
      </c>
      <c r="E97" s="53" t="s">
        <v>48</v>
      </c>
      <c r="F97" s="53" t="s">
        <v>48</v>
      </c>
      <c r="G97" s="54">
        <v>1892.0</v>
      </c>
      <c r="H97" s="54">
        <v>286.0</v>
      </c>
      <c r="I97" s="54">
        <v>21.0</v>
      </c>
      <c r="J97" s="55">
        <v>86.8686868686869</v>
      </c>
      <c r="K97" s="55">
        <f>G97+H97+I97</f>
        <v>2199</v>
      </c>
      <c r="L97" s="56">
        <v>1109.0</v>
      </c>
      <c r="M97" s="56">
        <v>89.0</v>
      </c>
      <c r="N97" s="56">
        <v>6.0</v>
      </c>
      <c r="O97" s="55">
        <v>92.5709515859766</v>
      </c>
      <c r="P97" s="57">
        <f>L97+M97+N97</f>
        <v>1204</v>
      </c>
    </row>
    <row r="98" ht="15.0" hidden="1" customHeight="1">
      <c r="A98" s="45">
        <v>92.0</v>
      </c>
      <c r="B98" s="46" t="s">
        <v>24</v>
      </c>
      <c r="C98" s="46" t="s">
        <v>21</v>
      </c>
      <c r="D98" s="46" t="s">
        <v>44</v>
      </c>
      <c r="E98" s="46" t="s">
        <v>48</v>
      </c>
      <c r="F98" s="47" t="s">
        <v>18</v>
      </c>
      <c r="G98" s="48">
        <v>313.0</v>
      </c>
      <c r="H98" s="48">
        <v>51.0</v>
      </c>
      <c r="I98" s="48">
        <v>6.0</v>
      </c>
      <c r="J98" s="49">
        <v>85.989010989011</v>
      </c>
      <c r="K98" s="49"/>
      <c r="L98" s="50">
        <v>202.0</v>
      </c>
      <c r="M98" s="50">
        <v>12.0</v>
      </c>
      <c r="N98" s="50">
        <v>0.0</v>
      </c>
      <c r="O98" s="49">
        <v>94.392523364486</v>
      </c>
      <c r="P98" s="51"/>
    </row>
    <row r="99" ht="15.0" hidden="1" customHeight="1">
      <c r="A99" s="45">
        <v>93.0</v>
      </c>
      <c r="B99" s="46" t="s">
        <v>24</v>
      </c>
      <c r="C99" s="46" t="s">
        <v>21</v>
      </c>
      <c r="D99" s="46" t="s">
        <v>44</v>
      </c>
      <c r="E99" s="46" t="s">
        <v>48</v>
      </c>
      <c r="F99" s="47" t="s">
        <v>19</v>
      </c>
      <c r="G99" s="48">
        <v>1579.0</v>
      </c>
      <c r="H99" s="48">
        <v>235.0</v>
      </c>
      <c r="I99" s="48">
        <v>15.0</v>
      </c>
      <c r="J99" s="49">
        <v>87.045203969129</v>
      </c>
      <c r="K99" s="49"/>
      <c r="L99" s="50">
        <v>907.0</v>
      </c>
      <c r="M99" s="50">
        <v>77.0</v>
      </c>
      <c r="N99" s="50">
        <v>6.0</v>
      </c>
      <c r="O99" s="49">
        <v>92.1747967479675</v>
      </c>
      <c r="P99" s="51"/>
    </row>
    <row r="100" ht="15.0" hidden="1" customHeight="1">
      <c r="A100" s="39">
        <v>94.0</v>
      </c>
      <c r="B100" s="40" t="s">
        <v>22</v>
      </c>
      <c r="C100" s="40" t="s">
        <v>21</v>
      </c>
      <c r="D100" s="40" t="s">
        <v>49</v>
      </c>
      <c r="E100" s="40"/>
      <c r="F100" s="40" t="s">
        <v>49</v>
      </c>
      <c r="G100" s="41">
        <v>1051.0</v>
      </c>
      <c r="H100" s="41">
        <v>89.0</v>
      </c>
      <c r="I100" s="41">
        <v>26.0</v>
      </c>
      <c r="J100" s="42">
        <v>92.1929824561403</v>
      </c>
      <c r="K100" s="42"/>
      <c r="L100" s="43">
        <v>541.0</v>
      </c>
      <c r="M100" s="43">
        <v>10.0</v>
      </c>
      <c r="N100" s="43">
        <v>5.0</v>
      </c>
      <c r="O100" s="42">
        <v>98.1851179673321</v>
      </c>
      <c r="P100" s="44"/>
    </row>
    <row r="101" ht="15.0" hidden="1" customHeight="1">
      <c r="A101" s="45">
        <v>95.0</v>
      </c>
      <c r="B101" s="46" t="s">
        <v>22</v>
      </c>
      <c r="C101" s="46" t="s">
        <v>21</v>
      </c>
      <c r="D101" s="46" t="s">
        <v>49</v>
      </c>
      <c r="E101" s="46"/>
      <c r="F101" s="47" t="s">
        <v>18</v>
      </c>
      <c r="G101" s="48">
        <v>335.0</v>
      </c>
      <c r="H101" s="48">
        <v>8.0</v>
      </c>
      <c r="I101" s="48">
        <v>8.0</v>
      </c>
      <c r="J101" s="49">
        <v>97.667638483965</v>
      </c>
      <c r="K101" s="49"/>
      <c r="L101" s="50">
        <v>196.0</v>
      </c>
      <c r="M101" s="50">
        <v>1.0</v>
      </c>
      <c r="N101" s="50">
        <v>3.0</v>
      </c>
      <c r="O101" s="49">
        <v>99.492385786802</v>
      </c>
      <c r="P101" s="51"/>
    </row>
    <row r="102" ht="15.0" hidden="1" customHeight="1">
      <c r="A102" s="45">
        <v>96.0</v>
      </c>
      <c r="B102" s="46" t="s">
        <v>22</v>
      </c>
      <c r="C102" s="46" t="s">
        <v>21</v>
      </c>
      <c r="D102" s="46" t="s">
        <v>49</v>
      </c>
      <c r="E102" s="46"/>
      <c r="F102" s="47" t="s">
        <v>19</v>
      </c>
      <c r="G102" s="48">
        <v>716.0</v>
      </c>
      <c r="H102" s="48">
        <v>81.0</v>
      </c>
      <c r="I102" s="48">
        <v>18.0</v>
      </c>
      <c r="J102" s="49">
        <v>89.8368883312422</v>
      </c>
      <c r="K102" s="49"/>
      <c r="L102" s="50">
        <v>345.0</v>
      </c>
      <c r="M102" s="50">
        <v>9.0</v>
      </c>
      <c r="N102" s="50">
        <v>2.0</v>
      </c>
      <c r="O102" s="49">
        <v>97.4576271186441</v>
      </c>
      <c r="P102" s="51"/>
    </row>
    <row r="103" ht="15.0" customHeight="1">
      <c r="A103" s="52">
        <v>97.0</v>
      </c>
      <c r="B103" s="53" t="s">
        <v>24</v>
      </c>
      <c r="C103" s="53" t="s">
        <v>21</v>
      </c>
      <c r="D103" s="53" t="s">
        <v>49</v>
      </c>
      <c r="E103" s="53" t="s">
        <v>50</v>
      </c>
      <c r="F103" s="53" t="s">
        <v>50</v>
      </c>
      <c r="G103" s="54">
        <v>1051.0</v>
      </c>
      <c r="H103" s="54">
        <v>89.0</v>
      </c>
      <c r="I103" s="54">
        <v>26.0</v>
      </c>
      <c r="J103" s="55">
        <v>92.1929824561403</v>
      </c>
      <c r="K103" s="55">
        <f>G103+H103+I103</f>
        <v>1166</v>
      </c>
      <c r="L103" s="56">
        <v>541.0</v>
      </c>
      <c r="M103" s="56">
        <v>10.0</v>
      </c>
      <c r="N103" s="56">
        <v>5.0</v>
      </c>
      <c r="O103" s="55">
        <v>98.1851179673321</v>
      </c>
      <c r="P103" s="57">
        <f>L103+M103+N103</f>
        <v>556</v>
      </c>
    </row>
    <row r="104" ht="15.0" hidden="1" customHeight="1">
      <c r="A104" s="45">
        <v>98.0</v>
      </c>
      <c r="B104" s="46" t="s">
        <v>24</v>
      </c>
      <c r="C104" s="46" t="s">
        <v>21</v>
      </c>
      <c r="D104" s="46" t="s">
        <v>49</v>
      </c>
      <c r="E104" s="46" t="s">
        <v>50</v>
      </c>
      <c r="F104" s="47" t="s">
        <v>18</v>
      </c>
      <c r="G104" s="48">
        <v>335.0</v>
      </c>
      <c r="H104" s="48">
        <v>8.0</v>
      </c>
      <c r="I104" s="48">
        <v>8.0</v>
      </c>
      <c r="J104" s="49">
        <v>97.667638483965</v>
      </c>
      <c r="K104" s="49"/>
      <c r="L104" s="50">
        <v>196.0</v>
      </c>
      <c r="M104" s="50">
        <v>1.0</v>
      </c>
      <c r="N104" s="50">
        <v>3.0</v>
      </c>
      <c r="O104" s="49">
        <v>99.492385786802</v>
      </c>
      <c r="P104" s="51"/>
    </row>
    <row r="105" ht="15.0" hidden="1" customHeight="1">
      <c r="A105" s="45">
        <v>99.0</v>
      </c>
      <c r="B105" s="46" t="s">
        <v>24</v>
      </c>
      <c r="C105" s="46" t="s">
        <v>21</v>
      </c>
      <c r="D105" s="46" t="s">
        <v>49</v>
      </c>
      <c r="E105" s="46" t="s">
        <v>50</v>
      </c>
      <c r="F105" s="47" t="s">
        <v>19</v>
      </c>
      <c r="G105" s="48">
        <v>716.0</v>
      </c>
      <c r="H105" s="48">
        <v>81.0</v>
      </c>
      <c r="I105" s="48">
        <v>18.0</v>
      </c>
      <c r="J105" s="49">
        <v>89.8368883312422</v>
      </c>
      <c r="K105" s="49"/>
      <c r="L105" s="50">
        <v>345.0</v>
      </c>
      <c r="M105" s="50">
        <v>9.0</v>
      </c>
      <c r="N105" s="50">
        <v>2.0</v>
      </c>
      <c r="O105" s="49">
        <v>97.4576271186441</v>
      </c>
      <c r="P105" s="51"/>
    </row>
    <row r="106" ht="15.0" hidden="1" customHeight="1">
      <c r="A106" s="39">
        <v>100.0</v>
      </c>
      <c r="B106" s="40" t="s">
        <v>22</v>
      </c>
      <c r="C106" s="40" t="s">
        <v>21</v>
      </c>
      <c r="D106" s="40" t="s">
        <v>51</v>
      </c>
      <c r="E106" s="40"/>
      <c r="F106" s="40" t="s">
        <v>51</v>
      </c>
      <c r="G106" s="41">
        <v>2556.0</v>
      </c>
      <c r="H106" s="41">
        <v>368.0</v>
      </c>
      <c r="I106" s="41">
        <v>34.0</v>
      </c>
      <c r="J106" s="42">
        <v>87.4145006839945</v>
      </c>
      <c r="K106" s="42"/>
      <c r="L106" s="43">
        <v>1874.0</v>
      </c>
      <c r="M106" s="43">
        <v>83.0</v>
      </c>
      <c r="N106" s="43">
        <v>7.0</v>
      </c>
      <c r="O106" s="42">
        <v>95.7588145120082</v>
      </c>
      <c r="P106" s="44"/>
    </row>
    <row r="107" ht="15.0" hidden="1" customHeight="1">
      <c r="A107" s="45">
        <v>101.0</v>
      </c>
      <c r="B107" s="46" t="s">
        <v>22</v>
      </c>
      <c r="C107" s="46" t="s">
        <v>21</v>
      </c>
      <c r="D107" s="46" t="s">
        <v>51</v>
      </c>
      <c r="E107" s="46"/>
      <c r="F107" s="47" t="s">
        <v>18</v>
      </c>
      <c r="G107" s="48">
        <v>271.0</v>
      </c>
      <c r="H107" s="48">
        <v>38.0</v>
      </c>
      <c r="I107" s="48">
        <v>2.0</v>
      </c>
      <c r="J107" s="49">
        <v>87.7022653721683</v>
      </c>
      <c r="K107" s="49"/>
      <c r="L107" s="50">
        <v>424.0</v>
      </c>
      <c r="M107" s="50">
        <v>16.0</v>
      </c>
      <c r="N107" s="50">
        <v>0.0</v>
      </c>
      <c r="O107" s="49">
        <v>96.3636363636364</v>
      </c>
      <c r="P107" s="51"/>
    </row>
    <row r="108" ht="15.0" hidden="1" customHeight="1">
      <c r="A108" s="45">
        <v>102.0</v>
      </c>
      <c r="B108" s="46" t="s">
        <v>22</v>
      </c>
      <c r="C108" s="46" t="s">
        <v>21</v>
      </c>
      <c r="D108" s="46" t="s">
        <v>51</v>
      </c>
      <c r="E108" s="46"/>
      <c r="F108" s="47" t="s">
        <v>19</v>
      </c>
      <c r="G108" s="48">
        <v>2285.0</v>
      </c>
      <c r="H108" s="48">
        <v>330.0</v>
      </c>
      <c r="I108" s="48">
        <v>32.0</v>
      </c>
      <c r="J108" s="49">
        <v>87.3804971319312</v>
      </c>
      <c r="K108" s="49"/>
      <c r="L108" s="50">
        <v>1450.0</v>
      </c>
      <c r="M108" s="50">
        <v>67.0</v>
      </c>
      <c r="N108" s="50">
        <v>7.0</v>
      </c>
      <c r="O108" s="49">
        <v>95.5833882663151</v>
      </c>
      <c r="P108" s="51"/>
    </row>
    <row r="109" ht="15.0" customHeight="1">
      <c r="A109" s="52">
        <v>103.0</v>
      </c>
      <c r="B109" s="53" t="s">
        <v>24</v>
      </c>
      <c r="C109" s="53" t="s">
        <v>21</v>
      </c>
      <c r="D109" s="53" t="s">
        <v>51</v>
      </c>
      <c r="E109" s="53" t="s">
        <v>52</v>
      </c>
      <c r="F109" s="53" t="s">
        <v>52</v>
      </c>
      <c r="G109" s="54">
        <v>372.0</v>
      </c>
      <c r="H109" s="54">
        <v>22.0</v>
      </c>
      <c r="I109" s="54">
        <v>2.0</v>
      </c>
      <c r="J109" s="55">
        <v>94.4162436548223</v>
      </c>
      <c r="K109" s="55">
        <f>G109+H109+I109</f>
        <v>396</v>
      </c>
      <c r="L109" s="56">
        <v>337.0</v>
      </c>
      <c r="M109" s="56">
        <v>20.0</v>
      </c>
      <c r="N109" s="56">
        <v>0.0</v>
      </c>
      <c r="O109" s="55">
        <v>94.3977591036414</v>
      </c>
      <c r="P109" s="57">
        <f>L109+M109+N109</f>
        <v>357</v>
      </c>
    </row>
    <row r="110" ht="15.0" hidden="1" customHeight="1">
      <c r="A110" s="45">
        <v>104.0</v>
      </c>
      <c r="B110" s="46" t="s">
        <v>24</v>
      </c>
      <c r="C110" s="46" t="s">
        <v>21</v>
      </c>
      <c r="D110" s="46" t="s">
        <v>51</v>
      </c>
      <c r="E110" s="46" t="s">
        <v>52</v>
      </c>
      <c r="F110" s="47" t="s">
        <v>18</v>
      </c>
      <c r="G110" s="48"/>
      <c r="H110" s="48"/>
      <c r="I110" s="48"/>
      <c r="J110" s="49"/>
      <c r="K110" s="49"/>
      <c r="L110" s="50">
        <v>151.0</v>
      </c>
      <c r="M110" s="50">
        <v>7.0</v>
      </c>
      <c r="N110" s="50">
        <v>0.0</v>
      </c>
      <c r="O110" s="49">
        <v>95.5696202531646</v>
      </c>
      <c r="P110" s="51"/>
    </row>
    <row r="111" ht="15.0" hidden="1" customHeight="1">
      <c r="A111" s="45">
        <v>105.0</v>
      </c>
      <c r="B111" s="46" t="s">
        <v>24</v>
      </c>
      <c r="C111" s="46" t="s">
        <v>21</v>
      </c>
      <c r="D111" s="46" t="s">
        <v>51</v>
      </c>
      <c r="E111" s="46" t="s">
        <v>52</v>
      </c>
      <c r="F111" s="47" t="s">
        <v>19</v>
      </c>
      <c r="G111" s="48">
        <v>372.0</v>
      </c>
      <c r="H111" s="48">
        <v>22.0</v>
      </c>
      <c r="I111" s="48">
        <v>2.0</v>
      </c>
      <c r="J111" s="49">
        <v>94.4162436548223</v>
      </c>
      <c r="K111" s="49"/>
      <c r="L111" s="50">
        <v>186.0</v>
      </c>
      <c r="M111" s="50">
        <v>13.0</v>
      </c>
      <c r="N111" s="50">
        <v>0.0</v>
      </c>
      <c r="O111" s="49">
        <v>93.4673366834171</v>
      </c>
      <c r="P111" s="51"/>
    </row>
    <row r="112" ht="15.0" customHeight="1">
      <c r="A112" s="52">
        <v>106.0</v>
      </c>
      <c r="B112" s="53" t="s">
        <v>24</v>
      </c>
      <c r="C112" s="53" t="s">
        <v>21</v>
      </c>
      <c r="D112" s="53" t="s">
        <v>51</v>
      </c>
      <c r="E112" s="53" t="s">
        <v>53</v>
      </c>
      <c r="F112" s="53" t="s">
        <v>53</v>
      </c>
      <c r="G112" s="54">
        <v>1831.0</v>
      </c>
      <c r="H112" s="54">
        <v>315.0</v>
      </c>
      <c r="I112" s="54">
        <v>28.0</v>
      </c>
      <c r="J112" s="55">
        <v>85.3215284249767</v>
      </c>
      <c r="K112" s="55">
        <f>G112+H112+I112</f>
        <v>2174</v>
      </c>
      <c r="L112" s="56">
        <v>1235.0</v>
      </c>
      <c r="M112" s="56">
        <v>59.0</v>
      </c>
      <c r="N112" s="56">
        <v>4.0</v>
      </c>
      <c r="O112" s="55">
        <v>95.4404945904173</v>
      </c>
      <c r="P112" s="57">
        <f>L112+M112+N112</f>
        <v>1298</v>
      </c>
    </row>
    <row r="113" ht="15.0" hidden="1" customHeight="1">
      <c r="A113" s="45">
        <v>107.0</v>
      </c>
      <c r="B113" s="46" t="s">
        <v>24</v>
      </c>
      <c r="C113" s="46" t="s">
        <v>21</v>
      </c>
      <c r="D113" s="46" t="s">
        <v>51</v>
      </c>
      <c r="E113" s="46" t="s">
        <v>53</v>
      </c>
      <c r="F113" s="47" t="s">
        <v>18</v>
      </c>
      <c r="G113" s="48">
        <v>271.0</v>
      </c>
      <c r="H113" s="48">
        <v>38.0</v>
      </c>
      <c r="I113" s="48">
        <v>2.0</v>
      </c>
      <c r="J113" s="49">
        <v>87.7022653721683</v>
      </c>
      <c r="K113" s="49"/>
      <c r="L113" s="50">
        <v>273.0</v>
      </c>
      <c r="M113" s="50">
        <v>9.0</v>
      </c>
      <c r="N113" s="50">
        <v>0.0</v>
      </c>
      <c r="O113" s="49">
        <v>96.8085106382979</v>
      </c>
      <c r="P113" s="51"/>
    </row>
    <row r="114" ht="15.0" hidden="1" customHeight="1">
      <c r="A114" s="45">
        <v>108.0</v>
      </c>
      <c r="B114" s="46" t="s">
        <v>24</v>
      </c>
      <c r="C114" s="46" t="s">
        <v>21</v>
      </c>
      <c r="D114" s="46" t="s">
        <v>51</v>
      </c>
      <c r="E114" s="46" t="s">
        <v>53</v>
      </c>
      <c r="F114" s="47" t="s">
        <v>19</v>
      </c>
      <c r="G114" s="48">
        <v>1560.0</v>
      </c>
      <c r="H114" s="48">
        <v>277.0</v>
      </c>
      <c r="I114" s="48">
        <v>26.0</v>
      </c>
      <c r="J114" s="49">
        <v>84.9210669569951</v>
      </c>
      <c r="K114" s="49"/>
      <c r="L114" s="50">
        <v>962.0</v>
      </c>
      <c r="M114" s="50">
        <v>50.0</v>
      </c>
      <c r="N114" s="50">
        <v>4.0</v>
      </c>
      <c r="O114" s="49">
        <v>95.0592885375494</v>
      </c>
      <c r="P114" s="51"/>
    </row>
    <row r="115" ht="15.0" customHeight="1">
      <c r="A115" s="52">
        <v>109.0</v>
      </c>
      <c r="B115" s="53" t="s">
        <v>24</v>
      </c>
      <c r="C115" s="53" t="s">
        <v>21</v>
      </c>
      <c r="D115" s="53" t="s">
        <v>51</v>
      </c>
      <c r="E115" s="53" t="s">
        <v>54</v>
      </c>
      <c r="F115" s="53" t="s">
        <v>54</v>
      </c>
      <c r="G115" s="54">
        <v>353.0</v>
      </c>
      <c r="H115" s="54">
        <v>31.0</v>
      </c>
      <c r="I115" s="54">
        <v>4.0</v>
      </c>
      <c r="J115" s="55">
        <v>91.9270833333333</v>
      </c>
      <c r="K115" s="55">
        <f>G115+H115+I115</f>
        <v>388</v>
      </c>
      <c r="L115" s="56">
        <v>302.0</v>
      </c>
      <c r="M115" s="56">
        <v>4.0</v>
      </c>
      <c r="N115" s="56">
        <v>3.0</v>
      </c>
      <c r="O115" s="55">
        <v>98.6928104575163</v>
      </c>
      <c r="P115" s="57">
        <f>L115+M115+N115</f>
        <v>309</v>
      </c>
    </row>
    <row r="116" ht="15.0" hidden="1" customHeight="1">
      <c r="A116" s="45">
        <v>110.0</v>
      </c>
      <c r="B116" s="46" t="s">
        <v>24</v>
      </c>
      <c r="C116" s="46" t="s">
        <v>21</v>
      </c>
      <c r="D116" s="46" t="s">
        <v>51</v>
      </c>
      <c r="E116" s="46" t="s">
        <v>54</v>
      </c>
      <c r="F116" s="47" t="s">
        <v>18</v>
      </c>
      <c r="G116" s="48"/>
      <c r="H116" s="48"/>
      <c r="I116" s="48"/>
      <c r="J116" s="49"/>
      <c r="K116" s="49"/>
      <c r="L116" s="50"/>
      <c r="M116" s="50"/>
      <c r="N116" s="50"/>
      <c r="O116" s="49"/>
      <c r="P116" s="51"/>
    </row>
    <row r="117" ht="15.0" hidden="1" customHeight="1">
      <c r="A117" s="45">
        <v>111.0</v>
      </c>
      <c r="B117" s="46" t="s">
        <v>24</v>
      </c>
      <c r="C117" s="46" t="s">
        <v>21</v>
      </c>
      <c r="D117" s="46" t="s">
        <v>51</v>
      </c>
      <c r="E117" s="46" t="s">
        <v>54</v>
      </c>
      <c r="F117" s="47" t="s">
        <v>19</v>
      </c>
      <c r="G117" s="48">
        <v>353.0</v>
      </c>
      <c r="H117" s="48">
        <v>31.0</v>
      </c>
      <c r="I117" s="48">
        <v>4.0</v>
      </c>
      <c r="J117" s="49">
        <v>91.9270833333333</v>
      </c>
      <c r="K117" s="49"/>
      <c r="L117" s="50">
        <v>302.0</v>
      </c>
      <c r="M117" s="50">
        <v>4.0</v>
      </c>
      <c r="N117" s="50">
        <v>3.0</v>
      </c>
      <c r="O117" s="49">
        <v>98.6928104575163</v>
      </c>
      <c r="P117" s="51"/>
    </row>
    <row r="118" ht="15.0" hidden="1" customHeight="1">
      <c r="A118" s="39">
        <v>112.0</v>
      </c>
      <c r="B118" s="40" t="s">
        <v>22</v>
      </c>
      <c r="C118" s="40" t="s">
        <v>21</v>
      </c>
      <c r="D118" s="40" t="s">
        <v>55</v>
      </c>
      <c r="E118" s="40"/>
      <c r="F118" s="40" t="s">
        <v>55</v>
      </c>
      <c r="G118" s="41">
        <v>1984.0</v>
      </c>
      <c r="H118" s="41">
        <v>223.0</v>
      </c>
      <c r="I118" s="41">
        <v>26.0</v>
      </c>
      <c r="J118" s="42">
        <v>89.8957861350249</v>
      </c>
      <c r="K118" s="42"/>
      <c r="L118" s="43">
        <v>1456.0</v>
      </c>
      <c r="M118" s="43">
        <v>86.0</v>
      </c>
      <c r="N118" s="43">
        <v>10.0</v>
      </c>
      <c r="O118" s="42">
        <v>94.4228274967574</v>
      </c>
      <c r="P118" s="44"/>
    </row>
    <row r="119" ht="15.0" hidden="1" customHeight="1">
      <c r="A119" s="45">
        <v>113.0</v>
      </c>
      <c r="B119" s="46" t="s">
        <v>22</v>
      </c>
      <c r="C119" s="46" t="s">
        <v>21</v>
      </c>
      <c r="D119" s="46" t="s">
        <v>55</v>
      </c>
      <c r="E119" s="46"/>
      <c r="F119" s="47" t="s">
        <v>18</v>
      </c>
      <c r="G119" s="48">
        <v>310.0</v>
      </c>
      <c r="H119" s="48">
        <v>27.0</v>
      </c>
      <c r="I119" s="48">
        <v>2.0</v>
      </c>
      <c r="J119" s="49">
        <v>91.9881305637982</v>
      </c>
      <c r="K119" s="49"/>
      <c r="L119" s="50">
        <v>240.0</v>
      </c>
      <c r="M119" s="50">
        <v>5.0</v>
      </c>
      <c r="N119" s="50">
        <v>0.0</v>
      </c>
      <c r="O119" s="49">
        <v>97.9591836734694</v>
      </c>
      <c r="P119" s="51"/>
    </row>
    <row r="120" ht="15.0" hidden="1" customHeight="1">
      <c r="A120" s="45">
        <v>114.0</v>
      </c>
      <c r="B120" s="46" t="s">
        <v>22</v>
      </c>
      <c r="C120" s="46" t="s">
        <v>21</v>
      </c>
      <c r="D120" s="46" t="s">
        <v>55</v>
      </c>
      <c r="E120" s="46"/>
      <c r="F120" s="47" t="s">
        <v>19</v>
      </c>
      <c r="G120" s="48">
        <v>1674.0</v>
      </c>
      <c r="H120" s="48">
        <v>196.0</v>
      </c>
      <c r="I120" s="48">
        <v>24.0</v>
      </c>
      <c r="J120" s="49">
        <v>89.5187165775401</v>
      </c>
      <c r="K120" s="49"/>
      <c r="L120" s="50">
        <v>1216.0</v>
      </c>
      <c r="M120" s="50">
        <v>81.0</v>
      </c>
      <c r="N120" s="50">
        <v>10.0</v>
      </c>
      <c r="O120" s="49">
        <v>93.7548188126446</v>
      </c>
      <c r="P120" s="51"/>
    </row>
    <row r="121" ht="15.0" customHeight="1">
      <c r="A121" s="52">
        <v>115.0</v>
      </c>
      <c r="B121" s="53" t="s">
        <v>24</v>
      </c>
      <c r="C121" s="53" t="s">
        <v>21</v>
      </c>
      <c r="D121" s="53" t="s">
        <v>55</v>
      </c>
      <c r="E121" s="53" t="s">
        <v>56</v>
      </c>
      <c r="F121" s="53" t="s">
        <v>56</v>
      </c>
      <c r="G121" s="54">
        <v>948.0</v>
      </c>
      <c r="H121" s="54">
        <v>126.0</v>
      </c>
      <c r="I121" s="54">
        <v>17.0</v>
      </c>
      <c r="J121" s="55">
        <v>88.268156424581</v>
      </c>
      <c r="K121" s="55">
        <f>G121+H121+I121</f>
        <v>1091</v>
      </c>
      <c r="L121" s="56">
        <v>789.0</v>
      </c>
      <c r="M121" s="56">
        <v>23.0</v>
      </c>
      <c r="N121" s="56">
        <v>4.0</v>
      </c>
      <c r="O121" s="55">
        <v>97.1674876847291</v>
      </c>
      <c r="P121" s="57">
        <f>L121+M121+N121</f>
        <v>816</v>
      </c>
    </row>
    <row r="122" ht="15.0" hidden="1" customHeight="1">
      <c r="A122" s="45">
        <v>116.0</v>
      </c>
      <c r="B122" s="46" t="s">
        <v>24</v>
      </c>
      <c r="C122" s="46" t="s">
        <v>21</v>
      </c>
      <c r="D122" s="46" t="s">
        <v>55</v>
      </c>
      <c r="E122" s="46" t="s">
        <v>56</v>
      </c>
      <c r="F122" s="47" t="s">
        <v>18</v>
      </c>
      <c r="G122" s="48">
        <v>310.0</v>
      </c>
      <c r="H122" s="48">
        <v>27.0</v>
      </c>
      <c r="I122" s="48">
        <v>2.0</v>
      </c>
      <c r="J122" s="49">
        <v>91.9881305637982</v>
      </c>
      <c r="K122" s="49"/>
      <c r="L122" s="50">
        <v>240.0</v>
      </c>
      <c r="M122" s="50">
        <v>5.0</v>
      </c>
      <c r="N122" s="50">
        <v>0.0</v>
      </c>
      <c r="O122" s="49">
        <v>97.9591836734694</v>
      </c>
      <c r="P122" s="51"/>
    </row>
    <row r="123" ht="15.0" hidden="1" customHeight="1">
      <c r="A123" s="45">
        <v>117.0</v>
      </c>
      <c r="B123" s="46" t="s">
        <v>24</v>
      </c>
      <c r="C123" s="46" t="s">
        <v>21</v>
      </c>
      <c r="D123" s="46" t="s">
        <v>55</v>
      </c>
      <c r="E123" s="46" t="s">
        <v>56</v>
      </c>
      <c r="F123" s="47" t="s">
        <v>19</v>
      </c>
      <c r="G123" s="48">
        <v>638.0</v>
      </c>
      <c r="H123" s="48">
        <v>99.0</v>
      </c>
      <c r="I123" s="48">
        <v>15.0</v>
      </c>
      <c r="J123" s="49">
        <v>86.5671641791045</v>
      </c>
      <c r="K123" s="49"/>
      <c r="L123" s="50">
        <v>549.0</v>
      </c>
      <c r="M123" s="50">
        <v>18.0</v>
      </c>
      <c r="N123" s="50">
        <v>4.0</v>
      </c>
      <c r="O123" s="49">
        <v>96.8253968253968</v>
      </c>
      <c r="P123" s="51"/>
    </row>
    <row r="124" ht="15.0" customHeight="1">
      <c r="A124" s="52">
        <v>118.0</v>
      </c>
      <c r="B124" s="53" t="s">
        <v>24</v>
      </c>
      <c r="C124" s="53" t="s">
        <v>21</v>
      </c>
      <c r="D124" s="53" t="s">
        <v>55</v>
      </c>
      <c r="E124" s="53" t="s">
        <v>57</v>
      </c>
      <c r="F124" s="53" t="s">
        <v>57</v>
      </c>
      <c r="G124" s="54">
        <v>270.0</v>
      </c>
      <c r="H124" s="54">
        <v>34.0</v>
      </c>
      <c r="I124" s="54">
        <v>1.0</v>
      </c>
      <c r="J124" s="55">
        <v>88.8157894736842</v>
      </c>
      <c r="K124" s="55">
        <f>G124+H124+I124</f>
        <v>305</v>
      </c>
      <c r="L124" s="56">
        <v>201.0</v>
      </c>
      <c r="M124" s="56">
        <v>8.0</v>
      </c>
      <c r="N124" s="56">
        <v>0.0</v>
      </c>
      <c r="O124" s="55">
        <v>96.1722488038278</v>
      </c>
      <c r="P124" s="57">
        <f>L124+M124+N124</f>
        <v>209</v>
      </c>
    </row>
    <row r="125" ht="15.0" hidden="1" customHeight="1">
      <c r="A125" s="45">
        <v>119.0</v>
      </c>
      <c r="B125" s="46" t="s">
        <v>24</v>
      </c>
      <c r="C125" s="46" t="s">
        <v>21</v>
      </c>
      <c r="D125" s="46" t="s">
        <v>55</v>
      </c>
      <c r="E125" s="46" t="s">
        <v>57</v>
      </c>
      <c r="F125" s="47" t="s">
        <v>18</v>
      </c>
      <c r="G125" s="48"/>
      <c r="H125" s="48"/>
      <c r="I125" s="48"/>
      <c r="J125" s="49"/>
      <c r="K125" s="49"/>
      <c r="L125" s="50"/>
      <c r="M125" s="50"/>
      <c r="N125" s="50"/>
      <c r="O125" s="49"/>
      <c r="P125" s="51"/>
    </row>
    <row r="126" ht="15.0" hidden="1" customHeight="1">
      <c r="A126" s="45">
        <v>120.0</v>
      </c>
      <c r="B126" s="46" t="s">
        <v>24</v>
      </c>
      <c r="C126" s="46" t="s">
        <v>21</v>
      </c>
      <c r="D126" s="46" t="s">
        <v>55</v>
      </c>
      <c r="E126" s="46" t="s">
        <v>57</v>
      </c>
      <c r="F126" s="47" t="s">
        <v>19</v>
      </c>
      <c r="G126" s="48">
        <v>270.0</v>
      </c>
      <c r="H126" s="48">
        <v>34.0</v>
      </c>
      <c r="I126" s="48">
        <v>1.0</v>
      </c>
      <c r="J126" s="49">
        <v>88.8157894736842</v>
      </c>
      <c r="K126" s="49"/>
      <c r="L126" s="50">
        <v>201.0</v>
      </c>
      <c r="M126" s="50">
        <v>8.0</v>
      </c>
      <c r="N126" s="50">
        <v>0.0</v>
      </c>
      <c r="O126" s="49">
        <v>96.1722488038278</v>
      </c>
      <c r="P126" s="51"/>
    </row>
    <row r="127" ht="15.0" customHeight="1">
      <c r="A127" s="52">
        <v>121.0</v>
      </c>
      <c r="B127" s="53" t="s">
        <v>24</v>
      </c>
      <c r="C127" s="53" t="s">
        <v>21</v>
      </c>
      <c r="D127" s="53" t="s">
        <v>55</v>
      </c>
      <c r="E127" s="53" t="s">
        <v>58</v>
      </c>
      <c r="F127" s="53" t="s">
        <v>58</v>
      </c>
      <c r="G127" s="54">
        <v>766.0</v>
      </c>
      <c r="H127" s="54">
        <v>63.0</v>
      </c>
      <c r="I127" s="54">
        <v>8.0</v>
      </c>
      <c r="J127" s="55">
        <v>92.400482509047</v>
      </c>
      <c r="K127" s="55">
        <f>G127+H127+I127</f>
        <v>837</v>
      </c>
      <c r="L127" s="56">
        <v>466.0</v>
      </c>
      <c r="M127" s="56">
        <v>55.0</v>
      </c>
      <c r="N127" s="56">
        <v>6.0</v>
      </c>
      <c r="O127" s="55">
        <v>89.4433781190019</v>
      </c>
      <c r="P127" s="57">
        <f>L127+M127+N127</f>
        <v>527</v>
      </c>
    </row>
    <row r="128" ht="15.0" hidden="1" customHeight="1">
      <c r="A128" s="45">
        <v>122.0</v>
      </c>
      <c r="B128" s="46" t="s">
        <v>24</v>
      </c>
      <c r="C128" s="46" t="s">
        <v>21</v>
      </c>
      <c r="D128" s="46" t="s">
        <v>55</v>
      </c>
      <c r="E128" s="46" t="s">
        <v>58</v>
      </c>
      <c r="F128" s="47" t="s">
        <v>18</v>
      </c>
      <c r="G128" s="48"/>
      <c r="H128" s="48"/>
      <c r="I128" s="48"/>
      <c r="J128" s="49"/>
      <c r="K128" s="49"/>
      <c r="L128" s="50"/>
      <c r="M128" s="50"/>
      <c r="N128" s="50"/>
      <c r="O128" s="49"/>
      <c r="P128" s="51"/>
    </row>
    <row r="129" ht="15.0" hidden="1" customHeight="1">
      <c r="A129" s="45">
        <v>123.0</v>
      </c>
      <c r="B129" s="46" t="s">
        <v>24</v>
      </c>
      <c r="C129" s="46" t="s">
        <v>21</v>
      </c>
      <c r="D129" s="46" t="s">
        <v>55</v>
      </c>
      <c r="E129" s="46" t="s">
        <v>58</v>
      </c>
      <c r="F129" s="47" t="s">
        <v>19</v>
      </c>
      <c r="G129" s="48">
        <v>766.0</v>
      </c>
      <c r="H129" s="48">
        <v>63.0</v>
      </c>
      <c r="I129" s="48">
        <v>8.0</v>
      </c>
      <c r="J129" s="49">
        <v>92.400482509047</v>
      </c>
      <c r="K129" s="49"/>
      <c r="L129" s="50">
        <v>466.0</v>
      </c>
      <c r="M129" s="50">
        <v>55.0</v>
      </c>
      <c r="N129" s="50">
        <v>6.0</v>
      </c>
      <c r="O129" s="49">
        <v>89.4433781190019</v>
      </c>
      <c r="P129" s="51"/>
    </row>
    <row r="130" ht="15.0" hidden="1" customHeight="1">
      <c r="A130" s="27">
        <v>124.0</v>
      </c>
      <c r="B130" s="28" t="s">
        <v>20</v>
      </c>
      <c r="C130" s="28" t="s">
        <v>59</v>
      </c>
      <c r="D130" s="28"/>
      <c r="E130" s="28"/>
      <c r="F130" s="28" t="s">
        <v>59</v>
      </c>
      <c r="G130" s="29">
        <v>241372.0</v>
      </c>
      <c r="H130" s="29">
        <v>19160.0</v>
      </c>
      <c r="I130" s="29">
        <v>1971.0</v>
      </c>
      <c r="J130" s="30">
        <v>92.6458170205579</v>
      </c>
      <c r="K130" s="30">
        <f>G130+H130+I130</f>
        <v>262503</v>
      </c>
      <c r="L130" s="31">
        <v>196901.0</v>
      </c>
      <c r="M130" s="31">
        <v>5496.0</v>
      </c>
      <c r="N130" s="31">
        <v>1437.0</v>
      </c>
      <c r="O130" s="30">
        <v>97.2845447313942</v>
      </c>
      <c r="P130" s="32">
        <f>L130+M130+N130</f>
        <v>203834</v>
      </c>
    </row>
    <row r="131" ht="15.0" hidden="1" customHeight="1">
      <c r="A131" s="33">
        <v>125.0</v>
      </c>
      <c r="B131" s="34" t="s">
        <v>20</v>
      </c>
      <c r="C131" s="58" t="s">
        <v>59</v>
      </c>
      <c r="D131" s="58"/>
      <c r="E131" s="58"/>
      <c r="F131" s="34" t="s">
        <v>18</v>
      </c>
      <c r="G131" s="35">
        <v>165452.0</v>
      </c>
      <c r="H131" s="35">
        <v>10482.0</v>
      </c>
      <c r="I131" s="35">
        <v>1191.0</v>
      </c>
      <c r="J131" s="36">
        <v>94.0420839633044</v>
      </c>
      <c r="K131" s="36"/>
      <c r="L131" s="37">
        <v>123356.0</v>
      </c>
      <c r="M131" s="37">
        <v>2635.0</v>
      </c>
      <c r="N131" s="37">
        <v>605.0</v>
      </c>
      <c r="O131" s="36">
        <v>97.9085807716424</v>
      </c>
      <c r="P131" s="38"/>
    </row>
    <row r="132" ht="15.0" hidden="1" customHeight="1">
      <c r="A132" s="33">
        <v>126.0</v>
      </c>
      <c r="B132" s="34" t="s">
        <v>20</v>
      </c>
      <c r="C132" s="58" t="s">
        <v>59</v>
      </c>
      <c r="D132" s="58"/>
      <c r="E132" s="58"/>
      <c r="F132" s="34" t="s">
        <v>19</v>
      </c>
      <c r="G132" s="35">
        <v>75920.0</v>
      </c>
      <c r="H132" s="35">
        <v>8678.0</v>
      </c>
      <c r="I132" s="35">
        <v>780.0</v>
      </c>
      <c r="J132" s="36">
        <v>89.7420742807159</v>
      </c>
      <c r="K132" s="36"/>
      <c r="L132" s="37">
        <v>73545.0</v>
      </c>
      <c r="M132" s="37">
        <v>2861.0</v>
      </c>
      <c r="N132" s="37">
        <v>832.0</v>
      </c>
      <c r="O132" s="36">
        <v>96.2555296704447</v>
      </c>
      <c r="P132" s="38"/>
    </row>
    <row r="133" ht="15.0" hidden="1" customHeight="1">
      <c r="A133" s="39">
        <v>127.0</v>
      </c>
      <c r="B133" s="40" t="s">
        <v>22</v>
      </c>
      <c r="C133" s="59" t="s">
        <v>59</v>
      </c>
      <c r="D133" s="59" t="s">
        <v>60</v>
      </c>
      <c r="E133" s="59"/>
      <c r="F133" s="40" t="s">
        <v>60</v>
      </c>
      <c r="G133" s="41">
        <v>150373.0</v>
      </c>
      <c r="H133" s="41">
        <v>9362.0</v>
      </c>
      <c r="I133" s="41">
        <v>1055.0</v>
      </c>
      <c r="J133" s="42">
        <v>94.1390427896203</v>
      </c>
      <c r="K133" s="42"/>
      <c r="L133" s="43">
        <v>105130.0</v>
      </c>
      <c r="M133" s="43">
        <v>1954.0</v>
      </c>
      <c r="N133" s="43">
        <v>474.0</v>
      </c>
      <c r="O133" s="42">
        <v>98.1752642785103</v>
      </c>
      <c r="P133" s="44"/>
    </row>
    <row r="134" ht="15.0" hidden="1" customHeight="1">
      <c r="A134" s="45">
        <v>128.0</v>
      </c>
      <c r="B134" s="46" t="s">
        <v>22</v>
      </c>
      <c r="C134" s="46" t="s">
        <v>59</v>
      </c>
      <c r="D134" s="46" t="s">
        <v>60</v>
      </c>
      <c r="E134" s="46"/>
      <c r="F134" s="47" t="s">
        <v>18</v>
      </c>
      <c r="G134" s="48">
        <v>146718.0</v>
      </c>
      <c r="H134" s="48">
        <v>8972.0</v>
      </c>
      <c r="I134" s="48">
        <v>1015.0</v>
      </c>
      <c r="J134" s="49">
        <v>94.2372663626437</v>
      </c>
      <c r="K134" s="49"/>
      <c r="L134" s="50">
        <v>101159.0</v>
      </c>
      <c r="M134" s="50">
        <v>1854.0</v>
      </c>
      <c r="N134" s="50">
        <v>426.0</v>
      </c>
      <c r="O134" s="49">
        <v>98.2002271557959</v>
      </c>
      <c r="P134" s="51"/>
    </row>
    <row r="135" ht="15.0" hidden="1" customHeight="1">
      <c r="A135" s="45">
        <v>129.0</v>
      </c>
      <c r="B135" s="46" t="s">
        <v>22</v>
      </c>
      <c r="C135" s="46" t="s">
        <v>59</v>
      </c>
      <c r="D135" s="46" t="s">
        <v>60</v>
      </c>
      <c r="E135" s="46"/>
      <c r="F135" s="47" t="s">
        <v>19</v>
      </c>
      <c r="G135" s="48">
        <v>3655.0</v>
      </c>
      <c r="H135" s="48">
        <v>390.0</v>
      </c>
      <c r="I135" s="48">
        <v>40.0</v>
      </c>
      <c r="J135" s="49">
        <v>90.3584672435105</v>
      </c>
      <c r="K135" s="49"/>
      <c r="L135" s="50">
        <v>3971.0</v>
      </c>
      <c r="M135" s="50">
        <v>100.0</v>
      </c>
      <c r="N135" s="50">
        <v>48.0</v>
      </c>
      <c r="O135" s="49">
        <v>97.5436010808155</v>
      </c>
      <c r="P135" s="51"/>
    </row>
    <row r="136" ht="15.0" customHeight="1">
      <c r="A136" s="52">
        <v>130.0</v>
      </c>
      <c r="B136" s="53" t="s">
        <v>24</v>
      </c>
      <c r="C136" s="53" t="s">
        <v>59</v>
      </c>
      <c r="D136" s="53" t="s">
        <v>60</v>
      </c>
      <c r="E136" s="53" t="s">
        <v>61</v>
      </c>
      <c r="F136" s="53" t="s">
        <v>61</v>
      </c>
      <c r="G136" s="54">
        <v>59958.0</v>
      </c>
      <c r="H136" s="54">
        <v>2649.0</v>
      </c>
      <c r="I136" s="54">
        <v>381.0</v>
      </c>
      <c r="J136" s="55">
        <v>95.7688437395179</v>
      </c>
      <c r="K136" s="55">
        <f>G136+H136+I136</f>
        <v>62988</v>
      </c>
      <c r="L136" s="56">
        <v>36597.0</v>
      </c>
      <c r="M136" s="56">
        <v>571.0</v>
      </c>
      <c r="N136" s="56">
        <v>130.0</v>
      </c>
      <c r="O136" s="55">
        <v>98.4637322427895</v>
      </c>
      <c r="P136" s="57">
        <f>L136+M136+N136</f>
        <v>37298</v>
      </c>
    </row>
    <row r="137" ht="15.0" hidden="1" customHeight="1">
      <c r="A137" s="45">
        <v>131.0</v>
      </c>
      <c r="B137" s="46" t="s">
        <v>24</v>
      </c>
      <c r="C137" s="46" t="s">
        <v>59</v>
      </c>
      <c r="D137" s="46" t="s">
        <v>60</v>
      </c>
      <c r="E137" s="46" t="s">
        <v>61</v>
      </c>
      <c r="F137" s="47" t="s">
        <v>18</v>
      </c>
      <c r="G137" s="48">
        <v>59362.0</v>
      </c>
      <c r="H137" s="48">
        <v>2619.0</v>
      </c>
      <c r="I137" s="48">
        <v>372.0</v>
      </c>
      <c r="J137" s="49">
        <v>95.7745115438602</v>
      </c>
      <c r="K137" s="49"/>
      <c r="L137" s="50">
        <v>36136.0</v>
      </c>
      <c r="M137" s="50">
        <v>566.0</v>
      </c>
      <c r="N137" s="50">
        <v>128.0</v>
      </c>
      <c r="O137" s="49">
        <v>98.4578497084627</v>
      </c>
      <c r="P137" s="51"/>
    </row>
    <row r="138" ht="15.0" hidden="1" customHeight="1">
      <c r="A138" s="45">
        <v>132.0</v>
      </c>
      <c r="B138" s="46" t="s">
        <v>24</v>
      </c>
      <c r="C138" s="46" t="s">
        <v>59</v>
      </c>
      <c r="D138" s="46" t="s">
        <v>60</v>
      </c>
      <c r="E138" s="46" t="s">
        <v>61</v>
      </c>
      <c r="F138" s="47" t="s">
        <v>19</v>
      </c>
      <c r="G138" s="48">
        <v>596.0</v>
      </c>
      <c r="H138" s="48">
        <v>30.0</v>
      </c>
      <c r="I138" s="48">
        <v>9.0</v>
      </c>
      <c r="J138" s="49">
        <v>95.2076677316294</v>
      </c>
      <c r="K138" s="49"/>
      <c r="L138" s="50">
        <v>461.0</v>
      </c>
      <c r="M138" s="50">
        <v>5.0</v>
      </c>
      <c r="N138" s="50">
        <v>2.0</v>
      </c>
      <c r="O138" s="49">
        <v>98.9270386266094</v>
      </c>
      <c r="P138" s="51"/>
    </row>
    <row r="139" ht="15.0" customHeight="1">
      <c r="A139" s="52">
        <v>133.0</v>
      </c>
      <c r="B139" s="53" t="s">
        <v>24</v>
      </c>
      <c r="C139" s="60" t="s">
        <v>59</v>
      </c>
      <c r="D139" s="60" t="s">
        <v>60</v>
      </c>
      <c r="E139" s="60" t="s">
        <v>62</v>
      </c>
      <c r="F139" s="61" t="s">
        <v>62</v>
      </c>
      <c r="G139" s="54">
        <v>1448.0</v>
      </c>
      <c r="H139" s="54">
        <v>224.0</v>
      </c>
      <c r="I139" s="54">
        <v>12.0</v>
      </c>
      <c r="J139" s="55">
        <v>86.6028708133971</v>
      </c>
      <c r="K139" s="55">
        <f>G139+H139+I139</f>
        <v>1684</v>
      </c>
      <c r="L139" s="56">
        <v>1707.0</v>
      </c>
      <c r="M139" s="56">
        <v>60.0</v>
      </c>
      <c r="N139" s="56">
        <v>36.0</v>
      </c>
      <c r="O139" s="55">
        <v>96.6044142614601</v>
      </c>
      <c r="P139" s="57">
        <f>L139+M139+N139</f>
        <v>1803</v>
      </c>
    </row>
    <row r="140" ht="15.0" hidden="1" customHeight="1">
      <c r="A140" s="45">
        <v>134.0</v>
      </c>
      <c r="B140" s="46" t="s">
        <v>24</v>
      </c>
      <c r="C140" s="46" t="s">
        <v>59</v>
      </c>
      <c r="D140" s="46" t="s">
        <v>60</v>
      </c>
      <c r="E140" s="46" t="s">
        <v>62</v>
      </c>
      <c r="F140" s="47" t="s">
        <v>18</v>
      </c>
      <c r="G140" s="48"/>
      <c r="H140" s="48"/>
      <c r="I140" s="48"/>
      <c r="J140" s="49"/>
      <c r="K140" s="49"/>
      <c r="L140" s="50"/>
      <c r="M140" s="50"/>
      <c r="N140" s="50"/>
      <c r="O140" s="49"/>
      <c r="P140" s="51"/>
    </row>
    <row r="141" ht="15.0" hidden="1" customHeight="1">
      <c r="A141" s="45">
        <v>135.0</v>
      </c>
      <c r="B141" s="46" t="s">
        <v>24</v>
      </c>
      <c r="C141" s="46" t="s">
        <v>59</v>
      </c>
      <c r="D141" s="46" t="s">
        <v>60</v>
      </c>
      <c r="E141" s="46" t="s">
        <v>62</v>
      </c>
      <c r="F141" s="47" t="s">
        <v>19</v>
      </c>
      <c r="G141" s="48">
        <v>1448.0</v>
      </c>
      <c r="H141" s="48">
        <v>224.0</v>
      </c>
      <c r="I141" s="48">
        <v>12.0</v>
      </c>
      <c r="J141" s="49">
        <v>86.6028708133971</v>
      </c>
      <c r="K141" s="49"/>
      <c r="L141" s="50">
        <v>1707.0</v>
      </c>
      <c r="M141" s="50">
        <v>60.0</v>
      </c>
      <c r="N141" s="50">
        <v>36.0</v>
      </c>
      <c r="O141" s="49">
        <v>96.6044142614601</v>
      </c>
      <c r="P141" s="51"/>
    </row>
    <row r="142" ht="15.0" customHeight="1">
      <c r="A142" s="52">
        <v>136.0</v>
      </c>
      <c r="B142" s="53" t="s">
        <v>24</v>
      </c>
      <c r="C142" s="60" t="s">
        <v>59</v>
      </c>
      <c r="D142" s="60" t="s">
        <v>60</v>
      </c>
      <c r="E142" s="60" t="s">
        <v>63</v>
      </c>
      <c r="F142" s="61" t="s">
        <v>63</v>
      </c>
      <c r="G142" s="54">
        <v>1217.0</v>
      </c>
      <c r="H142" s="54">
        <v>95.0</v>
      </c>
      <c r="I142" s="54">
        <v>14.0</v>
      </c>
      <c r="J142" s="55">
        <v>92.7591463414634</v>
      </c>
      <c r="K142" s="55">
        <f>G142+H142+I142</f>
        <v>1326</v>
      </c>
      <c r="L142" s="56">
        <v>1270.0</v>
      </c>
      <c r="M142" s="56">
        <v>20.0</v>
      </c>
      <c r="N142" s="56">
        <v>7.0</v>
      </c>
      <c r="O142" s="55">
        <v>98.4496124031008</v>
      </c>
      <c r="P142" s="57">
        <f>L142+M142+N142</f>
        <v>1297</v>
      </c>
    </row>
    <row r="143" ht="15.0" hidden="1" customHeight="1">
      <c r="A143" s="45">
        <v>137.0</v>
      </c>
      <c r="B143" s="46" t="s">
        <v>24</v>
      </c>
      <c r="C143" s="46" t="s">
        <v>59</v>
      </c>
      <c r="D143" s="46" t="s">
        <v>60</v>
      </c>
      <c r="E143" s="46" t="s">
        <v>63</v>
      </c>
      <c r="F143" s="47" t="s">
        <v>18</v>
      </c>
      <c r="G143" s="48"/>
      <c r="H143" s="48"/>
      <c r="I143" s="48"/>
      <c r="J143" s="49"/>
      <c r="K143" s="49"/>
      <c r="L143" s="50"/>
      <c r="M143" s="50"/>
      <c r="N143" s="50"/>
      <c r="O143" s="49"/>
      <c r="P143" s="51"/>
    </row>
    <row r="144" ht="15.0" hidden="1" customHeight="1">
      <c r="A144" s="45">
        <v>138.0</v>
      </c>
      <c r="B144" s="46" t="s">
        <v>24</v>
      </c>
      <c r="C144" s="46" t="s">
        <v>59</v>
      </c>
      <c r="D144" s="46" t="s">
        <v>60</v>
      </c>
      <c r="E144" s="46" t="s">
        <v>63</v>
      </c>
      <c r="F144" s="47" t="s">
        <v>19</v>
      </c>
      <c r="G144" s="48">
        <v>1217.0</v>
      </c>
      <c r="H144" s="48">
        <v>95.0</v>
      </c>
      <c r="I144" s="48">
        <v>14.0</v>
      </c>
      <c r="J144" s="49">
        <v>92.7591463414634</v>
      </c>
      <c r="K144" s="49"/>
      <c r="L144" s="50">
        <v>1270.0</v>
      </c>
      <c r="M144" s="50">
        <v>20.0</v>
      </c>
      <c r="N144" s="50">
        <v>7.0</v>
      </c>
      <c r="O144" s="49">
        <v>98.4496124031008</v>
      </c>
      <c r="P144" s="51"/>
    </row>
    <row r="145" ht="15.0" customHeight="1">
      <c r="A145" s="52">
        <v>139.0</v>
      </c>
      <c r="B145" s="53" t="s">
        <v>24</v>
      </c>
      <c r="C145" s="60" t="s">
        <v>59</v>
      </c>
      <c r="D145" s="60" t="s">
        <v>60</v>
      </c>
      <c r="E145" s="60" t="s">
        <v>64</v>
      </c>
      <c r="F145" s="61" t="s">
        <v>64</v>
      </c>
      <c r="G145" s="54">
        <v>1955.0</v>
      </c>
      <c r="H145" s="54">
        <v>142.0</v>
      </c>
      <c r="I145" s="54">
        <v>21.0</v>
      </c>
      <c r="J145" s="55">
        <v>93.2284215546018</v>
      </c>
      <c r="K145" s="55">
        <f>G145+H145+I145</f>
        <v>2118</v>
      </c>
      <c r="L145" s="56">
        <v>3204.0</v>
      </c>
      <c r="M145" s="56">
        <v>46.0</v>
      </c>
      <c r="N145" s="56">
        <v>14.0</v>
      </c>
      <c r="O145" s="55">
        <v>98.5846153846154</v>
      </c>
      <c r="P145" s="57">
        <f>L145+M145+N145</f>
        <v>3264</v>
      </c>
    </row>
    <row r="146" ht="15.0" hidden="1" customHeight="1">
      <c r="A146" s="45">
        <v>140.0</v>
      </c>
      <c r="B146" s="46" t="s">
        <v>24</v>
      </c>
      <c r="C146" s="46" t="s">
        <v>59</v>
      </c>
      <c r="D146" s="46" t="s">
        <v>60</v>
      </c>
      <c r="E146" s="46" t="s">
        <v>64</v>
      </c>
      <c r="F146" s="47" t="s">
        <v>18</v>
      </c>
      <c r="G146" s="48">
        <v>1668.0</v>
      </c>
      <c r="H146" s="48">
        <v>120.0</v>
      </c>
      <c r="I146" s="48">
        <v>16.0</v>
      </c>
      <c r="J146" s="49">
        <v>93.2885906040269</v>
      </c>
      <c r="K146" s="49"/>
      <c r="L146" s="50">
        <v>2710.0</v>
      </c>
      <c r="M146" s="50">
        <v>33.0</v>
      </c>
      <c r="N146" s="50">
        <v>11.0</v>
      </c>
      <c r="O146" s="49">
        <v>98.7969376594969</v>
      </c>
      <c r="P146" s="51"/>
    </row>
    <row r="147" ht="15.0" hidden="1" customHeight="1">
      <c r="A147" s="45">
        <v>141.0</v>
      </c>
      <c r="B147" s="46" t="s">
        <v>24</v>
      </c>
      <c r="C147" s="46" t="s">
        <v>59</v>
      </c>
      <c r="D147" s="46" t="s">
        <v>60</v>
      </c>
      <c r="E147" s="46" t="s">
        <v>64</v>
      </c>
      <c r="F147" s="47" t="s">
        <v>19</v>
      </c>
      <c r="G147" s="48">
        <v>287.0</v>
      </c>
      <c r="H147" s="48">
        <v>22.0</v>
      </c>
      <c r="I147" s="48">
        <v>5.0</v>
      </c>
      <c r="J147" s="49">
        <v>92.8802588996764</v>
      </c>
      <c r="K147" s="49"/>
      <c r="L147" s="50">
        <v>494.0</v>
      </c>
      <c r="M147" s="50">
        <v>13.0</v>
      </c>
      <c r="N147" s="50">
        <v>3.0</v>
      </c>
      <c r="O147" s="49">
        <v>97.4358974358974</v>
      </c>
      <c r="P147" s="51"/>
    </row>
    <row r="148" ht="15.0" customHeight="1">
      <c r="A148" s="52">
        <v>142.0</v>
      </c>
      <c r="B148" s="53" t="s">
        <v>24</v>
      </c>
      <c r="C148" s="60" t="s">
        <v>59</v>
      </c>
      <c r="D148" s="60" t="s">
        <v>60</v>
      </c>
      <c r="E148" s="60" t="s">
        <v>65</v>
      </c>
      <c r="F148" s="61" t="s">
        <v>65</v>
      </c>
      <c r="G148" s="54">
        <v>85795.0</v>
      </c>
      <c r="H148" s="54">
        <v>6252.0</v>
      </c>
      <c r="I148" s="54">
        <v>627.0</v>
      </c>
      <c r="J148" s="55">
        <v>93.2078177452823</v>
      </c>
      <c r="K148" s="55">
        <f>G148+H148+I148</f>
        <v>92674</v>
      </c>
      <c r="L148" s="56">
        <v>62352.0</v>
      </c>
      <c r="M148" s="56">
        <v>1257.0</v>
      </c>
      <c r="N148" s="56">
        <v>287.0</v>
      </c>
      <c r="O148" s="55">
        <v>98.0238645474697</v>
      </c>
      <c r="P148" s="57">
        <f>L148+M148+N148</f>
        <v>63896</v>
      </c>
    </row>
    <row r="149" ht="15.0" hidden="1" customHeight="1">
      <c r="A149" s="45">
        <v>143.0</v>
      </c>
      <c r="B149" s="46" t="s">
        <v>24</v>
      </c>
      <c r="C149" s="46" t="s">
        <v>59</v>
      </c>
      <c r="D149" s="46" t="s">
        <v>60</v>
      </c>
      <c r="E149" s="46" t="s">
        <v>65</v>
      </c>
      <c r="F149" s="47" t="s">
        <v>18</v>
      </c>
      <c r="G149" s="48">
        <v>85688.0</v>
      </c>
      <c r="H149" s="48">
        <v>6233.0</v>
      </c>
      <c r="I149" s="48">
        <v>627.0</v>
      </c>
      <c r="J149" s="49">
        <v>93.2191773370612</v>
      </c>
      <c r="K149" s="49"/>
      <c r="L149" s="50">
        <v>62313.0</v>
      </c>
      <c r="M149" s="50">
        <v>1255.0</v>
      </c>
      <c r="N149" s="50">
        <v>287.0</v>
      </c>
      <c r="O149" s="49">
        <v>98.0257362194815</v>
      </c>
      <c r="P149" s="51"/>
    </row>
    <row r="150" ht="15.0" hidden="1" customHeight="1">
      <c r="A150" s="45">
        <v>144.0</v>
      </c>
      <c r="B150" s="46" t="s">
        <v>24</v>
      </c>
      <c r="C150" s="46" t="s">
        <v>59</v>
      </c>
      <c r="D150" s="46" t="s">
        <v>60</v>
      </c>
      <c r="E150" s="46" t="s">
        <v>65</v>
      </c>
      <c r="F150" s="47" t="s">
        <v>19</v>
      </c>
      <c r="G150" s="48">
        <v>107.0</v>
      </c>
      <c r="H150" s="48">
        <v>19.0</v>
      </c>
      <c r="I150" s="48">
        <v>0.0</v>
      </c>
      <c r="J150" s="49">
        <v>84.9206349206349</v>
      </c>
      <c r="K150" s="49"/>
      <c r="L150" s="50">
        <v>39.0</v>
      </c>
      <c r="M150" s="50">
        <v>2.0</v>
      </c>
      <c r="N150" s="50">
        <v>0.0</v>
      </c>
      <c r="O150" s="49">
        <v>95.1219512195122</v>
      </c>
      <c r="P150" s="51"/>
    </row>
    <row r="151" ht="15.0" hidden="1" customHeight="1">
      <c r="A151" s="39">
        <v>145.0</v>
      </c>
      <c r="B151" s="40" t="s">
        <v>22</v>
      </c>
      <c r="C151" s="59" t="s">
        <v>59</v>
      </c>
      <c r="D151" s="59" t="s">
        <v>66</v>
      </c>
      <c r="E151" s="59"/>
      <c r="F151" s="40" t="s">
        <v>66</v>
      </c>
      <c r="G151" s="41">
        <v>6052.0</v>
      </c>
      <c r="H151" s="41">
        <v>436.0</v>
      </c>
      <c r="I151" s="41">
        <v>55.0</v>
      </c>
      <c r="J151" s="42">
        <v>93.2799013563502</v>
      </c>
      <c r="K151" s="42"/>
      <c r="L151" s="43">
        <v>5308.0</v>
      </c>
      <c r="M151" s="43">
        <v>113.0</v>
      </c>
      <c r="N151" s="43">
        <v>53.0</v>
      </c>
      <c r="O151" s="42">
        <v>97.9155137428519</v>
      </c>
      <c r="P151" s="44"/>
    </row>
    <row r="152" ht="15.0" hidden="1" customHeight="1">
      <c r="A152" s="45">
        <v>146.0</v>
      </c>
      <c r="B152" s="46" t="s">
        <v>22</v>
      </c>
      <c r="C152" s="46" t="s">
        <v>59</v>
      </c>
      <c r="D152" s="46" t="s">
        <v>66</v>
      </c>
      <c r="E152" s="46"/>
      <c r="F152" s="47" t="s">
        <v>18</v>
      </c>
      <c r="G152" s="48">
        <v>806.0</v>
      </c>
      <c r="H152" s="48">
        <v>53.0</v>
      </c>
      <c r="I152" s="48">
        <v>13.0</v>
      </c>
      <c r="J152" s="49">
        <v>93.8300349243306</v>
      </c>
      <c r="K152" s="49"/>
      <c r="L152" s="50">
        <v>603.0</v>
      </c>
      <c r="M152" s="50">
        <v>15.0</v>
      </c>
      <c r="N152" s="50">
        <v>0.0</v>
      </c>
      <c r="O152" s="49">
        <v>97.5728155339806</v>
      </c>
      <c r="P152" s="51"/>
    </row>
    <row r="153" ht="15.0" hidden="1" customHeight="1">
      <c r="A153" s="45">
        <v>147.0</v>
      </c>
      <c r="B153" s="46" t="s">
        <v>22</v>
      </c>
      <c r="C153" s="46" t="s">
        <v>59</v>
      </c>
      <c r="D153" s="46" t="s">
        <v>66</v>
      </c>
      <c r="E153" s="46"/>
      <c r="F153" s="47" t="s">
        <v>19</v>
      </c>
      <c r="G153" s="48">
        <v>5246.0</v>
      </c>
      <c r="H153" s="48">
        <v>383.0</v>
      </c>
      <c r="I153" s="48">
        <v>42.0</v>
      </c>
      <c r="J153" s="49">
        <v>93.1959495469888</v>
      </c>
      <c r="K153" s="49"/>
      <c r="L153" s="50">
        <v>4705.0</v>
      </c>
      <c r="M153" s="50">
        <v>98.0</v>
      </c>
      <c r="N153" s="50">
        <v>53.0</v>
      </c>
      <c r="O153" s="49">
        <v>97.9596085779721</v>
      </c>
      <c r="P153" s="51"/>
    </row>
    <row r="154" ht="15.0" customHeight="1">
      <c r="A154" s="52">
        <v>148.0</v>
      </c>
      <c r="B154" s="53" t="s">
        <v>24</v>
      </c>
      <c r="C154" s="60" t="s">
        <v>59</v>
      </c>
      <c r="D154" s="60" t="s">
        <v>66</v>
      </c>
      <c r="E154" s="60" t="s">
        <v>67</v>
      </c>
      <c r="F154" s="61" t="s">
        <v>67</v>
      </c>
      <c r="G154" s="54">
        <v>3470.0</v>
      </c>
      <c r="H154" s="54">
        <v>311.0</v>
      </c>
      <c r="I154" s="54">
        <v>30.0</v>
      </c>
      <c r="J154" s="55">
        <v>91.7746627876223</v>
      </c>
      <c r="K154" s="55">
        <f>G154+H154+I154</f>
        <v>3811</v>
      </c>
      <c r="L154" s="56">
        <v>2778.0</v>
      </c>
      <c r="M154" s="56">
        <v>59.0</v>
      </c>
      <c r="N154" s="56">
        <v>28.0</v>
      </c>
      <c r="O154" s="55">
        <v>97.9203383856186</v>
      </c>
      <c r="P154" s="57">
        <f>L154+M154+N154</f>
        <v>2865</v>
      </c>
    </row>
    <row r="155" ht="15.0" hidden="1" customHeight="1">
      <c r="A155" s="45">
        <v>149.0</v>
      </c>
      <c r="B155" s="46" t="s">
        <v>24</v>
      </c>
      <c r="C155" s="46" t="s">
        <v>59</v>
      </c>
      <c r="D155" s="46" t="s">
        <v>66</v>
      </c>
      <c r="E155" s="46" t="s">
        <v>67</v>
      </c>
      <c r="F155" s="47" t="s">
        <v>18</v>
      </c>
      <c r="G155" s="48">
        <v>806.0</v>
      </c>
      <c r="H155" s="48">
        <v>53.0</v>
      </c>
      <c r="I155" s="48">
        <v>13.0</v>
      </c>
      <c r="J155" s="49">
        <v>93.8300349243306</v>
      </c>
      <c r="K155" s="49"/>
      <c r="L155" s="50">
        <v>603.0</v>
      </c>
      <c r="M155" s="50">
        <v>15.0</v>
      </c>
      <c r="N155" s="50">
        <v>0.0</v>
      </c>
      <c r="O155" s="49">
        <v>97.5728155339806</v>
      </c>
      <c r="P155" s="51"/>
    </row>
    <row r="156" ht="15.0" hidden="1" customHeight="1">
      <c r="A156" s="45">
        <v>150.0</v>
      </c>
      <c r="B156" s="46" t="s">
        <v>24</v>
      </c>
      <c r="C156" s="46" t="s">
        <v>59</v>
      </c>
      <c r="D156" s="46" t="s">
        <v>66</v>
      </c>
      <c r="E156" s="46" t="s">
        <v>67</v>
      </c>
      <c r="F156" s="47" t="s">
        <v>19</v>
      </c>
      <c r="G156" s="48">
        <v>2664.0</v>
      </c>
      <c r="H156" s="48">
        <v>258.0</v>
      </c>
      <c r="I156" s="48">
        <v>17.0</v>
      </c>
      <c r="J156" s="49">
        <v>91.170431211499</v>
      </c>
      <c r="K156" s="49"/>
      <c r="L156" s="50">
        <v>2175.0</v>
      </c>
      <c r="M156" s="50">
        <v>44.0</v>
      </c>
      <c r="N156" s="50">
        <v>28.0</v>
      </c>
      <c r="O156" s="49">
        <v>98.0171248310049</v>
      </c>
      <c r="P156" s="51"/>
    </row>
    <row r="157" ht="15.0" customHeight="1">
      <c r="A157" s="52">
        <v>151.0</v>
      </c>
      <c r="B157" s="53" t="s">
        <v>24</v>
      </c>
      <c r="C157" s="60" t="s">
        <v>59</v>
      </c>
      <c r="D157" s="60" t="s">
        <v>66</v>
      </c>
      <c r="E157" s="60" t="s">
        <v>68</v>
      </c>
      <c r="F157" s="61" t="s">
        <v>68</v>
      </c>
      <c r="G157" s="54">
        <v>871.0</v>
      </c>
      <c r="H157" s="54">
        <v>67.0</v>
      </c>
      <c r="I157" s="54">
        <v>10.0</v>
      </c>
      <c r="J157" s="55">
        <v>92.8571428571429</v>
      </c>
      <c r="K157" s="55">
        <f>G157+H157+I157</f>
        <v>948</v>
      </c>
      <c r="L157" s="56">
        <v>974.0</v>
      </c>
      <c r="M157" s="56">
        <v>15.0</v>
      </c>
      <c r="N157" s="56">
        <v>9.0</v>
      </c>
      <c r="O157" s="55">
        <v>98.4833164812942</v>
      </c>
      <c r="P157" s="57">
        <f>L157+M157+N157</f>
        <v>998</v>
      </c>
    </row>
    <row r="158" ht="15.0" hidden="1" customHeight="1">
      <c r="A158" s="45">
        <v>152.0</v>
      </c>
      <c r="B158" s="46" t="s">
        <v>24</v>
      </c>
      <c r="C158" s="46" t="s">
        <v>59</v>
      </c>
      <c r="D158" s="46" t="s">
        <v>66</v>
      </c>
      <c r="E158" s="46" t="s">
        <v>68</v>
      </c>
      <c r="F158" s="47" t="s">
        <v>18</v>
      </c>
      <c r="G158" s="48"/>
      <c r="H158" s="48"/>
      <c r="I158" s="48"/>
      <c r="J158" s="49"/>
      <c r="K158" s="49"/>
      <c r="L158" s="50"/>
      <c r="M158" s="50"/>
      <c r="N158" s="50"/>
      <c r="O158" s="49"/>
      <c r="P158" s="51"/>
    </row>
    <row r="159" ht="15.0" hidden="1" customHeight="1">
      <c r="A159" s="45">
        <v>153.0</v>
      </c>
      <c r="B159" s="46" t="s">
        <v>24</v>
      </c>
      <c r="C159" s="46" t="s">
        <v>59</v>
      </c>
      <c r="D159" s="46" t="s">
        <v>66</v>
      </c>
      <c r="E159" s="46" t="s">
        <v>68</v>
      </c>
      <c r="F159" s="47" t="s">
        <v>19</v>
      </c>
      <c r="G159" s="48">
        <v>871.0</v>
      </c>
      <c r="H159" s="48">
        <v>67.0</v>
      </c>
      <c r="I159" s="48">
        <v>10.0</v>
      </c>
      <c r="J159" s="49">
        <v>92.8571428571429</v>
      </c>
      <c r="K159" s="49"/>
      <c r="L159" s="50">
        <v>974.0</v>
      </c>
      <c r="M159" s="50">
        <v>15.0</v>
      </c>
      <c r="N159" s="50">
        <v>9.0</v>
      </c>
      <c r="O159" s="49">
        <v>98.4833164812942</v>
      </c>
      <c r="P159" s="51"/>
    </row>
    <row r="160" ht="15.0" customHeight="1">
      <c r="A160" s="52">
        <v>154.0</v>
      </c>
      <c r="B160" s="53" t="s">
        <v>24</v>
      </c>
      <c r="C160" s="60" t="s">
        <v>59</v>
      </c>
      <c r="D160" s="60" t="s">
        <v>66</v>
      </c>
      <c r="E160" s="60" t="s">
        <v>69</v>
      </c>
      <c r="F160" s="61" t="s">
        <v>69</v>
      </c>
      <c r="G160" s="54">
        <v>490.0</v>
      </c>
      <c r="H160" s="54">
        <v>14.0</v>
      </c>
      <c r="I160" s="54">
        <v>8.0</v>
      </c>
      <c r="J160" s="55">
        <v>97.2222222222222</v>
      </c>
      <c r="K160" s="55">
        <f>G160+H160+I160</f>
        <v>512</v>
      </c>
      <c r="L160" s="56">
        <v>456.0</v>
      </c>
      <c r="M160" s="56">
        <v>9.0</v>
      </c>
      <c r="N160" s="56">
        <v>4.0</v>
      </c>
      <c r="O160" s="55">
        <v>98.0645161290323</v>
      </c>
      <c r="P160" s="57">
        <f>L160+M160+N160</f>
        <v>469</v>
      </c>
    </row>
    <row r="161" ht="15.0" hidden="1" customHeight="1">
      <c r="A161" s="45">
        <v>155.0</v>
      </c>
      <c r="B161" s="46" t="s">
        <v>24</v>
      </c>
      <c r="C161" s="46" t="s">
        <v>59</v>
      </c>
      <c r="D161" s="46" t="s">
        <v>66</v>
      </c>
      <c r="E161" s="46" t="s">
        <v>69</v>
      </c>
      <c r="F161" s="47" t="s">
        <v>18</v>
      </c>
      <c r="G161" s="48"/>
      <c r="H161" s="48"/>
      <c r="I161" s="48"/>
      <c r="J161" s="49"/>
      <c r="K161" s="49"/>
      <c r="L161" s="50"/>
      <c r="M161" s="50"/>
      <c r="N161" s="50"/>
      <c r="O161" s="49"/>
      <c r="P161" s="51"/>
    </row>
    <row r="162" ht="15.0" hidden="1" customHeight="1">
      <c r="A162" s="45">
        <v>156.0</v>
      </c>
      <c r="B162" s="46" t="s">
        <v>24</v>
      </c>
      <c r="C162" s="46" t="s">
        <v>59</v>
      </c>
      <c r="D162" s="46" t="s">
        <v>66</v>
      </c>
      <c r="E162" s="46" t="s">
        <v>69</v>
      </c>
      <c r="F162" s="47" t="s">
        <v>19</v>
      </c>
      <c r="G162" s="48">
        <v>490.0</v>
      </c>
      <c r="H162" s="48">
        <v>14.0</v>
      </c>
      <c r="I162" s="48">
        <v>8.0</v>
      </c>
      <c r="J162" s="49">
        <v>97.2222222222222</v>
      </c>
      <c r="K162" s="49"/>
      <c r="L162" s="50">
        <v>456.0</v>
      </c>
      <c r="M162" s="50">
        <v>9.0</v>
      </c>
      <c r="N162" s="50">
        <v>4.0</v>
      </c>
      <c r="O162" s="49">
        <v>98.0645161290323</v>
      </c>
      <c r="P162" s="51"/>
    </row>
    <row r="163" ht="15.0" customHeight="1">
      <c r="A163" s="52">
        <v>157.0</v>
      </c>
      <c r="B163" s="53" t="s">
        <v>24</v>
      </c>
      <c r="C163" s="60" t="s">
        <v>59</v>
      </c>
      <c r="D163" s="60" t="s">
        <v>66</v>
      </c>
      <c r="E163" s="60" t="s">
        <v>70</v>
      </c>
      <c r="F163" s="61" t="s">
        <v>70</v>
      </c>
      <c r="G163" s="54">
        <v>574.0</v>
      </c>
      <c r="H163" s="54">
        <v>23.0</v>
      </c>
      <c r="I163" s="54">
        <v>5.0</v>
      </c>
      <c r="J163" s="55">
        <v>96.1474036850921</v>
      </c>
      <c r="K163" s="55">
        <f>G163+H163+I163</f>
        <v>602</v>
      </c>
      <c r="L163" s="56">
        <v>440.0</v>
      </c>
      <c r="M163" s="56">
        <v>9.0</v>
      </c>
      <c r="N163" s="56">
        <v>9.0</v>
      </c>
      <c r="O163" s="55">
        <v>97.9955456570156</v>
      </c>
      <c r="P163" s="57">
        <f>L163+M163+N163</f>
        <v>458</v>
      </c>
    </row>
    <row r="164" ht="15.0" hidden="1" customHeight="1">
      <c r="A164" s="45">
        <v>158.0</v>
      </c>
      <c r="B164" s="46" t="s">
        <v>24</v>
      </c>
      <c r="C164" s="46" t="s">
        <v>59</v>
      </c>
      <c r="D164" s="46" t="s">
        <v>66</v>
      </c>
      <c r="E164" s="46" t="s">
        <v>70</v>
      </c>
      <c r="F164" s="47" t="s">
        <v>18</v>
      </c>
      <c r="G164" s="48"/>
      <c r="H164" s="48"/>
      <c r="I164" s="48"/>
      <c r="J164" s="49"/>
      <c r="K164" s="49"/>
      <c r="L164" s="50"/>
      <c r="M164" s="50"/>
      <c r="N164" s="50"/>
      <c r="O164" s="49"/>
      <c r="P164" s="51"/>
    </row>
    <row r="165" ht="15.0" hidden="1" customHeight="1">
      <c r="A165" s="45">
        <v>159.0</v>
      </c>
      <c r="B165" s="46" t="s">
        <v>24</v>
      </c>
      <c r="C165" s="46" t="s">
        <v>59</v>
      </c>
      <c r="D165" s="46" t="s">
        <v>66</v>
      </c>
      <c r="E165" s="46" t="s">
        <v>70</v>
      </c>
      <c r="F165" s="47" t="s">
        <v>19</v>
      </c>
      <c r="G165" s="48">
        <v>574.0</v>
      </c>
      <c r="H165" s="48">
        <v>23.0</v>
      </c>
      <c r="I165" s="48">
        <v>5.0</v>
      </c>
      <c r="J165" s="49">
        <v>96.1474036850921</v>
      </c>
      <c r="K165" s="49"/>
      <c r="L165" s="50">
        <v>440.0</v>
      </c>
      <c r="M165" s="50">
        <v>9.0</v>
      </c>
      <c r="N165" s="50">
        <v>9.0</v>
      </c>
      <c r="O165" s="49">
        <v>97.9955456570156</v>
      </c>
      <c r="P165" s="51"/>
    </row>
    <row r="166" ht="15.0" customHeight="1">
      <c r="A166" s="52">
        <v>160.0</v>
      </c>
      <c r="B166" s="53" t="s">
        <v>24</v>
      </c>
      <c r="C166" s="60" t="s">
        <v>59</v>
      </c>
      <c r="D166" s="60" t="s">
        <v>66</v>
      </c>
      <c r="E166" s="60" t="s">
        <v>71</v>
      </c>
      <c r="F166" s="61" t="s">
        <v>71</v>
      </c>
      <c r="G166" s="54">
        <v>335.0</v>
      </c>
      <c r="H166" s="54">
        <v>6.0</v>
      </c>
      <c r="I166" s="54">
        <v>0.0</v>
      </c>
      <c r="J166" s="55">
        <v>98.2404692082112</v>
      </c>
      <c r="K166" s="55">
        <f>G166+H166+I166</f>
        <v>341</v>
      </c>
      <c r="L166" s="56">
        <v>279.0</v>
      </c>
      <c r="M166" s="56">
        <v>16.0</v>
      </c>
      <c r="N166" s="56">
        <v>0.0</v>
      </c>
      <c r="O166" s="55">
        <v>94.5762711864407</v>
      </c>
      <c r="P166" s="57">
        <f>L166+M166+N166</f>
        <v>295</v>
      </c>
    </row>
    <row r="167" ht="15.0" hidden="1" customHeight="1">
      <c r="A167" s="45">
        <v>161.0</v>
      </c>
      <c r="B167" s="46" t="s">
        <v>24</v>
      </c>
      <c r="C167" s="46" t="s">
        <v>59</v>
      </c>
      <c r="D167" s="46" t="s">
        <v>66</v>
      </c>
      <c r="E167" s="46" t="s">
        <v>71</v>
      </c>
      <c r="F167" s="47" t="s">
        <v>18</v>
      </c>
      <c r="G167" s="48"/>
      <c r="H167" s="48"/>
      <c r="I167" s="48"/>
      <c r="J167" s="49"/>
      <c r="K167" s="49"/>
      <c r="L167" s="50"/>
      <c r="M167" s="50"/>
      <c r="N167" s="50"/>
      <c r="O167" s="49"/>
      <c r="P167" s="51"/>
    </row>
    <row r="168" ht="15.0" hidden="1" customHeight="1">
      <c r="A168" s="45">
        <v>162.0</v>
      </c>
      <c r="B168" s="46" t="s">
        <v>24</v>
      </c>
      <c r="C168" s="46" t="s">
        <v>59</v>
      </c>
      <c r="D168" s="46" t="s">
        <v>66</v>
      </c>
      <c r="E168" s="46" t="s">
        <v>71</v>
      </c>
      <c r="F168" s="47" t="s">
        <v>19</v>
      </c>
      <c r="G168" s="48">
        <v>335.0</v>
      </c>
      <c r="H168" s="48">
        <v>6.0</v>
      </c>
      <c r="I168" s="48">
        <v>0.0</v>
      </c>
      <c r="J168" s="49">
        <v>98.2404692082112</v>
      </c>
      <c r="K168" s="49"/>
      <c r="L168" s="50">
        <v>279.0</v>
      </c>
      <c r="M168" s="50">
        <v>16.0</v>
      </c>
      <c r="N168" s="50">
        <v>0.0</v>
      </c>
      <c r="O168" s="49">
        <v>94.5762711864407</v>
      </c>
      <c r="P168" s="51"/>
    </row>
    <row r="169" ht="15.0" customHeight="1">
      <c r="A169" s="52">
        <v>163.0</v>
      </c>
      <c r="B169" s="53" t="s">
        <v>24</v>
      </c>
      <c r="C169" s="60" t="s">
        <v>59</v>
      </c>
      <c r="D169" s="60" t="s">
        <v>66</v>
      </c>
      <c r="E169" s="60" t="s">
        <v>72</v>
      </c>
      <c r="F169" s="61" t="s">
        <v>72</v>
      </c>
      <c r="G169" s="54">
        <v>312.0</v>
      </c>
      <c r="H169" s="54">
        <v>15.0</v>
      </c>
      <c r="I169" s="54">
        <v>2.0</v>
      </c>
      <c r="J169" s="55">
        <v>95.4128440366973</v>
      </c>
      <c r="K169" s="55">
        <f>G169+H169+I169</f>
        <v>329</v>
      </c>
      <c r="L169" s="56">
        <v>381.0</v>
      </c>
      <c r="M169" s="56">
        <v>5.0</v>
      </c>
      <c r="N169" s="56">
        <v>3.0</v>
      </c>
      <c r="O169" s="55">
        <v>98.7046632124352</v>
      </c>
      <c r="P169" s="57">
        <f>L169+M169+N169</f>
        <v>389</v>
      </c>
    </row>
    <row r="170" ht="15.0" hidden="1" customHeight="1">
      <c r="A170" s="45">
        <v>164.0</v>
      </c>
      <c r="B170" s="46" t="s">
        <v>24</v>
      </c>
      <c r="C170" s="46" t="s">
        <v>59</v>
      </c>
      <c r="D170" s="46" t="s">
        <v>66</v>
      </c>
      <c r="E170" s="46" t="s">
        <v>72</v>
      </c>
      <c r="F170" s="47" t="s">
        <v>18</v>
      </c>
      <c r="G170" s="48"/>
      <c r="H170" s="48"/>
      <c r="I170" s="48"/>
      <c r="J170" s="49"/>
      <c r="K170" s="49"/>
      <c r="L170" s="50"/>
      <c r="M170" s="50"/>
      <c r="N170" s="50"/>
      <c r="O170" s="49"/>
      <c r="P170" s="51"/>
    </row>
    <row r="171" ht="15.0" hidden="1" customHeight="1">
      <c r="A171" s="45">
        <v>165.0</v>
      </c>
      <c r="B171" s="46" t="s">
        <v>24</v>
      </c>
      <c r="C171" s="46" t="s">
        <v>59</v>
      </c>
      <c r="D171" s="46" t="s">
        <v>66</v>
      </c>
      <c r="E171" s="46" t="s">
        <v>72</v>
      </c>
      <c r="F171" s="47" t="s">
        <v>19</v>
      </c>
      <c r="G171" s="48">
        <v>312.0</v>
      </c>
      <c r="H171" s="48">
        <v>15.0</v>
      </c>
      <c r="I171" s="48">
        <v>2.0</v>
      </c>
      <c r="J171" s="49">
        <v>95.4128440366973</v>
      </c>
      <c r="K171" s="49"/>
      <c r="L171" s="50">
        <v>381.0</v>
      </c>
      <c r="M171" s="50">
        <v>5.0</v>
      </c>
      <c r="N171" s="50">
        <v>3.0</v>
      </c>
      <c r="O171" s="49">
        <v>98.7046632124352</v>
      </c>
      <c r="P171" s="51"/>
    </row>
    <row r="172" ht="15.0" hidden="1" customHeight="1">
      <c r="A172" s="39">
        <v>166.0</v>
      </c>
      <c r="B172" s="40" t="s">
        <v>22</v>
      </c>
      <c r="C172" s="59" t="s">
        <v>59</v>
      </c>
      <c r="D172" s="59" t="s">
        <v>73</v>
      </c>
      <c r="E172" s="59"/>
      <c r="F172" s="40" t="s">
        <v>73</v>
      </c>
      <c r="G172" s="41">
        <v>4247.0</v>
      </c>
      <c r="H172" s="41">
        <v>212.0</v>
      </c>
      <c r="I172" s="41">
        <v>59.0</v>
      </c>
      <c r="J172" s="42">
        <v>95.2455707557748</v>
      </c>
      <c r="K172" s="42"/>
      <c r="L172" s="43">
        <v>4322.0</v>
      </c>
      <c r="M172" s="43">
        <v>91.0</v>
      </c>
      <c r="N172" s="43">
        <v>48.0</v>
      </c>
      <c r="O172" s="42">
        <v>97.9379107183322</v>
      </c>
      <c r="P172" s="44"/>
    </row>
    <row r="173" ht="15.0" hidden="1" customHeight="1">
      <c r="A173" s="45">
        <v>167.0</v>
      </c>
      <c r="B173" s="46" t="s">
        <v>22</v>
      </c>
      <c r="C173" s="46" t="s">
        <v>59</v>
      </c>
      <c r="D173" s="46" t="s">
        <v>73</v>
      </c>
      <c r="E173" s="46"/>
      <c r="F173" s="47" t="s">
        <v>18</v>
      </c>
      <c r="G173" s="48">
        <v>191.0</v>
      </c>
      <c r="H173" s="48">
        <v>16.0</v>
      </c>
      <c r="I173" s="48">
        <v>1.0</v>
      </c>
      <c r="J173" s="49">
        <v>92.2705314009662</v>
      </c>
      <c r="K173" s="49"/>
      <c r="L173" s="50">
        <v>256.0</v>
      </c>
      <c r="M173" s="50">
        <v>5.0</v>
      </c>
      <c r="N173" s="50">
        <v>5.0</v>
      </c>
      <c r="O173" s="49">
        <v>98.0842911877395</v>
      </c>
      <c r="P173" s="51"/>
    </row>
    <row r="174" ht="15.0" hidden="1" customHeight="1">
      <c r="A174" s="45">
        <v>168.0</v>
      </c>
      <c r="B174" s="46" t="s">
        <v>22</v>
      </c>
      <c r="C174" s="46" t="s">
        <v>59</v>
      </c>
      <c r="D174" s="46" t="s">
        <v>73</v>
      </c>
      <c r="E174" s="46"/>
      <c r="F174" s="47" t="s">
        <v>19</v>
      </c>
      <c r="G174" s="48">
        <v>4056.0</v>
      </c>
      <c r="H174" s="48">
        <v>196.0</v>
      </c>
      <c r="I174" s="48">
        <v>58.0</v>
      </c>
      <c r="J174" s="49">
        <v>95.3904045155221</v>
      </c>
      <c r="K174" s="49"/>
      <c r="L174" s="50">
        <v>4066.0</v>
      </c>
      <c r="M174" s="50">
        <v>86.0</v>
      </c>
      <c r="N174" s="50">
        <v>43.0</v>
      </c>
      <c r="O174" s="49">
        <v>97.9287090558767</v>
      </c>
      <c r="P174" s="51"/>
    </row>
    <row r="175" ht="15.0" customHeight="1">
      <c r="A175" s="52">
        <v>169.0</v>
      </c>
      <c r="B175" s="53" t="s">
        <v>24</v>
      </c>
      <c r="C175" s="60" t="s">
        <v>59</v>
      </c>
      <c r="D175" s="60" t="s">
        <v>73</v>
      </c>
      <c r="E175" s="60" t="s">
        <v>74</v>
      </c>
      <c r="F175" s="61" t="s">
        <v>74</v>
      </c>
      <c r="G175" s="54">
        <v>809.0</v>
      </c>
      <c r="H175" s="54">
        <v>38.0</v>
      </c>
      <c r="I175" s="54">
        <v>23.0</v>
      </c>
      <c r="J175" s="55">
        <v>95.5135773317592</v>
      </c>
      <c r="K175" s="55">
        <f>G175+H175+I175</f>
        <v>870</v>
      </c>
      <c r="L175" s="56">
        <v>867.0</v>
      </c>
      <c r="M175" s="56">
        <v>11.0</v>
      </c>
      <c r="N175" s="56">
        <v>18.0</v>
      </c>
      <c r="O175" s="55">
        <v>98.74715261959</v>
      </c>
      <c r="P175" s="57">
        <f>L175+M175+N175</f>
        <v>896</v>
      </c>
    </row>
    <row r="176" ht="15.0" hidden="1" customHeight="1">
      <c r="A176" s="45">
        <v>170.0</v>
      </c>
      <c r="B176" s="46" t="s">
        <v>24</v>
      </c>
      <c r="C176" s="46" t="s">
        <v>59</v>
      </c>
      <c r="D176" s="46" t="s">
        <v>73</v>
      </c>
      <c r="E176" s="46" t="s">
        <v>74</v>
      </c>
      <c r="F176" s="47" t="s">
        <v>18</v>
      </c>
      <c r="G176" s="48"/>
      <c r="H176" s="48"/>
      <c r="I176" s="48"/>
      <c r="J176" s="49"/>
      <c r="K176" s="49"/>
      <c r="L176" s="50">
        <v>126.0</v>
      </c>
      <c r="M176" s="50">
        <v>1.0</v>
      </c>
      <c r="N176" s="50">
        <v>2.0</v>
      </c>
      <c r="O176" s="49">
        <v>99.2125984251969</v>
      </c>
      <c r="P176" s="51"/>
    </row>
    <row r="177" ht="15.0" hidden="1" customHeight="1">
      <c r="A177" s="45">
        <v>171.0</v>
      </c>
      <c r="B177" s="46" t="s">
        <v>24</v>
      </c>
      <c r="C177" s="46" t="s">
        <v>59</v>
      </c>
      <c r="D177" s="46" t="s">
        <v>73</v>
      </c>
      <c r="E177" s="46" t="s">
        <v>74</v>
      </c>
      <c r="F177" s="47" t="s">
        <v>19</v>
      </c>
      <c r="G177" s="48">
        <v>809.0</v>
      </c>
      <c r="H177" s="48">
        <v>38.0</v>
      </c>
      <c r="I177" s="48">
        <v>23.0</v>
      </c>
      <c r="J177" s="49">
        <v>95.5135773317592</v>
      </c>
      <c r="K177" s="49"/>
      <c r="L177" s="50">
        <v>741.0</v>
      </c>
      <c r="M177" s="50">
        <v>10.0</v>
      </c>
      <c r="N177" s="50">
        <v>16.0</v>
      </c>
      <c r="O177" s="49">
        <v>98.6684420772304</v>
      </c>
      <c r="P177" s="51"/>
    </row>
    <row r="178" ht="15.0" customHeight="1">
      <c r="A178" s="52">
        <v>172.0</v>
      </c>
      <c r="B178" s="53" t="s">
        <v>24</v>
      </c>
      <c r="C178" s="60" t="s">
        <v>59</v>
      </c>
      <c r="D178" s="60" t="s">
        <v>73</v>
      </c>
      <c r="E178" s="60" t="s">
        <v>75</v>
      </c>
      <c r="F178" s="61" t="s">
        <v>75</v>
      </c>
      <c r="G178" s="54">
        <v>1149.0</v>
      </c>
      <c r="H178" s="54">
        <v>55.0</v>
      </c>
      <c r="I178" s="54">
        <v>11.0</v>
      </c>
      <c r="J178" s="55">
        <v>95.4318936877076</v>
      </c>
      <c r="K178" s="55">
        <f>G178+H178+I178</f>
        <v>1215</v>
      </c>
      <c r="L178" s="56">
        <v>1017.0</v>
      </c>
      <c r="M178" s="56">
        <v>22.0</v>
      </c>
      <c r="N178" s="56">
        <v>5.0</v>
      </c>
      <c r="O178" s="55">
        <v>97.8825794032724</v>
      </c>
      <c r="P178" s="57">
        <f>L178+M178+N178</f>
        <v>1044</v>
      </c>
    </row>
    <row r="179" ht="15.0" hidden="1" customHeight="1">
      <c r="A179" s="45">
        <v>173.0</v>
      </c>
      <c r="B179" s="46" t="s">
        <v>24</v>
      </c>
      <c r="C179" s="46" t="s">
        <v>59</v>
      </c>
      <c r="D179" s="46" t="s">
        <v>73</v>
      </c>
      <c r="E179" s="46" t="s">
        <v>75</v>
      </c>
      <c r="F179" s="47" t="s">
        <v>18</v>
      </c>
      <c r="G179" s="48"/>
      <c r="H179" s="48"/>
      <c r="I179" s="48"/>
      <c r="J179" s="49"/>
      <c r="K179" s="49"/>
      <c r="L179" s="50"/>
      <c r="M179" s="50"/>
      <c r="N179" s="50"/>
      <c r="O179" s="49"/>
      <c r="P179" s="51"/>
    </row>
    <row r="180" ht="15.0" hidden="1" customHeight="1">
      <c r="A180" s="45">
        <v>174.0</v>
      </c>
      <c r="B180" s="46" t="s">
        <v>24</v>
      </c>
      <c r="C180" s="46" t="s">
        <v>59</v>
      </c>
      <c r="D180" s="46" t="s">
        <v>73</v>
      </c>
      <c r="E180" s="46" t="s">
        <v>75</v>
      </c>
      <c r="F180" s="47" t="s">
        <v>19</v>
      </c>
      <c r="G180" s="48">
        <v>1149.0</v>
      </c>
      <c r="H180" s="48">
        <v>55.0</v>
      </c>
      <c r="I180" s="48">
        <v>11.0</v>
      </c>
      <c r="J180" s="49">
        <v>95.4318936877076</v>
      </c>
      <c r="K180" s="49"/>
      <c r="L180" s="50">
        <v>1017.0</v>
      </c>
      <c r="M180" s="50">
        <v>22.0</v>
      </c>
      <c r="N180" s="50">
        <v>5.0</v>
      </c>
      <c r="O180" s="49">
        <v>97.8825794032724</v>
      </c>
      <c r="P180" s="51"/>
    </row>
    <row r="181" ht="15.0" customHeight="1">
      <c r="A181" s="52">
        <v>175.0</v>
      </c>
      <c r="B181" s="53" t="s">
        <v>24</v>
      </c>
      <c r="C181" s="60" t="s">
        <v>59</v>
      </c>
      <c r="D181" s="60" t="s">
        <v>73</v>
      </c>
      <c r="E181" s="60" t="s">
        <v>76</v>
      </c>
      <c r="F181" s="61" t="s">
        <v>76</v>
      </c>
      <c r="G181" s="54">
        <v>670.0</v>
      </c>
      <c r="H181" s="54">
        <v>31.0</v>
      </c>
      <c r="I181" s="54">
        <v>12.0</v>
      </c>
      <c r="J181" s="55">
        <v>95.5777460770328</v>
      </c>
      <c r="K181" s="55">
        <f>G181+H181+I181</f>
        <v>713</v>
      </c>
      <c r="L181" s="56">
        <v>755.0</v>
      </c>
      <c r="M181" s="56">
        <v>19.0</v>
      </c>
      <c r="N181" s="56">
        <v>7.0</v>
      </c>
      <c r="O181" s="55">
        <v>97.5452196382429</v>
      </c>
      <c r="P181" s="57">
        <f>L181+M181+N181</f>
        <v>781</v>
      </c>
    </row>
    <row r="182" ht="15.0" hidden="1" customHeight="1">
      <c r="A182" s="45">
        <v>176.0</v>
      </c>
      <c r="B182" s="46" t="s">
        <v>24</v>
      </c>
      <c r="C182" s="46" t="s">
        <v>59</v>
      </c>
      <c r="D182" s="46" t="s">
        <v>73</v>
      </c>
      <c r="E182" s="46" t="s">
        <v>76</v>
      </c>
      <c r="F182" s="47" t="s">
        <v>18</v>
      </c>
      <c r="G182" s="48"/>
      <c r="H182" s="48"/>
      <c r="I182" s="48"/>
      <c r="J182" s="49"/>
      <c r="K182" s="49"/>
      <c r="L182" s="50"/>
      <c r="M182" s="50"/>
      <c r="N182" s="50"/>
      <c r="O182" s="49"/>
      <c r="P182" s="51"/>
    </row>
    <row r="183" ht="15.0" hidden="1" customHeight="1">
      <c r="A183" s="45">
        <v>177.0</v>
      </c>
      <c r="B183" s="46" t="s">
        <v>24</v>
      </c>
      <c r="C183" s="46" t="s">
        <v>59</v>
      </c>
      <c r="D183" s="46" t="s">
        <v>73</v>
      </c>
      <c r="E183" s="46" t="s">
        <v>76</v>
      </c>
      <c r="F183" s="47" t="s">
        <v>19</v>
      </c>
      <c r="G183" s="48">
        <v>670.0</v>
      </c>
      <c r="H183" s="48">
        <v>31.0</v>
      </c>
      <c r="I183" s="48">
        <v>12.0</v>
      </c>
      <c r="J183" s="49">
        <v>95.5777460770328</v>
      </c>
      <c r="K183" s="49"/>
      <c r="L183" s="50">
        <v>755.0</v>
      </c>
      <c r="M183" s="50">
        <v>19.0</v>
      </c>
      <c r="N183" s="50">
        <v>7.0</v>
      </c>
      <c r="O183" s="49">
        <v>97.5452196382429</v>
      </c>
      <c r="P183" s="51"/>
    </row>
    <row r="184" ht="15.0" customHeight="1">
      <c r="A184" s="52">
        <v>178.0</v>
      </c>
      <c r="B184" s="53" t="s">
        <v>24</v>
      </c>
      <c r="C184" s="60" t="s">
        <v>59</v>
      </c>
      <c r="D184" s="60" t="s">
        <v>73</v>
      </c>
      <c r="E184" s="60" t="s">
        <v>77</v>
      </c>
      <c r="F184" s="61" t="s">
        <v>77</v>
      </c>
      <c r="G184" s="54">
        <v>303.0</v>
      </c>
      <c r="H184" s="54">
        <v>20.0</v>
      </c>
      <c r="I184" s="54">
        <v>2.0</v>
      </c>
      <c r="J184" s="55">
        <v>93.8080495356037</v>
      </c>
      <c r="K184" s="55">
        <f>G184+H184+I184</f>
        <v>325</v>
      </c>
      <c r="L184" s="56">
        <v>369.0</v>
      </c>
      <c r="M184" s="56">
        <v>5.0</v>
      </c>
      <c r="N184" s="56">
        <v>2.0</v>
      </c>
      <c r="O184" s="55">
        <v>98.6631016042781</v>
      </c>
      <c r="P184" s="57">
        <f>L184+M184+N184</f>
        <v>376</v>
      </c>
    </row>
    <row r="185" ht="15.0" hidden="1" customHeight="1">
      <c r="A185" s="45">
        <v>179.0</v>
      </c>
      <c r="B185" s="46" t="s">
        <v>24</v>
      </c>
      <c r="C185" s="46" t="s">
        <v>59</v>
      </c>
      <c r="D185" s="46" t="s">
        <v>73</v>
      </c>
      <c r="E185" s="46" t="s">
        <v>77</v>
      </c>
      <c r="F185" s="47" t="s">
        <v>18</v>
      </c>
      <c r="G185" s="48"/>
      <c r="H185" s="48"/>
      <c r="I185" s="48"/>
      <c r="J185" s="49"/>
      <c r="K185" s="49"/>
      <c r="L185" s="50"/>
      <c r="M185" s="50"/>
      <c r="N185" s="50"/>
      <c r="O185" s="49"/>
      <c r="P185" s="51"/>
    </row>
    <row r="186" ht="15.0" hidden="1" customHeight="1">
      <c r="A186" s="45">
        <v>180.0</v>
      </c>
      <c r="B186" s="46" t="s">
        <v>24</v>
      </c>
      <c r="C186" s="46" t="s">
        <v>59</v>
      </c>
      <c r="D186" s="46" t="s">
        <v>73</v>
      </c>
      <c r="E186" s="46" t="s">
        <v>77</v>
      </c>
      <c r="F186" s="47" t="s">
        <v>19</v>
      </c>
      <c r="G186" s="48">
        <v>303.0</v>
      </c>
      <c r="H186" s="48">
        <v>20.0</v>
      </c>
      <c r="I186" s="48">
        <v>2.0</v>
      </c>
      <c r="J186" s="49">
        <v>93.8080495356037</v>
      </c>
      <c r="K186" s="49"/>
      <c r="L186" s="50">
        <v>369.0</v>
      </c>
      <c r="M186" s="50">
        <v>5.0</v>
      </c>
      <c r="N186" s="50">
        <v>2.0</v>
      </c>
      <c r="O186" s="49">
        <v>98.6631016042781</v>
      </c>
      <c r="P186" s="51"/>
    </row>
    <row r="187" ht="15.0" customHeight="1">
      <c r="A187" s="52">
        <v>181.0</v>
      </c>
      <c r="B187" s="53" t="s">
        <v>24</v>
      </c>
      <c r="C187" s="60" t="s">
        <v>59</v>
      </c>
      <c r="D187" s="60" t="s">
        <v>73</v>
      </c>
      <c r="E187" s="60" t="s">
        <v>78</v>
      </c>
      <c r="F187" s="61" t="s">
        <v>78</v>
      </c>
      <c r="G187" s="54">
        <v>273.0</v>
      </c>
      <c r="H187" s="54">
        <v>8.0</v>
      </c>
      <c r="I187" s="54">
        <v>1.0</v>
      </c>
      <c r="J187" s="55">
        <v>97.153024911032</v>
      </c>
      <c r="K187" s="55">
        <f>G187+H187+I187</f>
        <v>282</v>
      </c>
      <c r="L187" s="56">
        <v>267.0</v>
      </c>
      <c r="M187" s="56">
        <v>16.0</v>
      </c>
      <c r="N187" s="56">
        <v>5.0</v>
      </c>
      <c r="O187" s="55">
        <v>94.3462897526502</v>
      </c>
      <c r="P187" s="57">
        <f>L187+M187+N187</f>
        <v>288</v>
      </c>
    </row>
    <row r="188" ht="15.0" hidden="1" customHeight="1">
      <c r="A188" s="45">
        <v>182.0</v>
      </c>
      <c r="B188" s="46" t="s">
        <v>24</v>
      </c>
      <c r="C188" s="46" t="s">
        <v>59</v>
      </c>
      <c r="D188" s="46" t="s">
        <v>73</v>
      </c>
      <c r="E188" s="46" t="s">
        <v>78</v>
      </c>
      <c r="F188" s="47" t="s">
        <v>18</v>
      </c>
      <c r="G188" s="48"/>
      <c r="H188" s="48"/>
      <c r="I188" s="48"/>
      <c r="J188" s="49"/>
      <c r="K188" s="49"/>
      <c r="L188" s="50"/>
      <c r="M188" s="50"/>
      <c r="N188" s="50"/>
      <c r="O188" s="49"/>
      <c r="P188" s="51"/>
    </row>
    <row r="189" ht="15.0" hidden="1" customHeight="1">
      <c r="A189" s="45">
        <v>183.0</v>
      </c>
      <c r="B189" s="46" t="s">
        <v>24</v>
      </c>
      <c r="C189" s="46" t="s">
        <v>59</v>
      </c>
      <c r="D189" s="46" t="s">
        <v>73</v>
      </c>
      <c r="E189" s="46" t="s">
        <v>78</v>
      </c>
      <c r="F189" s="47" t="s">
        <v>19</v>
      </c>
      <c r="G189" s="48">
        <v>273.0</v>
      </c>
      <c r="H189" s="48">
        <v>8.0</v>
      </c>
      <c r="I189" s="48">
        <v>1.0</v>
      </c>
      <c r="J189" s="49">
        <v>97.153024911032</v>
      </c>
      <c r="K189" s="49"/>
      <c r="L189" s="50">
        <v>267.0</v>
      </c>
      <c r="M189" s="50">
        <v>16.0</v>
      </c>
      <c r="N189" s="50">
        <v>5.0</v>
      </c>
      <c r="O189" s="49">
        <v>94.3462897526502</v>
      </c>
      <c r="P189" s="51"/>
    </row>
    <row r="190" ht="15.0" customHeight="1">
      <c r="A190" s="52">
        <v>184.0</v>
      </c>
      <c r="B190" s="53" t="s">
        <v>24</v>
      </c>
      <c r="C190" s="60" t="s">
        <v>59</v>
      </c>
      <c r="D190" s="60" t="s">
        <v>73</v>
      </c>
      <c r="E190" s="60" t="s">
        <v>79</v>
      </c>
      <c r="F190" s="61" t="s">
        <v>79</v>
      </c>
      <c r="G190" s="54">
        <v>484.0</v>
      </c>
      <c r="H190" s="54">
        <v>32.0</v>
      </c>
      <c r="I190" s="54">
        <v>4.0</v>
      </c>
      <c r="J190" s="55">
        <v>93.7984496124031</v>
      </c>
      <c r="K190" s="55">
        <f>G190+H190+I190</f>
        <v>520</v>
      </c>
      <c r="L190" s="56">
        <v>347.0</v>
      </c>
      <c r="M190" s="56">
        <v>7.0</v>
      </c>
      <c r="N190" s="56">
        <v>4.0</v>
      </c>
      <c r="O190" s="55">
        <v>98.0225988700565</v>
      </c>
      <c r="P190" s="57">
        <f>L190+M190+N190</f>
        <v>358</v>
      </c>
    </row>
    <row r="191" ht="15.0" hidden="1" customHeight="1">
      <c r="A191" s="45">
        <v>185.0</v>
      </c>
      <c r="B191" s="46" t="s">
        <v>24</v>
      </c>
      <c r="C191" s="46" t="s">
        <v>59</v>
      </c>
      <c r="D191" s="46" t="s">
        <v>73</v>
      </c>
      <c r="E191" s="46" t="s">
        <v>79</v>
      </c>
      <c r="F191" s="47" t="s">
        <v>18</v>
      </c>
      <c r="G191" s="48">
        <v>191.0</v>
      </c>
      <c r="H191" s="48">
        <v>16.0</v>
      </c>
      <c r="I191" s="48">
        <v>1.0</v>
      </c>
      <c r="J191" s="49">
        <v>92.2705314009662</v>
      </c>
      <c r="K191" s="49"/>
      <c r="L191" s="50">
        <v>130.0</v>
      </c>
      <c r="M191" s="50">
        <v>4.0</v>
      </c>
      <c r="N191" s="50">
        <v>3.0</v>
      </c>
      <c r="O191" s="49">
        <v>97.0149253731343</v>
      </c>
      <c r="P191" s="51"/>
    </row>
    <row r="192" ht="15.0" hidden="1" customHeight="1">
      <c r="A192" s="45">
        <v>186.0</v>
      </c>
      <c r="B192" s="46" t="s">
        <v>24</v>
      </c>
      <c r="C192" s="46" t="s">
        <v>59</v>
      </c>
      <c r="D192" s="46" t="s">
        <v>73</v>
      </c>
      <c r="E192" s="46" t="s">
        <v>79</v>
      </c>
      <c r="F192" s="47" t="s">
        <v>19</v>
      </c>
      <c r="G192" s="48">
        <v>293.0</v>
      </c>
      <c r="H192" s="48">
        <v>16.0</v>
      </c>
      <c r="I192" s="48">
        <v>3.0</v>
      </c>
      <c r="J192" s="49">
        <v>94.8220064724919</v>
      </c>
      <c r="K192" s="49"/>
      <c r="L192" s="50">
        <v>217.0</v>
      </c>
      <c r="M192" s="50">
        <v>3.0</v>
      </c>
      <c r="N192" s="50">
        <v>1.0</v>
      </c>
      <c r="O192" s="49">
        <v>98.6363636363636</v>
      </c>
      <c r="P192" s="51"/>
    </row>
    <row r="193" ht="15.0" customHeight="1">
      <c r="A193" s="52">
        <v>187.0</v>
      </c>
      <c r="B193" s="53" t="s">
        <v>24</v>
      </c>
      <c r="C193" s="60" t="s">
        <v>59</v>
      </c>
      <c r="D193" s="60" t="s">
        <v>73</v>
      </c>
      <c r="E193" s="60" t="s">
        <v>80</v>
      </c>
      <c r="F193" s="61" t="s">
        <v>80</v>
      </c>
      <c r="G193" s="54">
        <v>55.0</v>
      </c>
      <c r="H193" s="54">
        <v>2.0</v>
      </c>
      <c r="I193" s="54">
        <v>0.0</v>
      </c>
      <c r="J193" s="55">
        <v>96.4912280701754</v>
      </c>
      <c r="K193" s="55">
        <f>G193+H193+I193</f>
        <v>57</v>
      </c>
      <c r="L193" s="56">
        <v>260.0</v>
      </c>
      <c r="M193" s="56">
        <v>3.0</v>
      </c>
      <c r="N193" s="56">
        <v>1.0</v>
      </c>
      <c r="O193" s="55">
        <v>98.8593155893536</v>
      </c>
      <c r="P193" s="57">
        <f>L193+M193+N193</f>
        <v>264</v>
      </c>
    </row>
    <row r="194" ht="15.0" hidden="1" customHeight="1">
      <c r="A194" s="45">
        <v>188.0</v>
      </c>
      <c r="B194" s="46" t="s">
        <v>24</v>
      </c>
      <c r="C194" s="46" t="s">
        <v>59</v>
      </c>
      <c r="D194" s="46" t="s">
        <v>73</v>
      </c>
      <c r="E194" s="46" t="s">
        <v>80</v>
      </c>
      <c r="F194" s="47" t="s">
        <v>18</v>
      </c>
      <c r="G194" s="48"/>
      <c r="H194" s="48"/>
      <c r="I194" s="48"/>
      <c r="J194" s="49"/>
      <c r="K194" s="49"/>
      <c r="L194" s="50"/>
      <c r="M194" s="50"/>
      <c r="N194" s="50"/>
      <c r="O194" s="49"/>
      <c r="P194" s="51"/>
    </row>
    <row r="195" ht="15.0" hidden="1" customHeight="1">
      <c r="A195" s="45">
        <v>189.0</v>
      </c>
      <c r="B195" s="46" t="s">
        <v>24</v>
      </c>
      <c r="C195" s="46" t="s">
        <v>59</v>
      </c>
      <c r="D195" s="46" t="s">
        <v>73</v>
      </c>
      <c r="E195" s="46" t="s">
        <v>80</v>
      </c>
      <c r="F195" s="47" t="s">
        <v>19</v>
      </c>
      <c r="G195" s="48">
        <v>55.0</v>
      </c>
      <c r="H195" s="48">
        <v>2.0</v>
      </c>
      <c r="I195" s="48">
        <v>0.0</v>
      </c>
      <c r="J195" s="49">
        <v>96.4912280701754</v>
      </c>
      <c r="K195" s="49"/>
      <c r="L195" s="50">
        <v>260.0</v>
      </c>
      <c r="M195" s="50">
        <v>3.0</v>
      </c>
      <c r="N195" s="50">
        <v>1.0</v>
      </c>
      <c r="O195" s="49">
        <v>98.8593155893536</v>
      </c>
      <c r="P195" s="51"/>
    </row>
    <row r="196" ht="15.0" customHeight="1">
      <c r="A196" s="52">
        <v>190.0</v>
      </c>
      <c r="B196" s="53" t="s">
        <v>24</v>
      </c>
      <c r="C196" s="60" t="s">
        <v>59</v>
      </c>
      <c r="D196" s="60" t="s">
        <v>73</v>
      </c>
      <c r="E196" s="60" t="s">
        <v>81</v>
      </c>
      <c r="F196" s="61" t="s">
        <v>81</v>
      </c>
      <c r="G196" s="54">
        <v>504.0</v>
      </c>
      <c r="H196" s="54">
        <v>26.0</v>
      </c>
      <c r="I196" s="54">
        <v>6.0</v>
      </c>
      <c r="J196" s="55">
        <v>95.0943396226415</v>
      </c>
      <c r="K196" s="55">
        <f>G196+H196+I196</f>
        <v>536</v>
      </c>
      <c r="L196" s="56">
        <v>440.0</v>
      </c>
      <c r="M196" s="56">
        <v>8.0</v>
      </c>
      <c r="N196" s="56">
        <v>6.0</v>
      </c>
      <c r="O196" s="55">
        <v>98.2142857142857</v>
      </c>
      <c r="P196" s="57">
        <f>L196+M196+N196</f>
        <v>454</v>
      </c>
    </row>
    <row r="197" ht="15.0" hidden="1" customHeight="1">
      <c r="A197" s="45">
        <v>191.0</v>
      </c>
      <c r="B197" s="46" t="s">
        <v>24</v>
      </c>
      <c r="C197" s="46" t="s">
        <v>59</v>
      </c>
      <c r="D197" s="46" t="s">
        <v>73</v>
      </c>
      <c r="E197" s="46" t="s">
        <v>81</v>
      </c>
      <c r="F197" s="47" t="s">
        <v>18</v>
      </c>
      <c r="G197" s="48"/>
      <c r="H197" s="48"/>
      <c r="I197" s="48"/>
      <c r="J197" s="49"/>
      <c r="K197" s="49"/>
      <c r="L197" s="50"/>
      <c r="M197" s="50"/>
      <c r="N197" s="50"/>
      <c r="O197" s="49"/>
      <c r="P197" s="51"/>
    </row>
    <row r="198" ht="15.0" hidden="1" customHeight="1">
      <c r="A198" s="45">
        <v>192.0</v>
      </c>
      <c r="B198" s="46" t="s">
        <v>24</v>
      </c>
      <c r="C198" s="46" t="s">
        <v>59</v>
      </c>
      <c r="D198" s="46" t="s">
        <v>73</v>
      </c>
      <c r="E198" s="46" t="s">
        <v>81</v>
      </c>
      <c r="F198" s="47" t="s">
        <v>19</v>
      </c>
      <c r="G198" s="48">
        <v>504.0</v>
      </c>
      <c r="H198" s="48">
        <v>26.0</v>
      </c>
      <c r="I198" s="48">
        <v>6.0</v>
      </c>
      <c r="J198" s="49">
        <v>95.0943396226415</v>
      </c>
      <c r="K198" s="49"/>
      <c r="L198" s="50">
        <v>440.0</v>
      </c>
      <c r="M198" s="50">
        <v>8.0</v>
      </c>
      <c r="N198" s="50">
        <v>6.0</v>
      </c>
      <c r="O198" s="49">
        <v>98.2142857142857</v>
      </c>
      <c r="P198" s="51"/>
    </row>
    <row r="199" ht="15.0" hidden="1" customHeight="1">
      <c r="A199" s="39">
        <v>193.0</v>
      </c>
      <c r="B199" s="40" t="s">
        <v>22</v>
      </c>
      <c r="C199" s="59" t="s">
        <v>59</v>
      </c>
      <c r="D199" s="59" t="s">
        <v>82</v>
      </c>
      <c r="E199" s="59"/>
      <c r="F199" s="40" t="s">
        <v>82</v>
      </c>
      <c r="G199" s="41">
        <v>3939.0</v>
      </c>
      <c r="H199" s="41">
        <v>317.0</v>
      </c>
      <c r="I199" s="41">
        <v>44.0</v>
      </c>
      <c r="J199" s="42">
        <v>92.5516917293233</v>
      </c>
      <c r="K199" s="42"/>
      <c r="L199" s="43">
        <v>3375.0</v>
      </c>
      <c r="M199" s="43">
        <v>77.0</v>
      </c>
      <c r="N199" s="43">
        <v>48.0</v>
      </c>
      <c r="O199" s="42">
        <v>97.7694090382387</v>
      </c>
      <c r="P199" s="44"/>
    </row>
    <row r="200" ht="15.0" hidden="1" customHeight="1">
      <c r="A200" s="45">
        <v>194.0</v>
      </c>
      <c r="B200" s="46" t="s">
        <v>22</v>
      </c>
      <c r="C200" s="46" t="s">
        <v>59</v>
      </c>
      <c r="D200" s="46" t="s">
        <v>82</v>
      </c>
      <c r="E200" s="46"/>
      <c r="F200" s="47" t="s">
        <v>18</v>
      </c>
      <c r="G200" s="48"/>
      <c r="H200" s="48"/>
      <c r="I200" s="48"/>
      <c r="J200" s="49"/>
      <c r="K200" s="49"/>
      <c r="L200" s="50"/>
      <c r="M200" s="50"/>
      <c r="N200" s="50"/>
      <c r="O200" s="49"/>
      <c r="P200" s="51"/>
    </row>
    <row r="201" ht="15.0" hidden="1" customHeight="1">
      <c r="A201" s="45">
        <v>195.0</v>
      </c>
      <c r="B201" s="46" t="s">
        <v>22</v>
      </c>
      <c r="C201" s="46" t="s">
        <v>59</v>
      </c>
      <c r="D201" s="46" t="s">
        <v>82</v>
      </c>
      <c r="E201" s="46"/>
      <c r="F201" s="47" t="s">
        <v>19</v>
      </c>
      <c r="G201" s="48">
        <v>3939.0</v>
      </c>
      <c r="H201" s="48">
        <v>317.0</v>
      </c>
      <c r="I201" s="48">
        <v>44.0</v>
      </c>
      <c r="J201" s="49">
        <v>92.5516917293233</v>
      </c>
      <c r="K201" s="49"/>
      <c r="L201" s="50">
        <v>3375.0</v>
      </c>
      <c r="M201" s="50">
        <v>77.0</v>
      </c>
      <c r="N201" s="50">
        <v>48.0</v>
      </c>
      <c r="O201" s="49">
        <v>97.7694090382387</v>
      </c>
      <c r="P201" s="51"/>
    </row>
    <row r="202" ht="15.0" customHeight="1">
      <c r="A202" s="52">
        <v>196.0</v>
      </c>
      <c r="B202" s="53" t="s">
        <v>24</v>
      </c>
      <c r="C202" s="60" t="s">
        <v>59</v>
      </c>
      <c r="D202" s="60" t="s">
        <v>82</v>
      </c>
      <c r="E202" s="60" t="s">
        <v>83</v>
      </c>
      <c r="F202" s="61" t="s">
        <v>83</v>
      </c>
      <c r="G202" s="54">
        <v>718.0</v>
      </c>
      <c r="H202" s="54">
        <v>60.0</v>
      </c>
      <c r="I202" s="54">
        <v>12.0</v>
      </c>
      <c r="J202" s="55">
        <v>92.2879177377892</v>
      </c>
      <c r="K202" s="55">
        <f>G202+H202+I202</f>
        <v>790</v>
      </c>
      <c r="L202" s="56">
        <v>704.0</v>
      </c>
      <c r="M202" s="56">
        <v>13.0</v>
      </c>
      <c r="N202" s="56">
        <v>6.0</v>
      </c>
      <c r="O202" s="55">
        <v>98.186889818689</v>
      </c>
      <c r="P202" s="57">
        <f>L202+M202+N202</f>
        <v>723</v>
      </c>
    </row>
    <row r="203" ht="15.0" hidden="1" customHeight="1">
      <c r="A203" s="45">
        <v>197.0</v>
      </c>
      <c r="B203" s="46" t="s">
        <v>24</v>
      </c>
      <c r="C203" s="46" t="s">
        <v>59</v>
      </c>
      <c r="D203" s="46" t="s">
        <v>82</v>
      </c>
      <c r="E203" s="46" t="s">
        <v>83</v>
      </c>
      <c r="F203" s="47" t="s">
        <v>18</v>
      </c>
      <c r="G203" s="48"/>
      <c r="H203" s="48"/>
      <c r="I203" s="48"/>
      <c r="J203" s="49"/>
      <c r="K203" s="49"/>
      <c r="L203" s="50"/>
      <c r="M203" s="50"/>
      <c r="N203" s="50"/>
      <c r="O203" s="49"/>
      <c r="P203" s="51"/>
    </row>
    <row r="204" ht="15.0" hidden="1" customHeight="1">
      <c r="A204" s="45">
        <v>198.0</v>
      </c>
      <c r="B204" s="46" t="s">
        <v>24</v>
      </c>
      <c r="C204" s="46" t="s">
        <v>59</v>
      </c>
      <c r="D204" s="46" t="s">
        <v>82</v>
      </c>
      <c r="E204" s="46" t="s">
        <v>83</v>
      </c>
      <c r="F204" s="47" t="s">
        <v>19</v>
      </c>
      <c r="G204" s="48">
        <v>718.0</v>
      </c>
      <c r="H204" s="48">
        <v>60.0</v>
      </c>
      <c r="I204" s="48">
        <v>12.0</v>
      </c>
      <c r="J204" s="49">
        <v>92.2879177377892</v>
      </c>
      <c r="K204" s="49"/>
      <c r="L204" s="50">
        <v>704.0</v>
      </c>
      <c r="M204" s="50">
        <v>13.0</v>
      </c>
      <c r="N204" s="50">
        <v>6.0</v>
      </c>
      <c r="O204" s="49">
        <v>98.186889818689</v>
      </c>
      <c r="P204" s="51"/>
    </row>
    <row r="205" ht="15.0" customHeight="1">
      <c r="A205" s="52">
        <v>199.0</v>
      </c>
      <c r="B205" s="53" t="s">
        <v>24</v>
      </c>
      <c r="C205" s="60" t="s">
        <v>59</v>
      </c>
      <c r="D205" s="60" t="s">
        <v>82</v>
      </c>
      <c r="E205" s="60" t="s">
        <v>84</v>
      </c>
      <c r="F205" s="61" t="s">
        <v>84</v>
      </c>
      <c r="G205" s="54">
        <v>1234.0</v>
      </c>
      <c r="H205" s="54">
        <v>85.0</v>
      </c>
      <c r="I205" s="54">
        <v>9.0</v>
      </c>
      <c r="J205" s="55">
        <v>93.5557240333586</v>
      </c>
      <c r="K205" s="55">
        <f>G205+H205+I205</f>
        <v>1328</v>
      </c>
      <c r="L205" s="56">
        <v>960.0</v>
      </c>
      <c r="M205" s="56">
        <v>24.0</v>
      </c>
      <c r="N205" s="56">
        <v>31.0</v>
      </c>
      <c r="O205" s="55">
        <v>97.5609756097561</v>
      </c>
      <c r="P205" s="57">
        <f>L205+M205+N205</f>
        <v>1015</v>
      </c>
    </row>
    <row r="206" ht="15.0" hidden="1" customHeight="1">
      <c r="A206" s="45">
        <v>200.0</v>
      </c>
      <c r="B206" s="46" t="s">
        <v>24</v>
      </c>
      <c r="C206" s="46" t="s">
        <v>59</v>
      </c>
      <c r="D206" s="46" t="s">
        <v>82</v>
      </c>
      <c r="E206" s="46" t="s">
        <v>84</v>
      </c>
      <c r="F206" s="47" t="s">
        <v>18</v>
      </c>
      <c r="G206" s="48"/>
      <c r="H206" s="48"/>
      <c r="I206" s="48"/>
      <c r="J206" s="49"/>
      <c r="K206" s="49"/>
      <c r="L206" s="50"/>
      <c r="M206" s="50"/>
      <c r="N206" s="50"/>
      <c r="O206" s="49"/>
      <c r="P206" s="51"/>
    </row>
    <row r="207" ht="15.0" hidden="1" customHeight="1">
      <c r="A207" s="45">
        <v>201.0</v>
      </c>
      <c r="B207" s="46" t="s">
        <v>24</v>
      </c>
      <c r="C207" s="46" t="s">
        <v>59</v>
      </c>
      <c r="D207" s="46" t="s">
        <v>82</v>
      </c>
      <c r="E207" s="46" t="s">
        <v>84</v>
      </c>
      <c r="F207" s="47" t="s">
        <v>19</v>
      </c>
      <c r="G207" s="48">
        <v>1234.0</v>
      </c>
      <c r="H207" s="48">
        <v>85.0</v>
      </c>
      <c r="I207" s="48">
        <v>9.0</v>
      </c>
      <c r="J207" s="49">
        <v>93.5557240333586</v>
      </c>
      <c r="K207" s="49"/>
      <c r="L207" s="50">
        <v>960.0</v>
      </c>
      <c r="M207" s="50">
        <v>24.0</v>
      </c>
      <c r="N207" s="50">
        <v>31.0</v>
      </c>
      <c r="O207" s="49">
        <v>97.5609756097561</v>
      </c>
      <c r="P207" s="51"/>
    </row>
    <row r="208" ht="15.0" customHeight="1">
      <c r="A208" s="52">
        <v>202.0</v>
      </c>
      <c r="B208" s="53" t="s">
        <v>24</v>
      </c>
      <c r="C208" s="60" t="s">
        <v>59</v>
      </c>
      <c r="D208" s="60" t="s">
        <v>82</v>
      </c>
      <c r="E208" s="60" t="s">
        <v>85</v>
      </c>
      <c r="F208" s="61" t="s">
        <v>85</v>
      </c>
      <c r="G208" s="54">
        <v>1206.0</v>
      </c>
      <c r="H208" s="54">
        <v>79.0</v>
      </c>
      <c r="I208" s="54">
        <v>12.0</v>
      </c>
      <c r="J208" s="55">
        <v>93.852140077821</v>
      </c>
      <c r="K208" s="55">
        <f>G208+H208+I208</f>
        <v>1297</v>
      </c>
      <c r="L208" s="56">
        <v>941.0</v>
      </c>
      <c r="M208" s="56">
        <v>20.0</v>
      </c>
      <c r="N208" s="56">
        <v>7.0</v>
      </c>
      <c r="O208" s="55">
        <v>97.9188345473465</v>
      </c>
      <c r="P208" s="57">
        <f>L208+M208+N208</f>
        <v>968</v>
      </c>
    </row>
    <row r="209" ht="15.0" hidden="1" customHeight="1">
      <c r="A209" s="45">
        <v>203.0</v>
      </c>
      <c r="B209" s="46" t="s">
        <v>24</v>
      </c>
      <c r="C209" s="46" t="s">
        <v>59</v>
      </c>
      <c r="D209" s="46" t="s">
        <v>82</v>
      </c>
      <c r="E209" s="46" t="s">
        <v>85</v>
      </c>
      <c r="F209" s="47" t="s">
        <v>18</v>
      </c>
      <c r="G209" s="48"/>
      <c r="H209" s="48"/>
      <c r="I209" s="48"/>
      <c r="J209" s="49"/>
      <c r="K209" s="49"/>
      <c r="L209" s="50"/>
      <c r="M209" s="50"/>
      <c r="N209" s="50"/>
      <c r="O209" s="49"/>
      <c r="P209" s="51"/>
    </row>
    <row r="210" ht="15.0" hidden="1" customHeight="1">
      <c r="A210" s="45">
        <v>204.0</v>
      </c>
      <c r="B210" s="46" t="s">
        <v>24</v>
      </c>
      <c r="C210" s="46" t="s">
        <v>59</v>
      </c>
      <c r="D210" s="46" t="s">
        <v>82</v>
      </c>
      <c r="E210" s="46" t="s">
        <v>85</v>
      </c>
      <c r="F210" s="47" t="s">
        <v>19</v>
      </c>
      <c r="G210" s="48">
        <v>1206.0</v>
      </c>
      <c r="H210" s="48">
        <v>79.0</v>
      </c>
      <c r="I210" s="48">
        <v>12.0</v>
      </c>
      <c r="J210" s="49">
        <v>93.852140077821</v>
      </c>
      <c r="K210" s="49"/>
      <c r="L210" s="50">
        <v>941.0</v>
      </c>
      <c r="M210" s="50">
        <v>20.0</v>
      </c>
      <c r="N210" s="50">
        <v>7.0</v>
      </c>
      <c r="O210" s="49">
        <v>97.9188345473465</v>
      </c>
      <c r="P210" s="51"/>
    </row>
    <row r="211" ht="15.0" customHeight="1">
      <c r="A211" s="52">
        <v>205.0</v>
      </c>
      <c r="B211" s="53" t="s">
        <v>24</v>
      </c>
      <c r="C211" s="60" t="s">
        <v>59</v>
      </c>
      <c r="D211" s="60" t="s">
        <v>82</v>
      </c>
      <c r="E211" s="60" t="s">
        <v>86</v>
      </c>
      <c r="F211" s="61" t="s">
        <v>86</v>
      </c>
      <c r="G211" s="54">
        <v>362.0</v>
      </c>
      <c r="H211" s="54">
        <v>49.0</v>
      </c>
      <c r="I211" s="54">
        <v>7.0</v>
      </c>
      <c r="J211" s="55">
        <v>88.0778588807786</v>
      </c>
      <c r="K211" s="55">
        <f>G211+H211+I211</f>
        <v>418</v>
      </c>
      <c r="L211" s="56">
        <v>340.0</v>
      </c>
      <c r="M211" s="56">
        <v>4.0</v>
      </c>
      <c r="N211" s="56">
        <v>2.0</v>
      </c>
      <c r="O211" s="55">
        <v>98.8372093023256</v>
      </c>
      <c r="P211" s="57">
        <f>L211+M211+N211</f>
        <v>346</v>
      </c>
    </row>
    <row r="212" ht="15.0" hidden="1" customHeight="1">
      <c r="A212" s="45">
        <v>206.0</v>
      </c>
      <c r="B212" s="46" t="s">
        <v>24</v>
      </c>
      <c r="C212" s="46" t="s">
        <v>59</v>
      </c>
      <c r="D212" s="46" t="s">
        <v>82</v>
      </c>
      <c r="E212" s="46" t="s">
        <v>86</v>
      </c>
      <c r="F212" s="47" t="s">
        <v>18</v>
      </c>
      <c r="G212" s="48"/>
      <c r="H212" s="48"/>
      <c r="I212" s="48"/>
      <c r="J212" s="49"/>
      <c r="K212" s="49"/>
      <c r="L212" s="50"/>
      <c r="M212" s="50"/>
      <c r="N212" s="50"/>
      <c r="O212" s="49"/>
      <c r="P212" s="51"/>
    </row>
    <row r="213" ht="15.0" hidden="1" customHeight="1">
      <c r="A213" s="45">
        <v>207.0</v>
      </c>
      <c r="B213" s="46" t="s">
        <v>24</v>
      </c>
      <c r="C213" s="46" t="s">
        <v>59</v>
      </c>
      <c r="D213" s="46" t="s">
        <v>82</v>
      </c>
      <c r="E213" s="46" t="s">
        <v>86</v>
      </c>
      <c r="F213" s="47" t="s">
        <v>19</v>
      </c>
      <c r="G213" s="48">
        <v>362.0</v>
      </c>
      <c r="H213" s="48">
        <v>49.0</v>
      </c>
      <c r="I213" s="48">
        <v>7.0</v>
      </c>
      <c r="J213" s="49">
        <v>88.0778588807786</v>
      </c>
      <c r="K213" s="49"/>
      <c r="L213" s="50">
        <v>340.0</v>
      </c>
      <c r="M213" s="50">
        <v>4.0</v>
      </c>
      <c r="N213" s="50">
        <v>2.0</v>
      </c>
      <c r="O213" s="49">
        <v>98.8372093023256</v>
      </c>
      <c r="P213" s="51"/>
    </row>
    <row r="214" ht="15.0" customHeight="1">
      <c r="A214" s="52">
        <v>208.0</v>
      </c>
      <c r="B214" s="53" t="s">
        <v>24</v>
      </c>
      <c r="C214" s="60" t="s">
        <v>59</v>
      </c>
      <c r="D214" s="60" t="s">
        <v>82</v>
      </c>
      <c r="E214" s="60" t="s">
        <v>87</v>
      </c>
      <c r="F214" s="61" t="s">
        <v>87</v>
      </c>
      <c r="G214" s="54">
        <v>419.0</v>
      </c>
      <c r="H214" s="54">
        <v>44.0</v>
      </c>
      <c r="I214" s="54">
        <v>4.0</v>
      </c>
      <c r="J214" s="55">
        <v>90.4967602591793</v>
      </c>
      <c r="K214" s="55">
        <f>G214+H214+I214</f>
        <v>467</v>
      </c>
      <c r="L214" s="56">
        <v>430.0</v>
      </c>
      <c r="M214" s="56">
        <v>16.0</v>
      </c>
      <c r="N214" s="56">
        <v>2.0</v>
      </c>
      <c r="O214" s="55">
        <v>96.4125560538117</v>
      </c>
      <c r="P214" s="57">
        <f>L214+M214+N214</f>
        <v>448</v>
      </c>
    </row>
    <row r="215" ht="15.0" hidden="1" customHeight="1">
      <c r="A215" s="45">
        <v>209.0</v>
      </c>
      <c r="B215" s="46" t="s">
        <v>24</v>
      </c>
      <c r="C215" s="46" t="s">
        <v>59</v>
      </c>
      <c r="D215" s="46" t="s">
        <v>82</v>
      </c>
      <c r="E215" s="46" t="s">
        <v>87</v>
      </c>
      <c r="F215" s="47" t="s">
        <v>18</v>
      </c>
      <c r="G215" s="48"/>
      <c r="H215" s="48"/>
      <c r="I215" s="48"/>
      <c r="J215" s="49"/>
      <c r="K215" s="49"/>
      <c r="L215" s="50"/>
      <c r="M215" s="50"/>
      <c r="N215" s="50"/>
      <c r="O215" s="49"/>
      <c r="P215" s="51"/>
    </row>
    <row r="216" ht="15.0" hidden="1" customHeight="1">
      <c r="A216" s="45">
        <v>210.0</v>
      </c>
      <c r="B216" s="46" t="s">
        <v>24</v>
      </c>
      <c r="C216" s="46" t="s">
        <v>59</v>
      </c>
      <c r="D216" s="46" t="s">
        <v>82</v>
      </c>
      <c r="E216" s="46" t="s">
        <v>87</v>
      </c>
      <c r="F216" s="47" t="s">
        <v>19</v>
      </c>
      <c r="G216" s="48">
        <v>419.0</v>
      </c>
      <c r="H216" s="48">
        <v>44.0</v>
      </c>
      <c r="I216" s="48">
        <v>4.0</v>
      </c>
      <c r="J216" s="49">
        <v>90.4967602591793</v>
      </c>
      <c r="K216" s="49"/>
      <c r="L216" s="50">
        <v>430.0</v>
      </c>
      <c r="M216" s="50">
        <v>16.0</v>
      </c>
      <c r="N216" s="50">
        <v>2.0</v>
      </c>
      <c r="O216" s="49">
        <v>96.4125560538117</v>
      </c>
      <c r="P216" s="51"/>
    </row>
    <row r="217" ht="15.0" hidden="1" customHeight="1">
      <c r="A217" s="39">
        <v>211.0</v>
      </c>
      <c r="B217" s="40" t="s">
        <v>22</v>
      </c>
      <c r="C217" s="59" t="s">
        <v>59</v>
      </c>
      <c r="D217" s="59" t="s">
        <v>88</v>
      </c>
      <c r="E217" s="59"/>
      <c r="F217" s="40" t="s">
        <v>88</v>
      </c>
      <c r="G217" s="41">
        <v>2212.0</v>
      </c>
      <c r="H217" s="41">
        <v>282.0</v>
      </c>
      <c r="I217" s="41">
        <v>32.0</v>
      </c>
      <c r="J217" s="42">
        <v>88.6928628708901</v>
      </c>
      <c r="K217" s="42"/>
      <c r="L217" s="43">
        <v>2487.0</v>
      </c>
      <c r="M217" s="43">
        <v>119.0</v>
      </c>
      <c r="N217" s="43">
        <v>51.0</v>
      </c>
      <c r="O217" s="42">
        <v>95.4336147352264</v>
      </c>
      <c r="P217" s="44"/>
    </row>
    <row r="218" ht="15.0" hidden="1" customHeight="1">
      <c r="A218" s="45">
        <v>212.0</v>
      </c>
      <c r="B218" s="46" t="s">
        <v>22</v>
      </c>
      <c r="C218" s="46" t="s">
        <v>59</v>
      </c>
      <c r="D218" s="46" t="s">
        <v>88</v>
      </c>
      <c r="E218" s="46"/>
      <c r="F218" s="47" t="s">
        <v>18</v>
      </c>
      <c r="G218" s="48"/>
      <c r="H218" s="48"/>
      <c r="I218" s="48"/>
      <c r="J218" s="49"/>
      <c r="K218" s="49"/>
      <c r="L218" s="50"/>
      <c r="M218" s="50"/>
      <c r="N218" s="50"/>
      <c r="O218" s="49"/>
      <c r="P218" s="51"/>
    </row>
    <row r="219" ht="15.0" hidden="1" customHeight="1">
      <c r="A219" s="45">
        <v>213.0</v>
      </c>
      <c r="B219" s="46" t="s">
        <v>22</v>
      </c>
      <c r="C219" s="46" t="s">
        <v>59</v>
      </c>
      <c r="D219" s="46" t="s">
        <v>88</v>
      </c>
      <c r="E219" s="46"/>
      <c r="F219" s="47" t="s">
        <v>19</v>
      </c>
      <c r="G219" s="48">
        <v>2212.0</v>
      </c>
      <c r="H219" s="48">
        <v>282.0</v>
      </c>
      <c r="I219" s="48">
        <v>32.0</v>
      </c>
      <c r="J219" s="49">
        <v>88.6928628708901</v>
      </c>
      <c r="K219" s="49"/>
      <c r="L219" s="50">
        <v>2487.0</v>
      </c>
      <c r="M219" s="50">
        <v>119.0</v>
      </c>
      <c r="N219" s="50">
        <v>51.0</v>
      </c>
      <c r="O219" s="49">
        <v>95.4336147352264</v>
      </c>
      <c r="P219" s="51"/>
    </row>
    <row r="220" ht="15.0" customHeight="1">
      <c r="A220" s="52">
        <v>214.0</v>
      </c>
      <c r="B220" s="53" t="s">
        <v>24</v>
      </c>
      <c r="C220" s="60" t="s">
        <v>59</v>
      </c>
      <c r="D220" s="60" t="s">
        <v>88</v>
      </c>
      <c r="E220" s="60" t="s">
        <v>89</v>
      </c>
      <c r="F220" s="61" t="s">
        <v>89</v>
      </c>
      <c r="G220" s="54">
        <v>915.0</v>
      </c>
      <c r="H220" s="54">
        <v>103.0</v>
      </c>
      <c r="I220" s="54">
        <v>11.0</v>
      </c>
      <c r="J220" s="55">
        <v>89.8821218074656</v>
      </c>
      <c r="K220" s="55">
        <f>G220+H220+I220</f>
        <v>1029</v>
      </c>
      <c r="L220" s="56">
        <v>1281.0</v>
      </c>
      <c r="M220" s="56">
        <v>69.0</v>
      </c>
      <c r="N220" s="56">
        <v>27.0</v>
      </c>
      <c r="O220" s="55">
        <v>94.8888888888889</v>
      </c>
      <c r="P220" s="57">
        <f>L220+M220+N220</f>
        <v>1377</v>
      </c>
    </row>
    <row r="221" ht="15.0" hidden="1" customHeight="1">
      <c r="A221" s="45">
        <v>215.0</v>
      </c>
      <c r="B221" s="46" t="s">
        <v>24</v>
      </c>
      <c r="C221" s="46" t="s">
        <v>59</v>
      </c>
      <c r="D221" s="46" t="s">
        <v>88</v>
      </c>
      <c r="E221" s="46" t="s">
        <v>89</v>
      </c>
      <c r="F221" s="47" t="s">
        <v>18</v>
      </c>
      <c r="G221" s="48"/>
      <c r="H221" s="48"/>
      <c r="I221" s="48"/>
      <c r="J221" s="49"/>
      <c r="K221" s="49"/>
      <c r="L221" s="50"/>
      <c r="M221" s="50"/>
      <c r="N221" s="50"/>
      <c r="O221" s="49"/>
      <c r="P221" s="51"/>
    </row>
    <row r="222" ht="15.0" hidden="1" customHeight="1">
      <c r="A222" s="45">
        <v>216.0</v>
      </c>
      <c r="B222" s="46" t="s">
        <v>24</v>
      </c>
      <c r="C222" s="46" t="s">
        <v>59</v>
      </c>
      <c r="D222" s="46" t="s">
        <v>88</v>
      </c>
      <c r="E222" s="46" t="s">
        <v>89</v>
      </c>
      <c r="F222" s="47" t="s">
        <v>19</v>
      </c>
      <c r="G222" s="48">
        <v>915.0</v>
      </c>
      <c r="H222" s="48">
        <v>103.0</v>
      </c>
      <c r="I222" s="48">
        <v>11.0</v>
      </c>
      <c r="J222" s="49">
        <v>89.8821218074656</v>
      </c>
      <c r="K222" s="49"/>
      <c r="L222" s="50">
        <v>1281.0</v>
      </c>
      <c r="M222" s="50">
        <v>69.0</v>
      </c>
      <c r="N222" s="50">
        <v>27.0</v>
      </c>
      <c r="O222" s="49">
        <v>94.8888888888889</v>
      </c>
      <c r="P222" s="51"/>
    </row>
    <row r="223" ht="15.0" customHeight="1">
      <c r="A223" s="52">
        <v>217.0</v>
      </c>
      <c r="B223" s="53" t="s">
        <v>24</v>
      </c>
      <c r="C223" s="60" t="s">
        <v>59</v>
      </c>
      <c r="D223" s="60" t="s">
        <v>88</v>
      </c>
      <c r="E223" s="60" t="s">
        <v>90</v>
      </c>
      <c r="F223" s="61" t="s">
        <v>90</v>
      </c>
      <c r="G223" s="54">
        <v>751.0</v>
      </c>
      <c r="H223" s="54">
        <v>128.0</v>
      </c>
      <c r="I223" s="54">
        <v>12.0</v>
      </c>
      <c r="J223" s="55">
        <v>85.4379977246871</v>
      </c>
      <c r="K223" s="55">
        <f>G223+H223+I223</f>
        <v>891</v>
      </c>
      <c r="L223" s="56">
        <v>640.0</v>
      </c>
      <c r="M223" s="56">
        <v>36.0</v>
      </c>
      <c r="N223" s="56">
        <v>14.0</v>
      </c>
      <c r="O223" s="55">
        <v>94.6745562130178</v>
      </c>
      <c r="P223" s="57">
        <f>L223+M223+N223</f>
        <v>690</v>
      </c>
    </row>
    <row r="224" ht="15.0" hidden="1" customHeight="1">
      <c r="A224" s="45">
        <v>218.0</v>
      </c>
      <c r="B224" s="46" t="s">
        <v>24</v>
      </c>
      <c r="C224" s="46" t="s">
        <v>59</v>
      </c>
      <c r="D224" s="46" t="s">
        <v>88</v>
      </c>
      <c r="E224" s="46" t="s">
        <v>90</v>
      </c>
      <c r="F224" s="47" t="s">
        <v>18</v>
      </c>
      <c r="G224" s="48"/>
      <c r="H224" s="48"/>
      <c r="I224" s="48"/>
      <c r="J224" s="49"/>
      <c r="K224" s="49"/>
      <c r="L224" s="50"/>
      <c r="M224" s="50"/>
      <c r="N224" s="50"/>
      <c r="O224" s="49"/>
      <c r="P224" s="51"/>
    </row>
    <row r="225" ht="15.0" hidden="1" customHeight="1">
      <c r="A225" s="45">
        <v>219.0</v>
      </c>
      <c r="B225" s="46" t="s">
        <v>24</v>
      </c>
      <c r="C225" s="46" t="s">
        <v>59</v>
      </c>
      <c r="D225" s="46" t="s">
        <v>88</v>
      </c>
      <c r="E225" s="46" t="s">
        <v>90</v>
      </c>
      <c r="F225" s="47" t="s">
        <v>19</v>
      </c>
      <c r="G225" s="48">
        <v>751.0</v>
      </c>
      <c r="H225" s="48">
        <v>128.0</v>
      </c>
      <c r="I225" s="48">
        <v>12.0</v>
      </c>
      <c r="J225" s="49">
        <v>85.4379977246871</v>
      </c>
      <c r="K225" s="49"/>
      <c r="L225" s="50">
        <v>640.0</v>
      </c>
      <c r="M225" s="50">
        <v>36.0</v>
      </c>
      <c r="N225" s="50">
        <v>14.0</v>
      </c>
      <c r="O225" s="49">
        <v>94.6745562130178</v>
      </c>
      <c r="P225" s="51"/>
    </row>
    <row r="226" ht="15.0" customHeight="1">
      <c r="A226" s="52">
        <v>220.0</v>
      </c>
      <c r="B226" s="53" t="s">
        <v>24</v>
      </c>
      <c r="C226" s="60" t="s">
        <v>59</v>
      </c>
      <c r="D226" s="60" t="s">
        <v>88</v>
      </c>
      <c r="E226" s="60" t="s">
        <v>91</v>
      </c>
      <c r="F226" s="61" t="s">
        <v>91</v>
      </c>
      <c r="G226" s="54">
        <v>546.0</v>
      </c>
      <c r="H226" s="54">
        <v>51.0</v>
      </c>
      <c r="I226" s="54">
        <v>9.0</v>
      </c>
      <c r="J226" s="55">
        <v>91.4572864321608</v>
      </c>
      <c r="K226" s="55">
        <f>G226+H226+I226</f>
        <v>606</v>
      </c>
      <c r="L226" s="56">
        <v>566.0</v>
      </c>
      <c r="M226" s="56">
        <v>14.0</v>
      </c>
      <c r="N226" s="56">
        <v>10.0</v>
      </c>
      <c r="O226" s="55">
        <v>97.5862068965517</v>
      </c>
      <c r="P226" s="57">
        <f>L226+M226+N226</f>
        <v>590</v>
      </c>
    </row>
    <row r="227" ht="15.0" hidden="1" customHeight="1">
      <c r="A227" s="45">
        <v>221.0</v>
      </c>
      <c r="B227" s="46" t="s">
        <v>24</v>
      </c>
      <c r="C227" s="46" t="s">
        <v>59</v>
      </c>
      <c r="D227" s="46" t="s">
        <v>88</v>
      </c>
      <c r="E227" s="46" t="s">
        <v>91</v>
      </c>
      <c r="F227" s="47" t="s">
        <v>18</v>
      </c>
      <c r="G227" s="48"/>
      <c r="H227" s="48"/>
      <c r="I227" s="48"/>
      <c r="J227" s="49"/>
      <c r="K227" s="49"/>
      <c r="L227" s="50"/>
      <c r="M227" s="50"/>
      <c r="N227" s="50"/>
      <c r="O227" s="49"/>
      <c r="P227" s="51"/>
    </row>
    <row r="228" ht="15.0" hidden="1" customHeight="1">
      <c r="A228" s="45">
        <v>222.0</v>
      </c>
      <c r="B228" s="46" t="s">
        <v>24</v>
      </c>
      <c r="C228" s="46" t="s">
        <v>59</v>
      </c>
      <c r="D228" s="46" t="s">
        <v>88</v>
      </c>
      <c r="E228" s="46" t="s">
        <v>91</v>
      </c>
      <c r="F228" s="47" t="s">
        <v>19</v>
      </c>
      <c r="G228" s="48">
        <v>546.0</v>
      </c>
      <c r="H228" s="48">
        <v>51.0</v>
      </c>
      <c r="I228" s="48">
        <v>9.0</v>
      </c>
      <c r="J228" s="49">
        <v>91.4572864321608</v>
      </c>
      <c r="K228" s="49"/>
      <c r="L228" s="50">
        <v>566.0</v>
      </c>
      <c r="M228" s="50">
        <v>14.0</v>
      </c>
      <c r="N228" s="50">
        <v>10.0</v>
      </c>
      <c r="O228" s="49">
        <v>97.5862068965517</v>
      </c>
      <c r="P228" s="51"/>
    </row>
    <row r="229" ht="15.0" hidden="1" customHeight="1">
      <c r="A229" s="39">
        <v>223.0</v>
      </c>
      <c r="B229" s="40" t="s">
        <v>22</v>
      </c>
      <c r="C229" s="59" t="s">
        <v>59</v>
      </c>
      <c r="D229" s="59" t="s">
        <v>92</v>
      </c>
      <c r="E229" s="59"/>
      <c r="F229" s="40" t="s">
        <v>92</v>
      </c>
      <c r="G229" s="41">
        <v>7836.0</v>
      </c>
      <c r="H229" s="41">
        <v>1315.0</v>
      </c>
      <c r="I229" s="41">
        <v>81.0</v>
      </c>
      <c r="J229" s="42">
        <v>85.6299857939023</v>
      </c>
      <c r="K229" s="42"/>
      <c r="L229" s="43">
        <v>8339.0</v>
      </c>
      <c r="M229" s="43">
        <v>500.0</v>
      </c>
      <c r="N229" s="43">
        <v>92.0</v>
      </c>
      <c r="O229" s="42">
        <v>94.3432514990383</v>
      </c>
      <c r="P229" s="44"/>
    </row>
    <row r="230" ht="15.0" hidden="1" customHeight="1">
      <c r="A230" s="45">
        <v>224.0</v>
      </c>
      <c r="B230" s="46" t="s">
        <v>22</v>
      </c>
      <c r="C230" s="46" t="s">
        <v>59</v>
      </c>
      <c r="D230" s="46" t="s">
        <v>92</v>
      </c>
      <c r="E230" s="46"/>
      <c r="F230" s="47" t="s">
        <v>18</v>
      </c>
      <c r="G230" s="48">
        <v>1504.0</v>
      </c>
      <c r="H230" s="48">
        <v>252.0</v>
      </c>
      <c r="I230" s="48">
        <v>15.0</v>
      </c>
      <c r="J230" s="49">
        <v>85.6492027334852</v>
      </c>
      <c r="K230" s="49"/>
      <c r="L230" s="50">
        <v>1992.0</v>
      </c>
      <c r="M230" s="50">
        <v>149.0</v>
      </c>
      <c r="N230" s="50">
        <v>19.0</v>
      </c>
      <c r="O230" s="49">
        <v>93.0406352171882</v>
      </c>
      <c r="P230" s="51"/>
    </row>
    <row r="231" ht="15.0" hidden="1" customHeight="1">
      <c r="A231" s="45">
        <v>225.0</v>
      </c>
      <c r="B231" s="46" t="s">
        <v>22</v>
      </c>
      <c r="C231" s="46" t="s">
        <v>59</v>
      </c>
      <c r="D231" s="46" t="s">
        <v>92</v>
      </c>
      <c r="E231" s="46"/>
      <c r="F231" s="47" t="s">
        <v>19</v>
      </c>
      <c r="G231" s="48">
        <v>6332.0</v>
      </c>
      <c r="H231" s="48">
        <v>1063.0</v>
      </c>
      <c r="I231" s="48">
        <v>66.0</v>
      </c>
      <c r="J231" s="49">
        <v>85.6254225828262</v>
      </c>
      <c r="K231" s="49"/>
      <c r="L231" s="50">
        <v>6347.0</v>
      </c>
      <c r="M231" s="50">
        <v>351.0</v>
      </c>
      <c r="N231" s="50">
        <v>73.0</v>
      </c>
      <c r="O231" s="49">
        <v>94.759629740221</v>
      </c>
      <c r="P231" s="51"/>
    </row>
    <row r="232" ht="15.0" customHeight="1">
      <c r="A232" s="52">
        <v>226.0</v>
      </c>
      <c r="B232" s="53" t="s">
        <v>24</v>
      </c>
      <c r="C232" s="60" t="s">
        <v>59</v>
      </c>
      <c r="D232" s="60" t="s">
        <v>92</v>
      </c>
      <c r="E232" s="60" t="s">
        <v>93</v>
      </c>
      <c r="F232" s="61" t="s">
        <v>93</v>
      </c>
      <c r="G232" s="54">
        <v>2002.0</v>
      </c>
      <c r="H232" s="54">
        <v>233.0</v>
      </c>
      <c r="I232" s="54">
        <v>21.0</v>
      </c>
      <c r="J232" s="55">
        <v>89.5749440715884</v>
      </c>
      <c r="K232" s="55">
        <f>G232+H232+I232</f>
        <v>2256</v>
      </c>
      <c r="L232" s="56">
        <v>2230.0</v>
      </c>
      <c r="M232" s="56">
        <v>79.0</v>
      </c>
      <c r="N232" s="56">
        <v>23.0</v>
      </c>
      <c r="O232" s="55">
        <v>96.5786054569078</v>
      </c>
      <c r="P232" s="57">
        <f>L232+M232+N232</f>
        <v>2332</v>
      </c>
    </row>
    <row r="233" ht="15.0" hidden="1" customHeight="1">
      <c r="A233" s="45">
        <v>227.0</v>
      </c>
      <c r="B233" s="46" t="s">
        <v>24</v>
      </c>
      <c r="C233" s="46" t="s">
        <v>59</v>
      </c>
      <c r="D233" s="46" t="s">
        <v>92</v>
      </c>
      <c r="E233" s="46" t="s">
        <v>93</v>
      </c>
      <c r="F233" s="47" t="s">
        <v>18</v>
      </c>
      <c r="G233" s="48">
        <v>256.0</v>
      </c>
      <c r="H233" s="48">
        <v>7.0</v>
      </c>
      <c r="I233" s="48">
        <v>2.0</v>
      </c>
      <c r="J233" s="49">
        <v>97.3384030418251</v>
      </c>
      <c r="K233" s="49"/>
      <c r="L233" s="50">
        <v>300.0</v>
      </c>
      <c r="M233" s="50">
        <v>6.0</v>
      </c>
      <c r="N233" s="50">
        <v>0.0</v>
      </c>
      <c r="O233" s="49">
        <v>98.0392156862745</v>
      </c>
      <c r="P233" s="51"/>
    </row>
    <row r="234" ht="15.0" hidden="1" customHeight="1">
      <c r="A234" s="45">
        <v>228.0</v>
      </c>
      <c r="B234" s="46" t="s">
        <v>24</v>
      </c>
      <c r="C234" s="46" t="s">
        <v>59</v>
      </c>
      <c r="D234" s="46" t="s">
        <v>92</v>
      </c>
      <c r="E234" s="46" t="s">
        <v>93</v>
      </c>
      <c r="F234" s="47" t="s">
        <v>19</v>
      </c>
      <c r="G234" s="48">
        <v>1746.0</v>
      </c>
      <c r="H234" s="48">
        <v>226.0</v>
      </c>
      <c r="I234" s="48">
        <v>19.0</v>
      </c>
      <c r="J234" s="49">
        <v>88.5395537525355</v>
      </c>
      <c r="K234" s="49"/>
      <c r="L234" s="50">
        <v>1930.0</v>
      </c>
      <c r="M234" s="50">
        <v>73.0</v>
      </c>
      <c r="N234" s="50">
        <v>23.0</v>
      </c>
      <c r="O234" s="49">
        <v>96.3554667998003</v>
      </c>
      <c r="P234" s="51"/>
    </row>
    <row r="235" ht="15.0" customHeight="1">
      <c r="A235" s="52">
        <v>229.0</v>
      </c>
      <c r="B235" s="53" t="s">
        <v>24</v>
      </c>
      <c r="C235" s="60" t="s">
        <v>59</v>
      </c>
      <c r="D235" s="60" t="s">
        <v>92</v>
      </c>
      <c r="E235" s="60" t="s">
        <v>94</v>
      </c>
      <c r="F235" s="61" t="s">
        <v>94</v>
      </c>
      <c r="G235" s="54">
        <v>1343.0</v>
      </c>
      <c r="H235" s="54">
        <v>266.0</v>
      </c>
      <c r="I235" s="54">
        <v>14.0</v>
      </c>
      <c r="J235" s="55">
        <v>83.4679925419515</v>
      </c>
      <c r="K235" s="55">
        <f>G235+H235+I235</f>
        <v>1623</v>
      </c>
      <c r="L235" s="56">
        <v>1279.0</v>
      </c>
      <c r="M235" s="56">
        <v>62.0</v>
      </c>
      <c r="N235" s="56">
        <v>19.0</v>
      </c>
      <c r="O235" s="55">
        <v>95.3765846383296</v>
      </c>
      <c r="P235" s="57">
        <f>L235+M235+N235</f>
        <v>1360</v>
      </c>
    </row>
    <row r="236" ht="15.0" hidden="1" customHeight="1">
      <c r="A236" s="45">
        <v>230.0</v>
      </c>
      <c r="B236" s="46" t="s">
        <v>24</v>
      </c>
      <c r="C236" s="46" t="s">
        <v>59</v>
      </c>
      <c r="D236" s="46" t="s">
        <v>92</v>
      </c>
      <c r="E236" s="46" t="s">
        <v>94</v>
      </c>
      <c r="F236" s="47" t="s">
        <v>18</v>
      </c>
      <c r="G236" s="48">
        <v>401.0</v>
      </c>
      <c r="H236" s="48">
        <v>44.0</v>
      </c>
      <c r="I236" s="48">
        <v>5.0</v>
      </c>
      <c r="J236" s="49">
        <v>90.1123595505618</v>
      </c>
      <c r="K236" s="49"/>
      <c r="L236" s="50">
        <v>318.0</v>
      </c>
      <c r="M236" s="50">
        <v>16.0</v>
      </c>
      <c r="N236" s="50">
        <v>2.0</v>
      </c>
      <c r="O236" s="49">
        <v>95.2095808383233</v>
      </c>
      <c r="P236" s="51"/>
    </row>
    <row r="237" ht="15.0" hidden="1" customHeight="1">
      <c r="A237" s="45">
        <v>231.0</v>
      </c>
      <c r="B237" s="46" t="s">
        <v>24</v>
      </c>
      <c r="C237" s="46" t="s">
        <v>59</v>
      </c>
      <c r="D237" s="46" t="s">
        <v>92</v>
      </c>
      <c r="E237" s="46" t="s">
        <v>94</v>
      </c>
      <c r="F237" s="47" t="s">
        <v>19</v>
      </c>
      <c r="G237" s="48">
        <v>942.0</v>
      </c>
      <c r="H237" s="48">
        <v>222.0</v>
      </c>
      <c r="I237" s="48">
        <v>9.0</v>
      </c>
      <c r="J237" s="49">
        <v>80.9278350515464</v>
      </c>
      <c r="K237" s="49"/>
      <c r="L237" s="50">
        <v>961.0</v>
      </c>
      <c r="M237" s="50">
        <v>46.0</v>
      </c>
      <c r="N237" s="50">
        <v>17.0</v>
      </c>
      <c r="O237" s="49">
        <v>95.4319761668322</v>
      </c>
      <c r="P237" s="51"/>
    </row>
    <row r="238" ht="15.0" customHeight="1">
      <c r="A238" s="52">
        <v>232.0</v>
      </c>
      <c r="B238" s="53" t="s">
        <v>24</v>
      </c>
      <c r="C238" s="60" t="s">
        <v>59</v>
      </c>
      <c r="D238" s="60" t="s">
        <v>92</v>
      </c>
      <c r="E238" s="60" t="s">
        <v>95</v>
      </c>
      <c r="F238" s="61" t="s">
        <v>95</v>
      </c>
      <c r="G238" s="54">
        <v>746.0</v>
      </c>
      <c r="H238" s="54">
        <v>134.0</v>
      </c>
      <c r="I238" s="54">
        <v>9.0</v>
      </c>
      <c r="J238" s="55">
        <v>84.7727272727273</v>
      </c>
      <c r="K238" s="55">
        <f>G238+H238+I238</f>
        <v>889</v>
      </c>
      <c r="L238" s="56">
        <v>759.0</v>
      </c>
      <c r="M238" s="56">
        <v>36.0</v>
      </c>
      <c r="N238" s="56">
        <v>8.0</v>
      </c>
      <c r="O238" s="55">
        <v>95.4716981132076</v>
      </c>
      <c r="P238" s="57">
        <f>L238+M238+N238</f>
        <v>803</v>
      </c>
    </row>
    <row r="239" ht="15.0" hidden="1" customHeight="1">
      <c r="A239" s="45">
        <v>233.0</v>
      </c>
      <c r="B239" s="46" t="s">
        <v>24</v>
      </c>
      <c r="C239" s="46" t="s">
        <v>59</v>
      </c>
      <c r="D239" s="46" t="s">
        <v>92</v>
      </c>
      <c r="E239" s="46" t="s">
        <v>95</v>
      </c>
      <c r="F239" s="47" t="s">
        <v>18</v>
      </c>
      <c r="G239" s="48"/>
      <c r="H239" s="48"/>
      <c r="I239" s="48"/>
      <c r="J239" s="49"/>
      <c r="K239" s="49"/>
      <c r="L239" s="50"/>
      <c r="M239" s="50"/>
      <c r="N239" s="50"/>
      <c r="O239" s="49"/>
      <c r="P239" s="51"/>
    </row>
    <row r="240" ht="15.0" hidden="1" customHeight="1">
      <c r="A240" s="45">
        <v>234.0</v>
      </c>
      <c r="B240" s="46" t="s">
        <v>24</v>
      </c>
      <c r="C240" s="46" t="s">
        <v>59</v>
      </c>
      <c r="D240" s="46" t="s">
        <v>92</v>
      </c>
      <c r="E240" s="46" t="s">
        <v>95</v>
      </c>
      <c r="F240" s="47" t="s">
        <v>19</v>
      </c>
      <c r="G240" s="48">
        <v>746.0</v>
      </c>
      <c r="H240" s="48">
        <v>134.0</v>
      </c>
      <c r="I240" s="48">
        <v>9.0</v>
      </c>
      <c r="J240" s="49">
        <v>84.7727272727273</v>
      </c>
      <c r="K240" s="49"/>
      <c r="L240" s="50">
        <v>759.0</v>
      </c>
      <c r="M240" s="50">
        <v>36.0</v>
      </c>
      <c r="N240" s="50">
        <v>8.0</v>
      </c>
      <c r="O240" s="49">
        <v>95.4716981132076</v>
      </c>
      <c r="P240" s="51"/>
    </row>
    <row r="241" ht="15.0" customHeight="1">
      <c r="A241" s="52">
        <v>235.0</v>
      </c>
      <c r="B241" s="53" t="s">
        <v>24</v>
      </c>
      <c r="C241" s="60" t="s">
        <v>59</v>
      </c>
      <c r="D241" s="60" t="s">
        <v>92</v>
      </c>
      <c r="E241" s="60" t="s">
        <v>96</v>
      </c>
      <c r="F241" s="61" t="s">
        <v>96</v>
      </c>
      <c r="G241" s="54">
        <v>239.0</v>
      </c>
      <c r="H241" s="54">
        <v>26.0</v>
      </c>
      <c r="I241" s="54">
        <v>3.0</v>
      </c>
      <c r="J241" s="55">
        <v>90.188679245283</v>
      </c>
      <c r="K241" s="55">
        <f>G241+H241+I241</f>
        <v>268</v>
      </c>
      <c r="L241" s="56">
        <v>364.0</v>
      </c>
      <c r="M241" s="56">
        <v>13.0</v>
      </c>
      <c r="N241" s="56">
        <v>3.0</v>
      </c>
      <c r="O241" s="55">
        <v>96.551724137931</v>
      </c>
      <c r="P241" s="57">
        <f>L241+M241+N241</f>
        <v>380</v>
      </c>
    </row>
    <row r="242" ht="15.0" hidden="1" customHeight="1">
      <c r="A242" s="45">
        <v>236.0</v>
      </c>
      <c r="B242" s="46" t="s">
        <v>24</v>
      </c>
      <c r="C242" s="46" t="s">
        <v>59</v>
      </c>
      <c r="D242" s="46" t="s">
        <v>92</v>
      </c>
      <c r="E242" s="46" t="s">
        <v>96</v>
      </c>
      <c r="F242" s="47" t="s">
        <v>18</v>
      </c>
      <c r="G242" s="48"/>
      <c r="H242" s="48"/>
      <c r="I242" s="48"/>
      <c r="J242" s="49"/>
      <c r="K242" s="49"/>
      <c r="L242" s="50"/>
      <c r="M242" s="50"/>
      <c r="N242" s="50"/>
      <c r="O242" s="49"/>
      <c r="P242" s="51"/>
    </row>
    <row r="243" ht="15.0" hidden="1" customHeight="1">
      <c r="A243" s="45">
        <v>237.0</v>
      </c>
      <c r="B243" s="46" t="s">
        <v>24</v>
      </c>
      <c r="C243" s="46" t="s">
        <v>59</v>
      </c>
      <c r="D243" s="46" t="s">
        <v>92</v>
      </c>
      <c r="E243" s="46" t="s">
        <v>96</v>
      </c>
      <c r="F243" s="47" t="s">
        <v>19</v>
      </c>
      <c r="G243" s="48">
        <v>239.0</v>
      </c>
      <c r="H243" s="48">
        <v>26.0</v>
      </c>
      <c r="I243" s="48">
        <v>3.0</v>
      </c>
      <c r="J243" s="49">
        <v>90.188679245283</v>
      </c>
      <c r="K243" s="49"/>
      <c r="L243" s="50">
        <v>364.0</v>
      </c>
      <c r="M243" s="50">
        <v>13.0</v>
      </c>
      <c r="N243" s="50">
        <v>3.0</v>
      </c>
      <c r="O243" s="49">
        <v>96.551724137931</v>
      </c>
      <c r="P243" s="51"/>
    </row>
    <row r="244" ht="15.0" customHeight="1">
      <c r="A244" s="52">
        <v>238.0</v>
      </c>
      <c r="B244" s="53" t="s">
        <v>24</v>
      </c>
      <c r="C244" s="60" t="s">
        <v>59</v>
      </c>
      <c r="D244" s="60" t="s">
        <v>92</v>
      </c>
      <c r="E244" s="60" t="s">
        <v>97</v>
      </c>
      <c r="F244" s="61" t="s">
        <v>97</v>
      </c>
      <c r="G244" s="54">
        <v>221.0</v>
      </c>
      <c r="H244" s="54">
        <v>13.0</v>
      </c>
      <c r="I244" s="54">
        <v>1.0</v>
      </c>
      <c r="J244" s="55">
        <v>94.4444444444444</v>
      </c>
      <c r="K244" s="55">
        <f>G244+H244+I244</f>
        <v>235</v>
      </c>
      <c r="L244" s="56">
        <v>207.0</v>
      </c>
      <c r="M244" s="56">
        <v>4.0</v>
      </c>
      <c r="N244" s="56">
        <v>5.0</v>
      </c>
      <c r="O244" s="55">
        <v>98.1042654028436</v>
      </c>
      <c r="P244" s="57">
        <f>L244+M244+N244</f>
        <v>216</v>
      </c>
    </row>
    <row r="245" ht="15.0" hidden="1" customHeight="1">
      <c r="A245" s="45">
        <v>239.0</v>
      </c>
      <c r="B245" s="46" t="s">
        <v>24</v>
      </c>
      <c r="C245" s="46" t="s">
        <v>59</v>
      </c>
      <c r="D245" s="46" t="s">
        <v>92</v>
      </c>
      <c r="E245" s="46" t="s">
        <v>97</v>
      </c>
      <c r="F245" s="47" t="s">
        <v>18</v>
      </c>
      <c r="G245" s="48"/>
      <c r="H245" s="48"/>
      <c r="I245" s="48"/>
      <c r="J245" s="49"/>
      <c r="K245" s="49"/>
      <c r="L245" s="50"/>
      <c r="M245" s="50"/>
      <c r="N245" s="50"/>
      <c r="O245" s="49"/>
      <c r="P245" s="51"/>
    </row>
    <row r="246" ht="15.0" hidden="1" customHeight="1">
      <c r="A246" s="45">
        <v>240.0</v>
      </c>
      <c r="B246" s="46" t="s">
        <v>24</v>
      </c>
      <c r="C246" s="46" t="s">
        <v>59</v>
      </c>
      <c r="D246" s="46" t="s">
        <v>92</v>
      </c>
      <c r="E246" s="46" t="s">
        <v>97</v>
      </c>
      <c r="F246" s="47" t="s">
        <v>19</v>
      </c>
      <c r="G246" s="48">
        <v>221.0</v>
      </c>
      <c r="H246" s="48">
        <v>13.0</v>
      </c>
      <c r="I246" s="48">
        <v>1.0</v>
      </c>
      <c r="J246" s="49">
        <v>94.4444444444444</v>
      </c>
      <c r="K246" s="49"/>
      <c r="L246" s="50">
        <v>207.0</v>
      </c>
      <c r="M246" s="50">
        <v>4.0</v>
      </c>
      <c r="N246" s="50">
        <v>5.0</v>
      </c>
      <c r="O246" s="49">
        <v>98.1042654028436</v>
      </c>
      <c r="P246" s="51"/>
    </row>
    <row r="247" ht="15.0" customHeight="1">
      <c r="A247" s="52">
        <v>241.0</v>
      </c>
      <c r="B247" s="53" t="s">
        <v>24</v>
      </c>
      <c r="C247" s="60" t="s">
        <v>59</v>
      </c>
      <c r="D247" s="60" t="s">
        <v>92</v>
      </c>
      <c r="E247" s="60" t="s">
        <v>98</v>
      </c>
      <c r="F247" s="61" t="s">
        <v>98</v>
      </c>
      <c r="G247" s="54">
        <v>937.0</v>
      </c>
      <c r="H247" s="54">
        <v>158.0</v>
      </c>
      <c r="I247" s="54">
        <v>12.0</v>
      </c>
      <c r="J247" s="55">
        <v>85.5707762557078</v>
      </c>
      <c r="K247" s="55">
        <f>G247+H247+I247</f>
        <v>1107</v>
      </c>
      <c r="L247" s="56">
        <v>606.0</v>
      </c>
      <c r="M247" s="56">
        <v>58.0</v>
      </c>
      <c r="N247" s="56">
        <v>8.0</v>
      </c>
      <c r="O247" s="55">
        <v>91.2650602409639</v>
      </c>
      <c r="P247" s="57">
        <f>L247+M247+N247</f>
        <v>672</v>
      </c>
    </row>
    <row r="248" ht="15.0" hidden="1" customHeight="1">
      <c r="A248" s="45">
        <v>242.0</v>
      </c>
      <c r="B248" s="46" t="s">
        <v>24</v>
      </c>
      <c r="C248" s="46" t="s">
        <v>59</v>
      </c>
      <c r="D248" s="46" t="s">
        <v>92</v>
      </c>
      <c r="E248" s="46" t="s">
        <v>98</v>
      </c>
      <c r="F248" s="47" t="s">
        <v>18</v>
      </c>
      <c r="G248" s="48">
        <v>207.0</v>
      </c>
      <c r="H248" s="48">
        <v>32.0</v>
      </c>
      <c r="I248" s="48">
        <v>2.0</v>
      </c>
      <c r="J248" s="49">
        <v>86.6108786610879</v>
      </c>
      <c r="K248" s="49"/>
      <c r="L248" s="50">
        <v>160.0</v>
      </c>
      <c r="M248" s="50">
        <v>17.0</v>
      </c>
      <c r="N248" s="50">
        <v>2.0</v>
      </c>
      <c r="O248" s="49">
        <v>90.3954802259887</v>
      </c>
      <c r="P248" s="51"/>
    </row>
    <row r="249" ht="15.0" hidden="1" customHeight="1">
      <c r="A249" s="45">
        <v>243.0</v>
      </c>
      <c r="B249" s="46" t="s">
        <v>24</v>
      </c>
      <c r="C249" s="46" t="s">
        <v>59</v>
      </c>
      <c r="D249" s="46" t="s">
        <v>92</v>
      </c>
      <c r="E249" s="46" t="s">
        <v>98</v>
      </c>
      <c r="F249" s="47" t="s">
        <v>19</v>
      </c>
      <c r="G249" s="48">
        <v>730.0</v>
      </c>
      <c r="H249" s="48">
        <v>126.0</v>
      </c>
      <c r="I249" s="48">
        <v>10.0</v>
      </c>
      <c r="J249" s="49">
        <v>85.2803738317757</v>
      </c>
      <c r="K249" s="49"/>
      <c r="L249" s="50">
        <v>446.0</v>
      </c>
      <c r="M249" s="50">
        <v>41.0</v>
      </c>
      <c r="N249" s="50">
        <v>6.0</v>
      </c>
      <c r="O249" s="49">
        <v>91.5811088295688</v>
      </c>
      <c r="P249" s="51"/>
    </row>
    <row r="250" ht="15.0" customHeight="1">
      <c r="A250" s="52">
        <v>244.0</v>
      </c>
      <c r="B250" s="53" t="s">
        <v>24</v>
      </c>
      <c r="C250" s="60" t="s">
        <v>59</v>
      </c>
      <c r="D250" s="60" t="s">
        <v>92</v>
      </c>
      <c r="E250" s="60" t="s">
        <v>99</v>
      </c>
      <c r="F250" s="61" t="s">
        <v>99</v>
      </c>
      <c r="G250" s="54">
        <v>1424.0</v>
      </c>
      <c r="H250" s="54">
        <v>370.0</v>
      </c>
      <c r="I250" s="54">
        <v>9.0</v>
      </c>
      <c r="J250" s="55">
        <v>79.3756967670011</v>
      </c>
      <c r="K250" s="55">
        <f>G250+H250+I250</f>
        <v>1803</v>
      </c>
      <c r="L250" s="56">
        <v>1800.0</v>
      </c>
      <c r="M250" s="56">
        <v>172.0</v>
      </c>
      <c r="N250" s="56">
        <v>15.0</v>
      </c>
      <c r="O250" s="55">
        <v>91.2778904665314</v>
      </c>
      <c r="P250" s="57">
        <f>L250+M250+N250</f>
        <v>1987</v>
      </c>
    </row>
    <row r="251" ht="15.0" hidden="1" customHeight="1">
      <c r="A251" s="45">
        <v>245.0</v>
      </c>
      <c r="B251" s="46" t="s">
        <v>24</v>
      </c>
      <c r="C251" s="46" t="s">
        <v>59</v>
      </c>
      <c r="D251" s="46" t="s">
        <v>92</v>
      </c>
      <c r="E251" s="46" t="s">
        <v>99</v>
      </c>
      <c r="F251" s="47" t="s">
        <v>18</v>
      </c>
      <c r="G251" s="48">
        <v>640.0</v>
      </c>
      <c r="H251" s="48">
        <v>169.0</v>
      </c>
      <c r="I251" s="48">
        <v>6.0</v>
      </c>
      <c r="J251" s="49">
        <v>79.1100123609394</v>
      </c>
      <c r="K251" s="49"/>
      <c r="L251" s="50">
        <v>892.0</v>
      </c>
      <c r="M251" s="50">
        <v>92.0</v>
      </c>
      <c r="N251" s="50">
        <v>12.0</v>
      </c>
      <c r="O251" s="49">
        <v>90.650406504065</v>
      </c>
      <c r="P251" s="51"/>
    </row>
    <row r="252" ht="15.0" hidden="1" customHeight="1">
      <c r="A252" s="45">
        <v>246.0</v>
      </c>
      <c r="B252" s="46" t="s">
        <v>24</v>
      </c>
      <c r="C252" s="46" t="s">
        <v>59</v>
      </c>
      <c r="D252" s="46" t="s">
        <v>92</v>
      </c>
      <c r="E252" s="46" t="s">
        <v>99</v>
      </c>
      <c r="F252" s="47" t="s">
        <v>19</v>
      </c>
      <c r="G252" s="48">
        <v>784.0</v>
      </c>
      <c r="H252" s="48">
        <v>201.0</v>
      </c>
      <c r="I252" s="48">
        <v>3.0</v>
      </c>
      <c r="J252" s="49">
        <v>79.5939086294416</v>
      </c>
      <c r="K252" s="49"/>
      <c r="L252" s="50">
        <v>908.0</v>
      </c>
      <c r="M252" s="50">
        <v>80.0</v>
      </c>
      <c r="N252" s="50">
        <v>3.0</v>
      </c>
      <c r="O252" s="49">
        <v>91.9028340080972</v>
      </c>
      <c r="P252" s="51"/>
    </row>
    <row r="253" ht="15.0" customHeight="1">
      <c r="A253" s="52">
        <v>247.0</v>
      </c>
      <c r="B253" s="53" t="s">
        <v>24</v>
      </c>
      <c r="C253" s="60" t="s">
        <v>59</v>
      </c>
      <c r="D253" s="60" t="s">
        <v>92</v>
      </c>
      <c r="E253" s="60" t="s">
        <v>100</v>
      </c>
      <c r="F253" s="61" t="s">
        <v>100</v>
      </c>
      <c r="G253" s="54">
        <v>924.0</v>
      </c>
      <c r="H253" s="54">
        <v>115.0</v>
      </c>
      <c r="I253" s="54">
        <v>12.0</v>
      </c>
      <c r="J253" s="55">
        <v>88.9316650625602</v>
      </c>
      <c r="K253" s="55">
        <f>G253+H253+I253</f>
        <v>1051</v>
      </c>
      <c r="L253" s="56">
        <v>1094.0</v>
      </c>
      <c r="M253" s="56">
        <v>76.0</v>
      </c>
      <c r="N253" s="56">
        <v>11.0</v>
      </c>
      <c r="O253" s="55">
        <v>93.5042735042735</v>
      </c>
      <c r="P253" s="57">
        <f>L253+M253+N253</f>
        <v>1181</v>
      </c>
    </row>
    <row r="254" ht="15.0" hidden="1" customHeight="1">
      <c r="A254" s="45">
        <v>248.0</v>
      </c>
      <c r="B254" s="46" t="s">
        <v>24</v>
      </c>
      <c r="C254" s="46" t="s">
        <v>59</v>
      </c>
      <c r="D254" s="46" t="s">
        <v>92</v>
      </c>
      <c r="E254" s="46" t="s">
        <v>100</v>
      </c>
      <c r="F254" s="47" t="s">
        <v>18</v>
      </c>
      <c r="G254" s="48"/>
      <c r="H254" s="48"/>
      <c r="I254" s="48"/>
      <c r="J254" s="49"/>
      <c r="K254" s="49"/>
      <c r="L254" s="50">
        <v>322.0</v>
      </c>
      <c r="M254" s="50">
        <v>18.0</v>
      </c>
      <c r="N254" s="50">
        <v>3.0</v>
      </c>
      <c r="O254" s="49">
        <v>94.7058823529412</v>
      </c>
      <c r="P254" s="51"/>
    </row>
    <row r="255" ht="15.0" hidden="1" customHeight="1">
      <c r="A255" s="45">
        <v>249.0</v>
      </c>
      <c r="B255" s="46" t="s">
        <v>24</v>
      </c>
      <c r="C255" s="46" t="s">
        <v>59</v>
      </c>
      <c r="D255" s="46" t="s">
        <v>92</v>
      </c>
      <c r="E255" s="46" t="s">
        <v>100</v>
      </c>
      <c r="F255" s="47" t="s">
        <v>19</v>
      </c>
      <c r="G255" s="48">
        <v>924.0</v>
      </c>
      <c r="H255" s="48">
        <v>115.0</v>
      </c>
      <c r="I255" s="48">
        <v>12.0</v>
      </c>
      <c r="J255" s="49">
        <v>88.9316650625602</v>
      </c>
      <c r="K255" s="49"/>
      <c r="L255" s="50">
        <v>772.0</v>
      </c>
      <c r="M255" s="50">
        <v>58.0</v>
      </c>
      <c r="N255" s="50">
        <v>8.0</v>
      </c>
      <c r="O255" s="49">
        <v>93.0120481927711</v>
      </c>
      <c r="P255" s="51"/>
    </row>
    <row r="256" ht="15.0" hidden="1" customHeight="1">
      <c r="A256" s="39">
        <v>250.0</v>
      </c>
      <c r="B256" s="40" t="s">
        <v>22</v>
      </c>
      <c r="C256" s="59" t="s">
        <v>59</v>
      </c>
      <c r="D256" s="59" t="s">
        <v>101</v>
      </c>
      <c r="E256" s="59"/>
      <c r="F256" s="40" t="s">
        <v>101</v>
      </c>
      <c r="G256" s="41">
        <v>2840.0</v>
      </c>
      <c r="H256" s="41">
        <v>411.0</v>
      </c>
      <c r="I256" s="41">
        <v>32.0</v>
      </c>
      <c r="J256" s="42">
        <v>87.3577360812058</v>
      </c>
      <c r="K256" s="42"/>
      <c r="L256" s="43">
        <v>2437.0</v>
      </c>
      <c r="M256" s="43">
        <v>175.0</v>
      </c>
      <c r="N256" s="43">
        <v>41.0</v>
      </c>
      <c r="O256" s="42">
        <v>93.3001531393568</v>
      </c>
      <c r="P256" s="44"/>
    </row>
    <row r="257" ht="15.0" hidden="1" customHeight="1">
      <c r="A257" s="45">
        <v>251.0</v>
      </c>
      <c r="B257" s="46" t="s">
        <v>22</v>
      </c>
      <c r="C257" s="46" t="s">
        <v>59</v>
      </c>
      <c r="D257" s="46" t="s">
        <v>101</v>
      </c>
      <c r="E257" s="46"/>
      <c r="F257" s="47" t="s">
        <v>18</v>
      </c>
      <c r="G257" s="48">
        <v>675.0</v>
      </c>
      <c r="H257" s="48">
        <v>54.0</v>
      </c>
      <c r="I257" s="48">
        <v>10.0</v>
      </c>
      <c r="J257" s="49">
        <v>92.5925925925926</v>
      </c>
      <c r="K257" s="49"/>
      <c r="L257" s="50">
        <v>480.0</v>
      </c>
      <c r="M257" s="50">
        <v>27.0</v>
      </c>
      <c r="N257" s="50">
        <v>7.0</v>
      </c>
      <c r="O257" s="49">
        <v>94.6745562130178</v>
      </c>
      <c r="P257" s="51"/>
    </row>
    <row r="258" ht="15.0" hidden="1" customHeight="1">
      <c r="A258" s="45">
        <v>252.0</v>
      </c>
      <c r="B258" s="46" t="s">
        <v>22</v>
      </c>
      <c r="C258" s="46" t="s">
        <v>59</v>
      </c>
      <c r="D258" s="46" t="s">
        <v>101</v>
      </c>
      <c r="E258" s="46"/>
      <c r="F258" s="47" t="s">
        <v>19</v>
      </c>
      <c r="G258" s="48">
        <v>2165.0</v>
      </c>
      <c r="H258" s="48">
        <v>357.0</v>
      </c>
      <c r="I258" s="48">
        <v>22.0</v>
      </c>
      <c r="J258" s="49">
        <v>85.8445678033307</v>
      </c>
      <c r="K258" s="49"/>
      <c r="L258" s="50">
        <v>1957.0</v>
      </c>
      <c r="M258" s="50">
        <v>148.0</v>
      </c>
      <c r="N258" s="50">
        <v>34.0</v>
      </c>
      <c r="O258" s="49">
        <v>92.9691211401425</v>
      </c>
      <c r="P258" s="51"/>
    </row>
    <row r="259" ht="15.0" customHeight="1">
      <c r="A259" s="52">
        <v>253.0</v>
      </c>
      <c r="B259" s="53" t="s">
        <v>24</v>
      </c>
      <c r="C259" s="60" t="s">
        <v>59</v>
      </c>
      <c r="D259" s="60" t="s">
        <v>101</v>
      </c>
      <c r="E259" s="60" t="s">
        <v>102</v>
      </c>
      <c r="F259" s="61" t="s">
        <v>102</v>
      </c>
      <c r="G259" s="54">
        <v>2137.0</v>
      </c>
      <c r="H259" s="54">
        <v>335.0</v>
      </c>
      <c r="I259" s="54">
        <v>23.0</v>
      </c>
      <c r="J259" s="55">
        <v>86.4482200647249</v>
      </c>
      <c r="K259" s="55">
        <f>G259+H259+I259</f>
        <v>2495</v>
      </c>
      <c r="L259" s="56">
        <v>1754.0</v>
      </c>
      <c r="M259" s="56">
        <v>148.0</v>
      </c>
      <c r="N259" s="56">
        <v>29.0</v>
      </c>
      <c r="O259" s="55">
        <v>92.2187171398528</v>
      </c>
      <c r="P259" s="57">
        <f>L259+M259+N259</f>
        <v>1931</v>
      </c>
    </row>
    <row r="260" ht="15.0" hidden="1" customHeight="1">
      <c r="A260" s="45">
        <v>254.0</v>
      </c>
      <c r="B260" s="46" t="s">
        <v>24</v>
      </c>
      <c r="C260" s="46" t="s">
        <v>59</v>
      </c>
      <c r="D260" s="46" t="s">
        <v>101</v>
      </c>
      <c r="E260" s="46" t="s">
        <v>102</v>
      </c>
      <c r="F260" s="47" t="s">
        <v>18</v>
      </c>
      <c r="G260" s="48">
        <v>675.0</v>
      </c>
      <c r="H260" s="48">
        <v>54.0</v>
      </c>
      <c r="I260" s="48">
        <v>10.0</v>
      </c>
      <c r="J260" s="49">
        <v>92.5925925925926</v>
      </c>
      <c r="K260" s="49"/>
      <c r="L260" s="50">
        <v>480.0</v>
      </c>
      <c r="M260" s="50">
        <v>27.0</v>
      </c>
      <c r="N260" s="50">
        <v>7.0</v>
      </c>
      <c r="O260" s="49">
        <v>94.6745562130178</v>
      </c>
      <c r="P260" s="51"/>
    </row>
    <row r="261" ht="15.0" hidden="1" customHeight="1">
      <c r="A261" s="45">
        <v>255.0</v>
      </c>
      <c r="B261" s="46" t="s">
        <v>24</v>
      </c>
      <c r="C261" s="46" t="s">
        <v>59</v>
      </c>
      <c r="D261" s="46" t="s">
        <v>101</v>
      </c>
      <c r="E261" s="46" t="s">
        <v>102</v>
      </c>
      <c r="F261" s="47" t="s">
        <v>19</v>
      </c>
      <c r="G261" s="48">
        <v>1462.0</v>
      </c>
      <c r="H261" s="48">
        <v>281.0</v>
      </c>
      <c r="I261" s="48">
        <v>13.0</v>
      </c>
      <c r="J261" s="49">
        <v>83.8783706253586</v>
      </c>
      <c r="K261" s="49"/>
      <c r="L261" s="50">
        <v>1274.0</v>
      </c>
      <c r="M261" s="50">
        <v>121.0</v>
      </c>
      <c r="N261" s="50">
        <v>22.0</v>
      </c>
      <c r="O261" s="49">
        <v>91.326164874552</v>
      </c>
      <c r="P261" s="51"/>
    </row>
    <row r="262" ht="15.0" customHeight="1">
      <c r="A262" s="52">
        <v>256.0</v>
      </c>
      <c r="B262" s="53" t="s">
        <v>24</v>
      </c>
      <c r="C262" s="60" t="s">
        <v>59</v>
      </c>
      <c r="D262" s="60" t="s">
        <v>101</v>
      </c>
      <c r="E262" s="60" t="s">
        <v>103</v>
      </c>
      <c r="F262" s="61" t="s">
        <v>103</v>
      </c>
      <c r="G262" s="54">
        <v>703.0</v>
      </c>
      <c r="H262" s="54">
        <v>76.0</v>
      </c>
      <c r="I262" s="54">
        <v>9.0</v>
      </c>
      <c r="J262" s="55">
        <v>90.2439024390244</v>
      </c>
      <c r="K262" s="55">
        <f>G262+H262+I262</f>
        <v>788</v>
      </c>
      <c r="L262" s="56">
        <v>683.0</v>
      </c>
      <c r="M262" s="56">
        <v>27.0</v>
      </c>
      <c r="N262" s="56">
        <v>12.0</v>
      </c>
      <c r="O262" s="55">
        <v>96.1971830985916</v>
      </c>
      <c r="P262" s="57">
        <f>L262+M262+N262</f>
        <v>722</v>
      </c>
    </row>
    <row r="263" ht="15.0" hidden="1" customHeight="1">
      <c r="A263" s="45">
        <v>257.0</v>
      </c>
      <c r="B263" s="46" t="s">
        <v>24</v>
      </c>
      <c r="C263" s="46" t="s">
        <v>59</v>
      </c>
      <c r="D263" s="46" t="s">
        <v>101</v>
      </c>
      <c r="E263" s="46" t="s">
        <v>103</v>
      </c>
      <c r="F263" s="47" t="s">
        <v>18</v>
      </c>
      <c r="G263" s="48"/>
      <c r="H263" s="48"/>
      <c r="I263" s="48"/>
      <c r="J263" s="49"/>
      <c r="K263" s="49"/>
      <c r="L263" s="50"/>
      <c r="M263" s="50"/>
      <c r="N263" s="50"/>
      <c r="O263" s="49"/>
      <c r="P263" s="51"/>
    </row>
    <row r="264" ht="15.0" hidden="1" customHeight="1">
      <c r="A264" s="45">
        <v>258.0</v>
      </c>
      <c r="B264" s="46" t="s">
        <v>24</v>
      </c>
      <c r="C264" s="46" t="s">
        <v>59</v>
      </c>
      <c r="D264" s="46" t="s">
        <v>101</v>
      </c>
      <c r="E264" s="46" t="s">
        <v>103</v>
      </c>
      <c r="F264" s="47" t="s">
        <v>19</v>
      </c>
      <c r="G264" s="48">
        <v>703.0</v>
      </c>
      <c r="H264" s="48">
        <v>76.0</v>
      </c>
      <c r="I264" s="48">
        <v>9.0</v>
      </c>
      <c r="J264" s="49">
        <v>90.2439024390244</v>
      </c>
      <c r="K264" s="49"/>
      <c r="L264" s="50">
        <v>683.0</v>
      </c>
      <c r="M264" s="50">
        <v>27.0</v>
      </c>
      <c r="N264" s="50">
        <v>12.0</v>
      </c>
      <c r="O264" s="49">
        <v>96.1971830985916</v>
      </c>
      <c r="P264" s="51"/>
    </row>
    <row r="265" ht="15.0" hidden="1" customHeight="1">
      <c r="A265" s="39">
        <v>259.0</v>
      </c>
      <c r="B265" s="40" t="s">
        <v>22</v>
      </c>
      <c r="C265" s="59" t="s">
        <v>59</v>
      </c>
      <c r="D265" s="59" t="s">
        <v>104</v>
      </c>
      <c r="E265" s="59"/>
      <c r="F265" s="40" t="s">
        <v>104</v>
      </c>
      <c r="G265" s="41">
        <v>11283.0</v>
      </c>
      <c r="H265" s="41">
        <v>680.0</v>
      </c>
      <c r="I265" s="41">
        <v>98.0</v>
      </c>
      <c r="J265" s="42">
        <v>94.3158070718047</v>
      </c>
      <c r="K265" s="42"/>
      <c r="L265" s="43">
        <v>11977.0</v>
      </c>
      <c r="M265" s="43">
        <v>218.0</v>
      </c>
      <c r="N265" s="43">
        <v>82.0</v>
      </c>
      <c r="O265" s="42">
        <v>98.2123821238212</v>
      </c>
      <c r="P265" s="44"/>
    </row>
    <row r="266" ht="15.0" hidden="1" customHeight="1">
      <c r="A266" s="45">
        <v>260.0</v>
      </c>
      <c r="B266" s="46" t="s">
        <v>22</v>
      </c>
      <c r="C266" s="46" t="s">
        <v>59</v>
      </c>
      <c r="D266" s="46" t="s">
        <v>104</v>
      </c>
      <c r="E266" s="46"/>
      <c r="F266" s="47" t="s">
        <v>18</v>
      </c>
      <c r="G266" s="48">
        <v>7014.0</v>
      </c>
      <c r="H266" s="48">
        <v>393.0</v>
      </c>
      <c r="I266" s="48">
        <v>44.0</v>
      </c>
      <c r="J266" s="49">
        <v>94.69420818145</v>
      </c>
      <c r="K266" s="49"/>
      <c r="L266" s="50">
        <v>7201.0</v>
      </c>
      <c r="M266" s="50">
        <v>134.0</v>
      </c>
      <c r="N266" s="50">
        <v>45.0</v>
      </c>
      <c r="O266" s="49">
        <v>98.173142467621</v>
      </c>
      <c r="P266" s="51"/>
    </row>
    <row r="267" ht="15.0" hidden="1" customHeight="1">
      <c r="A267" s="45">
        <v>261.0</v>
      </c>
      <c r="B267" s="46" t="s">
        <v>22</v>
      </c>
      <c r="C267" s="46" t="s">
        <v>59</v>
      </c>
      <c r="D267" s="46" t="s">
        <v>104</v>
      </c>
      <c r="E267" s="46"/>
      <c r="F267" s="47" t="s">
        <v>19</v>
      </c>
      <c r="G267" s="48">
        <v>4269.0</v>
      </c>
      <c r="H267" s="48">
        <v>287.0</v>
      </c>
      <c r="I267" s="48">
        <v>54.0</v>
      </c>
      <c r="J267" s="49">
        <v>93.7006145741879</v>
      </c>
      <c r="K267" s="49"/>
      <c r="L267" s="50">
        <v>4776.0</v>
      </c>
      <c r="M267" s="50">
        <v>84.0</v>
      </c>
      <c r="N267" s="50">
        <v>37.0</v>
      </c>
      <c r="O267" s="49">
        <v>98.2716049382716</v>
      </c>
      <c r="P267" s="51"/>
    </row>
    <row r="268" ht="15.0" customHeight="1">
      <c r="A268" s="52">
        <v>262.0</v>
      </c>
      <c r="B268" s="53" t="s">
        <v>24</v>
      </c>
      <c r="C268" s="60" t="s">
        <v>59</v>
      </c>
      <c r="D268" s="60" t="s">
        <v>104</v>
      </c>
      <c r="E268" s="60" t="s">
        <v>105</v>
      </c>
      <c r="F268" s="61" t="s">
        <v>105</v>
      </c>
      <c r="G268" s="54">
        <v>7669.0</v>
      </c>
      <c r="H268" s="54">
        <v>412.0</v>
      </c>
      <c r="I268" s="54">
        <v>49.0</v>
      </c>
      <c r="J268" s="55">
        <v>94.9016210864992</v>
      </c>
      <c r="K268" s="55">
        <f>G268+H268+I268</f>
        <v>8130</v>
      </c>
      <c r="L268" s="56">
        <v>8063.0</v>
      </c>
      <c r="M268" s="56">
        <v>130.0</v>
      </c>
      <c r="N268" s="56">
        <v>56.0</v>
      </c>
      <c r="O268" s="55">
        <v>98.4132796289515</v>
      </c>
      <c r="P268" s="57">
        <f>L268+M268+N268</f>
        <v>8249</v>
      </c>
    </row>
    <row r="269" ht="15.0" hidden="1" customHeight="1">
      <c r="A269" s="45">
        <v>263.0</v>
      </c>
      <c r="B269" s="46" t="s">
        <v>24</v>
      </c>
      <c r="C269" s="46" t="s">
        <v>59</v>
      </c>
      <c r="D269" s="46" t="s">
        <v>104</v>
      </c>
      <c r="E269" s="46" t="s">
        <v>105</v>
      </c>
      <c r="F269" s="47" t="s">
        <v>18</v>
      </c>
      <c r="G269" s="48">
        <v>6507.0</v>
      </c>
      <c r="H269" s="48">
        <v>338.0</v>
      </c>
      <c r="I269" s="48">
        <v>39.0</v>
      </c>
      <c r="J269" s="49">
        <v>95.0620891161432</v>
      </c>
      <c r="K269" s="49"/>
      <c r="L269" s="50">
        <v>6868.0</v>
      </c>
      <c r="M269" s="50">
        <v>118.0</v>
      </c>
      <c r="N269" s="50">
        <v>43.0</v>
      </c>
      <c r="O269" s="49">
        <v>98.3109075293444</v>
      </c>
      <c r="P269" s="51"/>
    </row>
    <row r="270" ht="15.0" hidden="1" customHeight="1">
      <c r="A270" s="45">
        <v>264.0</v>
      </c>
      <c r="B270" s="46" t="s">
        <v>24</v>
      </c>
      <c r="C270" s="46" t="s">
        <v>59</v>
      </c>
      <c r="D270" s="46" t="s">
        <v>104</v>
      </c>
      <c r="E270" s="46" t="s">
        <v>105</v>
      </c>
      <c r="F270" s="47" t="s">
        <v>19</v>
      </c>
      <c r="G270" s="48">
        <v>1162.0</v>
      </c>
      <c r="H270" s="48">
        <v>74.0</v>
      </c>
      <c r="I270" s="48">
        <v>10.0</v>
      </c>
      <c r="J270" s="49">
        <v>94.0129449838188</v>
      </c>
      <c r="K270" s="49"/>
      <c r="L270" s="50">
        <v>1195.0</v>
      </c>
      <c r="M270" s="50">
        <v>12.0</v>
      </c>
      <c r="N270" s="50">
        <v>13.0</v>
      </c>
      <c r="O270" s="49">
        <v>99.0057995028997</v>
      </c>
      <c r="P270" s="51"/>
    </row>
    <row r="271" ht="15.0" customHeight="1">
      <c r="A271" s="52">
        <v>265.0</v>
      </c>
      <c r="B271" s="53" t="s">
        <v>24</v>
      </c>
      <c r="C271" s="60" t="s">
        <v>59</v>
      </c>
      <c r="D271" s="60" t="s">
        <v>104</v>
      </c>
      <c r="E271" s="60" t="s">
        <v>106</v>
      </c>
      <c r="F271" s="61" t="s">
        <v>106</v>
      </c>
      <c r="G271" s="54">
        <v>417.0</v>
      </c>
      <c r="H271" s="54">
        <v>29.0</v>
      </c>
      <c r="I271" s="54">
        <v>4.0</v>
      </c>
      <c r="J271" s="55">
        <v>93.4977578475336</v>
      </c>
      <c r="K271" s="55">
        <f>G271+H271+I271</f>
        <v>450</v>
      </c>
      <c r="L271" s="56">
        <v>470.0</v>
      </c>
      <c r="M271" s="56">
        <v>12.0</v>
      </c>
      <c r="N271" s="56">
        <v>0.0</v>
      </c>
      <c r="O271" s="55">
        <v>97.5103734439834</v>
      </c>
      <c r="P271" s="57">
        <f>L271+M271+N271</f>
        <v>482</v>
      </c>
    </row>
    <row r="272" ht="15.0" hidden="1" customHeight="1">
      <c r="A272" s="45">
        <v>266.0</v>
      </c>
      <c r="B272" s="46" t="s">
        <v>24</v>
      </c>
      <c r="C272" s="46" t="s">
        <v>59</v>
      </c>
      <c r="D272" s="46" t="s">
        <v>104</v>
      </c>
      <c r="E272" s="46" t="s">
        <v>106</v>
      </c>
      <c r="F272" s="47" t="s">
        <v>18</v>
      </c>
      <c r="G272" s="48"/>
      <c r="H272" s="48"/>
      <c r="I272" s="48"/>
      <c r="J272" s="49"/>
      <c r="K272" s="49"/>
      <c r="L272" s="50"/>
      <c r="M272" s="50"/>
      <c r="N272" s="50"/>
      <c r="O272" s="49"/>
      <c r="P272" s="51"/>
    </row>
    <row r="273" ht="15.0" hidden="1" customHeight="1">
      <c r="A273" s="45">
        <v>267.0</v>
      </c>
      <c r="B273" s="46" t="s">
        <v>24</v>
      </c>
      <c r="C273" s="46" t="s">
        <v>59</v>
      </c>
      <c r="D273" s="46" t="s">
        <v>104</v>
      </c>
      <c r="E273" s="46" t="s">
        <v>106</v>
      </c>
      <c r="F273" s="47" t="s">
        <v>19</v>
      </c>
      <c r="G273" s="48">
        <v>417.0</v>
      </c>
      <c r="H273" s="48">
        <v>29.0</v>
      </c>
      <c r="I273" s="48">
        <v>4.0</v>
      </c>
      <c r="J273" s="49">
        <v>93.4977578475336</v>
      </c>
      <c r="K273" s="49"/>
      <c r="L273" s="50">
        <v>470.0</v>
      </c>
      <c r="M273" s="50">
        <v>12.0</v>
      </c>
      <c r="N273" s="50">
        <v>0.0</v>
      </c>
      <c r="O273" s="49">
        <v>97.5103734439834</v>
      </c>
      <c r="P273" s="51"/>
    </row>
    <row r="274" ht="15.0" customHeight="1">
      <c r="A274" s="52">
        <v>268.0</v>
      </c>
      <c r="B274" s="53" t="s">
        <v>24</v>
      </c>
      <c r="C274" s="60" t="s">
        <v>59</v>
      </c>
      <c r="D274" s="60" t="s">
        <v>104</v>
      </c>
      <c r="E274" s="60" t="s">
        <v>107</v>
      </c>
      <c r="F274" s="61" t="s">
        <v>107</v>
      </c>
      <c r="G274" s="54">
        <v>758.0</v>
      </c>
      <c r="H274" s="54">
        <v>49.0</v>
      </c>
      <c r="I274" s="54">
        <v>5.0</v>
      </c>
      <c r="J274" s="55">
        <v>93.9281288723668</v>
      </c>
      <c r="K274" s="55">
        <f>G274+H274+I274</f>
        <v>812</v>
      </c>
      <c r="L274" s="56">
        <v>930.0</v>
      </c>
      <c r="M274" s="56">
        <v>21.0</v>
      </c>
      <c r="N274" s="56">
        <v>9.0</v>
      </c>
      <c r="O274" s="55">
        <v>97.7917981072555</v>
      </c>
      <c r="P274" s="57">
        <f>L274+M274+N274</f>
        <v>960</v>
      </c>
    </row>
    <row r="275" ht="15.0" hidden="1" customHeight="1">
      <c r="A275" s="45">
        <v>269.0</v>
      </c>
      <c r="B275" s="46" t="s">
        <v>24</v>
      </c>
      <c r="C275" s="46" t="s">
        <v>59</v>
      </c>
      <c r="D275" s="46" t="s">
        <v>104</v>
      </c>
      <c r="E275" s="46" t="s">
        <v>107</v>
      </c>
      <c r="F275" s="47" t="s">
        <v>18</v>
      </c>
      <c r="G275" s="48">
        <v>108.0</v>
      </c>
      <c r="H275" s="48">
        <v>10.0</v>
      </c>
      <c r="I275" s="48">
        <v>1.0</v>
      </c>
      <c r="J275" s="49">
        <v>91.5254237288136</v>
      </c>
      <c r="K275" s="49"/>
      <c r="L275" s="50"/>
      <c r="M275" s="50"/>
      <c r="N275" s="50"/>
      <c r="O275" s="49"/>
      <c r="P275" s="51"/>
    </row>
    <row r="276" ht="15.0" hidden="1" customHeight="1">
      <c r="A276" s="45">
        <v>270.0</v>
      </c>
      <c r="B276" s="46" t="s">
        <v>24</v>
      </c>
      <c r="C276" s="46" t="s">
        <v>59</v>
      </c>
      <c r="D276" s="46" t="s">
        <v>104</v>
      </c>
      <c r="E276" s="46" t="s">
        <v>107</v>
      </c>
      <c r="F276" s="47" t="s">
        <v>19</v>
      </c>
      <c r="G276" s="48">
        <v>650.0</v>
      </c>
      <c r="H276" s="48">
        <v>39.0</v>
      </c>
      <c r="I276" s="48">
        <v>4.0</v>
      </c>
      <c r="J276" s="49">
        <v>94.3396226415094</v>
      </c>
      <c r="K276" s="49"/>
      <c r="L276" s="50">
        <v>930.0</v>
      </c>
      <c r="M276" s="50">
        <v>21.0</v>
      </c>
      <c r="N276" s="50">
        <v>9.0</v>
      </c>
      <c r="O276" s="49">
        <v>97.7917981072555</v>
      </c>
      <c r="P276" s="51"/>
    </row>
    <row r="277" ht="15.0" customHeight="1">
      <c r="A277" s="52">
        <v>271.0</v>
      </c>
      <c r="B277" s="53" t="s">
        <v>24</v>
      </c>
      <c r="C277" s="60" t="s">
        <v>59</v>
      </c>
      <c r="D277" s="60" t="s">
        <v>104</v>
      </c>
      <c r="E277" s="60" t="s">
        <v>108</v>
      </c>
      <c r="F277" s="61" t="s">
        <v>108</v>
      </c>
      <c r="G277" s="54">
        <v>589.0</v>
      </c>
      <c r="H277" s="54">
        <v>59.0</v>
      </c>
      <c r="I277" s="54">
        <v>4.0</v>
      </c>
      <c r="J277" s="55">
        <v>90.8950617283951</v>
      </c>
      <c r="K277" s="55">
        <f>G277+H277+I277</f>
        <v>652</v>
      </c>
      <c r="L277" s="56">
        <v>497.0</v>
      </c>
      <c r="M277" s="56">
        <v>19.0</v>
      </c>
      <c r="N277" s="56">
        <v>3.0</v>
      </c>
      <c r="O277" s="55">
        <v>96.3178294573643</v>
      </c>
      <c r="P277" s="57">
        <f>L277+M277+N277</f>
        <v>519</v>
      </c>
    </row>
    <row r="278" ht="15.0" hidden="1" customHeight="1">
      <c r="A278" s="45">
        <v>272.0</v>
      </c>
      <c r="B278" s="46" t="s">
        <v>24</v>
      </c>
      <c r="C278" s="46" t="s">
        <v>59</v>
      </c>
      <c r="D278" s="46" t="s">
        <v>104</v>
      </c>
      <c r="E278" s="46" t="s">
        <v>108</v>
      </c>
      <c r="F278" s="47" t="s">
        <v>18</v>
      </c>
      <c r="G278" s="48">
        <v>399.0</v>
      </c>
      <c r="H278" s="48">
        <v>45.0</v>
      </c>
      <c r="I278" s="48">
        <v>4.0</v>
      </c>
      <c r="J278" s="49">
        <v>89.8648648648649</v>
      </c>
      <c r="K278" s="49"/>
      <c r="L278" s="50">
        <v>333.0</v>
      </c>
      <c r="M278" s="50">
        <v>16.0</v>
      </c>
      <c r="N278" s="50">
        <v>2.0</v>
      </c>
      <c r="O278" s="49">
        <v>95.4154727793696</v>
      </c>
      <c r="P278" s="51"/>
    </row>
    <row r="279" ht="15.0" hidden="1" customHeight="1">
      <c r="A279" s="45">
        <v>273.0</v>
      </c>
      <c r="B279" s="46" t="s">
        <v>24</v>
      </c>
      <c r="C279" s="46" t="s">
        <v>59</v>
      </c>
      <c r="D279" s="46" t="s">
        <v>104</v>
      </c>
      <c r="E279" s="46" t="s">
        <v>108</v>
      </c>
      <c r="F279" s="47" t="s">
        <v>19</v>
      </c>
      <c r="G279" s="48">
        <v>190.0</v>
      </c>
      <c r="H279" s="48">
        <v>14.0</v>
      </c>
      <c r="I279" s="48">
        <v>0.0</v>
      </c>
      <c r="J279" s="49">
        <v>93.1372549019608</v>
      </c>
      <c r="K279" s="49"/>
      <c r="L279" s="50">
        <v>164.0</v>
      </c>
      <c r="M279" s="50">
        <v>3.0</v>
      </c>
      <c r="N279" s="50">
        <v>1.0</v>
      </c>
      <c r="O279" s="49">
        <v>98.2035928143712</v>
      </c>
      <c r="P279" s="51"/>
    </row>
    <row r="280" ht="15.0" customHeight="1">
      <c r="A280" s="52">
        <v>274.0</v>
      </c>
      <c r="B280" s="53" t="s">
        <v>24</v>
      </c>
      <c r="C280" s="60" t="s">
        <v>59</v>
      </c>
      <c r="D280" s="60" t="s">
        <v>104</v>
      </c>
      <c r="E280" s="60" t="s">
        <v>109</v>
      </c>
      <c r="F280" s="61" t="s">
        <v>109</v>
      </c>
      <c r="G280" s="54">
        <v>424.0</v>
      </c>
      <c r="H280" s="54">
        <v>48.0</v>
      </c>
      <c r="I280" s="54">
        <v>19.0</v>
      </c>
      <c r="J280" s="55">
        <v>89.8305084745763</v>
      </c>
      <c r="K280" s="55">
        <f>G280+H280+I280</f>
        <v>491</v>
      </c>
      <c r="L280" s="56">
        <v>447.0</v>
      </c>
      <c r="M280" s="56">
        <v>11.0</v>
      </c>
      <c r="N280" s="56">
        <v>3.0</v>
      </c>
      <c r="O280" s="55">
        <v>97.5982532751092</v>
      </c>
      <c r="P280" s="57">
        <f>L280+M280+N280</f>
        <v>461</v>
      </c>
    </row>
    <row r="281" ht="15.0" hidden="1" customHeight="1">
      <c r="A281" s="45">
        <v>275.0</v>
      </c>
      <c r="B281" s="46" t="s">
        <v>24</v>
      </c>
      <c r="C281" s="46" t="s">
        <v>59</v>
      </c>
      <c r="D281" s="46" t="s">
        <v>104</v>
      </c>
      <c r="E281" s="46" t="s">
        <v>109</v>
      </c>
      <c r="F281" s="47" t="s">
        <v>18</v>
      </c>
      <c r="G281" s="48"/>
      <c r="H281" s="48"/>
      <c r="I281" s="48"/>
      <c r="J281" s="49"/>
      <c r="K281" s="49"/>
      <c r="L281" s="50"/>
      <c r="M281" s="50"/>
      <c r="N281" s="50"/>
      <c r="O281" s="49"/>
      <c r="P281" s="51"/>
    </row>
    <row r="282" ht="15.0" hidden="1" customHeight="1">
      <c r="A282" s="45">
        <v>276.0</v>
      </c>
      <c r="B282" s="46" t="s">
        <v>24</v>
      </c>
      <c r="C282" s="46" t="s">
        <v>59</v>
      </c>
      <c r="D282" s="46" t="s">
        <v>104</v>
      </c>
      <c r="E282" s="46" t="s">
        <v>109</v>
      </c>
      <c r="F282" s="47" t="s">
        <v>19</v>
      </c>
      <c r="G282" s="48">
        <v>424.0</v>
      </c>
      <c r="H282" s="48">
        <v>48.0</v>
      </c>
      <c r="I282" s="48">
        <v>19.0</v>
      </c>
      <c r="J282" s="49">
        <v>89.8305084745763</v>
      </c>
      <c r="K282" s="49"/>
      <c r="L282" s="50">
        <v>447.0</v>
      </c>
      <c r="M282" s="50">
        <v>11.0</v>
      </c>
      <c r="N282" s="50">
        <v>3.0</v>
      </c>
      <c r="O282" s="49">
        <v>97.5982532751092</v>
      </c>
      <c r="P282" s="51"/>
    </row>
    <row r="283" ht="15.0" customHeight="1">
      <c r="A283" s="52">
        <v>277.0</v>
      </c>
      <c r="B283" s="53" t="s">
        <v>24</v>
      </c>
      <c r="C283" s="60" t="s">
        <v>59</v>
      </c>
      <c r="D283" s="60" t="s">
        <v>104</v>
      </c>
      <c r="E283" s="60" t="s">
        <v>110</v>
      </c>
      <c r="F283" s="61" t="s">
        <v>110</v>
      </c>
      <c r="G283" s="54">
        <v>1086.0</v>
      </c>
      <c r="H283" s="54">
        <v>58.0</v>
      </c>
      <c r="I283" s="54">
        <v>16.0</v>
      </c>
      <c r="J283" s="55">
        <v>94.9300699300699</v>
      </c>
      <c r="K283" s="55">
        <f>G283+H283+I283</f>
        <v>1160</v>
      </c>
      <c r="L283" s="56">
        <v>1116.0</v>
      </c>
      <c r="M283" s="56">
        <v>20.0</v>
      </c>
      <c r="N283" s="56">
        <v>8.0</v>
      </c>
      <c r="O283" s="55">
        <v>98.2394366197183</v>
      </c>
      <c r="P283" s="57">
        <f>L283+M283+N283</f>
        <v>1144</v>
      </c>
    </row>
    <row r="284" ht="15.0" hidden="1" customHeight="1">
      <c r="A284" s="45">
        <v>278.0</v>
      </c>
      <c r="B284" s="46" t="s">
        <v>24</v>
      </c>
      <c r="C284" s="46" t="s">
        <v>59</v>
      </c>
      <c r="D284" s="46" t="s">
        <v>104</v>
      </c>
      <c r="E284" s="46" t="s">
        <v>110</v>
      </c>
      <c r="F284" s="47" t="s">
        <v>18</v>
      </c>
      <c r="G284" s="48"/>
      <c r="H284" s="48"/>
      <c r="I284" s="48"/>
      <c r="J284" s="49"/>
      <c r="K284" s="49"/>
      <c r="L284" s="50"/>
      <c r="M284" s="50"/>
      <c r="N284" s="50"/>
      <c r="O284" s="49"/>
      <c r="P284" s="51"/>
    </row>
    <row r="285" ht="15.0" hidden="1" customHeight="1">
      <c r="A285" s="45">
        <v>279.0</v>
      </c>
      <c r="B285" s="46" t="s">
        <v>24</v>
      </c>
      <c r="C285" s="46" t="s">
        <v>59</v>
      </c>
      <c r="D285" s="46" t="s">
        <v>104</v>
      </c>
      <c r="E285" s="46" t="s">
        <v>110</v>
      </c>
      <c r="F285" s="47" t="s">
        <v>19</v>
      </c>
      <c r="G285" s="48">
        <v>1086.0</v>
      </c>
      <c r="H285" s="48">
        <v>58.0</v>
      </c>
      <c r="I285" s="48">
        <v>16.0</v>
      </c>
      <c r="J285" s="49">
        <v>94.9300699300699</v>
      </c>
      <c r="K285" s="49"/>
      <c r="L285" s="50">
        <v>1116.0</v>
      </c>
      <c r="M285" s="50">
        <v>20.0</v>
      </c>
      <c r="N285" s="50">
        <v>8.0</v>
      </c>
      <c r="O285" s="49">
        <v>98.2394366197183</v>
      </c>
      <c r="P285" s="51"/>
    </row>
    <row r="286" ht="15.0" customHeight="1">
      <c r="A286" s="52">
        <v>280.0</v>
      </c>
      <c r="B286" s="53" t="s">
        <v>24</v>
      </c>
      <c r="C286" s="60" t="s">
        <v>59</v>
      </c>
      <c r="D286" s="60" t="s">
        <v>104</v>
      </c>
      <c r="E286" s="60" t="s">
        <v>111</v>
      </c>
      <c r="F286" s="61" t="s">
        <v>111</v>
      </c>
      <c r="G286" s="54">
        <v>340.0</v>
      </c>
      <c r="H286" s="54">
        <v>25.0</v>
      </c>
      <c r="I286" s="54">
        <v>1.0</v>
      </c>
      <c r="J286" s="55">
        <v>93.1506849315068</v>
      </c>
      <c r="K286" s="55">
        <f>G286+H286+I286</f>
        <v>366</v>
      </c>
      <c r="L286" s="56">
        <v>454.0</v>
      </c>
      <c r="M286" s="56">
        <v>5.0</v>
      </c>
      <c r="N286" s="56">
        <v>3.0</v>
      </c>
      <c r="O286" s="55">
        <v>98.9106753812636</v>
      </c>
      <c r="P286" s="57">
        <f>L286+M286+N286</f>
        <v>462</v>
      </c>
    </row>
    <row r="287" ht="15.0" hidden="1" customHeight="1">
      <c r="A287" s="45">
        <v>281.0</v>
      </c>
      <c r="B287" s="46" t="s">
        <v>24</v>
      </c>
      <c r="C287" s="46" t="s">
        <v>59</v>
      </c>
      <c r="D287" s="46" t="s">
        <v>104</v>
      </c>
      <c r="E287" s="46" t="s">
        <v>111</v>
      </c>
      <c r="F287" s="47" t="s">
        <v>18</v>
      </c>
      <c r="G287" s="48"/>
      <c r="H287" s="48"/>
      <c r="I287" s="48"/>
      <c r="J287" s="49"/>
      <c r="K287" s="49"/>
      <c r="L287" s="50"/>
      <c r="M287" s="50"/>
      <c r="N287" s="50"/>
      <c r="O287" s="49"/>
      <c r="P287" s="51"/>
    </row>
    <row r="288" ht="15.0" hidden="1" customHeight="1">
      <c r="A288" s="45">
        <v>282.0</v>
      </c>
      <c r="B288" s="46" t="s">
        <v>24</v>
      </c>
      <c r="C288" s="46" t="s">
        <v>59</v>
      </c>
      <c r="D288" s="46" t="s">
        <v>104</v>
      </c>
      <c r="E288" s="46" t="s">
        <v>111</v>
      </c>
      <c r="F288" s="47" t="s">
        <v>19</v>
      </c>
      <c r="G288" s="48">
        <v>340.0</v>
      </c>
      <c r="H288" s="48">
        <v>25.0</v>
      </c>
      <c r="I288" s="48">
        <v>1.0</v>
      </c>
      <c r="J288" s="49">
        <v>93.1506849315068</v>
      </c>
      <c r="K288" s="49"/>
      <c r="L288" s="50">
        <v>454.0</v>
      </c>
      <c r="M288" s="50">
        <v>5.0</v>
      </c>
      <c r="N288" s="50">
        <v>3.0</v>
      </c>
      <c r="O288" s="49">
        <v>98.9106753812636</v>
      </c>
      <c r="P288" s="51"/>
    </row>
    <row r="289" ht="15.0" hidden="1" customHeight="1">
      <c r="A289" s="39">
        <v>283.0</v>
      </c>
      <c r="B289" s="40" t="s">
        <v>22</v>
      </c>
      <c r="C289" s="59" t="s">
        <v>59</v>
      </c>
      <c r="D289" s="59" t="s">
        <v>112</v>
      </c>
      <c r="E289" s="59"/>
      <c r="F289" s="40" t="s">
        <v>112</v>
      </c>
      <c r="G289" s="41">
        <v>3793.0</v>
      </c>
      <c r="H289" s="41">
        <v>478.0</v>
      </c>
      <c r="I289" s="41">
        <v>30.0</v>
      </c>
      <c r="J289" s="42">
        <v>88.8082416295949</v>
      </c>
      <c r="K289" s="42"/>
      <c r="L289" s="43">
        <v>4126.0</v>
      </c>
      <c r="M289" s="43">
        <v>188.0</v>
      </c>
      <c r="N289" s="43">
        <v>41.0</v>
      </c>
      <c r="O289" s="42">
        <v>95.6420955030135</v>
      </c>
      <c r="P289" s="44"/>
    </row>
    <row r="290" ht="15.0" hidden="1" customHeight="1">
      <c r="A290" s="45">
        <v>284.0</v>
      </c>
      <c r="B290" s="46" t="s">
        <v>22</v>
      </c>
      <c r="C290" s="46" t="s">
        <v>59</v>
      </c>
      <c r="D290" s="46" t="s">
        <v>112</v>
      </c>
      <c r="E290" s="46"/>
      <c r="F290" s="47" t="s">
        <v>18</v>
      </c>
      <c r="G290" s="48"/>
      <c r="H290" s="48"/>
      <c r="I290" s="48"/>
      <c r="J290" s="49"/>
      <c r="K290" s="49"/>
      <c r="L290" s="50">
        <v>131.0</v>
      </c>
      <c r="M290" s="50">
        <v>11.0</v>
      </c>
      <c r="N290" s="50">
        <v>1.0</v>
      </c>
      <c r="O290" s="49">
        <v>92.2535211267606</v>
      </c>
      <c r="P290" s="51"/>
    </row>
    <row r="291" ht="15.0" hidden="1" customHeight="1">
      <c r="A291" s="45">
        <v>285.0</v>
      </c>
      <c r="B291" s="46" t="s">
        <v>22</v>
      </c>
      <c r="C291" s="46" t="s">
        <v>59</v>
      </c>
      <c r="D291" s="46" t="s">
        <v>112</v>
      </c>
      <c r="E291" s="46"/>
      <c r="F291" s="47" t="s">
        <v>19</v>
      </c>
      <c r="G291" s="48">
        <v>3793.0</v>
      </c>
      <c r="H291" s="48">
        <v>478.0</v>
      </c>
      <c r="I291" s="48">
        <v>30.0</v>
      </c>
      <c r="J291" s="49">
        <v>88.8082416295949</v>
      </c>
      <c r="K291" s="49"/>
      <c r="L291" s="50">
        <v>3995.0</v>
      </c>
      <c r="M291" s="50">
        <v>177.0</v>
      </c>
      <c r="N291" s="50">
        <v>40.0</v>
      </c>
      <c r="O291" s="49">
        <v>95.7574304889741</v>
      </c>
      <c r="P291" s="51"/>
    </row>
    <row r="292" ht="15.0" customHeight="1">
      <c r="A292" s="52">
        <v>286.0</v>
      </c>
      <c r="B292" s="53" t="s">
        <v>24</v>
      </c>
      <c r="C292" s="60" t="s">
        <v>59</v>
      </c>
      <c r="D292" s="60" t="s">
        <v>112</v>
      </c>
      <c r="E292" s="60" t="s">
        <v>113</v>
      </c>
      <c r="F292" s="61" t="s">
        <v>113</v>
      </c>
      <c r="G292" s="54">
        <v>817.0</v>
      </c>
      <c r="H292" s="54">
        <v>64.0</v>
      </c>
      <c r="I292" s="54">
        <v>4.0</v>
      </c>
      <c r="J292" s="55">
        <v>92.7355278093076</v>
      </c>
      <c r="K292" s="55">
        <f>G292+H292+I292</f>
        <v>885</v>
      </c>
      <c r="L292" s="56">
        <v>646.0</v>
      </c>
      <c r="M292" s="56">
        <v>18.0</v>
      </c>
      <c r="N292" s="56">
        <v>1.0</v>
      </c>
      <c r="O292" s="55">
        <v>97.289156626506</v>
      </c>
      <c r="P292" s="57">
        <f>L292+M292+N292</f>
        <v>665</v>
      </c>
    </row>
    <row r="293" ht="15.0" hidden="1" customHeight="1">
      <c r="A293" s="45">
        <v>287.0</v>
      </c>
      <c r="B293" s="46" t="s">
        <v>24</v>
      </c>
      <c r="C293" s="46" t="s">
        <v>59</v>
      </c>
      <c r="D293" s="46" t="s">
        <v>112</v>
      </c>
      <c r="E293" s="46" t="s">
        <v>113</v>
      </c>
      <c r="F293" s="47" t="s">
        <v>18</v>
      </c>
      <c r="G293" s="48"/>
      <c r="H293" s="48"/>
      <c r="I293" s="48"/>
      <c r="J293" s="49"/>
      <c r="K293" s="49"/>
      <c r="L293" s="50"/>
      <c r="M293" s="50"/>
      <c r="N293" s="50"/>
      <c r="O293" s="49"/>
      <c r="P293" s="51"/>
    </row>
    <row r="294" ht="15.0" hidden="1" customHeight="1">
      <c r="A294" s="45">
        <v>288.0</v>
      </c>
      <c r="B294" s="46" t="s">
        <v>24</v>
      </c>
      <c r="C294" s="46" t="s">
        <v>59</v>
      </c>
      <c r="D294" s="46" t="s">
        <v>112</v>
      </c>
      <c r="E294" s="46" t="s">
        <v>113</v>
      </c>
      <c r="F294" s="47" t="s">
        <v>19</v>
      </c>
      <c r="G294" s="48">
        <v>817.0</v>
      </c>
      <c r="H294" s="48">
        <v>64.0</v>
      </c>
      <c r="I294" s="48">
        <v>4.0</v>
      </c>
      <c r="J294" s="49">
        <v>92.7355278093076</v>
      </c>
      <c r="K294" s="49"/>
      <c r="L294" s="50">
        <v>646.0</v>
      </c>
      <c r="M294" s="50">
        <v>18.0</v>
      </c>
      <c r="N294" s="50">
        <v>1.0</v>
      </c>
      <c r="O294" s="49">
        <v>97.289156626506</v>
      </c>
      <c r="P294" s="51"/>
    </row>
    <row r="295" ht="15.0" customHeight="1">
      <c r="A295" s="52">
        <v>289.0</v>
      </c>
      <c r="B295" s="53" t="s">
        <v>24</v>
      </c>
      <c r="C295" s="60" t="s">
        <v>59</v>
      </c>
      <c r="D295" s="60" t="s">
        <v>112</v>
      </c>
      <c r="E295" s="60" t="s">
        <v>114</v>
      </c>
      <c r="F295" s="61" t="s">
        <v>114</v>
      </c>
      <c r="G295" s="54">
        <v>913.0</v>
      </c>
      <c r="H295" s="54">
        <v>92.0</v>
      </c>
      <c r="I295" s="54">
        <v>8.0</v>
      </c>
      <c r="J295" s="55">
        <v>90.8457711442786</v>
      </c>
      <c r="K295" s="55">
        <f>G295+H295+I295</f>
        <v>1013</v>
      </c>
      <c r="L295" s="56">
        <v>1043.0</v>
      </c>
      <c r="M295" s="56">
        <v>35.0</v>
      </c>
      <c r="N295" s="56">
        <v>9.0</v>
      </c>
      <c r="O295" s="55">
        <v>96.7532467532468</v>
      </c>
      <c r="P295" s="57">
        <f>L295+M295+N295</f>
        <v>1087</v>
      </c>
    </row>
    <row r="296" ht="15.0" hidden="1" customHeight="1">
      <c r="A296" s="45">
        <v>290.0</v>
      </c>
      <c r="B296" s="46" t="s">
        <v>24</v>
      </c>
      <c r="C296" s="46" t="s">
        <v>59</v>
      </c>
      <c r="D296" s="46" t="s">
        <v>112</v>
      </c>
      <c r="E296" s="46" t="s">
        <v>114</v>
      </c>
      <c r="F296" s="47" t="s">
        <v>18</v>
      </c>
      <c r="G296" s="48"/>
      <c r="H296" s="48"/>
      <c r="I296" s="48"/>
      <c r="J296" s="49"/>
      <c r="K296" s="49"/>
      <c r="L296" s="50"/>
      <c r="M296" s="50"/>
      <c r="N296" s="50"/>
      <c r="O296" s="49"/>
      <c r="P296" s="51"/>
    </row>
    <row r="297" ht="15.0" hidden="1" customHeight="1">
      <c r="A297" s="45">
        <v>291.0</v>
      </c>
      <c r="B297" s="46" t="s">
        <v>24</v>
      </c>
      <c r="C297" s="46" t="s">
        <v>59</v>
      </c>
      <c r="D297" s="46" t="s">
        <v>112</v>
      </c>
      <c r="E297" s="46" t="s">
        <v>114</v>
      </c>
      <c r="F297" s="47" t="s">
        <v>19</v>
      </c>
      <c r="G297" s="48">
        <v>913.0</v>
      </c>
      <c r="H297" s="48">
        <v>92.0</v>
      </c>
      <c r="I297" s="48">
        <v>8.0</v>
      </c>
      <c r="J297" s="49">
        <v>90.8457711442786</v>
      </c>
      <c r="K297" s="49"/>
      <c r="L297" s="50">
        <v>1043.0</v>
      </c>
      <c r="M297" s="50">
        <v>35.0</v>
      </c>
      <c r="N297" s="50">
        <v>9.0</v>
      </c>
      <c r="O297" s="49">
        <v>96.7532467532468</v>
      </c>
      <c r="P297" s="51"/>
    </row>
    <row r="298" ht="15.0" customHeight="1">
      <c r="A298" s="52">
        <v>292.0</v>
      </c>
      <c r="B298" s="53" t="s">
        <v>24</v>
      </c>
      <c r="C298" s="60" t="s">
        <v>59</v>
      </c>
      <c r="D298" s="60" t="s">
        <v>112</v>
      </c>
      <c r="E298" s="60" t="s">
        <v>115</v>
      </c>
      <c r="F298" s="61" t="s">
        <v>115</v>
      </c>
      <c r="G298" s="54">
        <v>624.0</v>
      </c>
      <c r="H298" s="54">
        <v>62.0</v>
      </c>
      <c r="I298" s="54">
        <v>6.0</v>
      </c>
      <c r="J298" s="55">
        <v>90.9620991253644</v>
      </c>
      <c r="K298" s="55">
        <f>G298+H298+I298</f>
        <v>692</v>
      </c>
      <c r="L298" s="56">
        <v>889.0</v>
      </c>
      <c r="M298" s="56">
        <v>36.0</v>
      </c>
      <c r="N298" s="56">
        <v>10.0</v>
      </c>
      <c r="O298" s="55">
        <v>96.1081081081081</v>
      </c>
      <c r="P298" s="57">
        <f>L298+M298+N298</f>
        <v>935</v>
      </c>
    </row>
    <row r="299" ht="15.0" hidden="1" customHeight="1">
      <c r="A299" s="45">
        <v>293.0</v>
      </c>
      <c r="B299" s="46" t="s">
        <v>24</v>
      </c>
      <c r="C299" s="46" t="s">
        <v>59</v>
      </c>
      <c r="D299" s="46" t="s">
        <v>112</v>
      </c>
      <c r="E299" s="46" t="s">
        <v>115</v>
      </c>
      <c r="F299" s="47" t="s">
        <v>18</v>
      </c>
      <c r="G299" s="48"/>
      <c r="H299" s="48"/>
      <c r="I299" s="48"/>
      <c r="J299" s="49"/>
      <c r="K299" s="49"/>
      <c r="L299" s="50">
        <v>131.0</v>
      </c>
      <c r="M299" s="50">
        <v>11.0</v>
      </c>
      <c r="N299" s="50">
        <v>1.0</v>
      </c>
      <c r="O299" s="49">
        <v>92.2535211267606</v>
      </c>
      <c r="P299" s="51"/>
    </row>
    <row r="300" ht="15.0" hidden="1" customHeight="1">
      <c r="A300" s="45">
        <v>294.0</v>
      </c>
      <c r="B300" s="46" t="s">
        <v>24</v>
      </c>
      <c r="C300" s="46" t="s">
        <v>59</v>
      </c>
      <c r="D300" s="46" t="s">
        <v>112</v>
      </c>
      <c r="E300" s="46" t="s">
        <v>115</v>
      </c>
      <c r="F300" s="47" t="s">
        <v>19</v>
      </c>
      <c r="G300" s="48">
        <v>624.0</v>
      </c>
      <c r="H300" s="48">
        <v>62.0</v>
      </c>
      <c r="I300" s="48">
        <v>6.0</v>
      </c>
      <c r="J300" s="49">
        <v>90.9620991253644</v>
      </c>
      <c r="K300" s="49"/>
      <c r="L300" s="50">
        <v>758.0</v>
      </c>
      <c r="M300" s="50">
        <v>25.0</v>
      </c>
      <c r="N300" s="50">
        <v>9.0</v>
      </c>
      <c r="O300" s="49">
        <v>96.8071519795658</v>
      </c>
      <c r="P300" s="51"/>
    </row>
    <row r="301" ht="15.0" customHeight="1">
      <c r="A301" s="52">
        <v>295.0</v>
      </c>
      <c r="B301" s="53" t="s">
        <v>24</v>
      </c>
      <c r="C301" s="60" t="s">
        <v>59</v>
      </c>
      <c r="D301" s="60" t="s">
        <v>112</v>
      </c>
      <c r="E301" s="60" t="s">
        <v>116</v>
      </c>
      <c r="F301" s="61" t="s">
        <v>116</v>
      </c>
      <c r="G301" s="54">
        <v>446.0</v>
      </c>
      <c r="H301" s="54">
        <v>87.0</v>
      </c>
      <c r="I301" s="54">
        <v>4.0</v>
      </c>
      <c r="J301" s="55">
        <v>83.6772983114446</v>
      </c>
      <c r="K301" s="55">
        <f>G301+H301+I301</f>
        <v>537</v>
      </c>
      <c r="L301" s="56">
        <v>484.0</v>
      </c>
      <c r="M301" s="56">
        <v>45.0</v>
      </c>
      <c r="N301" s="56">
        <v>6.0</v>
      </c>
      <c r="O301" s="55">
        <v>91.4933837429111</v>
      </c>
      <c r="P301" s="57">
        <f>L301+M301+N301</f>
        <v>535</v>
      </c>
    </row>
    <row r="302" ht="15.0" hidden="1" customHeight="1">
      <c r="A302" s="45">
        <v>296.0</v>
      </c>
      <c r="B302" s="46" t="s">
        <v>24</v>
      </c>
      <c r="C302" s="46" t="s">
        <v>59</v>
      </c>
      <c r="D302" s="46" t="s">
        <v>112</v>
      </c>
      <c r="E302" s="46" t="s">
        <v>116</v>
      </c>
      <c r="F302" s="47" t="s">
        <v>18</v>
      </c>
      <c r="G302" s="48"/>
      <c r="H302" s="48"/>
      <c r="I302" s="48"/>
      <c r="J302" s="49"/>
      <c r="K302" s="49"/>
      <c r="L302" s="50"/>
      <c r="M302" s="50"/>
      <c r="N302" s="50"/>
      <c r="O302" s="49"/>
      <c r="P302" s="51"/>
    </row>
    <row r="303" ht="15.0" hidden="1" customHeight="1">
      <c r="A303" s="45">
        <v>297.0</v>
      </c>
      <c r="B303" s="46" t="s">
        <v>24</v>
      </c>
      <c r="C303" s="46" t="s">
        <v>59</v>
      </c>
      <c r="D303" s="46" t="s">
        <v>112</v>
      </c>
      <c r="E303" s="46" t="s">
        <v>116</v>
      </c>
      <c r="F303" s="47" t="s">
        <v>19</v>
      </c>
      <c r="G303" s="48">
        <v>446.0</v>
      </c>
      <c r="H303" s="48">
        <v>87.0</v>
      </c>
      <c r="I303" s="48">
        <v>4.0</v>
      </c>
      <c r="J303" s="49">
        <v>83.6772983114446</v>
      </c>
      <c r="K303" s="49"/>
      <c r="L303" s="50">
        <v>484.0</v>
      </c>
      <c r="M303" s="50">
        <v>45.0</v>
      </c>
      <c r="N303" s="50">
        <v>6.0</v>
      </c>
      <c r="O303" s="49">
        <v>91.4933837429111</v>
      </c>
      <c r="P303" s="51"/>
    </row>
    <row r="304" ht="15.0" customHeight="1">
      <c r="A304" s="52">
        <v>298.0</v>
      </c>
      <c r="B304" s="53" t="s">
        <v>24</v>
      </c>
      <c r="C304" s="60" t="s">
        <v>59</v>
      </c>
      <c r="D304" s="60" t="s">
        <v>112</v>
      </c>
      <c r="E304" s="60" t="s">
        <v>117</v>
      </c>
      <c r="F304" s="61" t="s">
        <v>117</v>
      </c>
      <c r="G304" s="54">
        <v>993.0</v>
      </c>
      <c r="H304" s="54">
        <v>173.0</v>
      </c>
      <c r="I304" s="54">
        <v>8.0</v>
      </c>
      <c r="J304" s="55">
        <v>85.1629502572899</v>
      </c>
      <c r="K304" s="55">
        <f>G304+H304+I304</f>
        <v>1174</v>
      </c>
      <c r="L304" s="56">
        <v>1064.0</v>
      </c>
      <c r="M304" s="56">
        <v>54.0</v>
      </c>
      <c r="N304" s="56">
        <v>15.0</v>
      </c>
      <c r="O304" s="55">
        <v>95.169946332737</v>
      </c>
      <c r="P304" s="57">
        <f>L304+M304+N304</f>
        <v>1133</v>
      </c>
    </row>
    <row r="305" ht="15.0" hidden="1" customHeight="1">
      <c r="A305" s="45">
        <v>299.0</v>
      </c>
      <c r="B305" s="46" t="s">
        <v>24</v>
      </c>
      <c r="C305" s="46" t="s">
        <v>59</v>
      </c>
      <c r="D305" s="46" t="s">
        <v>112</v>
      </c>
      <c r="E305" s="46" t="s">
        <v>117</v>
      </c>
      <c r="F305" s="47" t="s">
        <v>18</v>
      </c>
      <c r="G305" s="48"/>
      <c r="H305" s="48"/>
      <c r="I305" s="48"/>
      <c r="J305" s="49"/>
      <c r="K305" s="49"/>
      <c r="L305" s="50"/>
      <c r="M305" s="50"/>
      <c r="N305" s="50"/>
      <c r="O305" s="49"/>
      <c r="P305" s="51"/>
    </row>
    <row r="306" ht="15.0" hidden="1" customHeight="1">
      <c r="A306" s="45">
        <v>300.0</v>
      </c>
      <c r="B306" s="46" t="s">
        <v>24</v>
      </c>
      <c r="C306" s="46" t="s">
        <v>59</v>
      </c>
      <c r="D306" s="46" t="s">
        <v>112</v>
      </c>
      <c r="E306" s="46" t="s">
        <v>117</v>
      </c>
      <c r="F306" s="47" t="s">
        <v>19</v>
      </c>
      <c r="G306" s="48">
        <v>993.0</v>
      </c>
      <c r="H306" s="48">
        <v>173.0</v>
      </c>
      <c r="I306" s="48">
        <v>8.0</v>
      </c>
      <c r="J306" s="49">
        <v>85.1629502572899</v>
      </c>
      <c r="K306" s="49"/>
      <c r="L306" s="50">
        <v>1064.0</v>
      </c>
      <c r="M306" s="50">
        <v>54.0</v>
      </c>
      <c r="N306" s="50">
        <v>15.0</v>
      </c>
      <c r="O306" s="49">
        <v>95.169946332737</v>
      </c>
      <c r="P306" s="51"/>
    </row>
    <row r="307" ht="15.0" hidden="1" customHeight="1">
      <c r="A307" s="39">
        <v>301.0</v>
      </c>
      <c r="B307" s="40" t="s">
        <v>22</v>
      </c>
      <c r="C307" s="59" t="s">
        <v>59</v>
      </c>
      <c r="D307" s="59" t="s">
        <v>118</v>
      </c>
      <c r="E307" s="59"/>
      <c r="F307" s="40" t="s">
        <v>118</v>
      </c>
      <c r="G307" s="41">
        <v>5933.0</v>
      </c>
      <c r="H307" s="41">
        <v>959.0</v>
      </c>
      <c r="I307" s="41">
        <v>52.0</v>
      </c>
      <c r="J307" s="42">
        <v>86.0853163087638</v>
      </c>
      <c r="K307" s="42"/>
      <c r="L307" s="43">
        <v>7194.0</v>
      </c>
      <c r="M307" s="43">
        <v>265.0</v>
      </c>
      <c r="N307" s="43">
        <v>55.0</v>
      </c>
      <c r="O307" s="42">
        <v>96.4472449389999</v>
      </c>
      <c r="P307" s="44"/>
    </row>
    <row r="308" ht="15.0" hidden="1" customHeight="1">
      <c r="A308" s="45">
        <v>302.0</v>
      </c>
      <c r="B308" s="46" t="s">
        <v>22</v>
      </c>
      <c r="C308" s="46" t="s">
        <v>59</v>
      </c>
      <c r="D308" s="46" t="s">
        <v>118</v>
      </c>
      <c r="E308" s="46"/>
      <c r="F308" s="47" t="s">
        <v>18</v>
      </c>
      <c r="G308" s="48">
        <v>1194.0</v>
      </c>
      <c r="H308" s="48">
        <v>86.0</v>
      </c>
      <c r="I308" s="48">
        <v>9.0</v>
      </c>
      <c r="J308" s="49">
        <v>93.28125</v>
      </c>
      <c r="K308" s="49"/>
      <c r="L308" s="50">
        <v>1776.0</v>
      </c>
      <c r="M308" s="50">
        <v>65.0</v>
      </c>
      <c r="N308" s="50">
        <v>12.0</v>
      </c>
      <c r="O308" s="49">
        <v>96.4693101575231</v>
      </c>
      <c r="P308" s="51"/>
    </row>
    <row r="309" ht="15.0" hidden="1" customHeight="1">
      <c r="A309" s="45">
        <v>303.0</v>
      </c>
      <c r="B309" s="46" t="s">
        <v>22</v>
      </c>
      <c r="C309" s="46" t="s">
        <v>59</v>
      </c>
      <c r="D309" s="46" t="s">
        <v>118</v>
      </c>
      <c r="E309" s="46"/>
      <c r="F309" s="47" t="s">
        <v>19</v>
      </c>
      <c r="G309" s="48">
        <v>4739.0</v>
      </c>
      <c r="H309" s="48">
        <v>873.0</v>
      </c>
      <c r="I309" s="48">
        <v>43.0</v>
      </c>
      <c r="J309" s="49">
        <v>84.4440484675695</v>
      </c>
      <c r="K309" s="49"/>
      <c r="L309" s="50">
        <v>5418.0</v>
      </c>
      <c r="M309" s="50">
        <v>200.0</v>
      </c>
      <c r="N309" s="50">
        <v>43.0</v>
      </c>
      <c r="O309" s="49">
        <v>96.440014239943</v>
      </c>
      <c r="P309" s="51"/>
    </row>
    <row r="310" ht="15.0" customHeight="1">
      <c r="A310" s="52">
        <v>304.0</v>
      </c>
      <c r="B310" s="53" t="s">
        <v>24</v>
      </c>
      <c r="C310" s="60" t="s">
        <v>59</v>
      </c>
      <c r="D310" s="60" t="s">
        <v>118</v>
      </c>
      <c r="E310" s="60" t="s">
        <v>118</v>
      </c>
      <c r="F310" s="61" t="s">
        <v>118</v>
      </c>
      <c r="G310" s="54">
        <v>1218.0</v>
      </c>
      <c r="H310" s="54">
        <v>317.0</v>
      </c>
      <c r="I310" s="54">
        <v>18.0</v>
      </c>
      <c r="J310" s="55">
        <v>79.3485342019544</v>
      </c>
      <c r="K310" s="55">
        <f>G310+H310+I310</f>
        <v>1553</v>
      </c>
      <c r="L310" s="56">
        <v>1534.0</v>
      </c>
      <c r="M310" s="56">
        <v>68.0</v>
      </c>
      <c r="N310" s="56">
        <v>4.0</v>
      </c>
      <c r="O310" s="55">
        <v>95.7553058676654</v>
      </c>
      <c r="P310" s="57">
        <f>L310+M310+N310</f>
        <v>1606</v>
      </c>
    </row>
    <row r="311" ht="15.0" hidden="1" customHeight="1">
      <c r="A311" s="45">
        <v>305.0</v>
      </c>
      <c r="B311" s="46" t="s">
        <v>24</v>
      </c>
      <c r="C311" s="46" t="s">
        <v>59</v>
      </c>
      <c r="D311" s="46" t="s">
        <v>118</v>
      </c>
      <c r="E311" s="46" t="s">
        <v>118</v>
      </c>
      <c r="F311" s="47" t="s">
        <v>18</v>
      </c>
      <c r="G311" s="48"/>
      <c r="H311" s="48"/>
      <c r="I311" s="48"/>
      <c r="J311" s="49"/>
      <c r="K311" s="49"/>
      <c r="L311" s="50"/>
      <c r="M311" s="50"/>
      <c r="N311" s="50"/>
      <c r="O311" s="49"/>
      <c r="P311" s="51"/>
    </row>
    <row r="312" ht="15.0" hidden="1" customHeight="1">
      <c r="A312" s="45">
        <v>306.0</v>
      </c>
      <c r="B312" s="46" t="s">
        <v>24</v>
      </c>
      <c r="C312" s="46" t="s">
        <v>59</v>
      </c>
      <c r="D312" s="46" t="s">
        <v>118</v>
      </c>
      <c r="E312" s="46" t="s">
        <v>118</v>
      </c>
      <c r="F312" s="47" t="s">
        <v>19</v>
      </c>
      <c r="G312" s="48">
        <v>1218.0</v>
      </c>
      <c r="H312" s="48">
        <v>317.0</v>
      </c>
      <c r="I312" s="48">
        <v>18.0</v>
      </c>
      <c r="J312" s="49">
        <v>79.3485342019544</v>
      </c>
      <c r="K312" s="49"/>
      <c r="L312" s="50">
        <v>1534.0</v>
      </c>
      <c r="M312" s="50">
        <v>68.0</v>
      </c>
      <c r="N312" s="50">
        <v>4.0</v>
      </c>
      <c r="O312" s="49">
        <v>95.7553058676654</v>
      </c>
      <c r="P312" s="51"/>
    </row>
    <row r="313" ht="15.0" customHeight="1">
      <c r="A313" s="52">
        <v>307.0</v>
      </c>
      <c r="B313" s="53" t="s">
        <v>24</v>
      </c>
      <c r="C313" s="60" t="s">
        <v>59</v>
      </c>
      <c r="D313" s="60" t="s">
        <v>118</v>
      </c>
      <c r="E313" s="60" t="s">
        <v>119</v>
      </c>
      <c r="F313" s="61" t="s">
        <v>119</v>
      </c>
      <c r="G313" s="54">
        <v>673.0</v>
      </c>
      <c r="H313" s="54">
        <v>80.0</v>
      </c>
      <c r="I313" s="54">
        <v>5.0</v>
      </c>
      <c r="J313" s="55">
        <v>89.3758300132802</v>
      </c>
      <c r="K313" s="55">
        <f>G313+H313+I313</f>
        <v>758</v>
      </c>
      <c r="L313" s="56">
        <v>847.0</v>
      </c>
      <c r="M313" s="56">
        <v>38.0</v>
      </c>
      <c r="N313" s="56">
        <v>6.0</v>
      </c>
      <c r="O313" s="55">
        <v>95.7062146892655</v>
      </c>
      <c r="P313" s="57">
        <f>L313+M313+N313</f>
        <v>891</v>
      </c>
    </row>
    <row r="314" ht="15.0" hidden="1" customHeight="1">
      <c r="A314" s="45">
        <v>308.0</v>
      </c>
      <c r="B314" s="46" t="s">
        <v>24</v>
      </c>
      <c r="C314" s="46" t="s">
        <v>59</v>
      </c>
      <c r="D314" s="46" t="s">
        <v>118</v>
      </c>
      <c r="E314" s="46" t="s">
        <v>119</v>
      </c>
      <c r="F314" s="47" t="s">
        <v>18</v>
      </c>
      <c r="G314" s="48">
        <v>296.0</v>
      </c>
      <c r="H314" s="48">
        <v>24.0</v>
      </c>
      <c r="I314" s="48">
        <v>4.0</v>
      </c>
      <c r="J314" s="49">
        <v>92.5</v>
      </c>
      <c r="K314" s="49"/>
      <c r="L314" s="50">
        <v>467.0</v>
      </c>
      <c r="M314" s="50">
        <v>25.0</v>
      </c>
      <c r="N314" s="50">
        <v>3.0</v>
      </c>
      <c r="O314" s="49">
        <v>94.9186991869919</v>
      </c>
      <c r="P314" s="51"/>
    </row>
    <row r="315" ht="15.0" hidden="1" customHeight="1">
      <c r="A315" s="45">
        <v>309.0</v>
      </c>
      <c r="B315" s="46" t="s">
        <v>24</v>
      </c>
      <c r="C315" s="46" t="s">
        <v>59</v>
      </c>
      <c r="D315" s="46" t="s">
        <v>118</v>
      </c>
      <c r="E315" s="46" t="s">
        <v>119</v>
      </c>
      <c r="F315" s="47" t="s">
        <v>19</v>
      </c>
      <c r="G315" s="48">
        <v>377.0</v>
      </c>
      <c r="H315" s="48">
        <v>56.0</v>
      </c>
      <c r="I315" s="48">
        <v>1.0</v>
      </c>
      <c r="J315" s="49">
        <v>87.066974595843</v>
      </c>
      <c r="K315" s="49"/>
      <c r="L315" s="50">
        <v>380.0</v>
      </c>
      <c r="M315" s="50">
        <v>13.0</v>
      </c>
      <c r="N315" s="50">
        <v>3.0</v>
      </c>
      <c r="O315" s="49">
        <v>96.6921119592875</v>
      </c>
      <c r="P315" s="51"/>
    </row>
    <row r="316" ht="15.0" customHeight="1">
      <c r="A316" s="52">
        <v>310.0</v>
      </c>
      <c r="B316" s="53" t="s">
        <v>24</v>
      </c>
      <c r="C316" s="60" t="s">
        <v>59</v>
      </c>
      <c r="D316" s="60" t="s">
        <v>118</v>
      </c>
      <c r="E316" s="60" t="s">
        <v>120</v>
      </c>
      <c r="F316" s="61" t="s">
        <v>120</v>
      </c>
      <c r="G316" s="54">
        <v>966.0</v>
      </c>
      <c r="H316" s="54">
        <v>177.0</v>
      </c>
      <c r="I316" s="54">
        <v>6.0</v>
      </c>
      <c r="J316" s="55">
        <v>84.5144356955381</v>
      </c>
      <c r="K316" s="55">
        <f>G316+H316+I316</f>
        <v>1149</v>
      </c>
      <c r="L316" s="56">
        <v>1373.0</v>
      </c>
      <c r="M316" s="56">
        <v>69.0</v>
      </c>
      <c r="N316" s="56">
        <v>9.0</v>
      </c>
      <c r="O316" s="55">
        <v>95.2149791955617</v>
      </c>
      <c r="P316" s="57">
        <f>L316+M316+N316</f>
        <v>1451</v>
      </c>
    </row>
    <row r="317" ht="15.0" hidden="1" customHeight="1">
      <c r="A317" s="45">
        <v>311.0</v>
      </c>
      <c r="B317" s="46" t="s">
        <v>24</v>
      </c>
      <c r="C317" s="46" t="s">
        <v>59</v>
      </c>
      <c r="D317" s="46" t="s">
        <v>118</v>
      </c>
      <c r="E317" s="46" t="s">
        <v>120</v>
      </c>
      <c r="F317" s="47" t="s">
        <v>18</v>
      </c>
      <c r="G317" s="48"/>
      <c r="H317" s="48"/>
      <c r="I317" s="48"/>
      <c r="J317" s="49"/>
      <c r="K317" s="49"/>
      <c r="L317" s="50">
        <v>243.0</v>
      </c>
      <c r="M317" s="50">
        <v>6.0</v>
      </c>
      <c r="N317" s="50">
        <v>1.0</v>
      </c>
      <c r="O317" s="49">
        <v>97.5903614457831</v>
      </c>
      <c r="P317" s="51"/>
    </row>
    <row r="318" ht="15.0" hidden="1" customHeight="1">
      <c r="A318" s="45">
        <v>312.0</v>
      </c>
      <c r="B318" s="46" t="s">
        <v>24</v>
      </c>
      <c r="C318" s="46" t="s">
        <v>59</v>
      </c>
      <c r="D318" s="46" t="s">
        <v>118</v>
      </c>
      <c r="E318" s="46" t="s">
        <v>120</v>
      </c>
      <c r="F318" s="47" t="s">
        <v>19</v>
      </c>
      <c r="G318" s="48">
        <v>966.0</v>
      </c>
      <c r="H318" s="48">
        <v>177.0</v>
      </c>
      <c r="I318" s="48">
        <v>6.0</v>
      </c>
      <c r="J318" s="49">
        <v>84.5144356955381</v>
      </c>
      <c r="K318" s="49"/>
      <c r="L318" s="50">
        <v>1130.0</v>
      </c>
      <c r="M318" s="50">
        <v>63.0</v>
      </c>
      <c r="N318" s="50">
        <v>8.0</v>
      </c>
      <c r="O318" s="49">
        <v>94.7191953059514</v>
      </c>
      <c r="P318" s="51"/>
    </row>
    <row r="319" ht="15.0" customHeight="1">
      <c r="A319" s="52">
        <v>313.0</v>
      </c>
      <c r="B319" s="53" t="s">
        <v>24</v>
      </c>
      <c r="C319" s="60" t="s">
        <v>59</v>
      </c>
      <c r="D319" s="60" t="s">
        <v>118</v>
      </c>
      <c r="E319" s="60" t="s">
        <v>121</v>
      </c>
      <c r="F319" s="61" t="s">
        <v>121</v>
      </c>
      <c r="G319" s="54">
        <v>1955.0</v>
      </c>
      <c r="H319" s="54">
        <v>223.0</v>
      </c>
      <c r="I319" s="54">
        <v>13.0</v>
      </c>
      <c r="J319" s="55">
        <v>89.7612488521579</v>
      </c>
      <c r="K319" s="55">
        <f>G319+H319+I319</f>
        <v>2191</v>
      </c>
      <c r="L319" s="56">
        <v>1926.0</v>
      </c>
      <c r="M319" s="56">
        <v>22.0</v>
      </c>
      <c r="N319" s="56">
        <v>23.0</v>
      </c>
      <c r="O319" s="55">
        <v>98.870636550308</v>
      </c>
      <c r="P319" s="57">
        <f>L319+M319+N319</f>
        <v>1971</v>
      </c>
    </row>
    <row r="320" ht="15.0" hidden="1" customHeight="1">
      <c r="A320" s="45">
        <v>314.0</v>
      </c>
      <c r="B320" s="46" t="s">
        <v>24</v>
      </c>
      <c r="C320" s="46" t="s">
        <v>59</v>
      </c>
      <c r="D320" s="46" t="s">
        <v>118</v>
      </c>
      <c r="E320" s="46" t="s">
        <v>121</v>
      </c>
      <c r="F320" s="47" t="s">
        <v>18</v>
      </c>
      <c r="G320" s="48">
        <v>741.0</v>
      </c>
      <c r="H320" s="48">
        <v>55.0</v>
      </c>
      <c r="I320" s="48">
        <v>5.0</v>
      </c>
      <c r="J320" s="49">
        <v>93.0904522613065</v>
      </c>
      <c r="K320" s="49"/>
      <c r="L320" s="50">
        <v>548.0</v>
      </c>
      <c r="M320" s="50">
        <v>3.0</v>
      </c>
      <c r="N320" s="50">
        <v>4.0</v>
      </c>
      <c r="O320" s="49">
        <v>99.4555353901996</v>
      </c>
      <c r="P320" s="51"/>
    </row>
    <row r="321" ht="15.0" hidden="1" customHeight="1">
      <c r="A321" s="45">
        <v>315.0</v>
      </c>
      <c r="B321" s="46" t="s">
        <v>24</v>
      </c>
      <c r="C321" s="46" t="s">
        <v>59</v>
      </c>
      <c r="D321" s="46" t="s">
        <v>118</v>
      </c>
      <c r="E321" s="46" t="s">
        <v>121</v>
      </c>
      <c r="F321" s="47" t="s">
        <v>19</v>
      </c>
      <c r="G321" s="48">
        <v>1214.0</v>
      </c>
      <c r="H321" s="48">
        <v>168.0</v>
      </c>
      <c r="I321" s="48">
        <v>8.0</v>
      </c>
      <c r="J321" s="49">
        <v>87.8437047756874</v>
      </c>
      <c r="K321" s="49"/>
      <c r="L321" s="50">
        <v>1378.0</v>
      </c>
      <c r="M321" s="50">
        <v>19.0</v>
      </c>
      <c r="N321" s="50">
        <v>19.0</v>
      </c>
      <c r="O321" s="49">
        <v>98.6399427344309</v>
      </c>
      <c r="P321" s="51"/>
    </row>
    <row r="322" ht="15.0" customHeight="1">
      <c r="A322" s="52">
        <v>316.0</v>
      </c>
      <c r="B322" s="53" t="s">
        <v>24</v>
      </c>
      <c r="C322" s="60" t="s">
        <v>59</v>
      </c>
      <c r="D322" s="60" t="s">
        <v>118</v>
      </c>
      <c r="E322" s="60" t="s">
        <v>122</v>
      </c>
      <c r="F322" s="61" t="s">
        <v>122</v>
      </c>
      <c r="G322" s="54">
        <v>743.0</v>
      </c>
      <c r="H322" s="54">
        <v>133.0</v>
      </c>
      <c r="I322" s="54">
        <v>9.0</v>
      </c>
      <c r="J322" s="55">
        <v>84.8173515981735</v>
      </c>
      <c r="K322" s="55">
        <f>G322+H322+I322</f>
        <v>885</v>
      </c>
      <c r="L322" s="56">
        <v>709.0</v>
      </c>
      <c r="M322" s="56">
        <v>20.0</v>
      </c>
      <c r="N322" s="56">
        <v>8.0</v>
      </c>
      <c r="O322" s="55">
        <v>97.2565157750343</v>
      </c>
      <c r="P322" s="57">
        <f>L322+M322+N322</f>
        <v>737</v>
      </c>
    </row>
    <row r="323" ht="15.0" hidden="1" customHeight="1">
      <c r="A323" s="45">
        <v>317.0</v>
      </c>
      <c r="B323" s="46" t="s">
        <v>24</v>
      </c>
      <c r="C323" s="46" t="s">
        <v>59</v>
      </c>
      <c r="D323" s="46" t="s">
        <v>118</v>
      </c>
      <c r="E323" s="46" t="s">
        <v>122</v>
      </c>
      <c r="F323" s="47" t="s">
        <v>18</v>
      </c>
      <c r="G323" s="48"/>
      <c r="H323" s="48"/>
      <c r="I323" s="48"/>
      <c r="J323" s="49"/>
      <c r="K323" s="49"/>
      <c r="L323" s="50">
        <v>113.0</v>
      </c>
      <c r="M323" s="50">
        <v>9.0</v>
      </c>
      <c r="N323" s="50">
        <v>1.0</v>
      </c>
      <c r="O323" s="49">
        <v>92.6229508196721</v>
      </c>
      <c r="P323" s="51"/>
    </row>
    <row r="324" ht="15.0" hidden="1" customHeight="1">
      <c r="A324" s="45">
        <v>318.0</v>
      </c>
      <c r="B324" s="46" t="s">
        <v>24</v>
      </c>
      <c r="C324" s="46" t="s">
        <v>59</v>
      </c>
      <c r="D324" s="46" t="s">
        <v>118</v>
      </c>
      <c r="E324" s="46" t="s">
        <v>122</v>
      </c>
      <c r="F324" s="47" t="s">
        <v>19</v>
      </c>
      <c r="G324" s="48">
        <v>743.0</v>
      </c>
      <c r="H324" s="48">
        <v>133.0</v>
      </c>
      <c r="I324" s="48">
        <v>9.0</v>
      </c>
      <c r="J324" s="49">
        <v>84.8173515981735</v>
      </c>
      <c r="K324" s="49"/>
      <c r="L324" s="50">
        <v>596.0</v>
      </c>
      <c r="M324" s="50">
        <v>11.0</v>
      </c>
      <c r="N324" s="50">
        <v>7.0</v>
      </c>
      <c r="O324" s="49">
        <v>98.1878088962109</v>
      </c>
      <c r="P324" s="51"/>
    </row>
    <row r="325" ht="15.0" customHeight="1">
      <c r="A325" s="52">
        <v>319.0</v>
      </c>
      <c r="B325" s="53" t="s">
        <v>24</v>
      </c>
      <c r="C325" s="60" t="s">
        <v>59</v>
      </c>
      <c r="D325" s="60" t="s">
        <v>118</v>
      </c>
      <c r="E325" s="60" t="s">
        <v>123</v>
      </c>
      <c r="F325" s="61" t="s">
        <v>123</v>
      </c>
      <c r="G325" s="54">
        <v>378.0</v>
      </c>
      <c r="H325" s="54">
        <v>29.0</v>
      </c>
      <c r="I325" s="54">
        <v>1.0</v>
      </c>
      <c r="J325" s="55">
        <v>92.8746928746929</v>
      </c>
      <c r="K325" s="55">
        <f>G325+H325+I325</f>
        <v>408</v>
      </c>
      <c r="L325" s="56">
        <v>805.0</v>
      </c>
      <c r="M325" s="56">
        <v>48.0</v>
      </c>
      <c r="N325" s="56">
        <v>5.0</v>
      </c>
      <c r="O325" s="55">
        <v>94.3728018757327</v>
      </c>
      <c r="P325" s="57">
        <f>L325+M325+N325</f>
        <v>858</v>
      </c>
    </row>
    <row r="326" ht="15.0" hidden="1" customHeight="1">
      <c r="A326" s="45">
        <v>320.0</v>
      </c>
      <c r="B326" s="46" t="s">
        <v>24</v>
      </c>
      <c r="C326" s="46" t="s">
        <v>59</v>
      </c>
      <c r="D326" s="46" t="s">
        <v>118</v>
      </c>
      <c r="E326" s="46" t="s">
        <v>123</v>
      </c>
      <c r="F326" s="47" t="s">
        <v>18</v>
      </c>
      <c r="G326" s="48">
        <v>157.0</v>
      </c>
      <c r="H326" s="48">
        <v>7.0</v>
      </c>
      <c r="I326" s="48">
        <v>0.0</v>
      </c>
      <c r="J326" s="49">
        <v>95.7317073170732</v>
      </c>
      <c r="K326" s="49"/>
      <c r="L326" s="50">
        <v>405.0</v>
      </c>
      <c r="M326" s="50">
        <v>22.0</v>
      </c>
      <c r="N326" s="50">
        <v>3.0</v>
      </c>
      <c r="O326" s="49">
        <v>94.847775175644</v>
      </c>
      <c r="P326" s="51"/>
    </row>
    <row r="327" ht="15.0" hidden="1" customHeight="1">
      <c r="A327" s="45">
        <v>321.0</v>
      </c>
      <c r="B327" s="46" t="s">
        <v>24</v>
      </c>
      <c r="C327" s="46" t="s">
        <v>59</v>
      </c>
      <c r="D327" s="46" t="s">
        <v>118</v>
      </c>
      <c r="E327" s="46" t="s">
        <v>123</v>
      </c>
      <c r="F327" s="47" t="s">
        <v>19</v>
      </c>
      <c r="G327" s="48">
        <v>221.0</v>
      </c>
      <c r="H327" s="48">
        <v>22.0</v>
      </c>
      <c r="I327" s="48">
        <v>1.0</v>
      </c>
      <c r="J327" s="49">
        <v>90.9465020576132</v>
      </c>
      <c r="K327" s="49"/>
      <c r="L327" s="50">
        <v>400.0</v>
      </c>
      <c r="M327" s="50">
        <v>26.0</v>
      </c>
      <c r="N327" s="50">
        <v>2.0</v>
      </c>
      <c r="O327" s="49">
        <v>93.8967136150235</v>
      </c>
      <c r="P327" s="51"/>
    </row>
    <row r="328" ht="15.0" hidden="1" customHeight="1">
      <c r="A328" s="39">
        <v>322.0</v>
      </c>
      <c r="B328" s="40" t="s">
        <v>22</v>
      </c>
      <c r="C328" s="59" t="s">
        <v>59</v>
      </c>
      <c r="D328" s="59" t="s">
        <v>124</v>
      </c>
      <c r="E328" s="59"/>
      <c r="F328" s="40" t="s">
        <v>124</v>
      </c>
      <c r="G328" s="41">
        <v>11054.0</v>
      </c>
      <c r="H328" s="41">
        <v>1626.0</v>
      </c>
      <c r="I328" s="41">
        <v>118.0</v>
      </c>
      <c r="J328" s="42">
        <v>87.1766561514196</v>
      </c>
      <c r="K328" s="42"/>
      <c r="L328" s="43">
        <v>9389.0</v>
      </c>
      <c r="M328" s="43">
        <v>443.0</v>
      </c>
      <c r="N328" s="43">
        <v>96.0</v>
      </c>
      <c r="O328" s="42">
        <v>95.4943043124491</v>
      </c>
      <c r="P328" s="44"/>
    </row>
    <row r="329" ht="15.0" hidden="1" customHeight="1">
      <c r="A329" s="45">
        <v>323.0</v>
      </c>
      <c r="B329" s="46" t="s">
        <v>22</v>
      </c>
      <c r="C329" s="46" t="s">
        <v>59</v>
      </c>
      <c r="D329" s="46" t="s">
        <v>124</v>
      </c>
      <c r="E329" s="46"/>
      <c r="F329" s="47" t="s">
        <v>18</v>
      </c>
      <c r="G329" s="48">
        <v>986.0</v>
      </c>
      <c r="H329" s="48">
        <v>100.0</v>
      </c>
      <c r="I329" s="48">
        <v>15.0</v>
      </c>
      <c r="J329" s="49">
        <v>90.7918968692449</v>
      </c>
      <c r="K329" s="49"/>
      <c r="L329" s="50">
        <v>1132.0</v>
      </c>
      <c r="M329" s="50">
        <v>48.0</v>
      </c>
      <c r="N329" s="50">
        <v>9.0</v>
      </c>
      <c r="O329" s="49">
        <v>95.9322033898305</v>
      </c>
      <c r="P329" s="51"/>
    </row>
    <row r="330" ht="15.0" hidden="1" customHeight="1">
      <c r="A330" s="45">
        <v>324.0</v>
      </c>
      <c r="B330" s="46" t="s">
        <v>22</v>
      </c>
      <c r="C330" s="46" t="s">
        <v>59</v>
      </c>
      <c r="D330" s="46" t="s">
        <v>124</v>
      </c>
      <c r="E330" s="46"/>
      <c r="F330" s="47" t="s">
        <v>19</v>
      </c>
      <c r="G330" s="48">
        <v>10068.0</v>
      </c>
      <c r="H330" s="48">
        <v>1526.0</v>
      </c>
      <c r="I330" s="48">
        <v>103.0</v>
      </c>
      <c r="J330" s="49">
        <v>86.8380196653441</v>
      </c>
      <c r="K330" s="49"/>
      <c r="L330" s="50">
        <v>8257.0</v>
      </c>
      <c r="M330" s="50">
        <v>395.0</v>
      </c>
      <c r="N330" s="50">
        <v>87.0</v>
      </c>
      <c r="O330" s="49">
        <v>95.4345815996301</v>
      </c>
      <c r="P330" s="51"/>
    </row>
    <row r="331" ht="15.0" customHeight="1">
      <c r="A331" s="52">
        <v>325.0</v>
      </c>
      <c r="B331" s="53" t="s">
        <v>24</v>
      </c>
      <c r="C331" s="60" t="s">
        <v>59</v>
      </c>
      <c r="D331" s="60" t="s">
        <v>124</v>
      </c>
      <c r="E331" s="60" t="s">
        <v>125</v>
      </c>
      <c r="F331" s="61" t="s">
        <v>125</v>
      </c>
      <c r="G331" s="54">
        <v>1623.0</v>
      </c>
      <c r="H331" s="54">
        <v>144.0</v>
      </c>
      <c r="I331" s="54">
        <v>25.0</v>
      </c>
      <c r="J331" s="55">
        <v>91.8505942275042</v>
      </c>
      <c r="K331" s="55">
        <f>G331+H331+I331</f>
        <v>1792</v>
      </c>
      <c r="L331" s="56">
        <v>1261.0</v>
      </c>
      <c r="M331" s="56">
        <v>31.0</v>
      </c>
      <c r="N331" s="56">
        <v>18.0</v>
      </c>
      <c r="O331" s="55">
        <v>97.6006191950464</v>
      </c>
      <c r="P331" s="57">
        <f>L331+M331+N331</f>
        <v>1310</v>
      </c>
    </row>
    <row r="332" ht="15.0" hidden="1" customHeight="1">
      <c r="A332" s="45">
        <v>326.0</v>
      </c>
      <c r="B332" s="46" t="s">
        <v>24</v>
      </c>
      <c r="C332" s="46" t="s">
        <v>59</v>
      </c>
      <c r="D332" s="46" t="s">
        <v>124</v>
      </c>
      <c r="E332" s="46" t="s">
        <v>125</v>
      </c>
      <c r="F332" s="47" t="s">
        <v>18</v>
      </c>
      <c r="G332" s="48">
        <v>146.0</v>
      </c>
      <c r="H332" s="48">
        <v>14.0</v>
      </c>
      <c r="I332" s="48">
        <v>5.0</v>
      </c>
      <c r="J332" s="49">
        <v>91.25</v>
      </c>
      <c r="K332" s="49"/>
      <c r="L332" s="50">
        <v>159.0</v>
      </c>
      <c r="M332" s="50">
        <v>3.0</v>
      </c>
      <c r="N332" s="50">
        <v>1.0</v>
      </c>
      <c r="O332" s="49">
        <v>98.1481481481482</v>
      </c>
      <c r="P332" s="51"/>
    </row>
    <row r="333" ht="15.0" hidden="1" customHeight="1">
      <c r="A333" s="45">
        <v>327.0</v>
      </c>
      <c r="B333" s="46" t="s">
        <v>24</v>
      </c>
      <c r="C333" s="46" t="s">
        <v>59</v>
      </c>
      <c r="D333" s="46" t="s">
        <v>124</v>
      </c>
      <c r="E333" s="46" t="s">
        <v>125</v>
      </c>
      <c r="F333" s="47" t="s">
        <v>19</v>
      </c>
      <c r="G333" s="48">
        <v>1477.0</v>
      </c>
      <c r="H333" s="48">
        <v>130.0</v>
      </c>
      <c r="I333" s="48">
        <v>20.0</v>
      </c>
      <c r="J333" s="49">
        <v>91.9103920348475</v>
      </c>
      <c r="K333" s="49"/>
      <c r="L333" s="50">
        <v>1102.0</v>
      </c>
      <c r="M333" s="50">
        <v>28.0</v>
      </c>
      <c r="N333" s="50">
        <v>17.0</v>
      </c>
      <c r="O333" s="49">
        <v>97.5221238938053</v>
      </c>
      <c r="P333" s="51"/>
    </row>
    <row r="334" ht="15.0" customHeight="1">
      <c r="A334" s="52">
        <v>328.0</v>
      </c>
      <c r="B334" s="53" t="s">
        <v>24</v>
      </c>
      <c r="C334" s="60" t="s">
        <v>59</v>
      </c>
      <c r="D334" s="60" t="s">
        <v>124</v>
      </c>
      <c r="E334" s="60" t="s">
        <v>126</v>
      </c>
      <c r="F334" s="61" t="s">
        <v>126</v>
      </c>
      <c r="G334" s="54">
        <v>1530.0</v>
      </c>
      <c r="H334" s="54">
        <v>179.0</v>
      </c>
      <c r="I334" s="54">
        <v>14.0</v>
      </c>
      <c r="J334" s="55">
        <v>89.5260386190755</v>
      </c>
      <c r="K334" s="55">
        <f>G334+H334+I334</f>
        <v>1723</v>
      </c>
      <c r="L334" s="56">
        <v>1565.0</v>
      </c>
      <c r="M334" s="56">
        <v>47.0</v>
      </c>
      <c r="N334" s="56">
        <v>8.0</v>
      </c>
      <c r="O334" s="55">
        <v>97.0843672456576</v>
      </c>
      <c r="P334" s="57">
        <f>L334+M334+N334</f>
        <v>1620</v>
      </c>
    </row>
    <row r="335" ht="15.0" hidden="1" customHeight="1">
      <c r="A335" s="45">
        <v>329.0</v>
      </c>
      <c r="B335" s="46" t="s">
        <v>24</v>
      </c>
      <c r="C335" s="46" t="s">
        <v>59</v>
      </c>
      <c r="D335" s="46" t="s">
        <v>124</v>
      </c>
      <c r="E335" s="46" t="s">
        <v>126</v>
      </c>
      <c r="F335" s="47" t="s">
        <v>18</v>
      </c>
      <c r="G335" s="48"/>
      <c r="H335" s="48"/>
      <c r="I335" s="48"/>
      <c r="J335" s="49"/>
      <c r="K335" s="49"/>
      <c r="L335" s="50">
        <v>160.0</v>
      </c>
      <c r="M335" s="50">
        <v>6.0</v>
      </c>
      <c r="N335" s="50">
        <v>1.0</v>
      </c>
      <c r="O335" s="49">
        <v>96.3855421686747</v>
      </c>
      <c r="P335" s="51"/>
    </row>
    <row r="336" ht="15.0" hidden="1" customHeight="1">
      <c r="A336" s="45">
        <v>330.0</v>
      </c>
      <c r="B336" s="46" t="s">
        <v>24</v>
      </c>
      <c r="C336" s="46" t="s">
        <v>59</v>
      </c>
      <c r="D336" s="46" t="s">
        <v>124</v>
      </c>
      <c r="E336" s="46" t="s">
        <v>126</v>
      </c>
      <c r="F336" s="47" t="s">
        <v>19</v>
      </c>
      <c r="G336" s="48">
        <v>1530.0</v>
      </c>
      <c r="H336" s="48">
        <v>179.0</v>
      </c>
      <c r="I336" s="48">
        <v>14.0</v>
      </c>
      <c r="J336" s="49">
        <v>89.5260386190755</v>
      </c>
      <c r="K336" s="49"/>
      <c r="L336" s="50">
        <v>1405.0</v>
      </c>
      <c r="M336" s="50">
        <v>41.0</v>
      </c>
      <c r="N336" s="50">
        <v>7.0</v>
      </c>
      <c r="O336" s="49">
        <v>97.16459197787</v>
      </c>
      <c r="P336" s="51"/>
    </row>
    <row r="337" ht="15.0" customHeight="1">
      <c r="A337" s="52">
        <v>331.0</v>
      </c>
      <c r="B337" s="53" t="s">
        <v>24</v>
      </c>
      <c r="C337" s="60" t="s">
        <v>59</v>
      </c>
      <c r="D337" s="60" t="s">
        <v>124</v>
      </c>
      <c r="E337" s="60" t="s">
        <v>127</v>
      </c>
      <c r="F337" s="61" t="s">
        <v>127</v>
      </c>
      <c r="G337" s="54">
        <v>555.0</v>
      </c>
      <c r="H337" s="54">
        <v>44.0</v>
      </c>
      <c r="I337" s="54">
        <v>2.0</v>
      </c>
      <c r="J337" s="55">
        <v>92.6544240400668</v>
      </c>
      <c r="K337" s="55">
        <f>G337+H337+I337</f>
        <v>601</v>
      </c>
      <c r="L337" s="56">
        <v>478.0</v>
      </c>
      <c r="M337" s="56">
        <v>16.0</v>
      </c>
      <c r="N337" s="56">
        <v>3.0</v>
      </c>
      <c r="O337" s="55">
        <v>96.7611336032389</v>
      </c>
      <c r="P337" s="57">
        <f>L337+M337+N337</f>
        <v>497</v>
      </c>
    </row>
    <row r="338" ht="15.0" hidden="1" customHeight="1">
      <c r="A338" s="45">
        <v>332.0</v>
      </c>
      <c r="B338" s="46" t="s">
        <v>24</v>
      </c>
      <c r="C338" s="46" t="s">
        <v>59</v>
      </c>
      <c r="D338" s="46" t="s">
        <v>124</v>
      </c>
      <c r="E338" s="46" t="s">
        <v>127</v>
      </c>
      <c r="F338" s="47" t="s">
        <v>18</v>
      </c>
      <c r="G338" s="48"/>
      <c r="H338" s="48"/>
      <c r="I338" s="48"/>
      <c r="J338" s="49"/>
      <c r="K338" s="49"/>
      <c r="L338" s="50"/>
      <c r="M338" s="50"/>
      <c r="N338" s="50"/>
      <c r="O338" s="49"/>
      <c r="P338" s="51"/>
    </row>
    <row r="339" ht="15.0" hidden="1" customHeight="1">
      <c r="A339" s="45">
        <v>333.0</v>
      </c>
      <c r="B339" s="46" t="s">
        <v>24</v>
      </c>
      <c r="C339" s="46" t="s">
        <v>59</v>
      </c>
      <c r="D339" s="46" t="s">
        <v>124</v>
      </c>
      <c r="E339" s="46" t="s">
        <v>127</v>
      </c>
      <c r="F339" s="47" t="s">
        <v>19</v>
      </c>
      <c r="G339" s="48">
        <v>555.0</v>
      </c>
      <c r="H339" s="48">
        <v>44.0</v>
      </c>
      <c r="I339" s="48">
        <v>2.0</v>
      </c>
      <c r="J339" s="49">
        <v>92.6544240400668</v>
      </c>
      <c r="K339" s="49"/>
      <c r="L339" s="50">
        <v>478.0</v>
      </c>
      <c r="M339" s="50">
        <v>16.0</v>
      </c>
      <c r="N339" s="50">
        <v>3.0</v>
      </c>
      <c r="O339" s="49">
        <v>96.7611336032389</v>
      </c>
      <c r="P339" s="51"/>
    </row>
    <row r="340" ht="15.0" customHeight="1">
      <c r="A340" s="52">
        <v>334.0</v>
      </c>
      <c r="B340" s="53" t="s">
        <v>24</v>
      </c>
      <c r="C340" s="60" t="s">
        <v>59</v>
      </c>
      <c r="D340" s="60" t="s">
        <v>124</v>
      </c>
      <c r="E340" s="60" t="s">
        <v>128</v>
      </c>
      <c r="F340" s="61" t="s">
        <v>128</v>
      </c>
      <c r="G340" s="54">
        <v>2592.0</v>
      </c>
      <c r="H340" s="54">
        <v>321.0</v>
      </c>
      <c r="I340" s="54">
        <v>14.0</v>
      </c>
      <c r="J340" s="55">
        <v>88.9804325437693</v>
      </c>
      <c r="K340" s="55">
        <f>G340+H340+I340</f>
        <v>2927</v>
      </c>
      <c r="L340" s="56">
        <v>2166.0</v>
      </c>
      <c r="M340" s="56">
        <v>131.0</v>
      </c>
      <c r="N340" s="56">
        <v>25.0</v>
      </c>
      <c r="O340" s="55">
        <v>94.2969090117545</v>
      </c>
      <c r="P340" s="57">
        <f>L340+M340+N340</f>
        <v>2322</v>
      </c>
    </row>
    <row r="341" ht="15.0" hidden="1" customHeight="1">
      <c r="A341" s="45">
        <v>335.0</v>
      </c>
      <c r="B341" s="46" t="s">
        <v>24</v>
      </c>
      <c r="C341" s="46" t="s">
        <v>59</v>
      </c>
      <c r="D341" s="46" t="s">
        <v>124</v>
      </c>
      <c r="E341" s="46" t="s">
        <v>128</v>
      </c>
      <c r="F341" s="47" t="s">
        <v>18</v>
      </c>
      <c r="G341" s="48">
        <v>579.0</v>
      </c>
      <c r="H341" s="48">
        <v>53.0</v>
      </c>
      <c r="I341" s="48">
        <v>6.0</v>
      </c>
      <c r="J341" s="49">
        <v>91.6139240506329</v>
      </c>
      <c r="K341" s="49"/>
      <c r="L341" s="50">
        <v>579.0</v>
      </c>
      <c r="M341" s="50">
        <v>29.0</v>
      </c>
      <c r="N341" s="50">
        <v>4.0</v>
      </c>
      <c r="O341" s="49">
        <v>95.2302631578947</v>
      </c>
      <c r="P341" s="51"/>
    </row>
    <row r="342" ht="15.0" hidden="1" customHeight="1">
      <c r="A342" s="45">
        <v>336.0</v>
      </c>
      <c r="B342" s="46" t="s">
        <v>24</v>
      </c>
      <c r="C342" s="46" t="s">
        <v>59</v>
      </c>
      <c r="D342" s="46" t="s">
        <v>124</v>
      </c>
      <c r="E342" s="46" t="s">
        <v>128</v>
      </c>
      <c r="F342" s="47" t="s">
        <v>19</v>
      </c>
      <c r="G342" s="48">
        <v>2013.0</v>
      </c>
      <c r="H342" s="48">
        <v>268.0</v>
      </c>
      <c r="I342" s="48">
        <v>8.0</v>
      </c>
      <c r="J342" s="49">
        <v>88.2507672073652</v>
      </c>
      <c r="K342" s="49"/>
      <c r="L342" s="50">
        <v>1587.0</v>
      </c>
      <c r="M342" s="50">
        <v>102.0</v>
      </c>
      <c r="N342" s="50">
        <v>21.0</v>
      </c>
      <c r="O342" s="49">
        <v>93.9609236234458</v>
      </c>
      <c r="P342" s="51"/>
    </row>
    <row r="343" ht="15.0" customHeight="1">
      <c r="A343" s="52">
        <v>337.0</v>
      </c>
      <c r="B343" s="53" t="s">
        <v>24</v>
      </c>
      <c r="C343" s="60" t="s">
        <v>59</v>
      </c>
      <c r="D343" s="60" t="s">
        <v>124</v>
      </c>
      <c r="E343" s="60" t="s">
        <v>129</v>
      </c>
      <c r="F343" s="61" t="s">
        <v>129</v>
      </c>
      <c r="G343" s="54">
        <v>4754.0</v>
      </c>
      <c r="H343" s="54">
        <v>938.0</v>
      </c>
      <c r="I343" s="54">
        <v>63.0</v>
      </c>
      <c r="J343" s="55">
        <v>83.5207308503162</v>
      </c>
      <c r="K343" s="55">
        <f>G343+H343+I343</f>
        <v>5755</v>
      </c>
      <c r="L343" s="56">
        <v>3919.0</v>
      </c>
      <c r="M343" s="56">
        <v>218.0</v>
      </c>
      <c r="N343" s="56">
        <v>42.0</v>
      </c>
      <c r="O343" s="55">
        <v>94.7304810248973</v>
      </c>
      <c r="P343" s="57">
        <f>L343+M343+N343</f>
        <v>4179</v>
      </c>
    </row>
    <row r="344" ht="15.0" hidden="1" customHeight="1">
      <c r="A344" s="45">
        <v>338.0</v>
      </c>
      <c r="B344" s="46" t="s">
        <v>24</v>
      </c>
      <c r="C344" s="46" t="s">
        <v>59</v>
      </c>
      <c r="D344" s="46" t="s">
        <v>124</v>
      </c>
      <c r="E344" s="46" t="s">
        <v>129</v>
      </c>
      <c r="F344" s="47" t="s">
        <v>18</v>
      </c>
      <c r="G344" s="48">
        <v>261.0</v>
      </c>
      <c r="H344" s="48">
        <v>33.0</v>
      </c>
      <c r="I344" s="48">
        <v>4.0</v>
      </c>
      <c r="J344" s="49">
        <v>88.7755102040816</v>
      </c>
      <c r="K344" s="49"/>
      <c r="L344" s="50">
        <v>234.0</v>
      </c>
      <c r="M344" s="50">
        <v>10.0</v>
      </c>
      <c r="N344" s="50">
        <v>3.0</v>
      </c>
      <c r="O344" s="49">
        <v>95.9016393442623</v>
      </c>
      <c r="P344" s="51"/>
    </row>
    <row r="345" ht="15.0" hidden="1" customHeight="1">
      <c r="A345" s="45">
        <v>339.0</v>
      </c>
      <c r="B345" s="46" t="s">
        <v>24</v>
      </c>
      <c r="C345" s="46" t="s">
        <v>59</v>
      </c>
      <c r="D345" s="46" t="s">
        <v>124</v>
      </c>
      <c r="E345" s="46" t="s">
        <v>129</v>
      </c>
      <c r="F345" s="47" t="s">
        <v>19</v>
      </c>
      <c r="G345" s="48">
        <v>4493.0</v>
      </c>
      <c r="H345" s="48">
        <v>905.0</v>
      </c>
      <c r="I345" s="48">
        <v>59.0</v>
      </c>
      <c r="J345" s="49">
        <v>83.2345313078918</v>
      </c>
      <c r="K345" s="49"/>
      <c r="L345" s="50">
        <v>3685.0</v>
      </c>
      <c r="M345" s="50">
        <v>208.0</v>
      </c>
      <c r="N345" s="50">
        <v>39.0</v>
      </c>
      <c r="O345" s="49">
        <v>94.6570768045209</v>
      </c>
      <c r="P345" s="51"/>
    </row>
    <row r="346" ht="15.0" hidden="1" customHeight="1">
      <c r="A346" s="39">
        <v>340.0</v>
      </c>
      <c r="B346" s="40" t="s">
        <v>22</v>
      </c>
      <c r="C346" s="59" t="s">
        <v>59</v>
      </c>
      <c r="D346" s="59" t="s">
        <v>130</v>
      </c>
      <c r="E346" s="59"/>
      <c r="F346" s="40" t="s">
        <v>130</v>
      </c>
      <c r="G346" s="41">
        <v>6493.0</v>
      </c>
      <c r="H346" s="41">
        <v>353.0</v>
      </c>
      <c r="I346" s="41">
        <v>63.0</v>
      </c>
      <c r="J346" s="42">
        <v>94.8437043529068</v>
      </c>
      <c r="K346" s="42"/>
      <c r="L346" s="43">
        <v>8166.0</v>
      </c>
      <c r="M346" s="43">
        <v>212.0</v>
      </c>
      <c r="N346" s="43">
        <v>70.0</v>
      </c>
      <c r="O346" s="42">
        <v>97.4695631415612</v>
      </c>
      <c r="P346" s="44"/>
    </row>
    <row r="347" ht="15.0" hidden="1" customHeight="1">
      <c r="A347" s="45">
        <v>341.0</v>
      </c>
      <c r="B347" s="46" t="s">
        <v>22</v>
      </c>
      <c r="C347" s="46" t="s">
        <v>59</v>
      </c>
      <c r="D347" s="46" t="s">
        <v>130</v>
      </c>
      <c r="E347" s="46"/>
      <c r="F347" s="47" t="s">
        <v>18</v>
      </c>
      <c r="G347" s="48">
        <v>173.0</v>
      </c>
      <c r="H347" s="48">
        <v>13.0</v>
      </c>
      <c r="I347" s="48">
        <v>0.0</v>
      </c>
      <c r="J347" s="49">
        <v>93.010752688172</v>
      </c>
      <c r="K347" s="49"/>
      <c r="L347" s="50">
        <v>2379.0</v>
      </c>
      <c r="M347" s="50">
        <v>52.0</v>
      </c>
      <c r="N347" s="50">
        <v>10.0</v>
      </c>
      <c r="O347" s="49">
        <v>97.8609625668449</v>
      </c>
      <c r="P347" s="51"/>
    </row>
    <row r="348" ht="15.0" hidden="1" customHeight="1">
      <c r="A348" s="45">
        <v>342.0</v>
      </c>
      <c r="B348" s="46" t="s">
        <v>22</v>
      </c>
      <c r="C348" s="46" t="s">
        <v>59</v>
      </c>
      <c r="D348" s="46" t="s">
        <v>130</v>
      </c>
      <c r="E348" s="46"/>
      <c r="F348" s="47" t="s">
        <v>19</v>
      </c>
      <c r="G348" s="48">
        <v>6320.0</v>
      </c>
      <c r="H348" s="48">
        <v>340.0</v>
      </c>
      <c r="I348" s="48">
        <v>63.0</v>
      </c>
      <c r="J348" s="49">
        <v>94.8948948948949</v>
      </c>
      <c r="K348" s="49"/>
      <c r="L348" s="50">
        <v>5787.0</v>
      </c>
      <c r="M348" s="50">
        <v>160.0</v>
      </c>
      <c r="N348" s="50">
        <v>60.0</v>
      </c>
      <c r="O348" s="49">
        <v>97.3095678493358</v>
      </c>
      <c r="P348" s="51"/>
    </row>
    <row r="349" ht="15.0" customHeight="1">
      <c r="A349" s="52">
        <v>343.0</v>
      </c>
      <c r="B349" s="53" t="s">
        <v>24</v>
      </c>
      <c r="C349" s="60" t="s">
        <v>59</v>
      </c>
      <c r="D349" s="60" t="s">
        <v>130</v>
      </c>
      <c r="E349" s="60" t="s">
        <v>131</v>
      </c>
      <c r="F349" s="61" t="s">
        <v>131</v>
      </c>
      <c r="G349" s="54">
        <v>2641.0</v>
      </c>
      <c r="H349" s="54">
        <v>148.0</v>
      </c>
      <c r="I349" s="54">
        <v>34.0</v>
      </c>
      <c r="J349" s="55">
        <v>94.693438508426</v>
      </c>
      <c r="K349" s="55">
        <f>G349+H349+I349</f>
        <v>2823</v>
      </c>
      <c r="L349" s="56">
        <v>3579.0</v>
      </c>
      <c r="M349" s="56">
        <v>65.0</v>
      </c>
      <c r="N349" s="56">
        <v>17.0</v>
      </c>
      <c r="O349" s="55">
        <v>98.2162458836443</v>
      </c>
      <c r="P349" s="57">
        <f>L349+M349+N349</f>
        <v>3661</v>
      </c>
    </row>
    <row r="350" ht="15.0" hidden="1" customHeight="1">
      <c r="A350" s="45">
        <v>344.0</v>
      </c>
      <c r="B350" s="46" t="s">
        <v>24</v>
      </c>
      <c r="C350" s="46" t="s">
        <v>59</v>
      </c>
      <c r="D350" s="46" t="s">
        <v>130</v>
      </c>
      <c r="E350" s="46" t="s">
        <v>131</v>
      </c>
      <c r="F350" s="47" t="s">
        <v>18</v>
      </c>
      <c r="G350" s="48"/>
      <c r="H350" s="48"/>
      <c r="I350" s="48"/>
      <c r="J350" s="49"/>
      <c r="K350" s="49"/>
      <c r="L350" s="50">
        <v>1311.0</v>
      </c>
      <c r="M350" s="50">
        <v>26.0</v>
      </c>
      <c r="N350" s="50">
        <v>4.0</v>
      </c>
      <c r="O350" s="49">
        <v>98.0553477935677</v>
      </c>
      <c r="P350" s="51"/>
    </row>
    <row r="351" ht="15.0" hidden="1" customHeight="1">
      <c r="A351" s="45">
        <v>345.0</v>
      </c>
      <c r="B351" s="46" t="s">
        <v>24</v>
      </c>
      <c r="C351" s="46" t="s">
        <v>59</v>
      </c>
      <c r="D351" s="46" t="s">
        <v>130</v>
      </c>
      <c r="E351" s="46" t="s">
        <v>131</v>
      </c>
      <c r="F351" s="47" t="s">
        <v>19</v>
      </c>
      <c r="G351" s="48">
        <v>2641.0</v>
      </c>
      <c r="H351" s="48">
        <v>148.0</v>
      </c>
      <c r="I351" s="48">
        <v>34.0</v>
      </c>
      <c r="J351" s="49">
        <v>94.693438508426</v>
      </c>
      <c r="K351" s="49"/>
      <c r="L351" s="50">
        <v>2268.0</v>
      </c>
      <c r="M351" s="50">
        <v>39.0</v>
      </c>
      <c r="N351" s="50">
        <v>13.0</v>
      </c>
      <c r="O351" s="49">
        <v>98.3094928478544</v>
      </c>
      <c r="P351" s="51"/>
    </row>
    <row r="352" ht="15.0" customHeight="1">
      <c r="A352" s="52">
        <v>346.0</v>
      </c>
      <c r="B352" s="53" t="s">
        <v>24</v>
      </c>
      <c r="C352" s="60" t="s">
        <v>59</v>
      </c>
      <c r="D352" s="60" t="s">
        <v>130</v>
      </c>
      <c r="E352" s="60" t="s">
        <v>132</v>
      </c>
      <c r="F352" s="61" t="s">
        <v>132</v>
      </c>
      <c r="G352" s="54">
        <v>1989.0</v>
      </c>
      <c r="H352" s="54">
        <v>93.0</v>
      </c>
      <c r="I352" s="54">
        <v>13.0</v>
      </c>
      <c r="J352" s="55">
        <v>95.5331412103746</v>
      </c>
      <c r="K352" s="55">
        <f>G352+H352+I352</f>
        <v>2095</v>
      </c>
      <c r="L352" s="56">
        <v>2797.0</v>
      </c>
      <c r="M352" s="56">
        <v>103.0</v>
      </c>
      <c r="N352" s="56">
        <v>24.0</v>
      </c>
      <c r="O352" s="55">
        <v>96.448275862069</v>
      </c>
      <c r="P352" s="57">
        <f>L352+M352+N352</f>
        <v>2924</v>
      </c>
    </row>
    <row r="353" ht="15.0" hidden="1" customHeight="1">
      <c r="A353" s="45">
        <v>347.0</v>
      </c>
      <c r="B353" s="46" t="s">
        <v>24</v>
      </c>
      <c r="C353" s="46" t="s">
        <v>59</v>
      </c>
      <c r="D353" s="46" t="s">
        <v>130</v>
      </c>
      <c r="E353" s="46" t="s">
        <v>132</v>
      </c>
      <c r="F353" s="47" t="s">
        <v>18</v>
      </c>
      <c r="G353" s="48"/>
      <c r="H353" s="48"/>
      <c r="I353" s="48"/>
      <c r="J353" s="49"/>
      <c r="K353" s="49"/>
      <c r="L353" s="50">
        <v>867.0</v>
      </c>
      <c r="M353" s="50">
        <v>23.0</v>
      </c>
      <c r="N353" s="50">
        <v>4.0</v>
      </c>
      <c r="O353" s="49">
        <v>97.4157303370787</v>
      </c>
      <c r="P353" s="51"/>
    </row>
    <row r="354" ht="15.0" hidden="1" customHeight="1">
      <c r="A354" s="45">
        <v>348.0</v>
      </c>
      <c r="B354" s="46" t="s">
        <v>24</v>
      </c>
      <c r="C354" s="46" t="s">
        <v>59</v>
      </c>
      <c r="D354" s="46" t="s">
        <v>130</v>
      </c>
      <c r="E354" s="46" t="s">
        <v>132</v>
      </c>
      <c r="F354" s="47" t="s">
        <v>19</v>
      </c>
      <c r="G354" s="48">
        <v>1989.0</v>
      </c>
      <c r="H354" s="48">
        <v>93.0</v>
      </c>
      <c r="I354" s="48">
        <v>13.0</v>
      </c>
      <c r="J354" s="49">
        <v>95.5331412103746</v>
      </c>
      <c r="K354" s="49"/>
      <c r="L354" s="50">
        <v>1930.0</v>
      </c>
      <c r="M354" s="50">
        <v>80.0</v>
      </c>
      <c r="N354" s="50">
        <v>20.0</v>
      </c>
      <c r="O354" s="49">
        <v>96.0199004975124</v>
      </c>
      <c r="P354" s="51"/>
    </row>
    <row r="355" ht="15.0" customHeight="1">
      <c r="A355" s="52">
        <v>349.0</v>
      </c>
      <c r="B355" s="53" t="s">
        <v>24</v>
      </c>
      <c r="C355" s="60" t="s">
        <v>59</v>
      </c>
      <c r="D355" s="60" t="s">
        <v>130</v>
      </c>
      <c r="E355" s="60" t="s">
        <v>133</v>
      </c>
      <c r="F355" s="61" t="s">
        <v>133</v>
      </c>
      <c r="G355" s="54">
        <v>1396.0</v>
      </c>
      <c r="H355" s="54">
        <v>80.0</v>
      </c>
      <c r="I355" s="54">
        <v>10.0</v>
      </c>
      <c r="J355" s="55">
        <v>94.579945799458</v>
      </c>
      <c r="K355" s="55">
        <f>G355+H355+I355</f>
        <v>1486</v>
      </c>
      <c r="L355" s="56">
        <v>1350.0</v>
      </c>
      <c r="M355" s="56">
        <v>32.0</v>
      </c>
      <c r="N355" s="56">
        <v>22.0</v>
      </c>
      <c r="O355" s="55">
        <v>97.684515195369</v>
      </c>
      <c r="P355" s="57">
        <f>L355+M355+N355</f>
        <v>1404</v>
      </c>
    </row>
    <row r="356" ht="15.0" hidden="1" customHeight="1">
      <c r="A356" s="45">
        <v>350.0</v>
      </c>
      <c r="B356" s="46" t="s">
        <v>24</v>
      </c>
      <c r="C356" s="46" t="s">
        <v>59</v>
      </c>
      <c r="D356" s="46" t="s">
        <v>130</v>
      </c>
      <c r="E356" s="46" t="s">
        <v>133</v>
      </c>
      <c r="F356" s="47" t="s">
        <v>18</v>
      </c>
      <c r="G356" s="48">
        <v>173.0</v>
      </c>
      <c r="H356" s="48">
        <v>13.0</v>
      </c>
      <c r="I356" s="48">
        <v>0.0</v>
      </c>
      <c r="J356" s="49">
        <v>93.010752688172</v>
      </c>
      <c r="K356" s="49"/>
      <c r="L356" s="50">
        <v>201.0</v>
      </c>
      <c r="M356" s="50">
        <v>3.0</v>
      </c>
      <c r="N356" s="50">
        <v>2.0</v>
      </c>
      <c r="O356" s="49">
        <v>98.5294117647059</v>
      </c>
      <c r="P356" s="51"/>
    </row>
    <row r="357" ht="15.0" hidden="1" customHeight="1">
      <c r="A357" s="45">
        <v>351.0</v>
      </c>
      <c r="B357" s="46" t="s">
        <v>24</v>
      </c>
      <c r="C357" s="46" t="s">
        <v>59</v>
      </c>
      <c r="D357" s="46" t="s">
        <v>130</v>
      </c>
      <c r="E357" s="46" t="s">
        <v>133</v>
      </c>
      <c r="F357" s="47" t="s">
        <v>19</v>
      </c>
      <c r="G357" s="48">
        <v>1223.0</v>
      </c>
      <c r="H357" s="48">
        <v>67.0</v>
      </c>
      <c r="I357" s="48">
        <v>10.0</v>
      </c>
      <c r="J357" s="49">
        <v>94.8062015503876</v>
      </c>
      <c r="K357" s="49"/>
      <c r="L357" s="50">
        <v>1149.0</v>
      </c>
      <c r="M357" s="50">
        <v>29.0</v>
      </c>
      <c r="N357" s="50">
        <v>20.0</v>
      </c>
      <c r="O357" s="49">
        <v>97.5382003395586</v>
      </c>
      <c r="P357" s="51"/>
    </row>
    <row r="358" ht="15.0" customHeight="1">
      <c r="A358" s="52">
        <v>352.0</v>
      </c>
      <c r="B358" s="53" t="s">
        <v>24</v>
      </c>
      <c r="C358" s="60" t="s">
        <v>59</v>
      </c>
      <c r="D358" s="60" t="s">
        <v>130</v>
      </c>
      <c r="E358" s="60" t="s">
        <v>134</v>
      </c>
      <c r="F358" s="61" t="s">
        <v>134</v>
      </c>
      <c r="G358" s="54">
        <v>467.0</v>
      </c>
      <c r="H358" s="54">
        <v>32.0</v>
      </c>
      <c r="I358" s="54">
        <v>6.0</v>
      </c>
      <c r="J358" s="55">
        <v>93.5871743486974</v>
      </c>
      <c r="K358" s="55">
        <f>G358+H358+I358</f>
        <v>505</v>
      </c>
      <c r="L358" s="56">
        <v>440.0</v>
      </c>
      <c r="M358" s="56">
        <v>12.0</v>
      </c>
      <c r="N358" s="56">
        <v>7.0</v>
      </c>
      <c r="O358" s="55">
        <v>97.3451327433628</v>
      </c>
      <c r="P358" s="57">
        <f>L358+M358+N358</f>
        <v>459</v>
      </c>
    </row>
    <row r="359" ht="15.0" hidden="1" customHeight="1">
      <c r="A359" s="45">
        <v>353.0</v>
      </c>
      <c r="B359" s="46" t="s">
        <v>24</v>
      </c>
      <c r="C359" s="46" t="s">
        <v>59</v>
      </c>
      <c r="D359" s="46" t="s">
        <v>130</v>
      </c>
      <c r="E359" s="46" t="s">
        <v>134</v>
      </c>
      <c r="F359" s="47" t="s">
        <v>18</v>
      </c>
      <c r="G359" s="48"/>
      <c r="H359" s="48"/>
      <c r="I359" s="48"/>
      <c r="J359" s="49"/>
      <c r="K359" s="49"/>
      <c r="L359" s="50"/>
      <c r="M359" s="50"/>
      <c r="N359" s="50"/>
      <c r="O359" s="49"/>
      <c r="P359" s="51"/>
    </row>
    <row r="360" ht="15.0" hidden="1" customHeight="1">
      <c r="A360" s="45">
        <v>354.0</v>
      </c>
      <c r="B360" s="46" t="s">
        <v>24</v>
      </c>
      <c r="C360" s="46" t="s">
        <v>59</v>
      </c>
      <c r="D360" s="46" t="s">
        <v>130</v>
      </c>
      <c r="E360" s="46" t="s">
        <v>134</v>
      </c>
      <c r="F360" s="47" t="s">
        <v>19</v>
      </c>
      <c r="G360" s="48">
        <v>467.0</v>
      </c>
      <c r="H360" s="48">
        <v>32.0</v>
      </c>
      <c r="I360" s="48">
        <v>6.0</v>
      </c>
      <c r="J360" s="49">
        <v>93.5871743486974</v>
      </c>
      <c r="K360" s="49"/>
      <c r="L360" s="50">
        <v>440.0</v>
      </c>
      <c r="M360" s="50">
        <v>12.0</v>
      </c>
      <c r="N360" s="50">
        <v>7.0</v>
      </c>
      <c r="O360" s="49">
        <v>97.3451327433628</v>
      </c>
      <c r="P360" s="51"/>
    </row>
    <row r="361" ht="15.0" hidden="1" customHeight="1">
      <c r="A361" s="39">
        <v>355.0</v>
      </c>
      <c r="B361" s="40" t="s">
        <v>22</v>
      </c>
      <c r="C361" s="59" t="s">
        <v>59</v>
      </c>
      <c r="D361" s="59" t="s">
        <v>135</v>
      </c>
      <c r="E361" s="59"/>
      <c r="F361" s="40" t="s">
        <v>135</v>
      </c>
      <c r="G361" s="41">
        <v>8653.0</v>
      </c>
      <c r="H361" s="41">
        <v>761.0</v>
      </c>
      <c r="I361" s="41">
        <v>101.0</v>
      </c>
      <c r="J361" s="42">
        <v>91.916294879966</v>
      </c>
      <c r="K361" s="42"/>
      <c r="L361" s="43">
        <v>8176.0</v>
      </c>
      <c r="M361" s="43">
        <v>294.0</v>
      </c>
      <c r="N361" s="43">
        <v>92.0</v>
      </c>
      <c r="O361" s="42">
        <v>96.5289256198347</v>
      </c>
      <c r="P361" s="44"/>
    </row>
    <row r="362" ht="15.0" hidden="1" customHeight="1">
      <c r="A362" s="45">
        <v>356.0</v>
      </c>
      <c r="B362" s="46" t="s">
        <v>22</v>
      </c>
      <c r="C362" s="46" t="s">
        <v>59</v>
      </c>
      <c r="D362" s="46" t="s">
        <v>135</v>
      </c>
      <c r="E362" s="46"/>
      <c r="F362" s="47" t="s">
        <v>18</v>
      </c>
      <c r="G362" s="48">
        <v>2898.0</v>
      </c>
      <c r="H362" s="48">
        <v>245.0</v>
      </c>
      <c r="I362" s="48">
        <v>30.0</v>
      </c>
      <c r="J362" s="49">
        <v>92.2048997772829</v>
      </c>
      <c r="K362" s="49"/>
      <c r="L362" s="50">
        <v>2889.0</v>
      </c>
      <c r="M362" s="50">
        <v>142.0</v>
      </c>
      <c r="N362" s="50">
        <v>34.0</v>
      </c>
      <c r="O362" s="49">
        <v>95.3150775321676</v>
      </c>
      <c r="P362" s="51"/>
    </row>
    <row r="363" ht="15.0" hidden="1" customHeight="1">
      <c r="A363" s="45">
        <v>357.0</v>
      </c>
      <c r="B363" s="46" t="s">
        <v>22</v>
      </c>
      <c r="C363" s="46" t="s">
        <v>59</v>
      </c>
      <c r="D363" s="46" t="s">
        <v>135</v>
      </c>
      <c r="E363" s="46"/>
      <c r="F363" s="47" t="s">
        <v>19</v>
      </c>
      <c r="G363" s="48">
        <v>5755.0</v>
      </c>
      <c r="H363" s="48">
        <v>516.0</v>
      </c>
      <c r="I363" s="48">
        <v>71.0</v>
      </c>
      <c r="J363" s="49">
        <v>91.771647265189</v>
      </c>
      <c r="K363" s="49"/>
      <c r="L363" s="50">
        <v>5287.0</v>
      </c>
      <c r="M363" s="50">
        <v>152.0</v>
      </c>
      <c r="N363" s="50">
        <v>58.0</v>
      </c>
      <c r="O363" s="49">
        <v>97.2053686339401</v>
      </c>
      <c r="P363" s="51"/>
    </row>
    <row r="364" ht="15.0" customHeight="1">
      <c r="A364" s="52">
        <v>358.0</v>
      </c>
      <c r="B364" s="53" t="s">
        <v>24</v>
      </c>
      <c r="C364" s="60" t="s">
        <v>59</v>
      </c>
      <c r="D364" s="60" t="s">
        <v>135</v>
      </c>
      <c r="E364" s="60" t="s">
        <v>136</v>
      </c>
      <c r="F364" s="61" t="s">
        <v>136</v>
      </c>
      <c r="G364" s="54">
        <v>2799.0</v>
      </c>
      <c r="H364" s="54">
        <v>304.0</v>
      </c>
      <c r="I364" s="54">
        <v>29.0</v>
      </c>
      <c r="J364" s="55">
        <v>90.2030293264583</v>
      </c>
      <c r="K364" s="55">
        <f>G364+H364+I364</f>
        <v>3132</v>
      </c>
      <c r="L364" s="56">
        <v>2517.0</v>
      </c>
      <c r="M364" s="56">
        <v>87.0</v>
      </c>
      <c r="N364" s="56">
        <v>27.0</v>
      </c>
      <c r="O364" s="55">
        <v>96.6589861751152</v>
      </c>
      <c r="P364" s="57">
        <f>L364+M364+N364</f>
        <v>2631</v>
      </c>
    </row>
    <row r="365" ht="15.0" hidden="1" customHeight="1">
      <c r="A365" s="45">
        <v>359.0</v>
      </c>
      <c r="B365" s="46" t="s">
        <v>24</v>
      </c>
      <c r="C365" s="46" t="s">
        <v>59</v>
      </c>
      <c r="D365" s="46" t="s">
        <v>135</v>
      </c>
      <c r="E365" s="46" t="s">
        <v>136</v>
      </c>
      <c r="F365" s="47" t="s">
        <v>18</v>
      </c>
      <c r="G365" s="48">
        <v>1088.0</v>
      </c>
      <c r="H365" s="48">
        <v>103.0</v>
      </c>
      <c r="I365" s="48">
        <v>10.0</v>
      </c>
      <c r="J365" s="49">
        <v>91.3518052057095</v>
      </c>
      <c r="K365" s="49"/>
      <c r="L365" s="50">
        <v>840.0</v>
      </c>
      <c r="M365" s="50">
        <v>40.0</v>
      </c>
      <c r="N365" s="50">
        <v>8.0</v>
      </c>
      <c r="O365" s="49">
        <v>95.4545454545455</v>
      </c>
      <c r="P365" s="51"/>
    </row>
    <row r="366" ht="15.0" hidden="1" customHeight="1">
      <c r="A366" s="45">
        <v>360.0</v>
      </c>
      <c r="B366" s="46" t="s">
        <v>24</v>
      </c>
      <c r="C366" s="46" t="s">
        <v>59</v>
      </c>
      <c r="D366" s="46" t="s">
        <v>135</v>
      </c>
      <c r="E366" s="46" t="s">
        <v>136</v>
      </c>
      <c r="F366" s="47" t="s">
        <v>19</v>
      </c>
      <c r="G366" s="48">
        <v>1711.0</v>
      </c>
      <c r="H366" s="48">
        <v>201.0</v>
      </c>
      <c r="I366" s="48">
        <v>19.0</v>
      </c>
      <c r="J366" s="49">
        <v>89.4874476987448</v>
      </c>
      <c r="K366" s="49"/>
      <c r="L366" s="50">
        <v>1677.0</v>
      </c>
      <c r="M366" s="50">
        <v>47.0</v>
      </c>
      <c r="N366" s="50">
        <v>19.0</v>
      </c>
      <c r="O366" s="49">
        <v>97.2737819025522</v>
      </c>
      <c r="P366" s="51"/>
    </row>
    <row r="367" ht="15.0" customHeight="1">
      <c r="A367" s="52">
        <v>361.0</v>
      </c>
      <c r="B367" s="53" t="s">
        <v>24</v>
      </c>
      <c r="C367" s="60" t="s">
        <v>59</v>
      </c>
      <c r="D367" s="60" t="s">
        <v>135</v>
      </c>
      <c r="E367" s="60" t="s">
        <v>137</v>
      </c>
      <c r="F367" s="61" t="s">
        <v>137</v>
      </c>
      <c r="G367" s="54">
        <v>682.0</v>
      </c>
      <c r="H367" s="54">
        <v>72.0</v>
      </c>
      <c r="I367" s="54">
        <v>9.0</v>
      </c>
      <c r="J367" s="55">
        <v>90.4509283819629</v>
      </c>
      <c r="K367" s="55">
        <f>G367+H367+I367</f>
        <v>763</v>
      </c>
      <c r="L367" s="56">
        <v>503.0</v>
      </c>
      <c r="M367" s="56">
        <v>17.0</v>
      </c>
      <c r="N367" s="56">
        <v>9.0</v>
      </c>
      <c r="O367" s="55">
        <v>96.7307692307692</v>
      </c>
      <c r="P367" s="57">
        <f>L367+M367+N367</f>
        <v>529</v>
      </c>
    </row>
    <row r="368" ht="15.0" hidden="1" customHeight="1">
      <c r="A368" s="45">
        <v>362.0</v>
      </c>
      <c r="B368" s="46" t="s">
        <v>24</v>
      </c>
      <c r="C368" s="46" t="s">
        <v>59</v>
      </c>
      <c r="D368" s="46" t="s">
        <v>135</v>
      </c>
      <c r="E368" s="46" t="s">
        <v>137</v>
      </c>
      <c r="F368" s="47" t="s">
        <v>18</v>
      </c>
      <c r="G368" s="48"/>
      <c r="H368" s="48"/>
      <c r="I368" s="48"/>
      <c r="J368" s="49"/>
      <c r="K368" s="49"/>
      <c r="L368" s="50"/>
      <c r="M368" s="50"/>
      <c r="N368" s="50"/>
      <c r="O368" s="49"/>
      <c r="P368" s="51"/>
    </row>
    <row r="369" ht="15.0" hidden="1" customHeight="1">
      <c r="A369" s="45">
        <v>363.0</v>
      </c>
      <c r="B369" s="46" t="s">
        <v>24</v>
      </c>
      <c r="C369" s="46" t="s">
        <v>59</v>
      </c>
      <c r="D369" s="46" t="s">
        <v>135</v>
      </c>
      <c r="E369" s="46" t="s">
        <v>137</v>
      </c>
      <c r="F369" s="47" t="s">
        <v>19</v>
      </c>
      <c r="G369" s="48">
        <v>682.0</v>
      </c>
      <c r="H369" s="48">
        <v>72.0</v>
      </c>
      <c r="I369" s="48">
        <v>9.0</v>
      </c>
      <c r="J369" s="49">
        <v>90.4509283819629</v>
      </c>
      <c r="K369" s="49"/>
      <c r="L369" s="50">
        <v>503.0</v>
      </c>
      <c r="M369" s="50">
        <v>17.0</v>
      </c>
      <c r="N369" s="50">
        <v>9.0</v>
      </c>
      <c r="O369" s="49">
        <v>96.7307692307692</v>
      </c>
      <c r="P369" s="51"/>
    </row>
    <row r="370" ht="15.0" customHeight="1">
      <c r="A370" s="52">
        <v>364.0</v>
      </c>
      <c r="B370" s="53" t="s">
        <v>24</v>
      </c>
      <c r="C370" s="60" t="s">
        <v>59</v>
      </c>
      <c r="D370" s="60" t="s">
        <v>135</v>
      </c>
      <c r="E370" s="60" t="s">
        <v>138</v>
      </c>
      <c r="F370" s="61" t="s">
        <v>138</v>
      </c>
      <c r="G370" s="54">
        <v>688.0</v>
      </c>
      <c r="H370" s="54">
        <v>40.0</v>
      </c>
      <c r="I370" s="54">
        <v>10.0</v>
      </c>
      <c r="J370" s="55">
        <v>94.5054945054945</v>
      </c>
      <c r="K370" s="55">
        <f>G370+H370+I370</f>
        <v>738</v>
      </c>
      <c r="L370" s="56">
        <v>760.0</v>
      </c>
      <c r="M370" s="56">
        <v>15.0</v>
      </c>
      <c r="N370" s="56">
        <v>7.0</v>
      </c>
      <c r="O370" s="55">
        <v>98.0645161290323</v>
      </c>
      <c r="P370" s="57">
        <f>L370+M370+N370</f>
        <v>782</v>
      </c>
    </row>
    <row r="371" ht="15.0" hidden="1" customHeight="1">
      <c r="A371" s="45">
        <v>365.0</v>
      </c>
      <c r="B371" s="46" t="s">
        <v>24</v>
      </c>
      <c r="C371" s="46" t="s">
        <v>59</v>
      </c>
      <c r="D371" s="46" t="s">
        <v>135</v>
      </c>
      <c r="E371" s="46" t="s">
        <v>138</v>
      </c>
      <c r="F371" s="47" t="s">
        <v>18</v>
      </c>
      <c r="G371" s="48"/>
      <c r="H371" s="48"/>
      <c r="I371" s="48"/>
      <c r="J371" s="49"/>
      <c r="K371" s="49"/>
      <c r="L371" s="50"/>
      <c r="M371" s="50"/>
      <c r="N371" s="50"/>
      <c r="O371" s="49"/>
      <c r="P371" s="51"/>
    </row>
    <row r="372" ht="15.0" hidden="1" customHeight="1">
      <c r="A372" s="45">
        <v>366.0</v>
      </c>
      <c r="B372" s="46" t="s">
        <v>24</v>
      </c>
      <c r="C372" s="46" t="s">
        <v>59</v>
      </c>
      <c r="D372" s="46" t="s">
        <v>135</v>
      </c>
      <c r="E372" s="46" t="s">
        <v>138</v>
      </c>
      <c r="F372" s="47" t="s">
        <v>19</v>
      </c>
      <c r="G372" s="48">
        <v>688.0</v>
      </c>
      <c r="H372" s="48">
        <v>40.0</v>
      </c>
      <c r="I372" s="48">
        <v>10.0</v>
      </c>
      <c r="J372" s="49">
        <v>94.5054945054945</v>
      </c>
      <c r="K372" s="49"/>
      <c r="L372" s="50">
        <v>760.0</v>
      </c>
      <c r="M372" s="50">
        <v>15.0</v>
      </c>
      <c r="N372" s="50">
        <v>7.0</v>
      </c>
      <c r="O372" s="49">
        <v>98.0645161290323</v>
      </c>
      <c r="P372" s="51"/>
    </row>
    <row r="373" ht="15.0" customHeight="1">
      <c r="A373" s="52">
        <v>367.0</v>
      </c>
      <c r="B373" s="53" t="s">
        <v>24</v>
      </c>
      <c r="C373" s="60" t="s">
        <v>59</v>
      </c>
      <c r="D373" s="60" t="s">
        <v>135</v>
      </c>
      <c r="E373" s="60" t="s">
        <v>139</v>
      </c>
      <c r="F373" s="61" t="s">
        <v>139</v>
      </c>
      <c r="G373" s="54">
        <v>974.0</v>
      </c>
      <c r="H373" s="54">
        <v>59.0</v>
      </c>
      <c r="I373" s="54">
        <v>9.0</v>
      </c>
      <c r="J373" s="55">
        <v>94.2884801548887</v>
      </c>
      <c r="K373" s="55">
        <f>G373+H373+I373</f>
        <v>1042</v>
      </c>
      <c r="L373" s="56">
        <v>1102.0</v>
      </c>
      <c r="M373" s="56">
        <v>24.0</v>
      </c>
      <c r="N373" s="56">
        <v>7.0</v>
      </c>
      <c r="O373" s="55">
        <v>97.8685612788632</v>
      </c>
      <c r="P373" s="57">
        <f>L373+M373+N373</f>
        <v>1133</v>
      </c>
    </row>
    <row r="374" ht="15.0" hidden="1" customHeight="1">
      <c r="A374" s="45">
        <v>368.0</v>
      </c>
      <c r="B374" s="46" t="s">
        <v>24</v>
      </c>
      <c r="C374" s="46" t="s">
        <v>59</v>
      </c>
      <c r="D374" s="46" t="s">
        <v>135</v>
      </c>
      <c r="E374" s="46" t="s">
        <v>139</v>
      </c>
      <c r="F374" s="47" t="s">
        <v>18</v>
      </c>
      <c r="G374" s="48"/>
      <c r="H374" s="48"/>
      <c r="I374" s="48"/>
      <c r="J374" s="49"/>
      <c r="K374" s="49"/>
      <c r="L374" s="50"/>
      <c r="M374" s="50"/>
      <c r="N374" s="50"/>
      <c r="O374" s="49"/>
      <c r="P374" s="51"/>
    </row>
    <row r="375" ht="15.0" hidden="1" customHeight="1">
      <c r="A375" s="45">
        <v>369.0</v>
      </c>
      <c r="B375" s="46" t="s">
        <v>24</v>
      </c>
      <c r="C375" s="46" t="s">
        <v>59</v>
      </c>
      <c r="D375" s="46" t="s">
        <v>135</v>
      </c>
      <c r="E375" s="46" t="s">
        <v>139</v>
      </c>
      <c r="F375" s="47" t="s">
        <v>19</v>
      </c>
      <c r="G375" s="48">
        <v>974.0</v>
      </c>
      <c r="H375" s="48">
        <v>59.0</v>
      </c>
      <c r="I375" s="48">
        <v>9.0</v>
      </c>
      <c r="J375" s="49">
        <v>94.2884801548887</v>
      </c>
      <c r="K375" s="49"/>
      <c r="L375" s="50">
        <v>1102.0</v>
      </c>
      <c r="M375" s="50">
        <v>24.0</v>
      </c>
      <c r="N375" s="50">
        <v>7.0</v>
      </c>
      <c r="O375" s="49">
        <v>97.8685612788632</v>
      </c>
      <c r="P375" s="51"/>
    </row>
    <row r="376" ht="15.0" customHeight="1">
      <c r="A376" s="52">
        <v>370.0</v>
      </c>
      <c r="B376" s="53" t="s">
        <v>24</v>
      </c>
      <c r="C376" s="60" t="s">
        <v>59</v>
      </c>
      <c r="D376" s="60" t="s">
        <v>135</v>
      </c>
      <c r="E376" s="60" t="s">
        <v>140</v>
      </c>
      <c r="F376" s="61" t="s">
        <v>140</v>
      </c>
      <c r="G376" s="54">
        <v>2200.0</v>
      </c>
      <c r="H376" s="54">
        <v>224.0</v>
      </c>
      <c r="I376" s="54">
        <v>29.0</v>
      </c>
      <c r="J376" s="55">
        <v>90.7590759075908</v>
      </c>
      <c r="K376" s="55">
        <f>G376+H376+I376</f>
        <v>2453</v>
      </c>
      <c r="L376" s="56">
        <v>1863.0</v>
      </c>
      <c r="M376" s="56">
        <v>52.0</v>
      </c>
      <c r="N376" s="56">
        <v>15.0</v>
      </c>
      <c r="O376" s="55">
        <v>97.2845953002611</v>
      </c>
      <c r="P376" s="57">
        <f>L376+M376+N376</f>
        <v>1930</v>
      </c>
    </row>
    <row r="377" ht="15.0" hidden="1" customHeight="1">
      <c r="A377" s="45">
        <v>371.0</v>
      </c>
      <c r="B377" s="46" t="s">
        <v>24</v>
      </c>
      <c r="C377" s="46" t="s">
        <v>59</v>
      </c>
      <c r="D377" s="46" t="s">
        <v>135</v>
      </c>
      <c r="E377" s="46" t="s">
        <v>140</v>
      </c>
      <c r="F377" s="47" t="s">
        <v>18</v>
      </c>
      <c r="G377" s="48">
        <v>1268.0</v>
      </c>
      <c r="H377" s="48">
        <v>117.0</v>
      </c>
      <c r="I377" s="48">
        <v>11.0</v>
      </c>
      <c r="J377" s="49">
        <v>91.5523465703971</v>
      </c>
      <c r="K377" s="49"/>
      <c r="L377" s="50">
        <v>1098.0</v>
      </c>
      <c r="M377" s="50">
        <v>36.0</v>
      </c>
      <c r="N377" s="50">
        <v>9.0</v>
      </c>
      <c r="O377" s="49">
        <v>96.8253968253968</v>
      </c>
      <c r="P377" s="51"/>
    </row>
    <row r="378" ht="15.0" hidden="1" customHeight="1">
      <c r="A378" s="45">
        <v>372.0</v>
      </c>
      <c r="B378" s="46" t="s">
        <v>24</v>
      </c>
      <c r="C378" s="46" t="s">
        <v>59</v>
      </c>
      <c r="D378" s="46" t="s">
        <v>135</v>
      </c>
      <c r="E378" s="46" t="s">
        <v>140</v>
      </c>
      <c r="F378" s="47" t="s">
        <v>19</v>
      </c>
      <c r="G378" s="48">
        <v>932.0</v>
      </c>
      <c r="H378" s="48">
        <v>107.0</v>
      </c>
      <c r="I378" s="48">
        <v>18.0</v>
      </c>
      <c r="J378" s="49">
        <v>89.7016361886429</v>
      </c>
      <c r="K378" s="49"/>
      <c r="L378" s="50">
        <v>765.0</v>
      </c>
      <c r="M378" s="50">
        <v>16.0</v>
      </c>
      <c r="N378" s="50">
        <v>6.0</v>
      </c>
      <c r="O378" s="49">
        <v>97.9513444302177</v>
      </c>
      <c r="P378" s="51"/>
    </row>
    <row r="379" ht="15.0" customHeight="1">
      <c r="A379" s="52">
        <v>373.0</v>
      </c>
      <c r="B379" s="53" t="s">
        <v>24</v>
      </c>
      <c r="C379" s="60" t="s">
        <v>59</v>
      </c>
      <c r="D379" s="60" t="s">
        <v>135</v>
      </c>
      <c r="E379" s="60" t="s">
        <v>141</v>
      </c>
      <c r="F379" s="61" t="s">
        <v>141</v>
      </c>
      <c r="G379" s="54">
        <v>855.0</v>
      </c>
      <c r="H379" s="54">
        <v>41.0</v>
      </c>
      <c r="I379" s="54">
        <v>4.0</v>
      </c>
      <c r="J379" s="55">
        <v>95.4241071428571</v>
      </c>
      <c r="K379" s="55">
        <f>G379+H379+I379</f>
        <v>900</v>
      </c>
      <c r="L379" s="56">
        <v>1045.0</v>
      </c>
      <c r="M379" s="56">
        <v>83.0</v>
      </c>
      <c r="N379" s="56">
        <v>19.0</v>
      </c>
      <c r="O379" s="55">
        <v>92.6418439716312</v>
      </c>
      <c r="P379" s="57">
        <f>L379+M379+N379</f>
        <v>1147</v>
      </c>
    </row>
    <row r="380" ht="15.0" hidden="1" customHeight="1">
      <c r="A380" s="45">
        <v>374.0</v>
      </c>
      <c r="B380" s="46" t="s">
        <v>24</v>
      </c>
      <c r="C380" s="46" t="s">
        <v>59</v>
      </c>
      <c r="D380" s="46" t="s">
        <v>135</v>
      </c>
      <c r="E380" s="46" t="s">
        <v>141</v>
      </c>
      <c r="F380" s="47" t="s">
        <v>18</v>
      </c>
      <c r="G380" s="48">
        <v>279.0</v>
      </c>
      <c r="H380" s="48">
        <v>13.0</v>
      </c>
      <c r="I380" s="48">
        <v>2.0</v>
      </c>
      <c r="J380" s="49">
        <v>95.5479452054795</v>
      </c>
      <c r="K380" s="49"/>
      <c r="L380" s="50">
        <v>663.0</v>
      </c>
      <c r="M380" s="50">
        <v>58.0</v>
      </c>
      <c r="N380" s="50">
        <v>10.0</v>
      </c>
      <c r="O380" s="49">
        <v>91.9556171983356</v>
      </c>
      <c r="P380" s="51"/>
    </row>
    <row r="381" ht="15.0" hidden="1" customHeight="1">
      <c r="A381" s="45">
        <v>375.0</v>
      </c>
      <c r="B381" s="46" t="s">
        <v>24</v>
      </c>
      <c r="C381" s="46" t="s">
        <v>59</v>
      </c>
      <c r="D381" s="46" t="s">
        <v>135</v>
      </c>
      <c r="E381" s="46" t="s">
        <v>141</v>
      </c>
      <c r="F381" s="47" t="s">
        <v>19</v>
      </c>
      <c r="G381" s="48">
        <v>576.0</v>
      </c>
      <c r="H381" s="48">
        <v>28.0</v>
      </c>
      <c r="I381" s="48">
        <v>2.0</v>
      </c>
      <c r="J381" s="49">
        <v>95.364238410596</v>
      </c>
      <c r="K381" s="49"/>
      <c r="L381" s="50">
        <v>382.0</v>
      </c>
      <c r="M381" s="50">
        <v>25.0</v>
      </c>
      <c r="N381" s="50">
        <v>9.0</v>
      </c>
      <c r="O381" s="49">
        <v>93.8574938574938</v>
      </c>
      <c r="P381" s="51"/>
    </row>
    <row r="382" ht="15.0" customHeight="1">
      <c r="A382" s="52">
        <v>376.0</v>
      </c>
      <c r="B382" s="53" t="s">
        <v>24</v>
      </c>
      <c r="C382" s="60" t="s">
        <v>59</v>
      </c>
      <c r="D382" s="60" t="s">
        <v>135</v>
      </c>
      <c r="E382" s="60" t="s">
        <v>142</v>
      </c>
      <c r="F382" s="61" t="s">
        <v>142</v>
      </c>
      <c r="G382" s="54">
        <v>455.0</v>
      </c>
      <c r="H382" s="54">
        <v>21.0</v>
      </c>
      <c r="I382" s="54">
        <v>11.0</v>
      </c>
      <c r="J382" s="55">
        <v>95.5882352941177</v>
      </c>
      <c r="K382" s="55">
        <f>G382+H382+I382</f>
        <v>487</v>
      </c>
      <c r="L382" s="56">
        <v>386.0</v>
      </c>
      <c r="M382" s="56">
        <v>16.0</v>
      </c>
      <c r="N382" s="56">
        <v>8.0</v>
      </c>
      <c r="O382" s="55">
        <v>96.0199004975124</v>
      </c>
      <c r="P382" s="57">
        <f>L382+M382+N382</f>
        <v>410</v>
      </c>
    </row>
    <row r="383" ht="15.0" hidden="1" customHeight="1">
      <c r="A383" s="45">
        <v>377.0</v>
      </c>
      <c r="B383" s="46" t="s">
        <v>24</v>
      </c>
      <c r="C383" s="46" t="s">
        <v>59</v>
      </c>
      <c r="D383" s="46" t="s">
        <v>135</v>
      </c>
      <c r="E383" s="46" t="s">
        <v>142</v>
      </c>
      <c r="F383" s="47" t="s">
        <v>18</v>
      </c>
      <c r="G383" s="48">
        <v>263.0</v>
      </c>
      <c r="H383" s="48">
        <v>12.0</v>
      </c>
      <c r="I383" s="48">
        <v>7.0</v>
      </c>
      <c r="J383" s="49">
        <v>95.6363636363636</v>
      </c>
      <c r="K383" s="49"/>
      <c r="L383" s="50">
        <v>288.0</v>
      </c>
      <c r="M383" s="50">
        <v>8.0</v>
      </c>
      <c r="N383" s="50">
        <v>7.0</v>
      </c>
      <c r="O383" s="49">
        <v>97.2972972972973</v>
      </c>
      <c r="P383" s="51"/>
    </row>
    <row r="384" ht="15.0" hidden="1" customHeight="1">
      <c r="A384" s="45">
        <v>378.0</v>
      </c>
      <c r="B384" s="46" t="s">
        <v>24</v>
      </c>
      <c r="C384" s="46" t="s">
        <v>59</v>
      </c>
      <c r="D384" s="46" t="s">
        <v>135</v>
      </c>
      <c r="E384" s="46" t="s">
        <v>142</v>
      </c>
      <c r="F384" s="47" t="s">
        <v>19</v>
      </c>
      <c r="G384" s="48">
        <v>192.0</v>
      </c>
      <c r="H384" s="48">
        <v>9.0</v>
      </c>
      <c r="I384" s="48">
        <v>4.0</v>
      </c>
      <c r="J384" s="49">
        <v>95.5223880597015</v>
      </c>
      <c r="K384" s="49"/>
      <c r="L384" s="50">
        <v>98.0</v>
      </c>
      <c r="M384" s="50">
        <v>8.0</v>
      </c>
      <c r="N384" s="50">
        <v>1.0</v>
      </c>
      <c r="O384" s="49">
        <v>92.4528301886792</v>
      </c>
      <c r="P384" s="51"/>
    </row>
    <row r="385" ht="15.0" hidden="1" customHeight="1">
      <c r="A385" s="39">
        <v>379.0</v>
      </c>
      <c r="B385" s="40" t="s">
        <v>22</v>
      </c>
      <c r="C385" s="59" t="s">
        <v>59</v>
      </c>
      <c r="D385" s="59" t="s">
        <v>143</v>
      </c>
      <c r="E385" s="59"/>
      <c r="F385" s="40" t="s">
        <v>143</v>
      </c>
      <c r="G385" s="41">
        <v>3125.0</v>
      </c>
      <c r="H385" s="41">
        <v>324.0</v>
      </c>
      <c r="I385" s="41">
        <v>33.0</v>
      </c>
      <c r="J385" s="42">
        <v>90.6059727457234</v>
      </c>
      <c r="K385" s="42"/>
      <c r="L385" s="43">
        <v>3453.0</v>
      </c>
      <c r="M385" s="43">
        <v>96.0</v>
      </c>
      <c r="N385" s="43">
        <v>38.0</v>
      </c>
      <c r="O385" s="42">
        <v>97.2950126796281</v>
      </c>
      <c r="P385" s="44"/>
    </row>
    <row r="386" ht="15.0" hidden="1" customHeight="1">
      <c r="A386" s="45">
        <v>380.0</v>
      </c>
      <c r="B386" s="46" t="s">
        <v>22</v>
      </c>
      <c r="C386" s="46" t="s">
        <v>59</v>
      </c>
      <c r="D386" s="46" t="s">
        <v>143</v>
      </c>
      <c r="E386" s="46"/>
      <c r="F386" s="47" t="s">
        <v>18</v>
      </c>
      <c r="G386" s="48">
        <v>190.0</v>
      </c>
      <c r="H386" s="48">
        <v>15.0</v>
      </c>
      <c r="I386" s="48">
        <v>2.0</v>
      </c>
      <c r="J386" s="49">
        <v>92.6829268292683</v>
      </c>
      <c r="K386" s="49"/>
      <c r="L386" s="50">
        <v>316.0</v>
      </c>
      <c r="M386" s="50">
        <v>7.0</v>
      </c>
      <c r="N386" s="50">
        <v>6.0</v>
      </c>
      <c r="O386" s="49">
        <v>97.8328173374613</v>
      </c>
      <c r="P386" s="51"/>
    </row>
    <row r="387" ht="15.0" hidden="1" customHeight="1">
      <c r="A387" s="45">
        <v>381.0</v>
      </c>
      <c r="B387" s="46" t="s">
        <v>22</v>
      </c>
      <c r="C387" s="46" t="s">
        <v>59</v>
      </c>
      <c r="D387" s="46" t="s">
        <v>143</v>
      </c>
      <c r="E387" s="46"/>
      <c r="F387" s="47" t="s">
        <v>19</v>
      </c>
      <c r="G387" s="48">
        <v>2935.0</v>
      </c>
      <c r="H387" s="48">
        <v>309.0</v>
      </c>
      <c r="I387" s="48">
        <v>31.0</v>
      </c>
      <c r="J387" s="49">
        <v>90.4747225647349</v>
      </c>
      <c r="K387" s="49"/>
      <c r="L387" s="50">
        <v>3137.0</v>
      </c>
      <c r="M387" s="50">
        <v>89.0</v>
      </c>
      <c r="N387" s="50">
        <v>32.0</v>
      </c>
      <c r="O387" s="49">
        <v>97.2411655300682</v>
      </c>
      <c r="P387" s="51"/>
    </row>
    <row r="388" ht="15.0" customHeight="1">
      <c r="A388" s="52">
        <v>382.0</v>
      </c>
      <c r="B388" s="53" t="s">
        <v>24</v>
      </c>
      <c r="C388" s="60" t="s">
        <v>59</v>
      </c>
      <c r="D388" s="60" t="s">
        <v>143</v>
      </c>
      <c r="E388" s="60" t="s">
        <v>144</v>
      </c>
      <c r="F388" s="61" t="s">
        <v>144</v>
      </c>
      <c r="G388" s="54">
        <v>1655.0</v>
      </c>
      <c r="H388" s="54">
        <v>147.0</v>
      </c>
      <c r="I388" s="54">
        <v>11.0</v>
      </c>
      <c r="J388" s="55">
        <v>91.842397336293</v>
      </c>
      <c r="K388" s="55">
        <f>G388+H388+I388</f>
        <v>1813</v>
      </c>
      <c r="L388" s="56">
        <v>1834.0</v>
      </c>
      <c r="M388" s="56">
        <v>42.0</v>
      </c>
      <c r="N388" s="56">
        <v>18.0</v>
      </c>
      <c r="O388" s="55">
        <v>97.7611940298508</v>
      </c>
      <c r="P388" s="57">
        <f>L388+M388+N388</f>
        <v>1894</v>
      </c>
    </row>
    <row r="389" ht="15.0" hidden="1" customHeight="1">
      <c r="A389" s="45">
        <v>383.0</v>
      </c>
      <c r="B389" s="46" t="s">
        <v>24</v>
      </c>
      <c r="C389" s="46" t="s">
        <v>59</v>
      </c>
      <c r="D389" s="46" t="s">
        <v>143</v>
      </c>
      <c r="E389" s="46" t="s">
        <v>144</v>
      </c>
      <c r="F389" s="47" t="s">
        <v>18</v>
      </c>
      <c r="G389" s="48">
        <v>190.0</v>
      </c>
      <c r="H389" s="48">
        <v>15.0</v>
      </c>
      <c r="I389" s="48">
        <v>2.0</v>
      </c>
      <c r="J389" s="49">
        <v>92.6829268292683</v>
      </c>
      <c r="K389" s="49"/>
      <c r="L389" s="50">
        <v>142.0</v>
      </c>
      <c r="M389" s="50">
        <v>4.0</v>
      </c>
      <c r="N389" s="50">
        <v>1.0</v>
      </c>
      <c r="O389" s="49">
        <v>97.2602739726027</v>
      </c>
      <c r="P389" s="51"/>
    </row>
    <row r="390" ht="15.0" hidden="1" customHeight="1">
      <c r="A390" s="45">
        <v>384.0</v>
      </c>
      <c r="B390" s="46" t="s">
        <v>24</v>
      </c>
      <c r="C390" s="46" t="s">
        <v>59</v>
      </c>
      <c r="D390" s="46" t="s">
        <v>143</v>
      </c>
      <c r="E390" s="46" t="s">
        <v>144</v>
      </c>
      <c r="F390" s="47" t="s">
        <v>19</v>
      </c>
      <c r="G390" s="48">
        <v>1465.0</v>
      </c>
      <c r="H390" s="48">
        <v>132.0</v>
      </c>
      <c r="I390" s="48">
        <v>9.0</v>
      </c>
      <c r="J390" s="49">
        <v>91.7345021916093</v>
      </c>
      <c r="K390" s="49"/>
      <c r="L390" s="50">
        <v>1692.0</v>
      </c>
      <c r="M390" s="50">
        <v>38.0</v>
      </c>
      <c r="N390" s="50">
        <v>17.0</v>
      </c>
      <c r="O390" s="49">
        <v>97.8034682080925</v>
      </c>
      <c r="P390" s="51"/>
    </row>
    <row r="391" ht="15.0" customHeight="1">
      <c r="A391" s="52">
        <v>385.0</v>
      </c>
      <c r="B391" s="53" t="s">
        <v>24</v>
      </c>
      <c r="C391" s="60" t="s">
        <v>59</v>
      </c>
      <c r="D391" s="60" t="s">
        <v>143</v>
      </c>
      <c r="E391" s="60" t="s">
        <v>145</v>
      </c>
      <c r="F391" s="61" t="s">
        <v>145</v>
      </c>
      <c r="G391" s="54">
        <v>1470.0</v>
      </c>
      <c r="H391" s="54">
        <v>177.0</v>
      </c>
      <c r="I391" s="54">
        <v>22.0</v>
      </c>
      <c r="J391" s="55">
        <v>89.2531876138434</v>
      </c>
      <c r="K391" s="55">
        <f>G391+H391+I391</f>
        <v>1669</v>
      </c>
      <c r="L391" s="56">
        <v>1619.0</v>
      </c>
      <c r="M391" s="56">
        <v>54.0</v>
      </c>
      <c r="N391" s="56">
        <v>20.0</v>
      </c>
      <c r="O391" s="55">
        <v>96.7722653915123</v>
      </c>
      <c r="P391" s="57">
        <f>L391+M391+N391</f>
        <v>1693</v>
      </c>
    </row>
    <row r="392" ht="15.0" hidden="1" customHeight="1">
      <c r="A392" s="45">
        <v>386.0</v>
      </c>
      <c r="B392" s="46" t="s">
        <v>24</v>
      </c>
      <c r="C392" s="46" t="s">
        <v>59</v>
      </c>
      <c r="D392" s="46" t="s">
        <v>143</v>
      </c>
      <c r="E392" s="46" t="s">
        <v>145</v>
      </c>
      <c r="F392" s="47" t="s">
        <v>18</v>
      </c>
      <c r="G392" s="48"/>
      <c r="H392" s="48"/>
      <c r="I392" s="48"/>
      <c r="J392" s="49"/>
      <c r="K392" s="49"/>
      <c r="L392" s="50">
        <v>174.0</v>
      </c>
      <c r="M392" s="50">
        <v>3.0</v>
      </c>
      <c r="N392" s="50">
        <v>5.0</v>
      </c>
      <c r="O392" s="49">
        <v>98.3050847457627</v>
      </c>
      <c r="P392" s="51"/>
    </row>
    <row r="393" ht="15.0" hidden="1" customHeight="1">
      <c r="A393" s="45">
        <v>387.0</v>
      </c>
      <c r="B393" s="46" t="s">
        <v>24</v>
      </c>
      <c r="C393" s="46" t="s">
        <v>59</v>
      </c>
      <c r="D393" s="46" t="s">
        <v>143</v>
      </c>
      <c r="E393" s="46" t="s">
        <v>145</v>
      </c>
      <c r="F393" s="47" t="s">
        <v>19</v>
      </c>
      <c r="G393" s="48">
        <v>1470.0</v>
      </c>
      <c r="H393" s="48">
        <v>177.0</v>
      </c>
      <c r="I393" s="48">
        <v>22.0</v>
      </c>
      <c r="J393" s="49">
        <v>89.2531876138434</v>
      </c>
      <c r="K393" s="49"/>
      <c r="L393" s="50">
        <v>1445.0</v>
      </c>
      <c r="M393" s="50">
        <v>51.0</v>
      </c>
      <c r="N393" s="50">
        <v>15.0</v>
      </c>
      <c r="O393" s="49">
        <v>96.5909090909091</v>
      </c>
      <c r="P393" s="51"/>
    </row>
    <row r="394" ht="15.0" hidden="1" customHeight="1">
      <c r="A394" s="39">
        <v>388.0</v>
      </c>
      <c r="B394" s="40" t="s">
        <v>22</v>
      </c>
      <c r="C394" s="59" t="s">
        <v>59</v>
      </c>
      <c r="D394" s="59" t="s">
        <v>146</v>
      </c>
      <c r="E394" s="59"/>
      <c r="F394" s="40" t="s">
        <v>146</v>
      </c>
      <c r="G394" s="41">
        <v>2135.0</v>
      </c>
      <c r="H394" s="41">
        <v>341.0</v>
      </c>
      <c r="I394" s="41">
        <v>16.0</v>
      </c>
      <c r="J394" s="42">
        <v>86.2277867528271</v>
      </c>
      <c r="K394" s="42"/>
      <c r="L394" s="43">
        <v>2070.0</v>
      </c>
      <c r="M394" s="43">
        <v>165.0</v>
      </c>
      <c r="N394" s="43">
        <v>38.0</v>
      </c>
      <c r="O394" s="42">
        <v>92.6174496644295</v>
      </c>
      <c r="P394" s="44"/>
    </row>
    <row r="395" ht="15.0" hidden="1" customHeight="1">
      <c r="A395" s="45">
        <v>389.0</v>
      </c>
      <c r="B395" s="46" t="s">
        <v>22</v>
      </c>
      <c r="C395" s="46" t="s">
        <v>59</v>
      </c>
      <c r="D395" s="46" t="s">
        <v>146</v>
      </c>
      <c r="E395" s="46"/>
      <c r="F395" s="47" t="s">
        <v>18</v>
      </c>
      <c r="G395" s="48">
        <v>911.0</v>
      </c>
      <c r="H395" s="48">
        <v>72.0</v>
      </c>
      <c r="I395" s="48">
        <v>6.0</v>
      </c>
      <c r="J395" s="49">
        <v>92.675483214649</v>
      </c>
      <c r="K395" s="49"/>
      <c r="L395" s="50">
        <v>836.0</v>
      </c>
      <c r="M395" s="50">
        <v>43.0</v>
      </c>
      <c r="N395" s="50">
        <v>7.0</v>
      </c>
      <c r="O395" s="49">
        <v>95.1080773606371</v>
      </c>
      <c r="P395" s="51"/>
    </row>
    <row r="396" ht="15.0" hidden="1" customHeight="1">
      <c r="A396" s="45">
        <v>390.0</v>
      </c>
      <c r="B396" s="46" t="s">
        <v>22</v>
      </c>
      <c r="C396" s="46" t="s">
        <v>59</v>
      </c>
      <c r="D396" s="46" t="s">
        <v>146</v>
      </c>
      <c r="E396" s="46"/>
      <c r="F396" s="47" t="s">
        <v>19</v>
      </c>
      <c r="G396" s="48">
        <v>1224.0</v>
      </c>
      <c r="H396" s="48">
        <v>269.0</v>
      </c>
      <c r="I396" s="48">
        <v>10.0</v>
      </c>
      <c r="J396" s="49">
        <v>81.9825853985265</v>
      </c>
      <c r="K396" s="49"/>
      <c r="L396" s="50">
        <v>1234.0</v>
      </c>
      <c r="M396" s="50">
        <v>122.0</v>
      </c>
      <c r="N396" s="50">
        <v>31.0</v>
      </c>
      <c r="O396" s="49">
        <v>91.0029498525074</v>
      </c>
      <c r="P396" s="51"/>
    </row>
    <row r="397" ht="15.0" customHeight="1">
      <c r="A397" s="52">
        <v>391.0</v>
      </c>
      <c r="B397" s="53" t="s">
        <v>24</v>
      </c>
      <c r="C397" s="60" t="s">
        <v>59</v>
      </c>
      <c r="D397" s="60" t="s">
        <v>146</v>
      </c>
      <c r="E397" s="60" t="s">
        <v>147</v>
      </c>
      <c r="F397" s="61" t="s">
        <v>147</v>
      </c>
      <c r="G397" s="54">
        <v>1074.0</v>
      </c>
      <c r="H397" s="54">
        <v>232.0</v>
      </c>
      <c r="I397" s="54">
        <v>8.0</v>
      </c>
      <c r="J397" s="55">
        <v>82.2358346094946</v>
      </c>
      <c r="K397" s="55">
        <f>G397+H397+I397</f>
        <v>1314</v>
      </c>
      <c r="L397" s="56">
        <v>1121.0</v>
      </c>
      <c r="M397" s="56">
        <v>104.0</v>
      </c>
      <c r="N397" s="56">
        <v>33.0</v>
      </c>
      <c r="O397" s="55">
        <v>91.5102040816327</v>
      </c>
      <c r="P397" s="57">
        <f>L397+M397+N397</f>
        <v>1258</v>
      </c>
    </row>
    <row r="398" ht="15.0" hidden="1" customHeight="1">
      <c r="A398" s="45">
        <v>392.0</v>
      </c>
      <c r="B398" s="46" t="s">
        <v>24</v>
      </c>
      <c r="C398" s="46" t="s">
        <v>59</v>
      </c>
      <c r="D398" s="46" t="s">
        <v>146</v>
      </c>
      <c r="E398" s="46" t="s">
        <v>147</v>
      </c>
      <c r="F398" s="47" t="s">
        <v>18</v>
      </c>
      <c r="G398" s="48">
        <v>477.0</v>
      </c>
      <c r="H398" s="48">
        <v>50.0</v>
      </c>
      <c r="I398" s="48">
        <v>3.0</v>
      </c>
      <c r="J398" s="49">
        <v>90.5123339658444</v>
      </c>
      <c r="K398" s="49"/>
      <c r="L398" s="50">
        <v>392.0</v>
      </c>
      <c r="M398" s="50">
        <v>19.0</v>
      </c>
      <c r="N398" s="50">
        <v>4.0</v>
      </c>
      <c r="O398" s="49">
        <v>95.3771289537713</v>
      </c>
      <c r="P398" s="51"/>
    </row>
    <row r="399" ht="15.0" hidden="1" customHeight="1">
      <c r="A399" s="45">
        <v>393.0</v>
      </c>
      <c r="B399" s="46" t="s">
        <v>24</v>
      </c>
      <c r="C399" s="46" t="s">
        <v>59</v>
      </c>
      <c r="D399" s="46" t="s">
        <v>146</v>
      </c>
      <c r="E399" s="46" t="s">
        <v>147</v>
      </c>
      <c r="F399" s="47" t="s">
        <v>19</v>
      </c>
      <c r="G399" s="48">
        <v>597.0</v>
      </c>
      <c r="H399" s="48">
        <v>182.0</v>
      </c>
      <c r="I399" s="48">
        <v>5.0</v>
      </c>
      <c r="J399" s="49">
        <v>76.6367137355584</v>
      </c>
      <c r="K399" s="49"/>
      <c r="L399" s="50">
        <v>729.0</v>
      </c>
      <c r="M399" s="50">
        <v>85.0</v>
      </c>
      <c r="N399" s="50">
        <v>29.0</v>
      </c>
      <c r="O399" s="49">
        <v>89.5577395577396</v>
      </c>
      <c r="P399" s="51"/>
    </row>
    <row r="400" ht="15.0" customHeight="1">
      <c r="A400" s="52">
        <v>394.0</v>
      </c>
      <c r="B400" s="53" t="s">
        <v>24</v>
      </c>
      <c r="C400" s="60" t="s">
        <v>59</v>
      </c>
      <c r="D400" s="60" t="s">
        <v>146</v>
      </c>
      <c r="E400" s="60" t="s">
        <v>148</v>
      </c>
      <c r="F400" s="61" t="s">
        <v>148</v>
      </c>
      <c r="G400" s="54">
        <v>1061.0</v>
      </c>
      <c r="H400" s="54">
        <v>109.0</v>
      </c>
      <c r="I400" s="54">
        <v>8.0</v>
      </c>
      <c r="J400" s="55">
        <v>90.6837606837607</v>
      </c>
      <c r="K400" s="55">
        <f>G400+H400+I400</f>
        <v>1178</v>
      </c>
      <c r="L400" s="56">
        <v>949.0</v>
      </c>
      <c r="M400" s="56">
        <v>61.0</v>
      </c>
      <c r="N400" s="56">
        <v>5.0</v>
      </c>
      <c r="O400" s="55">
        <v>93.9603960396039</v>
      </c>
      <c r="P400" s="57">
        <f>L400+M400+N400</f>
        <v>1015</v>
      </c>
    </row>
    <row r="401" ht="15.0" hidden="1" customHeight="1">
      <c r="A401" s="45">
        <v>395.0</v>
      </c>
      <c r="B401" s="46" t="s">
        <v>24</v>
      </c>
      <c r="C401" s="46" t="s">
        <v>59</v>
      </c>
      <c r="D401" s="46" t="s">
        <v>146</v>
      </c>
      <c r="E401" s="46" t="s">
        <v>148</v>
      </c>
      <c r="F401" s="47" t="s">
        <v>18</v>
      </c>
      <c r="G401" s="48">
        <v>434.0</v>
      </c>
      <c r="H401" s="48">
        <v>22.0</v>
      </c>
      <c r="I401" s="48">
        <v>3.0</v>
      </c>
      <c r="J401" s="49">
        <v>95.1754385964912</v>
      </c>
      <c r="K401" s="49"/>
      <c r="L401" s="50">
        <v>444.0</v>
      </c>
      <c r="M401" s="50">
        <v>24.0</v>
      </c>
      <c r="N401" s="50">
        <v>3.0</v>
      </c>
      <c r="O401" s="49">
        <v>94.8717948717949</v>
      </c>
      <c r="P401" s="51"/>
    </row>
    <row r="402" ht="15.0" hidden="1" customHeight="1">
      <c r="A402" s="45">
        <v>396.0</v>
      </c>
      <c r="B402" s="46" t="s">
        <v>24</v>
      </c>
      <c r="C402" s="46" t="s">
        <v>59</v>
      </c>
      <c r="D402" s="46" t="s">
        <v>146</v>
      </c>
      <c r="E402" s="46" t="s">
        <v>148</v>
      </c>
      <c r="F402" s="47" t="s">
        <v>19</v>
      </c>
      <c r="G402" s="48">
        <v>627.0</v>
      </c>
      <c r="H402" s="48">
        <v>87.0</v>
      </c>
      <c r="I402" s="48">
        <v>5.0</v>
      </c>
      <c r="J402" s="49">
        <v>87.8151260504202</v>
      </c>
      <c r="K402" s="49"/>
      <c r="L402" s="50">
        <v>505.0</v>
      </c>
      <c r="M402" s="50">
        <v>37.0</v>
      </c>
      <c r="N402" s="50">
        <v>2.0</v>
      </c>
      <c r="O402" s="49">
        <v>93.1734317343173</v>
      </c>
      <c r="P402" s="51"/>
    </row>
    <row r="403" ht="15.0" hidden="1" customHeight="1">
      <c r="A403" s="39">
        <v>397.0</v>
      </c>
      <c r="B403" s="40" t="s">
        <v>22</v>
      </c>
      <c r="C403" s="59" t="s">
        <v>59</v>
      </c>
      <c r="D403" s="59" t="s">
        <v>149</v>
      </c>
      <c r="E403" s="59"/>
      <c r="F403" s="40" t="s">
        <v>149</v>
      </c>
      <c r="G403" s="41">
        <v>1746.0</v>
      </c>
      <c r="H403" s="41">
        <v>195.0</v>
      </c>
      <c r="I403" s="41">
        <v>15.0</v>
      </c>
      <c r="J403" s="42">
        <v>89.9536321483771</v>
      </c>
      <c r="K403" s="42"/>
      <c r="L403" s="43">
        <v>2113.0</v>
      </c>
      <c r="M403" s="43">
        <v>174.0</v>
      </c>
      <c r="N403" s="43">
        <v>37.0</v>
      </c>
      <c r="O403" s="42">
        <v>92.3917796239615</v>
      </c>
      <c r="P403" s="44"/>
    </row>
    <row r="404" ht="15.0" hidden="1" customHeight="1">
      <c r="A404" s="45">
        <v>398.0</v>
      </c>
      <c r="B404" s="46" t="s">
        <v>22</v>
      </c>
      <c r="C404" s="46" t="s">
        <v>59</v>
      </c>
      <c r="D404" s="46" t="s">
        <v>149</v>
      </c>
      <c r="E404" s="46"/>
      <c r="F404" s="47" t="s">
        <v>18</v>
      </c>
      <c r="G404" s="48">
        <v>367.0</v>
      </c>
      <c r="H404" s="48">
        <v>56.0</v>
      </c>
      <c r="I404" s="48">
        <v>6.0</v>
      </c>
      <c r="J404" s="49">
        <v>86.7612293144208</v>
      </c>
      <c r="K404" s="49"/>
      <c r="L404" s="50">
        <v>228.0</v>
      </c>
      <c r="M404" s="50">
        <v>25.0</v>
      </c>
      <c r="N404" s="50">
        <v>3.0</v>
      </c>
      <c r="O404" s="49">
        <v>90.1185770750988</v>
      </c>
      <c r="P404" s="51"/>
    </row>
    <row r="405" ht="15.0" hidden="1" customHeight="1">
      <c r="A405" s="45">
        <v>399.0</v>
      </c>
      <c r="B405" s="46" t="s">
        <v>22</v>
      </c>
      <c r="C405" s="46" t="s">
        <v>59</v>
      </c>
      <c r="D405" s="46" t="s">
        <v>149</v>
      </c>
      <c r="E405" s="46"/>
      <c r="F405" s="47" t="s">
        <v>19</v>
      </c>
      <c r="G405" s="48">
        <v>1379.0</v>
      </c>
      <c r="H405" s="48">
        <v>139.0</v>
      </c>
      <c r="I405" s="48">
        <v>9.0</v>
      </c>
      <c r="J405" s="49">
        <v>90.8432147562582</v>
      </c>
      <c r="K405" s="49"/>
      <c r="L405" s="50">
        <v>1885.0</v>
      </c>
      <c r="M405" s="50">
        <v>149.0</v>
      </c>
      <c r="N405" s="50">
        <v>34.0</v>
      </c>
      <c r="O405" s="49">
        <v>92.6745329400197</v>
      </c>
      <c r="P405" s="51"/>
    </row>
    <row r="406" ht="15.0" customHeight="1">
      <c r="A406" s="52">
        <v>400.0</v>
      </c>
      <c r="B406" s="53" t="s">
        <v>24</v>
      </c>
      <c r="C406" s="60" t="s">
        <v>59</v>
      </c>
      <c r="D406" s="60" t="s">
        <v>149</v>
      </c>
      <c r="E406" s="60" t="s">
        <v>150</v>
      </c>
      <c r="F406" s="61" t="s">
        <v>150</v>
      </c>
      <c r="G406" s="54">
        <v>1398.0</v>
      </c>
      <c r="H406" s="54">
        <v>143.0</v>
      </c>
      <c r="I406" s="54">
        <v>13.0</v>
      </c>
      <c r="J406" s="55">
        <v>90.720311486048</v>
      </c>
      <c r="K406" s="55">
        <f>G406+H406+I406</f>
        <v>1554</v>
      </c>
      <c r="L406" s="56">
        <v>1472.0</v>
      </c>
      <c r="M406" s="56">
        <v>78.0</v>
      </c>
      <c r="N406" s="56">
        <v>16.0</v>
      </c>
      <c r="O406" s="55">
        <v>94.9677419354839</v>
      </c>
      <c r="P406" s="57">
        <f>L406+M406+N406</f>
        <v>1566</v>
      </c>
    </row>
    <row r="407" ht="15.0" hidden="1" customHeight="1">
      <c r="A407" s="45">
        <v>401.0</v>
      </c>
      <c r="B407" s="46" t="s">
        <v>24</v>
      </c>
      <c r="C407" s="46" t="s">
        <v>59</v>
      </c>
      <c r="D407" s="46" t="s">
        <v>149</v>
      </c>
      <c r="E407" s="46" t="s">
        <v>150</v>
      </c>
      <c r="F407" s="47" t="s">
        <v>18</v>
      </c>
      <c r="G407" s="48">
        <v>367.0</v>
      </c>
      <c r="H407" s="48">
        <v>56.0</v>
      </c>
      <c r="I407" s="48">
        <v>6.0</v>
      </c>
      <c r="J407" s="49">
        <v>86.7612293144208</v>
      </c>
      <c r="K407" s="49"/>
      <c r="L407" s="50">
        <v>228.0</v>
      </c>
      <c r="M407" s="50">
        <v>25.0</v>
      </c>
      <c r="N407" s="50">
        <v>3.0</v>
      </c>
      <c r="O407" s="49">
        <v>90.1185770750988</v>
      </c>
      <c r="P407" s="51"/>
    </row>
    <row r="408" ht="15.0" hidden="1" customHeight="1">
      <c r="A408" s="45">
        <v>402.0</v>
      </c>
      <c r="B408" s="46" t="s">
        <v>24</v>
      </c>
      <c r="C408" s="46" t="s">
        <v>59</v>
      </c>
      <c r="D408" s="46" t="s">
        <v>149</v>
      </c>
      <c r="E408" s="46" t="s">
        <v>150</v>
      </c>
      <c r="F408" s="47" t="s">
        <v>19</v>
      </c>
      <c r="G408" s="48">
        <v>1031.0</v>
      </c>
      <c r="H408" s="48">
        <v>87.0</v>
      </c>
      <c r="I408" s="48">
        <v>7.0</v>
      </c>
      <c r="J408" s="49">
        <v>92.2182468694097</v>
      </c>
      <c r="K408" s="49"/>
      <c r="L408" s="50">
        <v>1244.0</v>
      </c>
      <c r="M408" s="50">
        <v>53.0</v>
      </c>
      <c r="N408" s="50">
        <v>13.0</v>
      </c>
      <c r="O408" s="49">
        <v>95.9136468774094</v>
      </c>
      <c r="P408" s="51"/>
    </row>
    <row r="409" ht="15.0" customHeight="1">
      <c r="A409" s="52">
        <v>403.0</v>
      </c>
      <c r="B409" s="53" t="s">
        <v>24</v>
      </c>
      <c r="C409" s="60" t="s">
        <v>59</v>
      </c>
      <c r="D409" s="60" t="s">
        <v>149</v>
      </c>
      <c r="E409" s="60" t="s">
        <v>151</v>
      </c>
      <c r="F409" s="61" t="s">
        <v>151</v>
      </c>
      <c r="G409" s="54">
        <v>348.0</v>
      </c>
      <c r="H409" s="54">
        <v>52.0</v>
      </c>
      <c r="I409" s="54">
        <v>2.0</v>
      </c>
      <c r="J409" s="55">
        <v>87.0</v>
      </c>
      <c r="K409" s="55">
        <f>G409+H409+I409</f>
        <v>402</v>
      </c>
      <c r="L409" s="56">
        <v>641.0</v>
      </c>
      <c r="M409" s="56">
        <v>96.0</v>
      </c>
      <c r="N409" s="56">
        <v>21.0</v>
      </c>
      <c r="O409" s="55">
        <v>86.9742198100407</v>
      </c>
      <c r="P409" s="57">
        <f>L409+M409+N409</f>
        <v>758</v>
      </c>
    </row>
    <row r="410" ht="15.0" hidden="1" customHeight="1">
      <c r="A410" s="45">
        <v>404.0</v>
      </c>
      <c r="B410" s="46" t="s">
        <v>24</v>
      </c>
      <c r="C410" s="46" t="s">
        <v>59</v>
      </c>
      <c r="D410" s="46" t="s">
        <v>149</v>
      </c>
      <c r="E410" s="46" t="s">
        <v>151</v>
      </c>
      <c r="F410" s="47" t="s">
        <v>18</v>
      </c>
      <c r="G410" s="48"/>
      <c r="H410" s="48"/>
      <c r="I410" s="48"/>
      <c r="J410" s="49"/>
      <c r="K410" s="49"/>
      <c r="L410" s="50"/>
      <c r="M410" s="50"/>
      <c r="N410" s="50"/>
      <c r="O410" s="49"/>
      <c r="P410" s="51"/>
    </row>
    <row r="411" ht="15.0" hidden="1" customHeight="1">
      <c r="A411" s="45">
        <v>405.0</v>
      </c>
      <c r="B411" s="46" t="s">
        <v>24</v>
      </c>
      <c r="C411" s="46" t="s">
        <v>59</v>
      </c>
      <c r="D411" s="46" t="s">
        <v>149</v>
      </c>
      <c r="E411" s="46" t="s">
        <v>151</v>
      </c>
      <c r="F411" s="47" t="s">
        <v>19</v>
      </c>
      <c r="G411" s="48">
        <v>348.0</v>
      </c>
      <c r="H411" s="48">
        <v>52.0</v>
      </c>
      <c r="I411" s="48">
        <v>2.0</v>
      </c>
      <c r="J411" s="49">
        <v>87.0</v>
      </c>
      <c r="K411" s="49"/>
      <c r="L411" s="50">
        <v>641.0</v>
      </c>
      <c r="M411" s="50">
        <v>96.0</v>
      </c>
      <c r="N411" s="50">
        <v>21.0</v>
      </c>
      <c r="O411" s="49">
        <v>86.9742198100407</v>
      </c>
      <c r="P411" s="51"/>
    </row>
    <row r="412" ht="15.0" hidden="1" customHeight="1">
      <c r="A412" s="39">
        <v>406.0</v>
      </c>
      <c r="B412" s="40" t="s">
        <v>22</v>
      </c>
      <c r="C412" s="59" t="s">
        <v>59</v>
      </c>
      <c r="D412" s="59" t="s">
        <v>152</v>
      </c>
      <c r="E412" s="59"/>
      <c r="F412" s="40" t="s">
        <v>152</v>
      </c>
      <c r="G412" s="41">
        <v>1741.0</v>
      </c>
      <c r="H412" s="41">
        <v>193.0</v>
      </c>
      <c r="I412" s="41">
        <v>15.0</v>
      </c>
      <c r="J412" s="42">
        <v>90.0206825232678</v>
      </c>
      <c r="K412" s="42"/>
      <c r="L412" s="43">
        <v>1595.0</v>
      </c>
      <c r="M412" s="43">
        <v>93.0</v>
      </c>
      <c r="N412" s="43">
        <v>13.0</v>
      </c>
      <c r="O412" s="42">
        <v>94.4905213270142</v>
      </c>
      <c r="P412" s="44"/>
    </row>
    <row r="413" ht="15.0" hidden="1" customHeight="1">
      <c r="A413" s="45">
        <v>407.0</v>
      </c>
      <c r="B413" s="46" t="s">
        <v>22</v>
      </c>
      <c r="C413" s="46" t="s">
        <v>59</v>
      </c>
      <c r="D413" s="46" t="s">
        <v>152</v>
      </c>
      <c r="E413" s="46"/>
      <c r="F413" s="47" t="s">
        <v>18</v>
      </c>
      <c r="G413" s="48">
        <v>686.0</v>
      </c>
      <c r="H413" s="48">
        <v>69.0</v>
      </c>
      <c r="I413" s="48">
        <v>10.0</v>
      </c>
      <c r="J413" s="49">
        <v>90.8609271523179</v>
      </c>
      <c r="K413" s="49"/>
      <c r="L413" s="50">
        <v>417.0</v>
      </c>
      <c r="M413" s="50">
        <v>21.0</v>
      </c>
      <c r="N413" s="50">
        <v>6.0</v>
      </c>
      <c r="O413" s="49">
        <v>95.2054794520548</v>
      </c>
      <c r="P413" s="51"/>
    </row>
    <row r="414" ht="15.0" hidden="1" customHeight="1">
      <c r="A414" s="45">
        <v>408.0</v>
      </c>
      <c r="B414" s="46" t="s">
        <v>22</v>
      </c>
      <c r="C414" s="46" t="s">
        <v>59</v>
      </c>
      <c r="D414" s="46" t="s">
        <v>152</v>
      </c>
      <c r="E414" s="46"/>
      <c r="F414" s="47" t="s">
        <v>19</v>
      </c>
      <c r="G414" s="48">
        <v>1055.0</v>
      </c>
      <c r="H414" s="48">
        <v>124.0</v>
      </c>
      <c r="I414" s="48">
        <v>5.0</v>
      </c>
      <c r="J414" s="49">
        <v>89.4826123833757</v>
      </c>
      <c r="K414" s="49"/>
      <c r="L414" s="50">
        <v>1178.0</v>
      </c>
      <c r="M414" s="50">
        <v>72.0</v>
      </c>
      <c r="N414" s="50">
        <v>7.0</v>
      </c>
      <c r="O414" s="49">
        <v>94.24</v>
      </c>
      <c r="P414" s="51"/>
    </row>
    <row r="415" ht="15.0" customHeight="1">
      <c r="A415" s="52">
        <v>409.0</v>
      </c>
      <c r="B415" s="53" t="s">
        <v>24</v>
      </c>
      <c r="C415" s="60" t="s">
        <v>59</v>
      </c>
      <c r="D415" s="60" t="s">
        <v>152</v>
      </c>
      <c r="E415" s="60" t="s">
        <v>153</v>
      </c>
      <c r="F415" s="61" t="s">
        <v>153</v>
      </c>
      <c r="G415" s="54">
        <v>1068.0</v>
      </c>
      <c r="H415" s="54">
        <v>135.0</v>
      </c>
      <c r="I415" s="54">
        <v>12.0</v>
      </c>
      <c r="J415" s="55">
        <v>88.7780548628429</v>
      </c>
      <c r="K415" s="55">
        <f>G415+H415+I415</f>
        <v>1215</v>
      </c>
      <c r="L415" s="56">
        <v>888.0</v>
      </c>
      <c r="M415" s="56">
        <v>68.0</v>
      </c>
      <c r="N415" s="56">
        <v>7.0</v>
      </c>
      <c r="O415" s="55">
        <v>92.8870292887029</v>
      </c>
      <c r="P415" s="57">
        <f>L415+M415+N415</f>
        <v>963</v>
      </c>
    </row>
    <row r="416" ht="15.0" hidden="1" customHeight="1">
      <c r="A416" s="45">
        <v>410.0</v>
      </c>
      <c r="B416" s="46" t="s">
        <v>24</v>
      </c>
      <c r="C416" s="46" t="s">
        <v>59</v>
      </c>
      <c r="D416" s="46" t="s">
        <v>152</v>
      </c>
      <c r="E416" s="46" t="s">
        <v>153</v>
      </c>
      <c r="F416" s="47" t="s">
        <v>18</v>
      </c>
      <c r="G416" s="48">
        <v>471.0</v>
      </c>
      <c r="H416" s="48">
        <v>55.0</v>
      </c>
      <c r="I416" s="48">
        <v>9.0</v>
      </c>
      <c r="J416" s="49">
        <v>89.5437262357414</v>
      </c>
      <c r="K416" s="49"/>
      <c r="L416" s="50">
        <v>317.0</v>
      </c>
      <c r="M416" s="50">
        <v>19.0</v>
      </c>
      <c r="N416" s="50">
        <v>4.0</v>
      </c>
      <c r="O416" s="49">
        <v>94.3452380952381</v>
      </c>
      <c r="P416" s="51"/>
    </row>
    <row r="417" ht="15.0" hidden="1" customHeight="1">
      <c r="A417" s="45">
        <v>411.0</v>
      </c>
      <c r="B417" s="46" t="s">
        <v>24</v>
      </c>
      <c r="C417" s="46" t="s">
        <v>59</v>
      </c>
      <c r="D417" s="46" t="s">
        <v>152</v>
      </c>
      <c r="E417" s="46" t="s">
        <v>153</v>
      </c>
      <c r="F417" s="47" t="s">
        <v>19</v>
      </c>
      <c r="G417" s="48">
        <v>597.0</v>
      </c>
      <c r="H417" s="48">
        <v>80.0</v>
      </c>
      <c r="I417" s="48">
        <v>3.0</v>
      </c>
      <c r="J417" s="49">
        <v>88.1831610044313</v>
      </c>
      <c r="K417" s="49"/>
      <c r="L417" s="50">
        <v>571.0</v>
      </c>
      <c r="M417" s="50">
        <v>49.0</v>
      </c>
      <c r="N417" s="50">
        <v>3.0</v>
      </c>
      <c r="O417" s="49">
        <v>92.0967741935484</v>
      </c>
      <c r="P417" s="51"/>
    </row>
    <row r="418" ht="15.0" customHeight="1">
      <c r="A418" s="52">
        <v>412.0</v>
      </c>
      <c r="B418" s="53" t="s">
        <v>24</v>
      </c>
      <c r="C418" s="60" t="s">
        <v>59</v>
      </c>
      <c r="D418" s="60" t="s">
        <v>152</v>
      </c>
      <c r="E418" s="60" t="s">
        <v>154</v>
      </c>
      <c r="F418" s="61" t="s">
        <v>154</v>
      </c>
      <c r="G418" s="54">
        <v>336.0</v>
      </c>
      <c r="H418" s="54">
        <v>19.0</v>
      </c>
      <c r="I418" s="54">
        <v>1.0</v>
      </c>
      <c r="J418" s="55">
        <v>94.6478873239437</v>
      </c>
      <c r="K418" s="55">
        <f>G418+H418+I418</f>
        <v>356</v>
      </c>
      <c r="L418" s="56">
        <v>427.0</v>
      </c>
      <c r="M418" s="56">
        <v>9.0</v>
      </c>
      <c r="N418" s="56">
        <v>2.0</v>
      </c>
      <c r="O418" s="55">
        <v>97.9357798165138</v>
      </c>
      <c r="P418" s="57">
        <f>L418+M418+N418</f>
        <v>438</v>
      </c>
    </row>
    <row r="419" ht="15.0" hidden="1" customHeight="1">
      <c r="A419" s="45">
        <v>413.0</v>
      </c>
      <c r="B419" s="46" t="s">
        <v>24</v>
      </c>
      <c r="C419" s="46" t="s">
        <v>59</v>
      </c>
      <c r="D419" s="46" t="s">
        <v>152</v>
      </c>
      <c r="E419" s="46" t="s">
        <v>154</v>
      </c>
      <c r="F419" s="47" t="s">
        <v>18</v>
      </c>
      <c r="G419" s="48"/>
      <c r="H419" s="48"/>
      <c r="I419" s="48"/>
      <c r="J419" s="49"/>
      <c r="K419" s="49"/>
      <c r="L419" s="50"/>
      <c r="M419" s="50"/>
      <c r="N419" s="50"/>
      <c r="O419" s="49"/>
      <c r="P419" s="51"/>
    </row>
    <row r="420" ht="15.0" hidden="1" customHeight="1">
      <c r="A420" s="45">
        <v>414.0</v>
      </c>
      <c r="B420" s="46" t="s">
        <v>24</v>
      </c>
      <c r="C420" s="46" t="s">
        <v>59</v>
      </c>
      <c r="D420" s="46" t="s">
        <v>152</v>
      </c>
      <c r="E420" s="46" t="s">
        <v>154</v>
      </c>
      <c r="F420" s="47" t="s">
        <v>19</v>
      </c>
      <c r="G420" s="48">
        <v>336.0</v>
      </c>
      <c r="H420" s="48">
        <v>19.0</v>
      </c>
      <c r="I420" s="48">
        <v>1.0</v>
      </c>
      <c r="J420" s="49">
        <v>94.6478873239437</v>
      </c>
      <c r="K420" s="49"/>
      <c r="L420" s="50">
        <v>427.0</v>
      </c>
      <c r="M420" s="50">
        <v>9.0</v>
      </c>
      <c r="N420" s="50">
        <v>2.0</v>
      </c>
      <c r="O420" s="49">
        <v>97.9357798165138</v>
      </c>
      <c r="P420" s="51"/>
    </row>
    <row r="421" ht="15.0" customHeight="1">
      <c r="A421" s="52">
        <v>415.0</v>
      </c>
      <c r="B421" s="53" t="s">
        <v>24</v>
      </c>
      <c r="C421" s="60" t="s">
        <v>59</v>
      </c>
      <c r="D421" s="60" t="s">
        <v>152</v>
      </c>
      <c r="E421" s="60" t="s">
        <v>155</v>
      </c>
      <c r="F421" s="61" t="s">
        <v>155</v>
      </c>
      <c r="G421" s="54">
        <v>337.0</v>
      </c>
      <c r="H421" s="54">
        <v>39.0</v>
      </c>
      <c r="I421" s="54">
        <v>2.0</v>
      </c>
      <c r="J421" s="55">
        <v>89.6276595744681</v>
      </c>
      <c r="K421" s="55">
        <f>G421+H421+I421</f>
        <v>378</v>
      </c>
      <c r="L421" s="56">
        <v>280.0</v>
      </c>
      <c r="M421" s="56">
        <v>16.0</v>
      </c>
      <c r="N421" s="56">
        <v>4.0</v>
      </c>
      <c r="O421" s="55">
        <v>94.5945945945946</v>
      </c>
      <c r="P421" s="57">
        <f>L421+M421+N421</f>
        <v>300</v>
      </c>
    </row>
    <row r="422" ht="15.0" hidden="1" customHeight="1">
      <c r="A422" s="45">
        <v>416.0</v>
      </c>
      <c r="B422" s="46" t="s">
        <v>24</v>
      </c>
      <c r="C422" s="46" t="s">
        <v>59</v>
      </c>
      <c r="D422" s="46" t="s">
        <v>152</v>
      </c>
      <c r="E422" s="46" t="s">
        <v>155</v>
      </c>
      <c r="F422" s="47" t="s">
        <v>18</v>
      </c>
      <c r="G422" s="48">
        <v>215.0</v>
      </c>
      <c r="H422" s="48">
        <v>14.0</v>
      </c>
      <c r="I422" s="48">
        <v>1.0</v>
      </c>
      <c r="J422" s="49">
        <v>93.8864628820961</v>
      </c>
      <c r="K422" s="49"/>
      <c r="L422" s="50">
        <v>100.0</v>
      </c>
      <c r="M422" s="50">
        <v>2.0</v>
      </c>
      <c r="N422" s="50">
        <v>2.0</v>
      </c>
      <c r="O422" s="49">
        <v>98.0392156862745</v>
      </c>
      <c r="P422" s="51"/>
    </row>
    <row r="423" ht="15.0" hidden="1" customHeight="1">
      <c r="A423" s="45">
        <v>417.0</v>
      </c>
      <c r="B423" s="46" t="s">
        <v>24</v>
      </c>
      <c r="C423" s="46" t="s">
        <v>59</v>
      </c>
      <c r="D423" s="46" t="s">
        <v>152</v>
      </c>
      <c r="E423" s="46" t="s">
        <v>155</v>
      </c>
      <c r="F423" s="47" t="s">
        <v>19</v>
      </c>
      <c r="G423" s="48">
        <v>122.0</v>
      </c>
      <c r="H423" s="48">
        <v>25.0</v>
      </c>
      <c r="I423" s="48">
        <v>1.0</v>
      </c>
      <c r="J423" s="49">
        <v>82.9931972789116</v>
      </c>
      <c r="K423" s="49"/>
      <c r="L423" s="50">
        <v>180.0</v>
      </c>
      <c r="M423" s="50">
        <v>14.0</v>
      </c>
      <c r="N423" s="50">
        <v>2.0</v>
      </c>
      <c r="O423" s="49">
        <v>92.7835051546392</v>
      </c>
      <c r="P423" s="51"/>
    </row>
    <row r="424" ht="15.0" hidden="1" customHeight="1">
      <c r="A424" s="39">
        <v>418.0</v>
      </c>
      <c r="B424" s="40" t="s">
        <v>22</v>
      </c>
      <c r="C424" s="59" t="s">
        <v>59</v>
      </c>
      <c r="D424" s="59" t="s">
        <v>156</v>
      </c>
      <c r="E424" s="59"/>
      <c r="F424" s="40" t="s">
        <v>156</v>
      </c>
      <c r="G424" s="41">
        <v>1345.0</v>
      </c>
      <c r="H424" s="41">
        <v>86.0</v>
      </c>
      <c r="I424" s="41">
        <v>10.0</v>
      </c>
      <c r="J424" s="42">
        <v>93.9902166317261</v>
      </c>
      <c r="K424" s="42"/>
      <c r="L424" s="43">
        <v>1023.0</v>
      </c>
      <c r="M424" s="43">
        <v>24.0</v>
      </c>
      <c r="N424" s="43">
        <v>20.0</v>
      </c>
      <c r="O424" s="42">
        <v>97.7077363896848</v>
      </c>
      <c r="P424" s="44"/>
    </row>
    <row r="425" ht="15.0" hidden="1" customHeight="1">
      <c r="A425" s="45">
        <v>419.0</v>
      </c>
      <c r="B425" s="46" t="s">
        <v>22</v>
      </c>
      <c r="C425" s="46" t="s">
        <v>59</v>
      </c>
      <c r="D425" s="46" t="s">
        <v>156</v>
      </c>
      <c r="E425" s="46"/>
      <c r="F425" s="47" t="s">
        <v>18</v>
      </c>
      <c r="G425" s="48"/>
      <c r="H425" s="48"/>
      <c r="I425" s="48"/>
      <c r="J425" s="49"/>
      <c r="K425" s="49"/>
      <c r="L425" s="50"/>
      <c r="M425" s="50"/>
      <c r="N425" s="50"/>
      <c r="O425" s="49"/>
      <c r="P425" s="51"/>
    </row>
    <row r="426" ht="15.0" hidden="1" customHeight="1">
      <c r="A426" s="45">
        <v>420.0</v>
      </c>
      <c r="B426" s="46" t="s">
        <v>22</v>
      </c>
      <c r="C426" s="46" t="s">
        <v>59</v>
      </c>
      <c r="D426" s="46" t="s">
        <v>156</v>
      </c>
      <c r="E426" s="46"/>
      <c r="F426" s="47" t="s">
        <v>19</v>
      </c>
      <c r="G426" s="48">
        <v>1345.0</v>
      </c>
      <c r="H426" s="48">
        <v>86.0</v>
      </c>
      <c r="I426" s="48">
        <v>10.0</v>
      </c>
      <c r="J426" s="49">
        <v>93.9902166317261</v>
      </c>
      <c r="K426" s="49"/>
      <c r="L426" s="50">
        <v>1023.0</v>
      </c>
      <c r="M426" s="50">
        <v>24.0</v>
      </c>
      <c r="N426" s="50">
        <v>20.0</v>
      </c>
      <c r="O426" s="49">
        <v>97.7077363896848</v>
      </c>
      <c r="P426" s="51"/>
    </row>
    <row r="427" ht="15.0" customHeight="1">
      <c r="A427" s="52">
        <v>421.0</v>
      </c>
      <c r="B427" s="53" t="s">
        <v>24</v>
      </c>
      <c r="C427" s="60" t="s">
        <v>59</v>
      </c>
      <c r="D427" s="60" t="s">
        <v>156</v>
      </c>
      <c r="E427" s="60" t="s">
        <v>157</v>
      </c>
      <c r="F427" s="61" t="s">
        <v>157</v>
      </c>
      <c r="G427" s="54">
        <v>595.0</v>
      </c>
      <c r="H427" s="54">
        <v>36.0</v>
      </c>
      <c r="I427" s="54">
        <v>3.0</v>
      </c>
      <c r="J427" s="55">
        <v>94.2947702060222</v>
      </c>
      <c r="K427" s="55">
        <f>G427+H427+I427</f>
        <v>634</v>
      </c>
      <c r="L427" s="56">
        <v>507.0</v>
      </c>
      <c r="M427" s="56">
        <v>17.0</v>
      </c>
      <c r="N427" s="56">
        <v>13.0</v>
      </c>
      <c r="O427" s="55">
        <v>96.7557251908397</v>
      </c>
      <c r="P427" s="57">
        <f>L427+M427+N427</f>
        <v>537</v>
      </c>
    </row>
    <row r="428" ht="15.0" hidden="1" customHeight="1">
      <c r="A428" s="45">
        <v>422.0</v>
      </c>
      <c r="B428" s="46" t="s">
        <v>24</v>
      </c>
      <c r="C428" s="46" t="s">
        <v>59</v>
      </c>
      <c r="D428" s="46" t="s">
        <v>156</v>
      </c>
      <c r="E428" s="46" t="s">
        <v>157</v>
      </c>
      <c r="F428" s="47" t="s">
        <v>18</v>
      </c>
      <c r="G428" s="48"/>
      <c r="H428" s="48"/>
      <c r="I428" s="48"/>
      <c r="J428" s="49"/>
      <c r="K428" s="49"/>
      <c r="L428" s="50"/>
      <c r="M428" s="50"/>
      <c r="N428" s="50"/>
      <c r="O428" s="49"/>
      <c r="P428" s="51"/>
    </row>
    <row r="429" ht="15.0" hidden="1" customHeight="1">
      <c r="A429" s="45">
        <v>423.0</v>
      </c>
      <c r="B429" s="46" t="s">
        <v>24</v>
      </c>
      <c r="C429" s="46" t="s">
        <v>59</v>
      </c>
      <c r="D429" s="46" t="s">
        <v>156</v>
      </c>
      <c r="E429" s="46" t="s">
        <v>157</v>
      </c>
      <c r="F429" s="47" t="s">
        <v>19</v>
      </c>
      <c r="G429" s="48">
        <v>595.0</v>
      </c>
      <c r="H429" s="48">
        <v>36.0</v>
      </c>
      <c r="I429" s="48">
        <v>3.0</v>
      </c>
      <c r="J429" s="49">
        <v>94.2947702060222</v>
      </c>
      <c r="K429" s="49"/>
      <c r="L429" s="50">
        <v>507.0</v>
      </c>
      <c r="M429" s="50">
        <v>17.0</v>
      </c>
      <c r="N429" s="50">
        <v>13.0</v>
      </c>
      <c r="O429" s="49">
        <v>96.7557251908397</v>
      </c>
      <c r="P429" s="51"/>
    </row>
    <row r="430" ht="15.0" customHeight="1">
      <c r="A430" s="52">
        <v>424.0</v>
      </c>
      <c r="B430" s="53" t="s">
        <v>24</v>
      </c>
      <c r="C430" s="60" t="s">
        <v>59</v>
      </c>
      <c r="D430" s="60" t="s">
        <v>156</v>
      </c>
      <c r="E430" s="60" t="s">
        <v>158</v>
      </c>
      <c r="F430" s="61" t="s">
        <v>158</v>
      </c>
      <c r="G430" s="54">
        <v>572.0</v>
      </c>
      <c r="H430" s="54">
        <v>32.0</v>
      </c>
      <c r="I430" s="54">
        <v>6.0</v>
      </c>
      <c r="J430" s="55">
        <v>94.7019867549669</v>
      </c>
      <c r="K430" s="55">
        <f>G430+H430+I430</f>
        <v>610</v>
      </c>
      <c r="L430" s="56">
        <v>376.0</v>
      </c>
      <c r="M430" s="56">
        <v>7.0</v>
      </c>
      <c r="N430" s="56">
        <v>7.0</v>
      </c>
      <c r="O430" s="55">
        <v>98.1723237597911</v>
      </c>
      <c r="P430" s="57">
        <f>L430+M430+N430</f>
        <v>390</v>
      </c>
    </row>
    <row r="431" ht="15.0" hidden="1" customHeight="1">
      <c r="A431" s="45">
        <v>425.0</v>
      </c>
      <c r="B431" s="46" t="s">
        <v>24</v>
      </c>
      <c r="C431" s="46" t="s">
        <v>59</v>
      </c>
      <c r="D431" s="46" t="s">
        <v>156</v>
      </c>
      <c r="E431" s="46" t="s">
        <v>158</v>
      </c>
      <c r="F431" s="47" t="s">
        <v>18</v>
      </c>
      <c r="G431" s="48"/>
      <c r="H431" s="48"/>
      <c r="I431" s="48"/>
      <c r="J431" s="49"/>
      <c r="K431" s="49"/>
      <c r="L431" s="50"/>
      <c r="M431" s="50"/>
      <c r="N431" s="50"/>
      <c r="O431" s="49"/>
      <c r="P431" s="51"/>
    </row>
    <row r="432" ht="15.0" hidden="1" customHeight="1">
      <c r="A432" s="45">
        <v>426.0</v>
      </c>
      <c r="B432" s="46" t="s">
        <v>24</v>
      </c>
      <c r="C432" s="46" t="s">
        <v>59</v>
      </c>
      <c r="D432" s="46" t="s">
        <v>156</v>
      </c>
      <c r="E432" s="46" t="s">
        <v>158</v>
      </c>
      <c r="F432" s="47" t="s">
        <v>19</v>
      </c>
      <c r="G432" s="48">
        <v>572.0</v>
      </c>
      <c r="H432" s="48">
        <v>32.0</v>
      </c>
      <c r="I432" s="48">
        <v>6.0</v>
      </c>
      <c r="J432" s="49">
        <v>94.7019867549669</v>
      </c>
      <c r="K432" s="49"/>
      <c r="L432" s="50">
        <v>376.0</v>
      </c>
      <c r="M432" s="50">
        <v>7.0</v>
      </c>
      <c r="N432" s="50">
        <v>7.0</v>
      </c>
      <c r="O432" s="49">
        <v>98.1723237597911</v>
      </c>
      <c r="P432" s="51"/>
    </row>
    <row r="433" ht="15.0" customHeight="1">
      <c r="A433" s="52">
        <v>427.0</v>
      </c>
      <c r="B433" s="53" t="s">
        <v>24</v>
      </c>
      <c r="C433" s="60" t="s">
        <v>59</v>
      </c>
      <c r="D433" s="60" t="s">
        <v>156</v>
      </c>
      <c r="E433" s="60" t="s">
        <v>159</v>
      </c>
      <c r="F433" s="61" t="s">
        <v>159</v>
      </c>
      <c r="G433" s="54">
        <v>178.0</v>
      </c>
      <c r="H433" s="54">
        <v>18.0</v>
      </c>
      <c r="I433" s="54">
        <v>1.0</v>
      </c>
      <c r="J433" s="55">
        <v>90.8163265306122</v>
      </c>
      <c r="K433" s="55">
        <f>G433+H433+I433</f>
        <v>197</v>
      </c>
      <c r="L433" s="56">
        <v>140.0</v>
      </c>
      <c r="M433" s="56">
        <v>0.0</v>
      </c>
      <c r="N433" s="56">
        <v>0.0</v>
      </c>
      <c r="O433" s="55">
        <v>100.0</v>
      </c>
      <c r="P433" s="57">
        <f>L433+M433+N433</f>
        <v>140</v>
      </c>
    </row>
    <row r="434" ht="15.0" hidden="1" customHeight="1">
      <c r="A434" s="45">
        <v>428.0</v>
      </c>
      <c r="B434" s="46" t="s">
        <v>24</v>
      </c>
      <c r="C434" s="46" t="s">
        <v>59</v>
      </c>
      <c r="D434" s="46" t="s">
        <v>156</v>
      </c>
      <c r="E434" s="46" t="s">
        <v>159</v>
      </c>
      <c r="F434" s="47" t="s">
        <v>18</v>
      </c>
      <c r="G434" s="48"/>
      <c r="H434" s="48"/>
      <c r="I434" s="48"/>
      <c r="J434" s="49"/>
      <c r="K434" s="49"/>
      <c r="L434" s="50"/>
      <c r="M434" s="50"/>
      <c r="N434" s="50"/>
      <c r="O434" s="49"/>
      <c r="P434" s="51"/>
    </row>
    <row r="435" ht="15.0" hidden="1" customHeight="1">
      <c r="A435" s="45">
        <v>429.0</v>
      </c>
      <c r="B435" s="46" t="s">
        <v>24</v>
      </c>
      <c r="C435" s="46" t="s">
        <v>59</v>
      </c>
      <c r="D435" s="46" t="s">
        <v>156</v>
      </c>
      <c r="E435" s="46" t="s">
        <v>159</v>
      </c>
      <c r="F435" s="47" t="s">
        <v>19</v>
      </c>
      <c r="G435" s="48">
        <v>178.0</v>
      </c>
      <c r="H435" s="48">
        <v>18.0</v>
      </c>
      <c r="I435" s="48">
        <v>1.0</v>
      </c>
      <c r="J435" s="49">
        <v>90.8163265306122</v>
      </c>
      <c r="K435" s="49"/>
      <c r="L435" s="50">
        <v>140.0</v>
      </c>
      <c r="M435" s="50">
        <v>0.0</v>
      </c>
      <c r="N435" s="50">
        <v>0.0</v>
      </c>
      <c r="O435" s="49">
        <v>100.0</v>
      </c>
      <c r="P435" s="51"/>
    </row>
    <row r="436" ht="15.0" hidden="1" customHeight="1">
      <c r="A436" s="39">
        <v>430.0</v>
      </c>
      <c r="B436" s="40" t="s">
        <v>22</v>
      </c>
      <c r="C436" s="59" t="s">
        <v>59</v>
      </c>
      <c r="D436" s="59" t="s">
        <v>160</v>
      </c>
      <c r="E436" s="59"/>
      <c r="F436" s="40" t="s">
        <v>160</v>
      </c>
      <c r="G436" s="41">
        <v>530.0</v>
      </c>
      <c r="H436" s="41">
        <v>51.0</v>
      </c>
      <c r="I436" s="41">
        <v>10.0</v>
      </c>
      <c r="J436" s="42">
        <v>91.2220309810671</v>
      </c>
      <c r="K436" s="42"/>
      <c r="L436" s="43">
        <v>787.0</v>
      </c>
      <c r="M436" s="43">
        <v>50.0</v>
      </c>
      <c r="N436" s="43">
        <v>8.0</v>
      </c>
      <c r="O436" s="42">
        <v>94.026284348865</v>
      </c>
      <c r="P436" s="44"/>
    </row>
    <row r="437" ht="15.0" hidden="1" customHeight="1">
      <c r="A437" s="45">
        <v>431.0</v>
      </c>
      <c r="B437" s="46" t="s">
        <v>22</v>
      </c>
      <c r="C437" s="46" t="s">
        <v>59</v>
      </c>
      <c r="D437" s="46" t="s">
        <v>160</v>
      </c>
      <c r="E437" s="46"/>
      <c r="F437" s="47" t="s">
        <v>18</v>
      </c>
      <c r="G437" s="48"/>
      <c r="H437" s="48"/>
      <c r="I437" s="48"/>
      <c r="J437" s="49"/>
      <c r="K437" s="49"/>
      <c r="L437" s="50"/>
      <c r="M437" s="50"/>
      <c r="N437" s="50"/>
      <c r="O437" s="49"/>
      <c r="P437" s="51"/>
    </row>
    <row r="438" ht="15.0" hidden="1" customHeight="1">
      <c r="A438" s="45">
        <v>432.0</v>
      </c>
      <c r="B438" s="46" t="s">
        <v>22</v>
      </c>
      <c r="C438" s="46" t="s">
        <v>59</v>
      </c>
      <c r="D438" s="46" t="s">
        <v>160</v>
      </c>
      <c r="E438" s="46"/>
      <c r="F438" s="47" t="s">
        <v>19</v>
      </c>
      <c r="G438" s="48">
        <v>530.0</v>
      </c>
      <c r="H438" s="48">
        <v>51.0</v>
      </c>
      <c r="I438" s="48">
        <v>10.0</v>
      </c>
      <c r="J438" s="49">
        <v>91.2220309810671</v>
      </c>
      <c r="K438" s="49"/>
      <c r="L438" s="50">
        <v>787.0</v>
      </c>
      <c r="M438" s="50">
        <v>50.0</v>
      </c>
      <c r="N438" s="50">
        <v>8.0</v>
      </c>
      <c r="O438" s="49">
        <v>94.026284348865</v>
      </c>
      <c r="P438" s="51"/>
    </row>
    <row r="439" ht="15.0" customHeight="1">
      <c r="A439" s="52">
        <v>433.0</v>
      </c>
      <c r="B439" s="53" t="s">
        <v>24</v>
      </c>
      <c r="C439" s="60" t="s">
        <v>59</v>
      </c>
      <c r="D439" s="60" t="s">
        <v>160</v>
      </c>
      <c r="E439" s="60" t="s">
        <v>161</v>
      </c>
      <c r="F439" s="61" t="s">
        <v>161</v>
      </c>
      <c r="G439" s="54">
        <v>296.0</v>
      </c>
      <c r="H439" s="54">
        <v>15.0</v>
      </c>
      <c r="I439" s="54">
        <v>1.0</v>
      </c>
      <c r="J439" s="55">
        <v>95.1768488745981</v>
      </c>
      <c r="K439" s="55">
        <f>G439+H439+I439</f>
        <v>312</v>
      </c>
      <c r="L439" s="56">
        <v>359.0</v>
      </c>
      <c r="M439" s="56">
        <v>9.0</v>
      </c>
      <c r="N439" s="56">
        <v>2.0</v>
      </c>
      <c r="O439" s="55">
        <v>97.554347826087</v>
      </c>
      <c r="P439" s="57">
        <f>L439+M439+N439</f>
        <v>370</v>
      </c>
    </row>
    <row r="440" ht="15.0" hidden="1" customHeight="1">
      <c r="A440" s="45">
        <v>434.0</v>
      </c>
      <c r="B440" s="46" t="s">
        <v>24</v>
      </c>
      <c r="C440" s="46" t="s">
        <v>59</v>
      </c>
      <c r="D440" s="46" t="s">
        <v>160</v>
      </c>
      <c r="E440" s="46" t="s">
        <v>161</v>
      </c>
      <c r="F440" s="47" t="s">
        <v>18</v>
      </c>
      <c r="G440" s="48"/>
      <c r="H440" s="48"/>
      <c r="I440" s="48"/>
      <c r="J440" s="49"/>
      <c r="K440" s="49"/>
      <c r="L440" s="50"/>
      <c r="M440" s="50"/>
      <c r="N440" s="50"/>
      <c r="O440" s="49"/>
      <c r="P440" s="51"/>
    </row>
    <row r="441" ht="15.0" hidden="1" customHeight="1">
      <c r="A441" s="45">
        <v>435.0</v>
      </c>
      <c r="B441" s="46" t="s">
        <v>24</v>
      </c>
      <c r="C441" s="46" t="s">
        <v>59</v>
      </c>
      <c r="D441" s="46" t="s">
        <v>160</v>
      </c>
      <c r="E441" s="46" t="s">
        <v>161</v>
      </c>
      <c r="F441" s="47" t="s">
        <v>19</v>
      </c>
      <c r="G441" s="48">
        <v>296.0</v>
      </c>
      <c r="H441" s="48">
        <v>15.0</v>
      </c>
      <c r="I441" s="48">
        <v>1.0</v>
      </c>
      <c r="J441" s="49">
        <v>95.1768488745981</v>
      </c>
      <c r="K441" s="49"/>
      <c r="L441" s="50">
        <v>359.0</v>
      </c>
      <c r="M441" s="50">
        <v>9.0</v>
      </c>
      <c r="N441" s="50">
        <v>2.0</v>
      </c>
      <c r="O441" s="49">
        <v>97.554347826087</v>
      </c>
      <c r="P441" s="51"/>
    </row>
    <row r="442" ht="15.0" customHeight="1">
      <c r="A442" s="52">
        <v>436.0</v>
      </c>
      <c r="B442" s="53" t="s">
        <v>24</v>
      </c>
      <c r="C442" s="60" t="s">
        <v>59</v>
      </c>
      <c r="D442" s="60" t="s">
        <v>160</v>
      </c>
      <c r="E442" s="60" t="s">
        <v>162</v>
      </c>
      <c r="F442" s="61" t="s">
        <v>162</v>
      </c>
      <c r="G442" s="54">
        <v>234.0</v>
      </c>
      <c r="H442" s="54">
        <v>36.0</v>
      </c>
      <c r="I442" s="54">
        <v>9.0</v>
      </c>
      <c r="J442" s="55">
        <v>86.6666666666667</v>
      </c>
      <c r="K442" s="55">
        <f>G442+H442+I442</f>
        <v>279</v>
      </c>
      <c r="L442" s="56">
        <v>428.0</v>
      </c>
      <c r="M442" s="56">
        <v>41.0</v>
      </c>
      <c r="N442" s="56">
        <v>6.0</v>
      </c>
      <c r="O442" s="55">
        <v>91.2579957356077</v>
      </c>
      <c r="P442" s="57">
        <f>L442+M442+N442</f>
        <v>475</v>
      </c>
    </row>
    <row r="443" ht="15.0" hidden="1" customHeight="1">
      <c r="A443" s="45">
        <v>437.0</v>
      </c>
      <c r="B443" s="46" t="s">
        <v>24</v>
      </c>
      <c r="C443" s="46" t="s">
        <v>59</v>
      </c>
      <c r="D443" s="46" t="s">
        <v>160</v>
      </c>
      <c r="E443" s="46" t="s">
        <v>162</v>
      </c>
      <c r="F443" s="47" t="s">
        <v>18</v>
      </c>
      <c r="G443" s="48"/>
      <c r="H443" s="48"/>
      <c r="I443" s="48"/>
      <c r="J443" s="49"/>
      <c r="K443" s="49"/>
      <c r="L443" s="50"/>
      <c r="M443" s="50"/>
      <c r="N443" s="50"/>
      <c r="O443" s="49"/>
      <c r="P443" s="51"/>
    </row>
    <row r="444" ht="15.0" hidden="1" customHeight="1">
      <c r="A444" s="45">
        <v>438.0</v>
      </c>
      <c r="B444" s="46" t="s">
        <v>24</v>
      </c>
      <c r="C444" s="46" t="s">
        <v>59</v>
      </c>
      <c r="D444" s="46" t="s">
        <v>160</v>
      </c>
      <c r="E444" s="46" t="s">
        <v>162</v>
      </c>
      <c r="F444" s="47" t="s">
        <v>19</v>
      </c>
      <c r="G444" s="48">
        <v>234.0</v>
      </c>
      <c r="H444" s="48">
        <v>36.0</v>
      </c>
      <c r="I444" s="48">
        <v>9.0</v>
      </c>
      <c r="J444" s="49">
        <v>86.6666666666667</v>
      </c>
      <c r="K444" s="49"/>
      <c r="L444" s="50">
        <v>428.0</v>
      </c>
      <c r="M444" s="50">
        <v>41.0</v>
      </c>
      <c r="N444" s="50">
        <v>6.0</v>
      </c>
      <c r="O444" s="49">
        <v>91.2579957356077</v>
      </c>
      <c r="P444" s="51"/>
    </row>
    <row r="445" ht="15.0" hidden="1" customHeight="1">
      <c r="A445" s="39">
        <v>439.0</v>
      </c>
      <c r="B445" s="40" t="s">
        <v>22</v>
      </c>
      <c r="C445" s="59" t="s">
        <v>59</v>
      </c>
      <c r="D445" s="59" t="s">
        <v>163</v>
      </c>
      <c r="E445" s="59"/>
      <c r="F445" s="40" t="s">
        <v>163</v>
      </c>
      <c r="G445" s="41">
        <v>6042.0</v>
      </c>
      <c r="H445" s="41">
        <v>778.0</v>
      </c>
      <c r="I445" s="41">
        <v>52.0</v>
      </c>
      <c r="J445" s="42">
        <v>88.5923753665689</v>
      </c>
      <c r="K445" s="42"/>
      <c r="L445" s="43">
        <v>5434.0</v>
      </c>
      <c r="M445" s="43">
        <v>245.0</v>
      </c>
      <c r="N445" s="43">
        <v>40.0</v>
      </c>
      <c r="O445" s="42">
        <v>95.6858601866526</v>
      </c>
      <c r="P445" s="44"/>
    </row>
    <row r="446" ht="15.0" hidden="1" customHeight="1">
      <c r="A446" s="45">
        <v>440.0</v>
      </c>
      <c r="B446" s="46" t="s">
        <v>22</v>
      </c>
      <c r="C446" s="46" t="s">
        <v>59</v>
      </c>
      <c r="D446" s="46" t="s">
        <v>163</v>
      </c>
      <c r="E446" s="46"/>
      <c r="F446" s="47" t="s">
        <v>18</v>
      </c>
      <c r="G446" s="48">
        <v>1139.0</v>
      </c>
      <c r="H446" s="48">
        <v>86.0</v>
      </c>
      <c r="I446" s="48">
        <v>15.0</v>
      </c>
      <c r="J446" s="49">
        <v>92.9795918367347</v>
      </c>
      <c r="K446" s="49"/>
      <c r="L446" s="50">
        <v>1561.0</v>
      </c>
      <c r="M446" s="50">
        <v>37.0</v>
      </c>
      <c r="N446" s="50">
        <v>15.0</v>
      </c>
      <c r="O446" s="49">
        <v>97.6846057571965</v>
      </c>
      <c r="P446" s="51"/>
    </row>
    <row r="447" ht="15.0" hidden="1" customHeight="1">
      <c r="A447" s="45">
        <v>441.0</v>
      </c>
      <c r="B447" s="46" t="s">
        <v>22</v>
      </c>
      <c r="C447" s="46" t="s">
        <v>59</v>
      </c>
      <c r="D447" s="46" t="s">
        <v>163</v>
      </c>
      <c r="E447" s="46"/>
      <c r="F447" s="47" t="s">
        <v>19</v>
      </c>
      <c r="G447" s="48">
        <v>4903.0</v>
      </c>
      <c r="H447" s="48">
        <v>692.0</v>
      </c>
      <c r="I447" s="48">
        <v>37.0</v>
      </c>
      <c r="J447" s="49">
        <v>87.6318141197498</v>
      </c>
      <c r="K447" s="49"/>
      <c r="L447" s="50">
        <v>3873.0</v>
      </c>
      <c r="M447" s="50">
        <v>208.0</v>
      </c>
      <c r="N447" s="50">
        <v>25.0</v>
      </c>
      <c r="O447" s="49">
        <v>94.9032099975496</v>
      </c>
      <c r="P447" s="51"/>
    </row>
    <row r="448" ht="15.0" customHeight="1">
      <c r="A448" s="52">
        <v>442.0</v>
      </c>
      <c r="B448" s="53" t="s">
        <v>24</v>
      </c>
      <c r="C448" s="60" t="s">
        <v>59</v>
      </c>
      <c r="D448" s="60" t="s">
        <v>163</v>
      </c>
      <c r="E448" s="60" t="s">
        <v>163</v>
      </c>
      <c r="F448" s="61" t="s">
        <v>163</v>
      </c>
      <c r="G448" s="54">
        <v>4862.0</v>
      </c>
      <c r="H448" s="54">
        <v>667.0</v>
      </c>
      <c r="I448" s="54">
        <v>41.0</v>
      </c>
      <c r="J448" s="55">
        <v>87.9363356845723</v>
      </c>
      <c r="K448" s="55">
        <f>G448+H448+I448</f>
        <v>5570</v>
      </c>
      <c r="L448" s="56">
        <v>4671.0</v>
      </c>
      <c r="M448" s="56">
        <v>219.0</v>
      </c>
      <c r="N448" s="56">
        <v>37.0</v>
      </c>
      <c r="O448" s="55">
        <v>95.521472392638</v>
      </c>
      <c r="P448" s="57">
        <f>L448+M448+N448</f>
        <v>4927</v>
      </c>
    </row>
    <row r="449" ht="15.0" hidden="1" customHeight="1">
      <c r="A449" s="45">
        <v>443.0</v>
      </c>
      <c r="B449" s="46" t="s">
        <v>24</v>
      </c>
      <c r="C449" s="46" t="s">
        <v>59</v>
      </c>
      <c r="D449" s="46" t="s">
        <v>163</v>
      </c>
      <c r="E449" s="46" t="s">
        <v>163</v>
      </c>
      <c r="F449" s="47" t="s">
        <v>18</v>
      </c>
      <c r="G449" s="48">
        <v>1139.0</v>
      </c>
      <c r="H449" s="48">
        <v>86.0</v>
      </c>
      <c r="I449" s="48">
        <v>15.0</v>
      </c>
      <c r="J449" s="49">
        <v>92.9795918367347</v>
      </c>
      <c r="K449" s="49"/>
      <c r="L449" s="50">
        <v>1561.0</v>
      </c>
      <c r="M449" s="50">
        <v>37.0</v>
      </c>
      <c r="N449" s="50">
        <v>15.0</v>
      </c>
      <c r="O449" s="49">
        <v>97.6846057571965</v>
      </c>
      <c r="P449" s="51"/>
    </row>
    <row r="450" ht="15.0" hidden="1" customHeight="1">
      <c r="A450" s="45">
        <v>444.0</v>
      </c>
      <c r="B450" s="46" t="s">
        <v>24</v>
      </c>
      <c r="C450" s="46" t="s">
        <v>59</v>
      </c>
      <c r="D450" s="46" t="s">
        <v>163</v>
      </c>
      <c r="E450" s="46" t="s">
        <v>163</v>
      </c>
      <c r="F450" s="47" t="s">
        <v>19</v>
      </c>
      <c r="G450" s="48">
        <v>3723.0</v>
      </c>
      <c r="H450" s="48">
        <v>581.0</v>
      </c>
      <c r="I450" s="48">
        <v>26.0</v>
      </c>
      <c r="J450" s="49">
        <v>86.5009293680297</v>
      </c>
      <c r="K450" s="49"/>
      <c r="L450" s="50">
        <v>3110.0</v>
      </c>
      <c r="M450" s="50">
        <v>182.0</v>
      </c>
      <c r="N450" s="50">
        <v>22.0</v>
      </c>
      <c r="O450" s="49">
        <v>94.4714459295261</v>
      </c>
      <c r="P450" s="51"/>
    </row>
    <row r="451" ht="15.0" customHeight="1">
      <c r="A451" s="52">
        <v>445.0</v>
      </c>
      <c r="B451" s="53" t="s">
        <v>24</v>
      </c>
      <c r="C451" s="60" t="s">
        <v>59</v>
      </c>
      <c r="D451" s="60" t="s">
        <v>163</v>
      </c>
      <c r="E451" s="60" t="s">
        <v>164</v>
      </c>
      <c r="F451" s="61" t="s">
        <v>164</v>
      </c>
      <c r="G451" s="54">
        <v>1180.0</v>
      </c>
      <c r="H451" s="54">
        <v>111.0</v>
      </c>
      <c r="I451" s="54">
        <v>11.0</v>
      </c>
      <c r="J451" s="55">
        <v>91.4020139426801</v>
      </c>
      <c r="K451" s="55">
        <f>G451+H451+I451</f>
        <v>1302</v>
      </c>
      <c r="L451" s="56">
        <v>763.0</v>
      </c>
      <c r="M451" s="56">
        <v>26.0</v>
      </c>
      <c r="N451" s="56">
        <v>3.0</v>
      </c>
      <c r="O451" s="55">
        <v>96.7046894803549</v>
      </c>
      <c r="P451" s="57">
        <f>L451+M451+N451</f>
        <v>792</v>
      </c>
    </row>
    <row r="452" ht="15.0" hidden="1" customHeight="1">
      <c r="A452" s="45">
        <v>446.0</v>
      </c>
      <c r="B452" s="46" t="s">
        <v>24</v>
      </c>
      <c r="C452" s="46" t="s">
        <v>59</v>
      </c>
      <c r="D452" s="46" t="s">
        <v>163</v>
      </c>
      <c r="E452" s="46" t="s">
        <v>164</v>
      </c>
      <c r="F452" s="47" t="s">
        <v>18</v>
      </c>
      <c r="G452" s="48"/>
      <c r="H452" s="48"/>
      <c r="I452" s="48"/>
      <c r="J452" s="49"/>
      <c r="K452" s="49"/>
      <c r="L452" s="50"/>
      <c r="M452" s="50"/>
      <c r="N452" s="50"/>
      <c r="O452" s="49"/>
      <c r="P452" s="51"/>
    </row>
    <row r="453" ht="15.0" hidden="1" customHeight="1">
      <c r="A453" s="45">
        <v>447.0</v>
      </c>
      <c r="B453" s="46" t="s">
        <v>24</v>
      </c>
      <c r="C453" s="46" t="s">
        <v>59</v>
      </c>
      <c r="D453" s="46" t="s">
        <v>163</v>
      </c>
      <c r="E453" s="46" t="s">
        <v>164</v>
      </c>
      <c r="F453" s="47" t="s">
        <v>19</v>
      </c>
      <c r="G453" s="48">
        <v>1180.0</v>
      </c>
      <c r="H453" s="48">
        <v>111.0</v>
      </c>
      <c r="I453" s="48">
        <v>11.0</v>
      </c>
      <c r="J453" s="49">
        <v>91.4020139426801</v>
      </c>
      <c r="K453" s="49"/>
      <c r="L453" s="50">
        <v>763.0</v>
      </c>
      <c r="M453" s="50">
        <v>26.0</v>
      </c>
      <c r="N453" s="50">
        <v>3.0</v>
      </c>
      <c r="O453" s="49">
        <v>96.7046894803549</v>
      </c>
      <c r="P453" s="51"/>
    </row>
    <row r="454" ht="15.0" hidden="1" customHeight="1">
      <c r="A454" s="27">
        <v>448.0</v>
      </c>
      <c r="B454" s="28" t="s">
        <v>20</v>
      </c>
      <c r="C454" s="28" t="s">
        <v>165</v>
      </c>
      <c r="D454" s="28"/>
      <c r="E454" s="28"/>
      <c r="F454" s="28" t="s">
        <v>165</v>
      </c>
      <c r="G454" s="29">
        <v>169054.0</v>
      </c>
      <c r="H454" s="29">
        <v>18996.0</v>
      </c>
      <c r="I454" s="29">
        <v>2638.0</v>
      </c>
      <c r="J454" s="30">
        <v>89.8984312682797</v>
      </c>
      <c r="K454" s="30">
        <f>G454+H454+I454</f>
        <v>190688</v>
      </c>
      <c r="L454" s="31">
        <v>144062.0</v>
      </c>
      <c r="M454" s="31">
        <v>3700.0</v>
      </c>
      <c r="N454" s="31">
        <v>930.0</v>
      </c>
      <c r="O454" s="30">
        <v>97.4959732542873</v>
      </c>
      <c r="P454" s="32">
        <f>L454+M454+N454</f>
        <v>148692</v>
      </c>
    </row>
    <row r="455" ht="15.0" hidden="1" customHeight="1">
      <c r="A455" s="33">
        <v>449.0</v>
      </c>
      <c r="B455" s="34" t="s">
        <v>20</v>
      </c>
      <c r="C455" s="58" t="s">
        <v>165</v>
      </c>
      <c r="D455" s="58"/>
      <c r="E455" s="58"/>
      <c r="F455" s="34" t="s">
        <v>18</v>
      </c>
      <c r="G455" s="35">
        <v>111695.0</v>
      </c>
      <c r="H455" s="35">
        <v>10660.0</v>
      </c>
      <c r="I455" s="35">
        <v>1368.0</v>
      </c>
      <c r="J455" s="36">
        <v>91.2876466021005</v>
      </c>
      <c r="K455" s="36"/>
      <c r="L455" s="37">
        <v>96547.0</v>
      </c>
      <c r="M455" s="37">
        <v>2266.0</v>
      </c>
      <c r="N455" s="37">
        <v>435.0</v>
      </c>
      <c r="O455" s="36">
        <v>97.7067794723366</v>
      </c>
      <c r="P455" s="38"/>
    </row>
    <row r="456" ht="15.0" hidden="1" customHeight="1">
      <c r="A456" s="33">
        <v>450.0</v>
      </c>
      <c r="B456" s="34" t="s">
        <v>20</v>
      </c>
      <c r="C456" s="58" t="s">
        <v>165</v>
      </c>
      <c r="D456" s="58"/>
      <c r="E456" s="58"/>
      <c r="F456" s="34" t="s">
        <v>19</v>
      </c>
      <c r="G456" s="35">
        <v>57359.0</v>
      </c>
      <c r="H456" s="35">
        <v>8336.0</v>
      </c>
      <c r="I456" s="35">
        <v>1270.0</v>
      </c>
      <c r="J456" s="36">
        <v>87.3110586802649</v>
      </c>
      <c r="K456" s="36"/>
      <c r="L456" s="37">
        <v>47515.0</v>
      </c>
      <c r="M456" s="37">
        <v>1434.0</v>
      </c>
      <c r="N456" s="37">
        <v>495.0</v>
      </c>
      <c r="O456" s="36">
        <v>97.070420233304</v>
      </c>
      <c r="P456" s="38"/>
    </row>
    <row r="457" ht="15.0" hidden="1" customHeight="1">
      <c r="A457" s="39">
        <v>451.0</v>
      </c>
      <c r="B457" s="40" t="s">
        <v>22</v>
      </c>
      <c r="C457" s="59" t="s">
        <v>165</v>
      </c>
      <c r="D457" s="59" t="s">
        <v>166</v>
      </c>
      <c r="E457" s="59"/>
      <c r="F457" s="40" t="s">
        <v>166</v>
      </c>
      <c r="G457" s="41">
        <v>56844.0</v>
      </c>
      <c r="H457" s="41">
        <v>5299.0</v>
      </c>
      <c r="I457" s="41">
        <v>602.0</v>
      </c>
      <c r="J457" s="42">
        <v>91.4728931657628</v>
      </c>
      <c r="K457" s="42"/>
      <c r="L457" s="43">
        <v>41408.0</v>
      </c>
      <c r="M457" s="43">
        <v>957.0</v>
      </c>
      <c r="N457" s="43">
        <v>163.0</v>
      </c>
      <c r="O457" s="42">
        <v>97.7410598371297</v>
      </c>
      <c r="P457" s="44"/>
    </row>
    <row r="458" ht="15.0" hidden="1" customHeight="1">
      <c r="A458" s="45">
        <v>452.0</v>
      </c>
      <c r="B458" s="46" t="s">
        <v>22</v>
      </c>
      <c r="C458" s="46" t="s">
        <v>165</v>
      </c>
      <c r="D458" s="46" t="s">
        <v>166</v>
      </c>
      <c r="E458" s="46"/>
      <c r="F458" s="47" t="s">
        <v>18</v>
      </c>
      <c r="G458" s="48">
        <v>56844.0</v>
      </c>
      <c r="H458" s="48">
        <v>5299.0</v>
      </c>
      <c r="I458" s="48">
        <v>602.0</v>
      </c>
      <c r="J458" s="49">
        <v>91.4728931657628</v>
      </c>
      <c r="K458" s="49"/>
      <c r="L458" s="50">
        <v>41408.0</v>
      </c>
      <c r="M458" s="50">
        <v>957.0</v>
      </c>
      <c r="N458" s="50">
        <v>163.0</v>
      </c>
      <c r="O458" s="49">
        <v>97.7410598371297</v>
      </c>
      <c r="P458" s="51"/>
    </row>
    <row r="459" ht="15.0" hidden="1" customHeight="1">
      <c r="A459" s="45">
        <v>453.0</v>
      </c>
      <c r="B459" s="46" t="s">
        <v>22</v>
      </c>
      <c r="C459" s="46" t="s">
        <v>165</v>
      </c>
      <c r="D459" s="46" t="s">
        <v>166</v>
      </c>
      <c r="E459" s="46"/>
      <c r="F459" s="47" t="s">
        <v>19</v>
      </c>
      <c r="G459" s="48"/>
      <c r="H459" s="48"/>
      <c r="I459" s="48"/>
      <c r="J459" s="49"/>
      <c r="K459" s="49"/>
      <c r="L459" s="50"/>
      <c r="M459" s="50"/>
      <c r="N459" s="50"/>
      <c r="O459" s="49"/>
      <c r="P459" s="51"/>
    </row>
    <row r="460" ht="15.0" customHeight="1">
      <c r="A460" s="52">
        <v>454.0</v>
      </c>
      <c r="B460" s="53" t="s">
        <v>24</v>
      </c>
      <c r="C460" s="60" t="s">
        <v>165</v>
      </c>
      <c r="D460" s="60" t="s">
        <v>166</v>
      </c>
      <c r="E460" s="60" t="s">
        <v>165</v>
      </c>
      <c r="F460" s="61" t="s">
        <v>165</v>
      </c>
      <c r="G460" s="54">
        <v>56844.0</v>
      </c>
      <c r="H460" s="54">
        <v>5299.0</v>
      </c>
      <c r="I460" s="54">
        <v>602.0</v>
      </c>
      <c r="J460" s="55">
        <v>91.4728931657628</v>
      </c>
      <c r="K460" s="55">
        <f>G460+H460+I460</f>
        <v>62745</v>
      </c>
      <c r="L460" s="56">
        <v>41408.0</v>
      </c>
      <c r="M460" s="56">
        <v>957.0</v>
      </c>
      <c r="N460" s="56">
        <v>163.0</v>
      </c>
      <c r="O460" s="55">
        <v>97.7410598371297</v>
      </c>
      <c r="P460" s="57">
        <f>L460+M460+N460</f>
        <v>42528</v>
      </c>
    </row>
    <row r="461" ht="15.0" hidden="1" customHeight="1">
      <c r="A461" s="45">
        <v>455.0</v>
      </c>
      <c r="B461" s="46" t="s">
        <v>24</v>
      </c>
      <c r="C461" s="46" t="s">
        <v>165</v>
      </c>
      <c r="D461" s="46" t="s">
        <v>166</v>
      </c>
      <c r="E461" s="46" t="s">
        <v>165</v>
      </c>
      <c r="F461" s="47" t="s">
        <v>18</v>
      </c>
      <c r="G461" s="48">
        <v>56844.0</v>
      </c>
      <c r="H461" s="48">
        <v>5299.0</v>
      </c>
      <c r="I461" s="48">
        <v>602.0</v>
      </c>
      <c r="J461" s="49">
        <v>91.4728931657628</v>
      </c>
      <c r="K461" s="49"/>
      <c r="L461" s="50">
        <v>41408.0</v>
      </c>
      <c r="M461" s="50">
        <v>957.0</v>
      </c>
      <c r="N461" s="50">
        <v>163.0</v>
      </c>
      <c r="O461" s="49">
        <v>97.7410598371297</v>
      </c>
      <c r="P461" s="51"/>
    </row>
    <row r="462" ht="15.0" hidden="1" customHeight="1">
      <c r="A462" s="45">
        <v>456.0</v>
      </c>
      <c r="B462" s="46" t="s">
        <v>24</v>
      </c>
      <c r="C462" s="46" t="s">
        <v>165</v>
      </c>
      <c r="D462" s="46" t="s">
        <v>166</v>
      </c>
      <c r="E462" s="46" t="s">
        <v>165</v>
      </c>
      <c r="F462" s="47" t="s">
        <v>19</v>
      </c>
      <c r="G462" s="48"/>
      <c r="H462" s="48"/>
      <c r="I462" s="48"/>
      <c r="J462" s="49"/>
      <c r="K462" s="49"/>
      <c r="L462" s="50"/>
      <c r="M462" s="50"/>
      <c r="N462" s="50"/>
      <c r="O462" s="49"/>
      <c r="P462" s="51"/>
    </row>
    <row r="463" ht="15.0" hidden="1" customHeight="1">
      <c r="A463" s="39">
        <v>457.0</v>
      </c>
      <c r="B463" s="40" t="s">
        <v>22</v>
      </c>
      <c r="C463" s="59" t="s">
        <v>165</v>
      </c>
      <c r="D463" s="59" t="s">
        <v>167</v>
      </c>
      <c r="E463" s="59"/>
      <c r="F463" s="40" t="s">
        <v>167</v>
      </c>
      <c r="G463" s="41">
        <v>3391.0</v>
      </c>
      <c r="H463" s="41">
        <v>509.0</v>
      </c>
      <c r="I463" s="41">
        <v>52.0</v>
      </c>
      <c r="J463" s="42">
        <v>86.9487179487179</v>
      </c>
      <c r="K463" s="42"/>
      <c r="L463" s="43">
        <v>2637.0</v>
      </c>
      <c r="M463" s="43">
        <v>69.0</v>
      </c>
      <c r="N463" s="43">
        <v>25.0</v>
      </c>
      <c r="O463" s="42">
        <v>97.450110864745</v>
      </c>
      <c r="P463" s="44"/>
    </row>
    <row r="464" ht="15.0" hidden="1" customHeight="1">
      <c r="A464" s="45">
        <v>458.0</v>
      </c>
      <c r="B464" s="46" t="s">
        <v>22</v>
      </c>
      <c r="C464" s="46" t="s">
        <v>165</v>
      </c>
      <c r="D464" s="46" t="s">
        <v>167</v>
      </c>
      <c r="E464" s="46"/>
      <c r="F464" s="47" t="s">
        <v>18</v>
      </c>
      <c r="G464" s="48">
        <v>1040.0</v>
      </c>
      <c r="H464" s="48">
        <v>83.0</v>
      </c>
      <c r="I464" s="48">
        <v>16.0</v>
      </c>
      <c r="J464" s="49">
        <v>92.6090828138914</v>
      </c>
      <c r="K464" s="49"/>
      <c r="L464" s="50">
        <v>798.0</v>
      </c>
      <c r="M464" s="50">
        <v>18.0</v>
      </c>
      <c r="N464" s="50">
        <v>3.0</v>
      </c>
      <c r="O464" s="49">
        <v>97.7941176470588</v>
      </c>
      <c r="P464" s="51"/>
    </row>
    <row r="465" ht="15.0" hidden="1" customHeight="1">
      <c r="A465" s="45">
        <v>459.0</v>
      </c>
      <c r="B465" s="46" t="s">
        <v>22</v>
      </c>
      <c r="C465" s="46" t="s">
        <v>165</v>
      </c>
      <c r="D465" s="46" t="s">
        <v>167</v>
      </c>
      <c r="E465" s="46"/>
      <c r="F465" s="47" t="s">
        <v>19</v>
      </c>
      <c r="G465" s="48">
        <v>2351.0</v>
      </c>
      <c r="H465" s="48">
        <v>426.0</v>
      </c>
      <c r="I465" s="48">
        <v>36.0</v>
      </c>
      <c r="J465" s="49">
        <v>84.6597047173208</v>
      </c>
      <c r="K465" s="49"/>
      <c r="L465" s="50">
        <v>1839.0</v>
      </c>
      <c r="M465" s="50">
        <v>51.0</v>
      </c>
      <c r="N465" s="50">
        <v>22.0</v>
      </c>
      <c r="O465" s="49">
        <v>97.3015873015873</v>
      </c>
      <c r="P465" s="51"/>
    </row>
    <row r="466" ht="15.0" customHeight="1">
      <c r="A466" s="52">
        <v>460.0</v>
      </c>
      <c r="B466" s="53" t="s">
        <v>24</v>
      </c>
      <c r="C466" s="60" t="s">
        <v>165</v>
      </c>
      <c r="D466" s="60" t="s">
        <v>167</v>
      </c>
      <c r="E466" s="60" t="s">
        <v>168</v>
      </c>
      <c r="F466" s="61" t="s">
        <v>168</v>
      </c>
      <c r="G466" s="54">
        <v>2275.0</v>
      </c>
      <c r="H466" s="54">
        <v>355.0</v>
      </c>
      <c r="I466" s="54">
        <v>40.0</v>
      </c>
      <c r="J466" s="55">
        <v>86.5019011406844</v>
      </c>
      <c r="K466" s="55">
        <f>G466+H466+I466</f>
        <v>2670</v>
      </c>
      <c r="L466" s="56">
        <v>1678.0</v>
      </c>
      <c r="M466" s="56">
        <v>38.0</v>
      </c>
      <c r="N466" s="56">
        <v>17.0</v>
      </c>
      <c r="O466" s="55">
        <v>97.7855477855478</v>
      </c>
      <c r="P466" s="57">
        <f>L466+M466+N466</f>
        <v>1733</v>
      </c>
    </row>
    <row r="467" ht="15.0" hidden="1" customHeight="1">
      <c r="A467" s="45">
        <v>461.0</v>
      </c>
      <c r="B467" s="46" t="s">
        <v>24</v>
      </c>
      <c r="C467" s="46" t="s">
        <v>165</v>
      </c>
      <c r="D467" s="46" t="s">
        <v>167</v>
      </c>
      <c r="E467" s="46" t="s">
        <v>168</v>
      </c>
      <c r="F467" s="47" t="s">
        <v>18</v>
      </c>
      <c r="G467" s="48">
        <v>777.0</v>
      </c>
      <c r="H467" s="48">
        <v>66.0</v>
      </c>
      <c r="I467" s="48">
        <v>15.0</v>
      </c>
      <c r="J467" s="49">
        <v>92.1708185053381</v>
      </c>
      <c r="K467" s="49"/>
      <c r="L467" s="50">
        <v>628.0</v>
      </c>
      <c r="M467" s="50">
        <v>17.0</v>
      </c>
      <c r="N467" s="50">
        <v>3.0</v>
      </c>
      <c r="O467" s="49">
        <v>97.3643410852713</v>
      </c>
      <c r="P467" s="51"/>
    </row>
    <row r="468" ht="15.0" hidden="1" customHeight="1">
      <c r="A468" s="45">
        <v>462.0</v>
      </c>
      <c r="B468" s="46" t="s">
        <v>24</v>
      </c>
      <c r="C468" s="46" t="s">
        <v>165</v>
      </c>
      <c r="D468" s="46" t="s">
        <v>167</v>
      </c>
      <c r="E468" s="46" t="s">
        <v>168</v>
      </c>
      <c r="F468" s="47" t="s">
        <v>19</v>
      </c>
      <c r="G468" s="48">
        <v>1498.0</v>
      </c>
      <c r="H468" s="48">
        <v>289.0</v>
      </c>
      <c r="I468" s="48">
        <v>25.0</v>
      </c>
      <c r="J468" s="49">
        <v>83.8276440962507</v>
      </c>
      <c r="K468" s="49"/>
      <c r="L468" s="50">
        <v>1050.0</v>
      </c>
      <c r="M468" s="50">
        <v>21.0</v>
      </c>
      <c r="N468" s="50">
        <v>14.0</v>
      </c>
      <c r="O468" s="49">
        <v>98.0392156862745</v>
      </c>
      <c r="P468" s="51"/>
    </row>
    <row r="469" ht="15.0" customHeight="1">
      <c r="A469" s="52">
        <v>463.0</v>
      </c>
      <c r="B469" s="53" t="s">
        <v>24</v>
      </c>
      <c r="C469" s="60" t="s">
        <v>165</v>
      </c>
      <c r="D469" s="60" t="s">
        <v>167</v>
      </c>
      <c r="E469" s="60" t="s">
        <v>169</v>
      </c>
      <c r="F469" s="61" t="s">
        <v>169</v>
      </c>
      <c r="G469" s="54">
        <v>612.0</v>
      </c>
      <c r="H469" s="54">
        <v>42.0</v>
      </c>
      <c r="I469" s="54">
        <v>5.0</v>
      </c>
      <c r="J469" s="55">
        <v>93.5779816513761</v>
      </c>
      <c r="K469" s="55">
        <f>G469+H469+I469</f>
        <v>659</v>
      </c>
      <c r="L469" s="56">
        <v>419.0</v>
      </c>
      <c r="M469" s="56">
        <v>6.0</v>
      </c>
      <c r="N469" s="56">
        <v>1.0</v>
      </c>
      <c r="O469" s="55">
        <v>98.5882352941176</v>
      </c>
      <c r="P469" s="57">
        <f>L469+M469+N469</f>
        <v>426</v>
      </c>
    </row>
    <row r="470" ht="15.0" hidden="1" customHeight="1">
      <c r="A470" s="45">
        <v>464.0</v>
      </c>
      <c r="B470" s="46" t="s">
        <v>24</v>
      </c>
      <c r="C470" s="46" t="s">
        <v>165</v>
      </c>
      <c r="D470" s="46" t="s">
        <v>167</v>
      </c>
      <c r="E470" s="46" t="s">
        <v>169</v>
      </c>
      <c r="F470" s="47" t="s">
        <v>18</v>
      </c>
      <c r="G470" s="48">
        <v>263.0</v>
      </c>
      <c r="H470" s="48">
        <v>17.0</v>
      </c>
      <c r="I470" s="48">
        <v>1.0</v>
      </c>
      <c r="J470" s="49">
        <v>93.9285714285714</v>
      </c>
      <c r="K470" s="49"/>
      <c r="L470" s="50">
        <v>170.0</v>
      </c>
      <c r="M470" s="50">
        <v>1.0</v>
      </c>
      <c r="N470" s="50">
        <v>0.0</v>
      </c>
      <c r="O470" s="49">
        <v>99.4152046783626</v>
      </c>
      <c r="P470" s="51"/>
    </row>
    <row r="471" ht="15.0" hidden="1" customHeight="1">
      <c r="A471" s="45">
        <v>465.0</v>
      </c>
      <c r="B471" s="46" t="s">
        <v>24</v>
      </c>
      <c r="C471" s="46" t="s">
        <v>165</v>
      </c>
      <c r="D471" s="46" t="s">
        <v>167</v>
      </c>
      <c r="E471" s="46" t="s">
        <v>169</v>
      </c>
      <c r="F471" s="47" t="s">
        <v>19</v>
      </c>
      <c r="G471" s="48">
        <v>349.0</v>
      </c>
      <c r="H471" s="48">
        <v>25.0</v>
      </c>
      <c r="I471" s="48">
        <v>4.0</v>
      </c>
      <c r="J471" s="49">
        <v>93.3155080213904</v>
      </c>
      <c r="K471" s="49"/>
      <c r="L471" s="50">
        <v>249.0</v>
      </c>
      <c r="M471" s="50">
        <v>5.0</v>
      </c>
      <c r="N471" s="50">
        <v>1.0</v>
      </c>
      <c r="O471" s="49">
        <v>98.0314960629921</v>
      </c>
      <c r="P471" s="51"/>
    </row>
    <row r="472" ht="15.0" customHeight="1">
      <c r="A472" s="52">
        <v>466.0</v>
      </c>
      <c r="B472" s="53" t="s">
        <v>24</v>
      </c>
      <c r="C472" s="60" t="s">
        <v>165</v>
      </c>
      <c r="D472" s="60" t="s">
        <v>167</v>
      </c>
      <c r="E472" s="60" t="s">
        <v>170</v>
      </c>
      <c r="F472" s="61" t="s">
        <v>170</v>
      </c>
      <c r="G472" s="54">
        <v>504.0</v>
      </c>
      <c r="H472" s="54">
        <v>112.0</v>
      </c>
      <c r="I472" s="54">
        <v>7.0</v>
      </c>
      <c r="J472" s="55">
        <v>81.8181818181818</v>
      </c>
      <c r="K472" s="55">
        <f>G472+H472+I472</f>
        <v>623</v>
      </c>
      <c r="L472" s="56">
        <v>540.0</v>
      </c>
      <c r="M472" s="56">
        <v>25.0</v>
      </c>
      <c r="N472" s="56">
        <v>7.0</v>
      </c>
      <c r="O472" s="55">
        <v>95.5752212389381</v>
      </c>
      <c r="P472" s="57">
        <f>L472+M472+N472</f>
        <v>572</v>
      </c>
    </row>
    <row r="473" ht="15.0" hidden="1" customHeight="1">
      <c r="A473" s="45">
        <v>467.0</v>
      </c>
      <c r="B473" s="46" t="s">
        <v>24</v>
      </c>
      <c r="C473" s="46" t="s">
        <v>165</v>
      </c>
      <c r="D473" s="46" t="s">
        <v>167</v>
      </c>
      <c r="E473" s="46" t="s">
        <v>170</v>
      </c>
      <c r="F473" s="47" t="s">
        <v>18</v>
      </c>
      <c r="G473" s="48"/>
      <c r="H473" s="48"/>
      <c r="I473" s="48"/>
      <c r="J473" s="49"/>
      <c r="K473" s="49"/>
      <c r="L473" s="50"/>
      <c r="M473" s="50"/>
      <c r="N473" s="50"/>
      <c r="O473" s="49"/>
      <c r="P473" s="51"/>
    </row>
    <row r="474" ht="15.0" hidden="1" customHeight="1">
      <c r="A474" s="45">
        <v>468.0</v>
      </c>
      <c r="B474" s="46" t="s">
        <v>24</v>
      </c>
      <c r="C474" s="46" t="s">
        <v>165</v>
      </c>
      <c r="D474" s="46" t="s">
        <v>167</v>
      </c>
      <c r="E474" s="46" t="s">
        <v>170</v>
      </c>
      <c r="F474" s="47" t="s">
        <v>19</v>
      </c>
      <c r="G474" s="48">
        <v>504.0</v>
      </c>
      <c r="H474" s="48">
        <v>112.0</v>
      </c>
      <c r="I474" s="48">
        <v>7.0</v>
      </c>
      <c r="J474" s="49">
        <v>81.8181818181818</v>
      </c>
      <c r="K474" s="49"/>
      <c r="L474" s="50">
        <v>540.0</v>
      </c>
      <c r="M474" s="50">
        <v>25.0</v>
      </c>
      <c r="N474" s="50">
        <v>7.0</v>
      </c>
      <c r="O474" s="49">
        <v>95.5752212389381</v>
      </c>
      <c r="P474" s="51"/>
    </row>
    <row r="475" ht="15.0" hidden="1" customHeight="1">
      <c r="A475" s="39">
        <v>469.0</v>
      </c>
      <c r="B475" s="40" t="s">
        <v>22</v>
      </c>
      <c r="C475" s="59" t="s">
        <v>165</v>
      </c>
      <c r="D475" s="59" t="s">
        <v>171</v>
      </c>
      <c r="E475" s="59"/>
      <c r="F475" s="40" t="s">
        <v>171</v>
      </c>
      <c r="G475" s="41">
        <v>5436.0</v>
      </c>
      <c r="H475" s="41">
        <v>1390.0</v>
      </c>
      <c r="I475" s="41">
        <v>92.0</v>
      </c>
      <c r="J475" s="42">
        <v>79.6366832698506</v>
      </c>
      <c r="K475" s="42"/>
      <c r="L475" s="43">
        <v>4845.0</v>
      </c>
      <c r="M475" s="43">
        <v>131.0</v>
      </c>
      <c r="N475" s="43">
        <v>58.0</v>
      </c>
      <c r="O475" s="42">
        <v>97.3673633440515</v>
      </c>
      <c r="P475" s="44"/>
    </row>
    <row r="476" ht="15.0" hidden="1" customHeight="1">
      <c r="A476" s="45">
        <v>470.0</v>
      </c>
      <c r="B476" s="46" t="s">
        <v>22</v>
      </c>
      <c r="C476" s="46" t="s">
        <v>165</v>
      </c>
      <c r="D476" s="46" t="s">
        <v>171</v>
      </c>
      <c r="E476" s="46"/>
      <c r="F476" s="47" t="s">
        <v>18</v>
      </c>
      <c r="G476" s="48"/>
      <c r="H476" s="48"/>
      <c r="I476" s="48"/>
      <c r="J476" s="49"/>
      <c r="K476" s="49"/>
      <c r="L476" s="50"/>
      <c r="M476" s="50"/>
      <c r="N476" s="50"/>
      <c r="O476" s="49"/>
      <c r="P476" s="51"/>
    </row>
    <row r="477" ht="15.0" hidden="1" customHeight="1">
      <c r="A477" s="45">
        <v>471.0</v>
      </c>
      <c r="B477" s="46" t="s">
        <v>22</v>
      </c>
      <c r="C477" s="46" t="s">
        <v>165</v>
      </c>
      <c r="D477" s="46" t="s">
        <v>171</v>
      </c>
      <c r="E477" s="46"/>
      <c r="F477" s="47" t="s">
        <v>19</v>
      </c>
      <c r="G477" s="48">
        <v>5436.0</v>
      </c>
      <c r="H477" s="48">
        <v>1390.0</v>
      </c>
      <c r="I477" s="48">
        <v>92.0</v>
      </c>
      <c r="J477" s="49">
        <v>79.6366832698506</v>
      </c>
      <c r="K477" s="49"/>
      <c r="L477" s="50">
        <v>4845.0</v>
      </c>
      <c r="M477" s="50">
        <v>131.0</v>
      </c>
      <c r="N477" s="50">
        <v>58.0</v>
      </c>
      <c r="O477" s="49">
        <v>97.3673633440515</v>
      </c>
      <c r="P477" s="51"/>
    </row>
    <row r="478" ht="15.0" customHeight="1">
      <c r="A478" s="52">
        <v>472.0</v>
      </c>
      <c r="B478" s="53" t="s">
        <v>24</v>
      </c>
      <c r="C478" s="60" t="s">
        <v>165</v>
      </c>
      <c r="D478" s="60" t="s">
        <v>171</v>
      </c>
      <c r="E478" s="60" t="s">
        <v>171</v>
      </c>
      <c r="F478" s="61" t="s">
        <v>171</v>
      </c>
      <c r="G478" s="54">
        <v>2464.0</v>
      </c>
      <c r="H478" s="54">
        <v>486.0</v>
      </c>
      <c r="I478" s="54">
        <v>35.0</v>
      </c>
      <c r="J478" s="55">
        <v>83.5254237288136</v>
      </c>
      <c r="K478" s="55">
        <f>G478+H478+I478</f>
        <v>2985</v>
      </c>
      <c r="L478" s="56">
        <v>1839.0</v>
      </c>
      <c r="M478" s="56">
        <v>63.0</v>
      </c>
      <c r="N478" s="56">
        <v>10.0</v>
      </c>
      <c r="O478" s="55">
        <v>96.6876971608833</v>
      </c>
      <c r="P478" s="57">
        <f>L478+M478+N478</f>
        <v>1912</v>
      </c>
    </row>
    <row r="479" ht="15.0" hidden="1" customHeight="1">
      <c r="A479" s="45">
        <v>473.0</v>
      </c>
      <c r="B479" s="46" t="s">
        <v>24</v>
      </c>
      <c r="C479" s="46" t="s">
        <v>165</v>
      </c>
      <c r="D479" s="46" t="s">
        <v>171</v>
      </c>
      <c r="E479" s="46" t="s">
        <v>171</v>
      </c>
      <c r="F479" s="47" t="s">
        <v>18</v>
      </c>
      <c r="G479" s="48"/>
      <c r="H479" s="48"/>
      <c r="I479" s="48"/>
      <c r="J479" s="49"/>
      <c r="K479" s="49"/>
      <c r="L479" s="50"/>
      <c r="M479" s="50"/>
      <c r="N479" s="50"/>
      <c r="O479" s="49"/>
      <c r="P479" s="51"/>
    </row>
    <row r="480" ht="15.0" hidden="1" customHeight="1">
      <c r="A480" s="45">
        <v>474.0</v>
      </c>
      <c r="B480" s="46" t="s">
        <v>24</v>
      </c>
      <c r="C480" s="46" t="s">
        <v>165</v>
      </c>
      <c r="D480" s="46" t="s">
        <v>171</v>
      </c>
      <c r="E480" s="46" t="s">
        <v>171</v>
      </c>
      <c r="F480" s="47" t="s">
        <v>19</v>
      </c>
      <c r="G480" s="48">
        <v>2464.0</v>
      </c>
      <c r="H480" s="48">
        <v>486.0</v>
      </c>
      <c r="I480" s="48">
        <v>35.0</v>
      </c>
      <c r="J480" s="49">
        <v>83.5254237288136</v>
      </c>
      <c r="K480" s="49"/>
      <c r="L480" s="50">
        <v>1839.0</v>
      </c>
      <c r="M480" s="50">
        <v>63.0</v>
      </c>
      <c r="N480" s="50">
        <v>10.0</v>
      </c>
      <c r="O480" s="49">
        <v>96.6876971608833</v>
      </c>
      <c r="P480" s="51"/>
    </row>
    <row r="481" ht="15.0" customHeight="1">
      <c r="A481" s="52">
        <v>475.0</v>
      </c>
      <c r="B481" s="53" t="s">
        <v>24</v>
      </c>
      <c r="C481" s="60" t="s">
        <v>165</v>
      </c>
      <c r="D481" s="60" t="s">
        <v>171</v>
      </c>
      <c r="E481" s="60" t="s">
        <v>172</v>
      </c>
      <c r="F481" s="61" t="s">
        <v>172</v>
      </c>
      <c r="G481" s="54">
        <v>1166.0</v>
      </c>
      <c r="H481" s="54">
        <v>305.0</v>
      </c>
      <c r="I481" s="54">
        <v>24.0</v>
      </c>
      <c r="J481" s="55">
        <v>79.2658055744392</v>
      </c>
      <c r="K481" s="55">
        <f>G481+H481+I481</f>
        <v>1495</v>
      </c>
      <c r="L481" s="56">
        <v>1130.0</v>
      </c>
      <c r="M481" s="56">
        <v>17.0</v>
      </c>
      <c r="N481" s="56">
        <v>10.0</v>
      </c>
      <c r="O481" s="55">
        <v>98.5178727114211</v>
      </c>
      <c r="P481" s="57">
        <f>L481+M481+N481</f>
        <v>1157</v>
      </c>
    </row>
    <row r="482" ht="15.0" hidden="1" customHeight="1">
      <c r="A482" s="45">
        <v>476.0</v>
      </c>
      <c r="B482" s="46" t="s">
        <v>24</v>
      </c>
      <c r="C482" s="46" t="s">
        <v>165</v>
      </c>
      <c r="D482" s="46" t="s">
        <v>171</v>
      </c>
      <c r="E482" s="46" t="s">
        <v>172</v>
      </c>
      <c r="F482" s="47" t="s">
        <v>18</v>
      </c>
      <c r="G482" s="48"/>
      <c r="H482" s="48"/>
      <c r="I482" s="48"/>
      <c r="J482" s="49"/>
      <c r="K482" s="49"/>
      <c r="L482" s="50"/>
      <c r="M482" s="50"/>
      <c r="N482" s="50"/>
      <c r="O482" s="49"/>
      <c r="P482" s="51"/>
    </row>
    <row r="483" ht="15.0" hidden="1" customHeight="1">
      <c r="A483" s="45">
        <v>477.0</v>
      </c>
      <c r="B483" s="46" t="s">
        <v>24</v>
      </c>
      <c r="C483" s="46" t="s">
        <v>165</v>
      </c>
      <c r="D483" s="46" t="s">
        <v>171</v>
      </c>
      <c r="E483" s="46" t="s">
        <v>172</v>
      </c>
      <c r="F483" s="47" t="s">
        <v>19</v>
      </c>
      <c r="G483" s="48">
        <v>1166.0</v>
      </c>
      <c r="H483" s="48">
        <v>305.0</v>
      </c>
      <c r="I483" s="48">
        <v>24.0</v>
      </c>
      <c r="J483" s="49">
        <v>79.2658055744392</v>
      </c>
      <c r="K483" s="49"/>
      <c r="L483" s="50">
        <v>1130.0</v>
      </c>
      <c r="M483" s="50">
        <v>17.0</v>
      </c>
      <c r="N483" s="50">
        <v>10.0</v>
      </c>
      <c r="O483" s="49">
        <v>98.5178727114211</v>
      </c>
      <c r="P483" s="51"/>
    </row>
    <row r="484" ht="15.0" customHeight="1">
      <c r="A484" s="52">
        <v>478.0</v>
      </c>
      <c r="B484" s="53" t="s">
        <v>24</v>
      </c>
      <c r="C484" s="60" t="s">
        <v>165</v>
      </c>
      <c r="D484" s="60" t="s">
        <v>171</v>
      </c>
      <c r="E484" s="60" t="s">
        <v>173</v>
      </c>
      <c r="F484" s="61" t="s">
        <v>173</v>
      </c>
      <c r="G484" s="54">
        <v>1806.0</v>
      </c>
      <c r="H484" s="54">
        <v>599.0</v>
      </c>
      <c r="I484" s="54">
        <v>33.0</v>
      </c>
      <c r="J484" s="55">
        <v>75.0935550935551</v>
      </c>
      <c r="K484" s="55">
        <f>G484+H484+I484</f>
        <v>2438</v>
      </c>
      <c r="L484" s="56">
        <v>1876.0</v>
      </c>
      <c r="M484" s="56">
        <v>51.0</v>
      </c>
      <c r="N484" s="56">
        <v>38.0</v>
      </c>
      <c r="O484" s="55">
        <v>97.3533990659055</v>
      </c>
      <c r="P484" s="57">
        <f>L484+M484+N484</f>
        <v>1965</v>
      </c>
    </row>
    <row r="485" ht="15.0" hidden="1" customHeight="1">
      <c r="A485" s="45">
        <v>479.0</v>
      </c>
      <c r="B485" s="46" t="s">
        <v>24</v>
      </c>
      <c r="C485" s="46" t="s">
        <v>165</v>
      </c>
      <c r="D485" s="46" t="s">
        <v>171</v>
      </c>
      <c r="E485" s="46" t="s">
        <v>173</v>
      </c>
      <c r="F485" s="47" t="s">
        <v>18</v>
      </c>
      <c r="G485" s="48"/>
      <c r="H485" s="48"/>
      <c r="I485" s="48"/>
      <c r="J485" s="49"/>
      <c r="K485" s="49"/>
      <c r="L485" s="50"/>
      <c r="M485" s="50"/>
      <c r="N485" s="50"/>
      <c r="O485" s="49"/>
      <c r="P485" s="51"/>
    </row>
    <row r="486" ht="15.0" hidden="1" customHeight="1">
      <c r="A486" s="45">
        <v>480.0</v>
      </c>
      <c r="B486" s="46" t="s">
        <v>24</v>
      </c>
      <c r="C486" s="46" t="s">
        <v>165</v>
      </c>
      <c r="D486" s="46" t="s">
        <v>171</v>
      </c>
      <c r="E486" s="46" t="s">
        <v>173</v>
      </c>
      <c r="F486" s="47" t="s">
        <v>19</v>
      </c>
      <c r="G486" s="48">
        <v>1806.0</v>
      </c>
      <c r="H486" s="48">
        <v>599.0</v>
      </c>
      <c r="I486" s="48">
        <v>33.0</v>
      </c>
      <c r="J486" s="49">
        <v>75.0935550935551</v>
      </c>
      <c r="K486" s="49"/>
      <c r="L486" s="50">
        <v>1876.0</v>
      </c>
      <c r="M486" s="50">
        <v>51.0</v>
      </c>
      <c r="N486" s="50">
        <v>38.0</v>
      </c>
      <c r="O486" s="49">
        <v>97.3533990659055</v>
      </c>
      <c r="P486" s="51"/>
    </row>
    <row r="487" ht="15.0" hidden="1" customHeight="1">
      <c r="A487" s="39">
        <v>481.0</v>
      </c>
      <c r="B487" s="40" t="s">
        <v>22</v>
      </c>
      <c r="C487" s="59" t="s">
        <v>165</v>
      </c>
      <c r="D487" s="59" t="s">
        <v>174</v>
      </c>
      <c r="E487" s="59"/>
      <c r="F487" s="40" t="s">
        <v>174</v>
      </c>
      <c r="G487" s="41">
        <v>3385.0</v>
      </c>
      <c r="H487" s="41">
        <v>346.0</v>
      </c>
      <c r="I487" s="41">
        <v>53.0</v>
      </c>
      <c r="J487" s="42">
        <v>90.7263468239078</v>
      </c>
      <c r="K487" s="42"/>
      <c r="L487" s="43">
        <v>4057.0</v>
      </c>
      <c r="M487" s="43">
        <v>102.0</v>
      </c>
      <c r="N487" s="43">
        <v>27.0</v>
      </c>
      <c r="O487" s="42">
        <v>97.5474873767733</v>
      </c>
      <c r="P487" s="44"/>
    </row>
    <row r="488" ht="15.0" hidden="1" customHeight="1">
      <c r="A488" s="45">
        <v>482.0</v>
      </c>
      <c r="B488" s="46" t="s">
        <v>22</v>
      </c>
      <c r="C488" s="46" t="s">
        <v>165</v>
      </c>
      <c r="D488" s="46" t="s">
        <v>174</v>
      </c>
      <c r="E488" s="46"/>
      <c r="F488" s="47" t="s">
        <v>18</v>
      </c>
      <c r="G488" s="48">
        <v>633.0</v>
      </c>
      <c r="H488" s="48">
        <v>44.0</v>
      </c>
      <c r="I488" s="48">
        <v>4.0</v>
      </c>
      <c r="J488" s="49">
        <v>93.5007385524372</v>
      </c>
      <c r="K488" s="49"/>
      <c r="L488" s="50">
        <v>2168.0</v>
      </c>
      <c r="M488" s="50">
        <v>52.0</v>
      </c>
      <c r="N488" s="50">
        <v>10.0</v>
      </c>
      <c r="O488" s="49">
        <v>97.6576576576577</v>
      </c>
      <c r="P488" s="51"/>
    </row>
    <row r="489" ht="15.0" hidden="1" customHeight="1">
      <c r="A489" s="45">
        <v>483.0</v>
      </c>
      <c r="B489" s="46" t="s">
        <v>22</v>
      </c>
      <c r="C489" s="46" t="s">
        <v>165</v>
      </c>
      <c r="D489" s="46" t="s">
        <v>174</v>
      </c>
      <c r="E489" s="46"/>
      <c r="F489" s="47" t="s">
        <v>19</v>
      </c>
      <c r="G489" s="48">
        <v>2752.0</v>
      </c>
      <c r="H489" s="48">
        <v>302.0</v>
      </c>
      <c r="I489" s="48">
        <v>49.0</v>
      </c>
      <c r="J489" s="49">
        <v>90.1113294040602</v>
      </c>
      <c r="K489" s="49"/>
      <c r="L489" s="50">
        <v>1889.0</v>
      </c>
      <c r="M489" s="50">
        <v>50.0</v>
      </c>
      <c r="N489" s="50">
        <v>17.0</v>
      </c>
      <c r="O489" s="49">
        <v>97.4213512119649</v>
      </c>
      <c r="P489" s="51"/>
    </row>
    <row r="490" ht="15.0" customHeight="1">
      <c r="A490" s="52">
        <v>484.0</v>
      </c>
      <c r="B490" s="53" t="s">
        <v>24</v>
      </c>
      <c r="C490" s="60" t="s">
        <v>165</v>
      </c>
      <c r="D490" s="60" t="s">
        <v>174</v>
      </c>
      <c r="E490" s="60" t="s">
        <v>175</v>
      </c>
      <c r="F490" s="61" t="s">
        <v>175</v>
      </c>
      <c r="G490" s="54">
        <v>701.0</v>
      </c>
      <c r="H490" s="54">
        <v>54.0</v>
      </c>
      <c r="I490" s="54">
        <v>6.0</v>
      </c>
      <c r="J490" s="55">
        <v>92.8476821192053</v>
      </c>
      <c r="K490" s="55">
        <f>G490+H490+I490</f>
        <v>761</v>
      </c>
      <c r="L490" s="56">
        <v>797.0</v>
      </c>
      <c r="M490" s="56">
        <v>17.0</v>
      </c>
      <c r="N490" s="56">
        <v>1.0</v>
      </c>
      <c r="O490" s="55">
        <v>97.9115479115479</v>
      </c>
      <c r="P490" s="57">
        <f>L490+M490+N490</f>
        <v>815</v>
      </c>
    </row>
    <row r="491" ht="15.0" hidden="1" customHeight="1">
      <c r="A491" s="45">
        <v>485.0</v>
      </c>
      <c r="B491" s="46" t="s">
        <v>24</v>
      </c>
      <c r="C491" s="46" t="s">
        <v>165</v>
      </c>
      <c r="D491" s="46" t="s">
        <v>174</v>
      </c>
      <c r="E491" s="46" t="s">
        <v>175</v>
      </c>
      <c r="F491" s="47" t="s">
        <v>18</v>
      </c>
      <c r="G491" s="48">
        <v>298.0</v>
      </c>
      <c r="H491" s="48">
        <v>14.0</v>
      </c>
      <c r="I491" s="48">
        <v>0.0</v>
      </c>
      <c r="J491" s="49">
        <v>95.5128205128205</v>
      </c>
      <c r="K491" s="49"/>
      <c r="L491" s="50">
        <v>260.0</v>
      </c>
      <c r="M491" s="50">
        <v>8.0</v>
      </c>
      <c r="N491" s="50">
        <v>0.0</v>
      </c>
      <c r="O491" s="49">
        <v>97.0149253731343</v>
      </c>
      <c r="P491" s="51"/>
    </row>
    <row r="492" ht="15.0" hidden="1" customHeight="1">
      <c r="A492" s="45">
        <v>486.0</v>
      </c>
      <c r="B492" s="46" t="s">
        <v>24</v>
      </c>
      <c r="C492" s="46" t="s">
        <v>165</v>
      </c>
      <c r="D492" s="46" t="s">
        <v>174</v>
      </c>
      <c r="E492" s="46" t="s">
        <v>175</v>
      </c>
      <c r="F492" s="47" t="s">
        <v>19</v>
      </c>
      <c r="G492" s="48">
        <v>403.0</v>
      </c>
      <c r="H492" s="48">
        <v>40.0</v>
      </c>
      <c r="I492" s="48">
        <v>6.0</v>
      </c>
      <c r="J492" s="49">
        <v>90.9706546275395</v>
      </c>
      <c r="K492" s="49"/>
      <c r="L492" s="50">
        <v>537.0</v>
      </c>
      <c r="M492" s="50">
        <v>9.0</v>
      </c>
      <c r="N492" s="50">
        <v>1.0</v>
      </c>
      <c r="O492" s="49">
        <v>98.3516483516484</v>
      </c>
      <c r="P492" s="51"/>
    </row>
    <row r="493" ht="15.0" customHeight="1">
      <c r="A493" s="52">
        <v>487.0</v>
      </c>
      <c r="B493" s="53" t="s">
        <v>24</v>
      </c>
      <c r="C493" s="60" t="s">
        <v>165</v>
      </c>
      <c r="D493" s="60" t="s">
        <v>174</v>
      </c>
      <c r="E493" s="60" t="s">
        <v>176</v>
      </c>
      <c r="F493" s="61" t="s">
        <v>176</v>
      </c>
      <c r="G493" s="54">
        <v>726.0</v>
      </c>
      <c r="H493" s="54">
        <v>83.0</v>
      </c>
      <c r="I493" s="54">
        <v>15.0</v>
      </c>
      <c r="J493" s="55">
        <v>89.7404202719407</v>
      </c>
      <c r="K493" s="55">
        <f>G493+H493+I493</f>
        <v>824</v>
      </c>
      <c r="L493" s="56">
        <v>449.0</v>
      </c>
      <c r="M493" s="56">
        <v>7.0</v>
      </c>
      <c r="N493" s="56">
        <v>12.0</v>
      </c>
      <c r="O493" s="55">
        <v>98.4649122807018</v>
      </c>
      <c r="P493" s="57">
        <f>L493+M493+N493</f>
        <v>468</v>
      </c>
    </row>
    <row r="494" ht="15.0" hidden="1" customHeight="1">
      <c r="A494" s="45">
        <v>488.0</v>
      </c>
      <c r="B494" s="46" t="s">
        <v>24</v>
      </c>
      <c r="C494" s="46" t="s">
        <v>165</v>
      </c>
      <c r="D494" s="46" t="s">
        <v>174</v>
      </c>
      <c r="E494" s="46" t="s">
        <v>176</v>
      </c>
      <c r="F494" s="47" t="s">
        <v>18</v>
      </c>
      <c r="G494" s="48"/>
      <c r="H494" s="48"/>
      <c r="I494" s="48"/>
      <c r="J494" s="49"/>
      <c r="K494" s="49"/>
      <c r="L494" s="50"/>
      <c r="M494" s="50"/>
      <c r="N494" s="50"/>
      <c r="O494" s="49"/>
      <c r="P494" s="51"/>
    </row>
    <row r="495" ht="15.0" hidden="1" customHeight="1">
      <c r="A495" s="45">
        <v>489.0</v>
      </c>
      <c r="B495" s="46" t="s">
        <v>24</v>
      </c>
      <c r="C495" s="46" t="s">
        <v>165</v>
      </c>
      <c r="D495" s="46" t="s">
        <v>174</v>
      </c>
      <c r="E495" s="46" t="s">
        <v>176</v>
      </c>
      <c r="F495" s="47" t="s">
        <v>19</v>
      </c>
      <c r="G495" s="48">
        <v>726.0</v>
      </c>
      <c r="H495" s="48">
        <v>83.0</v>
      </c>
      <c r="I495" s="48">
        <v>15.0</v>
      </c>
      <c r="J495" s="49">
        <v>89.7404202719407</v>
      </c>
      <c r="K495" s="49"/>
      <c r="L495" s="50">
        <v>449.0</v>
      </c>
      <c r="M495" s="50">
        <v>7.0</v>
      </c>
      <c r="N495" s="50">
        <v>12.0</v>
      </c>
      <c r="O495" s="49">
        <v>98.4649122807018</v>
      </c>
      <c r="P495" s="51"/>
    </row>
    <row r="496" ht="15.0" customHeight="1">
      <c r="A496" s="52">
        <v>490.0</v>
      </c>
      <c r="B496" s="53" t="s">
        <v>24</v>
      </c>
      <c r="C496" s="60" t="s">
        <v>165</v>
      </c>
      <c r="D496" s="60" t="s">
        <v>174</v>
      </c>
      <c r="E496" s="60" t="s">
        <v>177</v>
      </c>
      <c r="F496" s="61" t="s">
        <v>177</v>
      </c>
      <c r="G496" s="54">
        <v>1550.0</v>
      </c>
      <c r="H496" s="54">
        <v>156.0</v>
      </c>
      <c r="I496" s="54">
        <v>23.0</v>
      </c>
      <c r="J496" s="55">
        <v>90.8558030480657</v>
      </c>
      <c r="K496" s="55">
        <f>G496+H496+I496</f>
        <v>1729</v>
      </c>
      <c r="L496" s="56">
        <v>2510.0</v>
      </c>
      <c r="M496" s="56">
        <v>69.0</v>
      </c>
      <c r="N496" s="56">
        <v>13.0</v>
      </c>
      <c r="O496" s="55">
        <v>97.3245443970531</v>
      </c>
      <c r="P496" s="57">
        <f>L496+M496+N496</f>
        <v>2592</v>
      </c>
    </row>
    <row r="497" ht="15.0" hidden="1" customHeight="1">
      <c r="A497" s="45">
        <v>491.0</v>
      </c>
      <c r="B497" s="46" t="s">
        <v>24</v>
      </c>
      <c r="C497" s="46" t="s">
        <v>165</v>
      </c>
      <c r="D497" s="46" t="s">
        <v>174</v>
      </c>
      <c r="E497" s="46" t="s">
        <v>177</v>
      </c>
      <c r="F497" s="47" t="s">
        <v>18</v>
      </c>
      <c r="G497" s="48">
        <v>335.0</v>
      </c>
      <c r="H497" s="48">
        <v>30.0</v>
      </c>
      <c r="I497" s="48">
        <v>4.0</v>
      </c>
      <c r="J497" s="49">
        <v>91.7808219178082</v>
      </c>
      <c r="K497" s="49"/>
      <c r="L497" s="50">
        <v>1908.0</v>
      </c>
      <c r="M497" s="50">
        <v>44.0</v>
      </c>
      <c r="N497" s="50">
        <v>10.0</v>
      </c>
      <c r="O497" s="49">
        <v>97.7459016393443</v>
      </c>
      <c r="P497" s="51"/>
    </row>
    <row r="498" ht="15.0" hidden="1" customHeight="1">
      <c r="A498" s="45">
        <v>492.0</v>
      </c>
      <c r="B498" s="46" t="s">
        <v>24</v>
      </c>
      <c r="C498" s="46" t="s">
        <v>165</v>
      </c>
      <c r="D498" s="46" t="s">
        <v>174</v>
      </c>
      <c r="E498" s="46" t="s">
        <v>177</v>
      </c>
      <c r="F498" s="47" t="s">
        <v>19</v>
      </c>
      <c r="G498" s="48">
        <v>1215.0</v>
      </c>
      <c r="H498" s="48">
        <v>126.0</v>
      </c>
      <c r="I498" s="48">
        <v>19.0</v>
      </c>
      <c r="J498" s="49">
        <v>90.6040268456376</v>
      </c>
      <c r="K498" s="49"/>
      <c r="L498" s="50">
        <v>602.0</v>
      </c>
      <c r="M498" s="50">
        <v>25.0</v>
      </c>
      <c r="N498" s="50">
        <v>3.0</v>
      </c>
      <c r="O498" s="49">
        <v>96.0127591706539</v>
      </c>
      <c r="P498" s="51"/>
    </row>
    <row r="499" ht="15.0" customHeight="1">
      <c r="A499" s="52">
        <v>493.0</v>
      </c>
      <c r="B499" s="53" t="s">
        <v>24</v>
      </c>
      <c r="C499" s="60" t="s">
        <v>165</v>
      </c>
      <c r="D499" s="60" t="s">
        <v>174</v>
      </c>
      <c r="E499" s="60" t="s">
        <v>178</v>
      </c>
      <c r="F499" s="61" t="s">
        <v>178</v>
      </c>
      <c r="G499" s="54">
        <v>408.0</v>
      </c>
      <c r="H499" s="54">
        <v>53.0</v>
      </c>
      <c r="I499" s="54">
        <v>9.0</v>
      </c>
      <c r="J499" s="55">
        <v>88.5032537960954</v>
      </c>
      <c r="K499" s="55">
        <f>G499+H499+I499</f>
        <v>470</v>
      </c>
      <c r="L499" s="56">
        <v>301.0</v>
      </c>
      <c r="M499" s="56">
        <v>9.0</v>
      </c>
      <c r="N499" s="56">
        <v>1.0</v>
      </c>
      <c r="O499" s="55">
        <v>97.0967741935484</v>
      </c>
      <c r="P499" s="57">
        <f>L499+M499+N499</f>
        <v>311</v>
      </c>
    </row>
    <row r="500" ht="15.0" hidden="1" customHeight="1">
      <c r="A500" s="45">
        <v>494.0</v>
      </c>
      <c r="B500" s="46" t="s">
        <v>24</v>
      </c>
      <c r="C500" s="46" t="s">
        <v>165</v>
      </c>
      <c r="D500" s="46" t="s">
        <v>174</v>
      </c>
      <c r="E500" s="46" t="s">
        <v>178</v>
      </c>
      <c r="F500" s="47" t="s">
        <v>18</v>
      </c>
      <c r="G500" s="48"/>
      <c r="H500" s="48"/>
      <c r="I500" s="48"/>
      <c r="J500" s="49"/>
      <c r="K500" s="49"/>
      <c r="L500" s="50"/>
      <c r="M500" s="50"/>
      <c r="N500" s="50"/>
      <c r="O500" s="49"/>
      <c r="P500" s="51"/>
    </row>
    <row r="501" ht="15.0" hidden="1" customHeight="1">
      <c r="A501" s="45">
        <v>495.0</v>
      </c>
      <c r="B501" s="46" t="s">
        <v>24</v>
      </c>
      <c r="C501" s="46" t="s">
        <v>165</v>
      </c>
      <c r="D501" s="46" t="s">
        <v>174</v>
      </c>
      <c r="E501" s="46" t="s">
        <v>178</v>
      </c>
      <c r="F501" s="47" t="s">
        <v>19</v>
      </c>
      <c r="G501" s="48">
        <v>408.0</v>
      </c>
      <c r="H501" s="48">
        <v>53.0</v>
      </c>
      <c r="I501" s="48">
        <v>9.0</v>
      </c>
      <c r="J501" s="49">
        <v>88.5032537960954</v>
      </c>
      <c r="K501" s="49"/>
      <c r="L501" s="50">
        <v>301.0</v>
      </c>
      <c r="M501" s="50">
        <v>9.0</v>
      </c>
      <c r="N501" s="50">
        <v>1.0</v>
      </c>
      <c r="O501" s="49">
        <v>97.0967741935484</v>
      </c>
      <c r="P501" s="51"/>
    </row>
    <row r="502" ht="15.0" hidden="1" customHeight="1">
      <c r="A502" s="39">
        <v>496.0</v>
      </c>
      <c r="B502" s="40" t="s">
        <v>22</v>
      </c>
      <c r="C502" s="59" t="s">
        <v>165</v>
      </c>
      <c r="D502" s="59" t="s">
        <v>179</v>
      </c>
      <c r="E502" s="59"/>
      <c r="F502" s="40" t="s">
        <v>179</v>
      </c>
      <c r="G502" s="41">
        <v>1610.0</v>
      </c>
      <c r="H502" s="41">
        <v>108.0</v>
      </c>
      <c r="I502" s="41">
        <v>33.0</v>
      </c>
      <c r="J502" s="42">
        <v>93.7136204889406</v>
      </c>
      <c r="K502" s="42"/>
      <c r="L502" s="43">
        <v>1228.0</v>
      </c>
      <c r="M502" s="43">
        <v>32.0</v>
      </c>
      <c r="N502" s="43">
        <v>6.0</v>
      </c>
      <c r="O502" s="42">
        <v>97.4603174603175</v>
      </c>
      <c r="P502" s="44"/>
    </row>
    <row r="503" ht="15.0" hidden="1" customHeight="1">
      <c r="A503" s="45">
        <v>497.0</v>
      </c>
      <c r="B503" s="46" t="s">
        <v>22</v>
      </c>
      <c r="C503" s="46" t="s">
        <v>165</v>
      </c>
      <c r="D503" s="46" t="s">
        <v>179</v>
      </c>
      <c r="E503" s="46"/>
      <c r="F503" s="47" t="s">
        <v>18</v>
      </c>
      <c r="G503" s="48">
        <v>312.0</v>
      </c>
      <c r="H503" s="48">
        <v>18.0</v>
      </c>
      <c r="I503" s="48">
        <v>4.0</v>
      </c>
      <c r="J503" s="49">
        <v>94.5454545454545</v>
      </c>
      <c r="K503" s="49"/>
      <c r="L503" s="50">
        <v>286.0</v>
      </c>
      <c r="M503" s="50">
        <v>6.0</v>
      </c>
      <c r="N503" s="50">
        <v>0.0</v>
      </c>
      <c r="O503" s="49">
        <v>97.9452054794521</v>
      </c>
      <c r="P503" s="51"/>
    </row>
    <row r="504" ht="15.0" hidden="1" customHeight="1">
      <c r="A504" s="45">
        <v>498.0</v>
      </c>
      <c r="B504" s="46" t="s">
        <v>22</v>
      </c>
      <c r="C504" s="46" t="s">
        <v>165</v>
      </c>
      <c r="D504" s="46" t="s">
        <v>179</v>
      </c>
      <c r="E504" s="46"/>
      <c r="F504" s="47" t="s">
        <v>19</v>
      </c>
      <c r="G504" s="48">
        <v>1298.0</v>
      </c>
      <c r="H504" s="48">
        <v>90.0</v>
      </c>
      <c r="I504" s="48">
        <v>29.0</v>
      </c>
      <c r="J504" s="49">
        <v>93.5158501440922</v>
      </c>
      <c r="K504" s="49"/>
      <c r="L504" s="50">
        <v>942.0</v>
      </c>
      <c r="M504" s="50">
        <v>26.0</v>
      </c>
      <c r="N504" s="50">
        <v>6.0</v>
      </c>
      <c r="O504" s="49">
        <v>97.3140495867769</v>
      </c>
      <c r="P504" s="51"/>
    </row>
    <row r="505" ht="15.0" customHeight="1">
      <c r="A505" s="52">
        <v>499.0</v>
      </c>
      <c r="B505" s="53" t="s">
        <v>24</v>
      </c>
      <c r="C505" s="60" t="s">
        <v>165</v>
      </c>
      <c r="D505" s="60" t="s">
        <v>179</v>
      </c>
      <c r="E505" s="60" t="s">
        <v>179</v>
      </c>
      <c r="F505" s="61" t="s">
        <v>179</v>
      </c>
      <c r="G505" s="54">
        <v>785.0</v>
      </c>
      <c r="H505" s="54">
        <v>40.0</v>
      </c>
      <c r="I505" s="54">
        <v>19.0</v>
      </c>
      <c r="J505" s="55">
        <v>95.1515151515152</v>
      </c>
      <c r="K505" s="55">
        <f>G505+H505+I505</f>
        <v>844</v>
      </c>
      <c r="L505" s="56">
        <v>710.0</v>
      </c>
      <c r="M505" s="56">
        <v>17.0</v>
      </c>
      <c r="N505" s="56">
        <v>4.0</v>
      </c>
      <c r="O505" s="55">
        <v>97.6616231086658</v>
      </c>
      <c r="P505" s="57">
        <f>L505+M505+N505</f>
        <v>731</v>
      </c>
    </row>
    <row r="506" ht="15.0" hidden="1" customHeight="1">
      <c r="A506" s="45">
        <v>500.0</v>
      </c>
      <c r="B506" s="46" t="s">
        <v>24</v>
      </c>
      <c r="C506" s="46" t="s">
        <v>165</v>
      </c>
      <c r="D506" s="46" t="s">
        <v>179</v>
      </c>
      <c r="E506" s="46" t="s">
        <v>179</v>
      </c>
      <c r="F506" s="47" t="s">
        <v>18</v>
      </c>
      <c r="G506" s="48">
        <v>312.0</v>
      </c>
      <c r="H506" s="48">
        <v>18.0</v>
      </c>
      <c r="I506" s="48">
        <v>4.0</v>
      </c>
      <c r="J506" s="49">
        <v>94.5454545454545</v>
      </c>
      <c r="K506" s="49"/>
      <c r="L506" s="50">
        <v>286.0</v>
      </c>
      <c r="M506" s="50">
        <v>6.0</v>
      </c>
      <c r="N506" s="50">
        <v>0.0</v>
      </c>
      <c r="O506" s="49">
        <v>97.9452054794521</v>
      </c>
      <c r="P506" s="51"/>
    </row>
    <row r="507" ht="15.0" hidden="1" customHeight="1">
      <c r="A507" s="45">
        <v>501.0</v>
      </c>
      <c r="B507" s="46" t="s">
        <v>24</v>
      </c>
      <c r="C507" s="46" t="s">
        <v>165</v>
      </c>
      <c r="D507" s="46" t="s">
        <v>179</v>
      </c>
      <c r="E507" s="46" t="s">
        <v>179</v>
      </c>
      <c r="F507" s="47" t="s">
        <v>19</v>
      </c>
      <c r="G507" s="48">
        <v>473.0</v>
      </c>
      <c r="H507" s="48">
        <v>22.0</v>
      </c>
      <c r="I507" s="48">
        <v>15.0</v>
      </c>
      <c r="J507" s="49">
        <v>95.5555555555556</v>
      </c>
      <c r="K507" s="49"/>
      <c r="L507" s="50">
        <v>424.0</v>
      </c>
      <c r="M507" s="50">
        <v>11.0</v>
      </c>
      <c r="N507" s="50">
        <v>4.0</v>
      </c>
      <c r="O507" s="49">
        <v>97.4712643678161</v>
      </c>
      <c r="P507" s="51"/>
    </row>
    <row r="508" ht="15.0" customHeight="1">
      <c r="A508" s="52">
        <v>502.0</v>
      </c>
      <c r="B508" s="53" t="s">
        <v>24</v>
      </c>
      <c r="C508" s="60" t="s">
        <v>165</v>
      </c>
      <c r="D508" s="60" t="s">
        <v>179</v>
      </c>
      <c r="E508" s="60" t="s">
        <v>180</v>
      </c>
      <c r="F508" s="61" t="s">
        <v>180</v>
      </c>
      <c r="G508" s="54">
        <v>825.0</v>
      </c>
      <c r="H508" s="54">
        <v>68.0</v>
      </c>
      <c r="I508" s="54">
        <v>14.0</v>
      </c>
      <c r="J508" s="55">
        <v>92.3852183650616</v>
      </c>
      <c r="K508" s="55">
        <f>G508+H508+I508</f>
        <v>907</v>
      </c>
      <c r="L508" s="56">
        <v>518.0</v>
      </c>
      <c r="M508" s="56">
        <v>15.0</v>
      </c>
      <c r="N508" s="56">
        <v>2.0</v>
      </c>
      <c r="O508" s="55">
        <v>97.1857410881801</v>
      </c>
      <c r="P508" s="57">
        <f>L508+M508+N508</f>
        <v>535</v>
      </c>
    </row>
    <row r="509" ht="15.0" hidden="1" customHeight="1">
      <c r="A509" s="45">
        <v>503.0</v>
      </c>
      <c r="B509" s="46" t="s">
        <v>24</v>
      </c>
      <c r="C509" s="46" t="s">
        <v>165</v>
      </c>
      <c r="D509" s="46" t="s">
        <v>179</v>
      </c>
      <c r="E509" s="46" t="s">
        <v>180</v>
      </c>
      <c r="F509" s="47" t="s">
        <v>18</v>
      </c>
      <c r="G509" s="48"/>
      <c r="H509" s="48"/>
      <c r="I509" s="48"/>
      <c r="J509" s="49"/>
      <c r="K509" s="49"/>
      <c r="L509" s="50"/>
      <c r="M509" s="50"/>
      <c r="N509" s="50"/>
      <c r="O509" s="49"/>
      <c r="P509" s="51"/>
    </row>
    <row r="510" ht="15.0" hidden="1" customHeight="1">
      <c r="A510" s="45">
        <v>504.0</v>
      </c>
      <c r="B510" s="46" t="s">
        <v>24</v>
      </c>
      <c r="C510" s="46" t="s">
        <v>165</v>
      </c>
      <c r="D510" s="46" t="s">
        <v>179</v>
      </c>
      <c r="E510" s="46" t="s">
        <v>180</v>
      </c>
      <c r="F510" s="47" t="s">
        <v>19</v>
      </c>
      <c r="G510" s="48">
        <v>825.0</v>
      </c>
      <c r="H510" s="48">
        <v>68.0</v>
      </c>
      <c r="I510" s="48">
        <v>14.0</v>
      </c>
      <c r="J510" s="49">
        <v>92.3852183650616</v>
      </c>
      <c r="K510" s="49"/>
      <c r="L510" s="50">
        <v>518.0</v>
      </c>
      <c r="M510" s="50">
        <v>15.0</v>
      </c>
      <c r="N510" s="50">
        <v>2.0</v>
      </c>
      <c r="O510" s="49">
        <v>97.1857410881801</v>
      </c>
      <c r="P510" s="51"/>
    </row>
    <row r="511" ht="15.0" hidden="1" customHeight="1">
      <c r="A511" s="39">
        <v>505.0</v>
      </c>
      <c r="B511" s="40" t="s">
        <v>22</v>
      </c>
      <c r="C511" s="59" t="s">
        <v>165</v>
      </c>
      <c r="D511" s="59" t="s">
        <v>181</v>
      </c>
      <c r="E511" s="59"/>
      <c r="F511" s="40" t="s">
        <v>181</v>
      </c>
      <c r="G511" s="41">
        <v>2504.0</v>
      </c>
      <c r="H511" s="41">
        <v>303.0</v>
      </c>
      <c r="I511" s="41">
        <v>54.0</v>
      </c>
      <c r="J511" s="42">
        <v>89.2055575347346</v>
      </c>
      <c r="K511" s="42"/>
      <c r="L511" s="43">
        <v>1911.0</v>
      </c>
      <c r="M511" s="43">
        <v>21.0</v>
      </c>
      <c r="N511" s="43">
        <v>36.0</v>
      </c>
      <c r="O511" s="42">
        <v>98.9130434782609</v>
      </c>
      <c r="P511" s="44"/>
    </row>
    <row r="512" ht="15.0" hidden="1" customHeight="1">
      <c r="A512" s="45">
        <v>506.0</v>
      </c>
      <c r="B512" s="46" t="s">
        <v>22</v>
      </c>
      <c r="C512" s="46" t="s">
        <v>165</v>
      </c>
      <c r="D512" s="46" t="s">
        <v>181</v>
      </c>
      <c r="E512" s="46"/>
      <c r="F512" s="47" t="s">
        <v>18</v>
      </c>
      <c r="G512" s="48"/>
      <c r="H512" s="48"/>
      <c r="I512" s="48"/>
      <c r="J512" s="49"/>
      <c r="K512" s="49"/>
      <c r="L512" s="50"/>
      <c r="M512" s="50"/>
      <c r="N512" s="50"/>
      <c r="O512" s="49"/>
      <c r="P512" s="51"/>
    </row>
    <row r="513" ht="15.0" hidden="1" customHeight="1">
      <c r="A513" s="45">
        <v>507.0</v>
      </c>
      <c r="B513" s="46" t="s">
        <v>22</v>
      </c>
      <c r="C513" s="46" t="s">
        <v>165</v>
      </c>
      <c r="D513" s="46" t="s">
        <v>181</v>
      </c>
      <c r="E513" s="46"/>
      <c r="F513" s="47" t="s">
        <v>19</v>
      </c>
      <c r="G513" s="48">
        <v>2504.0</v>
      </c>
      <c r="H513" s="48">
        <v>303.0</v>
      </c>
      <c r="I513" s="48">
        <v>54.0</v>
      </c>
      <c r="J513" s="49">
        <v>89.2055575347346</v>
      </c>
      <c r="K513" s="49"/>
      <c r="L513" s="50">
        <v>1911.0</v>
      </c>
      <c r="M513" s="50">
        <v>21.0</v>
      </c>
      <c r="N513" s="50">
        <v>36.0</v>
      </c>
      <c r="O513" s="49">
        <v>98.9130434782609</v>
      </c>
      <c r="P513" s="51"/>
    </row>
    <row r="514" ht="15.0" customHeight="1">
      <c r="A514" s="52">
        <v>508.0</v>
      </c>
      <c r="B514" s="53" t="s">
        <v>24</v>
      </c>
      <c r="C514" s="60" t="s">
        <v>165</v>
      </c>
      <c r="D514" s="60" t="s">
        <v>181</v>
      </c>
      <c r="E514" s="60" t="s">
        <v>181</v>
      </c>
      <c r="F514" s="61" t="s">
        <v>181</v>
      </c>
      <c r="G514" s="54">
        <v>1405.0</v>
      </c>
      <c r="H514" s="54">
        <v>198.0</v>
      </c>
      <c r="I514" s="54">
        <v>26.0</v>
      </c>
      <c r="J514" s="55">
        <v>87.6481597005615</v>
      </c>
      <c r="K514" s="55">
        <f>G514+H514+I514</f>
        <v>1629</v>
      </c>
      <c r="L514" s="56">
        <v>1123.0</v>
      </c>
      <c r="M514" s="56">
        <v>11.0</v>
      </c>
      <c r="N514" s="56">
        <v>15.0</v>
      </c>
      <c r="O514" s="55">
        <v>99.0299823633157</v>
      </c>
      <c r="P514" s="57">
        <f>L514+M514+N514</f>
        <v>1149</v>
      </c>
    </row>
    <row r="515" ht="15.0" hidden="1" customHeight="1">
      <c r="A515" s="45">
        <v>509.0</v>
      </c>
      <c r="B515" s="46" t="s">
        <v>24</v>
      </c>
      <c r="C515" s="46" t="s">
        <v>165</v>
      </c>
      <c r="D515" s="46" t="s">
        <v>181</v>
      </c>
      <c r="E515" s="46" t="s">
        <v>181</v>
      </c>
      <c r="F515" s="47" t="s">
        <v>18</v>
      </c>
      <c r="G515" s="48"/>
      <c r="H515" s="48"/>
      <c r="I515" s="48"/>
      <c r="J515" s="49"/>
      <c r="K515" s="49"/>
      <c r="L515" s="50"/>
      <c r="M515" s="50"/>
      <c r="N515" s="50"/>
      <c r="O515" s="49"/>
      <c r="P515" s="51"/>
    </row>
    <row r="516" ht="15.0" hidden="1" customHeight="1">
      <c r="A516" s="45">
        <v>510.0</v>
      </c>
      <c r="B516" s="46" t="s">
        <v>24</v>
      </c>
      <c r="C516" s="46" t="s">
        <v>165</v>
      </c>
      <c r="D516" s="46" t="s">
        <v>181</v>
      </c>
      <c r="E516" s="46" t="s">
        <v>181</v>
      </c>
      <c r="F516" s="47" t="s">
        <v>19</v>
      </c>
      <c r="G516" s="48">
        <v>1405.0</v>
      </c>
      <c r="H516" s="48">
        <v>198.0</v>
      </c>
      <c r="I516" s="48">
        <v>26.0</v>
      </c>
      <c r="J516" s="49">
        <v>87.6481597005615</v>
      </c>
      <c r="K516" s="49"/>
      <c r="L516" s="50">
        <v>1123.0</v>
      </c>
      <c r="M516" s="50">
        <v>11.0</v>
      </c>
      <c r="N516" s="50">
        <v>15.0</v>
      </c>
      <c r="O516" s="49">
        <v>99.0299823633157</v>
      </c>
      <c r="P516" s="51"/>
    </row>
    <row r="517" ht="15.0" customHeight="1">
      <c r="A517" s="52">
        <v>511.0</v>
      </c>
      <c r="B517" s="53" t="s">
        <v>24</v>
      </c>
      <c r="C517" s="60" t="s">
        <v>165</v>
      </c>
      <c r="D517" s="60" t="s">
        <v>181</v>
      </c>
      <c r="E517" s="60" t="s">
        <v>182</v>
      </c>
      <c r="F517" s="61" t="s">
        <v>182</v>
      </c>
      <c r="G517" s="54">
        <v>1099.0</v>
      </c>
      <c r="H517" s="54">
        <v>105.0</v>
      </c>
      <c r="I517" s="54">
        <v>28.0</v>
      </c>
      <c r="J517" s="55">
        <v>91.2790697674419</v>
      </c>
      <c r="K517" s="55">
        <f>G517+H517+I517</f>
        <v>1232</v>
      </c>
      <c r="L517" s="56">
        <v>788.0</v>
      </c>
      <c r="M517" s="56">
        <v>10.0</v>
      </c>
      <c r="N517" s="56">
        <v>21.0</v>
      </c>
      <c r="O517" s="55">
        <v>98.7468671679198</v>
      </c>
      <c r="P517" s="57">
        <f>L517+M517+N517</f>
        <v>819</v>
      </c>
    </row>
    <row r="518" ht="15.0" hidden="1" customHeight="1">
      <c r="A518" s="45">
        <v>512.0</v>
      </c>
      <c r="B518" s="46" t="s">
        <v>24</v>
      </c>
      <c r="C518" s="46" t="s">
        <v>165</v>
      </c>
      <c r="D518" s="46" t="s">
        <v>181</v>
      </c>
      <c r="E518" s="46" t="s">
        <v>182</v>
      </c>
      <c r="F518" s="47" t="s">
        <v>18</v>
      </c>
      <c r="G518" s="48"/>
      <c r="H518" s="48"/>
      <c r="I518" s="48"/>
      <c r="J518" s="49"/>
      <c r="K518" s="49"/>
      <c r="L518" s="50"/>
      <c r="M518" s="50"/>
      <c r="N518" s="50"/>
      <c r="O518" s="49"/>
      <c r="P518" s="51"/>
    </row>
    <row r="519" ht="15.0" hidden="1" customHeight="1">
      <c r="A519" s="45">
        <v>513.0</v>
      </c>
      <c r="B519" s="46" t="s">
        <v>24</v>
      </c>
      <c r="C519" s="46" t="s">
        <v>165</v>
      </c>
      <c r="D519" s="46" t="s">
        <v>181</v>
      </c>
      <c r="E519" s="46" t="s">
        <v>182</v>
      </c>
      <c r="F519" s="47" t="s">
        <v>19</v>
      </c>
      <c r="G519" s="48">
        <v>1099.0</v>
      </c>
      <c r="H519" s="48">
        <v>105.0</v>
      </c>
      <c r="I519" s="48">
        <v>28.0</v>
      </c>
      <c r="J519" s="49">
        <v>91.2790697674419</v>
      </c>
      <c r="K519" s="49"/>
      <c r="L519" s="50">
        <v>788.0</v>
      </c>
      <c r="M519" s="50">
        <v>10.0</v>
      </c>
      <c r="N519" s="50">
        <v>21.0</v>
      </c>
      <c r="O519" s="49">
        <v>98.7468671679198</v>
      </c>
      <c r="P519" s="51"/>
    </row>
    <row r="520" ht="15.0" hidden="1" customHeight="1">
      <c r="A520" s="39">
        <v>514.0</v>
      </c>
      <c r="B520" s="40" t="s">
        <v>22</v>
      </c>
      <c r="C520" s="59" t="s">
        <v>165</v>
      </c>
      <c r="D520" s="59" t="s">
        <v>183</v>
      </c>
      <c r="E520" s="59"/>
      <c r="F520" s="40" t="s">
        <v>183</v>
      </c>
      <c r="G520" s="41">
        <v>3057.0</v>
      </c>
      <c r="H520" s="41">
        <v>194.0</v>
      </c>
      <c r="I520" s="41">
        <v>50.0</v>
      </c>
      <c r="J520" s="42">
        <v>94.0326053521993</v>
      </c>
      <c r="K520" s="42"/>
      <c r="L520" s="43">
        <v>2403.0</v>
      </c>
      <c r="M520" s="43">
        <v>36.0</v>
      </c>
      <c r="N520" s="43">
        <v>14.0</v>
      </c>
      <c r="O520" s="42">
        <v>98.5239852398524</v>
      </c>
      <c r="P520" s="44"/>
    </row>
    <row r="521" ht="15.0" hidden="1" customHeight="1">
      <c r="A521" s="45">
        <v>515.0</v>
      </c>
      <c r="B521" s="46" t="s">
        <v>22</v>
      </c>
      <c r="C521" s="46" t="s">
        <v>165</v>
      </c>
      <c r="D521" s="46" t="s">
        <v>183</v>
      </c>
      <c r="E521" s="46"/>
      <c r="F521" s="47" t="s">
        <v>18</v>
      </c>
      <c r="G521" s="48">
        <v>1016.0</v>
      </c>
      <c r="H521" s="48">
        <v>50.0</v>
      </c>
      <c r="I521" s="48">
        <v>22.0</v>
      </c>
      <c r="J521" s="49">
        <v>95.3095684803002</v>
      </c>
      <c r="K521" s="49"/>
      <c r="L521" s="50">
        <v>665.0</v>
      </c>
      <c r="M521" s="50">
        <v>6.0</v>
      </c>
      <c r="N521" s="50">
        <v>7.0</v>
      </c>
      <c r="O521" s="49">
        <v>99.1058122205663</v>
      </c>
      <c r="P521" s="51"/>
    </row>
    <row r="522" ht="15.0" hidden="1" customHeight="1">
      <c r="A522" s="45">
        <v>516.0</v>
      </c>
      <c r="B522" s="46" t="s">
        <v>22</v>
      </c>
      <c r="C522" s="46" t="s">
        <v>165</v>
      </c>
      <c r="D522" s="46" t="s">
        <v>183</v>
      </c>
      <c r="E522" s="46"/>
      <c r="F522" s="47" t="s">
        <v>19</v>
      </c>
      <c r="G522" s="48">
        <v>2041.0</v>
      </c>
      <c r="H522" s="48">
        <v>144.0</v>
      </c>
      <c r="I522" s="48">
        <v>28.0</v>
      </c>
      <c r="J522" s="49">
        <v>93.4096109839817</v>
      </c>
      <c r="K522" s="49"/>
      <c r="L522" s="50">
        <v>1738.0</v>
      </c>
      <c r="M522" s="50">
        <v>30.0</v>
      </c>
      <c r="N522" s="50">
        <v>7.0</v>
      </c>
      <c r="O522" s="49">
        <v>98.3031674208145</v>
      </c>
      <c r="P522" s="51"/>
    </row>
    <row r="523" ht="15.0" customHeight="1">
      <c r="A523" s="52">
        <v>517.0</v>
      </c>
      <c r="B523" s="53" t="s">
        <v>24</v>
      </c>
      <c r="C523" s="60" t="s">
        <v>165</v>
      </c>
      <c r="D523" s="60" t="s">
        <v>183</v>
      </c>
      <c r="E523" s="60" t="s">
        <v>183</v>
      </c>
      <c r="F523" s="61" t="s">
        <v>183</v>
      </c>
      <c r="G523" s="54">
        <v>2067.0</v>
      </c>
      <c r="H523" s="54">
        <v>135.0</v>
      </c>
      <c r="I523" s="54">
        <v>41.0</v>
      </c>
      <c r="J523" s="55">
        <v>93.8692098092643</v>
      </c>
      <c r="K523" s="55">
        <f>G523+H523+I523</f>
        <v>2243</v>
      </c>
      <c r="L523" s="56">
        <v>1521.0</v>
      </c>
      <c r="M523" s="56">
        <v>20.0</v>
      </c>
      <c r="N523" s="56">
        <v>9.0</v>
      </c>
      <c r="O523" s="55">
        <v>98.7021414665801</v>
      </c>
      <c r="P523" s="57">
        <f>L523+M523+N523</f>
        <v>1550</v>
      </c>
    </row>
    <row r="524" ht="15.0" hidden="1" customHeight="1">
      <c r="A524" s="45">
        <v>518.0</v>
      </c>
      <c r="B524" s="46" t="s">
        <v>24</v>
      </c>
      <c r="C524" s="46" t="s">
        <v>165</v>
      </c>
      <c r="D524" s="46" t="s">
        <v>183</v>
      </c>
      <c r="E524" s="46" t="s">
        <v>183</v>
      </c>
      <c r="F524" s="47" t="s">
        <v>18</v>
      </c>
      <c r="G524" s="48">
        <v>1016.0</v>
      </c>
      <c r="H524" s="48">
        <v>50.0</v>
      </c>
      <c r="I524" s="48">
        <v>22.0</v>
      </c>
      <c r="J524" s="49">
        <v>95.3095684803002</v>
      </c>
      <c r="K524" s="49"/>
      <c r="L524" s="50">
        <v>665.0</v>
      </c>
      <c r="M524" s="50">
        <v>6.0</v>
      </c>
      <c r="N524" s="50">
        <v>7.0</v>
      </c>
      <c r="O524" s="49">
        <v>99.1058122205663</v>
      </c>
      <c r="P524" s="51"/>
    </row>
    <row r="525" ht="15.0" hidden="1" customHeight="1">
      <c r="A525" s="45">
        <v>519.0</v>
      </c>
      <c r="B525" s="46" t="s">
        <v>24</v>
      </c>
      <c r="C525" s="46" t="s">
        <v>165</v>
      </c>
      <c r="D525" s="46" t="s">
        <v>183</v>
      </c>
      <c r="E525" s="46" t="s">
        <v>183</v>
      </c>
      <c r="F525" s="47" t="s">
        <v>19</v>
      </c>
      <c r="G525" s="48">
        <v>1051.0</v>
      </c>
      <c r="H525" s="48">
        <v>85.0</v>
      </c>
      <c r="I525" s="48">
        <v>19.0</v>
      </c>
      <c r="J525" s="49">
        <v>92.5176056338028</v>
      </c>
      <c r="K525" s="49"/>
      <c r="L525" s="50">
        <v>856.0</v>
      </c>
      <c r="M525" s="50">
        <v>14.0</v>
      </c>
      <c r="N525" s="50">
        <v>2.0</v>
      </c>
      <c r="O525" s="49">
        <v>98.3908045977011</v>
      </c>
      <c r="P525" s="51"/>
    </row>
    <row r="526" ht="15.0" customHeight="1">
      <c r="A526" s="52">
        <v>520.0</v>
      </c>
      <c r="B526" s="53" t="s">
        <v>24</v>
      </c>
      <c r="C526" s="60" t="s">
        <v>165</v>
      </c>
      <c r="D526" s="60" t="s">
        <v>183</v>
      </c>
      <c r="E526" s="60" t="s">
        <v>184</v>
      </c>
      <c r="F526" s="61" t="s">
        <v>184</v>
      </c>
      <c r="G526" s="54">
        <v>549.0</v>
      </c>
      <c r="H526" s="54">
        <v>27.0</v>
      </c>
      <c r="I526" s="54">
        <v>8.0</v>
      </c>
      <c r="J526" s="55">
        <v>95.3125</v>
      </c>
      <c r="K526" s="55">
        <f>G526+H526+I526</f>
        <v>584</v>
      </c>
      <c r="L526" s="56">
        <v>557.0</v>
      </c>
      <c r="M526" s="56">
        <v>10.0</v>
      </c>
      <c r="N526" s="56">
        <v>0.0</v>
      </c>
      <c r="O526" s="55">
        <v>98.2363315696649</v>
      </c>
      <c r="P526" s="57">
        <f>L526+M526+N526</f>
        <v>567</v>
      </c>
    </row>
    <row r="527" ht="15.0" hidden="1" customHeight="1">
      <c r="A527" s="45">
        <v>521.0</v>
      </c>
      <c r="B527" s="46" t="s">
        <v>24</v>
      </c>
      <c r="C527" s="46" t="s">
        <v>165</v>
      </c>
      <c r="D527" s="46" t="s">
        <v>183</v>
      </c>
      <c r="E527" s="46" t="s">
        <v>184</v>
      </c>
      <c r="F527" s="47" t="s">
        <v>18</v>
      </c>
      <c r="G527" s="48"/>
      <c r="H527" s="48"/>
      <c r="I527" s="48"/>
      <c r="J527" s="49"/>
      <c r="K527" s="49"/>
      <c r="L527" s="50"/>
      <c r="M527" s="50"/>
      <c r="N527" s="50"/>
      <c r="O527" s="49"/>
      <c r="P527" s="51"/>
    </row>
    <row r="528" ht="15.0" hidden="1" customHeight="1">
      <c r="A528" s="45">
        <v>522.0</v>
      </c>
      <c r="B528" s="46" t="s">
        <v>24</v>
      </c>
      <c r="C528" s="46" t="s">
        <v>165</v>
      </c>
      <c r="D528" s="46" t="s">
        <v>183</v>
      </c>
      <c r="E528" s="46" t="s">
        <v>184</v>
      </c>
      <c r="F528" s="47" t="s">
        <v>19</v>
      </c>
      <c r="G528" s="48">
        <v>549.0</v>
      </c>
      <c r="H528" s="48">
        <v>27.0</v>
      </c>
      <c r="I528" s="48">
        <v>8.0</v>
      </c>
      <c r="J528" s="49">
        <v>95.3125</v>
      </c>
      <c r="K528" s="49"/>
      <c r="L528" s="50">
        <v>557.0</v>
      </c>
      <c r="M528" s="50">
        <v>10.0</v>
      </c>
      <c r="N528" s="50">
        <v>0.0</v>
      </c>
      <c r="O528" s="49">
        <v>98.2363315696649</v>
      </c>
      <c r="P528" s="51"/>
    </row>
    <row r="529" ht="15.0" customHeight="1">
      <c r="A529" s="52">
        <v>523.0</v>
      </c>
      <c r="B529" s="53" t="s">
        <v>24</v>
      </c>
      <c r="C529" s="60" t="s">
        <v>165</v>
      </c>
      <c r="D529" s="60" t="s">
        <v>183</v>
      </c>
      <c r="E529" s="60" t="s">
        <v>185</v>
      </c>
      <c r="F529" s="61" t="s">
        <v>185</v>
      </c>
      <c r="G529" s="54">
        <v>441.0</v>
      </c>
      <c r="H529" s="54">
        <v>32.0</v>
      </c>
      <c r="I529" s="54">
        <v>1.0</v>
      </c>
      <c r="J529" s="55">
        <v>93.2346723044397</v>
      </c>
      <c r="K529" s="55">
        <f>G529+H529+I529</f>
        <v>474</v>
      </c>
      <c r="L529" s="56">
        <v>325.0</v>
      </c>
      <c r="M529" s="56">
        <v>6.0</v>
      </c>
      <c r="N529" s="56">
        <v>5.0</v>
      </c>
      <c r="O529" s="55">
        <v>98.1873111782477</v>
      </c>
      <c r="P529" s="57">
        <f>L529+M529+N529</f>
        <v>336</v>
      </c>
    </row>
    <row r="530" ht="15.0" hidden="1" customHeight="1">
      <c r="A530" s="45">
        <v>524.0</v>
      </c>
      <c r="B530" s="46" t="s">
        <v>24</v>
      </c>
      <c r="C530" s="46" t="s">
        <v>165</v>
      </c>
      <c r="D530" s="46" t="s">
        <v>183</v>
      </c>
      <c r="E530" s="46" t="s">
        <v>185</v>
      </c>
      <c r="F530" s="47" t="s">
        <v>18</v>
      </c>
      <c r="G530" s="48"/>
      <c r="H530" s="48"/>
      <c r="I530" s="48"/>
      <c r="J530" s="49"/>
      <c r="K530" s="49"/>
      <c r="L530" s="50"/>
      <c r="M530" s="50"/>
      <c r="N530" s="50"/>
      <c r="O530" s="49"/>
      <c r="P530" s="51"/>
    </row>
    <row r="531" ht="15.0" hidden="1" customHeight="1">
      <c r="A531" s="45">
        <v>525.0</v>
      </c>
      <c r="B531" s="46" t="s">
        <v>24</v>
      </c>
      <c r="C531" s="46" t="s">
        <v>165</v>
      </c>
      <c r="D531" s="46" t="s">
        <v>183</v>
      </c>
      <c r="E531" s="46" t="s">
        <v>185</v>
      </c>
      <c r="F531" s="47" t="s">
        <v>19</v>
      </c>
      <c r="G531" s="48">
        <v>441.0</v>
      </c>
      <c r="H531" s="48">
        <v>32.0</v>
      </c>
      <c r="I531" s="48">
        <v>1.0</v>
      </c>
      <c r="J531" s="49">
        <v>93.2346723044397</v>
      </c>
      <c r="K531" s="49"/>
      <c r="L531" s="50">
        <v>325.0</v>
      </c>
      <c r="M531" s="50">
        <v>6.0</v>
      </c>
      <c r="N531" s="50">
        <v>5.0</v>
      </c>
      <c r="O531" s="49">
        <v>98.1873111782477</v>
      </c>
      <c r="P531" s="51"/>
    </row>
    <row r="532" ht="15.0" hidden="1" customHeight="1">
      <c r="A532" s="39">
        <v>526.0</v>
      </c>
      <c r="B532" s="40" t="s">
        <v>22</v>
      </c>
      <c r="C532" s="59" t="s">
        <v>165</v>
      </c>
      <c r="D532" s="59" t="s">
        <v>186</v>
      </c>
      <c r="E532" s="59"/>
      <c r="F532" s="40" t="s">
        <v>186</v>
      </c>
      <c r="G532" s="41">
        <v>2826.0</v>
      </c>
      <c r="H532" s="41">
        <v>295.0</v>
      </c>
      <c r="I532" s="41">
        <v>77.0</v>
      </c>
      <c r="J532" s="42">
        <v>90.5479013136815</v>
      </c>
      <c r="K532" s="42"/>
      <c r="L532" s="43">
        <v>2522.0</v>
      </c>
      <c r="M532" s="43">
        <v>76.0</v>
      </c>
      <c r="N532" s="43">
        <v>72.0</v>
      </c>
      <c r="O532" s="42">
        <v>97.0746728252502</v>
      </c>
      <c r="P532" s="44"/>
    </row>
    <row r="533" ht="15.0" hidden="1" customHeight="1">
      <c r="A533" s="45">
        <v>527.0</v>
      </c>
      <c r="B533" s="46" t="s">
        <v>22</v>
      </c>
      <c r="C533" s="46" t="s">
        <v>165</v>
      </c>
      <c r="D533" s="46" t="s">
        <v>186</v>
      </c>
      <c r="E533" s="46"/>
      <c r="F533" s="47" t="s">
        <v>18</v>
      </c>
      <c r="G533" s="48">
        <v>1343.0</v>
      </c>
      <c r="H533" s="48">
        <v>141.0</v>
      </c>
      <c r="I533" s="48">
        <v>37.0</v>
      </c>
      <c r="J533" s="49">
        <v>90.4986522911051</v>
      </c>
      <c r="K533" s="49"/>
      <c r="L533" s="50">
        <v>913.0</v>
      </c>
      <c r="M533" s="50">
        <v>30.0</v>
      </c>
      <c r="N533" s="50">
        <v>45.0</v>
      </c>
      <c r="O533" s="49">
        <v>96.8186638388123</v>
      </c>
      <c r="P533" s="51"/>
    </row>
    <row r="534" ht="15.0" hidden="1" customHeight="1">
      <c r="A534" s="45">
        <v>528.0</v>
      </c>
      <c r="B534" s="46" t="s">
        <v>22</v>
      </c>
      <c r="C534" s="46" t="s">
        <v>165</v>
      </c>
      <c r="D534" s="46" t="s">
        <v>186</v>
      </c>
      <c r="E534" s="46"/>
      <c r="F534" s="47" t="s">
        <v>19</v>
      </c>
      <c r="G534" s="48">
        <v>1483.0</v>
      </c>
      <c r="H534" s="48">
        <v>154.0</v>
      </c>
      <c r="I534" s="48">
        <v>40.0</v>
      </c>
      <c r="J534" s="49">
        <v>90.5925473427001</v>
      </c>
      <c r="K534" s="49"/>
      <c r="L534" s="50">
        <v>1609.0</v>
      </c>
      <c r="M534" s="50">
        <v>46.0</v>
      </c>
      <c r="N534" s="50">
        <v>27.0</v>
      </c>
      <c r="O534" s="49">
        <v>97.2205438066465</v>
      </c>
      <c r="P534" s="51"/>
    </row>
    <row r="535" ht="15.0" customHeight="1">
      <c r="A535" s="52">
        <v>529.0</v>
      </c>
      <c r="B535" s="53" t="s">
        <v>24</v>
      </c>
      <c r="C535" s="60" t="s">
        <v>165</v>
      </c>
      <c r="D535" s="60" t="s">
        <v>186</v>
      </c>
      <c r="E535" s="60" t="s">
        <v>187</v>
      </c>
      <c r="F535" s="61" t="s">
        <v>187</v>
      </c>
      <c r="G535" s="54">
        <v>1915.0</v>
      </c>
      <c r="H535" s="54">
        <v>215.0</v>
      </c>
      <c r="I535" s="54">
        <v>61.0</v>
      </c>
      <c r="J535" s="55">
        <v>89.906103286385</v>
      </c>
      <c r="K535" s="55">
        <f>G535+H535+I535</f>
        <v>2191</v>
      </c>
      <c r="L535" s="56">
        <v>1482.0</v>
      </c>
      <c r="M535" s="56">
        <v>49.0</v>
      </c>
      <c r="N535" s="56">
        <v>63.0</v>
      </c>
      <c r="O535" s="55">
        <v>96.7994774657087</v>
      </c>
      <c r="P535" s="57">
        <f>L535+M535+N535</f>
        <v>1594</v>
      </c>
    </row>
    <row r="536" ht="15.0" hidden="1" customHeight="1">
      <c r="A536" s="45">
        <v>530.0</v>
      </c>
      <c r="B536" s="46" t="s">
        <v>24</v>
      </c>
      <c r="C536" s="46" t="s">
        <v>165</v>
      </c>
      <c r="D536" s="46" t="s">
        <v>186</v>
      </c>
      <c r="E536" s="46" t="s">
        <v>187</v>
      </c>
      <c r="F536" s="47" t="s">
        <v>18</v>
      </c>
      <c r="G536" s="48">
        <v>1065.0</v>
      </c>
      <c r="H536" s="48">
        <v>117.0</v>
      </c>
      <c r="I536" s="48">
        <v>34.0</v>
      </c>
      <c r="J536" s="49">
        <v>90.1015228426396</v>
      </c>
      <c r="K536" s="49"/>
      <c r="L536" s="50">
        <v>767.0</v>
      </c>
      <c r="M536" s="50">
        <v>21.0</v>
      </c>
      <c r="N536" s="50">
        <v>45.0</v>
      </c>
      <c r="O536" s="49">
        <v>97.3350253807107</v>
      </c>
      <c r="P536" s="51"/>
    </row>
    <row r="537" ht="15.0" hidden="1" customHeight="1">
      <c r="A537" s="45">
        <v>531.0</v>
      </c>
      <c r="B537" s="46" t="s">
        <v>24</v>
      </c>
      <c r="C537" s="46" t="s">
        <v>165</v>
      </c>
      <c r="D537" s="46" t="s">
        <v>186</v>
      </c>
      <c r="E537" s="46" t="s">
        <v>187</v>
      </c>
      <c r="F537" s="47" t="s">
        <v>19</v>
      </c>
      <c r="G537" s="48">
        <v>850.0</v>
      </c>
      <c r="H537" s="48">
        <v>98.0</v>
      </c>
      <c r="I537" s="48">
        <v>27.0</v>
      </c>
      <c r="J537" s="49">
        <v>89.662447257384</v>
      </c>
      <c r="K537" s="49"/>
      <c r="L537" s="50">
        <v>715.0</v>
      </c>
      <c r="M537" s="50">
        <v>28.0</v>
      </c>
      <c r="N537" s="50">
        <v>18.0</v>
      </c>
      <c r="O537" s="49">
        <v>96.2314939434724</v>
      </c>
      <c r="P537" s="51"/>
    </row>
    <row r="538" ht="15.0" customHeight="1">
      <c r="A538" s="52">
        <v>532.0</v>
      </c>
      <c r="B538" s="53" t="s">
        <v>24</v>
      </c>
      <c r="C538" s="60" t="s">
        <v>165</v>
      </c>
      <c r="D538" s="60" t="s">
        <v>186</v>
      </c>
      <c r="E538" s="60" t="s">
        <v>188</v>
      </c>
      <c r="F538" s="61" t="s">
        <v>188</v>
      </c>
      <c r="G538" s="54">
        <v>460.0</v>
      </c>
      <c r="H538" s="54">
        <v>45.0</v>
      </c>
      <c r="I538" s="54">
        <v>8.0</v>
      </c>
      <c r="J538" s="55">
        <v>91.0891089108911</v>
      </c>
      <c r="K538" s="55">
        <f>G538+H538+I538</f>
        <v>513</v>
      </c>
      <c r="L538" s="56">
        <v>481.0</v>
      </c>
      <c r="M538" s="56">
        <v>12.0</v>
      </c>
      <c r="N538" s="56">
        <v>2.0</v>
      </c>
      <c r="O538" s="55">
        <v>97.5659229208925</v>
      </c>
      <c r="P538" s="57">
        <f>L538+M538+N538</f>
        <v>495</v>
      </c>
    </row>
    <row r="539" ht="15.0" hidden="1" customHeight="1">
      <c r="A539" s="45">
        <v>533.0</v>
      </c>
      <c r="B539" s="46" t="s">
        <v>24</v>
      </c>
      <c r="C539" s="46" t="s">
        <v>165</v>
      </c>
      <c r="D539" s="46" t="s">
        <v>186</v>
      </c>
      <c r="E539" s="46" t="s">
        <v>188</v>
      </c>
      <c r="F539" s="47" t="s">
        <v>18</v>
      </c>
      <c r="G539" s="48"/>
      <c r="H539" s="48"/>
      <c r="I539" s="48"/>
      <c r="J539" s="49"/>
      <c r="K539" s="49"/>
      <c r="L539" s="50"/>
      <c r="M539" s="50"/>
      <c r="N539" s="50"/>
      <c r="O539" s="49"/>
      <c r="P539" s="51"/>
    </row>
    <row r="540" ht="15.0" hidden="1" customHeight="1">
      <c r="A540" s="45">
        <v>534.0</v>
      </c>
      <c r="B540" s="46" t="s">
        <v>24</v>
      </c>
      <c r="C540" s="46" t="s">
        <v>165</v>
      </c>
      <c r="D540" s="46" t="s">
        <v>186</v>
      </c>
      <c r="E540" s="46" t="s">
        <v>188</v>
      </c>
      <c r="F540" s="47" t="s">
        <v>19</v>
      </c>
      <c r="G540" s="48">
        <v>460.0</v>
      </c>
      <c r="H540" s="48">
        <v>45.0</v>
      </c>
      <c r="I540" s="48">
        <v>8.0</v>
      </c>
      <c r="J540" s="49">
        <v>91.0891089108911</v>
      </c>
      <c r="K540" s="49"/>
      <c r="L540" s="50">
        <v>481.0</v>
      </c>
      <c r="M540" s="50">
        <v>12.0</v>
      </c>
      <c r="N540" s="50">
        <v>2.0</v>
      </c>
      <c r="O540" s="49">
        <v>97.5659229208925</v>
      </c>
      <c r="P540" s="51"/>
    </row>
    <row r="541" ht="15.0" customHeight="1">
      <c r="A541" s="52">
        <v>535.0</v>
      </c>
      <c r="B541" s="53" t="s">
        <v>24</v>
      </c>
      <c r="C541" s="60" t="s">
        <v>165</v>
      </c>
      <c r="D541" s="60" t="s">
        <v>186</v>
      </c>
      <c r="E541" s="60" t="s">
        <v>189</v>
      </c>
      <c r="F541" s="61" t="s">
        <v>189</v>
      </c>
      <c r="G541" s="54">
        <v>451.0</v>
      </c>
      <c r="H541" s="54">
        <v>35.0</v>
      </c>
      <c r="I541" s="54">
        <v>8.0</v>
      </c>
      <c r="J541" s="55">
        <v>92.798353909465</v>
      </c>
      <c r="K541" s="55">
        <f>G541+H541+I541</f>
        <v>494</v>
      </c>
      <c r="L541" s="56">
        <v>559.0</v>
      </c>
      <c r="M541" s="56">
        <v>15.0</v>
      </c>
      <c r="N541" s="56">
        <v>7.0</v>
      </c>
      <c r="O541" s="55">
        <v>97.3867595818815</v>
      </c>
      <c r="P541" s="57">
        <f>L541+M541+N541</f>
        <v>581</v>
      </c>
    </row>
    <row r="542" ht="15.0" hidden="1" customHeight="1">
      <c r="A542" s="45">
        <v>536.0</v>
      </c>
      <c r="B542" s="46" t="s">
        <v>24</v>
      </c>
      <c r="C542" s="46" t="s">
        <v>165</v>
      </c>
      <c r="D542" s="46" t="s">
        <v>186</v>
      </c>
      <c r="E542" s="46" t="s">
        <v>189</v>
      </c>
      <c r="F542" s="47" t="s">
        <v>18</v>
      </c>
      <c r="G542" s="48">
        <v>278.0</v>
      </c>
      <c r="H542" s="48">
        <v>24.0</v>
      </c>
      <c r="I542" s="48">
        <v>3.0</v>
      </c>
      <c r="J542" s="49">
        <v>92.0529801324503</v>
      </c>
      <c r="K542" s="49"/>
      <c r="L542" s="50">
        <v>146.0</v>
      </c>
      <c r="M542" s="50">
        <v>9.0</v>
      </c>
      <c r="N542" s="50">
        <v>0.0</v>
      </c>
      <c r="O542" s="49">
        <v>94.1935483870968</v>
      </c>
      <c r="P542" s="51"/>
    </row>
    <row r="543" ht="15.0" hidden="1" customHeight="1">
      <c r="A543" s="45">
        <v>537.0</v>
      </c>
      <c r="B543" s="46" t="s">
        <v>24</v>
      </c>
      <c r="C543" s="46" t="s">
        <v>165</v>
      </c>
      <c r="D543" s="46" t="s">
        <v>186</v>
      </c>
      <c r="E543" s="46" t="s">
        <v>189</v>
      </c>
      <c r="F543" s="47" t="s">
        <v>19</v>
      </c>
      <c r="G543" s="48">
        <v>173.0</v>
      </c>
      <c r="H543" s="48">
        <v>11.0</v>
      </c>
      <c r="I543" s="48">
        <v>5.0</v>
      </c>
      <c r="J543" s="49">
        <v>94.0217391304348</v>
      </c>
      <c r="K543" s="49"/>
      <c r="L543" s="50">
        <v>413.0</v>
      </c>
      <c r="M543" s="50">
        <v>6.0</v>
      </c>
      <c r="N543" s="50">
        <v>7.0</v>
      </c>
      <c r="O543" s="49">
        <v>98.5680190930788</v>
      </c>
      <c r="P543" s="51"/>
    </row>
    <row r="544" ht="15.0" hidden="1" customHeight="1">
      <c r="A544" s="39">
        <v>538.0</v>
      </c>
      <c r="B544" s="40" t="s">
        <v>22</v>
      </c>
      <c r="C544" s="59" t="s">
        <v>165</v>
      </c>
      <c r="D544" s="59" t="s">
        <v>190</v>
      </c>
      <c r="E544" s="59"/>
      <c r="F544" s="40" t="s">
        <v>190</v>
      </c>
      <c r="G544" s="41">
        <v>32450.0</v>
      </c>
      <c r="H544" s="41">
        <v>3318.0</v>
      </c>
      <c r="I544" s="41">
        <v>456.0</v>
      </c>
      <c r="J544" s="42">
        <v>90.7235517781257</v>
      </c>
      <c r="K544" s="42"/>
      <c r="L544" s="43">
        <v>29559.0</v>
      </c>
      <c r="M544" s="43">
        <v>629.0</v>
      </c>
      <c r="N544" s="43">
        <v>119.0</v>
      </c>
      <c r="O544" s="42">
        <v>97.9163906187889</v>
      </c>
      <c r="P544" s="44"/>
    </row>
    <row r="545" ht="15.0" hidden="1" customHeight="1">
      <c r="A545" s="45">
        <v>539.0</v>
      </c>
      <c r="B545" s="46" t="s">
        <v>22</v>
      </c>
      <c r="C545" s="46" t="s">
        <v>165</v>
      </c>
      <c r="D545" s="46" t="s">
        <v>190</v>
      </c>
      <c r="E545" s="46"/>
      <c r="F545" s="47" t="s">
        <v>18</v>
      </c>
      <c r="G545" s="48">
        <v>27550.0</v>
      </c>
      <c r="H545" s="48">
        <v>2563.0</v>
      </c>
      <c r="I545" s="48">
        <v>350.0</v>
      </c>
      <c r="J545" s="49">
        <v>91.4887257994886</v>
      </c>
      <c r="K545" s="49"/>
      <c r="L545" s="50">
        <v>26149.0</v>
      </c>
      <c r="M545" s="50">
        <v>559.0</v>
      </c>
      <c r="N545" s="50">
        <v>104.0</v>
      </c>
      <c r="O545" s="49">
        <v>97.9069941590535</v>
      </c>
      <c r="P545" s="51"/>
    </row>
    <row r="546" ht="15.0" hidden="1" customHeight="1">
      <c r="A546" s="45">
        <v>540.0</v>
      </c>
      <c r="B546" s="46" t="s">
        <v>22</v>
      </c>
      <c r="C546" s="46" t="s">
        <v>165</v>
      </c>
      <c r="D546" s="46" t="s">
        <v>190</v>
      </c>
      <c r="E546" s="46"/>
      <c r="F546" s="47" t="s">
        <v>19</v>
      </c>
      <c r="G546" s="48">
        <v>4900.0</v>
      </c>
      <c r="H546" s="48">
        <v>755.0</v>
      </c>
      <c r="I546" s="48">
        <v>106.0</v>
      </c>
      <c r="J546" s="49">
        <v>86.6489832007073</v>
      </c>
      <c r="K546" s="49"/>
      <c r="L546" s="50">
        <v>3410.0</v>
      </c>
      <c r="M546" s="50">
        <v>70.0</v>
      </c>
      <c r="N546" s="50">
        <v>15.0</v>
      </c>
      <c r="O546" s="49">
        <v>97.9885057471264</v>
      </c>
      <c r="P546" s="51"/>
    </row>
    <row r="547" ht="15.0" customHeight="1">
      <c r="A547" s="52">
        <v>541.0</v>
      </c>
      <c r="B547" s="53" t="s">
        <v>24</v>
      </c>
      <c r="C547" s="60" t="s">
        <v>165</v>
      </c>
      <c r="D547" s="60" t="s">
        <v>190</v>
      </c>
      <c r="E547" s="60" t="s">
        <v>190</v>
      </c>
      <c r="F547" s="61" t="s">
        <v>190</v>
      </c>
      <c r="G547" s="54">
        <v>13091.0</v>
      </c>
      <c r="H547" s="54">
        <v>1232.0</v>
      </c>
      <c r="I547" s="54">
        <v>225.0</v>
      </c>
      <c r="J547" s="55">
        <v>91.3984500453816</v>
      </c>
      <c r="K547" s="55">
        <f>G547+H547+I547</f>
        <v>14548</v>
      </c>
      <c r="L547" s="56">
        <v>11840.0</v>
      </c>
      <c r="M547" s="56">
        <v>250.0</v>
      </c>
      <c r="N547" s="56">
        <v>59.0</v>
      </c>
      <c r="O547" s="55">
        <v>97.9321753515302</v>
      </c>
      <c r="P547" s="57">
        <f>L547+M547+N547</f>
        <v>12149</v>
      </c>
    </row>
    <row r="548" ht="15.0" hidden="1" customHeight="1">
      <c r="A548" s="45">
        <v>542.0</v>
      </c>
      <c r="B548" s="46" t="s">
        <v>24</v>
      </c>
      <c r="C548" s="46" t="s">
        <v>165</v>
      </c>
      <c r="D548" s="46" t="s">
        <v>190</v>
      </c>
      <c r="E548" s="46" t="s">
        <v>190</v>
      </c>
      <c r="F548" s="47" t="s">
        <v>18</v>
      </c>
      <c r="G548" s="48">
        <v>12422.0</v>
      </c>
      <c r="H548" s="48">
        <v>1155.0</v>
      </c>
      <c r="I548" s="48">
        <v>204.0</v>
      </c>
      <c r="J548" s="49">
        <v>91.4929660455182</v>
      </c>
      <c r="K548" s="49"/>
      <c r="L548" s="50">
        <v>11115.0</v>
      </c>
      <c r="M548" s="50">
        <v>236.0</v>
      </c>
      <c r="N548" s="50">
        <v>52.0</v>
      </c>
      <c r="O548" s="49">
        <v>97.9208880274866</v>
      </c>
      <c r="P548" s="51"/>
    </row>
    <row r="549" ht="15.0" hidden="1" customHeight="1">
      <c r="A549" s="45">
        <v>543.0</v>
      </c>
      <c r="B549" s="46" t="s">
        <v>24</v>
      </c>
      <c r="C549" s="46" t="s">
        <v>165</v>
      </c>
      <c r="D549" s="46" t="s">
        <v>190</v>
      </c>
      <c r="E549" s="46" t="s">
        <v>190</v>
      </c>
      <c r="F549" s="47" t="s">
        <v>19</v>
      </c>
      <c r="G549" s="48">
        <v>669.0</v>
      </c>
      <c r="H549" s="48">
        <v>77.0</v>
      </c>
      <c r="I549" s="48">
        <v>21.0</v>
      </c>
      <c r="J549" s="49">
        <v>89.6782841823056</v>
      </c>
      <c r="K549" s="49"/>
      <c r="L549" s="50">
        <v>725.0</v>
      </c>
      <c r="M549" s="50">
        <v>14.0</v>
      </c>
      <c r="N549" s="50">
        <v>7.0</v>
      </c>
      <c r="O549" s="49">
        <v>98.105548037889</v>
      </c>
      <c r="P549" s="51"/>
    </row>
    <row r="550" ht="15.0" customHeight="1">
      <c r="A550" s="52">
        <v>544.0</v>
      </c>
      <c r="B550" s="53" t="s">
        <v>24</v>
      </c>
      <c r="C550" s="60" t="s">
        <v>165</v>
      </c>
      <c r="D550" s="60" t="s">
        <v>190</v>
      </c>
      <c r="E550" s="60" t="s">
        <v>191</v>
      </c>
      <c r="F550" s="61" t="s">
        <v>191</v>
      </c>
      <c r="G550" s="54">
        <v>4278.0</v>
      </c>
      <c r="H550" s="54">
        <v>529.0</v>
      </c>
      <c r="I550" s="54">
        <v>70.0</v>
      </c>
      <c r="J550" s="55">
        <v>88.9952153110048</v>
      </c>
      <c r="K550" s="55">
        <f>G550+H550+I550</f>
        <v>4877</v>
      </c>
      <c r="L550" s="56">
        <v>5000.0</v>
      </c>
      <c r="M550" s="56">
        <v>103.0</v>
      </c>
      <c r="N550" s="56">
        <v>13.0</v>
      </c>
      <c r="O550" s="55">
        <v>97.9815794630609</v>
      </c>
      <c r="P550" s="57">
        <f>L550+M550+N550</f>
        <v>5116</v>
      </c>
    </row>
    <row r="551" ht="15.0" hidden="1" customHeight="1">
      <c r="A551" s="45">
        <v>545.0</v>
      </c>
      <c r="B551" s="46" t="s">
        <v>24</v>
      </c>
      <c r="C551" s="46" t="s">
        <v>165</v>
      </c>
      <c r="D551" s="46" t="s">
        <v>190</v>
      </c>
      <c r="E551" s="46" t="s">
        <v>191</v>
      </c>
      <c r="F551" s="47" t="s">
        <v>18</v>
      </c>
      <c r="G551" s="48">
        <v>1615.0</v>
      </c>
      <c r="H551" s="48">
        <v>173.0</v>
      </c>
      <c r="I551" s="48">
        <v>25.0</v>
      </c>
      <c r="J551" s="49">
        <v>90.324384787472</v>
      </c>
      <c r="K551" s="49"/>
      <c r="L551" s="50">
        <v>3411.0</v>
      </c>
      <c r="M551" s="50">
        <v>65.0</v>
      </c>
      <c r="N551" s="50">
        <v>11.0</v>
      </c>
      <c r="O551" s="49">
        <v>98.1300345224396</v>
      </c>
      <c r="P551" s="51"/>
    </row>
    <row r="552" ht="15.0" hidden="1" customHeight="1">
      <c r="A552" s="45">
        <v>546.0</v>
      </c>
      <c r="B552" s="46" t="s">
        <v>24</v>
      </c>
      <c r="C552" s="46" t="s">
        <v>165</v>
      </c>
      <c r="D552" s="46" t="s">
        <v>190</v>
      </c>
      <c r="E552" s="46" t="s">
        <v>191</v>
      </c>
      <c r="F552" s="47" t="s">
        <v>19</v>
      </c>
      <c r="G552" s="48">
        <v>2663.0</v>
      </c>
      <c r="H552" s="48">
        <v>356.0</v>
      </c>
      <c r="I552" s="48">
        <v>45.0</v>
      </c>
      <c r="J552" s="49">
        <v>88.2080158993044</v>
      </c>
      <c r="K552" s="49"/>
      <c r="L552" s="50">
        <v>1589.0</v>
      </c>
      <c r="M552" s="50">
        <v>38.0</v>
      </c>
      <c r="N552" s="50">
        <v>2.0</v>
      </c>
      <c r="O552" s="49">
        <v>97.6644130301168</v>
      </c>
      <c r="P552" s="51"/>
    </row>
    <row r="553" ht="15.0" customHeight="1">
      <c r="A553" s="52">
        <v>547.0</v>
      </c>
      <c r="B553" s="53" t="s">
        <v>24</v>
      </c>
      <c r="C553" s="60" t="s">
        <v>165</v>
      </c>
      <c r="D553" s="60" t="s">
        <v>190</v>
      </c>
      <c r="E553" s="60" t="s">
        <v>192</v>
      </c>
      <c r="F553" s="61" t="s">
        <v>192</v>
      </c>
      <c r="G553" s="54">
        <v>5059.0</v>
      </c>
      <c r="H553" s="54">
        <v>572.0</v>
      </c>
      <c r="I553" s="54">
        <v>61.0</v>
      </c>
      <c r="J553" s="55">
        <v>89.8419463683182</v>
      </c>
      <c r="K553" s="55">
        <f>G553+H553+I553</f>
        <v>5692</v>
      </c>
      <c r="L553" s="56">
        <v>4184.0</v>
      </c>
      <c r="M553" s="56">
        <v>97.0</v>
      </c>
      <c r="N553" s="56">
        <v>14.0</v>
      </c>
      <c r="O553" s="55">
        <v>97.7341742583508</v>
      </c>
      <c r="P553" s="57">
        <f>L553+M553+N553</f>
        <v>4295</v>
      </c>
    </row>
    <row r="554" ht="15.0" hidden="1" customHeight="1">
      <c r="A554" s="45">
        <v>548.0</v>
      </c>
      <c r="B554" s="46" t="s">
        <v>24</v>
      </c>
      <c r="C554" s="46" t="s">
        <v>165</v>
      </c>
      <c r="D554" s="46" t="s">
        <v>190</v>
      </c>
      <c r="E554" s="46" t="s">
        <v>192</v>
      </c>
      <c r="F554" s="47" t="s">
        <v>18</v>
      </c>
      <c r="G554" s="48">
        <v>4542.0</v>
      </c>
      <c r="H554" s="48">
        <v>423.0</v>
      </c>
      <c r="I554" s="48">
        <v>41.0</v>
      </c>
      <c r="J554" s="49">
        <v>91.4803625377643</v>
      </c>
      <c r="K554" s="49"/>
      <c r="L554" s="50">
        <v>3773.0</v>
      </c>
      <c r="M554" s="50">
        <v>89.0</v>
      </c>
      <c r="N554" s="50">
        <v>11.0</v>
      </c>
      <c r="O554" s="49">
        <v>97.6954945624029</v>
      </c>
      <c r="P554" s="51"/>
    </row>
    <row r="555" ht="15.0" hidden="1" customHeight="1">
      <c r="A555" s="45">
        <v>549.0</v>
      </c>
      <c r="B555" s="46" t="s">
        <v>24</v>
      </c>
      <c r="C555" s="46" t="s">
        <v>165</v>
      </c>
      <c r="D555" s="46" t="s">
        <v>190</v>
      </c>
      <c r="E555" s="46" t="s">
        <v>192</v>
      </c>
      <c r="F555" s="47" t="s">
        <v>19</v>
      </c>
      <c r="G555" s="48">
        <v>517.0</v>
      </c>
      <c r="H555" s="48">
        <v>149.0</v>
      </c>
      <c r="I555" s="48">
        <v>20.0</v>
      </c>
      <c r="J555" s="49">
        <v>77.6276276276276</v>
      </c>
      <c r="K555" s="49"/>
      <c r="L555" s="50">
        <v>411.0</v>
      </c>
      <c r="M555" s="50">
        <v>8.0</v>
      </c>
      <c r="N555" s="50">
        <v>3.0</v>
      </c>
      <c r="O555" s="49">
        <v>98.090692124105</v>
      </c>
      <c r="P555" s="51"/>
    </row>
    <row r="556" ht="15.0" customHeight="1">
      <c r="A556" s="52">
        <v>550.0</v>
      </c>
      <c r="B556" s="53" t="s">
        <v>24</v>
      </c>
      <c r="C556" s="60" t="s">
        <v>165</v>
      </c>
      <c r="D556" s="60" t="s">
        <v>190</v>
      </c>
      <c r="E556" s="60" t="s">
        <v>193</v>
      </c>
      <c r="F556" s="61" t="s">
        <v>193</v>
      </c>
      <c r="G556" s="54">
        <v>5306.0</v>
      </c>
      <c r="H556" s="54">
        <v>621.0</v>
      </c>
      <c r="I556" s="54">
        <v>68.0</v>
      </c>
      <c r="J556" s="55">
        <v>89.5225240425173</v>
      </c>
      <c r="K556" s="55">
        <f>G556+H556+I556</f>
        <v>5995</v>
      </c>
      <c r="L556" s="56">
        <v>4352.0</v>
      </c>
      <c r="M556" s="56">
        <v>111.0</v>
      </c>
      <c r="N556" s="56">
        <v>18.0</v>
      </c>
      <c r="O556" s="55">
        <v>97.5128837105086</v>
      </c>
      <c r="P556" s="57">
        <f>L556+M556+N556</f>
        <v>4481</v>
      </c>
    </row>
    <row r="557" ht="15.0" hidden="1" customHeight="1">
      <c r="A557" s="45">
        <v>551.0</v>
      </c>
      <c r="B557" s="46" t="s">
        <v>24</v>
      </c>
      <c r="C557" s="46" t="s">
        <v>165</v>
      </c>
      <c r="D557" s="46" t="s">
        <v>190</v>
      </c>
      <c r="E557" s="46" t="s">
        <v>193</v>
      </c>
      <c r="F557" s="47" t="s">
        <v>18</v>
      </c>
      <c r="G557" s="48">
        <v>4255.0</v>
      </c>
      <c r="H557" s="48">
        <v>448.0</v>
      </c>
      <c r="I557" s="48">
        <v>48.0</v>
      </c>
      <c r="J557" s="49">
        <v>90.4741654263236</v>
      </c>
      <c r="K557" s="49"/>
      <c r="L557" s="50">
        <v>3667.0</v>
      </c>
      <c r="M557" s="50">
        <v>101.0</v>
      </c>
      <c r="N557" s="50">
        <v>15.0</v>
      </c>
      <c r="O557" s="49">
        <v>97.3195329087049</v>
      </c>
      <c r="P557" s="51"/>
    </row>
    <row r="558" ht="15.0" hidden="1" customHeight="1">
      <c r="A558" s="45">
        <v>552.0</v>
      </c>
      <c r="B558" s="46" t="s">
        <v>24</v>
      </c>
      <c r="C558" s="46" t="s">
        <v>165</v>
      </c>
      <c r="D558" s="46" t="s">
        <v>190</v>
      </c>
      <c r="E558" s="46" t="s">
        <v>193</v>
      </c>
      <c r="F558" s="47" t="s">
        <v>19</v>
      </c>
      <c r="G558" s="48">
        <v>1051.0</v>
      </c>
      <c r="H558" s="48">
        <v>173.0</v>
      </c>
      <c r="I558" s="48">
        <v>20.0</v>
      </c>
      <c r="J558" s="49">
        <v>85.8660130718954</v>
      </c>
      <c r="K558" s="49"/>
      <c r="L558" s="50">
        <v>685.0</v>
      </c>
      <c r="M558" s="50">
        <v>10.0</v>
      </c>
      <c r="N558" s="50">
        <v>3.0</v>
      </c>
      <c r="O558" s="49">
        <v>98.5611510791367</v>
      </c>
      <c r="P558" s="51"/>
    </row>
    <row r="559" ht="15.0" customHeight="1">
      <c r="A559" s="52">
        <v>553.0</v>
      </c>
      <c r="B559" s="53" t="s">
        <v>24</v>
      </c>
      <c r="C559" s="60" t="s">
        <v>165</v>
      </c>
      <c r="D559" s="60" t="s">
        <v>190</v>
      </c>
      <c r="E559" s="60" t="s">
        <v>194</v>
      </c>
      <c r="F559" s="61" t="s">
        <v>194</v>
      </c>
      <c r="G559" s="54">
        <v>4716.0</v>
      </c>
      <c r="H559" s="54">
        <v>364.0</v>
      </c>
      <c r="I559" s="54">
        <v>32.0</v>
      </c>
      <c r="J559" s="55">
        <v>92.8346456692913</v>
      </c>
      <c r="K559" s="55">
        <f>G559+H559+I559</f>
        <v>5112</v>
      </c>
      <c r="L559" s="56">
        <v>4183.0</v>
      </c>
      <c r="M559" s="56">
        <v>68.0</v>
      </c>
      <c r="N559" s="56">
        <v>15.0</v>
      </c>
      <c r="O559" s="55">
        <v>98.4003763820278</v>
      </c>
      <c r="P559" s="57">
        <f>L559+M559+N559</f>
        <v>4266</v>
      </c>
    </row>
    <row r="560" ht="15.0" hidden="1" customHeight="1">
      <c r="A560" s="45">
        <v>554.0</v>
      </c>
      <c r="B560" s="46" t="s">
        <v>24</v>
      </c>
      <c r="C560" s="46" t="s">
        <v>165</v>
      </c>
      <c r="D560" s="46" t="s">
        <v>190</v>
      </c>
      <c r="E560" s="46" t="s">
        <v>194</v>
      </c>
      <c r="F560" s="47" t="s">
        <v>18</v>
      </c>
      <c r="G560" s="48">
        <v>4716.0</v>
      </c>
      <c r="H560" s="48">
        <v>364.0</v>
      </c>
      <c r="I560" s="48">
        <v>32.0</v>
      </c>
      <c r="J560" s="49">
        <v>92.8346456692913</v>
      </c>
      <c r="K560" s="49"/>
      <c r="L560" s="50">
        <v>4183.0</v>
      </c>
      <c r="M560" s="50">
        <v>68.0</v>
      </c>
      <c r="N560" s="50">
        <v>15.0</v>
      </c>
      <c r="O560" s="49">
        <v>98.4003763820278</v>
      </c>
      <c r="P560" s="51"/>
    </row>
    <row r="561" ht="15.0" hidden="1" customHeight="1">
      <c r="A561" s="45">
        <v>555.0</v>
      </c>
      <c r="B561" s="46" t="s">
        <v>24</v>
      </c>
      <c r="C561" s="46" t="s">
        <v>165</v>
      </c>
      <c r="D561" s="46" t="s">
        <v>190</v>
      </c>
      <c r="E561" s="46" t="s">
        <v>194</v>
      </c>
      <c r="F561" s="47" t="s">
        <v>19</v>
      </c>
      <c r="G561" s="48"/>
      <c r="H561" s="48"/>
      <c r="I561" s="48"/>
      <c r="J561" s="49"/>
      <c r="K561" s="49"/>
      <c r="L561" s="50"/>
      <c r="M561" s="50"/>
      <c r="N561" s="50"/>
      <c r="O561" s="49"/>
      <c r="P561" s="51"/>
    </row>
    <row r="562" ht="15.0" hidden="1" customHeight="1">
      <c r="A562" s="39">
        <v>556.0</v>
      </c>
      <c r="B562" s="40" t="s">
        <v>22</v>
      </c>
      <c r="C562" s="59" t="s">
        <v>165</v>
      </c>
      <c r="D562" s="59" t="s">
        <v>195</v>
      </c>
      <c r="E562" s="59"/>
      <c r="F562" s="40" t="s">
        <v>195</v>
      </c>
      <c r="G562" s="41">
        <v>26664.0</v>
      </c>
      <c r="H562" s="41">
        <v>3083.0</v>
      </c>
      <c r="I562" s="41">
        <v>512.0</v>
      </c>
      <c r="J562" s="42">
        <v>89.6359296735805</v>
      </c>
      <c r="K562" s="42"/>
      <c r="L562" s="43">
        <v>24496.0</v>
      </c>
      <c r="M562" s="43">
        <v>563.0</v>
      </c>
      <c r="N562" s="43">
        <v>147.0</v>
      </c>
      <c r="O562" s="42">
        <v>97.753302206792</v>
      </c>
      <c r="P562" s="44"/>
    </row>
    <row r="563" ht="15.0" hidden="1" customHeight="1">
      <c r="A563" s="45">
        <v>557.0</v>
      </c>
      <c r="B563" s="46" t="s">
        <v>22</v>
      </c>
      <c r="C563" s="46" t="s">
        <v>165</v>
      </c>
      <c r="D563" s="46" t="s">
        <v>195</v>
      </c>
      <c r="E563" s="46"/>
      <c r="F563" s="47" t="s">
        <v>18</v>
      </c>
      <c r="G563" s="48">
        <v>15621.0</v>
      </c>
      <c r="H563" s="48">
        <v>1525.0</v>
      </c>
      <c r="I563" s="48">
        <v>188.0</v>
      </c>
      <c r="J563" s="49">
        <v>91.1057972705004</v>
      </c>
      <c r="K563" s="49"/>
      <c r="L563" s="50">
        <v>14050.0</v>
      </c>
      <c r="M563" s="50">
        <v>313.0</v>
      </c>
      <c r="N563" s="50">
        <v>46.0</v>
      </c>
      <c r="O563" s="49">
        <v>97.82078952865</v>
      </c>
      <c r="P563" s="51"/>
    </row>
    <row r="564" ht="15.0" hidden="1" customHeight="1">
      <c r="A564" s="45">
        <v>558.0</v>
      </c>
      <c r="B564" s="46" t="s">
        <v>22</v>
      </c>
      <c r="C564" s="46" t="s">
        <v>165</v>
      </c>
      <c r="D564" s="46" t="s">
        <v>195</v>
      </c>
      <c r="E564" s="46"/>
      <c r="F564" s="47" t="s">
        <v>19</v>
      </c>
      <c r="G564" s="48">
        <v>11043.0</v>
      </c>
      <c r="H564" s="48">
        <v>1558.0</v>
      </c>
      <c r="I564" s="48">
        <v>324.0</v>
      </c>
      <c r="J564" s="49">
        <v>87.6359019125466</v>
      </c>
      <c r="K564" s="49"/>
      <c r="L564" s="50">
        <v>10446.0</v>
      </c>
      <c r="M564" s="50">
        <v>250.0</v>
      </c>
      <c r="N564" s="50">
        <v>101.0</v>
      </c>
      <c r="O564" s="49">
        <v>97.6626776364996</v>
      </c>
      <c r="P564" s="51"/>
    </row>
    <row r="565" ht="15.0" customHeight="1">
      <c r="A565" s="52">
        <v>559.0</v>
      </c>
      <c r="B565" s="53" t="s">
        <v>24</v>
      </c>
      <c r="C565" s="60" t="s">
        <v>165</v>
      </c>
      <c r="D565" s="60" t="s">
        <v>195</v>
      </c>
      <c r="E565" s="60" t="s">
        <v>196</v>
      </c>
      <c r="F565" s="61" t="s">
        <v>196</v>
      </c>
      <c r="G565" s="54">
        <v>16507.0</v>
      </c>
      <c r="H565" s="54">
        <v>1593.0</v>
      </c>
      <c r="I565" s="54">
        <v>198.0</v>
      </c>
      <c r="J565" s="55">
        <v>91.1988950276243</v>
      </c>
      <c r="K565" s="55">
        <f>G565+H565+I565</f>
        <v>18298</v>
      </c>
      <c r="L565" s="56">
        <v>15056.0</v>
      </c>
      <c r="M565" s="56">
        <v>315.0</v>
      </c>
      <c r="N565" s="56">
        <v>60.0</v>
      </c>
      <c r="O565" s="55">
        <v>97.9506863574263</v>
      </c>
      <c r="P565" s="57">
        <f>L565+M565+N565</f>
        <v>15431</v>
      </c>
    </row>
    <row r="566" ht="15.0" hidden="1" customHeight="1">
      <c r="A566" s="45">
        <v>560.0</v>
      </c>
      <c r="B566" s="46" t="s">
        <v>24</v>
      </c>
      <c r="C566" s="46" t="s">
        <v>165</v>
      </c>
      <c r="D566" s="46" t="s">
        <v>195</v>
      </c>
      <c r="E566" s="46" t="s">
        <v>196</v>
      </c>
      <c r="F566" s="47" t="s">
        <v>18</v>
      </c>
      <c r="G566" s="48">
        <v>14327.0</v>
      </c>
      <c r="H566" s="48">
        <v>1323.0</v>
      </c>
      <c r="I566" s="48">
        <v>152.0</v>
      </c>
      <c r="J566" s="49">
        <v>91.5463258785942</v>
      </c>
      <c r="K566" s="49"/>
      <c r="L566" s="50">
        <v>12830.0</v>
      </c>
      <c r="M566" s="50">
        <v>265.0</v>
      </c>
      <c r="N566" s="50">
        <v>43.0</v>
      </c>
      <c r="O566" s="49">
        <v>97.9763268423062</v>
      </c>
      <c r="P566" s="51"/>
    </row>
    <row r="567" ht="15.0" hidden="1" customHeight="1">
      <c r="A567" s="45">
        <v>561.0</v>
      </c>
      <c r="B567" s="46" t="s">
        <v>24</v>
      </c>
      <c r="C567" s="46" t="s">
        <v>165</v>
      </c>
      <c r="D567" s="46" t="s">
        <v>195</v>
      </c>
      <c r="E567" s="46" t="s">
        <v>196</v>
      </c>
      <c r="F567" s="47" t="s">
        <v>19</v>
      </c>
      <c r="G567" s="48">
        <v>2180.0</v>
      </c>
      <c r="H567" s="48">
        <v>270.0</v>
      </c>
      <c r="I567" s="48">
        <v>46.0</v>
      </c>
      <c r="J567" s="49">
        <v>88.9795918367347</v>
      </c>
      <c r="K567" s="49"/>
      <c r="L567" s="50">
        <v>2226.0</v>
      </c>
      <c r="M567" s="50">
        <v>50.0</v>
      </c>
      <c r="N567" s="50">
        <v>17.0</v>
      </c>
      <c r="O567" s="49">
        <v>97.8031634446397</v>
      </c>
      <c r="P567" s="51"/>
    </row>
    <row r="568" ht="15.0" customHeight="1">
      <c r="A568" s="52">
        <v>562.0</v>
      </c>
      <c r="B568" s="53" t="s">
        <v>24</v>
      </c>
      <c r="C568" s="60" t="s">
        <v>165</v>
      </c>
      <c r="D568" s="60" t="s">
        <v>195</v>
      </c>
      <c r="E568" s="60" t="s">
        <v>197</v>
      </c>
      <c r="F568" s="61" t="s">
        <v>197</v>
      </c>
      <c r="G568" s="54">
        <v>2080.0</v>
      </c>
      <c r="H568" s="54">
        <v>247.0</v>
      </c>
      <c r="I568" s="54">
        <v>41.0</v>
      </c>
      <c r="J568" s="55">
        <v>89.3854748603352</v>
      </c>
      <c r="K568" s="55">
        <f>G568+H568+I568</f>
        <v>2368</v>
      </c>
      <c r="L568" s="56">
        <v>1739.0</v>
      </c>
      <c r="M568" s="56">
        <v>38.0</v>
      </c>
      <c r="N568" s="56">
        <v>6.0</v>
      </c>
      <c r="O568" s="55">
        <v>97.8615644344401</v>
      </c>
      <c r="P568" s="57">
        <f>L568+M568+N568</f>
        <v>1783</v>
      </c>
    </row>
    <row r="569" ht="15.0" hidden="1" customHeight="1">
      <c r="A569" s="45">
        <v>563.0</v>
      </c>
      <c r="B569" s="46" t="s">
        <v>24</v>
      </c>
      <c r="C569" s="46" t="s">
        <v>165</v>
      </c>
      <c r="D569" s="46" t="s">
        <v>195</v>
      </c>
      <c r="E569" s="46" t="s">
        <v>197</v>
      </c>
      <c r="F569" s="47" t="s">
        <v>18</v>
      </c>
      <c r="G569" s="48">
        <v>360.0</v>
      </c>
      <c r="H569" s="48">
        <v>50.0</v>
      </c>
      <c r="I569" s="48">
        <v>3.0</v>
      </c>
      <c r="J569" s="49">
        <v>87.8048780487805</v>
      </c>
      <c r="K569" s="49"/>
      <c r="L569" s="50">
        <v>294.0</v>
      </c>
      <c r="M569" s="50">
        <v>9.0</v>
      </c>
      <c r="N569" s="50">
        <v>1.0</v>
      </c>
      <c r="O569" s="49">
        <v>97.029702970297</v>
      </c>
      <c r="P569" s="51"/>
    </row>
    <row r="570" ht="15.0" hidden="1" customHeight="1">
      <c r="A570" s="45">
        <v>564.0</v>
      </c>
      <c r="B570" s="46" t="s">
        <v>24</v>
      </c>
      <c r="C570" s="46" t="s">
        <v>165</v>
      </c>
      <c r="D570" s="46" t="s">
        <v>195</v>
      </c>
      <c r="E570" s="46" t="s">
        <v>197</v>
      </c>
      <c r="F570" s="47" t="s">
        <v>19</v>
      </c>
      <c r="G570" s="48">
        <v>1720.0</v>
      </c>
      <c r="H570" s="48">
        <v>197.0</v>
      </c>
      <c r="I570" s="48">
        <v>38.0</v>
      </c>
      <c r="J570" s="49">
        <v>89.7235263432447</v>
      </c>
      <c r="K570" s="49"/>
      <c r="L570" s="50">
        <v>1445.0</v>
      </c>
      <c r="M570" s="50">
        <v>29.0</v>
      </c>
      <c r="N570" s="50">
        <v>5.0</v>
      </c>
      <c r="O570" s="49">
        <v>98.0325644504749</v>
      </c>
      <c r="P570" s="51"/>
    </row>
    <row r="571" ht="15.0" customHeight="1">
      <c r="A571" s="52">
        <v>565.0</v>
      </c>
      <c r="B571" s="53" t="s">
        <v>24</v>
      </c>
      <c r="C571" s="60" t="s">
        <v>165</v>
      </c>
      <c r="D571" s="60" t="s">
        <v>195</v>
      </c>
      <c r="E571" s="60" t="s">
        <v>198</v>
      </c>
      <c r="F571" s="61" t="s">
        <v>198</v>
      </c>
      <c r="G571" s="54">
        <v>8077.0</v>
      </c>
      <c r="H571" s="54">
        <v>1243.0</v>
      </c>
      <c r="I571" s="54">
        <v>273.0</v>
      </c>
      <c r="J571" s="55">
        <v>86.6630901287554</v>
      </c>
      <c r="K571" s="55">
        <f>G571+H571+I571</f>
        <v>9593</v>
      </c>
      <c r="L571" s="56">
        <v>7701.0</v>
      </c>
      <c r="M571" s="56">
        <v>210.0</v>
      </c>
      <c r="N571" s="56">
        <v>81.0</v>
      </c>
      <c r="O571" s="55">
        <v>97.3454683352294</v>
      </c>
      <c r="P571" s="57">
        <f>L571+M571+N571</f>
        <v>7992</v>
      </c>
    </row>
    <row r="572" ht="15.0" hidden="1" customHeight="1">
      <c r="A572" s="45">
        <v>566.0</v>
      </c>
      <c r="B572" s="46" t="s">
        <v>24</v>
      </c>
      <c r="C572" s="46" t="s">
        <v>165</v>
      </c>
      <c r="D572" s="46" t="s">
        <v>195</v>
      </c>
      <c r="E572" s="46" t="s">
        <v>198</v>
      </c>
      <c r="F572" s="47" t="s">
        <v>18</v>
      </c>
      <c r="G572" s="48">
        <v>934.0</v>
      </c>
      <c r="H572" s="48">
        <v>152.0</v>
      </c>
      <c r="I572" s="48">
        <v>33.0</v>
      </c>
      <c r="J572" s="49">
        <v>86.0036832412523</v>
      </c>
      <c r="K572" s="49"/>
      <c r="L572" s="50">
        <v>926.0</v>
      </c>
      <c r="M572" s="50">
        <v>39.0</v>
      </c>
      <c r="N572" s="50">
        <v>2.0</v>
      </c>
      <c r="O572" s="49">
        <v>95.9585492227979</v>
      </c>
      <c r="P572" s="51"/>
    </row>
    <row r="573" ht="15.0" hidden="1" customHeight="1">
      <c r="A573" s="45">
        <v>567.0</v>
      </c>
      <c r="B573" s="46" t="s">
        <v>24</v>
      </c>
      <c r="C573" s="46" t="s">
        <v>165</v>
      </c>
      <c r="D573" s="46" t="s">
        <v>195</v>
      </c>
      <c r="E573" s="46" t="s">
        <v>198</v>
      </c>
      <c r="F573" s="47" t="s">
        <v>19</v>
      </c>
      <c r="G573" s="48">
        <v>7143.0</v>
      </c>
      <c r="H573" s="48">
        <v>1091.0</v>
      </c>
      <c r="I573" s="48">
        <v>240.0</v>
      </c>
      <c r="J573" s="49">
        <v>86.750060723828</v>
      </c>
      <c r="K573" s="49"/>
      <c r="L573" s="50">
        <v>6775.0</v>
      </c>
      <c r="M573" s="50">
        <v>171.0</v>
      </c>
      <c r="N573" s="50">
        <v>79.0</v>
      </c>
      <c r="O573" s="49">
        <v>97.5381514540743</v>
      </c>
      <c r="P573" s="51"/>
    </row>
    <row r="574" ht="15.0" hidden="1" customHeight="1">
      <c r="A574" s="39">
        <v>568.0</v>
      </c>
      <c r="B574" s="40" t="s">
        <v>22</v>
      </c>
      <c r="C574" s="59" t="s">
        <v>165</v>
      </c>
      <c r="D574" s="59" t="s">
        <v>199</v>
      </c>
      <c r="E574" s="59"/>
      <c r="F574" s="40" t="s">
        <v>199</v>
      </c>
      <c r="G574" s="41">
        <v>2609.0</v>
      </c>
      <c r="H574" s="41">
        <v>261.0</v>
      </c>
      <c r="I574" s="41">
        <v>36.0</v>
      </c>
      <c r="J574" s="42">
        <v>90.9059233449477</v>
      </c>
      <c r="K574" s="42"/>
      <c r="L574" s="43">
        <v>2111.0</v>
      </c>
      <c r="M574" s="43">
        <v>35.0</v>
      </c>
      <c r="N574" s="43">
        <v>27.0</v>
      </c>
      <c r="O574" s="42">
        <v>98.3690587138863</v>
      </c>
      <c r="P574" s="44"/>
    </row>
    <row r="575" ht="15.0" hidden="1" customHeight="1">
      <c r="A575" s="45">
        <v>569.0</v>
      </c>
      <c r="B575" s="46" t="s">
        <v>22</v>
      </c>
      <c r="C575" s="46" t="s">
        <v>165</v>
      </c>
      <c r="D575" s="46" t="s">
        <v>199</v>
      </c>
      <c r="E575" s="46"/>
      <c r="F575" s="47" t="s">
        <v>18</v>
      </c>
      <c r="G575" s="48"/>
      <c r="H575" s="48"/>
      <c r="I575" s="48"/>
      <c r="J575" s="49"/>
      <c r="K575" s="49"/>
      <c r="L575" s="50"/>
      <c r="M575" s="50"/>
      <c r="N575" s="50"/>
      <c r="O575" s="49"/>
      <c r="P575" s="51"/>
    </row>
    <row r="576" ht="15.0" hidden="1" customHeight="1">
      <c r="A576" s="45">
        <v>570.0</v>
      </c>
      <c r="B576" s="46" t="s">
        <v>22</v>
      </c>
      <c r="C576" s="46" t="s">
        <v>165</v>
      </c>
      <c r="D576" s="46" t="s">
        <v>199</v>
      </c>
      <c r="E576" s="46"/>
      <c r="F576" s="47" t="s">
        <v>19</v>
      </c>
      <c r="G576" s="48">
        <v>2609.0</v>
      </c>
      <c r="H576" s="48">
        <v>261.0</v>
      </c>
      <c r="I576" s="48">
        <v>36.0</v>
      </c>
      <c r="J576" s="49">
        <v>90.9059233449477</v>
      </c>
      <c r="K576" s="49"/>
      <c r="L576" s="50">
        <v>2111.0</v>
      </c>
      <c r="M576" s="50">
        <v>35.0</v>
      </c>
      <c r="N576" s="50">
        <v>27.0</v>
      </c>
      <c r="O576" s="49">
        <v>98.3690587138863</v>
      </c>
      <c r="P576" s="51"/>
    </row>
    <row r="577" ht="15.0" customHeight="1">
      <c r="A577" s="52">
        <v>571.0</v>
      </c>
      <c r="B577" s="53" t="s">
        <v>24</v>
      </c>
      <c r="C577" s="60" t="s">
        <v>165</v>
      </c>
      <c r="D577" s="60" t="s">
        <v>199</v>
      </c>
      <c r="E577" s="60" t="s">
        <v>199</v>
      </c>
      <c r="F577" s="61" t="s">
        <v>199</v>
      </c>
      <c r="G577" s="54">
        <v>2609.0</v>
      </c>
      <c r="H577" s="54">
        <v>261.0</v>
      </c>
      <c r="I577" s="54">
        <v>36.0</v>
      </c>
      <c r="J577" s="55">
        <v>90.9059233449477</v>
      </c>
      <c r="K577" s="55">
        <f>G577+H577+I577</f>
        <v>2906</v>
      </c>
      <c r="L577" s="56">
        <v>2111.0</v>
      </c>
      <c r="M577" s="56">
        <v>35.0</v>
      </c>
      <c r="N577" s="56">
        <v>27.0</v>
      </c>
      <c r="O577" s="55">
        <v>98.3690587138863</v>
      </c>
      <c r="P577" s="57">
        <f>L577+M577+N577</f>
        <v>2173</v>
      </c>
    </row>
    <row r="578" ht="15.0" hidden="1" customHeight="1">
      <c r="A578" s="45">
        <v>572.0</v>
      </c>
      <c r="B578" s="46" t="s">
        <v>24</v>
      </c>
      <c r="C578" s="46" t="s">
        <v>165</v>
      </c>
      <c r="D578" s="46" t="s">
        <v>199</v>
      </c>
      <c r="E578" s="46" t="s">
        <v>199</v>
      </c>
      <c r="F578" s="47" t="s">
        <v>18</v>
      </c>
      <c r="G578" s="48"/>
      <c r="H578" s="48"/>
      <c r="I578" s="48"/>
      <c r="J578" s="49"/>
      <c r="K578" s="49"/>
      <c r="L578" s="50"/>
      <c r="M578" s="50"/>
      <c r="N578" s="50"/>
      <c r="O578" s="49"/>
      <c r="P578" s="51"/>
    </row>
    <row r="579" ht="15.0" hidden="1" customHeight="1">
      <c r="A579" s="45">
        <v>573.0</v>
      </c>
      <c r="B579" s="46" t="s">
        <v>24</v>
      </c>
      <c r="C579" s="46" t="s">
        <v>165</v>
      </c>
      <c r="D579" s="46" t="s">
        <v>199</v>
      </c>
      <c r="E579" s="46" t="s">
        <v>199</v>
      </c>
      <c r="F579" s="47" t="s">
        <v>19</v>
      </c>
      <c r="G579" s="48">
        <v>2609.0</v>
      </c>
      <c r="H579" s="48">
        <v>261.0</v>
      </c>
      <c r="I579" s="48">
        <v>36.0</v>
      </c>
      <c r="J579" s="49">
        <v>90.9059233449477</v>
      </c>
      <c r="K579" s="49"/>
      <c r="L579" s="50">
        <v>2111.0</v>
      </c>
      <c r="M579" s="50">
        <v>35.0</v>
      </c>
      <c r="N579" s="50">
        <v>27.0</v>
      </c>
      <c r="O579" s="49">
        <v>98.3690587138863</v>
      </c>
      <c r="P579" s="51"/>
    </row>
    <row r="580" ht="15.0" hidden="1" customHeight="1">
      <c r="A580" s="39">
        <v>574.0</v>
      </c>
      <c r="B580" s="40" t="s">
        <v>22</v>
      </c>
      <c r="C580" s="59" t="s">
        <v>165</v>
      </c>
      <c r="D580" s="59" t="s">
        <v>200</v>
      </c>
      <c r="E580" s="59"/>
      <c r="F580" s="40" t="s">
        <v>200</v>
      </c>
      <c r="G580" s="41">
        <v>14429.0</v>
      </c>
      <c r="H580" s="41">
        <v>2023.0</v>
      </c>
      <c r="I580" s="41">
        <v>320.0</v>
      </c>
      <c r="J580" s="42">
        <v>87.703622659859</v>
      </c>
      <c r="K580" s="42"/>
      <c r="L580" s="43">
        <v>15146.0</v>
      </c>
      <c r="M580" s="43">
        <v>523.0</v>
      </c>
      <c r="N580" s="43">
        <v>117.0</v>
      </c>
      <c r="O580" s="42">
        <v>96.6621992469207</v>
      </c>
      <c r="P580" s="44"/>
    </row>
    <row r="581" ht="15.0" hidden="1" customHeight="1">
      <c r="A581" s="45">
        <v>575.0</v>
      </c>
      <c r="B581" s="46" t="s">
        <v>22</v>
      </c>
      <c r="C581" s="46" t="s">
        <v>165</v>
      </c>
      <c r="D581" s="46" t="s">
        <v>200</v>
      </c>
      <c r="E581" s="46"/>
      <c r="F581" s="47" t="s">
        <v>18</v>
      </c>
      <c r="G581" s="48">
        <v>3722.0</v>
      </c>
      <c r="H581" s="48">
        <v>581.0</v>
      </c>
      <c r="I581" s="48">
        <v>74.0</v>
      </c>
      <c r="J581" s="49">
        <v>86.4977922379735</v>
      </c>
      <c r="K581" s="49"/>
      <c r="L581" s="50">
        <v>5933.0</v>
      </c>
      <c r="M581" s="50">
        <v>219.0</v>
      </c>
      <c r="N581" s="50">
        <v>33.0</v>
      </c>
      <c r="O581" s="49">
        <v>96.4401820546164</v>
      </c>
      <c r="P581" s="51"/>
    </row>
    <row r="582" ht="15.0" hidden="1" customHeight="1">
      <c r="A582" s="45">
        <v>576.0</v>
      </c>
      <c r="B582" s="46" t="s">
        <v>22</v>
      </c>
      <c r="C582" s="46" t="s">
        <v>165</v>
      </c>
      <c r="D582" s="46" t="s">
        <v>200</v>
      </c>
      <c r="E582" s="46"/>
      <c r="F582" s="47" t="s">
        <v>19</v>
      </c>
      <c r="G582" s="48">
        <v>10707.0</v>
      </c>
      <c r="H582" s="48">
        <v>1442.0</v>
      </c>
      <c r="I582" s="48">
        <v>246.0</v>
      </c>
      <c r="J582" s="49">
        <v>88.1307103465306</v>
      </c>
      <c r="K582" s="49"/>
      <c r="L582" s="50">
        <v>9213.0</v>
      </c>
      <c r="M582" s="50">
        <v>304.0</v>
      </c>
      <c r="N582" s="50">
        <v>84.0</v>
      </c>
      <c r="O582" s="49">
        <v>96.8057160870022</v>
      </c>
      <c r="P582" s="51"/>
    </row>
    <row r="583" ht="15.0" customHeight="1">
      <c r="A583" s="52">
        <v>577.0</v>
      </c>
      <c r="B583" s="53" t="s">
        <v>24</v>
      </c>
      <c r="C583" s="60" t="s">
        <v>165</v>
      </c>
      <c r="D583" s="60" t="s">
        <v>200</v>
      </c>
      <c r="E583" s="60" t="s">
        <v>201</v>
      </c>
      <c r="F583" s="61" t="s">
        <v>201</v>
      </c>
      <c r="G583" s="54">
        <v>1646.0</v>
      </c>
      <c r="H583" s="54">
        <v>199.0</v>
      </c>
      <c r="I583" s="54">
        <v>36.0</v>
      </c>
      <c r="J583" s="55">
        <v>89.2140921409214</v>
      </c>
      <c r="K583" s="55">
        <f>G583+H583+I583</f>
        <v>1881</v>
      </c>
      <c r="L583" s="56">
        <v>1453.0</v>
      </c>
      <c r="M583" s="56">
        <v>41.0</v>
      </c>
      <c r="N583" s="56">
        <v>24.0</v>
      </c>
      <c r="O583" s="55">
        <v>97.2556894243641</v>
      </c>
      <c r="P583" s="57">
        <f>L583+M583+N583</f>
        <v>1518</v>
      </c>
    </row>
    <row r="584" ht="15.0" hidden="1" customHeight="1">
      <c r="A584" s="45">
        <v>578.0</v>
      </c>
      <c r="B584" s="46" t="s">
        <v>24</v>
      </c>
      <c r="C584" s="46" t="s">
        <v>165</v>
      </c>
      <c r="D584" s="46" t="s">
        <v>200</v>
      </c>
      <c r="E584" s="46" t="s">
        <v>201</v>
      </c>
      <c r="F584" s="47" t="s">
        <v>18</v>
      </c>
      <c r="G584" s="48"/>
      <c r="H584" s="48"/>
      <c r="I584" s="48"/>
      <c r="J584" s="49"/>
      <c r="K584" s="49"/>
      <c r="L584" s="50"/>
      <c r="M584" s="50"/>
      <c r="N584" s="50"/>
      <c r="O584" s="49"/>
      <c r="P584" s="51"/>
    </row>
    <row r="585" ht="15.0" hidden="1" customHeight="1">
      <c r="A585" s="45">
        <v>579.0</v>
      </c>
      <c r="B585" s="46" t="s">
        <v>24</v>
      </c>
      <c r="C585" s="46" t="s">
        <v>165</v>
      </c>
      <c r="D585" s="46" t="s">
        <v>200</v>
      </c>
      <c r="E585" s="46" t="s">
        <v>201</v>
      </c>
      <c r="F585" s="47" t="s">
        <v>19</v>
      </c>
      <c r="G585" s="48">
        <v>1646.0</v>
      </c>
      <c r="H585" s="48">
        <v>199.0</v>
      </c>
      <c r="I585" s="48">
        <v>36.0</v>
      </c>
      <c r="J585" s="49">
        <v>89.2140921409214</v>
      </c>
      <c r="K585" s="49"/>
      <c r="L585" s="50">
        <v>1453.0</v>
      </c>
      <c r="M585" s="50">
        <v>41.0</v>
      </c>
      <c r="N585" s="50">
        <v>24.0</v>
      </c>
      <c r="O585" s="49">
        <v>97.2556894243641</v>
      </c>
      <c r="P585" s="51"/>
    </row>
    <row r="586" ht="15.0" customHeight="1">
      <c r="A586" s="52">
        <v>580.0</v>
      </c>
      <c r="B586" s="53" t="s">
        <v>24</v>
      </c>
      <c r="C586" s="60" t="s">
        <v>165</v>
      </c>
      <c r="D586" s="60" t="s">
        <v>200</v>
      </c>
      <c r="E586" s="60" t="s">
        <v>202</v>
      </c>
      <c r="F586" s="61" t="s">
        <v>202</v>
      </c>
      <c r="G586" s="54">
        <v>1204.0</v>
      </c>
      <c r="H586" s="54">
        <v>130.0</v>
      </c>
      <c r="I586" s="54">
        <v>19.0</v>
      </c>
      <c r="J586" s="55">
        <v>90.2548725637181</v>
      </c>
      <c r="K586" s="55">
        <f>G586+H586+I586</f>
        <v>1353</v>
      </c>
      <c r="L586" s="56">
        <v>1057.0</v>
      </c>
      <c r="M586" s="56">
        <v>39.0</v>
      </c>
      <c r="N586" s="56">
        <v>8.0</v>
      </c>
      <c r="O586" s="55">
        <v>96.4416058394161</v>
      </c>
      <c r="P586" s="57">
        <f>L586+M586+N586</f>
        <v>1104</v>
      </c>
    </row>
    <row r="587" ht="15.0" hidden="1" customHeight="1">
      <c r="A587" s="45">
        <v>581.0</v>
      </c>
      <c r="B587" s="46" t="s">
        <v>24</v>
      </c>
      <c r="C587" s="46" t="s">
        <v>165</v>
      </c>
      <c r="D587" s="46" t="s">
        <v>200</v>
      </c>
      <c r="E587" s="46" t="s">
        <v>202</v>
      </c>
      <c r="F587" s="47" t="s">
        <v>18</v>
      </c>
      <c r="G587" s="48"/>
      <c r="H587" s="48"/>
      <c r="I587" s="48"/>
      <c r="J587" s="49"/>
      <c r="K587" s="49"/>
      <c r="L587" s="50"/>
      <c r="M587" s="50"/>
      <c r="N587" s="50"/>
      <c r="O587" s="49"/>
      <c r="P587" s="51"/>
    </row>
    <row r="588" ht="15.0" hidden="1" customHeight="1">
      <c r="A588" s="45">
        <v>582.0</v>
      </c>
      <c r="B588" s="46" t="s">
        <v>24</v>
      </c>
      <c r="C588" s="46" t="s">
        <v>165</v>
      </c>
      <c r="D588" s="46" t="s">
        <v>200</v>
      </c>
      <c r="E588" s="46" t="s">
        <v>202</v>
      </c>
      <c r="F588" s="47" t="s">
        <v>19</v>
      </c>
      <c r="G588" s="48">
        <v>1204.0</v>
      </c>
      <c r="H588" s="48">
        <v>130.0</v>
      </c>
      <c r="I588" s="48">
        <v>19.0</v>
      </c>
      <c r="J588" s="49">
        <v>90.2548725637181</v>
      </c>
      <c r="K588" s="49"/>
      <c r="L588" s="50">
        <v>1057.0</v>
      </c>
      <c r="M588" s="50">
        <v>39.0</v>
      </c>
      <c r="N588" s="50">
        <v>8.0</v>
      </c>
      <c r="O588" s="49">
        <v>96.4416058394161</v>
      </c>
      <c r="P588" s="51"/>
    </row>
    <row r="589" ht="15.0" customHeight="1">
      <c r="A589" s="52">
        <v>583.0</v>
      </c>
      <c r="B589" s="53" t="s">
        <v>24</v>
      </c>
      <c r="C589" s="60" t="s">
        <v>165</v>
      </c>
      <c r="D589" s="60" t="s">
        <v>200</v>
      </c>
      <c r="E589" s="60" t="s">
        <v>203</v>
      </c>
      <c r="F589" s="61" t="s">
        <v>203</v>
      </c>
      <c r="G589" s="54">
        <v>1018.0</v>
      </c>
      <c r="H589" s="54">
        <v>103.0</v>
      </c>
      <c r="I589" s="54">
        <v>25.0</v>
      </c>
      <c r="J589" s="55">
        <v>90.8117752007137</v>
      </c>
      <c r="K589" s="55">
        <f>G589+H589+I589</f>
        <v>1146</v>
      </c>
      <c r="L589" s="56">
        <v>891.0</v>
      </c>
      <c r="M589" s="56">
        <v>23.0</v>
      </c>
      <c r="N589" s="56">
        <v>9.0</v>
      </c>
      <c r="O589" s="55">
        <v>97.4835886214442</v>
      </c>
      <c r="P589" s="57">
        <f>L589+M589+N589</f>
        <v>923</v>
      </c>
    </row>
    <row r="590" ht="15.0" hidden="1" customHeight="1">
      <c r="A590" s="45">
        <v>584.0</v>
      </c>
      <c r="B590" s="46" t="s">
        <v>24</v>
      </c>
      <c r="C590" s="46" t="s">
        <v>165</v>
      </c>
      <c r="D590" s="46" t="s">
        <v>200</v>
      </c>
      <c r="E590" s="46" t="s">
        <v>203</v>
      </c>
      <c r="F590" s="47" t="s">
        <v>18</v>
      </c>
      <c r="G590" s="48"/>
      <c r="H590" s="48"/>
      <c r="I590" s="48"/>
      <c r="J590" s="49"/>
      <c r="K590" s="49"/>
      <c r="L590" s="50"/>
      <c r="M590" s="50"/>
      <c r="N590" s="50"/>
      <c r="O590" s="49"/>
      <c r="P590" s="51"/>
    </row>
    <row r="591" ht="15.0" hidden="1" customHeight="1">
      <c r="A591" s="45">
        <v>585.0</v>
      </c>
      <c r="B591" s="46" t="s">
        <v>24</v>
      </c>
      <c r="C591" s="46" t="s">
        <v>165</v>
      </c>
      <c r="D591" s="46" t="s">
        <v>200</v>
      </c>
      <c r="E591" s="46" t="s">
        <v>203</v>
      </c>
      <c r="F591" s="47" t="s">
        <v>19</v>
      </c>
      <c r="G591" s="48">
        <v>1018.0</v>
      </c>
      <c r="H591" s="48">
        <v>103.0</v>
      </c>
      <c r="I591" s="48">
        <v>25.0</v>
      </c>
      <c r="J591" s="49">
        <v>90.8117752007137</v>
      </c>
      <c r="K591" s="49"/>
      <c r="L591" s="50">
        <v>891.0</v>
      </c>
      <c r="M591" s="50">
        <v>23.0</v>
      </c>
      <c r="N591" s="50">
        <v>9.0</v>
      </c>
      <c r="O591" s="49">
        <v>97.4835886214442</v>
      </c>
      <c r="P591" s="51"/>
    </row>
    <row r="592" ht="15.0" customHeight="1">
      <c r="A592" s="52">
        <v>586.0</v>
      </c>
      <c r="B592" s="53" t="s">
        <v>24</v>
      </c>
      <c r="C592" s="60" t="s">
        <v>165</v>
      </c>
      <c r="D592" s="60" t="s">
        <v>200</v>
      </c>
      <c r="E592" s="60" t="s">
        <v>204</v>
      </c>
      <c r="F592" s="61" t="s">
        <v>204</v>
      </c>
      <c r="G592" s="54">
        <v>2371.0</v>
      </c>
      <c r="H592" s="54">
        <v>465.0</v>
      </c>
      <c r="I592" s="54">
        <v>49.0</v>
      </c>
      <c r="J592" s="55">
        <v>83.6036671368124</v>
      </c>
      <c r="K592" s="55">
        <f>G592+H592+I592</f>
        <v>2885</v>
      </c>
      <c r="L592" s="56">
        <v>2200.0</v>
      </c>
      <c r="M592" s="56">
        <v>80.0</v>
      </c>
      <c r="N592" s="56">
        <v>20.0</v>
      </c>
      <c r="O592" s="55">
        <v>96.4912280701754</v>
      </c>
      <c r="P592" s="57">
        <f>L592+M592+N592</f>
        <v>2300</v>
      </c>
    </row>
    <row r="593" ht="15.0" hidden="1" customHeight="1">
      <c r="A593" s="45">
        <v>587.0</v>
      </c>
      <c r="B593" s="46" t="s">
        <v>24</v>
      </c>
      <c r="C593" s="46" t="s">
        <v>165</v>
      </c>
      <c r="D593" s="46" t="s">
        <v>200</v>
      </c>
      <c r="E593" s="46" t="s">
        <v>204</v>
      </c>
      <c r="F593" s="47" t="s">
        <v>18</v>
      </c>
      <c r="G593" s="48">
        <v>641.0</v>
      </c>
      <c r="H593" s="48">
        <v>79.0</v>
      </c>
      <c r="I593" s="48">
        <v>7.0</v>
      </c>
      <c r="J593" s="49">
        <v>89.0277777777778</v>
      </c>
      <c r="K593" s="49"/>
      <c r="L593" s="50">
        <v>911.0</v>
      </c>
      <c r="M593" s="50">
        <v>16.0</v>
      </c>
      <c r="N593" s="50">
        <v>6.0</v>
      </c>
      <c r="O593" s="49">
        <v>98.2740021574973</v>
      </c>
      <c r="P593" s="51"/>
    </row>
    <row r="594" ht="15.0" hidden="1" customHeight="1">
      <c r="A594" s="45">
        <v>588.0</v>
      </c>
      <c r="B594" s="46" t="s">
        <v>24</v>
      </c>
      <c r="C594" s="46" t="s">
        <v>165</v>
      </c>
      <c r="D594" s="46" t="s">
        <v>200</v>
      </c>
      <c r="E594" s="46" t="s">
        <v>204</v>
      </c>
      <c r="F594" s="47" t="s">
        <v>19</v>
      </c>
      <c r="G594" s="48">
        <v>1730.0</v>
      </c>
      <c r="H594" s="48">
        <v>386.0</v>
      </c>
      <c r="I594" s="48">
        <v>42.0</v>
      </c>
      <c r="J594" s="49">
        <v>81.758034026465</v>
      </c>
      <c r="K594" s="49"/>
      <c r="L594" s="50">
        <v>1289.0</v>
      </c>
      <c r="M594" s="50">
        <v>64.0</v>
      </c>
      <c r="N594" s="50">
        <v>14.0</v>
      </c>
      <c r="O594" s="49">
        <v>95.269770879527</v>
      </c>
      <c r="P594" s="51"/>
    </row>
    <row r="595" ht="15.0" customHeight="1">
      <c r="A595" s="52">
        <v>589.0</v>
      </c>
      <c r="B595" s="53" t="s">
        <v>24</v>
      </c>
      <c r="C595" s="60" t="s">
        <v>165</v>
      </c>
      <c r="D595" s="60" t="s">
        <v>200</v>
      </c>
      <c r="E595" s="60" t="s">
        <v>205</v>
      </c>
      <c r="F595" s="61" t="s">
        <v>205</v>
      </c>
      <c r="G595" s="54">
        <v>4874.0</v>
      </c>
      <c r="H595" s="54">
        <v>710.0</v>
      </c>
      <c r="I595" s="54">
        <v>114.0</v>
      </c>
      <c r="J595" s="55">
        <v>87.285100286533</v>
      </c>
      <c r="K595" s="55">
        <f>G595+H595+I595</f>
        <v>5698</v>
      </c>
      <c r="L595" s="56">
        <v>5642.0</v>
      </c>
      <c r="M595" s="56">
        <v>175.0</v>
      </c>
      <c r="N595" s="56">
        <v>34.0</v>
      </c>
      <c r="O595" s="55">
        <v>96.9915764139591</v>
      </c>
      <c r="P595" s="57">
        <f>L595+M595+N595</f>
        <v>5851</v>
      </c>
    </row>
    <row r="596" ht="15.0" hidden="1" customHeight="1">
      <c r="A596" s="45">
        <v>590.0</v>
      </c>
      <c r="B596" s="46" t="s">
        <v>24</v>
      </c>
      <c r="C596" s="46" t="s">
        <v>165</v>
      </c>
      <c r="D596" s="46" t="s">
        <v>200</v>
      </c>
      <c r="E596" s="46" t="s">
        <v>205</v>
      </c>
      <c r="F596" s="47" t="s">
        <v>18</v>
      </c>
      <c r="G596" s="48">
        <v>1428.0</v>
      </c>
      <c r="H596" s="48">
        <v>274.0</v>
      </c>
      <c r="I596" s="48">
        <v>28.0</v>
      </c>
      <c r="J596" s="49">
        <v>83.9012925969448</v>
      </c>
      <c r="K596" s="49"/>
      <c r="L596" s="50">
        <v>2201.0</v>
      </c>
      <c r="M596" s="50">
        <v>80.0</v>
      </c>
      <c r="N596" s="50">
        <v>10.0</v>
      </c>
      <c r="O596" s="49">
        <v>96.4927663305568</v>
      </c>
      <c r="P596" s="51"/>
    </row>
    <row r="597" ht="15.0" hidden="1" customHeight="1">
      <c r="A597" s="45">
        <v>591.0</v>
      </c>
      <c r="B597" s="46" t="s">
        <v>24</v>
      </c>
      <c r="C597" s="46" t="s">
        <v>165</v>
      </c>
      <c r="D597" s="46" t="s">
        <v>200</v>
      </c>
      <c r="E597" s="46" t="s">
        <v>205</v>
      </c>
      <c r="F597" s="47" t="s">
        <v>19</v>
      </c>
      <c r="G597" s="48">
        <v>3446.0</v>
      </c>
      <c r="H597" s="48">
        <v>436.0</v>
      </c>
      <c r="I597" s="48">
        <v>86.0</v>
      </c>
      <c r="J597" s="49">
        <v>88.768675940237</v>
      </c>
      <c r="K597" s="49"/>
      <c r="L597" s="50">
        <v>3441.0</v>
      </c>
      <c r="M597" s="50">
        <v>95.0</v>
      </c>
      <c r="N597" s="50">
        <v>24.0</v>
      </c>
      <c r="O597" s="49">
        <v>97.3133484162896</v>
      </c>
      <c r="P597" s="51"/>
    </row>
    <row r="598" ht="15.0" customHeight="1">
      <c r="A598" s="52">
        <v>592.0</v>
      </c>
      <c r="B598" s="53" t="s">
        <v>24</v>
      </c>
      <c r="C598" s="60" t="s">
        <v>165</v>
      </c>
      <c r="D598" s="60" t="s">
        <v>200</v>
      </c>
      <c r="E598" s="60" t="s">
        <v>206</v>
      </c>
      <c r="F598" s="61" t="s">
        <v>206</v>
      </c>
      <c r="G598" s="54">
        <v>3316.0</v>
      </c>
      <c r="H598" s="54">
        <v>416.0</v>
      </c>
      <c r="I598" s="54">
        <v>77.0</v>
      </c>
      <c r="J598" s="55">
        <v>88.8531618435155</v>
      </c>
      <c r="K598" s="55">
        <f>G598+H598+I598</f>
        <v>3809</v>
      </c>
      <c r="L598" s="56">
        <v>3903.0</v>
      </c>
      <c r="M598" s="56">
        <v>165.0</v>
      </c>
      <c r="N598" s="56">
        <v>22.0</v>
      </c>
      <c r="O598" s="55">
        <v>95.9439528023599</v>
      </c>
      <c r="P598" s="57">
        <f>L598+M598+N598</f>
        <v>4090</v>
      </c>
    </row>
    <row r="599" ht="15.0" hidden="1" customHeight="1">
      <c r="A599" s="45">
        <v>593.0</v>
      </c>
      <c r="B599" s="46" t="s">
        <v>24</v>
      </c>
      <c r="C599" s="46" t="s">
        <v>165</v>
      </c>
      <c r="D599" s="46" t="s">
        <v>200</v>
      </c>
      <c r="E599" s="46" t="s">
        <v>206</v>
      </c>
      <c r="F599" s="47" t="s">
        <v>18</v>
      </c>
      <c r="G599" s="48">
        <v>1653.0</v>
      </c>
      <c r="H599" s="48">
        <v>228.0</v>
      </c>
      <c r="I599" s="48">
        <v>39.0</v>
      </c>
      <c r="J599" s="49">
        <v>87.8787878787879</v>
      </c>
      <c r="K599" s="49"/>
      <c r="L599" s="50">
        <v>2821.0</v>
      </c>
      <c r="M599" s="50">
        <v>123.0</v>
      </c>
      <c r="N599" s="50">
        <v>17.0</v>
      </c>
      <c r="O599" s="49">
        <v>95.8220108695652</v>
      </c>
      <c r="P599" s="51"/>
    </row>
    <row r="600" ht="15.0" hidden="1" customHeight="1">
      <c r="A600" s="45">
        <v>594.0</v>
      </c>
      <c r="B600" s="46" t="s">
        <v>24</v>
      </c>
      <c r="C600" s="46" t="s">
        <v>165</v>
      </c>
      <c r="D600" s="46" t="s">
        <v>200</v>
      </c>
      <c r="E600" s="46" t="s">
        <v>206</v>
      </c>
      <c r="F600" s="47" t="s">
        <v>19</v>
      </c>
      <c r="G600" s="48">
        <v>1663.0</v>
      </c>
      <c r="H600" s="48">
        <v>188.0</v>
      </c>
      <c r="I600" s="48">
        <v>38.0</v>
      </c>
      <c r="J600" s="49">
        <v>89.8433279308482</v>
      </c>
      <c r="K600" s="49"/>
      <c r="L600" s="50">
        <v>1082.0</v>
      </c>
      <c r="M600" s="50">
        <v>42.0</v>
      </c>
      <c r="N600" s="50">
        <v>5.0</v>
      </c>
      <c r="O600" s="49">
        <v>96.2633451957295</v>
      </c>
      <c r="P600" s="51"/>
    </row>
    <row r="601" ht="15.0" hidden="1" customHeight="1">
      <c r="A601" s="39">
        <v>595.0</v>
      </c>
      <c r="B601" s="40" t="s">
        <v>22</v>
      </c>
      <c r="C601" s="59" t="s">
        <v>165</v>
      </c>
      <c r="D601" s="59" t="s">
        <v>207</v>
      </c>
      <c r="E601" s="59"/>
      <c r="F601" s="40" t="s">
        <v>207</v>
      </c>
      <c r="G601" s="41">
        <v>3911.0</v>
      </c>
      <c r="H601" s="41">
        <v>828.0</v>
      </c>
      <c r="I601" s="41">
        <v>114.0</v>
      </c>
      <c r="J601" s="42">
        <v>82.5279594851234</v>
      </c>
      <c r="K601" s="42"/>
      <c r="L601" s="43">
        <v>3162.0</v>
      </c>
      <c r="M601" s="43">
        <v>294.0</v>
      </c>
      <c r="N601" s="43">
        <v>47.0</v>
      </c>
      <c r="O601" s="42">
        <v>91.4930555555556</v>
      </c>
      <c r="P601" s="44"/>
    </row>
    <row r="602" ht="15.0" hidden="1" customHeight="1">
      <c r="A602" s="45">
        <v>596.0</v>
      </c>
      <c r="B602" s="46" t="s">
        <v>22</v>
      </c>
      <c r="C602" s="46" t="s">
        <v>165</v>
      </c>
      <c r="D602" s="46" t="s">
        <v>207</v>
      </c>
      <c r="E602" s="46"/>
      <c r="F602" s="47" t="s">
        <v>18</v>
      </c>
      <c r="G602" s="48">
        <v>326.0</v>
      </c>
      <c r="H602" s="48">
        <v>52.0</v>
      </c>
      <c r="I602" s="48">
        <v>5.0</v>
      </c>
      <c r="J602" s="49">
        <v>86.2433862433862</v>
      </c>
      <c r="K602" s="49"/>
      <c r="L602" s="50">
        <v>550.0</v>
      </c>
      <c r="M602" s="50">
        <v>13.0</v>
      </c>
      <c r="N602" s="50">
        <v>2.0</v>
      </c>
      <c r="O602" s="49">
        <v>97.6909413854352</v>
      </c>
      <c r="P602" s="51"/>
    </row>
    <row r="603" ht="15.0" hidden="1" customHeight="1">
      <c r="A603" s="45">
        <v>597.0</v>
      </c>
      <c r="B603" s="46" t="s">
        <v>22</v>
      </c>
      <c r="C603" s="46" t="s">
        <v>165</v>
      </c>
      <c r="D603" s="46" t="s">
        <v>207</v>
      </c>
      <c r="E603" s="46"/>
      <c r="F603" s="47" t="s">
        <v>19</v>
      </c>
      <c r="G603" s="48">
        <v>3585.0</v>
      </c>
      <c r="H603" s="48">
        <v>776.0</v>
      </c>
      <c r="I603" s="48">
        <v>109.0</v>
      </c>
      <c r="J603" s="49">
        <v>82.2059160742949</v>
      </c>
      <c r="K603" s="49"/>
      <c r="L603" s="50">
        <v>2612.0</v>
      </c>
      <c r="M603" s="50">
        <v>281.0</v>
      </c>
      <c r="N603" s="50">
        <v>45.0</v>
      </c>
      <c r="O603" s="49">
        <v>90.2868994123747</v>
      </c>
      <c r="P603" s="51"/>
    </row>
    <row r="604" ht="15.0" customHeight="1">
      <c r="A604" s="52">
        <v>598.0</v>
      </c>
      <c r="B604" s="53" t="s">
        <v>24</v>
      </c>
      <c r="C604" s="60" t="s">
        <v>165</v>
      </c>
      <c r="D604" s="60" t="s">
        <v>207</v>
      </c>
      <c r="E604" s="60" t="s">
        <v>207</v>
      </c>
      <c r="F604" s="61" t="s">
        <v>207</v>
      </c>
      <c r="G604" s="54">
        <v>2107.0</v>
      </c>
      <c r="H604" s="54">
        <v>425.0</v>
      </c>
      <c r="I604" s="54">
        <v>45.0</v>
      </c>
      <c r="J604" s="55">
        <v>83.2148499210111</v>
      </c>
      <c r="K604" s="55">
        <f>G604+H604+I604</f>
        <v>2577</v>
      </c>
      <c r="L604" s="56">
        <v>1627.0</v>
      </c>
      <c r="M604" s="56">
        <v>43.0</v>
      </c>
      <c r="N604" s="56">
        <v>22.0</v>
      </c>
      <c r="O604" s="55">
        <v>97.4251497005988</v>
      </c>
      <c r="P604" s="57">
        <f>L604+M604+N604</f>
        <v>1692</v>
      </c>
    </row>
    <row r="605" ht="15.0" hidden="1" customHeight="1">
      <c r="A605" s="45">
        <v>599.0</v>
      </c>
      <c r="B605" s="46" t="s">
        <v>24</v>
      </c>
      <c r="C605" s="46" t="s">
        <v>165</v>
      </c>
      <c r="D605" s="46" t="s">
        <v>207</v>
      </c>
      <c r="E605" s="46" t="s">
        <v>207</v>
      </c>
      <c r="F605" s="47" t="s">
        <v>18</v>
      </c>
      <c r="G605" s="48">
        <v>326.0</v>
      </c>
      <c r="H605" s="48">
        <v>52.0</v>
      </c>
      <c r="I605" s="48">
        <v>5.0</v>
      </c>
      <c r="J605" s="49">
        <v>86.2433862433862</v>
      </c>
      <c r="K605" s="49"/>
      <c r="L605" s="50">
        <v>550.0</v>
      </c>
      <c r="M605" s="50">
        <v>13.0</v>
      </c>
      <c r="N605" s="50">
        <v>2.0</v>
      </c>
      <c r="O605" s="49">
        <v>97.6909413854352</v>
      </c>
      <c r="P605" s="51"/>
    </row>
    <row r="606" ht="15.0" hidden="1" customHeight="1">
      <c r="A606" s="45">
        <v>600.0</v>
      </c>
      <c r="B606" s="46" t="s">
        <v>24</v>
      </c>
      <c r="C606" s="46" t="s">
        <v>165</v>
      </c>
      <c r="D606" s="46" t="s">
        <v>207</v>
      </c>
      <c r="E606" s="46" t="s">
        <v>207</v>
      </c>
      <c r="F606" s="47" t="s">
        <v>19</v>
      </c>
      <c r="G606" s="48">
        <v>1781.0</v>
      </c>
      <c r="H606" s="48">
        <v>373.0</v>
      </c>
      <c r="I606" s="48">
        <v>40.0</v>
      </c>
      <c r="J606" s="49">
        <v>82.6833797585887</v>
      </c>
      <c r="K606" s="49"/>
      <c r="L606" s="50">
        <v>1077.0</v>
      </c>
      <c r="M606" s="50">
        <v>30.0</v>
      </c>
      <c r="N606" s="50">
        <v>20.0</v>
      </c>
      <c r="O606" s="49">
        <v>97.289972899729</v>
      </c>
      <c r="P606" s="51"/>
    </row>
    <row r="607" ht="15.0" customHeight="1">
      <c r="A607" s="52">
        <v>601.0</v>
      </c>
      <c r="B607" s="53" t="s">
        <v>24</v>
      </c>
      <c r="C607" s="60" t="s">
        <v>165</v>
      </c>
      <c r="D607" s="60" t="s">
        <v>207</v>
      </c>
      <c r="E607" s="60" t="s">
        <v>208</v>
      </c>
      <c r="F607" s="61" t="s">
        <v>208</v>
      </c>
      <c r="G607" s="54">
        <v>551.0</v>
      </c>
      <c r="H607" s="54">
        <v>199.0</v>
      </c>
      <c r="I607" s="54">
        <v>27.0</v>
      </c>
      <c r="J607" s="55">
        <v>73.4666666666667</v>
      </c>
      <c r="K607" s="55">
        <f>G607+H607+I607</f>
        <v>777</v>
      </c>
      <c r="L607" s="56">
        <v>500.0</v>
      </c>
      <c r="M607" s="56">
        <v>202.0</v>
      </c>
      <c r="N607" s="56">
        <v>15.0</v>
      </c>
      <c r="O607" s="55">
        <v>71.2250712250712</v>
      </c>
      <c r="P607" s="57">
        <f>L607+M607+N607</f>
        <v>717</v>
      </c>
    </row>
    <row r="608" ht="15.0" hidden="1" customHeight="1">
      <c r="A608" s="45">
        <v>602.0</v>
      </c>
      <c r="B608" s="46" t="s">
        <v>24</v>
      </c>
      <c r="C608" s="46" t="s">
        <v>165</v>
      </c>
      <c r="D608" s="46" t="s">
        <v>207</v>
      </c>
      <c r="E608" s="46" t="s">
        <v>208</v>
      </c>
      <c r="F608" s="47" t="s">
        <v>18</v>
      </c>
      <c r="G608" s="48"/>
      <c r="H608" s="48"/>
      <c r="I608" s="48"/>
      <c r="J608" s="49"/>
      <c r="K608" s="49"/>
      <c r="L608" s="50"/>
      <c r="M608" s="50"/>
      <c r="N608" s="50"/>
      <c r="O608" s="49"/>
      <c r="P608" s="51"/>
    </row>
    <row r="609" ht="15.0" hidden="1" customHeight="1">
      <c r="A609" s="45">
        <v>603.0</v>
      </c>
      <c r="B609" s="46" t="s">
        <v>24</v>
      </c>
      <c r="C609" s="46" t="s">
        <v>165</v>
      </c>
      <c r="D609" s="46" t="s">
        <v>207</v>
      </c>
      <c r="E609" s="46" t="s">
        <v>208</v>
      </c>
      <c r="F609" s="47" t="s">
        <v>19</v>
      </c>
      <c r="G609" s="48">
        <v>551.0</v>
      </c>
      <c r="H609" s="48">
        <v>199.0</v>
      </c>
      <c r="I609" s="48">
        <v>27.0</v>
      </c>
      <c r="J609" s="49">
        <v>73.4666666666667</v>
      </c>
      <c r="K609" s="49"/>
      <c r="L609" s="50">
        <v>500.0</v>
      </c>
      <c r="M609" s="50">
        <v>202.0</v>
      </c>
      <c r="N609" s="50">
        <v>15.0</v>
      </c>
      <c r="O609" s="49">
        <v>71.2250712250712</v>
      </c>
      <c r="P609" s="51"/>
    </row>
    <row r="610" ht="15.0" customHeight="1">
      <c r="A610" s="52">
        <v>604.0</v>
      </c>
      <c r="B610" s="53" t="s">
        <v>24</v>
      </c>
      <c r="C610" s="60" t="s">
        <v>165</v>
      </c>
      <c r="D610" s="60" t="s">
        <v>207</v>
      </c>
      <c r="E610" s="60" t="s">
        <v>209</v>
      </c>
      <c r="F610" s="61" t="s">
        <v>209</v>
      </c>
      <c r="G610" s="54">
        <v>338.0</v>
      </c>
      <c r="H610" s="54">
        <v>79.0</v>
      </c>
      <c r="I610" s="54">
        <v>7.0</v>
      </c>
      <c r="J610" s="55">
        <v>81.0551558752998</v>
      </c>
      <c r="K610" s="55">
        <f>G610+H610+I610</f>
        <v>424</v>
      </c>
      <c r="L610" s="56">
        <v>255.0</v>
      </c>
      <c r="M610" s="56">
        <v>12.0</v>
      </c>
      <c r="N610" s="56">
        <v>2.0</v>
      </c>
      <c r="O610" s="55">
        <v>95.5056179775281</v>
      </c>
      <c r="P610" s="57">
        <f>L610+M610+N610</f>
        <v>269</v>
      </c>
    </row>
    <row r="611" ht="15.0" hidden="1" customHeight="1">
      <c r="A611" s="45">
        <v>605.0</v>
      </c>
      <c r="B611" s="46" t="s">
        <v>24</v>
      </c>
      <c r="C611" s="46" t="s">
        <v>165</v>
      </c>
      <c r="D611" s="46" t="s">
        <v>207</v>
      </c>
      <c r="E611" s="46" t="s">
        <v>209</v>
      </c>
      <c r="F611" s="47" t="s">
        <v>18</v>
      </c>
      <c r="G611" s="48"/>
      <c r="H611" s="48"/>
      <c r="I611" s="48"/>
      <c r="J611" s="49"/>
      <c r="K611" s="49"/>
      <c r="L611" s="50"/>
      <c r="M611" s="50"/>
      <c r="N611" s="50"/>
      <c r="O611" s="49"/>
      <c r="P611" s="51"/>
    </row>
    <row r="612" ht="15.0" hidden="1" customHeight="1">
      <c r="A612" s="45">
        <v>606.0</v>
      </c>
      <c r="B612" s="46" t="s">
        <v>24</v>
      </c>
      <c r="C612" s="46" t="s">
        <v>165</v>
      </c>
      <c r="D612" s="46" t="s">
        <v>207</v>
      </c>
      <c r="E612" s="46" t="s">
        <v>209</v>
      </c>
      <c r="F612" s="47" t="s">
        <v>19</v>
      </c>
      <c r="G612" s="48">
        <v>338.0</v>
      </c>
      <c r="H612" s="48">
        <v>79.0</v>
      </c>
      <c r="I612" s="48">
        <v>7.0</v>
      </c>
      <c r="J612" s="49">
        <v>81.0551558752998</v>
      </c>
      <c r="K612" s="49"/>
      <c r="L612" s="50">
        <v>255.0</v>
      </c>
      <c r="M612" s="50">
        <v>12.0</v>
      </c>
      <c r="N612" s="50">
        <v>2.0</v>
      </c>
      <c r="O612" s="49">
        <v>95.5056179775281</v>
      </c>
      <c r="P612" s="51"/>
    </row>
    <row r="613" ht="15.0" customHeight="1">
      <c r="A613" s="52">
        <v>607.0</v>
      </c>
      <c r="B613" s="53" t="s">
        <v>24</v>
      </c>
      <c r="C613" s="60" t="s">
        <v>165</v>
      </c>
      <c r="D613" s="60" t="s">
        <v>207</v>
      </c>
      <c r="E613" s="60" t="s">
        <v>210</v>
      </c>
      <c r="F613" s="61" t="s">
        <v>210</v>
      </c>
      <c r="G613" s="54">
        <v>915.0</v>
      </c>
      <c r="H613" s="54">
        <v>125.0</v>
      </c>
      <c r="I613" s="54">
        <v>35.0</v>
      </c>
      <c r="J613" s="55">
        <v>87.9807692307692</v>
      </c>
      <c r="K613" s="55">
        <f>G613+H613+I613</f>
        <v>1075</v>
      </c>
      <c r="L613" s="56">
        <v>780.0</v>
      </c>
      <c r="M613" s="56">
        <v>37.0</v>
      </c>
      <c r="N613" s="56">
        <v>8.0</v>
      </c>
      <c r="O613" s="55">
        <v>95.4712362301102</v>
      </c>
      <c r="P613" s="57">
        <f>L613+M613+N613</f>
        <v>825</v>
      </c>
    </row>
    <row r="614" ht="15.0" hidden="1" customHeight="1">
      <c r="A614" s="45">
        <v>608.0</v>
      </c>
      <c r="B614" s="46" t="s">
        <v>24</v>
      </c>
      <c r="C614" s="46" t="s">
        <v>165</v>
      </c>
      <c r="D614" s="46" t="s">
        <v>207</v>
      </c>
      <c r="E614" s="46" t="s">
        <v>210</v>
      </c>
      <c r="F614" s="47" t="s">
        <v>18</v>
      </c>
      <c r="G614" s="48"/>
      <c r="H614" s="48"/>
      <c r="I614" s="48"/>
      <c r="J614" s="49"/>
      <c r="K614" s="49"/>
      <c r="L614" s="50"/>
      <c r="M614" s="50"/>
      <c r="N614" s="50"/>
      <c r="O614" s="49"/>
      <c r="P614" s="51"/>
    </row>
    <row r="615" ht="15.0" hidden="1" customHeight="1">
      <c r="A615" s="45">
        <v>609.0</v>
      </c>
      <c r="B615" s="46" t="s">
        <v>24</v>
      </c>
      <c r="C615" s="46" t="s">
        <v>165</v>
      </c>
      <c r="D615" s="46" t="s">
        <v>207</v>
      </c>
      <c r="E615" s="46" t="s">
        <v>210</v>
      </c>
      <c r="F615" s="47" t="s">
        <v>19</v>
      </c>
      <c r="G615" s="48">
        <v>915.0</v>
      </c>
      <c r="H615" s="48">
        <v>125.0</v>
      </c>
      <c r="I615" s="48">
        <v>35.0</v>
      </c>
      <c r="J615" s="49">
        <v>87.9807692307692</v>
      </c>
      <c r="K615" s="49"/>
      <c r="L615" s="50">
        <v>780.0</v>
      </c>
      <c r="M615" s="50">
        <v>37.0</v>
      </c>
      <c r="N615" s="50">
        <v>8.0</v>
      </c>
      <c r="O615" s="49">
        <v>95.4712362301102</v>
      </c>
      <c r="P615" s="51"/>
    </row>
    <row r="616" ht="15.0" hidden="1" customHeight="1">
      <c r="A616" s="39">
        <v>610.0</v>
      </c>
      <c r="B616" s="40" t="s">
        <v>22</v>
      </c>
      <c r="C616" s="59" t="s">
        <v>165</v>
      </c>
      <c r="D616" s="59" t="s">
        <v>211</v>
      </c>
      <c r="E616" s="59"/>
      <c r="F616" s="40" t="s">
        <v>211</v>
      </c>
      <c r="G616" s="41">
        <v>4799.0</v>
      </c>
      <c r="H616" s="41">
        <v>412.0</v>
      </c>
      <c r="I616" s="41">
        <v>79.0</v>
      </c>
      <c r="J616" s="42">
        <v>92.0936480521973</v>
      </c>
      <c r="K616" s="42"/>
      <c r="L616" s="43">
        <v>4274.0</v>
      </c>
      <c r="M616" s="43">
        <v>119.0</v>
      </c>
      <c r="N616" s="43">
        <v>27.0</v>
      </c>
      <c r="O616" s="42">
        <v>97.2911450034145</v>
      </c>
      <c r="P616" s="44"/>
    </row>
    <row r="617" ht="15.0" hidden="1" customHeight="1">
      <c r="A617" s="45">
        <v>611.0</v>
      </c>
      <c r="B617" s="46" t="s">
        <v>22</v>
      </c>
      <c r="C617" s="46" t="s">
        <v>165</v>
      </c>
      <c r="D617" s="46" t="s">
        <v>211</v>
      </c>
      <c r="E617" s="46"/>
      <c r="F617" s="47" t="s">
        <v>18</v>
      </c>
      <c r="G617" s="48">
        <v>2448.0</v>
      </c>
      <c r="H617" s="48">
        <v>177.0</v>
      </c>
      <c r="I617" s="48">
        <v>43.0</v>
      </c>
      <c r="J617" s="49">
        <v>93.2571428571429</v>
      </c>
      <c r="K617" s="49"/>
      <c r="L617" s="50">
        <v>2687.0</v>
      </c>
      <c r="M617" s="50">
        <v>66.0</v>
      </c>
      <c r="N617" s="50">
        <v>15.0</v>
      </c>
      <c r="O617" s="49">
        <v>97.6026153287323</v>
      </c>
      <c r="P617" s="51"/>
    </row>
    <row r="618" ht="15.0" hidden="1" customHeight="1">
      <c r="A618" s="45">
        <v>612.0</v>
      </c>
      <c r="B618" s="46" t="s">
        <v>22</v>
      </c>
      <c r="C618" s="46" t="s">
        <v>165</v>
      </c>
      <c r="D618" s="46" t="s">
        <v>211</v>
      </c>
      <c r="E618" s="46"/>
      <c r="F618" s="47" t="s">
        <v>19</v>
      </c>
      <c r="G618" s="48">
        <v>2351.0</v>
      </c>
      <c r="H618" s="48">
        <v>235.0</v>
      </c>
      <c r="I618" s="48">
        <v>36.0</v>
      </c>
      <c r="J618" s="49">
        <v>90.9126063418407</v>
      </c>
      <c r="K618" s="49"/>
      <c r="L618" s="50">
        <v>1587.0</v>
      </c>
      <c r="M618" s="50">
        <v>53.0</v>
      </c>
      <c r="N618" s="50">
        <v>12.0</v>
      </c>
      <c r="O618" s="49">
        <v>96.7682926829268</v>
      </c>
      <c r="P618" s="51"/>
    </row>
    <row r="619" ht="15.0" customHeight="1">
      <c r="A619" s="52">
        <v>613.0</v>
      </c>
      <c r="B619" s="53" t="s">
        <v>24</v>
      </c>
      <c r="C619" s="60" t="s">
        <v>165</v>
      </c>
      <c r="D619" s="60" t="s">
        <v>211</v>
      </c>
      <c r="E619" s="60" t="s">
        <v>211</v>
      </c>
      <c r="F619" s="61" t="s">
        <v>211</v>
      </c>
      <c r="G619" s="54">
        <v>2449.0</v>
      </c>
      <c r="H619" s="54">
        <v>226.0</v>
      </c>
      <c r="I619" s="54">
        <v>43.0</v>
      </c>
      <c r="J619" s="55">
        <v>91.5514018691589</v>
      </c>
      <c r="K619" s="55">
        <f>G619+H619+I619</f>
        <v>2718</v>
      </c>
      <c r="L619" s="56">
        <v>2442.0</v>
      </c>
      <c r="M619" s="56">
        <v>66.0</v>
      </c>
      <c r="N619" s="56">
        <v>12.0</v>
      </c>
      <c r="O619" s="55">
        <v>97.3684210526316</v>
      </c>
      <c r="P619" s="57">
        <f>L619+M619+N619</f>
        <v>2520</v>
      </c>
    </row>
    <row r="620" ht="15.0" hidden="1" customHeight="1">
      <c r="A620" s="45">
        <v>614.0</v>
      </c>
      <c r="B620" s="46" t="s">
        <v>24</v>
      </c>
      <c r="C620" s="46" t="s">
        <v>165</v>
      </c>
      <c r="D620" s="46" t="s">
        <v>211</v>
      </c>
      <c r="E620" s="46" t="s">
        <v>211</v>
      </c>
      <c r="F620" s="47" t="s">
        <v>18</v>
      </c>
      <c r="G620" s="48">
        <v>1696.0</v>
      </c>
      <c r="H620" s="48">
        <v>136.0</v>
      </c>
      <c r="I620" s="48">
        <v>26.0</v>
      </c>
      <c r="J620" s="49">
        <v>92.5764192139738</v>
      </c>
      <c r="K620" s="49"/>
      <c r="L620" s="50">
        <v>1822.0</v>
      </c>
      <c r="M620" s="50">
        <v>50.0</v>
      </c>
      <c r="N620" s="50">
        <v>8.0</v>
      </c>
      <c r="O620" s="49">
        <v>97.3290598290598</v>
      </c>
      <c r="P620" s="51"/>
    </row>
    <row r="621" ht="15.0" hidden="1" customHeight="1">
      <c r="A621" s="45">
        <v>615.0</v>
      </c>
      <c r="B621" s="46" t="s">
        <v>24</v>
      </c>
      <c r="C621" s="46" t="s">
        <v>165</v>
      </c>
      <c r="D621" s="46" t="s">
        <v>211</v>
      </c>
      <c r="E621" s="46" t="s">
        <v>211</v>
      </c>
      <c r="F621" s="47" t="s">
        <v>19</v>
      </c>
      <c r="G621" s="48">
        <v>753.0</v>
      </c>
      <c r="H621" s="48">
        <v>90.0</v>
      </c>
      <c r="I621" s="48">
        <v>17.0</v>
      </c>
      <c r="J621" s="49">
        <v>89.3238434163701</v>
      </c>
      <c r="K621" s="49"/>
      <c r="L621" s="50">
        <v>620.0</v>
      </c>
      <c r="M621" s="50">
        <v>16.0</v>
      </c>
      <c r="N621" s="50">
        <v>4.0</v>
      </c>
      <c r="O621" s="49">
        <v>97.4842767295598</v>
      </c>
      <c r="P621" s="51"/>
    </row>
    <row r="622" ht="15.0" customHeight="1">
      <c r="A622" s="52">
        <v>616.0</v>
      </c>
      <c r="B622" s="53" t="s">
        <v>24</v>
      </c>
      <c r="C622" s="60" t="s">
        <v>165</v>
      </c>
      <c r="D622" s="60" t="s">
        <v>211</v>
      </c>
      <c r="E622" s="60" t="s">
        <v>212</v>
      </c>
      <c r="F622" s="61" t="s">
        <v>212</v>
      </c>
      <c r="G622" s="54">
        <v>822.0</v>
      </c>
      <c r="H622" s="54">
        <v>73.0</v>
      </c>
      <c r="I622" s="54">
        <v>8.0</v>
      </c>
      <c r="J622" s="55">
        <v>91.8435754189944</v>
      </c>
      <c r="K622" s="55">
        <f>G622+H622+I622</f>
        <v>903</v>
      </c>
      <c r="L622" s="56">
        <v>618.0</v>
      </c>
      <c r="M622" s="56">
        <v>26.0</v>
      </c>
      <c r="N622" s="56">
        <v>4.0</v>
      </c>
      <c r="O622" s="55">
        <v>95.9627329192547</v>
      </c>
      <c r="P622" s="57">
        <f>L622+M622+N622</f>
        <v>648</v>
      </c>
    </row>
    <row r="623" ht="15.0" hidden="1" customHeight="1">
      <c r="A623" s="45">
        <v>617.0</v>
      </c>
      <c r="B623" s="46" t="s">
        <v>24</v>
      </c>
      <c r="C623" s="46" t="s">
        <v>165</v>
      </c>
      <c r="D623" s="46" t="s">
        <v>211</v>
      </c>
      <c r="E623" s="46" t="s">
        <v>212</v>
      </c>
      <c r="F623" s="47" t="s">
        <v>18</v>
      </c>
      <c r="G623" s="48"/>
      <c r="H623" s="48"/>
      <c r="I623" s="48"/>
      <c r="J623" s="49"/>
      <c r="K623" s="49"/>
      <c r="L623" s="50">
        <v>255.0</v>
      </c>
      <c r="M623" s="50">
        <v>5.0</v>
      </c>
      <c r="N623" s="50">
        <v>3.0</v>
      </c>
      <c r="O623" s="49">
        <v>98.0769230769231</v>
      </c>
      <c r="P623" s="51"/>
    </row>
    <row r="624" ht="15.0" hidden="1" customHeight="1">
      <c r="A624" s="45">
        <v>618.0</v>
      </c>
      <c r="B624" s="46" t="s">
        <v>24</v>
      </c>
      <c r="C624" s="46" t="s">
        <v>165</v>
      </c>
      <c r="D624" s="46" t="s">
        <v>211</v>
      </c>
      <c r="E624" s="46" t="s">
        <v>212</v>
      </c>
      <c r="F624" s="47" t="s">
        <v>19</v>
      </c>
      <c r="G624" s="48">
        <v>822.0</v>
      </c>
      <c r="H624" s="48">
        <v>73.0</v>
      </c>
      <c r="I624" s="48">
        <v>8.0</v>
      </c>
      <c r="J624" s="49">
        <v>91.8435754189944</v>
      </c>
      <c r="K624" s="49"/>
      <c r="L624" s="50">
        <v>363.0</v>
      </c>
      <c r="M624" s="50">
        <v>21.0</v>
      </c>
      <c r="N624" s="50">
        <v>1.0</v>
      </c>
      <c r="O624" s="49">
        <v>94.53125</v>
      </c>
      <c r="P624" s="51"/>
    </row>
    <row r="625" ht="15.0" customHeight="1">
      <c r="A625" s="52">
        <v>619.0</v>
      </c>
      <c r="B625" s="53" t="s">
        <v>24</v>
      </c>
      <c r="C625" s="60" t="s">
        <v>165</v>
      </c>
      <c r="D625" s="60" t="s">
        <v>211</v>
      </c>
      <c r="E625" s="60" t="s">
        <v>213</v>
      </c>
      <c r="F625" s="61" t="s">
        <v>213</v>
      </c>
      <c r="G625" s="54">
        <v>1171.0</v>
      </c>
      <c r="H625" s="54">
        <v>78.0</v>
      </c>
      <c r="I625" s="54">
        <v>22.0</v>
      </c>
      <c r="J625" s="55">
        <v>93.7550040032026</v>
      </c>
      <c r="K625" s="55">
        <f>G625+H625+I625</f>
        <v>1271</v>
      </c>
      <c r="L625" s="56">
        <v>900.0</v>
      </c>
      <c r="M625" s="56">
        <v>20.0</v>
      </c>
      <c r="N625" s="56">
        <v>8.0</v>
      </c>
      <c r="O625" s="55">
        <v>97.8260869565217</v>
      </c>
      <c r="P625" s="57">
        <f>L625+M625+N625</f>
        <v>928</v>
      </c>
    </row>
    <row r="626" ht="15.0" hidden="1" customHeight="1">
      <c r="A626" s="45">
        <v>620.0</v>
      </c>
      <c r="B626" s="46" t="s">
        <v>24</v>
      </c>
      <c r="C626" s="46" t="s">
        <v>165</v>
      </c>
      <c r="D626" s="46" t="s">
        <v>211</v>
      </c>
      <c r="E626" s="46" t="s">
        <v>213</v>
      </c>
      <c r="F626" s="47" t="s">
        <v>18</v>
      </c>
      <c r="G626" s="48">
        <v>752.0</v>
      </c>
      <c r="H626" s="48">
        <v>41.0</v>
      </c>
      <c r="I626" s="48">
        <v>17.0</v>
      </c>
      <c r="J626" s="49">
        <v>94.8297604035309</v>
      </c>
      <c r="K626" s="49"/>
      <c r="L626" s="50">
        <v>610.0</v>
      </c>
      <c r="M626" s="50">
        <v>11.0</v>
      </c>
      <c r="N626" s="50">
        <v>4.0</v>
      </c>
      <c r="O626" s="49">
        <v>98.2286634460548</v>
      </c>
      <c r="P626" s="51"/>
    </row>
    <row r="627" ht="15.0" hidden="1" customHeight="1">
      <c r="A627" s="45">
        <v>621.0</v>
      </c>
      <c r="B627" s="46" t="s">
        <v>24</v>
      </c>
      <c r="C627" s="46" t="s">
        <v>165</v>
      </c>
      <c r="D627" s="46" t="s">
        <v>211</v>
      </c>
      <c r="E627" s="46" t="s">
        <v>213</v>
      </c>
      <c r="F627" s="47" t="s">
        <v>19</v>
      </c>
      <c r="G627" s="48">
        <v>419.0</v>
      </c>
      <c r="H627" s="48">
        <v>37.0</v>
      </c>
      <c r="I627" s="48">
        <v>5.0</v>
      </c>
      <c r="J627" s="49">
        <v>91.8859649122807</v>
      </c>
      <c r="K627" s="49"/>
      <c r="L627" s="50">
        <v>290.0</v>
      </c>
      <c r="M627" s="50">
        <v>9.0</v>
      </c>
      <c r="N627" s="50">
        <v>4.0</v>
      </c>
      <c r="O627" s="49">
        <v>96.989966555184</v>
      </c>
      <c r="P627" s="51"/>
    </row>
    <row r="628" ht="15.0" customHeight="1">
      <c r="A628" s="52">
        <v>622.0</v>
      </c>
      <c r="B628" s="53" t="s">
        <v>24</v>
      </c>
      <c r="C628" s="60" t="s">
        <v>165</v>
      </c>
      <c r="D628" s="60" t="s">
        <v>211</v>
      </c>
      <c r="E628" s="60" t="s">
        <v>214</v>
      </c>
      <c r="F628" s="61" t="s">
        <v>214</v>
      </c>
      <c r="G628" s="54">
        <v>98.0</v>
      </c>
      <c r="H628" s="54">
        <v>8.0</v>
      </c>
      <c r="I628" s="54">
        <v>3.0</v>
      </c>
      <c r="J628" s="55">
        <v>92.4528301886792</v>
      </c>
      <c r="K628" s="55">
        <f>G628+H628+I628</f>
        <v>109</v>
      </c>
      <c r="L628" s="56">
        <v>83.0</v>
      </c>
      <c r="M628" s="56">
        <v>0.0</v>
      </c>
      <c r="N628" s="56">
        <v>1.0</v>
      </c>
      <c r="O628" s="55">
        <v>100.0</v>
      </c>
      <c r="P628" s="57">
        <f>L628+M628+N628</f>
        <v>84</v>
      </c>
    </row>
    <row r="629" ht="15.0" hidden="1" customHeight="1">
      <c r="A629" s="45">
        <v>623.0</v>
      </c>
      <c r="B629" s="46" t="s">
        <v>24</v>
      </c>
      <c r="C629" s="46" t="s">
        <v>165</v>
      </c>
      <c r="D629" s="46" t="s">
        <v>211</v>
      </c>
      <c r="E629" s="46" t="s">
        <v>214</v>
      </c>
      <c r="F629" s="47" t="s">
        <v>18</v>
      </c>
      <c r="G629" s="48"/>
      <c r="H629" s="48"/>
      <c r="I629" s="48"/>
      <c r="J629" s="49"/>
      <c r="K629" s="49"/>
      <c r="L629" s="50"/>
      <c r="M629" s="50"/>
      <c r="N629" s="50"/>
      <c r="O629" s="49"/>
      <c r="P629" s="51"/>
    </row>
    <row r="630" ht="15.0" hidden="1" customHeight="1">
      <c r="A630" s="45">
        <v>624.0</v>
      </c>
      <c r="B630" s="46" t="s">
        <v>24</v>
      </c>
      <c r="C630" s="46" t="s">
        <v>165</v>
      </c>
      <c r="D630" s="46" t="s">
        <v>211</v>
      </c>
      <c r="E630" s="46" t="s">
        <v>214</v>
      </c>
      <c r="F630" s="47" t="s">
        <v>19</v>
      </c>
      <c r="G630" s="48">
        <v>98.0</v>
      </c>
      <c r="H630" s="48">
        <v>8.0</v>
      </c>
      <c r="I630" s="48">
        <v>3.0</v>
      </c>
      <c r="J630" s="49">
        <v>92.4528301886792</v>
      </c>
      <c r="K630" s="49"/>
      <c r="L630" s="50">
        <v>83.0</v>
      </c>
      <c r="M630" s="50">
        <v>0.0</v>
      </c>
      <c r="N630" s="50">
        <v>1.0</v>
      </c>
      <c r="O630" s="49">
        <v>100.0</v>
      </c>
      <c r="P630" s="51"/>
    </row>
    <row r="631" ht="15.0" customHeight="1">
      <c r="A631" s="52">
        <v>625.0</v>
      </c>
      <c r="B631" s="53" t="s">
        <v>24</v>
      </c>
      <c r="C631" s="60" t="s">
        <v>165</v>
      </c>
      <c r="D631" s="60" t="s">
        <v>211</v>
      </c>
      <c r="E631" s="60" t="s">
        <v>215</v>
      </c>
      <c r="F631" s="61" t="s">
        <v>215</v>
      </c>
      <c r="G631" s="54">
        <v>259.0</v>
      </c>
      <c r="H631" s="54">
        <v>27.0</v>
      </c>
      <c r="I631" s="54">
        <v>3.0</v>
      </c>
      <c r="J631" s="55">
        <v>90.5594405594406</v>
      </c>
      <c r="K631" s="55">
        <f>G631+H631+I631</f>
        <v>289</v>
      </c>
      <c r="L631" s="56">
        <v>231.0</v>
      </c>
      <c r="M631" s="56">
        <v>7.0</v>
      </c>
      <c r="N631" s="56">
        <v>2.0</v>
      </c>
      <c r="O631" s="55">
        <v>97.0588235294118</v>
      </c>
      <c r="P631" s="57">
        <f>L631+M631+N631</f>
        <v>240</v>
      </c>
    </row>
    <row r="632" ht="15.0" hidden="1" customHeight="1">
      <c r="A632" s="45">
        <v>626.0</v>
      </c>
      <c r="B632" s="46" t="s">
        <v>24</v>
      </c>
      <c r="C632" s="46" t="s">
        <v>165</v>
      </c>
      <c r="D632" s="46" t="s">
        <v>211</v>
      </c>
      <c r="E632" s="46" t="s">
        <v>215</v>
      </c>
      <c r="F632" s="47" t="s">
        <v>18</v>
      </c>
      <c r="G632" s="48"/>
      <c r="H632" s="48"/>
      <c r="I632" s="48"/>
      <c r="J632" s="49"/>
      <c r="K632" s="49"/>
      <c r="L632" s="50"/>
      <c r="M632" s="50"/>
      <c r="N632" s="50"/>
      <c r="O632" s="49"/>
      <c r="P632" s="51"/>
    </row>
    <row r="633" ht="15.0" hidden="1" customHeight="1">
      <c r="A633" s="45">
        <v>627.0</v>
      </c>
      <c r="B633" s="46" t="s">
        <v>24</v>
      </c>
      <c r="C633" s="46" t="s">
        <v>165</v>
      </c>
      <c r="D633" s="46" t="s">
        <v>211</v>
      </c>
      <c r="E633" s="46" t="s">
        <v>215</v>
      </c>
      <c r="F633" s="47" t="s">
        <v>19</v>
      </c>
      <c r="G633" s="48">
        <v>259.0</v>
      </c>
      <c r="H633" s="48">
        <v>27.0</v>
      </c>
      <c r="I633" s="48">
        <v>3.0</v>
      </c>
      <c r="J633" s="49">
        <v>90.5594405594406</v>
      </c>
      <c r="K633" s="49"/>
      <c r="L633" s="50">
        <v>231.0</v>
      </c>
      <c r="M633" s="50">
        <v>7.0</v>
      </c>
      <c r="N633" s="50">
        <v>2.0</v>
      </c>
      <c r="O633" s="49">
        <v>97.0588235294118</v>
      </c>
      <c r="P633" s="51"/>
    </row>
    <row r="634" ht="15.0" hidden="1" customHeight="1">
      <c r="A634" s="39">
        <v>628.0</v>
      </c>
      <c r="B634" s="40" t="s">
        <v>22</v>
      </c>
      <c r="C634" s="59" t="s">
        <v>165</v>
      </c>
      <c r="D634" s="59" t="s">
        <v>216</v>
      </c>
      <c r="E634" s="59"/>
      <c r="F634" s="40" t="s">
        <v>216</v>
      </c>
      <c r="G634" s="41">
        <v>710.0</v>
      </c>
      <c r="H634" s="41">
        <v>73.0</v>
      </c>
      <c r="I634" s="41">
        <v>10.0</v>
      </c>
      <c r="J634" s="42">
        <v>90.676883780332</v>
      </c>
      <c r="K634" s="42"/>
      <c r="L634" s="43">
        <v>705.0</v>
      </c>
      <c r="M634" s="43">
        <v>13.0</v>
      </c>
      <c r="N634" s="43">
        <v>12.0</v>
      </c>
      <c r="O634" s="42">
        <v>98.1894150417827</v>
      </c>
      <c r="P634" s="44"/>
    </row>
    <row r="635" ht="15.0" hidden="1" customHeight="1">
      <c r="A635" s="45">
        <v>629.0</v>
      </c>
      <c r="B635" s="46" t="s">
        <v>22</v>
      </c>
      <c r="C635" s="46" t="s">
        <v>165</v>
      </c>
      <c r="D635" s="46" t="s">
        <v>216</v>
      </c>
      <c r="E635" s="46"/>
      <c r="F635" s="47" t="s">
        <v>18</v>
      </c>
      <c r="G635" s="48"/>
      <c r="H635" s="48"/>
      <c r="I635" s="48"/>
      <c r="J635" s="49"/>
      <c r="K635" s="49"/>
      <c r="L635" s="50"/>
      <c r="M635" s="50"/>
      <c r="N635" s="50"/>
      <c r="O635" s="49"/>
      <c r="P635" s="51"/>
    </row>
    <row r="636" ht="15.0" hidden="1" customHeight="1">
      <c r="A636" s="45">
        <v>630.0</v>
      </c>
      <c r="B636" s="46" t="s">
        <v>22</v>
      </c>
      <c r="C636" s="46" t="s">
        <v>165</v>
      </c>
      <c r="D636" s="46" t="s">
        <v>216</v>
      </c>
      <c r="E636" s="46"/>
      <c r="F636" s="47" t="s">
        <v>19</v>
      </c>
      <c r="G636" s="48">
        <v>710.0</v>
      </c>
      <c r="H636" s="48">
        <v>73.0</v>
      </c>
      <c r="I636" s="48">
        <v>10.0</v>
      </c>
      <c r="J636" s="49">
        <v>90.676883780332</v>
      </c>
      <c r="K636" s="49"/>
      <c r="L636" s="50">
        <v>705.0</v>
      </c>
      <c r="M636" s="50">
        <v>13.0</v>
      </c>
      <c r="N636" s="50">
        <v>12.0</v>
      </c>
      <c r="O636" s="49">
        <v>98.1894150417827</v>
      </c>
      <c r="P636" s="51"/>
    </row>
    <row r="637" ht="15.0" customHeight="1">
      <c r="A637" s="52">
        <v>631.0</v>
      </c>
      <c r="B637" s="53" t="s">
        <v>24</v>
      </c>
      <c r="C637" s="60" t="s">
        <v>165</v>
      </c>
      <c r="D637" s="60" t="s">
        <v>216</v>
      </c>
      <c r="E637" s="60" t="s">
        <v>216</v>
      </c>
      <c r="F637" s="61" t="s">
        <v>216</v>
      </c>
      <c r="G637" s="54">
        <v>710.0</v>
      </c>
      <c r="H637" s="54">
        <v>73.0</v>
      </c>
      <c r="I637" s="54">
        <v>10.0</v>
      </c>
      <c r="J637" s="55">
        <v>90.676883780332</v>
      </c>
      <c r="K637" s="55">
        <f>G637+H637+I637</f>
        <v>793</v>
      </c>
      <c r="L637" s="56">
        <v>705.0</v>
      </c>
      <c r="M637" s="56">
        <v>13.0</v>
      </c>
      <c r="N637" s="56">
        <v>12.0</v>
      </c>
      <c r="O637" s="55">
        <v>98.1894150417827</v>
      </c>
      <c r="P637" s="57">
        <f>L637+M637+N637</f>
        <v>730</v>
      </c>
    </row>
    <row r="638" ht="15.0" hidden="1" customHeight="1">
      <c r="A638" s="45">
        <v>632.0</v>
      </c>
      <c r="B638" s="46" t="s">
        <v>24</v>
      </c>
      <c r="C638" s="46" t="s">
        <v>165</v>
      </c>
      <c r="D638" s="46" t="s">
        <v>216</v>
      </c>
      <c r="E638" s="46" t="s">
        <v>216</v>
      </c>
      <c r="F638" s="47" t="s">
        <v>18</v>
      </c>
      <c r="G638" s="48"/>
      <c r="H638" s="48"/>
      <c r="I638" s="48"/>
      <c r="J638" s="49"/>
      <c r="K638" s="49"/>
      <c r="L638" s="50"/>
      <c r="M638" s="50"/>
      <c r="N638" s="50"/>
      <c r="O638" s="49"/>
      <c r="P638" s="51"/>
    </row>
    <row r="639" ht="15.0" hidden="1" customHeight="1">
      <c r="A639" s="45">
        <v>633.0</v>
      </c>
      <c r="B639" s="46" t="s">
        <v>24</v>
      </c>
      <c r="C639" s="46" t="s">
        <v>165</v>
      </c>
      <c r="D639" s="46" t="s">
        <v>216</v>
      </c>
      <c r="E639" s="46" t="s">
        <v>216</v>
      </c>
      <c r="F639" s="47" t="s">
        <v>19</v>
      </c>
      <c r="G639" s="48">
        <v>710.0</v>
      </c>
      <c r="H639" s="48">
        <v>73.0</v>
      </c>
      <c r="I639" s="48">
        <v>10.0</v>
      </c>
      <c r="J639" s="49">
        <v>90.676883780332</v>
      </c>
      <c r="K639" s="49"/>
      <c r="L639" s="50">
        <v>705.0</v>
      </c>
      <c r="M639" s="50">
        <v>13.0</v>
      </c>
      <c r="N639" s="50">
        <v>12.0</v>
      </c>
      <c r="O639" s="49">
        <v>98.1894150417827</v>
      </c>
      <c r="P639" s="51"/>
    </row>
    <row r="640" ht="15.0" hidden="1" customHeight="1">
      <c r="A640" s="39">
        <v>634.0</v>
      </c>
      <c r="B640" s="40" t="s">
        <v>22</v>
      </c>
      <c r="C640" s="59" t="s">
        <v>165</v>
      </c>
      <c r="D640" s="59" t="s">
        <v>217</v>
      </c>
      <c r="E640" s="59"/>
      <c r="F640" s="40" t="s">
        <v>217</v>
      </c>
      <c r="G640" s="41">
        <v>4429.0</v>
      </c>
      <c r="H640" s="41">
        <v>554.0</v>
      </c>
      <c r="I640" s="41">
        <v>98.0</v>
      </c>
      <c r="J640" s="42">
        <v>88.882199478226</v>
      </c>
      <c r="K640" s="42"/>
      <c r="L640" s="43">
        <v>3598.0</v>
      </c>
      <c r="M640" s="43">
        <v>100.0</v>
      </c>
      <c r="N640" s="43">
        <v>33.0</v>
      </c>
      <c r="O640" s="42">
        <v>97.2958355868037</v>
      </c>
      <c r="P640" s="44"/>
    </row>
    <row r="641" ht="15.0" hidden="1" customHeight="1">
      <c r="A641" s="45">
        <v>635.0</v>
      </c>
      <c r="B641" s="46" t="s">
        <v>22</v>
      </c>
      <c r="C641" s="46" t="s">
        <v>165</v>
      </c>
      <c r="D641" s="46" t="s">
        <v>217</v>
      </c>
      <c r="E641" s="46"/>
      <c r="F641" s="47" t="s">
        <v>18</v>
      </c>
      <c r="G641" s="48">
        <v>840.0</v>
      </c>
      <c r="H641" s="48">
        <v>127.0</v>
      </c>
      <c r="I641" s="48">
        <v>23.0</v>
      </c>
      <c r="J641" s="49">
        <v>86.8665977249224</v>
      </c>
      <c r="K641" s="49"/>
      <c r="L641" s="50">
        <v>940.0</v>
      </c>
      <c r="M641" s="50">
        <v>27.0</v>
      </c>
      <c r="N641" s="50">
        <v>7.0</v>
      </c>
      <c r="O641" s="49">
        <v>97.2078593588418</v>
      </c>
      <c r="P641" s="51"/>
    </row>
    <row r="642" ht="15.0" hidden="1" customHeight="1">
      <c r="A642" s="45">
        <v>636.0</v>
      </c>
      <c r="B642" s="46" t="s">
        <v>22</v>
      </c>
      <c r="C642" s="46" t="s">
        <v>165</v>
      </c>
      <c r="D642" s="46" t="s">
        <v>217</v>
      </c>
      <c r="E642" s="46"/>
      <c r="F642" s="47" t="s">
        <v>19</v>
      </c>
      <c r="G642" s="48">
        <v>3589.0</v>
      </c>
      <c r="H642" s="48">
        <v>427.0</v>
      </c>
      <c r="I642" s="48">
        <v>75.0</v>
      </c>
      <c r="J642" s="49">
        <v>89.3675298804781</v>
      </c>
      <c r="K642" s="49"/>
      <c r="L642" s="50">
        <v>2658.0</v>
      </c>
      <c r="M642" s="50">
        <v>73.0</v>
      </c>
      <c r="N642" s="50">
        <v>26.0</v>
      </c>
      <c r="O642" s="49">
        <v>97.3269864518491</v>
      </c>
      <c r="P642" s="51"/>
    </row>
    <row r="643" ht="15.0" customHeight="1">
      <c r="A643" s="52">
        <v>637.0</v>
      </c>
      <c r="B643" s="53" t="s">
        <v>24</v>
      </c>
      <c r="C643" s="60" t="s">
        <v>165</v>
      </c>
      <c r="D643" s="60" t="s">
        <v>217</v>
      </c>
      <c r="E643" s="60" t="s">
        <v>217</v>
      </c>
      <c r="F643" s="61" t="s">
        <v>217</v>
      </c>
      <c r="G643" s="54">
        <v>2265.0</v>
      </c>
      <c r="H643" s="54">
        <v>198.0</v>
      </c>
      <c r="I643" s="54">
        <v>58.0</v>
      </c>
      <c r="J643" s="55">
        <v>91.9610231425091</v>
      </c>
      <c r="K643" s="55">
        <f>G643+H643+I643</f>
        <v>2521</v>
      </c>
      <c r="L643" s="56">
        <v>1345.0</v>
      </c>
      <c r="M643" s="56">
        <v>31.0</v>
      </c>
      <c r="N643" s="56">
        <v>18.0</v>
      </c>
      <c r="O643" s="55">
        <v>97.7470930232558</v>
      </c>
      <c r="P643" s="57">
        <f>L643+M643+N643</f>
        <v>1394</v>
      </c>
    </row>
    <row r="644" ht="15.0" hidden="1" customHeight="1">
      <c r="A644" s="45">
        <v>638.0</v>
      </c>
      <c r="B644" s="46" t="s">
        <v>24</v>
      </c>
      <c r="C644" s="46" t="s">
        <v>165</v>
      </c>
      <c r="D644" s="46" t="s">
        <v>217</v>
      </c>
      <c r="E644" s="46" t="s">
        <v>217</v>
      </c>
      <c r="F644" s="47" t="s">
        <v>18</v>
      </c>
      <c r="G644" s="48">
        <v>261.0</v>
      </c>
      <c r="H644" s="48">
        <v>18.0</v>
      </c>
      <c r="I644" s="48">
        <v>7.0</v>
      </c>
      <c r="J644" s="49">
        <v>93.5483870967742</v>
      </c>
      <c r="K644" s="49"/>
      <c r="L644" s="50">
        <v>203.0</v>
      </c>
      <c r="M644" s="50">
        <v>6.0</v>
      </c>
      <c r="N644" s="50">
        <v>1.0</v>
      </c>
      <c r="O644" s="49">
        <v>97.1291866028708</v>
      </c>
      <c r="P644" s="51"/>
    </row>
    <row r="645" ht="15.0" hidden="1" customHeight="1">
      <c r="A645" s="45">
        <v>639.0</v>
      </c>
      <c r="B645" s="46" t="s">
        <v>24</v>
      </c>
      <c r="C645" s="46" t="s">
        <v>165</v>
      </c>
      <c r="D645" s="46" t="s">
        <v>217</v>
      </c>
      <c r="E645" s="46" t="s">
        <v>217</v>
      </c>
      <c r="F645" s="47" t="s">
        <v>19</v>
      </c>
      <c r="G645" s="48">
        <v>2004.0</v>
      </c>
      <c r="H645" s="48">
        <v>180.0</v>
      </c>
      <c r="I645" s="48">
        <v>51.0</v>
      </c>
      <c r="J645" s="49">
        <v>91.7582417582418</v>
      </c>
      <c r="K645" s="49"/>
      <c r="L645" s="50">
        <v>1142.0</v>
      </c>
      <c r="M645" s="50">
        <v>25.0</v>
      </c>
      <c r="N645" s="50">
        <v>17.0</v>
      </c>
      <c r="O645" s="49">
        <v>97.8577549271637</v>
      </c>
      <c r="P645" s="51"/>
    </row>
    <row r="646" ht="15.0" customHeight="1">
      <c r="A646" s="52">
        <v>640.0</v>
      </c>
      <c r="B646" s="53" t="s">
        <v>24</v>
      </c>
      <c r="C646" s="60" t="s">
        <v>165</v>
      </c>
      <c r="D646" s="60" t="s">
        <v>217</v>
      </c>
      <c r="E646" s="60" t="s">
        <v>218</v>
      </c>
      <c r="F646" s="61" t="s">
        <v>218</v>
      </c>
      <c r="G646" s="54">
        <v>2164.0</v>
      </c>
      <c r="H646" s="54">
        <v>356.0</v>
      </c>
      <c r="I646" s="54">
        <v>40.0</v>
      </c>
      <c r="J646" s="55">
        <v>85.8730158730159</v>
      </c>
      <c r="K646" s="55">
        <f>G646+H646+I646</f>
        <v>2560</v>
      </c>
      <c r="L646" s="56">
        <v>2253.0</v>
      </c>
      <c r="M646" s="56">
        <v>69.0</v>
      </c>
      <c r="N646" s="56">
        <v>15.0</v>
      </c>
      <c r="O646" s="55">
        <v>97.0284237726098</v>
      </c>
      <c r="P646" s="57">
        <f>L646+M646+N646</f>
        <v>2337</v>
      </c>
    </row>
    <row r="647" ht="15.0" hidden="1" customHeight="1">
      <c r="A647" s="45">
        <v>641.0</v>
      </c>
      <c r="B647" s="46" t="s">
        <v>24</v>
      </c>
      <c r="C647" s="46" t="s">
        <v>165</v>
      </c>
      <c r="D647" s="46" t="s">
        <v>217</v>
      </c>
      <c r="E647" s="46" t="s">
        <v>218</v>
      </c>
      <c r="F647" s="47" t="s">
        <v>18</v>
      </c>
      <c r="G647" s="48">
        <v>579.0</v>
      </c>
      <c r="H647" s="48">
        <v>109.0</v>
      </c>
      <c r="I647" s="48">
        <v>16.0</v>
      </c>
      <c r="J647" s="49">
        <v>84.1569767441861</v>
      </c>
      <c r="K647" s="49"/>
      <c r="L647" s="50">
        <v>737.0</v>
      </c>
      <c r="M647" s="50">
        <v>21.0</v>
      </c>
      <c r="N647" s="50">
        <v>6.0</v>
      </c>
      <c r="O647" s="49">
        <v>97.2295514511873</v>
      </c>
      <c r="P647" s="51"/>
    </row>
    <row r="648" ht="15.0" hidden="1" customHeight="1">
      <c r="A648" s="45">
        <v>642.0</v>
      </c>
      <c r="B648" s="46" t="s">
        <v>24</v>
      </c>
      <c r="C648" s="46" t="s">
        <v>165</v>
      </c>
      <c r="D648" s="46" t="s">
        <v>217</v>
      </c>
      <c r="E648" s="46" t="s">
        <v>218</v>
      </c>
      <c r="F648" s="47" t="s">
        <v>19</v>
      </c>
      <c r="G648" s="48">
        <v>1585.0</v>
      </c>
      <c r="H648" s="48">
        <v>247.0</v>
      </c>
      <c r="I648" s="48">
        <v>24.0</v>
      </c>
      <c r="J648" s="49">
        <v>86.5174672489083</v>
      </c>
      <c r="K648" s="49"/>
      <c r="L648" s="50">
        <v>1516.0</v>
      </c>
      <c r="M648" s="50">
        <v>48.0</v>
      </c>
      <c r="N648" s="50">
        <v>9.0</v>
      </c>
      <c r="O648" s="49">
        <v>96.9309462915601</v>
      </c>
      <c r="P648" s="51"/>
    </row>
    <row r="649" ht="15.0" hidden="1" customHeight="1">
      <c r="A649" s="27">
        <v>643.0</v>
      </c>
      <c r="B649" s="28" t="s">
        <v>20</v>
      </c>
      <c r="C649" s="28" t="s">
        <v>219</v>
      </c>
      <c r="D649" s="28"/>
      <c r="E649" s="28"/>
      <c r="F649" s="28" t="s">
        <v>219</v>
      </c>
      <c r="G649" s="29">
        <v>49798.0</v>
      </c>
      <c r="H649" s="29">
        <v>4560.0</v>
      </c>
      <c r="I649" s="29">
        <v>506.0</v>
      </c>
      <c r="J649" s="30">
        <v>91.6111703889032</v>
      </c>
      <c r="K649" s="30">
        <f>G649+H649+I649</f>
        <v>54864</v>
      </c>
      <c r="L649" s="31">
        <v>40293.0</v>
      </c>
      <c r="M649" s="31">
        <v>1205.0</v>
      </c>
      <c r="N649" s="31">
        <v>372.0</v>
      </c>
      <c r="O649" s="30">
        <v>97.0962456021977</v>
      </c>
      <c r="P649" s="32">
        <f>L649+M649+N649</f>
        <v>41870</v>
      </c>
    </row>
    <row r="650" ht="15.0" hidden="1" customHeight="1">
      <c r="A650" s="33">
        <v>644.0</v>
      </c>
      <c r="B650" s="34" t="s">
        <v>20</v>
      </c>
      <c r="C650" s="58" t="s">
        <v>219</v>
      </c>
      <c r="D650" s="58"/>
      <c r="E650" s="58"/>
      <c r="F650" s="34" t="s">
        <v>18</v>
      </c>
      <c r="G650" s="35">
        <v>33133.0</v>
      </c>
      <c r="H650" s="35">
        <v>2604.0</v>
      </c>
      <c r="I650" s="35">
        <v>313.0</v>
      </c>
      <c r="J650" s="36">
        <v>92.7134342558133</v>
      </c>
      <c r="K650" s="36"/>
      <c r="L650" s="37">
        <v>25998.0</v>
      </c>
      <c r="M650" s="37">
        <v>458.0</v>
      </c>
      <c r="N650" s="37">
        <v>124.0</v>
      </c>
      <c r="O650" s="36">
        <v>98.2688237072876</v>
      </c>
      <c r="P650" s="38"/>
    </row>
    <row r="651" ht="15.0" hidden="1" customHeight="1">
      <c r="A651" s="33">
        <v>645.0</v>
      </c>
      <c r="B651" s="34" t="s">
        <v>20</v>
      </c>
      <c r="C651" s="58" t="s">
        <v>219</v>
      </c>
      <c r="D651" s="58"/>
      <c r="E651" s="58"/>
      <c r="F651" s="34" t="s">
        <v>19</v>
      </c>
      <c r="G651" s="35">
        <v>16665.0</v>
      </c>
      <c r="H651" s="35">
        <v>1956.0</v>
      </c>
      <c r="I651" s="35">
        <v>193.0</v>
      </c>
      <c r="J651" s="36">
        <v>89.4957306267118</v>
      </c>
      <c r="K651" s="36"/>
      <c r="L651" s="37">
        <v>14295.0</v>
      </c>
      <c r="M651" s="37">
        <v>747.0</v>
      </c>
      <c r="N651" s="37">
        <v>248.0</v>
      </c>
      <c r="O651" s="36">
        <v>95.0339050658157</v>
      </c>
      <c r="P651" s="38"/>
    </row>
    <row r="652" ht="15.0" hidden="1" customHeight="1">
      <c r="A652" s="39">
        <v>646.0</v>
      </c>
      <c r="B652" s="40" t="s">
        <v>22</v>
      </c>
      <c r="C652" s="59" t="s">
        <v>219</v>
      </c>
      <c r="D652" s="59" t="s">
        <v>166</v>
      </c>
      <c r="E652" s="59"/>
      <c r="F652" s="40" t="s">
        <v>166</v>
      </c>
      <c r="G652" s="41">
        <v>31299.0</v>
      </c>
      <c r="H652" s="41">
        <v>2722.0</v>
      </c>
      <c r="I652" s="41">
        <v>333.0</v>
      </c>
      <c r="J652" s="42">
        <v>91.9990594044855</v>
      </c>
      <c r="K652" s="42"/>
      <c r="L652" s="43">
        <v>24972.0</v>
      </c>
      <c r="M652" s="43">
        <v>421.0</v>
      </c>
      <c r="N652" s="43">
        <v>230.0</v>
      </c>
      <c r="O652" s="42">
        <v>98.3420627732052</v>
      </c>
      <c r="P652" s="44"/>
    </row>
    <row r="653" ht="15.0" hidden="1" customHeight="1">
      <c r="A653" s="45">
        <v>647.0</v>
      </c>
      <c r="B653" s="46" t="s">
        <v>22</v>
      </c>
      <c r="C653" s="46" t="s">
        <v>219</v>
      </c>
      <c r="D653" s="46" t="s">
        <v>166</v>
      </c>
      <c r="E653" s="46"/>
      <c r="F653" s="47" t="s">
        <v>18</v>
      </c>
      <c r="G653" s="48">
        <v>27812.0</v>
      </c>
      <c r="H653" s="48">
        <v>2297.0</v>
      </c>
      <c r="I653" s="48">
        <v>279.0</v>
      </c>
      <c r="J653" s="49">
        <v>92.3710518449633</v>
      </c>
      <c r="K653" s="49"/>
      <c r="L653" s="50">
        <v>21924.0</v>
      </c>
      <c r="M653" s="50">
        <v>326.0</v>
      </c>
      <c r="N653" s="50">
        <v>98.0</v>
      </c>
      <c r="O653" s="49">
        <v>98.5348314606742</v>
      </c>
      <c r="P653" s="51"/>
    </row>
    <row r="654" ht="15.0" hidden="1" customHeight="1">
      <c r="A654" s="45">
        <v>648.0</v>
      </c>
      <c r="B654" s="46" t="s">
        <v>22</v>
      </c>
      <c r="C654" s="46" t="s">
        <v>219</v>
      </c>
      <c r="D654" s="46" t="s">
        <v>166</v>
      </c>
      <c r="E654" s="46"/>
      <c r="F654" s="47" t="s">
        <v>19</v>
      </c>
      <c r="G654" s="48">
        <v>3487.0</v>
      </c>
      <c r="H654" s="48">
        <v>425.0</v>
      </c>
      <c r="I654" s="48">
        <v>54.0</v>
      </c>
      <c r="J654" s="49">
        <v>89.1359918200409</v>
      </c>
      <c r="K654" s="49"/>
      <c r="L654" s="50">
        <v>3048.0</v>
      </c>
      <c r="M654" s="50">
        <v>95.0</v>
      </c>
      <c r="N654" s="50">
        <v>132.0</v>
      </c>
      <c r="O654" s="49">
        <v>96.9774101177219</v>
      </c>
      <c r="P654" s="51"/>
    </row>
    <row r="655" ht="15.0" customHeight="1">
      <c r="A655" s="52">
        <v>649.0</v>
      </c>
      <c r="B655" s="53" t="s">
        <v>24</v>
      </c>
      <c r="C655" s="60" t="s">
        <v>219</v>
      </c>
      <c r="D655" s="60" t="s">
        <v>166</v>
      </c>
      <c r="E655" s="60" t="s">
        <v>219</v>
      </c>
      <c r="F655" s="61" t="s">
        <v>219</v>
      </c>
      <c r="G655" s="54">
        <v>27170.0</v>
      </c>
      <c r="H655" s="54">
        <v>2239.0</v>
      </c>
      <c r="I655" s="54">
        <v>273.0</v>
      </c>
      <c r="J655" s="55">
        <v>92.3866843483287</v>
      </c>
      <c r="K655" s="55">
        <f>G655+H655+I655</f>
        <v>29682</v>
      </c>
      <c r="L655" s="56">
        <v>21361.0</v>
      </c>
      <c r="M655" s="56">
        <v>317.0</v>
      </c>
      <c r="N655" s="56">
        <v>96.0</v>
      </c>
      <c r="O655" s="55">
        <v>98.5376879785958</v>
      </c>
      <c r="P655" s="57">
        <f>L655+M655+N655</f>
        <v>21774</v>
      </c>
    </row>
    <row r="656" ht="15.0" hidden="1" customHeight="1">
      <c r="A656" s="45">
        <v>650.0</v>
      </c>
      <c r="B656" s="46" t="s">
        <v>24</v>
      </c>
      <c r="C656" s="46" t="s">
        <v>219</v>
      </c>
      <c r="D656" s="46" t="s">
        <v>166</v>
      </c>
      <c r="E656" s="46" t="s">
        <v>219</v>
      </c>
      <c r="F656" s="47" t="s">
        <v>18</v>
      </c>
      <c r="G656" s="48">
        <v>27170.0</v>
      </c>
      <c r="H656" s="48">
        <v>2239.0</v>
      </c>
      <c r="I656" s="48">
        <v>273.0</v>
      </c>
      <c r="J656" s="49">
        <v>92.3866843483287</v>
      </c>
      <c r="K656" s="49"/>
      <c r="L656" s="50">
        <v>21355.0</v>
      </c>
      <c r="M656" s="50">
        <v>317.0</v>
      </c>
      <c r="N656" s="50">
        <v>96.0</v>
      </c>
      <c r="O656" s="49">
        <v>98.5372831303064</v>
      </c>
      <c r="P656" s="51"/>
    </row>
    <row r="657" ht="15.0" hidden="1" customHeight="1">
      <c r="A657" s="45">
        <v>651.0</v>
      </c>
      <c r="B657" s="46" t="s">
        <v>24</v>
      </c>
      <c r="C657" s="46" t="s">
        <v>219</v>
      </c>
      <c r="D657" s="46" t="s">
        <v>166</v>
      </c>
      <c r="E657" s="46" t="s">
        <v>219</v>
      </c>
      <c r="F657" s="47" t="s">
        <v>19</v>
      </c>
      <c r="G657" s="48"/>
      <c r="H657" s="48"/>
      <c r="I657" s="48"/>
      <c r="J657" s="49"/>
      <c r="K657" s="49"/>
      <c r="L657" s="50">
        <v>6.0</v>
      </c>
      <c r="M657" s="50">
        <v>0.0</v>
      </c>
      <c r="N657" s="50">
        <v>0.0</v>
      </c>
      <c r="O657" s="49">
        <v>100.0</v>
      </c>
      <c r="P657" s="51"/>
    </row>
    <row r="658" ht="15.0" customHeight="1">
      <c r="A658" s="52">
        <v>652.0</v>
      </c>
      <c r="B658" s="53" t="s">
        <v>24</v>
      </c>
      <c r="C658" s="60" t="s">
        <v>219</v>
      </c>
      <c r="D658" s="60" t="s">
        <v>166</v>
      </c>
      <c r="E658" s="60" t="s">
        <v>220</v>
      </c>
      <c r="F658" s="61" t="s">
        <v>220</v>
      </c>
      <c r="G658" s="54">
        <v>2194.0</v>
      </c>
      <c r="H658" s="54">
        <v>267.0</v>
      </c>
      <c r="I658" s="54">
        <v>29.0</v>
      </c>
      <c r="J658" s="55">
        <v>89.1507517269403</v>
      </c>
      <c r="K658" s="55">
        <f>G658+H658+I658</f>
        <v>2490</v>
      </c>
      <c r="L658" s="56">
        <v>1664.0</v>
      </c>
      <c r="M658" s="56">
        <v>25.0</v>
      </c>
      <c r="N658" s="56">
        <v>14.0</v>
      </c>
      <c r="O658" s="55">
        <v>98.5198342214328</v>
      </c>
      <c r="P658" s="57">
        <f>L658+M658+N658</f>
        <v>1703</v>
      </c>
    </row>
    <row r="659" ht="15.0" hidden="1" customHeight="1">
      <c r="A659" s="45">
        <v>653.0</v>
      </c>
      <c r="B659" s="46" t="s">
        <v>24</v>
      </c>
      <c r="C659" s="46" t="s">
        <v>219</v>
      </c>
      <c r="D659" s="46" t="s">
        <v>166</v>
      </c>
      <c r="E659" s="46" t="s">
        <v>220</v>
      </c>
      <c r="F659" s="47" t="s">
        <v>18</v>
      </c>
      <c r="G659" s="48">
        <v>642.0</v>
      </c>
      <c r="H659" s="48">
        <v>58.0</v>
      </c>
      <c r="I659" s="48">
        <v>6.0</v>
      </c>
      <c r="J659" s="49">
        <v>91.7142857142857</v>
      </c>
      <c r="K659" s="49"/>
      <c r="L659" s="50">
        <v>569.0</v>
      </c>
      <c r="M659" s="50">
        <v>9.0</v>
      </c>
      <c r="N659" s="50">
        <v>2.0</v>
      </c>
      <c r="O659" s="49">
        <v>98.4429065743945</v>
      </c>
      <c r="P659" s="51"/>
    </row>
    <row r="660" ht="15.0" hidden="1" customHeight="1">
      <c r="A660" s="45">
        <v>654.0</v>
      </c>
      <c r="B660" s="46" t="s">
        <v>24</v>
      </c>
      <c r="C660" s="46" t="s">
        <v>219</v>
      </c>
      <c r="D660" s="46" t="s">
        <v>166</v>
      </c>
      <c r="E660" s="46" t="s">
        <v>220</v>
      </c>
      <c r="F660" s="47" t="s">
        <v>19</v>
      </c>
      <c r="G660" s="48">
        <v>1552.0</v>
      </c>
      <c r="H660" s="48">
        <v>209.0</v>
      </c>
      <c r="I660" s="48">
        <v>23.0</v>
      </c>
      <c r="J660" s="49">
        <v>88.1317433276547</v>
      </c>
      <c r="K660" s="49"/>
      <c r="L660" s="50">
        <v>1095.0</v>
      </c>
      <c r="M660" s="50">
        <v>16.0</v>
      </c>
      <c r="N660" s="50">
        <v>12.0</v>
      </c>
      <c r="O660" s="49">
        <v>98.5598559855986</v>
      </c>
      <c r="P660" s="51"/>
    </row>
    <row r="661" ht="15.0" customHeight="1">
      <c r="A661" s="52">
        <v>655.0</v>
      </c>
      <c r="B661" s="53" t="s">
        <v>24</v>
      </c>
      <c r="C661" s="60" t="s">
        <v>219</v>
      </c>
      <c r="D661" s="60" t="s">
        <v>166</v>
      </c>
      <c r="E661" s="60" t="s">
        <v>221</v>
      </c>
      <c r="F661" s="61" t="s">
        <v>221</v>
      </c>
      <c r="G661" s="54">
        <v>777.0</v>
      </c>
      <c r="H661" s="54">
        <v>83.0</v>
      </c>
      <c r="I661" s="54">
        <v>18.0</v>
      </c>
      <c r="J661" s="55">
        <v>90.3488372093023</v>
      </c>
      <c r="K661" s="55">
        <f>G661+H661+I661</f>
        <v>878</v>
      </c>
      <c r="L661" s="56">
        <v>723.0</v>
      </c>
      <c r="M661" s="56">
        <v>66.0</v>
      </c>
      <c r="N661" s="56">
        <v>103.0</v>
      </c>
      <c r="O661" s="55">
        <v>91.6349809885932</v>
      </c>
      <c r="P661" s="57">
        <f>L661+M661+N661</f>
        <v>892</v>
      </c>
    </row>
    <row r="662" ht="15.0" hidden="1" customHeight="1">
      <c r="A662" s="45">
        <v>656.0</v>
      </c>
      <c r="B662" s="46" t="s">
        <v>24</v>
      </c>
      <c r="C662" s="46" t="s">
        <v>219</v>
      </c>
      <c r="D662" s="46" t="s">
        <v>166</v>
      </c>
      <c r="E662" s="46" t="s">
        <v>221</v>
      </c>
      <c r="F662" s="47" t="s">
        <v>18</v>
      </c>
      <c r="G662" s="48"/>
      <c r="H662" s="48"/>
      <c r="I662" s="48"/>
      <c r="J662" s="49"/>
      <c r="K662" s="49"/>
      <c r="L662" s="50"/>
      <c r="M662" s="50"/>
      <c r="N662" s="50"/>
      <c r="O662" s="49"/>
      <c r="P662" s="51"/>
    </row>
    <row r="663" ht="15.0" hidden="1" customHeight="1">
      <c r="A663" s="45">
        <v>657.0</v>
      </c>
      <c r="B663" s="46" t="s">
        <v>24</v>
      </c>
      <c r="C663" s="46" t="s">
        <v>219</v>
      </c>
      <c r="D663" s="46" t="s">
        <v>166</v>
      </c>
      <c r="E663" s="46" t="s">
        <v>221</v>
      </c>
      <c r="F663" s="47" t="s">
        <v>19</v>
      </c>
      <c r="G663" s="48">
        <v>777.0</v>
      </c>
      <c r="H663" s="48">
        <v>83.0</v>
      </c>
      <c r="I663" s="48">
        <v>18.0</v>
      </c>
      <c r="J663" s="49">
        <v>90.3488372093023</v>
      </c>
      <c r="K663" s="49"/>
      <c r="L663" s="50">
        <v>723.0</v>
      </c>
      <c r="M663" s="50">
        <v>66.0</v>
      </c>
      <c r="N663" s="50">
        <v>103.0</v>
      </c>
      <c r="O663" s="49">
        <v>91.6349809885932</v>
      </c>
      <c r="P663" s="51"/>
    </row>
    <row r="664" ht="15.0" customHeight="1">
      <c r="A664" s="52">
        <v>658.0</v>
      </c>
      <c r="B664" s="53" t="s">
        <v>24</v>
      </c>
      <c r="C664" s="60" t="s">
        <v>219</v>
      </c>
      <c r="D664" s="60" t="s">
        <v>166</v>
      </c>
      <c r="E664" s="60" t="s">
        <v>222</v>
      </c>
      <c r="F664" s="61" t="s">
        <v>222</v>
      </c>
      <c r="G664" s="54">
        <v>1158.0</v>
      </c>
      <c r="H664" s="54">
        <v>133.0</v>
      </c>
      <c r="I664" s="54">
        <v>13.0</v>
      </c>
      <c r="J664" s="55">
        <v>89.6979085979861</v>
      </c>
      <c r="K664" s="55">
        <f>G664+H664+I664</f>
        <v>1304</v>
      </c>
      <c r="L664" s="56">
        <v>1224.0</v>
      </c>
      <c r="M664" s="56">
        <v>13.0</v>
      </c>
      <c r="N664" s="56">
        <v>17.0</v>
      </c>
      <c r="O664" s="55">
        <v>98.949070331447</v>
      </c>
      <c r="P664" s="57">
        <f>L664+M664+N664</f>
        <v>1254</v>
      </c>
    </row>
    <row r="665" ht="15.0" hidden="1" customHeight="1">
      <c r="A665" s="45">
        <v>659.0</v>
      </c>
      <c r="B665" s="46" t="s">
        <v>24</v>
      </c>
      <c r="C665" s="46" t="s">
        <v>219</v>
      </c>
      <c r="D665" s="46" t="s">
        <v>166</v>
      </c>
      <c r="E665" s="46" t="s">
        <v>222</v>
      </c>
      <c r="F665" s="47" t="s">
        <v>18</v>
      </c>
      <c r="G665" s="48"/>
      <c r="H665" s="48"/>
      <c r="I665" s="48"/>
      <c r="J665" s="49"/>
      <c r="K665" s="49"/>
      <c r="L665" s="50"/>
      <c r="M665" s="50"/>
      <c r="N665" s="50"/>
      <c r="O665" s="49"/>
      <c r="P665" s="51"/>
    </row>
    <row r="666" ht="15.0" hidden="1" customHeight="1">
      <c r="A666" s="45">
        <v>660.0</v>
      </c>
      <c r="B666" s="46" t="s">
        <v>24</v>
      </c>
      <c r="C666" s="46" t="s">
        <v>219</v>
      </c>
      <c r="D666" s="46" t="s">
        <v>166</v>
      </c>
      <c r="E666" s="46" t="s">
        <v>222</v>
      </c>
      <c r="F666" s="47" t="s">
        <v>19</v>
      </c>
      <c r="G666" s="48">
        <v>1158.0</v>
      </c>
      <c r="H666" s="48">
        <v>133.0</v>
      </c>
      <c r="I666" s="48">
        <v>13.0</v>
      </c>
      <c r="J666" s="49">
        <v>89.6979085979861</v>
      </c>
      <c r="K666" s="49"/>
      <c r="L666" s="50">
        <v>1224.0</v>
      </c>
      <c r="M666" s="50">
        <v>13.0</v>
      </c>
      <c r="N666" s="50">
        <v>17.0</v>
      </c>
      <c r="O666" s="49">
        <v>98.949070331447</v>
      </c>
      <c r="P666" s="51"/>
    </row>
    <row r="667" ht="15.0" hidden="1" customHeight="1">
      <c r="A667" s="39">
        <v>661.0</v>
      </c>
      <c r="B667" s="40" t="s">
        <v>22</v>
      </c>
      <c r="C667" s="59" t="s">
        <v>219</v>
      </c>
      <c r="D667" s="59" t="s">
        <v>223</v>
      </c>
      <c r="E667" s="59"/>
      <c r="F667" s="40" t="s">
        <v>223</v>
      </c>
      <c r="G667" s="41">
        <v>3351.0</v>
      </c>
      <c r="H667" s="41">
        <v>384.0</v>
      </c>
      <c r="I667" s="41">
        <v>37.0</v>
      </c>
      <c r="J667" s="42">
        <v>89.718875502008</v>
      </c>
      <c r="K667" s="42"/>
      <c r="L667" s="43">
        <v>3144.0</v>
      </c>
      <c r="M667" s="43">
        <v>117.0</v>
      </c>
      <c r="N667" s="43">
        <v>29.0</v>
      </c>
      <c r="O667" s="42">
        <v>96.4121435142594</v>
      </c>
      <c r="P667" s="44"/>
    </row>
    <row r="668" ht="15.0" hidden="1" customHeight="1">
      <c r="A668" s="45">
        <v>662.0</v>
      </c>
      <c r="B668" s="46" t="s">
        <v>22</v>
      </c>
      <c r="C668" s="46" t="s">
        <v>219</v>
      </c>
      <c r="D668" s="46" t="s">
        <v>223</v>
      </c>
      <c r="E668" s="46"/>
      <c r="F668" s="47" t="s">
        <v>18</v>
      </c>
      <c r="G668" s="48">
        <v>1443.0</v>
      </c>
      <c r="H668" s="48">
        <v>150.0</v>
      </c>
      <c r="I668" s="48">
        <v>13.0</v>
      </c>
      <c r="J668" s="49">
        <v>90.5838041431262</v>
      </c>
      <c r="K668" s="49"/>
      <c r="L668" s="50">
        <v>1148.0</v>
      </c>
      <c r="M668" s="50">
        <v>32.0</v>
      </c>
      <c r="N668" s="50">
        <v>6.0</v>
      </c>
      <c r="O668" s="49">
        <v>97.2881355932203</v>
      </c>
      <c r="P668" s="51"/>
    </row>
    <row r="669" ht="15.0" hidden="1" customHeight="1">
      <c r="A669" s="45">
        <v>663.0</v>
      </c>
      <c r="B669" s="46" t="s">
        <v>22</v>
      </c>
      <c r="C669" s="46" t="s">
        <v>219</v>
      </c>
      <c r="D669" s="46" t="s">
        <v>223</v>
      </c>
      <c r="E669" s="46"/>
      <c r="F669" s="47" t="s">
        <v>19</v>
      </c>
      <c r="G669" s="48">
        <v>1908.0</v>
      </c>
      <c r="H669" s="48">
        <v>234.0</v>
      </c>
      <c r="I669" s="48">
        <v>24.0</v>
      </c>
      <c r="J669" s="49">
        <v>89.0756302521009</v>
      </c>
      <c r="K669" s="49"/>
      <c r="L669" s="50">
        <v>1996.0</v>
      </c>
      <c r="M669" s="50">
        <v>85.0</v>
      </c>
      <c r="N669" s="50">
        <v>23.0</v>
      </c>
      <c r="O669" s="49">
        <v>95.9154252763095</v>
      </c>
      <c r="P669" s="51"/>
    </row>
    <row r="670" ht="15.0" customHeight="1">
      <c r="A670" s="52">
        <v>664.0</v>
      </c>
      <c r="B670" s="53" t="s">
        <v>24</v>
      </c>
      <c r="C670" s="60" t="s">
        <v>219</v>
      </c>
      <c r="D670" s="60" t="s">
        <v>223</v>
      </c>
      <c r="E670" s="60" t="s">
        <v>224</v>
      </c>
      <c r="F670" s="61" t="s">
        <v>224</v>
      </c>
      <c r="G670" s="54">
        <v>2950.0</v>
      </c>
      <c r="H670" s="54">
        <v>338.0</v>
      </c>
      <c r="I670" s="54">
        <v>35.0</v>
      </c>
      <c r="J670" s="55">
        <v>89.720194647202</v>
      </c>
      <c r="K670" s="55">
        <f>G670+H670+I670</f>
        <v>3323</v>
      </c>
      <c r="L670" s="56">
        <v>2871.0</v>
      </c>
      <c r="M670" s="56">
        <v>111.0</v>
      </c>
      <c r="N670" s="56">
        <v>27.0</v>
      </c>
      <c r="O670" s="55">
        <v>96.2776659959759</v>
      </c>
      <c r="P670" s="57">
        <f>L670+M670+N670</f>
        <v>3009</v>
      </c>
    </row>
    <row r="671" ht="15.0" hidden="1" customHeight="1">
      <c r="A671" s="45">
        <v>665.0</v>
      </c>
      <c r="B671" s="46" t="s">
        <v>24</v>
      </c>
      <c r="C671" s="46" t="s">
        <v>219</v>
      </c>
      <c r="D671" s="46" t="s">
        <v>223</v>
      </c>
      <c r="E671" s="46" t="s">
        <v>224</v>
      </c>
      <c r="F671" s="47" t="s">
        <v>18</v>
      </c>
      <c r="G671" s="48">
        <v>1443.0</v>
      </c>
      <c r="H671" s="48">
        <v>150.0</v>
      </c>
      <c r="I671" s="48">
        <v>13.0</v>
      </c>
      <c r="J671" s="49">
        <v>90.5838041431262</v>
      </c>
      <c r="K671" s="49"/>
      <c r="L671" s="50">
        <v>1148.0</v>
      </c>
      <c r="M671" s="50">
        <v>32.0</v>
      </c>
      <c r="N671" s="50">
        <v>6.0</v>
      </c>
      <c r="O671" s="49">
        <v>97.2881355932203</v>
      </c>
      <c r="P671" s="51"/>
    </row>
    <row r="672" ht="15.0" hidden="1" customHeight="1">
      <c r="A672" s="45">
        <v>666.0</v>
      </c>
      <c r="B672" s="46" t="s">
        <v>24</v>
      </c>
      <c r="C672" s="46" t="s">
        <v>219</v>
      </c>
      <c r="D672" s="46" t="s">
        <v>223</v>
      </c>
      <c r="E672" s="46" t="s">
        <v>224</v>
      </c>
      <c r="F672" s="47" t="s">
        <v>19</v>
      </c>
      <c r="G672" s="48">
        <v>1507.0</v>
      </c>
      <c r="H672" s="48">
        <v>188.0</v>
      </c>
      <c r="I672" s="48">
        <v>22.0</v>
      </c>
      <c r="J672" s="49">
        <v>88.9085545722714</v>
      </c>
      <c r="K672" s="49"/>
      <c r="L672" s="50">
        <v>1723.0</v>
      </c>
      <c r="M672" s="50">
        <v>79.0</v>
      </c>
      <c r="N672" s="50">
        <v>21.0</v>
      </c>
      <c r="O672" s="49">
        <v>95.6159822419534</v>
      </c>
      <c r="P672" s="51"/>
    </row>
    <row r="673" ht="15.0" customHeight="1">
      <c r="A673" s="52">
        <v>667.0</v>
      </c>
      <c r="B673" s="53" t="s">
        <v>24</v>
      </c>
      <c r="C673" s="60" t="s">
        <v>219</v>
      </c>
      <c r="D673" s="60" t="s">
        <v>223</v>
      </c>
      <c r="E673" s="60" t="s">
        <v>225</v>
      </c>
      <c r="F673" s="61" t="s">
        <v>225</v>
      </c>
      <c r="G673" s="54">
        <v>401.0</v>
      </c>
      <c r="H673" s="54">
        <v>46.0</v>
      </c>
      <c r="I673" s="54">
        <v>2.0</v>
      </c>
      <c r="J673" s="55">
        <v>89.7091722595078</v>
      </c>
      <c r="K673" s="55">
        <f>G673+H673+I673</f>
        <v>449</v>
      </c>
      <c r="L673" s="56">
        <v>273.0</v>
      </c>
      <c r="M673" s="56">
        <v>6.0</v>
      </c>
      <c r="N673" s="56">
        <v>2.0</v>
      </c>
      <c r="O673" s="55">
        <v>97.8494623655914</v>
      </c>
      <c r="P673" s="57">
        <f>L673+M673+N673</f>
        <v>281</v>
      </c>
    </row>
    <row r="674" ht="15.0" hidden="1" customHeight="1">
      <c r="A674" s="45">
        <v>668.0</v>
      </c>
      <c r="B674" s="46" t="s">
        <v>24</v>
      </c>
      <c r="C674" s="46" t="s">
        <v>219</v>
      </c>
      <c r="D674" s="46" t="s">
        <v>223</v>
      </c>
      <c r="E674" s="46" t="s">
        <v>225</v>
      </c>
      <c r="F674" s="47" t="s">
        <v>18</v>
      </c>
      <c r="G674" s="48"/>
      <c r="H674" s="48"/>
      <c r="I674" s="48"/>
      <c r="J674" s="49"/>
      <c r="K674" s="49"/>
      <c r="L674" s="50"/>
      <c r="M674" s="50"/>
      <c r="N674" s="50"/>
      <c r="O674" s="49"/>
      <c r="P674" s="51"/>
    </row>
    <row r="675" ht="15.0" hidden="1" customHeight="1">
      <c r="A675" s="45">
        <v>669.0</v>
      </c>
      <c r="B675" s="46" t="s">
        <v>24</v>
      </c>
      <c r="C675" s="46" t="s">
        <v>219</v>
      </c>
      <c r="D675" s="46" t="s">
        <v>223</v>
      </c>
      <c r="E675" s="46" t="s">
        <v>225</v>
      </c>
      <c r="F675" s="47" t="s">
        <v>19</v>
      </c>
      <c r="G675" s="48">
        <v>401.0</v>
      </c>
      <c r="H675" s="48">
        <v>46.0</v>
      </c>
      <c r="I675" s="48">
        <v>2.0</v>
      </c>
      <c r="J675" s="49">
        <v>89.7091722595078</v>
      </c>
      <c r="K675" s="49"/>
      <c r="L675" s="50">
        <v>273.0</v>
      </c>
      <c r="M675" s="50">
        <v>6.0</v>
      </c>
      <c r="N675" s="50">
        <v>2.0</v>
      </c>
      <c r="O675" s="49">
        <v>97.8494623655914</v>
      </c>
      <c r="P675" s="51"/>
    </row>
    <row r="676" ht="15.0" hidden="1" customHeight="1">
      <c r="A676" s="39">
        <v>670.0</v>
      </c>
      <c r="B676" s="40" t="s">
        <v>22</v>
      </c>
      <c r="C676" s="59" t="s">
        <v>219</v>
      </c>
      <c r="D676" s="59" t="s">
        <v>226</v>
      </c>
      <c r="E676" s="59"/>
      <c r="F676" s="40" t="s">
        <v>226</v>
      </c>
      <c r="G676" s="41">
        <v>1029.0</v>
      </c>
      <c r="H676" s="41">
        <v>85.0</v>
      </c>
      <c r="I676" s="41">
        <v>9.0</v>
      </c>
      <c r="J676" s="42">
        <v>92.3698384201077</v>
      </c>
      <c r="K676" s="42"/>
      <c r="L676" s="43">
        <v>1205.0</v>
      </c>
      <c r="M676" s="43">
        <v>44.0</v>
      </c>
      <c r="N676" s="43">
        <v>10.0</v>
      </c>
      <c r="O676" s="42">
        <v>96.4771817453963</v>
      </c>
      <c r="P676" s="44"/>
    </row>
    <row r="677" ht="15.0" hidden="1" customHeight="1">
      <c r="A677" s="45">
        <v>671.0</v>
      </c>
      <c r="B677" s="46" t="s">
        <v>22</v>
      </c>
      <c r="C677" s="46" t="s">
        <v>219</v>
      </c>
      <c r="D677" s="46" t="s">
        <v>226</v>
      </c>
      <c r="E677" s="46"/>
      <c r="F677" s="47" t="s">
        <v>18</v>
      </c>
      <c r="G677" s="48"/>
      <c r="H677" s="48"/>
      <c r="I677" s="48"/>
      <c r="J677" s="49"/>
      <c r="K677" s="49"/>
      <c r="L677" s="50"/>
      <c r="M677" s="50"/>
      <c r="N677" s="50"/>
      <c r="O677" s="49"/>
      <c r="P677" s="51"/>
    </row>
    <row r="678" ht="15.0" hidden="1" customHeight="1">
      <c r="A678" s="45">
        <v>672.0</v>
      </c>
      <c r="B678" s="46" t="s">
        <v>22</v>
      </c>
      <c r="C678" s="46" t="s">
        <v>219</v>
      </c>
      <c r="D678" s="46" t="s">
        <v>226</v>
      </c>
      <c r="E678" s="46"/>
      <c r="F678" s="47" t="s">
        <v>19</v>
      </c>
      <c r="G678" s="48">
        <v>1029.0</v>
      </c>
      <c r="H678" s="48">
        <v>85.0</v>
      </c>
      <c r="I678" s="48">
        <v>9.0</v>
      </c>
      <c r="J678" s="49">
        <v>92.3698384201077</v>
      </c>
      <c r="K678" s="49"/>
      <c r="L678" s="50">
        <v>1205.0</v>
      </c>
      <c r="M678" s="50">
        <v>44.0</v>
      </c>
      <c r="N678" s="50">
        <v>10.0</v>
      </c>
      <c r="O678" s="49">
        <v>96.4771817453963</v>
      </c>
      <c r="P678" s="51"/>
    </row>
    <row r="679" ht="15.0" customHeight="1">
      <c r="A679" s="52">
        <v>673.0</v>
      </c>
      <c r="B679" s="53" t="s">
        <v>24</v>
      </c>
      <c r="C679" s="60" t="s">
        <v>219</v>
      </c>
      <c r="D679" s="60" t="s">
        <v>226</v>
      </c>
      <c r="E679" s="60" t="s">
        <v>227</v>
      </c>
      <c r="F679" s="61" t="s">
        <v>227</v>
      </c>
      <c r="G679" s="54">
        <v>860.0</v>
      </c>
      <c r="H679" s="54">
        <v>74.0</v>
      </c>
      <c r="I679" s="54">
        <v>7.0</v>
      </c>
      <c r="J679" s="55">
        <v>92.0770877944325</v>
      </c>
      <c r="K679" s="55">
        <f>G679+H679+I679</f>
        <v>941</v>
      </c>
      <c r="L679" s="56">
        <v>1046.0</v>
      </c>
      <c r="M679" s="56">
        <v>38.0</v>
      </c>
      <c r="N679" s="56">
        <v>9.0</v>
      </c>
      <c r="O679" s="55">
        <v>96.4944649446495</v>
      </c>
      <c r="P679" s="57">
        <f>L679+M679+N679</f>
        <v>1093</v>
      </c>
    </row>
    <row r="680" ht="15.0" hidden="1" customHeight="1">
      <c r="A680" s="45">
        <v>674.0</v>
      </c>
      <c r="B680" s="46" t="s">
        <v>24</v>
      </c>
      <c r="C680" s="46" t="s">
        <v>219</v>
      </c>
      <c r="D680" s="46" t="s">
        <v>226</v>
      </c>
      <c r="E680" s="46" t="s">
        <v>227</v>
      </c>
      <c r="F680" s="47" t="s">
        <v>18</v>
      </c>
      <c r="G680" s="48"/>
      <c r="H680" s="48"/>
      <c r="I680" s="48"/>
      <c r="J680" s="49"/>
      <c r="K680" s="49"/>
      <c r="L680" s="50"/>
      <c r="M680" s="50"/>
      <c r="N680" s="50"/>
      <c r="O680" s="49"/>
      <c r="P680" s="51"/>
    </row>
    <row r="681" ht="15.0" hidden="1" customHeight="1">
      <c r="A681" s="45">
        <v>675.0</v>
      </c>
      <c r="B681" s="46" t="s">
        <v>24</v>
      </c>
      <c r="C681" s="46" t="s">
        <v>219</v>
      </c>
      <c r="D681" s="46" t="s">
        <v>226</v>
      </c>
      <c r="E681" s="46" t="s">
        <v>227</v>
      </c>
      <c r="F681" s="47" t="s">
        <v>19</v>
      </c>
      <c r="G681" s="48">
        <v>860.0</v>
      </c>
      <c r="H681" s="48">
        <v>74.0</v>
      </c>
      <c r="I681" s="48">
        <v>7.0</v>
      </c>
      <c r="J681" s="49">
        <v>92.0770877944325</v>
      </c>
      <c r="K681" s="49"/>
      <c r="L681" s="50">
        <v>1046.0</v>
      </c>
      <c r="M681" s="50">
        <v>38.0</v>
      </c>
      <c r="N681" s="50">
        <v>9.0</v>
      </c>
      <c r="O681" s="49">
        <v>96.4944649446495</v>
      </c>
      <c r="P681" s="51"/>
    </row>
    <row r="682" ht="15.0" customHeight="1">
      <c r="A682" s="52">
        <v>676.0</v>
      </c>
      <c r="B682" s="53" t="s">
        <v>24</v>
      </c>
      <c r="C682" s="60" t="s">
        <v>219</v>
      </c>
      <c r="D682" s="60" t="s">
        <v>226</v>
      </c>
      <c r="E682" s="60" t="s">
        <v>228</v>
      </c>
      <c r="F682" s="61" t="s">
        <v>228</v>
      </c>
      <c r="G682" s="54">
        <v>169.0</v>
      </c>
      <c r="H682" s="54">
        <v>11.0</v>
      </c>
      <c r="I682" s="54">
        <v>2.0</v>
      </c>
      <c r="J682" s="55">
        <v>93.8888888888889</v>
      </c>
      <c r="K682" s="55">
        <f>G682+H682+I682</f>
        <v>182</v>
      </c>
      <c r="L682" s="56">
        <v>159.0</v>
      </c>
      <c r="M682" s="56">
        <v>6.0</v>
      </c>
      <c r="N682" s="56">
        <v>1.0</v>
      </c>
      <c r="O682" s="55">
        <v>96.3636363636364</v>
      </c>
      <c r="P682" s="57">
        <f>L682+M682+N682</f>
        <v>166</v>
      </c>
    </row>
    <row r="683" ht="15.0" hidden="1" customHeight="1">
      <c r="A683" s="45">
        <v>677.0</v>
      </c>
      <c r="B683" s="46" t="s">
        <v>24</v>
      </c>
      <c r="C683" s="46" t="s">
        <v>219</v>
      </c>
      <c r="D683" s="46" t="s">
        <v>226</v>
      </c>
      <c r="E683" s="46" t="s">
        <v>228</v>
      </c>
      <c r="F683" s="47" t="s">
        <v>18</v>
      </c>
      <c r="G683" s="48"/>
      <c r="H683" s="48"/>
      <c r="I683" s="48"/>
      <c r="J683" s="49"/>
      <c r="K683" s="49"/>
      <c r="L683" s="50"/>
      <c r="M683" s="50"/>
      <c r="N683" s="50"/>
      <c r="O683" s="49"/>
      <c r="P683" s="51"/>
    </row>
    <row r="684" ht="15.0" hidden="1" customHeight="1">
      <c r="A684" s="45">
        <v>678.0</v>
      </c>
      <c r="B684" s="46" t="s">
        <v>24</v>
      </c>
      <c r="C684" s="46" t="s">
        <v>219</v>
      </c>
      <c r="D684" s="46" t="s">
        <v>226</v>
      </c>
      <c r="E684" s="46" t="s">
        <v>228</v>
      </c>
      <c r="F684" s="47" t="s">
        <v>19</v>
      </c>
      <c r="G684" s="48">
        <v>169.0</v>
      </c>
      <c r="H684" s="48">
        <v>11.0</v>
      </c>
      <c r="I684" s="48">
        <v>2.0</v>
      </c>
      <c r="J684" s="49">
        <v>93.8888888888889</v>
      </c>
      <c r="K684" s="49"/>
      <c r="L684" s="50">
        <v>159.0</v>
      </c>
      <c r="M684" s="50">
        <v>6.0</v>
      </c>
      <c r="N684" s="50">
        <v>1.0</v>
      </c>
      <c r="O684" s="49">
        <v>96.3636363636364</v>
      </c>
      <c r="P684" s="51"/>
    </row>
    <row r="685" ht="15.0" hidden="1" customHeight="1">
      <c r="A685" s="39">
        <v>679.0</v>
      </c>
      <c r="B685" s="40" t="s">
        <v>22</v>
      </c>
      <c r="C685" s="59" t="s">
        <v>219</v>
      </c>
      <c r="D685" s="59" t="s">
        <v>229</v>
      </c>
      <c r="E685" s="59"/>
      <c r="F685" s="40" t="s">
        <v>229</v>
      </c>
      <c r="G685" s="41">
        <v>861.0</v>
      </c>
      <c r="H685" s="41">
        <v>47.0</v>
      </c>
      <c r="I685" s="41">
        <v>8.0</v>
      </c>
      <c r="J685" s="42">
        <v>94.8237885462555</v>
      </c>
      <c r="K685" s="42"/>
      <c r="L685" s="43">
        <v>725.0</v>
      </c>
      <c r="M685" s="43">
        <v>39.0</v>
      </c>
      <c r="N685" s="43">
        <v>11.0</v>
      </c>
      <c r="O685" s="42">
        <v>94.8952879581152</v>
      </c>
      <c r="P685" s="44"/>
    </row>
    <row r="686" ht="15.0" hidden="1" customHeight="1">
      <c r="A686" s="45">
        <v>680.0</v>
      </c>
      <c r="B686" s="46" t="s">
        <v>22</v>
      </c>
      <c r="C686" s="46" t="s">
        <v>219</v>
      </c>
      <c r="D686" s="46" t="s">
        <v>229</v>
      </c>
      <c r="E686" s="46"/>
      <c r="F686" s="47" t="s">
        <v>18</v>
      </c>
      <c r="G686" s="48"/>
      <c r="H686" s="48"/>
      <c r="I686" s="48"/>
      <c r="J686" s="49"/>
      <c r="K686" s="49"/>
      <c r="L686" s="50"/>
      <c r="M686" s="50"/>
      <c r="N686" s="50"/>
      <c r="O686" s="49"/>
      <c r="P686" s="51"/>
    </row>
    <row r="687" ht="15.0" hidden="1" customHeight="1">
      <c r="A687" s="45">
        <v>681.0</v>
      </c>
      <c r="B687" s="46" t="s">
        <v>22</v>
      </c>
      <c r="C687" s="46" t="s">
        <v>219</v>
      </c>
      <c r="D687" s="46" t="s">
        <v>229</v>
      </c>
      <c r="E687" s="46"/>
      <c r="F687" s="47" t="s">
        <v>19</v>
      </c>
      <c r="G687" s="48">
        <v>861.0</v>
      </c>
      <c r="H687" s="48">
        <v>47.0</v>
      </c>
      <c r="I687" s="48">
        <v>8.0</v>
      </c>
      <c r="J687" s="49">
        <v>94.8237885462555</v>
      </c>
      <c r="K687" s="49"/>
      <c r="L687" s="50">
        <v>725.0</v>
      </c>
      <c r="M687" s="50">
        <v>39.0</v>
      </c>
      <c r="N687" s="50">
        <v>11.0</v>
      </c>
      <c r="O687" s="49">
        <v>94.8952879581152</v>
      </c>
      <c r="P687" s="51"/>
    </row>
    <row r="688" ht="15.0" customHeight="1">
      <c r="A688" s="52">
        <v>682.0</v>
      </c>
      <c r="B688" s="53" t="s">
        <v>24</v>
      </c>
      <c r="C688" s="60" t="s">
        <v>219</v>
      </c>
      <c r="D688" s="60" t="s">
        <v>229</v>
      </c>
      <c r="E688" s="60" t="s">
        <v>230</v>
      </c>
      <c r="F688" s="61" t="s">
        <v>230</v>
      </c>
      <c r="G688" s="54">
        <v>373.0</v>
      </c>
      <c r="H688" s="54">
        <v>18.0</v>
      </c>
      <c r="I688" s="54">
        <v>3.0</v>
      </c>
      <c r="J688" s="55">
        <v>95.3964194373402</v>
      </c>
      <c r="K688" s="55">
        <f>G688+H688+I688</f>
        <v>394</v>
      </c>
      <c r="L688" s="56">
        <v>352.0</v>
      </c>
      <c r="M688" s="56">
        <v>24.0</v>
      </c>
      <c r="N688" s="56">
        <v>6.0</v>
      </c>
      <c r="O688" s="55">
        <v>93.6170212765958</v>
      </c>
      <c r="P688" s="57">
        <f>L688+M688+N688</f>
        <v>382</v>
      </c>
    </row>
    <row r="689" ht="15.0" hidden="1" customHeight="1">
      <c r="A689" s="45">
        <v>683.0</v>
      </c>
      <c r="B689" s="46" t="s">
        <v>24</v>
      </c>
      <c r="C689" s="46" t="s">
        <v>219</v>
      </c>
      <c r="D689" s="46" t="s">
        <v>229</v>
      </c>
      <c r="E689" s="46" t="s">
        <v>230</v>
      </c>
      <c r="F689" s="47" t="s">
        <v>18</v>
      </c>
      <c r="G689" s="48"/>
      <c r="H689" s="48"/>
      <c r="I689" s="48"/>
      <c r="J689" s="49"/>
      <c r="K689" s="49"/>
      <c r="L689" s="50"/>
      <c r="M689" s="50"/>
      <c r="N689" s="50"/>
      <c r="O689" s="49"/>
      <c r="P689" s="51"/>
    </row>
    <row r="690" ht="15.0" hidden="1" customHeight="1">
      <c r="A690" s="45">
        <v>684.0</v>
      </c>
      <c r="B690" s="46" t="s">
        <v>24</v>
      </c>
      <c r="C690" s="46" t="s">
        <v>219</v>
      </c>
      <c r="D690" s="46" t="s">
        <v>229</v>
      </c>
      <c r="E690" s="46" t="s">
        <v>230</v>
      </c>
      <c r="F690" s="47" t="s">
        <v>19</v>
      </c>
      <c r="G690" s="48">
        <v>373.0</v>
      </c>
      <c r="H690" s="48">
        <v>18.0</v>
      </c>
      <c r="I690" s="48">
        <v>3.0</v>
      </c>
      <c r="J690" s="49">
        <v>95.3964194373402</v>
      </c>
      <c r="K690" s="49"/>
      <c r="L690" s="50">
        <v>352.0</v>
      </c>
      <c r="M690" s="50">
        <v>24.0</v>
      </c>
      <c r="N690" s="50">
        <v>6.0</v>
      </c>
      <c r="O690" s="49">
        <v>93.6170212765958</v>
      </c>
      <c r="P690" s="51"/>
    </row>
    <row r="691" ht="15.0" customHeight="1">
      <c r="A691" s="52">
        <v>685.0</v>
      </c>
      <c r="B691" s="53" t="s">
        <v>24</v>
      </c>
      <c r="C691" s="60" t="s">
        <v>219</v>
      </c>
      <c r="D691" s="60" t="s">
        <v>229</v>
      </c>
      <c r="E691" s="60" t="s">
        <v>231</v>
      </c>
      <c r="F691" s="61" t="s">
        <v>231</v>
      </c>
      <c r="G691" s="54">
        <v>488.0</v>
      </c>
      <c r="H691" s="54">
        <v>29.0</v>
      </c>
      <c r="I691" s="54">
        <v>5.0</v>
      </c>
      <c r="J691" s="55">
        <v>94.3907156673114</v>
      </c>
      <c r="K691" s="55">
        <f>G691+H691+I691</f>
        <v>522</v>
      </c>
      <c r="L691" s="56">
        <v>373.0</v>
      </c>
      <c r="M691" s="56">
        <v>15.0</v>
      </c>
      <c r="N691" s="56">
        <v>5.0</v>
      </c>
      <c r="O691" s="55">
        <v>96.1340206185567</v>
      </c>
      <c r="P691" s="57">
        <f>L691+M691+N691</f>
        <v>393</v>
      </c>
    </row>
    <row r="692" ht="15.0" hidden="1" customHeight="1">
      <c r="A692" s="45">
        <v>686.0</v>
      </c>
      <c r="B692" s="46" t="s">
        <v>24</v>
      </c>
      <c r="C692" s="46" t="s">
        <v>219</v>
      </c>
      <c r="D692" s="46" t="s">
        <v>229</v>
      </c>
      <c r="E692" s="46" t="s">
        <v>231</v>
      </c>
      <c r="F692" s="47" t="s">
        <v>18</v>
      </c>
      <c r="G692" s="48"/>
      <c r="H692" s="48"/>
      <c r="I692" s="48"/>
      <c r="J692" s="49"/>
      <c r="K692" s="49"/>
      <c r="L692" s="50"/>
      <c r="M692" s="50"/>
      <c r="N692" s="50"/>
      <c r="O692" s="49"/>
      <c r="P692" s="51"/>
    </row>
    <row r="693" ht="15.0" hidden="1" customHeight="1">
      <c r="A693" s="45">
        <v>687.0</v>
      </c>
      <c r="B693" s="46" t="s">
        <v>24</v>
      </c>
      <c r="C693" s="46" t="s">
        <v>219</v>
      </c>
      <c r="D693" s="46" t="s">
        <v>229</v>
      </c>
      <c r="E693" s="46" t="s">
        <v>231</v>
      </c>
      <c r="F693" s="47" t="s">
        <v>19</v>
      </c>
      <c r="G693" s="48">
        <v>488.0</v>
      </c>
      <c r="H693" s="48">
        <v>29.0</v>
      </c>
      <c r="I693" s="48">
        <v>5.0</v>
      </c>
      <c r="J693" s="49">
        <v>94.3907156673114</v>
      </c>
      <c r="K693" s="49"/>
      <c r="L693" s="50">
        <v>373.0</v>
      </c>
      <c r="M693" s="50">
        <v>15.0</v>
      </c>
      <c r="N693" s="50">
        <v>5.0</v>
      </c>
      <c r="O693" s="49">
        <v>96.1340206185567</v>
      </c>
      <c r="P693" s="51"/>
    </row>
    <row r="694" ht="15.0" hidden="1" customHeight="1">
      <c r="A694" s="39">
        <v>688.0</v>
      </c>
      <c r="B694" s="40" t="s">
        <v>22</v>
      </c>
      <c r="C694" s="59" t="s">
        <v>219</v>
      </c>
      <c r="D694" s="59" t="s">
        <v>232</v>
      </c>
      <c r="E694" s="59"/>
      <c r="F694" s="40" t="s">
        <v>232</v>
      </c>
      <c r="G694" s="41">
        <v>1037.0</v>
      </c>
      <c r="H694" s="41">
        <v>181.0</v>
      </c>
      <c r="I694" s="41">
        <v>6.0</v>
      </c>
      <c r="J694" s="42">
        <v>85.1395730706076</v>
      </c>
      <c r="K694" s="42"/>
      <c r="L694" s="43">
        <v>959.0</v>
      </c>
      <c r="M694" s="43">
        <v>121.0</v>
      </c>
      <c r="N694" s="43">
        <v>14.0</v>
      </c>
      <c r="O694" s="42">
        <v>88.7962962962963</v>
      </c>
      <c r="P694" s="44"/>
    </row>
    <row r="695" ht="15.0" hidden="1" customHeight="1">
      <c r="A695" s="45">
        <v>689.0</v>
      </c>
      <c r="B695" s="46" t="s">
        <v>22</v>
      </c>
      <c r="C695" s="46" t="s">
        <v>219</v>
      </c>
      <c r="D695" s="46" t="s">
        <v>232</v>
      </c>
      <c r="E695" s="46"/>
      <c r="F695" s="47" t="s">
        <v>18</v>
      </c>
      <c r="G695" s="48"/>
      <c r="H695" s="48"/>
      <c r="I695" s="48"/>
      <c r="J695" s="49"/>
      <c r="K695" s="49"/>
      <c r="L695" s="50">
        <v>414.0</v>
      </c>
      <c r="M695" s="50">
        <v>29.0</v>
      </c>
      <c r="N695" s="50">
        <v>8.0</v>
      </c>
      <c r="O695" s="49">
        <v>93.4537246049661</v>
      </c>
      <c r="P695" s="51"/>
    </row>
    <row r="696" ht="15.0" hidden="1" customHeight="1">
      <c r="A696" s="45">
        <v>690.0</v>
      </c>
      <c r="B696" s="46" t="s">
        <v>22</v>
      </c>
      <c r="C696" s="46" t="s">
        <v>219</v>
      </c>
      <c r="D696" s="46" t="s">
        <v>232</v>
      </c>
      <c r="E696" s="46"/>
      <c r="F696" s="47" t="s">
        <v>19</v>
      </c>
      <c r="G696" s="48">
        <v>1037.0</v>
      </c>
      <c r="H696" s="48">
        <v>181.0</v>
      </c>
      <c r="I696" s="48">
        <v>6.0</v>
      </c>
      <c r="J696" s="49">
        <v>85.1395730706076</v>
      </c>
      <c r="K696" s="49"/>
      <c r="L696" s="50">
        <v>545.0</v>
      </c>
      <c r="M696" s="50">
        <v>92.0</v>
      </c>
      <c r="N696" s="50">
        <v>6.0</v>
      </c>
      <c r="O696" s="49">
        <v>85.5572998430141</v>
      </c>
      <c r="P696" s="51"/>
    </row>
    <row r="697" ht="15.0" customHeight="1">
      <c r="A697" s="52">
        <v>691.0</v>
      </c>
      <c r="B697" s="53" t="s">
        <v>24</v>
      </c>
      <c r="C697" s="60" t="s">
        <v>219</v>
      </c>
      <c r="D697" s="60" t="s">
        <v>232</v>
      </c>
      <c r="E697" s="60" t="s">
        <v>233</v>
      </c>
      <c r="F697" s="61" t="s">
        <v>233</v>
      </c>
      <c r="G697" s="54">
        <v>80.0</v>
      </c>
      <c r="H697" s="54">
        <v>6.0</v>
      </c>
      <c r="I697" s="54">
        <v>0.0</v>
      </c>
      <c r="J697" s="55">
        <v>93.0232558139535</v>
      </c>
      <c r="K697" s="55">
        <f>G697+H697+I697</f>
        <v>86</v>
      </c>
      <c r="L697" s="56">
        <v>228.0</v>
      </c>
      <c r="M697" s="56">
        <v>19.0</v>
      </c>
      <c r="N697" s="56">
        <v>2.0</v>
      </c>
      <c r="O697" s="55">
        <v>92.3076923076923</v>
      </c>
      <c r="P697" s="57">
        <f>L697+M697+N697</f>
        <v>249</v>
      </c>
    </row>
    <row r="698" ht="15.0" hidden="1" customHeight="1">
      <c r="A698" s="45">
        <v>692.0</v>
      </c>
      <c r="B698" s="46" t="s">
        <v>24</v>
      </c>
      <c r="C698" s="46" t="s">
        <v>219</v>
      </c>
      <c r="D698" s="46" t="s">
        <v>232</v>
      </c>
      <c r="E698" s="46" t="s">
        <v>233</v>
      </c>
      <c r="F698" s="47" t="s">
        <v>18</v>
      </c>
      <c r="G698" s="48"/>
      <c r="H698" s="48"/>
      <c r="I698" s="48"/>
      <c r="J698" s="49"/>
      <c r="K698" s="49"/>
      <c r="L698" s="50">
        <v>215.0</v>
      </c>
      <c r="M698" s="50">
        <v>19.0</v>
      </c>
      <c r="N698" s="50">
        <v>2.0</v>
      </c>
      <c r="O698" s="49">
        <v>91.8803418803419</v>
      </c>
      <c r="P698" s="51"/>
    </row>
    <row r="699" ht="15.0" hidden="1" customHeight="1">
      <c r="A699" s="45">
        <v>693.0</v>
      </c>
      <c r="B699" s="46" t="s">
        <v>24</v>
      </c>
      <c r="C699" s="46" t="s">
        <v>219</v>
      </c>
      <c r="D699" s="46" t="s">
        <v>232</v>
      </c>
      <c r="E699" s="46" t="s">
        <v>233</v>
      </c>
      <c r="F699" s="47" t="s">
        <v>19</v>
      </c>
      <c r="G699" s="48">
        <v>80.0</v>
      </c>
      <c r="H699" s="48">
        <v>6.0</v>
      </c>
      <c r="I699" s="48">
        <v>0.0</v>
      </c>
      <c r="J699" s="49">
        <v>93.0232558139535</v>
      </c>
      <c r="K699" s="49"/>
      <c r="L699" s="50">
        <v>13.0</v>
      </c>
      <c r="M699" s="50">
        <v>0.0</v>
      </c>
      <c r="N699" s="50">
        <v>0.0</v>
      </c>
      <c r="O699" s="49">
        <v>100.0</v>
      </c>
      <c r="P699" s="51"/>
    </row>
    <row r="700" ht="15.0" customHeight="1">
      <c r="A700" s="52">
        <v>694.0</v>
      </c>
      <c r="B700" s="53" t="s">
        <v>24</v>
      </c>
      <c r="C700" s="60" t="s">
        <v>219</v>
      </c>
      <c r="D700" s="60" t="s">
        <v>232</v>
      </c>
      <c r="E700" s="60" t="s">
        <v>234</v>
      </c>
      <c r="F700" s="61" t="s">
        <v>234</v>
      </c>
      <c r="G700" s="54">
        <v>393.0</v>
      </c>
      <c r="H700" s="54">
        <v>66.0</v>
      </c>
      <c r="I700" s="54">
        <v>1.0</v>
      </c>
      <c r="J700" s="55">
        <v>85.6209150326797</v>
      </c>
      <c r="K700" s="55">
        <f>G700+H700+I700</f>
        <v>460</v>
      </c>
      <c r="L700" s="56">
        <v>314.0</v>
      </c>
      <c r="M700" s="56">
        <v>28.0</v>
      </c>
      <c r="N700" s="56">
        <v>8.0</v>
      </c>
      <c r="O700" s="55">
        <v>91.812865497076</v>
      </c>
      <c r="P700" s="57">
        <f>L700+M700+N700</f>
        <v>350</v>
      </c>
    </row>
    <row r="701" ht="15.0" hidden="1" customHeight="1">
      <c r="A701" s="45">
        <v>695.0</v>
      </c>
      <c r="B701" s="46" t="s">
        <v>24</v>
      </c>
      <c r="C701" s="46" t="s">
        <v>219</v>
      </c>
      <c r="D701" s="46" t="s">
        <v>232</v>
      </c>
      <c r="E701" s="46" t="s">
        <v>234</v>
      </c>
      <c r="F701" s="47" t="s">
        <v>18</v>
      </c>
      <c r="G701" s="48"/>
      <c r="H701" s="48"/>
      <c r="I701" s="48"/>
      <c r="J701" s="49"/>
      <c r="K701" s="49"/>
      <c r="L701" s="50">
        <v>199.0</v>
      </c>
      <c r="M701" s="50">
        <v>10.0</v>
      </c>
      <c r="N701" s="50">
        <v>6.0</v>
      </c>
      <c r="O701" s="49">
        <v>95.2153110047847</v>
      </c>
      <c r="P701" s="51"/>
    </row>
    <row r="702" ht="15.0" hidden="1" customHeight="1">
      <c r="A702" s="45">
        <v>696.0</v>
      </c>
      <c r="B702" s="46" t="s">
        <v>24</v>
      </c>
      <c r="C702" s="46" t="s">
        <v>219</v>
      </c>
      <c r="D702" s="46" t="s">
        <v>232</v>
      </c>
      <c r="E702" s="46" t="s">
        <v>234</v>
      </c>
      <c r="F702" s="47" t="s">
        <v>19</v>
      </c>
      <c r="G702" s="48">
        <v>393.0</v>
      </c>
      <c r="H702" s="48">
        <v>66.0</v>
      </c>
      <c r="I702" s="48">
        <v>1.0</v>
      </c>
      <c r="J702" s="49">
        <v>85.6209150326797</v>
      </c>
      <c r="K702" s="49"/>
      <c r="L702" s="50">
        <v>115.0</v>
      </c>
      <c r="M702" s="50">
        <v>18.0</v>
      </c>
      <c r="N702" s="50">
        <v>2.0</v>
      </c>
      <c r="O702" s="49">
        <v>86.4661654135338</v>
      </c>
      <c r="P702" s="51"/>
    </row>
    <row r="703" ht="15.0" customHeight="1">
      <c r="A703" s="52">
        <v>697.0</v>
      </c>
      <c r="B703" s="53" t="s">
        <v>24</v>
      </c>
      <c r="C703" s="60" t="s">
        <v>219</v>
      </c>
      <c r="D703" s="60" t="s">
        <v>232</v>
      </c>
      <c r="E703" s="60" t="s">
        <v>235</v>
      </c>
      <c r="F703" s="61" t="s">
        <v>235</v>
      </c>
      <c r="G703" s="54">
        <v>195.0</v>
      </c>
      <c r="H703" s="54">
        <v>51.0</v>
      </c>
      <c r="I703" s="54">
        <v>2.0</v>
      </c>
      <c r="J703" s="55">
        <v>79.2682926829268</v>
      </c>
      <c r="K703" s="55">
        <f>G703+H703+I703</f>
        <v>248</v>
      </c>
      <c r="L703" s="56">
        <v>80.0</v>
      </c>
      <c r="M703" s="56">
        <v>15.0</v>
      </c>
      <c r="N703" s="56">
        <v>4.0</v>
      </c>
      <c r="O703" s="55">
        <v>84.2105263157895</v>
      </c>
      <c r="P703" s="57">
        <f>L703+M703+N703</f>
        <v>99</v>
      </c>
    </row>
    <row r="704" ht="15.0" hidden="1" customHeight="1">
      <c r="A704" s="45">
        <v>698.0</v>
      </c>
      <c r="B704" s="46" t="s">
        <v>24</v>
      </c>
      <c r="C704" s="46" t="s">
        <v>219</v>
      </c>
      <c r="D704" s="46" t="s">
        <v>232</v>
      </c>
      <c r="E704" s="46" t="s">
        <v>235</v>
      </c>
      <c r="F704" s="47" t="s">
        <v>18</v>
      </c>
      <c r="G704" s="48"/>
      <c r="H704" s="48"/>
      <c r="I704" s="48"/>
      <c r="J704" s="49"/>
      <c r="K704" s="49"/>
      <c r="L704" s="50"/>
      <c r="M704" s="50"/>
      <c r="N704" s="50"/>
      <c r="O704" s="49"/>
      <c r="P704" s="51"/>
    </row>
    <row r="705" ht="15.0" hidden="1" customHeight="1">
      <c r="A705" s="45">
        <v>699.0</v>
      </c>
      <c r="B705" s="46" t="s">
        <v>24</v>
      </c>
      <c r="C705" s="46" t="s">
        <v>219</v>
      </c>
      <c r="D705" s="46" t="s">
        <v>232</v>
      </c>
      <c r="E705" s="46" t="s">
        <v>235</v>
      </c>
      <c r="F705" s="47" t="s">
        <v>19</v>
      </c>
      <c r="G705" s="48">
        <v>195.0</v>
      </c>
      <c r="H705" s="48">
        <v>51.0</v>
      </c>
      <c r="I705" s="48">
        <v>2.0</v>
      </c>
      <c r="J705" s="49">
        <v>79.2682926829268</v>
      </c>
      <c r="K705" s="49"/>
      <c r="L705" s="50">
        <v>80.0</v>
      </c>
      <c r="M705" s="50">
        <v>15.0</v>
      </c>
      <c r="N705" s="50">
        <v>4.0</v>
      </c>
      <c r="O705" s="49">
        <v>84.2105263157895</v>
      </c>
      <c r="P705" s="51"/>
    </row>
    <row r="706" ht="15.0" customHeight="1">
      <c r="A706" s="52">
        <v>700.0</v>
      </c>
      <c r="B706" s="53" t="s">
        <v>24</v>
      </c>
      <c r="C706" s="60" t="s">
        <v>219</v>
      </c>
      <c r="D706" s="60" t="s">
        <v>232</v>
      </c>
      <c r="E706" s="60" t="s">
        <v>236</v>
      </c>
      <c r="F706" s="61" t="s">
        <v>236</v>
      </c>
      <c r="G706" s="54">
        <v>45.0</v>
      </c>
      <c r="H706" s="54">
        <v>7.0</v>
      </c>
      <c r="I706" s="54">
        <v>0.0</v>
      </c>
      <c r="J706" s="55">
        <v>86.5384615384615</v>
      </c>
      <c r="K706" s="55">
        <f>G706+H706+I706</f>
        <v>52</v>
      </c>
      <c r="L706" s="56">
        <v>64.0</v>
      </c>
      <c r="M706" s="56">
        <v>11.0</v>
      </c>
      <c r="N706" s="56">
        <v>0.0</v>
      </c>
      <c r="O706" s="55">
        <v>85.3333333333333</v>
      </c>
      <c r="P706" s="57">
        <f>L706+M706+N706</f>
        <v>75</v>
      </c>
    </row>
    <row r="707" ht="15.0" hidden="1" customHeight="1">
      <c r="A707" s="45">
        <v>701.0</v>
      </c>
      <c r="B707" s="46" t="s">
        <v>24</v>
      </c>
      <c r="C707" s="46" t="s">
        <v>219</v>
      </c>
      <c r="D707" s="46" t="s">
        <v>232</v>
      </c>
      <c r="E707" s="46" t="s">
        <v>236</v>
      </c>
      <c r="F707" s="47" t="s">
        <v>18</v>
      </c>
      <c r="G707" s="48"/>
      <c r="H707" s="48"/>
      <c r="I707" s="48"/>
      <c r="J707" s="49"/>
      <c r="K707" s="49"/>
      <c r="L707" s="50"/>
      <c r="M707" s="50"/>
      <c r="N707" s="50"/>
      <c r="O707" s="49"/>
      <c r="P707" s="51"/>
    </row>
    <row r="708" ht="15.0" hidden="1" customHeight="1">
      <c r="A708" s="45">
        <v>702.0</v>
      </c>
      <c r="B708" s="46" t="s">
        <v>24</v>
      </c>
      <c r="C708" s="46" t="s">
        <v>219</v>
      </c>
      <c r="D708" s="46" t="s">
        <v>232</v>
      </c>
      <c r="E708" s="46" t="s">
        <v>236</v>
      </c>
      <c r="F708" s="47" t="s">
        <v>19</v>
      </c>
      <c r="G708" s="48">
        <v>45.0</v>
      </c>
      <c r="H708" s="48">
        <v>7.0</v>
      </c>
      <c r="I708" s="48">
        <v>0.0</v>
      </c>
      <c r="J708" s="49">
        <v>86.5384615384615</v>
      </c>
      <c r="K708" s="49"/>
      <c r="L708" s="50">
        <v>64.0</v>
      </c>
      <c r="M708" s="50">
        <v>11.0</v>
      </c>
      <c r="N708" s="50">
        <v>0.0</v>
      </c>
      <c r="O708" s="49">
        <v>85.3333333333333</v>
      </c>
      <c r="P708" s="51"/>
    </row>
    <row r="709" ht="15.0" customHeight="1">
      <c r="A709" s="52">
        <v>703.0</v>
      </c>
      <c r="B709" s="53" t="s">
        <v>24</v>
      </c>
      <c r="C709" s="60" t="s">
        <v>219</v>
      </c>
      <c r="D709" s="60" t="s">
        <v>232</v>
      </c>
      <c r="E709" s="60" t="s">
        <v>237</v>
      </c>
      <c r="F709" s="61" t="s">
        <v>237</v>
      </c>
      <c r="G709" s="54">
        <v>324.0</v>
      </c>
      <c r="H709" s="54">
        <v>51.0</v>
      </c>
      <c r="I709" s="54">
        <v>3.0</v>
      </c>
      <c r="J709" s="55">
        <v>86.4</v>
      </c>
      <c r="K709" s="55">
        <f>G709+H709+I709</f>
        <v>378</v>
      </c>
      <c r="L709" s="56">
        <v>273.0</v>
      </c>
      <c r="M709" s="56">
        <v>48.0</v>
      </c>
      <c r="N709" s="56">
        <v>0.0</v>
      </c>
      <c r="O709" s="55">
        <v>85.0467289719626</v>
      </c>
      <c r="P709" s="57">
        <f>L709+M709+N709</f>
        <v>321</v>
      </c>
    </row>
    <row r="710" ht="15.0" hidden="1" customHeight="1">
      <c r="A710" s="45">
        <v>704.0</v>
      </c>
      <c r="B710" s="46" t="s">
        <v>24</v>
      </c>
      <c r="C710" s="46" t="s">
        <v>219</v>
      </c>
      <c r="D710" s="46" t="s">
        <v>232</v>
      </c>
      <c r="E710" s="46" t="s">
        <v>237</v>
      </c>
      <c r="F710" s="47" t="s">
        <v>18</v>
      </c>
      <c r="G710" s="48"/>
      <c r="H710" s="48"/>
      <c r="I710" s="48"/>
      <c r="J710" s="49"/>
      <c r="K710" s="49"/>
      <c r="L710" s="50"/>
      <c r="M710" s="50"/>
      <c r="N710" s="50"/>
      <c r="O710" s="49"/>
      <c r="P710" s="51"/>
    </row>
    <row r="711" ht="15.0" hidden="1" customHeight="1">
      <c r="A711" s="45">
        <v>705.0</v>
      </c>
      <c r="B711" s="46" t="s">
        <v>24</v>
      </c>
      <c r="C711" s="46" t="s">
        <v>219</v>
      </c>
      <c r="D711" s="46" t="s">
        <v>232</v>
      </c>
      <c r="E711" s="46" t="s">
        <v>237</v>
      </c>
      <c r="F711" s="47" t="s">
        <v>19</v>
      </c>
      <c r="G711" s="48">
        <v>324.0</v>
      </c>
      <c r="H711" s="48">
        <v>51.0</v>
      </c>
      <c r="I711" s="48">
        <v>3.0</v>
      </c>
      <c r="J711" s="49">
        <v>86.4</v>
      </c>
      <c r="K711" s="49"/>
      <c r="L711" s="50">
        <v>273.0</v>
      </c>
      <c r="M711" s="50">
        <v>48.0</v>
      </c>
      <c r="N711" s="50">
        <v>0.0</v>
      </c>
      <c r="O711" s="49">
        <v>85.0467289719626</v>
      </c>
      <c r="P711" s="51"/>
    </row>
    <row r="712" ht="15.0" hidden="1" customHeight="1">
      <c r="A712" s="39">
        <v>706.0</v>
      </c>
      <c r="B712" s="40" t="s">
        <v>22</v>
      </c>
      <c r="C712" s="59" t="s">
        <v>219</v>
      </c>
      <c r="D712" s="59" t="s">
        <v>238</v>
      </c>
      <c r="E712" s="59"/>
      <c r="F712" s="40" t="s">
        <v>238</v>
      </c>
      <c r="G712" s="41">
        <v>1659.0</v>
      </c>
      <c r="H712" s="41">
        <v>103.0</v>
      </c>
      <c r="I712" s="41">
        <v>20.0</v>
      </c>
      <c r="J712" s="42">
        <v>94.1543700340522</v>
      </c>
      <c r="K712" s="42"/>
      <c r="L712" s="43">
        <v>1229.0</v>
      </c>
      <c r="M712" s="43">
        <v>69.0</v>
      </c>
      <c r="N712" s="43">
        <v>3.0</v>
      </c>
      <c r="O712" s="42">
        <v>94.6841294298921</v>
      </c>
      <c r="P712" s="44"/>
    </row>
    <row r="713" ht="15.0" hidden="1" customHeight="1">
      <c r="A713" s="45">
        <v>707.0</v>
      </c>
      <c r="B713" s="46" t="s">
        <v>22</v>
      </c>
      <c r="C713" s="46" t="s">
        <v>219</v>
      </c>
      <c r="D713" s="46" t="s">
        <v>238</v>
      </c>
      <c r="E713" s="46"/>
      <c r="F713" s="47" t="s">
        <v>18</v>
      </c>
      <c r="G713" s="48">
        <v>437.0</v>
      </c>
      <c r="H713" s="48">
        <v>13.0</v>
      </c>
      <c r="I713" s="48">
        <v>4.0</v>
      </c>
      <c r="J713" s="49">
        <v>97.1111111111111</v>
      </c>
      <c r="K713" s="49"/>
      <c r="L713" s="50">
        <v>478.0</v>
      </c>
      <c r="M713" s="50">
        <v>20.0</v>
      </c>
      <c r="N713" s="50">
        <v>0.0</v>
      </c>
      <c r="O713" s="49">
        <v>95.9839357429719</v>
      </c>
      <c r="P713" s="51"/>
    </row>
    <row r="714" ht="15.0" hidden="1" customHeight="1">
      <c r="A714" s="45">
        <v>708.0</v>
      </c>
      <c r="B714" s="46" t="s">
        <v>22</v>
      </c>
      <c r="C714" s="46" t="s">
        <v>219</v>
      </c>
      <c r="D714" s="46" t="s">
        <v>238</v>
      </c>
      <c r="E714" s="46"/>
      <c r="F714" s="47" t="s">
        <v>19</v>
      </c>
      <c r="G714" s="48">
        <v>1222.0</v>
      </c>
      <c r="H714" s="48">
        <v>90.0</v>
      </c>
      <c r="I714" s="48">
        <v>16.0</v>
      </c>
      <c r="J714" s="49">
        <v>93.140243902439</v>
      </c>
      <c r="K714" s="49"/>
      <c r="L714" s="50">
        <v>751.0</v>
      </c>
      <c r="M714" s="50">
        <v>49.0</v>
      </c>
      <c r="N714" s="50">
        <v>3.0</v>
      </c>
      <c r="O714" s="49">
        <v>93.875</v>
      </c>
      <c r="P714" s="51"/>
    </row>
    <row r="715" ht="15.0" customHeight="1">
      <c r="A715" s="52">
        <v>709.0</v>
      </c>
      <c r="B715" s="53" t="s">
        <v>24</v>
      </c>
      <c r="C715" s="60" t="s">
        <v>219</v>
      </c>
      <c r="D715" s="60" t="s">
        <v>238</v>
      </c>
      <c r="E715" s="60" t="s">
        <v>238</v>
      </c>
      <c r="F715" s="61" t="s">
        <v>238</v>
      </c>
      <c r="G715" s="54">
        <v>695.0</v>
      </c>
      <c r="H715" s="54">
        <v>25.0</v>
      </c>
      <c r="I715" s="54">
        <v>6.0</v>
      </c>
      <c r="J715" s="55">
        <v>96.5277777777778</v>
      </c>
      <c r="K715" s="55">
        <f>G715+H715+I715</f>
        <v>726</v>
      </c>
      <c r="L715" s="56">
        <v>715.0</v>
      </c>
      <c r="M715" s="56">
        <v>38.0</v>
      </c>
      <c r="N715" s="56">
        <v>0.0</v>
      </c>
      <c r="O715" s="55">
        <v>94.9535192563081</v>
      </c>
      <c r="P715" s="57">
        <f>L715+M715+N715</f>
        <v>753</v>
      </c>
    </row>
    <row r="716" ht="15.0" hidden="1" customHeight="1">
      <c r="A716" s="45">
        <v>710.0</v>
      </c>
      <c r="B716" s="46" t="s">
        <v>24</v>
      </c>
      <c r="C716" s="46" t="s">
        <v>219</v>
      </c>
      <c r="D716" s="46" t="s">
        <v>238</v>
      </c>
      <c r="E716" s="46" t="s">
        <v>238</v>
      </c>
      <c r="F716" s="47" t="s">
        <v>18</v>
      </c>
      <c r="G716" s="48">
        <v>437.0</v>
      </c>
      <c r="H716" s="48">
        <v>13.0</v>
      </c>
      <c r="I716" s="48">
        <v>4.0</v>
      </c>
      <c r="J716" s="49">
        <v>97.1111111111111</v>
      </c>
      <c r="K716" s="49"/>
      <c r="L716" s="50">
        <v>478.0</v>
      </c>
      <c r="M716" s="50">
        <v>20.0</v>
      </c>
      <c r="N716" s="50">
        <v>0.0</v>
      </c>
      <c r="O716" s="49">
        <v>95.9839357429719</v>
      </c>
      <c r="P716" s="51"/>
    </row>
    <row r="717" ht="15.0" hidden="1" customHeight="1">
      <c r="A717" s="45">
        <v>711.0</v>
      </c>
      <c r="B717" s="46" t="s">
        <v>24</v>
      </c>
      <c r="C717" s="46" t="s">
        <v>219</v>
      </c>
      <c r="D717" s="46" t="s">
        <v>238</v>
      </c>
      <c r="E717" s="46" t="s">
        <v>238</v>
      </c>
      <c r="F717" s="47" t="s">
        <v>19</v>
      </c>
      <c r="G717" s="48">
        <v>258.0</v>
      </c>
      <c r="H717" s="48">
        <v>12.0</v>
      </c>
      <c r="I717" s="48">
        <v>2.0</v>
      </c>
      <c r="J717" s="49">
        <v>95.5555555555556</v>
      </c>
      <c r="K717" s="49"/>
      <c r="L717" s="50">
        <v>237.0</v>
      </c>
      <c r="M717" s="50">
        <v>18.0</v>
      </c>
      <c r="N717" s="50">
        <v>0.0</v>
      </c>
      <c r="O717" s="49">
        <v>92.9411764705882</v>
      </c>
      <c r="P717" s="51"/>
    </row>
    <row r="718" ht="15.0" customHeight="1">
      <c r="A718" s="52">
        <v>712.0</v>
      </c>
      <c r="B718" s="53" t="s">
        <v>24</v>
      </c>
      <c r="C718" s="60" t="s">
        <v>219</v>
      </c>
      <c r="D718" s="60" t="s">
        <v>238</v>
      </c>
      <c r="E718" s="60" t="s">
        <v>239</v>
      </c>
      <c r="F718" s="61" t="s">
        <v>239</v>
      </c>
      <c r="G718" s="54">
        <v>600.0</v>
      </c>
      <c r="H718" s="54">
        <v>48.0</v>
      </c>
      <c r="I718" s="54">
        <v>12.0</v>
      </c>
      <c r="J718" s="55">
        <v>92.5925925925926</v>
      </c>
      <c r="K718" s="55">
        <f>G718+H718+I718</f>
        <v>660</v>
      </c>
      <c r="L718" s="56">
        <v>273.0</v>
      </c>
      <c r="M718" s="56">
        <v>26.0</v>
      </c>
      <c r="N718" s="56">
        <v>2.0</v>
      </c>
      <c r="O718" s="55">
        <v>91.304347826087</v>
      </c>
      <c r="P718" s="57">
        <f>L718+M718+N718</f>
        <v>301</v>
      </c>
    </row>
    <row r="719" ht="15.0" hidden="1" customHeight="1">
      <c r="A719" s="45">
        <v>713.0</v>
      </c>
      <c r="B719" s="46" t="s">
        <v>24</v>
      </c>
      <c r="C719" s="46" t="s">
        <v>219</v>
      </c>
      <c r="D719" s="46" t="s">
        <v>238</v>
      </c>
      <c r="E719" s="46" t="s">
        <v>239</v>
      </c>
      <c r="F719" s="47" t="s">
        <v>18</v>
      </c>
      <c r="G719" s="48"/>
      <c r="H719" s="48"/>
      <c r="I719" s="48"/>
      <c r="J719" s="49"/>
      <c r="K719" s="49"/>
      <c r="L719" s="50"/>
      <c r="M719" s="50"/>
      <c r="N719" s="50"/>
      <c r="O719" s="49"/>
      <c r="P719" s="51"/>
    </row>
    <row r="720" ht="15.0" hidden="1" customHeight="1">
      <c r="A720" s="45">
        <v>714.0</v>
      </c>
      <c r="B720" s="46" t="s">
        <v>24</v>
      </c>
      <c r="C720" s="46" t="s">
        <v>219</v>
      </c>
      <c r="D720" s="46" t="s">
        <v>238</v>
      </c>
      <c r="E720" s="46" t="s">
        <v>239</v>
      </c>
      <c r="F720" s="47" t="s">
        <v>19</v>
      </c>
      <c r="G720" s="48">
        <v>600.0</v>
      </c>
      <c r="H720" s="48">
        <v>48.0</v>
      </c>
      <c r="I720" s="48">
        <v>12.0</v>
      </c>
      <c r="J720" s="49">
        <v>92.5925925925926</v>
      </c>
      <c r="K720" s="49"/>
      <c r="L720" s="50">
        <v>273.0</v>
      </c>
      <c r="M720" s="50">
        <v>26.0</v>
      </c>
      <c r="N720" s="50">
        <v>2.0</v>
      </c>
      <c r="O720" s="49">
        <v>91.304347826087</v>
      </c>
      <c r="P720" s="51"/>
    </row>
    <row r="721" ht="15.0" customHeight="1">
      <c r="A721" s="52">
        <v>715.0</v>
      </c>
      <c r="B721" s="53" t="s">
        <v>24</v>
      </c>
      <c r="C721" s="60" t="s">
        <v>219</v>
      </c>
      <c r="D721" s="60" t="s">
        <v>238</v>
      </c>
      <c r="E721" s="60" t="s">
        <v>240</v>
      </c>
      <c r="F721" s="61" t="s">
        <v>240</v>
      </c>
      <c r="G721" s="54">
        <v>364.0</v>
      </c>
      <c r="H721" s="54">
        <v>30.0</v>
      </c>
      <c r="I721" s="54">
        <v>2.0</v>
      </c>
      <c r="J721" s="55">
        <v>92.3857868020305</v>
      </c>
      <c r="K721" s="55">
        <f>G721+H721+I721</f>
        <v>396</v>
      </c>
      <c r="L721" s="56">
        <v>241.0</v>
      </c>
      <c r="M721" s="56">
        <v>5.0</v>
      </c>
      <c r="N721" s="56">
        <v>1.0</v>
      </c>
      <c r="O721" s="55">
        <v>97.9674796747967</v>
      </c>
      <c r="P721" s="57">
        <f>L721+M721+N721</f>
        <v>247</v>
      </c>
    </row>
    <row r="722" ht="15.0" hidden="1" customHeight="1">
      <c r="A722" s="45">
        <v>716.0</v>
      </c>
      <c r="B722" s="46" t="s">
        <v>24</v>
      </c>
      <c r="C722" s="46" t="s">
        <v>219</v>
      </c>
      <c r="D722" s="46" t="s">
        <v>238</v>
      </c>
      <c r="E722" s="46" t="s">
        <v>240</v>
      </c>
      <c r="F722" s="47" t="s">
        <v>18</v>
      </c>
      <c r="G722" s="48"/>
      <c r="H722" s="48"/>
      <c r="I722" s="48"/>
      <c r="J722" s="49"/>
      <c r="K722" s="49"/>
      <c r="L722" s="50"/>
      <c r="M722" s="50"/>
      <c r="N722" s="50"/>
      <c r="O722" s="49"/>
      <c r="P722" s="51"/>
    </row>
    <row r="723" ht="15.0" hidden="1" customHeight="1">
      <c r="A723" s="45">
        <v>717.0</v>
      </c>
      <c r="B723" s="46" t="s">
        <v>24</v>
      </c>
      <c r="C723" s="46" t="s">
        <v>219</v>
      </c>
      <c r="D723" s="46" t="s">
        <v>238</v>
      </c>
      <c r="E723" s="46" t="s">
        <v>240</v>
      </c>
      <c r="F723" s="47" t="s">
        <v>19</v>
      </c>
      <c r="G723" s="48">
        <v>364.0</v>
      </c>
      <c r="H723" s="48">
        <v>30.0</v>
      </c>
      <c r="I723" s="48">
        <v>2.0</v>
      </c>
      <c r="J723" s="49">
        <v>92.3857868020305</v>
      </c>
      <c r="K723" s="49"/>
      <c r="L723" s="50">
        <v>241.0</v>
      </c>
      <c r="M723" s="50">
        <v>5.0</v>
      </c>
      <c r="N723" s="50">
        <v>1.0</v>
      </c>
      <c r="O723" s="49">
        <v>97.9674796747967</v>
      </c>
      <c r="P723" s="51"/>
    </row>
    <row r="724" ht="15.0" hidden="1" customHeight="1">
      <c r="A724" s="39">
        <v>718.0</v>
      </c>
      <c r="B724" s="40" t="s">
        <v>22</v>
      </c>
      <c r="C724" s="59" t="s">
        <v>219</v>
      </c>
      <c r="D724" s="59" t="s">
        <v>241</v>
      </c>
      <c r="E724" s="59"/>
      <c r="F724" s="40" t="s">
        <v>241</v>
      </c>
      <c r="G724" s="41">
        <v>3386.0</v>
      </c>
      <c r="H724" s="41">
        <v>164.0</v>
      </c>
      <c r="I724" s="41">
        <v>15.0</v>
      </c>
      <c r="J724" s="42">
        <v>95.3802816901408</v>
      </c>
      <c r="K724" s="42"/>
      <c r="L724" s="43">
        <v>1710.0</v>
      </c>
      <c r="M724" s="43">
        <v>20.0</v>
      </c>
      <c r="N724" s="43">
        <v>11.0</v>
      </c>
      <c r="O724" s="42">
        <v>98.8439306358381</v>
      </c>
      <c r="P724" s="44"/>
    </row>
    <row r="725" ht="15.0" hidden="1" customHeight="1">
      <c r="A725" s="45">
        <v>719.0</v>
      </c>
      <c r="B725" s="46" t="s">
        <v>22</v>
      </c>
      <c r="C725" s="46" t="s">
        <v>219</v>
      </c>
      <c r="D725" s="46" t="s">
        <v>241</v>
      </c>
      <c r="E725" s="46"/>
      <c r="F725" s="47" t="s">
        <v>18</v>
      </c>
      <c r="G725" s="48">
        <v>2714.0</v>
      </c>
      <c r="H725" s="48">
        <v>108.0</v>
      </c>
      <c r="I725" s="48">
        <v>10.0</v>
      </c>
      <c r="J725" s="49">
        <v>96.1729270021262</v>
      </c>
      <c r="K725" s="49"/>
      <c r="L725" s="50">
        <v>1219.0</v>
      </c>
      <c r="M725" s="50">
        <v>14.0</v>
      </c>
      <c r="N725" s="50">
        <v>5.0</v>
      </c>
      <c r="O725" s="49">
        <v>98.8645579886456</v>
      </c>
      <c r="P725" s="51"/>
    </row>
    <row r="726" ht="15.0" hidden="1" customHeight="1">
      <c r="A726" s="45">
        <v>720.0</v>
      </c>
      <c r="B726" s="46" t="s">
        <v>22</v>
      </c>
      <c r="C726" s="46" t="s">
        <v>219</v>
      </c>
      <c r="D726" s="46" t="s">
        <v>241</v>
      </c>
      <c r="E726" s="46"/>
      <c r="F726" s="47" t="s">
        <v>19</v>
      </c>
      <c r="G726" s="48">
        <v>672.0</v>
      </c>
      <c r="H726" s="48">
        <v>56.0</v>
      </c>
      <c r="I726" s="48">
        <v>5.0</v>
      </c>
      <c r="J726" s="49">
        <v>92.3076923076923</v>
      </c>
      <c r="K726" s="49"/>
      <c r="L726" s="50">
        <v>491.0</v>
      </c>
      <c r="M726" s="50">
        <v>6.0</v>
      </c>
      <c r="N726" s="50">
        <v>6.0</v>
      </c>
      <c r="O726" s="49">
        <v>98.7927565392354</v>
      </c>
      <c r="P726" s="51"/>
    </row>
    <row r="727" ht="15.0" customHeight="1">
      <c r="A727" s="52">
        <v>721.0</v>
      </c>
      <c r="B727" s="53" t="s">
        <v>24</v>
      </c>
      <c r="C727" s="60" t="s">
        <v>219</v>
      </c>
      <c r="D727" s="60" t="s">
        <v>241</v>
      </c>
      <c r="E727" s="60" t="s">
        <v>242</v>
      </c>
      <c r="F727" s="61" t="s">
        <v>242</v>
      </c>
      <c r="G727" s="54">
        <v>2907.0</v>
      </c>
      <c r="H727" s="54">
        <v>119.0</v>
      </c>
      <c r="I727" s="54">
        <v>11.0</v>
      </c>
      <c r="J727" s="55">
        <v>96.0674157303371</v>
      </c>
      <c r="K727" s="55">
        <f>G727+H727+I727</f>
        <v>3037</v>
      </c>
      <c r="L727" s="56">
        <v>1284.0</v>
      </c>
      <c r="M727" s="56">
        <v>15.0</v>
      </c>
      <c r="N727" s="56">
        <v>8.0</v>
      </c>
      <c r="O727" s="55">
        <v>98.8452655889146</v>
      </c>
      <c r="P727" s="57">
        <f>L727+M727+N727</f>
        <v>1307</v>
      </c>
    </row>
    <row r="728" ht="15.0" hidden="1" customHeight="1">
      <c r="A728" s="45">
        <v>722.0</v>
      </c>
      <c r="B728" s="46" t="s">
        <v>24</v>
      </c>
      <c r="C728" s="46" t="s">
        <v>219</v>
      </c>
      <c r="D728" s="46" t="s">
        <v>241</v>
      </c>
      <c r="E728" s="46" t="s">
        <v>242</v>
      </c>
      <c r="F728" s="47" t="s">
        <v>18</v>
      </c>
      <c r="G728" s="48">
        <v>2421.0</v>
      </c>
      <c r="H728" s="48">
        <v>80.0</v>
      </c>
      <c r="I728" s="48">
        <v>8.0</v>
      </c>
      <c r="J728" s="49">
        <v>96.8012794882047</v>
      </c>
      <c r="K728" s="49"/>
      <c r="L728" s="50">
        <v>1009.0</v>
      </c>
      <c r="M728" s="50">
        <v>10.0</v>
      </c>
      <c r="N728" s="50">
        <v>5.0</v>
      </c>
      <c r="O728" s="49">
        <v>99.0186457311089</v>
      </c>
      <c r="P728" s="51"/>
    </row>
    <row r="729" ht="15.0" hidden="1" customHeight="1">
      <c r="A729" s="45">
        <v>723.0</v>
      </c>
      <c r="B729" s="46" t="s">
        <v>24</v>
      </c>
      <c r="C729" s="46" t="s">
        <v>219</v>
      </c>
      <c r="D729" s="46" t="s">
        <v>241</v>
      </c>
      <c r="E729" s="46" t="s">
        <v>242</v>
      </c>
      <c r="F729" s="47" t="s">
        <v>19</v>
      </c>
      <c r="G729" s="48">
        <v>486.0</v>
      </c>
      <c r="H729" s="48">
        <v>39.0</v>
      </c>
      <c r="I729" s="48">
        <v>3.0</v>
      </c>
      <c r="J729" s="49">
        <v>92.5714285714286</v>
      </c>
      <c r="K729" s="49"/>
      <c r="L729" s="50">
        <v>275.0</v>
      </c>
      <c r="M729" s="50">
        <v>5.0</v>
      </c>
      <c r="N729" s="50">
        <v>3.0</v>
      </c>
      <c r="O729" s="49">
        <v>98.2142857142857</v>
      </c>
      <c r="P729" s="51"/>
    </row>
    <row r="730" ht="15.0" customHeight="1">
      <c r="A730" s="52">
        <v>724.0</v>
      </c>
      <c r="B730" s="53" t="s">
        <v>24</v>
      </c>
      <c r="C730" s="60" t="s">
        <v>219</v>
      </c>
      <c r="D730" s="60" t="s">
        <v>241</v>
      </c>
      <c r="E730" s="60" t="s">
        <v>243</v>
      </c>
      <c r="F730" s="61" t="s">
        <v>243</v>
      </c>
      <c r="G730" s="54">
        <v>479.0</v>
      </c>
      <c r="H730" s="54">
        <v>45.0</v>
      </c>
      <c r="I730" s="54">
        <v>4.0</v>
      </c>
      <c r="J730" s="55">
        <v>91.412213740458</v>
      </c>
      <c r="K730" s="55">
        <f>G730+H730+I730</f>
        <v>528</v>
      </c>
      <c r="L730" s="56">
        <v>426.0</v>
      </c>
      <c r="M730" s="56">
        <v>5.0</v>
      </c>
      <c r="N730" s="56">
        <v>3.0</v>
      </c>
      <c r="O730" s="55">
        <v>98.8399071925754</v>
      </c>
      <c r="P730" s="57">
        <f>L730+M730+N730</f>
        <v>434</v>
      </c>
    </row>
    <row r="731" ht="15.0" hidden="1" customHeight="1">
      <c r="A731" s="45">
        <v>725.0</v>
      </c>
      <c r="B731" s="46" t="s">
        <v>24</v>
      </c>
      <c r="C731" s="46" t="s">
        <v>219</v>
      </c>
      <c r="D731" s="46" t="s">
        <v>241</v>
      </c>
      <c r="E731" s="46" t="s">
        <v>243</v>
      </c>
      <c r="F731" s="47" t="s">
        <v>18</v>
      </c>
      <c r="G731" s="48">
        <v>293.0</v>
      </c>
      <c r="H731" s="48">
        <v>28.0</v>
      </c>
      <c r="I731" s="48">
        <v>2.0</v>
      </c>
      <c r="J731" s="49">
        <v>91.2772585669782</v>
      </c>
      <c r="K731" s="49"/>
      <c r="L731" s="50">
        <v>210.0</v>
      </c>
      <c r="M731" s="50">
        <v>4.0</v>
      </c>
      <c r="N731" s="50">
        <v>0.0</v>
      </c>
      <c r="O731" s="49">
        <v>98.1308411214953</v>
      </c>
      <c r="P731" s="51"/>
    </row>
    <row r="732" ht="15.0" hidden="1" customHeight="1">
      <c r="A732" s="45">
        <v>726.0</v>
      </c>
      <c r="B732" s="46" t="s">
        <v>24</v>
      </c>
      <c r="C732" s="46" t="s">
        <v>219</v>
      </c>
      <c r="D732" s="46" t="s">
        <v>241</v>
      </c>
      <c r="E732" s="46" t="s">
        <v>243</v>
      </c>
      <c r="F732" s="47" t="s">
        <v>19</v>
      </c>
      <c r="G732" s="48">
        <v>186.0</v>
      </c>
      <c r="H732" s="48">
        <v>17.0</v>
      </c>
      <c r="I732" s="48">
        <v>2.0</v>
      </c>
      <c r="J732" s="49">
        <v>91.6256157635468</v>
      </c>
      <c r="K732" s="49"/>
      <c r="L732" s="50">
        <v>216.0</v>
      </c>
      <c r="M732" s="50">
        <v>1.0</v>
      </c>
      <c r="N732" s="50">
        <v>3.0</v>
      </c>
      <c r="O732" s="49">
        <v>99.5391705069124</v>
      </c>
      <c r="P732" s="51"/>
    </row>
    <row r="733" ht="15.0" hidden="1" customHeight="1">
      <c r="A733" s="39">
        <v>727.0</v>
      </c>
      <c r="B733" s="40" t="s">
        <v>22</v>
      </c>
      <c r="C733" s="59" t="s">
        <v>219</v>
      </c>
      <c r="D733" s="59" t="s">
        <v>244</v>
      </c>
      <c r="E733" s="59"/>
      <c r="F733" s="40" t="s">
        <v>244</v>
      </c>
      <c r="G733" s="41">
        <v>1514.0</v>
      </c>
      <c r="H733" s="41">
        <v>201.0</v>
      </c>
      <c r="I733" s="41">
        <v>13.0</v>
      </c>
      <c r="J733" s="42">
        <v>88.2798833819242</v>
      </c>
      <c r="K733" s="42"/>
      <c r="L733" s="43">
        <v>1377.0</v>
      </c>
      <c r="M733" s="43">
        <v>34.0</v>
      </c>
      <c r="N733" s="43">
        <v>11.0</v>
      </c>
      <c r="O733" s="42">
        <v>97.5903614457831</v>
      </c>
      <c r="P733" s="44"/>
    </row>
    <row r="734" ht="15.0" hidden="1" customHeight="1">
      <c r="A734" s="45">
        <v>728.0</v>
      </c>
      <c r="B734" s="46" t="s">
        <v>22</v>
      </c>
      <c r="C734" s="46" t="s">
        <v>219</v>
      </c>
      <c r="D734" s="46" t="s">
        <v>244</v>
      </c>
      <c r="E734" s="46"/>
      <c r="F734" s="47" t="s">
        <v>18</v>
      </c>
      <c r="G734" s="48"/>
      <c r="H734" s="48"/>
      <c r="I734" s="48"/>
      <c r="J734" s="49"/>
      <c r="K734" s="49"/>
      <c r="L734" s="50"/>
      <c r="M734" s="50"/>
      <c r="N734" s="50"/>
      <c r="O734" s="49"/>
      <c r="P734" s="51"/>
    </row>
    <row r="735" ht="15.0" hidden="1" customHeight="1">
      <c r="A735" s="45">
        <v>729.0</v>
      </c>
      <c r="B735" s="46" t="s">
        <v>22</v>
      </c>
      <c r="C735" s="46" t="s">
        <v>219</v>
      </c>
      <c r="D735" s="46" t="s">
        <v>244</v>
      </c>
      <c r="E735" s="46"/>
      <c r="F735" s="47" t="s">
        <v>19</v>
      </c>
      <c r="G735" s="48">
        <v>1514.0</v>
      </c>
      <c r="H735" s="48">
        <v>201.0</v>
      </c>
      <c r="I735" s="48">
        <v>13.0</v>
      </c>
      <c r="J735" s="49">
        <v>88.2798833819242</v>
      </c>
      <c r="K735" s="49"/>
      <c r="L735" s="50">
        <v>1377.0</v>
      </c>
      <c r="M735" s="50">
        <v>34.0</v>
      </c>
      <c r="N735" s="50">
        <v>11.0</v>
      </c>
      <c r="O735" s="49">
        <v>97.5903614457831</v>
      </c>
      <c r="P735" s="51"/>
    </row>
    <row r="736" ht="15.0" customHeight="1">
      <c r="A736" s="52">
        <v>730.0</v>
      </c>
      <c r="B736" s="53" t="s">
        <v>24</v>
      </c>
      <c r="C736" s="60" t="s">
        <v>219</v>
      </c>
      <c r="D736" s="60" t="s">
        <v>244</v>
      </c>
      <c r="E736" s="60" t="s">
        <v>245</v>
      </c>
      <c r="F736" s="61" t="s">
        <v>245</v>
      </c>
      <c r="G736" s="54">
        <v>1194.0</v>
      </c>
      <c r="H736" s="54">
        <v>155.0</v>
      </c>
      <c r="I736" s="54">
        <v>10.0</v>
      </c>
      <c r="J736" s="55">
        <v>88.5100074128984</v>
      </c>
      <c r="K736" s="55">
        <f>G736+H736+I736</f>
        <v>1359</v>
      </c>
      <c r="L736" s="56">
        <v>1163.0</v>
      </c>
      <c r="M736" s="56">
        <v>31.0</v>
      </c>
      <c r="N736" s="56">
        <v>10.0</v>
      </c>
      <c r="O736" s="55">
        <v>97.4036850921273</v>
      </c>
      <c r="P736" s="57">
        <f>L736+M736+N736</f>
        <v>1204</v>
      </c>
    </row>
    <row r="737" ht="15.0" hidden="1" customHeight="1">
      <c r="A737" s="45">
        <v>731.0</v>
      </c>
      <c r="B737" s="46" t="s">
        <v>24</v>
      </c>
      <c r="C737" s="46" t="s">
        <v>219</v>
      </c>
      <c r="D737" s="46" t="s">
        <v>244</v>
      </c>
      <c r="E737" s="46" t="s">
        <v>245</v>
      </c>
      <c r="F737" s="47" t="s">
        <v>18</v>
      </c>
      <c r="G737" s="48"/>
      <c r="H737" s="48"/>
      <c r="I737" s="48"/>
      <c r="J737" s="49"/>
      <c r="K737" s="49"/>
      <c r="L737" s="50"/>
      <c r="M737" s="50"/>
      <c r="N737" s="50"/>
      <c r="O737" s="49"/>
      <c r="P737" s="51"/>
    </row>
    <row r="738" ht="15.0" hidden="1" customHeight="1">
      <c r="A738" s="45">
        <v>732.0</v>
      </c>
      <c r="B738" s="46" t="s">
        <v>24</v>
      </c>
      <c r="C738" s="46" t="s">
        <v>219</v>
      </c>
      <c r="D738" s="46" t="s">
        <v>244</v>
      </c>
      <c r="E738" s="46" t="s">
        <v>245</v>
      </c>
      <c r="F738" s="47" t="s">
        <v>19</v>
      </c>
      <c r="G738" s="48">
        <v>1194.0</v>
      </c>
      <c r="H738" s="48">
        <v>155.0</v>
      </c>
      <c r="I738" s="48">
        <v>10.0</v>
      </c>
      <c r="J738" s="49">
        <v>88.5100074128984</v>
      </c>
      <c r="K738" s="49"/>
      <c r="L738" s="50">
        <v>1163.0</v>
      </c>
      <c r="M738" s="50">
        <v>31.0</v>
      </c>
      <c r="N738" s="50">
        <v>10.0</v>
      </c>
      <c r="O738" s="49">
        <v>97.4036850921273</v>
      </c>
      <c r="P738" s="51"/>
    </row>
    <row r="739" ht="15.0" customHeight="1">
      <c r="A739" s="52">
        <v>733.0</v>
      </c>
      <c r="B739" s="53" t="s">
        <v>24</v>
      </c>
      <c r="C739" s="60" t="s">
        <v>219</v>
      </c>
      <c r="D739" s="60" t="s">
        <v>244</v>
      </c>
      <c r="E739" s="60" t="s">
        <v>246</v>
      </c>
      <c r="F739" s="61" t="s">
        <v>246</v>
      </c>
      <c r="G739" s="54">
        <v>320.0</v>
      </c>
      <c r="H739" s="54">
        <v>46.0</v>
      </c>
      <c r="I739" s="54">
        <v>3.0</v>
      </c>
      <c r="J739" s="55">
        <v>87.431693989071</v>
      </c>
      <c r="K739" s="55">
        <f>G739+H739+I739</f>
        <v>369</v>
      </c>
      <c r="L739" s="56">
        <v>214.0</v>
      </c>
      <c r="M739" s="56">
        <v>3.0</v>
      </c>
      <c r="N739" s="56">
        <v>1.0</v>
      </c>
      <c r="O739" s="55">
        <v>98.6175115207373</v>
      </c>
      <c r="P739" s="57">
        <f>L739+M739+N739</f>
        <v>218</v>
      </c>
    </row>
    <row r="740" ht="15.0" hidden="1" customHeight="1">
      <c r="A740" s="45">
        <v>734.0</v>
      </c>
      <c r="B740" s="46" t="s">
        <v>24</v>
      </c>
      <c r="C740" s="46" t="s">
        <v>219</v>
      </c>
      <c r="D740" s="46" t="s">
        <v>244</v>
      </c>
      <c r="E740" s="46" t="s">
        <v>246</v>
      </c>
      <c r="F740" s="47" t="s">
        <v>18</v>
      </c>
      <c r="G740" s="48"/>
      <c r="H740" s="48"/>
      <c r="I740" s="48"/>
      <c r="J740" s="49"/>
      <c r="K740" s="49"/>
      <c r="L740" s="50"/>
      <c r="M740" s="50"/>
      <c r="N740" s="50"/>
      <c r="O740" s="49"/>
      <c r="P740" s="51"/>
    </row>
    <row r="741" ht="15.0" hidden="1" customHeight="1">
      <c r="A741" s="45">
        <v>735.0</v>
      </c>
      <c r="B741" s="46" t="s">
        <v>24</v>
      </c>
      <c r="C741" s="46" t="s">
        <v>219</v>
      </c>
      <c r="D741" s="46" t="s">
        <v>244</v>
      </c>
      <c r="E741" s="46" t="s">
        <v>246</v>
      </c>
      <c r="F741" s="47" t="s">
        <v>19</v>
      </c>
      <c r="G741" s="48">
        <v>320.0</v>
      </c>
      <c r="H741" s="48">
        <v>46.0</v>
      </c>
      <c r="I741" s="48">
        <v>3.0</v>
      </c>
      <c r="J741" s="49">
        <v>87.431693989071</v>
      </c>
      <c r="K741" s="49"/>
      <c r="L741" s="50">
        <v>214.0</v>
      </c>
      <c r="M741" s="50">
        <v>3.0</v>
      </c>
      <c r="N741" s="50">
        <v>1.0</v>
      </c>
      <c r="O741" s="49">
        <v>98.6175115207373</v>
      </c>
      <c r="P741" s="51"/>
    </row>
    <row r="742" ht="15.0" hidden="1" customHeight="1">
      <c r="A742" s="39">
        <v>736.0</v>
      </c>
      <c r="B742" s="40" t="s">
        <v>22</v>
      </c>
      <c r="C742" s="59" t="s">
        <v>219</v>
      </c>
      <c r="D742" s="59" t="s">
        <v>247</v>
      </c>
      <c r="E742" s="59"/>
      <c r="F742" s="40" t="s">
        <v>247</v>
      </c>
      <c r="G742" s="41">
        <v>1246.0</v>
      </c>
      <c r="H742" s="41">
        <v>197.0</v>
      </c>
      <c r="I742" s="41">
        <v>4.0</v>
      </c>
      <c r="J742" s="42">
        <v>86.3478863478863</v>
      </c>
      <c r="K742" s="42"/>
      <c r="L742" s="43">
        <v>1511.0</v>
      </c>
      <c r="M742" s="43">
        <v>194.0</v>
      </c>
      <c r="N742" s="43">
        <v>16.0</v>
      </c>
      <c r="O742" s="42">
        <v>88.6217008797654</v>
      </c>
      <c r="P742" s="44"/>
    </row>
    <row r="743" ht="15.0" hidden="1" customHeight="1">
      <c r="A743" s="45">
        <v>737.0</v>
      </c>
      <c r="B743" s="46" t="s">
        <v>22</v>
      </c>
      <c r="C743" s="46" t="s">
        <v>219</v>
      </c>
      <c r="D743" s="46" t="s">
        <v>247</v>
      </c>
      <c r="E743" s="46"/>
      <c r="F743" s="47" t="s">
        <v>18</v>
      </c>
      <c r="G743" s="48"/>
      <c r="H743" s="48"/>
      <c r="I743" s="48"/>
      <c r="J743" s="49"/>
      <c r="K743" s="49"/>
      <c r="L743" s="50">
        <v>188.0</v>
      </c>
      <c r="M743" s="50">
        <v>8.0</v>
      </c>
      <c r="N743" s="50">
        <v>5.0</v>
      </c>
      <c r="O743" s="49">
        <v>95.9183673469388</v>
      </c>
      <c r="P743" s="51"/>
    </row>
    <row r="744" ht="15.0" hidden="1" customHeight="1">
      <c r="A744" s="45">
        <v>738.0</v>
      </c>
      <c r="B744" s="46" t="s">
        <v>22</v>
      </c>
      <c r="C744" s="46" t="s">
        <v>219</v>
      </c>
      <c r="D744" s="46" t="s">
        <v>247</v>
      </c>
      <c r="E744" s="46"/>
      <c r="F744" s="47" t="s">
        <v>19</v>
      </c>
      <c r="G744" s="48">
        <v>1246.0</v>
      </c>
      <c r="H744" s="48">
        <v>197.0</v>
      </c>
      <c r="I744" s="48">
        <v>4.0</v>
      </c>
      <c r="J744" s="49">
        <v>86.3478863478863</v>
      </c>
      <c r="K744" s="49"/>
      <c r="L744" s="50">
        <v>1323.0</v>
      </c>
      <c r="M744" s="50">
        <v>186.0</v>
      </c>
      <c r="N744" s="50">
        <v>11.0</v>
      </c>
      <c r="O744" s="49">
        <v>87.6739562624254</v>
      </c>
      <c r="P744" s="51"/>
    </row>
    <row r="745" ht="15.0" customHeight="1">
      <c r="A745" s="52">
        <v>739.0</v>
      </c>
      <c r="B745" s="53" t="s">
        <v>24</v>
      </c>
      <c r="C745" s="60" t="s">
        <v>219</v>
      </c>
      <c r="D745" s="60" t="s">
        <v>247</v>
      </c>
      <c r="E745" s="60" t="s">
        <v>247</v>
      </c>
      <c r="F745" s="61" t="s">
        <v>247</v>
      </c>
      <c r="G745" s="54">
        <v>938.0</v>
      </c>
      <c r="H745" s="54">
        <v>141.0</v>
      </c>
      <c r="I745" s="54">
        <v>2.0</v>
      </c>
      <c r="J745" s="55">
        <v>86.9323447636701</v>
      </c>
      <c r="K745" s="55">
        <f>G745+H745+I745</f>
        <v>1081</v>
      </c>
      <c r="L745" s="56">
        <v>1171.0</v>
      </c>
      <c r="M745" s="56">
        <v>137.0</v>
      </c>
      <c r="N745" s="56">
        <v>14.0</v>
      </c>
      <c r="O745" s="55">
        <v>89.5259938837921</v>
      </c>
      <c r="P745" s="57">
        <f>L745+M745+N745</f>
        <v>1322</v>
      </c>
    </row>
    <row r="746" ht="15.0" hidden="1" customHeight="1">
      <c r="A746" s="45">
        <v>740.0</v>
      </c>
      <c r="B746" s="46" t="s">
        <v>24</v>
      </c>
      <c r="C746" s="46" t="s">
        <v>219</v>
      </c>
      <c r="D746" s="46" t="s">
        <v>247</v>
      </c>
      <c r="E746" s="46" t="s">
        <v>247</v>
      </c>
      <c r="F746" s="47" t="s">
        <v>18</v>
      </c>
      <c r="G746" s="48"/>
      <c r="H746" s="48"/>
      <c r="I746" s="48"/>
      <c r="J746" s="49"/>
      <c r="K746" s="49"/>
      <c r="L746" s="50">
        <v>188.0</v>
      </c>
      <c r="M746" s="50">
        <v>8.0</v>
      </c>
      <c r="N746" s="50">
        <v>5.0</v>
      </c>
      <c r="O746" s="49">
        <v>95.9183673469388</v>
      </c>
      <c r="P746" s="51"/>
    </row>
    <row r="747" ht="15.0" hidden="1" customHeight="1">
      <c r="A747" s="45">
        <v>741.0</v>
      </c>
      <c r="B747" s="46" t="s">
        <v>24</v>
      </c>
      <c r="C747" s="46" t="s">
        <v>219</v>
      </c>
      <c r="D747" s="46" t="s">
        <v>247</v>
      </c>
      <c r="E747" s="46" t="s">
        <v>247</v>
      </c>
      <c r="F747" s="47" t="s">
        <v>19</v>
      </c>
      <c r="G747" s="48">
        <v>938.0</v>
      </c>
      <c r="H747" s="48">
        <v>141.0</v>
      </c>
      <c r="I747" s="48">
        <v>2.0</v>
      </c>
      <c r="J747" s="49">
        <v>86.9323447636701</v>
      </c>
      <c r="K747" s="49"/>
      <c r="L747" s="50">
        <v>983.0</v>
      </c>
      <c r="M747" s="50">
        <v>129.0</v>
      </c>
      <c r="N747" s="50">
        <v>9.0</v>
      </c>
      <c r="O747" s="49">
        <v>88.3992805755396</v>
      </c>
      <c r="P747" s="51"/>
    </row>
    <row r="748" ht="15.0" customHeight="1">
      <c r="A748" s="52">
        <v>742.0</v>
      </c>
      <c r="B748" s="53" t="s">
        <v>24</v>
      </c>
      <c r="C748" s="60" t="s">
        <v>219</v>
      </c>
      <c r="D748" s="60" t="s">
        <v>247</v>
      </c>
      <c r="E748" s="60" t="s">
        <v>248</v>
      </c>
      <c r="F748" s="61" t="s">
        <v>248</v>
      </c>
      <c r="G748" s="54">
        <v>96.0</v>
      </c>
      <c r="H748" s="54">
        <v>15.0</v>
      </c>
      <c r="I748" s="54">
        <v>0.0</v>
      </c>
      <c r="J748" s="55">
        <v>86.4864864864865</v>
      </c>
      <c r="K748" s="55">
        <f>G748+H748+I748</f>
        <v>111</v>
      </c>
      <c r="L748" s="56">
        <v>167.0</v>
      </c>
      <c r="M748" s="56">
        <v>15.0</v>
      </c>
      <c r="N748" s="56">
        <v>2.0</v>
      </c>
      <c r="O748" s="55">
        <v>91.7582417582418</v>
      </c>
      <c r="P748" s="57">
        <f>L748+M748+N748</f>
        <v>184</v>
      </c>
    </row>
    <row r="749" ht="15.0" hidden="1" customHeight="1">
      <c r="A749" s="45">
        <v>743.0</v>
      </c>
      <c r="B749" s="46" t="s">
        <v>24</v>
      </c>
      <c r="C749" s="46" t="s">
        <v>219</v>
      </c>
      <c r="D749" s="46" t="s">
        <v>247</v>
      </c>
      <c r="E749" s="46" t="s">
        <v>248</v>
      </c>
      <c r="F749" s="47" t="s">
        <v>18</v>
      </c>
      <c r="G749" s="48"/>
      <c r="H749" s="48"/>
      <c r="I749" s="48"/>
      <c r="J749" s="49"/>
      <c r="K749" s="49"/>
      <c r="L749" s="50"/>
      <c r="M749" s="50"/>
      <c r="N749" s="50"/>
      <c r="O749" s="49"/>
      <c r="P749" s="51"/>
    </row>
    <row r="750" ht="15.0" hidden="1" customHeight="1">
      <c r="A750" s="45">
        <v>744.0</v>
      </c>
      <c r="B750" s="46" t="s">
        <v>24</v>
      </c>
      <c r="C750" s="46" t="s">
        <v>219</v>
      </c>
      <c r="D750" s="46" t="s">
        <v>247</v>
      </c>
      <c r="E750" s="46" t="s">
        <v>248</v>
      </c>
      <c r="F750" s="47" t="s">
        <v>19</v>
      </c>
      <c r="G750" s="48">
        <v>96.0</v>
      </c>
      <c r="H750" s="48">
        <v>15.0</v>
      </c>
      <c r="I750" s="48">
        <v>0.0</v>
      </c>
      <c r="J750" s="49">
        <v>86.4864864864865</v>
      </c>
      <c r="K750" s="49"/>
      <c r="L750" s="50">
        <v>167.0</v>
      </c>
      <c r="M750" s="50">
        <v>15.0</v>
      </c>
      <c r="N750" s="50">
        <v>2.0</v>
      </c>
      <c r="O750" s="49">
        <v>91.7582417582418</v>
      </c>
      <c r="P750" s="51"/>
    </row>
    <row r="751" ht="15.0" customHeight="1">
      <c r="A751" s="52">
        <v>745.0</v>
      </c>
      <c r="B751" s="53" t="s">
        <v>24</v>
      </c>
      <c r="C751" s="60" t="s">
        <v>219</v>
      </c>
      <c r="D751" s="60" t="s">
        <v>247</v>
      </c>
      <c r="E751" s="60" t="s">
        <v>249</v>
      </c>
      <c r="F751" s="61" t="s">
        <v>249</v>
      </c>
      <c r="G751" s="54">
        <v>212.0</v>
      </c>
      <c r="H751" s="54">
        <v>41.0</v>
      </c>
      <c r="I751" s="54">
        <v>2.0</v>
      </c>
      <c r="J751" s="55">
        <v>83.7944664031621</v>
      </c>
      <c r="K751" s="55">
        <f>G751+H751+I751</f>
        <v>255</v>
      </c>
      <c r="L751" s="56">
        <v>173.0</v>
      </c>
      <c r="M751" s="56">
        <v>42.0</v>
      </c>
      <c r="N751" s="56">
        <v>0.0</v>
      </c>
      <c r="O751" s="55">
        <v>80.4651162790698</v>
      </c>
      <c r="P751" s="57">
        <f>L751+M751+N751</f>
        <v>215</v>
      </c>
    </row>
    <row r="752" ht="15.0" hidden="1" customHeight="1">
      <c r="A752" s="45">
        <v>746.0</v>
      </c>
      <c r="B752" s="46" t="s">
        <v>24</v>
      </c>
      <c r="C752" s="46" t="s">
        <v>219</v>
      </c>
      <c r="D752" s="46" t="s">
        <v>247</v>
      </c>
      <c r="E752" s="46" t="s">
        <v>249</v>
      </c>
      <c r="F752" s="47" t="s">
        <v>18</v>
      </c>
      <c r="G752" s="48"/>
      <c r="H752" s="48"/>
      <c r="I752" s="48"/>
      <c r="J752" s="49"/>
      <c r="K752" s="49"/>
      <c r="L752" s="50"/>
      <c r="M752" s="50"/>
      <c r="N752" s="50"/>
      <c r="O752" s="49"/>
      <c r="P752" s="51"/>
    </row>
    <row r="753" ht="15.0" hidden="1" customHeight="1">
      <c r="A753" s="45">
        <v>747.0</v>
      </c>
      <c r="B753" s="46" t="s">
        <v>24</v>
      </c>
      <c r="C753" s="46" t="s">
        <v>219</v>
      </c>
      <c r="D753" s="46" t="s">
        <v>247</v>
      </c>
      <c r="E753" s="46" t="s">
        <v>249</v>
      </c>
      <c r="F753" s="47" t="s">
        <v>19</v>
      </c>
      <c r="G753" s="48">
        <v>212.0</v>
      </c>
      <c r="H753" s="48">
        <v>41.0</v>
      </c>
      <c r="I753" s="48">
        <v>2.0</v>
      </c>
      <c r="J753" s="49">
        <v>83.7944664031621</v>
      </c>
      <c r="K753" s="49"/>
      <c r="L753" s="50">
        <v>173.0</v>
      </c>
      <c r="M753" s="50">
        <v>42.0</v>
      </c>
      <c r="N753" s="50">
        <v>0.0</v>
      </c>
      <c r="O753" s="49">
        <v>80.4651162790698</v>
      </c>
      <c r="P753" s="51"/>
    </row>
    <row r="754" ht="15.0" hidden="1" customHeight="1">
      <c r="A754" s="39">
        <v>748.0</v>
      </c>
      <c r="B754" s="40" t="s">
        <v>22</v>
      </c>
      <c r="C754" s="59" t="s">
        <v>219</v>
      </c>
      <c r="D754" s="59" t="s">
        <v>250</v>
      </c>
      <c r="E754" s="59"/>
      <c r="F754" s="40" t="s">
        <v>250</v>
      </c>
      <c r="G754" s="41">
        <v>873.0</v>
      </c>
      <c r="H754" s="41">
        <v>115.0</v>
      </c>
      <c r="I754" s="41">
        <v>13.0</v>
      </c>
      <c r="J754" s="42">
        <v>88.3603238866397</v>
      </c>
      <c r="K754" s="42"/>
      <c r="L754" s="43">
        <v>605.0</v>
      </c>
      <c r="M754" s="43">
        <v>17.0</v>
      </c>
      <c r="N754" s="43">
        <v>4.0</v>
      </c>
      <c r="O754" s="42">
        <v>97.2668810289389</v>
      </c>
      <c r="P754" s="44"/>
    </row>
    <row r="755" ht="15.0" hidden="1" customHeight="1">
      <c r="A755" s="45">
        <v>749.0</v>
      </c>
      <c r="B755" s="46" t="s">
        <v>22</v>
      </c>
      <c r="C755" s="46" t="s">
        <v>219</v>
      </c>
      <c r="D755" s="46" t="s">
        <v>250</v>
      </c>
      <c r="E755" s="46"/>
      <c r="F755" s="47" t="s">
        <v>18</v>
      </c>
      <c r="G755" s="48"/>
      <c r="H755" s="48"/>
      <c r="I755" s="48"/>
      <c r="J755" s="49"/>
      <c r="K755" s="49"/>
      <c r="L755" s="50"/>
      <c r="M755" s="50"/>
      <c r="N755" s="50"/>
      <c r="O755" s="49"/>
      <c r="P755" s="51"/>
    </row>
    <row r="756" ht="15.0" hidden="1" customHeight="1">
      <c r="A756" s="45">
        <v>750.0</v>
      </c>
      <c r="B756" s="46" t="s">
        <v>22</v>
      </c>
      <c r="C756" s="46" t="s">
        <v>219</v>
      </c>
      <c r="D756" s="46" t="s">
        <v>250</v>
      </c>
      <c r="E756" s="46"/>
      <c r="F756" s="47" t="s">
        <v>19</v>
      </c>
      <c r="G756" s="48">
        <v>873.0</v>
      </c>
      <c r="H756" s="48">
        <v>115.0</v>
      </c>
      <c r="I756" s="48">
        <v>13.0</v>
      </c>
      <c r="J756" s="49">
        <v>88.3603238866397</v>
      </c>
      <c r="K756" s="49"/>
      <c r="L756" s="50">
        <v>605.0</v>
      </c>
      <c r="M756" s="50">
        <v>17.0</v>
      </c>
      <c r="N756" s="50">
        <v>4.0</v>
      </c>
      <c r="O756" s="49">
        <v>97.2668810289389</v>
      </c>
      <c r="P756" s="51"/>
    </row>
    <row r="757" ht="15.0" customHeight="1">
      <c r="A757" s="52">
        <v>751.0</v>
      </c>
      <c r="B757" s="53" t="s">
        <v>24</v>
      </c>
      <c r="C757" s="60" t="s">
        <v>219</v>
      </c>
      <c r="D757" s="60" t="s">
        <v>250</v>
      </c>
      <c r="E757" s="60" t="s">
        <v>251</v>
      </c>
      <c r="F757" s="61" t="s">
        <v>251</v>
      </c>
      <c r="G757" s="54">
        <v>873.0</v>
      </c>
      <c r="H757" s="54">
        <v>115.0</v>
      </c>
      <c r="I757" s="54">
        <v>13.0</v>
      </c>
      <c r="J757" s="55">
        <v>88.3603238866397</v>
      </c>
      <c r="K757" s="55">
        <f>G757+H757+I757</f>
        <v>1001</v>
      </c>
      <c r="L757" s="56">
        <v>605.0</v>
      </c>
      <c r="M757" s="56">
        <v>17.0</v>
      </c>
      <c r="N757" s="56">
        <v>4.0</v>
      </c>
      <c r="O757" s="55">
        <v>97.2668810289389</v>
      </c>
      <c r="P757" s="57">
        <f>L757+M757+N757</f>
        <v>626</v>
      </c>
    </row>
    <row r="758" ht="15.0" hidden="1" customHeight="1">
      <c r="A758" s="45">
        <v>752.0</v>
      </c>
      <c r="B758" s="46" t="s">
        <v>24</v>
      </c>
      <c r="C758" s="46" t="s">
        <v>219</v>
      </c>
      <c r="D758" s="46" t="s">
        <v>250</v>
      </c>
      <c r="E758" s="46" t="s">
        <v>251</v>
      </c>
      <c r="F758" s="47" t="s">
        <v>18</v>
      </c>
      <c r="G758" s="48"/>
      <c r="H758" s="48"/>
      <c r="I758" s="48"/>
      <c r="J758" s="49"/>
      <c r="K758" s="49"/>
      <c r="L758" s="50"/>
      <c r="M758" s="50"/>
      <c r="N758" s="50"/>
      <c r="O758" s="49"/>
      <c r="P758" s="51"/>
    </row>
    <row r="759" ht="15.0" hidden="1" customHeight="1">
      <c r="A759" s="45">
        <v>753.0</v>
      </c>
      <c r="B759" s="46" t="s">
        <v>24</v>
      </c>
      <c r="C759" s="46" t="s">
        <v>219</v>
      </c>
      <c r="D759" s="46" t="s">
        <v>250</v>
      </c>
      <c r="E759" s="46" t="s">
        <v>251</v>
      </c>
      <c r="F759" s="47" t="s">
        <v>19</v>
      </c>
      <c r="G759" s="48">
        <v>873.0</v>
      </c>
      <c r="H759" s="48">
        <v>115.0</v>
      </c>
      <c r="I759" s="48">
        <v>13.0</v>
      </c>
      <c r="J759" s="49">
        <v>88.3603238866397</v>
      </c>
      <c r="K759" s="49"/>
      <c r="L759" s="50">
        <v>605.0</v>
      </c>
      <c r="M759" s="50">
        <v>17.0</v>
      </c>
      <c r="N759" s="50">
        <v>4.0</v>
      </c>
      <c r="O759" s="49">
        <v>97.2668810289389</v>
      </c>
      <c r="P759" s="51"/>
    </row>
    <row r="760" ht="15.0" hidden="1" customHeight="1">
      <c r="A760" s="39">
        <v>754.0</v>
      </c>
      <c r="B760" s="40" t="s">
        <v>22</v>
      </c>
      <c r="C760" s="59" t="s">
        <v>219</v>
      </c>
      <c r="D760" s="59" t="s">
        <v>252</v>
      </c>
      <c r="E760" s="59"/>
      <c r="F760" s="40" t="s">
        <v>252</v>
      </c>
      <c r="G760" s="41">
        <v>503.0</v>
      </c>
      <c r="H760" s="41">
        <v>43.0</v>
      </c>
      <c r="I760" s="41">
        <v>9.0</v>
      </c>
      <c r="J760" s="42">
        <v>92.1245421245421</v>
      </c>
      <c r="K760" s="42"/>
      <c r="L760" s="43">
        <v>380.0</v>
      </c>
      <c r="M760" s="43">
        <v>8.0</v>
      </c>
      <c r="N760" s="43">
        <v>1.0</v>
      </c>
      <c r="O760" s="42">
        <v>97.9381443298969</v>
      </c>
      <c r="P760" s="44"/>
    </row>
    <row r="761" ht="15.0" hidden="1" customHeight="1">
      <c r="A761" s="45">
        <v>755.0</v>
      </c>
      <c r="B761" s="46" t="s">
        <v>22</v>
      </c>
      <c r="C761" s="46" t="s">
        <v>219</v>
      </c>
      <c r="D761" s="46" t="s">
        <v>252</v>
      </c>
      <c r="E761" s="46"/>
      <c r="F761" s="47" t="s">
        <v>18</v>
      </c>
      <c r="G761" s="48">
        <v>281.0</v>
      </c>
      <c r="H761" s="48">
        <v>15.0</v>
      </c>
      <c r="I761" s="48">
        <v>2.0</v>
      </c>
      <c r="J761" s="49">
        <v>94.9324324324324</v>
      </c>
      <c r="K761" s="49"/>
      <c r="L761" s="50">
        <v>172.0</v>
      </c>
      <c r="M761" s="50">
        <v>3.0</v>
      </c>
      <c r="N761" s="50">
        <v>0.0</v>
      </c>
      <c r="O761" s="49">
        <v>98.2857142857143</v>
      </c>
      <c r="P761" s="51"/>
    </row>
    <row r="762" ht="15.0" hidden="1" customHeight="1">
      <c r="A762" s="45">
        <v>756.0</v>
      </c>
      <c r="B762" s="46" t="s">
        <v>22</v>
      </c>
      <c r="C762" s="46" t="s">
        <v>219</v>
      </c>
      <c r="D762" s="46" t="s">
        <v>252</v>
      </c>
      <c r="E762" s="46"/>
      <c r="F762" s="47" t="s">
        <v>19</v>
      </c>
      <c r="G762" s="48">
        <v>222.0</v>
      </c>
      <c r="H762" s="48">
        <v>28.0</v>
      </c>
      <c r="I762" s="48">
        <v>7.0</v>
      </c>
      <c r="J762" s="49">
        <v>88.8</v>
      </c>
      <c r="K762" s="49"/>
      <c r="L762" s="50">
        <v>208.0</v>
      </c>
      <c r="M762" s="50">
        <v>5.0</v>
      </c>
      <c r="N762" s="50">
        <v>1.0</v>
      </c>
      <c r="O762" s="49">
        <v>97.6525821596244</v>
      </c>
      <c r="P762" s="51"/>
    </row>
    <row r="763" ht="15.0" customHeight="1">
      <c r="A763" s="52">
        <v>757.0</v>
      </c>
      <c r="B763" s="53" t="s">
        <v>24</v>
      </c>
      <c r="C763" s="60" t="s">
        <v>219</v>
      </c>
      <c r="D763" s="60" t="s">
        <v>252</v>
      </c>
      <c r="E763" s="60" t="s">
        <v>253</v>
      </c>
      <c r="F763" s="61" t="s">
        <v>253</v>
      </c>
      <c r="G763" s="54">
        <v>503.0</v>
      </c>
      <c r="H763" s="54">
        <v>43.0</v>
      </c>
      <c r="I763" s="54">
        <v>9.0</v>
      </c>
      <c r="J763" s="55">
        <v>92.1245421245421</v>
      </c>
      <c r="K763" s="55">
        <f>G763+H763+I763</f>
        <v>555</v>
      </c>
      <c r="L763" s="56">
        <v>380.0</v>
      </c>
      <c r="M763" s="56">
        <v>8.0</v>
      </c>
      <c r="N763" s="56">
        <v>1.0</v>
      </c>
      <c r="O763" s="55">
        <v>97.9381443298969</v>
      </c>
      <c r="P763" s="57">
        <f>L763+M763+N763</f>
        <v>389</v>
      </c>
    </row>
    <row r="764" ht="15.0" hidden="1" customHeight="1">
      <c r="A764" s="45">
        <v>758.0</v>
      </c>
      <c r="B764" s="46" t="s">
        <v>24</v>
      </c>
      <c r="C764" s="46" t="s">
        <v>219</v>
      </c>
      <c r="D764" s="46" t="s">
        <v>252</v>
      </c>
      <c r="E764" s="46" t="s">
        <v>253</v>
      </c>
      <c r="F764" s="47" t="s">
        <v>18</v>
      </c>
      <c r="G764" s="48">
        <v>281.0</v>
      </c>
      <c r="H764" s="48">
        <v>15.0</v>
      </c>
      <c r="I764" s="48">
        <v>2.0</v>
      </c>
      <c r="J764" s="49">
        <v>94.9324324324324</v>
      </c>
      <c r="K764" s="49"/>
      <c r="L764" s="50">
        <v>172.0</v>
      </c>
      <c r="M764" s="50">
        <v>3.0</v>
      </c>
      <c r="N764" s="50">
        <v>0.0</v>
      </c>
      <c r="O764" s="49">
        <v>98.2857142857143</v>
      </c>
      <c r="P764" s="51"/>
    </row>
    <row r="765" ht="15.0" hidden="1" customHeight="1">
      <c r="A765" s="45">
        <v>759.0</v>
      </c>
      <c r="B765" s="46" t="s">
        <v>24</v>
      </c>
      <c r="C765" s="46" t="s">
        <v>219</v>
      </c>
      <c r="D765" s="46" t="s">
        <v>252</v>
      </c>
      <c r="E765" s="46" t="s">
        <v>253</v>
      </c>
      <c r="F765" s="47" t="s">
        <v>19</v>
      </c>
      <c r="G765" s="48">
        <v>222.0</v>
      </c>
      <c r="H765" s="48">
        <v>28.0</v>
      </c>
      <c r="I765" s="48">
        <v>7.0</v>
      </c>
      <c r="J765" s="49">
        <v>88.8</v>
      </c>
      <c r="K765" s="49"/>
      <c r="L765" s="50">
        <v>208.0</v>
      </c>
      <c r="M765" s="50">
        <v>5.0</v>
      </c>
      <c r="N765" s="50">
        <v>1.0</v>
      </c>
      <c r="O765" s="49">
        <v>97.6525821596244</v>
      </c>
      <c r="P765" s="51"/>
    </row>
    <row r="766" ht="15.0" hidden="1" customHeight="1">
      <c r="A766" s="39">
        <v>760.0</v>
      </c>
      <c r="B766" s="40" t="s">
        <v>22</v>
      </c>
      <c r="C766" s="59" t="s">
        <v>219</v>
      </c>
      <c r="D766" s="59" t="s">
        <v>254</v>
      </c>
      <c r="E766" s="59"/>
      <c r="F766" s="40" t="s">
        <v>254</v>
      </c>
      <c r="G766" s="41">
        <v>630.0</v>
      </c>
      <c r="H766" s="41">
        <v>51.0</v>
      </c>
      <c r="I766" s="41">
        <v>11.0</v>
      </c>
      <c r="J766" s="42">
        <v>92.511013215859</v>
      </c>
      <c r="K766" s="42"/>
      <c r="L766" s="43">
        <v>543.0</v>
      </c>
      <c r="M766" s="43">
        <v>6.0</v>
      </c>
      <c r="N766" s="43">
        <v>5.0</v>
      </c>
      <c r="O766" s="42">
        <v>98.9071038251366</v>
      </c>
      <c r="P766" s="44"/>
    </row>
    <row r="767" ht="15.0" hidden="1" customHeight="1">
      <c r="A767" s="45">
        <v>761.0</v>
      </c>
      <c r="B767" s="46" t="s">
        <v>22</v>
      </c>
      <c r="C767" s="46" t="s">
        <v>219</v>
      </c>
      <c r="D767" s="46" t="s">
        <v>254</v>
      </c>
      <c r="E767" s="46"/>
      <c r="F767" s="47" t="s">
        <v>18</v>
      </c>
      <c r="G767" s="48"/>
      <c r="H767" s="48"/>
      <c r="I767" s="48"/>
      <c r="J767" s="49"/>
      <c r="K767" s="49"/>
      <c r="L767" s="50"/>
      <c r="M767" s="50"/>
      <c r="N767" s="50"/>
      <c r="O767" s="49"/>
      <c r="P767" s="51"/>
    </row>
    <row r="768" ht="15.0" hidden="1" customHeight="1">
      <c r="A768" s="45">
        <v>762.0</v>
      </c>
      <c r="B768" s="46" t="s">
        <v>22</v>
      </c>
      <c r="C768" s="46" t="s">
        <v>219</v>
      </c>
      <c r="D768" s="46" t="s">
        <v>254</v>
      </c>
      <c r="E768" s="46"/>
      <c r="F768" s="47" t="s">
        <v>19</v>
      </c>
      <c r="G768" s="48">
        <v>630.0</v>
      </c>
      <c r="H768" s="48">
        <v>51.0</v>
      </c>
      <c r="I768" s="48">
        <v>11.0</v>
      </c>
      <c r="J768" s="49">
        <v>92.511013215859</v>
      </c>
      <c r="K768" s="49"/>
      <c r="L768" s="50">
        <v>543.0</v>
      </c>
      <c r="M768" s="50">
        <v>6.0</v>
      </c>
      <c r="N768" s="50">
        <v>5.0</v>
      </c>
      <c r="O768" s="49">
        <v>98.9071038251366</v>
      </c>
      <c r="P768" s="51"/>
    </row>
    <row r="769" ht="15.0" customHeight="1">
      <c r="A769" s="52">
        <v>763.0</v>
      </c>
      <c r="B769" s="53" t="s">
        <v>24</v>
      </c>
      <c r="C769" s="60" t="s">
        <v>219</v>
      </c>
      <c r="D769" s="60" t="s">
        <v>254</v>
      </c>
      <c r="E769" s="60" t="s">
        <v>255</v>
      </c>
      <c r="F769" s="61" t="s">
        <v>255</v>
      </c>
      <c r="G769" s="54">
        <v>429.0</v>
      </c>
      <c r="H769" s="54">
        <v>35.0</v>
      </c>
      <c r="I769" s="54">
        <v>6.0</v>
      </c>
      <c r="J769" s="55">
        <v>92.4568965517241</v>
      </c>
      <c r="K769" s="55">
        <f>G769+H769+I769</f>
        <v>470</v>
      </c>
      <c r="L769" s="56">
        <v>351.0</v>
      </c>
      <c r="M769" s="56">
        <v>4.0</v>
      </c>
      <c r="N769" s="56">
        <v>5.0</v>
      </c>
      <c r="O769" s="55">
        <v>98.8732394366197</v>
      </c>
      <c r="P769" s="57">
        <f>L769+M769+N769</f>
        <v>360</v>
      </c>
    </row>
    <row r="770" ht="15.0" hidden="1" customHeight="1">
      <c r="A770" s="45">
        <v>764.0</v>
      </c>
      <c r="B770" s="46" t="s">
        <v>24</v>
      </c>
      <c r="C770" s="46" t="s">
        <v>219</v>
      </c>
      <c r="D770" s="46" t="s">
        <v>254</v>
      </c>
      <c r="E770" s="46" t="s">
        <v>255</v>
      </c>
      <c r="F770" s="47" t="s">
        <v>18</v>
      </c>
      <c r="G770" s="48"/>
      <c r="H770" s="48"/>
      <c r="I770" s="48"/>
      <c r="J770" s="49"/>
      <c r="K770" s="49"/>
      <c r="L770" s="50"/>
      <c r="M770" s="50"/>
      <c r="N770" s="50"/>
      <c r="O770" s="49"/>
      <c r="P770" s="51"/>
    </row>
    <row r="771" ht="15.0" hidden="1" customHeight="1">
      <c r="A771" s="45">
        <v>765.0</v>
      </c>
      <c r="B771" s="46" t="s">
        <v>24</v>
      </c>
      <c r="C771" s="46" t="s">
        <v>219</v>
      </c>
      <c r="D771" s="46" t="s">
        <v>254</v>
      </c>
      <c r="E771" s="46" t="s">
        <v>255</v>
      </c>
      <c r="F771" s="47" t="s">
        <v>19</v>
      </c>
      <c r="G771" s="48">
        <v>429.0</v>
      </c>
      <c r="H771" s="48">
        <v>35.0</v>
      </c>
      <c r="I771" s="48">
        <v>6.0</v>
      </c>
      <c r="J771" s="49">
        <v>92.4568965517241</v>
      </c>
      <c r="K771" s="49"/>
      <c r="L771" s="50">
        <v>351.0</v>
      </c>
      <c r="M771" s="50">
        <v>4.0</v>
      </c>
      <c r="N771" s="50">
        <v>5.0</v>
      </c>
      <c r="O771" s="49">
        <v>98.8732394366197</v>
      </c>
      <c r="P771" s="51"/>
    </row>
    <row r="772" ht="15.0" customHeight="1">
      <c r="A772" s="52">
        <v>766.0</v>
      </c>
      <c r="B772" s="53" t="s">
        <v>24</v>
      </c>
      <c r="C772" s="60" t="s">
        <v>219</v>
      </c>
      <c r="D772" s="60" t="s">
        <v>254</v>
      </c>
      <c r="E772" s="60" t="s">
        <v>256</v>
      </c>
      <c r="F772" s="61" t="s">
        <v>256</v>
      </c>
      <c r="G772" s="54">
        <v>201.0</v>
      </c>
      <c r="H772" s="54">
        <v>16.0</v>
      </c>
      <c r="I772" s="54">
        <v>5.0</v>
      </c>
      <c r="J772" s="55">
        <v>92.6267281105991</v>
      </c>
      <c r="K772" s="55">
        <f>G772+H772+I772</f>
        <v>222</v>
      </c>
      <c r="L772" s="56">
        <v>192.0</v>
      </c>
      <c r="M772" s="56">
        <v>2.0</v>
      </c>
      <c r="N772" s="56">
        <v>0.0</v>
      </c>
      <c r="O772" s="55">
        <v>98.9690721649485</v>
      </c>
      <c r="P772" s="57">
        <f>L772+M772+N772</f>
        <v>194</v>
      </c>
    </row>
    <row r="773" ht="15.0" hidden="1" customHeight="1">
      <c r="A773" s="45">
        <v>767.0</v>
      </c>
      <c r="B773" s="46" t="s">
        <v>24</v>
      </c>
      <c r="C773" s="46" t="s">
        <v>219</v>
      </c>
      <c r="D773" s="46" t="s">
        <v>254</v>
      </c>
      <c r="E773" s="46" t="s">
        <v>256</v>
      </c>
      <c r="F773" s="47" t="s">
        <v>18</v>
      </c>
      <c r="G773" s="48"/>
      <c r="H773" s="48"/>
      <c r="I773" s="48"/>
      <c r="J773" s="49"/>
      <c r="K773" s="49"/>
      <c r="L773" s="50"/>
      <c r="M773" s="50"/>
      <c r="N773" s="50"/>
      <c r="O773" s="49"/>
      <c r="P773" s="51"/>
    </row>
    <row r="774" ht="15.0" hidden="1" customHeight="1">
      <c r="A774" s="45">
        <v>768.0</v>
      </c>
      <c r="B774" s="46" t="s">
        <v>24</v>
      </c>
      <c r="C774" s="46" t="s">
        <v>219</v>
      </c>
      <c r="D774" s="46" t="s">
        <v>254</v>
      </c>
      <c r="E774" s="46" t="s">
        <v>256</v>
      </c>
      <c r="F774" s="47" t="s">
        <v>19</v>
      </c>
      <c r="G774" s="48">
        <v>201.0</v>
      </c>
      <c r="H774" s="48">
        <v>16.0</v>
      </c>
      <c r="I774" s="48">
        <v>5.0</v>
      </c>
      <c r="J774" s="49">
        <v>92.6267281105991</v>
      </c>
      <c r="K774" s="49"/>
      <c r="L774" s="50">
        <v>192.0</v>
      </c>
      <c r="M774" s="50">
        <v>2.0</v>
      </c>
      <c r="N774" s="50">
        <v>0.0</v>
      </c>
      <c r="O774" s="49">
        <v>98.9690721649485</v>
      </c>
      <c r="P774" s="51"/>
    </row>
    <row r="775" ht="15.0" hidden="1" customHeight="1">
      <c r="A775" s="39">
        <v>769.0</v>
      </c>
      <c r="B775" s="40" t="s">
        <v>22</v>
      </c>
      <c r="C775" s="59" t="s">
        <v>219</v>
      </c>
      <c r="D775" s="59" t="s">
        <v>257</v>
      </c>
      <c r="E775" s="59"/>
      <c r="F775" s="40" t="s">
        <v>257</v>
      </c>
      <c r="G775" s="41">
        <v>540.0</v>
      </c>
      <c r="H775" s="41">
        <v>45.0</v>
      </c>
      <c r="I775" s="41">
        <v>5.0</v>
      </c>
      <c r="J775" s="42">
        <v>92.3076923076923</v>
      </c>
      <c r="K775" s="42"/>
      <c r="L775" s="43">
        <v>399.0</v>
      </c>
      <c r="M775" s="43">
        <v>19.0</v>
      </c>
      <c r="N775" s="43">
        <v>8.0</v>
      </c>
      <c r="O775" s="42">
        <v>95.4545454545455</v>
      </c>
      <c r="P775" s="44"/>
    </row>
    <row r="776" ht="15.0" hidden="1" customHeight="1">
      <c r="A776" s="45">
        <v>770.0</v>
      </c>
      <c r="B776" s="46" t="s">
        <v>22</v>
      </c>
      <c r="C776" s="46" t="s">
        <v>219</v>
      </c>
      <c r="D776" s="46" t="s">
        <v>257</v>
      </c>
      <c r="E776" s="46"/>
      <c r="F776" s="47" t="s">
        <v>18</v>
      </c>
      <c r="G776" s="48"/>
      <c r="H776" s="48"/>
      <c r="I776" s="48"/>
      <c r="J776" s="49"/>
      <c r="K776" s="49"/>
      <c r="L776" s="50"/>
      <c r="M776" s="50"/>
      <c r="N776" s="50"/>
      <c r="O776" s="49"/>
      <c r="P776" s="51"/>
    </row>
    <row r="777" ht="15.0" hidden="1" customHeight="1">
      <c r="A777" s="45">
        <v>771.0</v>
      </c>
      <c r="B777" s="46" t="s">
        <v>22</v>
      </c>
      <c r="C777" s="46" t="s">
        <v>219</v>
      </c>
      <c r="D777" s="46" t="s">
        <v>257</v>
      </c>
      <c r="E777" s="46"/>
      <c r="F777" s="47" t="s">
        <v>19</v>
      </c>
      <c r="G777" s="48">
        <v>540.0</v>
      </c>
      <c r="H777" s="48">
        <v>45.0</v>
      </c>
      <c r="I777" s="48">
        <v>5.0</v>
      </c>
      <c r="J777" s="49">
        <v>92.3076923076923</v>
      </c>
      <c r="K777" s="49"/>
      <c r="L777" s="50">
        <v>399.0</v>
      </c>
      <c r="M777" s="50">
        <v>19.0</v>
      </c>
      <c r="N777" s="50">
        <v>8.0</v>
      </c>
      <c r="O777" s="49">
        <v>95.4545454545455</v>
      </c>
      <c r="P777" s="51"/>
    </row>
    <row r="778" ht="15.0" customHeight="1">
      <c r="A778" s="52">
        <v>772.0</v>
      </c>
      <c r="B778" s="53" t="s">
        <v>24</v>
      </c>
      <c r="C778" s="60" t="s">
        <v>219</v>
      </c>
      <c r="D778" s="60" t="s">
        <v>257</v>
      </c>
      <c r="E778" s="60" t="s">
        <v>201</v>
      </c>
      <c r="F778" s="61" t="s">
        <v>201</v>
      </c>
      <c r="G778" s="54">
        <v>540.0</v>
      </c>
      <c r="H778" s="54">
        <v>45.0</v>
      </c>
      <c r="I778" s="54">
        <v>5.0</v>
      </c>
      <c r="J778" s="55">
        <v>92.3076923076923</v>
      </c>
      <c r="K778" s="55">
        <f>G778+H778+I778</f>
        <v>590</v>
      </c>
      <c r="L778" s="56">
        <v>399.0</v>
      </c>
      <c r="M778" s="56">
        <v>19.0</v>
      </c>
      <c r="N778" s="56">
        <v>8.0</v>
      </c>
      <c r="O778" s="55">
        <v>95.4545454545455</v>
      </c>
      <c r="P778" s="57">
        <f>L778+M778+N778</f>
        <v>426</v>
      </c>
    </row>
    <row r="779" ht="15.0" hidden="1" customHeight="1">
      <c r="A779" s="45">
        <v>773.0</v>
      </c>
      <c r="B779" s="46" t="s">
        <v>24</v>
      </c>
      <c r="C779" s="46" t="s">
        <v>219</v>
      </c>
      <c r="D779" s="46" t="s">
        <v>257</v>
      </c>
      <c r="E779" s="46" t="s">
        <v>201</v>
      </c>
      <c r="F779" s="47" t="s">
        <v>18</v>
      </c>
      <c r="G779" s="48"/>
      <c r="H779" s="48"/>
      <c r="I779" s="48"/>
      <c r="J779" s="49"/>
      <c r="K779" s="49"/>
      <c r="L779" s="50"/>
      <c r="M779" s="50"/>
      <c r="N779" s="50"/>
      <c r="O779" s="49"/>
      <c r="P779" s="51"/>
    </row>
    <row r="780" ht="15.0" hidden="1" customHeight="1">
      <c r="A780" s="45">
        <v>774.0</v>
      </c>
      <c r="B780" s="46" t="s">
        <v>24</v>
      </c>
      <c r="C780" s="46" t="s">
        <v>219</v>
      </c>
      <c r="D780" s="46" t="s">
        <v>257</v>
      </c>
      <c r="E780" s="46" t="s">
        <v>201</v>
      </c>
      <c r="F780" s="47" t="s">
        <v>19</v>
      </c>
      <c r="G780" s="48">
        <v>540.0</v>
      </c>
      <c r="H780" s="48">
        <v>45.0</v>
      </c>
      <c r="I780" s="48">
        <v>5.0</v>
      </c>
      <c r="J780" s="49">
        <v>92.3076923076923</v>
      </c>
      <c r="K780" s="49"/>
      <c r="L780" s="50">
        <v>399.0</v>
      </c>
      <c r="M780" s="50">
        <v>19.0</v>
      </c>
      <c r="N780" s="50">
        <v>8.0</v>
      </c>
      <c r="O780" s="49">
        <v>95.4545454545455</v>
      </c>
      <c r="P780" s="51"/>
    </row>
    <row r="781" ht="15.0" hidden="1" customHeight="1">
      <c r="A781" s="39">
        <v>775.0</v>
      </c>
      <c r="B781" s="40" t="s">
        <v>22</v>
      </c>
      <c r="C781" s="59" t="s">
        <v>219</v>
      </c>
      <c r="D781" s="59" t="s">
        <v>258</v>
      </c>
      <c r="E781" s="59"/>
      <c r="F781" s="40" t="s">
        <v>258</v>
      </c>
      <c r="G781" s="41">
        <v>1253.0</v>
      </c>
      <c r="H781" s="41">
        <v>125.0</v>
      </c>
      <c r="I781" s="41">
        <v>12.0</v>
      </c>
      <c r="J781" s="42">
        <v>90.9288824383164</v>
      </c>
      <c r="K781" s="42"/>
      <c r="L781" s="43">
        <v>994.0</v>
      </c>
      <c r="M781" s="43">
        <v>46.0</v>
      </c>
      <c r="N781" s="43">
        <v>12.0</v>
      </c>
      <c r="O781" s="42">
        <v>95.5769230769231</v>
      </c>
      <c r="P781" s="44"/>
    </row>
    <row r="782" ht="15.0" hidden="1" customHeight="1">
      <c r="A782" s="45">
        <v>776.0</v>
      </c>
      <c r="B782" s="46" t="s">
        <v>22</v>
      </c>
      <c r="C782" s="46" t="s">
        <v>219</v>
      </c>
      <c r="D782" s="46" t="s">
        <v>258</v>
      </c>
      <c r="E782" s="46"/>
      <c r="F782" s="47" t="s">
        <v>18</v>
      </c>
      <c r="G782" s="48">
        <v>446.0</v>
      </c>
      <c r="H782" s="48">
        <v>21.0</v>
      </c>
      <c r="I782" s="48">
        <v>5.0</v>
      </c>
      <c r="J782" s="49">
        <v>95.5032119914347</v>
      </c>
      <c r="K782" s="49"/>
      <c r="L782" s="50">
        <v>455.0</v>
      </c>
      <c r="M782" s="50">
        <v>26.0</v>
      </c>
      <c r="N782" s="50">
        <v>2.0</v>
      </c>
      <c r="O782" s="49">
        <v>94.5945945945946</v>
      </c>
      <c r="P782" s="51"/>
    </row>
    <row r="783" ht="15.0" hidden="1" customHeight="1">
      <c r="A783" s="45">
        <v>777.0</v>
      </c>
      <c r="B783" s="46" t="s">
        <v>22</v>
      </c>
      <c r="C783" s="46" t="s">
        <v>219</v>
      </c>
      <c r="D783" s="46" t="s">
        <v>258</v>
      </c>
      <c r="E783" s="46"/>
      <c r="F783" s="47" t="s">
        <v>19</v>
      </c>
      <c r="G783" s="48">
        <v>807.0</v>
      </c>
      <c r="H783" s="48">
        <v>104.0</v>
      </c>
      <c r="I783" s="48">
        <v>7.0</v>
      </c>
      <c r="J783" s="49">
        <v>88.5839736553238</v>
      </c>
      <c r="K783" s="49"/>
      <c r="L783" s="50">
        <v>539.0</v>
      </c>
      <c r="M783" s="50">
        <v>20.0</v>
      </c>
      <c r="N783" s="50">
        <v>10.0</v>
      </c>
      <c r="O783" s="49">
        <v>96.4221824686941</v>
      </c>
      <c r="P783" s="51"/>
    </row>
    <row r="784" ht="15.0" customHeight="1">
      <c r="A784" s="52">
        <v>778.0</v>
      </c>
      <c r="B784" s="53" t="s">
        <v>24</v>
      </c>
      <c r="C784" s="60" t="s">
        <v>219</v>
      </c>
      <c r="D784" s="60" t="s">
        <v>258</v>
      </c>
      <c r="E784" s="60" t="s">
        <v>259</v>
      </c>
      <c r="F784" s="61" t="s">
        <v>259</v>
      </c>
      <c r="G784" s="54">
        <v>1253.0</v>
      </c>
      <c r="H784" s="54">
        <v>125.0</v>
      </c>
      <c r="I784" s="54">
        <v>12.0</v>
      </c>
      <c r="J784" s="55">
        <v>90.9288824383164</v>
      </c>
      <c r="K784" s="55">
        <f>G784+H784+I784</f>
        <v>1390</v>
      </c>
      <c r="L784" s="56">
        <v>994.0</v>
      </c>
      <c r="M784" s="56">
        <v>46.0</v>
      </c>
      <c r="N784" s="56">
        <v>12.0</v>
      </c>
      <c r="O784" s="55">
        <v>95.5769230769231</v>
      </c>
      <c r="P784" s="57">
        <f>L784+M784+N784</f>
        <v>1052</v>
      </c>
    </row>
    <row r="785" ht="15.0" hidden="1" customHeight="1">
      <c r="A785" s="45">
        <v>779.0</v>
      </c>
      <c r="B785" s="46" t="s">
        <v>24</v>
      </c>
      <c r="C785" s="46" t="s">
        <v>219</v>
      </c>
      <c r="D785" s="46" t="s">
        <v>258</v>
      </c>
      <c r="E785" s="46" t="s">
        <v>259</v>
      </c>
      <c r="F785" s="47" t="s">
        <v>18</v>
      </c>
      <c r="G785" s="48">
        <v>446.0</v>
      </c>
      <c r="H785" s="48">
        <v>21.0</v>
      </c>
      <c r="I785" s="48">
        <v>5.0</v>
      </c>
      <c r="J785" s="49">
        <v>95.5032119914347</v>
      </c>
      <c r="K785" s="49"/>
      <c r="L785" s="50">
        <v>455.0</v>
      </c>
      <c r="M785" s="50">
        <v>26.0</v>
      </c>
      <c r="N785" s="50">
        <v>2.0</v>
      </c>
      <c r="O785" s="49">
        <v>94.5945945945946</v>
      </c>
      <c r="P785" s="51"/>
    </row>
    <row r="786" ht="15.0" hidden="1" customHeight="1">
      <c r="A786" s="45">
        <v>780.0</v>
      </c>
      <c r="B786" s="46" t="s">
        <v>24</v>
      </c>
      <c r="C786" s="46" t="s">
        <v>219</v>
      </c>
      <c r="D786" s="46" t="s">
        <v>258</v>
      </c>
      <c r="E786" s="46" t="s">
        <v>259</v>
      </c>
      <c r="F786" s="47" t="s">
        <v>19</v>
      </c>
      <c r="G786" s="48">
        <v>807.0</v>
      </c>
      <c r="H786" s="48">
        <v>104.0</v>
      </c>
      <c r="I786" s="48">
        <v>7.0</v>
      </c>
      <c r="J786" s="49">
        <v>88.5839736553238</v>
      </c>
      <c r="K786" s="49"/>
      <c r="L786" s="50">
        <v>539.0</v>
      </c>
      <c r="M786" s="50">
        <v>20.0</v>
      </c>
      <c r="N786" s="50">
        <v>10.0</v>
      </c>
      <c r="O786" s="49">
        <v>96.4221824686941</v>
      </c>
      <c r="P786" s="51"/>
    </row>
    <row r="787" ht="15.0" hidden="1" customHeight="1">
      <c r="A787" s="39">
        <v>781.0</v>
      </c>
      <c r="B787" s="40" t="s">
        <v>22</v>
      </c>
      <c r="C787" s="59" t="s">
        <v>219</v>
      </c>
      <c r="D787" s="59" t="s">
        <v>260</v>
      </c>
      <c r="E787" s="59"/>
      <c r="F787" s="40" t="s">
        <v>260</v>
      </c>
      <c r="G787" s="41">
        <v>218.0</v>
      </c>
      <c r="H787" s="41">
        <v>53.0</v>
      </c>
      <c r="I787" s="41">
        <v>1.0</v>
      </c>
      <c r="J787" s="42">
        <v>80.4428044280443</v>
      </c>
      <c r="K787" s="42"/>
      <c r="L787" s="43">
        <v>250.0</v>
      </c>
      <c r="M787" s="43">
        <v>44.0</v>
      </c>
      <c r="N787" s="43">
        <v>2.0</v>
      </c>
      <c r="O787" s="42">
        <v>85.0340136054422</v>
      </c>
      <c r="P787" s="44"/>
    </row>
    <row r="788" ht="15.0" hidden="1" customHeight="1">
      <c r="A788" s="45">
        <v>782.0</v>
      </c>
      <c r="B788" s="46" t="s">
        <v>22</v>
      </c>
      <c r="C788" s="46" t="s">
        <v>219</v>
      </c>
      <c r="D788" s="46" t="s">
        <v>260</v>
      </c>
      <c r="E788" s="46"/>
      <c r="F788" s="47" t="s">
        <v>18</v>
      </c>
      <c r="G788" s="48"/>
      <c r="H788" s="48"/>
      <c r="I788" s="48"/>
      <c r="J788" s="49"/>
      <c r="K788" s="49"/>
      <c r="L788" s="50"/>
      <c r="M788" s="50"/>
      <c r="N788" s="50"/>
      <c r="O788" s="49"/>
      <c r="P788" s="51"/>
    </row>
    <row r="789" ht="15.0" hidden="1" customHeight="1">
      <c r="A789" s="45">
        <v>783.0</v>
      </c>
      <c r="B789" s="46" t="s">
        <v>22</v>
      </c>
      <c r="C789" s="46" t="s">
        <v>219</v>
      </c>
      <c r="D789" s="46" t="s">
        <v>260</v>
      </c>
      <c r="E789" s="46"/>
      <c r="F789" s="47" t="s">
        <v>19</v>
      </c>
      <c r="G789" s="48">
        <v>218.0</v>
      </c>
      <c r="H789" s="48">
        <v>53.0</v>
      </c>
      <c r="I789" s="48">
        <v>1.0</v>
      </c>
      <c r="J789" s="49">
        <v>80.4428044280443</v>
      </c>
      <c r="K789" s="49"/>
      <c r="L789" s="50">
        <v>250.0</v>
      </c>
      <c r="M789" s="50">
        <v>44.0</v>
      </c>
      <c r="N789" s="50">
        <v>2.0</v>
      </c>
      <c r="O789" s="49">
        <v>85.0340136054422</v>
      </c>
      <c r="P789" s="51"/>
    </row>
    <row r="790" ht="15.0" customHeight="1">
      <c r="A790" s="52">
        <v>784.0</v>
      </c>
      <c r="B790" s="53" t="s">
        <v>24</v>
      </c>
      <c r="C790" s="60" t="s">
        <v>219</v>
      </c>
      <c r="D790" s="60" t="s">
        <v>260</v>
      </c>
      <c r="E790" s="60" t="s">
        <v>261</v>
      </c>
      <c r="F790" s="61" t="s">
        <v>261</v>
      </c>
      <c r="G790" s="54">
        <v>58.0</v>
      </c>
      <c r="H790" s="54">
        <v>12.0</v>
      </c>
      <c r="I790" s="54">
        <v>0.0</v>
      </c>
      <c r="J790" s="55">
        <v>82.8571428571429</v>
      </c>
      <c r="K790" s="55">
        <f>G790+H790+I790</f>
        <v>70</v>
      </c>
      <c r="L790" s="56">
        <v>78.0</v>
      </c>
      <c r="M790" s="56">
        <v>26.0</v>
      </c>
      <c r="N790" s="56">
        <v>0.0</v>
      </c>
      <c r="O790" s="55">
        <v>75.0</v>
      </c>
      <c r="P790" s="57">
        <f>L790+M790+N790</f>
        <v>104</v>
      </c>
    </row>
    <row r="791" ht="15.0" hidden="1" customHeight="1">
      <c r="A791" s="45">
        <v>785.0</v>
      </c>
      <c r="B791" s="46" t="s">
        <v>24</v>
      </c>
      <c r="C791" s="46" t="s">
        <v>219</v>
      </c>
      <c r="D791" s="46" t="s">
        <v>260</v>
      </c>
      <c r="E791" s="46" t="s">
        <v>261</v>
      </c>
      <c r="F791" s="47" t="s">
        <v>18</v>
      </c>
      <c r="G791" s="48"/>
      <c r="H791" s="48"/>
      <c r="I791" s="48"/>
      <c r="J791" s="49"/>
      <c r="K791" s="49"/>
      <c r="L791" s="50"/>
      <c r="M791" s="50"/>
      <c r="N791" s="50"/>
      <c r="O791" s="49"/>
      <c r="P791" s="51"/>
    </row>
    <row r="792" ht="15.0" hidden="1" customHeight="1">
      <c r="A792" s="45">
        <v>786.0</v>
      </c>
      <c r="B792" s="46" t="s">
        <v>24</v>
      </c>
      <c r="C792" s="46" t="s">
        <v>219</v>
      </c>
      <c r="D792" s="46" t="s">
        <v>260</v>
      </c>
      <c r="E792" s="46" t="s">
        <v>261</v>
      </c>
      <c r="F792" s="47" t="s">
        <v>19</v>
      </c>
      <c r="G792" s="48">
        <v>58.0</v>
      </c>
      <c r="H792" s="48">
        <v>12.0</v>
      </c>
      <c r="I792" s="48">
        <v>0.0</v>
      </c>
      <c r="J792" s="49">
        <v>82.8571428571429</v>
      </c>
      <c r="K792" s="49"/>
      <c r="L792" s="50">
        <v>78.0</v>
      </c>
      <c r="M792" s="50">
        <v>26.0</v>
      </c>
      <c r="N792" s="50">
        <v>0.0</v>
      </c>
      <c r="O792" s="49">
        <v>75.0</v>
      </c>
      <c r="P792" s="51"/>
    </row>
    <row r="793" ht="15.0" customHeight="1">
      <c r="A793" s="52">
        <v>787.0</v>
      </c>
      <c r="B793" s="53" t="s">
        <v>24</v>
      </c>
      <c r="C793" s="60" t="s">
        <v>219</v>
      </c>
      <c r="D793" s="60" t="s">
        <v>260</v>
      </c>
      <c r="E793" s="60" t="s">
        <v>262</v>
      </c>
      <c r="F793" s="61" t="s">
        <v>262</v>
      </c>
      <c r="G793" s="54">
        <v>70.0</v>
      </c>
      <c r="H793" s="54">
        <v>18.0</v>
      </c>
      <c r="I793" s="54">
        <v>0.0</v>
      </c>
      <c r="J793" s="55">
        <v>79.5454545454545</v>
      </c>
      <c r="K793" s="55">
        <f>G793+H793+I793</f>
        <v>88</v>
      </c>
      <c r="L793" s="56">
        <v>96.0</v>
      </c>
      <c r="M793" s="56">
        <v>6.0</v>
      </c>
      <c r="N793" s="56">
        <v>1.0</v>
      </c>
      <c r="O793" s="55">
        <v>94.1176470588235</v>
      </c>
      <c r="P793" s="57">
        <f>L793+M793+N793</f>
        <v>103</v>
      </c>
    </row>
    <row r="794" ht="15.0" hidden="1" customHeight="1">
      <c r="A794" s="45">
        <v>788.0</v>
      </c>
      <c r="B794" s="46" t="s">
        <v>24</v>
      </c>
      <c r="C794" s="46" t="s">
        <v>219</v>
      </c>
      <c r="D794" s="46" t="s">
        <v>260</v>
      </c>
      <c r="E794" s="46" t="s">
        <v>262</v>
      </c>
      <c r="F794" s="47" t="s">
        <v>18</v>
      </c>
      <c r="G794" s="48"/>
      <c r="H794" s="48"/>
      <c r="I794" s="48"/>
      <c r="J794" s="49"/>
      <c r="K794" s="49"/>
      <c r="L794" s="50"/>
      <c r="M794" s="50"/>
      <c r="N794" s="50"/>
      <c r="O794" s="49"/>
      <c r="P794" s="51"/>
    </row>
    <row r="795" ht="15.0" hidden="1" customHeight="1">
      <c r="A795" s="45">
        <v>789.0</v>
      </c>
      <c r="B795" s="46" t="s">
        <v>24</v>
      </c>
      <c r="C795" s="46" t="s">
        <v>219</v>
      </c>
      <c r="D795" s="46" t="s">
        <v>260</v>
      </c>
      <c r="E795" s="46" t="s">
        <v>262</v>
      </c>
      <c r="F795" s="47" t="s">
        <v>19</v>
      </c>
      <c r="G795" s="48">
        <v>70.0</v>
      </c>
      <c r="H795" s="48">
        <v>18.0</v>
      </c>
      <c r="I795" s="48">
        <v>0.0</v>
      </c>
      <c r="J795" s="49">
        <v>79.5454545454545</v>
      </c>
      <c r="K795" s="49"/>
      <c r="L795" s="50">
        <v>96.0</v>
      </c>
      <c r="M795" s="50">
        <v>6.0</v>
      </c>
      <c r="N795" s="50">
        <v>1.0</v>
      </c>
      <c r="O795" s="49">
        <v>94.1176470588235</v>
      </c>
      <c r="P795" s="51"/>
    </row>
    <row r="796" ht="15.0" customHeight="1">
      <c r="A796" s="52">
        <v>790.0</v>
      </c>
      <c r="B796" s="53" t="s">
        <v>24</v>
      </c>
      <c r="C796" s="60" t="s">
        <v>219</v>
      </c>
      <c r="D796" s="60" t="s">
        <v>260</v>
      </c>
      <c r="E796" s="60" t="s">
        <v>226</v>
      </c>
      <c r="F796" s="61" t="s">
        <v>226</v>
      </c>
      <c r="G796" s="54">
        <v>90.0</v>
      </c>
      <c r="H796" s="54">
        <v>23.0</v>
      </c>
      <c r="I796" s="54">
        <v>1.0</v>
      </c>
      <c r="J796" s="55">
        <v>79.646017699115</v>
      </c>
      <c r="K796" s="55">
        <f>G796+H796+I796</f>
        <v>114</v>
      </c>
      <c r="L796" s="56">
        <v>76.0</v>
      </c>
      <c r="M796" s="56">
        <v>12.0</v>
      </c>
      <c r="N796" s="56">
        <v>1.0</v>
      </c>
      <c r="O796" s="55">
        <v>86.3636363636364</v>
      </c>
      <c r="P796" s="57">
        <f>L796+M796+N796</f>
        <v>89</v>
      </c>
    </row>
    <row r="797" ht="15.0" hidden="1" customHeight="1">
      <c r="A797" s="45">
        <v>791.0</v>
      </c>
      <c r="B797" s="46" t="s">
        <v>24</v>
      </c>
      <c r="C797" s="46" t="s">
        <v>219</v>
      </c>
      <c r="D797" s="46" t="s">
        <v>260</v>
      </c>
      <c r="E797" s="46" t="s">
        <v>226</v>
      </c>
      <c r="F797" s="47" t="s">
        <v>18</v>
      </c>
      <c r="G797" s="48"/>
      <c r="H797" s="48"/>
      <c r="I797" s="48"/>
      <c r="J797" s="49"/>
      <c r="K797" s="49"/>
      <c r="L797" s="50"/>
      <c r="M797" s="50"/>
      <c r="N797" s="50"/>
      <c r="O797" s="49"/>
      <c r="P797" s="51"/>
    </row>
    <row r="798" ht="15.0" hidden="1" customHeight="1">
      <c r="A798" s="45">
        <v>792.0</v>
      </c>
      <c r="B798" s="46" t="s">
        <v>24</v>
      </c>
      <c r="C798" s="46" t="s">
        <v>219</v>
      </c>
      <c r="D798" s="46" t="s">
        <v>260</v>
      </c>
      <c r="E798" s="46" t="s">
        <v>226</v>
      </c>
      <c r="F798" s="47" t="s">
        <v>19</v>
      </c>
      <c r="G798" s="48">
        <v>90.0</v>
      </c>
      <c r="H798" s="48">
        <v>23.0</v>
      </c>
      <c r="I798" s="48">
        <v>1.0</v>
      </c>
      <c r="J798" s="49">
        <v>79.646017699115</v>
      </c>
      <c r="K798" s="49"/>
      <c r="L798" s="50">
        <v>76.0</v>
      </c>
      <c r="M798" s="50">
        <v>12.0</v>
      </c>
      <c r="N798" s="50">
        <v>1.0</v>
      </c>
      <c r="O798" s="49">
        <v>86.3636363636364</v>
      </c>
      <c r="P798" s="51"/>
    </row>
    <row r="799" ht="15.0" hidden="1" customHeight="1">
      <c r="A799" s="39">
        <v>793.0</v>
      </c>
      <c r="B799" s="40" t="s">
        <v>22</v>
      </c>
      <c r="C799" s="59" t="s">
        <v>219</v>
      </c>
      <c r="D799" s="59" t="s">
        <v>263</v>
      </c>
      <c r="E799" s="59"/>
      <c r="F799" s="40" t="s">
        <v>263</v>
      </c>
      <c r="G799" s="41">
        <v>399.0</v>
      </c>
      <c r="H799" s="41">
        <v>44.0</v>
      </c>
      <c r="I799" s="41">
        <v>10.0</v>
      </c>
      <c r="J799" s="42">
        <v>90.0677200902935</v>
      </c>
      <c r="K799" s="42"/>
      <c r="L799" s="43">
        <v>290.0</v>
      </c>
      <c r="M799" s="43">
        <v>6.0</v>
      </c>
      <c r="N799" s="43">
        <v>5.0</v>
      </c>
      <c r="O799" s="42">
        <v>97.972972972973</v>
      </c>
      <c r="P799" s="44"/>
    </row>
    <row r="800" ht="15.0" hidden="1" customHeight="1">
      <c r="A800" s="45">
        <v>794.0</v>
      </c>
      <c r="B800" s="46" t="s">
        <v>22</v>
      </c>
      <c r="C800" s="46" t="s">
        <v>219</v>
      </c>
      <c r="D800" s="46" t="s">
        <v>263</v>
      </c>
      <c r="E800" s="46"/>
      <c r="F800" s="47" t="s">
        <v>18</v>
      </c>
      <c r="G800" s="48"/>
      <c r="H800" s="48"/>
      <c r="I800" s="48"/>
      <c r="J800" s="49"/>
      <c r="K800" s="49"/>
      <c r="L800" s="50"/>
      <c r="M800" s="50"/>
      <c r="N800" s="50"/>
      <c r="O800" s="49"/>
      <c r="P800" s="51"/>
    </row>
    <row r="801" ht="15.0" hidden="1" customHeight="1">
      <c r="A801" s="45">
        <v>795.0</v>
      </c>
      <c r="B801" s="46" t="s">
        <v>22</v>
      </c>
      <c r="C801" s="46" t="s">
        <v>219</v>
      </c>
      <c r="D801" s="46" t="s">
        <v>263</v>
      </c>
      <c r="E801" s="46"/>
      <c r="F801" s="47" t="s">
        <v>19</v>
      </c>
      <c r="G801" s="48">
        <v>399.0</v>
      </c>
      <c r="H801" s="48">
        <v>44.0</v>
      </c>
      <c r="I801" s="48">
        <v>10.0</v>
      </c>
      <c r="J801" s="49">
        <v>90.0677200902935</v>
      </c>
      <c r="K801" s="49"/>
      <c r="L801" s="50">
        <v>290.0</v>
      </c>
      <c r="M801" s="50">
        <v>6.0</v>
      </c>
      <c r="N801" s="50">
        <v>5.0</v>
      </c>
      <c r="O801" s="49">
        <v>97.972972972973</v>
      </c>
      <c r="P801" s="51"/>
    </row>
    <row r="802" ht="15.0" customHeight="1">
      <c r="A802" s="52">
        <v>796.0</v>
      </c>
      <c r="B802" s="53" t="s">
        <v>24</v>
      </c>
      <c r="C802" s="60" t="s">
        <v>219</v>
      </c>
      <c r="D802" s="60" t="s">
        <v>263</v>
      </c>
      <c r="E802" s="60" t="s">
        <v>264</v>
      </c>
      <c r="F802" s="61" t="s">
        <v>264</v>
      </c>
      <c r="G802" s="54">
        <v>399.0</v>
      </c>
      <c r="H802" s="54">
        <v>44.0</v>
      </c>
      <c r="I802" s="54">
        <v>10.0</v>
      </c>
      <c r="J802" s="55">
        <v>90.0677200902935</v>
      </c>
      <c r="K802" s="55">
        <f>G802+H802+I802</f>
        <v>453</v>
      </c>
      <c r="L802" s="56">
        <v>290.0</v>
      </c>
      <c r="M802" s="56">
        <v>6.0</v>
      </c>
      <c r="N802" s="56">
        <v>5.0</v>
      </c>
      <c r="O802" s="55">
        <v>97.972972972973</v>
      </c>
      <c r="P802" s="57">
        <f>L802+M802+N802</f>
        <v>301</v>
      </c>
    </row>
    <row r="803" ht="15.0" hidden="1" customHeight="1">
      <c r="A803" s="45">
        <v>797.0</v>
      </c>
      <c r="B803" s="46" t="s">
        <v>24</v>
      </c>
      <c r="C803" s="46" t="s">
        <v>219</v>
      </c>
      <c r="D803" s="46" t="s">
        <v>263</v>
      </c>
      <c r="E803" s="46" t="s">
        <v>264</v>
      </c>
      <c r="F803" s="47" t="s">
        <v>18</v>
      </c>
      <c r="G803" s="48"/>
      <c r="H803" s="48"/>
      <c r="I803" s="48"/>
      <c r="J803" s="49"/>
      <c r="K803" s="49"/>
      <c r="L803" s="50"/>
      <c r="M803" s="50"/>
      <c r="N803" s="50"/>
      <c r="O803" s="49"/>
      <c r="P803" s="51"/>
    </row>
    <row r="804" ht="15.0" hidden="1" customHeight="1">
      <c r="A804" s="45">
        <v>798.0</v>
      </c>
      <c r="B804" s="46" t="s">
        <v>24</v>
      </c>
      <c r="C804" s="46" t="s">
        <v>219</v>
      </c>
      <c r="D804" s="46" t="s">
        <v>263</v>
      </c>
      <c r="E804" s="46" t="s">
        <v>264</v>
      </c>
      <c r="F804" s="47" t="s">
        <v>19</v>
      </c>
      <c r="G804" s="48">
        <v>399.0</v>
      </c>
      <c r="H804" s="48">
        <v>44.0</v>
      </c>
      <c r="I804" s="48">
        <v>10.0</v>
      </c>
      <c r="J804" s="49">
        <v>90.0677200902935</v>
      </c>
      <c r="K804" s="49"/>
      <c r="L804" s="50">
        <v>290.0</v>
      </c>
      <c r="M804" s="50">
        <v>6.0</v>
      </c>
      <c r="N804" s="50">
        <v>5.0</v>
      </c>
      <c r="O804" s="49">
        <v>97.972972972973</v>
      </c>
      <c r="P804" s="51"/>
    </row>
    <row r="805" ht="15.0" hidden="1" customHeight="1">
      <c r="A805" s="27">
        <v>799.0</v>
      </c>
      <c r="B805" s="28" t="s">
        <v>20</v>
      </c>
      <c r="C805" s="28" t="s">
        <v>265</v>
      </c>
      <c r="D805" s="28"/>
      <c r="E805" s="28"/>
      <c r="F805" s="28" t="s">
        <v>265</v>
      </c>
      <c r="G805" s="29">
        <v>85494.0</v>
      </c>
      <c r="H805" s="29">
        <v>9462.0</v>
      </c>
      <c r="I805" s="29">
        <v>2507.0</v>
      </c>
      <c r="J805" s="30">
        <v>90.0353848098067</v>
      </c>
      <c r="K805" s="30">
        <f>G805+H805+I805</f>
        <v>97463</v>
      </c>
      <c r="L805" s="31">
        <v>68866.0</v>
      </c>
      <c r="M805" s="31">
        <v>1851.0</v>
      </c>
      <c r="N805" s="31">
        <v>549.0</v>
      </c>
      <c r="O805" s="30">
        <v>97.3825247111727</v>
      </c>
      <c r="P805" s="32">
        <f>L805+M805+N805</f>
        <v>71266</v>
      </c>
    </row>
    <row r="806" ht="15.0" hidden="1" customHeight="1">
      <c r="A806" s="33">
        <v>800.0</v>
      </c>
      <c r="B806" s="34" t="s">
        <v>20</v>
      </c>
      <c r="C806" s="58" t="s">
        <v>265</v>
      </c>
      <c r="D806" s="58"/>
      <c r="E806" s="58"/>
      <c r="F806" s="34" t="s">
        <v>18</v>
      </c>
      <c r="G806" s="35">
        <v>36959.0</v>
      </c>
      <c r="H806" s="35">
        <v>2879.0</v>
      </c>
      <c r="I806" s="35">
        <v>859.0</v>
      </c>
      <c r="J806" s="36">
        <v>92.7732315879311</v>
      </c>
      <c r="K806" s="36"/>
      <c r="L806" s="37">
        <v>30752.0</v>
      </c>
      <c r="M806" s="37">
        <v>751.0</v>
      </c>
      <c r="N806" s="37">
        <v>117.0</v>
      </c>
      <c r="O806" s="36">
        <v>97.6161000539631</v>
      </c>
      <c r="P806" s="38"/>
    </row>
    <row r="807" ht="15.0" hidden="1" customHeight="1">
      <c r="A807" s="33">
        <v>801.0</v>
      </c>
      <c r="B807" s="34" t="s">
        <v>20</v>
      </c>
      <c r="C807" s="58" t="s">
        <v>265</v>
      </c>
      <c r="D807" s="58"/>
      <c r="E807" s="58"/>
      <c r="F807" s="34" t="s">
        <v>19</v>
      </c>
      <c r="G807" s="35">
        <v>48535.0</v>
      </c>
      <c r="H807" s="35">
        <v>6583.0</v>
      </c>
      <c r="I807" s="35">
        <v>1648.0</v>
      </c>
      <c r="J807" s="36">
        <v>88.0565332559237</v>
      </c>
      <c r="K807" s="36"/>
      <c r="L807" s="37">
        <v>38114.0</v>
      </c>
      <c r="M807" s="37">
        <v>1100.0</v>
      </c>
      <c r="N807" s="37">
        <v>432.0</v>
      </c>
      <c r="O807" s="36">
        <v>97.1948793798133</v>
      </c>
      <c r="P807" s="38"/>
    </row>
    <row r="808" ht="15.0" hidden="1" customHeight="1">
      <c r="A808" s="39">
        <v>802.0</v>
      </c>
      <c r="B808" s="40" t="s">
        <v>22</v>
      </c>
      <c r="C808" s="59" t="s">
        <v>265</v>
      </c>
      <c r="D808" s="59" t="s">
        <v>266</v>
      </c>
      <c r="E808" s="59"/>
      <c r="F808" s="40" t="s">
        <v>266</v>
      </c>
      <c r="G808" s="41">
        <v>25107.0</v>
      </c>
      <c r="H808" s="41">
        <v>2356.0</v>
      </c>
      <c r="I808" s="41">
        <v>582.0</v>
      </c>
      <c r="J808" s="42">
        <v>91.4211848669118</v>
      </c>
      <c r="K808" s="42"/>
      <c r="L808" s="43">
        <v>22533.0</v>
      </c>
      <c r="M808" s="43">
        <v>367.0</v>
      </c>
      <c r="N808" s="43">
        <v>86.0</v>
      </c>
      <c r="O808" s="42">
        <v>98.3973799126638</v>
      </c>
      <c r="P808" s="44"/>
    </row>
    <row r="809" ht="15.0" hidden="1" customHeight="1">
      <c r="A809" s="45">
        <v>803.0</v>
      </c>
      <c r="B809" s="46" t="s">
        <v>22</v>
      </c>
      <c r="C809" s="46" t="s">
        <v>265</v>
      </c>
      <c r="D809" s="46" t="s">
        <v>266</v>
      </c>
      <c r="E809" s="46"/>
      <c r="F809" s="47" t="s">
        <v>18</v>
      </c>
      <c r="G809" s="48">
        <v>19633.0</v>
      </c>
      <c r="H809" s="48">
        <v>1662.0</v>
      </c>
      <c r="I809" s="48">
        <v>420.0</v>
      </c>
      <c r="J809" s="49">
        <v>92.1953510213665</v>
      </c>
      <c r="K809" s="49"/>
      <c r="L809" s="50">
        <v>16689.0</v>
      </c>
      <c r="M809" s="50">
        <v>270.0</v>
      </c>
      <c r="N809" s="50">
        <v>46.0</v>
      </c>
      <c r="O809" s="49">
        <v>98.4079249955776</v>
      </c>
      <c r="P809" s="51"/>
    </row>
    <row r="810" ht="15.0" hidden="1" customHeight="1">
      <c r="A810" s="45">
        <v>804.0</v>
      </c>
      <c r="B810" s="46" t="s">
        <v>22</v>
      </c>
      <c r="C810" s="46" t="s">
        <v>265</v>
      </c>
      <c r="D810" s="46" t="s">
        <v>266</v>
      </c>
      <c r="E810" s="46"/>
      <c r="F810" s="47" t="s">
        <v>19</v>
      </c>
      <c r="G810" s="48">
        <v>5474.0</v>
      </c>
      <c r="H810" s="48">
        <v>694.0</v>
      </c>
      <c r="I810" s="48">
        <v>162.0</v>
      </c>
      <c r="J810" s="49">
        <v>88.7483787289235</v>
      </c>
      <c r="K810" s="49"/>
      <c r="L810" s="50">
        <v>5844.0</v>
      </c>
      <c r="M810" s="50">
        <v>97.0</v>
      </c>
      <c r="N810" s="50">
        <v>40.0</v>
      </c>
      <c r="O810" s="49">
        <v>98.3672782359872</v>
      </c>
      <c r="P810" s="51"/>
    </row>
    <row r="811" ht="15.0" customHeight="1">
      <c r="A811" s="52">
        <v>805.0</v>
      </c>
      <c r="B811" s="53" t="s">
        <v>24</v>
      </c>
      <c r="C811" s="60" t="s">
        <v>265</v>
      </c>
      <c r="D811" s="60" t="s">
        <v>266</v>
      </c>
      <c r="E811" s="60" t="s">
        <v>265</v>
      </c>
      <c r="F811" s="61" t="s">
        <v>265</v>
      </c>
      <c r="G811" s="54">
        <v>21062.0</v>
      </c>
      <c r="H811" s="54">
        <v>1806.0</v>
      </c>
      <c r="I811" s="54">
        <v>456.0</v>
      </c>
      <c r="J811" s="55">
        <v>92.1025013118769</v>
      </c>
      <c r="K811" s="55">
        <f>G811+H811+I811</f>
        <v>23324</v>
      </c>
      <c r="L811" s="56">
        <v>18398.0</v>
      </c>
      <c r="M811" s="56">
        <v>288.0</v>
      </c>
      <c r="N811" s="56">
        <v>57.0</v>
      </c>
      <c r="O811" s="55">
        <v>98.4587391630097</v>
      </c>
      <c r="P811" s="57">
        <f>L811+M811+N811</f>
        <v>18743</v>
      </c>
    </row>
    <row r="812" ht="15.0" hidden="1" customHeight="1">
      <c r="A812" s="45">
        <v>806.0</v>
      </c>
      <c r="B812" s="46" t="s">
        <v>24</v>
      </c>
      <c r="C812" s="46" t="s">
        <v>265</v>
      </c>
      <c r="D812" s="46" t="s">
        <v>266</v>
      </c>
      <c r="E812" s="46" t="s">
        <v>265</v>
      </c>
      <c r="F812" s="47" t="s">
        <v>18</v>
      </c>
      <c r="G812" s="48">
        <v>19633.0</v>
      </c>
      <c r="H812" s="48">
        <v>1662.0</v>
      </c>
      <c r="I812" s="48">
        <v>420.0</v>
      </c>
      <c r="J812" s="49">
        <v>92.1953510213665</v>
      </c>
      <c r="K812" s="49"/>
      <c r="L812" s="50">
        <v>16689.0</v>
      </c>
      <c r="M812" s="50">
        <v>270.0</v>
      </c>
      <c r="N812" s="50">
        <v>46.0</v>
      </c>
      <c r="O812" s="49">
        <v>98.4079249955776</v>
      </c>
      <c r="P812" s="51"/>
    </row>
    <row r="813" ht="15.0" hidden="1" customHeight="1">
      <c r="A813" s="45">
        <v>807.0</v>
      </c>
      <c r="B813" s="46" t="s">
        <v>24</v>
      </c>
      <c r="C813" s="46" t="s">
        <v>265</v>
      </c>
      <c r="D813" s="46" t="s">
        <v>266</v>
      </c>
      <c r="E813" s="46" t="s">
        <v>265</v>
      </c>
      <c r="F813" s="47" t="s">
        <v>19</v>
      </c>
      <c r="G813" s="48">
        <v>1429.0</v>
      </c>
      <c r="H813" s="48">
        <v>144.0</v>
      </c>
      <c r="I813" s="48">
        <v>36.0</v>
      </c>
      <c r="J813" s="49">
        <v>90.8455181182454</v>
      </c>
      <c r="K813" s="49"/>
      <c r="L813" s="50">
        <v>1709.0</v>
      </c>
      <c r="M813" s="50">
        <v>18.0</v>
      </c>
      <c r="N813" s="50">
        <v>11.0</v>
      </c>
      <c r="O813" s="49">
        <v>98.9577301679213</v>
      </c>
      <c r="P813" s="51"/>
    </row>
    <row r="814" ht="15.0" customHeight="1">
      <c r="A814" s="52">
        <v>808.0</v>
      </c>
      <c r="B814" s="53" t="s">
        <v>24</v>
      </c>
      <c r="C814" s="60" t="s">
        <v>265</v>
      </c>
      <c r="D814" s="60" t="s">
        <v>266</v>
      </c>
      <c r="E814" s="60" t="s">
        <v>267</v>
      </c>
      <c r="F814" s="61" t="s">
        <v>267</v>
      </c>
      <c r="G814" s="54">
        <v>3088.0</v>
      </c>
      <c r="H814" s="54">
        <v>448.0</v>
      </c>
      <c r="I814" s="54">
        <v>93.0</v>
      </c>
      <c r="J814" s="55">
        <v>87.3303167420815</v>
      </c>
      <c r="K814" s="55">
        <f>G814+H814+I814</f>
        <v>3629</v>
      </c>
      <c r="L814" s="56">
        <v>3069.0</v>
      </c>
      <c r="M814" s="56">
        <v>54.0</v>
      </c>
      <c r="N814" s="56">
        <v>21.0</v>
      </c>
      <c r="O814" s="55">
        <v>98.2708933717579</v>
      </c>
      <c r="P814" s="57">
        <f>L814+M814+N814</f>
        <v>3144</v>
      </c>
    </row>
    <row r="815" ht="15.0" hidden="1" customHeight="1">
      <c r="A815" s="45">
        <v>809.0</v>
      </c>
      <c r="B815" s="46" t="s">
        <v>24</v>
      </c>
      <c r="C815" s="46" t="s">
        <v>265</v>
      </c>
      <c r="D815" s="46" t="s">
        <v>266</v>
      </c>
      <c r="E815" s="46" t="s">
        <v>267</v>
      </c>
      <c r="F815" s="47" t="s">
        <v>18</v>
      </c>
      <c r="G815" s="48"/>
      <c r="H815" s="48"/>
      <c r="I815" s="48"/>
      <c r="J815" s="49"/>
      <c r="K815" s="49"/>
      <c r="L815" s="50"/>
      <c r="M815" s="50"/>
      <c r="N815" s="50"/>
      <c r="O815" s="49"/>
      <c r="P815" s="51"/>
    </row>
    <row r="816" ht="15.0" hidden="1" customHeight="1">
      <c r="A816" s="45">
        <v>810.0</v>
      </c>
      <c r="B816" s="46" t="s">
        <v>24</v>
      </c>
      <c r="C816" s="46" t="s">
        <v>265</v>
      </c>
      <c r="D816" s="46" t="s">
        <v>266</v>
      </c>
      <c r="E816" s="46" t="s">
        <v>267</v>
      </c>
      <c r="F816" s="47" t="s">
        <v>19</v>
      </c>
      <c r="G816" s="48">
        <v>3088.0</v>
      </c>
      <c r="H816" s="48">
        <v>448.0</v>
      </c>
      <c r="I816" s="48">
        <v>93.0</v>
      </c>
      <c r="J816" s="49">
        <v>87.3303167420815</v>
      </c>
      <c r="K816" s="49"/>
      <c r="L816" s="50">
        <v>3069.0</v>
      </c>
      <c r="M816" s="50">
        <v>54.0</v>
      </c>
      <c r="N816" s="50">
        <v>21.0</v>
      </c>
      <c r="O816" s="49">
        <v>98.2708933717579</v>
      </c>
      <c r="P816" s="51"/>
    </row>
    <row r="817" ht="15.0" customHeight="1">
      <c r="A817" s="52">
        <v>811.0</v>
      </c>
      <c r="B817" s="53" t="s">
        <v>24</v>
      </c>
      <c r="C817" s="60" t="s">
        <v>265</v>
      </c>
      <c r="D817" s="60" t="s">
        <v>266</v>
      </c>
      <c r="E817" s="60" t="s">
        <v>268</v>
      </c>
      <c r="F817" s="61" t="s">
        <v>268</v>
      </c>
      <c r="G817" s="54">
        <v>720.0</v>
      </c>
      <c r="H817" s="54">
        <v>57.0</v>
      </c>
      <c r="I817" s="54">
        <v>25.0</v>
      </c>
      <c r="J817" s="55">
        <v>92.6640926640927</v>
      </c>
      <c r="K817" s="55">
        <f>G817+H817+I817</f>
        <v>802</v>
      </c>
      <c r="L817" s="56">
        <v>871.0</v>
      </c>
      <c r="M817" s="56">
        <v>20.0</v>
      </c>
      <c r="N817" s="56">
        <v>8.0</v>
      </c>
      <c r="O817" s="55">
        <v>97.7553310886644</v>
      </c>
      <c r="P817" s="57">
        <f>L817+M817+N817</f>
        <v>899</v>
      </c>
    </row>
    <row r="818" ht="15.0" hidden="1" customHeight="1">
      <c r="A818" s="45">
        <v>812.0</v>
      </c>
      <c r="B818" s="46" t="s">
        <v>24</v>
      </c>
      <c r="C818" s="46" t="s">
        <v>265</v>
      </c>
      <c r="D818" s="46" t="s">
        <v>266</v>
      </c>
      <c r="E818" s="46" t="s">
        <v>268</v>
      </c>
      <c r="F818" s="47" t="s">
        <v>18</v>
      </c>
      <c r="G818" s="48"/>
      <c r="H818" s="48"/>
      <c r="I818" s="48"/>
      <c r="J818" s="49"/>
      <c r="K818" s="49"/>
      <c r="L818" s="50"/>
      <c r="M818" s="50"/>
      <c r="N818" s="50"/>
      <c r="O818" s="49"/>
      <c r="P818" s="51"/>
    </row>
    <row r="819" ht="15.0" hidden="1" customHeight="1">
      <c r="A819" s="45">
        <v>813.0</v>
      </c>
      <c r="B819" s="46" t="s">
        <v>24</v>
      </c>
      <c r="C819" s="46" t="s">
        <v>265</v>
      </c>
      <c r="D819" s="46" t="s">
        <v>266</v>
      </c>
      <c r="E819" s="46" t="s">
        <v>268</v>
      </c>
      <c r="F819" s="47" t="s">
        <v>19</v>
      </c>
      <c r="G819" s="48">
        <v>720.0</v>
      </c>
      <c r="H819" s="48">
        <v>57.0</v>
      </c>
      <c r="I819" s="48">
        <v>25.0</v>
      </c>
      <c r="J819" s="49">
        <v>92.6640926640927</v>
      </c>
      <c r="K819" s="49"/>
      <c r="L819" s="50">
        <v>871.0</v>
      </c>
      <c r="M819" s="50">
        <v>20.0</v>
      </c>
      <c r="N819" s="50">
        <v>8.0</v>
      </c>
      <c r="O819" s="49">
        <v>97.7553310886644</v>
      </c>
      <c r="P819" s="51"/>
    </row>
    <row r="820" ht="15.0" customHeight="1">
      <c r="A820" s="52">
        <v>814.0</v>
      </c>
      <c r="B820" s="53" t="s">
        <v>24</v>
      </c>
      <c r="C820" s="60" t="s">
        <v>265</v>
      </c>
      <c r="D820" s="60" t="s">
        <v>266</v>
      </c>
      <c r="E820" s="60" t="s">
        <v>269</v>
      </c>
      <c r="F820" s="61" t="s">
        <v>269</v>
      </c>
      <c r="G820" s="54">
        <v>237.0</v>
      </c>
      <c r="H820" s="54">
        <v>45.0</v>
      </c>
      <c r="I820" s="54">
        <v>8.0</v>
      </c>
      <c r="J820" s="55">
        <v>84.0425531914894</v>
      </c>
      <c r="K820" s="55">
        <f>G820+H820+I820</f>
        <v>290</v>
      </c>
      <c r="L820" s="56">
        <v>195.0</v>
      </c>
      <c r="M820" s="56">
        <v>5.0</v>
      </c>
      <c r="N820" s="56">
        <v>0.0</v>
      </c>
      <c r="O820" s="55">
        <v>97.5</v>
      </c>
      <c r="P820" s="57">
        <f>L820+M820+N820</f>
        <v>200</v>
      </c>
    </row>
    <row r="821" ht="15.0" hidden="1" customHeight="1">
      <c r="A821" s="45">
        <v>815.0</v>
      </c>
      <c r="B821" s="46" t="s">
        <v>24</v>
      </c>
      <c r="C821" s="46" t="s">
        <v>265</v>
      </c>
      <c r="D821" s="46" t="s">
        <v>266</v>
      </c>
      <c r="E821" s="46" t="s">
        <v>269</v>
      </c>
      <c r="F821" s="47" t="s">
        <v>18</v>
      </c>
      <c r="G821" s="48"/>
      <c r="H821" s="48"/>
      <c r="I821" s="48"/>
      <c r="J821" s="49"/>
      <c r="K821" s="49"/>
      <c r="L821" s="50"/>
      <c r="M821" s="50"/>
      <c r="N821" s="50"/>
      <c r="O821" s="49"/>
      <c r="P821" s="51"/>
    </row>
    <row r="822" ht="15.0" hidden="1" customHeight="1">
      <c r="A822" s="45">
        <v>816.0</v>
      </c>
      <c r="B822" s="46" t="s">
        <v>24</v>
      </c>
      <c r="C822" s="46" t="s">
        <v>265</v>
      </c>
      <c r="D822" s="46" t="s">
        <v>266</v>
      </c>
      <c r="E822" s="46" t="s">
        <v>269</v>
      </c>
      <c r="F822" s="47" t="s">
        <v>19</v>
      </c>
      <c r="G822" s="48">
        <v>237.0</v>
      </c>
      <c r="H822" s="48">
        <v>45.0</v>
      </c>
      <c r="I822" s="48">
        <v>8.0</v>
      </c>
      <c r="J822" s="49">
        <v>84.0425531914894</v>
      </c>
      <c r="K822" s="49"/>
      <c r="L822" s="50">
        <v>195.0</v>
      </c>
      <c r="M822" s="50">
        <v>5.0</v>
      </c>
      <c r="N822" s="50">
        <v>0.0</v>
      </c>
      <c r="O822" s="49">
        <v>97.5</v>
      </c>
      <c r="P822" s="51"/>
    </row>
    <row r="823" ht="15.0" hidden="1" customHeight="1">
      <c r="A823" s="39">
        <v>817.0</v>
      </c>
      <c r="B823" s="40" t="s">
        <v>22</v>
      </c>
      <c r="C823" s="59" t="s">
        <v>265</v>
      </c>
      <c r="D823" s="59" t="s">
        <v>270</v>
      </c>
      <c r="E823" s="59"/>
      <c r="F823" s="40" t="s">
        <v>270</v>
      </c>
      <c r="G823" s="41">
        <v>9523.0</v>
      </c>
      <c r="H823" s="41">
        <v>661.0</v>
      </c>
      <c r="I823" s="41">
        <v>235.0</v>
      </c>
      <c r="J823" s="42">
        <v>93.5094265514533</v>
      </c>
      <c r="K823" s="42"/>
      <c r="L823" s="43">
        <v>6877.0</v>
      </c>
      <c r="M823" s="43">
        <v>103.0</v>
      </c>
      <c r="N823" s="43">
        <v>41.0</v>
      </c>
      <c r="O823" s="42">
        <v>98.5243553008596</v>
      </c>
      <c r="P823" s="44"/>
    </row>
    <row r="824" ht="15.0" hidden="1" customHeight="1">
      <c r="A824" s="45">
        <v>818.0</v>
      </c>
      <c r="B824" s="46" t="s">
        <v>22</v>
      </c>
      <c r="C824" s="46" t="s">
        <v>265</v>
      </c>
      <c r="D824" s="46" t="s">
        <v>270</v>
      </c>
      <c r="E824" s="46"/>
      <c r="F824" s="47" t="s">
        <v>18</v>
      </c>
      <c r="G824" s="48">
        <v>5166.0</v>
      </c>
      <c r="H824" s="48">
        <v>265.0</v>
      </c>
      <c r="I824" s="48">
        <v>115.0</v>
      </c>
      <c r="J824" s="49">
        <v>95.1206039403425</v>
      </c>
      <c r="K824" s="49"/>
      <c r="L824" s="50">
        <v>3734.0</v>
      </c>
      <c r="M824" s="50">
        <v>54.0</v>
      </c>
      <c r="N824" s="50">
        <v>18.0</v>
      </c>
      <c r="O824" s="49">
        <v>98.5744456177402</v>
      </c>
      <c r="P824" s="51"/>
    </row>
    <row r="825" ht="15.0" hidden="1" customHeight="1">
      <c r="A825" s="45">
        <v>819.0</v>
      </c>
      <c r="B825" s="46" t="s">
        <v>22</v>
      </c>
      <c r="C825" s="46" t="s">
        <v>265</v>
      </c>
      <c r="D825" s="46" t="s">
        <v>270</v>
      </c>
      <c r="E825" s="46"/>
      <c r="F825" s="47" t="s">
        <v>19</v>
      </c>
      <c r="G825" s="48">
        <v>4357.0</v>
      </c>
      <c r="H825" s="48">
        <v>396.0</v>
      </c>
      <c r="I825" s="48">
        <v>120.0</v>
      </c>
      <c r="J825" s="49">
        <v>91.6684199452977</v>
      </c>
      <c r="K825" s="49"/>
      <c r="L825" s="50">
        <v>3143.0</v>
      </c>
      <c r="M825" s="50">
        <v>49.0</v>
      </c>
      <c r="N825" s="50">
        <v>23.0</v>
      </c>
      <c r="O825" s="49">
        <v>98.4649122807018</v>
      </c>
      <c r="P825" s="51"/>
    </row>
    <row r="826" ht="15.0" customHeight="1">
      <c r="A826" s="52">
        <v>820.0</v>
      </c>
      <c r="B826" s="53" t="s">
        <v>24</v>
      </c>
      <c r="C826" s="60" t="s">
        <v>265</v>
      </c>
      <c r="D826" s="60" t="s">
        <v>270</v>
      </c>
      <c r="E826" s="60" t="s">
        <v>271</v>
      </c>
      <c r="F826" s="61" t="s">
        <v>271</v>
      </c>
      <c r="G826" s="54">
        <v>2236.0</v>
      </c>
      <c r="H826" s="54">
        <v>145.0</v>
      </c>
      <c r="I826" s="54">
        <v>44.0</v>
      </c>
      <c r="J826" s="55">
        <v>93.910121797564</v>
      </c>
      <c r="K826" s="55">
        <f>G826+H826+I826</f>
        <v>2425</v>
      </c>
      <c r="L826" s="56">
        <v>1760.0</v>
      </c>
      <c r="M826" s="56">
        <v>40.0</v>
      </c>
      <c r="N826" s="56">
        <v>9.0</v>
      </c>
      <c r="O826" s="55">
        <v>97.7777777777778</v>
      </c>
      <c r="P826" s="57">
        <f>L826+M826+N826</f>
        <v>1809</v>
      </c>
    </row>
    <row r="827" ht="15.0" hidden="1" customHeight="1">
      <c r="A827" s="45">
        <v>821.0</v>
      </c>
      <c r="B827" s="46" t="s">
        <v>24</v>
      </c>
      <c r="C827" s="46" t="s">
        <v>265</v>
      </c>
      <c r="D827" s="46" t="s">
        <v>270</v>
      </c>
      <c r="E827" s="46" t="s">
        <v>271</v>
      </c>
      <c r="F827" s="47" t="s">
        <v>18</v>
      </c>
      <c r="G827" s="48">
        <v>1014.0</v>
      </c>
      <c r="H827" s="48">
        <v>42.0</v>
      </c>
      <c r="I827" s="48">
        <v>15.0</v>
      </c>
      <c r="J827" s="49">
        <v>96.0227272727273</v>
      </c>
      <c r="K827" s="49"/>
      <c r="L827" s="50">
        <v>705.0</v>
      </c>
      <c r="M827" s="50">
        <v>14.0</v>
      </c>
      <c r="N827" s="50">
        <v>3.0</v>
      </c>
      <c r="O827" s="49">
        <v>98.0528511821975</v>
      </c>
      <c r="P827" s="51"/>
    </row>
    <row r="828" ht="15.0" hidden="1" customHeight="1">
      <c r="A828" s="45">
        <v>822.0</v>
      </c>
      <c r="B828" s="46" t="s">
        <v>24</v>
      </c>
      <c r="C828" s="46" t="s">
        <v>265</v>
      </c>
      <c r="D828" s="46" t="s">
        <v>270</v>
      </c>
      <c r="E828" s="46" t="s">
        <v>271</v>
      </c>
      <c r="F828" s="47" t="s">
        <v>19</v>
      </c>
      <c r="G828" s="48">
        <v>1222.0</v>
      </c>
      <c r="H828" s="48">
        <v>103.0</v>
      </c>
      <c r="I828" s="48">
        <v>29.0</v>
      </c>
      <c r="J828" s="49">
        <v>92.2264150943396</v>
      </c>
      <c r="K828" s="49"/>
      <c r="L828" s="50">
        <v>1055.0</v>
      </c>
      <c r="M828" s="50">
        <v>26.0</v>
      </c>
      <c r="N828" s="50">
        <v>6.0</v>
      </c>
      <c r="O828" s="49">
        <v>97.5948196114709</v>
      </c>
      <c r="P828" s="51"/>
    </row>
    <row r="829" ht="15.0" customHeight="1">
      <c r="A829" s="52">
        <v>823.0</v>
      </c>
      <c r="B829" s="53" t="s">
        <v>24</v>
      </c>
      <c r="C829" s="60" t="s">
        <v>265</v>
      </c>
      <c r="D829" s="60" t="s">
        <v>270</v>
      </c>
      <c r="E829" s="60" t="s">
        <v>272</v>
      </c>
      <c r="F829" s="61" t="s">
        <v>272</v>
      </c>
      <c r="G829" s="54">
        <v>1791.0</v>
      </c>
      <c r="H829" s="54">
        <v>119.0</v>
      </c>
      <c r="I829" s="54">
        <v>64.0</v>
      </c>
      <c r="J829" s="55">
        <v>93.7696335078534</v>
      </c>
      <c r="K829" s="55">
        <f>G829+H829+I829</f>
        <v>1974</v>
      </c>
      <c r="L829" s="56">
        <v>1310.0</v>
      </c>
      <c r="M829" s="56">
        <v>14.0</v>
      </c>
      <c r="N829" s="56">
        <v>12.0</v>
      </c>
      <c r="O829" s="55">
        <v>98.9425981873112</v>
      </c>
      <c r="P829" s="57">
        <f>L829+M829+N829</f>
        <v>1336</v>
      </c>
    </row>
    <row r="830" ht="15.0" hidden="1" customHeight="1">
      <c r="A830" s="45">
        <v>824.0</v>
      </c>
      <c r="B830" s="46" t="s">
        <v>24</v>
      </c>
      <c r="C830" s="46" t="s">
        <v>265</v>
      </c>
      <c r="D830" s="46" t="s">
        <v>270</v>
      </c>
      <c r="E830" s="46" t="s">
        <v>272</v>
      </c>
      <c r="F830" s="47" t="s">
        <v>18</v>
      </c>
      <c r="G830" s="48">
        <v>280.0</v>
      </c>
      <c r="H830" s="48">
        <v>8.0</v>
      </c>
      <c r="I830" s="48">
        <v>23.0</v>
      </c>
      <c r="J830" s="49">
        <v>97.2222222222222</v>
      </c>
      <c r="K830" s="49"/>
      <c r="L830" s="50">
        <v>199.0</v>
      </c>
      <c r="M830" s="50">
        <v>2.0</v>
      </c>
      <c r="N830" s="50">
        <v>1.0</v>
      </c>
      <c r="O830" s="49">
        <v>99.0049751243781</v>
      </c>
      <c r="P830" s="51"/>
    </row>
    <row r="831" ht="15.0" hidden="1" customHeight="1">
      <c r="A831" s="45">
        <v>825.0</v>
      </c>
      <c r="B831" s="46" t="s">
        <v>24</v>
      </c>
      <c r="C831" s="46" t="s">
        <v>265</v>
      </c>
      <c r="D831" s="46" t="s">
        <v>270</v>
      </c>
      <c r="E831" s="46" t="s">
        <v>272</v>
      </c>
      <c r="F831" s="47" t="s">
        <v>19</v>
      </c>
      <c r="G831" s="48">
        <v>1511.0</v>
      </c>
      <c r="H831" s="48">
        <v>111.0</v>
      </c>
      <c r="I831" s="48">
        <v>41.0</v>
      </c>
      <c r="J831" s="49">
        <v>93.1565967940814</v>
      </c>
      <c r="K831" s="49"/>
      <c r="L831" s="50">
        <v>1111.0</v>
      </c>
      <c r="M831" s="50">
        <v>12.0</v>
      </c>
      <c r="N831" s="50">
        <v>11.0</v>
      </c>
      <c r="O831" s="49">
        <v>98.9314336598397</v>
      </c>
      <c r="P831" s="51"/>
    </row>
    <row r="832" ht="15.0" customHeight="1">
      <c r="A832" s="52">
        <v>826.0</v>
      </c>
      <c r="B832" s="53" t="s">
        <v>24</v>
      </c>
      <c r="C832" s="60" t="s">
        <v>265</v>
      </c>
      <c r="D832" s="60" t="s">
        <v>270</v>
      </c>
      <c r="E832" s="60" t="s">
        <v>273</v>
      </c>
      <c r="F832" s="61" t="s">
        <v>273</v>
      </c>
      <c r="G832" s="54">
        <v>4496.0</v>
      </c>
      <c r="H832" s="54">
        <v>278.0</v>
      </c>
      <c r="I832" s="54">
        <v>110.0</v>
      </c>
      <c r="J832" s="55">
        <v>94.1767909509845</v>
      </c>
      <c r="K832" s="55">
        <f>G832+H832+I832</f>
        <v>4884</v>
      </c>
      <c r="L832" s="56">
        <v>3078.0</v>
      </c>
      <c r="M832" s="56">
        <v>37.0</v>
      </c>
      <c r="N832" s="56">
        <v>15.0</v>
      </c>
      <c r="O832" s="55">
        <v>98.8121990369181</v>
      </c>
      <c r="P832" s="57">
        <f>L832+M832+N832</f>
        <v>3130</v>
      </c>
    </row>
    <row r="833" ht="15.0" hidden="1" customHeight="1">
      <c r="A833" s="45">
        <v>827.0</v>
      </c>
      <c r="B833" s="46" t="s">
        <v>24</v>
      </c>
      <c r="C833" s="46" t="s">
        <v>265</v>
      </c>
      <c r="D833" s="46" t="s">
        <v>270</v>
      </c>
      <c r="E833" s="46" t="s">
        <v>273</v>
      </c>
      <c r="F833" s="47" t="s">
        <v>18</v>
      </c>
      <c r="G833" s="48">
        <v>3872.0</v>
      </c>
      <c r="H833" s="48">
        <v>215.0</v>
      </c>
      <c r="I833" s="48">
        <v>77.0</v>
      </c>
      <c r="J833" s="49">
        <v>94.7394176657695</v>
      </c>
      <c r="K833" s="49"/>
      <c r="L833" s="50">
        <v>2647.0</v>
      </c>
      <c r="M833" s="50">
        <v>33.0</v>
      </c>
      <c r="N833" s="50">
        <v>13.0</v>
      </c>
      <c r="O833" s="49">
        <v>98.7686567164179</v>
      </c>
      <c r="P833" s="51"/>
    </row>
    <row r="834" ht="15.0" hidden="1" customHeight="1">
      <c r="A834" s="45">
        <v>828.0</v>
      </c>
      <c r="B834" s="46" t="s">
        <v>24</v>
      </c>
      <c r="C834" s="46" t="s">
        <v>265</v>
      </c>
      <c r="D834" s="46" t="s">
        <v>270</v>
      </c>
      <c r="E834" s="46" t="s">
        <v>273</v>
      </c>
      <c r="F834" s="47" t="s">
        <v>19</v>
      </c>
      <c r="G834" s="48">
        <v>624.0</v>
      </c>
      <c r="H834" s="48">
        <v>63.0</v>
      </c>
      <c r="I834" s="48">
        <v>33.0</v>
      </c>
      <c r="J834" s="49">
        <v>90.8296943231441</v>
      </c>
      <c r="K834" s="49"/>
      <c r="L834" s="50">
        <v>431.0</v>
      </c>
      <c r="M834" s="50">
        <v>4.0</v>
      </c>
      <c r="N834" s="50">
        <v>2.0</v>
      </c>
      <c r="O834" s="49">
        <v>99.0804597701149</v>
      </c>
      <c r="P834" s="51"/>
    </row>
    <row r="835" ht="15.0" customHeight="1">
      <c r="A835" s="52">
        <v>829.0</v>
      </c>
      <c r="B835" s="53" t="s">
        <v>24</v>
      </c>
      <c r="C835" s="60" t="s">
        <v>265</v>
      </c>
      <c r="D835" s="60" t="s">
        <v>270</v>
      </c>
      <c r="E835" s="60" t="s">
        <v>274</v>
      </c>
      <c r="F835" s="61" t="s">
        <v>274</v>
      </c>
      <c r="G835" s="54">
        <v>1000.0</v>
      </c>
      <c r="H835" s="54">
        <v>119.0</v>
      </c>
      <c r="I835" s="54">
        <v>17.0</v>
      </c>
      <c r="J835" s="55">
        <v>89.3655049151028</v>
      </c>
      <c r="K835" s="55">
        <f>G835+H835+I835</f>
        <v>1136</v>
      </c>
      <c r="L835" s="56">
        <v>729.0</v>
      </c>
      <c r="M835" s="56">
        <v>12.0</v>
      </c>
      <c r="N835" s="56">
        <v>5.0</v>
      </c>
      <c r="O835" s="55">
        <v>98.3805668016194</v>
      </c>
      <c r="P835" s="57">
        <f>L835+M835+N835</f>
        <v>746</v>
      </c>
    </row>
    <row r="836" ht="15.0" hidden="1" customHeight="1">
      <c r="A836" s="45">
        <v>830.0</v>
      </c>
      <c r="B836" s="46" t="s">
        <v>24</v>
      </c>
      <c r="C836" s="46" t="s">
        <v>265</v>
      </c>
      <c r="D836" s="46" t="s">
        <v>270</v>
      </c>
      <c r="E836" s="46" t="s">
        <v>274</v>
      </c>
      <c r="F836" s="47" t="s">
        <v>18</v>
      </c>
      <c r="G836" s="48"/>
      <c r="H836" s="48"/>
      <c r="I836" s="48"/>
      <c r="J836" s="49"/>
      <c r="K836" s="49"/>
      <c r="L836" s="50">
        <v>183.0</v>
      </c>
      <c r="M836" s="50">
        <v>5.0</v>
      </c>
      <c r="N836" s="50">
        <v>1.0</v>
      </c>
      <c r="O836" s="49">
        <v>97.3404255319149</v>
      </c>
      <c r="P836" s="51"/>
    </row>
    <row r="837" ht="15.0" hidden="1" customHeight="1">
      <c r="A837" s="45">
        <v>831.0</v>
      </c>
      <c r="B837" s="46" t="s">
        <v>24</v>
      </c>
      <c r="C837" s="46" t="s">
        <v>265</v>
      </c>
      <c r="D837" s="46" t="s">
        <v>270</v>
      </c>
      <c r="E837" s="46" t="s">
        <v>274</v>
      </c>
      <c r="F837" s="47" t="s">
        <v>19</v>
      </c>
      <c r="G837" s="48">
        <v>1000.0</v>
      </c>
      <c r="H837" s="48">
        <v>119.0</v>
      </c>
      <c r="I837" s="48">
        <v>17.0</v>
      </c>
      <c r="J837" s="49">
        <v>89.3655049151028</v>
      </c>
      <c r="K837" s="49"/>
      <c r="L837" s="50">
        <v>546.0</v>
      </c>
      <c r="M837" s="50">
        <v>7.0</v>
      </c>
      <c r="N837" s="50">
        <v>4.0</v>
      </c>
      <c r="O837" s="49">
        <v>98.7341772151899</v>
      </c>
      <c r="P837" s="51"/>
    </row>
    <row r="838" ht="15.0" hidden="1" customHeight="1">
      <c r="A838" s="39">
        <v>832.0</v>
      </c>
      <c r="B838" s="40" t="s">
        <v>22</v>
      </c>
      <c r="C838" s="59" t="s">
        <v>265</v>
      </c>
      <c r="D838" s="59" t="s">
        <v>275</v>
      </c>
      <c r="E838" s="59"/>
      <c r="F838" s="40" t="s">
        <v>275</v>
      </c>
      <c r="G838" s="41">
        <v>5082.0</v>
      </c>
      <c r="H838" s="41">
        <v>598.0</v>
      </c>
      <c r="I838" s="41">
        <v>172.0</v>
      </c>
      <c r="J838" s="42">
        <v>89.4718309859155</v>
      </c>
      <c r="K838" s="42"/>
      <c r="L838" s="43">
        <v>4363.0</v>
      </c>
      <c r="M838" s="43">
        <v>130.0</v>
      </c>
      <c r="N838" s="43">
        <v>34.0</v>
      </c>
      <c r="O838" s="42">
        <v>97.1066102826619</v>
      </c>
      <c r="P838" s="44"/>
    </row>
    <row r="839" ht="15.0" hidden="1" customHeight="1">
      <c r="A839" s="45">
        <v>833.0</v>
      </c>
      <c r="B839" s="46" t="s">
        <v>22</v>
      </c>
      <c r="C839" s="46" t="s">
        <v>265</v>
      </c>
      <c r="D839" s="46" t="s">
        <v>275</v>
      </c>
      <c r="E839" s="46"/>
      <c r="F839" s="47" t="s">
        <v>18</v>
      </c>
      <c r="G839" s="48">
        <v>491.0</v>
      </c>
      <c r="H839" s="48">
        <v>36.0</v>
      </c>
      <c r="I839" s="48">
        <v>3.0</v>
      </c>
      <c r="J839" s="49">
        <v>93.168880455408</v>
      </c>
      <c r="K839" s="49"/>
      <c r="L839" s="50">
        <v>527.0</v>
      </c>
      <c r="M839" s="50">
        <v>18.0</v>
      </c>
      <c r="N839" s="50">
        <v>1.0</v>
      </c>
      <c r="O839" s="49">
        <v>96.697247706422</v>
      </c>
      <c r="P839" s="51"/>
    </row>
    <row r="840" ht="15.0" hidden="1" customHeight="1">
      <c r="A840" s="45">
        <v>834.0</v>
      </c>
      <c r="B840" s="46" t="s">
        <v>22</v>
      </c>
      <c r="C840" s="46" t="s">
        <v>265</v>
      </c>
      <c r="D840" s="46" t="s">
        <v>275</v>
      </c>
      <c r="E840" s="46"/>
      <c r="F840" s="47" t="s">
        <v>19</v>
      </c>
      <c r="G840" s="48">
        <v>4591.0</v>
      </c>
      <c r="H840" s="48">
        <v>562.0</v>
      </c>
      <c r="I840" s="48">
        <v>169.0</v>
      </c>
      <c r="J840" s="49">
        <v>89.0937318067145</v>
      </c>
      <c r="K840" s="49"/>
      <c r="L840" s="50">
        <v>3836.0</v>
      </c>
      <c r="M840" s="50">
        <v>112.0</v>
      </c>
      <c r="N840" s="50">
        <v>33.0</v>
      </c>
      <c r="O840" s="49">
        <v>97.1631205673759</v>
      </c>
      <c r="P840" s="51"/>
    </row>
    <row r="841" ht="15.0" customHeight="1">
      <c r="A841" s="52">
        <v>835.0</v>
      </c>
      <c r="B841" s="53" t="s">
        <v>24</v>
      </c>
      <c r="C841" s="60" t="s">
        <v>265</v>
      </c>
      <c r="D841" s="60" t="s">
        <v>275</v>
      </c>
      <c r="E841" s="60" t="s">
        <v>276</v>
      </c>
      <c r="F841" s="61" t="s">
        <v>276</v>
      </c>
      <c r="G841" s="54">
        <v>3175.0</v>
      </c>
      <c r="H841" s="54">
        <v>322.0</v>
      </c>
      <c r="I841" s="54">
        <v>72.0</v>
      </c>
      <c r="J841" s="55">
        <v>90.7921075207321</v>
      </c>
      <c r="K841" s="55">
        <f>G841+H841+I841</f>
        <v>3569</v>
      </c>
      <c r="L841" s="56">
        <v>2470.0</v>
      </c>
      <c r="M841" s="56">
        <v>78.0</v>
      </c>
      <c r="N841" s="56">
        <v>18.0</v>
      </c>
      <c r="O841" s="55">
        <v>96.9387755102041</v>
      </c>
      <c r="P841" s="57">
        <f>L841+M841+N841</f>
        <v>2566</v>
      </c>
    </row>
    <row r="842" ht="15.0" hidden="1" customHeight="1">
      <c r="A842" s="45">
        <v>836.0</v>
      </c>
      <c r="B842" s="46" t="s">
        <v>24</v>
      </c>
      <c r="C842" s="46" t="s">
        <v>265</v>
      </c>
      <c r="D842" s="46" t="s">
        <v>275</v>
      </c>
      <c r="E842" s="46" t="s">
        <v>276</v>
      </c>
      <c r="F842" s="47" t="s">
        <v>18</v>
      </c>
      <c r="G842" s="48">
        <v>491.0</v>
      </c>
      <c r="H842" s="48">
        <v>36.0</v>
      </c>
      <c r="I842" s="48">
        <v>3.0</v>
      </c>
      <c r="J842" s="49">
        <v>93.168880455408</v>
      </c>
      <c r="K842" s="49"/>
      <c r="L842" s="50">
        <v>527.0</v>
      </c>
      <c r="M842" s="50">
        <v>18.0</v>
      </c>
      <c r="N842" s="50">
        <v>1.0</v>
      </c>
      <c r="O842" s="49">
        <v>96.697247706422</v>
      </c>
      <c r="P842" s="51"/>
    </row>
    <row r="843" ht="15.0" hidden="1" customHeight="1">
      <c r="A843" s="45">
        <v>837.0</v>
      </c>
      <c r="B843" s="46" t="s">
        <v>24</v>
      </c>
      <c r="C843" s="46" t="s">
        <v>265</v>
      </c>
      <c r="D843" s="46" t="s">
        <v>275</v>
      </c>
      <c r="E843" s="46" t="s">
        <v>276</v>
      </c>
      <c r="F843" s="47" t="s">
        <v>19</v>
      </c>
      <c r="G843" s="48">
        <v>2684.0</v>
      </c>
      <c r="H843" s="48">
        <v>286.0</v>
      </c>
      <c r="I843" s="48">
        <v>69.0</v>
      </c>
      <c r="J843" s="49">
        <v>90.3703703703704</v>
      </c>
      <c r="K843" s="49"/>
      <c r="L843" s="50">
        <v>1943.0</v>
      </c>
      <c r="M843" s="50">
        <v>60.0</v>
      </c>
      <c r="N843" s="50">
        <v>17.0</v>
      </c>
      <c r="O843" s="49">
        <v>97.0044932601098</v>
      </c>
      <c r="P843" s="51"/>
    </row>
    <row r="844" ht="15.0" customHeight="1">
      <c r="A844" s="52">
        <v>838.0</v>
      </c>
      <c r="B844" s="53" t="s">
        <v>24</v>
      </c>
      <c r="C844" s="60" t="s">
        <v>265</v>
      </c>
      <c r="D844" s="60" t="s">
        <v>275</v>
      </c>
      <c r="E844" s="60" t="s">
        <v>277</v>
      </c>
      <c r="F844" s="61" t="s">
        <v>277</v>
      </c>
      <c r="G844" s="54">
        <v>860.0</v>
      </c>
      <c r="H844" s="54">
        <v>51.0</v>
      </c>
      <c r="I844" s="54">
        <v>18.0</v>
      </c>
      <c r="J844" s="55">
        <v>94.4017563117453</v>
      </c>
      <c r="K844" s="55">
        <f>G844+H844+I844</f>
        <v>929</v>
      </c>
      <c r="L844" s="56">
        <v>671.0</v>
      </c>
      <c r="M844" s="56">
        <v>19.0</v>
      </c>
      <c r="N844" s="56">
        <v>2.0</v>
      </c>
      <c r="O844" s="55">
        <v>97.2463768115942</v>
      </c>
      <c r="P844" s="57">
        <f>L844+M844+N844</f>
        <v>692</v>
      </c>
    </row>
    <row r="845" ht="15.0" hidden="1" customHeight="1">
      <c r="A845" s="45">
        <v>839.0</v>
      </c>
      <c r="B845" s="46" t="s">
        <v>24</v>
      </c>
      <c r="C845" s="46" t="s">
        <v>265</v>
      </c>
      <c r="D845" s="46" t="s">
        <v>275</v>
      </c>
      <c r="E845" s="46" t="s">
        <v>277</v>
      </c>
      <c r="F845" s="47" t="s">
        <v>18</v>
      </c>
      <c r="G845" s="48"/>
      <c r="H845" s="48"/>
      <c r="I845" s="48"/>
      <c r="J845" s="49"/>
      <c r="K845" s="49"/>
      <c r="L845" s="50"/>
      <c r="M845" s="50"/>
      <c r="N845" s="50"/>
      <c r="O845" s="49"/>
      <c r="P845" s="51"/>
    </row>
    <row r="846" ht="15.0" hidden="1" customHeight="1">
      <c r="A846" s="45">
        <v>840.0</v>
      </c>
      <c r="B846" s="46" t="s">
        <v>24</v>
      </c>
      <c r="C846" s="46" t="s">
        <v>265</v>
      </c>
      <c r="D846" s="46" t="s">
        <v>275</v>
      </c>
      <c r="E846" s="46" t="s">
        <v>277</v>
      </c>
      <c r="F846" s="47" t="s">
        <v>19</v>
      </c>
      <c r="G846" s="48">
        <v>860.0</v>
      </c>
      <c r="H846" s="48">
        <v>51.0</v>
      </c>
      <c r="I846" s="48">
        <v>18.0</v>
      </c>
      <c r="J846" s="49">
        <v>94.4017563117453</v>
      </c>
      <c r="K846" s="49"/>
      <c r="L846" s="50">
        <v>671.0</v>
      </c>
      <c r="M846" s="50">
        <v>19.0</v>
      </c>
      <c r="N846" s="50">
        <v>2.0</v>
      </c>
      <c r="O846" s="49">
        <v>97.2463768115942</v>
      </c>
      <c r="P846" s="51"/>
    </row>
    <row r="847" ht="15.0" customHeight="1">
      <c r="A847" s="52">
        <v>841.0</v>
      </c>
      <c r="B847" s="53" t="s">
        <v>24</v>
      </c>
      <c r="C847" s="60" t="s">
        <v>265</v>
      </c>
      <c r="D847" s="60" t="s">
        <v>275</v>
      </c>
      <c r="E847" s="60" t="s">
        <v>278</v>
      </c>
      <c r="F847" s="61" t="s">
        <v>278</v>
      </c>
      <c r="G847" s="54">
        <v>1047.0</v>
      </c>
      <c r="H847" s="54">
        <v>225.0</v>
      </c>
      <c r="I847" s="54">
        <v>82.0</v>
      </c>
      <c r="J847" s="55">
        <v>82.311320754717</v>
      </c>
      <c r="K847" s="55">
        <f>G847+H847+I847</f>
        <v>1354</v>
      </c>
      <c r="L847" s="56">
        <v>1222.0</v>
      </c>
      <c r="M847" s="56">
        <v>33.0</v>
      </c>
      <c r="N847" s="56">
        <v>14.0</v>
      </c>
      <c r="O847" s="55">
        <v>97.3705179282868</v>
      </c>
      <c r="P847" s="57">
        <f>L847+M847+N847</f>
        <v>1269</v>
      </c>
    </row>
    <row r="848" ht="15.0" hidden="1" customHeight="1">
      <c r="A848" s="45">
        <v>842.0</v>
      </c>
      <c r="B848" s="46" t="s">
        <v>24</v>
      </c>
      <c r="C848" s="46" t="s">
        <v>265</v>
      </c>
      <c r="D848" s="46" t="s">
        <v>275</v>
      </c>
      <c r="E848" s="46" t="s">
        <v>278</v>
      </c>
      <c r="F848" s="47" t="s">
        <v>18</v>
      </c>
      <c r="G848" s="48"/>
      <c r="H848" s="48"/>
      <c r="I848" s="48"/>
      <c r="J848" s="49"/>
      <c r="K848" s="49"/>
      <c r="L848" s="50"/>
      <c r="M848" s="50"/>
      <c r="N848" s="50"/>
      <c r="O848" s="49"/>
      <c r="P848" s="51"/>
    </row>
    <row r="849" ht="15.0" hidden="1" customHeight="1">
      <c r="A849" s="45">
        <v>843.0</v>
      </c>
      <c r="B849" s="46" t="s">
        <v>24</v>
      </c>
      <c r="C849" s="46" t="s">
        <v>265</v>
      </c>
      <c r="D849" s="46" t="s">
        <v>275</v>
      </c>
      <c r="E849" s="46" t="s">
        <v>278</v>
      </c>
      <c r="F849" s="47" t="s">
        <v>19</v>
      </c>
      <c r="G849" s="48">
        <v>1047.0</v>
      </c>
      <c r="H849" s="48">
        <v>225.0</v>
      </c>
      <c r="I849" s="48">
        <v>82.0</v>
      </c>
      <c r="J849" s="49">
        <v>82.311320754717</v>
      </c>
      <c r="K849" s="49"/>
      <c r="L849" s="50">
        <v>1222.0</v>
      </c>
      <c r="M849" s="50">
        <v>33.0</v>
      </c>
      <c r="N849" s="50">
        <v>14.0</v>
      </c>
      <c r="O849" s="49">
        <v>97.3705179282868</v>
      </c>
      <c r="P849" s="51"/>
    </row>
    <row r="850" ht="15.0" hidden="1" customHeight="1">
      <c r="A850" s="39">
        <v>844.0</v>
      </c>
      <c r="B850" s="40" t="s">
        <v>22</v>
      </c>
      <c r="C850" s="59" t="s">
        <v>265</v>
      </c>
      <c r="D850" s="59" t="s">
        <v>272</v>
      </c>
      <c r="E850" s="59"/>
      <c r="F850" s="40" t="s">
        <v>272</v>
      </c>
      <c r="G850" s="41">
        <v>10035.0</v>
      </c>
      <c r="H850" s="41">
        <v>1627.0</v>
      </c>
      <c r="I850" s="41">
        <v>402.0</v>
      </c>
      <c r="J850" s="42">
        <v>86.0487051963643</v>
      </c>
      <c r="K850" s="42"/>
      <c r="L850" s="43">
        <v>8388.0</v>
      </c>
      <c r="M850" s="43">
        <v>219.0</v>
      </c>
      <c r="N850" s="43">
        <v>161.0</v>
      </c>
      <c r="O850" s="42">
        <v>97.4555594283723</v>
      </c>
      <c r="P850" s="44"/>
    </row>
    <row r="851" ht="15.0" hidden="1" customHeight="1">
      <c r="A851" s="45">
        <v>845.0</v>
      </c>
      <c r="B851" s="46" t="s">
        <v>22</v>
      </c>
      <c r="C851" s="46" t="s">
        <v>265</v>
      </c>
      <c r="D851" s="46" t="s">
        <v>272</v>
      </c>
      <c r="E851" s="46"/>
      <c r="F851" s="47" t="s">
        <v>18</v>
      </c>
      <c r="G851" s="48">
        <v>487.0</v>
      </c>
      <c r="H851" s="48">
        <v>40.0</v>
      </c>
      <c r="I851" s="48">
        <v>11.0</v>
      </c>
      <c r="J851" s="49">
        <v>92.4098671726755</v>
      </c>
      <c r="K851" s="49"/>
      <c r="L851" s="50">
        <v>712.0</v>
      </c>
      <c r="M851" s="50">
        <v>13.0</v>
      </c>
      <c r="N851" s="50">
        <v>4.0</v>
      </c>
      <c r="O851" s="49">
        <v>98.2068965517241</v>
      </c>
      <c r="P851" s="51"/>
    </row>
    <row r="852" ht="15.0" hidden="1" customHeight="1">
      <c r="A852" s="45">
        <v>846.0</v>
      </c>
      <c r="B852" s="46" t="s">
        <v>22</v>
      </c>
      <c r="C852" s="46" t="s">
        <v>265</v>
      </c>
      <c r="D852" s="46" t="s">
        <v>272</v>
      </c>
      <c r="E852" s="46"/>
      <c r="F852" s="47" t="s">
        <v>19</v>
      </c>
      <c r="G852" s="48">
        <v>9548.0</v>
      </c>
      <c r="H852" s="48">
        <v>1587.0</v>
      </c>
      <c r="I852" s="48">
        <v>391.0</v>
      </c>
      <c r="J852" s="49">
        <v>85.7476425684778</v>
      </c>
      <c r="K852" s="49"/>
      <c r="L852" s="50">
        <v>7676.0</v>
      </c>
      <c r="M852" s="50">
        <v>206.0</v>
      </c>
      <c r="N852" s="50">
        <v>157.0</v>
      </c>
      <c r="O852" s="49">
        <v>97.3864501395585</v>
      </c>
      <c r="P852" s="51"/>
    </row>
    <row r="853" ht="15.0" customHeight="1">
      <c r="A853" s="52">
        <v>847.0</v>
      </c>
      <c r="B853" s="53" t="s">
        <v>24</v>
      </c>
      <c r="C853" s="60" t="s">
        <v>265</v>
      </c>
      <c r="D853" s="60" t="s">
        <v>272</v>
      </c>
      <c r="E853" s="60" t="s">
        <v>279</v>
      </c>
      <c r="F853" s="61" t="s">
        <v>279</v>
      </c>
      <c r="G853" s="54">
        <v>1531.0</v>
      </c>
      <c r="H853" s="54">
        <v>341.0</v>
      </c>
      <c r="I853" s="54">
        <v>63.0</v>
      </c>
      <c r="J853" s="55">
        <v>81.784188034188</v>
      </c>
      <c r="K853" s="55">
        <f>G853+H853+I853</f>
        <v>1935</v>
      </c>
      <c r="L853" s="56">
        <v>1501.0</v>
      </c>
      <c r="M853" s="56">
        <v>43.0</v>
      </c>
      <c r="N853" s="56">
        <v>41.0</v>
      </c>
      <c r="O853" s="55">
        <v>97.2150259067357</v>
      </c>
      <c r="P853" s="57">
        <f>L853+M853+N853</f>
        <v>1585</v>
      </c>
    </row>
    <row r="854" ht="15.0" hidden="1" customHeight="1">
      <c r="A854" s="45">
        <v>848.0</v>
      </c>
      <c r="B854" s="46" t="s">
        <v>24</v>
      </c>
      <c r="C854" s="46" t="s">
        <v>265</v>
      </c>
      <c r="D854" s="46" t="s">
        <v>272</v>
      </c>
      <c r="E854" s="46" t="s">
        <v>279</v>
      </c>
      <c r="F854" s="47" t="s">
        <v>18</v>
      </c>
      <c r="G854" s="48">
        <v>487.0</v>
      </c>
      <c r="H854" s="48">
        <v>40.0</v>
      </c>
      <c r="I854" s="48">
        <v>11.0</v>
      </c>
      <c r="J854" s="49">
        <v>92.4098671726755</v>
      </c>
      <c r="K854" s="49"/>
      <c r="L854" s="50">
        <v>561.0</v>
      </c>
      <c r="M854" s="50">
        <v>9.0</v>
      </c>
      <c r="N854" s="50">
        <v>2.0</v>
      </c>
      <c r="O854" s="49">
        <v>98.4210526315789</v>
      </c>
      <c r="P854" s="51"/>
    </row>
    <row r="855" ht="15.0" hidden="1" customHeight="1">
      <c r="A855" s="45">
        <v>849.0</v>
      </c>
      <c r="B855" s="46" t="s">
        <v>24</v>
      </c>
      <c r="C855" s="46" t="s">
        <v>265</v>
      </c>
      <c r="D855" s="46" t="s">
        <v>272</v>
      </c>
      <c r="E855" s="46" t="s">
        <v>279</v>
      </c>
      <c r="F855" s="47" t="s">
        <v>19</v>
      </c>
      <c r="G855" s="48">
        <v>1044.0</v>
      </c>
      <c r="H855" s="48">
        <v>301.0</v>
      </c>
      <c r="I855" s="48">
        <v>52.0</v>
      </c>
      <c r="J855" s="49">
        <v>77.6208178438662</v>
      </c>
      <c r="K855" s="49"/>
      <c r="L855" s="50">
        <v>940.0</v>
      </c>
      <c r="M855" s="50">
        <v>34.0</v>
      </c>
      <c r="N855" s="50">
        <v>39.0</v>
      </c>
      <c r="O855" s="49">
        <v>96.5092402464066</v>
      </c>
      <c r="P855" s="51"/>
    </row>
    <row r="856" ht="15.0" customHeight="1">
      <c r="A856" s="52">
        <v>850.0</v>
      </c>
      <c r="B856" s="53" t="s">
        <v>24</v>
      </c>
      <c r="C856" s="60" t="s">
        <v>265</v>
      </c>
      <c r="D856" s="60" t="s">
        <v>272</v>
      </c>
      <c r="E856" s="60" t="s">
        <v>280</v>
      </c>
      <c r="F856" s="61" t="s">
        <v>280</v>
      </c>
      <c r="G856" s="54">
        <v>2024.0</v>
      </c>
      <c r="H856" s="54">
        <v>282.0</v>
      </c>
      <c r="I856" s="54">
        <v>109.0</v>
      </c>
      <c r="J856" s="55">
        <v>87.7710320901995</v>
      </c>
      <c r="K856" s="55">
        <f>G856+H856+I856</f>
        <v>2415</v>
      </c>
      <c r="L856" s="56">
        <v>1101.0</v>
      </c>
      <c r="M856" s="56">
        <v>14.0</v>
      </c>
      <c r="N856" s="56">
        <v>20.0</v>
      </c>
      <c r="O856" s="55">
        <v>98.7443946188341</v>
      </c>
      <c r="P856" s="57">
        <f>L856+M856+N856</f>
        <v>1135</v>
      </c>
    </row>
    <row r="857" ht="15.0" hidden="1" customHeight="1">
      <c r="A857" s="45">
        <v>851.0</v>
      </c>
      <c r="B857" s="46" t="s">
        <v>24</v>
      </c>
      <c r="C857" s="46" t="s">
        <v>265</v>
      </c>
      <c r="D857" s="46" t="s">
        <v>272</v>
      </c>
      <c r="E857" s="46" t="s">
        <v>280</v>
      </c>
      <c r="F857" s="47" t="s">
        <v>18</v>
      </c>
      <c r="G857" s="48"/>
      <c r="H857" s="48"/>
      <c r="I857" s="48"/>
      <c r="J857" s="49"/>
      <c r="K857" s="49"/>
      <c r="L857" s="50"/>
      <c r="M857" s="50"/>
      <c r="N857" s="50"/>
      <c r="O857" s="49"/>
      <c r="P857" s="51"/>
    </row>
    <row r="858" ht="15.0" hidden="1" customHeight="1">
      <c r="A858" s="45">
        <v>852.0</v>
      </c>
      <c r="B858" s="46" t="s">
        <v>24</v>
      </c>
      <c r="C858" s="46" t="s">
        <v>265</v>
      </c>
      <c r="D858" s="46" t="s">
        <v>272</v>
      </c>
      <c r="E858" s="46" t="s">
        <v>280</v>
      </c>
      <c r="F858" s="47" t="s">
        <v>19</v>
      </c>
      <c r="G858" s="48">
        <v>2024.0</v>
      </c>
      <c r="H858" s="48">
        <v>282.0</v>
      </c>
      <c r="I858" s="48">
        <v>109.0</v>
      </c>
      <c r="J858" s="49">
        <v>87.7710320901995</v>
      </c>
      <c r="K858" s="49"/>
      <c r="L858" s="50">
        <v>1101.0</v>
      </c>
      <c r="M858" s="50">
        <v>14.0</v>
      </c>
      <c r="N858" s="50">
        <v>20.0</v>
      </c>
      <c r="O858" s="49">
        <v>98.7443946188341</v>
      </c>
      <c r="P858" s="51"/>
    </row>
    <row r="859" ht="15.0" customHeight="1">
      <c r="A859" s="52">
        <v>853.0</v>
      </c>
      <c r="B859" s="53" t="s">
        <v>24</v>
      </c>
      <c r="C859" s="60" t="s">
        <v>265</v>
      </c>
      <c r="D859" s="60" t="s">
        <v>272</v>
      </c>
      <c r="E859" s="60" t="s">
        <v>281</v>
      </c>
      <c r="F859" s="61" t="s">
        <v>281</v>
      </c>
      <c r="G859" s="54">
        <v>2574.0</v>
      </c>
      <c r="H859" s="54">
        <v>351.0</v>
      </c>
      <c r="I859" s="54">
        <v>105.0</v>
      </c>
      <c r="J859" s="55">
        <v>88.0</v>
      </c>
      <c r="K859" s="55">
        <f>G859+H859+I859</f>
        <v>3030</v>
      </c>
      <c r="L859" s="56">
        <v>2847.0</v>
      </c>
      <c r="M859" s="56">
        <v>68.0</v>
      </c>
      <c r="N859" s="56">
        <v>46.0</v>
      </c>
      <c r="O859" s="55">
        <v>97.6672384219554</v>
      </c>
      <c r="P859" s="57">
        <f>L859+M859+N859</f>
        <v>2961</v>
      </c>
    </row>
    <row r="860" ht="15.0" hidden="1" customHeight="1">
      <c r="A860" s="45">
        <v>854.0</v>
      </c>
      <c r="B860" s="46" t="s">
        <v>24</v>
      </c>
      <c r="C860" s="46" t="s">
        <v>265</v>
      </c>
      <c r="D860" s="46" t="s">
        <v>272</v>
      </c>
      <c r="E860" s="46" t="s">
        <v>281</v>
      </c>
      <c r="F860" s="47" t="s">
        <v>18</v>
      </c>
      <c r="G860" s="48"/>
      <c r="H860" s="48"/>
      <c r="I860" s="48"/>
      <c r="J860" s="49"/>
      <c r="K860" s="49"/>
      <c r="L860" s="50">
        <v>151.0</v>
      </c>
      <c r="M860" s="50">
        <v>4.0</v>
      </c>
      <c r="N860" s="50">
        <v>2.0</v>
      </c>
      <c r="O860" s="49">
        <v>97.4193548387097</v>
      </c>
      <c r="P860" s="51"/>
    </row>
    <row r="861" ht="15.0" hidden="1" customHeight="1">
      <c r="A861" s="45">
        <v>855.0</v>
      </c>
      <c r="B861" s="46" t="s">
        <v>24</v>
      </c>
      <c r="C861" s="46" t="s">
        <v>265</v>
      </c>
      <c r="D861" s="46" t="s">
        <v>272</v>
      </c>
      <c r="E861" s="46" t="s">
        <v>281</v>
      </c>
      <c r="F861" s="47" t="s">
        <v>19</v>
      </c>
      <c r="G861" s="48">
        <v>2574.0</v>
      </c>
      <c r="H861" s="48">
        <v>351.0</v>
      </c>
      <c r="I861" s="48">
        <v>105.0</v>
      </c>
      <c r="J861" s="49">
        <v>88.0</v>
      </c>
      <c r="K861" s="49"/>
      <c r="L861" s="50">
        <v>2696.0</v>
      </c>
      <c r="M861" s="50">
        <v>64.0</v>
      </c>
      <c r="N861" s="50">
        <v>44.0</v>
      </c>
      <c r="O861" s="49">
        <v>97.6811594202899</v>
      </c>
      <c r="P861" s="51"/>
    </row>
    <row r="862" ht="15.0" customHeight="1">
      <c r="A862" s="52">
        <v>856.0</v>
      </c>
      <c r="B862" s="53" t="s">
        <v>24</v>
      </c>
      <c r="C862" s="60" t="s">
        <v>265</v>
      </c>
      <c r="D862" s="60" t="s">
        <v>272</v>
      </c>
      <c r="E862" s="60" t="s">
        <v>282</v>
      </c>
      <c r="F862" s="61" t="s">
        <v>282</v>
      </c>
      <c r="G862" s="54">
        <v>1648.0</v>
      </c>
      <c r="H862" s="54">
        <v>398.0</v>
      </c>
      <c r="I862" s="54">
        <v>48.0</v>
      </c>
      <c r="J862" s="55">
        <v>80.5474095796676</v>
      </c>
      <c r="K862" s="55">
        <f>G862+H862+I862</f>
        <v>2094</v>
      </c>
      <c r="L862" s="56">
        <v>1162.0</v>
      </c>
      <c r="M862" s="56">
        <v>29.0</v>
      </c>
      <c r="N862" s="56">
        <v>19.0</v>
      </c>
      <c r="O862" s="55">
        <v>97.5650713685978</v>
      </c>
      <c r="P862" s="57">
        <f>L862+M862+N862</f>
        <v>1210</v>
      </c>
    </row>
    <row r="863" ht="15.0" hidden="1" customHeight="1">
      <c r="A863" s="45">
        <v>857.0</v>
      </c>
      <c r="B863" s="46" t="s">
        <v>24</v>
      </c>
      <c r="C863" s="46" t="s">
        <v>265</v>
      </c>
      <c r="D863" s="46" t="s">
        <v>272</v>
      </c>
      <c r="E863" s="46" t="s">
        <v>282</v>
      </c>
      <c r="F863" s="47" t="s">
        <v>18</v>
      </c>
      <c r="G863" s="48"/>
      <c r="H863" s="48"/>
      <c r="I863" s="48"/>
      <c r="J863" s="49"/>
      <c r="K863" s="49"/>
      <c r="L863" s="50"/>
      <c r="M863" s="50"/>
      <c r="N863" s="50"/>
      <c r="O863" s="49"/>
      <c r="P863" s="51"/>
    </row>
    <row r="864" ht="15.0" hidden="1" customHeight="1">
      <c r="A864" s="45">
        <v>858.0</v>
      </c>
      <c r="B864" s="46" t="s">
        <v>24</v>
      </c>
      <c r="C864" s="46" t="s">
        <v>265</v>
      </c>
      <c r="D864" s="46" t="s">
        <v>272</v>
      </c>
      <c r="E864" s="46" t="s">
        <v>282</v>
      </c>
      <c r="F864" s="47" t="s">
        <v>19</v>
      </c>
      <c r="G864" s="48">
        <v>1648.0</v>
      </c>
      <c r="H864" s="48">
        <v>398.0</v>
      </c>
      <c r="I864" s="48">
        <v>48.0</v>
      </c>
      <c r="J864" s="49">
        <v>80.5474095796676</v>
      </c>
      <c r="K864" s="49"/>
      <c r="L864" s="50">
        <v>1162.0</v>
      </c>
      <c r="M864" s="50">
        <v>29.0</v>
      </c>
      <c r="N864" s="50">
        <v>19.0</v>
      </c>
      <c r="O864" s="49">
        <v>97.5650713685978</v>
      </c>
      <c r="P864" s="51"/>
    </row>
    <row r="865" ht="15.0" customHeight="1">
      <c r="A865" s="52">
        <v>859.0</v>
      </c>
      <c r="B865" s="53" t="s">
        <v>24</v>
      </c>
      <c r="C865" s="60" t="s">
        <v>265</v>
      </c>
      <c r="D865" s="60" t="s">
        <v>272</v>
      </c>
      <c r="E865" s="60" t="s">
        <v>283</v>
      </c>
      <c r="F865" s="61" t="s">
        <v>283</v>
      </c>
      <c r="G865" s="54">
        <v>2258.0</v>
      </c>
      <c r="H865" s="54">
        <v>255.0</v>
      </c>
      <c r="I865" s="54">
        <v>77.0</v>
      </c>
      <c r="J865" s="55">
        <v>89.8527656187823</v>
      </c>
      <c r="K865" s="55">
        <f>G865+H865+I865</f>
        <v>2590</v>
      </c>
      <c r="L865" s="56">
        <v>1777.0</v>
      </c>
      <c r="M865" s="56">
        <v>65.0</v>
      </c>
      <c r="N865" s="56">
        <v>35.0</v>
      </c>
      <c r="O865" s="55">
        <v>96.471226927253</v>
      </c>
      <c r="P865" s="57">
        <f>L865+M865+N865</f>
        <v>1877</v>
      </c>
    </row>
    <row r="866" ht="15.0" hidden="1" customHeight="1">
      <c r="A866" s="45">
        <v>860.0</v>
      </c>
      <c r="B866" s="46" t="s">
        <v>24</v>
      </c>
      <c r="C866" s="46" t="s">
        <v>265</v>
      </c>
      <c r="D866" s="46" t="s">
        <v>272</v>
      </c>
      <c r="E866" s="46" t="s">
        <v>283</v>
      </c>
      <c r="F866" s="47" t="s">
        <v>18</v>
      </c>
      <c r="G866" s="48"/>
      <c r="H866" s="48"/>
      <c r="I866" s="48"/>
      <c r="J866" s="49"/>
      <c r="K866" s="49"/>
      <c r="L866" s="50"/>
      <c r="M866" s="50"/>
      <c r="N866" s="50"/>
      <c r="O866" s="49"/>
      <c r="P866" s="51"/>
    </row>
    <row r="867" ht="15.0" hidden="1" customHeight="1">
      <c r="A867" s="45">
        <v>861.0</v>
      </c>
      <c r="B867" s="46" t="s">
        <v>24</v>
      </c>
      <c r="C867" s="46" t="s">
        <v>265</v>
      </c>
      <c r="D867" s="46" t="s">
        <v>272</v>
      </c>
      <c r="E867" s="46" t="s">
        <v>283</v>
      </c>
      <c r="F867" s="47" t="s">
        <v>19</v>
      </c>
      <c r="G867" s="48">
        <v>2258.0</v>
      </c>
      <c r="H867" s="48">
        <v>255.0</v>
      </c>
      <c r="I867" s="48">
        <v>77.0</v>
      </c>
      <c r="J867" s="49">
        <v>89.8527656187823</v>
      </c>
      <c r="K867" s="49"/>
      <c r="L867" s="50">
        <v>1777.0</v>
      </c>
      <c r="M867" s="50">
        <v>65.0</v>
      </c>
      <c r="N867" s="50">
        <v>35.0</v>
      </c>
      <c r="O867" s="49">
        <v>96.471226927253</v>
      </c>
      <c r="P867" s="51"/>
    </row>
    <row r="868" ht="15.0" hidden="1" customHeight="1">
      <c r="A868" s="39">
        <v>862.0</v>
      </c>
      <c r="B868" s="40" t="s">
        <v>22</v>
      </c>
      <c r="C868" s="59" t="s">
        <v>265</v>
      </c>
      <c r="D868" s="59" t="s">
        <v>284</v>
      </c>
      <c r="E868" s="59"/>
      <c r="F868" s="40" t="s">
        <v>284</v>
      </c>
      <c r="G868" s="41">
        <v>3719.0</v>
      </c>
      <c r="H868" s="41">
        <v>1193.0</v>
      </c>
      <c r="I868" s="41">
        <v>175.0</v>
      </c>
      <c r="J868" s="42">
        <v>75.7125407166124</v>
      </c>
      <c r="K868" s="42"/>
      <c r="L868" s="43">
        <v>3602.0</v>
      </c>
      <c r="M868" s="43">
        <v>102.0</v>
      </c>
      <c r="N868" s="43">
        <v>53.0</v>
      </c>
      <c r="O868" s="42">
        <v>97.2462203023758</v>
      </c>
      <c r="P868" s="44"/>
    </row>
    <row r="869" ht="15.0" hidden="1" customHeight="1">
      <c r="A869" s="45">
        <v>863.0</v>
      </c>
      <c r="B869" s="46" t="s">
        <v>22</v>
      </c>
      <c r="C869" s="46" t="s">
        <v>265</v>
      </c>
      <c r="D869" s="46" t="s">
        <v>284</v>
      </c>
      <c r="E869" s="46"/>
      <c r="F869" s="47" t="s">
        <v>18</v>
      </c>
      <c r="G869" s="48"/>
      <c r="H869" s="48"/>
      <c r="I869" s="48"/>
      <c r="J869" s="49"/>
      <c r="K869" s="49"/>
      <c r="L869" s="50"/>
      <c r="M869" s="50"/>
      <c r="N869" s="50"/>
      <c r="O869" s="49"/>
      <c r="P869" s="51"/>
    </row>
    <row r="870" ht="15.0" hidden="1" customHeight="1">
      <c r="A870" s="45">
        <v>864.0</v>
      </c>
      <c r="B870" s="46" t="s">
        <v>22</v>
      </c>
      <c r="C870" s="46" t="s">
        <v>265</v>
      </c>
      <c r="D870" s="46" t="s">
        <v>284</v>
      </c>
      <c r="E870" s="46"/>
      <c r="F870" s="47" t="s">
        <v>19</v>
      </c>
      <c r="G870" s="48">
        <v>3719.0</v>
      </c>
      <c r="H870" s="48">
        <v>1193.0</v>
      </c>
      <c r="I870" s="48">
        <v>175.0</v>
      </c>
      <c r="J870" s="49">
        <v>75.7125407166124</v>
      </c>
      <c r="K870" s="49"/>
      <c r="L870" s="50">
        <v>3602.0</v>
      </c>
      <c r="M870" s="50">
        <v>102.0</v>
      </c>
      <c r="N870" s="50">
        <v>53.0</v>
      </c>
      <c r="O870" s="49">
        <v>97.2462203023758</v>
      </c>
      <c r="P870" s="51"/>
    </row>
    <row r="871" ht="15.0" customHeight="1">
      <c r="A871" s="52">
        <v>865.0</v>
      </c>
      <c r="B871" s="53" t="s">
        <v>24</v>
      </c>
      <c r="C871" s="60" t="s">
        <v>265</v>
      </c>
      <c r="D871" s="60" t="s">
        <v>284</v>
      </c>
      <c r="E871" s="60" t="s">
        <v>285</v>
      </c>
      <c r="F871" s="61" t="s">
        <v>285</v>
      </c>
      <c r="G871" s="54">
        <v>2722.0</v>
      </c>
      <c r="H871" s="54">
        <v>883.0</v>
      </c>
      <c r="I871" s="54">
        <v>142.0</v>
      </c>
      <c r="J871" s="55">
        <v>75.506241331484</v>
      </c>
      <c r="K871" s="55">
        <f>G871+H871+I871</f>
        <v>3747</v>
      </c>
      <c r="L871" s="56">
        <v>2688.0</v>
      </c>
      <c r="M871" s="56">
        <v>75.0</v>
      </c>
      <c r="N871" s="56">
        <v>41.0</v>
      </c>
      <c r="O871" s="55">
        <v>97.28555917481</v>
      </c>
      <c r="P871" s="57">
        <f>L871+M871+N871</f>
        <v>2804</v>
      </c>
    </row>
    <row r="872" ht="15.0" hidden="1" customHeight="1">
      <c r="A872" s="45">
        <v>866.0</v>
      </c>
      <c r="B872" s="46" t="s">
        <v>24</v>
      </c>
      <c r="C872" s="46" t="s">
        <v>265</v>
      </c>
      <c r="D872" s="46" t="s">
        <v>284</v>
      </c>
      <c r="E872" s="46" t="s">
        <v>285</v>
      </c>
      <c r="F872" s="47" t="s">
        <v>18</v>
      </c>
      <c r="G872" s="48"/>
      <c r="H872" s="48"/>
      <c r="I872" s="48"/>
      <c r="J872" s="49"/>
      <c r="K872" s="49"/>
      <c r="L872" s="50"/>
      <c r="M872" s="50"/>
      <c r="N872" s="50"/>
      <c r="O872" s="49"/>
      <c r="P872" s="51"/>
    </row>
    <row r="873" ht="15.0" hidden="1" customHeight="1">
      <c r="A873" s="45">
        <v>867.0</v>
      </c>
      <c r="B873" s="46" t="s">
        <v>24</v>
      </c>
      <c r="C873" s="46" t="s">
        <v>265</v>
      </c>
      <c r="D873" s="46" t="s">
        <v>284</v>
      </c>
      <c r="E873" s="46" t="s">
        <v>285</v>
      </c>
      <c r="F873" s="47" t="s">
        <v>19</v>
      </c>
      <c r="G873" s="48">
        <v>2722.0</v>
      </c>
      <c r="H873" s="48">
        <v>883.0</v>
      </c>
      <c r="I873" s="48">
        <v>142.0</v>
      </c>
      <c r="J873" s="49">
        <v>75.506241331484</v>
      </c>
      <c r="K873" s="49"/>
      <c r="L873" s="50">
        <v>2688.0</v>
      </c>
      <c r="M873" s="50">
        <v>75.0</v>
      </c>
      <c r="N873" s="50">
        <v>41.0</v>
      </c>
      <c r="O873" s="49">
        <v>97.28555917481</v>
      </c>
      <c r="P873" s="51"/>
    </row>
    <row r="874" ht="15.0" customHeight="1">
      <c r="A874" s="52">
        <v>868.0</v>
      </c>
      <c r="B874" s="53" t="s">
        <v>24</v>
      </c>
      <c r="C874" s="60" t="s">
        <v>265</v>
      </c>
      <c r="D874" s="60" t="s">
        <v>284</v>
      </c>
      <c r="E874" s="60" t="s">
        <v>286</v>
      </c>
      <c r="F874" s="61" t="s">
        <v>286</v>
      </c>
      <c r="G874" s="54">
        <v>997.0</v>
      </c>
      <c r="H874" s="54">
        <v>310.0</v>
      </c>
      <c r="I874" s="54">
        <v>33.0</v>
      </c>
      <c r="J874" s="55">
        <v>76.2815608263198</v>
      </c>
      <c r="K874" s="55">
        <f>G874+H874+I874</f>
        <v>1340</v>
      </c>
      <c r="L874" s="56">
        <v>914.0</v>
      </c>
      <c r="M874" s="56">
        <v>27.0</v>
      </c>
      <c r="N874" s="56">
        <v>12.0</v>
      </c>
      <c r="O874" s="55">
        <v>97.1307120085016</v>
      </c>
      <c r="P874" s="57">
        <f>L874+M874+N874</f>
        <v>953</v>
      </c>
    </row>
    <row r="875" ht="15.0" hidden="1" customHeight="1">
      <c r="A875" s="45">
        <v>869.0</v>
      </c>
      <c r="B875" s="46" t="s">
        <v>24</v>
      </c>
      <c r="C875" s="46" t="s">
        <v>265</v>
      </c>
      <c r="D875" s="46" t="s">
        <v>284</v>
      </c>
      <c r="E875" s="46" t="s">
        <v>286</v>
      </c>
      <c r="F875" s="47" t="s">
        <v>18</v>
      </c>
      <c r="G875" s="48"/>
      <c r="H875" s="48"/>
      <c r="I875" s="48"/>
      <c r="J875" s="49"/>
      <c r="K875" s="49"/>
      <c r="L875" s="50"/>
      <c r="M875" s="50"/>
      <c r="N875" s="50"/>
      <c r="O875" s="49"/>
      <c r="P875" s="51"/>
    </row>
    <row r="876" ht="15.0" hidden="1" customHeight="1">
      <c r="A876" s="45">
        <v>870.0</v>
      </c>
      <c r="B876" s="46" t="s">
        <v>24</v>
      </c>
      <c r="C876" s="46" t="s">
        <v>265</v>
      </c>
      <c r="D876" s="46" t="s">
        <v>284</v>
      </c>
      <c r="E876" s="46" t="s">
        <v>286</v>
      </c>
      <c r="F876" s="47" t="s">
        <v>19</v>
      </c>
      <c r="G876" s="48">
        <v>997.0</v>
      </c>
      <c r="H876" s="48">
        <v>310.0</v>
      </c>
      <c r="I876" s="48">
        <v>33.0</v>
      </c>
      <c r="J876" s="49">
        <v>76.2815608263198</v>
      </c>
      <c r="K876" s="49"/>
      <c r="L876" s="50">
        <v>914.0</v>
      </c>
      <c r="M876" s="50">
        <v>27.0</v>
      </c>
      <c r="N876" s="50">
        <v>12.0</v>
      </c>
      <c r="O876" s="49">
        <v>97.1307120085016</v>
      </c>
      <c r="P876" s="51"/>
    </row>
    <row r="877" ht="15.0" hidden="1" customHeight="1">
      <c r="A877" s="39">
        <v>871.0</v>
      </c>
      <c r="B877" s="40" t="s">
        <v>22</v>
      </c>
      <c r="C877" s="59" t="s">
        <v>265</v>
      </c>
      <c r="D877" s="59" t="s">
        <v>287</v>
      </c>
      <c r="E877" s="59"/>
      <c r="F877" s="40" t="s">
        <v>287</v>
      </c>
      <c r="G877" s="41">
        <v>3828.0</v>
      </c>
      <c r="H877" s="41">
        <v>365.0</v>
      </c>
      <c r="I877" s="41">
        <v>98.0</v>
      </c>
      <c r="J877" s="42">
        <v>91.2950155020272</v>
      </c>
      <c r="K877" s="42"/>
      <c r="L877" s="43">
        <v>2493.0</v>
      </c>
      <c r="M877" s="43">
        <v>146.0</v>
      </c>
      <c r="N877" s="43">
        <v>27.0</v>
      </c>
      <c r="O877" s="42">
        <v>94.4676013641531</v>
      </c>
      <c r="P877" s="44"/>
    </row>
    <row r="878" ht="15.0" hidden="1" customHeight="1">
      <c r="A878" s="45">
        <v>872.0</v>
      </c>
      <c r="B878" s="46" t="s">
        <v>22</v>
      </c>
      <c r="C878" s="46" t="s">
        <v>265</v>
      </c>
      <c r="D878" s="46" t="s">
        <v>287</v>
      </c>
      <c r="E878" s="46"/>
      <c r="F878" s="47" t="s">
        <v>18</v>
      </c>
      <c r="G878" s="48">
        <v>766.0</v>
      </c>
      <c r="H878" s="48">
        <v>31.0</v>
      </c>
      <c r="I878" s="48">
        <v>10.0</v>
      </c>
      <c r="J878" s="49">
        <v>96.1104140526976</v>
      </c>
      <c r="K878" s="49"/>
      <c r="L878" s="50">
        <v>239.0</v>
      </c>
      <c r="M878" s="50">
        <v>2.0</v>
      </c>
      <c r="N878" s="50">
        <v>2.0</v>
      </c>
      <c r="O878" s="49">
        <v>99.1701244813278</v>
      </c>
      <c r="P878" s="51"/>
    </row>
    <row r="879" ht="15.0" hidden="1" customHeight="1">
      <c r="A879" s="45">
        <v>873.0</v>
      </c>
      <c r="B879" s="46" t="s">
        <v>22</v>
      </c>
      <c r="C879" s="46" t="s">
        <v>265</v>
      </c>
      <c r="D879" s="46" t="s">
        <v>287</v>
      </c>
      <c r="E879" s="46"/>
      <c r="F879" s="47" t="s">
        <v>19</v>
      </c>
      <c r="G879" s="48">
        <v>3062.0</v>
      </c>
      <c r="H879" s="48">
        <v>334.0</v>
      </c>
      <c r="I879" s="48">
        <v>88.0</v>
      </c>
      <c r="J879" s="49">
        <v>90.1648998822144</v>
      </c>
      <c r="K879" s="49"/>
      <c r="L879" s="50">
        <v>2254.0</v>
      </c>
      <c r="M879" s="50">
        <v>144.0</v>
      </c>
      <c r="N879" s="50">
        <v>25.0</v>
      </c>
      <c r="O879" s="49">
        <v>93.9949958298582</v>
      </c>
      <c r="P879" s="51"/>
    </row>
    <row r="880" ht="15.0" customHeight="1">
      <c r="A880" s="52">
        <v>874.0</v>
      </c>
      <c r="B880" s="53" t="s">
        <v>24</v>
      </c>
      <c r="C880" s="60" t="s">
        <v>265</v>
      </c>
      <c r="D880" s="60" t="s">
        <v>287</v>
      </c>
      <c r="E880" s="60" t="s">
        <v>288</v>
      </c>
      <c r="F880" s="61" t="s">
        <v>288</v>
      </c>
      <c r="G880" s="54">
        <v>2910.0</v>
      </c>
      <c r="H880" s="54">
        <v>277.0</v>
      </c>
      <c r="I880" s="54">
        <v>77.0</v>
      </c>
      <c r="J880" s="55">
        <v>91.3084405396925</v>
      </c>
      <c r="K880" s="55">
        <f>G880+H880+I880</f>
        <v>3264</v>
      </c>
      <c r="L880" s="56">
        <v>1893.0</v>
      </c>
      <c r="M880" s="56">
        <v>117.0</v>
      </c>
      <c r="N880" s="56">
        <v>20.0</v>
      </c>
      <c r="O880" s="55">
        <v>94.1791044776119</v>
      </c>
      <c r="P880" s="57">
        <f>L880+M880+N880</f>
        <v>2030</v>
      </c>
    </row>
    <row r="881" ht="15.0" hidden="1" customHeight="1">
      <c r="A881" s="45">
        <v>875.0</v>
      </c>
      <c r="B881" s="46" t="s">
        <v>24</v>
      </c>
      <c r="C881" s="46" t="s">
        <v>265</v>
      </c>
      <c r="D881" s="46" t="s">
        <v>287</v>
      </c>
      <c r="E881" s="46" t="s">
        <v>288</v>
      </c>
      <c r="F881" s="47" t="s">
        <v>18</v>
      </c>
      <c r="G881" s="48">
        <v>766.0</v>
      </c>
      <c r="H881" s="48">
        <v>31.0</v>
      </c>
      <c r="I881" s="48">
        <v>10.0</v>
      </c>
      <c r="J881" s="49">
        <v>96.1104140526976</v>
      </c>
      <c r="K881" s="49"/>
      <c r="L881" s="50">
        <v>239.0</v>
      </c>
      <c r="M881" s="50">
        <v>2.0</v>
      </c>
      <c r="N881" s="50">
        <v>2.0</v>
      </c>
      <c r="O881" s="49">
        <v>99.1701244813278</v>
      </c>
      <c r="P881" s="51"/>
    </row>
    <row r="882" ht="15.0" hidden="1" customHeight="1">
      <c r="A882" s="45">
        <v>876.0</v>
      </c>
      <c r="B882" s="46" t="s">
        <v>24</v>
      </c>
      <c r="C882" s="46" t="s">
        <v>265</v>
      </c>
      <c r="D882" s="46" t="s">
        <v>287</v>
      </c>
      <c r="E882" s="46" t="s">
        <v>288</v>
      </c>
      <c r="F882" s="47" t="s">
        <v>19</v>
      </c>
      <c r="G882" s="48">
        <v>2144.0</v>
      </c>
      <c r="H882" s="48">
        <v>246.0</v>
      </c>
      <c r="I882" s="48">
        <v>67.0</v>
      </c>
      <c r="J882" s="49">
        <v>89.7071129707113</v>
      </c>
      <c r="K882" s="49"/>
      <c r="L882" s="50">
        <v>1654.0</v>
      </c>
      <c r="M882" s="50">
        <v>115.0</v>
      </c>
      <c r="N882" s="50">
        <v>18.0</v>
      </c>
      <c r="O882" s="49">
        <v>93.4991520633126</v>
      </c>
      <c r="P882" s="51"/>
    </row>
    <row r="883" ht="15.0" customHeight="1">
      <c r="A883" s="52">
        <v>877.0</v>
      </c>
      <c r="B883" s="53" t="s">
        <v>24</v>
      </c>
      <c r="C883" s="60" t="s">
        <v>265</v>
      </c>
      <c r="D883" s="60" t="s">
        <v>287</v>
      </c>
      <c r="E883" s="60" t="s">
        <v>289</v>
      </c>
      <c r="F883" s="61" t="s">
        <v>289</v>
      </c>
      <c r="G883" s="54">
        <v>918.0</v>
      </c>
      <c r="H883" s="54">
        <v>88.0</v>
      </c>
      <c r="I883" s="54">
        <v>21.0</v>
      </c>
      <c r="J883" s="55">
        <v>91.2524850894632</v>
      </c>
      <c r="K883" s="55">
        <f>G883+H883+I883</f>
        <v>1027</v>
      </c>
      <c r="L883" s="56">
        <v>600.0</v>
      </c>
      <c r="M883" s="56">
        <v>29.0</v>
      </c>
      <c r="N883" s="56">
        <v>7.0</v>
      </c>
      <c r="O883" s="55">
        <v>95.389507154213</v>
      </c>
      <c r="P883" s="57">
        <f>L883+M883+N883</f>
        <v>636</v>
      </c>
    </row>
    <row r="884" ht="15.0" hidden="1" customHeight="1">
      <c r="A884" s="45">
        <v>878.0</v>
      </c>
      <c r="B884" s="46" t="s">
        <v>24</v>
      </c>
      <c r="C884" s="46" t="s">
        <v>265</v>
      </c>
      <c r="D884" s="46" t="s">
        <v>287</v>
      </c>
      <c r="E884" s="46" t="s">
        <v>289</v>
      </c>
      <c r="F884" s="47" t="s">
        <v>18</v>
      </c>
      <c r="G884" s="48"/>
      <c r="H884" s="48"/>
      <c r="I884" s="48"/>
      <c r="J884" s="49"/>
      <c r="K884" s="49"/>
      <c r="L884" s="50"/>
      <c r="M884" s="50"/>
      <c r="N884" s="50"/>
      <c r="O884" s="49"/>
      <c r="P884" s="51"/>
    </row>
    <row r="885" ht="15.0" hidden="1" customHeight="1">
      <c r="A885" s="45">
        <v>879.0</v>
      </c>
      <c r="B885" s="46" t="s">
        <v>24</v>
      </c>
      <c r="C885" s="46" t="s">
        <v>265</v>
      </c>
      <c r="D885" s="46" t="s">
        <v>287</v>
      </c>
      <c r="E885" s="46" t="s">
        <v>289</v>
      </c>
      <c r="F885" s="47" t="s">
        <v>19</v>
      </c>
      <c r="G885" s="48">
        <v>918.0</v>
      </c>
      <c r="H885" s="48">
        <v>88.0</v>
      </c>
      <c r="I885" s="48">
        <v>21.0</v>
      </c>
      <c r="J885" s="49">
        <v>91.2524850894632</v>
      </c>
      <c r="K885" s="49"/>
      <c r="L885" s="50">
        <v>600.0</v>
      </c>
      <c r="M885" s="50">
        <v>29.0</v>
      </c>
      <c r="N885" s="50">
        <v>7.0</v>
      </c>
      <c r="O885" s="49">
        <v>95.389507154213</v>
      </c>
      <c r="P885" s="51"/>
    </row>
    <row r="886" ht="15.0" hidden="1" customHeight="1">
      <c r="A886" s="39">
        <v>880.0</v>
      </c>
      <c r="B886" s="40" t="s">
        <v>22</v>
      </c>
      <c r="C886" s="59" t="s">
        <v>265</v>
      </c>
      <c r="D886" s="59" t="s">
        <v>290</v>
      </c>
      <c r="E886" s="59"/>
      <c r="F886" s="40" t="s">
        <v>290</v>
      </c>
      <c r="G886" s="41">
        <v>3231.0</v>
      </c>
      <c r="H886" s="41">
        <v>282.0</v>
      </c>
      <c r="I886" s="41">
        <v>72.0</v>
      </c>
      <c r="J886" s="42">
        <v>91.9726729291204</v>
      </c>
      <c r="K886" s="42"/>
      <c r="L886" s="43">
        <v>2287.0</v>
      </c>
      <c r="M886" s="43">
        <v>38.0</v>
      </c>
      <c r="N886" s="43">
        <v>31.0</v>
      </c>
      <c r="O886" s="42">
        <v>98.3655913978495</v>
      </c>
      <c r="P886" s="44"/>
    </row>
    <row r="887" ht="15.0" hidden="1" customHeight="1">
      <c r="A887" s="45">
        <v>881.0</v>
      </c>
      <c r="B887" s="46" t="s">
        <v>22</v>
      </c>
      <c r="C887" s="46" t="s">
        <v>265</v>
      </c>
      <c r="D887" s="46" t="s">
        <v>290</v>
      </c>
      <c r="E887" s="46"/>
      <c r="F887" s="47" t="s">
        <v>18</v>
      </c>
      <c r="G887" s="48">
        <v>222.0</v>
      </c>
      <c r="H887" s="48">
        <v>13.0</v>
      </c>
      <c r="I887" s="48">
        <v>2.0</v>
      </c>
      <c r="J887" s="49">
        <v>94.468085106383</v>
      </c>
      <c r="K887" s="49"/>
      <c r="L887" s="50">
        <v>188.0</v>
      </c>
      <c r="M887" s="50">
        <v>2.0</v>
      </c>
      <c r="N887" s="50">
        <v>1.0</v>
      </c>
      <c r="O887" s="49">
        <v>98.9473684210526</v>
      </c>
      <c r="P887" s="51"/>
    </row>
    <row r="888" ht="15.0" hidden="1" customHeight="1">
      <c r="A888" s="45">
        <v>882.0</v>
      </c>
      <c r="B888" s="46" t="s">
        <v>22</v>
      </c>
      <c r="C888" s="46" t="s">
        <v>265</v>
      </c>
      <c r="D888" s="46" t="s">
        <v>290</v>
      </c>
      <c r="E888" s="46"/>
      <c r="F888" s="47" t="s">
        <v>19</v>
      </c>
      <c r="G888" s="48">
        <v>3009.0</v>
      </c>
      <c r="H888" s="48">
        <v>269.0</v>
      </c>
      <c r="I888" s="48">
        <v>70.0</v>
      </c>
      <c r="J888" s="49">
        <v>91.7937766931056</v>
      </c>
      <c r="K888" s="49"/>
      <c r="L888" s="50">
        <v>2099.0</v>
      </c>
      <c r="M888" s="50">
        <v>36.0</v>
      </c>
      <c r="N888" s="50">
        <v>30.0</v>
      </c>
      <c r="O888" s="49">
        <v>98.3138173302108</v>
      </c>
      <c r="P888" s="51"/>
    </row>
    <row r="889" ht="15.0" customHeight="1">
      <c r="A889" s="52">
        <v>883.0</v>
      </c>
      <c r="B889" s="53" t="s">
        <v>24</v>
      </c>
      <c r="C889" s="60" t="s">
        <v>265</v>
      </c>
      <c r="D889" s="60" t="s">
        <v>290</v>
      </c>
      <c r="E889" s="60" t="s">
        <v>291</v>
      </c>
      <c r="F889" s="61" t="s">
        <v>291</v>
      </c>
      <c r="G889" s="54">
        <v>2277.0</v>
      </c>
      <c r="H889" s="54">
        <v>228.0</v>
      </c>
      <c r="I889" s="54">
        <v>61.0</v>
      </c>
      <c r="J889" s="55">
        <v>90.8982035928144</v>
      </c>
      <c r="K889" s="55">
        <f>G889+H889+I889</f>
        <v>2566</v>
      </c>
      <c r="L889" s="56">
        <v>1623.0</v>
      </c>
      <c r="M889" s="56">
        <v>22.0</v>
      </c>
      <c r="N889" s="56">
        <v>23.0</v>
      </c>
      <c r="O889" s="55">
        <v>98.6626139817629</v>
      </c>
      <c r="P889" s="57">
        <f>L889+M889+N889</f>
        <v>1668</v>
      </c>
    </row>
    <row r="890" ht="15.0" hidden="1" customHeight="1">
      <c r="A890" s="45">
        <v>884.0</v>
      </c>
      <c r="B890" s="46" t="s">
        <v>24</v>
      </c>
      <c r="C890" s="46" t="s">
        <v>265</v>
      </c>
      <c r="D890" s="46" t="s">
        <v>290</v>
      </c>
      <c r="E890" s="46" t="s">
        <v>291</v>
      </c>
      <c r="F890" s="47" t="s">
        <v>18</v>
      </c>
      <c r="G890" s="48">
        <v>222.0</v>
      </c>
      <c r="H890" s="48">
        <v>13.0</v>
      </c>
      <c r="I890" s="48">
        <v>2.0</v>
      </c>
      <c r="J890" s="49">
        <v>94.468085106383</v>
      </c>
      <c r="K890" s="49"/>
      <c r="L890" s="50">
        <v>188.0</v>
      </c>
      <c r="M890" s="50">
        <v>2.0</v>
      </c>
      <c r="N890" s="50">
        <v>1.0</v>
      </c>
      <c r="O890" s="49">
        <v>98.9473684210526</v>
      </c>
      <c r="P890" s="51"/>
    </row>
    <row r="891" ht="15.0" hidden="1" customHeight="1">
      <c r="A891" s="45">
        <v>885.0</v>
      </c>
      <c r="B891" s="46" t="s">
        <v>24</v>
      </c>
      <c r="C891" s="46" t="s">
        <v>265</v>
      </c>
      <c r="D891" s="46" t="s">
        <v>290</v>
      </c>
      <c r="E891" s="46" t="s">
        <v>291</v>
      </c>
      <c r="F891" s="47" t="s">
        <v>19</v>
      </c>
      <c r="G891" s="48">
        <v>2055.0</v>
      </c>
      <c r="H891" s="48">
        <v>215.0</v>
      </c>
      <c r="I891" s="48">
        <v>59.0</v>
      </c>
      <c r="J891" s="49">
        <v>90.5286343612335</v>
      </c>
      <c r="K891" s="49"/>
      <c r="L891" s="50">
        <v>1435.0</v>
      </c>
      <c r="M891" s="50">
        <v>20.0</v>
      </c>
      <c r="N891" s="50">
        <v>22.0</v>
      </c>
      <c r="O891" s="49">
        <v>98.6254295532646</v>
      </c>
      <c r="P891" s="51"/>
    </row>
    <row r="892" ht="15.0" customHeight="1">
      <c r="A892" s="52">
        <v>886.0</v>
      </c>
      <c r="B892" s="53" t="s">
        <v>24</v>
      </c>
      <c r="C892" s="60" t="s">
        <v>265</v>
      </c>
      <c r="D892" s="60" t="s">
        <v>290</v>
      </c>
      <c r="E892" s="60" t="s">
        <v>292</v>
      </c>
      <c r="F892" s="61" t="s">
        <v>292</v>
      </c>
      <c r="G892" s="54">
        <v>954.0</v>
      </c>
      <c r="H892" s="54">
        <v>54.0</v>
      </c>
      <c r="I892" s="54">
        <v>11.0</v>
      </c>
      <c r="J892" s="55">
        <v>94.6428571428571</v>
      </c>
      <c r="K892" s="55">
        <f>G892+H892+I892</f>
        <v>1019</v>
      </c>
      <c r="L892" s="56">
        <v>664.0</v>
      </c>
      <c r="M892" s="56">
        <v>16.0</v>
      </c>
      <c r="N892" s="56">
        <v>8.0</v>
      </c>
      <c r="O892" s="55">
        <v>97.6470588235294</v>
      </c>
      <c r="P892" s="57">
        <f>L892+M892+N892</f>
        <v>688</v>
      </c>
    </row>
    <row r="893" ht="15.0" hidden="1" customHeight="1">
      <c r="A893" s="45">
        <v>887.0</v>
      </c>
      <c r="B893" s="46" t="s">
        <v>24</v>
      </c>
      <c r="C893" s="46" t="s">
        <v>265</v>
      </c>
      <c r="D893" s="46" t="s">
        <v>290</v>
      </c>
      <c r="E893" s="46" t="s">
        <v>292</v>
      </c>
      <c r="F893" s="47" t="s">
        <v>18</v>
      </c>
      <c r="G893" s="48"/>
      <c r="H893" s="48"/>
      <c r="I893" s="48"/>
      <c r="J893" s="49"/>
      <c r="K893" s="49"/>
      <c r="L893" s="50"/>
      <c r="M893" s="50"/>
      <c r="N893" s="50"/>
      <c r="O893" s="49"/>
      <c r="P893" s="51"/>
    </row>
    <row r="894" ht="15.0" hidden="1" customHeight="1">
      <c r="A894" s="45">
        <v>888.0</v>
      </c>
      <c r="B894" s="46" t="s">
        <v>24</v>
      </c>
      <c r="C894" s="46" t="s">
        <v>265</v>
      </c>
      <c r="D894" s="46" t="s">
        <v>290</v>
      </c>
      <c r="E894" s="46" t="s">
        <v>292</v>
      </c>
      <c r="F894" s="47" t="s">
        <v>19</v>
      </c>
      <c r="G894" s="48">
        <v>954.0</v>
      </c>
      <c r="H894" s="48">
        <v>54.0</v>
      </c>
      <c r="I894" s="48">
        <v>11.0</v>
      </c>
      <c r="J894" s="49">
        <v>94.6428571428571</v>
      </c>
      <c r="K894" s="49"/>
      <c r="L894" s="50">
        <v>664.0</v>
      </c>
      <c r="M894" s="50">
        <v>16.0</v>
      </c>
      <c r="N894" s="50">
        <v>8.0</v>
      </c>
      <c r="O894" s="49">
        <v>97.6470588235294</v>
      </c>
      <c r="P894" s="51"/>
    </row>
    <row r="895" ht="15.0" hidden="1" customHeight="1">
      <c r="A895" s="39">
        <v>889.0</v>
      </c>
      <c r="B895" s="40" t="s">
        <v>22</v>
      </c>
      <c r="C895" s="59" t="s">
        <v>265</v>
      </c>
      <c r="D895" s="59" t="s">
        <v>293</v>
      </c>
      <c r="E895" s="59"/>
      <c r="F895" s="40" t="s">
        <v>293</v>
      </c>
      <c r="G895" s="41">
        <v>5932.0</v>
      </c>
      <c r="H895" s="41">
        <v>365.0</v>
      </c>
      <c r="I895" s="41">
        <v>159.0</v>
      </c>
      <c r="J895" s="42">
        <v>94.20358901064</v>
      </c>
      <c r="K895" s="42"/>
      <c r="L895" s="43">
        <v>4011.0</v>
      </c>
      <c r="M895" s="43">
        <v>91.0</v>
      </c>
      <c r="N895" s="43">
        <v>16.0</v>
      </c>
      <c r="O895" s="42">
        <v>97.7815699658703</v>
      </c>
      <c r="P895" s="44"/>
    </row>
    <row r="896" ht="15.0" hidden="1" customHeight="1">
      <c r="A896" s="45">
        <v>890.0</v>
      </c>
      <c r="B896" s="46" t="s">
        <v>22</v>
      </c>
      <c r="C896" s="46" t="s">
        <v>265</v>
      </c>
      <c r="D896" s="46" t="s">
        <v>293</v>
      </c>
      <c r="E896" s="46"/>
      <c r="F896" s="47" t="s">
        <v>18</v>
      </c>
      <c r="G896" s="48">
        <v>3340.0</v>
      </c>
      <c r="H896" s="48">
        <v>166.0</v>
      </c>
      <c r="I896" s="48">
        <v>89.0</v>
      </c>
      <c r="J896" s="49">
        <v>95.2652595550485</v>
      </c>
      <c r="K896" s="49"/>
      <c r="L896" s="50">
        <v>2022.0</v>
      </c>
      <c r="M896" s="50">
        <v>39.0</v>
      </c>
      <c r="N896" s="50">
        <v>6.0</v>
      </c>
      <c r="O896" s="49">
        <v>98.1077147016012</v>
      </c>
      <c r="P896" s="51"/>
    </row>
    <row r="897" ht="15.0" hidden="1" customHeight="1">
      <c r="A897" s="45">
        <v>891.0</v>
      </c>
      <c r="B897" s="46" t="s">
        <v>22</v>
      </c>
      <c r="C897" s="46" t="s">
        <v>265</v>
      </c>
      <c r="D897" s="46" t="s">
        <v>293</v>
      </c>
      <c r="E897" s="46"/>
      <c r="F897" s="47" t="s">
        <v>19</v>
      </c>
      <c r="G897" s="48">
        <v>2592.0</v>
      </c>
      <c r="H897" s="48">
        <v>199.0</v>
      </c>
      <c r="I897" s="48">
        <v>70.0</v>
      </c>
      <c r="J897" s="49">
        <v>92.8699390899319</v>
      </c>
      <c r="K897" s="49"/>
      <c r="L897" s="50">
        <v>1989.0</v>
      </c>
      <c r="M897" s="50">
        <v>52.0</v>
      </c>
      <c r="N897" s="50">
        <v>10.0</v>
      </c>
      <c r="O897" s="49">
        <v>97.4522292993631</v>
      </c>
      <c r="P897" s="51"/>
    </row>
    <row r="898" ht="15.0" customHeight="1">
      <c r="A898" s="52">
        <v>892.0</v>
      </c>
      <c r="B898" s="53" t="s">
        <v>24</v>
      </c>
      <c r="C898" s="60" t="s">
        <v>265</v>
      </c>
      <c r="D898" s="60" t="s">
        <v>293</v>
      </c>
      <c r="E898" s="60" t="s">
        <v>294</v>
      </c>
      <c r="F898" s="61" t="s">
        <v>294</v>
      </c>
      <c r="G898" s="54">
        <v>4523.0</v>
      </c>
      <c r="H898" s="54">
        <v>331.0</v>
      </c>
      <c r="I898" s="54">
        <v>124.0</v>
      </c>
      <c r="J898" s="55">
        <v>93.1808817470128</v>
      </c>
      <c r="K898" s="55">
        <f>G898+H898+I898</f>
        <v>4978</v>
      </c>
      <c r="L898" s="56">
        <v>3242.0</v>
      </c>
      <c r="M898" s="56">
        <v>86.0</v>
      </c>
      <c r="N898" s="56">
        <v>14.0</v>
      </c>
      <c r="O898" s="55">
        <v>97.4158653846154</v>
      </c>
      <c r="P898" s="57">
        <f>L898+M898+N898</f>
        <v>3342</v>
      </c>
    </row>
    <row r="899" ht="15.0" hidden="1" customHeight="1">
      <c r="A899" s="45">
        <v>893.0</v>
      </c>
      <c r="B899" s="46" t="s">
        <v>24</v>
      </c>
      <c r="C899" s="46" t="s">
        <v>265</v>
      </c>
      <c r="D899" s="46" t="s">
        <v>293</v>
      </c>
      <c r="E899" s="46" t="s">
        <v>294</v>
      </c>
      <c r="F899" s="47" t="s">
        <v>18</v>
      </c>
      <c r="G899" s="48">
        <v>2878.0</v>
      </c>
      <c r="H899" s="48">
        <v>152.0</v>
      </c>
      <c r="I899" s="48">
        <v>62.0</v>
      </c>
      <c r="J899" s="49">
        <v>94.983498349835</v>
      </c>
      <c r="K899" s="49"/>
      <c r="L899" s="50">
        <v>2022.0</v>
      </c>
      <c r="M899" s="50">
        <v>39.0</v>
      </c>
      <c r="N899" s="50">
        <v>6.0</v>
      </c>
      <c r="O899" s="49">
        <v>98.1077147016012</v>
      </c>
      <c r="P899" s="51"/>
    </row>
    <row r="900" ht="15.0" hidden="1" customHeight="1">
      <c r="A900" s="45">
        <v>894.0</v>
      </c>
      <c r="B900" s="46" t="s">
        <v>24</v>
      </c>
      <c r="C900" s="46" t="s">
        <v>265</v>
      </c>
      <c r="D900" s="46" t="s">
        <v>293</v>
      </c>
      <c r="E900" s="46" t="s">
        <v>294</v>
      </c>
      <c r="F900" s="47" t="s">
        <v>19</v>
      </c>
      <c r="G900" s="48">
        <v>1645.0</v>
      </c>
      <c r="H900" s="48">
        <v>179.0</v>
      </c>
      <c r="I900" s="48">
        <v>62.0</v>
      </c>
      <c r="J900" s="49">
        <v>90.1864035087719</v>
      </c>
      <c r="K900" s="49"/>
      <c r="L900" s="50">
        <v>1220.0</v>
      </c>
      <c r="M900" s="50">
        <v>47.0</v>
      </c>
      <c r="N900" s="50">
        <v>8.0</v>
      </c>
      <c r="O900" s="49">
        <v>96.2904498816101</v>
      </c>
      <c r="P900" s="51"/>
    </row>
    <row r="901" ht="15.0" customHeight="1">
      <c r="A901" s="52">
        <v>895.0</v>
      </c>
      <c r="B901" s="53" t="s">
        <v>24</v>
      </c>
      <c r="C901" s="60" t="s">
        <v>265</v>
      </c>
      <c r="D901" s="60" t="s">
        <v>293</v>
      </c>
      <c r="E901" s="60" t="s">
        <v>295</v>
      </c>
      <c r="F901" s="61" t="s">
        <v>295</v>
      </c>
      <c r="G901" s="54">
        <v>1409.0</v>
      </c>
      <c r="H901" s="54">
        <v>34.0</v>
      </c>
      <c r="I901" s="54">
        <v>35.0</v>
      </c>
      <c r="J901" s="55">
        <v>97.6437976437977</v>
      </c>
      <c r="K901" s="55">
        <f>G901+H901+I901</f>
        <v>1478</v>
      </c>
      <c r="L901" s="56">
        <v>769.0</v>
      </c>
      <c r="M901" s="56">
        <v>5.0</v>
      </c>
      <c r="N901" s="56">
        <v>2.0</v>
      </c>
      <c r="O901" s="55">
        <v>99.3540051679587</v>
      </c>
      <c r="P901" s="57">
        <f>L901+M901+N901</f>
        <v>776</v>
      </c>
    </row>
    <row r="902" ht="15.0" hidden="1" customHeight="1">
      <c r="A902" s="45">
        <v>896.0</v>
      </c>
      <c r="B902" s="46" t="s">
        <v>24</v>
      </c>
      <c r="C902" s="46" t="s">
        <v>265</v>
      </c>
      <c r="D902" s="46" t="s">
        <v>293</v>
      </c>
      <c r="E902" s="46" t="s">
        <v>295</v>
      </c>
      <c r="F902" s="47" t="s">
        <v>18</v>
      </c>
      <c r="G902" s="48">
        <v>462.0</v>
      </c>
      <c r="H902" s="48">
        <v>14.0</v>
      </c>
      <c r="I902" s="48">
        <v>27.0</v>
      </c>
      <c r="J902" s="49">
        <v>97.0588235294118</v>
      </c>
      <c r="K902" s="49"/>
      <c r="L902" s="50"/>
      <c r="M902" s="50"/>
      <c r="N902" s="50"/>
      <c r="O902" s="49"/>
      <c r="P902" s="51"/>
    </row>
    <row r="903" ht="15.0" hidden="1" customHeight="1">
      <c r="A903" s="45">
        <v>897.0</v>
      </c>
      <c r="B903" s="46" t="s">
        <v>24</v>
      </c>
      <c r="C903" s="46" t="s">
        <v>265</v>
      </c>
      <c r="D903" s="46" t="s">
        <v>293</v>
      </c>
      <c r="E903" s="46" t="s">
        <v>295</v>
      </c>
      <c r="F903" s="47" t="s">
        <v>19</v>
      </c>
      <c r="G903" s="48">
        <v>947.0</v>
      </c>
      <c r="H903" s="48">
        <v>20.0</v>
      </c>
      <c r="I903" s="48">
        <v>8.0</v>
      </c>
      <c r="J903" s="49">
        <v>97.9317476732161</v>
      </c>
      <c r="K903" s="49"/>
      <c r="L903" s="50">
        <v>769.0</v>
      </c>
      <c r="M903" s="50">
        <v>5.0</v>
      </c>
      <c r="N903" s="50">
        <v>2.0</v>
      </c>
      <c r="O903" s="49">
        <v>99.3540051679587</v>
      </c>
      <c r="P903" s="51"/>
    </row>
    <row r="904" ht="15.0" hidden="1" customHeight="1">
      <c r="A904" s="39">
        <v>898.0</v>
      </c>
      <c r="B904" s="40" t="s">
        <v>22</v>
      </c>
      <c r="C904" s="59" t="s">
        <v>265</v>
      </c>
      <c r="D904" s="59" t="s">
        <v>296</v>
      </c>
      <c r="E904" s="59"/>
      <c r="F904" s="40" t="s">
        <v>296</v>
      </c>
      <c r="G904" s="41">
        <v>1319.0</v>
      </c>
      <c r="H904" s="41">
        <v>110.0</v>
      </c>
      <c r="I904" s="41">
        <v>25.0</v>
      </c>
      <c r="J904" s="42">
        <v>92.3023093072078</v>
      </c>
      <c r="K904" s="42"/>
      <c r="L904" s="43">
        <v>1053.0</v>
      </c>
      <c r="M904" s="43">
        <v>29.0</v>
      </c>
      <c r="N904" s="43">
        <v>6.0</v>
      </c>
      <c r="O904" s="42">
        <v>97.3197781885397</v>
      </c>
      <c r="P904" s="44"/>
    </row>
    <row r="905" ht="15.0" hidden="1" customHeight="1">
      <c r="A905" s="45">
        <v>899.0</v>
      </c>
      <c r="B905" s="46" t="s">
        <v>22</v>
      </c>
      <c r="C905" s="46" t="s">
        <v>265</v>
      </c>
      <c r="D905" s="46" t="s">
        <v>296</v>
      </c>
      <c r="E905" s="46"/>
      <c r="F905" s="47" t="s">
        <v>18</v>
      </c>
      <c r="G905" s="48"/>
      <c r="H905" s="48"/>
      <c r="I905" s="48"/>
      <c r="J905" s="49"/>
      <c r="K905" s="49"/>
      <c r="L905" s="50">
        <v>224.0</v>
      </c>
      <c r="M905" s="50">
        <v>3.0</v>
      </c>
      <c r="N905" s="50">
        <v>1.0</v>
      </c>
      <c r="O905" s="49">
        <v>98.6784140969163</v>
      </c>
      <c r="P905" s="51"/>
    </row>
    <row r="906" ht="15.0" hidden="1" customHeight="1">
      <c r="A906" s="45">
        <v>900.0</v>
      </c>
      <c r="B906" s="46" t="s">
        <v>22</v>
      </c>
      <c r="C906" s="46" t="s">
        <v>265</v>
      </c>
      <c r="D906" s="46" t="s">
        <v>296</v>
      </c>
      <c r="E906" s="46"/>
      <c r="F906" s="47" t="s">
        <v>19</v>
      </c>
      <c r="G906" s="48">
        <v>1319.0</v>
      </c>
      <c r="H906" s="48">
        <v>110.0</v>
      </c>
      <c r="I906" s="48">
        <v>25.0</v>
      </c>
      <c r="J906" s="49">
        <v>92.3023093072078</v>
      </c>
      <c r="K906" s="49"/>
      <c r="L906" s="50">
        <v>829.0</v>
      </c>
      <c r="M906" s="50">
        <v>26.0</v>
      </c>
      <c r="N906" s="50">
        <v>5.0</v>
      </c>
      <c r="O906" s="49">
        <v>96.9590643274854</v>
      </c>
      <c r="P906" s="51"/>
    </row>
    <row r="907" ht="15.0" customHeight="1">
      <c r="A907" s="52">
        <v>901.0</v>
      </c>
      <c r="B907" s="53" t="s">
        <v>24</v>
      </c>
      <c r="C907" s="60" t="s">
        <v>265</v>
      </c>
      <c r="D907" s="60" t="s">
        <v>296</v>
      </c>
      <c r="E907" s="60" t="s">
        <v>297</v>
      </c>
      <c r="F907" s="61" t="s">
        <v>297</v>
      </c>
      <c r="G907" s="54">
        <v>1253.0</v>
      </c>
      <c r="H907" s="54">
        <v>97.0</v>
      </c>
      <c r="I907" s="54">
        <v>21.0</v>
      </c>
      <c r="J907" s="55">
        <v>92.8148148148148</v>
      </c>
      <c r="K907" s="55">
        <f>G907+H907+I907</f>
        <v>1371</v>
      </c>
      <c r="L907" s="56">
        <v>957.0</v>
      </c>
      <c r="M907" s="56">
        <v>24.0</v>
      </c>
      <c r="N907" s="56">
        <v>6.0</v>
      </c>
      <c r="O907" s="55">
        <v>97.5535168195719</v>
      </c>
      <c r="P907" s="57">
        <f>L907+M907+N907</f>
        <v>987</v>
      </c>
    </row>
    <row r="908" ht="15.0" hidden="1" customHeight="1">
      <c r="A908" s="45">
        <v>902.0</v>
      </c>
      <c r="B908" s="46" t="s">
        <v>24</v>
      </c>
      <c r="C908" s="46" t="s">
        <v>265</v>
      </c>
      <c r="D908" s="46" t="s">
        <v>296</v>
      </c>
      <c r="E908" s="46" t="s">
        <v>297</v>
      </c>
      <c r="F908" s="47" t="s">
        <v>18</v>
      </c>
      <c r="G908" s="48"/>
      <c r="H908" s="48"/>
      <c r="I908" s="48"/>
      <c r="J908" s="49"/>
      <c r="K908" s="49"/>
      <c r="L908" s="50">
        <v>224.0</v>
      </c>
      <c r="M908" s="50">
        <v>3.0</v>
      </c>
      <c r="N908" s="50">
        <v>1.0</v>
      </c>
      <c r="O908" s="49">
        <v>98.6784140969163</v>
      </c>
      <c r="P908" s="51"/>
    </row>
    <row r="909" ht="15.0" hidden="1" customHeight="1">
      <c r="A909" s="45">
        <v>903.0</v>
      </c>
      <c r="B909" s="46" t="s">
        <v>24</v>
      </c>
      <c r="C909" s="46" t="s">
        <v>265</v>
      </c>
      <c r="D909" s="46" t="s">
        <v>296</v>
      </c>
      <c r="E909" s="46" t="s">
        <v>297</v>
      </c>
      <c r="F909" s="47" t="s">
        <v>19</v>
      </c>
      <c r="G909" s="48">
        <v>1253.0</v>
      </c>
      <c r="H909" s="48">
        <v>97.0</v>
      </c>
      <c r="I909" s="48">
        <v>21.0</v>
      </c>
      <c r="J909" s="49">
        <v>92.8148148148148</v>
      </c>
      <c r="K909" s="49"/>
      <c r="L909" s="50">
        <v>733.0</v>
      </c>
      <c r="M909" s="50">
        <v>21.0</v>
      </c>
      <c r="N909" s="50">
        <v>5.0</v>
      </c>
      <c r="O909" s="49">
        <v>97.2148541114058</v>
      </c>
      <c r="P909" s="51"/>
    </row>
    <row r="910" ht="15.0" customHeight="1">
      <c r="A910" s="52">
        <v>904.0</v>
      </c>
      <c r="B910" s="53" t="s">
        <v>24</v>
      </c>
      <c r="C910" s="60" t="s">
        <v>265</v>
      </c>
      <c r="D910" s="60" t="s">
        <v>296</v>
      </c>
      <c r="E910" s="60" t="s">
        <v>298</v>
      </c>
      <c r="F910" s="61" t="s">
        <v>298</v>
      </c>
      <c r="G910" s="54">
        <v>66.0</v>
      </c>
      <c r="H910" s="54">
        <v>13.0</v>
      </c>
      <c r="I910" s="54">
        <v>4.0</v>
      </c>
      <c r="J910" s="55">
        <v>83.5443037974684</v>
      </c>
      <c r="K910" s="55">
        <f>G910+H910+I910</f>
        <v>83</v>
      </c>
      <c r="L910" s="56">
        <v>96.0</v>
      </c>
      <c r="M910" s="56">
        <v>5.0</v>
      </c>
      <c r="N910" s="56">
        <v>0.0</v>
      </c>
      <c r="O910" s="55">
        <v>95.049504950495</v>
      </c>
      <c r="P910" s="57">
        <f>L910+M910+N910</f>
        <v>101</v>
      </c>
    </row>
    <row r="911" ht="15.0" hidden="1" customHeight="1">
      <c r="A911" s="45">
        <v>905.0</v>
      </c>
      <c r="B911" s="46" t="s">
        <v>24</v>
      </c>
      <c r="C911" s="46" t="s">
        <v>265</v>
      </c>
      <c r="D911" s="46" t="s">
        <v>296</v>
      </c>
      <c r="E911" s="46" t="s">
        <v>298</v>
      </c>
      <c r="F911" s="47" t="s">
        <v>18</v>
      </c>
      <c r="G911" s="48"/>
      <c r="H911" s="48"/>
      <c r="I911" s="48"/>
      <c r="J911" s="49"/>
      <c r="K911" s="49"/>
      <c r="L911" s="50"/>
      <c r="M911" s="50"/>
      <c r="N911" s="50"/>
      <c r="O911" s="49"/>
      <c r="P911" s="51"/>
    </row>
    <row r="912" ht="15.0" hidden="1" customHeight="1">
      <c r="A912" s="45">
        <v>906.0</v>
      </c>
      <c r="B912" s="46" t="s">
        <v>24</v>
      </c>
      <c r="C912" s="46" t="s">
        <v>265</v>
      </c>
      <c r="D912" s="46" t="s">
        <v>296</v>
      </c>
      <c r="E912" s="46" t="s">
        <v>298</v>
      </c>
      <c r="F912" s="47" t="s">
        <v>19</v>
      </c>
      <c r="G912" s="48">
        <v>66.0</v>
      </c>
      <c r="H912" s="48">
        <v>13.0</v>
      </c>
      <c r="I912" s="48">
        <v>4.0</v>
      </c>
      <c r="J912" s="49">
        <v>83.5443037974684</v>
      </c>
      <c r="K912" s="49"/>
      <c r="L912" s="50">
        <v>96.0</v>
      </c>
      <c r="M912" s="50">
        <v>5.0</v>
      </c>
      <c r="N912" s="50">
        <v>0.0</v>
      </c>
      <c r="O912" s="49">
        <v>95.049504950495</v>
      </c>
      <c r="P912" s="51"/>
    </row>
    <row r="913" ht="15.0" hidden="1" customHeight="1">
      <c r="A913" s="39">
        <v>907.0</v>
      </c>
      <c r="B913" s="40" t="s">
        <v>22</v>
      </c>
      <c r="C913" s="59" t="s">
        <v>265</v>
      </c>
      <c r="D913" s="59" t="s">
        <v>299</v>
      </c>
      <c r="E913" s="59"/>
      <c r="F913" s="40" t="s">
        <v>299</v>
      </c>
      <c r="G913" s="41">
        <v>767.0</v>
      </c>
      <c r="H913" s="41">
        <v>77.0</v>
      </c>
      <c r="I913" s="41">
        <v>30.0</v>
      </c>
      <c r="J913" s="42">
        <v>90.8767772511848</v>
      </c>
      <c r="K913" s="42"/>
      <c r="L913" s="43">
        <v>449.0</v>
      </c>
      <c r="M913" s="43">
        <v>30.0</v>
      </c>
      <c r="N913" s="43">
        <v>5.0</v>
      </c>
      <c r="O913" s="42">
        <v>93.7369519832985</v>
      </c>
      <c r="P913" s="44"/>
    </row>
    <row r="914" ht="15.0" hidden="1" customHeight="1">
      <c r="A914" s="45">
        <v>908.0</v>
      </c>
      <c r="B914" s="46" t="s">
        <v>22</v>
      </c>
      <c r="C914" s="46" t="s">
        <v>265</v>
      </c>
      <c r="D914" s="46" t="s">
        <v>299</v>
      </c>
      <c r="E914" s="46"/>
      <c r="F914" s="47" t="s">
        <v>18</v>
      </c>
      <c r="G914" s="48"/>
      <c r="H914" s="48"/>
      <c r="I914" s="48"/>
      <c r="J914" s="49"/>
      <c r="K914" s="49"/>
      <c r="L914" s="50"/>
      <c r="M914" s="50"/>
      <c r="N914" s="50"/>
      <c r="O914" s="49"/>
      <c r="P914" s="51"/>
    </row>
    <row r="915" ht="15.0" hidden="1" customHeight="1">
      <c r="A915" s="45">
        <v>909.0</v>
      </c>
      <c r="B915" s="46" t="s">
        <v>22</v>
      </c>
      <c r="C915" s="46" t="s">
        <v>265</v>
      </c>
      <c r="D915" s="46" t="s">
        <v>299</v>
      </c>
      <c r="E915" s="46"/>
      <c r="F915" s="47" t="s">
        <v>19</v>
      </c>
      <c r="G915" s="48">
        <v>767.0</v>
      </c>
      <c r="H915" s="48">
        <v>77.0</v>
      </c>
      <c r="I915" s="48">
        <v>30.0</v>
      </c>
      <c r="J915" s="49">
        <v>90.8767772511848</v>
      </c>
      <c r="K915" s="49"/>
      <c r="L915" s="50">
        <v>449.0</v>
      </c>
      <c r="M915" s="50">
        <v>30.0</v>
      </c>
      <c r="N915" s="50">
        <v>5.0</v>
      </c>
      <c r="O915" s="49">
        <v>93.7369519832985</v>
      </c>
      <c r="P915" s="51"/>
    </row>
    <row r="916" ht="15.0" customHeight="1">
      <c r="A916" s="52">
        <v>910.0</v>
      </c>
      <c r="B916" s="53" t="s">
        <v>24</v>
      </c>
      <c r="C916" s="60" t="s">
        <v>265</v>
      </c>
      <c r="D916" s="60" t="s">
        <v>299</v>
      </c>
      <c r="E916" s="60" t="s">
        <v>300</v>
      </c>
      <c r="F916" s="61" t="s">
        <v>300</v>
      </c>
      <c r="G916" s="54">
        <v>396.0</v>
      </c>
      <c r="H916" s="54">
        <v>28.0</v>
      </c>
      <c r="I916" s="54">
        <v>15.0</v>
      </c>
      <c r="J916" s="55">
        <v>93.3962264150943</v>
      </c>
      <c r="K916" s="55">
        <f>G916+H916+I916</f>
        <v>439</v>
      </c>
      <c r="L916" s="56">
        <v>245.0</v>
      </c>
      <c r="M916" s="56">
        <v>5.0</v>
      </c>
      <c r="N916" s="56">
        <v>2.0</v>
      </c>
      <c r="O916" s="55">
        <v>98.0</v>
      </c>
      <c r="P916" s="57">
        <f>L916+M916+N916</f>
        <v>252</v>
      </c>
    </row>
    <row r="917" ht="15.0" hidden="1" customHeight="1">
      <c r="A917" s="45">
        <v>911.0</v>
      </c>
      <c r="B917" s="46" t="s">
        <v>24</v>
      </c>
      <c r="C917" s="46" t="s">
        <v>265</v>
      </c>
      <c r="D917" s="46" t="s">
        <v>299</v>
      </c>
      <c r="E917" s="46" t="s">
        <v>300</v>
      </c>
      <c r="F917" s="47" t="s">
        <v>18</v>
      </c>
      <c r="G917" s="48"/>
      <c r="H917" s="48"/>
      <c r="I917" s="48"/>
      <c r="J917" s="49"/>
      <c r="K917" s="49"/>
      <c r="L917" s="50"/>
      <c r="M917" s="50"/>
      <c r="N917" s="50"/>
      <c r="O917" s="49"/>
      <c r="P917" s="51"/>
    </row>
    <row r="918" ht="15.0" hidden="1" customHeight="1">
      <c r="A918" s="45">
        <v>912.0</v>
      </c>
      <c r="B918" s="46" t="s">
        <v>24</v>
      </c>
      <c r="C918" s="46" t="s">
        <v>265</v>
      </c>
      <c r="D918" s="46" t="s">
        <v>299</v>
      </c>
      <c r="E918" s="46" t="s">
        <v>300</v>
      </c>
      <c r="F918" s="47" t="s">
        <v>19</v>
      </c>
      <c r="G918" s="48">
        <v>396.0</v>
      </c>
      <c r="H918" s="48">
        <v>28.0</v>
      </c>
      <c r="I918" s="48">
        <v>15.0</v>
      </c>
      <c r="J918" s="49">
        <v>93.3962264150943</v>
      </c>
      <c r="K918" s="49"/>
      <c r="L918" s="50">
        <v>245.0</v>
      </c>
      <c r="M918" s="50">
        <v>5.0</v>
      </c>
      <c r="N918" s="50">
        <v>2.0</v>
      </c>
      <c r="O918" s="49">
        <v>98.0</v>
      </c>
      <c r="P918" s="51"/>
    </row>
    <row r="919" ht="15.0" customHeight="1">
      <c r="A919" s="52">
        <v>913.0</v>
      </c>
      <c r="B919" s="53" t="s">
        <v>24</v>
      </c>
      <c r="C919" s="60" t="s">
        <v>265</v>
      </c>
      <c r="D919" s="60" t="s">
        <v>299</v>
      </c>
      <c r="E919" s="60" t="s">
        <v>301</v>
      </c>
      <c r="F919" s="61" t="s">
        <v>301</v>
      </c>
      <c r="G919" s="54">
        <v>127.0</v>
      </c>
      <c r="H919" s="54">
        <v>24.0</v>
      </c>
      <c r="I919" s="54">
        <v>5.0</v>
      </c>
      <c r="J919" s="55">
        <v>84.1059602649007</v>
      </c>
      <c r="K919" s="55">
        <f>G919+H919+I919</f>
        <v>156</v>
      </c>
      <c r="L919" s="56">
        <v>65.0</v>
      </c>
      <c r="M919" s="56">
        <v>11.0</v>
      </c>
      <c r="N919" s="56">
        <v>0.0</v>
      </c>
      <c r="O919" s="55">
        <v>85.5263157894737</v>
      </c>
      <c r="P919" s="57">
        <f>L919+M919+N919</f>
        <v>76</v>
      </c>
    </row>
    <row r="920" ht="15.0" hidden="1" customHeight="1">
      <c r="A920" s="45">
        <v>914.0</v>
      </c>
      <c r="B920" s="46" t="s">
        <v>24</v>
      </c>
      <c r="C920" s="46" t="s">
        <v>265</v>
      </c>
      <c r="D920" s="46" t="s">
        <v>299</v>
      </c>
      <c r="E920" s="46" t="s">
        <v>301</v>
      </c>
      <c r="F920" s="47" t="s">
        <v>18</v>
      </c>
      <c r="G920" s="48"/>
      <c r="H920" s="48"/>
      <c r="I920" s="48"/>
      <c r="J920" s="49"/>
      <c r="K920" s="49"/>
      <c r="L920" s="50"/>
      <c r="M920" s="50"/>
      <c r="N920" s="50"/>
      <c r="O920" s="49"/>
      <c r="P920" s="51"/>
    </row>
    <row r="921" ht="15.0" hidden="1" customHeight="1">
      <c r="A921" s="45">
        <v>915.0</v>
      </c>
      <c r="B921" s="46" t="s">
        <v>24</v>
      </c>
      <c r="C921" s="46" t="s">
        <v>265</v>
      </c>
      <c r="D921" s="46" t="s">
        <v>299</v>
      </c>
      <c r="E921" s="46" t="s">
        <v>301</v>
      </c>
      <c r="F921" s="47" t="s">
        <v>19</v>
      </c>
      <c r="G921" s="48">
        <v>127.0</v>
      </c>
      <c r="H921" s="48">
        <v>24.0</v>
      </c>
      <c r="I921" s="48">
        <v>5.0</v>
      </c>
      <c r="J921" s="49">
        <v>84.1059602649007</v>
      </c>
      <c r="K921" s="49"/>
      <c r="L921" s="50">
        <v>65.0</v>
      </c>
      <c r="M921" s="50">
        <v>11.0</v>
      </c>
      <c r="N921" s="50">
        <v>0.0</v>
      </c>
      <c r="O921" s="49">
        <v>85.5263157894737</v>
      </c>
      <c r="P921" s="51"/>
    </row>
    <row r="922" ht="15.0" customHeight="1">
      <c r="A922" s="52">
        <v>916.0</v>
      </c>
      <c r="B922" s="53" t="s">
        <v>24</v>
      </c>
      <c r="C922" s="60" t="s">
        <v>265</v>
      </c>
      <c r="D922" s="60" t="s">
        <v>299</v>
      </c>
      <c r="E922" s="60" t="s">
        <v>302</v>
      </c>
      <c r="F922" s="61" t="s">
        <v>302</v>
      </c>
      <c r="G922" s="54">
        <v>244.0</v>
      </c>
      <c r="H922" s="54">
        <v>25.0</v>
      </c>
      <c r="I922" s="54">
        <v>10.0</v>
      </c>
      <c r="J922" s="55">
        <v>90.7063197026022</v>
      </c>
      <c r="K922" s="55">
        <f>G922+H922+I922</f>
        <v>279</v>
      </c>
      <c r="L922" s="56">
        <v>139.0</v>
      </c>
      <c r="M922" s="56">
        <v>14.0</v>
      </c>
      <c r="N922" s="56">
        <v>3.0</v>
      </c>
      <c r="O922" s="55">
        <v>90.8496732026144</v>
      </c>
      <c r="P922" s="57">
        <f>L922+M922+N922</f>
        <v>156</v>
      </c>
    </row>
    <row r="923" ht="15.0" hidden="1" customHeight="1">
      <c r="A923" s="45">
        <v>917.0</v>
      </c>
      <c r="B923" s="46" t="s">
        <v>24</v>
      </c>
      <c r="C923" s="46" t="s">
        <v>265</v>
      </c>
      <c r="D923" s="46" t="s">
        <v>299</v>
      </c>
      <c r="E923" s="46" t="s">
        <v>302</v>
      </c>
      <c r="F923" s="47" t="s">
        <v>18</v>
      </c>
      <c r="G923" s="48"/>
      <c r="H923" s="48"/>
      <c r="I923" s="48"/>
      <c r="J923" s="49"/>
      <c r="K923" s="49"/>
      <c r="L923" s="50"/>
      <c r="M923" s="50"/>
      <c r="N923" s="50"/>
      <c r="O923" s="49"/>
      <c r="P923" s="51"/>
    </row>
    <row r="924" ht="15.0" hidden="1" customHeight="1">
      <c r="A924" s="45">
        <v>918.0</v>
      </c>
      <c r="B924" s="46" t="s">
        <v>24</v>
      </c>
      <c r="C924" s="46" t="s">
        <v>265</v>
      </c>
      <c r="D924" s="46" t="s">
        <v>299</v>
      </c>
      <c r="E924" s="46" t="s">
        <v>302</v>
      </c>
      <c r="F924" s="47" t="s">
        <v>19</v>
      </c>
      <c r="G924" s="48">
        <v>244.0</v>
      </c>
      <c r="H924" s="48">
        <v>25.0</v>
      </c>
      <c r="I924" s="48">
        <v>10.0</v>
      </c>
      <c r="J924" s="49">
        <v>90.7063197026022</v>
      </c>
      <c r="K924" s="49"/>
      <c r="L924" s="50">
        <v>139.0</v>
      </c>
      <c r="M924" s="50">
        <v>14.0</v>
      </c>
      <c r="N924" s="50">
        <v>3.0</v>
      </c>
      <c r="O924" s="49">
        <v>90.8496732026144</v>
      </c>
      <c r="P924" s="51"/>
    </row>
    <row r="925" ht="15.0" hidden="1" customHeight="1">
      <c r="A925" s="39">
        <v>919.0</v>
      </c>
      <c r="B925" s="40" t="s">
        <v>22</v>
      </c>
      <c r="C925" s="59" t="s">
        <v>265</v>
      </c>
      <c r="D925" s="59" t="s">
        <v>303</v>
      </c>
      <c r="E925" s="59"/>
      <c r="F925" s="40" t="s">
        <v>303</v>
      </c>
      <c r="G925" s="41">
        <v>4734.0</v>
      </c>
      <c r="H925" s="41">
        <v>593.0</v>
      </c>
      <c r="I925" s="41">
        <v>134.0</v>
      </c>
      <c r="J925" s="42">
        <v>88.868030786559</v>
      </c>
      <c r="K925" s="42"/>
      <c r="L925" s="43">
        <v>3287.0</v>
      </c>
      <c r="M925" s="43">
        <v>130.0</v>
      </c>
      <c r="N925" s="43">
        <v>27.0</v>
      </c>
      <c r="O925" s="42">
        <v>96.1954931226222</v>
      </c>
      <c r="P925" s="44"/>
    </row>
    <row r="926" ht="15.0" hidden="1" customHeight="1">
      <c r="A926" s="45">
        <v>920.0</v>
      </c>
      <c r="B926" s="46" t="s">
        <v>22</v>
      </c>
      <c r="C926" s="46" t="s">
        <v>265</v>
      </c>
      <c r="D926" s="46" t="s">
        <v>303</v>
      </c>
      <c r="E926" s="46"/>
      <c r="F926" s="47" t="s">
        <v>18</v>
      </c>
      <c r="G926" s="48">
        <v>286.0</v>
      </c>
      <c r="H926" s="48">
        <v>29.0</v>
      </c>
      <c r="I926" s="48">
        <v>7.0</v>
      </c>
      <c r="J926" s="49">
        <v>90.7936507936508</v>
      </c>
      <c r="K926" s="49"/>
      <c r="L926" s="50">
        <v>355.0</v>
      </c>
      <c r="M926" s="50">
        <v>17.0</v>
      </c>
      <c r="N926" s="50">
        <v>5.0</v>
      </c>
      <c r="O926" s="49">
        <v>95.4301075268817</v>
      </c>
      <c r="P926" s="51"/>
    </row>
    <row r="927" ht="15.0" hidden="1" customHeight="1">
      <c r="A927" s="45">
        <v>921.0</v>
      </c>
      <c r="B927" s="46" t="s">
        <v>22</v>
      </c>
      <c r="C927" s="46" t="s">
        <v>265</v>
      </c>
      <c r="D927" s="46" t="s">
        <v>303</v>
      </c>
      <c r="E927" s="46"/>
      <c r="F927" s="47" t="s">
        <v>19</v>
      </c>
      <c r="G927" s="48">
        <v>4448.0</v>
      </c>
      <c r="H927" s="48">
        <v>564.0</v>
      </c>
      <c r="I927" s="48">
        <v>127.0</v>
      </c>
      <c r="J927" s="49">
        <v>88.7470071827614</v>
      </c>
      <c r="K927" s="49"/>
      <c r="L927" s="50">
        <v>2932.0</v>
      </c>
      <c r="M927" s="50">
        <v>113.0</v>
      </c>
      <c r="N927" s="50">
        <v>22.0</v>
      </c>
      <c r="O927" s="49">
        <v>96.2889983579639</v>
      </c>
      <c r="P927" s="51"/>
    </row>
    <row r="928" ht="15.0" customHeight="1">
      <c r="A928" s="52">
        <v>922.0</v>
      </c>
      <c r="B928" s="53" t="s">
        <v>24</v>
      </c>
      <c r="C928" s="60" t="s">
        <v>265</v>
      </c>
      <c r="D928" s="60" t="s">
        <v>303</v>
      </c>
      <c r="E928" s="60" t="s">
        <v>304</v>
      </c>
      <c r="F928" s="61" t="s">
        <v>304</v>
      </c>
      <c r="G928" s="54">
        <v>1963.0</v>
      </c>
      <c r="H928" s="54">
        <v>203.0</v>
      </c>
      <c r="I928" s="54">
        <v>60.0</v>
      </c>
      <c r="J928" s="55">
        <v>90.6278855032318</v>
      </c>
      <c r="K928" s="55">
        <f>G928+H928+I928</f>
        <v>2226</v>
      </c>
      <c r="L928" s="56">
        <v>991.0</v>
      </c>
      <c r="M928" s="56">
        <v>42.0</v>
      </c>
      <c r="N928" s="56">
        <v>9.0</v>
      </c>
      <c r="O928" s="55">
        <v>95.9341723136496</v>
      </c>
      <c r="P928" s="57">
        <f>L928+M928+N928</f>
        <v>1042</v>
      </c>
    </row>
    <row r="929" ht="15.0" hidden="1" customHeight="1">
      <c r="A929" s="45">
        <v>923.0</v>
      </c>
      <c r="B929" s="46" t="s">
        <v>24</v>
      </c>
      <c r="C929" s="46" t="s">
        <v>265</v>
      </c>
      <c r="D929" s="46" t="s">
        <v>303</v>
      </c>
      <c r="E929" s="46" t="s">
        <v>304</v>
      </c>
      <c r="F929" s="47" t="s">
        <v>18</v>
      </c>
      <c r="G929" s="48"/>
      <c r="H929" s="48"/>
      <c r="I929" s="48"/>
      <c r="J929" s="49"/>
      <c r="K929" s="49"/>
      <c r="L929" s="50"/>
      <c r="M929" s="50"/>
      <c r="N929" s="50"/>
      <c r="O929" s="49"/>
      <c r="P929" s="51"/>
    </row>
    <row r="930" ht="15.0" hidden="1" customHeight="1">
      <c r="A930" s="45">
        <v>924.0</v>
      </c>
      <c r="B930" s="46" t="s">
        <v>24</v>
      </c>
      <c r="C930" s="46" t="s">
        <v>265</v>
      </c>
      <c r="D930" s="46" t="s">
        <v>303</v>
      </c>
      <c r="E930" s="46" t="s">
        <v>304</v>
      </c>
      <c r="F930" s="47" t="s">
        <v>19</v>
      </c>
      <c r="G930" s="48">
        <v>1963.0</v>
      </c>
      <c r="H930" s="48">
        <v>203.0</v>
      </c>
      <c r="I930" s="48">
        <v>60.0</v>
      </c>
      <c r="J930" s="49">
        <v>90.6278855032318</v>
      </c>
      <c r="K930" s="49"/>
      <c r="L930" s="50">
        <v>991.0</v>
      </c>
      <c r="M930" s="50">
        <v>42.0</v>
      </c>
      <c r="N930" s="50">
        <v>9.0</v>
      </c>
      <c r="O930" s="49">
        <v>95.9341723136496</v>
      </c>
      <c r="P930" s="51"/>
    </row>
    <row r="931" ht="15.0" customHeight="1">
      <c r="A931" s="52">
        <v>925.0</v>
      </c>
      <c r="B931" s="53" t="s">
        <v>24</v>
      </c>
      <c r="C931" s="60" t="s">
        <v>265</v>
      </c>
      <c r="D931" s="60" t="s">
        <v>303</v>
      </c>
      <c r="E931" s="60" t="s">
        <v>305</v>
      </c>
      <c r="F931" s="61" t="s">
        <v>305</v>
      </c>
      <c r="G931" s="54">
        <v>1036.0</v>
      </c>
      <c r="H931" s="54">
        <v>94.0</v>
      </c>
      <c r="I931" s="54">
        <v>19.0</v>
      </c>
      <c r="J931" s="55">
        <v>91.6814159292035</v>
      </c>
      <c r="K931" s="55">
        <f>G931+H931+I931</f>
        <v>1149</v>
      </c>
      <c r="L931" s="56">
        <v>988.0</v>
      </c>
      <c r="M931" s="56">
        <v>44.0</v>
      </c>
      <c r="N931" s="56">
        <v>9.0</v>
      </c>
      <c r="O931" s="55">
        <v>95.7364341085271</v>
      </c>
      <c r="P931" s="57">
        <f>L931+M931+N931</f>
        <v>1041</v>
      </c>
    </row>
    <row r="932" ht="15.0" hidden="1" customHeight="1">
      <c r="A932" s="45">
        <v>926.0</v>
      </c>
      <c r="B932" s="46" t="s">
        <v>24</v>
      </c>
      <c r="C932" s="46" t="s">
        <v>265</v>
      </c>
      <c r="D932" s="46" t="s">
        <v>303</v>
      </c>
      <c r="E932" s="46" t="s">
        <v>305</v>
      </c>
      <c r="F932" s="47" t="s">
        <v>18</v>
      </c>
      <c r="G932" s="48">
        <v>286.0</v>
      </c>
      <c r="H932" s="48">
        <v>29.0</v>
      </c>
      <c r="I932" s="48">
        <v>7.0</v>
      </c>
      <c r="J932" s="49">
        <v>90.7936507936508</v>
      </c>
      <c r="K932" s="49"/>
      <c r="L932" s="50">
        <v>355.0</v>
      </c>
      <c r="M932" s="50">
        <v>17.0</v>
      </c>
      <c r="N932" s="50">
        <v>5.0</v>
      </c>
      <c r="O932" s="49">
        <v>95.4301075268817</v>
      </c>
      <c r="P932" s="51"/>
    </row>
    <row r="933" ht="15.0" hidden="1" customHeight="1">
      <c r="A933" s="45">
        <v>927.0</v>
      </c>
      <c r="B933" s="46" t="s">
        <v>24</v>
      </c>
      <c r="C933" s="46" t="s">
        <v>265</v>
      </c>
      <c r="D933" s="46" t="s">
        <v>303</v>
      </c>
      <c r="E933" s="46" t="s">
        <v>305</v>
      </c>
      <c r="F933" s="47" t="s">
        <v>19</v>
      </c>
      <c r="G933" s="48">
        <v>750.0</v>
      </c>
      <c r="H933" s="48">
        <v>65.0</v>
      </c>
      <c r="I933" s="48">
        <v>12.0</v>
      </c>
      <c r="J933" s="49">
        <v>92.0245398773006</v>
      </c>
      <c r="K933" s="49"/>
      <c r="L933" s="50">
        <v>633.0</v>
      </c>
      <c r="M933" s="50">
        <v>27.0</v>
      </c>
      <c r="N933" s="50">
        <v>4.0</v>
      </c>
      <c r="O933" s="49">
        <v>95.9090909090909</v>
      </c>
      <c r="P933" s="51"/>
    </row>
    <row r="934" ht="15.0" customHeight="1">
      <c r="A934" s="52">
        <v>928.0</v>
      </c>
      <c r="B934" s="53" t="s">
        <v>24</v>
      </c>
      <c r="C934" s="60" t="s">
        <v>265</v>
      </c>
      <c r="D934" s="60" t="s">
        <v>303</v>
      </c>
      <c r="E934" s="60" t="s">
        <v>306</v>
      </c>
      <c r="F934" s="61" t="s">
        <v>306</v>
      </c>
      <c r="G934" s="54">
        <v>1735.0</v>
      </c>
      <c r="H934" s="54">
        <v>296.0</v>
      </c>
      <c r="I934" s="54">
        <v>55.0</v>
      </c>
      <c r="J934" s="55">
        <v>85.425898572132</v>
      </c>
      <c r="K934" s="55">
        <f>G934+H934+I934</f>
        <v>2086</v>
      </c>
      <c r="L934" s="56">
        <v>1308.0</v>
      </c>
      <c r="M934" s="56">
        <v>44.0</v>
      </c>
      <c r="N934" s="56">
        <v>9.0</v>
      </c>
      <c r="O934" s="55">
        <v>96.7455621301775</v>
      </c>
      <c r="P934" s="57">
        <f>L934+M934+N934</f>
        <v>1361</v>
      </c>
    </row>
    <row r="935" ht="15.0" hidden="1" customHeight="1">
      <c r="A935" s="45">
        <v>929.0</v>
      </c>
      <c r="B935" s="46" t="s">
        <v>24</v>
      </c>
      <c r="C935" s="46" t="s">
        <v>265</v>
      </c>
      <c r="D935" s="46" t="s">
        <v>303</v>
      </c>
      <c r="E935" s="46" t="s">
        <v>306</v>
      </c>
      <c r="F935" s="47" t="s">
        <v>18</v>
      </c>
      <c r="G935" s="48"/>
      <c r="H935" s="48"/>
      <c r="I935" s="48"/>
      <c r="J935" s="49"/>
      <c r="K935" s="49"/>
      <c r="L935" s="50"/>
      <c r="M935" s="50"/>
      <c r="N935" s="50"/>
      <c r="O935" s="49"/>
      <c r="P935" s="51"/>
    </row>
    <row r="936" ht="15.0" hidden="1" customHeight="1">
      <c r="A936" s="45">
        <v>930.0</v>
      </c>
      <c r="B936" s="46" t="s">
        <v>24</v>
      </c>
      <c r="C936" s="46" t="s">
        <v>265</v>
      </c>
      <c r="D936" s="46" t="s">
        <v>303</v>
      </c>
      <c r="E936" s="46" t="s">
        <v>306</v>
      </c>
      <c r="F936" s="47" t="s">
        <v>19</v>
      </c>
      <c r="G936" s="48">
        <v>1735.0</v>
      </c>
      <c r="H936" s="48">
        <v>296.0</v>
      </c>
      <c r="I936" s="48">
        <v>55.0</v>
      </c>
      <c r="J936" s="49">
        <v>85.425898572132</v>
      </c>
      <c r="K936" s="49"/>
      <c r="L936" s="50">
        <v>1308.0</v>
      </c>
      <c r="M936" s="50">
        <v>44.0</v>
      </c>
      <c r="N936" s="50">
        <v>9.0</v>
      </c>
      <c r="O936" s="49">
        <v>96.7455621301775</v>
      </c>
      <c r="P936" s="51"/>
    </row>
    <row r="937" ht="15.0" hidden="1" customHeight="1">
      <c r="A937" s="39">
        <v>931.0</v>
      </c>
      <c r="B937" s="40" t="s">
        <v>22</v>
      </c>
      <c r="C937" s="59" t="s">
        <v>265</v>
      </c>
      <c r="D937" s="59" t="s">
        <v>307</v>
      </c>
      <c r="E937" s="59"/>
      <c r="F937" s="40" t="s">
        <v>307</v>
      </c>
      <c r="G937" s="41">
        <v>6164.0</v>
      </c>
      <c r="H937" s="41">
        <v>582.0</v>
      </c>
      <c r="I937" s="41">
        <v>207.0</v>
      </c>
      <c r="J937" s="42">
        <v>91.3726652831307</v>
      </c>
      <c r="K937" s="42"/>
      <c r="L937" s="43">
        <v>4986.0</v>
      </c>
      <c r="M937" s="43">
        <v>87.0</v>
      </c>
      <c r="N937" s="43">
        <v>19.0</v>
      </c>
      <c r="O937" s="42">
        <v>98.2850384387936</v>
      </c>
      <c r="P937" s="44"/>
    </row>
    <row r="938" ht="15.0" hidden="1" customHeight="1">
      <c r="A938" s="45">
        <v>932.0</v>
      </c>
      <c r="B938" s="46" t="s">
        <v>22</v>
      </c>
      <c r="C938" s="46" t="s">
        <v>265</v>
      </c>
      <c r="D938" s="46" t="s">
        <v>307</v>
      </c>
      <c r="E938" s="46"/>
      <c r="F938" s="47" t="s">
        <v>18</v>
      </c>
      <c r="G938" s="48">
        <v>3178.0</v>
      </c>
      <c r="H938" s="48">
        <v>284.0</v>
      </c>
      <c r="I938" s="48">
        <v>88.0</v>
      </c>
      <c r="J938" s="49">
        <v>91.7966493356441</v>
      </c>
      <c r="K938" s="49"/>
      <c r="L938" s="50">
        <v>3070.0</v>
      </c>
      <c r="M938" s="50">
        <v>51.0</v>
      </c>
      <c r="N938" s="50">
        <v>10.0</v>
      </c>
      <c r="O938" s="49">
        <v>98.3659083627043</v>
      </c>
      <c r="P938" s="51"/>
    </row>
    <row r="939" ht="15.0" hidden="1" customHeight="1">
      <c r="A939" s="45">
        <v>933.0</v>
      </c>
      <c r="B939" s="46" t="s">
        <v>22</v>
      </c>
      <c r="C939" s="46" t="s">
        <v>265</v>
      </c>
      <c r="D939" s="46" t="s">
        <v>307</v>
      </c>
      <c r="E939" s="46"/>
      <c r="F939" s="47" t="s">
        <v>19</v>
      </c>
      <c r="G939" s="48">
        <v>2986.0</v>
      </c>
      <c r="H939" s="48">
        <v>298.0</v>
      </c>
      <c r="I939" s="48">
        <v>119.0</v>
      </c>
      <c r="J939" s="49">
        <v>90.925700365408</v>
      </c>
      <c r="K939" s="49"/>
      <c r="L939" s="50">
        <v>1916.0</v>
      </c>
      <c r="M939" s="50">
        <v>36.0</v>
      </c>
      <c r="N939" s="50">
        <v>9.0</v>
      </c>
      <c r="O939" s="49">
        <v>98.155737704918</v>
      </c>
      <c r="P939" s="51"/>
    </row>
    <row r="940" ht="15.0" customHeight="1">
      <c r="A940" s="52">
        <v>934.0</v>
      </c>
      <c r="B940" s="53" t="s">
        <v>24</v>
      </c>
      <c r="C940" s="60" t="s">
        <v>265</v>
      </c>
      <c r="D940" s="60" t="s">
        <v>307</v>
      </c>
      <c r="E940" s="60" t="s">
        <v>308</v>
      </c>
      <c r="F940" s="61" t="s">
        <v>308</v>
      </c>
      <c r="G940" s="54">
        <v>3255.0</v>
      </c>
      <c r="H940" s="54">
        <v>250.0</v>
      </c>
      <c r="I940" s="54">
        <v>113.0</v>
      </c>
      <c r="J940" s="55">
        <v>92.867332382311</v>
      </c>
      <c r="K940" s="55">
        <f>G940+H940+I940</f>
        <v>3618</v>
      </c>
      <c r="L940" s="56">
        <v>2636.0</v>
      </c>
      <c r="M940" s="56">
        <v>51.0</v>
      </c>
      <c r="N940" s="56">
        <v>10.0</v>
      </c>
      <c r="O940" s="55">
        <v>98.1019724599926</v>
      </c>
      <c r="P940" s="57">
        <f>L940+M940+N940</f>
        <v>2697</v>
      </c>
    </row>
    <row r="941" ht="15.0" hidden="1" customHeight="1">
      <c r="A941" s="45">
        <v>935.0</v>
      </c>
      <c r="B941" s="46" t="s">
        <v>24</v>
      </c>
      <c r="C941" s="46" t="s">
        <v>265</v>
      </c>
      <c r="D941" s="46" t="s">
        <v>307</v>
      </c>
      <c r="E941" s="46" t="s">
        <v>308</v>
      </c>
      <c r="F941" s="47" t="s">
        <v>18</v>
      </c>
      <c r="G941" s="48">
        <v>2029.0</v>
      </c>
      <c r="H941" s="48">
        <v>116.0</v>
      </c>
      <c r="I941" s="48">
        <v>69.0</v>
      </c>
      <c r="J941" s="49">
        <v>94.5920745920746</v>
      </c>
      <c r="K941" s="49"/>
      <c r="L941" s="50">
        <v>1892.0</v>
      </c>
      <c r="M941" s="50">
        <v>39.0</v>
      </c>
      <c r="N941" s="50">
        <v>5.0</v>
      </c>
      <c r="O941" s="49">
        <v>97.9803210771621</v>
      </c>
      <c r="P941" s="51"/>
    </row>
    <row r="942" ht="15.0" hidden="1" customHeight="1">
      <c r="A942" s="45">
        <v>936.0</v>
      </c>
      <c r="B942" s="46" t="s">
        <v>24</v>
      </c>
      <c r="C942" s="46" t="s">
        <v>265</v>
      </c>
      <c r="D942" s="46" t="s">
        <v>307</v>
      </c>
      <c r="E942" s="46" t="s">
        <v>308</v>
      </c>
      <c r="F942" s="47" t="s">
        <v>19</v>
      </c>
      <c r="G942" s="48">
        <v>1226.0</v>
      </c>
      <c r="H942" s="48">
        <v>134.0</v>
      </c>
      <c r="I942" s="48">
        <v>44.0</v>
      </c>
      <c r="J942" s="49">
        <v>90.1470588235294</v>
      </c>
      <c r="K942" s="49"/>
      <c r="L942" s="50">
        <v>744.0</v>
      </c>
      <c r="M942" s="50">
        <v>12.0</v>
      </c>
      <c r="N942" s="50">
        <v>5.0</v>
      </c>
      <c r="O942" s="49">
        <v>98.4126984126984</v>
      </c>
      <c r="P942" s="51"/>
    </row>
    <row r="943" ht="15.0" customHeight="1">
      <c r="A943" s="52">
        <v>937.0</v>
      </c>
      <c r="B943" s="53" t="s">
        <v>24</v>
      </c>
      <c r="C943" s="60" t="s">
        <v>265</v>
      </c>
      <c r="D943" s="60" t="s">
        <v>307</v>
      </c>
      <c r="E943" s="60" t="s">
        <v>309</v>
      </c>
      <c r="F943" s="61" t="s">
        <v>309</v>
      </c>
      <c r="G943" s="54">
        <v>854.0</v>
      </c>
      <c r="H943" s="54">
        <v>66.0</v>
      </c>
      <c r="I943" s="54">
        <v>38.0</v>
      </c>
      <c r="J943" s="55">
        <v>92.8260869565217</v>
      </c>
      <c r="K943" s="55">
        <f>G943+H943+I943</f>
        <v>958</v>
      </c>
      <c r="L943" s="56">
        <v>542.0</v>
      </c>
      <c r="M943" s="56">
        <v>11.0</v>
      </c>
      <c r="N943" s="56">
        <v>1.0</v>
      </c>
      <c r="O943" s="55">
        <v>98.0108499095841</v>
      </c>
      <c r="P943" s="57">
        <f>L943+M943+N943</f>
        <v>554</v>
      </c>
    </row>
    <row r="944" ht="15.0" hidden="1" customHeight="1">
      <c r="A944" s="45">
        <v>938.0</v>
      </c>
      <c r="B944" s="46" t="s">
        <v>24</v>
      </c>
      <c r="C944" s="46" t="s">
        <v>265</v>
      </c>
      <c r="D944" s="46" t="s">
        <v>307</v>
      </c>
      <c r="E944" s="46" t="s">
        <v>309</v>
      </c>
      <c r="F944" s="47" t="s">
        <v>18</v>
      </c>
      <c r="G944" s="48"/>
      <c r="H944" s="48"/>
      <c r="I944" s="48"/>
      <c r="J944" s="49"/>
      <c r="K944" s="49"/>
      <c r="L944" s="50"/>
      <c r="M944" s="50"/>
      <c r="N944" s="50"/>
      <c r="O944" s="49"/>
      <c r="P944" s="51"/>
    </row>
    <row r="945" ht="15.0" hidden="1" customHeight="1">
      <c r="A945" s="45">
        <v>939.0</v>
      </c>
      <c r="B945" s="46" t="s">
        <v>24</v>
      </c>
      <c r="C945" s="46" t="s">
        <v>265</v>
      </c>
      <c r="D945" s="46" t="s">
        <v>307</v>
      </c>
      <c r="E945" s="46" t="s">
        <v>309</v>
      </c>
      <c r="F945" s="47" t="s">
        <v>19</v>
      </c>
      <c r="G945" s="48">
        <v>854.0</v>
      </c>
      <c r="H945" s="48">
        <v>66.0</v>
      </c>
      <c r="I945" s="48">
        <v>38.0</v>
      </c>
      <c r="J945" s="49">
        <v>92.8260869565217</v>
      </c>
      <c r="K945" s="49"/>
      <c r="L945" s="50">
        <v>542.0</v>
      </c>
      <c r="M945" s="50">
        <v>11.0</v>
      </c>
      <c r="N945" s="50">
        <v>1.0</v>
      </c>
      <c r="O945" s="49">
        <v>98.0108499095841</v>
      </c>
      <c r="P945" s="51"/>
    </row>
    <row r="946" ht="15.0" customHeight="1">
      <c r="A946" s="52">
        <v>940.0</v>
      </c>
      <c r="B946" s="53" t="s">
        <v>24</v>
      </c>
      <c r="C946" s="60" t="s">
        <v>265</v>
      </c>
      <c r="D946" s="60" t="s">
        <v>307</v>
      </c>
      <c r="E946" s="60" t="s">
        <v>310</v>
      </c>
      <c r="F946" s="61" t="s">
        <v>310</v>
      </c>
      <c r="G946" s="54">
        <v>1413.0</v>
      </c>
      <c r="H946" s="54">
        <v>200.0</v>
      </c>
      <c r="I946" s="54">
        <v>40.0</v>
      </c>
      <c r="J946" s="55">
        <v>87.6007439553627</v>
      </c>
      <c r="K946" s="55">
        <f>G946+H946+I946</f>
        <v>1653</v>
      </c>
      <c r="L946" s="56">
        <v>1398.0</v>
      </c>
      <c r="M946" s="56">
        <v>14.0</v>
      </c>
      <c r="N946" s="56">
        <v>5.0</v>
      </c>
      <c r="O946" s="55">
        <v>99.0084985835694</v>
      </c>
      <c r="P946" s="57">
        <f>L946+M946+N946</f>
        <v>1417</v>
      </c>
    </row>
    <row r="947" ht="15.0" hidden="1" customHeight="1">
      <c r="A947" s="45">
        <v>941.0</v>
      </c>
      <c r="B947" s="46" t="s">
        <v>24</v>
      </c>
      <c r="C947" s="46" t="s">
        <v>265</v>
      </c>
      <c r="D947" s="46" t="s">
        <v>307</v>
      </c>
      <c r="E947" s="46" t="s">
        <v>310</v>
      </c>
      <c r="F947" s="47" t="s">
        <v>18</v>
      </c>
      <c r="G947" s="48">
        <v>1149.0</v>
      </c>
      <c r="H947" s="48">
        <v>168.0</v>
      </c>
      <c r="I947" s="48">
        <v>19.0</v>
      </c>
      <c r="J947" s="49">
        <v>87.2437357630979</v>
      </c>
      <c r="K947" s="49"/>
      <c r="L947" s="50">
        <v>1178.0</v>
      </c>
      <c r="M947" s="50">
        <v>12.0</v>
      </c>
      <c r="N947" s="50">
        <v>5.0</v>
      </c>
      <c r="O947" s="49">
        <v>98.9915966386555</v>
      </c>
      <c r="P947" s="51"/>
    </row>
    <row r="948" ht="15.0" hidden="1" customHeight="1">
      <c r="A948" s="45">
        <v>942.0</v>
      </c>
      <c r="B948" s="46" t="s">
        <v>24</v>
      </c>
      <c r="C948" s="46" t="s">
        <v>265</v>
      </c>
      <c r="D948" s="46" t="s">
        <v>307</v>
      </c>
      <c r="E948" s="46" t="s">
        <v>310</v>
      </c>
      <c r="F948" s="47" t="s">
        <v>19</v>
      </c>
      <c r="G948" s="48">
        <v>264.0</v>
      </c>
      <c r="H948" s="48">
        <v>32.0</v>
      </c>
      <c r="I948" s="48">
        <v>21.0</v>
      </c>
      <c r="J948" s="49">
        <v>89.1891891891892</v>
      </c>
      <c r="K948" s="49"/>
      <c r="L948" s="50">
        <v>220.0</v>
      </c>
      <c r="M948" s="50">
        <v>2.0</v>
      </c>
      <c r="N948" s="50">
        <v>0.0</v>
      </c>
      <c r="O948" s="49">
        <v>99.0990990990991</v>
      </c>
      <c r="P948" s="51"/>
    </row>
    <row r="949" ht="15.0" customHeight="1">
      <c r="A949" s="52">
        <v>943.0</v>
      </c>
      <c r="B949" s="53" t="s">
        <v>24</v>
      </c>
      <c r="C949" s="60" t="s">
        <v>265</v>
      </c>
      <c r="D949" s="60" t="s">
        <v>307</v>
      </c>
      <c r="E949" s="60" t="s">
        <v>311</v>
      </c>
      <c r="F949" s="61" t="s">
        <v>311</v>
      </c>
      <c r="G949" s="54">
        <v>642.0</v>
      </c>
      <c r="H949" s="54">
        <v>66.0</v>
      </c>
      <c r="I949" s="54">
        <v>16.0</v>
      </c>
      <c r="J949" s="55">
        <v>90.6779661016949</v>
      </c>
      <c r="K949" s="55">
        <f>G949+H949+I949</f>
        <v>724</v>
      </c>
      <c r="L949" s="56">
        <v>410.0</v>
      </c>
      <c r="M949" s="56">
        <v>11.0</v>
      </c>
      <c r="N949" s="56">
        <v>3.0</v>
      </c>
      <c r="O949" s="55">
        <v>97.3871733966746</v>
      </c>
      <c r="P949" s="57">
        <f>L949+M949+N949</f>
        <v>424</v>
      </c>
    </row>
    <row r="950" ht="15.0" hidden="1" customHeight="1">
      <c r="A950" s="45">
        <v>944.0</v>
      </c>
      <c r="B950" s="46" t="s">
        <v>24</v>
      </c>
      <c r="C950" s="46" t="s">
        <v>265</v>
      </c>
      <c r="D950" s="46" t="s">
        <v>307</v>
      </c>
      <c r="E950" s="46" t="s">
        <v>311</v>
      </c>
      <c r="F950" s="47" t="s">
        <v>18</v>
      </c>
      <c r="G950" s="48"/>
      <c r="H950" s="48"/>
      <c r="I950" s="48"/>
      <c r="J950" s="49"/>
      <c r="K950" s="49"/>
      <c r="L950" s="50"/>
      <c r="M950" s="50"/>
      <c r="N950" s="50"/>
      <c r="O950" s="49"/>
      <c r="P950" s="51"/>
    </row>
    <row r="951" ht="15.0" hidden="1" customHeight="1">
      <c r="A951" s="45">
        <v>945.0</v>
      </c>
      <c r="B951" s="46" t="s">
        <v>24</v>
      </c>
      <c r="C951" s="46" t="s">
        <v>265</v>
      </c>
      <c r="D951" s="46" t="s">
        <v>307</v>
      </c>
      <c r="E951" s="46" t="s">
        <v>311</v>
      </c>
      <c r="F951" s="47" t="s">
        <v>19</v>
      </c>
      <c r="G951" s="48">
        <v>642.0</v>
      </c>
      <c r="H951" s="48">
        <v>66.0</v>
      </c>
      <c r="I951" s="48">
        <v>16.0</v>
      </c>
      <c r="J951" s="49">
        <v>90.6779661016949</v>
      </c>
      <c r="K951" s="49"/>
      <c r="L951" s="50">
        <v>410.0</v>
      </c>
      <c r="M951" s="50">
        <v>11.0</v>
      </c>
      <c r="N951" s="50">
        <v>3.0</v>
      </c>
      <c r="O951" s="49">
        <v>97.3871733966746</v>
      </c>
      <c r="P951" s="51"/>
    </row>
    <row r="952" ht="15.0" hidden="1" customHeight="1">
      <c r="A952" s="39">
        <v>946.0</v>
      </c>
      <c r="B952" s="40" t="s">
        <v>22</v>
      </c>
      <c r="C952" s="59" t="s">
        <v>265</v>
      </c>
      <c r="D952" s="59" t="s">
        <v>312</v>
      </c>
      <c r="E952" s="59"/>
      <c r="F952" s="40" t="s">
        <v>312</v>
      </c>
      <c r="G952" s="41">
        <v>1184.0</v>
      </c>
      <c r="H952" s="41">
        <v>116.0</v>
      </c>
      <c r="I952" s="41">
        <v>38.0</v>
      </c>
      <c r="J952" s="42">
        <v>91.0769230769231</v>
      </c>
      <c r="K952" s="42"/>
      <c r="L952" s="43">
        <v>598.0</v>
      </c>
      <c r="M952" s="43">
        <v>14.0</v>
      </c>
      <c r="N952" s="43">
        <v>15.0</v>
      </c>
      <c r="O952" s="42">
        <v>97.7124183006536</v>
      </c>
      <c r="P952" s="44"/>
    </row>
    <row r="953" ht="15.0" hidden="1" customHeight="1">
      <c r="A953" s="45">
        <v>947.0</v>
      </c>
      <c r="B953" s="46" t="s">
        <v>22</v>
      </c>
      <c r="C953" s="46" t="s">
        <v>265</v>
      </c>
      <c r="D953" s="46" t="s">
        <v>312</v>
      </c>
      <c r="E953" s="46"/>
      <c r="F953" s="47" t="s">
        <v>18</v>
      </c>
      <c r="G953" s="48"/>
      <c r="H953" s="48"/>
      <c r="I953" s="48"/>
      <c r="J953" s="49"/>
      <c r="K953" s="49"/>
      <c r="L953" s="50"/>
      <c r="M953" s="50"/>
      <c r="N953" s="50"/>
      <c r="O953" s="49"/>
      <c r="P953" s="51"/>
    </row>
    <row r="954" ht="15.0" hidden="1" customHeight="1">
      <c r="A954" s="45">
        <v>948.0</v>
      </c>
      <c r="B954" s="46" t="s">
        <v>22</v>
      </c>
      <c r="C954" s="46" t="s">
        <v>265</v>
      </c>
      <c r="D954" s="46" t="s">
        <v>312</v>
      </c>
      <c r="E954" s="46"/>
      <c r="F954" s="47" t="s">
        <v>19</v>
      </c>
      <c r="G954" s="48">
        <v>1184.0</v>
      </c>
      <c r="H954" s="48">
        <v>116.0</v>
      </c>
      <c r="I954" s="48">
        <v>38.0</v>
      </c>
      <c r="J954" s="49">
        <v>91.0769230769231</v>
      </c>
      <c r="K954" s="49"/>
      <c r="L954" s="50">
        <v>598.0</v>
      </c>
      <c r="M954" s="50">
        <v>14.0</v>
      </c>
      <c r="N954" s="50">
        <v>15.0</v>
      </c>
      <c r="O954" s="49">
        <v>97.7124183006536</v>
      </c>
      <c r="P954" s="51"/>
    </row>
    <row r="955" ht="15.0" customHeight="1">
      <c r="A955" s="52">
        <v>949.0</v>
      </c>
      <c r="B955" s="53" t="s">
        <v>24</v>
      </c>
      <c r="C955" s="60" t="s">
        <v>265</v>
      </c>
      <c r="D955" s="60" t="s">
        <v>312</v>
      </c>
      <c r="E955" s="60" t="s">
        <v>313</v>
      </c>
      <c r="F955" s="61" t="s">
        <v>313</v>
      </c>
      <c r="G955" s="54">
        <v>499.0</v>
      </c>
      <c r="H955" s="54">
        <v>48.0</v>
      </c>
      <c r="I955" s="54">
        <v>24.0</v>
      </c>
      <c r="J955" s="55">
        <v>91.2248628884826</v>
      </c>
      <c r="K955" s="55">
        <f>G955+H955+I955</f>
        <v>571</v>
      </c>
      <c r="L955" s="56">
        <v>310.0</v>
      </c>
      <c r="M955" s="56">
        <v>8.0</v>
      </c>
      <c r="N955" s="56">
        <v>9.0</v>
      </c>
      <c r="O955" s="55">
        <v>97.4842767295598</v>
      </c>
      <c r="P955" s="57">
        <f>L955+M955+N955</f>
        <v>327</v>
      </c>
    </row>
    <row r="956" ht="15.0" hidden="1" customHeight="1">
      <c r="A956" s="45">
        <v>950.0</v>
      </c>
      <c r="B956" s="46" t="s">
        <v>24</v>
      </c>
      <c r="C956" s="46" t="s">
        <v>265</v>
      </c>
      <c r="D956" s="46" t="s">
        <v>312</v>
      </c>
      <c r="E956" s="46" t="s">
        <v>313</v>
      </c>
      <c r="F956" s="47" t="s">
        <v>18</v>
      </c>
      <c r="G956" s="48"/>
      <c r="H956" s="48"/>
      <c r="I956" s="48"/>
      <c r="J956" s="49"/>
      <c r="K956" s="49"/>
      <c r="L956" s="50"/>
      <c r="M956" s="50"/>
      <c r="N956" s="50"/>
      <c r="O956" s="49"/>
      <c r="P956" s="51"/>
    </row>
    <row r="957" ht="15.0" hidden="1" customHeight="1">
      <c r="A957" s="45">
        <v>951.0</v>
      </c>
      <c r="B957" s="46" t="s">
        <v>24</v>
      </c>
      <c r="C957" s="46" t="s">
        <v>265</v>
      </c>
      <c r="D957" s="46" t="s">
        <v>312</v>
      </c>
      <c r="E957" s="46" t="s">
        <v>313</v>
      </c>
      <c r="F957" s="47" t="s">
        <v>19</v>
      </c>
      <c r="G957" s="48">
        <v>499.0</v>
      </c>
      <c r="H957" s="48">
        <v>48.0</v>
      </c>
      <c r="I957" s="48">
        <v>24.0</v>
      </c>
      <c r="J957" s="49">
        <v>91.2248628884826</v>
      </c>
      <c r="K957" s="49"/>
      <c r="L957" s="50">
        <v>310.0</v>
      </c>
      <c r="M957" s="50">
        <v>8.0</v>
      </c>
      <c r="N957" s="50">
        <v>9.0</v>
      </c>
      <c r="O957" s="49">
        <v>97.4842767295598</v>
      </c>
      <c r="P957" s="51"/>
    </row>
    <row r="958" ht="15.0" customHeight="1">
      <c r="A958" s="52">
        <v>952.0</v>
      </c>
      <c r="B958" s="53" t="s">
        <v>24</v>
      </c>
      <c r="C958" s="60" t="s">
        <v>265</v>
      </c>
      <c r="D958" s="60" t="s">
        <v>312</v>
      </c>
      <c r="E958" s="60" t="s">
        <v>314</v>
      </c>
      <c r="F958" s="61" t="s">
        <v>314</v>
      </c>
      <c r="G958" s="54">
        <v>685.0</v>
      </c>
      <c r="H958" s="54">
        <v>68.0</v>
      </c>
      <c r="I958" s="54">
        <v>14.0</v>
      </c>
      <c r="J958" s="55">
        <v>90.9694555112882</v>
      </c>
      <c r="K958" s="55">
        <f>G958+H958+I958</f>
        <v>767</v>
      </c>
      <c r="L958" s="56">
        <v>288.0</v>
      </c>
      <c r="M958" s="56">
        <v>6.0</v>
      </c>
      <c r="N958" s="56">
        <v>6.0</v>
      </c>
      <c r="O958" s="55">
        <v>97.9591836734694</v>
      </c>
      <c r="P958" s="57">
        <f>L958+M958+N958</f>
        <v>300</v>
      </c>
    </row>
    <row r="959" ht="15.0" hidden="1" customHeight="1">
      <c r="A959" s="45">
        <v>953.0</v>
      </c>
      <c r="B959" s="46" t="s">
        <v>24</v>
      </c>
      <c r="C959" s="46" t="s">
        <v>265</v>
      </c>
      <c r="D959" s="46" t="s">
        <v>312</v>
      </c>
      <c r="E959" s="46" t="s">
        <v>314</v>
      </c>
      <c r="F959" s="47" t="s">
        <v>18</v>
      </c>
      <c r="G959" s="48"/>
      <c r="H959" s="48"/>
      <c r="I959" s="48"/>
      <c r="J959" s="49"/>
      <c r="K959" s="49"/>
      <c r="L959" s="50"/>
      <c r="M959" s="50"/>
      <c r="N959" s="50"/>
      <c r="O959" s="49"/>
      <c r="P959" s="51"/>
    </row>
    <row r="960" ht="15.0" hidden="1" customHeight="1">
      <c r="A960" s="45">
        <v>954.0</v>
      </c>
      <c r="B960" s="46" t="s">
        <v>24</v>
      </c>
      <c r="C960" s="46" t="s">
        <v>265</v>
      </c>
      <c r="D960" s="46" t="s">
        <v>312</v>
      </c>
      <c r="E960" s="46" t="s">
        <v>314</v>
      </c>
      <c r="F960" s="47" t="s">
        <v>19</v>
      </c>
      <c r="G960" s="48">
        <v>685.0</v>
      </c>
      <c r="H960" s="48">
        <v>68.0</v>
      </c>
      <c r="I960" s="48">
        <v>14.0</v>
      </c>
      <c r="J960" s="49">
        <v>90.9694555112882</v>
      </c>
      <c r="K960" s="49"/>
      <c r="L960" s="50">
        <v>288.0</v>
      </c>
      <c r="M960" s="50">
        <v>6.0</v>
      </c>
      <c r="N960" s="50">
        <v>6.0</v>
      </c>
      <c r="O960" s="49">
        <v>97.9591836734694</v>
      </c>
      <c r="P960" s="51"/>
    </row>
    <row r="961" ht="15.0" hidden="1" customHeight="1">
      <c r="A961" s="39">
        <v>955.0</v>
      </c>
      <c r="B961" s="40" t="s">
        <v>22</v>
      </c>
      <c r="C961" s="59" t="s">
        <v>265</v>
      </c>
      <c r="D961" s="59" t="s">
        <v>315</v>
      </c>
      <c r="E961" s="59"/>
      <c r="F961" s="40" t="s">
        <v>315</v>
      </c>
      <c r="G961" s="41">
        <v>546.0</v>
      </c>
      <c r="H961" s="41">
        <v>39.0</v>
      </c>
      <c r="I961" s="41">
        <v>22.0</v>
      </c>
      <c r="J961" s="42">
        <v>93.3333333333333</v>
      </c>
      <c r="K961" s="42"/>
      <c r="L961" s="43">
        <v>350.0</v>
      </c>
      <c r="M961" s="43">
        <v>20.0</v>
      </c>
      <c r="N961" s="43">
        <v>0.0</v>
      </c>
      <c r="O961" s="42">
        <v>94.5945945945946</v>
      </c>
      <c r="P961" s="44"/>
    </row>
    <row r="962" ht="15.0" hidden="1" customHeight="1">
      <c r="A962" s="45">
        <v>956.0</v>
      </c>
      <c r="B962" s="46" t="s">
        <v>22</v>
      </c>
      <c r="C962" s="46" t="s">
        <v>265</v>
      </c>
      <c r="D962" s="46" t="s">
        <v>315</v>
      </c>
      <c r="E962" s="46"/>
      <c r="F962" s="47" t="s">
        <v>18</v>
      </c>
      <c r="G962" s="48"/>
      <c r="H962" s="48"/>
      <c r="I962" s="48"/>
      <c r="J962" s="49"/>
      <c r="K962" s="49"/>
      <c r="L962" s="50"/>
      <c r="M962" s="50"/>
      <c r="N962" s="50"/>
      <c r="O962" s="49"/>
      <c r="P962" s="51"/>
    </row>
    <row r="963" ht="15.0" hidden="1" customHeight="1">
      <c r="A963" s="45">
        <v>957.0</v>
      </c>
      <c r="B963" s="46" t="s">
        <v>22</v>
      </c>
      <c r="C963" s="46" t="s">
        <v>265</v>
      </c>
      <c r="D963" s="46" t="s">
        <v>315</v>
      </c>
      <c r="E963" s="46"/>
      <c r="F963" s="47" t="s">
        <v>19</v>
      </c>
      <c r="G963" s="48">
        <v>546.0</v>
      </c>
      <c r="H963" s="48">
        <v>39.0</v>
      </c>
      <c r="I963" s="48">
        <v>22.0</v>
      </c>
      <c r="J963" s="49">
        <v>93.3333333333333</v>
      </c>
      <c r="K963" s="49"/>
      <c r="L963" s="50">
        <v>350.0</v>
      </c>
      <c r="M963" s="50">
        <v>20.0</v>
      </c>
      <c r="N963" s="50">
        <v>0.0</v>
      </c>
      <c r="O963" s="49">
        <v>94.5945945945946</v>
      </c>
      <c r="P963" s="51"/>
    </row>
    <row r="964" ht="15.0" customHeight="1">
      <c r="A964" s="52">
        <v>958.0</v>
      </c>
      <c r="B964" s="53" t="s">
        <v>24</v>
      </c>
      <c r="C964" s="60" t="s">
        <v>265</v>
      </c>
      <c r="D964" s="60" t="s">
        <v>315</v>
      </c>
      <c r="E964" s="60" t="s">
        <v>316</v>
      </c>
      <c r="F964" s="61" t="s">
        <v>316</v>
      </c>
      <c r="G964" s="54">
        <v>388.0</v>
      </c>
      <c r="H964" s="54">
        <v>27.0</v>
      </c>
      <c r="I964" s="54">
        <v>13.0</v>
      </c>
      <c r="J964" s="55">
        <v>93.4939759036145</v>
      </c>
      <c r="K964" s="55">
        <f>G964+H964+I964</f>
        <v>428</v>
      </c>
      <c r="L964" s="56">
        <v>265.0</v>
      </c>
      <c r="M964" s="56">
        <v>17.0</v>
      </c>
      <c r="N964" s="56">
        <v>0.0</v>
      </c>
      <c r="O964" s="55">
        <v>93.9716312056738</v>
      </c>
      <c r="P964" s="57">
        <f>L964+M964+N964</f>
        <v>282</v>
      </c>
    </row>
    <row r="965" ht="15.0" hidden="1" customHeight="1">
      <c r="A965" s="45">
        <v>959.0</v>
      </c>
      <c r="B965" s="46" t="s">
        <v>24</v>
      </c>
      <c r="C965" s="46" t="s">
        <v>265</v>
      </c>
      <c r="D965" s="46" t="s">
        <v>315</v>
      </c>
      <c r="E965" s="46" t="s">
        <v>316</v>
      </c>
      <c r="F965" s="47" t="s">
        <v>18</v>
      </c>
      <c r="G965" s="48"/>
      <c r="H965" s="48"/>
      <c r="I965" s="48"/>
      <c r="J965" s="49"/>
      <c r="K965" s="49"/>
      <c r="L965" s="50"/>
      <c r="M965" s="50"/>
      <c r="N965" s="50"/>
      <c r="O965" s="49"/>
      <c r="P965" s="51"/>
    </row>
    <row r="966" ht="15.0" hidden="1" customHeight="1">
      <c r="A966" s="45">
        <v>960.0</v>
      </c>
      <c r="B966" s="46" t="s">
        <v>24</v>
      </c>
      <c r="C966" s="46" t="s">
        <v>265</v>
      </c>
      <c r="D966" s="46" t="s">
        <v>315</v>
      </c>
      <c r="E966" s="46" t="s">
        <v>316</v>
      </c>
      <c r="F966" s="47" t="s">
        <v>19</v>
      </c>
      <c r="G966" s="48">
        <v>388.0</v>
      </c>
      <c r="H966" s="48">
        <v>27.0</v>
      </c>
      <c r="I966" s="48">
        <v>13.0</v>
      </c>
      <c r="J966" s="49">
        <v>93.4939759036145</v>
      </c>
      <c r="K966" s="49"/>
      <c r="L966" s="50">
        <v>265.0</v>
      </c>
      <c r="M966" s="50">
        <v>17.0</v>
      </c>
      <c r="N966" s="50">
        <v>0.0</v>
      </c>
      <c r="O966" s="49">
        <v>93.9716312056738</v>
      </c>
      <c r="P966" s="51"/>
    </row>
    <row r="967" ht="15.0" customHeight="1">
      <c r="A967" s="52">
        <v>961.0</v>
      </c>
      <c r="B967" s="53" t="s">
        <v>24</v>
      </c>
      <c r="C967" s="60" t="s">
        <v>265</v>
      </c>
      <c r="D967" s="60" t="s">
        <v>315</v>
      </c>
      <c r="E967" s="60" t="s">
        <v>317</v>
      </c>
      <c r="F967" s="61" t="s">
        <v>317</v>
      </c>
      <c r="G967" s="54">
        <v>158.0</v>
      </c>
      <c r="H967" s="54">
        <v>12.0</v>
      </c>
      <c r="I967" s="54">
        <v>9.0</v>
      </c>
      <c r="J967" s="55">
        <v>92.9411764705882</v>
      </c>
      <c r="K967" s="55">
        <f>G967+H967+I967</f>
        <v>179</v>
      </c>
      <c r="L967" s="56">
        <v>85.0</v>
      </c>
      <c r="M967" s="56">
        <v>3.0</v>
      </c>
      <c r="N967" s="56">
        <v>0.0</v>
      </c>
      <c r="O967" s="55">
        <v>96.5909090909091</v>
      </c>
      <c r="P967" s="57">
        <f>L967+M967+N967</f>
        <v>88</v>
      </c>
    </row>
    <row r="968" ht="15.0" hidden="1" customHeight="1">
      <c r="A968" s="45">
        <v>962.0</v>
      </c>
      <c r="B968" s="46" t="s">
        <v>24</v>
      </c>
      <c r="C968" s="46" t="s">
        <v>265</v>
      </c>
      <c r="D968" s="46" t="s">
        <v>315</v>
      </c>
      <c r="E968" s="46" t="s">
        <v>317</v>
      </c>
      <c r="F968" s="47" t="s">
        <v>18</v>
      </c>
      <c r="G968" s="48"/>
      <c r="H968" s="48"/>
      <c r="I968" s="48"/>
      <c r="J968" s="49"/>
      <c r="K968" s="49"/>
      <c r="L968" s="50"/>
      <c r="M968" s="50"/>
      <c r="N968" s="50"/>
      <c r="O968" s="49"/>
      <c r="P968" s="51"/>
    </row>
    <row r="969" ht="15.0" hidden="1" customHeight="1">
      <c r="A969" s="45">
        <v>963.0</v>
      </c>
      <c r="B969" s="46" t="s">
        <v>24</v>
      </c>
      <c r="C969" s="46" t="s">
        <v>265</v>
      </c>
      <c r="D969" s="46" t="s">
        <v>315</v>
      </c>
      <c r="E969" s="46" t="s">
        <v>317</v>
      </c>
      <c r="F969" s="47" t="s">
        <v>19</v>
      </c>
      <c r="G969" s="48">
        <v>158.0</v>
      </c>
      <c r="H969" s="48">
        <v>12.0</v>
      </c>
      <c r="I969" s="48">
        <v>9.0</v>
      </c>
      <c r="J969" s="49">
        <v>92.9411764705882</v>
      </c>
      <c r="K969" s="49"/>
      <c r="L969" s="50">
        <v>85.0</v>
      </c>
      <c r="M969" s="50">
        <v>3.0</v>
      </c>
      <c r="N969" s="50">
        <v>0.0</v>
      </c>
      <c r="O969" s="49">
        <v>96.5909090909091</v>
      </c>
      <c r="P969" s="51"/>
    </row>
    <row r="970" ht="15.0" hidden="1" customHeight="1">
      <c r="A970" s="39">
        <v>964.0</v>
      </c>
      <c r="B970" s="40" t="s">
        <v>22</v>
      </c>
      <c r="C970" s="59" t="s">
        <v>265</v>
      </c>
      <c r="D970" s="59" t="s">
        <v>318</v>
      </c>
      <c r="E970" s="59"/>
      <c r="F970" s="40" t="s">
        <v>318</v>
      </c>
      <c r="G970" s="41">
        <v>4184.0</v>
      </c>
      <c r="H970" s="41">
        <v>483.0</v>
      </c>
      <c r="I970" s="41">
        <v>154.0</v>
      </c>
      <c r="J970" s="42">
        <v>89.6507392329119</v>
      </c>
      <c r="K970" s="42"/>
      <c r="L970" s="43">
        <v>3446.0</v>
      </c>
      <c r="M970" s="43">
        <v>333.0</v>
      </c>
      <c r="N970" s="43">
        <v>28.0</v>
      </c>
      <c r="O970" s="42">
        <v>91.1881450119079</v>
      </c>
      <c r="P970" s="44"/>
    </row>
    <row r="971" ht="15.0" hidden="1" customHeight="1">
      <c r="A971" s="45">
        <v>965.0</v>
      </c>
      <c r="B971" s="46" t="s">
        <v>22</v>
      </c>
      <c r="C971" s="46" t="s">
        <v>265</v>
      </c>
      <c r="D971" s="46" t="s">
        <v>318</v>
      </c>
      <c r="E971" s="46"/>
      <c r="F971" s="47" t="s">
        <v>18</v>
      </c>
      <c r="G971" s="48">
        <v>3390.0</v>
      </c>
      <c r="H971" s="48">
        <v>353.0</v>
      </c>
      <c r="I971" s="48">
        <v>114.0</v>
      </c>
      <c r="J971" s="49">
        <v>90.5690622495325</v>
      </c>
      <c r="K971" s="49"/>
      <c r="L971" s="50">
        <v>2992.0</v>
      </c>
      <c r="M971" s="50">
        <v>282.0</v>
      </c>
      <c r="N971" s="50">
        <v>23.0</v>
      </c>
      <c r="O971" s="49">
        <v>91.386682956628</v>
      </c>
      <c r="P971" s="51"/>
    </row>
    <row r="972" ht="15.0" hidden="1" customHeight="1">
      <c r="A972" s="45">
        <v>966.0</v>
      </c>
      <c r="B972" s="46" t="s">
        <v>22</v>
      </c>
      <c r="C972" s="46" t="s">
        <v>265</v>
      </c>
      <c r="D972" s="46" t="s">
        <v>318</v>
      </c>
      <c r="E972" s="46"/>
      <c r="F972" s="47" t="s">
        <v>19</v>
      </c>
      <c r="G972" s="48">
        <v>794.0</v>
      </c>
      <c r="H972" s="48">
        <v>130.0</v>
      </c>
      <c r="I972" s="48">
        <v>40.0</v>
      </c>
      <c r="J972" s="49">
        <v>85.9307359307359</v>
      </c>
      <c r="K972" s="49"/>
      <c r="L972" s="50">
        <v>454.0</v>
      </c>
      <c r="M972" s="50">
        <v>51.0</v>
      </c>
      <c r="N972" s="50">
        <v>5.0</v>
      </c>
      <c r="O972" s="49">
        <v>89.9009900990099</v>
      </c>
      <c r="P972" s="51"/>
    </row>
    <row r="973" ht="15.0" customHeight="1">
      <c r="A973" s="52">
        <v>967.0</v>
      </c>
      <c r="B973" s="53" t="s">
        <v>24</v>
      </c>
      <c r="C973" s="60" t="s">
        <v>265</v>
      </c>
      <c r="D973" s="60" t="s">
        <v>318</v>
      </c>
      <c r="E973" s="60" t="s">
        <v>319</v>
      </c>
      <c r="F973" s="61" t="s">
        <v>319</v>
      </c>
      <c r="G973" s="54">
        <v>4184.0</v>
      </c>
      <c r="H973" s="54">
        <v>483.0</v>
      </c>
      <c r="I973" s="54">
        <v>154.0</v>
      </c>
      <c r="J973" s="55">
        <v>89.6507392329119</v>
      </c>
      <c r="K973" s="55">
        <f>G973+H973+I973</f>
        <v>4821</v>
      </c>
      <c r="L973" s="56">
        <v>3446.0</v>
      </c>
      <c r="M973" s="56">
        <v>333.0</v>
      </c>
      <c r="N973" s="56">
        <v>28.0</v>
      </c>
      <c r="O973" s="55">
        <v>91.1881450119079</v>
      </c>
      <c r="P973" s="57">
        <f>L973+M973+N973</f>
        <v>3807</v>
      </c>
    </row>
    <row r="974" ht="15.0" hidden="1" customHeight="1">
      <c r="A974" s="45">
        <v>968.0</v>
      </c>
      <c r="B974" s="46" t="s">
        <v>24</v>
      </c>
      <c r="C974" s="46" t="s">
        <v>265</v>
      </c>
      <c r="D974" s="46" t="s">
        <v>318</v>
      </c>
      <c r="E974" s="46" t="s">
        <v>319</v>
      </c>
      <c r="F974" s="47" t="s">
        <v>18</v>
      </c>
      <c r="G974" s="48">
        <v>3390.0</v>
      </c>
      <c r="H974" s="48">
        <v>353.0</v>
      </c>
      <c r="I974" s="48">
        <v>114.0</v>
      </c>
      <c r="J974" s="49">
        <v>90.5690622495325</v>
      </c>
      <c r="K974" s="49"/>
      <c r="L974" s="50">
        <v>2992.0</v>
      </c>
      <c r="M974" s="50">
        <v>282.0</v>
      </c>
      <c r="N974" s="50">
        <v>23.0</v>
      </c>
      <c r="O974" s="49">
        <v>91.386682956628</v>
      </c>
      <c r="P974" s="51"/>
    </row>
    <row r="975" ht="15.0" hidden="1" customHeight="1">
      <c r="A975" s="45">
        <v>969.0</v>
      </c>
      <c r="B975" s="46" t="s">
        <v>24</v>
      </c>
      <c r="C975" s="46" t="s">
        <v>265</v>
      </c>
      <c r="D975" s="46" t="s">
        <v>318</v>
      </c>
      <c r="E975" s="46" t="s">
        <v>319</v>
      </c>
      <c r="F975" s="47" t="s">
        <v>19</v>
      </c>
      <c r="G975" s="48">
        <v>794.0</v>
      </c>
      <c r="H975" s="48">
        <v>130.0</v>
      </c>
      <c r="I975" s="48">
        <v>40.0</v>
      </c>
      <c r="J975" s="49">
        <v>85.9307359307359</v>
      </c>
      <c r="K975" s="49"/>
      <c r="L975" s="50">
        <v>454.0</v>
      </c>
      <c r="M975" s="50">
        <v>51.0</v>
      </c>
      <c r="N975" s="50">
        <v>5.0</v>
      </c>
      <c r="O975" s="49">
        <v>89.9009900990099</v>
      </c>
      <c r="P975" s="51"/>
    </row>
    <row r="976" ht="15.0" hidden="1" customHeight="1">
      <c r="A976" s="39">
        <v>970.0</v>
      </c>
      <c r="B976" s="40" t="s">
        <v>22</v>
      </c>
      <c r="C976" s="59" t="s">
        <v>265</v>
      </c>
      <c r="D976" s="59" t="s">
        <v>320</v>
      </c>
      <c r="E976" s="59"/>
      <c r="F976" s="40" t="s">
        <v>320</v>
      </c>
      <c r="G976" s="41">
        <v>139.0</v>
      </c>
      <c r="H976" s="41">
        <v>15.0</v>
      </c>
      <c r="I976" s="41">
        <v>2.0</v>
      </c>
      <c r="J976" s="42">
        <v>90.2597402597403</v>
      </c>
      <c r="K976" s="42"/>
      <c r="L976" s="43">
        <v>143.0</v>
      </c>
      <c r="M976" s="43">
        <v>12.0</v>
      </c>
      <c r="N976" s="43">
        <v>0.0</v>
      </c>
      <c r="O976" s="42">
        <v>92.258064516129</v>
      </c>
      <c r="P976" s="44"/>
    </row>
    <row r="977" ht="15.0" hidden="1" customHeight="1">
      <c r="A977" s="45">
        <v>971.0</v>
      </c>
      <c r="B977" s="46" t="s">
        <v>22</v>
      </c>
      <c r="C977" s="46" t="s">
        <v>265</v>
      </c>
      <c r="D977" s="46" t="s">
        <v>320</v>
      </c>
      <c r="E977" s="46"/>
      <c r="F977" s="47" t="s">
        <v>18</v>
      </c>
      <c r="G977" s="48"/>
      <c r="H977" s="48"/>
      <c r="I977" s="48"/>
      <c r="J977" s="49"/>
      <c r="K977" s="49"/>
      <c r="L977" s="50"/>
      <c r="M977" s="50"/>
      <c r="N977" s="50"/>
      <c r="O977" s="49"/>
      <c r="P977" s="51"/>
    </row>
    <row r="978" ht="15.0" hidden="1" customHeight="1">
      <c r="A978" s="45">
        <v>972.0</v>
      </c>
      <c r="B978" s="46" t="s">
        <v>22</v>
      </c>
      <c r="C978" s="46" t="s">
        <v>265</v>
      </c>
      <c r="D978" s="46" t="s">
        <v>320</v>
      </c>
      <c r="E978" s="46"/>
      <c r="F978" s="47" t="s">
        <v>19</v>
      </c>
      <c r="G978" s="48">
        <v>139.0</v>
      </c>
      <c r="H978" s="48">
        <v>15.0</v>
      </c>
      <c r="I978" s="48">
        <v>2.0</v>
      </c>
      <c r="J978" s="49">
        <v>90.2597402597403</v>
      </c>
      <c r="K978" s="49"/>
      <c r="L978" s="50">
        <v>143.0</v>
      </c>
      <c r="M978" s="50">
        <v>12.0</v>
      </c>
      <c r="N978" s="50">
        <v>0.0</v>
      </c>
      <c r="O978" s="49">
        <v>92.258064516129</v>
      </c>
      <c r="P978" s="51"/>
    </row>
    <row r="979" ht="15.0" customHeight="1">
      <c r="A979" s="52">
        <v>973.0</v>
      </c>
      <c r="B979" s="53" t="s">
        <v>24</v>
      </c>
      <c r="C979" s="60" t="s">
        <v>265</v>
      </c>
      <c r="D979" s="60" t="s">
        <v>320</v>
      </c>
      <c r="E979" s="60" t="s">
        <v>321</v>
      </c>
      <c r="F979" s="61" t="s">
        <v>321</v>
      </c>
      <c r="G979" s="54">
        <v>139.0</v>
      </c>
      <c r="H979" s="54">
        <v>15.0</v>
      </c>
      <c r="I979" s="54">
        <v>2.0</v>
      </c>
      <c r="J979" s="55">
        <v>90.2597402597403</v>
      </c>
      <c r="K979" s="55">
        <f>G979+H979+I979</f>
        <v>156</v>
      </c>
      <c r="L979" s="56">
        <v>143.0</v>
      </c>
      <c r="M979" s="56">
        <v>12.0</v>
      </c>
      <c r="N979" s="56">
        <v>0.0</v>
      </c>
      <c r="O979" s="55">
        <v>92.258064516129</v>
      </c>
      <c r="P979" s="57">
        <f>L979+M979+N979</f>
        <v>155</v>
      </c>
    </row>
    <row r="980" ht="15.0" hidden="1" customHeight="1">
      <c r="A980" s="45">
        <v>974.0</v>
      </c>
      <c r="B980" s="46" t="s">
        <v>24</v>
      </c>
      <c r="C980" s="46" t="s">
        <v>265</v>
      </c>
      <c r="D980" s="46" t="s">
        <v>320</v>
      </c>
      <c r="E980" s="46" t="s">
        <v>321</v>
      </c>
      <c r="F980" s="47" t="s">
        <v>18</v>
      </c>
      <c r="G980" s="48"/>
      <c r="H980" s="48"/>
      <c r="I980" s="48"/>
      <c r="J980" s="49"/>
      <c r="K980" s="49"/>
      <c r="L980" s="50"/>
      <c r="M980" s="50"/>
      <c r="N980" s="50"/>
      <c r="O980" s="49"/>
      <c r="P980" s="51"/>
    </row>
    <row r="981" ht="15.0" hidden="1" customHeight="1">
      <c r="A981" s="45">
        <v>975.0</v>
      </c>
      <c r="B981" s="46" t="s">
        <v>24</v>
      </c>
      <c r="C981" s="46" t="s">
        <v>265</v>
      </c>
      <c r="D981" s="46" t="s">
        <v>320</v>
      </c>
      <c r="E981" s="46" t="s">
        <v>321</v>
      </c>
      <c r="F981" s="47" t="s">
        <v>19</v>
      </c>
      <c r="G981" s="48">
        <v>139.0</v>
      </c>
      <c r="H981" s="48">
        <v>15.0</v>
      </c>
      <c r="I981" s="48">
        <v>2.0</v>
      </c>
      <c r="J981" s="49">
        <v>90.2597402597403</v>
      </c>
      <c r="K981" s="49"/>
      <c r="L981" s="50">
        <v>143.0</v>
      </c>
      <c r="M981" s="50">
        <v>12.0</v>
      </c>
      <c r="N981" s="50">
        <v>0.0</v>
      </c>
      <c r="O981" s="49">
        <v>92.258064516129</v>
      </c>
      <c r="P981" s="51"/>
    </row>
    <row r="982" ht="15.0" hidden="1" customHeight="1">
      <c r="A982" s="27">
        <v>976.0</v>
      </c>
      <c r="B982" s="28" t="s">
        <v>20</v>
      </c>
      <c r="C982" s="28" t="s">
        <v>322</v>
      </c>
      <c r="D982" s="28"/>
      <c r="E982" s="28"/>
      <c r="F982" s="28" t="s">
        <v>322</v>
      </c>
      <c r="G982" s="29">
        <v>45619.0</v>
      </c>
      <c r="H982" s="29">
        <v>3700.0</v>
      </c>
      <c r="I982" s="29">
        <v>947.0</v>
      </c>
      <c r="J982" s="30">
        <v>92.4978203126584</v>
      </c>
      <c r="K982" s="30">
        <f>G982+H982+I982</f>
        <v>50266</v>
      </c>
      <c r="L982" s="31">
        <v>33848.0</v>
      </c>
      <c r="M982" s="31">
        <v>1044.0</v>
      </c>
      <c r="N982" s="31">
        <v>198.0</v>
      </c>
      <c r="O982" s="30">
        <v>97.0079101226642</v>
      </c>
      <c r="P982" s="32">
        <f>L982+M982+N982</f>
        <v>35090</v>
      </c>
    </row>
    <row r="983" ht="15.0" hidden="1" customHeight="1">
      <c r="A983" s="33">
        <v>977.0</v>
      </c>
      <c r="B983" s="34" t="s">
        <v>20</v>
      </c>
      <c r="C983" s="58" t="s">
        <v>322</v>
      </c>
      <c r="D983" s="58"/>
      <c r="E983" s="58"/>
      <c r="F983" s="34" t="s">
        <v>18</v>
      </c>
      <c r="G983" s="35">
        <v>29070.0</v>
      </c>
      <c r="H983" s="35">
        <v>2058.0</v>
      </c>
      <c r="I983" s="35">
        <v>418.0</v>
      </c>
      <c r="J983" s="36">
        <v>93.3885890516577</v>
      </c>
      <c r="K983" s="36"/>
      <c r="L983" s="37">
        <v>22310.0</v>
      </c>
      <c r="M983" s="37">
        <v>633.0</v>
      </c>
      <c r="N983" s="37">
        <v>112.0</v>
      </c>
      <c r="O983" s="36">
        <v>97.2409885368086</v>
      </c>
      <c r="P983" s="38"/>
    </row>
    <row r="984" ht="15.0" hidden="1" customHeight="1">
      <c r="A984" s="33">
        <v>978.0</v>
      </c>
      <c r="B984" s="34" t="s">
        <v>20</v>
      </c>
      <c r="C984" s="58" t="s">
        <v>322</v>
      </c>
      <c r="D984" s="58"/>
      <c r="E984" s="58"/>
      <c r="F984" s="34" t="s">
        <v>19</v>
      </c>
      <c r="G984" s="35">
        <v>16549.0</v>
      </c>
      <c r="H984" s="35">
        <v>1642.0</v>
      </c>
      <c r="I984" s="35">
        <v>529.0</v>
      </c>
      <c r="J984" s="36">
        <v>90.9735583530317</v>
      </c>
      <c r="K984" s="36"/>
      <c r="L984" s="37">
        <v>11538.0</v>
      </c>
      <c r="M984" s="37">
        <v>411.0</v>
      </c>
      <c r="N984" s="37">
        <v>86.0</v>
      </c>
      <c r="O984" s="36">
        <v>96.560381621893</v>
      </c>
      <c r="P984" s="38"/>
    </row>
    <row r="985" ht="15.0" hidden="1" customHeight="1">
      <c r="A985" s="39">
        <v>979.0</v>
      </c>
      <c r="B985" s="40" t="s">
        <v>22</v>
      </c>
      <c r="C985" s="59" t="s">
        <v>322</v>
      </c>
      <c r="D985" s="59" t="s">
        <v>166</v>
      </c>
      <c r="E985" s="59"/>
      <c r="F985" s="40" t="s">
        <v>166</v>
      </c>
      <c r="G985" s="41">
        <v>18802.0</v>
      </c>
      <c r="H985" s="41">
        <v>1098.0</v>
      </c>
      <c r="I985" s="41">
        <v>273.0</v>
      </c>
      <c r="J985" s="42">
        <v>94.4824120603015</v>
      </c>
      <c r="K985" s="42"/>
      <c r="L985" s="43">
        <v>13862.0</v>
      </c>
      <c r="M985" s="43">
        <v>282.0</v>
      </c>
      <c r="N985" s="43">
        <v>54.0</v>
      </c>
      <c r="O985" s="42">
        <v>98.006221719457</v>
      </c>
      <c r="P985" s="44"/>
    </row>
    <row r="986" ht="15.0" hidden="1" customHeight="1">
      <c r="A986" s="45">
        <v>980.0</v>
      </c>
      <c r="B986" s="46" t="s">
        <v>22</v>
      </c>
      <c r="C986" s="46" t="s">
        <v>322</v>
      </c>
      <c r="D986" s="46" t="s">
        <v>166</v>
      </c>
      <c r="E986" s="46"/>
      <c r="F986" s="47" t="s">
        <v>18</v>
      </c>
      <c r="G986" s="48">
        <v>16355.0</v>
      </c>
      <c r="H986" s="48">
        <v>912.0</v>
      </c>
      <c r="I986" s="48">
        <v>201.0</v>
      </c>
      <c r="J986" s="49">
        <v>94.7182486824579</v>
      </c>
      <c r="K986" s="49"/>
      <c r="L986" s="50">
        <v>12510.0</v>
      </c>
      <c r="M986" s="50">
        <v>232.0</v>
      </c>
      <c r="N986" s="50">
        <v>49.0</v>
      </c>
      <c r="O986" s="49">
        <v>98.1792497253178</v>
      </c>
      <c r="P986" s="51"/>
    </row>
    <row r="987" ht="15.0" hidden="1" customHeight="1">
      <c r="A987" s="45">
        <v>981.0</v>
      </c>
      <c r="B987" s="46" t="s">
        <v>22</v>
      </c>
      <c r="C987" s="46" t="s">
        <v>322</v>
      </c>
      <c r="D987" s="46" t="s">
        <v>166</v>
      </c>
      <c r="E987" s="46"/>
      <c r="F987" s="47" t="s">
        <v>19</v>
      </c>
      <c r="G987" s="48">
        <v>2447.0</v>
      </c>
      <c r="H987" s="48">
        <v>186.0</v>
      </c>
      <c r="I987" s="48">
        <v>72.0</v>
      </c>
      <c r="J987" s="49">
        <v>92.9358146600836</v>
      </c>
      <c r="K987" s="49"/>
      <c r="L987" s="50">
        <v>1352.0</v>
      </c>
      <c r="M987" s="50">
        <v>50.0</v>
      </c>
      <c r="N987" s="50">
        <v>5.0</v>
      </c>
      <c r="O987" s="49">
        <v>96.4336661911555</v>
      </c>
      <c r="P987" s="51"/>
    </row>
    <row r="988" ht="15.0" customHeight="1">
      <c r="A988" s="52">
        <v>982.0</v>
      </c>
      <c r="B988" s="53" t="s">
        <v>24</v>
      </c>
      <c r="C988" s="60" t="s">
        <v>322</v>
      </c>
      <c r="D988" s="60" t="s">
        <v>166</v>
      </c>
      <c r="E988" s="60" t="s">
        <v>322</v>
      </c>
      <c r="F988" s="61" t="s">
        <v>322</v>
      </c>
      <c r="G988" s="54">
        <v>18802.0</v>
      </c>
      <c r="H988" s="54">
        <v>1098.0</v>
      </c>
      <c r="I988" s="54">
        <v>273.0</v>
      </c>
      <c r="J988" s="55">
        <v>94.4824120603015</v>
      </c>
      <c r="K988" s="55">
        <f>G988+H988+I988</f>
        <v>20173</v>
      </c>
      <c r="L988" s="56">
        <v>13862.0</v>
      </c>
      <c r="M988" s="56">
        <v>282.0</v>
      </c>
      <c r="N988" s="56">
        <v>54.0</v>
      </c>
      <c r="O988" s="55">
        <v>98.006221719457</v>
      </c>
      <c r="P988" s="57">
        <f>L988+M988+N988</f>
        <v>14198</v>
      </c>
    </row>
    <row r="989" ht="15.0" hidden="1" customHeight="1">
      <c r="A989" s="45">
        <v>983.0</v>
      </c>
      <c r="B989" s="46" t="s">
        <v>24</v>
      </c>
      <c r="C989" s="46" t="s">
        <v>322</v>
      </c>
      <c r="D989" s="46" t="s">
        <v>166</v>
      </c>
      <c r="E989" s="46" t="s">
        <v>322</v>
      </c>
      <c r="F989" s="47" t="s">
        <v>18</v>
      </c>
      <c r="G989" s="48">
        <v>16355.0</v>
      </c>
      <c r="H989" s="48">
        <v>912.0</v>
      </c>
      <c r="I989" s="48">
        <v>201.0</v>
      </c>
      <c r="J989" s="49">
        <v>94.7182486824579</v>
      </c>
      <c r="K989" s="49"/>
      <c r="L989" s="50">
        <v>12510.0</v>
      </c>
      <c r="M989" s="50">
        <v>232.0</v>
      </c>
      <c r="N989" s="50">
        <v>49.0</v>
      </c>
      <c r="O989" s="49">
        <v>98.1792497253178</v>
      </c>
      <c r="P989" s="51"/>
    </row>
    <row r="990" ht="15.0" hidden="1" customHeight="1">
      <c r="A990" s="45">
        <v>984.0</v>
      </c>
      <c r="B990" s="46" t="s">
        <v>24</v>
      </c>
      <c r="C990" s="46" t="s">
        <v>322</v>
      </c>
      <c r="D990" s="46" t="s">
        <v>166</v>
      </c>
      <c r="E990" s="46" t="s">
        <v>322</v>
      </c>
      <c r="F990" s="47" t="s">
        <v>19</v>
      </c>
      <c r="G990" s="48">
        <v>2447.0</v>
      </c>
      <c r="H990" s="48">
        <v>186.0</v>
      </c>
      <c r="I990" s="48">
        <v>72.0</v>
      </c>
      <c r="J990" s="49">
        <v>92.9358146600836</v>
      </c>
      <c r="K990" s="49"/>
      <c r="L990" s="50">
        <v>1352.0</v>
      </c>
      <c r="M990" s="50">
        <v>50.0</v>
      </c>
      <c r="N990" s="50">
        <v>5.0</v>
      </c>
      <c r="O990" s="49">
        <v>96.4336661911555</v>
      </c>
      <c r="P990" s="51"/>
    </row>
    <row r="991" ht="15.0" hidden="1" customHeight="1">
      <c r="A991" s="39">
        <v>985.0</v>
      </c>
      <c r="B991" s="40" t="s">
        <v>22</v>
      </c>
      <c r="C991" s="59" t="s">
        <v>322</v>
      </c>
      <c r="D991" s="59" t="s">
        <v>323</v>
      </c>
      <c r="E991" s="59"/>
      <c r="F991" s="40" t="s">
        <v>323</v>
      </c>
      <c r="G991" s="41">
        <v>5013.0</v>
      </c>
      <c r="H991" s="41">
        <v>316.0</v>
      </c>
      <c r="I991" s="41">
        <v>102.0</v>
      </c>
      <c r="J991" s="42">
        <v>94.0701820228936</v>
      </c>
      <c r="K991" s="42"/>
      <c r="L991" s="43">
        <v>3368.0</v>
      </c>
      <c r="M991" s="43">
        <v>156.0</v>
      </c>
      <c r="N991" s="43">
        <v>11.0</v>
      </c>
      <c r="O991" s="42">
        <v>95.5732122587968</v>
      </c>
      <c r="P991" s="44"/>
    </row>
    <row r="992" ht="15.0" hidden="1" customHeight="1">
      <c r="A992" s="45">
        <v>986.0</v>
      </c>
      <c r="B992" s="46" t="s">
        <v>22</v>
      </c>
      <c r="C992" s="46" t="s">
        <v>322</v>
      </c>
      <c r="D992" s="46" t="s">
        <v>323</v>
      </c>
      <c r="E992" s="46"/>
      <c r="F992" s="47" t="s">
        <v>18</v>
      </c>
      <c r="G992" s="48">
        <v>2720.0</v>
      </c>
      <c r="H992" s="48">
        <v>165.0</v>
      </c>
      <c r="I992" s="48">
        <v>32.0</v>
      </c>
      <c r="J992" s="49">
        <v>94.2807625649913</v>
      </c>
      <c r="K992" s="49"/>
      <c r="L992" s="50">
        <v>1995.0</v>
      </c>
      <c r="M992" s="50">
        <v>110.0</v>
      </c>
      <c r="N992" s="50">
        <v>11.0</v>
      </c>
      <c r="O992" s="49">
        <v>94.7743467933492</v>
      </c>
      <c r="P992" s="51"/>
    </row>
    <row r="993" ht="15.0" hidden="1" customHeight="1">
      <c r="A993" s="45">
        <v>987.0</v>
      </c>
      <c r="B993" s="46" t="s">
        <v>22</v>
      </c>
      <c r="C993" s="46" t="s">
        <v>322</v>
      </c>
      <c r="D993" s="46" t="s">
        <v>323</v>
      </c>
      <c r="E993" s="46"/>
      <c r="F993" s="47" t="s">
        <v>19</v>
      </c>
      <c r="G993" s="48">
        <v>2293.0</v>
      </c>
      <c r="H993" s="48">
        <v>151.0</v>
      </c>
      <c r="I993" s="48">
        <v>70.0</v>
      </c>
      <c r="J993" s="49">
        <v>93.8216039279869</v>
      </c>
      <c r="K993" s="49"/>
      <c r="L993" s="50">
        <v>1373.0</v>
      </c>
      <c r="M993" s="50">
        <v>46.0</v>
      </c>
      <c r="N993" s="50">
        <v>0.0</v>
      </c>
      <c r="O993" s="49">
        <v>96.7582804792107</v>
      </c>
      <c r="P993" s="51"/>
    </row>
    <row r="994" ht="15.0" customHeight="1">
      <c r="A994" s="52">
        <v>988.0</v>
      </c>
      <c r="B994" s="53" t="s">
        <v>24</v>
      </c>
      <c r="C994" s="60" t="s">
        <v>322</v>
      </c>
      <c r="D994" s="60" t="s">
        <v>323</v>
      </c>
      <c r="E994" s="60" t="s">
        <v>324</v>
      </c>
      <c r="F994" s="61" t="s">
        <v>324</v>
      </c>
      <c r="G994" s="54">
        <v>1760.0</v>
      </c>
      <c r="H994" s="54">
        <v>120.0</v>
      </c>
      <c r="I994" s="54">
        <v>64.0</v>
      </c>
      <c r="J994" s="55">
        <v>93.6170212765958</v>
      </c>
      <c r="K994" s="55">
        <f>G994+H994+I994</f>
        <v>1944</v>
      </c>
      <c r="L994" s="56">
        <v>1060.0</v>
      </c>
      <c r="M994" s="56">
        <v>36.0</v>
      </c>
      <c r="N994" s="56">
        <v>0.0</v>
      </c>
      <c r="O994" s="55">
        <v>96.7153284671533</v>
      </c>
      <c r="P994" s="57">
        <f>L994+M994+N994</f>
        <v>1096</v>
      </c>
    </row>
    <row r="995" ht="15.0" hidden="1" customHeight="1">
      <c r="A995" s="45">
        <v>989.0</v>
      </c>
      <c r="B995" s="46" t="s">
        <v>24</v>
      </c>
      <c r="C995" s="46" t="s">
        <v>322</v>
      </c>
      <c r="D995" s="46" t="s">
        <v>323</v>
      </c>
      <c r="E995" s="46" t="s">
        <v>324</v>
      </c>
      <c r="F995" s="47" t="s">
        <v>18</v>
      </c>
      <c r="G995" s="48"/>
      <c r="H995" s="48"/>
      <c r="I995" s="48"/>
      <c r="J995" s="49"/>
      <c r="K995" s="49"/>
      <c r="L995" s="50"/>
      <c r="M995" s="50"/>
      <c r="N995" s="50"/>
      <c r="O995" s="49"/>
      <c r="P995" s="51"/>
    </row>
    <row r="996" ht="15.0" hidden="1" customHeight="1">
      <c r="A996" s="45">
        <v>990.0</v>
      </c>
      <c r="B996" s="46" t="s">
        <v>24</v>
      </c>
      <c r="C996" s="46" t="s">
        <v>322</v>
      </c>
      <c r="D996" s="46" t="s">
        <v>323</v>
      </c>
      <c r="E996" s="46" t="s">
        <v>324</v>
      </c>
      <c r="F996" s="47" t="s">
        <v>19</v>
      </c>
      <c r="G996" s="48">
        <v>1760.0</v>
      </c>
      <c r="H996" s="48">
        <v>120.0</v>
      </c>
      <c r="I996" s="48">
        <v>64.0</v>
      </c>
      <c r="J996" s="49">
        <v>93.6170212765958</v>
      </c>
      <c r="K996" s="49"/>
      <c r="L996" s="50">
        <v>1060.0</v>
      </c>
      <c r="M996" s="50">
        <v>36.0</v>
      </c>
      <c r="N996" s="50">
        <v>0.0</v>
      </c>
      <c r="O996" s="49">
        <v>96.7153284671533</v>
      </c>
      <c r="P996" s="51"/>
    </row>
    <row r="997" ht="15.0" customHeight="1">
      <c r="A997" s="52">
        <v>991.0</v>
      </c>
      <c r="B997" s="53" t="s">
        <v>24</v>
      </c>
      <c r="C997" s="60" t="s">
        <v>322</v>
      </c>
      <c r="D997" s="60" t="s">
        <v>323</v>
      </c>
      <c r="E997" s="60" t="s">
        <v>325</v>
      </c>
      <c r="F997" s="61" t="s">
        <v>325</v>
      </c>
      <c r="G997" s="54">
        <v>3253.0</v>
      </c>
      <c r="H997" s="54">
        <v>196.0</v>
      </c>
      <c r="I997" s="54">
        <v>38.0</v>
      </c>
      <c r="J997" s="55">
        <v>94.3171933893882</v>
      </c>
      <c r="K997" s="55">
        <f>G997+H997+I997</f>
        <v>3487</v>
      </c>
      <c r="L997" s="56">
        <v>2308.0</v>
      </c>
      <c r="M997" s="56">
        <v>120.0</v>
      </c>
      <c r="N997" s="56">
        <v>11.0</v>
      </c>
      <c r="O997" s="55">
        <v>95.0576606260296</v>
      </c>
      <c r="P997" s="57">
        <f>L997+M997+N997</f>
        <v>2439</v>
      </c>
    </row>
    <row r="998" ht="15.0" hidden="1" customHeight="1">
      <c r="A998" s="45">
        <v>992.0</v>
      </c>
      <c r="B998" s="46" t="s">
        <v>24</v>
      </c>
      <c r="C998" s="46" t="s">
        <v>322</v>
      </c>
      <c r="D998" s="46" t="s">
        <v>323</v>
      </c>
      <c r="E998" s="46" t="s">
        <v>325</v>
      </c>
      <c r="F998" s="47" t="s">
        <v>18</v>
      </c>
      <c r="G998" s="48">
        <v>2720.0</v>
      </c>
      <c r="H998" s="48">
        <v>165.0</v>
      </c>
      <c r="I998" s="48">
        <v>32.0</v>
      </c>
      <c r="J998" s="49">
        <v>94.2807625649913</v>
      </c>
      <c r="K998" s="49"/>
      <c r="L998" s="50">
        <v>1995.0</v>
      </c>
      <c r="M998" s="50">
        <v>110.0</v>
      </c>
      <c r="N998" s="50">
        <v>11.0</v>
      </c>
      <c r="O998" s="49">
        <v>94.7743467933492</v>
      </c>
      <c r="P998" s="51"/>
    </row>
    <row r="999" ht="15.0" hidden="1" customHeight="1">
      <c r="A999" s="45">
        <v>993.0</v>
      </c>
      <c r="B999" s="46" t="s">
        <v>24</v>
      </c>
      <c r="C999" s="46" t="s">
        <v>322</v>
      </c>
      <c r="D999" s="46" t="s">
        <v>323</v>
      </c>
      <c r="E999" s="46" t="s">
        <v>325</v>
      </c>
      <c r="F999" s="47" t="s">
        <v>19</v>
      </c>
      <c r="G999" s="48">
        <v>533.0</v>
      </c>
      <c r="H999" s="48">
        <v>31.0</v>
      </c>
      <c r="I999" s="48">
        <v>6.0</v>
      </c>
      <c r="J999" s="49">
        <v>94.5035460992908</v>
      </c>
      <c r="K999" s="49"/>
      <c r="L999" s="50">
        <v>313.0</v>
      </c>
      <c r="M999" s="50">
        <v>10.0</v>
      </c>
      <c r="N999" s="50">
        <v>0.0</v>
      </c>
      <c r="O999" s="49">
        <v>96.9040247678019</v>
      </c>
      <c r="P999" s="51"/>
    </row>
    <row r="1000" ht="15.0" hidden="1" customHeight="1">
      <c r="A1000" s="39">
        <v>994.0</v>
      </c>
      <c r="B1000" s="40" t="s">
        <v>22</v>
      </c>
      <c r="C1000" s="59" t="s">
        <v>322</v>
      </c>
      <c r="D1000" s="59" t="s">
        <v>326</v>
      </c>
      <c r="E1000" s="59"/>
      <c r="F1000" s="40" t="s">
        <v>326</v>
      </c>
      <c r="G1000" s="41">
        <v>14255.0</v>
      </c>
      <c r="H1000" s="41">
        <v>1680.0</v>
      </c>
      <c r="I1000" s="41">
        <v>310.0</v>
      </c>
      <c r="J1000" s="42">
        <v>89.457169752118</v>
      </c>
      <c r="K1000" s="42"/>
      <c r="L1000" s="43">
        <v>11294.0</v>
      </c>
      <c r="M1000" s="43">
        <v>477.0</v>
      </c>
      <c r="N1000" s="43">
        <v>102.0</v>
      </c>
      <c r="O1000" s="42">
        <v>95.9476679976213</v>
      </c>
      <c r="P1000" s="44"/>
    </row>
    <row r="1001" ht="15.0" hidden="1" customHeight="1">
      <c r="A1001" s="45">
        <v>995.0</v>
      </c>
      <c r="B1001" s="46" t="s">
        <v>22</v>
      </c>
      <c r="C1001" s="46" t="s">
        <v>322</v>
      </c>
      <c r="D1001" s="46" t="s">
        <v>326</v>
      </c>
      <c r="E1001" s="46"/>
      <c r="F1001" s="47" t="s">
        <v>18</v>
      </c>
      <c r="G1001" s="48">
        <v>9251.0</v>
      </c>
      <c r="H1001" s="48">
        <v>937.0</v>
      </c>
      <c r="I1001" s="48">
        <v>166.0</v>
      </c>
      <c r="J1001" s="49">
        <v>90.8029053788771</v>
      </c>
      <c r="K1001" s="49"/>
      <c r="L1001" s="50">
        <v>7064.0</v>
      </c>
      <c r="M1001" s="50">
        <v>274.0</v>
      </c>
      <c r="N1001" s="50">
        <v>50.0</v>
      </c>
      <c r="O1001" s="49">
        <v>96.2660125374762</v>
      </c>
      <c r="P1001" s="51"/>
    </row>
    <row r="1002" ht="15.0" hidden="1" customHeight="1">
      <c r="A1002" s="45">
        <v>996.0</v>
      </c>
      <c r="B1002" s="46" t="s">
        <v>22</v>
      </c>
      <c r="C1002" s="46" t="s">
        <v>322</v>
      </c>
      <c r="D1002" s="46" t="s">
        <v>326</v>
      </c>
      <c r="E1002" s="46"/>
      <c r="F1002" s="47" t="s">
        <v>19</v>
      </c>
      <c r="G1002" s="48">
        <v>5004.0</v>
      </c>
      <c r="H1002" s="48">
        <v>743.0</v>
      </c>
      <c r="I1002" s="48">
        <v>144.0</v>
      </c>
      <c r="J1002" s="49">
        <v>87.0715155733426</v>
      </c>
      <c r="K1002" s="49"/>
      <c r="L1002" s="50">
        <v>4230.0</v>
      </c>
      <c r="M1002" s="50">
        <v>203.0</v>
      </c>
      <c r="N1002" s="50">
        <v>52.0</v>
      </c>
      <c r="O1002" s="49">
        <v>95.4207083239341</v>
      </c>
      <c r="P1002" s="51"/>
    </row>
    <row r="1003" ht="15.0" customHeight="1">
      <c r="A1003" s="52">
        <v>997.0</v>
      </c>
      <c r="B1003" s="53" t="s">
        <v>24</v>
      </c>
      <c r="C1003" s="60" t="s">
        <v>322</v>
      </c>
      <c r="D1003" s="60" t="s">
        <v>326</v>
      </c>
      <c r="E1003" s="60" t="s">
        <v>327</v>
      </c>
      <c r="F1003" s="61" t="s">
        <v>327</v>
      </c>
      <c r="G1003" s="54">
        <v>8755.0</v>
      </c>
      <c r="H1003" s="54">
        <v>1117.0</v>
      </c>
      <c r="I1003" s="54">
        <v>196.0</v>
      </c>
      <c r="J1003" s="55">
        <v>88.685170178282</v>
      </c>
      <c r="K1003" s="55">
        <f>G1003+H1003+I1003</f>
        <v>10068</v>
      </c>
      <c r="L1003" s="56">
        <v>6779.0</v>
      </c>
      <c r="M1003" s="56">
        <v>327.0</v>
      </c>
      <c r="N1003" s="56">
        <v>63.0</v>
      </c>
      <c r="O1003" s="55">
        <v>95.3982549957782</v>
      </c>
      <c r="P1003" s="57">
        <f>L1003+M1003+N1003</f>
        <v>7169</v>
      </c>
    </row>
    <row r="1004" ht="15.0" hidden="1" customHeight="1">
      <c r="A1004" s="45">
        <v>998.0</v>
      </c>
      <c r="B1004" s="46" t="s">
        <v>24</v>
      </c>
      <c r="C1004" s="46" t="s">
        <v>322</v>
      </c>
      <c r="D1004" s="46" t="s">
        <v>326</v>
      </c>
      <c r="E1004" s="46" t="s">
        <v>327</v>
      </c>
      <c r="F1004" s="47" t="s">
        <v>18</v>
      </c>
      <c r="G1004" s="48">
        <v>5763.0</v>
      </c>
      <c r="H1004" s="48">
        <v>603.0</v>
      </c>
      <c r="I1004" s="48">
        <v>93.0</v>
      </c>
      <c r="J1004" s="49">
        <v>90.5278039585297</v>
      </c>
      <c r="K1004" s="49"/>
      <c r="L1004" s="50">
        <v>4409.0</v>
      </c>
      <c r="M1004" s="50">
        <v>223.0</v>
      </c>
      <c r="N1004" s="50">
        <v>32.0</v>
      </c>
      <c r="O1004" s="49">
        <v>95.1856649395509</v>
      </c>
      <c r="P1004" s="51"/>
    </row>
    <row r="1005" ht="15.0" hidden="1" customHeight="1">
      <c r="A1005" s="45">
        <v>999.0</v>
      </c>
      <c r="B1005" s="46" t="s">
        <v>24</v>
      </c>
      <c r="C1005" s="46" t="s">
        <v>322</v>
      </c>
      <c r="D1005" s="46" t="s">
        <v>326</v>
      </c>
      <c r="E1005" s="46" t="s">
        <v>327</v>
      </c>
      <c r="F1005" s="47" t="s">
        <v>19</v>
      </c>
      <c r="G1005" s="48">
        <v>2992.0</v>
      </c>
      <c r="H1005" s="48">
        <v>514.0</v>
      </c>
      <c r="I1005" s="48">
        <v>103.0</v>
      </c>
      <c r="J1005" s="49">
        <v>85.3394181403309</v>
      </c>
      <c r="K1005" s="49"/>
      <c r="L1005" s="50">
        <v>2370.0</v>
      </c>
      <c r="M1005" s="50">
        <v>104.0</v>
      </c>
      <c r="N1005" s="50">
        <v>31.0</v>
      </c>
      <c r="O1005" s="49">
        <v>95.7962813257882</v>
      </c>
      <c r="P1005" s="51"/>
    </row>
    <row r="1006" ht="15.0" customHeight="1">
      <c r="A1006" s="52">
        <v>1000.0</v>
      </c>
      <c r="B1006" s="53" t="s">
        <v>24</v>
      </c>
      <c r="C1006" s="60" t="s">
        <v>322</v>
      </c>
      <c r="D1006" s="60" t="s">
        <v>326</v>
      </c>
      <c r="E1006" s="60" t="s">
        <v>328</v>
      </c>
      <c r="F1006" s="61" t="s">
        <v>328</v>
      </c>
      <c r="G1006" s="54">
        <v>1446.0</v>
      </c>
      <c r="H1006" s="54">
        <v>168.0</v>
      </c>
      <c r="I1006" s="54">
        <v>15.0</v>
      </c>
      <c r="J1006" s="55">
        <v>89.5910780669145</v>
      </c>
      <c r="K1006" s="55">
        <f>G1006+H1006+I1006</f>
        <v>1629</v>
      </c>
      <c r="L1006" s="56">
        <v>1175.0</v>
      </c>
      <c r="M1006" s="56">
        <v>35.0</v>
      </c>
      <c r="N1006" s="56">
        <v>8.0</v>
      </c>
      <c r="O1006" s="55">
        <v>97.1074380165289</v>
      </c>
      <c r="P1006" s="57">
        <f>L1006+M1006+N1006</f>
        <v>1218</v>
      </c>
    </row>
    <row r="1007" ht="15.0" hidden="1" customHeight="1">
      <c r="A1007" s="45">
        <v>1001.0</v>
      </c>
      <c r="B1007" s="46" t="s">
        <v>24</v>
      </c>
      <c r="C1007" s="46" t="s">
        <v>322</v>
      </c>
      <c r="D1007" s="46" t="s">
        <v>326</v>
      </c>
      <c r="E1007" s="46" t="s">
        <v>328</v>
      </c>
      <c r="F1007" s="47" t="s">
        <v>18</v>
      </c>
      <c r="G1007" s="48">
        <v>372.0</v>
      </c>
      <c r="H1007" s="48">
        <v>33.0</v>
      </c>
      <c r="I1007" s="48">
        <v>0.0</v>
      </c>
      <c r="J1007" s="49">
        <v>91.8518518518518</v>
      </c>
      <c r="K1007" s="49"/>
      <c r="L1007" s="50">
        <v>328.0</v>
      </c>
      <c r="M1007" s="50">
        <v>2.0</v>
      </c>
      <c r="N1007" s="50">
        <v>6.0</v>
      </c>
      <c r="O1007" s="49">
        <v>99.3939393939394</v>
      </c>
      <c r="P1007" s="51"/>
    </row>
    <row r="1008" ht="15.0" hidden="1" customHeight="1">
      <c r="A1008" s="45">
        <v>1002.0</v>
      </c>
      <c r="B1008" s="46" t="s">
        <v>24</v>
      </c>
      <c r="C1008" s="46" t="s">
        <v>322</v>
      </c>
      <c r="D1008" s="46" t="s">
        <v>326</v>
      </c>
      <c r="E1008" s="46" t="s">
        <v>328</v>
      </c>
      <c r="F1008" s="47" t="s">
        <v>19</v>
      </c>
      <c r="G1008" s="48">
        <v>1074.0</v>
      </c>
      <c r="H1008" s="48">
        <v>135.0</v>
      </c>
      <c r="I1008" s="48">
        <v>15.0</v>
      </c>
      <c r="J1008" s="49">
        <v>88.833746898263</v>
      </c>
      <c r="K1008" s="49"/>
      <c r="L1008" s="50">
        <v>847.0</v>
      </c>
      <c r="M1008" s="50">
        <v>33.0</v>
      </c>
      <c r="N1008" s="50">
        <v>2.0</v>
      </c>
      <c r="O1008" s="49">
        <v>96.25</v>
      </c>
      <c r="P1008" s="51"/>
    </row>
    <row r="1009" ht="15.0" customHeight="1">
      <c r="A1009" s="52">
        <v>1003.0</v>
      </c>
      <c r="B1009" s="53" t="s">
        <v>24</v>
      </c>
      <c r="C1009" s="60" t="s">
        <v>322</v>
      </c>
      <c r="D1009" s="60" t="s">
        <v>326</v>
      </c>
      <c r="E1009" s="60" t="s">
        <v>329</v>
      </c>
      <c r="F1009" s="61" t="s">
        <v>329</v>
      </c>
      <c r="G1009" s="54">
        <v>4054.0</v>
      </c>
      <c r="H1009" s="54">
        <v>395.0</v>
      </c>
      <c r="I1009" s="54">
        <v>99.0</v>
      </c>
      <c r="J1009" s="55">
        <v>91.1216003596314</v>
      </c>
      <c r="K1009" s="55">
        <f>G1009+H1009+I1009</f>
        <v>4548</v>
      </c>
      <c r="L1009" s="56">
        <v>3340.0</v>
      </c>
      <c r="M1009" s="56">
        <v>115.0</v>
      </c>
      <c r="N1009" s="56">
        <v>31.0</v>
      </c>
      <c r="O1009" s="55">
        <v>96.671490593343</v>
      </c>
      <c r="P1009" s="57">
        <f>L1009+M1009+N1009</f>
        <v>3486</v>
      </c>
    </row>
    <row r="1010" ht="15.0" hidden="1" customHeight="1">
      <c r="A1010" s="45">
        <v>1004.0</v>
      </c>
      <c r="B1010" s="46" t="s">
        <v>24</v>
      </c>
      <c r="C1010" s="46" t="s">
        <v>322</v>
      </c>
      <c r="D1010" s="46" t="s">
        <v>326</v>
      </c>
      <c r="E1010" s="46" t="s">
        <v>329</v>
      </c>
      <c r="F1010" s="47" t="s">
        <v>18</v>
      </c>
      <c r="G1010" s="48">
        <v>3116.0</v>
      </c>
      <c r="H1010" s="48">
        <v>301.0</v>
      </c>
      <c r="I1010" s="48">
        <v>73.0</v>
      </c>
      <c r="J1010" s="49">
        <v>91.1911033069944</v>
      </c>
      <c r="K1010" s="49"/>
      <c r="L1010" s="50">
        <v>2327.0</v>
      </c>
      <c r="M1010" s="50">
        <v>49.0</v>
      </c>
      <c r="N1010" s="50">
        <v>12.0</v>
      </c>
      <c r="O1010" s="49">
        <v>97.9377104377104</v>
      </c>
      <c r="P1010" s="51"/>
    </row>
    <row r="1011" ht="15.0" hidden="1" customHeight="1">
      <c r="A1011" s="45">
        <v>1005.0</v>
      </c>
      <c r="B1011" s="46" t="s">
        <v>24</v>
      </c>
      <c r="C1011" s="46" t="s">
        <v>322</v>
      </c>
      <c r="D1011" s="46" t="s">
        <v>326</v>
      </c>
      <c r="E1011" s="46" t="s">
        <v>329</v>
      </c>
      <c r="F1011" s="47" t="s">
        <v>19</v>
      </c>
      <c r="G1011" s="48">
        <v>938.0</v>
      </c>
      <c r="H1011" s="48">
        <v>94.0</v>
      </c>
      <c r="I1011" s="48">
        <v>26.0</v>
      </c>
      <c r="J1011" s="49">
        <v>90.8914728682171</v>
      </c>
      <c r="K1011" s="49"/>
      <c r="L1011" s="50">
        <v>1013.0</v>
      </c>
      <c r="M1011" s="50">
        <v>66.0</v>
      </c>
      <c r="N1011" s="50">
        <v>19.0</v>
      </c>
      <c r="O1011" s="49">
        <v>93.8832252085264</v>
      </c>
      <c r="P1011" s="51"/>
    </row>
    <row r="1012" ht="15.0" hidden="1" customHeight="1">
      <c r="A1012" s="39">
        <v>1006.0</v>
      </c>
      <c r="B1012" s="40" t="s">
        <v>22</v>
      </c>
      <c r="C1012" s="59" t="s">
        <v>322</v>
      </c>
      <c r="D1012" s="59" t="s">
        <v>330</v>
      </c>
      <c r="E1012" s="59"/>
      <c r="F1012" s="40" t="s">
        <v>330</v>
      </c>
      <c r="G1012" s="41">
        <v>1887.0</v>
      </c>
      <c r="H1012" s="41">
        <v>169.0</v>
      </c>
      <c r="I1012" s="41">
        <v>24.0</v>
      </c>
      <c r="J1012" s="42">
        <v>91.7801556420233</v>
      </c>
      <c r="K1012" s="42"/>
      <c r="L1012" s="43">
        <v>1386.0</v>
      </c>
      <c r="M1012" s="43">
        <v>35.0</v>
      </c>
      <c r="N1012" s="43">
        <v>8.0</v>
      </c>
      <c r="O1012" s="42">
        <v>97.5369458128079</v>
      </c>
      <c r="P1012" s="44"/>
    </row>
    <row r="1013" ht="15.0" hidden="1" customHeight="1">
      <c r="A1013" s="45">
        <v>1007.0</v>
      </c>
      <c r="B1013" s="46" t="s">
        <v>22</v>
      </c>
      <c r="C1013" s="46" t="s">
        <v>322</v>
      </c>
      <c r="D1013" s="46" t="s">
        <v>330</v>
      </c>
      <c r="E1013" s="46"/>
      <c r="F1013" s="47" t="s">
        <v>18</v>
      </c>
      <c r="G1013" s="48"/>
      <c r="H1013" s="48"/>
      <c r="I1013" s="48"/>
      <c r="J1013" s="49"/>
      <c r="K1013" s="49"/>
      <c r="L1013" s="50">
        <v>156.0</v>
      </c>
      <c r="M1013" s="50">
        <v>3.0</v>
      </c>
      <c r="N1013" s="50">
        <v>0.0</v>
      </c>
      <c r="O1013" s="49">
        <v>98.1132075471698</v>
      </c>
      <c r="P1013" s="51"/>
    </row>
    <row r="1014" ht="15.0" hidden="1" customHeight="1">
      <c r="A1014" s="45">
        <v>1008.0</v>
      </c>
      <c r="B1014" s="46" t="s">
        <v>22</v>
      </c>
      <c r="C1014" s="46" t="s">
        <v>322</v>
      </c>
      <c r="D1014" s="46" t="s">
        <v>330</v>
      </c>
      <c r="E1014" s="46"/>
      <c r="F1014" s="47" t="s">
        <v>19</v>
      </c>
      <c r="G1014" s="48">
        <v>1887.0</v>
      </c>
      <c r="H1014" s="48">
        <v>169.0</v>
      </c>
      <c r="I1014" s="48">
        <v>24.0</v>
      </c>
      <c r="J1014" s="49">
        <v>91.7801556420233</v>
      </c>
      <c r="K1014" s="49"/>
      <c r="L1014" s="50">
        <v>1230.0</v>
      </c>
      <c r="M1014" s="50">
        <v>32.0</v>
      </c>
      <c r="N1014" s="50">
        <v>8.0</v>
      </c>
      <c r="O1014" s="49">
        <v>97.4643423137876</v>
      </c>
      <c r="P1014" s="51"/>
    </row>
    <row r="1015" ht="15.0" customHeight="1">
      <c r="A1015" s="52">
        <v>1009.0</v>
      </c>
      <c r="B1015" s="53" t="s">
        <v>24</v>
      </c>
      <c r="C1015" s="60" t="s">
        <v>322</v>
      </c>
      <c r="D1015" s="60" t="s">
        <v>330</v>
      </c>
      <c r="E1015" s="60" t="s">
        <v>331</v>
      </c>
      <c r="F1015" s="61" t="s">
        <v>331</v>
      </c>
      <c r="G1015" s="54">
        <v>1304.0</v>
      </c>
      <c r="H1015" s="54">
        <v>115.0</v>
      </c>
      <c r="I1015" s="54">
        <v>16.0</v>
      </c>
      <c r="J1015" s="55">
        <v>91.8957011980268</v>
      </c>
      <c r="K1015" s="55">
        <f>G1015+H1015+I1015</f>
        <v>1435</v>
      </c>
      <c r="L1015" s="56">
        <v>1032.0</v>
      </c>
      <c r="M1015" s="56">
        <v>26.0</v>
      </c>
      <c r="N1015" s="56">
        <v>7.0</v>
      </c>
      <c r="O1015" s="55">
        <v>97.5425330812854</v>
      </c>
      <c r="P1015" s="57">
        <f>L1015+M1015+N1015</f>
        <v>1065</v>
      </c>
    </row>
    <row r="1016" ht="15.0" hidden="1" customHeight="1">
      <c r="A1016" s="45">
        <v>1010.0</v>
      </c>
      <c r="B1016" s="46" t="s">
        <v>24</v>
      </c>
      <c r="C1016" s="46" t="s">
        <v>322</v>
      </c>
      <c r="D1016" s="46" t="s">
        <v>330</v>
      </c>
      <c r="E1016" s="46" t="s">
        <v>331</v>
      </c>
      <c r="F1016" s="47" t="s">
        <v>18</v>
      </c>
      <c r="G1016" s="48"/>
      <c r="H1016" s="48"/>
      <c r="I1016" s="48"/>
      <c r="J1016" s="49"/>
      <c r="K1016" s="49"/>
      <c r="L1016" s="50">
        <v>156.0</v>
      </c>
      <c r="M1016" s="50">
        <v>3.0</v>
      </c>
      <c r="N1016" s="50">
        <v>0.0</v>
      </c>
      <c r="O1016" s="49">
        <v>98.1132075471698</v>
      </c>
      <c r="P1016" s="51"/>
    </row>
    <row r="1017" ht="15.0" hidden="1" customHeight="1">
      <c r="A1017" s="45">
        <v>1011.0</v>
      </c>
      <c r="B1017" s="46" t="s">
        <v>24</v>
      </c>
      <c r="C1017" s="46" t="s">
        <v>322</v>
      </c>
      <c r="D1017" s="46" t="s">
        <v>330</v>
      </c>
      <c r="E1017" s="46" t="s">
        <v>331</v>
      </c>
      <c r="F1017" s="47" t="s">
        <v>19</v>
      </c>
      <c r="G1017" s="48">
        <v>1304.0</v>
      </c>
      <c r="H1017" s="48">
        <v>115.0</v>
      </c>
      <c r="I1017" s="48">
        <v>16.0</v>
      </c>
      <c r="J1017" s="49">
        <v>91.8957011980268</v>
      </c>
      <c r="K1017" s="49"/>
      <c r="L1017" s="50">
        <v>876.0</v>
      </c>
      <c r="M1017" s="50">
        <v>23.0</v>
      </c>
      <c r="N1017" s="50">
        <v>7.0</v>
      </c>
      <c r="O1017" s="49">
        <v>97.4416017797553</v>
      </c>
      <c r="P1017" s="51"/>
    </row>
    <row r="1018" ht="15.0" customHeight="1">
      <c r="A1018" s="52">
        <v>1012.0</v>
      </c>
      <c r="B1018" s="53" t="s">
        <v>24</v>
      </c>
      <c r="C1018" s="60" t="s">
        <v>322</v>
      </c>
      <c r="D1018" s="60" t="s">
        <v>330</v>
      </c>
      <c r="E1018" s="60" t="s">
        <v>332</v>
      </c>
      <c r="F1018" s="61" t="s">
        <v>332</v>
      </c>
      <c r="G1018" s="54">
        <v>583.0</v>
      </c>
      <c r="H1018" s="54">
        <v>54.0</v>
      </c>
      <c r="I1018" s="54">
        <v>8.0</v>
      </c>
      <c r="J1018" s="55">
        <v>91.5227629513344</v>
      </c>
      <c r="K1018" s="55">
        <f>G1018+H1018+I1018</f>
        <v>645</v>
      </c>
      <c r="L1018" s="56">
        <v>354.0</v>
      </c>
      <c r="M1018" s="56">
        <v>9.0</v>
      </c>
      <c r="N1018" s="56">
        <v>1.0</v>
      </c>
      <c r="O1018" s="55">
        <v>97.5206611570248</v>
      </c>
      <c r="P1018" s="57">
        <f>L1018+M1018+N1018</f>
        <v>364</v>
      </c>
    </row>
    <row r="1019" ht="15.0" hidden="1" customHeight="1">
      <c r="A1019" s="45">
        <v>1013.0</v>
      </c>
      <c r="B1019" s="46" t="s">
        <v>24</v>
      </c>
      <c r="C1019" s="46" t="s">
        <v>322</v>
      </c>
      <c r="D1019" s="46" t="s">
        <v>330</v>
      </c>
      <c r="E1019" s="46" t="s">
        <v>332</v>
      </c>
      <c r="F1019" s="47" t="s">
        <v>18</v>
      </c>
      <c r="G1019" s="48"/>
      <c r="H1019" s="48"/>
      <c r="I1019" s="48"/>
      <c r="J1019" s="49"/>
      <c r="K1019" s="49"/>
      <c r="L1019" s="50"/>
      <c r="M1019" s="50"/>
      <c r="N1019" s="50"/>
      <c r="O1019" s="49"/>
      <c r="P1019" s="51"/>
    </row>
    <row r="1020" ht="15.0" hidden="1" customHeight="1">
      <c r="A1020" s="45">
        <v>1014.0</v>
      </c>
      <c r="B1020" s="46" t="s">
        <v>24</v>
      </c>
      <c r="C1020" s="46" t="s">
        <v>322</v>
      </c>
      <c r="D1020" s="46" t="s">
        <v>330</v>
      </c>
      <c r="E1020" s="46" t="s">
        <v>332</v>
      </c>
      <c r="F1020" s="47" t="s">
        <v>19</v>
      </c>
      <c r="G1020" s="48">
        <v>583.0</v>
      </c>
      <c r="H1020" s="48">
        <v>54.0</v>
      </c>
      <c r="I1020" s="48">
        <v>8.0</v>
      </c>
      <c r="J1020" s="49">
        <v>91.5227629513344</v>
      </c>
      <c r="K1020" s="49"/>
      <c r="L1020" s="50">
        <v>354.0</v>
      </c>
      <c r="M1020" s="50">
        <v>9.0</v>
      </c>
      <c r="N1020" s="50">
        <v>1.0</v>
      </c>
      <c r="O1020" s="49">
        <v>97.5206611570248</v>
      </c>
      <c r="P1020" s="51"/>
    </row>
    <row r="1021" ht="15.0" hidden="1" customHeight="1">
      <c r="A1021" s="39">
        <v>1015.0</v>
      </c>
      <c r="B1021" s="40" t="s">
        <v>22</v>
      </c>
      <c r="C1021" s="59" t="s">
        <v>322</v>
      </c>
      <c r="D1021" s="59" t="s">
        <v>333</v>
      </c>
      <c r="E1021" s="59"/>
      <c r="F1021" s="40" t="s">
        <v>333</v>
      </c>
      <c r="G1021" s="41">
        <v>3366.0</v>
      </c>
      <c r="H1021" s="41">
        <v>233.0</v>
      </c>
      <c r="I1021" s="41">
        <v>108.0</v>
      </c>
      <c r="J1021" s="42">
        <v>93.525979438733</v>
      </c>
      <c r="K1021" s="42"/>
      <c r="L1021" s="43">
        <v>2464.0</v>
      </c>
      <c r="M1021" s="43">
        <v>60.0</v>
      </c>
      <c r="N1021" s="43">
        <v>14.0</v>
      </c>
      <c r="O1021" s="42">
        <v>97.6228209191759</v>
      </c>
      <c r="P1021" s="44"/>
    </row>
    <row r="1022" ht="15.0" hidden="1" customHeight="1">
      <c r="A1022" s="45">
        <v>1016.0</v>
      </c>
      <c r="B1022" s="46" t="s">
        <v>22</v>
      </c>
      <c r="C1022" s="46" t="s">
        <v>322</v>
      </c>
      <c r="D1022" s="46" t="s">
        <v>333</v>
      </c>
      <c r="E1022" s="46"/>
      <c r="F1022" s="47" t="s">
        <v>18</v>
      </c>
      <c r="G1022" s="48">
        <v>293.0</v>
      </c>
      <c r="H1022" s="48">
        <v>18.0</v>
      </c>
      <c r="I1022" s="48">
        <v>4.0</v>
      </c>
      <c r="J1022" s="49">
        <v>94.2122186495177</v>
      </c>
      <c r="K1022" s="49"/>
      <c r="L1022" s="50">
        <v>319.0</v>
      </c>
      <c r="M1022" s="50">
        <v>7.0</v>
      </c>
      <c r="N1022" s="50">
        <v>2.0</v>
      </c>
      <c r="O1022" s="49">
        <v>97.8527607361963</v>
      </c>
      <c r="P1022" s="51"/>
    </row>
    <row r="1023" ht="15.0" hidden="1" customHeight="1">
      <c r="A1023" s="45">
        <v>1017.0</v>
      </c>
      <c r="B1023" s="46" t="s">
        <v>22</v>
      </c>
      <c r="C1023" s="46" t="s">
        <v>322</v>
      </c>
      <c r="D1023" s="46" t="s">
        <v>333</v>
      </c>
      <c r="E1023" s="46"/>
      <c r="F1023" s="47" t="s">
        <v>19</v>
      </c>
      <c r="G1023" s="48">
        <v>3073.0</v>
      </c>
      <c r="H1023" s="48">
        <v>215.0</v>
      </c>
      <c r="I1023" s="48">
        <v>104.0</v>
      </c>
      <c r="J1023" s="49">
        <v>93.4610705596107</v>
      </c>
      <c r="K1023" s="49"/>
      <c r="L1023" s="50">
        <v>2145.0</v>
      </c>
      <c r="M1023" s="50">
        <v>53.0</v>
      </c>
      <c r="N1023" s="50">
        <v>12.0</v>
      </c>
      <c r="O1023" s="49">
        <v>97.5887170154686</v>
      </c>
      <c r="P1023" s="51"/>
    </row>
    <row r="1024" ht="15.0" customHeight="1">
      <c r="A1024" s="52">
        <v>1018.0</v>
      </c>
      <c r="B1024" s="53" t="s">
        <v>24</v>
      </c>
      <c r="C1024" s="60" t="s">
        <v>322</v>
      </c>
      <c r="D1024" s="60" t="s">
        <v>333</v>
      </c>
      <c r="E1024" s="60" t="s">
        <v>334</v>
      </c>
      <c r="F1024" s="61" t="s">
        <v>334</v>
      </c>
      <c r="G1024" s="54">
        <v>2240.0</v>
      </c>
      <c r="H1024" s="54">
        <v>171.0</v>
      </c>
      <c r="I1024" s="54">
        <v>80.0</v>
      </c>
      <c r="J1024" s="55">
        <v>92.907507258399</v>
      </c>
      <c r="K1024" s="55">
        <f>G1024+H1024+I1024</f>
        <v>2491</v>
      </c>
      <c r="L1024" s="56">
        <v>1873.0</v>
      </c>
      <c r="M1024" s="56">
        <v>49.0</v>
      </c>
      <c r="N1024" s="56">
        <v>11.0</v>
      </c>
      <c r="O1024" s="55">
        <v>97.4505723204995</v>
      </c>
      <c r="P1024" s="57">
        <f>L1024+M1024+N1024</f>
        <v>1933</v>
      </c>
    </row>
    <row r="1025" ht="15.0" hidden="1" customHeight="1">
      <c r="A1025" s="45">
        <v>1019.0</v>
      </c>
      <c r="B1025" s="46" t="s">
        <v>24</v>
      </c>
      <c r="C1025" s="46" t="s">
        <v>322</v>
      </c>
      <c r="D1025" s="46" t="s">
        <v>333</v>
      </c>
      <c r="E1025" s="46" t="s">
        <v>334</v>
      </c>
      <c r="F1025" s="47" t="s">
        <v>18</v>
      </c>
      <c r="G1025" s="48">
        <v>293.0</v>
      </c>
      <c r="H1025" s="48">
        <v>18.0</v>
      </c>
      <c r="I1025" s="48">
        <v>4.0</v>
      </c>
      <c r="J1025" s="49">
        <v>94.2122186495177</v>
      </c>
      <c r="K1025" s="49"/>
      <c r="L1025" s="50">
        <v>319.0</v>
      </c>
      <c r="M1025" s="50">
        <v>7.0</v>
      </c>
      <c r="N1025" s="50">
        <v>2.0</v>
      </c>
      <c r="O1025" s="49">
        <v>97.8527607361963</v>
      </c>
      <c r="P1025" s="51"/>
    </row>
    <row r="1026" ht="15.0" hidden="1" customHeight="1">
      <c r="A1026" s="45">
        <v>1020.0</v>
      </c>
      <c r="B1026" s="46" t="s">
        <v>24</v>
      </c>
      <c r="C1026" s="46" t="s">
        <v>322</v>
      </c>
      <c r="D1026" s="46" t="s">
        <v>333</v>
      </c>
      <c r="E1026" s="46" t="s">
        <v>334</v>
      </c>
      <c r="F1026" s="47" t="s">
        <v>19</v>
      </c>
      <c r="G1026" s="48">
        <v>1947.0</v>
      </c>
      <c r="H1026" s="48">
        <v>153.0</v>
      </c>
      <c r="I1026" s="48">
        <v>76.0</v>
      </c>
      <c r="J1026" s="49">
        <v>92.7142857142857</v>
      </c>
      <c r="K1026" s="49"/>
      <c r="L1026" s="50">
        <v>1554.0</v>
      </c>
      <c r="M1026" s="50">
        <v>42.0</v>
      </c>
      <c r="N1026" s="50">
        <v>9.0</v>
      </c>
      <c r="O1026" s="49">
        <v>97.3684210526316</v>
      </c>
      <c r="P1026" s="51"/>
    </row>
    <row r="1027" ht="15.0" customHeight="1">
      <c r="A1027" s="52">
        <v>1021.0</v>
      </c>
      <c r="B1027" s="53" t="s">
        <v>24</v>
      </c>
      <c r="C1027" s="60" t="s">
        <v>322</v>
      </c>
      <c r="D1027" s="60" t="s">
        <v>333</v>
      </c>
      <c r="E1027" s="60" t="s">
        <v>335</v>
      </c>
      <c r="F1027" s="61" t="s">
        <v>335</v>
      </c>
      <c r="G1027" s="54">
        <v>1126.0</v>
      </c>
      <c r="H1027" s="54">
        <v>62.0</v>
      </c>
      <c r="I1027" s="54">
        <v>28.0</v>
      </c>
      <c r="J1027" s="55">
        <v>94.7811447811448</v>
      </c>
      <c r="K1027" s="55">
        <f>G1027+H1027+I1027</f>
        <v>1216</v>
      </c>
      <c r="L1027" s="56">
        <v>591.0</v>
      </c>
      <c r="M1027" s="56">
        <v>11.0</v>
      </c>
      <c r="N1027" s="56">
        <v>3.0</v>
      </c>
      <c r="O1027" s="55">
        <v>98.1727574750831</v>
      </c>
      <c r="P1027" s="57">
        <f>L1027+M1027+N1027</f>
        <v>605</v>
      </c>
    </row>
    <row r="1028" ht="15.0" hidden="1" customHeight="1">
      <c r="A1028" s="45">
        <v>1022.0</v>
      </c>
      <c r="B1028" s="46" t="s">
        <v>24</v>
      </c>
      <c r="C1028" s="46" t="s">
        <v>322</v>
      </c>
      <c r="D1028" s="46" t="s">
        <v>333</v>
      </c>
      <c r="E1028" s="46" t="s">
        <v>335</v>
      </c>
      <c r="F1028" s="47" t="s">
        <v>18</v>
      </c>
      <c r="G1028" s="48"/>
      <c r="H1028" s="48"/>
      <c r="I1028" s="48"/>
      <c r="J1028" s="49"/>
      <c r="K1028" s="49"/>
      <c r="L1028" s="50"/>
      <c r="M1028" s="50"/>
      <c r="N1028" s="50"/>
      <c r="O1028" s="49"/>
      <c r="P1028" s="51"/>
    </row>
    <row r="1029" ht="15.0" hidden="1" customHeight="1">
      <c r="A1029" s="45">
        <v>1023.0</v>
      </c>
      <c r="B1029" s="46" t="s">
        <v>24</v>
      </c>
      <c r="C1029" s="46" t="s">
        <v>322</v>
      </c>
      <c r="D1029" s="46" t="s">
        <v>333</v>
      </c>
      <c r="E1029" s="46" t="s">
        <v>335</v>
      </c>
      <c r="F1029" s="47" t="s">
        <v>19</v>
      </c>
      <c r="G1029" s="48">
        <v>1126.0</v>
      </c>
      <c r="H1029" s="48">
        <v>62.0</v>
      </c>
      <c r="I1029" s="48">
        <v>28.0</v>
      </c>
      <c r="J1029" s="49">
        <v>94.7811447811448</v>
      </c>
      <c r="K1029" s="49"/>
      <c r="L1029" s="50">
        <v>591.0</v>
      </c>
      <c r="M1029" s="50">
        <v>11.0</v>
      </c>
      <c r="N1029" s="50">
        <v>3.0</v>
      </c>
      <c r="O1029" s="49">
        <v>98.1727574750831</v>
      </c>
      <c r="P1029" s="51"/>
    </row>
    <row r="1030" ht="15.0" hidden="1" customHeight="1">
      <c r="A1030" s="39">
        <v>1024.0</v>
      </c>
      <c r="B1030" s="40" t="s">
        <v>22</v>
      </c>
      <c r="C1030" s="59" t="s">
        <v>322</v>
      </c>
      <c r="D1030" s="59" t="s">
        <v>336</v>
      </c>
      <c r="E1030" s="59"/>
      <c r="F1030" s="40" t="s">
        <v>336</v>
      </c>
      <c r="G1030" s="41">
        <v>2296.0</v>
      </c>
      <c r="H1030" s="41">
        <v>204.0</v>
      </c>
      <c r="I1030" s="41">
        <v>130.0</v>
      </c>
      <c r="J1030" s="42">
        <v>91.84</v>
      </c>
      <c r="K1030" s="42"/>
      <c r="L1030" s="43">
        <v>1474.0</v>
      </c>
      <c r="M1030" s="43">
        <v>34.0</v>
      </c>
      <c r="N1030" s="43">
        <v>9.0</v>
      </c>
      <c r="O1030" s="42">
        <v>97.7453580901857</v>
      </c>
      <c r="P1030" s="44"/>
    </row>
    <row r="1031" ht="15.0" hidden="1" customHeight="1">
      <c r="A1031" s="45">
        <v>1025.0</v>
      </c>
      <c r="B1031" s="46" t="s">
        <v>22</v>
      </c>
      <c r="C1031" s="46" t="s">
        <v>322</v>
      </c>
      <c r="D1031" s="46" t="s">
        <v>336</v>
      </c>
      <c r="E1031" s="46"/>
      <c r="F1031" s="47" t="s">
        <v>18</v>
      </c>
      <c r="G1031" s="48">
        <v>451.0</v>
      </c>
      <c r="H1031" s="48">
        <v>26.0</v>
      </c>
      <c r="I1031" s="48">
        <v>15.0</v>
      </c>
      <c r="J1031" s="49">
        <v>94.5492662473795</v>
      </c>
      <c r="K1031" s="49"/>
      <c r="L1031" s="50">
        <v>266.0</v>
      </c>
      <c r="M1031" s="50">
        <v>7.0</v>
      </c>
      <c r="N1031" s="50">
        <v>0.0</v>
      </c>
      <c r="O1031" s="49">
        <v>97.4358974358974</v>
      </c>
      <c r="P1031" s="51"/>
    </row>
    <row r="1032" ht="15.0" hidden="1" customHeight="1">
      <c r="A1032" s="45">
        <v>1026.0</v>
      </c>
      <c r="B1032" s="46" t="s">
        <v>22</v>
      </c>
      <c r="C1032" s="46" t="s">
        <v>322</v>
      </c>
      <c r="D1032" s="46" t="s">
        <v>336</v>
      </c>
      <c r="E1032" s="46"/>
      <c r="F1032" s="47" t="s">
        <v>19</v>
      </c>
      <c r="G1032" s="48">
        <v>1845.0</v>
      </c>
      <c r="H1032" s="48">
        <v>178.0</v>
      </c>
      <c r="I1032" s="48">
        <v>115.0</v>
      </c>
      <c r="J1032" s="49">
        <v>91.2011863568957</v>
      </c>
      <c r="K1032" s="49"/>
      <c r="L1032" s="50">
        <v>1208.0</v>
      </c>
      <c r="M1032" s="50">
        <v>27.0</v>
      </c>
      <c r="N1032" s="50">
        <v>9.0</v>
      </c>
      <c r="O1032" s="49">
        <v>97.8137651821862</v>
      </c>
      <c r="P1032" s="51"/>
    </row>
    <row r="1033" ht="15.0" customHeight="1">
      <c r="A1033" s="52">
        <v>1027.0</v>
      </c>
      <c r="B1033" s="53" t="s">
        <v>24</v>
      </c>
      <c r="C1033" s="60" t="s">
        <v>322</v>
      </c>
      <c r="D1033" s="60" t="s">
        <v>336</v>
      </c>
      <c r="E1033" s="60" t="s">
        <v>206</v>
      </c>
      <c r="F1033" s="61" t="s">
        <v>206</v>
      </c>
      <c r="G1033" s="54">
        <v>2296.0</v>
      </c>
      <c r="H1033" s="54">
        <v>204.0</v>
      </c>
      <c r="I1033" s="54">
        <v>130.0</v>
      </c>
      <c r="J1033" s="55">
        <v>91.84</v>
      </c>
      <c r="K1033" s="55">
        <f>G1033+H1033+I1033</f>
        <v>2630</v>
      </c>
      <c r="L1033" s="56">
        <v>1474.0</v>
      </c>
      <c r="M1033" s="56">
        <v>34.0</v>
      </c>
      <c r="N1033" s="56">
        <v>9.0</v>
      </c>
      <c r="O1033" s="55">
        <v>97.7453580901857</v>
      </c>
      <c r="P1033" s="57">
        <f>L1033+M1033+N1033</f>
        <v>1517</v>
      </c>
    </row>
    <row r="1034" ht="15.0" hidden="1" customHeight="1">
      <c r="A1034" s="45">
        <v>1028.0</v>
      </c>
      <c r="B1034" s="46" t="s">
        <v>24</v>
      </c>
      <c r="C1034" s="46" t="s">
        <v>322</v>
      </c>
      <c r="D1034" s="46" t="s">
        <v>336</v>
      </c>
      <c r="E1034" s="46" t="s">
        <v>206</v>
      </c>
      <c r="F1034" s="47" t="s">
        <v>18</v>
      </c>
      <c r="G1034" s="48">
        <v>451.0</v>
      </c>
      <c r="H1034" s="48">
        <v>26.0</v>
      </c>
      <c r="I1034" s="48">
        <v>15.0</v>
      </c>
      <c r="J1034" s="49">
        <v>94.5492662473795</v>
      </c>
      <c r="K1034" s="49"/>
      <c r="L1034" s="50">
        <v>266.0</v>
      </c>
      <c r="M1034" s="50">
        <v>7.0</v>
      </c>
      <c r="N1034" s="50">
        <v>0.0</v>
      </c>
      <c r="O1034" s="49">
        <v>97.4358974358974</v>
      </c>
      <c r="P1034" s="51"/>
    </row>
    <row r="1035" ht="15.0" hidden="1" customHeight="1">
      <c r="A1035" s="45">
        <v>1029.0</v>
      </c>
      <c r="B1035" s="46" t="s">
        <v>24</v>
      </c>
      <c r="C1035" s="46" t="s">
        <v>322</v>
      </c>
      <c r="D1035" s="46" t="s">
        <v>336</v>
      </c>
      <c r="E1035" s="46" t="s">
        <v>206</v>
      </c>
      <c r="F1035" s="47" t="s">
        <v>19</v>
      </c>
      <c r="G1035" s="48">
        <v>1845.0</v>
      </c>
      <c r="H1035" s="48">
        <v>178.0</v>
      </c>
      <c r="I1035" s="48">
        <v>115.0</v>
      </c>
      <c r="J1035" s="49">
        <v>91.2011863568957</v>
      </c>
      <c r="K1035" s="49"/>
      <c r="L1035" s="50">
        <v>1208.0</v>
      </c>
      <c r="M1035" s="50">
        <v>27.0</v>
      </c>
      <c r="N1035" s="50">
        <v>9.0</v>
      </c>
      <c r="O1035" s="49">
        <v>97.8137651821862</v>
      </c>
      <c r="P1035" s="51"/>
    </row>
    <row r="1036" ht="15.0" hidden="1" customHeight="1">
      <c r="A1036" s="27">
        <v>1030.0</v>
      </c>
      <c r="B1036" s="28" t="s">
        <v>20</v>
      </c>
      <c r="C1036" s="28" t="s">
        <v>337</v>
      </c>
      <c r="D1036" s="28"/>
      <c r="E1036" s="28"/>
      <c r="F1036" s="28" t="s">
        <v>337</v>
      </c>
      <c r="G1036" s="29">
        <v>249052.0</v>
      </c>
      <c r="H1036" s="29">
        <v>47155.0</v>
      </c>
      <c r="I1036" s="29">
        <v>4308.0</v>
      </c>
      <c r="J1036" s="30">
        <v>84.0803897274541</v>
      </c>
      <c r="K1036" s="30">
        <f>G1036+H1036+I1036</f>
        <v>300515</v>
      </c>
      <c r="L1036" s="31">
        <v>234588.0</v>
      </c>
      <c r="M1036" s="31">
        <v>13885.0</v>
      </c>
      <c r="N1036" s="31">
        <v>2280.0</v>
      </c>
      <c r="O1036" s="30">
        <v>94.4118676878373</v>
      </c>
      <c r="P1036" s="32">
        <f>L1036+M1036+N1036</f>
        <v>250753</v>
      </c>
    </row>
    <row r="1037" ht="15.0" hidden="1" customHeight="1">
      <c r="A1037" s="33">
        <v>1031.0</v>
      </c>
      <c r="B1037" s="34" t="s">
        <v>20</v>
      </c>
      <c r="C1037" s="58" t="s">
        <v>337</v>
      </c>
      <c r="D1037" s="58"/>
      <c r="E1037" s="58"/>
      <c r="F1037" s="34" t="s">
        <v>18</v>
      </c>
      <c r="G1037" s="35">
        <v>198188.0</v>
      </c>
      <c r="H1037" s="35">
        <v>34873.0</v>
      </c>
      <c r="I1037" s="35">
        <v>3216.0</v>
      </c>
      <c r="J1037" s="36">
        <v>85.036964571507</v>
      </c>
      <c r="K1037" s="36"/>
      <c r="L1037" s="37">
        <v>188632.0</v>
      </c>
      <c r="M1037" s="37">
        <v>7537.0</v>
      </c>
      <c r="N1037" s="37">
        <v>1470.0</v>
      </c>
      <c r="O1037" s="36">
        <v>96.1579046638358</v>
      </c>
      <c r="P1037" s="38"/>
    </row>
    <row r="1038" ht="15.0" hidden="1" customHeight="1">
      <c r="A1038" s="33">
        <v>1032.0</v>
      </c>
      <c r="B1038" s="34" t="s">
        <v>20</v>
      </c>
      <c r="C1038" s="58" t="s">
        <v>337</v>
      </c>
      <c r="D1038" s="58"/>
      <c r="E1038" s="58"/>
      <c r="F1038" s="34" t="s">
        <v>19</v>
      </c>
      <c r="G1038" s="35">
        <v>50864.0</v>
      </c>
      <c r="H1038" s="35">
        <v>12282.0</v>
      </c>
      <c r="I1038" s="35">
        <v>1092.0</v>
      </c>
      <c r="J1038" s="36">
        <v>80.5498368859469</v>
      </c>
      <c r="K1038" s="36"/>
      <c r="L1038" s="37">
        <v>45956.0</v>
      </c>
      <c r="M1038" s="37">
        <v>6348.0</v>
      </c>
      <c r="N1038" s="37">
        <v>810.0</v>
      </c>
      <c r="O1038" s="36">
        <v>87.8632609360661</v>
      </c>
      <c r="P1038" s="38"/>
    </row>
    <row r="1039" ht="15.0" hidden="1" customHeight="1">
      <c r="A1039" s="39">
        <v>1033.0</v>
      </c>
      <c r="B1039" s="40" t="s">
        <v>22</v>
      </c>
      <c r="C1039" s="59" t="s">
        <v>337</v>
      </c>
      <c r="D1039" s="59" t="s">
        <v>338</v>
      </c>
      <c r="E1039" s="59"/>
      <c r="F1039" s="40" t="s">
        <v>338</v>
      </c>
      <c r="G1039" s="41">
        <v>147602.0</v>
      </c>
      <c r="H1039" s="41">
        <v>26899.0</v>
      </c>
      <c r="I1039" s="41">
        <v>2355.0</v>
      </c>
      <c r="J1039" s="42">
        <v>84.5851886235609</v>
      </c>
      <c r="K1039" s="42"/>
      <c r="L1039" s="43">
        <v>135603.0</v>
      </c>
      <c r="M1039" s="43">
        <v>5266.0</v>
      </c>
      <c r="N1039" s="43">
        <v>1010.0</v>
      </c>
      <c r="O1039" s="42">
        <v>96.2617751244064</v>
      </c>
      <c r="P1039" s="44"/>
    </row>
    <row r="1040" ht="15.0" hidden="1" customHeight="1">
      <c r="A1040" s="45">
        <v>1034.0</v>
      </c>
      <c r="B1040" s="46" t="s">
        <v>22</v>
      </c>
      <c r="C1040" s="46" t="s">
        <v>337</v>
      </c>
      <c r="D1040" s="46" t="s">
        <v>338</v>
      </c>
      <c r="E1040" s="46"/>
      <c r="F1040" s="47" t="s">
        <v>18</v>
      </c>
      <c r="G1040" s="48">
        <v>140297.0</v>
      </c>
      <c r="H1040" s="48">
        <v>25164.0</v>
      </c>
      <c r="I1040" s="48">
        <v>2200.0</v>
      </c>
      <c r="J1040" s="49">
        <v>84.7915823064045</v>
      </c>
      <c r="K1040" s="49"/>
      <c r="L1040" s="50">
        <v>130726.0</v>
      </c>
      <c r="M1040" s="50">
        <v>4882.0</v>
      </c>
      <c r="N1040" s="50">
        <v>949.0</v>
      </c>
      <c r="O1040" s="49">
        <v>96.3999174090024</v>
      </c>
      <c r="P1040" s="51"/>
    </row>
    <row r="1041" ht="15.0" hidden="1" customHeight="1">
      <c r="A1041" s="45">
        <v>1035.0</v>
      </c>
      <c r="B1041" s="46" t="s">
        <v>22</v>
      </c>
      <c r="C1041" s="46" t="s">
        <v>337</v>
      </c>
      <c r="D1041" s="46" t="s">
        <v>338</v>
      </c>
      <c r="E1041" s="46"/>
      <c r="F1041" s="47" t="s">
        <v>19</v>
      </c>
      <c r="G1041" s="48">
        <v>7305.0</v>
      </c>
      <c r="H1041" s="48">
        <v>1735.0</v>
      </c>
      <c r="I1041" s="48">
        <v>155.0</v>
      </c>
      <c r="J1041" s="49">
        <v>80.8075221238938</v>
      </c>
      <c r="K1041" s="49"/>
      <c r="L1041" s="50">
        <v>4877.0</v>
      </c>
      <c r="M1041" s="50">
        <v>384.0</v>
      </c>
      <c r="N1041" s="50">
        <v>61.0</v>
      </c>
      <c r="O1041" s="49">
        <v>92.7010074130393</v>
      </c>
      <c r="P1041" s="51"/>
    </row>
    <row r="1042" ht="15.0" customHeight="1">
      <c r="A1042" s="52">
        <v>1036.0</v>
      </c>
      <c r="B1042" s="53" t="s">
        <v>24</v>
      </c>
      <c r="C1042" s="60" t="s">
        <v>337</v>
      </c>
      <c r="D1042" s="60" t="s">
        <v>338</v>
      </c>
      <c r="E1042" s="60" t="s">
        <v>339</v>
      </c>
      <c r="F1042" s="61" t="s">
        <v>339</v>
      </c>
      <c r="G1042" s="54">
        <v>126847.0</v>
      </c>
      <c r="H1042" s="54">
        <v>23072.0</v>
      </c>
      <c r="I1042" s="54">
        <v>2037.0</v>
      </c>
      <c r="J1042" s="55">
        <v>84.6103562590466</v>
      </c>
      <c r="K1042" s="55">
        <f>G1042+H1042+I1042</f>
        <v>151956</v>
      </c>
      <c r="L1042" s="56">
        <v>108758.0</v>
      </c>
      <c r="M1042" s="56">
        <v>4336.0</v>
      </c>
      <c r="N1042" s="56">
        <v>786.0</v>
      </c>
      <c r="O1042" s="55">
        <v>96.1660211859161</v>
      </c>
      <c r="P1042" s="57">
        <f>L1042+M1042+N1042</f>
        <v>113880</v>
      </c>
    </row>
    <row r="1043" ht="15.0" hidden="1" customHeight="1">
      <c r="A1043" s="45">
        <v>1037.0</v>
      </c>
      <c r="B1043" s="46" t="s">
        <v>24</v>
      </c>
      <c r="C1043" s="46" t="s">
        <v>337</v>
      </c>
      <c r="D1043" s="46" t="s">
        <v>338</v>
      </c>
      <c r="E1043" s="46" t="s">
        <v>339</v>
      </c>
      <c r="F1043" s="47" t="s">
        <v>18</v>
      </c>
      <c r="G1043" s="48">
        <v>125680.0</v>
      </c>
      <c r="H1043" s="48">
        <v>22671.0</v>
      </c>
      <c r="I1043" s="48">
        <v>1999.0</v>
      </c>
      <c r="J1043" s="49">
        <v>84.7179998786661</v>
      </c>
      <c r="K1043" s="49"/>
      <c r="L1043" s="50">
        <v>107966.0</v>
      </c>
      <c r="M1043" s="50">
        <v>4112.0</v>
      </c>
      <c r="N1043" s="50">
        <v>767.0</v>
      </c>
      <c r="O1043" s="49">
        <v>96.3311265368761</v>
      </c>
      <c r="P1043" s="51"/>
    </row>
    <row r="1044" ht="15.0" hidden="1" customHeight="1">
      <c r="A1044" s="45">
        <v>1038.0</v>
      </c>
      <c r="B1044" s="46" t="s">
        <v>24</v>
      </c>
      <c r="C1044" s="46" t="s">
        <v>337</v>
      </c>
      <c r="D1044" s="46" t="s">
        <v>338</v>
      </c>
      <c r="E1044" s="46" t="s">
        <v>339</v>
      </c>
      <c r="F1044" s="47" t="s">
        <v>19</v>
      </c>
      <c r="G1044" s="48">
        <v>1167.0</v>
      </c>
      <c r="H1044" s="48">
        <v>401.0</v>
      </c>
      <c r="I1044" s="48">
        <v>38.0</v>
      </c>
      <c r="J1044" s="49">
        <v>74.4260204081633</v>
      </c>
      <c r="K1044" s="49"/>
      <c r="L1044" s="50">
        <v>792.0</v>
      </c>
      <c r="M1044" s="50">
        <v>224.0</v>
      </c>
      <c r="N1044" s="50">
        <v>19.0</v>
      </c>
      <c r="O1044" s="49">
        <v>77.9527559055118</v>
      </c>
      <c r="P1044" s="51"/>
    </row>
    <row r="1045" ht="15.0" customHeight="1">
      <c r="A1045" s="52">
        <v>1039.0</v>
      </c>
      <c r="B1045" s="53" t="s">
        <v>24</v>
      </c>
      <c r="C1045" s="60" t="s">
        <v>337</v>
      </c>
      <c r="D1045" s="60" t="s">
        <v>338</v>
      </c>
      <c r="E1045" s="60" t="s">
        <v>340</v>
      </c>
      <c r="F1045" s="61" t="s">
        <v>340</v>
      </c>
      <c r="G1045" s="54">
        <v>5686.0</v>
      </c>
      <c r="H1045" s="54">
        <v>1464.0</v>
      </c>
      <c r="I1045" s="54">
        <v>72.0</v>
      </c>
      <c r="J1045" s="55">
        <v>79.5244755244755</v>
      </c>
      <c r="K1045" s="55">
        <f>G1045+H1045+I1045</f>
        <v>7222</v>
      </c>
      <c r="L1045" s="56">
        <v>9308.0</v>
      </c>
      <c r="M1045" s="56">
        <v>423.0</v>
      </c>
      <c r="N1045" s="56">
        <v>89.0</v>
      </c>
      <c r="O1045" s="55">
        <v>95.6530675161854</v>
      </c>
      <c r="P1045" s="57">
        <f>L1045+M1045+N1045</f>
        <v>9820</v>
      </c>
    </row>
    <row r="1046" ht="15.0" hidden="1" customHeight="1">
      <c r="A1046" s="45">
        <v>1040.0</v>
      </c>
      <c r="B1046" s="46" t="s">
        <v>24</v>
      </c>
      <c r="C1046" s="46" t="s">
        <v>337</v>
      </c>
      <c r="D1046" s="46" t="s">
        <v>338</v>
      </c>
      <c r="E1046" s="46" t="s">
        <v>340</v>
      </c>
      <c r="F1046" s="47" t="s">
        <v>18</v>
      </c>
      <c r="G1046" s="48">
        <v>3280.0</v>
      </c>
      <c r="H1046" s="48">
        <v>776.0</v>
      </c>
      <c r="I1046" s="48">
        <v>55.0</v>
      </c>
      <c r="J1046" s="49">
        <v>80.8678500986193</v>
      </c>
      <c r="K1046" s="49"/>
      <c r="L1046" s="50">
        <v>7790.0</v>
      </c>
      <c r="M1046" s="50">
        <v>353.0</v>
      </c>
      <c r="N1046" s="50">
        <v>77.0</v>
      </c>
      <c r="O1046" s="49">
        <v>95.664988333538</v>
      </c>
      <c r="P1046" s="51"/>
    </row>
    <row r="1047" ht="15.0" hidden="1" customHeight="1">
      <c r="A1047" s="45">
        <v>1041.0</v>
      </c>
      <c r="B1047" s="46" t="s">
        <v>24</v>
      </c>
      <c r="C1047" s="46" t="s">
        <v>337</v>
      </c>
      <c r="D1047" s="46" t="s">
        <v>338</v>
      </c>
      <c r="E1047" s="46" t="s">
        <v>340</v>
      </c>
      <c r="F1047" s="47" t="s">
        <v>19</v>
      </c>
      <c r="G1047" s="48">
        <v>2406.0</v>
      </c>
      <c r="H1047" s="48">
        <v>688.0</v>
      </c>
      <c r="I1047" s="48">
        <v>17.0</v>
      </c>
      <c r="J1047" s="49">
        <v>77.7634130575307</v>
      </c>
      <c r="K1047" s="49"/>
      <c r="L1047" s="50">
        <v>1518.0</v>
      </c>
      <c r="M1047" s="50">
        <v>70.0</v>
      </c>
      <c r="N1047" s="50">
        <v>12.0</v>
      </c>
      <c r="O1047" s="49">
        <v>95.5919395465995</v>
      </c>
      <c r="P1047" s="51"/>
    </row>
    <row r="1048" ht="15.0" customHeight="1">
      <c r="A1048" s="52">
        <v>1042.0</v>
      </c>
      <c r="B1048" s="53" t="s">
        <v>24</v>
      </c>
      <c r="C1048" s="60" t="s">
        <v>337</v>
      </c>
      <c r="D1048" s="60" t="s">
        <v>338</v>
      </c>
      <c r="E1048" s="60" t="s">
        <v>341</v>
      </c>
      <c r="F1048" s="61" t="s">
        <v>341</v>
      </c>
      <c r="G1048" s="54">
        <v>1484.0</v>
      </c>
      <c r="H1048" s="54">
        <v>201.0</v>
      </c>
      <c r="I1048" s="54">
        <v>52.0</v>
      </c>
      <c r="J1048" s="55">
        <v>88.0712166172107</v>
      </c>
      <c r="K1048" s="55">
        <f>G1048+H1048+I1048</f>
        <v>1737</v>
      </c>
      <c r="L1048" s="56">
        <v>1529.0</v>
      </c>
      <c r="M1048" s="56">
        <v>48.0</v>
      </c>
      <c r="N1048" s="56">
        <v>19.0</v>
      </c>
      <c r="O1048" s="55">
        <v>96.9562460367787</v>
      </c>
      <c r="P1048" s="57">
        <f>L1048+M1048+N1048</f>
        <v>1596</v>
      </c>
    </row>
    <row r="1049" ht="15.0" hidden="1" customHeight="1">
      <c r="A1049" s="45">
        <v>1043.0</v>
      </c>
      <c r="B1049" s="46" t="s">
        <v>24</v>
      </c>
      <c r="C1049" s="46" t="s">
        <v>337</v>
      </c>
      <c r="D1049" s="46" t="s">
        <v>338</v>
      </c>
      <c r="E1049" s="46" t="s">
        <v>341</v>
      </c>
      <c r="F1049" s="47" t="s">
        <v>18</v>
      </c>
      <c r="G1049" s="48">
        <v>417.0</v>
      </c>
      <c r="H1049" s="48">
        <v>25.0</v>
      </c>
      <c r="I1049" s="48">
        <v>1.0</v>
      </c>
      <c r="J1049" s="49">
        <v>94.3438914027149</v>
      </c>
      <c r="K1049" s="49"/>
      <c r="L1049" s="50">
        <v>664.0</v>
      </c>
      <c r="M1049" s="50">
        <v>24.0</v>
      </c>
      <c r="N1049" s="50">
        <v>2.0</v>
      </c>
      <c r="O1049" s="49">
        <v>96.5116279069768</v>
      </c>
      <c r="P1049" s="51"/>
    </row>
    <row r="1050" ht="15.0" hidden="1" customHeight="1">
      <c r="A1050" s="45">
        <v>1044.0</v>
      </c>
      <c r="B1050" s="46" t="s">
        <v>24</v>
      </c>
      <c r="C1050" s="46" t="s">
        <v>337</v>
      </c>
      <c r="D1050" s="46" t="s">
        <v>338</v>
      </c>
      <c r="E1050" s="46" t="s">
        <v>341</v>
      </c>
      <c r="F1050" s="47" t="s">
        <v>19</v>
      </c>
      <c r="G1050" s="48">
        <v>1067.0</v>
      </c>
      <c r="H1050" s="48">
        <v>176.0</v>
      </c>
      <c r="I1050" s="48">
        <v>51.0</v>
      </c>
      <c r="J1050" s="49">
        <v>85.8407079646018</v>
      </c>
      <c r="K1050" s="49"/>
      <c r="L1050" s="50">
        <v>865.0</v>
      </c>
      <c r="M1050" s="50">
        <v>24.0</v>
      </c>
      <c r="N1050" s="50">
        <v>17.0</v>
      </c>
      <c r="O1050" s="49">
        <v>97.3003374578178</v>
      </c>
      <c r="P1050" s="51"/>
    </row>
    <row r="1051" ht="15.0" customHeight="1">
      <c r="A1051" s="52">
        <v>1045.0</v>
      </c>
      <c r="B1051" s="53" t="s">
        <v>24</v>
      </c>
      <c r="C1051" s="60" t="s">
        <v>337</v>
      </c>
      <c r="D1051" s="60" t="s">
        <v>338</v>
      </c>
      <c r="E1051" s="60" t="s">
        <v>342</v>
      </c>
      <c r="F1051" s="61" t="s">
        <v>342</v>
      </c>
      <c r="G1051" s="54">
        <v>8734.0</v>
      </c>
      <c r="H1051" s="54">
        <v>1484.0</v>
      </c>
      <c r="I1051" s="54">
        <v>125.0</v>
      </c>
      <c r="J1051" s="55">
        <v>85.4766099040908</v>
      </c>
      <c r="K1051" s="55">
        <f>G1051+H1051+I1051</f>
        <v>10343</v>
      </c>
      <c r="L1051" s="56">
        <v>11762.0</v>
      </c>
      <c r="M1051" s="56">
        <v>362.0</v>
      </c>
      <c r="N1051" s="56">
        <v>82.0</v>
      </c>
      <c r="O1051" s="55">
        <v>97.0141867370505</v>
      </c>
      <c r="P1051" s="57">
        <f>L1051+M1051+N1051</f>
        <v>12206</v>
      </c>
    </row>
    <row r="1052" ht="15.0" hidden="1" customHeight="1">
      <c r="A1052" s="45">
        <v>1046.0</v>
      </c>
      <c r="B1052" s="46" t="s">
        <v>24</v>
      </c>
      <c r="C1052" s="46" t="s">
        <v>337</v>
      </c>
      <c r="D1052" s="46" t="s">
        <v>338</v>
      </c>
      <c r="E1052" s="46" t="s">
        <v>342</v>
      </c>
      <c r="F1052" s="47" t="s">
        <v>18</v>
      </c>
      <c r="G1052" s="48">
        <v>7724.0</v>
      </c>
      <c r="H1052" s="48">
        <v>1268.0</v>
      </c>
      <c r="I1052" s="48">
        <v>100.0</v>
      </c>
      <c r="J1052" s="49">
        <v>85.8985765124555</v>
      </c>
      <c r="K1052" s="49"/>
      <c r="L1052" s="50">
        <v>11150.0</v>
      </c>
      <c r="M1052" s="50">
        <v>325.0</v>
      </c>
      <c r="N1052" s="50">
        <v>79.0</v>
      </c>
      <c r="O1052" s="49">
        <v>97.1677559912854</v>
      </c>
      <c r="P1052" s="51"/>
    </row>
    <row r="1053" ht="15.0" hidden="1" customHeight="1">
      <c r="A1053" s="45">
        <v>1047.0</v>
      </c>
      <c r="B1053" s="46" t="s">
        <v>24</v>
      </c>
      <c r="C1053" s="46" t="s">
        <v>337</v>
      </c>
      <c r="D1053" s="46" t="s">
        <v>338</v>
      </c>
      <c r="E1053" s="46" t="s">
        <v>342</v>
      </c>
      <c r="F1053" s="47" t="s">
        <v>19</v>
      </c>
      <c r="G1053" s="48">
        <v>1010.0</v>
      </c>
      <c r="H1053" s="48">
        <v>216.0</v>
      </c>
      <c r="I1053" s="48">
        <v>25.0</v>
      </c>
      <c r="J1053" s="49">
        <v>82.3817292006525</v>
      </c>
      <c r="K1053" s="49"/>
      <c r="L1053" s="50">
        <v>612.0</v>
      </c>
      <c r="M1053" s="50">
        <v>37.0</v>
      </c>
      <c r="N1053" s="50">
        <v>3.0</v>
      </c>
      <c r="O1053" s="49">
        <v>94.2989214175655</v>
      </c>
      <c r="P1053" s="51"/>
    </row>
    <row r="1054" ht="15.0" customHeight="1">
      <c r="A1054" s="52">
        <v>1048.0</v>
      </c>
      <c r="B1054" s="53" t="s">
        <v>24</v>
      </c>
      <c r="C1054" s="60" t="s">
        <v>337</v>
      </c>
      <c r="D1054" s="60" t="s">
        <v>338</v>
      </c>
      <c r="E1054" s="60" t="s">
        <v>343</v>
      </c>
      <c r="F1054" s="61" t="s">
        <v>343</v>
      </c>
      <c r="G1054" s="54">
        <v>4851.0</v>
      </c>
      <c r="H1054" s="54">
        <v>678.0</v>
      </c>
      <c r="I1054" s="54">
        <v>69.0</v>
      </c>
      <c r="J1054" s="55">
        <v>87.7373846988606</v>
      </c>
      <c r="K1054" s="55">
        <f>G1054+H1054+I1054</f>
        <v>5598</v>
      </c>
      <c r="L1054" s="56">
        <v>4246.0</v>
      </c>
      <c r="M1054" s="56">
        <v>97.0</v>
      </c>
      <c r="N1054" s="56">
        <v>34.0</v>
      </c>
      <c r="O1054" s="55">
        <v>97.7665208381303</v>
      </c>
      <c r="P1054" s="57">
        <f>L1054+M1054+N1054</f>
        <v>4377</v>
      </c>
    </row>
    <row r="1055" ht="15.0" hidden="1" customHeight="1">
      <c r="A1055" s="45">
        <v>1049.0</v>
      </c>
      <c r="B1055" s="46" t="s">
        <v>24</v>
      </c>
      <c r="C1055" s="46" t="s">
        <v>337</v>
      </c>
      <c r="D1055" s="46" t="s">
        <v>338</v>
      </c>
      <c r="E1055" s="46" t="s">
        <v>343</v>
      </c>
      <c r="F1055" s="47" t="s">
        <v>18</v>
      </c>
      <c r="G1055" s="48">
        <v>3196.0</v>
      </c>
      <c r="H1055" s="48">
        <v>424.0</v>
      </c>
      <c r="I1055" s="48">
        <v>45.0</v>
      </c>
      <c r="J1055" s="49">
        <v>88.2872928176796</v>
      </c>
      <c r="K1055" s="49"/>
      <c r="L1055" s="50">
        <v>3156.0</v>
      </c>
      <c r="M1055" s="50">
        <v>68.0</v>
      </c>
      <c r="N1055" s="50">
        <v>24.0</v>
      </c>
      <c r="O1055" s="49">
        <v>97.8908188585608</v>
      </c>
      <c r="P1055" s="51"/>
    </row>
    <row r="1056" ht="15.0" hidden="1" customHeight="1">
      <c r="A1056" s="45">
        <v>1050.0</v>
      </c>
      <c r="B1056" s="46" t="s">
        <v>24</v>
      </c>
      <c r="C1056" s="46" t="s">
        <v>337</v>
      </c>
      <c r="D1056" s="46" t="s">
        <v>338</v>
      </c>
      <c r="E1056" s="46" t="s">
        <v>343</v>
      </c>
      <c r="F1056" s="47" t="s">
        <v>19</v>
      </c>
      <c r="G1056" s="48">
        <v>1655.0</v>
      </c>
      <c r="H1056" s="48">
        <v>254.0</v>
      </c>
      <c r="I1056" s="48">
        <v>24.0</v>
      </c>
      <c r="J1056" s="49">
        <v>86.6946045049764</v>
      </c>
      <c r="K1056" s="49"/>
      <c r="L1056" s="50">
        <v>1090.0</v>
      </c>
      <c r="M1056" s="50">
        <v>29.0</v>
      </c>
      <c r="N1056" s="50">
        <v>10.0</v>
      </c>
      <c r="O1056" s="49">
        <v>97.408400357462</v>
      </c>
      <c r="P1056" s="51"/>
    </row>
    <row r="1057" ht="15.0" hidden="1" customHeight="1">
      <c r="A1057" s="39">
        <v>1051.0</v>
      </c>
      <c r="B1057" s="40" t="s">
        <v>22</v>
      </c>
      <c r="C1057" s="59" t="s">
        <v>337</v>
      </c>
      <c r="D1057" s="59" t="s">
        <v>344</v>
      </c>
      <c r="E1057" s="59"/>
      <c r="F1057" s="40" t="s">
        <v>344</v>
      </c>
      <c r="G1057" s="41">
        <v>11192.0</v>
      </c>
      <c r="H1057" s="41">
        <v>2293.0</v>
      </c>
      <c r="I1057" s="41">
        <v>214.0</v>
      </c>
      <c r="J1057" s="42">
        <v>82.9959213941416</v>
      </c>
      <c r="K1057" s="42"/>
      <c r="L1057" s="43">
        <v>13206.0</v>
      </c>
      <c r="M1057" s="43">
        <v>604.0</v>
      </c>
      <c r="N1057" s="43">
        <v>125.0</v>
      </c>
      <c r="O1057" s="42">
        <v>95.626357711803</v>
      </c>
      <c r="P1057" s="44"/>
    </row>
    <row r="1058" ht="15.0" hidden="1" customHeight="1">
      <c r="A1058" s="45">
        <v>1052.0</v>
      </c>
      <c r="B1058" s="46" t="s">
        <v>22</v>
      </c>
      <c r="C1058" s="46" t="s">
        <v>337</v>
      </c>
      <c r="D1058" s="46" t="s">
        <v>344</v>
      </c>
      <c r="E1058" s="46"/>
      <c r="F1058" s="47" t="s">
        <v>18</v>
      </c>
      <c r="G1058" s="48">
        <v>9217.0</v>
      </c>
      <c r="H1058" s="48">
        <v>1636.0</v>
      </c>
      <c r="I1058" s="48">
        <v>160.0</v>
      </c>
      <c r="J1058" s="49">
        <v>84.9258269602875</v>
      </c>
      <c r="K1058" s="49"/>
      <c r="L1058" s="50">
        <v>11447.0</v>
      </c>
      <c r="M1058" s="50">
        <v>465.0</v>
      </c>
      <c r="N1058" s="50">
        <v>93.0</v>
      </c>
      <c r="O1058" s="49">
        <v>96.0963734049698</v>
      </c>
      <c r="P1058" s="51"/>
    </row>
    <row r="1059" ht="15.0" hidden="1" customHeight="1">
      <c r="A1059" s="45">
        <v>1053.0</v>
      </c>
      <c r="B1059" s="46" t="s">
        <v>22</v>
      </c>
      <c r="C1059" s="46" t="s">
        <v>337</v>
      </c>
      <c r="D1059" s="46" t="s">
        <v>344</v>
      </c>
      <c r="E1059" s="46"/>
      <c r="F1059" s="47" t="s">
        <v>19</v>
      </c>
      <c r="G1059" s="48">
        <v>1975.0</v>
      </c>
      <c r="H1059" s="48">
        <v>657.0</v>
      </c>
      <c r="I1059" s="48">
        <v>54.0</v>
      </c>
      <c r="J1059" s="49">
        <v>75.0379939209726</v>
      </c>
      <c r="K1059" s="49"/>
      <c r="L1059" s="50">
        <v>1759.0</v>
      </c>
      <c r="M1059" s="50">
        <v>139.0</v>
      </c>
      <c r="N1059" s="50">
        <v>32.0</v>
      </c>
      <c r="O1059" s="49">
        <v>92.6765015806112</v>
      </c>
      <c r="P1059" s="51"/>
    </row>
    <row r="1060" ht="15.0" customHeight="1">
      <c r="A1060" s="52">
        <v>1054.0</v>
      </c>
      <c r="B1060" s="53" t="s">
        <v>24</v>
      </c>
      <c r="C1060" s="60" t="s">
        <v>337</v>
      </c>
      <c r="D1060" s="60" t="s">
        <v>344</v>
      </c>
      <c r="E1060" s="60" t="s">
        <v>344</v>
      </c>
      <c r="F1060" s="61" t="s">
        <v>344</v>
      </c>
      <c r="G1060" s="54">
        <v>9809.0</v>
      </c>
      <c r="H1060" s="54">
        <v>2105.0</v>
      </c>
      <c r="I1060" s="54">
        <v>171.0</v>
      </c>
      <c r="J1060" s="55">
        <v>82.3317105925802</v>
      </c>
      <c r="K1060" s="55">
        <f>G1060+H1060+I1060</f>
        <v>12085</v>
      </c>
      <c r="L1060" s="56">
        <v>12320.0</v>
      </c>
      <c r="M1060" s="56">
        <v>548.0</v>
      </c>
      <c r="N1060" s="56">
        <v>115.0</v>
      </c>
      <c r="O1060" s="55">
        <v>95.7413739508859</v>
      </c>
      <c r="P1060" s="57">
        <f>L1060+M1060+N1060</f>
        <v>12983</v>
      </c>
    </row>
    <row r="1061" ht="15.0" hidden="1" customHeight="1">
      <c r="A1061" s="45">
        <v>1055.0</v>
      </c>
      <c r="B1061" s="46" t="s">
        <v>24</v>
      </c>
      <c r="C1061" s="46" t="s">
        <v>337</v>
      </c>
      <c r="D1061" s="46" t="s">
        <v>344</v>
      </c>
      <c r="E1061" s="46" t="s">
        <v>344</v>
      </c>
      <c r="F1061" s="47" t="s">
        <v>18</v>
      </c>
      <c r="G1061" s="48">
        <v>8450.0</v>
      </c>
      <c r="H1061" s="48">
        <v>1570.0</v>
      </c>
      <c r="I1061" s="48">
        <v>137.0</v>
      </c>
      <c r="J1061" s="49">
        <v>84.3313373253493</v>
      </c>
      <c r="K1061" s="49"/>
      <c r="L1061" s="50">
        <v>10984.0</v>
      </c>
      <c r="M1061" s="50">
        <v>442.0</v>
      </c>
      <c r="N1061" s="50">
        <v>90.0</v>
      </c>
      <c r="O1061" s="49">
        <v>96.1316296166637</v>
      </c>
      <c r="P1061" s="51"/>
    </row>
    <row r="1062" ht="15.0" hidden="1" customHeight="1">
      <c r="A1062" s="45">
        <v>1056.0</v>
      </c>
      <c r="B1062" s="46" t="s">
        <v>24</v>
      </c>
      <c r="C1062" s="46" t="s">
        <v>337</v>
      </c>
      <c r="D1062" s="46" t="s">
        <v>344</v>
      </c>
      <c r="E1062" s="46" t="s">
        <v>344</v>
      </c>
      <c r="F1062" s="47" t="s">
        <v>19</v>
      </c>
      <c r="G1062" s="48">
        <v>1359.0</v>
      </c>
      <c r="H1062" s="48">
        <v>535.0</v>
      </c>
      <c r="I1062" s="48">
        <v>34.0</v>
      </c>
      <c r="J1062" s="49">
        <v>71.752903907075</v>
      </c>
      <c r="K1062" s="49"/>
      <c r="L1062" s="50">
        <v>1336.0</v>
      </c>
      <c r="M1062" s="50">
        <v>106.0</v>
      </c>
      <c r="N1062" s="50">
        <v>25.0</v>
      </c>
      <c r="O1062" s="49">
        <v>92.6490984743412</v>
      </c>
      <c r="P1062" s="51"/>
    </row>
    <row r="1063" ht="15.0" customHeight="1">
      <c r="A1063" s="52">
        <v>1057.0</v>
      </c>
      <c r="B1063" s="53" t="s">
        <v>24</v>
      </c>
      <c r="C1063" s="60" t="s">
        <v>337</v>
      </c>
      <c r="D1063" s="60" t="s">
        <v>344</v>
      </c>
      <c r="E1063" s="60" t="s">
        <v>345</v>
      </c>
      <c r="F1063" s="61" t="s">
        <v>345</v>
      </c>
      <c r="G1063" s="54">
        <v>1383.0</v>
      </c>
      <c r="H1063" s="54">
        <v>188.0</v>
      </c>
      <c r="I1063" s="54">
        <v>43.0</v>
      </c>
      <c r="J1063" s="55">
        <v>88.0330999363463</v>
      </c>
      <c r="K1063" s="55">
        <f>G1063+H1063+I1063</f>
        <v>1614</v>
      </c>
      <c r="L1063" s="56">
        <v>886.0</v>
      </c>
      <c r="M1063" s="56">
        <v>56.0</v>
      </c>
      <c r="N1063" s="56">
        <v>10.0</v>
      </c>
      <c r="O1063" s="55">
        <v>94.0552016985138</v>
      </c>
      <c r="P1063" s="57">
        <f>L1063+M1063+N1063</f>
        <v>952</v>
      </c>
    </row>
    <row r="1064" ht="15.0" hidden="1" customHeight="1">
      <c r="A1064" s="45">
        <v>1058.0</v>
      </c>
      <c r="B1064" s="46" t="s">
        <v>24</v>
      </c>
      <c r="C1064" s="46" t="s">
        <v>337</v>
      </c>
      <c r="D1064" s="46" t="s">
        <v>344</v>
      </c>
      <c r="E1064" s="46" t="s">
        <v>345</v>
      </c>
      <c r="F1064" s="47" t="s">
        <v>18</v>
      </c>
      <c r="G1064" s="48">
        <v>767.0</v>
      </c>
      <c r="H1064" s="48">
        <v>66.0</v>
      </c>
      <c r="I1064" s="48">
        <v>23.0</v>
      </c>
      <c r="J1064" s="49">
        <v>92.0768307322929</v>
      </c>
      <c r="K1064" s="49"/>
      <c r="L1064" s="50">
        <v>463.0</v>
      </c>
      <c r="M1064" s="50">
        <v>23.0</v>
      </c>
      <c r="N1064" s="50">
        <v>3.0</v>
      </c>
      <c r="O1064" s="49">
        <v>95.2674897119342</v>
      </c>
      <c r="P1064" s="51"/>
    </row>
    <row r="1065" ht="15.0" hidden="1" customHeight="1">
      <c r="A1065" s="45">
        <v>1059.0</v>
      </c>
      <c r="B1065" s="46" t="s">
        <v>24</v>
      </c>
      <c r="C1065" s="46" t="s">
        <v>337</v>
      </c>
      <c r="D1065" s="46" t="s">
        <v>344</v>
      </c>
      <c r="E1065" s="46" t="s">
        <v>345</v>
      </c>
      <c r="F1065" s="47" t="s">
        <v>19</v>
      </c>
      <c r="G1065" s="48">
        <v>616.0</v>
      </c>
      <c r="H1065" s="48">
        <v>122.0</v>
      </c>
      <c r="I1065" s="48">
        <v>20.0</v>
      </c>
      <c r="J1065" s="49">
        <v>83.4688346883469</v>
      </c>
      <c r="K1065" s="49"/>
      <c r="L1065" s="50">
        <v>423.0</v>
      </c>
      <c r="M1065" s="50">
        <v>33.0</v>
      </c>
      <c r="N1065" s="50">
        <v>7.0</v>
      </c>
      <c r="O1065" s="49">
        <v>92.7631578947368</v>
      </c>
      <c r="P1065" s="51"/>
    </row>
    <row r="1066" ht="15.0" hidden="1" customHeight="1">
      <c r="A1066" s="39">
        <v>1060.0</v>
      </c>
      <c r="B1066" s="40" t="s">
        <v>22</v>
      </c>
      <c r="C1066" s="59" t="s">
        <v>337</v>
      </c>
      <c r="D1066" s="59" t="s">
        <v>346</v>
      </c>
      <c r="E1066" s="59"/>
      <c r="F1066" s="40" t="s">
        <v>346</v>
      </c>
      <c r="G1066" s="41">
        <v>7421.0</v>
      </c>
      <c r="H1066" s="41">
        <v>1831.0</v>
      </c>
      <c r="I1066" s="41">
        <v>171.0</v>
      </c>
      <c r="J1066" s="42">
        <v>80.2096843925638</v>
      </c>
      <c r="K1066" s="42"/>
      <c r="L1066" s="43">
        <v>8393.0</v>
      </c>
      <c r="M1066" s="43">
        <v>1163.0</v>
      </c>
      <c r="N1066" s="43">
        <v>139.0</v>
      </c>
      <c r="O1066" s="42">
        <v>87.8296358308916</v>
      </c>
      <c r="P1066" s="44"/>
    </row>
    <row r="1067" ht="15.0" hidden="1" customHeight="1">
      <c r="A1067" s="45">
        <v>1061.0</v>
      </c>
      <c r="B1067" s="46" t="s">
        <v>22</v>
      </c>
      <c r="C1067" s="46" t="s">
        <v>337</v>
      </c>
      <c r="D1067" s="46" t="s">
        <v>346</v>
      </c>
      <c r="E1067" s="46"/>
      <c r="F1067" s="47" t="s">
        <v>18</v>
      </c>
      <c r="G1067" s="48">
        <v>3233.0</v>
      </c>
      <c r="H1067" s="48">
        <v>640.0</v>
      </c>
      <c r="I1067" s="48">
        <v>67.0</v>
      </c>
      <c r="J1067" s="49">
        <v>83.4753421120578</v>
      </c>
      <c r="K1067" s="49"/>
      <c r="L1067" s="50">
        <v>3634.0</v>
      </c>
      <c r="M1067" s="50">
        <v>230.0</v>
      </c>
      <c r="N1067" s="50">
        <v>47.0</v>
      </c>
      <c r="O1067" s="49">
        <v>94.0476190476191</v>
      </c>
      <c r="P1067" s="51"/>
    </row>
    <row r="1068" ht="15.0" hidden="1" customHeight="1">
      <c r="A1068" s="45">
        <v>1062.0</v>
      </c>
      <c r="B1068" s="46" t="s">
        <v>22</v>
      </c>
      <c r="C1068" s="46" t="s">
        <v>337</v>
      </c>
      <c r="D1068" s="46" t="s">
        <v>346</v>
      </c>
      <c r="E1068" s="46"/>
      <c r="F1068" s="47" t="s">
        <v>19</v>
      </c>
      <c r="G1068" s="48">
        <v>4188.0</v>
      </c>
      <c r="H1068" s="48">
        <v>1191.0</v>
      </c>
      <c r="I1068" s="48">
        <v>104.0</v>
      </c>
      <c r="J1068" s="49">
        <v>77.8583379810374</v>
      </c>
      <c r="K1068" s="49"/>
      <c r="L1068" s="50">
        <v>4759.0</v>
      </c>
      <c r="M1068" s="50">
        <v>933.0</v>
      </c>
      <c r="N1068" s="50">
        <v>92.0</v>
      </c>
      <c r="O1068" s="49">
        <v>83.608573436402</v>
      </c>
      <c r="P1068" s="51"/>
    </row>
    <row r="1069" ht="15.0" customHeight="1">
      <c r="A1069" s="52">
        <v>1063.0</v>
      </c>
      <c r="B1069" s="53" t="s">
        <v>24</v>
      </c>
      <c r="C1069" s="60" t="s">
        <v>337</v>
      </c>
      <c r="D1069" s="60" t="s">
        <v>346</v>
      </c>
      <c r="E1069" s="60" t="s">
        <v>347</v>
      </c>
      <c r="F1069" s="61" t="s">
        <v>347</v>
      </c>
      <c r="G1069" s="54">
        <v>5482.0</v>
      </c>
      <c r="H1069" s="54">
        <v>1505.0</v>
      </c>
      <c r="I1069" s="54">
        <v>131.0</v>
      </c>
      <c r="J1069" s="55">
        <v>78.4599971375412</v>
      </c>
      <c r="K1069" s="55">
        <f>G1069+H1069+I1069</f>
        <v>7118</v>
      </c>
      <c r="L1069" s="56">
        <v>6464.0</v>
      </c>
      <c r="M1069" s="56">
        <v>791.0</v>
      </c>
      <c r="N1069" s="56">
        <v>85.0</v>
      </c>
      <c r="O1069" s="55">
        <v>89.0971743625086</v>
      </c>
      <c r="P1069" s="57">
        <f>L1069+M1069+N1069</f>
        <v>7340</v>
      </c>
    </row>
    <row r="1070" ht="15.0" hidden="1" customHeight="1">
      <c r="A1070" s="45">
        <v>1064.0</v>
      </c>
      <c r="B1070" s="46" t="s">
        <v>24</v>
      </c>
      <c r="C1070" s="46" t="s">
        <v>337</v>
      </c>
      <c r="D1070" s="46" t="s">
        <v>346</v>
      </c>
      <c r="E1070" s="46" t="s">
        <v>347</v>
      </c>
      <c r="F1070" s="47" t="s">
        <v>18</v>
      </c>
      <c r="G1070" s="48">
        <v>2316.0</v>
      </c>
      <c r="H1070" s="48">
        <v>491.0</v>
      </c>
      <c r="I1070" s="48">
        <v>44.0</v>
      </c>
      <c r="J1070" s="49">
        <v>82.508015675098</v>
      </c>
      <c r="K1070" s="49"/>
      <c r="L1070" s="50">
        <v>2907.0</v>
      </c>
      <c r="M1070" s="50">
        <v>198.0</v>
      </c>
      <c r="N1070" s="50">
        <v>32.0</v>
      </c>
      <c r="O1070" s="49">
        <v>93.6231884057971</v>
      </c>
      <c r="P1070" s="51"/>
    </row>
    <row r="1071" ht="15.0" hidden="1" customHeight="1">
      <c r="A1071" s="45">
        <v>1065.0</v>
      </c>
      <c r="B1071" s="46" t="s">
        <v>24</v>
      </c>
      <c r="C1071" s="46" t="s">
        <v>337</v>
      </c>
      <c r="D1071" s="46" t="s">
        <v>346</v>
      </c>
      <c r="E1071" s="46" t="s">
        <v>347</v>
      </c>
      <c r="F1071" s="47" t="s">
        <v>19</v>
      </c>
      <c r="G1071" s="48">
        <v>3166.0</v>
      </c>
      <c r="H1071" s="48">
        <v>1014.0</v>
      </c>
      <c r="I1071" s="48">
        <v>87.0</v>
      </c>
      <c r="J1071" s="49">
        <v>75.7416267942584</v>
      </c>
      <c r="K1071" s="49"/>
      <c r="L1071" s="50">
        <v>3557.0</v>
      </c>
      <c r="M1071" s="50">
        <v>593.0</v>
      </c>
      <c r="N1071" s="50">
        <v>53.0</v>
      </c>
      <c r="O1071" s="49">
        <v>85.710843373494</v>
      </c>
      <c r="P1071" s="51"/>
    </row>
    <row r="1072" ht="15.0" customHeight="1">
      <c r="A1072" s="52">
        <v>1066.0</v>
      </c>
      <c r="B1072" s="53" t="s">
        <v>24</v>
      </c>
      <c r="C1072" s="60" t="s">
        <v>337</v>
      </c>
      <c r="D1072" s="60" t="s">
        <v>346</v>
      </c>
      <c r="E1072" s="60" t="s">
        <v>348</v>
      </c>
      <c r="F1072" s="61" t="s">
        <v>348</v>
      </c>
      <c r="G1072" s="54">
        <v>1249.0</v>
      </c>
      <c r="H1072" s="54">
        <v>152.0</v>
      </c>
      <c r="I1072" s="54">
        <v>24.0</v>
      </c>
      <c r="J1072" s="55">
        <v>89.1506067094932</v>
      </c>
      <c r="K1072" s="55">
        <f>G1072+H1072+I1072</f>
        <v>1425</v>
      </c>
      <c r="L1072" s="56">
        <v>1221.0</v>
      </c>
      <c r="M1072" s="56">
        <v>253.0</v>
      </c>
      <c r="N1072" s="56">
        <v>34.0</v>
      </c>
      <c r="O1072" s="55">
        <v>82.8358208955224</v>
      </c>
      <c r="P1072" s="57">
        <f>L1072+M1072+N1072</f>
        <v>1508</v>
      </c>
    </row>
    <row r="1073" ht="15.0" hidden="1" customHeight="1">
      <c r="A1073" s="45">
        <v>1067.0</v>
      </c>
      <c r="B1073" s="46" t="s">
        <v>24</v>
      </c>
      <c r="C1073" s="46" t="s">
        <v>337</v>
      </c>
      <c r="D1073" s="46" t="s">
        <v>346</v>
      </c>
      <c r="E1073" s="46" t="s">
        <v>348</v>
      </c>
      <c r="F1073" s="47" t="s">
        <v>18</v>
      </c>
      <c r="G1073" s="48">
        <v>518.0</v>
      </c>
      <c r="H1073" s="48">
        <v>53.0</v>
      </c>
      <c r="I1073" s="48">
        <v>12.0</v>
      </c>
      <c r="J1073" s="49">
        <v>90.7180385288967</v>
      </c>
      <c r="K1073" s="49"/>
      <c r="L1073" s="50">
        <v>488.0</v>
      </c>
      <c r="M1073" s="50">
        <v>14.0</v>
      </c>
      <c r="N1073" s="50">
        <v>7.0</v>
      </c>
      <c r="O1073" s="49">
        <v>97.2111553784861</v>
      </c>
      <c r="P1073" s="51"/>
    </row>
    <row r="1074" ht="15.0" hidden="1" customHeight="1">
      <c r="A1074" s="45">
        <v>1068.0</v>
      </c>
      <c r="B1074" s="46" t="s">
        <v>24</v>
      </c>
      <c r="C1074" s="46" t="s">
        <v>337</v>
      </c>
      <c r="D1074" s="46" t="s">
        <v>346</v>
      </c>
      <c r="E1074" s="46" t="s">
        <v>348</v>
      </c>
      <c r="F1074" s="47" t="s">
        <v>19</v>
      </c>
      <c r="G1074" s="48">
        <v>731.0</v>
      </c>
      <c r="H1074" s="48">
        <v>99.0</v>
      </c>
      <c r="I1074" s="48">
        <v>12.0</v>
      </c>
      <c r="J1074" s="49">
        <v>88.0722891566265</v>
      </c>
      <c r="K1074" s="49"/>
      <c r="L1074" s="50">
        <v>733.0</v>
      </c>
      <c r="M1074" s="50">
        <v>239.0</v>
      </c>
      <c r="N1074" s="50">
        <v>27.0</v>
      </c>
      <c r="O1074" s="49">
        <v>75.4115226337449</v>
      </c>
      <c r="P1074" s="51"/>
    </row>
    <row r="1075" ht="15.0" customHeight="1">
      <c r="A1075" s="52">
        <v>1069.0</v>
      </c>
      <c r="B1075" s="53" t="s">
        <v>24</v>
      </c>
      <c r="C1075" s="60" t="s">
        <v>337</v>
      </c>
      <c r="D1075" s="60" t="s">
        <v>346</v>
      </c>
      <c r="E1075" s="60" t="s">
        <v>349</v>
      </c>
      <c r="F1075" s="61" t="s">
        <v>349</v>
      </c>
      <c r="G1075" s="54">
        <v>690.0</v>
      </c>
      <c r="H1075" s="54">
        <v>174.0</v>
      </c>
      <c r="I1075" s="54">
        <v>16.0</v>
      </c>
      <c r="J1075" s="55">
        <v>79.8611111111111</v>
      </c>
      <c r="K1075" s="55">
        <f>G1075+H1075+I1075</f>
        <v>880</v>
      </c>
      <c r="L1075" s="56">
        <v>708.0</v>
      </c>
      <c r="M1075" s="56">
        <v>119.0</v>
      </c>
      <c r="N1075" s="56">
        <v>20.0</v>
      </c>
      <c r="O1075" s="55">
        <v>85.6106408706167</v>
      </c>
      <c r="P1075" s="57">
        <f>L1075+M1075+N1075</f>
        <v>847</v>
      </c>
    </row>
    <row r="1076" ht="15.0" hidden="1" customHeight="1">
      <c r="A1076" s="45">
        <v>1070.0</v>
      </c>
      <c r="B1076" s="46" t="s">
        <v>24</v>
      </c>
      <c r="C1076" s="46" t="s">
        <v>337</v>
      </c>
      <c r="D1076" s="46" t="s">
        <v>346</v>
      </c>
      <c r="E1076" s="46" t="s">
        <v>349</v>
      </c>
      <c r="F1076" s="47" t="s">
        <v>18</v>
      </c>
      <c r="G1076" s="48">
        <v>399.0</v>
      </c>
      <c r="H1076" s="48">
        <v>96.0</v>
      </c>
      <c r="I1076" s="48">
        <v>11.0</v>
      </c>
      <c r="J1076" s="49">
        <v>80.6060606060606</v>
      </c>
      <c r="K1076" s="49"/>
      <c r="L1076" s="50">
        <v>239.0</v>
      </c>
      <c r="M1076" s="50">
        <v>18.0</v>
      </c>
      <c r="N1076" s="50">
        <v>8.0</v>
      </c>
      <c r="O1076" s="49">
        <v>92.9961089494163</v>
      </c>
      <c r="P1076" s="51"/>
    </row>
    <row r="1077" ht="15.0" hidden="1" customHeight="1">
      <c r="A1077" s="45">
        <v>1071.0</v>
      </c>
      <c r="B1077" s="46" t="s">
        <v>24</v>
      </c>
      <c r="C1077" s="46" t="s">
        <v>337</v>
      </c>
      <c r="D1077" s="46" t="s">
        <v>346</v>
      </c>
      <c r="E1077" s="46" t="s">
        <v>349</v>
      </c>
      <c r="F1077" s="47" t="s">
        <v>19</v>
      </c>
      <c r="G1077" s="48">
        <v>291.0</v>
      </c>
      <c r="H1077" s="48">
        <v>78.0</v>
      </c>
      <c r="I1077" s="48">
        <v>5.0</v>
      </c>
      <c r="J1077" s="49">
        <v>78.8617886178862</v>
      </c>
      <c r="K1077" s="49"/>
      <c r="L1077" s="50">
        <v>469.0</v>
      </c>
      <c r="M1077" s="50">
        <v>101.0</v>
      </c>
      <c r="N1077" s="50">
        <v>12.0</v>
      </c>
      <c r="O1077" s="49">
        <v>82.280701754386</v>
      </c>
      <c r="P1077" s="51"/>
    </row>
    <row r="1078" ht="15.0" hidden="1" customHeight="1">
      <c r="A1078" s="39">
        <v>1072.0</v>
      </c>
      <c r="B1078" s="40" t="s">
        <v>22</v>
      </c>
      <c r="C1078" s="59" t="s">
        <v>337</v>
      </c>
      <c r="D1078" s="59" t="s">
        <v>350</v>
      </c>
      <c r="E1078" s="59"/>
      <c r="F1078" s="40" t="s">
        <v>350</v>
      </c>
      <c r="G1078" s="41">
        <v>9186.0</v>
      </c>
      <c r="H1078" s="41">
        <v>1589.0</v>
      </c>
      <c r="I1078" s="41">
        <v>209.0</v>
      </c>
      <c r="J1078" s="42">
        <v>85.2529002320186</v>
      </c>
      <c r="K1078" s="42"/>
      <c r="L1078" s="43">
        <v>7772.0</v>
      </c>
      <c r="M1078" s="43">
        <v>319.0</v>
      </c>
      <c r="N1078" s="43">
        <v>55.0</v>
      </c>
      <c r="O1078" s="42">
        <v>96.0573476702509</v>
      </c>
      <c r="P1078" s="44"/>
    </row>
    <row r="1079" ht="15.0" hidden="1" customHeight="1">
      <c r="A1079" s="45">
        <v>1073.0</v>
      </c>
      <c r="B1079" s="46" t="s">
        <v>22</v>
      </c>
      <c r="C1079" s="46" t="s">
        <v>337</v>
      </c>
      <c r="D1079" s="46" t="s">
        <v>350</v>
      </c>
      <c r="E1079" s="46"/>
      <c r="F1079" s="47" t="s">
        <v>18</v>
      </c>
      <c r="G1079" s="48">
        <v>5891.0</v>
      </c>
      <c r="H1079" s="48">
        <v>925.0</v>
      </c>
      <c r="I1079" s="48">
        <v>118.0</v>
      </c>
      <c r="J1079" s="49">
        <v>86.4289906103286</v>
      </c>
      <c r="K1079" s="49"/>
      <c r="L1079" s="50">
        <v>5037.0</v>
      </c>
      <c r="M1079" s="50">
        <v>191.0</v>
      </c>
      <c r="N1079" s="50">
        <v>31.0</v>
      </c>
      <c r="O1079" s="49">
        <v>96.3465952563122</v>
      </c>
      <c r="P1079" s="51"/>
    </row>
    <row r="1080" ht="15.0" hidden="1" customHeight="1">
      <c r="A1080" s="45">
        <v>1074.0</v>
      </c>
      <c r="B1080" s="46" t="s">
        <v>22</v>
      </c>
      <c r="C1080" s="46" t="s">
        <v>337</v>
      </c>
      <c r="D1080" s="46" t="s">
        <v>350</v>
      </c>
      <c r="E1080" s="46"/>
      <c r="F1080" s="47" t="s">
        <v>19</v>
      </c>
      <c r="G1080" s="48">
        <v>3295.0</v>
      </c>
      <c r="H1080" s="48">
        <v>664.0</v>
      </c>
      <c r="I1080" s="48">
        <v>91.0</v>
      </c>
      <c r="J1080" s="49">
        <v>83.2280879009851</v>
      </c>
      <c r="K1080" s="49"/>
      <c r="L1080" s="50">
        <v>2735.0</v>
      </c>
      <c r="M1080" s="50">
        <v>128.0</v>
      </c>
      <c r="N1080" s="50">
        <v>24.0</v>
      </c>
      <c r="O1080" s="49">
        <v>95.5291652113168</v>
      </c>
      <c r="P1080" s="51"/>
    </row>
    <row r="1081" ht="15.0" customHeight="1">
      <c r="A1081" s="52">
        <v>1075.0</v>
      </c>
      <c r="B1081" s="53" t="s">
        <v>24</v>
      </c>
      <c r="C1081" s="60" t="s">
        <v>337</v>
      </c>
      <c r="D1081" s="60" t="s">
        <v>350</v>
      </c>
      <c r="E1081" s="60" t="s">
        <v>351</v>
      </c>
      <c r="F1081" s="61" t="s">
        <v>351</v>
      </c>
      <c r="G1081" s="54">
        <v>1199.0</v>
      </c>
      <c r="H1081" s="54">
        <v>259.0</v>
      </c>
      <c r="I1081" s="54">
        <v>20.0</v>
      </c>
      <c r="J1081" s="55">
        <v>82.2359396433471</v>
      </c>
      <c r="K1081" s="55">
        <f>G1081+H1081+I1081</f>
        <v>1478</v>
      </c>
      <c r="L1081" s="56">
        <v>1054.0</v>
      </c>
      <c r="M1081" s="56">
        <v>48.0</v>
      </c>
      <c r="N1081" s="56">
        <v>8.0</v>
      </c>
      <c r="O1081" s="55">
        <v>95.6442831215971</v>
      </c>
      <c r="P1081" s="57">
        <f>L1081+M1081+N1081</f>
        <v>1110</v>
      </c>
    </row>
    <row r="1082" ht="15.0" hidden="1" customHeight="1">
      <c r="A1082" s="45">
        <v>1076.0</v>
      </c>
      <c r="B1082" s="46" t="s">
        <v>24</v>
      </c>
      <c r="C1082" s="46" t="s">
        <v>337</v>
      </c>
      <c r="D1082" s="46" t="s">
        <v>350</v>
      </c>
      <c r="E1082" s="46" t="s">
        <v>351</v>
      </c>
      <c r="F1082" s="47" t="s">
        <v>18</v>
      </c>
      <c r="G1082" s="48">
        <v>387.0</v>
      </c>
      <c r="H1082" s="48">
        <v>68.0</v>
      </c>
      <c r="I1082" s="48">
        <v>6.0</v>
      </c>
      <c r="J1082" s="49">
        <v>85.0549450549451</v>
      </c>
      <c r="K1082" s="49"/>
      <c r="L1082" s="50">
        <v>422.0</v>
      </c>
      <c r="M1082" s="50">
        <v>20.0</v>
      </c>
      <c r="N1082" s="50">
        <v>1.0</v>
      </c>
      <c r="O1082" s="49">
        <v>95.4751131221719</v>
      </c>
      <c r="P1082" s="51"/>
    </row>
    <row r="1083" ht="15.0" hidden="1" customHeight="1">
      <c r="A1083" s="45">
        <v>1077.0</v>
      </c>
      <c r="B1083" s="46" t="s">
        <v>24</v>
      </c>
      <c r="C1083" s="46" t="s">
        <v>337</v>
      </c>
      <c r="D1083" s="46" t="s">
        <v>350</v>
      </c>
      <c r="E1083" s="46" t="s">
        <v>351</v>
      </c>
      <c r="F1083" s="47" t="s">
        <v>19</v>
      </c>
      <c r="G1083" s="48">
        <v>812.0</v>
      </c>
      <c r="H1083" s="48">
        <v>191.0</v>
      </c>
      <c r="I1083" s="48">
        <v>14.0</v>
      </c>
      <c r="J1083" s="49">
        <v>80.9571286141575</v>
      </c>
      <c r="K1083" s="49"/>
      <c r="L1083" s="50">
        <v>632.0</v>
      </c>
      <c r="M1083" s="50">
        <v>28.0</v>
      </c>
      <c r="N1083" s="50">
        <v>7.0</v>
      </c>
      <c r="O1083" s="49">
        <v>95.7575757575758</v>
      </c>
      <c r="P1083" s="51"/>
    </row>
    <row r="1084" ht="15.0" customHeight="1">
      <c r="A1084" s="52">
        <v>1078.0</v>
      </c>
      <c r="B1084" s="53" t="s">
        <v>24</v>
      </c>
      <c r="C1084" s="60" t="s">
        <v>337</v>
      </c>
      <c r="D1084" s="60" t="s">
        <v>350</v>
      </c>
      <c r="E1084" s="60" t="s">
        <v>352</v>
      </c>
      <c r="F1084" s="61" t="s">
        <v>352</v>
      </c>
      <c r="G1084" s="54">
        <v>2092.0</v>
      </c>
      <c r="H1084" s="54">
        <v>263.0</v>
      </c>
      <c r="I1084" s="54">
        <v>80.0</v>
      </c>
      <c r="J1084" s="55">
        <v>88.8322717622081</v>
      </c>
      <c r="K1084" s="55">
        <f>G1084+H1084+I1084</f>
        <v>2435</v>
      </c>
      <c r="L1084" s="56">
        <v>1464.0</v>
      </c>
      <c r="M1084" s="56">
        <v>65.0</v>
      </c>
      <c r="N1084" s="56">
        <v>10.0</v>
      </c>
      <c r="O1084" s="55">
        <v>95.7488554610857</v>
      </c>
      <c r="P1084" s="57">
        <f>L1084+M1084+N1084</f>
        <v>1539</v>
      </c>
    </row>
    <row r="1085" ht="15.0" hidden="1" customHeight="1">
      <c r="A1085" s="45">
        <v>1079.0</v>
      </c>
      <c r="B1085" s="46" t="s">
        <v>24</v>
      </c>
      <c r="C1085" s="46" t="s">
        <v>337</v>
      </c>
      <c r="D1085" s="46" t="s">
        <v>350</v>
      </c>
      <c r="E1085" s="46" t="s">
        <v>352</v>
      </c>
      <c r="F1085" s="47" t="s">
        <v>18</v>
      </c>
      <c r="G1085" s="48">
        <v>1369.0</v>
      </c>
      <c r="H1085" s="48">
        <v>187.0</v>
      </c>
      <c r="I1085" s="48">
        <v>36.0</v>
      </c>
      <c r="J1085" s="49">
        <v>87.9820051413882</v>
      </c>
      <c r="K1085" s="49"/>
      <c r="L1085" s="50">
        <v>1040.0</v>
      </c>
      <c r="M1085" s="50">
        <v>35.0</v>
      </c>
      <c r="N1085" s="50">
        <v>6.0</v>
      </c>
      <c r="O1085" s="49">
        <v>96.7441860465116</v>
      </c>
      <c r="P1085" s="51"/>
    </row>
    <row r="1086" ht="15.0" hidden="1" customHeight="1">
      <c r="A1086" s="45">
        <v>1080.0</v>
      </c>
      <c r="B1086" s="46" t="s">
        <v>24</v>
      </c>
      <c r="C1086" s="46" t="s">
        <v>337</v>
      </c>
      <c r="D1086" s="46" t="s">
        <v>350</v>
      </c>
      <c r="E1086" s="46" t="s">
        <v>352</v>
      </c>
      <c r="F1086" s="47" t="s">
        <v>19</v>
      </c>
      <c r="G1086" s="48">
        <v>723.0</v>
      </c>
      <c r="H1086" s="48">
        <v>76.0</v>
      </c>
      <c r="I1086" s="48">
        <v>44.0</v>
      </c>
      <c r="J1086" s="49">
        <v>90.4881101376721</v>
      </c>
      <c r="K1086" s="49"/>
      <c r="L1086" s="50">
        <v>424.0</v>
      </c>
      <c r="M1086" s="50">
        <v>30.0</v>
      </c>
      <c r="N1086" s="50">
        <v>4.0</v>
      </c>
      <c r="O1086" s="49">
        <v>93.3920704845815</v>
      </c>
      <c r="P1086" s="51"/>
    </row>
    <row r="1087" ht="15.0" customHeight="1">
      <c r="A1087" s="52">
        <v>1081.0</v>
      </c>
      <c r="B1087" s="53" t="s">
        <v>24</v>
      </c>
      <c r="C1087" s="60" t="s">
        <v>337</v>
      </c>
      <c r="D1087" s="60" t="s">
        <v>350</v>
      </c>
      <c r="E1087" s="60" t="s">
        <v>353</v>
      </c>
      <c r="F1087" s="61" t="s">
        <v>353</v>
      </c>
      <c r="G1087" s="54">
        <v>4918.0</v>
      </c>
      <c r="H1087" s="54">
        <v>951.0</v>
      </c>
      <c r="I1087" s="54">
        <v>94.0</v>
      </c>
      <c r="J1087" s="55">
        <v>83.7962174135287</v>
      </c>
      <c r="K1087" s="55">
        <f>G1087+H1087+I1087</f>
        <v>5963</v>
      </c>
      <c r="L1087" s="56">
        <v>4421.0</v>
      </c>
      <c r="M1087" s="56">
        <v>176.0</v>
      </c>
      <c r="N1087" s="56">
        <v>32.0</v>
      </c>
      <c r="O1087" s="55">
        <v>96.1714161409615</v>
      </c>
      <c r="P1087" s="57">
        <f>L1087+M1087+N1087</f>
        <v>4629</v>
      </c>
    </row>
    <row r="1088" ht="15.0" hidden="1" customHeight="1">
      <c r="A1088" s="45">
        <v>1082.0</v>
      </c>
      <c r="B1088" s="46" t="s">
        <v>24</v>
      </c>
      <c r="C1088" s="46" t="s">
        <v>337</v>
      </c>
      <c r="D1088" s="46" t="s">
        <v>350</v>
      </c>
      <c r="E1088" s="46" t="s">
        <v>353</v>
      </c>
      <c r="F1088" s="47" t="s">
        <v>18</v>
      </c>
      <c r="G1088" s="48">
        <v>3536.0</v>
      </c>
      <c r="H1088" s="48">
        <v>605.0</v>
      </c>
      <c r="I1088" s="48">
        <v>68.0</v>
      </c>
      <c r="J1088" s="49">
        <v>85.3900024148756</v>
      </c>
      <c r="K1088" s="49"/>
      <c r="L1088" s="50">
        <v>3039.0</v>
      </c>
      <c r="M1088" s="50">
        <v>120.0</v>
      </c>
      <c r="N1088" s="50">
        <v>22.0</v>
      </c>
      <c r="O1088" s="49">
        <v>96.2013295346629</v>
      </c>
      <c r="P1088" s="51"/>
    </row>
    <row r="1089" ht="15.0" hidden="1" customHeight="1">
      <c r="A1089" s="45">
        <v>1083.0</v>
      </c>
      <c r="B1089" s="46" t="s">
        <v>24</v>
      </c>
      <c r="C1089" s="46" t="s">
        <v>337</v>
      </c>
      <c r="D1089" s="46" t="s">
        <v>350</v>
      </c>
      <c r="E1089" s="46" t="s">
        <v>353</v>
      </c>
      <c r="F1089" s="47" t="s">
        <v>19</v>
      </c>
      <c r="G1089" s="48">
        <v>1382.0</v>
      </c>
      <c r="H1089" s="48">
        <v>346.0</v>
      </c>
      <c r="I1089" s="48">
        <v>26.0</v>
      </c>
      <c r="J1089" s="49">
        <v>79.9768518518518</v>
      </c>
      <c r="K1089" s="49"/>
      <c r="L1089" s="50">
        <v>1382.0</v>
      </c>
      <c r="M1089" s="50">
        <v>56.0</v>
      </c>
      <c r="N1089" s="50">
        <v>10.0</v>
      </c>
      <c r="O1089" s="49">
        <v>96.105702364395</v>
      </c>
      <c r="P1089" s="51"/>
    </row>
    <row r="1090" ht="15.0" customHeight="1">
      <c r="A1090" s="52">
        <v>1084.0</v>
      </c>
      <c r="B1090" s="53" t="s">
        <v>24</v>
      </c>
      <c r="C1090" s="60" t="s">
        <v>337</v>
      </c>
      <c r="D1090" s="60" t="s">
        <v>350</v>
      </c>
      <c r="E1090" s="60" t="s">
        <v>354</v>
      </c>
      <c r="F1090" s="61" t="s">
        <v>354</v>
      </c>
      <c r="G1090" s="54">
        <v>977.0</v>
      </c>
      <c r="H1090" s="54">
        <v>116.0</v>
      </c>
      <c r="I1090" s="54">
        <v>15.0</v>
      </c>
      <c r="J1090" s="55">
        <v>89.3870082342177</v>
      </c>
      <c r="K1090" s="55">
        <f>G1090+H1090+I1090</f>
        <v>1108</v>
      </c>
      <c r="L1090" s="56">
        <v>833.0</v>
      </c>
      <c r="M1090" s="56">
        <v>30.0</v>
      </c>
      <c r="N1090" s="56">
        <v>5.0</v>
      </c>
      <c r="O1090" s="55">
        <v>96.5237543453071</v>
      </c>
      <c r="P1090" s="57">
        <f>L1090+M1090+N1090</f>
        <v>868</v>
      </c>
    </row>
    <row r="1091" ht="15.0" hidden="1" customHeight="1">
      <c r="A1091" s="45">
        <v>1085.0</v>
      </c>
      <c r="B1091" s="46" t="s">
        <v>24</v>
      </c>
      <c r="C1091" s="46" t="s">
        <v>337</v>
      </c>
      <c r="D1091" s="46" t="s">
        <v>350</v>
      </c>
      <c r="E1091" s="46" t="s">
        <v>354</v>
      </c>
      <c r="F1091" s="47" t="s">
        <v>18</v>
      </c>
      <c r="G1091" s="48">
        <v>599.0</v>
      </c>
      <c r="H1091" s="48">
        <v>65.0</v>
      </c>
      <c r="I1091" s="48">
        <v>8.0</v>
      </c>
      <c r="J1091" s="49">
        <v>90.210843373494</v>
      </c>
      <c r="K1091" s="49"/>
      <c r="L1091" s="50">
        <v>536.0</v>
      </c>
      <c r="M1091" s="50">
        <v>16.0</v>
      </c>
      <c r="N1091" s="50">
        <v>2.0</v>
      </c>
      <c r="O1091" s="49">
        <v>97.1014492753623</v>
      </c>
      <c r="P1091" s="51"/>
    </row>
    <row r="1092" ht="15.0" hidden="1" customHeight="1">
      <c r="A1092" s="45">
        <v>1086.0</v>
      </c>
      <c r="B1092" s="46" t="s">
        <v>24</v>
      </c>
      <c r="C1092" s="46" t="s">
        <v>337</v>
      </c>
      <c r="D1092" s="46" t="s">
        <v>350</v>
      </c>
      <c r="E1092" s="46" t="s">
        <v>354</v>
      </c>
      <c r="F1092" s="47" t="s">
        <v>19</v>
      </c>
      <c r="G1092" s="48">
        <v>378.0</v>
      </c>
      <c r="H1092" s="48">
        <v>51.0</v>
      </c>
      <c r="I1092" s="48">
        <v>7.0</v>
      </c>
      <c r="J1092" s="49">
        <v>88.1118881118881</v>
      </c>
      <c r="K1092" s="49"/>
      <c r="L1092" s="50">
        <v>297.0</v>
      </c>
      <c r="M1092" s="50">
        <v>14.0</v>
      </c>
      <c r="N1092" s="50">
        <v>3.0</v>
      </c>
      <c r="O1092" s="49">
        <v>95.4983922829582</v>
      </c>
      <c r="P1092" s="51"/>
    </row>
    <row r="1093" ht="15.0" hidden="1" customHeight="1">
      <c r="A1093" s="39">
        <v>1087.0</v>
      </c>
      <c r="B1093" s="40" t="s">
        <v>22</v>
      </c>
      <c r="C1093" s="59" t="s">
        <v>337</v>
      </c>
      <c r="D1093" s="59" t="s">
        <v>355</v>
      </c>
      <c r="E1093" s="59"/>
      <c r="F1093" s="40" t="s">
        <v>355</v>
      </c>
      <c r="G1093" s="41">
        <v>9367.0</v>
      </c>
      <c r="H1093" s="41">
        <v>1867.0</v>
      </c>
      <c r="I1093" s="41">
        <v>136.0</v>
      </c>
      <c r="J1093" s="42">
        <v>83.3808082606374</v>
      </c>
      <c r="K1093" s="42"/>
      <c r="L1093" s="43">
        <v>11215.0</v>
      </c>
      <c r="M1093" s="43">
        <v>2378.0</v>
      </c>
      <c r="N1093" s="43">
        <v>185.0</v>
      </c>
      <c r="O1093" s="42">
        <v>82.5057014639888</v>
      </c>
      <c r="P1093" s="44"/>
    </row>
    <row r="1094" ht="15.0" hidden="1" customHeight="1">
      <c r="A1094" s="45">
        <v>1088.0</v>
      </c>
      <c r="B1094" s="46" t="s">
        <v>22</v>
      </c>
      <c r="C1094" s="46" t="s">
        <v>337</v>
      </c>
      <c r="D1094" s="46" t="s">
        <v>355</v>
      </c>
      <c r="E1094" s="46"/>
      <c r="F1094" s="47" t="s">
        <v>18</v>
      </c>
      <c r="G1094" s="48">
        <v>3129.0</v>
      </c>
      <c r="H1094" s="48">
        <v>612.0</v>
      </c>
      <c r="I1094" s="48">
        <v>31.0</v>
      </c>
      <c r="J1094" s="49">
        <v>83.6407377706496</v>
      </c>
      <c r="K1094" s="49"/>
      <c r="L1094" s="50">
        <v>3696.0</v>
      </c>
      <c r="M1094" s="50">
        <v>195.0</v>
      </c>
      <c r="N1094" s="50">
        <v>35.0</v>
      </c>
      <c r="O1094" s="49">
        <v>94.988434849653</v>
      </c>
      <c r="P1094" s="51"/>
    </row>
    <row r="1095" ht="15.0" hidden="1" customHeight="1">
      <c r="A1095" s="45">
        <v>1089.0</v>
      </c>
      <c r="B1095" s="46" t="s">
        <v>22</v>
      </c>
      <c r="C1095" s="46" t="s">
        <v>337</v>
      </c>
      <c r="D1095" s="46" t="s">
        <v>355</v>
      </c>
      <c r="E1095" s="46"/>
      <c r="F1095" s="47" t="s">
        <v>19</v>
      </c>
      <c r="G1095" s="48">
        <v>6238.0</v>
      </c>
      <c r="H1095" s="48">
        <v>1255.0</v>
      </c>
      <c r="I1095" s="48">
        <v>105.0</v>
      </c>
      <c r="J1095" s="49">
        <v>83.2510342986788</v>
      </c>
      <c r="K1095" s="49"/>
      <c r="L1095" s="50">
        <v>7519.0</v>
      </c>
      <c r="M1095" s="50">
        <v>2183.0</v>
      </c>
      <c r="N1095" s="50">
        <v>150.0</v>
      </c>
      <c r="O1095" s="49">
        <v>77.4994846423418</v>
      </c>
      <c r="P1095" s="51"/>
    </row>
    <row r="1096" ht="15.0" customHeight="1">
      <c r="A1096" s="52">
        <v>1090.0</v>
      </c>
      <c r="B1096" s="53" t="s">
        <v>24</v>
      </c>
      <c r="C1096" s="60" t="s">
        <v>337</v>
      </c>
      <c r="D1096" s="60" t="s">
        <v>355</v>
      </c>
      <c r="E1096" s="60" t="s">
        <v>356</v>
      </c>
      <c r="F1096" s="61" t="s">
        <v>356</v>
      </c>
      <c r="G1096" s="54">
        <v>3256.0</v>
      </c>
      <c r="H1096" s="54">
        <v>589.0</v>
      </c>
      <c r="I1096" s="54">
        <v>38.0</v>
      </c>
      <c r="J1096" s="55">
        <v>84.6814044213264</v>
      </c>
      <c r="K1096" s="55">
        <f>G1096+H1096+I1096</f>
        <v>3883</v>
      </c>
      <c r="L1096" s="56">
        <v>3614.0</v>
      </c>
      <c r="M1096" s="56">
        <v>1173.0</v>
      </c>
      <c r="N1096" s="56">
        <v>71.0</v>
      </c>
      <c r="O1096" s="55">
        <v>75.4961353666179</v>
      </c>
      <c r="P1096" s="57">
        <f>L1096+M1096+N1096</f>
        <v>4858</v>
      </c>
    </row>
    <row r="1097" ht="15.0" hidden="1" customHeight="1">
      <c r="A1097" s="45">
        <v>1091.0</v>
      </c>
      <c r="B1097" s="46" t="s">
        <v>24</v>
      </c>
      <c r="C1097" s="46" t="s">
        <v>337</v>
      </c>
      <c r="D1097" s="46" t="s">
        <v>355</v>
      </c>
      <c r="E1097" s="46" t="s">
        <v>356</v>
      </c>
      <c r="F1097" s="47" t="s">
        <v>18</v>
      </c>
      <c r="G1097" s="48">
        <v>1250.0</v>
      </c>
      <c r="H1097" s="48">
        <v>185.0</v>
      </c>
      <c r="I1097" s="48">
        <v>13.0</v>
      </c>
      <c r="J1097" s="49">
        <v>87.1080139372822</v>
      </c>
      <c r="K1097" s="49"/>
      <c r="L1097" s="50">
        <v>1090.0</v>
      </c>
      <c r="M1097" s="50">
        <v>73.0</v>
      </c>
      <c r="N1097" s="50">
        <v>12.0</v>
      </c>
      <c r="O1097" s="49">
        <v>93.7231298366294</v>
      </c>
      <c r="P1097" s="51"/>
    </row>
    <row r="1098" ht="15.0" hidden="1" customHeight="1">
      <c r="A1098" s="45">
        <v>1092.0</v>
      </c>
      <c r="B1098" s="46" t="s">
        <v>24</v>
      </c>
      <c r="C1098" s="46" t="s">
        <v>337</v>
      </c>
      <c r="D1098" s="46" t="s">
        <v>355</v>
      </c>
      <c r="E1098" s="46" t="s">
        <v>356</v>
      </c>
      <c r="F1098" s="47" t="s">
        <v>19</v>
      </c>
      <c r="G1098" s="48">
        <v>2006.0</v>
      </c>
      <c r="H1098" s="48">
        <v>404.0</v>
      </c>
      <c r="I1098" s="48">
        <v>25.0</v>
      </c>
      <c r="J1098" s="49">
        <v>83.2365145228216</v>
      </c>
      <c r="K1098" s="49"/>
      <c r="L1098" s="50">
        <v>2524.0</v>
      </c>
      <c r="M1098" s="50">
        <v>1100.0</v>
      </c>
      <c r="N1098" s="50">
        <v>59.0</v>
      </c>
      <c r="O1098" s="49">
        <v>69.6467991169978</v>
      </c>
      <c r="P1098" s="51"/>
    </row>
    <row r="1099" ht="15.0" customHeight="1">
      <c r="A1099" s="52">
        <v>1093.0</v>
      </c>
      <c r="B1099" s="53" t="s">
        <v>24</v>
      </c>
      <c r="C1099" s="60" t="s">
        <v>337</v>
      </c>
      <c r="D1099" s="60" t="s">
        <v>355</v>
      </c>
      <c r="E1099" s="60" t="s">
        <v>357</v>
      </c>
      <c r="F1099" s="61" t="s">
        <v>357</v>
      </c>
      <c r="G1099" s="54">
        <v>4753.0</v>
      </c>
      <c r="H1099" s="54">
        <v>1108.0</v>
      </c>
      <c r="I1099" s="54">
        <v>87.0</v>
      </c>
      <c r="J1099" s="55">
        <v>81.0953762156629</v>
      </c>
      <c r="K1099" s="55">
        <f>G1099+H1099+I1099</f>
        <v>5948</v>
      </c>
      <c r="L1099" s="56">
        <v>6130.0</v>
      </c>
      <c r="M1099" s="56">
        <v>1040.0</v>
      </c>
      <c r="N1099" s="56">
        <v>105.0</v>
      </c>
      <c r="O1099" s="55">
        <v>85.4951185495118</v>
      </c>
      <c r="P1099" s="57">
        <f>L1099+M1099+N1099</f>
        <v>7275</v>
      </c>
    </row>
    <row r="1100" ht="15.0" hidden="1" customHeight="1">
      <c r="A1100" s="45">
        <v>1094.0</v>
      </c>
      <c r="B1100" s="46" t="s">
        <v>24</v>
      </c>
      <c r="C1100" s="46" t="s">
        <v>337</v>
      </c>
      <c r="D1100" s="46" t="s">
        <v>355</v>
      </c>
      <c r="E1100" s="46" t="s">
        <v>357</v>
      </c>
      <c r="F1100" s="47" t="s">
        <v>18</v>
      </c>
      <c r="G1100" s="48">
        <v>917.0</v>
      </c>
      <c r="H1100" s="48">
        <v>315.0</v>
      </c>
      <c r="I1100" s="48">
        <v>12.0</v>
      </c>
      <c r="J1100" s="49">
        <v>74.4318181818182</v>
      </c>
      <c r="K1100" s="49"/>
      <c r="L1100" s="50">
        <v>1649.0</v>
      </c>
      <c r="M1100" s="50">
        <v>87.0</v>
      </c>
      <c r="N1100" s="50">
        <v>16.0</v>
      </c>
      <c r="O1100" s="49">
        <v>94.9884792626728</v>
      </c>
      <c r="P1100" s="51"/>
    </row>
    <row r="1101" ht="15.0" hidden="1" customHeight="1">
      <c r="A1101" s="45">
        <v>1095.0</v>
      </c>
      <c r="B1101" s="46" t="s">
        <v>24</v>
      </c>
      <c r="C1101" s="46" t="s">
        <v>337</v>
      </c>
      <c r="D1101" s="46" t="s">
        <v>355</v>
      </c>
      <c r="E1101" s="46" t="s">
        <v>357</v>
      </c>
      <c r="F1101" s="47" t="s">
        <v>19</v>
      </c>
      <c r="G1101" s="48">
        <v>3836.0</v>
      </c>
      <c r="H1101" s="48">
        <v>793.0</v>
      </c>
      <c r="I1101" s="48">
        <v>75.0</v>
      </c>
      <c r="J1101" s="49">
        <v>82.8688701663426</v>
      </c>
      <c r="K1101" s="49"/>
      <c r="L1101" s="50">
        <v>4481.0</v>
      </c>
      <c r="M1101" s="50">
        <v>953.0</v>
      </c>
      <c r="N1101" s="50">
        <v>89.0</v>
      </c>
      <c r="O1101" s="49">
        <v>82.4622745675377</v>
      </c>
      <c r="P1101" s="51"/>
    </row>
    <row r="1102" ht="15.0" customHeight="1">
      <c r="A1102" s="52">
        <v>1096.0</v>
      </c>
      <c r="B1102" s="53" t="s">
        <v>24</v>
      </c>
      <c r="C1102" s="60" t="s">
        <v>337</v>
      </c>
      <c r="D1102" s="60" t="s">
        <v>355</v>
      </c>
      <c r="E1102" s="60" t="s">
        <v>358</v>
      </c>
      <c r="F1102" s="61" t="s">
        <v>358</v>
      </c>
      <c r="G1102" s="54">
        <v>1358.0</v>
      </c>
      <c r="H1102" s="54">
        <v>170.0</v>
      </c>
      <c r="I1102" s="54">
        <v>11.0</v>
      </c>
      <c r="J1102" s="55">
        <v>88.8743455497382</v>
      </c>
      <c r="K1102" s="55">
        <f>G1102+H1102+I1102</f>
        <v>1539</v>
      </c>
      <c r="L1102" s="56">
        <v>1471.0</v>
      </c>
      <c r="M1102" s="56">
        <v>165.0</v>
      </c>
      <c r="N1102" s="56">
        <v>9.0</v>
      </c>
      <c r="O1102" s="55">
        <v>89.9144254278729</v>
      </c>
      <c r="P1102" s="57">
        <f>L1102+M1102+N1102</f>
        <v>1645</v>
      </c>
    </row>
    <row r="1103" ht="15.0" hidden="1" customHeight="1">
      <c r="A1103" s="45">
        <v>1097.0</v>
      </c>
      <c r="B1103" s="46" t="s">
        <v>24</v>
      </c>
      <c r="C1103" s="46" t="s">
        <v>337</v>
      </c>
      <c r="D1103" s="46" t="s">
        <v>355</v>
      </c>
      <c r="E1103" s="46" t="s">
        <v>358</v>
      </c>
      <c r="F1103" s="47" t="s">
        <v>18</v>
      </c>
      <c r="G1103" s="48">
        <v>962.0</v>
      </c>
      <c r="H1103" s="48">
        <v>112.0</v>
      </c>
      <c r="I1103" s="48">
        <v>6.0</v>
      </c>
      <c r="J1103" s="49">
        <v>89.5716945996276</v>
      </c>
      <c r="K1103" s="49"/>
      <c r="L1103" s="50">
        <v>957.0</v>
      </c>
      <c r="M1103" s="50">
        <v>35.0</v>
      </c>
      <c r="N1103" s="50">
        <v>7.0</v>
      </c>
      <c r="O1103" s="49">
        <v>96.4717741935484</v>
      </c>
      <c r="P1103" s="51"/>
    </row>
    <row r="1104" ht="15.0" hidden="1" customHeight="1">
      <c r="A1104" s="45">
        <v>1098.0</v>
      </c>
      <c r="B1104" s="46" t="s">
        <v>24</v>
      </c>
      <c r="C1104" s="46" t="s">
        <v>337</v>
      </c>
      <c r="D1104" s="46" t="s">
        <v>355</v>
      </c>
      <c r="E1104" s="46" t="s">
        <v>358</v>
      </c>
      <c r="F1104" s="47" t="s">
        <v>19</v>
      </c>
      <c r="G1104" s="48">
        <v>396.0</v>
      </c>
      <c r="H1104" s="48">
        <v>58.0</v>
      </c>
      <c r="I1104" s="48">
        <v>5.0</v>
      </c>
      <c r="J1104" s="49">
        <v>87.2246696035242</v>
      </c>
      <c r="K1104" s="49"/>
      <c r="L1104" s="50">
        <v>514.0</v>
      </c>
      <c r="M1104" s="50">
        <v>130.0</v>
      </c>
      <c r="N1104" s="50">
        <v>2.0</v>
      </c>
      <c r="O1104" s="49">
        <v>79.8136645962733</v>
      </c>
      <c r="P1104" s="51"/>
    </row>
    <row r="1105" ht="15.0" hidden="1" customHeight="1">
      <c r="A1105" s="39">
        <v>1099.0</v>
      </c>
      <c r="B1105" s="40" t="s">
        <v>22</v>
      </c>
      <c r="C1105" s="59" t="s">
        <v>337</v>
      </c>
      <c r="D1105" s="59" t="s">
        <v>359</v>
      </c>
      <c r="E1105" s="59"/>
      <c r="F1105" s="40" t="s">
        <v>359</v>
      </c>
      <c r="G1105" s="41">
        <v>4412.0</v>
      </c>
      <c r="H1105" s="41">
        <v>777.0</v>
      </c>
      <c r="I1105" s="41">
        <v>78.0</v>
      </c>
      <c r="J1105" s="42">
        <v>85.0260165735209</v>
      </c>
      <c r="K1105" s="42"/>
      <c r="L1105" s="43">
        <v>3396.0</v>
      </c>
      <c r="M1105" s="43">
        <v>154.0</v>
      </c>
      <c r="N1105" s="43">
        <v>30.0</v>
      </c>
      <c r="O1105" s="42">
        <v>95.6619718309859</v>
      </c>
      <c r="P1105" s="44"/>
    </row>
    <row r="1106" ht="15.0" hidden="1" customHeight="1">
      <c r="A1106" s="45">
        <v>1100.0</v>
      </c>
      <c r="B1106" s="46" t="s">
        <v>22</v>
      </c>
      <c r="C1106" s="46" t="s">
        <v>337</v>
      </c>
      <c r="D1106" s="46" t="s">
        <v>359</v>
      </c>
      <c r="E1106" s="46"/>
      <c r="F1106" s="47" t="s">
        <v>18</v>
      </c>
      <c r="G1106" s="48">
        <v>2523.0</v>
      </c>
      <c r="H1106" s="48">
        <v>344.0</v>
      </c>
      <c r="I1106" s="48">
        <v>45.0</v>
      </c>
      <c r="J1106" s="49">
        <v>88.0013951866062</v>
      </c>
      <c r="K1106" s="49"/>
      <c r="L1106" s="50">
        <v>2051.0</v>
      </c>
      <c r="M1106" s="50">
        <v>77.0</v>
      </c>
      <c r="N1106" s="50">
        <v>20.0</v>
      </c>
      <c r="O1106" s="49">
        <v>96.3815789473684</v>
      </c>
      <c r="P1106" s="51"/>
    </row>
    <row r="1107" ht="15.0" hidden="1" customHeight="1">
      <c r="A1107" s="45">
        <v>1101.0</v>
      </c>
      <c r="B1107" s="46" t="s">
        <v>22</v>
      </c>
      <c r="C1107" s="46" t="s">
        <v>337</v>
      </c>
      <c r="D1107" s="46" t="s">
        <v>359</v>
      </c>
      <c r="E1107" s="46"/>
      <c r="F1107" s="47" t="s">
        <v>19</v>
      </c>
      <c r="G1107" s="48">
        <v>1889.0</v>
      </c>
      <c r="H1107" s="48">
        <v>433.0</v>
      </c>
      <c r="I1107" s="48">
        <v>33.0</v>
      </c>
      <c r="J1107" s="49">
        <v>81.3522825150732</v>
      </c>
      <c r="K1107" s="49"/>
      <c r="L1107" s="50">
        <v>1345.0</v>
      </c>
      <c r="M1107" s="50">
        <v>77.0</v>
      </c>
      <c r="N1107" s="50">
        <v>10.0</v>
      </c>
      <c r="O1107" s="49">
        <v>94.5850914205345</v>
      </c>
      <c r="P1107" s="51"/>
    </row>
    <row r="1108" ht="15.0" customHeight="1">
      <c r="A1108" s="52">
        <v>1102.0</v>
      </c>
      <c r="B1108" s="53" t="s">
        <v>24</v>
      </c>
      <c r="C1108" s="60" t="s">
        <v>337</v>
      </c>
      <c r="D1108" s="60" t="s">
        <v>359</v>
      </c>
      <c r="E1108" s="60" t="s">
        <v>360</v>
      </c>
      <c r="F1108" s="61" t="s">
        <v>360</v>
      </c>
      <c r="G1108" s="54">
        <v>1813.0</v>
      </c>
      <c r="H1108" s="54">
        <v>295.0</v>
      </c>
      <c r="I1108" s="54">
        <v>34.0</v>
      </c>
      <c r="J1108" s="55">
        <v>86.0056925996205</v>
      </c>
      <c r="K1108" s="55">
        <f>G1108+H1108+I1108</f>
        <v>2142</v>
      </c>
      <c r="L1108" s="56">
        <v>1633.0</v>
      </c>
      <c r="M1108" s="56">
        <v>73.0</v>
      </c>
      <c r="N1108" s="56">
        <v>17.0</v>
      </c>
      <c r="O1108" s="55">
        <v>95.7209847596718</v>
      </c>
      <c r="P1108" s="57">
        <f>L1108+M1108+N1108</f>
        <v>1723</v>
      </c>
    </row>
    <row r="1109" ht="15.0" hidden="1" customHeight="1">
      <c r="A1109" s="45">
        <v>1103.0</v>
      </c>
      <c r="B1109" s="46" t="s">
        <v>24</v>
      </c>
      <c r="C1109" s="46" t="s">
        <v>337</v>
      </c>
      <c r="D1109" s="46" t="s">
        <v>359</v>
      </c>
      <c r="E1109" s="46" t="s">
        <v>360</v>
      </c>
      <c r="F1109" s="47" t="s">
        <v>18</v>
      </c>
      <c r="G1109" s="48">
        <v>1464.0</v>
      </c>
      <c r="H1109" s="48">
        <v>198.0</v>
      </c>
      <c r="I1109" s="48">
        <v>30.0</v>
      </c>
      <c r="J1109" s="49">
        <v>88.086642599278</v>
      </c>
      <c r="K1109" s="49"/>
      <c r="L1109" s="50">
        <v>1319.0</v>
      </c>
      <c r="M1109" s="50">
        <v>50.0</v>
      </c>
      <c r="N1109" s="50">
        <v>12.0</v>
      </c>
      <c r="O1109" s="49">
        <v>96.3476990504018</v>
      </c>
      <c r="P1109" s="51"/>
    </row>
    <row r="1110" ht="15.0" hidden="1" customHeight="1">
      <c r="A1110" s="45">
        <v>1104.0</v>
      </c>
      <c r="B1110" s="46" t="s">
        <v>24</v>
      </c>
      <c r="C1110" s="46" t="s">
        <v>337</v>
      </c>
      <c r="D1110" s="46" t="s">
        <v>359</v>
      </c>
      <c r="E1110" s="46" t="s">
        <v>360</v>
      </c>
      <c r="F1110" s="47" t="s">
        <v>19</v>
      </c>
      <c r="G1110" s="48">
        <v>349.0</v>
      </c>
      <c r="H1110" s="48">
        <v>97.0</v>
      </c>
      <c r="I1110" s="48">
        <v>4.0</v>
      </c>
      <c r="J1110" s="49">
        <v>78.2511210762332</v>
      </c>
      <c r="K1110" s="49"/>
      <c r="L1110" s="50">
        <v>314.0</v>
      </c>
      <c r="M1110" s="50">
        <v>23.0</v>
      </c>
      <c r="N1110" s="50">
        <v>5.0</v>
      </c>
      <c r="O1110" s="49">
        <v>93.1750741839763</v>
      </c>
      <c r="P1110" s="51"/>
    </row>
    <row r="1111" ht="15.0" customHeight="1">
      <c r="A1111" s="52">
        <v>1105.0</v>
      </c>
      <c r="B1111" s="53" t="s">
        <v>24</v>
      </c>
      <c r="C1111" s="60" t="s">
        <v>337</v>
      </c>
      <c r="D1111" s="60" t="s">
        <v>359</v>
      </c>
      <c r="E1111" s="60" t="s">
        <v>361</v>
      </c>
      <c r="F1111" s="61" t="s">
        <v>361</v>
      </c>
      <c r="G1111" s="54">
        <v>1866.0</v>
      </c>
      <c r="H1111" s="54">
        <v>410.0</v>
      </c>
      <c r="I1111" s="54">
        <v>37.0</v>
      </c>
      <c r="J1111" s="55">
        <v>81.9859402460457</v>
      </c>
      <c r="K1111" s="55">
        <f>G1111+H1111+I1111</f>
        <v>2313</v>
      </c>
      <c r="L1111" s="56">
        <v>1319.0</v>
      </c>
      <c r="M1111" s="56">
        <v>51.0</v>
      </c>
      <c r="N1111" s="56">
        <v>6.0</v>
      </c>
      <c r="O1111" s="55">
        <v>96.2773722627737</v>
      </c>
      <c r="P1111" s="57">
        <f>L1111+M1111+N1111</f>
        <v>1376</v>
      </c>
    </row>
    <row r="1112" ht="15.0" hidden="1" customHeight="1">
      <c r="A1112" s="45">
        <v>1106.0</v>
      </c>
      <c r="B1112" s="46" t="s">
        <v>24</v>
      </c>
      <c r="C1112" s="46" t="s">
        <v>337</v>
      </c>
      <c r="D1112" s="46" t="s">
        <v>359</v>
      </c>
      <c r="E1112" s="46" t="s">
        <v>361</v>
      </c>
      <c r="F1112" s="47" t="s">
        <v>18</v>
      </c>
      <c r="G1112" s="48">
        <v>521.0</v>
      </c>
      <c r="H1112" s="48">
        <v>106.0</v>
      </c>
      <c r="I1112" s="48">
        <v>12.0</v>
      </c>
      <c r="J1112" s="49">
        <v>83.0940988835726</v>
      </c>
      <c r="K1112" s="49"/>
      <c r="L1112" s="50">
        <v>360.0</v>
      </c>
      <c r="M1112" s="50">
        <v>9.0</v>
      </c>
      <c r="N1112" s="50">
        <v>2.0</v>
      </c>
      <c r="O1112" s="49">
        <v>97.5609756097561</v>
      </c>
      <c r="P1112" s="51"/>
    </row>
    <row r="1113" ht="15.0" hidden="1" customHeight="1">
      <c r="A1113" s="45">
        <v>1107.0</v>
      </c>
      <c r="B1113" s="46" t="s">
        <v>24</v>
      </c>
      <c r="C1113" s="46" t="s">
        <v>337</v>
      </c>
      <c r="D1113" s="46" t="s">
        <v>359</v>
      </c>
      <c r="E1113" s="46" t="s">
        <v>361</v>
      </c>
      <c r="F1113" s="47" t="s">
        <v>19</v>
      </c>
      <c r="G1113" s="48">
        <v>1345.0</v>
      </c>
      <c r="H1113" s="48">
        <v>304.0</v>
      </c>
      <c r="I1113" s="48">
        <v>25.0</v>
      </c>
      <c r="J1113" s="49">
        <v>81.5645845967253</v>
      </c>
      <c r="K1113" s="49"/>
      <c r="L1113" s="50">
        <v>959.0</v>
      </c>
      <c r="M1113" s="50">
        <v>42.0</v>
      </c>
      <c r="N1113" s="50">
        <v>4.0</v>
      </c>
      <c r="O1113" s="49">
        <v>95.8041958041958</v>
      </c>
      <c r="P1113" s="51"/>
    </row>
    <row r="1114" ht="15.0" customHeight="1">
      <c r="A1114" s="52">
        <v>1108.0</v>
      </c>
      <c r="B1114" s="53" t="s">
        <v>24</v>
      </c>
      <c r="C1114" s="60" t="s">
        <v>337</v>
      </c>
      <c r="D1114" s="60" t="s">
        <v>359</v>
      </c>
      <c r="E1114" s="60" t="s">
        <v>362</v>
      </c>
      <c r="F1114" s="61" t="s">
        <v>362</v>
      </c>
      <c r="G1114" s="54">
        <v>733.0</v>
      </c>
      <c r="H1114" s="54">
        <v>72.0</v>
      </c>
      <c r="I1114" s="54">
        <v>7.0</v>
      </c>
      <c r="J1114" s="55">
        <v>91.055900621118</v>
      </c>
      <c r="K1114" s="55">
        <f>G1114+H1114+I1114</f>
        <v>812</v>
      </c>
      <c r="L1114" s="56">
        <v>444.0</v>
      </c>
      <c r="M1114" s="56">
        <v>30.0</v>
      </c>
      <c r="N1114" s="56">
        <v>7.0</v>
      </c>
      <c r="O1114" s="55">
        <v>93.6708860759494</v>
      </c>
      <c r="P1114" s="57">
        <f>L1114+M1114+N1114</f>
        <v>481</v>
      </c>
    </row>
    <row r="1115" ht="15.0" hidden="1" customHeight="1">
      <c r="A1115" s="45">
        <v>1109.0</v>
      </c>
      <c r="B1115" s="46" t="s">
        <v>24</v>
      </c>
      <c r="C1115" s="46" t="s">
        <v>337</v>
      </c>
      <c r="D1115" s="46" t="s">
        <v>359</v>
      </c>
      <c r="E1115" s="46" t="s">
        <v>362</v>
      </c>
      <c r="F1115" s="47" t="s">
        <v>18</v>
      </c>
      <c r="G1115" s="48">
        <v>538.0</v>
      </c>
      <c r="H1115" s="48">
        <v>40.0</v>
      </c>
      <c r="I1115" s="48">
        <v>3.0</v>
      </c>
      <c r="J1115" s="49">
        <v>93.0795847750865</v>
      </c>
      <c r="K1115" s="49"/>
      <c r="L1115" s="50">
        <v>372.0</v>
      </c>
      <c r="M1115" s="50">
        <v>18.0</v>
      </c>
      <c r="N1115" s="50">
        <v>6.0</v>
      </c>
      <c r="O1115" s="49">
        <v>95.3846153846154</v>
      </c>
      <c r="P1115" s="51"/>
    </row>
    <row r="1116" ht="15.0" hidden="1" customHeight="1">
      <c r="A1116" s="45">
        <v>1110.0</v>
      </c>
      <c r="B1116" s="46" t="s">
        <v>24</v>
      </c>
      <c r="C1116" s="46" t="s">
        <v>337</v>
      </c>
      <c r="D1116" s="46" t="s">
        <v>359</v>
      </c>
      <c r="E1116" s="46" t="s">
        <v>362</v>
      </c>
      <c r="F1116" s="47" t="s">
        <v>19</v>
      </c>
      <c r="G1116" s="48">
        <v>195.0</v>
      </c>
      <c r="H1116" s="48">
        <v>32.0</v>
      </c>
      <c r="I1116" s="48">
        <v>4.0</v>
      </c>
      <c r="J1116" s="49">
        <v>85.9030837004405</v>
      </c>
      <c r="K1116" s="49"/>
      <c r="L1116" s="50">
        <v>72.0</v>
      </c>
      <c r="M1116" s="50">
        <v>12.0</v>
      </c>
      <c r="N1116" s="50">
        <v>1.0</v>
      </c>
      <c r="O1116" s="49">
        <v>85.7142857142857</v>
      </c>
      <c r="P1116" s="51"/>
    </row>
    <row r="1117" ht="15.0" hidden="1" customHeight="1">
      <c r="A1117" s="39">
        <v>1111.0</v>
      </c>
      <c r="B1117" s="40" t="s">
        <v>22</v>
      </c>
      <c r="C1117" s="59" t="s">
        <v>337</v>
      </c>
      <c r="D1117" s="59" t="s">
        <v>363</v>
      </c>
      <c r="E1117" s="59"/>
      <c r="F1117" s="40" t="s">
        <v>363</v>
      </c>
      <c r="G1117" s="41">
        <v>12227.0</v>
      </c>
      <c r="H1117" s="41">
        <v>2883.0</v>
      </c>
      <c r="I1117" s="41">
        <v>214.0</v>
      </c>
      <c r="J1117" s="42">
        <v>80.9199205823958</v>
      </c>
      <c r="K1117" s="42"/>
      <c r="L1117" s="43">
        <v>11814.0</v>
      </c>
      <c r="M1117" s="43">
        <v>1198.0</v>
      </c>
      <c r="N1117" s="43">
        <v>236.0</v>
      </c>
      <c r="O1117" s="42">
        <v>90.7931140485706</v>
      </c>
      <c r="P1117" s="44"/>
    </row>
    <row r="1118" ht="15.0" hidden="1" customHeight="1">
      <c r="A1118" s="45">
        <v>1112.0</v>
      </c>
      <c r="B1118" s="46" t="s">
        <v>22</v>
      </c>
      <c r="C1118" s="46" t="s">
        <v>337</v>
      </c>
      <c r="D1118" s="46" t="s">
        <v>363</v>
      </c>
      <c r="E1118" s="46"/>
      <c r="F1118" s="47" t="s">
        <v>18</v>
      </c>
      <c r="G1118" s="48">
        <v>3847.0</v>
      </c>
      <c r="H1118" s="48">
        <v>510.0</v>
      </c>
      <c r="I1118" s="48">
        <v>41.0</v>
      </c>
      <c r="J1118" s="49">
        <v>88.2946981868258</v>
      </c>
      <c r="K1118" s="49"/>
      <c r="L1118" s="50">
        <v>3303.0</v>
      </c>
      <c r="M1118" s="50">
        <v>94.0</v>
      </c>
      <c r="N1118" s="50">
        <v>16.0</v>
      </c>
      <c r="O1118" s="49">
        <v>97.2328525169267</v>
      </c>
      <c r="P1118" s="51"/>
    </row>
    <row r="1119" ht="15.0" hidden="1" customHeight="1">
      <c r="A1119" s="45">
        <v>1113.0</v>
      </c>
      <c r="B1119" s="46" t="s">
        <v>22</v>
      </c>
      <c r="C1119" s="46" t="s">
        <v>337</v>
      </c>
      <c r="D1119" s="46" t="s">
        <v>363</v>
      </c>
      <c r="E1119" s="46"/>
      <c r="F1119" s="47" t="s">
        <v>19</v>
      </c>
      <c r="G1119" s="48">
        <v>8380.0</v>
      </c>
      <c r="H1119" s="48">
        <v>2373.0</v>
      </c>
      <c r="I1119" s="48">
        <v>173.0</v>
      </c>
      <c r="J1119" s="49">
        <v>77.9317399795406</v>
      </c>
      <c r="K1119" s="49"/>
      <c r="L1119" s="50">
        <v>8511.0</v>
      </c>
      <c r="M1119" s="50">
        <v>1104.0</v>
      </c>
      <c r="N1119" s="50">
        <v>220.0</v>
      </c>
      <c r="O1119" s="49">
        <v>88.5179407176287</v>
      </c>
      <c r="P1119" s="51"/>
    </row>
    <row r="1120" ht="15.0" customHeight="1">
      <c r="A1120" s="52">
        <v>1114.0</v>
      </c>
      <c r="B1120" s="53" t="s">
        <v>24</v>
      </c>
      <c r="C1120" s="60" t="s">
        <v>337</v>
      </c>
      <c r="D1120" s="60" t="s">
        <v>363</v>
      </c>
      <c r="E1120" s="60" t="s">
        <v>364</v>
      </c>
      <c r="F1120" s="61" t="s">
        <v>364</v>
      </c>
      <c r="G1120" s="54">
        <v>483.0</v>
      </c>
      <c r="H1120" s="54">
        <v>148.0</v>
      </c>
      <c r="I1120" s="54">
        <v>9.0</v>
      </c>
      <c r="J1120" s="55">
        <v>76.5451664025357</v>
      </c>
      <c r="K1120" s="55">
        <f>G1120+H1120+I1120</f>
        <v>640</v>
      </c>
      <c r="L1120" s="56">
        <v>543.0</v>
      </c>
      <c r="M1120" s="56">
        <v>17.0</v>
      </c>
      <c r="N1120" s="56">
        <v>7.0</v>
      </c>
      <c r="O1120" s="55">
        <v>96.9642857142857</v>
      </c>
      <c r="P1120" s="57">
        <f>L1120+M1120+N1120</f>
        <v>567</v>
      </c>
    </row>
    <row r="1121" ht="15.0" hidden="1" customHeight="1">
      <c r="A1121" s="45">
        <v>1115.0</v>
      </c>
      <c r="B1121" s="46" t="s">
        <v>24</v>
      </c>
      <c r="C1121" s="46" t="s">
        <v>337</v>
      </c>
      <c r="D1121" s="46" t="s">
        <v>363</v>
      </c>
      <c r="E1121" s="46" t="s">
        <v>364</v>
      </c>
      <c r="F1121" s="47" t="s">
        <v>18</v>
      </c>
      <c r="G1121" s="48"/>
      <c r="H1121" s="48"/>
      <c r="I1121" s="48"/>
      <c r="J1121" s="49"/>
      <c r="K1121" s="49"/>
      <c r="L1121" s="50"/>
      <c r="M1121" s="50"/>
      <c r="N1121" s="50"/>
      <c r="O1121" s="49"/>
      <c r="P1121" s="51"/>
    </row>
    <row r="1122" ht="15.0" hidden="1" customHeight="1">
      <c r="A1122" s="45">
        <v>1116.0</v>
      </c>
      <c r="B1122" s="46" t="s">
        <v>24</v>
      </c>
      <c r="C1122" s="46" t="s">
        <v>337</v>
      </c>
      <c r="D1122" s="46" t="s">
        <v>363</v>
      </c>
      <c r="E1122" s="46" t="s">
        <v>364</v>
      </c>
      <c r="F1122" s="47" t="s">
        <v>19</v>
      </c>
      <c r="G1122" s="48">
        <v>483.0</v>
      </c>
      <c r="H1122" s="48">
        <v>148.0</v>
      </c>
      <c r="I1122" s="48">
        <v>9.0</v>
      </c>
      <c r="J1122" s="49">
        <v>76.5451664025357</v>
      </c>
      <c r="K1122" s="49"/>
      <c r="L1122" s="50">
        <v>543.0</v>
      </c>
      <c r="M1122" s="50">
        <v>17.0</v>
      </c>
      <c r="N1122" s="50">
        <v>7.0</v>
      </c>
      <c r="O1122" s="49">
        <v>96.9642857142857</v>
      </c>
      <c r="P1122" s="51"/>
    </row>
    <row r="1123" ht="15.0" customHeight="1">
      <c r="A1123" s="52">
        <v>1117.0</v>
      </c>
      <c r="B1123" s="53" t="s">
        <v>24</v>
      </c>
      <c r="C1123" s="60" t="s">
        <v>337</v>
      </c>
      <c r="D1123" s="60" t="s">
        <v>363</v>
      </c>
      <c r="E1123" s="60" t="s">
        <v>365</v>
      </c>
      <c r="F1123" s="61" t="s">
        <v>365</v>
      </c>
      <c r="G1123" s="54">
        <v>3550.0</v>
      </c>
      <c r="H1123" s="54">
        <v>1130.0</v>
      </c>
      <c r="I1123" s="54">
        <v>82.0</v>
      </c>
      <c r="J1123" s="55">
        <v>75.8547008547009</v>
      </c>
      <c r="K1123" s="55">
        <f>G1123+H1123+I1123</f>
        <v>4762</v>
      </c>
      <c r="L1123" s="56">
        <v>3719.0</v>
      </c>
      <c r="M1123" s="56">
        <v>509.0</v>
      </c>
      <c r="N1123" s="56">
        <v>113.0</v>
      </c>
      <c r="O1123" s="55">
        <v>87.961210974456</v>
      </c>
      <c r="P1123" s="57">
        <f>L1123+M1123+N1123</f>
        <v>4341</v>
      </c>
    </row>
    <row r="1124" ht="15.0" hidden="1" customHeight="1">
      <c r="A1124" s="45">
        <v>1118.0</v>
      </c>
      <c r="B1124" s="46" t="s">
        <v>24</v>
      </c>
      <c r="C1124" s="46" t="s">
        <v>337</v>
      </c>
      <c r="D1124" s="46" t="s">
        <v>363</v>
      </c>
      <c r="E1124" s="46" t="s">
        <v>365</v>
      </c>
      <c r="F1124" s="47" t="s">
        <v>18</v>
      </c>
      <c r="G1124" s="48">
        <v>381.0</v>
      </c>
      <c r="H1124" s="48">
        <v>55.0</v>
      </c>
      <c r="I1124" s="48">
        <v>6.0</v>
      </c>
      <c r="J1124" s="49">
        <v>87.3853211009174</v>
      </c>
      <c r="K1124" s="49"/>
      <c r="L1124" s="50">
        <v>472.0</v>
      </c>
      <c r="M1124" s="50">
        <v>24.0</v>
      </c>
      <c r="N1124" s="50">
        <v>1.0</v>
      </c>
      <c r="O1124" s="49">
        <v>95.1612903225807</v>
      </c>
      <c r="P1124" s="51"/>
    </row>
    <row r="1125" ht="15.0" hidden="1" customHeight="1">
      <c r="A1125" s="45">
        <v>1119.0</v>
      </c>
      <c r="B1125" s="46" t="s">
        <v>24</v>
      </c>
      <c r="C1125" s="46" t="s">
        <v>337</v>
      </c>
      <c r="D1125" s="46" t="s">
        <v>363</v>
      </c>
      <c r="E1125" s="46" t="s">
        <v>365</v>
      </c>
      <c r="F1125" s="47" t="s">
        <v>19</v>
      </c>
      <c r="G1125" s="48">
        <v>3169.0</v>
      </c>
      <c r="H1125" s="48">
        <v>1075.0</v>
      </c>
      <c r="I1125" s="48">
        <v>76.0</v>
      </c>
      <c r="J1125" s="49">
        <v>74.6701225259189</v>
      </c>
      <c r="K1125" s="49"/>
      <c r="L1125" s="50">
        <v>3247.0</v>
      </c>
      <c r="M1125" s="50">
        <v>485.0</v>
      </c>
      <c r="N1125" s="50">
        <v>112.0</v>
      </c>
      <c r="O1125" s="49">
        <v>87.0042872454448</v>
      </c>
      <c r="P1125" s="51"/>
    </row>
    <row r="1126" ht="15.0" customHeight="1">
      <c r="A1126" s="52">
        <v>1120.0</v>
      </c>
      <c r="B1126" s="53" t="s">
        <v>24</v>
      </c>
      <c r="C1126" s="60" t="s">
        <v>337</v>
      </c>
      <c r="D1126" s="60" t="s">
        <v>363</v>
      </c>
      <c r="E1126" s="60" t="s">
        <v>366</v>
      </c>
      <c r="F1126" s="61" t="s">
        <v>366</v>
      </c>
      <c r="G1126" s="54">
        <v>2877.0</v>
      </c>
      <c r="H1126" s="54">
        <v>698.0</v>
      </c>
      <c r="I1126" s="54">
        <v>54.0</v>
      </c>
      <c r="J1126" s="55">
        <v>80.4755244755245</v>
      </c>
      <c r="K1126" s="55">
        <f>G1126+H1126+I1126</f>
        <v>3629</v>
      </c>
      <c r="L1126" s="56">
        <v>3059.0</v>
      </c>
      <c r="M1126" s="56">
        <v>436.0</v>
      </c>
      <c r="N1126" s="56">
        <v>51.0</v>
      </c>
      <c r="O1126" s="55">
        <v>87.5250357653791</v>
      </c>
      <c r="P1126" s="57">
        <f>L1126+M1126+N1126</f>
        <v>3546</v>
      </c>
    </row>
    <row r="1127" ht="15.0" hidden="1" customHeight="1">
      <c r="A1127" s="45">
        <v>1121.0</v>
      </c>
      <c r="B1127" s="46" t="s">
        <v>24</v>
      </c>
      <c r="C1127" s="46" t="s">
        <v>337</v>
      </c>
      <c r="D1127" s="46" t="s">
        <v>363</v>
      </c>
      <c r="E1127" s="46" t="s">
        <v>366</v>
      </c>
      <c r="F1127" s="47" t="s">
        <v>18</v>
      </c>
      <c r="G1127" s="48">
        <v>417.0</v>
      </c>
      <c r="H1127" s="48">
        <v>133.0</v>
      </c>
      <c r="I1127" s="48">
        <v>5.0</v>
      </c>
      <c r="J1127" s="49">
        <v>75.8181818181818</v>
      </c>
      <c r="K1127" s="49"/>
      <c r="L1127" s="50">
        <v>737.0</v>
      </c>
      <c r="M1127" s="50">
        <v>35.0</v>
      </c>
      <c r="N1127" s="50">
        <v>4.0</v>
      </c>
      <c r="O1127" s="49">
        <v>95.4663212435233</v>
      </c>
      <c r="P1127" s="51"/>
    </row>
    <row r="1128" ht="15.0" hidden="1" customHeight="1">
      <c r="A1128" s="45">
        <v>1122.0</v>
      </c>
      <c r="B1128" s="46" t="s">
        <v>24</v>
      </c>
      <c r="C1128" s="46" t="s">
        <v>337</v>
      </c>
      <c r="D1128" s="46" t="s">
        <v>363</v>
      </c>
      <c r="E1128" s="46" t="s">
        <v>366</v>
      </c>
      <c r="F1128" s="47" t="s">
        <v>19</v>
      </c>
      <c r="G1128" s="48">
        <v>2460.0</v>
      </c>
      <c r="H1128" s="48">
        <v>565.0</v>
      </c>
      <c r="I1128" s="48">
        <v>49.0</v>
      </c>
      <c r="J1128" s="49">
        <v>81.3223140495868</v>
      </c>
      <c r="K1128" s="49"/>
      <c r="L1128" s="50">
        <v>2322.0</v>
      </c>
      <c r="M1128" s="50">
        <v>401.0</v>
      </c>
      <c r="N1128" s="50">
        <v>47.0</v>
      </c>
      <c r="O1128" s="49">
        <v>85.2735952993022</v>
      </c>
      <c r="P1128" s="51"/>
    </row>
    <row r="1129" ht="15.0" customHeight="1">
      <c r="A1129" s="52">
        <v>1123.0</v>
      </c>
      <c r="B1129" s="53" t="s">
        <v>24</v>
      </c>
      <c r="C1129" s="60" t="s">
        <v>337</v>
      </c>
      <c r="D1129" s="60" t="s">
        <v>363</v>
      </c>
      <c r="E1129" s="60" t="s">
        <v>367</v>
      </c>
      <c r="F1129" s="61" t="s">
        <v>367</v>
      </c>
      <c r="G1129" s="54">
        <v>530.0</v>
      </c>
      <c r="H1129" s="54">
        <v>97.0</v>
      </c>
      <c r="I1129" s="54">
        <v>14.0</v>
      </c>
      <c r="J1129" s="55">
        <v>84.5295055821372</v>
      </c>
      <c r="K1129" s="55">
        <f>G1129+H1129+I1129</f>
        <v>641</v>
      </c>
      <c r="L1129" s="56">
        <v>362.0</v>
      </c>
      <c r="M1129" s="56">
        <v>7.0</v>
      </c>
      <c r="N1129" s="56">
        <v>10.0</v>
      </c>
      <c r="O1129" s="55">
        <v>98.1029810298103</v>
      </c>
      <c r="P1129" s="57">
        <f>L1129+M1129+N1129</f>
        <v>379</v>
      </c>
    </row>
    <row r="1130" ht="15.0" hidden="1" customHeight="1">
      <c r="A1130" s="45">
        <v>1124.0</v>
      </c>
      <c r="B1130" s="46" t="s">
        <v>24</v>
      </c>
      <c r="C1130" s="46" t="s">
        <v>337</v>
      </c>
      <c r="D1130" s="46" t="s">
        <v>363</v>
      </c>
      <c r="E1130" s="46" t="s">
        <v>367</v>
      </c>
      <c r="F1130" s="47" t="s">
        <v>18</v>
      </c>
      <c r="G1130" s="48">
        <v>275.0</v>
      </c>
      <c r="H1130" s="48">
        <v>33.0</v>
      </c>
      <c r="I1130" s="48">
        <v>6.0</v>
      </c>
      <c r="J1130" s="49">
        <v>89.2857142857143</v>
      </c>
      <c r="K1130" s="49"/>
      <c r="L1130" s="50">
        <v>178.0</v>
      </c>
      <c r="M1130" s="50">
        <v>2.0</v>
      </c>
      <c r="N1130" s="50">
        <v>0.0</v>
      </c>
      <c r="O1130" s="49">
        <v>98.8888888888889</v>
      </c>
      <c r="P1130" s="51"/>
    </row>
    <row r="1131" ht="15.0" hidden="1" customHeight="1">
      <c r="A1131" s="45">
        <v>1125.0</v>
      </c>
      <c r="B1131" s="46" t="s">
        <v>24</v>
      </c>
      <c r="C1131" s="46" t="s">
        <v>337</v>
      </c>
      <c r="D1131" s="46" t="s">
        <v>363</v>
      </c>
      <c r="E1131" s="46" t="s">
        <v>367</v>
      </c>
      <c r="F1131" s="47" t="s">
        <v>19</v>
      </c>
      <c r="G1131" s="48">
        <v>255.0</v>
      </c>
      <c r="H1131" s="48">
        <v>64.0</v>
      </c>
      <c r="I1131" s="48">
        <v>8.0</v>
      </c>
      <c r="J1131" s="49">
        <v>79.9373040752351</v>
      </c>
      <c r="K1131" s="49"/>
      <c r="L1131" s="50">
        <v>184.0</v>
      </c>
      <c r="M1131" s="50">
        <v>5.0</v>
      </c>
      <c r="N1131" s="50">
        <v>10.0</v>
      </c>
      <c r="O1131" s="49">
        <v>97.3544973544974</v>
      </c>
      <c r="P1131" s="51"/>
    </row>
    <row r="1132" ht="15.0" customHeight="1">
      <c r="A1132" s="52">
        <v>1126.0</v>
      </c>
      <c r="B1132" s="53" t="s">
        <v>24</v>
      </c>
      <c r="C1132" s="60" t="s">
        <v>337</v>
      </c>
      <c r="D1132" s="60" t="s">
        <v>363</v>
      </c>
      <c r="E1132" s="60" t="s">
        <v>368</v>
      </c>
      <c r="F1132" s="61" t="s">
        <v>368</v>
      </c>
      <c r="G1132" s="54">
        <v>1403.0</v>
      </c>
      <c r="H1132" s="54">
        <v>309.0</v>
      </c>
      <c r="I1132" s="54">
        <v>21.0</v>
      </c>
      <c r="J1132" s="55">
        <v>81.9509345794392</v>
      </c>
      <c r="K1132" s="55">
        <f>G1132+H1132+I1132</f>
        <v>1733</v>
      </c>
      <c r="L1132" s="56">
        <v>1486.0</v>
      </c>
      <c r="M1132" s="56">
        <v>85.0</v>
      </c>
      <c r="N1132" s="56">
        <v>31.0</v>
      </c>
      <c r="O1132" s="55">
        <v>94.5894334818587</v>
      </c>
      <c r="P1132" s="57">
        <f>L1132+M1132+N1132</f>
        <v>1602</v>
      </c>
    </row>
    <row r="1133" ht="15.0" hidden="1" customHeight="1">
      <c r="A1133" s="45">
        <v>1127.0</v>
      </c>
      <c r="B1133" s="46" t="s">
        <v>24</v>
      </c>
      <c r="C1133" s="46" t="s">
        <v>337</v>
      </c>
      <c r="D1133" s="46" t="s">
        <v>363</v>
      </c>
      <c r="E1133" s="46" t="s">
        <v>368</v>
      </c>
      <c r="F1133" s="47" t="s">
        <v>18</v>
      </c>
      <c r="G1133" s="48"/>
      <c r="H1133" s="48"/>
      <c r="I1133" s="48"/>
      <c r="J1133" s="49"/>
      <c r="K1133" s="49"/>
      <c r="L1133" s="50"/>
      <c r="M1133" s="50"/>
      <c r="N1133" s="50"/>
      <c r="O1133" s="49"/>
      <c r="P1133" s="51"/>
    </row>
    <row r="1134" ht="15.0" hidden="1" customHeight="1">
      <c r="A1134" s="45">
        <v>1128.0</v>
      </c>
      <c r="B1134" s="46" t="s">
        <v>24</v>
      </c>
      <c r="C1134" s="46" t="s">
        <v>337</v>
      </c>
      <c r="D1134" s="46" t="s">
        <v>363</v>
      </c>
      <c r="E1134" s="46" t="s">
        <v>368</v>
      </c>
      <c r="F1134" s="47" t="s">
        <v>19</v>
      </c>
      <c r="G1134" s="48">
        <v>1403.0</v>
      </c>
      <c r="H1134" s="48">
        <v>309.0</v>
      </c>
      <c r="I1134" s="48">
        <v>21.0</v>
      </c>
      <c r="J1134" s="49">
        <v>81.9509345794392</v>
      </c>
      <c r="K1134" s="49"/>
      <c r="L1134" s="50">
        <v>1486.0</v>
      </c>
      <c r="M1134" s="50">
        <v>85.0</v>
      </c>
      <c r="N1134" s="50">
        <v>31.0</v>
      </c>
      <c r="O1134" s="49">
        <v>94.5894334818587</v>
      </c>
      <c r="P1134" s="51"/>
    </row>
    <row r="1135" ht="15.0" customHeight="1">
      <c r="A1135" s="52">
        <v>1129.0</v>
      </c>
      <c r="B1135" s="53" t="s">
        <v>24</v>
      </c>
      <c r="C1135" s="60" t="s">
        <v>337</v>
      </c>
      <c r="D1135" s="60" t="s">
        <v>363</v>
      </c>
      <c r="E1135" s="60" t="s">
        <v>369</v>
      </c>
      <c r="F1135" s="61" t="s">
        <v>369</v>
      </c>
      <c r="G1135" s="54">
        <v>2962.0</v>
      </c>
      <c r="H1135" s="54">
        <v>387.0</v>
      </c>
      <c r="I1135" s="54">
        <v>31.0</v>
      </c>
      <c r="J1135" s="55">
        <v>88.4443117348462</v>
      </c>
      <c r="K1135" s="55">
        <f>G1135+H1135+I1135</f>
        <v>3380</v>
      </c>
      <c r="L1135" s="56">
        <v>2171.0</v>
      </c>
      <c r="M1135" s="56">
        <v>39.0</v>
      </c>
      <c r="N1135" s="56">
        <v>12.0</v>
      </c>
      <c r="O1135" s="55">
        <v>98.2352941176471</v>
      </c>
      <c r="P1135" s="57">
        <f>L1135+M1135+N1135</f>
        <v>2222</v>
      </c>
    </row>
    <row r="1136" ht="15.0" hidden="1" customHeight="1">
      <c r="A1136" s="45">
        <v>1130.0</v>
      </c>
      <c r="B1136" s="46" t="s">
        <v>24</v>
      </c>
      <c r="C1136" s="46" t="s">
        <v>337</v>
      </c>
      <c r="D1136" s="46" t="s">
        <v>363</v>
      </c>
      <c r="E1136" s="46" t="s">
        <v>369</v>
      </c>
      <c r="F1136" s="47" t="s">
        <v>18</v>
      </c>
      <c r="G1136" s="48">
        <v>2508.0</v>
      </c>
      <c r="H1136" s="48">
        <v>235.0</v>
      </c>
      <c r="I1136" s="48">
        <v>23.0</v>
      </c>
      <c r="J1136" s="49">
        <v>91.4327378782355</v>
      </c>
      <c r="K1136" s="49"/>
      <c r="L1136" s="50">
        <v>1621.0</v>
      </c>
      <c r="M1136" s="50">
        <v>23.0</v>
      </c>
      <c r="N1136" s="50">
        <v>10.0</v>
      </c>
      <c r="O1136" s="49">
        <v>98.6009732360097</v>
      </c>
      <c r="P1136" s="51"/>
    </row>
    <row r="1137" ht="15.0" hidden="1" customHeight="1">
      <c r="A1137" s="45">
        <v>1131.0</v>
      </c>
      <c r="B1137" s="46" t="s">
        <v>24</v>
      </c>
      <c r="C1137" s="46" t="s">
        <v>337</v>
      </c>
      <c r="D1137" s="46" t="s">
        <v>363</v>
      </c>
      <c r="E1137" s="46" t="s">
        <v>369</v>
      </c>
      <c r="F1137" s="47" t="s">
        <v>19</v>
      </c>
      <c r="G1137" s="48">
        <v>454.0</v>
      </c>
      <c r="H1137" s="48">
        <v>152.0</v>
      </c>
      <c r="I1137" s="48">
        <v>8.0</v>
      </c>
      <c r="J1137" s="49">
        <v>74.9174917491749</v>
      </c>
      <c r="K1137" s="49"/>
      <c r="L1137" s="50">
        <v>550.0</v>
      </c>
      <c r="M1137" s="50">
        <v>16.0</v>
      </c>
      <c r="N1137" s="50">
        <v>2.0</v>
      </c>
      <c r="O1137" s="49">
        <v>97.1731448763251</v>
      </c>
      <c r="P1137" s="51"/>
    </row>
    <row r="1138" ht="15.0" customHeight="1">
      <c r="A1138" s="52">
        <v>1132.0</v>
      </c>
      <c r="B1138" s="53" t="s">
        <v>24</v>
      </c>
      <c r="C1138" s="60" t="s">
        <v>337</v>
      </c>
      <c r="D1138" s="60" t="s">
        <v>363</v>
      </c>
      <c r="E1138" s="60" t="s">
        <v>370</v>
      </c>
      <c r="F1138" s="61" t="s">
        <v>370</v>
      </c>
      <c r="G1138" s="54">
        <v>422.0</v>
      </c>
      <c r="H1138" s="54">
        <v>114.0</v>
      </c>
      <c r="I1138" s="54">
        <v>3.0</v>
      </c>
      <c r="J1138" s="55">
        <v>78.7313432835821</v>
      </c>
      <c r="K1138" s="55">
        <f>G1138+H1138+I1138</f>
        <v>539</v>
      </c>
      <c r="L1138" s="56">
        <v>474.0</v>
      </c>
      <c r="M1138" s="56">
        <v>105.0</v>
      </c>
      <c r="N1138" s="56">
        <v>12.0</v>
      </c>
      <c r="O1138" s="55">
        <v>81.8652849740933</v>
      </c>
      <c r="P1138" s="57">
        <f>L1138+M1138+N1138</f>
        <v>591</v>
      </c>
    </row>
    <row r="1139" ht="15.0" hidden="1" customHeight="1">
      <c r="A1139" s="45">
        <v>1133.0</v>
      </c>
      <c r="B1139" s="46" t="s">
        <v>24</v>
      </c>
      <c r="C1139" s="46" t="s">
        <v>337</v>
      </c>
      <c r="D1139" s="46" t="s">
        <v>363</v>
      </c>
      <c r="E1139" s="46" t="s">
        <v>370</v>
      </c>
      <c r="F1139" s="47" t="s">
        <v>18</v>
      </c>
      <c r="G1139" s="48">
        <v>266.0</v>
      </c>
      <c r="H1139" s="48">
        <v>54.0</v>
      </c>
      <c r="I1139" s="48">
        <v>1.0</v>
      </c>
      <c r="J1139" s="49">
        <v>83.125</v>
      </c>
      <c r="K1139" s="49"/>
      <c r="L1139" s="50">
        <v>295.0</v>
      </c>
      <c r="M1139" s="50">
        <v>10.0</v>
      </c>
      <c r="N1139" s="50">
        <v>1.0</v>
      </c>
      <c r="O1139" s="49">
        <v>96.7213114754098</v>
      </c>
      <c r="P1139" s="51"/>
    </row>
    <row r="1140" ht="15.0" hidden="1" customHeight="1">
      <c r="A1140" s="45">
        <v>1134.0</v>
      </c>
      <c r="B1140" s="46" t="s">
        <v>24</v>
      </c>
      <c r="C1140" s="46" t="s">
        <v>337</v>
      </c>
      <c r="D1140" s="46" t="s">
        <v>363</v>
      </c>
      <c r="E1140" s="46" t="s">
        <v>370</v>
      </c>
      <c r="F1140" s="47" t="s">
        <v>19</v>
      </c>
      <c r="G1140" s="48">
        <v>156.0</v>
      </c>
      <c r="H1140" s="48">
        <v>60.0</v>
      </c>
      <c r="I1140" s="48">
        <v>2.0</v>
      </c>
      <c r="J1140" s="49">
        <v>72.2222222222222</v>
      </c>
      <c r="K1140" s="49"/>
      <c r="L1140" s="50">
        <v>179.0</v>
      </c>
      <c r="M1140" s="50">
        <v>95.0</v>
      </c>
      <c r="N1140" s="50">
        <v>11.0</v>
      </c>
      <c r="O1140" s="49">
        <v>65.3284671532847</v>
      </c>
      <c r="P1140" s="51"/>
    </row>
    <row r="1141" ht="15.0" hidden="1" customHeight="1">
      <c r="A1141" s="39">
        <v>1135.0</v>
      </c>
      <c r="B1141" s="40" t="s">
        <v>22</v>
      </c>
      <c r="C1141" s="59" t="s">
        <v>337</v>
      </c>
      <c r="D1141" s="59" t="s">
        <v>371</v>
      </c>
      <c r="E1141" s="59"/>
      <c r="F1141" s="40" t="s">
        <v>371</v>
      </c>
      <c r="G1141" s="41">
        <v>2381.0</v>
      </c>
      <c r="H1141" s="41">
        <v>259.0</v>
      </c>
      <c r="I1141" s="41">
        <v>56.0</v>
      </c>
      <c r="J1141" s="42">
        <v>90.1893939393939</v>
      </c>
      <c r="K1141" s="42"/>
      <c r="L1141" s="43">
        <v>1618.0</v>
      </c>
      <c r="M1141" s="43">
        <v>21.0</v>
      </c>
      <c r="N1141" s="43">
        <v>12.0</v>
      </c>
      <c r="O1141" s="42">
        <v>98.718730933496</v>
      </c>
      <c r="P1141" s="44"/>
    </row>
    <row r="1142" ht="15.0" hidden="1" customHeight="1">
      <c r="A1142" s="45">
        <v>1136.0</v>
      </c>
      <c r="B1142" s="46" t="s">
        <v>22</v>
      </c>
      <c r="C1142" s="46" t="s">
        <v>337</v>
      </c>
      <c r="D1142" s="46" t="s">
        <v>371</v>
      </c>
      <c r="E1142" s="46"/>
      <c r="F1142" s="47" t="s">
        <v>18</v>
      </c>
      <c r="G1142" s="48">
        <v>1031.0</v>
      </c>
      <c r="H1142" s="48">
        <v>67.0</v>
      </c>
      <c r="I1142" s="48">
        <v>32.0</v>
      </c>
      <c r="J1142" s="49">
        <v>93.8979963570127</v>
      </c>
      <c r="K1142" s="49"/>
      <c r="L1142" s="50">
        <v>713.0</v>
      </c>
      <c r="M1142" s="50">
        <v>7.0</v>
      </c>
      <c r="N1142" s="50">
        <v>3.0</v>
      </c>
      <c r="O1142" s="49">
        <v>99.0277777777778</v>
      </c>
      <c r="P1142" s="51"/>
    </row>
    <row r="1143" ht="15.0" hidden="1" customHeight="1">
      <c r="A1143" s="45">
        <v>1137.0</v>
      </c>
      <c r="B1143" s="46" t="s">
        <v>22</v>
      </c>
      <c r="C1143" s="46" t="s">
        <v>337</v>
      </c>
      <c r="D1143" s="46" t="s">
        <v>371</v>
      </c>
      <c r="E1143" s="46"/>
      <c r="F1143" s="47" t="s">
        <v>19</v>
      </c>
      <c r="G1143" s="48">
        <v>1350.0</v>
      </c>
      <c r="H1143" s="48">
        <v>192.0</v>
      </c>
      <c r="I1143" s="48">
        <v>24.0</v>
      </c>
      <c r="J1143" s="49">
        <v>87.5486381322957</v>
      </c>
      <c r="K1143" s="49"/>
      <c r="L1143" s="50">
        <v>905.0</v>
      </c>
      <c r="M1143" s="50">
        <v>14.0</v>
      </c>
      <c r="N1143" s="50">
        <v>9.0</v>
      </c>
      <c r="O1143" s="49">
        <v>98.4766050054407</v>
      </c>
      <c r="P1143" s="51"/>
    </row>
    <row r="1144" ht="15.0" customHeight="1">
      <c r="A1144" s="52">
        <v>1138.0</v>
      </c>
      <c r="B1144" s="53" t="s">
        <v>24</v>
      </c>
      <c r="C1144" s="60" t="s">
        <v>337</v>
      </c>
      <c r="D1144" s="60" t="s">
        <v>371</v>
      </c>
      <c r="E1144" s="60" t="s">
        <v>372</v>
      </c>
      <c r="F1144" s="61" t="s">
        <v>372</v>
      </c>
      <c r="G1144" s="54">
        <v>1533.0</v>
      </c>
      <c r="H1144" s="54">
        <v>143.0</v>
      </c>
      <c r="I1144" s="54">
        <v>45.0</v>
      </c>
      <c r="J1144" s="55">
        <v>91.4677804295943</v>
      </c>
      <c r="K1144" s="55">
        <f>G1144+H1144+I1144</f>
        <v>1721</v>
      </c>
      <c r="L1144" s="56">
        <v>1064.0</v>
      </c>
      <c r="M1144" s="56">
        <v>10.0</v>
      </c>
      <c r="N1144" s="56">
        <v>7.0</v>
      </c>
      <c r="O1144" s="55">
        <v>99.0689013035382</v>
      </c>
      <c r="P1144" s="57">
        <f>L1144+M1144+N1144</f>
        <v>1081</v>
      </c>
    </row>
    <row r="1145" ht="15.0" hidden="1" customHeight="1">
      <c r="A1145" s="45">
        <v>1139.0</v>
      </c>
      <c r="B1145" s="46" t="s">
        <v>24</v>
      </c>
      <c r="C1145" s="46" t="s">
        <v>337</v>
      </c>
      <c r="D1145" s="46" t="s">
        <v>371</v>
      </c>
      <c r="E1145" s="46" t="s">
        <v>372</v>
      </c>
      <c r="F1145" s="47" t="s">
        <v>18</v>
      </c>
      <c r="G1145" s="48">
        <v>1031.0</v>
      </c>
      <c r="H1145" s="48">
        <v>67.0</v>
      </c>
      <c r="I1145" s="48">
        <v>32.0</v>
      </c>
      <c r="J1145" s="49">
        <v>93.8979963570127</v>
      </c>
      <c r="K1145" s="49"/>
      <c r="L1145" s="50">
        <v>713.0</v>
      </c>
      <c r="M1145" s="50">
        <v>7.0</v>
      </c>
      <c r="N1145" s="50">
        <v>3.0</v>
      </c>
      <c r="O1145" s="49">
        <v>99.0277777777778</v>
      </c>
      <c r="P1145" s="51"/>
    </row>
    <row r="1146" ht="15.0" hidden="1" customHeight="1">
      <c r="A1146" s="45">
        <v>1140.0</v>
      </c>
      <c r="B1146" s="46" t="s">
        <v>24</v>
      </c>
      <c r="C1146" s="46" t="s">
        <v>337</v>
      </c>
      <c r="D1146" s="46" t="s">
        <v>371</v>
      </c>
      <c r="E1146" s="46" t="s">
        <v>372</v>
      </c>
      <c r="F1146" s="47" t="s">
        <v>19</v>
      </c>
      <c r="G1146" s="48">
        <v>502.0</v>
      </c>
      <c r="H1146" s="48">
        <v>76.0</v>
      </c>
      <c r="I1146" s="48">
        <v>13.0</v>
      </c>
      <c r="J1146" s="49">
        <v>86.8512110726644</v>
      </c>
      <c r="K1146" s="49"/>
      <c r="L1146" s="50">
        <v>351.0</v>
      </c>
      <c r="M1146" s="50">
        <v>3.0</v>
      </c>
      <c r="N1146" s="50">
        <v>4.0</v>
      </c>
      <c r="O1146" s="49">
        <v>99.1525423728814</v>
      </c>
      <c r="P1146" s="51"/>
    </row>
    <row r="1147" ht="15.0" customHeight="1">
      <c r="A1147" s="52">
        <v>1141.0</v>
      </c>
      <c r="B1147" s="53" t="s">
        <v>24</v>
      </c>
      <c r="C1147" s="60" t="s">
        <v>337</v>
      </c>
      <c r="D1147" s="60" t="s">
        <v>371</v>
      </c>
      <c r="E1147" s="60" t="s">
        <v>373</v>
      </c>
      <c r="F1147" s="61" t="s">
        <v>373</v>
      </c>
      <c r="G1147" s="54">
        <v>200.0</v>
      </c>
      <c r="H1147" s="54">
        <v>38.0</v>
      </c>
      <c r="I1147" s="54">
        <v>2.0</v>
      </c>
      <c r="J1147" s="55">
        <v>84.0336134453782</v>
      </c>
      <c r="K1147" s="55">
        <f>G1147+H1147+I1147</f>
        <v>240</v>
      </c>
      <c r="L1147" s="56">
        <v>135.0</v>
      </c>
      <c r="M1147" s="56">
        <v>4.0</v>
      </c>
      <c r="N1147" s="56">
        <v>3.0</v>
      </c>
      <c r="O1147" s="55">
        <v>97.1223021582734</v>
      </c>
      <c r="P1147" s="57">
        <f>L1147+M1147+N1147</f>
        <v>142</v>
      </c>
    </row>
    <row r="1148" ht="15.0" hidden="1" customHeight="1">
      <c r="A1148" s="45">
        <v>1142.0</v>
      </c>
      <c r="B1148" s="46" t="s">
        <v>24</v>
      </c>
      <c r="C1148" s="46" t="s">
        <v>337</v>
      </c>
      <c r="D1148" s="46" t="s">
        <v>371</v>
      </c>
      <c r="E1148" s="46" t="s">
        <v>373</v>
      </c>
      <c r="F1148" s="47" t="s">
        <v>18</v>
      </c>
      <c r="G1148" s="48"/>
      <c r="H1148" s="48"/>
      <c r="I1148" s="48"/>
      <c r="J1148" s="49"/>
      <c r="K1148" s="49"/>
      <c r="L1148" s="50"/>
      <c r="M1148" s="50"/>
      <c r="N1148" s="50"/>
      <c r="O1148" s="49"/>
      <c r="P1148" s="51"/>
    </row>
    <row r="1149" ht="15.0" hidden="1" customHeight="1">
      <c r="A1149" s="45">
        <v>1143.0</v>
      </c>
      <c r="B1149" s="46" t="s">
        <v>24</v>
      </c>
      <c r="C1149" s="46" t="s">
        <v>337</v>
      </c>
      <c r="D1149" s="46" t="s">
        <v>371</v>
      </c>
      <c r="E1149" s="46" t="s">
        <v>373</v>
      </c>
      <c r="F1149" s="47" t="s">
        <v>19</v>
      </c>
      <c r="G1149" s="48">
        <v>200.0</v>
      </c>
      <c r="H1149" s="48">
        <v>38.0</v>
      </c>
      <c r="I1149" s="48">
        <v>2.0</v>
      </c>
      <c r="J1149" s="49">
        <v>84.0336134453782</v>
      </c>
      <c r="K1149" s="49"/>
      <c r="L1149" s="50">
        <v>135.0</v>
      </c>
      <c r="M1149" s="50">
        <v>4.0</v>
      </c>
      <c r="N1149" s="50">
        <v>3.0</v>
      </c>
      <c r="O1149" s="49">
        <v>97.1223021582734</v>
      </c>
      <c r="P1149" s="51"/>
    </row>
    <row r="1150" ht="15.0" customHeight="1">
      <c r="A1150" s="52">
        <v>1144.0</v>
      </c>
      <c r="B1150" s="53" t="s">
        <v>24</v>
      </c>
      <c r="C1150" s="60" t="s">
        <v>337</v>
      </c>
      <c r="D1150" s="60" t="s">
        <v>371</v>
      </c>
      <c r="E1150" s="60" t="s">
        <v>374</v>
      </c>
      <c r="F1150" s="61" t="s">
        <v>374</v>
      </c>
      <c r="G1150" s="54">
        <v>245.0</v>
      </c>
      <c r="H1150" s="54">
        <v>17.0</v>
      </c>
      <c r="I1150" s="54">
        <v>2.0</v>
      </c>
      <c r="J1150" s="55">
        <v>93.5114503816794</v>
      </c>
      <c r="K1150" s="55">
        <f>G1150+H1150+I1150</f>
        <v>264</v>
      </c>
      <c r="L1150" s="56">
        <v>174.0</v>
      </c>
      <c r="M1150" s="56">
        <v>1.0</v>
      </c>
      <c r="N1150" s="56">
        <v>1.0</v>
      </c>
      <c r="O1150" s="55">
        <v>99.4285714285714</v>
      </c>
      <c r="P1150" s="57">
        <f>L1150+M1150+N1150</f>
        <v>176</v>
      </c>
    </row>
    <row r="1151" ht="15.0" hidden="1" customHeight="1">
      <c r="A1151" s="45">
        <v>1145.0</v>
      </c>
      <c r="B1151" s="46" t="s">
        <v>24</v>
      </c>
      <c r="C1151" s="46" t="s">
        <v>337</v>
      </c>
      <c r="D1151" s="46" t="s">
        <v>371</v>
      </c>
      <c r="E1151" s="46" t="s">
        <v>374</v>
      </c>
      <c r="F1151" s="47" t="s">
        <v>18</v>
      </c>
      <c r="G1151" s="48"/>
      <c r="H1151" s="48"/>
      <c r="I1151" s="48"/>
      <c r="J1151" s="49"/>
      <c r="K1151" s="49"/>
      <c r="L1151" s="50"/>
      <c r="M1151" s="50"/>
      <c r="N1151" s="50"/>
      <c r="O1151" s="49"/>
      <c r="P1151" s="51"/>
    </row>
    <row r="1152" ht="15.0" hidden="1" customHeight="1">
      <c r="A1152" s="45">
        <v>1146.0</v>
      </c>
      <c r="B1152" s="46" t="s">
        <v>24</v>
      </c>
      <c r="C1152" s="46" t="s">
        <v>337</v>
      </c>
      <c r="D1152" s="46" t="s">
        <v>371</v>
      </c>
      <c r="E1152" s="46" t="s">
        <v>374</v>
      </c>
      <c r="F1152" s="47" t="s">
        <v>19</v>
      </c>
      <c r="G1152" s="48">
        <v>245.0</v>
      </c>
      <c r="H1152" s="48">
        <v>17.0</v>
      </c>
      <c r="I1152" s="48">
        <v>2.0</v>
      </c>
      <c r="J1152" s="49">
        <v>93.5114503816794</v>
      </c>
      <c r="K1152" s="49"/>
      <c r="L1152" s="50">
        <v>174.0</v>
      </c>
      <c r="M1152" s="50">
        <v>1.0</v>
      </c>
      <c r="N1152" s="50">
        <v>1.0</v>
      </c>
      <c r="O1152" s="49">
        <v>99.4285714285714</v>
      </c>
      <c r="P1152" s="51"/>
    </row>
    <row r="1153" ht="15.0" customHeight="1">
      <c r="A1153" s="52">
        <v>1147.0</v>
      </c>
      <c r="B1153" s="53" t="s">
        <v>24</v>
      </c>
      <c r="C1153" s="60" t="s">
        <v>337</v>
      </c>
      <c r="D1153" s="60" t="s">
        <v>371</v>
      </c>
      <c r="E1153" s="60" t="s">
        <v>375</v>
      </c>
      <c r="F1153" s="61" t="s">
        <v>375</v>
      </c>
      <c r="G1153" s="54">
        <v>210.0</v>
      </c>
      <c r="H1153" s="54">
        <v>43.0</v>
      </c>
      <c r="I1153" s="54">
        <v>6.0</v>
      </c>
      <c r="J1153" s="55">
        <v>83.00395256917</v>
      </c>
      <c r="K1153" s="55">
        <f>G1153+H1153+I1153</f>
        <v>259</v>
      </c>
      <c r="L1153" s="56">
        <v>105.0</v>
      </c>
      <c r="M1153" s="56">
        <v>5.0</v>
      </c>
      <c r="N1153" s="56">
        <v>1.0</v>
      </c>
      <c r="O1153" s="55">
        <v>95.4545454545455</v>
      </c>
      <c r="P1153" s="57">
        <f>L1153+M1153+N1153</f>
        <v>111</v>
      </c>
    </row>
    <row r="1154" ht="15.0" hidden="1" customHeight="1">
      <c r="A1154" s="45">
        <v>1148.0</v>
      </c>
      <c r="B1154" s="46" t="s">
        <v>24</v>
      </c>
      <c r="C1154" s="46" t="s">
        <v>337</v>
      </c>
      <c r="D1154" s="46" t="s">
        <v>371</v>
      </c>
      <c r="E1154" s="46" t="s">
        <v>375</v>
      </c>
      <c r="F1154" s="47" t="s">
        <v>18</v>
      </c>
      <c r="G1154" s="48"/>
      <c r="H1154" s="48"/>
      <c r="I1154" s="48"/>
      <c r="J1154" s="49"/>
      <c r="K1154" s="49"/>
      <c r="L1154" s="50"/>
      <c r="M1154" s="50"/>
      <c r="N1154" s="50"/>
      <c r="O1154" s="49"/>
      <c r="P1154" s="51"/>
    </row>
    <row r="1155" ht="15.0" hidden="1" customHeight="1">
      <c r="A1155" s="45">
        <v>1149.0</v>
      </c>
      <c r="B1155" s="46" t="s">
        <v>24</v>
      </c>
      <c r="C1155" s="46" t="s">
        <v>337</v>
      </c>
      <c r="D1155" s="46" t="s">
        <v>371</v>
      </c>
      <c r="E1155" s="46" t="s">
        <v>375</v>
      </c>
      <c r="F1155" s="47" t="s">
        <v>19</v>
      </c>
      <c r="G1155" s="48">
        <v>210.0</v>
      </c>
      <c r="H1155" s="48">
        <v>43.0</v>
      </c>
      <c r="I1155" s="48">
        <v>6.0</v>
      </c>
      <c r="J1155" s="49">
        <v>83.00395256917</v>
      </c>
      <c r="K1155" s="49"/>
      <c r="L1155" s="50">
        <v>105.0</v>
      </c>
      <c r="M1155" s="50">
        <v>5.0</v>
      </c>
      <c r="N1155" s="50">
        <v>1.0</v>
      </c>
      <c r="O1155" s="49">
        <v>95.4545454545455</v>
      </c>
      <c r="P1155" s="51"/>
    </row>
    <row r="1156" ht="15.0" customHeight="1">
      <c r="A1156" s="52">
        <v>1150.0</v>
      </c>
      <c r="B1156" s="53" t="s">
        <v>24</v>
      </c>
      <c r="C1156" s="60" t="s">
        <v>337</v>
      </c>
      <c r="D1156" s="60" t="s">
        <v>371</v>
      </c>
      <c r="E1156" s="60" t="s">
        <v>376</v>
      </c>
      <c r="F1156" s="61" t="s">
        <v>376</v>
      </c>
      <c r="G1156" s="54">
        <v>193.0</v>
      </c>
      <c r="H1156" s="54">
        <v>18.0</v>
      </c>
      <c r="I1156" s="54">
        <v>1.0</v>
      </c>
      <c r="J1156" s="55">
        <v>91.4691943127962</v>
      </c>
      <c r="K1156" s="55">
        <f>G1156+H1156+I1156</f>
        <v>212</v>
      </c>
      <c r="L1156" s="56">
        <v>140.0</v>
      </c>
      <c r="M1156" s="56">
        <v>1.0</v>
      </c>
      <c r="N1156" s="56">
        <v>0.0</v>
      </c>
      <c r="O1156" s="55">
        <v>99.290780141844</v>
      </c>
      <c r="P1156" s="57">
        <f>L1156+M1156+N1156</f>
        <v>141</v>
      </c>
    </row>
    <row r="1157" ht="15.0" hidden="1" customHeight="1">
      <c r="A1157" s="45">
        <v>1151.0</v>
      </c>
      <c r="B1157" s="46" t="s">
        <v>24</v>
      </c>
      <c r="C1157" s="46" t="s">
        <v>337</v>
      </c>
      <c r="D1157" s="46" t="s">
        <v>371</v>
      </c>
      <c r="E1157" s="46" t="s">
        <v>376</v>
      </c>
      <c r="F1157" s="47" t="s">
        <v>18</v>
      </c>
      <c r="G1157" s="48"/>
      <c r="H1157" s="48"/>
      <c r="I1157" s="48"/>
      <c r="J1157" s="49"/>
      <c r="K1157" s="49"/>
      <c r="L1157" s="50"/>
      <c r="M1157" s="50"/>
      <c r="N1157" s="50"/>
      <c r="O1157" s="49"/>
      <c r="P1157" s="51"/>
    </row>
    <row r="1158" ht="15.0" hidden="1" customHeight="1">
      <c r="A1158" s="45">
        <v>1152.0</v>
      </c>
      <c r="B1158" s="46" t="s">
        <v>24</v>
      </c>
      <c r="C1158" s="46" t="s">
        <v>337</v>
      </c>
      <c r="D1158" s="46" t="s">
        <v>371</v>
      </c>
      <c r="E1158" s="46" t="s">
        <v>376</v>
      </c>
      <c r="F1158" s="47" t="s">
        <v>19</v>
      </c>
      <c r="G1158" s="48">
        <v>193.0</v>
      </c>
      <c r="H1158" s="48">
        <v>18.0</v>
      </c>
      <c r="I1158" s="48">
        <v>1.0</v>
      </c>
      <c r="J1158" s="49">
        <v>91.4691943127962</v>
      </c>
      <c r="K1158" s="49"/>
      <c r="L1158" s="50">
        <v>140.0</v>
      </c>
      <c r="M1158" s="50">
        <v>1.0</v>
      </c>
      <c r="N1158" s="50">
        <v>0.0</v>
      </c>
      <c r="O1158" s="49">
        <v>99.290780141844</v>
      </c>
      <c r="P1158" s="51"/>
    </row>
    <row r="1159" ht="15.0" hidden="1" customHeight="1">
      <c r="A1159" s="39">
        <v>1153.0</v>
      </c>
      <c r="B1159" s="40" t="s">
        <v>22</v>
      </c>
      <c r="C1159" s="59" t="s">
        <v>337</v>
      </c>
      <c r="D1159" s="59" t="s">
        <v>377</v>
      </c>
      <c r="E1159" s="59"/>
      <c r="F1159" s="40" t="s">
        <v>377</v>
      </c>
      <c r="G1159" s="41">
        <v>3211.0</v>
      </c>
      <c r="H1159" s="41">
        <v>397.0</v>
      </c>
      <c r="I1159" s="41">
        <v>41.0</v>
      </c>
      <c r="J1159" s="42">
        <v>88.9966740576497</v>
      </c>
      <c r="K1159" s="42"/>
      <c r="L1159" s="43">
        <v>2893.0</v>
      </c>
      <c r="M1159" s="43">
        <v>111.0</v>
      </c>
      <c r="N1159" s="43">
        <v>29.0</v>
      </c>
      <c r="O1159" s="42">
        <v>96.3049267643142</v>
      </c>
      <c r="P1159" s="44"/>
    </row>
    <row r="1160" ht="15.0" hidden="1" customHeight="1">
      <c r="A1160" s="45">
        <v>1154.0</v>
      </c>
      <c r="B1160" s="46" t="s">
        <v>22</v>
      </c>
      <c r="C1160" s="46" t="s">
        <v>337</v>
      </c>
      <c r="D1160" s="46" t="s">
        <v>377</v>
      </c>
      <c r="E1160" s="46"/>
      <c r="F1160" s="47" t="s">
        <v>18</v>
      </c>
      <c r="G1160" s="48">
        <v>1525.0</v>
      </c>
      <c r="H1160" s="48">
        <v>159.0</v>
      </c>
      <c r="I1160" s="48">
        <v>22.0</v>
      </c>
      <c r="J1160" s="49">
        <v>90.5581947743468</v>
      </c>
      <c r="K1160" s="49"/>
      <c r="L1160" s="50">
        <v>1365.0</v>
      </c>
      <c r="M1160" s="50">
        <v>49.0</v>
      </c>
      <c r="N1160" s="50">
        <v>7.0</v>
      </c>
      <c r="O1160" s="49">
        <v>96.5346534653465</v>
      </c>
      <c r="P1160" s="51"/>
    </row>
    <row r="1161" ht="15.0" hidden="1" customHeight="1">
      <c r="A1161" s="45">
        <v>1155.0</v>
      </c>
      <c r="B1161" s="46" t="s">
        <v>22</v>
      </c>
      <c r="C1161" s="46" t="s">
        <v>337</v>
      </c>
      <c r="D1161" s="46" t="s">
        <v>377</v>
      </c>
      <c r="E1161" s="46"/>
      <c r="F1161" s="47" t="s">
        <v>19</v>
      </c>
      <c r="G1161" s="48">
        <v>1686.0</v>
      </c>
      <c r="H1161" s="48">
        <v>238.0</v>
      </c>
      <c r="I1161" s="48">
        <v>19.0</v>
      </c>
      <c r="J1161" s="49">
        <v>87.6299376299376</v>
      </c>
      <c r="K1161" s="49"/>
      <c r="L1161" s="50">
        <v>1528.0</v>
      </c>
      <c r="M1161" s="50">
        <v>62.0</v>
      </c>
      <c r="N1161" s="50">
        <v>22.0</v>
      </c>
      <c r="O1161" s="49">
        <v>96.1006289308176</v>
      </c>
      <c r="P1161" s="51"/>
    </row>
    <row r="1162" ht="15.0" customHeight="1">
      <c r="A1162" s="52">
        <v>1156.0</v>
      </c>
      <c r="B1162" s="53" t="s">
        <v>24</v>
      </c>
      <c r="C1162" s="60" t="s">
        <v>337</v>
      </c>
      <c r="D1162" s="60" t="s">
        <v>377</v>
      </c>
      <c r="E1162" s="60" t="s">
        <v>378</v>
      </c>
      <c r="F1162" s="61" t="s">
        <v>378</v>
      </c>
      <c r="G1162" s="54">
        <v>988.0</v>
      </c>
      <c r="H1162" s="54">
        <v>106.0</v>
      </c>
      <c r="I1162" s="54">
        <v>17.0</v>
      </c>
      <c r="J1162" s="55">
        <v>90.3107861060329</v>
      </c>
      <c r="K1162" s="55">
        <f>G1162+H1162+I1162</f>
        <v>1111</v>
      </c>
      <c r="L1162" s="56">
        <v>800.0</v>
      </c>
      <c r="M1162" s="56">
        <v>34.0</v>
      </c>
      <c r="N1162" s="56">
        <v>15.0</v>
      </c>
      <c r="O1162" s="55">
        <v>95.9232613908873</v>
      </c>
      <c r="P1162" s="57">
        <f>L1162+M1162+N1162</f>
        <v>849</v>
      </c>
    </row>
    <row r="1163" ht="15.0" hidden="1" customHeight="1">
      <c r="A1163" s="45">
        <v>1157.0</v>
      </c>
      <c r="B1163" s="46" t="s">
        <v>24</v>
      </c>
      <c r="C1163" s="46" t="s">
        <v>337</v>
      </c>
      <c r="D1163" s="46" t="s">
        <v>377</v>
      </c>
      <c r="E1163" s="46" t="s">
        <v>378</v>
      </c>
      <c r="F1163" s="47" t="s">
        <v>18</v>
      </c>
      <c r="G1163" s="48">
        <v>429.0</v>
      </c>
      <c r="H1163" s="48">
        <v>34.0</v>
      </c>
      <c r="I1163" s="48">
        <v>9.0</v>
      </c>
      <c r="J1163" s="49">
        <v>92.6565874730022</v>
      </c>
      <c r="K1163" s="49"/>
      <c r="L1163" s="50">
        <v>387.0</v>
      </c>
      <c r="M1163" s="50">
        <v>17.0</v>
      </c>
      <c r="N1163" s="50">
        <v>4.0</v>
      </c>
      <c r="O1163" s="49">
        <v>95.7920792079208</v>
      </c>
      <c r="P1163" s="51"/>
    </row>
    <row r="1164" ht="15.0" hidden="1" customHeight="1">
      <c r="A1164" s="45">
        <v>1158.0</v>
      </c>
      <c r="B1164" s="46" t="s">
        <v>24</v>
      </c>
      <c r="C1164" s="46" t="s">
        <v>337</v>
      </c>
      <c r="D1164" s="46" t="s">
        <v>377</v>
      </c>
      <c r="E1164" s="46" t="s">
        <v>378</v>
      </c>
      <c r="F1164" s="47" t="s">
        <v>19</v>
      </c>
      <c r="G1164" s="48">
        <v>559.0</v>
      </c>
      <c r="H1164" s="48">
        <v>72.0</v>
      </c>
      <c r="I1164" s="48">
        <v>8.0</v>
      </c>
      <c r="J1164" s="49">
        <v>88.5895404120444</v>
      </c>
      <c r="K1164" s="49"/>
      <c r="L1164" s="50">
        <v>413.0</v>
      </c>
      <c r="M1164" s="50">
        <v>17.0</v>
      </c>
      <c r="N1164" s="50">
        <v>11.0</v>
      </c>
      <c r="O1164" s="49">
        <v>96.046511627907</v>
      </c>
      <c r="P1164" s="51"/>
    </row>
    <row r="1165" ht="15.0" customHeight="1">
      <c r="A1165" s="52">
        <v>1159.0</v>
      </c>
      <c r="B1165" s="53" t="s">
        <v>24</v>
      </c>
      <c r="C1165" s="60" t="s">
        <v>337</v>
      </c>
      <c r="D1165" s="60" t="s">
        <v>377</v>
      </c>
      <c r="E1165" s="60" t="s">
        <v>379</v>
      </c>
      <c r="F1165" s="61" t="s">
        <v>379</v>
      </c>
      <c r="G1165" s="54">
        <v>872.0</v>
      </c>
      <c r="H1165" s="54">
        <v>131.0</v>
      </c>
      <c r="I1165" s="54">
        <v>5.0</v>
      </c>
      <c r="J1165" s="55">
        <v>86.9391824526421</v>
      </c>
      <c r="K1165" s="55">
        <f>G1165+H1165+I1165</f>
        <v>1008</v>
      </c>
      <c r="L1165" s="56">
        <v>851.0</v>
      </c>
      <c r="M1165" s="56">
        <v>33.0</v>
      </c>
      <c r="N1165" s="56">
        <v>4.0</v>
      </c>
      <c r="O1165" s="55">
        <v>96.2669683257919</v>
      </c>
      <c r="P1165" s="57">
        <f>L1165+M1165+N1165</f>
        <v>888</v>
      </c>
    </row>
    <row r="1166" ht="15.0" hidden="1" customHeight="1">
      <c r="A1166" s="45">
        <v>1160.0</v>
      </c>
      <c r="B1166" s="46" t="s">
        <v>24</v>
      </c>
      <c r="C1166" s="46" t="s">
        <v>337</v>
      </c>
      <c r="D1166" s="46" t="s">
        <v>377</v>
      </c>
      <c r="E1166" s="46" t="s">
        <v>379</v>
      </c>
      <c r="F1166" s="47" t="s">
        <v>18</v>
      </c>
      <c r="G1166" s="48">
        <v>379.0</v>
      </c>
      <c r="H1166" s="48">
        <v>45.0</v>
      </c>
      <c r="I1166" s="48">
        <v>2.0</v>
      </c>
      <c r="J1166" s="49">
        <v>89.3867924528302</v>
      </c>
      <c r="K1166" s="49"/>
      <c r="L1166" s="50">
        <v>358.0</v>
      </c>
      <c r="M1166" s="50">
        <v>11.0</v>
      </c>
      <c r="N1166" s="50">
        <v>0.0</v>
      </c>
      <c r="O1166" s="49">
        <v>97.0189701897019</v>
      </c>
      <c r="P1166" s="51"/>
    </row>
    <row r="1167" ht="15.0" hidden="1" customHeight="1">
      <c r="A1167" s="45">
        <v>1161.0</v>
      </c>
      <c r="B1167" s="46" t="s">
        <v>24</v>
      </c>
      <c r="C1167" s="46" t="s">
        <v>337</v>
      </c>
      <c r="D1167" s="46" t="s">
        <v>377</v>
      </c>
      <c r="E1167" s="46" t="s">
        <v>379</v>
      </c>
      <c r="F1167" s="47" t="s">
        <v>19</v>
      </c>
      <c r="G1167" s="48">
        <v>493.0</v>
      </c>
      <c r="H1167" s="48">
        <v>86.0</v>
      </c>
      <c r="I1167" s="48">
        <v>3.0</v>
      </c>
      <c r="J1167" s="49">
        <v>85.146804835924</v>
      </c>
      <c r="K1167" s="49"/>
      <c r="L1167" s="50">
        <v>493.0</v>
      </c>
      <c r="M1167" s="50">
        <v>22.0</v>
      </c>
      <c r="N1167" s="50">
        <v>4.0</v>
      </c>
      <c r="O1167" s="49">
        <v>95.7281553398058</v>
      </c>
      <c r="P1167" s="51"/>
    </row>
    <row r="1168" ht="15.0" customHeight="1">
      <c r="A1168" s="52">
        <v>1162.0</v>
      </c>
      <c r="B1168" s="53" t="s">
        <v>24</v>
      </c>
      <c r="C1168" s="60" t="s">
        <v>337</v>
      </c>
      <c r="D1168" s="60" t="s">
        <v>377</v>
      </c>
      <c r="E1168" s="60" t="s">
        <v>380</v>
      </c>
      <c r="F1168" s="61" t="s">
        <v>380</v>
      </c>
      <c r="G1168" s="54">
        <v>1064.0</v>
      </c>
      <c r="H1168" s="54">
        <v>127.0</v>
      </c>
      <c r="I1168" s="54">
        <v>12.0</v>
      </c>
      <c r="J1168" s="55">
        <v>89.3366918555835</v>
      </c>
      <c r="K1168" s="55">
        <f>G1168+H1168+I1168</f>
        <v>1203</v>
      </c>
      <c r="L1168" s="56">
        <v>1061.0</v>
      </c>
      <c r="M1168" s="56">
        <v>32.0</v>
      </c>
      <c r="N1168" s="56">
        <v>9.0</v>
      </c>
      <c r="O1168" s="55">
        <v>97.0722781335773</v>
      </c>
      <c r="P1168" s="57">
        <f>L1168+M1168+N1168</f>
        <v>1102</v>
      </c>
    </row>
    <row r="1169" ht="15.0" hidden="1" customHeight="1">
      <c r="A1169" s="45">
        <v>1163.0</v>
      </c>
      <c r="B1169" s="46" t="s">
        <v>24</v>
      </c>
      <c r="C1169" s="46" t="s">
        <v>337</v>
      </c>
      <c r="D1169" s="46" t="s">
        <v>377</v>
      </c>
      <c r="E1169" s="46" t="s">
        <v>380</v>
      </c>
      <c r="F1169" s="47" t="s">
        <v>18</v>
      </c>
      <c r="G1169" s="48">
        <v>717.0</v>
      </c>
      <c r="H1169" s="48">
        <v>80.0</v>
      </c>
      <c r="I1169" s="48">
        <v>11.0</v>
      </c>
      <c r="J1169" s="49">
        <v>89.9623588456713</v>
      </c>
      <c r="K1169" s="49"/>
      <c r="L1169" s="50">
        <v>620.0</v>
      </c>
      <c r="M1169" s="50">
        <v>21.0</v>
      </c>
      <c r="N1169" s="50">
        <v>3.0</v>
      </c>
      <c r="O1169" s="49">
        <v>96.7238689547582</v>
      </c>
      <c r="P1169" s="51"/>
    </row>
    <row r="1170" ht="15.0" hidden="1" customHeight="1">
      <c r="A1170" s="45">
        <v>1164.0</v>
      </c>
      <c r="B1170" s="46" t="s">
        <v>24</v>
      </c>
      <c r="C1170" s="46" t="s">
        <v>337</v>
      </c>
      <c r="D1170" s="46" t="s">
        <v>377</v>
      </c>
      <c r="E1170" s="46" t="s">
        <v>380</v>
      </c>
      <c r="F1170" s="47" t="s">
        <v>19</v>
      </c>
      <c r="G1170" s="48">
        <v>347.0</v>
      </c>
      <c r="H1170" s="48">
        <v>47.0</v>
      </c>
      <c r="I1170" s="48">
        <v>1.0</v>
      </c>
      <c r="J1170" s="49">
        <v>88.0710659898477</v>
      </c>
      <c r="K1170" s="49"/>
      <c r="L1170" s="50">
        <v>441.0</v>
      </c>
      <c r="M1170" s="50">
        <v>11.0</v>
      </c>
      <c r="N1170" s="50">
        <v>6.0</v>
      </c>
      <c r="O1170" s="49">
        <v>97.5663716814159</v>
      </c>
      <c r="P1170" s="51"/>
    </row>
    <row r="1171" ht="15.0" customHeight="1">
      <c r="A1171" s="52">
        <v>1165.0</v>
      </c>
      <c r="B1171" s="53" t="s">
        <v>24</v>
      </c>
      <c r="C1171" s="60" t="s">
        <v>337</v>
      </c>
      <c r="D1171" s="60" t="s">
        <v>377</v>
      </c>
      <c r="E1171" s="60" t="s">
        <v>381</v>
      </c>
      <c r="F1171" s="61" t="s">
        <v>381</v>
      </c>
      <c r="G1171" s="54">
        <v>287.0</v>
      </c>
      <c r="H1171" s="54">
        <v>33.0</v>
      </c>
      <c r="I1171" s="54">
        <v>7.0</v>
      </c>
      <c r="J1171" s="55">
        <v>89.6875</v>
      </c>
      <c r="K1171" s="55">
        <f>G1171+H1171+I1171</f>
        <v>327</v>
      </c>
      <c r="L1171" s="56">
        <v>181.0</v>
      </c>
      <c r="M1171" s="56">
        <v>12.0</v>
      </c>
      <c r="N1171" s="56">
        <v>1.0</v>
      </c>
      <c r="O1171" s="55">
        <v>93.7823834196891</v>
      </c>
      <c r="P1171" s="57">
        <f>L1171+M1171+N1171</f>
        <v>194</v>
      </c>
    </row>
    <row r="1172" ht="15.0" hidden="1" customHeight="1">
      <c r="A1172" s="45">
        <v>1166.0</v>
      </c>
      <c r="B1172" s="46" t="s">
        <v>24</v>
      </c>
      <c r="C1172" s="46" t="s">
        <v>337</v>
      </c>
      <c r="D1172" s="46" t="s">
        <v>377</v>
      </c>
      <c r="E1172" s="46" t="s">
        <v>381</v>
      </c>
      <c r="F1172" s="47" t="s">
        <v>18</v>
      </c>
      <c r="G1172" s="48"/>
      <c r="H1172" s="48"/>
      <c r="I1172" s="48"/>
      <c r="J1172" s="49"/>
      <c r="K1172" s="49"/>
      <c r="L1172" s="50"/>
      <c r="M1172" s="50"/>
      <c r="N1172" s="50"/>
      <c r="O1172" s="49"/>
      <c r="P1172" s="51"/>
    </row>
    <row r="1173" ht="15.0" hidden="1" customHeight="1">
      <c r="A1173" s="45">
        <v>1167.0</v>
      </c>
      <c r="B1173" s="46" t="s">
        <v>24</v>
      </c>
      <c r="C1173" s="46" t="s">
        <v>337</v>
      </c>
      <c r="D1173" s="46" t="s">
        <v>377</v>
      </c>
      <c r="E1173" s="46" t="s">
        <v>381</v>
      </c>
      <c r="F1173" s="47" t="s">
        <v>19</v>
      </c>
      <c r="G1173" s="48">
        <v>287.0</v>
      </c>
      <c r="H1173" s="48">
        <v>33.0</v>
      </c>
      <c r="I1173" s="48">
        <v>7.0</v>
      </c>
      <c r="J1173" s="49">
        <v>89.6875</v>
      </c>
      <c r="K1173" s="49"/>
      <c r="L1173" s="50">
        <v>181.0</v>
      </c>
      <c r="M1173" s="50">
        <v>12.0</v>
      </c>
      <c r="N1173" s="50">
        <v>1.0</v>
      </c>
      <c r="O1173" s="49">
        <v>93.7823834196891</v>
      </c>
      <c r="P1173" s="51"/>
    </row>
    <row r="1174" ht="15.0" hidden="1" customHeight="1">
      <c r="A1174" s="39">
        <v>1168.0</v>
      </c>
      <c r="B1174" s="40" t="s">
        <v>22</v>
      </c>
      <c r="C1174" s="59" t="s">
        <v>337</v>
      </c>
      <c r="D1174" s="59" t="s">
        <v>382</v>
      </c>
      <c r="E1174" s="59"/>
      <c r="F1174" s="40" t="s">
        <v>382</v>
      </c>
      <c r="G1174" s="41">
        <v>17470.0</v>
      </c>
      <c r="H1174" s="41">
        <v>2911.0</v>
      </c>
      <c r="I1174" s="41">
        <v>253.0</v>
      </c>
      <c r="J1174" s="42">
        <v>85.7170894460527</v>
      </c>
      <c r="K1174" s="42"/>
      <c r="L1174" s="43">
        <v>15991.0</v>
      </c>
      <c r="M1174" s="43">
        <v>533.0</v>
      </c>
      <c r="N1174" s="43">
        <v>134.0</v>
      </c>
      <c r="O1174" s="42">
        <v>96.7743887678528</v>
      </c>
      <c r="P1174" s="44"/>
    </row>
    <row r="1175" ht="15.0" hidden="1" customHeight="1">
      <c r="A1175" s="45">
        <v>1169.0</v>
      </c>
      <c r="B1175" s="46" t="s">
        <v>22</v>
      </c>
      <c r="C1175" s="46" t="s">
        <v>337</v>
      </c>
      <c r="D1175" s="46" t="s">
        <v>382</v>
      </c>
      <c r="E1175" s="46"/>
      <c r="F1175" s="47" t="s">
        <v>18</v>
      </c>
      <c r="G1175" s="48">
        <v>14255.0</v>
      </c>
      <c r="H1175" s="48">
        <v>2128.0</v>
      </c>
      <c r="I1175" s="48">
        <v>206.0</v>
      </c>
      <c r="J1175" s="49">
        <v>87.0109259598364</v>
      </c>
      <c r="K1175" s="49"/>
      <c r="L1175" s="50">
        <v>14115.0</v>
      </c>
      <c r="M1175" s="50">
        <v>424.0</v>
      </c>
      <c r="N1175" s="50">
        <v>112.0</v>
      </c>
      <c r="O1175" s="49">
        <v>97.0837058944907</v>
      </c>
      <c r="P1175" s="51"/>
    </row>
    <row r="1176" ht="15.0" hidden="1" customHeight="1">
      <c r="A1176" s="45">
        <v>1170.0</v>
      </c>
      <c r="B1176" s="46" t="s">
        <v>22</v>
      </c>
      <c r="C1176" s="46" t="s">
        <v>337</v>
      </c>
      <c r="D1176" s="46" t="s">
        <v>382</v>
      </c>
      <c r="E1176" s="46"/>
      <c r="F1176" s="47" t="s">
        <v>19</v>
      </c>
      <c r="G1176" s="48">
        <v>3215.0</v>
      </c>
      <c r="H1176" s="48">
        <v>783.0</v>
      </c>
      <c r="I1176" s="48">
        <v>47.0</v>
      </c>
      <c r="J1176" s="49">
        <v>80.4152076038019</v>
      </c>
      <c r="K1176" s="49"/>
      <c r="L1176" s="50">
        <v>1876.0</v>
      </c>
      <c r="M1176" s="50">
        <v>109.0</v>
      </c>
      <c r="N1176" s="50">
        <v>22.0</v>
      </c>
      <c r="O1176" s="49">
        <v>94.5088161209068</v>
      </c>
      <c r="P1176" s="51"/>
    </row>
    <row r="1177" ht="15.0" customHeight="1">
      <c r="A1177" s="52">
        <v>1171.0</v>
      </c>
      <c r="B1177" s="53" t="s">
        <v>24</v>
      </c>
      <c r="C1177" s="60" t="s">
        <v>337</v>
      </c>
      <c r="D1177" s="60" t="s">
        <v>382</v>
      </c>
      <c r="E1177" s="60" t="s">
        <v>383</v>
      </c>
      <c r="F1177" s="61" t="s">
        <v>383</v>
      </c>
      <c r="G1177" s="54">
        <v>10362.0</v>
      </c>
      <c r="H1177" s="54">
        <v>1523.0</v>
      </c>
      <c r="I1177" s="54">
        <v>135.0</v>
      </c>
      <c r="J1177" s="55">
        <v>87.1855279764409</v>
      </c>
      <c r="K1177" s="55">
        <f>G1177+H1177+I1177</f>
        <v>12020</v>
      </c>
      <c r="L1177" s="56">
        <v>10307.0</v>
      </c>
      <c r="M1177" s="56">
        <v>253.0</v>
      </c>
      <c r="N1177" s="56">
        <v>77.0</v>
      </c>
      <c r="O1177" s="55">
        <v>97.6041666666667</v>
      </c>
      <c r="P1177" s="57">
        <f>L1177+M1177+N1177</f>
        <v>10637</v>
      </c>
    </row>
    <row r="1178" ht="15.0" hidden="1" customHeight="1">
      <c r="A1178" s="45">
        <v>1172.0</v>
      </c>
      <c r="B1178" s="46" t="s">
        <v>24</v>
      </c>
      <c r="C1178" s="46" t="s">
        <v>337</v>
      </c>
      <c r="D1178" s="46" t="s">
        <v>382</v>
      </c>
      <c r="E1178" s="46" t="s">
        <v>383</v>
      </c>
      <c r="F1178" s="47" t="s">
        <v>18</v>
      </c>
      <c r="G1178" s="48">
        <v>10137.0</v>
      </c>
      <c r="H1178" s="48">
        <v>1446.0</v>
      </c>
      <c r="I1178" s="48">
        <v>131.0</v>
      </c>
      <c r="J1178" s="49">
        <v>87.5161875161875</v>
      </c>
      <c r="K1178" s="49"/>
      <c r="L1178" s="50">
        <v>10244.0</v>
      </c>
      <c r="M1178" s="50">
        <v>251.0</v>
      </c>
      <c r="N1178" s="50">
        <v>77.0</v>
      </c>
      <c r="O1178" s="49">
        <v>97.608384945212</v>
      </c>
      <c r="P1178" s="51"/>
    </row>
    <row r="1179" ht="15.0" hidden="1" customHeight="1">
      <c r="A1179" s="45">
        <v>1173.0</v>
      </c>
      <c r="B1179" s="46" t="s">
        <v>24</v>
      </c>
      <c r="C1179" s="46" t="s">
        <v>337</v>
      </c>
      <c r="D1179" s="46" t="s">
        <v>382</v>
      </c>
      <c r="E1179" s="46" t="s">
        <v>383</v>
      </c>
      <c r="F1179" s="47" t="s">
        <v>19</v>
      </c>
      <c r="G1179" s="48">
        <v>225.0</v>
      </c>
      <c r="H1179" s="48">
        <v>77.0</v>
      </c>
      <c r="I1179" s="48">
        <v>4.0</v>
      </c>
      <c r="J1179" s="49">
        <v>74.5033112582781</v>
      </c>
      <c r="K1179" s="49"/>
      <c r="L1179" s="50">
        <v>63.0</v>
      </c>
      <c r="M1179" s="50">
        <v>2.0</v>
      </c>
      <c r="N1179" s="50">
        <v>0.0</v>
      </c>
      <c r="O1179" s="49">
        <v>96.9230769230769</v>
      </c>
      <c r="P1179" s="51"/>
    </row>
    <row r="1180" ht="15.0" customHeight="1">
      <c r="A1180" s="52">
        <v>1174.0</v>
      </c>
      <c r="B1180" s="53" t="s">
        <v>24</v>
      </c>
      <c r="C1180" s="60" t="s">
        <v>337</v>
      </c>
      <c r="D1180" s="60" t="s">
        <v>382</v>
      </c>
      <c r="E1180" s="60" t="s">
        <v>384</v>
      </c>
      <c r="F1180" s="61" t="s">
        <v>384</v>
      </c>
      <c r="G1180" s="54">
        <v>1425.0</v>
      </c>
      <c r="H1180" s="54">
        <v>290.0</v>
      </c>
      <c r="I1180" s="54">
        <v>29.0</v>
      </c>
      <c r="J1180" s="55">
        <v>83.0903790087464</v>
      </c>
      <c r="K1180" s="55">
        <f>G1180+H1180+I1180</f>
        <v>1744</v>
      </c>
      <c r="L1180" s="56">
        <v>1427.0</v>
      </c>
      <c r="M1180" s="56">
        <v>89.0</v>
      </c>
      <c r="N1180" s="56">
        <v>24.0</v>
      </c>
      <c r="O1180" s="55">
        <v>94.1292875989446</v>
      </c>
      <c r="P1180" s="57">
        <f>L1180+M1180+N1180</f>
        <v>1540</v>
      </c>
    </row>
    <row r="1181" ht="15.0" hidden="1" customHeight="1">
      <c r="A1181" s="45">
        <v>1175.0</v>
      </c>
      <c r="B1181" s="46" t="s">
        <v>24</v>
      </c>
      <c r="C1181" s="46" t="s">
        <v>337</v>
      </c>
      <c r="D1181" s="46" t="s">
        <v>382</v>
      </c>
      <c r="E1181" s="46" t="s">
        <v>384</v>
      </c>
      <c r="F1181" s="47" t="s">
        <v>18</v>
      </c>
      <c r="G1181" s="48">
        <v>500.0</v>
      </c>
      <c r="H1181" s="48">
        <v>65.0</v>
      </c>
      <c r="I1181" s="48">
        <v>10.0</v>
      </c>
      <c r="J1181" s="49">
        <v>88.4955752212389</v>
      </c>
      <c r="K1181" s="49"/>
      <c r="L1181" s="50">
        <v>685.0</v>
      </c>
      <c r="M1181" s="50">
        <v>30.0</v>
      </c>
      <c r="N1181" s="50">
        <v>9.0</v>
      </c>
      <c r="O1181" s="49">
        <v>95.8041958041958</v>
      </c>
      <c r="P1181" s="51"/>
    </row>
    <row r="1182" ht="15.0" hidden="1" customHeight="1">
      <c r="A1182" s="45">
        <v>1176.0</v>
      </c>
      <c r="B1182" s="46" t="s">
        <v>24</v>
      </c>
      <c r="C1182" s="46" t="s">
        <v>337</v>
      </c>
      <c r="D1182" s="46" t="s">
        <v>382</v>
      </c>
      <c r="E1182" s="46" t="s">
        <v>384</v>
      </c>
      <c r="F1182" s="47" t="s">
        <v>19</v>
      </c>
      <c r="G1182" s="48">
        <v>925.0</v>
      </c>
      <c r="H1182" s="48">
        <v>225.0</v>
      </c>
      <c r="I1182" s="48">
        <v>19.0</v>
      </c>
      <c r="J1182" s="49">
        <v>80.4347826086957</v>
      </c>
      <c r="K1182" s="49"/>
      <c r="L1182" s="50">
        <v>742.0</v>
      </c>
      <c r="M1182" s="50">
        <v>59.0</v>
      </c>
      <c r="N1182" s="50">
        <v>15.0</v>
      </c>
      <c r="O1182" s="49">
        <v>92.6342072409488</v>
      </c>
      <c r="P1182" s="51"/>
    </row>
    <row r="1183" ht="15.0" customHeight="1">
      <c r="A1183" s="52">
        <v>1177.0</v>
      </c>
      <c r="B1183" s="53" t="s">
        <v>24</v>
      </c>
      <c r="C1183" s="60" t="s">
        <v>337</v>
      </c>
      <c r="D1183" s="60" t="s">
        <v>382</v>
      </c>
      <c r="E1183" s="60" t="s">
        <v>385</v>
      </c>
      <c r="F1183" s="61" t="s">
        <v>385</v>
      </c>
      <c r="G1183" s="54">
        <v>2471.0</v>
      </c>
      <c r="H1183" s="54">
        <v>480.0</v>
      </c>
      <c r="I1183" s="54">
        <v>38.0</v>
      </c>
      <c r="J1183" s="55">
        <v>83.7343273466622</v>
      </c>
      <c r="K1183" s="55">
        <f>G1183+H1183+I1183</f>
        <v>2989</v>
      </c>
      <c r="L1183" s="56">
        <v>1987.0</v>
      </c>
      <c r="M1183" s="56">
        <v>96.0</v>
      </c>
      <c r="N1183" s="56">
        <v>14.0</v>
      </c>
      <c r="O1183" s="55">
        <v>95.3912626020163</v>
      </c>
      <c r="P1183" s="57">
        <f>L1183+M1183+N1183</f>
        <v>2097</v>
      </c>
    </row>
    <row r="1184" ht="15.0" hidden="1" customHeight="1">
      <c r="A1184" s="45">
        <v>1178.0</v>
      </c>
      <c r="B1184" s="46" t="s">
        <v>24</v>
      </c>
      <c r="C1184" s="46" t="s">
        <v>337</v>
      </c>
      <c r="D1184" s="46" t="s">
        <v>382</v>
      </c>
      <c r="E1184" s="46" t="s">
        <v>385</v>
      </c>
      <c r="F1184" s="47" t="s">
        <v>18</v>
      </c>
      <c r="G1184" s="48">
        <v>1951.0</v>
      </c>
      <c r="H1184" s="48">
        <v>321.0</v>
      </c>
      <c r="I1184" s="48">
        <v>35.0</v>
      </c>
      <c r="J1184" s="49">
        <v>85.8714788732394</v>
      </c>
      <c r="K1184" s="49"/>
      <c r="L1184" s="50">
        <v>1595.0</v>
      </c>
      <c r="M1184" s="50">
        <v>79.0</v>
      </c>
      <c r="N1184" s="50">
        <v>10.0</v>
      </c>
      <c r="O1184" s="49">
        <v>95.2807646356033</v>
      </c>
      <c r="P1184" s="51"/>
    </row>
    <row r="1185" ht="15.0" hidden="1" customHeight="1">
      <c r="A1185" s="45">
        <v>1179.0</v>
      </c>
      <c r="B1185" s="46" t="s">
        <v>24</v>
      </c>
      <c r="C1185" s="46" t="s">
        <v>337</v>
      </c>
      <c r="D1185" s="46" t="s">
        <v>382</v>
      </c>
      <c r="E1185" s="46" t="s">
        <v>385</v>
      </c>
      <c r="F1185" s="47" t="s">
        <v>19</v>
      </c>
      <c r="G1185" s="48">
        <v>520.0</v>
      </c>
      <c r="H1185" s="48">
        <v>159.0</v>
      </c>
      <c r="I1185" s="48">
        <v>3.0</v>
      </c>
      <c r="J1185" s="49">
        <v>76.5832106038292</v>
      </c>
      <c r="K1185" s="49"/>
      <c r="L1185" s="50">
        <v>392.0</v>
      </c>
      <c r="M1185" s="50">
        <v>17.0</v>
      </c>
      <c r="N1185" s="50">
        <v>4.0</v>
      </c>
      <c r="O1185" s="49">
        <v>95.8435207823961</v>
      </c>
      <c r="P1185" s="51"/>
    </row>
    <row r="1186" ht="15.0" customHeight="1">
      <c r="A1186" s="52">
        <v>1180.0</v>
      </c>
      <c r="B1186" s="53" t="s">
        <v>24</v>
      </c>
      <c r="C1186" s="60" t="s">
        <v>337</v>
      </c>
      <c r="D1186" s="60" t="s">
        <v>382</v>
      </c>
      <c r="E1186" s="60" t="s">
        <v>386</v>
      </c>
      <c r="F1186" s="61" t="s">
        <v>386</v>
      </c>
      <c r="G1186" s="54">
        <v>1446.0</v>
      </c>
      <c r="H1186" s="54">
        <v>265.0</v>
      </c>
      <c r="I1186" s="54">
        <v>25.0</v>
      </c>
      <c r="J1186" s="55">
        <v>84.5119812974869</v>
      </c>
      <c r="K1186" s="55">
        <f>G1186+H1186+I1186</f>
        <v>1736</v>
      </c>
      <c r="L1186" s="56">
        <v>1095.0</v>
      </c>
      <c r="M1186" s="56">
        <v>43.0</v>
      </c>
      <c r="N1186" s="56">
        <v>11.0</v>
      </c>
      <c r="O1186" s="55">
        <v>96.2214411247803</v>
      </c>
      <c r="P1186" s="57">
        <f>L1186+M1186+N1186</f>
        <v>1149</v>
      </c>
    </row>
    <row r="1187" ht="15.0" hidden="1" customHeight="1">
      <c r="A1187" s="45">
        <v>1181.0</v>
      </c>
      <c r="B1187" s="46" t="s">
        <v>24</v>
      </c>
      <c r="C1187" s="46" t="s">
        <v>337</v>
      </c>
      <c r="D1187" s="46" t="s">
        <v>382</v>
      </c>
      <c r="E1187" s="46" t="s">
        <v>386</v>
      </c>
      <c r="F1187" s="47" t="s">
        <v>18</v>
      </c>
      <c r="G1187" s="48">
        <v>952.0</v>
      </c>
      <c r="H1187" s="48">
        <v>142.0</v>
      </c>
      <c r="I1187" s="48">
        <v>19.0</v>
      </c>
      <c r="J1187" s="49">
        <v>87.0201096892139</v>
      </c>
      <c r="K1187" s="49"/>
      <c r="L1187" s="50">
        <v>892.0</v>
      </c>
      <c r="M1187" s="50">
        <v>38.0</v>
      </c>
      <c r="N1187" s="50">
        <v>10.0</v>
      </c>
      <c r="O1187" s="49">
        <v>95.9139784946236</v>
      </c>
      <c r="P1187" s="51"/>
    </row>
    <row r="1188" ht="15.0" hidden="1" customHeight="1">
      <c r="A1188" s="45">
        <v>1182.0</v>
      </c>
      <c r="B1188" s="46" t="s">
        <v>24</v>
      </c>
      <c r="C1188" s="46" t="s">
        <v>337</v>
      </c>
      <c r="D1188" s="46" t="s">
        <v>382</v>
      </c>
      <c r="E1188" s="46" t="s">
        <v>386</v>
      </c>
      <c r="F1188" s="47" t="s">
        <v>19</v>
      </c>
      <c r="G1188" s="48">
        <v>494.0</v>
      </c>
      <c r="H1188" s="48">
        <v>123.0</v>
      </c>
      <c r="I1188" s="48">
        <v>6.0</v>
      </c>
      <c r="J1188" s="49">
        <v>80.064829821718</v>
      </c>
      <c r="K1188" s="49"/>
      <c r="L1188" s="50">
        <v>203.0</v>
      </c>
      <c r="M1188" s="50">
        <v>5.0</v>
      </c>
      <c r="N1188" s="50">
        <v>1.0</v>
      </c>
      <c r="O1188" s="49">
        <v>97.5961538461538</v>
      </c>
      <c r="P1188" s="51"/>
    </row>
    <row r="1189" ht="15.0" customHeight="1">
      <c r="A1189" s="52">
        <v>1183.0</v>
      </c>
      <c r="B1189" s="53" t="s">
        <v>24</v>
      </c>
      <c r="C1189" s="60" t="s">
        <v>337</v>
      </c>
      <c r="D1189" s="60" t="s">
        <v>382</v>
      </c>
      <c r="E1189" s="60" t="s">
        <v>285</v>
      </c>
      <c r="F1189" s="61" t="s">
        <v>285</v>
      </c>
      <c r="G1189" s="54">
        <v>1766.0</v>
      </c>
      <c r="H1189" s="54">
        <v>353.0</v>
      </c>
      <c r="I1189" s="54">
        <v>26.0</v>
      </c>
      <c r="J1189" s="55">
        <v>83.341198678622</v>
      </c>
      <c r="K1189" s="55">
        <f>G1189+H1189+I1189</f>
        <v>2145</v>
      </c>
      <c r="L1189" s="56">
        <v>1175.0</v>
      </c>
      <c r="M1189" s="56">
        <v>52.0</v>
      </c>
      <c r="N1189" s="56">
        <v>8.0</v>
      </c>
      <c r="O1189" s="55">
        <v>95.7620211898941</v>
      </c>
      <c r="P1189" s="57">
        <f>L1189+M1189+N1189</f>
        <v>1235</v>
      </c>
    </row>
    <row r="1190" ht="15.0" hidden="1" customHeight="1">
      <c r="A1190" s="45">
        <v>1184.0</v>
      </c>
      <c r="B1190" s="46" t="s">
        <v>24</v>
      </c>
      <c r="C1190" s="46" t="s">
        <v>337</v>
      </c>
      <c r="D1190" s="46" t="s">
        <v>382</v>
      </c>
      <c r="E1190" s="46" t="s">
        <v>285</v>
      </c>
      <c r="F1190" s="47" t="s">
        <v>18</v>
      </c>
      <c r="G1190" s="48">
        <v>715.0</v>
      </c>
      <c r="H1190" s="48">
        <v>154.0</v>
      </c>
      <c r="I1190" s="48">
        <v>11.0</v>
      </c>
      <c r="J1190" s="49">
        <v>82.2784810126582</v>
      </c>
      <c r="K1190" s="49"/>
      <c r="L1190" s="50">
        <v>699.0</v>
      </c>
      <c r="M1190" s="50">
        <v>26.0</v>
      </c>
      <c r="N1190" s="50">
        <v>6.0</v>
      </c>
      <c r="O1190" s="49">
        <v>96.4137931034483</v>
      </c>
      <c r="P1190" s="51"/>
    </row>
    <row r="1191" ht="15.0" hidden="1" customHeight="1">
      <c r="A1191" s="45">
        <v>1185.0</v>
      </c>
      <c r="B1191" s="46" t="s">
        <v>24</v>
      </c>
      <c r="C1191" s="46" t="s">
        <v>337</v>
      </c>
      <c r="D1191" s="46" t="s">
        <v>382</v>
      </c>
      <c r="E1191" s="46" t="s">
        <v>285</v>
      </c>
      <c r="F1191" s="47" t="s">
        <v>19</v>
      </c>
      <c r="G1191" s="48">
        <v>1051.0</v>
      </c>
      <c r="H1191" s="48">
        <v>199.0</v>
      </c>
      <c r="I1191" s="48">
        <v>15.0</v>
      </c>
      <c r="J1191" s="49">
        <v>84.08</v>
      </c>
      <c r="K1191" s="49"/>
      <c r="L1191" s="50">
        <v>476.0</v>
      </c>
      <c r="M1191" s="50">
        <v>26.0</v>
      </c>
      <c r="N1191" s="50">
        <v>2.0</v>
      </c>
      <c r="O1191" s="49">
        <v>94.8207171314741</v>
      </c>
      <c r="P1191" s="51"/>
    </row>
    <row r="1192" ht="15.0" hidden="1" customHeight="1">
      <c r="A1192" s="39">
        <v>1186.0</v>
      </c>
      <c r="B1192" s="40" t="s">
        <v>22</v>
      </c>
      <c r="C1192" s="59" t="s">
        <v>337</v>
      </c>
      <c r="D1192" s="59" t="s">
        <v>387</v>
      </c>
      <c r="E1192" s="59"/>
      <c r="F1192" s="40" t="s">
        <v>387</v>
      </c>
      <c r="G1192" s="41">
        <v>11868.0</v>
      </c>
      <c r="H1192" s="41">
        <v>2925.0</v>
      </c>
      <c r="I1192" s="41">
        <v>245.0</v>
      </c>
      <c r="J1192" s="42">
        <v>80.2271344554857</v>
      </c>
      <c r="K1192" s="42"/>
      <c r="L1192" s="43">
        <v>11761.0</v>
      </c>
      <c r="M1192" s="43">
        <v>1033.0</v>
      </c>
      <c r="N1192" s="43">
        <v>151.0</v>
      </c>
      <c r="O1192" s="42">
        <v>91.925902766922</v>
      </c>
      <c r="P1192" s="44"/>
    </row>
    <row r="1193" ht="15.0" hidden="1" customHeight="1">
      <c r="A1193" s="45">
        <v>1187.0</v>
      </c>
      <c r="B1193" s="46" t="s">
        <v>22</v>
      </c>
      <c r="C1193" s="46" t="s">
        <v>337</v>
      </c>
      <c r="D1193" s="46" t="s">
        <v>387</v>
      </c>
      <c r="E1193" s="46"/>
      <c r="F1193" s="47" t="s">
        <v>18</v>
      </c>
      <c r="G1193" s="48">
        <v>5118.0</v>
      </c>
      <c r="H1193" s="48">
        <v>1341.0</v>
      </c>
      <c r="I1193" s="48">
        <v>86.0</v>
      </c>
      <c r="J1193" s="49">
        <v>79.2382721783558</v>
      </c>
      <c r="K1193" s="49"/>
      <c r="L1193" s="50">
        <v>6140.0</v>
      </c>
      <c r="M1193" s="50">
        <v>364.0</v>
      </c>
      <c r="N1193" s="50">
        <v>58.0</v>
      </c>
      <c r="O1193" s="49">
        <v>94.4034440344403</v>
      </c>
      <c r="P1193" s="51"/>
    </row>
    <row r="1194" ht="15.0" hidden="1" customHeight="1">
      <c r="A1194" s="45">
        <v>1188.0</v>
      </c>
      <c r="B1194" s="46" t="s">
        <v>22</v>
      </c>
      <c r="C1194" s="46" t="s">
        <v>337</v>
      </c>
      <c r="D1194" s="46" t="s">
        <v>387</v>
      </c>
      <c r="E1194" s="46"/>
      <c r="F1194" s="47" t="s">
        <v>19</v>
      </c>
      <c r="G1194" s="48">
        <v>6750.0</v>
      </c>
      <c r="H1194" s="48">
        <v>1584.0</v>
      </c>
      <c r="I1194" s="48">
        <v>159.0</v>
      </c>
      <c r="J1194" s="49">
        <v>80.9935205183585</v>
      </c>
      <c r="K1194" s="49"/>
      <c r="L1194" s="50">
        <v>5621.0</v>
      </c>
      <c r="M1194" s="50">
        <v>669.0</v>
      </c>
      <c r="N1194" s="50">
        <v>93.0</v>
      </c>
      <c r="O1194" s="49">
        <v>89.3640699523052</v>
      </c>
      <c r="P1194" s="51"/>
    </row>
    <row r="1195" ht="15.0" customHeight="1">
      <c r="A1195" s="52">
        <v>1189.0</v>
      </c>
      <c r="B1195" s="53" t="s">
        <v>24</v>
      </c>
      <c r="C1195" s="60" t="s">
        <v>337</v>
      </c>
      <c r="D1195" s="60" t="s">
        <v>387</v>
      </c>
      <c r="E1195" s="60" t="s">
        <v>388</v>
      </c>
      <c r="F1195" s="61" t="s">
        <v>388</v>
      </c>
      <c r="G1195" s="54">
        <v>1858.0</v>
      </c>
      <c r="H1195" s="54">
        <v>569.0</v>
      </c>
      <c r="I1195" s="54">
        <v>20.0</v>
      </c>
      <c r="J1195" s="55">
        <v>76.5554182117841</v>
      </c>
      <c r="K1195" s="55">
        <f>G1195+H1195+I1195</f>
        <v>2447</v>
      </c>
      <c r="L1195" s="56">
        <v>2725.0</v>
      </c>
      <c r="M1195" s="56">
        <v>266.0</v>
      </c>
      <c r="N1195" s="56">
        <v>49.0</v>
      </c>
      <c r="O1195" s="55">
        <v>91.106653293213</v>
      </c>
      <c r="P1195" s="57">
        <f>L1195+M1195+N1195</f>
        <v>3040</v>
      </c>
    </row>
    <row r="1196" ht="15.0" hidden="1" customHeight="1">
      <c r="A1196" s="45">
        <v>1190.0</v>
      </c>
      <c r="B1196" s="46" t="s">
        <v>24</v>
      </c>
      <c r="C1196" s="46" t="s">
        <v>337</v>
      </c>
      <c r="D1196" s="46" t="s">
        <v>387</v>
      </c>
      <c r="E1196" s="46" t="s">
        <v>388</v>
      </c>
      <c r="F1196" s="47" t="s">
        <v>18</v>
      </c>
      <c r="G1196" s="48">
        <v>972.0</v>
      </c>
      <c r="H1196" s="48">
        <v>281.0</v>
      </c>
      <c r="I1196" s="48">
        <v>12.0</v>
      </c>
      <c r="J1196" s="49">
        <v>77.5738228252195</v>
      </c>
      <c r="K1196" s="49"/>
      <c r="L1196" s="50">
        <v>1431.0</v>
      </c>
      <c r="M1196" s="50">
        <v>113.0</v>
      </c>
      <c r="N1196" s="50">
        <v>12.0</v>
      </c>
      <c r="O1196" s="49">
        <v>92.6813471502591</v>
      </c>
      <c r="P1196" s="51"/>
    </row>
    <row r="1197" ht="15.0" hidden="1" customHeight="1">
      <c r="A1197" s="45">
        <v>1191.0</v>
      </c>
      <c r="B1197" s="46" t="s">
        <v>24</v>
      </c>
      <c r="C1197" s="46" t="s">
        <v>337</v>
      </c>
      <c r="D1197" s="46" t="s">
        <v>387</v>
      </c>
      <c r="E1197" s="46" t="s">
        <v>388</v>
      </c>
      <c r="F1197" s="47" t="s">
        <v>19</v>
      </c>
      <c r="G1197" s="48">
        <v>886.0</v>
      </c>
      <c r="H1197" s="48">
        <v>288.0</v>
      </c>
      <c r="I1197" s="48">
        <v>8.0</v>
      </c>
      <c r="J1197" s="49">
        <v>75.4684838160136</v>
      </c>
      <c r="K1197" s="49"/>
      <c r="L1197" s="50">
        <v>1294.0</v>
      </c>
      <c r="M1197" s="50">
        <v>153.0</v>
      </c>
      <c r="N1197" s="50">
        <v>37.0</v>
      </c>
      <c r="O1197" s="49">
        <v>89.426399447132</v>
      </c>
      <c r="P1197" s="51"/>
    </row>
    <row r="1198" ht="15.0" customHeight="1">
      <c r="A1198" s="52">
        <v>1192.0</v>
      </c>
      <c r="B1198" s="53" t="s">
        <v>24</v>
      </c>
      <c r="C1198" s="60" t="s">
        <v>337</v>
      </c>
      <c r="D1198" s="60" t="s">
        <v>387</v>
      </c>
      <c r="E1198" s="60" t="s">
        <v>389</v>
      </c>
      <c r="F1198" s="61" t="s">
        <v>389</v>
      </c>
      <c r="G1198" s="54">
        <v>1220.0</v>
      </c>
      <c r="H1198" s="54">
        <v>555.0</v>
      </c>
      <c r="I1198" s="54">
        <v>13.0</v>
      </c>
      <c r="J1198" s="55">
        <v>68.7323943661972</v>
      </c>
      <c r="K1198" s="55">
        <f>G1198+H1198+I1198</f>
        <v>1788</v>
      </c>
      <c r="L1198" s="56">
        <v>1397.0</v>
      </c>
      <c r="M1198" s="56">
        <v>139.0</v>
      </c>
      <c r="N1198" s="56">
        <v>21.0</v>
      </c>
      <c r="O1198" s="55">
        <v>90.9505208333333</v>
      </c>
      <c r="P1198" s="57">
        <f>L1198+M1198+N1198</f>
        <v>1557</v>
      </c>
    </row>
    <row r="1199" ht="15.0" hidden="1" customHeight="1">
      <c r="A1199" s="45">
        <v>1193.0</v>
      </c>
      <c r="B1199" s="46" t="s">
        <v>24</v>
      </c>
      <c r="C1199" s="46" t="s">
        <v>337</v>
      </c>
      <c r="D1199" s="46" t="s">
        <v>387</v>
      </c>
      <c r="E1199" s="46" t="s">
        <v>389</v>
      </c>
      <c r="F1199" s="47" t="s">
        <v>18</v>
      </c>
      <c r="G1199" s="48">
        <v>616.0</v>
      </c>
      <c r="H1199" s="48">
        <v>255.0</v>
      </c>
      <c r="I1199" s="48">
        <v>5.0</v>
      </c>
      <c r="J1199" s="49">
        <v>70.7233065442021</v>
      </c>
      <c r="K1199" s="49"/>
      <c r="L1199" s="50">
        <v>783.0</v>
      </c>
      <c r="M1199" s="50">
        <v>78.0</v>
      </c>
      <c r="N1199" s="50">
        <v>11.0</v>
      </c>
      <c r="O1199" s="49">
        <v>90.9407665505226</v>
      </c>
      <c r="P1199" s="51"/>
    </row>
    <row r="1200" ht="15.0" hidden="1" customHeight="1">
      <c r="A1200" s="45">
        <v>1194.0</v>
      </c>
      <c r="B1200" s="46" t="s">
        <v>24</v>
      </c>
      <c r="C1200" s="46" t="s">
        <v>337</v>
      </c>
      <c r="D1200" s="46" t="s">
        <v>387</v>
      </c>
      <c r="E1200" s="46" t="s">
        <v>389</v>
      </c>
      <c r="F1200" s="47" t="s">
        <v>19</v>
      </c>
      <c r="G1200" s="48">
        <v>604.0</v>
      </c>
      <c r="H1200" s="48">
        <v>300.0</v>
      </c>
      <c r="I1200" s="48">
        <v>8.0</v>
      </c>
      <c r="J1200" s="49">
        <v>66.8141592920354</v>
      </c>
      <c r="K1200" s="49"/>
      <c r="L1200" s="50">
        <v>614.0</v>
      </c>
      <c r="M1200" s="50">
        <v>61.0</v>
      </c>
      <c r="N1200" s="50">
        <v>10.0</v>
      </c>
      <c r="O1200" s="49">
        <v>90.962962962963</v>
      </c>
      <c r="P1200" s="51"/>
    </row>
    <row r="1201" ht="15.0" customHeight="1">
      <c r="A1201" s="52">
        <v>1195.0</v>
      </c>
      <c r="B1201" s="53" t="s">
        <v>24</v>
      </c>
      <c r="C1201" s="60" t="s">
        <v>337</v>
      </c>
      <c r="D1201" s="60" t="s">
        <v>387</v>
      </c>
      <c r="E1201" s="60" t="s">
        <v>390</v>
      </c>
      <c r="F1201" s="61" t="s">
        <v>390</v>
      </c>
      <c r="G1201" s="54">
        <v>4931.0</v>
      </c>
      <c r="H1201" s="54">
        <v>924.0</v>
      </c>
      <c r="I1201" s="54">
        <v>148.0</v>
      </c>
      <c r="J1201" s="55">
        <v>84.2186165670367</v>
      </c>
      <c r="K1201" s="55">
        <f>G1201+H1201+I1201</f>
        <v>6003</v>
      </c>
      <c r="L1201" s="56">
        <v>3887.0</v>
      </c>
      <c r="M1201" s="56">
        <v>174.0</v>
      </c>
      <c r="N1201" s="56">
        <v>26.0</v>
      </c>
      <c r="O1201" s="55">
        <v>95.7153410490027</v>
      </c>
      <c r="P1201" s="57">
        <f>L1201+M1201+N1201</f>
        <v>4087</v>
      </c>
    </row>
    <row r="1202" ht="15.0" hidden="1" customHeight="1">
      <c r="A1202" s="45">
        <v>1196.0</v>
      </c>
      <c r="B1202" s="46" t="s">
        <v>24</v>
      </c>
      <c r="C1202" s="46" t="s">
        <v>337</v>
      </c>
      <c r="D1202" s="46" t="s">
        <v>387</v>
      </c>
      <c r="E1202" s="46" t="s">
        <v>390</v>
      </c>
      <c r="F1202" s="47" t="s">
        <v>18</v>
      </c>
      <c r="G1202" s="48">
        <v>2096.0</v>
      </c>
      <c r="H1202" s="48">
        <v>402.0</v>
      </c>
      <c r="I1202" s="48">
        <v>49.0</v>
      </c>
      <c r="J1202" s="49">
        <v>83.9071257005604</v>
      </c>
      <c r="K1202" s="49"/>
      <c r="L1202" s="50">
        <v>2260.0</v>
      </c>
      <c r="M1202" s="50">
        <v>79.0</v>
      </c>
      <c r="N1202" s="50">
        <v>12.0</v>
      </c>
      <c r="O1202" s="49">
        <v>96.6224882428388</v>
      </c>
      <c r="P1202" s="51"/>
    </row>
    <row r="1203" ht="15.0" hidden="1" customHeight="1">
      <c r="A1203" s="45">
        <v>1197.0</v>
      </c>
      <c r="B1203" s="46" t="s">
        <v>24</v>
      </c>
      <c r="C1203" s="46" t="s">
        <v>337</v>
      </c>
      <c r="D1203" s="46" t="s">
        <v>387</v>
      </c>
      <c r="E1203" s="46" t="s">
        <v>390</v>
      </c>
      <c r="F1203" s="47" t="s">
        <v>19</v>
      </c>
      <c r="G1203" s="48">
        <v>2835.0</v>
      </c>
      <c r="H1203" s="48">
        <v>522.0</v>
      </c>
      <c r="I1203" s="48">
        <v>99.0</v>
      </c>
      <c r="J1203" s="49">
        <v>84.4504021447721</v>
      </c>
      <c r="K1203" s="49"/>
      <c r="L1203" s="50">
        <v>1627.0</v>
      </c>
      <c r="M1203" s="50">
        <v>95.0</v>
      </c>
      <c r="N1203" s="50">
        <v>14.0</v>
      </c>
      <c r="O1203" s="49">
        <v>94.4831591173055</v>
      </c>
      <c r="P1203" s="51"/>
    </row>
    <row r="1204" ht="15.0" customHeight="1">
      <c r="A1204" s="52">
        <v>1198.0</v>
      </c>
      <c r="B1204" s="53" t="s">
        <v>24</v>
      </c>
      <c r="C1204" s="60" t="s">
        <v>337</v>
      </c>
      <c r="D1204" s="60" t="s">
        <v>387</v>
      </c>
      <c r="E1204" s="60" t="s">
        <v>391</v>
      </c>
      <c r="F1204" s="61" t="s">
        <v>391</v>
      </c>
      <c r="G1204" s="54">
        <v>689.0</v>
      </c>
      <c r="H1204" s="54">
        <v>120.0</v>
      </c>
      <c r="I1204" s="54">
        <v>7.0</v>
      </c>
      <c r="J1204" s="55">
        <v>85.1668726823239</v>
      </c>
      <c r="K1204" s="55">
        <f>G1204+H1204+I1204</f>
        <v>816</v>
      </c>
      <c r="L1204" s="56">
        <v>673.0</v>
      </c>
      <c r="M1204" s="56">
        <v>29.0</v>
      </c>
      <c r="N1204" s="56">
        <v>7.0</v>
      </c>
      <c r="O1204" s="55">
        <v>95.8689458689459</v>
      </c>
      <c r="P1204" s="57">
        <f>L1204+M1204+N1204</f>
        <v>709</v>
      </c>
    </row>
    <row r="1205" ht="15.0" hidden="1" customHeight="1">
      <c r="A1205" s="45">
        <v>1199.0</v>
      </c>
      <c r="B1205" s="46" t="s">
        <v>24</v>
      </c>
      <c r="C1205" s="46" t="s">
        <v>337</v>
      </c>
      <c r="D1205" s="46" t="s">
        <v>387</v>
      </c>
      <c r="E1205" s="46" t="s">
        <v>391</v>
      </c>
      <c r="F1205" s="47" t="s">
        <v>18</v>
      </c>
      <c r="G1205" s="48"/>
      <c r="H1205" s="48"/>
      <c r="I1205" s="48"/>
      <c r="J1205" s="49"/>
      <c r="K1205" s="49"/>
      <c r="L1205" s="50"/>
      <c r="M1205" s="50"/>
      <c r="N1205" s="50"/>
      <c r="O1205" s="49"/>
      <c r="P1205" s="51"/>
    </row>
    <row r="1206" ht="15.0" hidden="1" customHeight="1">
      <c r="A1206" s="45">
        <v>1200.0</v>
      </c>
      <c r="B1206" s="46" t="s">
        <v>24</v>
      </c>
      <c r="C1206" s="46" t="s">
        <v>337</v>
      </c>
      <c r="D1206" s="46" t="s">
        <v>387</v>
      </c>
      <c r="E1206" s="46" t="s">
        <v>391</v>
      </c>
      <c r="F1206" s="47" t="s">
        <v>19</v>
      </c>
      <c r="G1206" s="48">
        <v>689.0</v>
      </c>
      <c r="H1206" s="48">
        <v>120.0</v>
      </c>
      <c r="I1206" s="48">
        <v>7.0</v>
      </c>
      <c r="J1206" s="49">
        <v>85.1668726823239</v>
      </c>
      <c r="K1206" s="49"/>
      <c r="L1206" s="50">
        <v>673.0</v>
      </c>
      <c r="M1206" s="50">
        <v>29.0</v>
      </c>
      <c r="N1206" s="50">
        <v>7.0</v>
      </c>
      <c r="O1206" s="49">
        <v>95.8689458689459</v>
      </c>
      <c r="P1206" s="51"/>
    </row>
    <row r="1207" ht="15.0" customHeight="1">
      <c r="A1207" s="52">
        <v>1201.0</v>
      </c>
      <c r="B1207" s="53" t="s">
        <v>24</v>
      </c>
      <c r="C1207" s="60" t="s">
        <v>337</v>
      </c>
      <c r="D1207" s="60" t="s">
        <v>387</v>
      </c>
      <c r="E1207" s="60" t="s">
        <v>392</v>
      </c>
      <c r="F1207" s="61" t="s">
        <v>392</v>
      </c>
      <c r="G1207" s="54">
        <v>653.0</v>
      </c>
      <c r="H1207" s="54">
        <v>243.0</v>
      </c>
      <c r="I1207" s="54">
        <v>17.0</v>
      </c>
      <c r="J1207" s="55">
        <v>72.8794642857143</v>
      </c>
      <c r="K1207" s="55">
        <f>G1207+H1207+I1207</f>
        <v>913</v>
      </c>
      <c r="L1207" s="56">
        <v>719.0</v>
      </c>
      <c r="M1207" s="56">
        <v>67.0</v>
      </c>
      <c r="N1207" s="56">
        <v>20.0</v>
      </c>
      <c r="O1207" s="55">
        <v>91.4758269720102</v>
      </c>
      <c r="P1207" s="57">
        <f>L1207+M1207+N1207</f>
        <v>806</v>
      </c>
    </row>
    <row r="1208" ht="15.0" hidden="1" customHeight="1">
      <c r="A1208" s="45">
        <v>1202.0</v>
      </c>
      <c r="B1208" s="46" t="s">
        <v>24</v>
      </c>
      <c r="C1208" s="46" t="s">
        <v>337</v>
      </c>
      <c r="D1208" s="46" t="s">
        <v>387</v>
      </c>
      <c r="E1208" s="46" t="s">
        <v>392</v>
      </c>
      <c r="F1208" s="47" t="s">
        <v>18</v>
      </c>
      <c r="G1208" s="48">
        <v>592.0</v>
      </c>
      <c r="H1208" s="48">
        <v>204.0</v>
      </c>
      <c r="I1208" s="48">
        <v>12.0</v>
      </c>
      <c r="J1208" s="49">
        <v>74.3718592964824</v>
      </c>
      <c r="K1208" s="49"/>
      <c r="L1208" s="50">
        <v>642.0</v>
      </c>
      <c r="M1208" s="50">
        <v>56.0</v>
      </c>
      <c r="N1208" s="50">
        <v>16.0</v>
      </c>
      <c r="O1208" s="49">
        <v>91.9770773638969</v>
      </c>
      <c r="P1208" s="51"/>
    </row>
    <row r="1209" ht="15.0" hidden="1" customHeight="1">
      <c r="A1209" s="45">
        <v>1203.0</v>
      </c>
      <c r="B1209" s="46" t="s">
        <v>24</v>
      </c>
      <c r="C1209" s="46" t="s">
        <v>337</v>
      </c>
      <c r="D1209" s="46" t="s">
        <v>387</v>
      </c>
      <c r="E1209" s="46" t="s">
        <v>392</v>
      </c>
      <c r="F1209" s="47" t="s">
        <v>19</v>
      </c>
      <c r="G1209" s="48">
        <v>61.0</v>
      </c>
      <c r="H1209" s="48">
        <v>39.0</v>
      </c>
      <c r="I1209" s="48">
        <v>5.0</v>
      </c>
      <c r="J1209" s="49">
        <v>61.0</v>
      </c>
      <c r="K1209" s="49"/>
      <c r="L1209" s="50">
        <v>77.0</v>
      </c>
      <c r="M1209" s="50">
        <v>11.0</v>
      </c>
      <c r="N1209" s="50">
        <v>4.0</v>
      </c>
      <c r="O1209" s="49">
        <v>87.5</v>
      </c>
      <c r="P1209" s="51"/>
    </row>
    <row r="1210" ht="15.0" customHeight="1">
      <c r="A1210" s="52">
        <v>1204.0</v>
      </c>
      <c r="B1210" s="53" t="s">
        <v>24</v>
      </c>
      <c r="C1210" s="60" t="s">
        <v>337</v>
      </c>
      <c r="D1210" s="60" t="s">
        <v>387</v>
      </c>
      <c r="E1210" s="60" t="s">
        <v>393</v>
      </c>
      <c r="F1210" s="61" t="s">
        <v>393</v>
      </c>
      <c r="G1210" s="54">
        <v>2517.0</v>
      </c>
      <c r="H1210" s="54">
        <v>514.0</v>
      </c>
      <c r="I1210" s="54">
        <v>40.0</v>
      </c>
      <c r="J1210" s="55">
        <v>83.0419003629165</v>
      </c>
      <c r="K1210" s="55">
        <f>G1210+H1210+I1210</f>
        <v>3071</v>
      </c>
      <c r="L1210" s="56">
        <v>2360.0</v>
      </c>
      <c r="M1210" s="56">
        <v>358.0</v>
      </c>
      <c r="N1210" s="56">
        <v>28.0</v>
      </c>
      <c r="O1210" s="55">
        <v>86.8285504047093</v>
      </c>
      <c r="P1210" s="57">
        <f>L1210+M1210+N1210</f>
        <v>2746</v>
      </c>
    </row>
    <row r="1211" ht="15.0" hidden="1" customHeight="1">
      <c r="A1211" s="45">
        <v>1205.0</v>
      </c>
      <c r="B1211" s="46" t="s">
        <v>24</v>
      </c>
      <c r="C1211" s="46" t="s">
        <v>337</v>
      </c>
      <c r="D1211" s="46" t="s">
        <v>387</v>
      </c>
      <c r="E1211" s="46" t="s">
        <v>393</v>
      </c>
      <c r="F1211" s="47" t="s">
        <v>18</v>
      </c>
      <c r="G1211" s="48">
        <v>842.0</v>
      </c>
      <c r="H1211" s="48">
        <v>199.0</v>
      </c>
      <c r="I1211" s="48">
        <v>8.0</v>
      </c>
      <c r="J1211" s="49">
        <v>80.8837656099904</v>
      </c>
      <c r="K1211" s="49"/>
      <c r="L1211" s="50">
        <v>1024.0</v>
      </c>
      <c r="M1211" s="50">
        <v>38.0</v>
      </c>
      <c r="N1211" s="50">
        <v>7.0</v>
      </c>
      <c r="O1211" s="49">
        <v>96.4218455743879</v>
      </c>
      <c r="P1211" s="51"/>
    </row>
    <row r="1212" ht="15.0" hidden="1" customHeight="1">
      <c r="A1212" s="45">
        <v>1206.0</v>
      </c>
      <c r="B1212" s="46" t="s">
        <v>24</v>
      </c>
      <c r="C1212" s="46" t="s">
        <v>337</v>
      </c>
      <c r="D1212" s="46" t="s">
        <v>387</v>
      </c>
      <c r="E1212" s="46" t="s">
        <v>393</v>
      </c>
      <c r="F1212" s="47" t="s">
        <v>19</v>
      </c>
      <c r="G1212" s="48">
        <v>1675.0</v>
      </c>
      <c r="H1212" s="48">
        <v>315.0</v>
      </c>
      <c r="I1212" s="48">
        <v>32.0</v>
      </c>
      <c r="J1212" s="49">
        <v>84.1708542713568</v>
      </c>
      <c r="K1212" s="49"/>
      <c r="L1212" s="50">
        <v>1336.0</v>
      </c>
      <c r="M1212" s="50">
        <v>320.0</v>
      </c>
      <c r="N1212" s="50">
        <v>21.0</v>
      </c>
      <c r="O1212" s="49">
        <v>80.6763285024155</v>
      </c>
      <c r="P1212" s="51"/>
    </row>
    <row r="1213" ht="15.0" hidden="1" customHeight="1">
      <c r="A1213" s="39">
        <v>1207.0</v>
      </c>
      <c r="B1213" s="40" t="s">
        <v>22</v>
      </c>
      <c r="C1213" s="59" t="s">
        <v>337</v>
      </c>
      <c r="D1213" s="59" t="s">
        <v>394</v>
      </c>
      <c r="E1213" s="59"/>
      <c r="F1213" s="40" t="s">
        <v>394</v>
      </c>
      <c r="G1213" s="41">
        <v>1114.0</v>
      </c>
      <c r="H1213" s="41">
        <v>541.0</v>
      </c>
      <c r="I1213" s="41">
        <v>38.0</v>
      </c>
      <c r="J1213" s="42">
        <v>67.3111782477341</v>
      </c>
      <c r="K1213" s="42"/>
      <c r="L1213" s="43">
        <v>1317.0</v>
      </c>
      <c r="M1213" s="43">
        <v>212.0</v>
      </c>
      <c r="N1213" s="43">
        <v>34.0</v>
      </c>
      <c r="O1213" s="42">
        <v>86.1347285807717</v>
      </c>
      <c r="P1213" s="44"/>
    </row>
    <row r="1214" ht="15.0" hidden="1" customHeight="1">
      <c r="A1214" s="45">
        <v>1208.0</v>
      </c>
      <c r="B1214" s="46" t="s">
        <v>22</v>
      </c>
      <c r="C1214" s="46" t="s">
        <v>337</v>
      </c>
      <c r="D1214" s="46" t="s">
        <v>394</v>
      </c>
      <c r="E1214" s="46"/>
      <c r="F1214" s="47" t="s">
        <v>18</v>
      </c>
      <c r="G1214" s="48">
        <v>492.0</v>
      </c>
      <c r="H1214" s="48">
        <v>179.0</v>
      </c>
      <c r="I1214" s="48">
        <v>11.0</v>
      </c>
      <c r="J1214" s="49">
        <v>73.3233979135618</v>
      </c>
      <c r="K1214" s="49"/>
      <c r="L1214" s="50">
        <v>638.0</v>
      </c>
      <c r="M1214" s="50">
        <v>70.0</v>
      </c>
      <c r="N1214" s="50">
        <v>18.0</v>
      </c>
      <c r="O1214" s="49">
        <v>90.1129943502825</v>
      </c>
      <c r="P1214" s="51"/>
    </row>
    <row r="1215" ht="15.0" hidden="1" customHeight="1">
      <c r="A1215" s="45">
        <v>1209.0</v>
      </c>
      <c r="B1215" s="46" t="s">
        <v>22</v>
      </c>
      <c r="C1215" s="46" t="s">
        <v>337</v>
      </c>
      <c r="D1215" s="46" t="s">
        <v>394</v>
      </c>
      <c r="E1215" s="46"/>
      <c r="F1215" s="47" t="s">
        <v>19</v>
      </c>
      <c r="G1215" s="48">
        <v>622.0</v>
      </c>
      <c r="H1215" s="48">
        <v>362.0</v>
      </c>
      <c r="I1215" s="48">
        <v>27.0</v>
      </c>
      <c r="J1215" s="49">
        <v>63.2113821138211</v>
      </c>
      <c r="K1215" s="49"/>
      <c r="L1215" s="50">
        <v>679.0</v>
      </c>
      <c r="M1215" s="50">
        <v>142.0</v>
      </c>
      <c r="N1215" s="50">
        <v>16.0</v>
      </c>
      <c r="O1215" s="49">
        <v>82.7040194884287</v>
      </c>
      <c r="P1215" s="51"/>
    </row>
    <row r="1216" ht="15.0" customHeight="1">
      <c r="A1216" s="52">
        <v>1210.0</v>
      </c>
      <c r="B1216" s="53" t="s">
        <v>24</v>
      </c>
      <c r="C1216" s="60" t="s">
        <v>337</v>
      </c>
      <c r="D1216" s="60" t="s">
        <v>394</v>
      </c>
      <c r="E1216" s="60" t="s">
        <v>395</v>
      </c>
      <c r="F1216" s="61" t="s">
        <v>395</v>
      </c>
      <c r="G1216" s="54">
        <v>1114.0</v>
      </c>
      <c r="H1216" s="54">
        <v>541.0</v>
      </c>
      <c r="I1216" s="54">
        <v>38.0</v>
      </c>
      <c r="J1216" s="55">
        <v>67.3111782477341</v>
      </c>
      <c r="K1216" s="55">
        <f>G1216+H1216+I1216</f>
        <v>1693</v>
      </c>
      <c r="L1216" s="56">
        <v>1317.0</v>
      </c>
      <c r="M1216" s="56">
        <v>212.0</v>
      </c>
      <c r="N1216" s="56">
        <v>34.0</v>
      </c>
      <c r="O1216" s="55">
        <v>86.1347285807717</v>
      </c>
      <c r="P1216" s="57">
        <f>L1216+M1216+N1216</f>
        <v>1563</v>
      </c>
    </row>
    <row r="1217" ht="15.0" hidden="1" customHeight="1">
      <c r="A1217" s="45">
        <v>1211.0</v>
      </c>
      <c r="B1217" s="46" t="s">
        <v>24</v>
      </c>
      <c r="C1217" s="46" t="s">
        <v>337</v>
      </c>
      <c r="D1217" s="46" t="s">
        <v>394</v>
      </c>
      <c r="E1217" s="46" t="s">
        <v>395</v>
      </c>
      <c r="F1217" s="47" t="s">
        <v>18</v>
      </c>
      <c r="G1217" s="48">
        <v>492.0</v>
      </c>
      <c r="H1217" s="48">
        <v>179.0</v>
      </c>
      <c r="I1217" s="48">
        <v>11.0</v>
      </c>
      <c r="J1217" s="49">
        <v>73.3233979135618</v>
      </c>
      <c r="K1217" s="49"/>
      <c r="L1217" s="50">
        <v>638.0</v>
      </c>
      <c r="M1217" s="50">
        <v>70.0</v>
      </c>
      <c r="N1217" s="50">
        <v>18.0</v>
      </c>
      <c r="O1217" s="49">
        <v>90.1129943502825</v>
      </c>
      <c r="P1217" s="51"/>
    </row>
    <row r="1218" ht="15.0" hidden="1" customHeight="1">
      <c r="A1218" s="45">
        <v>1212.0</v>
      </c>
      <c r="B1218" s="46" t="s">
        <v>24</v>
      </c>
      <c r="C1218" s="46" t="s">
        <v>337</v>
      </c>
      <c r="D1218" s="46" t="s">
        <v>394</v>
      </c>
      <c r="E1218" s="46" t="s">
        <v>395</v>
      </c>
      <c r="F1218" s="47" t="s">
        <v>19</v>
      </c>
      <c r="G1218" s="48">
        <v>622.0</v>
      </c>
      <c r="H1218" s="48">
        <v>362.0</v>
      </c>
      <c r="I1218" s="48">
        <v>27.0</v>
      </c>
      <c r="J1218" s="49">
        <v>63.2113821138211</v>
      </c>
      <c r="K1218" s="49"/>
      <c r="L1218" s="50">
        <v>679.0</v>
      </c>
      <c r="M1218" s="50">
        <v>142.0</v>
      </c>
      <c r="N1218" s="50">
        <v>16.0</v>
      </c>
      <c r="O1218" s="49">
        <v>82.7040194884287</v>
      </c>
      <c r="P1218" s="51"/>
    </row>
    <row r="1219" ht="15.0" hidden="1" customHeight="1">
      <c r="A1219" s="39">
        <v>1213.0</v>
      </c>
      <c r="B1219" s="40" t="s">
        <v>22</v>
      </c>
      <c r="C1219" s="59" t="s">
        <v>337</v>
      </c>
      <c r="D1219" s="59" t="s">
        <v>396</v>
      </c>
      <c r="E1219" s="59"/>
      <c r="F1219" s="40" t="s">
        <v>396</v>
      </c>
      <c r="G1219" s="41">
        <v>2642.0</v>
      </c>
      <c r="H1219" s="41">
        <v>230.0</v>
      </c>
      <c r="I1219" s="41">
        <v>67.0</v>
      </c>
      <c r="J1219" s="42">
        <v>91.991643454039</v>
      </c>
      <c r="K1219" s="42"/>
      <c r="L1219" s="43">
        <v>1899.0</v>
      </c>
      <c r="M1219" s="43">
        <v>49.0</v>
      </c>
      <c r="N1219" s="43">
        <v>11.0</v>
      </c>
      <c r="O1219" s="42">
        <v>97.4845995893224</v>
      </c>
      <c r="P1219" s="44"/>
    </row>
    <row r="1220" ht="15.0" hidden="1" customHeight="1">
      <c r="A1220" s="45">
        <v>1214.0</v>
      </c>
      <c r="B1220" s="46" t="s">
        <v>22</v>
      </c>
      <c r="C1220" s="46" t="s">
        <v>337</v>
      </c>
      <c r="D1220" s="46" t="s">
        <v>396</v>
      </c>
      <c r="E1220" s="46"/>
      <c r="F1220" s="47" t="s">
        <v>18</v>
      </c>
      <c r="G1220" s="48">
        <v>1078.0</v>
      </c>
      <c r="H1220" s="48">
        <v>68.0</v>
      </c>
      <c r="I1220" s="48">
        <v>32.0</v>
      </c>
      <c r="J1220" s="49">
        <v>94.0663176265271</v>
      </c>
      <c r="K1220" s="49"/>
      <c r="L1220" s="50">
        <v>811.0</v>
      </c>
      <c r="M1220" s="50">
        <v>22.0</v>
      </c>
      <c r="N1220" s="50">
        <v>4.0</v>
      </c>
      <c r="O1220" s="49">
        <v>97.358943577431</v>
      </c>
      <c r="P1220" s="51"/>
    </row>
    <row r="1221" ht="15.0" hidden="1" customHeight="1">
      <c r="A1221" s="45">
        <v>1215.0</v>
      </c>
      <c r="B1221" s="46" t="s">
        <v>22</v>
      </c>
      <c r="C1221" s="46" t="s">
        <v>337</v>
      </c>
      <c r="D1221" s="46" t="s">
        <v>396</v>
      </c>
      <c r="E1221" s="46"/>
      <c r="F1221" s="47" t="s">
        <v>19</v>
      </c>
      <c r="G1221" s="48">
        <v>1564.0</v>
      </c>
      <c r="H1221" s="48">
        <v>162.0</v>
      </c>
      <c r="I1221" s="48">
        <v>35.0</v>
      </c>
      <c r="J1221" s="49">
        <v>90.6141367323291</v>
      </c>
      <c r="K1221" s="49"/>
      <c r="L1221" s="50">
        <v>1088.0</v>
      </c>
      <c r="M1221" s="50">
        <v>27.0</v>
      </c>
      <c r="N1221" s="50">
        <v>7.0</v>
      </c>
      <c r="O1221" s="49">
        <v>97.5784753363229</v>
      </c>
      <c r="P1221" s="51"/>
    </row>
    <row r="1222" ht="15.0" customHeight="1">
      <c r="A1222" s="52">
        <v>1216.0</v>
      </c>
      <c r="B1222" s="53" t="s">
        <v>24</v>
      </c>
      <c r="C1222" s="60" t="s">
        <v>337</v>
      </c>
      <c r="D1222" s="60" t="s">
        <v>396</v>
      </c>
      <c r="E1222" s="60" t="s">
        <v>397</v>
      </c>
      <c r="F1222" s="61" t="s">
        <v>397</v>
      </c>
      <c r="G1222" s="54">
        <v>1789.0</v>
      </c>
      <c r="H1222" s="54">
        <v>173.0</v>
      </c>
      <c r="I1222" s="54">
        <v>35.0</v>
      </c>
      <c r="J1222" s="55">
        <v>91.1824668705403</v>
      </c>
      <c r="K1222" s="55">
        <f>G1222+H1222+I1222</f>
        <v>1997</v>
      </c>
      <c r="L1222" s="56">
        <v>1421.0</v>
      </c>
      <c r="M1222" s="56">
        <v>36.0</v>
      </c>
      <c r="N1222" s="56">
        <v>11.0</v>
      </c>
      <c r="O1222" s="55">
        <v>97.5291695264242</v>
      </c>
      <c r="P1222" s="57">
        <f>L1222+M1222+N1222</f>
        <v>1468</v>
      </c>
    </row>
    <row r="1223" ht="15.0" hidden="1" customHeight="1">
      <c r="A1223" s="45">
        <v>1217.0</v>
      </c>
      <c r="B1223" s="46" t="s">
        <v>24</v>
      </c>
      <c r="C1223" s="46" t="s">
        <v>337</v>
      </c>
      <c r="D1223" s="46" t="s">
        <v>396</v>
      </c>
      <c r="E1223" s="46" t="s">
        <v>397</v>
      </c>
      <c r="F1223" s="47" t="s">
        <v>18</v>
      </c>
      <c r="G1223" s="48">
        <v>594.0</v>
      </c>
      <c r="H1223" s="48">
        <v>41.0</v>
      </c>
      <c r="I1223" s="48">
        <v>13.0</v>
      </c>
      <c r="J1223" s="49">
        <v>93.5433070866142</v>
      </c>
      <c r="K1223" s="49"/>
      <c r="L1223" s="50">
        <v>515.0</v>
      </c>
      <c r="M1223" s="50">
        <v>11.0</v>
      </c>
      <c r="N1223" s="50">
        <v>4.0</v>
      </c>
      <c r="O1223" s="49">
        <v>97.9087452471483</v>
      </c>
      <c r="P1223" s="51"/>
    </row>
    <row r="1224" ht="15.0" hidden="1" customHeight="1">
      <c r="A1224" s="45">
        <v>1218.0</v>
      </c>
      <c r="B1224" s="46" t="s">
        <v>24</v>
      </c>
      <c r="C1224" s="46" t="s">
        <v>337</v>
      </c>
      <c r="D1224" s="46" t="s">
        <v>396</v>
      </c>
      <c r="E1224" s="46" t="s">
        <v>397</v>
      </c>
      <c r="F1224" s="47" t="s">
        <v>19</v>
      </c>
      <c r="G1224" s="48">
        <v>1195.0</v>
      </c>
      <c r="H1224" s="48">
        <v>132.0</v>
      </c>
      <c r="I1224" s="48">
        <v>22.0</v>
      </c>
      <c r="J1224" s="49">
        <v>90.0527505651846</v>
      </c>
      <c r="K1224" s="49"/>
      <c r="L1224" s="50">
        <v>906.0</v>
      </c>
      <c r="M1224" s="50">
        <v>25.0</v>
      </c>
      <c r="N1224" s="50">
        <v>7.0</v>
      </c>
      <c r="O1224" s="49">
        <v>97.3147153598281</v>
      </c>
      <c r="P1224" s="51"/>
    </row>
    <row r="1225" ht="15.0" customHeight="1">
      <c r="A1225" s="52">
        <v>1219.0</v>
      </c>
      <c r="B1225" s="53" t="s">
        <v>24</v>
      </c>
      <c r="C1225" s="60" t="s">
        <v>337</v>
      </c>
      <c r="D1225" s="60" t="s">
        <v>396</v>
      </c>
      <c r="E1225" s="60" t="s">
        <v>398</v>
      </c>
      <c r="F1225" s="61" t="s">
        <v>398</v>
      </c>
      <c r="G1225" s="54">
        <v>853.0</v>
      </c>
      <c r="H1225" s="54">
        <v>57.0</v>
      </c>
      <c r="I1225" s="54">
        <v>32.0</v>
      </c>
      <c r="J1225" s="55">
        <v>93.7362637362637</v>
      </c>
      <c r="K1225" s="55">
        <f>G1225+H1225+I1225</f>
        <v>942</v>
      </c>
      <c r="L1225" s="56">
        <v>478.0</v>
      </c>
      <c r="M1225" s="56">
        <v>13.0</v>
      </c>
      <c r="N1225" s="56">
        <v>0.0</v>
      </c>
      <c r="O1225" s="55">
        <v>97.3523421588595</v>
      </c>
      <c r="P1225" s="57">
        <f>L1225+M1225+N1225</f>
        <v>491</v>
      </c>
    </row>
    <row r="1226" ht="15.0" hidden="1" customHeight="1">
      <c r="A1226" s="45">
        <v>1220.0</v>
      </c>
      <c r="B1226" s="46" t="s">
        <v>24</v>
      </c>
      <c r="C1226" s="46" t="s">
        <v>337</v>
      </c>
      <c r="D1226" s="46" t="s">
        <v>396</v>
      </c>
      <c r="E1226" s="46" t="s">
        <v>398</v>
      </c>
      <c r="F1226" s="47" t="s">
        <v>18</v>
      </c>
      <c r="G1226" s="48">
        <v>484.0</v>
      </c>
      <c r="H1226" s="48">
        <v>27.0</v>
      </c>
      <c r="I1226" s="48">
        <v>19.0</v>
      </c>
      <c r="J1226" s="49">
        <v>94.7162426614481</v>
      </c>
      <c r="K1226" s="49"/>
      <c r="L1226" s="50">
        <v>296.0</v>
      </c>
      <c r="M1226" s="50">
        <v>11.0</v>
      </c>
      <c r="N1226" s="50">
        <v>0.0</v>
      </c>
      <c r="O1226" s="49">
        <v>96.4169381107492</v>
      </c>
      <c r="P1226" s="51"/>
    </row>
    <row r="1227" ht="15.0" hidden="1" customHeight="1">
      <c r="A1227" s="45">
        <v>1221.0</v>
      </c>
      <c r="B1227" s="46" t="s">
        <v>24</v>
      </c>
      <c r="C1227" s="46" t="s">
        <v>337</v>
      </c>
      <c r="D1227" s="46" t="s">
        <v>396</v>
      </c>
      <c r="E1227" s="46" t="s">
        <v>398</v>
      </c>
      <c r="F1227" s="47" t="s">
        <v>19</v>
      </c>
      <c r="G1227" s="48">
        <v>369.0</v>
      </c>
      <c r="H1227" s="48">
        <v>30.0</v>
      </c>
      <c r="I1227" s="48">
        <v>13.0</v>
      </c>
      <c r="J1227" s="49">
        <v>92.4812030075188</v>
      </c>
      <c r="K1227" s="49"/>
      <c r="L1227" s="50">
        <v>182.0</v>
      </c>
      <c r="M1227" s="50">
        <v>2.0</v>
      </c>
      <c r="N1227" s="50">
        <v>0.0</v>
      </c>
      <c r="O1227" s="49">
        <v>98.9130434782609</v>
      </c>
      <c r="P1227" s="51"/>
    </row>
    <row r="1228" ht="15.0" hidden="1" customHeight="1">
      <c r="A1228" s="39">
        <v>1222.0</v>
      </c>
      <c r="B1228" s="40" t="s">
        <v>22</v>
      </c>
      <c r="C1228" s="59" t="s">
        <v>337</v>
      </c>
      <c r="D1228" s="59" t="s">
        <v>399</v>
      </c>
      <c r="E1228" s="59"/>
      <c r="F1228" s="40" t="s">
        <v>399</v>
      </c>
      <c r="G1228" s="41">
        <v>3971.0</v>
      </c>
      <c r="H1228" s="41">
        <v>532.0</v>
      </c>
      <c r="I1228" s="41">
        <v>60.0</v>
      </c>
      <c r="J1228" s="42">
        <v>88.1856540084388</v>
      </c>
      <c r="K1228" s="42"/>
      <c r="L1228" s="43">
        <v>3027.0</v>
      </c>
      <c r="M1228" s="43">
        <v>409.0</v>
      </c>
      <c r="N1228" s="43">
        <v>48.0</v>
      </c>
      <c r="O1228" s="42">
        <v>88.0966239813737</v>
      </c>
      <c r="P1228" s="44"/>
    </row>
    <row r="1229" ht="15.0" hidden="1" customHeight="1">
      <c r="A1229" s="45">
        <v>1223.0</v>
      </c>
      <c r="B1229" s="46" t="s">
        <v>22</v>
      </c>
      <c r="C1229" s="46" t="s">
        <v>337</v>
      </c>
      <c r="D1229" s="46" t="s">
        <v>399</v>
      </c>
      <c r="E1229" s="46"/>
      <c r="F1229" s="47" t="s">
        <v>18</v>
      </c>
      <c r="G1229" s="48">
        <v>3336.0</v>
      </c>
      <c r="H1229" s="48">
        <v>393.0</v>
      </c>
      <c r="I1229" s="48">
        <v>46.0</v>
      </c>
      <c r="J1229" s="49">
        <v>89.4609814963797</v>
      </c>
      <c r="K1229" s="49"/>
      <c r="L1229" s="50">
        <v>2203.0</v>
      </c>
      <c r="M1229" s="50">
        <v>217.0</v>
      </c>
      <c r="N1229" s="50">
        <v>40.0</v>
      </c>
      <c r="O1229" s="49">
        <v>91.0330578512397</v>
      </c>
      <c r="P1229" s="51"/>
    </row>
    <row r="1230" ht="15.0" hidden="1" customHeight="1">
      <c r="A1230" s="45">
        <v>1224.0</v>
      </c>
      <c r="B1230" s="46" t="s">
        <v>22</v>
      </c>
      <c r="C1230" s="46" t="s">
        <v>337</v>
      </c>
      <c r="D1230" s="46" t="s">
        <v>399</v>
      </c>
      <c r="E1230" s="46"/>
      <c r="F1230" s="47" t="s">
        <v>19</v>
      </c>
      <c r="G1230" s="48">
        <v>635.0</v>
      </c>
      <c r="H1230" s="48">
        <v>139.0</v>
      </c>
      <c r="I1230" s="48">
        <v>14.0</v>
      </c>
      <c r="J1230" s="49">
        <v>82.0413436692506</v>
      </c>
      <c r="K1230" s="49"/>
      <c r="L1230" s="50">
        <v>824.0</v>
      </c>
      <c r="M1230" s="50">
        <v>192.0</v>
      </c>
      <c r="N1230" s="50">
        <v>8.0</v>
      </c>
      <c r="O1230" s="49">
        <v>81.1023622047244</v>
      </c>
      <c r="P1230" s="51"/>
    </row>
    <row r="1231" ht="15.0" customHeight="1">
      <c r="A1231" s="52">
        <v>1225.0</v>
      </c>
      <c r="B1231" s="53" t="s">
        <v>24</v>
      </c>
      <c r="C1231" s="60" t="s">
        <v>337</v>
      </c>
      <c r="D1231" s="60" t="s">
        <v>399</v>
      </c>
      <c r="E1231" s="60" t="s">
        <v>400</v>
      </c>
      <c r="F1231" s="61" t="s">
        <v>400</v>
      </c>
      <c r="G1231" s="54">
        <v>1751.0</v>
      </c>
      <c r="H1231" s="54">
        <v>198.0</v>
      </c>
      <c r="I1231" s="54">
        <v>23.0</v>
      </c>
      <c r="J1231" s="55">
        <v>89.840944073884</v>
      </c>
      <c r="K1231" s="55">
        <f>G1231+H1231+I1231</f>
        <v>1972</v>
      </c>
      <c r="L1231" s="56">
        <v>1112.0</v>
      </c>
      <c r="M1231" s="56">
        <v>85.0</v>
      </c>
      <c r="N1231" s="56">
        <v>18.0</v>
      </c>
      <c r="O1231" s="55">
        <v>92.8989139515455</v>
      </c>
      <c r="P1231" s="57">
        <f>L1231+M1231+N1231</f>
        <v>1215</v>
      </c>
    </row>
    <row r="1232" ht="15.0" hidden="1" customHeight="1">
      <c r="A1232" s="45">
        <v>1226.0</v>
      </c>
      <c r="B1232" s="46" t="s">
        <v>24</v>
      </c>
      <c r="C1232" s="46" t="s">
        <v>337</v>
      </c>
      <c r="D1232" s="46" t="s">
        <v>399</v>
      </c>
      <c r="E1232" s="46" t="s">
        <v>400</v>
      </c>
      <c r="F1232" s="47" t="s">
        <v>18</v>
      </c>
      <c r="G1232" s="48">
        <v>1442.0</v>
      </c>
      <c r="H1232" s="48">
        <v>148.0</v>
      </c>
      <c r="I1232" s="48">
        <v>19.0</v>
      </c>
      <c r="J1232" s="49">
        <v>90.6918238993711</v>
      </c>
      <c r="K1232" s="49"/>
      <c r="L1232" s="50">
        <v>752.0</v>
      </c>
      <c r="M1232" s="50">
        <v>51.0</v>
      </c>
      <c r="N1232" s="50">
        <v>14.0</v>
      </c>
      <c r="O1232" s="49">
        <v>93.6488169364882</v>
      </c>
      <c r="P1232" s="51"/>
    </row>
    <row r="1233" ht="15.0" hidden="1" customHeight="1">
      <c r="A1233" s="45">
        <v>1227.0</v>
      </c>
      <c r="B1233" s="46" t="s">
        <v>24</v>
      </c>
      <c r="C1233" s="46" t="s">
        <v>337</v>
      </c>
      <c r="D1233" s="46" t="s">
        <v>399</v>
      </c>
      <c r="E1233" s="46" t="s">
        <v>400</v>
      </c>
      <c r="F1233" s="47" t="s">
        <v>19</v>
      </c>
      <c r="G1233" s="48">
        <v>309.0</v>
      </c>
      <c r="H1233" s="48">
        <v>50.0</v>
      </c>
      <c r="I1233" s="48">
        <v>4.0</v>
      </c>
      <c r="J1233" s="49">
        <v>86.0724233983287</v>
      </c>
      <c r="K1233" s="49"/>
      <c r="L1233" s="50">
        <v>360.0</v>
      </c>
      <c r="M1233" s="50">
        <v>34.0</v>
      </c>
      <c r="N1233" s="50">
        <v>4.0</v>
      </c>
      <c r="O1233" s="49">
        <v>91.3705583756345</v>
      </c>
      <c r="P1233" s="51"/>
    </row>
    <row r="1234" ht="15.0" customHeight="1">
      <c r="A1234" s="52">
        <v>1228.0</v>
      </c>
      <c r="B1234" s="53" t="s">
        <v>24</v>
      </c>
      <c r="C1234" s="60" t="s">
        <v>337</v>
      </c>
      <c r="D1234" s="60" t="s">
        <v>399</v>
      </c>
      <c r="E1234" s="60" t="s">
        <v>401</v>
      </c>
      <c r="F1234" s="61" t="s">
        <v>401</v>
      </c>
      <c r="G1234" s="54">
        <v>1586.0</v>
      </c>
      <c r="H1234" s="54">
        <v>202.0</v>
      </c>
      <c r="I1234" s="54">
        <v>22.0</v>
      </c>
      <c r="J1234" s="55">
        <v>88.7024608501118</v>
      </c>
      <c r="K1234" s="55">
        <f>G1234+H1234+I1234</f>
        <v>1810</v>
      </c>
      <c r="L1234" s="56">
        <v>1139.0</v>
      </c>
      <c r="M1234" s="56">
        <v>149.0</v>
      </c>
      <c r="N1234" s="56">
        <v>24.0</v>
      </c>
      <c r="O1234" s="55">
        <v>88.4316770186335</v>
      </c>
      <c r="P1234" s="57">
        <f>L1234+M1234+N1234</f>
        <v>1312</v>
      </c>
    </row>
    <row r="1235" ht="15.0" hidden="1" customHeight="1">
      <c r="A1235" s="45">
        <v>1229.0</v>
      </c>
      <c r="B1235" s="46" t="s">
        <v>24</v>
      </c>
      <c r="C1235" s="46" t="s">
        <v>337</v>
      </c>
      <c r="D1235" s="46" t="s">
        <v>399</v>
      </c>
      <c r="E1235" s="46" t="s">
        <v>401</v>
      </c>
      <c r="F1235" s="47" t="s">
        <v>18</v>
      </c>
      <c r="G1235" s="48">
        <v>1576.0</v>
      </c>
      <c r="H1235" s="48">
        <v>192.0</v>
      </c>
      <c r="I1235" s="48">
        <v>22.0</v>
      </c>
      <c r="J1235" s="49">
        <v>89.1402714932127</v>
      </c>
      <c r="K1235" s="49"/>
      <c r="L1235" s="50">
        <v>1123.0</v>
      </c>
      <c r="M1235" s="50">
        <v>144.0</v>
      </c>
      <c r="N1235" s="50">
        <v>23.0</v>
      </c>
      <c r="O1235" s="49">
        <v>88.6345698500395</v>
      </c>
      <c r="P1235" s="51"/>
    </row>
    <row r="1236" ht="15.0" hidden="1" customHeight="1">
      <c r="A1236" s="45">
        <v>1230.0</v>
      </c>
      <c r="B1236" s="46" t="s">
        <v>24</v>
      </c>
      <c r="C1236" s="46" t="s">
        <v>337</v>
      </c>
      <c r="D1236" s="46" t="s">
        <v>399</v>
      </c>
      <c r="E1236" s="46" t="s">
        <v>401</v>
      </c>
      <c r="F1236" s="47" t="s">
        <v>19</v>
      </c>
      <c r="G1236" s="48">
        <v>10.0</v>
      </c>
      <c r="H1236" s="48">
        <v>10.0</v>
      </c>
      <c r="I1236" s="48">
        <v>0.0</v>
      </c>
      <c r="J1236" s="49">
        <v>50.0</v>
      </c>
      <c r="K1236" s="49"/>
      <c r="L1236" s="50">
        <v>16.0</v>
      </c>
      <c r="M1236" s="50">
        <v>5.0</v>
      </c>
      <c r="N1236" s="50">
        <v>1.0</v>
      </c>
      <c r="O1236" s="49">
        <v>76.1904761904762</v>
      </c>
      <c r="P1236" s="51"/>
    </row>
    <row r="1237" ht="15.0" customHeight="1">
      <c r="A1237" s="52">
        <v>1231.0</v>
      </c>
      <c r="B1237" s="53" t="s">
        <v>24</v>
      </c>
      <c r="C1237" s="60" t="s">
        <v>337</v>
      </c>
      <c r="D1237" s="60" t="s">
        <v>399</v>
      </c>
      <c r="E1237" s="60" t="s">
        <v>402</v>
      </c>
      <c r="F1237" s="61" t="s">
        <v>402</v>
      </c>
      <c r="G1237" s="54">
        <v>634.0</v>
      </c>
      <c r="H1237" s="54">
        <v>132.0</v>
      </c>
      <c r="I1237" s="54">
        <v>15.0</v>
      </c>
      <c r="J1237" s="55">
        <v>82.7676240208877</v>
      </c>
      <c r="K1237" s="55">
        <f>G1237+H1237+I1237</f>
        <v>781</v>
      </c>
      <c r="L1237" s="56">
        <v>776.0</v>
      </c>
      <c r="M1237" s="56">
        <v>175.0</v>
      </c>
      <c r="N1237" s="56">
        <v>6.0</v>
      </c>
      <c r="O1237" s="55">
        <v>81.5983175604627</v>
      </c>
      <c r="P1237" s="57">
        <f>L1237+M1237+N1237</f>
        <v>957</v>
      </c>
    </row>
    <row r="1238" ht="15.0" hidden="1" customHeight="1">
      <c r="A1238" s="45">
        <v>1232.0</v>
      </c>
      <c r="B1238" s="46" t="s">
        <v>24</v>
      </c>
      <c r="C1238" s="46" t="s">
        <v>337</v>
      </c>
      <c r="D1238" s="46" t="s">
        <v>399</v>
      </c>
      <c r="E1238" s="46" t="s">
        <v>402</v>
      </c>
      <c r="F1238" s="47" t="s">
        <v>18</v>
      </c>
      <c r="G1238" s="48">
        <v>318.0</v>
      </c>
      <c r="H1238" s="48">
        <v>53.0</v>
      </c>
      <c r="I1238" s="48">
        <v>5.0</v>
      </c>
      <c r="J1238" s="49">
        <v>85.7142857142857</v>
      </c>
      <c r="K1238" s="49"/>
      <c r="L1238" s="50">
        <v>328.0</v>
      </c>
      <c r="M1238" s="50">
        <v>22.0</v>
      </c>
      <c r="N1238" s="50">
        <v>3.0</v>
      </c>
      <c r="O1238" s="49">
        <v>93.7142857142857</v>
      </c>
      <c r="P1238" s="51"/>
    </row>
    <row r="1239" ht="15.0" hidden="1" customHeight="1">
      <c r="A1239" s="45">
        <v>1233.0</v>
      </c>
      <c r="B1239" s="46" t="s">
        <v>24</v>
      </c>
      <c r="C1239" s="46" t="s">
        <v>337</v>
      </c>
      <c r="D1239" s="46" t="s">
        <v>399</v>
      </c>
      <c r="E1239" s="46" t="s">
        <v>402</v>
      </c>
      <c r="F1239" s="47" t="s">
        <v>19</v>
      </c>
      <c r="G1239" s="48">
        <v>316.0</v>
      </c>
      <c r="H1239" s="48">
        <v>79.0</v>
      </c>
      <c r="I1239" s="48">
        <v>10.0</v>
      </c>
      <c r="J1239" s="49">
        <v>80.0</v>
      </c>
      <c r="K1239" s="49"/>
      <c r="L1239" s="50">
        <v>448.0</v>
      </c>
      <c r="M1239" s="50">
        <v>153.0</v>
      </c>
      <c r="N1239" s="50">
        <v>3.0</v>
      </c>
      <c r="O1239" s="49">
        <v>74.5424292845258</v>
      </c>
      <c r="P1239" s="51"/>
    </row>
    <row r="1240" ht="15.0" hidden="1" customHeight="1">
      <c r="A1240" s="39">
        <v>1234.0</v>
      </c>
      <c r="B1240" s="40" t="s">
        <v>22</v>
      </c>
      <c r="C1240" s="59" t="s">
        <v>337</v>
      </c>
      <c r="D1240" s="59" t="s">
        <v>403</v>
      </c>
      <c r="E1240" s="59"/>
      <c r="F1240" s="40" t="s">
        <v>403</v>
      </c>
      <c r="G1240" s="41">
        <v>4988.0</v>
      </c>
      <c r="H1240" s="41">
        <v>1221.0</v>
      </c>
      <c r="I1240" s="41">
        <v>171.0</v>
      </c>
      <c r="J1240" s="42">
        <v>80.334997584152</v>
      </c>
      <c r="K1240" s="42"/>
      <c r="L1240" s="43">
        <v>4683.0</v>
      </c>
      <c r="M1240" s="43">
        <v>435.0</v>
      </c>
      <c r="N1240" s="43">
        <v>81.0</v>
      </c>
      <c r="O1240" s="42">
        <v>91.5005861664713</v>
      </c>
      <c r="P1240" s="44"/>
    </row>
    <row r="1241" ht="15.0" hidden="1" customHeight="1">
      <c r="A1241" s="45">
        <v>1235.0</v>
      </c>
      <c r="B1241" s="46" t="s">
        <v>22</v>
      </c>
      <c r="C1241" s="46" t="s">
        <v>337</v>
      </c>
      <c r="D1241" s="46" t="s">
        <v>403</v>
      </c>
      <c r="E1241" s="46"/>
      <c r="F1241" s="47" t="s">
        <v>18</v>
      </c>
      <c r="G1241" s="48">
        <v>3216.0</v>
      </c>
      <c r="H1241" s="48">
        <v>707.0</v>
      </c>
      <c r="I1241" s="48">
        <v>119.0</v>
      </c>
      <c r="J1241" s="49">
        <v>81.9780780015294</v>
      </c>
      <c r="K1241" s="49"/>
      <c r="L1241" s="50">
        <v>2753.0</v>
      </c>
      <c r="M1241" s="50">
        <v>250.0</v>
      </c>
      <c r="N1241" s="50">
        <v>37.0</v>
      </c>
      <c r="O1241" s="49">
        <v>91.6749916749917</v>
      </c>
      <c r="P1241" s="51"/>
    </row>
    <row r="1242" ht="15.0" hidden="1" customHeight="1">
      <c r="A1242" s="45">
        <v>1236.0</v>
      </c>
      <c r="B1242" s="46" t="s">
        <v>22</v>
      </c>
      <c r="C1242" s="46" t="s">
        <v>337</v>
      </c>
      <c r="D1242" s="46" t="s">
        <v>403</v>
      </c>
      <c r="E1242" s="46"/>
      <c r="F1242" s="47" t="s">
        <v>19</v>
      </c>
      <c r="G1242" s="48">
        <v>1772.0</v>
      </c>
      <c r="H1242" s="48">
        <v>514.0</v>
      </c>
      <c r="I1242" s="48">
        <v>52.0</v>
      </c>
      <c r="J1242" s="49">
        <v>77.5153105861767</v>
      </c>
      <c r="K1242" s="49"/>
      <c r="L1242" s="50">
        <v>1930.0</v>
      </c>
      <c r="M1242" s="50">
        <v>185.0</v>
      </c>
      <c r="N1242" s="50">
        <v>44.0</v>
      </c>
      <c r="O1242" s="49">
        <v>91.2529550827423</v>
      </c>
      <c r="P1242" s="51"/>
    </row>
    <row r="1243" ht="15.0" customHeight="1">
      <c r="A1243" s="52">
        <v>1237.0</v>
      </c>
      <c r="B1243" s="53" t="s">
        <v>24</v>
      </c>
      <c r="C1243" s="60" t="s">
        <v>337</v>
      </c>
      <c r="D1243" s="60" t="s">
        <v>403</v>
      </c>
      <c r="E1243" s="60" t="s">
        <v>404</v>
      </c>
      <c r="F1243" s="61" t="s">
        <v>404</v>
      </c>
      <c r="G1243" s="54">
        <v>2740.0</v>
      </c>
      <c r="H1243" s="54">
        <v>712.0</v>
      </c>
      <c r="I1243" s="54">
        <v>112.0</v>
      </c>
      <c r="J1243" s="55">
        <v>79.3742757821553</v>
      </c>
      <c r="K1243" s="55">
        <f>G1243+H1243+I1243</f>
        <v>3564</v>
      </c>
      <c r="L1243" s="56">
        <v>2854.0</v>
      </c>
      <c r="M1243" s="56">
        <v>278.0</v>
      </c>
      <c r="N1243" s="56">
        <v>55.0</v>
      </c>
      <c r="O1243" s="55">
        <v>91.1238825031928</v>
      </c>
      <c r="P1243" s="57">
        <f>L1243+M1243+N1243</f>
        <v>3187</v>
      </c>
    </row>
    <row r="1244" ht="15.0" hidden="1" customHeight="1">
      <c r="A1244" s="45">
        <v>1238.0</v>
      </c>
      <c r="B1244" s="46" t="s">
        <v>24</v>
      </c>
      <c r="C1244" s="46" t="s">
        <v>337</v>
      </c>
      <c r="D1244" s="46" t="s">
        <v>403</v>
      </c>
      <c r="E1244" s="46" t="s">
        <v>404</v>
      </c>
      <c r="F1244" s="47" t="s">
        <v>18</v>
      </c>
      <c r="G1244" s="48">
        <v>2023.0</v>
      </c>
      <c r="H1244" s="48">
        <v>505.0</v>
      </c>
      <c r="I1244" s="48">
        <v>82.0</v>
      </c>
      <c r="J1244" s="49">
        <v>80.0237341772152</v>
      </c>
      <c r="K1244" s="49"/>
      <c r="L1244" s="50">
        <v>2029.0</v>
      </c>
      <c r="M1244" s="50">
        <v>222.0</v>
      </c>
      <c r="N1244" s="50">
        <v>30.0</v>
      </c>
      <c r="O1244" s="49">
        <v>90.1377165704131</v>
      </c>
      <c r="P1244" s="51"/>
    </row>
    <row r="1245" ht="15.0" hidden="1" customHeight="1">
      <c r="A1245" s="45">
        <v>1239.0</v>
      </c>
      <c r="B1245" s="46" t="s">
        <v>24</v>
      </c>
      <c r="C1245" s="46" t="s">
        <v>337</v>
      </c>
      <c r="D1245" s="46" t="s">
        <v>403</v>
      </c>
      <c r="E1245" s="46" t="s">
        <v>404</v>
      </c>
      <c r="F1245" s="47" t="s">
        <v>19</v>
      </c>
      <c r="G1245" s="48">
        <v>717.0</v>
      </c>
      <c r="H1245" s="48">
        <v>207.0</v>
      </c>
      <c r="I1245" s="48">
        <v>30.0</v>
      </c>
      <c r="J1245" s="49">
        <v>77.5974025974026</v>
      </c>
      <c r="K1245" s="49"/>
      <c r="L1245" s="50">
        <v>825.0</v>
      </c>
      <c r="M1245" s="50">
        <v>56.0</v>
      </c>
      <c r="N1245" s="50">
        <v>25.0</v>
      </c>
      <c r="O1245" s="49">
        <v>93.6435868331442</v>
      </c>
      <c r="P1245" s="51"/>
    </row>
    <row r="1246" ht="15.0" customHeight="1">
      <c r="A1246" s="52">
        <v>1240.0</v>
      </c>
      <c r="B1246" s="53" t="s">
        <v>24</v>
      </c>
      <c r="C1246" s="60" t="s">
        <v>337</v>
      </c>
      <c r="D1246" s="60" t="s">
        <v>403</v>
      </c>
      <c r="E1246" s="60" t="s">
        <v>405</v>
      </c>
      <c r="F1246" s="61" t="s">
        <v>405</v>
      </c>
      <c r="G1246" s="54">
        <v>822.0</v>
      </c>
      <c r="H1246" s="54">
        <v>93.0</v>
      </c>
      <c r="I1246" s="54">
        <v>32.0</v>
      </c>
      <c r="J1246" s="55">
        <v>89.8360655737705</v>
      </c>
      <c r="K1246" s="55">
        <f>G1246+H1246+I1246</f>
        <v>947</v>
      </c>
      <c r="L1246" s="56">
        <v>585.0</v>
      </c>
      <c r="M1246" s="56">
        <v>24.0</v>
      </c>
      <c r="N1246" s="56">
        <v>6.0</v>
      </c>
      <c r="O1246" s="55">
        <v>96.0591133004926</v>
      </c>
      <c r="P1246" s="57">
        <f>L1246+M1246+N1246</f>
        <v>615</v>
      </c>
    </row>
    <row r="1247" ht="15.0" hidden="1" customHeight="1">
      <c r="A1247" s="45">
        <v>1241.0</v>
      </c>
      <c r="B1247" s="46" t="s">
        <v>24</v>
      </c>
      <c r="C1247" s="46" t="s">
        <v>337</v>
      </c>
      <c r="D1247" s="46" t="s">
        <v>403</v>
      </c>
      <c r="E1247" s="46" t="s">
        <v>405</v>
      </c>
      <c r="F1247" s="47" t="s">
        <v>18</v>
      </c>
      <c r="G1247" s="48">
        <v>737.0</v>
      </c>
      <c r="H1247" s="48">
        <v>77.0</v>
      </c>
      <c r="I1247" s="48">
        <v>28.0</v>
      </c>
      <c r="J1247" s="49">
        <v>90.5405405405405</v>
      </c>
      <c r="K1247" s="49"/>
      <c r="L1247" s="50">
        <v>497.0</v>
      </c>
      <c r="M1247" s="50">
        <v>15.0</v>
      </c>
      <c r="N1247" s="50">
        <v>6.0</v>
      </c>
      <c r="O1247" s="49">
        <v>97.0703125</v>
      </c>
      <c r="P1247" s="51"/>
    </row>
    <row r="1248" ht="15.0" hidden="1" customHeight="1">
      <c r="A1248" s="45">
        <v>1242.0</v>
      </c>
      <c r="B1248" s="46" t="s">
        <v>24</v>
      </c>
      <c r="C1248" s="46" t="s">
        <v>337</v>
      </c>
      <c r="D1248" s="46" t="s">
        <v>403</v>
      </c>
      <c r="E1248" s="46" t="s">
        <v>405</v>
      </c>
      <c r="F1248" s="47" t="s">
        <v>19</v>
      </c>
      <c r="G1248" s="48">
        <v>85.0</v>
      </c>
      <c r="H1248" s="48">
        <v>16.0</v>
      </c>
      <c r="I1248" s="48">
        <v>4.0</v>
      </c>
      <c r="J1248" s="49">
        <v>84.1584158415842</v>
      </c>
      <c r="K1248" s="49"/>
      <c r="L1248" s="50">
        <v>88.0</v>
      </c>
      <c r="M1248" s="50">
        <v>9.0</v>
      </c>
      <c r="N1248" s="50">
        <v>0.0</v>
      </c>
      <c r="O1248" s="49">
        <v>90.7216494845361</v>
      </c>
      <c r="P1248" s="51"/>
    </row>
    <row r="1249" ht="15.0" customHeight="1">
      <c r="A1249" s="52">
        <v>1243.0</v>
      </c>
      <c r="B1249" s="53" t="s">
        <v>24</v>
      </c>
      <c r="C1249" s="60" t="s">
        <v>337</v>
      </c>
      <c r="D1249" s="60" t="s">
        <v>403</v>
      </c>
      <c r="E1249" s="60" t="s">
        <v>335</v>
      </c>
      <c r="F1249" s="61" t="s">
        <v>335</v>
      </c>
      <c r="G1249" s="54">
        <v>1426.0</v>
      </c>
      <c r="H1249" s="54">
        <v>416.0</v>
      </c>
      <c r="I1249" s="54">
        <v>27.0</v>
      </c>
      <c r="J1249" s="55">
        <v>77.4158523344191</v>
      </c>
      <c r="K1249" s="55">
        <f>G1249+H1249+I1249</f>
        <v>1869</v>
      </c>
      <c r="L1249" s="56">
        <v>1244.0</v>
      </c>
      <c r="M1249" s="56">
        <v>133.0</v>
      </c>
      <c r="N1249" s="56">
        <v>20.0</v>
      </c>
      <c r="O1249" s="55">
        <v>90.3413217138707</v>
      </c>
      <c r="P1249" s="57">
        <f>L1249+M1249+N1249</f>
        <v>1397</v>
      </c>
    </row>
    <row r="1250" ht="15.0" hidden="1" customHeight="1">
      <c r="A1250" s="45">
        <v>1244.0</v>
      </c>
      <c r="B1250" s="46" t="s">
        <v>24</v>
      </c>
      <c r="C1250" s="46" t="s">
        <v>337</v>
      </c>
      <c r="D1250" s="46" t="s">
        <v>403</v>
      </c>
      <c r="E1250" s="46" t="s">
        <v>335</v>
      </c>
      <c r="F1250" s="47" t="s">
        <v>18</v>
      </c>
      <c r="G1250" s="48">
        <v>456.0</v>
      </c>
      <c r="H1250" s="48">
        <v>125.0</v>
      </c>
      <c r="I1250" s="48">
        <v>9.0</v>
      </c>
      <c r="J1250" s="49">
        <v>78.4853700516351</v>
      </c>
      <c r="K1250" s="49"/>
      <c r="L1250" s="50">
        <v>227.0</v>
      </c>
      <c r="M1250" s="50">
        <v>13.0</v>
      </c>
      <c r="N1250" s="50">
        <v>1.0</v>
      </c>
      <c r="O1250" s="49">
        <v>94.5833333333333</v>
      </c>
      <c r="P1250" s="51"/>
    </row>
    <row r="1251" ht="15.0" hidden="1" customHeight="1">
      <c r="A1251" s="45">
        <v>1245.0</v>
      </c>
      <c r="B1251" s="46" t="s">
        <v>24</v>
      </c>
      <c r="C1251" s="46" t="s">
        <v>337</v>
      </c>
      <c r="D1251" s="46" t="s">
        <v>403</v>
      </c>
      <c r="E1251" s="46" t="s">
        <v>335</v>
      </c>
      <c r="F1251" s="47" t="s">
        <v>19</v>
      </c>
      <c r="G1251" s="48">
        <v>970.0</v>
      </c>
      <c r="H1251" s="48">
        <v>291.0</v>
      </c>
      <c r="I1251" s="48">
        <v>18.0</v>
      </c>
      <c r="J1251" s="49">
        <v>76.9230769230769</v>
      </c>
      <c r="K1251" s="49"/>
      <c r="L1251" s="50">
        <v>1017.0</v>
      </c>
      <c r="M1251" s="50">
        <v>120.0</v>
      </c>
      <c r="N1251" s="50">
        <v>19.0</v>
      </c>
      <c r="O1251" s="49">
        <v>89.4459102902375</v>
      </c>
      <c r="P1251" s="51"/>
    </row>
    <row r="1252" ht="15.0" hidden="1" customHeight="1">
      <c r="A1252" s="27">
        <v>1246.0</v>
      </c>
      <c r="B1252" s="28" t="s">
        <v>20</v>
      </c>
      <c r="C1252" s="28" t="s">
        <v>406</v>
      </c>
      <c r="D1252" s="28"/>
      <c r="E1252" s="28"/>
      <c r="F1252" s="28" t="s">
        <v>406</v>
      </c>
      <c r="G1252" s="29">
        <v>45799.0</v>
      </c>
      <c r="H1252" s="29">
        <v>7775.0</v>
      </c>
      <c r="I1252" s="29">
        <v>878.0</v>
      </c>
      <c r="J1252" s="30">
        <v>85.4873632732296</v>
      </c>
      <c r="K1252" s="30">
        <f>G1252+H1252+I1252</f>
        <v>54452</v>
      </c>
      <c r="L1252" s="31">
        <v>43046.0</v>
      </c>
      <c r="M1252" s="31">
        <v>2228.0</v>
      </c>
      <c r="N1252" s="31">
        <v>530.0</v>
      </c>
      <c r="O1252" s="30">
        <v>95.07885320493</v>
      </c>
      <c r="P1252" s="32">
        <f>L1252+M1252+N1252</f>
        <v>45804</v>
      </c>
    </row>
    <row r="1253" ht="15.0" hidden="1" customHeight="1">
      <c r="A1253" s="33">
        <v>1247.0</v>
      </c>
      <c r="B1253" s="34" t="s">
        <v>20</v>
      </c>
      <c r="C1253" s="58" t="s">
        <v>406</v>
      </c>
      <c r="D1253" s="58"/>
      <c r="E1253" s="58"/>
      <c r="F1253" s="34" t="s">
        <v>18</v>
      </c>
      <c r="G1253" s="35">
        <v>33663.0</v>
      </c>
      <c r="H1253" s="35">
        <v>3748.0</v>
      </c>
      <c r="I1253" s="35">
        <v>555.0</v>
      </c>
      <c r="J1253" s="36">
        <v>89.9815562267782</v>
      </c>
      <c r="K1253" s="36"/>
      <c r="L1253" s="37">
        <v>29831.0</v>
      </c>
      <c r="M1253" s="37">
        <v>779.0</v>
      </c>
      <c r="N1253" s="37">
        <v>241.0</v>
      </c>
      <c r="O1253" s="36">
        <v>97.4550800392029</v>
      </c>
      <c r="P1253" s="38"/>
    </row>
    <row r="1254" ht="15.0" hidden="1" customHeight="1">
      <c r="A1254" s="33">
        <v>1248.0</v>
      </c>
      <c r="B1254" s="34" t="s">
        <v>20</v>
      </c>
      <c r="C1254" s="58" t="s">
        <v>406</v>
      </c>
      <c r="D1254" s="58"/>
      <c r="E1254" s="58"/>
      <c r="F1254" s="34" t="s">
        <v>19</v>
      </c>
      <c r="G1254" s="35">
        <v>12136.0</v>
      </c>
      <c r="H1254" s="35">
        <v>4027.0</v>
      </c>
      <c r="I1254" s="35">
        <v>323.0</v>
      </c>
      <c r="J1254" s="36">
        <v>75.0850708408093</v>
      </c>
      <c r="K1254" s="36"/>
      <c r="L1254" s="37">
        <v>13215.0</v>
      </c>
      <c r="M1254" s="37">
        <v>1449.0</v>
      </c>
      <c r="N1254" s="37">
        <v>289.0</v>
      </c>
      <c r="O1254" s="36">
        <v>90.1186579378069</v>
      </c>
      <c r="P1254" s="38"/>
    </row>
    <row r="1255" ht="15.0" hidden="1" customHeight="1">
      <c r="A1255" s="39">
        <v>1249.0</v>
      </c>
      <c r="B1255" s="40" t="s">
        <v>22</v>
      </c>
      <c r="C1255" s="59" t="s">
        <v>406</v>
      </c>
      <c r="D1255" s="59" t="s">
        <v>166</v>
      </c>
      <c r="E1255" s="59"/>
      <c r="F1255" s="40" t="s">
        <v>166</v>
      </c>
      <c r="G1255" s="41">
        <v>11404.0</v>
      </c>
      <c r="H1255" s="41">
        <v>1482.0</v>
      </c>
      <c r="I1255" s="41">
        <v>212.0</v>
      </c>
      <c r="J1255" s="42">
        <v>88.4991463603911</v>
      </c>
      <c r="K1255" s="42"/>
      <c r="L1255" s="43">
        <v>10540.0</v>
      </c>
      <c r="M1255" s="43">
        <v>309.0</v>
      </c>
      <c r="N1255" s="43">
        <v>84.0</v>
      </c>
      <c r="O1255" s="42">
        <v>97.1518112268412</v>
      </c>
      <c r="P1255" s="44"/>
    </row>
    <row r="1256" ht="15.0" hidden="1" customHeight="1">
      <c r="A1256" s="45">
        <v>1250.0</v>
      </c>
      <c r="B1256" s="46" t="s">
        <v>22</v>
      </c>
      <c r="C1256" s="46" t="s">
        <v>406</v>
      </c>
      <c r="D1256" s="46" t="s">
        <v>166</v>
      </c>
      <c r="E1256" s="46"/>
      <c r="F1256" s="47" t="s">
        <v>18</v>
      </c>
      <c r="G1256" s="48">
        <v>10298.0</v>
      </c>
      <c r="H1256" s="48">
        <v>1242.0</v>
      </c>
      <c r="I1256" s="48">
        <v>187.0</v>
      </c>
      <c r="J1256" s="49">
        <v>89.2374350086655</v>
      </c>
      <c r="K1256" s="49"/>
      <c r="L1256" s="50">
        <v>9257.0</v>
      </c>
      <c r="M1256" s="50">
        <v>142.0</v>
      </c>
      <c r="N1256" s="50">
        <v>65.0</v>
      </c>
      <c r="O1256" s="49">
        <v>98.4892009788275</v>
      </c>
      <c r="P1256" s="51"/>
    </row>
    <row r="1257" ht="15.0" hidden="1" customHeight="1">
      <c r="A1257" s="45">
        <v>1251.0</v>
      </c>
      <c r="B1257" s="46" t="s">
        <v>22</v>
      </c>
      <c r="C1257" s="46" t="s">
        <v>406</v>
      </c>
      <c r="D1257" s="46" t="s">
        <v>166</v>
      </c>
      <c r="E1257" s="46"/>
      <c r="F1257" s="47" t="s">
        <v>19</v>
      </c>
      <c r="G1257" s="48">
        <v>1106.0</v>
      </c>
      <c r="H1257" s="48">
        <v>240.0</v>
      </c>
      <c r="I1257" s="48">
        <v>25.0</v>
      </c>
      <c r="J1257" s="49">
        <v>82.1693907875186</v>
      </c>
      <c r="K1257" s="49"/>
      <c r="L1257" s="50">
        <v>1283.0</v>
      </c>
      <c r="M1257" s="50">
        <v>167.0</v>
      </c>
      <c r="N1257" s="50">
        <v>19.0</v>
      </c>
      <c r="O1257" s="49">
        <v>88.4827586206897</v>
      </c>
      <c r="P1257" s="51"/>
    </row>
    <row r="1258" ht="15.0" customHeight="1">
      <c r="A1258" s="52">
        <v>1252.0</v>
      </c>
      <c r="B1258" s="53" t="s">
        <v>24</v>
      </c>
      <c r="C1258" s="60" t="s">
        <v>406</v>
      </c>
      <c r="D1258" s="60" t="s">
        <v>166</v>
      </c>
      <c r="E1258" s="60" t="s">
        <v>407</v>
      </c>
      <c r="F1258" s="61" t="s">
        <v>407</v>
      </c>
      <c r="G1258" s="54">
        <v>10781.0</v>
      </c>
      <c r="H1258" s="54">
        <v>1350.0</v>
      </c>
      <c r="I1258" s="54">
        <v>202.0</v>
      </c>
      <c r="J1258" s="55">
        <v>88.8714862748331</v>
      </c>
      <c r="K1258" s="55">
        <f>G1258+H1258+I1258</f>
        <v>12333</v>
      </c>
      <c r="L1258" s="56">
        <v>9820.0</v>
      </c>
      <c r="M1258" s="56">
        <v>150.0</v>
      </c>
      <c r="N1258" s="56">
        <v>72.0</v>
      </c>
      <c r="O1258" s="55">
        <v>98.4954864593781</v>
      </c>
      <c r="P1258" s="57">
        <f>L1258+M1258+N1258</f>
        <v>10042</v>
      </c>
    </row>
    <row r="1259" ht="15.0" hidden="1" customHeight="1">
      <c r="A1259" s="45">
        <v>1253.0</v>
      </c>
      <c r="B1259" s="46" t="s">
        <v>24</v>
      </c>
      <c r="C1259" s="46" t="s">
        <v>406</v>
      </c>
      <c r="D1259" s="46" t="s">
        <v>166</v>
      </c>
      <c r="E1259" s="46" t="s">
        <v>407</v>
      </c>
      <c r="F1259" s="47" t="s">
        <v>18</v>
      </c>
      <c r="G1259" s="48">
        <v>10298.0</v>
      </c>
      <c r="H1259" s="48">
        <v>1242.0</v>
      </c>
      <c r="I1259" s="48">
        <v>187.0</v>
      </c>
      <c r="J1259" s="49">
        <v>89.2374350086655</v>
      </c>
      <c r="K1259" s="49"/>
      <c r="L1259" s="50">
        <v>9257.0</v>
      </c>
      <c r="M1259" s="50">
        <v>142.0</v>
      </c>
      <c r="N1259" s="50">
        <v>65.0</v>
      </c>
      <c r="O1259" s="49">
        <v>98.4892009788275</v>
      </c>
      <c r="P1259" s="51"/>
    </row>
    <row r="1260" ht="15.0" hidden="1" customHeight="1">
      <c r="A1260" s="45">
        <v>1254.0</v>
      </c>
      <c r="B1260" s="46" t="s">
        <v>24</v>
      </c>
      <c r="C1260" s="46" t="s">
        <v>406</v>
      </c>
      <c r="D1260" s="46" t="s">
        <v>166</v>
      </c>
      <c r="E1260" s="46" t="s">
        <v>407</v>
      </c>
      <c r="F1260" s="47" t="s">
        <v>19</v>
      </c>
      <c r="G1260" s="48">
        <v>483.0</v>
      </c>
      <c r="H1260" s="48">
        <v>108.0</v>
      </c>
      <c r="I1260" s="48">
        <v>15.0</v>
      </c>
      <c r="J1260" s="49">
        <v>81.7258883248731</v>
      </c>
      <c r="K1260" s="49"/>
      <c r="L1260" s="50">
        <v>563.0</v>
      </c>
      <c r="M1260" s="50">
        <v>8.0</v>
      </c>
      <c r="N1260" s="50">
        <v>7.0</v>
      </c>
      <c r="O1260" s="49">
        <v>98.5989492119089</v>
      </c>
      <c r="P1260" s="51"/>
    </row>
    <row r="1261" ht="15.0" customHeight="1">
      <c r="A1261" s="52">
        <v>1255.0</v>
      </c>
      <c r="B1261" s="53" t="s">
        <v>24</v>
      </c>
      <c r="C1261" s="60" t="s">
        <v>406</v>
      </c>
      <c r="D1261" s="60" t="s">
        <v>166</v>
      </c>
      <c r="E1261" s="60" t="s">
        <v>389</v>
      </c>
      <c r="F1261" s="61" t="s">
        <v>389</v>
      </c>
      <c r="G1261" s="54">
        <v>623.0</v>
      </c>
      <c r="H1261" s="54">
        <v>132.0</v>
      </c>
      <c r="I1261" s="54">
        <v>10.0</v>
      </c>
      <c r="J1261" s="55">
        <v>82.5165562913907</v>
      </c>
      <c r="K1261" s="55">
        <f>G1261+H1261+I1261</f>
        <v>765</v>
      </c>
      <c r="L1261" s="56">
        <v>720.0</v>
      </c>
      <c r="M1261" s="56">
        <v>159.0</v>
      </c>
      <c r="N1261" s="56">
        <v>12.0</v>
      </c>
      <c r="O1261" s="55">
        <v>81.9112627986348</v>
      </c>
      <c r="P1261" s="57">
        <f>L1261+M1261+N1261</f>
        <v>891</v>
      </c>
    </row>
    <row r="1262" ht="15.0" hidden="1" customHeight="1">
      <c r="A1262" s="45">
        <v>1256.0</v>
      </c>
      <c r="B1262" s="46" t="s">
        <v>24</v>
      </c>
      <c r="C1262" s="46" t="s">
        <v>406</v>
      </c>
      <c r="D1262" s="46" t="s">
        <v>166</v>
      </c>
      <c r="E1262" s="46" t="s">
        <v>389</v>
      </c>
      <c r="F1262" s="47" t="s">
        <v>18</v>
      </c>
      <c r="G1262" s="48"/>
      <c r="H1262" s="48"/>
      <c r="I1262" s="48"/>
      <c r="J1262" s="49"/>
      <c r="K1262" s="49"/>
      <c r="L1262" s="50"/>
      <c r="M1262" s="50"/>
      <c r="N1262" s="50"/>
      <c r="O1262" s="49"/>
      <c r="P1262" s="51"/>
    </row>
    <row r="1263" ht="15.0" hidden="1" customHeight="1">
      <c r="A1263" s="45">
        <v>1257.0</v>
      </c>
      <c r="B1263" s="46" t="s">
        <v>24</v>
      </c>
      <c r="C1263" s="46" t="s">
        <v>406</v>
      </c>
      <c r="D1263" s="46" t="s">
        <v>166</v>
      </c>
      <c r="E1263" s="46" t="s">
        <v>389</v>
      </c>
      <c r="F1263" s="47" t="s">
        <v>19</v>
      </c>
      <c r="G1263" s="48">
        <v>623.0</v>
      </c>
      <c r="H1263" s="48">
        <v>132.0</v>
      </c>
      <c r="I1263" s="48">
        <v>10.0</v>
      </c>
      <c r="J1263" s="49">
        <v>82.5165562913907</v>
      </c>
      <c r="K1263" s="49"/>
      <c r="L1263" s="50">
        <v>720.0</v>
      </c>
      <c r="M1263" s="50">
        <v>159.0</v>
      </c>
      <c r="N1263" s="50">
        <v>12.0</v>
      </c>
      <c r="O1263" s="49">
        <v>81.9112627986348</v>
      </c>
      <c r="P1263" s="51"/>
    </row>
    <row r="1264" ht="15.0" hidden="1" customHeight="1">
      <c r="A1264" s="39">
        <v>1258.0</v>
      </c>
      <c r="B1264" s="40" t="s">
        <v>22</v>
      </c>
      <c r="C1264" s="59" t="s">
        <v>406</v>
      </c>
      <c r="D1264" s="59" t="s">
        <v>408</v>
      </c>
      <c r="E1264" s="59"/>
      <c r="F1264" s="40" t="s">
        <v>408</v>
      </c>
      <c r="G1264" s="41">
        <v>15237.0</v>
      </c>
      <c r="H1264" s="41">
        <v>1635.0</v>
      </c>
      <c r="I1264" s="41">
        <v>284.0</v>
      </c>
      <c r="J1264" s="42">
        <v>90.3093883357041</v>
      </c>
      <c r="K1264" s="42"/>
      <c r="L1264" s="43">
        <v>13211.0</v>
      </c>
      <c r="M1264" s="43">
        <v>351.0</v>
      </c>
      <c r="N1264" s="43">
        <v>154.0</v>
      </c>
      <c r="O1264" s="42">
        <v>97.4118861524849</v>
      </c>
      <c r="P1264" s="44"/>
    </row>
    <row r="1265" ht="15.0" hidden="1" customHeight="1">
      <c r="A1265" s="45">
        <v>1259.0</v>
      </c>
      <c r="B1265" s="46" t="s">
        <v>22</v>
      </c>
      <c r="C1265" s="46" t="s">
        <v>406</v>
      </c>
      <c r="D1265" s="46" t="s">
        <v>408</v>
      </c>
      <c r="E1265" s="46"/>
      <c r="F1265" s="47" t="s">
        <v>18</v>
      </c>
      <c r="G1265" s="48">
        <v>13415.0</v>
      </c>
      <c r="H1265" s="48">
        <v>1211.0</v>
      </c>
      <c r="I1265" s="48">
        <v>223.0</v>
      </c>
      <c r="J1265" s="49">
        <v>91.7202242581704</v>
      </c>
      <c r="K1265" s="49"/>
      <c r="L1265" s="50">
        <v>11547.0</v>
      </c>
      <c r="M1265" s="50">
        <v>282.0</v>
      </c>
      <c r="N1265" s="50">
        <v>120.0</v>
      </c>
      <c r="O1265" s="49">
        <v>97.6160284047679</v>
      </c>
      <c r="P1265" s="51"/>
    </row>
    <row r="1266" ht="15.0" hidden="1" customHeight="1">
      <c r="A1266" s="45">
        <v>1260.0</v>
      </c>
      <c r="B1266" s="46" t="s">
        <v>22</v>
      </c>
      <c r="C1266" s="46" t="s">
        <v>406</v>
      </c>
      <c r="D1266" s="46" t="s">
        <v>408</v>
      </c>
      <c r="E1266" s="46"/>
      <c r="F1266" s="47" t="s">
        <v>19</v>
      </c>
      <c r="G1266" s="48">
        <v>1822.0</v>
      </c>
      <c r="H1266" s="48">
        <v>424.0</v>
      </c>
      <c r="I1266" s="48">
        <v>61.0</v>
      </c>
      <c r="J1266" s="49">
        <v>81.1219946571683</v>
      </c>
      <c r="K1266" s="49"/>
      <c r="L1266" s="50">
        <v>1664.0</v>
      </c>
      <c r="M1266" s="50">
        <v>69.0</v>
      </c>
      <c r="N1266" s="50">
        <v>34.0</v>
      </c>
      <c r="O1266" s="49">
        <v>96.0184650894403</v>
      </c>
      <c r="P1266" s="51"/>
    </row>
    <row r="1267" ht="15.0" customHeight="1">
      <c r="A1267" s="52">
        <v>1261.0</v>
      </c>
      <c r="B1267" s="53" t="s">
        <v>24</v>
      </c>
      <c r="C1267" s="60" t="s">
        <v>406</v>
      </c>
      <c r="D1267" s="60" t="s">
        <v>408</v>
      </c>
      <c r="E1267" s="60" t="s">
        <v>409</v>
      </c>
      <c r="F1267" s="61" t="s">
        <v>409</v>
      </c>
      <c r="G1267" s="54">
        <v>10954.0</v>
      </c>
      <c r="H1267" s="54">
        <v>964.0</v>
      </c>
      <c r="I1267" s="54">
        <v>170.0</v>
      </c>
      <c r="J1267" s="55">
        <v>91.9113945292834</v>
      </c>
      <c r="K1267" s="55">
        <f>G1267+H1267+I1267</f>
        <v>12088</v>
      </c>
      <c r="L1267" s="56">
        <v>9858.0</v>
      </c>
      <c r="M1267" s="56">
        <v>161.0</v>
      </c>
      <c r="N1267" s="56">
        <v>112.0</v>
      </c>
      <c r="O1267" s="55">
        <v>98.393053198922</v>
      </c>
      <c r="P1267" s="57">
        <f>L1267+M1267+N1267</f>
        <v>10131</v>
      </c>
    </row>
    <row r="1268" ht="15.0" hidden="1" customHeight="1">
      <c r="A1268" s="45">
        <v>1262.0</v>
      </c>
      <c r="B1268" s="46" t="s">
        <v>24</v>
      </c>
      <c r="C1268" s="46" t="s">
        <v>406</v>
      </c>
      <c r="D1268" s="46" t="s">
        <v>408</v>
      </c>
      <c r="E1268" s="46" t="s">
        <v>409</v>
      </c>
      <c r="F1268" s="47" t="s">
        <v>18</v>
      </c>
      <c r="G1268" s="48">
        <v>9723.0</v>
      </c>
      <c r="H1268" s="48">
        <v>708.0</v>
      </c>
      <c r="I1268" s="48">
        <v>145.0</v>
      </c>
      <c r="J1268" s="49">
        <v>93.2125395455853</v>
      </c>
      <c r="K1268" s="49"/>
      <c r="L1268" s="50">
        <v>8776.0</v>
      </c>
      <c r="M1268" s="50">
        <v>142.0</v>
      </c>
      <c r="N1268" s="50">
        <v>88.0</v>
      </c>
      <c r="O1268" s="49">
        <v>98.4077147342453</v>
      </c>
      <c r="P1268" s="51"/>
    </row>
    <row r="1269" ht="15.0" hidden="1" customHeight="1">
      <c r="A1269" s="45">
        <v>1263.0</v>
      </c>
      <c r="B1269" s="46" t="s">
        <v>24</v>
      </c>
      <c r="C1269" s="46" t="s">
        <v>406</v>
      </c>
      <c r="D1269" s="46" t="s">
        <v>408</v>
      </c>
      <c r="E1269" s="46" t="s">
        <v>409</v>
      </c>
      <c r="F1269" s="47" t="s">
        <v>19</v>
      </c>
      <c r="G1269" s="48">
        <v>1231.0</v>
      </c>
      <c r="H1269" s="48">
        <v>256.0</v>
      </c>
      <c r="I1269" s="48">
        <v>25.0</v>
      </c>
      <c r="J1269" s="49">
        <v>82.7841291190316</v>
      </c>
      <c r="K1269" s="49"/>
      <c r="L1269" s="50">
        <v>1082.0</v>
      </c>
      <c r="M1269" s="50">
        <v>19.0</v>
      </c>
      <c r="N1269" s="50">
        <v>24.0</v>
      </c>
      <c r="O1269" s="49">
        <v>98.2742960944596</v>
      </c>
      <c r="P1269" s="51"/>
    </row>
    <row r="1270" ht="15.0" customHeight="1">
      <c r="A1270" s="52">
        <v>1264.0</v>
      </c>
      <c r="B1270" s="53" t="s">
        <v>24</v>
      </c>
      <c r="C1270" s="60" t="s">
        <v>406</v>
      </c>
      <c r="D1270" s="60" t="s">
        <v>408</v>
      </c>
      <c r="E1270" s="60" t="s">
        <v>410</v>
      </c>
      <c r="F1270" s="61" t="s">
        <v>410</v>
      </c>
      <c r="G1270" s="54">
        <v>4283.0</v>
      </c>
      <c r="H1270" s="54">
        <v>671.0</v>
      </c>
      <c r="I1270" s="54">
        <v>114.0</v>
      </c>
      <c r="J1270" s="55">
        <v>86.4553895841744</v>
      </c>
      <c r="K1270" s="55">
        <f>G1270+H1270+I1270</f>
        <v>5068</v>
      </c>
      <c r="L1270" s="56">
        <v>3353.0</v>
      </c>
      <c r="M1270" s="56">
        <v>190.0</v>
      </c>
      <c r="N1270" s="56">
        <v>42.0</v>
      </c>
      <c r="O1270" s="55">
        <v>94.6373130115721</v>
      </c>
      <c r="P1270" s="57">
        <f>L1270+M1270+N1270</f>
        <v>3585</v>
      </c>
    </row>
    <row r="1271" ht="15.0" hidden="1" customHeight="1">
      <c r="A1271" s="45">
        <v>1265.0</v>
      </c>
      <c r="B1271" s="46" t="s">
        <v>24</v>
      </c>
      <c r="C1271" s="46" t="s">
        <v>406</v>
      </c>
      <c r="D1271" s="46" t="s">
        <v>408</v>
      </c>
      <c r="E1271" s="46" t="s">
        <v>410</v>
      </c>
      <c r="F1271" s="47" t="s">
        <v>18</v>
      </c>
      <c r="G1271" s="48">
        <v>3692.0</v>
      </c>
      <c r="H1271" s="48">
        <v>503.0</v>
      </c>
      <c r="I1271" s="48">
        <v>78.0</v>
      </c>
      <c r="J1271" s="49">
        <v>88.0095351609058</v>
      </c>
      <c r="K1271" s="49"/>
      <c r="L1271" s="50">
        <v>2771.0</v>
      </c>
      <c r="M1271" s="50">
        <v>140.0</v>
      </c>
      <c r="N1271" s="50">
        <v>32.0</v>
      </c>
      <c r="O1271" s="49">
        <v>95.1906561319134</v>
      </c>
      <c r="P1271" s="51"/>
    </row>
    <row r="1272" ht="15.0" hidden="1" customHeight="1">
      <c r="A1272" s="45">
        <v>1266.0</v>
      </c>
      <c r="B1272" s="46" t="s">
        <v>24</v>
      </c>
      <c r="C1272" s="46" t="s">
        <v>406</v>
      </c>
      <c r="D1272" s="46" t="s">
        <v>408</v>
      </c>
      <c r="E1272" s="46" t="s">
        <v>410</v>
      </c>
      <c r="F1272" s="47" t="s">
        <v>19</v>
      </c>
      <c r="G1272" s="48">
        <v>591.0</v>
      </c>
      <c r="H1272" s="48">
        <v>168.0</v>
      </c>
      <c r="I1272" s="48">
        <v>36.0</v>
      </c>
      <c r="J1272" s="49">
        <v>77.8656126482213</v>
      </c>
      <c r="K1272" s="49"/>
      <c r="L1272" s="50">
        <v>582.0</v>
      </c>
      <c r="M1272" s="50">
        <v>50.0</v>
      </c>
      <c r="N1272" s="50">
        <v>10.0</v>
      </c>
      <c r="O1272" s="49">
        <v>92.0886075949367</v>
      </c>
      <c r="P1272" s="51"/>
    </row>
    <row r="1273" ht="15.0" hidden="1" customHeight="1">
      <c r="A1273" s="39">
        <v>1267.0</v>
      </c>
      <c r="B1273" s="40" t="s">
        <v>22</v>
      </c>
      <c r="C1273" s="59" t="s">
        <v>406</v>
      </c>
      <c r="D1273" s="59" t="s">
        <v>411</v>
      </c>
      <c r="E1273" s="59"/>
      <c r="F1273" s="40" t="s">
        <v>411</v>
      </c>
      <c r="G1273" s="41">
        <v>8578.0</v>
      </c>
      <c r="H1273" s="41">
        <v>2594.0</v>
      </c>
      <c r="I1273" s="41">
        <v>183.0</v>
      </c>
      <c r="J1273" s="42">
        <v>76.781238811314</v>
      </c>
      <c r="K1273" s="42"/>
      <c r="L1273" s="43">
        <v>9091.0</v>
      </c>
      <c r="M1273" s="43">
        <v>723.0</v>
      </c>
      <c r="N1273" s="43">
        <v>158.0</v>
      </c>
      <c r="O1273" s="42">
        <v>92.6329733034441</v>
      </c>
      <c r="P1273" s="44"/>
    </row>
    <row r="1274" ht="15.0" hidden="1" customHeight="1">
      <c r="A1274" s="45">
        <v>1268.0</v>
      </c>
      <c r="B1274" s="46" t="s">
        <v>22</v>
      </c>
      <c r="C1274" s="46" t="s">
        <v>406</v>
      </c>
      <c r="D1274" s="46" t="s">
        <v>411</v>
      </c>
      <c r="E1274" s="46"/>
      <c r="F1274" s="47" t="s">
        <v>18</v>
      </c>
      <c r="G1274" s="48">
        <v>4917.0</v>
      </c>
      <c r="H1274" s="48">
        <v>673.0</v>
      </c>
      <c r="I1274" s="48">
        <v>71.0</v>
      </c>
      <c r="J1274" s="49">
        <v>87.9606440071556</v>
      </c>
      <c r="K1274" s="49"/>
      <c r="L1274" s="50">
        <v>4315.0</v>
      </c>
      <c r="M1274" s="50">
        <v>166.0</v>
      </c>
      <c r="N1274" s="50">
        <v>21.0</v>
      </c>
      <c r="O1274" s="49">
        <v>96.295469761214</v>
      </c>
      <c r="P1274" s="51"/>
    </row>
    <row r="1275" ht="15.0" hidden="1" customHeight="1">
      <c r="A1275" s="45">
        <v>1269.0</v>
      </c>
      <c r="B1275" s="46" t="s">
        <v>22</v>
      </c>
      <c r="C1275" s="46" t="s">
        <v>406</v>
      </c>
      <c r="D1275" s="46" t="s">
        <v>411</v>
      </c>
      <c r="E1275" s="46"/>
      <c r="F1275" s="47" t="s">
        <v>19</v>
      </c>
      <c r="G1275" s="48">
        <v>3661.0</v>
      </c>
      <c r="H1275" s="48">
        <v>1921.0</v>
      </c>
      <c r="I1275" s="48">
        <v>112.0</v>
      </c>
      <c r="J1275" s="49">
        <v>65.5858115370835</v>
      </c>
      <c r="K1275" s="49"/>
      <c r="L1275" s="50">
        <v>4776.0</v>
      </c>
      <c r="M1275" s="50">
        <v>557.0</v>
      </c>
      <c r="N1275" s="50">
        <v>137.0</v>
      </c>
      <c r="O1275" s="49">
        <v>89.5555972248266</v>
      </c>
      <c r="P1275" s="51"/>
    </row>
    <row r="1276" ht="15.0" customHeight="1">
      <c r="A1276" s="52">
        <v>1270.0</v>
      </c>
      <c r="B1276" s="53" t="s">
        <v>24</v>
      </c>
      <c r="C1276" s="60" t="s">
        <v>406</v>
      </c>
      <c r="D1276" s="60" t="s">
        <v>411</v>
      </c>
      <c r="E1276" s="60" t="s">
        <v>412</v>
      </c>
      <c r="F1276" s="61" t="s">
        <v>412</v>
      </c>
      <c r="G1276" s="54">
        <v>1523.0</v>
      </c>
      <c r="H1276" s="54">
        <v>238.0</v>
      </c>
      <c r="I1276" s="54">
        <v>20.0</v>
      </c>
      <c r="J1276" s="55">
        <v>86.4849517319705</v>
      </c>
      <c r="K1276" s="55">
        <f>G1276+H1276+I1276</f>
        <v>1781</v>
      </c>
      <c r="L1276" s="56">
        <v>1138.0</v>
      </c>
      <c r="M1276" s="56">
        <v>68.0</v>
      </c>
      <c r="N1276" s="56">
        <v>8.0</v>
      </c>
      <c r="O1276" s="55">
        <v>94.3615257048093</v>
      </c>
      <c r="P1276" s="57">
        <f>L1276+M1276+N1276</f>
        <v>1214</v>
      </c>
    </row>
    <row r="1277" ht="15.0" hidden="1" customHeight="1">
      <c r="A1277" s="45">
        <v>1271.0</v>
      </c>
      <c r="B1277" s="46" t="s">
        <v>24</v>
      </c>
      <c r="C1277" s="46" t="s">
        <v>406</v>
      </c>
      <c r="D1277" s="46" t="s">
        <v>411</v>
      </c>
      <c r="E1277" s="46" t="s">
        <v>412</v>
      </c>
      <c r="F1277" s="47" t="s">
        <v>18</v>
      </c>
      <c r="G1277" s="48">
        <v>730.0</v>
      </c>
      <c r="H1277" s="48">
        <v>68.0</v>
      </c>
      <c r="I1277" s="48">
        <v>9.0</v>
      </c>
      <c r="J1277" s="49">
        <v>91.4786967418546</v>
      </c>
      <c r="K1277" s="49"/>
      <c r="L1277" s="50">
        <v>578.0</v>
      </c>
      <c r="M1277" s="50">
        <v>15.0</v>
      </c>
      <c r="N1277" s="50">
        <v>2.0</v>
      </c>
      <c r="O1277" s="49">
        <v>97.4704890387858</v>
      </c>
      <c r="P1277" s="51"/>
    </row>
    <row r="1278" ht="15.0" hidden="1" customHeight="1">
      <c r="A1278" s="45">
        <v>1272.0</v>
      </c>
      <c r="B1278" s="46" t="s">
        <v>24</v>
      </c>
      <c r="C1278" s="46" t="s">
        <v>406</v>
      </c>
      <c r="D1278" s="46" t="s">
        <v>411</v>
      </c>
      <c r="E1278" s="46" t="s">
        <v>412</v>
      </c>
      <c r="F1278" s="47" t="s">
        <v>19</v>
      </c>
      <c r="G1278" s="48">
        <v>793.0</v>
      </c>
      <c r="H1278" s="48">
        <v>170.0</v>
      </c>
      <c r="I1278" s="48">
        <v>11.0</v>
      </c>
      <c r="J1278" s="49">
        <v>82.3468328141225</v>
      </c>
      <c r="K1278" s="49"/>
      <c r="L1278" s="50">
        <v>560.0</v>
      </c>
      <c r="M1278" s="50">
        <v>53.0</v>
      </c>
      <c r="N1278" s="50">
        <v>6.0</v>
      </c>
      <c r="O1278" s="49">
        <v>91.3539967373573</v>
      </c>
      <c r="P1278" s="51"/>
    </row>
    <row r="1279" ht="15.0" customHeight="1">
      <c r="A1279" s="52">
        <v>1273.0</v>
      </c>
      <c r="B1279" s="53" t="s">
        <v>24</v>
      </c>
      <c r="C1279" s="60" t="s">
        <v>406</v>
      </c>
      <c r="D1279" s="60" t="s">
        <v>411</v>
      </c>
      <c r="E1279" s="60" t="s">
        <v>413</v>
      </c>
      <c r="F1279" s="61" t="s">
        <v>413</v>
      </c>
      <c r="G1279" s="54">
        <v>3927.0</v>
      </c>
      <c r="H1279" s="54">
        <v>1828.0</v>
      </c>
      <c r="I1279" s="54">
        <v>105.0</v>
      </c>
      <c r="J1279" s="55">
        <v>68.236316246742</v>
      </c>
      <c r="K1279" s="55">
        <f>G1279+H1279+I1279</f>
        <v>5860</v>
      </c>
      <c r="L1279" s="56">
        <v>4812.0</v>
      </c>
      <c r="M1279" s="56">
        <v>495.0</v>
      </c>
      <c r="N1279" s="56">
        <v>133.0</v>
      </c>
      <c r="O1279" s="55">
        <v>90.6726964386659</v>
      </c>
      <c r="P1279" s="57">
        <f>L1279+M1279+N1279</f>
        <v>5440</v>
      </c>
    </row>
    <row r="1280" ht="15.0" hidden="1" customHeight="1">
      <c r="A1280" s="45">
        <v>1274.0</v>
      </c>
      <c r="B1280" s="46" t="s">
        <v>24</v>
      </c>
      <c r="C1280" s="46" t="s">
        <v>406</v>
      </c>
      <c r="D1280" s="46" t="s">
        <v>411</v>
      </c>
      <c r="E1280" s="46" t="s">
        <v>413</v>
      </c>
      <c r="F1280" s="47" t="s">
        <v>18</v>
      </c>
      <c r="G1280" s="48">
        <v>2222.0</v>
      </c>
      <c r="H1280" s="48">
        <v>406.0</v>
      </c>
      <c r="I1280" s="48">
        <v>32.0</v>
      </c>
      <c r="J1280" s="49">
        <v>84.5509893455099</v>
      </c>
      <c r="K1280" s="49"/>
      <c r="L1280" s="50">
        <v>1959.0</v>
      </c>
      <c r="M1280" s="50">
        <v>99.0</v>
      </c>
      <c r="N1280" s="50">
        <v>14.0</v>
      </c>
      <c r="O1280" s="49">
        <v>95.1895043731778</v>
      </c>
      <c r="P1280" s="51"/>
    </row>
    <row r="1281" ht="15.0" hidden="1" customHeight="1">
      <c r="A1281" s="45">
        <v>1275.0</v>
      </c>
      <c r="B1281" s="46" t="s">
        <v>24</v>
      </c>
      <c r="C1281" s="46" t="s">
        <v>406</v>
      </c>
      <c r="D1281" s="46" t="s">
        <v>411</v>
      </c>
      <c r="E1281" s="46" t="s">
        <v>413</v>
      </c>
      <c r="F1281" s="47" t="s">
        <v>19</v>
      </c>
      <c r="G1281" s="48">
        <v>1705.0</v>
      </c>
      <c r="H1281" s="48">
        <v>1422.0</v>
      </c>
      <c r="I1281" s="48">
        <v>73.0</v>
      </c>
      <c r="J1281" s="49">
        <v>54.5251039334826</v>
      </c>
      <c r="K1281" s="49"/>
      <c r="L1281" s="50">
        <v>2853.0</v>
      </c>
      <c r="M1281" s="50">
        <v>396.0</v>
      </c>
      <c r="N1281" s="50">
        <v>119.0</v>
      </c>
      <c r="O1281" s="49">
        <v>87.8116343490305</v>
      </c>
      <c r="P1281" s="51"/>
    </row>
    <row r="1282" ht="15.0" customHeight="1">
      <c r="A1282" s="52">
        <v>1276.0</v>
      </c>
      <c r="B1282" s="53" t="s">
        <v>24</v>
      </c>
      <c r="C1282" s="60" t="s">
        <v>406</v>
      </c>
      <c r="D1282" s="60" t="s">
        <v>411</v>
      </c>
      <c r="E1282" s="60" t="s">
        <v>361</v>
      </c>
      <c r="F1282" s="61" t="s">
        <v>361</v>
      </c>
      <c r="G1282" s="54">
        <v>1052.0</v>
      </c>
      <c r="H1282" s="54">
        <v>209.0</v>
      </c>
      <c r="I1282" s="54">
        <v>10.0</v>
      </c>
      <c r="J1282" s="55">
        <v>83.4258524980174</v>
      </c>
      <c r="K1282" s="55">
        <f>G1282+H1282+I1282</f>
        <v>1271</v>
      </c>
      <c r="L1282" s="56">
        <v>1135.0</v>
      </c>
      <c r="M1282" s="56">
        <v>78.0</v>
      </c>
      <c r="N1282" s="56">
        <v>8.0</v>
      </c>
      <c r="O1282" s="55">
        <v>93.5696619950536</v>
      </c>
      <c r="P1282" s="57">
        <f>L1282+M1282+N1282</f>
        <v>1221</v>
      </c>
    </row>
    <row r="1283" ht="15.0" hidden="1" customHeight="1">
      <c r="A1283" s="45">
        <v>1277.0</v>
      </c>
      <c r="B1283" s="46" t="s">
        <v>24</v>
      </c>
      <c r="C1283" s="46" t="s">
        <v>406</v>
      </c>
      <c r="D1283" s="46" t="s">
        <v>411</v>
      </c>
      <c r="E1283" s="46" t="s">
        <v>361</v>
      </c>
      <c r="F1283" s="47" t="s">
        <v>18</v>
      </c>
      <c r="G1283" s="48">
        <v>522.0</v>
      </c>
      <c r="H1283" s="48">
        <v>61.0</v>
      </c>
      <c r="I1283" s="48">
        <v>5.0</v>
      </c>
      <c r="J1283" s="49">
        <v>89.5368782161235</v>
      </c>
      <c r="K1283" s="49"/>
      <c r="L1283" s="50">
        <v>523.0</v>
      </c>
      <c r="M1283" s="50">
        <v>14.0</v>
      </c>
      <c r="N1283" s="50">
        <v>3.0</v>
      </c>
      <c r="O1283" s="49">
        <v>97.3929236499069</v>
      </c>
      <c r="P1283" s="51"/>
    </row>
    <row r="1284" ht="15.0" hidden="1" customHeight="1">
      <c r="A1284" s="45">
        <v>1278.0</v>
      </c>
      <c r="B1284" s="46" t="s">
        <v>24</v>
      </c>
      <c r="C1284" s="46" t="s">
        <v>406</v>
      </c>
      <c r="D1284" s="46" t="s">
        <v>411</v>
      </c>
      <c r="E1284" s="46" t="s">
        <v>361</v>
      </c>
      <c r="F1284" s="47" t="s">
        <v>19</v>
      </c>
      <c r="G1284" s="48">
        <v>530.0</v>
      </c>
      <c r="H1284" s="48">
        <v>148.0</v>
      </c>
      <c r="I1284" s="48">
        <v>5.0</v>
      </c>
      <c r="J1284" s="49">
        <v>78.1710914454277</v>
      </c>
      <c r="K1284" s="49"/>
      <c r="L1284" s="50">
        <v>612.0</v>
      </c>
      <c r="M1284" s="50">
        <v>64.0</v>
      </c>
      <c r="N1284" s="50">
        <v>5.0</v>
      </c>
      <c r="O1284" s="49">
        <v>90.5325443786982</v>
      </c>
      <c r="P1284" s="51"/>
    </row>
    <row r="1285" ht="15.0" customHeight="1">
      <c r="A1285" s="52">
        <v>1279.0</v>
      </c>
      <c r="B1285" s="53" t="s">
        <v>24</v>
      </c>
      <c r="C1285" s="60" t="s">
        <v>406</v>
      </c>
      <c r="D1285" s="60" t="s">
        <v>411</v>
      </c>
      <c r="E1285" s="60" t="s">
        <v>414</v>
      </c>
      <c r="F1285" s="61" t="s">
        <v>414</v>
      </c>
      <c r="G1285" s="54">
        <v>2076.0</v>
      </c>
      <c r="H1285" s="54">
        <v>319.0</v>
      </c>
      <c r="I1285" s="54">
        <v>48.0</v>
      </c>
      <c r="J1285" s="55">
        <v>86.6805845511482</v>
      </c>
      <c r="K1285" s="55">
        <f>G1285+H1285+I1285</f>
        <v>2443</v>
      </c>
      <c r="L1285" s="56">
        <v>2006.0</v>
      </c>
      <c r="M1285" s="56">
        <v>82.0</v>
      </c>
      <c r="N1285" s="56">
        <v>9.0</v>
      </c>
      <c r="O1285" s="55">
        <v>96.0727969348659</v>
      </c>
      <c r="P1285" s="57">
        <f>L1285+M1285+N1285</f>
        <v>2097</v>
      </c>
    </row>
    <row r="1286" ht="15.0" hidden="1" customHeight="1">
      <c r="A1286" s="45">
        <v>1280.0</v>
      </c>
      <c r="B1286" s="46" t="s">
        <v>24</v>
      </c>
      <c r="C1286" s="46" t="s">
        <v>406</v>
      </c>
      <c r="D1286" s="46" t="s">
        <v>411</v>
      </c>
      <c r="E1286" s="46" t="s">
        <v>414</v>
      </c>
      <c r="F1286" s="47" t="s">
        <v>18</v>
      </c>
      <c r="G1286" s="48">
        <v>1443.0</v>
      </c>
      <c r="H1286" s="48">
        <v>138.0</v>
      </c>
      <c r="I1286" s="48">
        <v>25.0</v>
      </c>
      <c r="J1286" s="49">
        <v>91.2713472485768</v>
      </c>
      <c r="K1286" s="49"/>
      <c r="L1286" s="50">
        <v>1255.0</v>
      </c>
      <c r="M1286" s="50">
        <v>38.0</v>
      </c>
      <c r="N1286" s="50">
        <v>2.0</v>
      </c>
      <c r="O1286" s="49">
        <v>97.061098221191</v>
      </c>
      <c r="P1286" s="51"/>
    </row>
    <row r="1287" ht="15.0" hidden="1" customHeight="1">
      <c r="A1287" s="45">
        <v>1281.0</v>
      </c>
      <c r="B1287" s="46" t="s">
        <v>24</v>
      </c>
      <c r="C1287" s="46" t="s">
        <v>406</v>
      </c>
      <c r="D1287" s="46" t="s">
        <v>411</v>
      </c>
      <c r="E1287" s="46" t="s">
        <v>414</v>
      </c>
      <c r="F1287" s="47" t="s">
        <v>19</v>
      </c>
      <c r="G1287" s="48">
        <v>633.0</v>
      </c>
      <c r="H1287" s="48">
        <v>181.0</v>
      </c>
      <c r="I1287" s="48">
        <v>23.0</v>
      </c>
      <c r="J1287" s="49">
        <v>77.7641277641278</v>
      </c>
      <c r="K1287" s="49"/>
      <c r="L1287" s="50">
        <v>751.0</v>
      </c>
      <c r="M1287" s="50">
        <v>44.0</v>
      </c>
      <c r="N1287" s="50">
        <v>7.0</v>
      </c>
      <c r="O1287" s="49">
        <v>94.4654088050314</v>
      </c>
      <c r="P1287" s="51"/>
    </row>
    <row r="1288" ht="15.0" hidden="1" customHeight="1">
      <c r="A1288" s="39">
        <v>1282.0</v>
      </c>
      <c r="B1288" s="40" t="s">
        <v>22</v>
      </c>
      <c r="C1288" s="59" t="s">
        <v>406</v>
      </c>
      <c r="D1288" s="59" t="s">
        <v>415</v>
      </c>
      <c r="E1288" s="59"/>
      <c r="F1288" s="40" t="s">
        <v>415</v>
      </c>
      <c r="G1288" s="41">
        <v>2194.0</v>
      </c>
      <c r="H1288" s="41">
        <v>748.0</v>
      </c>
      <c r="I1288" s="41">
        <v>53.0</v>
      </c>
      <c r="J1288" s="42">
        <v>74.5751189666893</v>
      </c>
      <c r="K1288" s="42"/>
      <c r="L1288" s="43">
        <v>2424.0</v>
      </c>
      <c r="M1288" s="43">
        <v>325.0</v>
      </c>
      <c r="N1288" s="43">
        <v>27.0</v>
      </c>
      <c r="O1288" s="42">
        <v>88.1775190978538</v>
      </c>
      <c r="P1288" s="44"/>
    </row>
    <row r="1289" ht="15.0" hidden="1" customHeight="1">
      <c r="A1289" s="45">
        <v>1283.0</v>
      </c>
      <c r="B1289" s="46" t="s">
        <v>22</v>
      </c>
      <c r="C1289" s="46" t="s">
        <v>406</v>
      </c>
      <c r="D1289" s="46" t="s">
        <v>415</v>
      </c>
      <c r="E1289" s="46"/>
      <c r="F1289" s="47" t="s">
        <v>18</v>
      </c>
      <c r="G1289" s="48">
        <v>1188.0</v>
      </c>
      <c r="H1289" s="48">
        <v>250.0</v>
      </c>
      <c r="I1289" s="48">
        <v>19.0</v>
      </c>
      <c r="J1289" s="49">
        <v>82.6147426981919</v>
      </c>
      <c r="K1289" s="49"/>
      <c r="L1289" s="50">
        <v>1466.0</v>
      </c>
      <c r="M1289" s="50">
        <v>103.0</v>
      </c>
      <c r="N1289" s="50">
        <v>7.0</v>
      </c>
      <c r="O1289" s="49">
        <v>93.4353091140854</v>
      </c>
      <c r="P1289" s="51"/>
    </row>
    <row r="1290" ht="15.0" hidden="1" customHeight="1">
      <c r="A1290" s="45">
        <v>1284.0</v>
      </c>
      <c r="B1290" s="46" t="s">
        <v>22</v>
      </c>
      <c r="C1290" s="46" t="s">
        <v>406</v>
      </c>
      <c r="D1290" s="46" t="s">
        <v>415</v>
      </c>
      <c r="E1290" s="46"/>
      <c r="F1290" s="47" t="s">
        <v>19</v>
      </c>
      <c r="G1290" s="48">
        <v>1006.0</v>
      </c>
      <c r="H1290" s="48">
        <v>498.0</v>
      </c>
      <c r="I1290" s="48">
        <v>34.0</v>
      </c>
      <c r="J1290" s="49">
        <v>66.8882978723404</v>
      </c>
      <c r="K1290" s="49"/>
      <c r="L1290" s="50">
        <v>958.0</v>
      </c>
      <c r="M1290" s="50">
        <v>222.0</v>
      </c>
      <c r="N1290" s="50">
        <v>20.0</v>
      </c>
      <c r="O1290" s="49">
        <v>81.1864406779661</v>
      </c>
      <c r="P1290" s="51"/>
    </row>
    <row r="1291" ht="15.0" customHeight="1">
      <c r="A1291" s="52">
        <v>1285.0</v>
      </c>
      <c r="B1291" s="53" t="s">
        <v>24</v>
      </c>
      <c r="C1291" s="60" t="s">
        <v>406</v>
      </c>
      <c r="D1291" s="60" t="s">
        <v>415</v>
      </c>
      <c r="E1291" s="60" t="s">
        <v>416</v>
      </c>
      <c r="F1291" s="61" t="s">
        <v>416</v>
      </c>
      <c r="G1291" s="54">
        <v>1631.0</v>
      </c>
      <c r="H1291" s="54">
        <v>461.0</v>
      </c>
      <c r="I1291" s="54">
        <v>40.0</v>
      </c>
      <c r="J1291" s="55">
        <v>77.9636711281071</v>
      </c>
      <c r="K1291" s="55">
        <f>G1291+H1291+I1291</f>
        <v>2132</v>
      </c>
      <c r="L1291" s="56">
        <v>1711.0</v>
      </c>
      <c r="M1291" s="56">
        <v>210.0</v>
      </c>
      <c r="N1291" s="56">
        <v>18.0</v>
      </c>
      <c r="O1291" s="55">
        <v>89.0681936491411</v>
      </c>
      <c r="P1291" s="57">
        <f>L1291+M1291+N1291</f>
        <v>1939</v>
      </c>
    </row>
    <row r="1292" ht="15.0" hidden="1" customHeight="1">
      <c r="A1292" s="45">
        <v>1286.0</v>
      </c>
      <c r="B1292" s="46" t="s">
        <v>24</v>
      </c>
      <c r="C1292" s="46" t="s">
        <v>406</v>
      </c>
      <c r="D1292" s="46" t="s">
        <v>415</v>
      </c>
      <c r="E1292" s="46" t="s">
        <v>416</v>
      </c>
      <c r="F1292" s="47" t="s">
        <v>18</v>
      </c>
      <c r="G1292" s="48">
        <v>1188.0</v>
      </c>
      <c r="H1292" s="48">
        <v>250.0</v>
      </c>
      <c r="I1292" s="48">
        <v>19.0</v>
      </c>
      <c r="J1292" s="49">
        <v>82.6147426981919</v>
      </c>
      <c r="K1292" s="49"/>
      <c r="L1292" s="50">
        <v>1263.0</v>
      </c>
      <c r="M1292" s="50">
        <v>52.0</v>
      </c>
      <c r="N1292" s="50">
        <v>4.0</v>
      </c>
      <c r="O1292" s="49">
        <v>96.0456273764259</v>
      </c>
      <c r="P1292" s="51"/>
    </row>
    <row r="1293" ht="15.0" hidden="1" customHeight="1">
      <c r="A1293" s="45">
        <v>1287.0</v>
      </c>
      <c r="B1293" s="46" t="s">
        <v>24</v>
      </c>
      <c r="C1293" s="46" t="s">
        <v>406</v>
      </c>
      <c r="D1293" s="46" t="s">
        <v>415</v>
      </c>
      <c r="E1293" s="46" t="s">
        <v>416</v>
      </c>
      <c r="F1293" s="47" t="s">
        <v>19</v>
      </c>
      <c r="G1293" s="48">
        <v>443.0</v>
      </c>
      <c r="H1293" s="48">
        <v>211.0</v>
      </c>
      <c r="I1293" s="48">
        <v>21.0</v>
      </c>
      <c r="J1293" s="49">
        <v>67.737003058104</v>
      </c>
      <c r="K1293" s="49"/>
      <c r="L1293" s="50">
        <v>448.0</v>
      </c>
      <c r="M1293" s="50">
        <v>158.0</v>
      </c>
      <c r="N1293" s="50">
        <v>14.0</v>
      </c>
      <c r="O1293" s="49">
        <v>73.9273927392739</v>
      </c>
      <c r="P1293" s="51"/>
    </row>
    <row r="1294" ht="15.0" customHeight="1">
      <c r="A1294" s="52">
        <v>1288.0</v>
      </c>
      <c r="B1294" s="53" t="s">
        <v>24</v>
      </c>
      <c r="C1294" s="60" t="s">
        <v>406</v>
      </c>
      <c r="D1294" s="60" t="s">
        <v>415</v>
      </c>
      <c r="E1294" s="60" t="s">
        <v>417</v>
      </c>
      <c r="F1294" s="61" t="s">
        <v>417</v>
      </c>
      <c r="G1294" s="54">
        <v>563.0</v>
      </c>
      <c r="H1294" s="54">
        <v>287.0</v>
      </c>
      <c r="I1294" s="54">
        <v>13.0</v>
      </c>
      <c r="J1294" s="55">
        <v>66.2352941176471</v>
      </c>
      <c r="K1294" s="55">
        <f>G1294+H1294+I1294</f>
        <v>863</v>
      </c>
      <c r="L1294" s="56">
        <v>713.0</v>
      </c>
      <c r="M1294" s="56">
        <v>115.0</v>
      </c>
      <c r="N1294" s="56">
        <v>9.0</v>
      </c>
      <c r="O1294" s="55">
        <v>86.1111111111111</v>
      </c>
      <c r="P1294" s="57">
        <f>L1294+M1294+N1294</f>
        <v>837</v>
      </c>
    </row>
    <row r="1295" ht="15.0" hidden="1" customHeight="1">
      <c r="A1295" s="45">
        <v>1289.0</v>
      </c>
      <c r="B1295" s="46" t="s">
        <v>24</v>
      </c>
      <c r="C1295" s="46" t="s">
        <v>406</v>
      </c>
      <c r="D1295" s="46" t="s">
        <v>415</v>
      </c>
      <c r="E1295" s="46" t="s">
        <v>417</v>
      </c>
      <c r="F1295" s="47" t="s">
        <v>18</v>
      </c>
      <c r="G1295" s="48"/>
      <c r="H1295" s="48"/>
      <c r="I1295" s="48"/>
      <c r="J1295" s="49"/>
      <c r="K1295" s="49"/>
      <c r="L1295" s="50">
        <v>203.0</v>
      </c>
      <c r="M1295" s="50">
        <v>51.0</v>
      </c>
      <c r="N1295" s="50">
        <v>3.0</v>
      </c>
      <c r="O1295" s="49">
        <v>79.9212598425197</v>
      </c>
      <c r="P1295" s="51"/>
    </row>
    <row r="1296" ht="15.0" hidden="1" customHeight="1">
      <c r="A1296" s="45">
        <v>1290.0</v>
      </c>
      <c r="B1296" s="46" t="s">
        <v>24</v>
      </c>
      <c r="C1296" s="46" t="s">
        <v>406</v>
      </c>
      <c r="D1296" s="46" t="s">
        <v>415</v>
      </c>
      <c r="E1296" s="46" t="s">
        <v>417</v>
      </c>
      <c r="F1296" s="47" t="s">
        <v>19</v>
      </c>
      <c r="G1296" s="48">
        <v>563.0</v>
      </c>
      <c r="H1296" s="48">
        <v>287.0</v>
      </c>
      <c r="I1296" s="48">
        <v>13.0</v>
      </c>
      <c r="J1296" s="49">
        <v>66.2352941176471</v>
      </c>
      <c r="K1296" s="49"/>
      <c r="L1296" s="50">
        <v>510.0</v>
      </c>
      <c r="M1296" s="50">
        <v>64.0</v>
      </c>
      <c r="N1296" s="50">
        <v>6.0</v>
      </c>
      <c r="O1296" s="49">
        <v>88.8501742160279</v>
      </c>
      <c r="P1296" s="51"/>
    </row>
    <row r="1297" ht="15.0" hidden="1" customHeight="1">
      <c r="A1297" s="39">
        <v>1291.0</v>
      </c>
      <c r="B1297" s="40" t="s">
        <v>22</v>
      </c>
      <c r="C1297" s="59" t="s">
        <v>406</v>
      </c>
      <c r="D1297" s="59" t="s">
        <v>418</v>
      </c>
      <c r="E1297" s="59"/>
      <c r="F1297" s="40" t="s">
        <v>418</v>
      </c>
      <c r="G1297" s="41">
        <v>2358.0</v>
      </c>
      <c r="H1297" s="41">
        <v>386.0</v>
      </c>
      <c r="I1297" s="41">
        <v>65.0</v>
      </c>
      <c r="J1297" s="42">
        <v>85.932944606414</v>
      </c>
      <c r="K1297" s="42"/>
      <c r="L1297" s="43">
        <v>2366.0</v>
      </c>
      <c r="M1297" s="43">
        <v>159.0</v>
      </c>
      <c r="N1297" s="43">
        <v>25.0</v>
      </c>
      <c r="O1297" s="42">
        <v>93.7029702970297</v>
      </c>
      <c r="P1297" s="44"/>
    </row>
    <row r="1298" ht="15.0" hidden="1" customHeight="1">
      <c r="A1298" s="45">
        <v>1292.0</v>
      </c>
      <c r="B1298" s="46" t="s">
        <v>22</v>
      </c>
      <c r="C1298" s="46" t="s">
        <v>406</v>
      </c>
      <c r="D1298" s="46" t="s">
        <v>418</v>
      </c>
      <c r="E1298" s="46"/>
      <c r="F1298" s="47" t="s">
        <v>18</v>
      </c>
      <c r="G1298" s="48">
        <v>1271.0</v>
      </c>
      <c r="H1298" s="48">
        <v>129.0</v>
      </c>
      <c r="I1298" s="48">
        <v>26.0</v>
      </c>
      <c r="J1298" s="49">
        <v>90.7857142857143</v>
      </c>
      <c r="K1298" s="49"/>
      <c r="L1298" s="50">
        <v>1018.0</v>
      </c>
      <c r="M1298" s="50">
        <v>40.0</v>
      </c>
      <c r="N1298" s="50">
        <v>7.0</v>
      </c>
      <c r="O1298" s="49">
        <v>96.2192816635161</v>
      </c>
      <c r="P1298" s="51"/>
    </row>
    <row r="1299" ht="15.0" hidden="1" customHeight="1">
      <c r="A1299" s="45">
        <v>1293.0</v>
      </c>
      <c r="B1299" s="46" t="s">
        <v>22</v>
      </c>
      <c r="C1299" s="46" t="s">
        <v>406</v>
      </c>
      <c r="D1299" s="46" t="s">
        <v>418</v>
      </c>
      <c r="E1299" s="46"/>
      <c r="F1299" s="47" t="s">
        <v>19</v>
      </c>
      <c r="G1299" s="48">
        <v>1087.0</v>
      </c>
      <c r="H1299" s="48">
        <v>257.0</v>
      </c>
      <c r="I1299" s="48">
        <v>39.0</v>
      </c>
      <c r="J1299" s="49">
        <v>80.8779761904762</v>
      </c>
      <c r="K1299" s="49"/>
      <c r="L1299" s="50">
        <v>1348.0</v>
      </c>
      <c r="M1299" s="50">
        <v>119.0</v>
      </c>
      <c r="N1299" s="50">
        <v>18.0</v>
      </c>
      <c r="O1299" s="49">
        <v>91.8882072256305</v>
      </c>
      <c r="P1299" s="51"/>
    </row>
    <row r="1300" ht="15.0" customHeight="1">
      <c r="A1300" s="52">
        <v>1294.0</v>
      </c>
      <c r="B1300" s="53" t="s">
        <v>24</v>
      </c>
      <c r="C1300" s="60" t="s">
        <v>406</v>
      </c>
      <c r="D1300" s="60" t="s">
        <v>418</v>
      </c>
      <c r="E1300" s="60" t="s">
        <v>347</v>
      </c>
      <c r="F1300" s="61" t="s">
        <v>347</v>
      </c>
      <c r="G1300" s="54">
        <v>2358.0</v>
      </c>
      <c r="H1300" s="54">
        <v>386.0</v>
      </c>
      <c r="I1300" s="54">
        <v>65.0</v>
      </c>
      <c r="J1300" s="55">
        <v>85.932944606414</v>
      </c>
      <c r="K1300" s="55">
        <f>G1300+H1300+I1300</f>
        <v>2809</v>
      </c>
      <c r="L1300" s="56">
        <v>2366.0</v>
      </c>
      <c r="M1300" s="56">
        <v>159.0</v>
      </c>
      <c r="N1300" s="56">
        <v>25.0</v>
      </c>
      <c r="O1300" s="55">
        <v>93.7029702970297</v>
      </c>
      <c r="P1300" s="57">
        <f>L1300+M1300+N1300</f>
        <v>2550</v>
      </c>
    </row>
    <row r="1301" ht="15.0" hidden="1" customHeight="1">
      <c r="A1301" s="45">
        <v>1295.0</v>
      </c>
      <c r="B1301" s="46" t="s">
        <v>24</v>
      </c>
      <c r="C1301" s="46" t="s">
        <v>406</v>
      </c>
      <c r="D1301" s="46" t="s">
        <v>418</v>
      </c>
      <c r="E1301" s="46" t="s">
        <v>347</v>
      </c>
      <c r="F1301" s="47" t="s">
        <v>18</v>
      </c>
      <c r="G1301" s="48">
        <v>1271.0</v>
      </c>
      <c r="H1301" s="48">
        <v>129.0</v>
      </c>
      <c r="I1301" s="48">
        <v>26.0</v>
      </c>
      <c r="J1301" s="49">
        <v>90.7857142857143</v>
      </c>
      <c r="K1301" s="49"/>
      <c r="L1301" s="50">
        <v>1018.0</v>
      </c>
      <c r="M1301" s="50">
        <v>40.0</v>
      </c>
      <c r="N1301" s="50">
        <v>7.0</v>
      </c>
      <c r="O1301" s="49">
        <v>96.2192816635161</v>
      </c>
      <c r="P1301" s="51"/>
    </row>
    <row r="1302" ht="15.0" hidden="1" customHeight="1">
      <c r="A1302" s="45">
        <v>1296.0</v>
      </c>
      <c r="B1302" s="46" t="s">
        <v>24</v>
      </c>
      <c r="C1302" s="46" t="s">
        <v>406</v>
      </c>
      <c r="D1302" s="46" t="s">
        <v>418</v>
      </c>
      <c r="E1302" s="46" t="s">
        <v>347</v>
      </c>
      <c r="F1302" s="47" t="s">
        <v>19</v>
      </c>
      <c r="G1302" s="48">
        <v>1087.0</v>
      </c>
      <c r="H1302" s="48">
        <v>257.0</v>
      </c>
      <c r="I1302" s="48">
        <v>39.0</v>
      </c>
      <c r="J1302" s="49">
        <v>80.8779761904762</v>
      </c>
      <c r="K1302" s="49"/>
      <c r="L1302" s="50">
        <v>1348.0</v>
      </c>
      <c r="M1302" s="50">
        <v>119.0</v>
      </c>
      <c r="N1302" s="50">
        <v>18.0</v>
      </c>
      <c r="O1302" s="49">
        <v>91.8882072256305</v>
      </c>
      <c r="P1302" s="51"/>
    </row>
    <row r="1303" ht="15.0" hidden="1" customHeight="1">
      <c r="A1303" s="39">
        <v>1297.0</v>
      </c>
      <c r="B1303" s="40" t="s">
        <v>22</v>
      </c>
      <c r="C1303" s="59" t="s">
        <v>406</v>
      </c>
      <c r="D1303" s="59" t="s">
        <v>419</v>
      </c>
      <c r="E1303" s="59"/>
      <c r="F1303" s="40" t="s">
        <v>419</v>
      </c>
      <c r="G1303" s="41">
        <v>1901.0</v>
      </c>
      <c r="H1303" s="41">
        <v>268.0</v>
      </c>
      <c r="I1303" s="41">
        <v>31.0</v>
      </c>
      <c r="J1303" s="42">
        <v>87.6440756108806</v>
      </c>
      <c r="K1303" s="42"/>
      <c r="L1303" s="43">
        <v>1709.0</v>
      </c>
      <c r="M1303" s="43">
        <v>116.0</v>
      </c>
      <c r="N1303" s="43">
        <v>21.0</v>
      </c>
      <c r="O1303" s="42">
        <v>93.6438356164384</v>
      </c>
      <c r="P1303" s="44"/>
    </row>
    <row r="1304" ht="15.0" hidden="1" customHeight="1">
      <c r="A1304" s="45">
        <v>1298.0</v>
      </c>
      <c r="B1304" s="46" t="s">
        <v>22</v>
      </c>
      <c r="C1304" s="46" t="s">
        <v>406</v>
      </c>
      <c r="D1304" s="46" t="s">
        <v>419</v>
      </c>
      <c r="E1304" s="46"/>
      <c r="F1304" s="47" t="s">
        <v>18</v>
      </c>
      <c r="G1304" s="48">
        <v>307.0</v>
      </c>
      <c r="H1304" s="48">
        <v>18.0</v>
      </c>
      <c r="I1304" s="48">
        <v>6.0</v>
      </c>
      <c r="J1304" s="49">
        <v>94.4615384615385</v>
      </c>
      <c r="K1304" s="49"/>
      <c r="L1304" s="50">
        <v>226.0</v>
      </c>
      <c r="M1304" s="50">
        <v>6.0</v>
      </c>
      <c r="N1304" s="50">
        <v>0.0</v>
      </c>
      <c r="O1304" s="49">
        <v>97.4137931034483</v>
      </c>
      <c r="P1304" s="51"/>
    </row>
    <row r="1305" ht="15.0" hidden="1" customHeight="1">
      <c r="A1305" s="45">
        <v>1299.0</v>
      </c>
      <c r="B1305" s="46" t="s">
        <v>22</v>
      </c>
      <c r="C1305" s="46" t="s">
        <v>406</v>
      </c>
      <c r="D1305" s="46" t="s">
        <v>419</v>
      </c>
      <c r="E1305" s="46"/>
      <c r="F1305" s="47" t="s">
        <v>19</v>
      </c>
      <c r="G1305" s="48">
        <v>1594.0</v>
      </c>
      <c r="H1305" s="48">
        <v>250.0</v>
      </c>
      <c r="I1305" s="48">
        <v>25.0</v>
      </c>
      <c r="J1305" s="49">
        <v>86.4425162689805</v>
      </c>
      <c r="K1305" s="49"/>
      <c r="L1305" s="50">
        <v>1483.0</v>
      </c>
      <c r="M1305" s="50">
        <v>110.0</v>
      </c>
      <c r="N1305" s="50">
        <v>21.0</v>
      </c>
      <c r="O1305" s="49">
        <v>93.0947897049592</v>
      </c>
      <c r="P1305" s="51"/>
    </row>
    <row r="1306" ht="15.0" customHeight="1">
      <c r="A1306" s="52">
        <v>1300.0</v>
      </c>
      <c r="B1306" s="53" t="s">
        <v>24</v>
      </c>
      <c r="C1306" s="60" t="s">
        <v>406</v>
      </c>
      <c r="D1306" s="60" t="s">
        <v>419</v>
      </c>
      <c r="E1306" s="60" t="s">
        <v>420</v>
      </c>
      <c r="F1306" s="61" t="s">
        <v>420</v>
      </c>
      <c r="G1306" s="54">
        <v>508.0</v>
      </c>
      <c r="H1306" s="54">
        <v>114.0</v>
      </c>
      <c r="I1306" s="54">
        <v>1.0</v>
      </c>
      <c r="J1306" s="55">
        <v>81.6720257234727</v>
      </c>
      <c r="K1306" s="55">
        <f>G1306+H1306+I1306</f>
        <v>623</v>
      </c>
      <c r="L1306" s="56">
        <v>495.0</v>
      </c>
      <c r="M1306" s="56">
        <v>60.0</v>
      </c>
      <c r="N1306" s="56">
        <v>4.0</v>
      </c>
      <c r="O1306" s="55">
        <v>89.1891891891892</v>
      </c>
      <c r="P1306" s="57">
        <f>L1306+M1306+N1306</f>
        <v>559</v>
      </c>
    </row>
    <row r="1307" ht="15.0" hidden="1" customHeight="1">
      <c r="A1307" s="45">
        <v>1301.0</v>
      </c>
      <c r="B1307" s="46" t="s">
        <v>24</v>
      </c>
      <c r="C1307" s="46" t="s">
        <v>406</v>
      </c>
      <c r="D1307" s="46" t="s">
        <v>419</v>
      </c>
      <c r="E1307" s="46" t="s">
        <v>420</v>
      </c>
      <c r="F1307" s="47" t="s">
        <v>18</v>
      </c>
      <c r="G1307" s="48"/>
      <c r="H1307" s="48"/>
      <c r="I1307" s="48"/>
      <c r="J1307" s="49"/>
      <c r="K1307" s="49"/>
      <c r="L1307" s="50"/>
      <c r="M1307" s="50"/>
      <c r="N1307" s="50"/>
      <c r="O1307" s="49"/>
      <c r="P1307" s="51"/>
    </row>
    <row r="1308" ht="15.0" hidden="1" customHeight="1">
      <c r="A1308" s="45">
        <v>1302.0</v>
      </c>
      <c r="B1308" s="46" t="s">
        <v>24</v>
      </c>
      <c r="C1308" s="46" t="s">
        <v>406</v>
      </c>
      <c r="D1308" s="46" t="s">
        <v>419</v>
      </c>
      <c r="E1308" s="46" t="s">
        <v>420</v>
      </c>
      <c r="F1308" s="47" t="s">
        <v>19</v>
      </c>
      <c r="G1308" s="48">
        <v>508.0</v>
      </c>
      <c r="H1308" s="48">
        <v>114.0</v>
      </c>
      <c r="I1308" s="48">
        <v>1.0</v>
      </c>
      <c r="J1308" s="49">
        <v>81.6720257234727</v>
      </c>
      <c r="K1308" s="49"/>
      <c r="L1308" s="50">
        <v>495.0</v>
      </c>
      <c r="M1308" s="50">
        <v>60.0</v>
      </c>
      <c r="N1308" s="50">
        <v>4.0</v>
      </c>
      <c r="O1308" s="49">
        <v>89.1891891891892</v>
      </c>
      <c r="P1308" s="51"/>
    </row>
    <row r="1309" ht="15.0" customHeight="1">
      <c r="A1309" s="52">
        <v>1303.0</v>
      </c>
      <c r="B1309" s="53" t="s">
        <v>24</v>
      </c>
      <c r="C1309" s="60" t="s">
        <v>406</v>
      </c>
      <c r="D1309" s="60" t="s">
        <v>419</v>
      </c>
      <c r="E1309" s="60" t="s">
        <v>421</v>
      </c>
      <c r="F1309" s="61" t="s">
        <v>421</v>
      </c>
      <c r="G1309" s="54">
        <v>1393.0</v>
      </c>
      <c r="H1309" s="54">
        <v>154.0</v>
      </c>
      <c r="I1309" s="54">
        <v>30.0</v>
      </c>
      <c r="J1309" s="55">
        <v>90.0452488687783</v>
      </c>
      <c r="K1309" s="55">
        <f>G1309+H1309+I1309</f>
        <v>1577</v>
      </c>
      <c r="L1309" s="56">
        <v>1214.0</v>
      </c>
      <c r="M1309" s="56">
        <v>56.0</v>
      </c>
      <c r="N1309" s="56">
        <v>17.0</v>
      </c>
      <c r="O1309" s="55">
        <v>95.5905511811024</v>
      </c>
      <c r="P1309" s="57">
        <f>L1309+M1309+N1309</f>
        <v>1287</v>
      </c>
    </row>
    <row r="1310" ht="15.0" hidden="1" customHeight="1">
      <c r="A1310" s="45">
        <v>1304.0</v>
      </c>
      <c r="B1310" s="46" t="s">
        <v>24</v>
      </c>
      <c r="C1310" s="46" t="s">
        <v>406</v>
      </c>
      <c r="D1310" s="46" t="s">
        <v>419</v>
      </c>
      <c r="E1310" s="46" t="s">
        <v>421</v>
      </c>
      <c r="F1310" s="47" t="s">
        <v>18</v>
      </c>
      <c r="G1310" s="48">
        <v>307.0</v>
      </c>
      <c r="H1310" s="48">
        <v>18.0</v>
      </c>
      <c r="I1310" s="48">
        <v>6.0</v>
      </c>
      <c r="J1310" s="49">
        <v>94.4615384615385</v>
      </c>
      <c r="K1310" s="49"/>
      <c r="L1310" s="50">
        <v>226.0</v>
      </c>
      <c r="M1310" s="50">
        <v>6.0</v>
      </c>
      <c r="N1310" s="50">
        <v>0.0</v>
      </c>
      <c r="O1310" s="49">
        <v>97.4137931034483</v>
      </c>
      <c r="P1310" s="51"/>
    </row>
    <row r="1311" ht="15.0" hidden="1" customHeight="1">
      <c r="A1311" s="45">
        <v>1305.0</v>
      </c>
      <c r="B1311" s="46" t="s">
        <v>24</v>
      </c>
      <c r="C1311" s="46" t="s">
        <v>406</v>
      </c>
      <c r="D1311" s="46" t="s">
        <v>419</v>
      </c>
      <c r="E1311" s="46" t="s">
        <v>421</v>
      </c>
      <c r="F1311" s="47" t="s">
        <v>19</v>
      </c>
      <c r="G1311" s="48">
        <v>1086.0</v>
      </c>
      <c r="H1311" s="48">
        <v>136.0</v>
      </c>
      <c r="I1311" s="48">
        <v>24.0</v>
      </c>
      <c r="J1311" s="49">
        <v>88.8707037643208</v>
      </c>
      <c r="K1311" s="49"/>
      <c r="L1311" s="50">
        <v>988.0</v>
      </c>
      <c r="M1311" s="50">
        <v>50.0</v>
      </c>
      <c r="N1311" s="50">
        <v>17.0</v>
      </c>
      <c r="O1311" s="49">
        <v>95.1830443159923</v>
      </c>
      <c r="P1311" s="51"/>
    </row>
    <row r="1312" ht="15.0" hidden="1" customHeight="1">
      <c r="A1312" s="39">
        <v>1306.0</v>
      </c>
      <c r="B1312" s="40" t="s">
        <v>22</v>
      </c>
      <c r="C1312" s="59" t="s">
        <v>406</v>
      </c>
      <c r="D1312" s="59" t="s">
        <v>422</v>
      </c>
      <c r="E1312" s="59"/>
      <c r="F1312" s="40" t="s">
        <v>422</v>
      </c>
      <c r="G1312" s="41">
        <v>1435.0</v>
      </c>
      <c r="H1312" s="41">
        <v>224.0</v>
      </c>
      <c r="I1312" s="41">
        <v>18.0</v>
      </c>
      <c r="J1312" s="42">
        <v>86.4978902953586</v>
      </c>
      <c r="K1312" s="42"/>
      <c r="L1312" s="43">
        <v>1168.0</v>
      </c>
      <c r="M1312" s="43">
        <v>88.0</v>
      </c>
      <c r="N1312" s="43">
        <v>22.0</v>
      </c>
      <c r="O1312" s="42">
        <v>92.9936305732484</v>
      </c>
      <c r="P1312" s="44"/>
    </row>
    <row r="1313" ht="15.0" hidden="1" customHeight="1">
      <c r="A1313" s="45">
        <v>1307.0</v>
      </c>
      <c r="B1313" s="46" t="s">
        <v>22</v>
      </c>
      <c r="C1313" s="46" t="s">
        <v>406</v>
      </c>
      <c r="D1313" s="46" t="s">
        <v>422</v>
      </c>
      <c r="E1313" s="46"/>
      <c r="F1313" s="47" t="s">
        <v>18</v>
      </c>
      <c r="G1313" s="48">
        <v>897.0</v>
      </c>
      <c r="H1313" s="48">
        <v>91.0</v>
      </c>
      <c r="I1313" s="48">
        <v>8.0</v>
      </c>
      <c r="J1313" s="49">
        <v>90.7894736842105</v>
      </c>
      <c r="K1313" s="49"/>
      <c r="L1313" s="50">
        <v>748.0</v>
      </c>
      <c r="M1313" s="50">
        <v>16.0</v>
      </c>
      <c r="N1313" s="50">
        <v>9.0</v>
      </c>
      <c r="O1313" s="49">
        <v>97.9057591623037</v>
      </c>
      <c r="P1313" s="51"/>
    </row>
    <row r="1314" ht="15.0" hidden="1" customHeight="1">
      <c r="A1314" s="45">
        <v>1308.0</v>
      </c>
      <c r="B1314" s="46" t="s">
        <v>22</v>
      </c>
      <c r="C1314" s="46" t="s">
        <v>406</v>
      </c>
      <c r="D1314" s="46" t="s">
        <v>422</v>
      </c>
      <c r="E1314" s="46"/>
      <c r="F1314" s="47" t="s">
        <v>19</v>
      </c>
      <c r="G1314" s="48">
        <v>538.0</v>
      </c>
      <c r="H1314" s="48">
        <v>133.0</v>
      </c>
      <c r="I1314" s="48">
        <v>10.0</v>
      </c>
      <c r="J1314" s="49">
        <v>80.1788375558867</v>
      </c>
      <c r="K1314" s="49"/>
      <c r="L1314" s="50">
        <v>420.0</v>
      </c>
      <c r="M1314" s="50">
        <v>72.0</v>
      </c>
      <c r="N1314" s="50">
        <v>13.0</v>
      </c>
      <c r="O1314" s="49">
        <v>85.3658536585366</v>
      </c>
      <c r="P1314" s="51"/>
    </row>
    <row r="1315" ht="15.0" customHeight="1">
      <c r="A1315" s="52">
        <v>1309.0</v>
      </c>
      <c r="B1315" s="53" t="s">
        <v>24</v>
      </c>
      <c r="C1315" s="60" t="s">
        <v>406</v>
      </c>
      <c r="D1315" s="60" t="s">
        <v>422</v>
      </c>
      <c r="E1315" s="60" t="s">
        <v>423</v>
      </c>
      <c r="F1315" s="61" t="s">
        <v>423</v>
      </c>
      <c r="G1315" s="54">
        <v>697.0</v>
      </c>
      <c r="H1315" s="54">
        <v>143.0</v>
      </c>
      <c r="I1315" s="54">
        <v>12.0</v>
      </c>
      <c r="J1315" s="55">
        <v>82.9761904761905</v>
      </c>
      <c r="K1315" s="55">
        <f>G1315+H1315+I1315</f>
        <v>852</v>
      </c>
      <c r="L1315" s="56">
        <v>602.0</v>
      </c>
      <c r="M1315" s="56">
        <v>55.0</v>
      </c>
      <c r="N1315" s="56">
        <v>12.0</v>
      </c>
      <c r="O1315" s="55">
        <v>91.6286149162861</v>
      </c>
      <c r="P1315" s="57">
        <f>L1315+M1315+N1315</f>
        <v>669</v>
      </c>
    </row>
    <row r="1316" ht="15.0" hidden="1" customHeight="1">
      <c r="A1316" s="45">
        <v>1310.0</v>
      </c>
      <c r="B1316" s="46" t="s">
        <v>24</v>
      </c>
      <c r="C1316" s="46" t="s">
        <v>406</v>
      </c>
      <c r="D1316" s="46" t="s">
        <v>422</v>
      </c>
      <c r="E1316" s="46" t="s">
        <v>423</v>
      </c>
      <c r="F1316" s="47" t="s">
        <v>18</v>
      </c>
      <c r="G1316" s="48">
        <v>456.0</v>
      </c>
      <c r="H1316" s="48">
        <v>67.0</v>
      </c>
      <c r="I1316" s="48">
        <v>7.0</v>
      </c>
      <c r="J1316" s="49">
        <v>87.189292543021</v>
      </c>
      <c r="K1316" s="49"/>
      <c r="L1316" s="50">
        <v>423.0</v>
      </c>
      <c r="M1316" s="50">
        <v>9.0</v>
      </c>
      <c r="N1316" s="50">
        <v>6.0</v>
      </c>
      <c r="O1316" s="49">
        <v>97.9166666666667</v>
      </c>
      <c r="P1316" s="51"/>
    </row>
    <row r="1317" ht="15.0" hidden="1" customHeight="1">
      <c r="A1317" s="45">
        <v>1311.0</v>
      </c>
      <c r="B1317" s="46" t="s">
        <v>24</v>
      </c>
      <c r="C1317" s="46" t="s">
        <v>406</v>
      </c>
      <c r="D1317" s="46" t="s">
        <v>422</v>
      </c>
      <c r="E1317" s="46" t="s">
        <v>423</v>
      </c>
      <c r="F1317" s="47" t="s">
        <v>19</v>
      </c>
      <c r="G1317" s="48">
        <v>241.0</v>
      </c>
      <c r="H1317" s="48">
        <v>76.0</v>
      </c>
      <c r="I1317" s="48">
        <v>5.0</v>
      </c>
      <c r="J1317" s="49">
        <v>76.0252365930599</v>
      </c>
      <c r="K1317" s="49"/>
      <c r="L1317" s="50">
        <v>179.0</v>
      </c>
      <c r="M1317" s="50">
        <v>46.0</v>
      </c>
      <c r="N1317" s="50">
        <v>6.0</v>
      </c>
      <c r="O1317" s="49">
        <v>79.5555555555556</v>
      </c>
      <c r="P1317" s="51"/>
    </row>
    <row r="1318" ht="15.0" customHeight="1">
      <c r="A1318" s="52">
        <v>1312.0</v>
      </c>
      <c r="B1318" s="53" t="s">
        <v>24</v>
      </c>
      <c r="C1318" s="60" t="s">
        <v>406</v>
      </c>
      <c r="D1318" s="60" t="s">
        <v>422</v>
      </c>
      <c r="E1318" s="60" t="s">
        <v>392</v>
      </c>
      <c r="F1318" s="61" t="s">
        <v>392</v>
      </c>
      <c r="G1318" s="54">
        <v>622.0</v>
      </c>
      <c r="H1318" s="54">
        <v>57.0</v>
      </c>
      <c r="I1318" s="54">
        <v>5.0</v>
      </c>
      <c r="J1318" s="55">
        <v>91.6053019145803</v>
      </c>
      <c r="K1318" s="55">
        <f>G1318+H1318+I1318</f>
        <v>684</v>
      </c>
      <c r="L1318" s="56">
        <v>468.0</v>
      </c>
      <c r="M1318" s="56">
        <v>18.0</v>
      </c>
      <c r="N1318" s="56">
        <v>9.0</v>
      </c>
      <c r="O1318" s="55">
        <v>96.2962962962963</v>
      </c>
      <c r="P1318" s="57">
        <f>L1318+M1318+N1318</f>
        <v>495</v>
      </c>
    </row>
    <row r="1319" ht="15.0" hidden="1" customHeight="1">
      <c r="A1319" s="45">
        <v>1313.0</v>
      </c>
      <c r="B1319" s="46" t="s">
        <v>24</v>
      </c>
      <c r="C1319" s="46" t="s">
        <v>406</v>
      </c>
      <c r="D1319" s="46" t="s">
        <v>422</v>
      </c>
      <c r="E1319" s="46" t="s">
        <v>392</v>
      </c>
      <c r="F1319" s="47" t="s">
        <v>18</v>
      </c>
      <c r="G1319" s="48">
        <v>441.0</v>
      </c>
      <c r="H1319" s="48">
        <v>24.0</v>
      </c>
      <c r="I1319" s="48">
        <v>1.0</v>
      </c>
      <c r="J1319" s="49">
        <v>94.8387096774194</v>
      </c>
      <c r="K1319" s="49"/>
      <c r="L1319" s="50">
        <v>325.0</v>
      </c>
      <c r="M1319" s="50">
        <v>7.0</v>
      </c>
      <c r="N1319" s="50">
        <v>3.0</v>
      </c>
      <c r="O1319" s="49">
        <v>97.8915662650602</v>
      </c>
      <c r="P1319" s="51"/>
    </row>
    <row r="1320" ht="15.0" hidden="1" customHeight="1">
      <c r="A1320" s="45">
        <v>1314.0</v>
      </c>
      <c r="B1320" s="46" t="s">
        <v>24</v>
      </c>
      <c r="C1320" s="46" t="s">
        <v>406</v>
      </c>
      <c r="D1320" s="46" t="s">
        <v>422</v>
      </c>
      <c r="E1320" s="46" t="s">
        <v>392</v>
      </c>
      <c r="F1320" s="47" t="s">
        <v>19</v>
      </c>
      <c r="G1320" s="48">
        <v>181.0</v>
      </c>
      <c r="H1320" s="48">
        <v>33.0</v>
      </c>
      <c r="I1320" s="48">
        <v>4.0</v>
      </c>
      <c r="J1320" s="49">
        <v>84.5794392523365</v>
      </c>
      <c r="K1320" s="49"/>
      <c r="L1320" s="50">
        <v>143.0</v>
      </c>
      <c r="M1320" s="50">
        <v>11.0</v>
      </c>
      <c r="N1320" s="50">
        <v>6.0</v>
      </c>
      <c r="O1320" s="49">
        <v>92.8571428571429</v>
      </c>
      <c r="P1320" s="51"/>
    </row>
    <row r="1321" ht="15.0" customHeight="1">
      <c r="A1321" s="52">
        <v>1315.0</v>
      </c>
      <c r="B1321" s="53" t="s">
        <v>24</v>
      </c>
      <c r="C1321" s="60" t="s">
        <v>406</v>
      </c>
      <c r="D1321" s="60" t="s">
        <v>422</v>
      </c>
      <c r="E1321" s="60" t="s">
        <v>424</v>
      </c>
      <c r="F1321" s="61" t="s">
        <v>424</v>
      </c>
      <c r="G1321" s="54">
        <v>116.0</v>
      </c>
      <c r="H1321" s="54">
        <v>24.0</v>
      </c>
      <c r="I1321" s="54">
        <v>1.0</v>
      </c>
      <c r="J1321" s="55">
        <v>82.8571428571429</v>
      </c>
      <c r="K1321" s="55">
        <f>G1321+H1321+I1321</f>
        <v>141</v>
      </c>
      <c r="L1321" s="56">
        <v>98.0</v>
      </c>
      <c r="M1321" s="56">
        <v>15.0</v>
      </c>
      <c r="N1321" s="56">
        <v>1.0</v>
      </c>
      <c r="O1321" s="55">
        <v>86.7256637168142</v>
      </c>
      <c r="P1321" s="57">
        <f>L1321+M1321+N1321</f>
        <v>114</v>
      </c>
    </row>
    <row r="1322" ht="15.0" hidden="1" customHeight="1">
      <c r="A1322" s="45">
        <v>1316.0</v>
      </c>
      <c r="B1322" s="46" t="s">
        <v>24</v>
      </c>
      <c r="C1322" s="46" t="s">
        <v>406</v>
      </c>
      <c r="D1322" s="46" t="s">
        <v>422</v>
      </c>
      <c r="E1322" s="46" t="s">
        <v>424</v>
      </c>
      <c r="F1322" s="47" t="s">
        <v>18</v>
      </c>
      <c r="G1322" s="48"/>
      <c r="H1322" s="48"/>
      <c r="I1322" s="48"/>
      <c r="J1322" s="49"/>
      <c r="K1322" s="49"/>
      <c r="L1322" s="50"/>
      <c r="M1322" s="50"/>
      <c r="N1322" s="50"/>
      <c r="O1322" s="49"/>
      <c r="P1322" s="51"/>
    </row>
    <row r="1323" ht="15.0" hidden="1" customHeight="1">
      <c r="A1323" s="45">
        <v>1317.0</v>
      </c>
      <c r="B1323" s="46" t="s">
        <v>24</v>
      </c>
      <c r="C1323" s="46" t="s">
        <v>406</v>
      </c>
      <c r="D1323" s="46" t="s">
        <v>422</v>
      </c>
      <c r="E1323" s="46" t="s">
        <v>424</v>
      </c>
      <c r="F1323" s="47" t="s">
        <v>19</v>
      </c>
      <c r="G1323" s="48">
        <v>116.0</v>
      </c>
      <c r="H1323" s="48">
        <v>24.0</v>
      </c>
      <c r="I1323" s="48">
        <v>1.0</v>
      </c>
      <c r="J1323" s="49">
        <v>82.8571428571429</v>
      </c>
      <c r="K1323" s="49"/>
      <c r="L1323" s="50">
        <v>98.0</v>
      </c>
      <c r="M1323" s="50">
        <v>15.0</v>
      </c>
      <c r="N1323" s="50">
        <v>1.0</v>
      </c>
      <c r="O1323" s="49">
        <v>86.7256637168142</v>
      </c>
      <c r="P1323" s="51"/>
    </row>
    <row r="1324" ht="15.0" hidden="1" customHeight="1">
      <c r="A1324" s="39">
        <v>1318.0</v>
      </c>
      <c r="B1324" s="40" t="s">
        <v>22</v>
      </c>
      <c r="C1324" s="59" t="s">
        <v>406</v>
      </c>
      <c r="D1324" s="59" t="s">
        <v>425</v>
      </c>
      <c r="E1324" s="59"/>
      <c r="F1324" s="40" t="s">
        <v>425</v>
      </c>
      <c r="G1324" s="41">
        <v>2280.0</v>
      </c>
      <c r="H1324" s="41">
        <v>327.0</v>
      </c>
      <c r="I1324" s="41">
        <v>27.0</v>
      </c>
      <c r="J1324" s="42">
        <v>87.4568469505178</v>
      </c>
      <c r="K1324" s="42"/>
      <c r="L1324" s="43">
        <v>2046.0</v>
      </c>
      <c r="M1324" s="43">
        <v>86.0</v>
      </c>
      <c r="N1324" s="43">
        <v>28.0</v>
      </c>
      <c r="O1324" s="42">
        <v>95.9662288930582</v>
      </c>
      <c r="P1324" s="44"/>
    </row>
    <row r="1325" ht="15.0" hidden="1" customHeight="1">
      <c r="A1325" s="45">
        <v>1319.0</v>
      </c>
      <c r="B1325" s="46" t="s">
        <v>22</v>
      </c>
      <c r="C1325" s="46" t="s">
        <v>406</v>
      </c>
      <c r="D1325" s="46" t="s">
        <v>425</v>
      </c>
      <c r="E1325" s="46"/>
      <c r="F1325" s="47" t="s">
        <v>18</v>
      </c>
      <c r="G1325" s="48">
        <v>1370.0</v>
      </c>
      <c r="H1325" s="48">
        <v>134.0</v>
      </c>
      <c r="I1325" s="48">
        <v>15.0</v>
      </c>
      <c r="J1325" s="49">
        <v>91.0904255319149</v>
      </c>
      <c r="K1325" s="49"/>
      <c r="L1325" s="50">
        <v>1254.0</v>
      </c>
      <c r="M1325" s="50">
        <v>24.0</v>
      </c>
      <c r="N1325" s="50">
        <v>12.0</v>
      </c>
      <c r="O1325" s="49">
        <v>98.1220657276995</v>
      </c>
      <c r="P1325" s="51"/>
    </row>
    <row r="1326" ht="15.0" hidden="1" customHeight="1">
      <c r="A1326" s="45">
        <v>1320.0</v>
      </c>
      <c r="B1326" s="46" t="s">
        <v>22</v>
      </c>
      <c r="C1326" s="46" t="s">
        <v>406</v>
      </c>
      <c r="D1326" s="46" t="s">
        <v>425</v>
      </c>
      <c r="E1326" s="46"/>
      <c r="F1326" s="47" t="s">
        <v>19</v>
      </c>
      <c r="G1326" s="48">
        <v>910.0</v>
      </c>
      <c r="H1326" s="48">
        <v>193.0</v>
      </c>
      <c r="I1326" s="48">
        <v>12.0</v>
      </c>
      <c r="J1326" s="49">
        <v>82.5022665457842</v>
      </c>
      <c r="K1326" s="49"/>
      <c r="L1326" s="50">
        <v>792.0</v>
      </c>
      <c r="M1326" s="50">
        <v>62.0</v>
      </c>
      <c r="N1326" s="50">
        <v>16.0</v>
      </c>
      <c r="O1326" s="49">
        <v>92.7400468384075</v>
      </c>
      <c r="P1326" s="51"/>
    </row>
    <row r="1327" ht="15.0" customHeight="1">
      <c r="A1327" s="52">
        <v>1321.0</v>
      </c>
      <c r="B1327" s="53" t="s">
        <v>24</v>
      </c>
      <c r="C1327" s="60" t="s">
        <v>406</v>
      </c>
      <c r="D1327" s="60" t="s">
        <v>425</v>
      </c>
      <c r="E1327" s="60" t="s">
        <v>426</v>
      </c>
      <c r="F1327" s="61" t="s">
        <v>426</v>
      </c>
      <c r="G1327" s="54">
        <v>1239.0</v>
      </c>
      <c r="H1327" s="54">
        <v>210.0</v>
      </c>
      <c r="I1327" s="54">
        <v>17.0</v>
      </c>
      <c r="J1327" s="55">
        <v>85.5072463768116</v>
      </c>
      <c r="K1327" s="55">
        <f>G1327+H1327+I1327</f>
        <v>1466</v>
      </c>
      <c r="L1327" s="56">
        <v>1202.0</v>
      </c>
      <c r="M1327" s="56">
        <v>27.0</v>
      </c>
      <c r="N1327" s="56">
        <v>15.0</v>
      </c>
      <c r="O1327" s="55">
        <v>97.8030919446705</v>
      </c>
      <c r="P1327" s="57">
        <f>L1327+M1327+N1327</f>
        <v>1244</v>
      </c>
    </row>
    <row r="1328" ht="15.0" hidden="1" customHeight="1">
      <c r="A1328" s="45">
        <v>1322.0</v>
      </c>
      <c r="B1328" s="46" t="s">
        <v>24</v>
      </c>
      <c r="C1328" s="46" t="s">
        <v>406</v>
      </c>
      <c r="D1328" s="46" t="s">
        <v>425</v>
      </c>
      <c r="E1328" s="46" t="s">
        <v>426</v>
      </c>
      <c r="F1328" s="47" t="s">
        <v>18</v>
      </c>
      <c r="G1328" s="48">
        <v>879.0</v>
      </c>
      <c r="H1328" s="48">
        <v>117.0</v>
      </c>
      <c r="I1328" s="48">
        <v>14.0</v>
      </c>
      <c r="J1328" s="49">
        <v>88.2530120481928</v>
      </c>
      <c r="K1328" s="49"/>
      <c r="L1328" s="50">
        <v>937.0</v>
      </c>
      <c r="M1328" s="50">
        <v>12.0</v>
      </c>
      <c r="N1328" s="50">
        <v>9.0</v>
      </c>
      <c r="O1328" s="49">
        <v>98.7355110642782</v>
      </c>
      <c r="P1328" s="51"/>
    </row>
    <row r="1329" ht="15.0" hidden="1" customHeight="1">
      <c r="A1329" s="45">
        <v>1323.0</v>
      </c>
      <c r="B1329" s="46" t="s">
        <v>24</v>
      </c>
      <c r="C1329" s="46" t="s">
        <v>406</v>
      </c>
      <c r="D1329" s="46" t="s">
        <v>425</v>
      </c>
      <c r="E1329" s="46" t="s">
        <v>426</v>
      </c>
      <c r="F1329" s="47" t="s">
        <v>19</v>
      </c>
      <c r="G1329" s="48">
        <v>360.0</v>
      </c>
      <c r="H1329" s="48">
        <v>93.0</v>
      </c>
      <c r="I1329" s="48">
        <v>3.0</v>
      </c>
      <c r="J1329" s="49">
        <v>79.4701986754967</v>
      </c>
      <c r="K1329" s="49"/>
      <c r="L1329" s="50">
        <v>265.0</v>
      </c>
      <c r="M1329" s="50">
        <v>15.0</v>
      </c>
      <c r="N1329" s="50">
        <v>6.0</v>
      </c>
      <c r="O1329" s="49">
        <v>94.6428571428571</v>
      </c>
      <c r="P1329" s="51"/>
    </row>
    <row r="1330" ht="15.0" customHeight="1">
      <c r="A1330" s="52">
        <v>1324.0</v>
      </c>
      <c r="B1330" s="53" t="s">
        <v>24</v>
      </c>
      <c r="C1330" s="60" t="s">
        <v>406</v>
      </c>
      <c r="D1330" s="60" t="s">
        <v>425</v>
      </c>
      <c r="E1330" s="60" t="s">
        <v>427</v>
      </c>
      <c r="F1330" s="61" t="s">
        <v>427</v>
      </c>
      <c r="G1330" s="54">
        <v>581.0</v>
      </c>
      <c r="H1330" s="54">
        <v>76.0</v>
      </c>
      <c r="I1330" s="54">
        <v>3.0</v>
      </c>
      <c r="J1330" s="55">
        <v>88.4322678843227</v>
      </c>
      <c r="K1330" s="55">
        <f>G1330+H1330+I1330</f>
        <v>660</v>
      </c>
      <c r="L1330" s="56">
        <v>478.0</v>
      </c>
      <c r="M1330" s="56">
        <v>36.0</v>
      </c>
      <c r="N1330" s="56">
        <v>8.0</v>
      </c>
      <c r="O1330" s="55">
        <v>92.9961089494163</v>
      </c>
      <c r="P1330" s="57">
        <f>L1330+M1330+N1330</f>
        <v>522</v>
      </c>
    </row>
    <row r="1331" ht="15.0" hidden="1" customHeight="1">
      <c r="A1331" s="45">
        <v>1325.0</v>
      </c>
      <c r="B1331" s="46" t="s">
        <v>24</v>
      </c>
      <c r="C1331" s="46" t="s">
        <v>406</v>
      </c>
      <c r="D1331" s="46" t="s">
        <v>425</v>
      </c>
      <c r="E1331" s="46" t="s">
        <v>427</v>
      </c>
      <c r="F1331" s="47" t="s">
        <v>18</v>
      </c>
      <c r="G1331" s="48">
        <v>246.0</v>
      </c>
      <c r="H1331" s="48">
        <v>4.0</v>
      </c>
      <c r="I1331" s="48">
        <v>0.0</v>
      </c>
      <c r="J1331" s="49">
        <v>98.4</v>
      </c>
      <c r="K1331" s="49"/>
      <c r="L1331" s="50">
        <v>154.0</v>
      </c>
      <c r="M1331" s="50">
        <v>2.0</v>
      </c>
      <c r="N1331" s="50">
        <v>2.0</v>
      </c>
      <c r="O1331" s="49">
        <v>98.7179487179487</v>
      </c>
      <c r="P1331" s="51"/>
    </row>
    <row r="1332" ht="15.0" hidden="1" customHeight="1">
      <c r="A1332" s="45">
        <v>1326.0</v>
      </c>
      <c r="B1332" s="46" t="s">
        <v>24</v>
      </c>
      <c r="C1332" s="46" t="s">
        <v>406</v>
      </c>
      <c r="D1332" s="46" t="s">
        <v>425</v>
      </c>
      <c r="E1332" s="46" t="s">
        <v>427</v>
      </c>
      <c r="F1332" s="47" t="s">
        <v>19</v>
      </c>
      <c r="G1332" s="48">
        <v>335.0</v>
      </c>
      <c r="H1332" s="48">
        <v>72.0</v>
      </c>
      <c r="I1332" s="48">
        <v>3.0</v>
      </c>
      <c r="J1332" s="49">
        <v>82.3095823095823</v>
      </c>
      <c r="K1332" s="49"/>
      <c r="L1332" s="50">
        <v>324.0</v>
      </c>
      <c r="M1332" s="50">
        <v>34.0</v>
      </c>
      <c r="N1332" s="50">
        <v>6.0</v>
      </c>
      <c r="O1332" s="49">
        <v>90.5027932960894</v>
      </c>
      <c r="P1332" s="51"/>
    </row>
    <row r="1333" ht="15.0" customHeight="1">
      <c r="A1333" s="52">
        <v>1327.0</v>
      </c>
      <c r="B1333" s="53" t="s">
        <v>24</v>
      </c>
      <c r="C1333" s="60" t="s">
        <v>406</v>
      </c>
      <c r="D1333" s="60" t="s">
        <v>425</v>
      </c>
      <c r="E1333" s="60" t="s">
        <v>428</v>
      </c>
      <c r="F1333" s="61" t="s">
        <v>428</v>
      </c>
      <c r="G1333" s="54">
        <v>460.0</v>
      </c>
      <c r="H1333" s="54">
        <v>41.0</v>
      </c>
      <c r="I1333" s="54">
        <v>7.0</v>
      </c>
      <c r="J1333" s="55">
        <v>91.8163672654691</v>
      </c>
      <c r="K1333" s="55">
        <f>G1333+H1333+I1333</f>
        <v>508</v>
      </c>
      <c r="L1333" s="56">
        <v>366.0</v>
      </c>
      <c r="M1333" s="56">
        <v>23.0</v>
      </c>
      <c r="N1333" s="56">
        <v>5.0</v>
      </c>
      <c r="O1333" s="55">
        <v>94.0874035989717</v>
      </c>
      <c r="P1333" s="57">
        <f>L1333+M1333+N1333</f>
        <v>394</v>
      </c>
    </row>
    <row r="1334" ht="15.0" hidden="1" customHeight="1">
      <c r="A1334" s="45">
        <v>1328.0</v>
      </c>
      <c r="B1334" s="46" t="s">
        <v>24</v>
      </c>
      <c r="C1334" s="46" t="s">
        <v>406</v>
      </c>
      <c r="D1334" s="46" t="s">
        <v>425</v>
      </c>
      <c r="E1334" s="46" t="s">
        <v>428</v>
      </c>
      <c r="F1334" s="47" t="s">
        <v>18</v>
      </c>
      <c r="G1334" s="48">
        <v>245.0</v>
      </c>
      <c r="H1334" s="48">
        <v>13.0</v>
      </c>
      <c r="I1334" s="48">
        <v>1.0</v>
      </c>
      <c r="J1334" s="49">
        <v>94.9612403100775</v>
      </c>
      <c r="K1334" s="49"/>
      <c r="L1334" s="50">
        <v>163.0</v>
      </c>
      <c r="M1334" s="50">
        <v>10.0</v>
      </c>
      <c r="N1334" s="50">
        <v>1.0</v>
      </c>
      <c r="O1334" s="49">
        <v>94.2196531791908</v>
      </c>
      <c r="P1334" s="51"/>
    </row>
    <row r="1335" ht="15.0" hidden="1" customHeight="1">
      <c r="A1335" s="45">
        <v>1329.0</v>
      </c>
      <c r="B1335" s="46" t="s">
        <v>24</v>
      </c>
      <c r="C1335" s="46" t="s">
        <v>406</v>
      </c>
      <c r="D1335" s="46" t="s">
        <v>425</v>
      </c>
      <c r="E1335" s="46" t="s">
        <v>428</v>
      </c>
      <c r="F1335" s="47" t="s">
        <v>19</v>
      </c>
      <c r="G1335" s="48">
        <v>215.0</v>
      </c>
      <c r="H1335" s="48">
        <v>28.0</v>
      </c>
      <c r="I1335" s="48">
        <v>6.0</v>
      </c>
      <c r="J1335" s="49">
        <v>88.477366255144</v>
      </c>
      <c r="K1335" s="49"/>
      <c r="L1335" s="50">
        <v>203.0</v>
      </c>
      <c r="M1335" s="50">
        <v>13.0</v>
      </c>
      <c r="N1335" s="50">
        <v>4.0</v>
      </c>
      <c r="O1335" s="49">
        <v>93.9814814814815</v>
      </c>
      <c r="P1335" s="51"/>
    </row>
    <row r="1336" ht="15.0" hidden="1" customHeight="1">
      <c r="A1336" s="39">
        <v>1330.0</v>
      </c>
      <c r="B1336" s="40" t="s">
        <v>22</v>
      </c>
      <c r="C1336" s="59" t="s">
        <v>406</v>
      </c>
      <c r="D1336" s="59" t="s">
        <v>429</v>
      </c>
      <c r="E1336" s="59"/>
      <c r="F1336" s="40" t="s">
        <v>429</v>
      </c>
      <c r="G1336" s="41">
        <v>412.0</v>
      </c>
      <c r="H1336" s="41">
        <v>111.0</v>
      </c>
      <c r="I1336" s="41">
        <v>5.0</v>
      </c>
      <c r="J1336" s="42">
        <v>78.7762906309751</v>
      </c>
      <c r="K1336" s="42"/>
      <c r="L1336" s="43">
        <v>491.0</v>
      </c>
      <c r="M1336" s="43">
        <v>71.0</v>
      </c>
      <c r="N1336" s="43">
        <v>11.0</v>
      </c>
      <c r="O1336" s="42">
        <v>87.3665480427046</v>
      </c>
      <c r="P1336" s="44"/>
    </row>
    <row r="1337" ht="15.0" hidden="1" customHeight="1">
      <c r="A1337" s="45">
        <v>1331.0</v>
      </c>
      <c r="B1337" s="46" t="s">
        <v>22</v>
      </c>
      <c r="C1337" s="46" t="s">
        <v>406</v>
      </c>
      <c r="D1337" s="46" t="s">
        <v>429</v>
      </c>
      <c r="E1337" s="46"/>
      <c r="F1337" s="47" t="s">
        <v>18</v>
      </c>
      <c r="G1337" s="48"/>
      <c r="H1337" s="48"/>
      <c r="I1337" s="48"/>
      <c r="J1337" s="49"/>
      <c r="K1337" s="49"/>
      <c r="L1337" s="50"/>
      <c r="M1337" s="50"/>
      <c r="N1337" s="50"/>
      <c r="O1337" s="49"/>
      <c r="P1337" s="51"/>
    </row>
    <row r="1338" ht="15.0" hidden="1" customHeight="1">
      <c r="A1338" s="45">
        <v>1332.0</v>
      </c>
      <c r="B1338" s="46" t="s">
        <v>22</v>
      </c>
      <c r="C1338" s="46" t="s">
        <v>406</v>
      </c>
      <c r="D1338" s="46" t="s">
        <v>429</v>
      </c>
      <c r="E1338" s="46"/>
      <c r="F1338" s="47" t="s">
        <v>19</v>
      </c>
      <c r="G1338" s="48">
        <v>412.0</v>
      </c>
      <c r="H1338" s="48">
        <v>111.0</v>
      </c>
      <c r="I1338" s="48">
        <v>5.0</v>
      </c>
      <c r="J1338" s="49">
        <v>78.7762906309751</v>
      </c>
      <c r="K1338" s="49"/>
      <c r="L1338" s="50">
        <v>491.0</v>
      </c>
      <c r="M1338" s="50">
        <v>71.0</v>
      </c>
      <c r="N1338" s="50">
        <v>11.0</v>
      </c>
      <c r="O1338" s="49">
        <v>87.3665480427046</v>
      </c>
      <c r="P1338" s="51"/>
    </row>
    <row r="1339" ht="15.0" customHeight="1">
      <c r="A1339" s="52">
        <v>1333.0</v>
      </c>
      <c r="B1339" s="53" t="s">
        <v>24</v>
      </c>
      <c r="C1339" s="60" t="s">
        <v>406</v>
      </c>
      <c r="D1339" s="60" t="s">
        <v>429</v>
      </c>
      <c r="E1339" s="60" t="s">
        <v>430</v>
      </c>
      <c r="F1339" s="61" t="s">
        <v>430</v>
      </c>
      <c r="G1339" s="54">
        <v>412.0</v>
      </c>
      <c r="H1339" s="54">
        <v>111.0</v>
      </c>
      <c r="I1339" s="54">
        <v>5.0</v>
      </c>
      <c r="J1339" s="55">
        <v>78.7762906309751</v>
      </c>
      <c r="K1339" s="55">
        <f>G1339+H1339+I1339</f>
        <v>528</v>
      </c>
      <c r="L1339" s="56">
        <v>491.0</v>
      </c>
      <c r="M1339" s="56">
        <v>71.0</v>
      </c>
      <c r="N1339" s="56">
        <v>11.0</v>
      </c>
      <c r="O1339" s="55">
        <v>87.3665480427046</v>
      </c>
      <c r="P1339" s="57">
        <f>L1339+M1339+N1339</f>
        <v>573</v>
      </c>
    </row>
    <row r="1340" ht="15.0" hidden="1" customHeight="1">
      <c r="A1340" s="45">
        <v>1334.0</v>
      </c>
      <c r="B1340" s="46" t="s">
        <v>24</v>
      </c>
      <c r="C1340" s="46" t="s">
        <v>406</v>
      </c>
      <c r="D1340" s="46" t="s">
        <v>429</v>
      </c>
      <c r="E1340" s="46" t="s">
        <v>430</v>
      </c>
      <c r="F1340" s="47" t="s">
        <v>18</v>
      </c>
      <c r="G1340" s="48"/>
      <c r="H1340" s="48"/>
      <c r="I1340" s="48"/>
      <c r="J1340" s="49"/>
      <c r="K1340" s="49"/>
      <c r="L1340" s="50"/>
      <c r="M1340" s="50"/>
      <c r="N1340" s="50"/>
      <c r="O1340" s="49"/>
      <c r="P1340" s="51"/>
    </row>
    <row r="1341" ht="15.0" hidden="1" customHeight="1">
      <c r="A1341" s="45">
        <v>1335.0</v>
      </c>
      <c r="B1341" s="46" t="s">
        <v>24</v>
      </c>
      <c r="C1341" s="46" t="s">
        <v>406</v>
      </c>
      <c r="D1341" s="46" t="s">
        <v>429</v>
      </c>
      <c r="E1341" s="46" t="s">
        <v>430</v>
      </c>
      <c r="F1341" s="47" t="s">
        <v>19</v>
      </c>
      <c r="G1341" s="48">
        <v>412.0</v>
      </c>
      <c r="H1341" s="48">
        <v>111.0</v>
      </c>
      <c r="I1341" s="48">
        <v>5.0</v>
      </c>
      <c r="J1341" s="49">
        <v>78.7762906309751</v>
      </c>
      <c r="K1341" s="49"/>
      <c r="L1341" s="50">
        <v>491.0</v>
      </c>
      <c r="M1341" s="50">
        <v>71.0</v>
      </c>
      <c r="N1341" s="50">
        <v>11.0</v>
      </c>
      <c r="O1341" s="49">
        <v>87.3665480427046</v>
      </c>
      <c r="P1341" s="51"/>
    </row>
    <row r="1342" ht="15.0" hidden="1" customHeight="1">
      <c r="A1342" s="27">
        <v>1336.0</v>
      </c>
      <c r="B1342" s="28" t="s">
        <v>20</v>
      </c>
      <c r="C1342" s="28" t="s">
        <v>431</v>
      </c>
      <c r="D1342" s="28"/>
      <c r="E1342" s="28"/>
      <c r="F1342" s="28" t="s">
        <v>431</v>
      </c>
      <c r="G1342" s="29">
        <v>13063.0</v>
      </c>
      <c r="H1342" s="29">
        <v>1747.0</v>
      </c>
      <c r="I1342" s="29">
        <v>137.0</v>
      </c>
      <c r="J1342" s="30">
        <v>88.2039162727886</v>
      </c>
      <c r="K1342" s="30">
        <f>G1342+H1342+I1342</f>
        <v>14947</v>
      </c>
      <c r="L1342" s="31">
        <v>11685.0</v>
      </c>
      <c r="M1342" s="31">
        <v>407.0</v>
      </c>
      <c r="N1342" s="31">
        <v>89.0</v>
      </c>
      <c r="O1342" s="30">
        <v>96.6341382732385</v>
      </c>
      <c r="P1342" s="32">
        <f>L1342+M1342+N1342</f>
        <v>12181</v>
      </c>
    </row>
    <row r="1343" ht="15.0" hidden="1" customHeight="1">
      <c r="A1343" s="33">
        <v>1337.0</v>
      </c>
      <c r="B1343" s="34" t="s">
        <v>20</v>
      </c>
      <c r="C1343" s="58" t="s">
        <v>431</v>
      </c>
      <c r="D1343" s="58"/>
      <c r="E1343" s="58"/>
      <c r="F1343" s="34" t="s">
        <v>18</v>
      </c>
      <c r="G1343" s="35">
        <v>6262.0</v>
      </c>
      <c r="H1343" s="35">
        <v>494.0</v>
      </c>
      <c r="I1343" s="35">
        <v>65.0</v>
      </c>
      <c r="J1343" s="36">
        <v>92.687981053878</v>
      </c>
      <c r="K1343" s="36"/>
      <c r="L1343" s="37">
        <v>5333.0</v>
      </c>
      <c r="M1343" s="37">
        <v>109.0</v>
      </c>
      <c r="N1343" s="37">
        <v>27.0</v>
      </c>
      <c r="O1343" s="36">
        <v>97.9970599044469</v>
      </c>
      <c r="P1343" s="38"/>
    </row>
    <row r="1344" ht="15.0" hidden="1" customHeight="1">
      <c r="A1344" s="33">
        <v>1338.0</v>
      </c>
      <c r="B1344" s="34" t="s">
        <v>20</v>
      </c>
      <c r="C1344" s="58" t="s">
        <v>431</v>
      </c>
      <c r="D1344" s="58"/>
      <c r="E1344" s="58"/>
      <c r="F1344" s="34" t="s">
        <v>19</v>
      </c>
      <c r="G1344" s="35">
        <v>6801.0</v>
      </c>
      <c r="H1344" s="35">
        <v>1253.0</v>
      </c>
      <c r="I1344" s="35">
        <v>72.0</v>
      </c>
      <c r="J1344" s="36">
        <v>84.4425130370002</v>
      </c>
      <c r="K1344" s="36"/>
      <c r="L1344" s="37">
        <v>6352.0</v>
      </c>
      <c r="M1344" s="37">
        <v>298.0</v>
      </c>
      <c r="N1344" s="37">
        <v>62.0</v>
      </c>
      <c r="O1344" s="36">
        <v>95.5187969924812</v>
      </c>
      <c r="P1344" s="38"/>
    </row>
    <row r="1345" ht="15.0" hidden="1" customHeight="1">
      <c r="A1345" s="39">
        <v>1339.0</v>
      </c>
      <c r="B1345" s="40" t="s">
        <v>22</v>
      </c>
      <c r="C1345" s="59" t="s">
        <v>431</v>
      </c>
      <c r="D1345" s="59" t="s">
        <v>432</v>
      </c>
      <c r="E1345" s="59"/>
      <c r="F1345" s="40" t="s">
        <v>432</v>
      </c>
      <c r="G1345" s="41">
        <v>6876.0</v>
      </c>
      <c r="H1345" s="41">
        <v>608.0</v>
      </c>
      <c r="I1345" s="41">
        <v>70.0</v>
      </c>
      <c r="J1345" s="42">
        <v>91.8760021378942</v>
      </c>
      <c r="K1345" s="42"/>
      <c r="L1345" s="43">
        <v>5202.0</v>
      </c>
      <c r="M1345" s="43">
        <v>139.0</v>
      </c>
      <c r="N1345" s="43">
        <v>30.0</v>
      </c>
      <c r="O1345" s="42">
        <v>97.3974911065344</v>
      </c>
      <c r="P1345" s="44"/>
    </row>
    <row r="1346" ht="15.0" hidden="1" customHeight="1">
      <c r="A1346" s="45">
        <v>1340.0</v>
      </c>
      <c r="B1346" s="46" t="s">
        <v>22</v>
      </c>
      <c r="C1346" s="46" t="s">
        <v>431</v>
      </c>
      <c r="D1346" s="46" t="s">
        <v>432</v>
      </c>
      <c r="E1346" s="46"/>
      <c r="F1346" s="47" t="s">
        <v>18</v>
      </c>
      <c r="G1346" s="48">
        <v>5657.0</v>
      </c>
      <c r="H1346" s="48">
        <v>396.0</v>
      </c>
      <c r="I1346" s="48">
        <v>56.0</v>
      </c>
      <c r="J1346" s="49">
        <v>93.4577895258549</v>
      </c>
      <c r="K1346" s="49"/>
      <c r="L1346" s="50">
        <v>4449.0</v>
      </c>
      <c r="M1346" s="50">
        <v>88.0</v>
      </c>
      <c r="N1346" s="50">
        <v>26.0</v>
      </c>
      <c r="O1346" s="49">
        <v>98.0603923297333</v>
      </c>
      <c r="P1346" s="51"/>
    </row>
    <row r="1347" ht="15.0" hidden="1" customHeight="1">
      <c r="A1347" s="45">
        <v>1341.0</v>
      </c>
      <c r="B1347" s="46" t="s">
        <v>22</v>
      </c>
      <c r="C1347" s="46" t="s">
        <v>431</v>
      </c>
      <c r="D1347" s="46" t="s">
        <v>432</v>
      </c>
      <c r="E1347" s="46"/>
      <c r="F1347" s="47" t="s">
        <v>19</v>
      </c>
      <c r="G1347" s="48">
        <v>1219.0</v>
      </c>
      <c r="H1347" s="48">
        <v>212.0</v>
      </c>
      <c r="I1347" s="48">
        <v>14.0</v>
      </c>
      <c r="J1347" s="49">
        <v>85.1851851851852</v>
      </c>
      <c r="K1347" s="49"/>
      <c r="L1347" s="50">
        <v>753.0</v>
      </c>
      <c r="M1347" s="50">
        <v>51.0</v>
      </c>
      <c r="N1347" s="50">
        <v>4.0</v>
      </c>
      <c r="O1347" s="49">
        <v>93.6567164179104</v>
      </c>
      <c r="P1347" s="51"/>
    </row>
    <row r="1348" ht="15.0" customHeight="1">
      <c r="A1348" s="52">
        <v>1342.0</v>
      </c>
      <c r="B1348" s="53" t="s">
        <v>24</v>
      </c>
      <c r="C1348" s="60" t="s">
        <v>431</v>
      </c>
      <c r="D1348" s="60" t="s">
        <v>432</v>
      </c>
      <c r="E1348" s="60" t="s">
        <v>433</v>
      </c>
      <c r="F1348" s="61" t="s">
        <v>433</v>
      </c>
      <c r="G1348" s="54">
        <v>5359.0</v>
      </c>
      <c r="H1348" s="54">
        <v>382.0</v>
      </c>
      <c r="I1348" s="54">
        <v>56.0</v>
      </c>
      <c r="J1348" s="55">
        <v>93.3461069500087</v>
      </c>
      <c r="K1348" s="55">
        <f>G1348+H1348+I1348</f>
        <v>5797</v>
      </c>
      <c r="L1348" s="56">
        <v>3916.0</v>
      </c>
      <c r="M1348" s="56">
        <v>90.0</v>
      </c>
      <c r="N1348" s="56">
        <v>18.0</v>
      </c>
      <c r="O1348" s="55">
        <v>97.7533699450824</v>
      </c>
      <c r="P1348" s="57">
        <f>L1348+M1348+N1348</f>
        <v>4024</v>
      </c>
    </row>
    <row r="1349" ht="15.0" hidden="1" customHeight="1">
      <c r="A1349" s="45">
        <v>1343.0</v>
      </c>
      <c r="B1349" s="46" t="s">
        <v>24</v>
      </c>
      <c r="C1349" s="46" t="s">
        <v>431</v>
      </c>
      <c r="D1349" s="46" t="s">
        <v>432</v>
      </c>
      <c r="E1349" s="46" t="s">
        <v>433</v>
      </c>
      <c r="F1349" s="47" t="s">
        <v>18</v>
      </c>
      <c r="G1349" s="48">
        <v>5149.0</v>
      </c>
      <c r="H1349" s="48">
        <v>352.0</v>
      </c>
      <c r="I1349" s="48">
        <v>52.0</v>
      </c>
      <c r="J1349" s="49">
        <v>93.6011634248318</v>
      </c>
      <c r="K1349" s="49"/>
      <c r="L1349" s="50">
        <v>3786.0</v>
      </c>
      <c r="M1349" s="50">
        <v>83.0</v>
      </c>
      <c r="N1349" s="50">
        <v>18.0</v>
      </c>
      <c r="O1349" s="49">
        <v>97.854742827604</v>
      </c>
      <c r="P1349" s="51"/>
    </row>
    <row r="1350" ht="15.0" hidden="1" customHeight="1">
      <c r="A1350" s="45">
        <v>1344.0</v>
      </c>
      <c r="B1350" s="46" t="s">
        <v>24</v>
      </c>
      <c r="C1350" s="46" t="s">
        <v>431</v>
      </c>
      <c r="D1350" s="46" t="s">
        <v>432</v>
      </c>
      <c r="E1350" s="46" t="s">
        <v>433</v>
      </c>
      <c r="F1350" s="47" t="s">
        <v>19</v>
      </c>
      <c r="G1350" s="48">
        <v>210.0</v>
      </c>
      <c r="H1350" s="48">
        <v>30.0</v>
      </c>
      <c r="I1350" s="48">
        <v>4.0</v>
      </c>
      <c r="J1350" s="49">
        <v>87.5</v>
      </c>
      <c r="K1350" s="49"/>
      <c r="L1350" s="50">
        <v>130.0</v>
      </c>
      <c r="M1350" s="50">
        <v>7.0</v>
      </c>
      <c r="N1350" s="50">
        <v>0.0</v>
      </c>
      <c r="O1350" s="49">
        <v>94.8905109489051</v>
      </c>
      <c r="P1350" s="51"/>
    </row>
    <row r="1351" ht="15.0" customHeight="1">
      <c r="A1351" s="52">
        <v>1345.0</v>
      </c>
      <c r="B1351" s="53" t="s">
        <v>24</v>
      </c>
      <c r="C1351" s="60" t="s">
        <v>431</v>
      </c>
      <c r="D1351" s="60" t="s">
        <v>432</v>
      </c>
      <c r="E1351" s="60" t="s">
        <v>434</v>
      </c>
      <c r="F1351" s="61" t="s">
        <v>434</v>
      </c>
      <c r="G1351" s="54">
        <v>877.0</v>
      </c>
      <c r="H1351" s="54">
        <v>107.0</v>
      </c>
      <c r="I1351" s="54">
        <v>6.0</v>
      </c>
      <c r="J1351" s="55">
        <v>89.1260162601626</v>
      </c>
      <c r="K1351" s="55">
        <f>G1351+H1351+I1351</f>
        <v>990</v>
      </c>
      <c r="L1351" s="56">
        <v>872.0</v>
      </c>
      <c r="M1351" s="56">
        <v>18.0</v>
      </c>
      <c r="N1351" s="56">
        <v>11.0</v>
      </c>
      <c r="O1351" s="55">
        <v>97.9775280898876</v>
      </c>
      <c r="P1351" s="57">
        <f>L1351+M1351+N1351</f>
        <v>901</v>
      </c>
    </row>
    <row r="1352" ht="15.0" hidden="1" customHeight="1">
      <c r="A1352" s="45">
        <v>1346.0</v>
      </c>
      <c r="B1352" s="46" t="s">
        <v>24</v>
      </c>
      <c r="C1352" s="46" t="s">
        <v>431</v>
      </c>
      <c r="D1352" s="46" t="s">
        <v>432</v>
      </c>
      <c r="E1352" s="46" t="s">
        <v>434</v>
      </c>
      <c r="F1352" s="47" t="s">
        <v>18</v>
      </c>
      <c r="G1352" s="48">
        <v>508.0</v>
      </c>
      <c r="H1352" s="48">
        <v>44.0</v>
      </c>
      <c r="I1352" s="48">
        <v>4.0</v>
      </c>
      <c r="J1352" s="49">
        <v>92.0289855072464</v>
      </c>
      <c r="K1352" s="49"/>
      <c r="L1352" s="50">
        <v>663.0</v>
      </c>
      <c r="M1352" s="50">
        <v>5.0</v>
      </c>
      <c r="N1352" s="50">
        <v>8.0</v>
      </c>
      <c r="O1352" s="49">
        <v>99.251497005988</v>
      </c>
      <c r="P1352" s="51"/>
    </row>
    <row r="1353" ht="15.0" hidden="1" customHeight="1">
      <c r="A1353" s="45">
        <v>1347.0</v>
      </c>
      <c r="B1353" s="46" t="s">
        <v>24</v>
      </c>
      <c r="C1353" s="46" t="s">
        <v>431</v>
      </c>
      <c r="D1353" s="46" t="s">
        <v>432</v>
      </c>
      <c r="E1353" s="46" t="s">
        <v>434</v>
      </c>
      <c r="F1353" s="47" t="s">
        <v>19</v>
      </c>
      <c r="G1353" s="48">
        <v>369.0</v>
      </c>
      <c r="H1353" s="48">
        <v>63.0</v>
      </c>
      <c r="I1353" s="48">
        <v>2.0</v>
      </c>
      <c r="J1353" s="49">
        <v>85.4166666666667</v>
      </c>
      <c r="K1353" s="49"/>
      <c r="L1353" s="50">
        <v>209.0</v>
      </c>
      <c r="M1353" s="50">
        <v>13.0</v>
      </c>
      <c r="N1353" s="50">
        <v>3.0</v>
      </c>
      <c r="O1353" s="49">
        <v>94.1441441441441</v>
      </c>
      <c r="P1353" s="51"/>
    </row>
    <row r="1354" ht="15.0" customHeight="1">
      <c r="A1354" s="52">
        <v>1348.0</v>
      </c>
      <c r="B1354" s="53" t="s">
        <v>24</v>
      </c>
      <c r="C1354" s="60" t="s">
        <v>431</v>
      </c>
      <c r="D1354" s="60" t="s">
        <v>432</v>
      </c>
      <c r="E1354" s="60" t="s">
        <v>435</v>
      </c>
      <c r="F1354" s="61" t="s">
        <v>435</v>
      </c>
      <c r="G1354" s="54">
        <v>264.0</v>
      </c>
      <c r="H1354" s="54">
        <v>48.0</v>
      </c>
      <c r="I1354" s="54">
        <v>5.0</v>
      </c>
      <c r="J1354" s="55">
        <v>84.6153846153846</v>
      </c>
      <c r="K1354" s="55">
        <f>G1354+H1354+I1354</f>
        <v>317</v>
      </c>
      <c r="L1354" s="56">
        <v>156.0</v>
      </c>
      <c r="M1354" s="56">
        <v>9.0</v>
      </c>
      <c r="N1354" s="56">
        <v>0.0</v>
      </c>
      <c r="O1354" s="55">
        <v>94.5454545454545</v>
      </c>
      <c r="P1354" s="57">
        <f>L1354+M1354+N1354</f>
        <v>165</v>
      </c>
    </row>
    <row r="1355" ht="15.0" hidden="1" customHeight="1">
      <c r="A1355" s="45">
        <v>1349.0</v>
      </c>
      <c r="B1355" s="46" t="s">
        <v>24</v>
      </c>
      <c r="C1355" s="46" t="s">
        <v>431</v>
      </c>
      <c r="D1355" s="46" t="s">
        <v>432</v>
      </c>
      <c r="E1355" s="46" t="s">
        <v>435</v>
      </c>
      <c r="F1355" s="47" t="s">
        <v>18</v>
      </c>
      <c r="G1355" s="48"/>
      <c r="H1355" s="48"/>
      <c r="I1355" s="48"/>
      <c r="J1355" s="49"/>
      <c r="K1355" s="49"/>
      <c r="L1355" s="50"/>
      <c r="M1355" s="50"/>
      <c r="N1355" s="50"/>
      <c r="O1355" s="49"/>
      <c r="P1355" s="51"/>
    </row>
    <row r="1356" ht="15.0" hidden="1" customHeight="1">
      <c r="A1356" s="45">
        <v>1350.0</v>
      </c>
      <c r="B1356" s="46" t="s">
        <v>24</v>
      </c>
      <c r="C1356" s="46" t="s">
        <v>431</v>
      </c>
      <c r="D1356" s="46" t="s">
        <v>432</v>
      </c>
      <c r="E1356" s="46" t="s">
        <v>435</v>
      </c>
      <c r="F1356" s="47" t="s">
        <v>19</v>
      </c>
      <c r="G1356" s="48">
        <v>264.0</v>
      </c>
      <c r="H1356" s="48">
        <v>48.0</v>
      </c>
      <c r="I1356" s="48">
        <v>5.0</v>
      </c>
      <c r="J1356" s="49">
        <v>84.6153846153846</v>
      </c>
      <c r="K1356" s="49"/>
      <c r="L1356" s="50">
        <v>156.0</v>
      </c>
      <c r="M1356" s="50">
        <v>9.0</v>
      </c>
      <c r="N1356" s="50">
        <v>0.0</v>
      </c>
      <c r="O1356" s="49">
        <v>94.5454545454545</v>
      </c>
      <c r="P1356" s="51"/>
    </row>
    <row r="1357" ht="15.0" customHeight="1">
      <c r="A1357" s="52">
        <v>1351.0</v>
      </c>
      <c r="B1357" s="53" t="s">
        <v>24</v>
      </c>
      <c r="C1357" s="60" t="s">
        <v>431</v>
      </c>
      <c r="D1357" s="60" t="s">
        <v>432</v>
      </c>
      <c r="E1357" s="60" t="s">
        <v>436</v>
      </c>
      <c r="F1357" s="61" t="s">
        <v>436</v>
      </c>
      <c r="G1357" s="54">
        <v>376.0</v>
      </c>
      <c r="H1357" s="54">
        <v>71.0</v>
      </c>
      <c r="I1357" s="54">
        <v>3.0</v>
      </c>
      <c r="J1357" s="55">
        <v>84.1163310961969</v>
      </c>
      <c r="K1357" s="55">
        <f>G1357+H1357+I1357</f>
        <v>450</v>
      </c>
      <c r="L1357" s="56">
        <v>258.0</v>
      </c>
      <c r="M1357" s="56">
        <v>22.0</v>
      </c>
      <c r="N1357" s="56">
        <v>1.0</v>
      </c>
      <c r="O1357" s="55">
        <v>92.1428571428571</v>
      </c>
      <c r="P1357" s="57">
        <f>L1357+M1357+N1357</f>
        <v>281</v>
      </c>
    </row>
    <row r="1358" ht="15.0" hidden="1" customHeight="1">
      <c r="A1358" s="45">
        <v>1352.0</v>
      </c>
      <c r="B1358" s="46" t="s">
        <v>24</v>
      </c>
      <c r="C1358" s="46" t="s">
        <v>431</v>
      </c>
      <c r="D1358" s="46" t="s">
        <v>432</v>
      </c>
      <c r="E1358" s="46" t="s">
        <v>436</v>
      </c>
      <c r="F1358" s="47" t="s">
        <v>18</v>
      </c>
      <c r="G1358" s="48"/>
      <c r="H1358" s="48"/>
      <c r="I1358" s="48"/>
      <c r="J1358" s="49"/>
      <c r="K1358" s="49"/>
      <c r="L1358" s="50"/>
      <c r="M1358" s="50"/>
      <c r="N1358" s="50"/>
      <c r="O1358" s="49"/>
      <c r="P1358" s="51"/>
    </row>
    <row r="1359" ht="15.0" hidden="1" customHeight="1">
      <c r="A1359" s="45">
        <v>1353.0</v>
      </c>
      <c r="B1359" s="46" t="s">
        <v>24</v>
      </c>
      <c r="C1359" s="46" t="s">
        <v>431</v>
      </c>
      <c r="D1359" s="46" t="s">
        <v>432</v>
      </c>
      <c r="E1359" s="46" t="s">
        <v>436</v>
      </c>
      <c r="F1359" s="47" t="s">
        <v>19</v>
      </c>
      <c r="G1359" s="48">
        <v>376.0</v>
      </c>
      <c r="H1359" s="48">
        <v>71.0</v>
      </c>
      <c r="I1359" s="48">
        <v>3.0</v>
      </c>
      <c r="J1359" s="49">
        <v>84.1163310961969</v>
      </c>
      <c r="K1359" s="49"/>
      <c r="L1359" s="50">
        <v>258.0</v>
      </c>
      <c r="M1359" s="50">
        <v>22.0</v>
      </c>
      <c r="N1359" s="50">
        <v>1.0</v>
      </c>
      <c r="O1359" s="49">
        <v>92.1428571428571</v>
      </c>
      <c r="P1359" s="51"/>
    </row>
    <row r="1360" ht="15.0" hidden="1" customHeight="1">
      <c r="A1360" s="39">
        <v>1354.0</v>
      </c>
      <c r="B1360" s="40" t="s">
        <v>22</v>
      </c>
      <c r="C1360" s="59" t="s">
        <v>431</v>
      </c>
      <c r="D1360" s="59" t="s">
        <v>437</v>
      </c>
      <c r="E1360" s="59"/>
      <c r="F1360" s="40" t="s">
        <v>437</v>
      </c>
      <c r="G1360" s="41">
        <v>1690.0</v>
      </c>
      <c r="H1360" s="41">
        <v>348.0</v>
      </c>
      <c r="I1360" s="41">
        <v>17.0</v>
      </c>
      <c r="J1360" s="42">
        <v>82.9244357212954</v>
      </c>
      <c r="K1360" s="42"/>
      <c r="L1360" s="43">
        <v>1676.0</v>
      </c>
      <c r="M1360" s="43">
        <v>67.0</v>
      </c>
      <c r="N1360" s="43">
        <v>12.0</v>
      </c>
      <c r="O1360" s="42">
        <v>96.1560527825588</v>
      </c>
      <c r="P1360" s="44"/>
    </row>
    <row r="1361" ht="15.0" hidden="1" customHeight="1">
      <c r="A1361" s="45">
        <v>1355.0</v>
      </c>
      <c r="B1361" s="46" t="s">
        <v>22</v>
      </c>
      <c r="C1361" s="46" t="s">
        <v>431</v>
      </c>
      <c r="D1361" s="46" t="s">
        <v>437</v>
      </c>
      <c r="E1361" s="46"/>
      <c r="F1361" s="47" t="s">
        <v>18</v>
      </c>
      <c r="G1361" s="48">
        <v>264.0</v>
      </c>
      <c r="H1361" s="48">
        <v>62.0</v>
      </c>
      <c r="I1361" s="48">
        <v>5.0</v>
      </c>
      <c r="J1361" s="49">
        <v>80.9815950920245</v>
      </c>
      <c r="K1361" s="49"/>
      <c r="L1361" s="50">
        <v>248.0</v>
      </c>
      <c r="M1361" s="50">
        <v>8.0</v>
      </c>
      <c r="N1361" s="50">
        <v>0.0</v>
      </c>
      <c r="O1361" s="49">
        <v>96.875</v>
      </c>
      <c r="P1361" s="51"/>
    </row>
    <row r="1362" ht="15.0" hidden="1" customHeight="1">
      <c r="A1362" s="45">
        <v>1356.0</v>
      </c>
      <c r="B1362" s="46" t="s">
        <v>22</v>
      </c>
      <c r="C1362" s="46" t="s">
        <v>431</v>
      </c>
      <c r="D1362" s="46" t="s">
        <v>437</v>
      </c>
      <c r="E1362" s="46"/>
      <c r="F1362" s="47" t="s">
        <v>19</v>
      </c>
      <c r="G1362" s="48">
        <v>1426.0</v>
      </c>
      <c r="H1362" s="48">
        <v>286.0</v>
      </c>
      <c r="I1362" s="48">
        <v>12.0</v>
      </c>
      <c r="J1362" s="49">
        <v>83.2943925233645</v>
      </c>
      <c r="K1362" s="49"/>
      <c r="L1362" s="50">
        <v>1428.0</v>
      </c>
      <c r="M1362" s="50">
        <v>59.0</v>
      </c>
      <c r="N1362" s="50">
        <v>12.0</v>
      </c>
      <c r="O1362" s="49">
        <v>96.0322797579018</v>
      </c>
      <c r="P1362" s="51"/>
    </row>
    <row r="1363" ht="15.0" customHeight="1">
      <c r="A1363" s="52">
        <v>1357.0</v>
      </c>
      <c r="B1363" s="53" t="s">
        <v>24</v>
      </c>
      <c r="C1363" s="60" t="s">
        <v>431</v>
      </c>
      <c r="D1363" s="60" t="s">
        <v>437</v>
      </c>
      <c r="E1363" s="60" t="s">
        <v>438</v>
      </c>
      <c r="F1363" s="61" t="s">
        <v>438</v>
      </c>
      <c r="G1363" s="54">
        <v>722.0</v>
      </c>
      <c r="H1363" s="54">
        <v>153.0</v>
      </c>
      <c r="I1363" s="54">
        <v>5.0</v>
      </c>
      <c r="J1363" s="55">
        <v>82.5142857142857</v>
      </c>
      <c r="K1363" s="55">
        <f>G1363+H1363+I1363</f>
        <v>880</v>
      </c>
      <c r="L1363" s="56">
        <v>640.0</v>
      </c>
      <c r="M1363" s="56">
        <v>21.0</v>
      </c>
      <c r="N1363" s="56">
        <v>3.0</v>
      </c>
      <c r="O1363" s="55">
        <v>96.8229954614221</v>
      </c>
      <c r="P1363" s="57">
        <f>L1363+M1363+N1363</f>
        <v>664</v>
      </c>
    </row>
    <row r="1364" ht="15.0" hidden="1" customHeight="1">
      <c r="A1364" s="45">
        <v>1358.0</v>
      </c>
      <c r="B1364" s="46" t="s">
        <v>24</v>
      </c>
      <c r="C1364" s="46" t="s">
        <v>431</v>
      </c>
      <c r="D1364" s="46" t="s">
        <v>437</v>
      </c>
      <c r="E1364" s="46" t="s">
        <v>438</v>
      </c>
      <c r="F1364" s="47" t="s">
        <v>18</v>
      </c>
      <c r="G1364" s="48">
        <v>264.0</v>
      </c>
      <c r="H1364" s="48">
        <v>62.0</v>
      </c>
      <c r="I1364" s="48">
        <v>5.0</v>
      </c>
      <c r="J1364" s="49">
        <v>80.9815950920245</v>
      </c>
      <c r="K1364" s="49"/>
      <c r="L1364" s="50">
        <v>248.0</v>
      </c>
      <c r="M1364" s="50">
        <v>8.0</v>
      </c>
      <c r="N1364" s="50">
        <v>0.0</v>
      </c>
      <c r="O1364" s="49">
        <v>96.875</v>
      </c>
      <c r="P1364" s="51"/>
    </row>
    <row r="1365" ht="15.0" hidden="1" customHeight="1">
      <c r="A1365" s="45">
        <v>1359.0</v>
      </c>
      <c r="B1365" s="46" t="s">
        <v>24</v>
      </c>
      <c r="C1365" s="46" t="s">
        <v>431</v>
      </c>
      <c r="D1365" s="46" t="s">
        <v>437</v>
      </c>
      <c r="E1365" s="46" t="s">
        <v>438</v>
      </c>
      <c r="F1365" s="47" t="s">
        <v>19</v>
      </c>
      <c r="G1365" s="48">
        <v>458.0</v>
      </c>
      <c r="H1365" s="48">
        <v>91.0</v>
      </c>
      <c r="I1365" s="48">
        <v>0.0</v>
      </c>
      <c r="J1365" s="49">
        <v>83.424408014572</v>
      </c>
      <c r="K1365" s="49"/>
      <c r="L1365" s="50">
        <v>392.0</v>
      </c>
      <c r="M1365" s="50">
        <v>13.0</v>
      </c>
      <c r="N1365" s="50">
        <v>3.0</v>
      </c>
      <c r="O1365" s="49">
        <v>96.7901234567901</v>
      </c>
      <c r="P1365" s="51"/>
    </row>
    <row r="1366" ht="15.0" customHeight="1">
      <c r="A1366" s="52">
        <v>1360.0</v>
      </c>
      <c r="B1366" s="53" t="s">
        <v>24</v>
      </c>
      <c r="C1366" s="60" t="s">
        <v>431</v>
      </c>
      <c r="D1366" s="60" t="s">
        <v>437</v>
      </c>
      <c r="E1366" s="60" t="s">
        <v>285</v>
      </c>
      <c r="F1366" s="61" t="s">
        <v>285</v>
      </c>
      <c r="G1366" s="54">
        <v>265.0</v>
      </c>
      <c r="H1366" s="54">
        <v>81.0</v>
      </c>
      <c r="I1366" s="54">
        <v>6.0</v>
      </c>
      <c r="J1366" s="55">
        <v>76.5895953757225</v>
      </c>
      <c r="K1366" s="55">
        <f>G1366+H1366+I1366</f>
        <v>352</v>
      </c>
      <c r="L1366" s="56">
        <v>355.0</v>
      </c>
      <c r="M1366" s="56">
        <v>12.0</v>
      </c>
      <c r="N1366" s="56">
        <v>3.0</v>
      </c>
      <c r="O1366" s="55">
        <v>96.7302452316076</v>
      </c>
      <c r="P1366" s="57">
        <f>L1366+M1366+N1366</f>
        <v>370</v>
      </c>
    </row>
    <row r="1367" ht="15.0" hidden="1" customHeight="1">
      <c r="A1367" s="45">
        <v>1361.0</v>
      </c>
      <c r="B1367" s="46" t="s">
        <v>24</v>
      </c>
      <c r="C1367" s="46" t="s">
        <v>431</v>
      </c>
      <c r="D1367" s="46" t="s">
        <v>437</v>
      </c>
      <c r="E1367" s="46" t="s">
        <v>285</v>
      </c>
      <c r="F1367" s="47" t="s">
        <v>18</v>
      </c>
      <c r="G1367" s="48"/>
      <c r="H1367" s="48"/>
      <c r="I1367" s="48"/>
      <c r="J1367" s="49"/>
      <c r="K1367" s="49"/>
      <c r="L1367" s="50"/>
      <c r="M1367" s="50"/>
      <c r="N1367" s="50"/>
      <c r="O1367" s="49"/>
      <c r="P1367" s="51"/>
    </row>
    <row r="1368" ht="15.0" hidden="1" customHeight="1">
      <c r="A1368" s="45">
        <v>1362.0</v>
      </c>
      <c r="B1368" s="46" t="s">
        <v>24</v>
      </c>
      <c r="C1368" s="46" t="s">
        <v>431</v>
      </c>
      <c r="D1368" s="46" t="s">
        <v>437</v>
      </c>
      <c r="E1368" s="46" t="s">
        <v>285</v>
      </c>
      <c r="F1368" s="47" t="s">
        <v>19</v>
      </c>
      <c r="G1368" s="48">
        <v>265.0</v>
      </c>
      <c r="H1368" s="48">
        <v>81.0</v>
      </c>
      <c r="I1368" s="48">
        <v>6.0</v>
      </c>
      <c r="J1368" s="49">
        <v>76.5895953757225</v>
      </c>
      <c r="K1368" s="49"/>
      <c r="L1368" s="50">
        <v>355.0</v>
      </c>
      <c r="M1368" s="50">
        <v>12.0</v>
      </c>
      <c r="N1368" s="50">
        <v>3.0</v>
      </c>
      <c r="O1368" s="49">
        <v>96.7302452316076</v>
      </c>
      <c r="P1368" s="51"/>
    </row>
    <row r="1369" ht="15.0" customHeight="1">
      <c r="A1369" s="52">
        <v>1363.0</v>
      </c>
      <c r="B1369" s="53" t="s">
        <v>24</v>
      </c>
      <c r="C1369" s="60" t="s">
        <v>431</v>
      </c>
      <c r="D1369" s="60" t="s">
        <v>437</v>
      </c>
      <c r="E1369" s="60" t="s">
        <v>439</v>
      </c>
      <c r="F1369" s="61" t="s">
        <v>439</v>
      </c>
      <c r="G1369" s="54">
        <v>703.0</v>
      </c>
      <c r="H1369" s="54">
        <v>114.0</v>
      </c>
      <c r="I1369" s="54">
        <v>6.0</v>
      </c>
      <c r="J1369" s="55">
        <v>86.046511627907</v>
      </c>
      <c r="K1369" s="55">
        <f>G1369+H1369+I1369</f>
        <v>823</v>
      </c>
      <c r="L1369" s="56">
        <v>681.0</v>
      </c>
      <c r="M1369" s="56">
        <v>34.0</v>
      </c>
      <c r="N1369" s="56">
        <v>6.0</v>
      </c>
      <c r="O1369" s="55">
        <v>95.2447552447552</v>
      </c>
      <c r="P1369" s="57">
        <f>L1369+M1369+N1369</f>
        <v>721</v>
      </c>
    </row>
    <row r="1370" ht="15.0" hidden="1" customHeight="1">
      <c r="A1370" s="45">
        <v>1364.0</v>
      </c>
      <c r="B1370" s="46" t="s">
        <v>24</v>
      </c>
      <c r="C1370" s="46" t="s">
        <v>431</v>
      </c>
      <c r="D1370" s="46" t="s">
        <v>437</v>
      </c>
      <c r="E1370" s="46" t="s">
        <v>439</v>
      </c>
      <c r="F1370" s="47" t="s">
        <v>18</v>
      </c>
      <c r="G1370" s="48"/>
      <c r="H1370" s="48"/>
      <c r="I1370" s="48"/>
      <c r="J1370" s="49"/>
      <c r="K1370" s="49"/>
      <c r="L1370" s="50"/>
      <c r="M1370" s="50"/>
      <c r="N1370" s="50"/>
      <c r="O1370" s="49"/>
      <c r="P1370" s="51"/>
    </row>
    <row r="1371" ht="15.0" hidden="1" customHeight="1">
      <c r="A1371" s="45">
        <v>1365.0</v>
      </c>
      <c r="B1371" s="46" t="s">
        <v>24</v>
      </c>
      <c r="C1371" s="46" t="s">
        <v>431</v>
      </c>
      <c r="D1371" s="46" t="s">
        <v>437</v>
      </c>
      <c r="E1371" s="46" t="s">
        <v>439</v>
      </c>
      <c r="F1371" s="47" t="s">
        <v>19</v>
      </c>
      <c r="G1371" s="48">
        <v>703.0</v>
      </c>
      <c r="H1371" s="48">
        <v>114.0</v>
      </c>
      <c r="I1371" s="48">
        <v>6.0</v>
      </c>
      <c r="J1371" s="49">
        <v>86.046511627907</v>
      </c>
      <c r="K1371" s="49"/>
      <c r="L1371" s="50">
        <v>681.0</v>
      </c>
      <c r="M1371" s="50">
        <v>34.0</v>
      </c>
      <c r="N1371" s="50">
        <v>6.0</v>
      </c>
      <c r="O1371" s="49">
        <v>95.2447552447552</v>
      </c>
      <c r="P1371" s="51"/>
    </row>
    <row r="1372" ht="15.0" hidden="1" customHeight="1">
      <c r="A1372" s="39">
        <v>1366.0</v>
      </c>
      <c r="B1372" s="40" t="s">
        <v>22</v>
      </c>
      <c r="C1372" s="59" t="s">
        <v>431</v>
      </c>
      <c r="D1372" s="59" t="s">
        <v>440</v>
      </c>
      <c r="E1372" s="59"/>
      <c r="F1372" s="40" t="s">
        <v>440</v>
      </c>
      <c r="G1372" s="41">
        <v>3179.0</v>
      </c>
      <c r="H1372" s="41">
        <v>484.0</v>
      </c>
      <c r="I1372" s="41">
        <v>36.0</v>
      </c>
      <c r="J1372" s="42">
        <v>86.7867867867868</v>
      </c>
      <c r="K1372" s="42"/>
      <c r="L1372" s="43">
        <v>3734.0</v>
      </c>
      <c r="M1372" s="43">
        <v>151.0</v>
      </c>
      <c r="N1372" s="43">
        <v>37.0</v>
      </c>
      <c r="O1372" s="42">
        <v>96.1132561132561</v>
      </c>
      <c r="P1372" s="44"/>
    </row>
    <row r="1373" ht="15.0" hidden="1" customHeight="1">
      <c r="A1373" s="45">
        <v>1367.0</v>
      </c>
      <c r="B1373" s="46" t="s">
        <v>22</v>
      </c>
      <c r="C1373" s="46" t="s">
        <v>431</v>
      </c>
      <c r="D1373" s="46" t="s">
        <v>440</v>
      </c>
      <c r="E1373" s="46"/>
      <c r="F1373" s="47" t="s">
        <v>18</v>
      </c>
      <c r="G1373" s="48">
        <v>341.0</v>
      </c>
      <c r="H1373" s="48">
        <v>36.0</v>
      </c>
      <c r="I1373" s="48">
        <v>4.0</v>
      </c>
      <c r="J1373" s="49">
        <v>90.4509283819629</v>
      </c>
      <c r="K1373" s="49"/>
      <c r="L1373" s="50">
        <v>636.0</v>
      </c>
      <c r="M1373" s="50">
        <v>13.0</v>
      </c>
      <c r="N1373" s="50">
        <v>1.0</v>
      </c>
      <c r="O1373" s="49">
        <v>97.9969183359014</v>
      </c>
      <c r="P1373" s="51"/>
    </row>
    <row r="1374" ht="15.0" hidden="1" customHeight="1">
      <c r="A1374" s="45">
        <v>1368.0</v>
      </c>
      <c r="B1374" s="46" t="s">
        <v>22</v>
      </c>
      <c r="C1374" s="46" t="s">
        <v>431</v>
      </c>
      <c r="D1374" s="46" t="s">
        <v>440</v>
      </c>
      <c r="E1374" s="46"/>
      <c r="F1374" s="47" t="s">
        <v>19</v>
      </c>
      <c r="G1374" s="48">
        <v>2838.0</v>
      </c>
      <c r="H1374" s="48">
        <v>448.0</v>
      </c>
      <c r="I1374" s="48">
        <v>32.0</v>
      </c>
      <c r="J1374" s="49">
        <v>86.3664029214851</v>
      </c>
      <c r="K1374" s="49"/>
      <c r="L1374" s="50">
        <v>3098.0</v>
      </c>
      <c r="M1374" s="50">
        <v>138.0</v>
      </c>
      <c r="N1374" s="50">
        <v>36.0</v>
      </c>
      <c r="O1374" s="49">
        <v>95.7354758961681</v>
      </c>
      <c r="P1374" s="51"/>
    </row>
    <row r="1375" ht="15.0" customHeight="1">
      <c r="A1375" s="52">
        <v>1369.0</v>
      </c>
      <c r="B1375" s="53" t="s">
        <v>24</v>
      </c>
      <c r="C1375" s="60" t="s">
        <v>431</v>
      </c>
      <c r="D1375" s="60" t="s">
        <v>440</v>
      </c>
      <c r="E1375" s="60" t="s">
        <v>441</v>
      </c>
      <c r="F1375" s="61" t="s">
        <v>441</v>
      </c>
      <c r="G1375" s="54">
        <v>1021.0</v>
      </c>
      <c r="H1375" s="54">
        <v>153.0</v>
      </c>
      <c r="I1375" s="54">
        <v>13.0</v>
      </c>
      <c r="J1375" s="55">
        <v>86.9676320272572</v>
      </c>
      <c r="K1375" s="55">
        <f>G1375+H1375+I1375</f>
        <v>1187</v>
      </c>
      <c r="L1375" s="56">
        <v>1438.0</v>
      </c>
      <c r="M1375" s="56">
        <v>31.0</v>
      </c>
      <c r="N1375" s="56">
        <v>16.0</v>
      </c>
      <c r="O1375" s="55">
        <v>97.8897208985705</v>
      </c>
      <c r="P1375" s="57">
        <f>L1375+M1375+N1375</f>
        <v>1485</v>
      </c>
    </row>
    <row r="1376" ht="15.0" hidden="1" customHeight="1">
      <c r="A1376" s="45">
        <v>1370.0</v>
      </c>
      <c r="B1376" s="46" t="s">
        <v>24</v>
      </c>
      <c r="C1376" s="46" t="s">
        <v>431</v>
      </c>
      <c r="D1376" s="46" t="s">
        <v>440</v>
      </c>
      <c r="E1376" s="46" t="s">
        <v>441</v>
      </c>
      <c r="F1376" s="47" t="s">
        <v>18</v>
      </c>
      <c r="G1376" s="48"/>
      <c r="H1376" s="48"/>
      <c r="I1376" s="48"/>
      <c r="J1376" s="49"/>
      <c r="K1376" s="49"/>
      <c r="L1376" s="50">
        <v>136.0</v>
      </c>
      <c r="M1376" s="50">
        <v>1.0</v>
      </c>
      <c r="N1376" s="50">
        <v>1.0</v>
      </c>
      <c r="O1376" s="49">
        <v>99.2700729927007</v>
      </c>
      <c r="P1376" s="51"/>
    </row>
    <row r="1377" ht="15.0" hidden="1" customHeight="1">
      <c r="A1377" s="45">
        <v>1371.0</v>
      </c>
      <c r="B1377" s="46" t="s">
        <v>24</v>
      </c>
      <c r="C1377" s="46" t="s">
        <v>431</v>
      </c>
      <c r="D1377" s="46" t="s">
        <v>440</v>
      </c>
      <c r="E1377" s="46" t="s">
        <v>441</v>
      </c>
      <c r="F1377" s="47" t="s">
        <v>19</v>
      </c>
      <c r="G1377" s="48">
        <v>1021.0</v>
      </c>
      <c r="H1377" s="48">
        <v>153.0</v>
      </c>
      <c r="I1377" s="48">
        <v>13.0</v>
      </c>
      <c r="J1377" s="49">
        <v>86.9676320272572</v>
      </c>
      <c r="K1377" s="49"/>
      <c r="L1377" s="50">
        <v>1302.0</v>
      </c>
      <c r="M1377" s="50">
        <v>30.0</v>
      </c>
      <c r="N1377" s="50">
        <v>15.0</v>
      </c>
      <c r="O1377" s="49">
        <v>97.7477477477478</v>
      </c>
      <c r="P1377" s="51"/>
    </row>
    <row r="1378" ht="15.0" customHeight="1">
      <c r="A1378" s="52">
        <v>1372.0</v>
      </c>
      <c r="B1378" s="53" t="s">
        <v>24</v>
      </c>
      <c r="C1378" s="60" t="s">
        <v>431</v>
      </c>
      <c r="D1378" s="60" t="s">
        <v>440</v>
      </c>
      <c r="E1378" s="60" t="s">
        <v>334</v>
      </c>
      <c r="F1378" s="61" t="s">
        <v>334</v>
      </c>
      <c r="G1378" s="54">
        <v>969.0</v>
      </c>
      <c r="H1378" s="54">
        <v>178.0</v>
      </c>
      <c r="I1378" s="54">
        <v>7.0</v>
      </c>
      <c r="J1378" s="55">
        <v>84.4812554489974</v>
      </c>
      <c r="K1378" s="55">
        <f>G1378+H1378+I1378</f>
        <v>1154</v>
      </c>
      <c r="L1378" s="56">
        <v>1185.0</v>
      </c>
      <c r="M1378" s="56">
        <v>75.0</v>
      </c>
      <c r="N1378" s="56">
        <v>16.0</v>
      </c>
      <c r="O1378" s="55">
        <v>94.0476190476191</v>
      </c>
      <c r="P1378" s="57">
        <f>L1378+M1378+N1378</f>
        <v>1276</v>
      </c>
    </row>
    <row r="1379" ht="15.0" hidden="1" customHeight="1">
      <c r="A1379" s="45">
        <v>1373.0</v>
      </c>
      <c r="B1379" s="46" t="s">
        <v>24</v>
      </c>
      <c r="C1379" s="46" t="s">
        <v>431</v>
      </c>
      <c r="D1379" s="46" t="s">
        <v>440</v>
      </c>
      <c r="E1379" s="46" t="s">
        <v>334</v>
      </c>
      <c r="F1379" s="47" t="s">
        <v>18</v>
      </c>
      <c r="G1379" s="48"/>
      <c r="H1379" s="48"/>
      <c r="I1379" s="48"/>
      <c r="J1379" s="49"/>
      <c r="K1379" s="49"/>
      <c r="L1379" s="50"/>
      <c r="M1379" s="50"/>
      <c r="N1379" s="50"/>
      <c r="O1379" s="49"/>
      <c r="P1379" s="51"/>
    </row>
    <row r="1380" ht="15.0" hidden="1" customHeight="1">
      <c r="A1380" s="45">
        <v>1374.0</v>
      </c>
      <c r="B1380" s="46" t="s">
        <v>24</v>
      </c>
      <c r="C1380" s="46" t="s">
        <v>431</v>
      </c>
      <c r="D1380" s="46" t="s">
        <v>440</v>
      </c>
      <c r="E1380" s="46" t="s">
        <v>334</v>
      </c>
      <c r="F1380" s="47" t="s">
        <v>19</v>
      </c>
      <c r="G1380" s="48">
        <v>969.0</v>
      </c>
      <c r="H1380" s="48">
        <v>178.0</v>
      </c>
      <c r="I1380" s="48">
        <v>7.0</v>
      </c>
      <c r="J1380" s="49">
        <v>84.4812554489974</v>
      </c>
      <c r="K1380" s="49"/>
      <c r="L1380" s="50">
        <v>1185.0</v>
      </c>
      <c r="M1380" s="50">
        <v>75.0</v>
      </c>
      <c r="N1380" s="50">
        <v>16.0</v>
      </c>
      <c r="O1380" s="49">
        <v>94.0476190476191</v>
      </c>
      <c r="P1380" s="51"/>
    </row>
    <row r="1381" ht="15.0" customHeight="1">
      <c r="A1381" s="52">
        <v>1375.0</v>
      </c>
      <c r="B1381" s="53" t="s">
        <v>24</v>
      </c>
      <c r="C1381" s="60" t="s">
        <v>431</v>
      </c>
      <c r="D1381" s="60" t="s">
        <v>440</v>
      </c>
      <c r="E1381" s="60" t="s">
        <v>442</v>
      </c>
      <c r="F1381" s="61" t="s">
        <v>442</v>
      </c>
      <c r="G1381" s="54">
        <v>1189.0</v>
      </c>
      <c r="H1381" s="54">
        <v>153.0</v>
      </c>
      <c r="I1381" s="54">
        <v>16.0</v>
      </c>
      <c r="J1381" s="55">
        <v>88.5991058122206</v>
      </c>
      <c r="K1381" s="55">
        <f>G1381+H1381+I1381</f>
        <v>1358</v>
      </c>
      <c r="L1381" s="56">
        <v>1111.0</v>
      </c>
      <c r="M1381" s="56">
        <v>45.0</v>
      </c>
      <c r="N1381" s="56">
        <v>5.0</v>
      </c>
      <c r="O1381" s="55">
        <v>96.1072664359862</v>
      </c>
      <c r="P1381" s="57">
        <f>L1381+M1381+N1381</f>
        <v>1161</v>
      </c>
    </row>
    <row r="1382" ht="15.0" hidden="1" customHeight="1">
      <c r="A1382" s="45">
        <v>1376.0</v>
      </c>
      <c r="B1382" s="46" t="s">
        <v>24</v>
      </c>
      <c r="C1382" s="46" t="s">
        <v>431</v>
      </c>
      <c r="D1382" s="46" t="s">
        <v>440</v>
      </c>
      <c r="E1382" s="46" t="s">
        <v>442</v>
      </c>
      <c r="F1382" s="47" t="s">
        <v>18</v>
      </c>
      <c r="G1382" s="48">
        <v>341.0</v>
      </c>
      <c r="H1382" s="48">
        <v>36.0</v>
      </c>
      <c r="I1382" s="48">
        <v>4.0</v>
      </c>
      <c r="J1382" s="49">
        <v>90.4509283819629</v>
      </c>
      <c r="K1382" s="49"/>
      <c r="L1382" s="50">
        <v>500.0</v>
      </c>
      <c r="M1382" s="50">
        <v>12.0</v>
      </c>
      <c r="N1382" s="50">
        <v>0.0</v>
      </c>
      <c r="O1382" s="49">
        <v>97.65625</v>
      </c>
      <c r="P1382" s="51"/>
    </row>
    <row r="1383" ht="15.0" hidden="1" customHeight="1">
      <c r="A1383" s="45">
        <v>1377.0</v>
      </c>
      <c r="B1383" s="46" t="s">
        <v>24</v>
      </c>
      <c r="C1383" s="46" t="s">
        <v>431</v>
      </c>
      <c r="D1383" s="46" t="s">
        <v>440</v>
      </c>
      <c r="E1383" s="46" t="s">
        <v>442</v>
      </c>
      <c r="F1383" s="47" t="s">
        <v>19</v>
      </c>
      <c r="G1383" s="48">
        <v>848.0</v>
      </c>
      <c r="H1383" s="48">
        <v>117.0</v>
      </c>
      <c r="I1383" s="48">
        <v>12.0</v>
      </c>
      <c r="J1383" s="49">
        <v>87.8756476683938</v>
      </c>
      <c r="K1383" s="49"/>
      <c r="L1383" s="50">
        <v>611.0</v>
      </c>
      <c r="M1383" s="50">
        <v>33.0</v>
      </c>
      <c r="N1383" s="50">
        <v>5.0</v>
      </c>
      <c r="O1383" s="49">
        <v>94.8757763975155</v>
      </c>
      <c r="P1383" s="51"/>
    </row>
    <row r="1384" ht="15.0" hidden="1" customHeight="1">
      <c r="A1384" s="39">
        <v>1378.0</v>
      </c>
      <c r="B1384" s="40" t="s">
        <v>22</v>
      </c>
      <c r="C1384" s="59" t="s">
        <v>431</v>
      </c>
      <c r="D1384" s="59" t="s">
        <v>443</v>
      </c>
      <c r="E1384" s="59"/>
      <c r="F1384" s="40" t="s">
        <v>443</v>
      </c>
      <c r="G1384" s="41">
        <v>488.0</v>
      </c>
      <c r="H1384" s="41">
        <v>136.0</v>
      </c>
      <c r="I1384" s="41">
        <v>4.0</v>
      </c>
      <c r="J1384" s="42">
        <v>78.2051282051282</v>
      </c>
      <c r="K1384" s="42"/>
      <c r="L1384" s="43">
        <v>491.0</v>
      </c>
      <c r="M1384" s="43">
        <v>28.0</v>
      </c>
      <c r="N1384" s="43">
        <v>2.0</v>
      </c>
      <c r="O1384" s="42">
        <v>94.6050096339114</v>
      </c>
      <c r="P1384" s="44"/>
    </row>
    <row r="1385" ht="15.0" hidden="1" customHeight="1">
      <c r="A1385" s="45">
        <v>1379.0</v>
      </c>
      <c r="B1385" s="46" t="s">
        <v>22</v>
      </c>
      <c r="C1385" s="46" t="s">
        <v>431</v>
      </c>
      <c r="D1385" s="46" t="s">
        <v>443</v>
      </c>
      <c r="E1385" s="46"/>
      <c r="F1385" s="47" t="s">
        <v>18</v>
      </c>
      <c r="G1385" s="48"/>
      <c r="H1385" s="48"/>
      <c r="I1385" s="48"/>
      <c r="J1385" s="49"/>
      <c r="K1385" s="49"/>
      <c r="L1385" s="50"/>
      <c r="M1385" s="50"/>
      <c r="N1385" s="50"/>
      <c r="O1385" s="49"/>
      <c r="P1385" s="51"/>
    </row>
    <row r="1386" ht="15.0" hidden="1" customHeight="1">
      <c r="A1386" s="45">
        <v>1380.0</v>
      </c>
      <c r="B1386" s="46" t="s">
        <v>22</v>
      </c>
      <c r="C1386" s="46" t="s">
        <v>431</v>
      </c>
      <c r="D1386" s="46" t="s">
        <v>443</v>
      </c>
      <c r="E1386" s="46"/>
      <c r="F1386" s="47" t="s">
        <v>19</v>
      </c>
      <c r="G1386" s="48">
        <v>488.0</v>
      </c>
      <c r="H1386" s="48">
        <v>136.0</v>
      </c>
      <c r="I1386" s="48">
        <v>4.0</v>
      </c>
      <c r="J1386" s="49">
        <v>78.2051282051282</v>
      </c>
      <c r="K1386" s="49"/>
      <c r="L1386" s="50">
        <v>491.0</v>
      </c>
      <c r="M1386" s="50">
        <v>28.0</v>
      </c>
      <c r="N1386" s="50">
        <v>2.0</v>
      </c>
      <c r="O1386" s="49">
        <v>94.6050096339114</v>
      </c>
      <c r="P1386" s="51"/>
    </row>
    <row r="1387" ht="15.0" customHeight="1">
      <c r="A1387" s="52">
        <v>1381.0</v>
      </c>
      <c r="B1387" s="53" t="s">
        <v>24</v>
      </c>
      <c r="C1387" s="60" t="s">
        <v>431</v>
      </c>
      <c r="D1387" s="60" t="s">
        <v>443</v>
      </c>
      <c r="E1387" s="60" t="s">
        <v>361</v>
      </c>
      <c r="F1387" s="61" t="s">
        <v>361</v>
      </c>
      <c r="G1387" s="54">
        <v>274.0</v>
      </c>
      <c r="H1387" s="54">
        <v>57.0</v>
      </c>
      <c r="I1387" s="54">
        <v>3.0</v>
      </c>
      <c r="J1387" s="55">
        <v>82.7794561933535</v>
      </c>
      <c r="K1387" s="55">
        <f>G1387+H1387+I1387</f>
        <v>334</v>
      </c>
      <c r="L1387" s="56">
        <v>245.0</v>
      </c>
      <c r="M1387" s="56">
        <v>17.0</v>
      </c>
      <c r="N1387" s="56">
        <v>1.0</v>
      </c>
      <c r="O1387" s="55">
        <v>93.5114503816794</v>
      </c>
      <c r="P1387" s="57">
        <f>L1387+M1387+N1387</f>
        <v>263</v>
      </c>
    </row>
    <row r="1388" ht="15.0" hidden="1" customHeight="1">
      <c r="A1388" s="45">
        <v>1382.0</v>
      </c>
      <c r="B1388" s="46" t="s">
        <v>24</v>
      </c>
      <c r="C1388" s="46" t="s">
        <v>431</v>
      </c>
      <c r="D1388" s="46" t="s">
        <v>443</v>
      </c>
      <c r="E1388" s="46" t="s">
        <v>361</v>
      </c>
      <c r="F1388" s="47" t="s">
        <v>18</v>
      </c>
      <c r="G1388" s="48"/>
      <c r="H1388" s="48"/>
      <c r="I1388" s="48"/>
      <c r="J1388" s="49"/>
      <c r="K1388" s="49"/>
      <c r="L1388" s="50"/>
      <c r="M1388" s="50"/>
      <c r="N1388" s="50"/>
      <c r="O1388" s="49"/>
      <c r="P1388" s="51"/>
    </row>
    <row r="1389" ht="15.0" hidden="1" customHeight="1">
      <c r="A1389" s="45">
        <v>1383.0</v>
      </c>
      <c r="B1389" s="46" t="s">
        <v>24</v>
      </c>
      <c r="C1389" s="46" t="s">
        <v>431</v>
      </c>
      <c r="D1389" s="46" t="s">
        <v>443</v>
      </c>
      <c r="E1389" s="46" t="s">
        <v>361</v>
      </c>
      <c r="F1389" s="47" t="s">
        <v>19</v>
      </c>
      <c r="G1389" s="48">
        <v>274.0</v>
      </c>
      <c r="H1389" s="48">
        <v>57.0</v>
      </c>
      <c r="I1389" s="48">
        <v>3.0</v>
      </c>
      <c r="J1389" s="49">
        <v>82.7794561933535</v>
      </c>
      <c r="K1389" s="49"/>
      <c r="L1389" s="50">
        <v>245.0</v>
      </c>
      <c r="M1389" s="50">
        <v>17.0</v>
      </c>
      <c r="N1389" s="50">
        <v>1.0</v>
      </c>
      <c r="O1389" s="49">
        <v>93.5114503816794</v>
      </c>
      <c r="P1389" s="51"/>
    </row>
    <row r="1390" ht="15.0" customHeight="1">
      <c r="A1390" s="52">
        <v>1384.0</v>
      </c>
      <c r="B1390" s="53" t="s">
        <v>24</v>
      </c>
      <c r="C1390" s="60" t="s">
        <v>431</v>
      </c>
      <c r="D1390" s="60" t="s">
        <v>443</v>
      </c>
      <c r="E1390" s="60" t="s">
        <v>104</v>
      </c>
      <c r="F1390" s="61" t="s">
        <v>104</v>
      </c>
      <c r="G1390" s="54">
        <v>214.0</v>
      </c>
      <c r="H1390" s="54">
        <v>79.0</v>
      </c>
      <c r="I1390" s="54">
        <v>1.0</v>
      </c>
      <c r="J1390" s="55">
        <v>73.037542662116</v>
      </c>
      <c r="K1390" s="55">
        <f>G1390+H1390+I1390</f>
        <v>294</v>
      </c>
      <c r="L1390" s="56">
        <v>246.0</v>
      </c>
      <c r="M1390" s="56">
        <v>11.0</v>
      </c>
      <c r="N1390" s="56">
        <v>1.0</v>
      </c>
      <c r="O1390" s="55">
        <v>95.7198443579767</v>
      </c>
      <c r="P1390" s="57">
        <f>L1390+M1390+N1390</f>
        <v>258</v>
      </c>
    </row>
    <row r="1391" ht="15.0" hidden="1" customHeight="1">
      <c r="A1391" s="45">
        <v>1385.0</v>
      </c>
      <c r="B1391" s="46" t="s">
        <v>24</v>
      </c>
      <c r="C1391" s="46" t="s">
        <v>431</v>
      </c>
      <c r="D1391" s="46" t="s">
        <v>443</v>
      </c>
      <c r="E1391" s="46" t="s">
        <v>104</v>
      </c>
      <c r="F1391" s="47" t="s">
        <v>18</v>
      </c>
      <c r="G1391" s="48"/>
      <c r="H1391" s="48"/>
      <c r="I1391" s="48"/>
      <c r="J1391" s="49"/>
      <c r="K1391" s="49"/>
      <c r="L1391" s="50"/>
      <c r="M1391" s="50"/>
      <c r="N1391" s="50"/>
      <c r="O1391" s="49"/>
      <c r="P1391" s="51"/>
    </row>
    <row r="1392" ht="15.0" hidden="1" customHeight="1">
      <c r="A1392" s="45">
        <v>1386.0</v>
      </c>
      <c r="B1392" s="46" t="s">
        <v>24</v>
      </c>
      <c r="C1392" s="46" t="s">
        <v>431</v>
      </c>
      <c r="D1392" s="46" t="s">
        <v>443</v>
      </c>
      <c r="E1392" s="46" t="s">
        <v>104</v>
      </c>
      <c r="F1392" s="47" t="s">
        <v>19</v>
      </c>
      <c r="G1392" s="48">
        <v>214.0</v>
      </c>
      <c r="H1392" s="48">
        <v>79.0</v>
      </c>
      <c r="I1392" s="48">
        <v>1.0</v>
      </c>
      <c r="J1392" s="49">
        <v>73.037542662116</v>
      </c>
      <c r="K1392" s="49"/>
      <c r="L1392" s="50">
        <v>246.0</v>
      </c>
      <c r="M1392" s="50">
        <v>11.0</v>
      </c>
      <c r="N1392" s="50">
        <v>1.0</v>
      </c>
      <c r="O1392" s="49">
        <v>95.7198443579767</v>
      </c>
      <c r="P1392" s="51"/>
    </row>
    <row r="1393" ht="15.0" hidden="1" customHeight="1">
      <c r="A1393" s="39">
        <v>1387.0</v>
      </c>
      <c r="B1393" s="40" t="s">
        <v>22</v>
      </c>
      <c r="C1393" s="59" t="s">
        <v>431</v>
      </c>
      <c r="D1393" s="59" t="s">
        <v>444</v>
      </c>
      <c r="E1393" s="59"/>
      <c r="F1393" s="40" t="s">
        <v>444</v>
      </c>
      <c r="G1393" s="41">
        <v>830.0</v>
      </c>
      <c r="H1393" s="41">
        <v>171.0</v>
      </c>
      <c r="I1393" s="41">
        <v>10.0</v>
      </c>
      <c r="J1393" s="42">
        <v>82.9170829170829</v>
      </c>
      <c r="K1393" s="42"/>
      <c r="L1393" s="43">
        <v>582.0</v>
      </c>
      <c r="M1393" s="43">
        <v>22.0</v>
      </c>
      <c r="N1393" s="43">
        <v>8.0</v>
      </c>
      <c r="O1393" s="42">
        <v>96.3576158940397</v>
      </c>
      <c r="P1393" s="44"/>
    </row>
    <row r="1394" ht="15.0" hidden="1" customHeight="1">
      <c r="A1394" s="45">
        <v>1388.0</v>
      </c>
      <c r="B1394" s="46" t="s">
        <v>22</v>
      </c>
      <c r="C1394" s="46" t="s">
        <v>431</v>
      </c>
      <c r="D1394" s="46" t="s">
        <v>444</v>
      </c>
      <c r="E1394" s="46"/>
      <c r="F1394" s="47" t="s">
        <v>18</v>
      </c>
      <c r="G1394" s="48"/>
      <c r="H1394" s="48"/>
      <c r="I1394" s="48"/>
      <c r="J1394" s="49"/>
      <c r="K1394" s="49"/>
      <c r="L1394" s="50"/>
      <c r="M1394" s="50"/>
      <c r="N1394" s="50"/>
      <c r="O1394" s="49"/>
      <c r="P1394" s="51"/>
    </row>
    <row r="1395" ht="15.0" hidden="1" customHeight="1">
      <c r="A1395" s="45">
        <v>1389.0</v>
      </c>
      <c r="B1395" s="46" t="s">
        <v>22</v>
      </c>
      <c r="C1395" s="46" t="s">
        <v>431</v>
      </c>
      <c r="D1395" s="46" t="s">
        <v>444</v>
      </c>
      <c r="E1395" s="46"/>
      <c r="F1395" s="47" t="s">
        <v>19</v>
      </c>
      <c r="G1395" s="48">
        <v>830.0</v>
      </c>
      <c r="H1395" s="48">
        <v>171.0</v>
      </c>
      <c r="I1395" s="48">
        <v>10.0</v>
      </c>
      <c r="J1395" s="49">
        <v>82.9170829170829</v>
      </c>
      <c r="K1395" s="49"/>
      <c r="L1395" s="50">
        <v>582.0</v>
      </c>
      <c r="M1395" s="50">
        <v>22.0</v>
      </c>
      <c r="N1395" s="50">
        <v>8.0</v>
      </c>
      <c r="O1395" s="49">
        <v>96.3576158940397</v>
      </c>
      <c r="P1395" s="51"/>
    </row>
    <row r="1396" ht="15.0" customHeight="1">
      <c r="A1396" s="52">
        <v>1390.0</v>
      </c>
      <c r="B1396" s="53" t="s">
        <v>24</v>
      </c>
      <c r="C1396" s="60" t="s">
        <v>431</v>
      </c>
      <c r="D1396" s="60" t="s">
        <v>444</v>
      </c>
      <c r="E1396" s="60" t="s">
        <v>445</v>
      </c>
      <c r="F1396" s="61" t="s">
        <v>445</v>
      </c>
      <c r="G1396" s="54">
        <v>215.0</v>
      </c>
      <c r="H1396" s="54">
        <v>40.0</v>
      </c>
      <c r="I1396" s="54">
        <v>1.0</v>
      </c>
      <c r="J1396" s="55">
        <v>84.3137254901961</v>
      </c>
      <c r="K1396" s="55">
        <f>G1396+H1396+I1396</f>
        <v>256</v>
      </c>
      <c r="L1396" s="56">
        <v>152.0</v>
      </c>
      <c r="M1396" s="56">
        <v>4.0</v>
      </c>
      <c r="N1396" s="56">
        <v>2.0</v>
      </c>
      <c r="O1396" s="55">
        <v>97.4358974358974</v>
      </c>
      <c r="P1396" s="57">
        <f>L1396+M1396+N1396</f>
        <v>158</v>
      </c>
    </row>
    <row r="1397" ht="15.0" hidden="1" customHeight="1">
      <c r="A1397" s="45">
        <v>1391.0</v>
      </c>
      <c r="B1397" s="46" t="s">
        <v>24</v>
      </c>
      <c r="C1397" s="46" t="s">
        <v>431</v>
      </c>
      <c r="D1397" s="46" t="s">
        <v>444</v>
      </c>
      <c r="E1397" s="46" t="s">
        <v>445</v>
      </c>
      <c r="F1397" s="47" t="s">
        <v>18</v>
      </c>
      <c r="G1397" s="48"/>
      <c r="H1397" s="48"/>
      <c r="I1397" s="48"/>
      <c r="J1397" s="49"/>
      <c r="K1397" s="49"/>
      <c r="L1397" s="50"/>
      <c r="M1397" s="50"/>
      <c r="N1397" s="50"/>
      <c r="O1397" s="49"/>
      <c r="P1397" s="51"/>
    </row>
    <row r="1398" ht="15.0" hidden="1" customHeight="1">
      <c r="A1398" s="45">
        <v>1392.0</v>
      </c>
      <c r="B1398" s="46" t="s">
        <v>24</v>
      </c>
      <c r="C1398" s="46" t="s">
        <v>431</v>
      </c>
      <c r="D1398" s="46" t="s">
        <v>444</v>
      </c>
      <c r="E1398" s="46" t="s">
        <v>445</v>
      </c>
      <c r="F1398" s="47" t="s">
        <v>19</v>
      </c>
      <c r="G1398" s="48">
        <v>215.0</v>
      </c>
      <c r="H1398" s="48">
        <v>40.0</v>
      </c>
      <c r="I1398" s="48">
        <v>1.0</v>
      </c>
      <c r="J1398" s="49">
        <v>84.3137254901961</v>
      </c>
      <c r="K1398" s="49"/>
      <c r="L1398" s="50">
        <v>152.0</v>
      </c>
      <c r="M1398" s="50">
        <v>4.0</v>
      </c>
      <c r="N1398" s="50">
        <v>2.0</v>
      </c>
      <c r="O1398" s="49">
        <v>97.4358974358974</v>
      </c>
      <c r="P1398" s="51"/>
    </row>
    <row r="1399" ht="15.0" customHeight="1">
      <c r="A1399" s="52">
        <v>1393.0</v>
      </c>
      <c r="B1399" s="53" t="s">
        <v>24</v>
      </c>
      <c r="C1399" s="60" t="s">
        <v>431</v>
      </c>
      <c r="D1399" s="60" t="s">
        <v>444</v>
      </c>
      <c r="E1399" s="60" t="s">
        <v>446</v>
      </c>
      <c r="F1399" s="61" t="s">
        <v>446</v>
      </c>
      <c r="G1399" s="54">
        <v>372.0</v>
      </c>
      <c r="H1399" s="54">
        <v>72.0</v>
      </c>
      <c r="I1399" s="54">
        <v>2.0</v>
      </c>
      <c r="J1399" s="55">
        <v>83.7837837837838</v>
      </c>
      <c r="K1399" s="55">
        <f>G1399+H1399+I1399</f>
        <v>446</v>
      </c>
      <c r="L1399" s="56">
        <v>234.0</v>
      </c>
      <c r="M1399" s="56">
        <v>8.0</v>
      </c>
      <c r="N1399" s="56">
        <v>3.0</v>
      </c>
      <c r="O1399" s="55">
        <v>96.6942148760331</v>
      </c>
      <c r="P1399" s="57">
        <f>L1399+M1399+N1399</f>
        <v>245</v>
      </c>
    </row>
    <row r="1400" ht="15.0" hidden="1" customHeight="1">
      <c r="A1400" s="45">
        <v>1394.0</v>
      </c>
      <c r="B1400" s="46" t="s">
        <v>24</v>
      </c>
      <c r="C1400" s="46" t="s">
        <v>431</v>
      </c>
      <c r="D1400" s="46" t="s">
        <v>444</v>
      </c>
      <c r="E1400" s="46" t="s">
        <v>446</v>
      </c>
      <c r="F1400" s="47" t="s">
        <v>18</v>
      </c>
      <c r="G1400" s="48"/>
      <c r="H1400" s="48"/>
      <c r="I1400" s="48"/>
      <c r="J1400" s="49"/>
      <c r="K1400" s="49"/>
      <c r="L1400" s="50"/>
      <c r="M1400" s="50"/>
      <c r="N1400" s="50"/>
      <c r="O1400" s="49"/>
      <c r="P1400" s="51"/>
    </row>
    <row r="1401" ht="15.0" hidden="1" customHeight="1">
      <c r="A1401" s="45">
        <v>1395.0</v>
      </c>
      <c r="B1401" s="46" t="s">
        <v>24</v>
      </c>
      <c r="C1401" s="46" t="s">
        <v>431</v>
      </c>
      <c r="D1401" s="46" t="s">
        <v>444</v>
      </c>
      <c r="E1401" s="46" t="s">
        <v>446</v>
      </c>
      <c r="F1401" s="47" t="s">
        <v>19</v>
      </c>
      <c r="G1401" s="48">
        <v>372.0</v>
      </c>
      <c r="H1401" s="48">
        <v>72.0</v>
      </c>
      <c r="I1401" s="48">
        <v>2.0</v>
      </c>
      <c r="J1401" s="49">
        <v>83.7837837837838</v>
      </c>
      <c r="K1401" s="49"/>
      <c r="L1401" s="50">
        <v>234.0</v>
      </c>
      <c r="M1401" s="50">
        <v>8.0</v>
      </c>
      <c r="N1401" s="50">
        <v>3.0</v>
      </c>
      <c r="O1401" s="49">
        <v>96.6942148760331</v>
      </c>
      <c r="P1401" s="51"/>
    </row>
    <row r="1402" ht="15.0" customHeight="1">
      <c r="A1402" s="52">
        <v>1396.0</v>
      </c>
      <c r="B1402" s="53" t="s">
        <v>24</v>
      </c>
      <c r="C1402" s="60" t="s">
        <v>431</v>
      </c>
      <c r="D1402" s="60" t="s">
        <v>444</v>
      </c>
      <c r="E1402" s="60" t="s">
        <v>447</v>
      </c>
      <c r="F1402" s="61" t="s">
        <v>447</v>
      </c>
      <c r="G1402" s="54">
        <v>243.0</v>
      </c>
      <c r="H1402" s="54">
        <v>59.0</v>
      </c>
      <c r="I1402" s="54">
        <v>7.0</v>
      </c>
      <c r="J1402" s="55">
        <v>80.4635761589404</v>
      </c>
      <c r="K1402" s="55">
        <f>G1402+H1402+I1402</f>
        <v>309</v>
      </c>
      <c r="L1402" s="56">
        <v>196.0</v>
      </c>
      <c r="M1402" s="56">
        <v>10.0</v>
      </c>
      <c r="N1402" s="56">
        <v>3.0</v>
      </c>
      <c r="O1402" s="55">
        <v>95.1456310679612</v>
      </c>
      <c r="P1402" s="57">
        <f>L1402+M1402+N1402</f>
        <v>209</v>
      </c>
    </row>
    <row r="1403" ht="15.0" hidden="1" customHeight="1">
      <c r="A1403" s="45">
        <v>1397.0</v>
      </c>
      <c r="B1403" s="46" t="s">
        <v>24</v>
      </c>
      <c r="C1403" s="46" t="s">
        <v>431</v>
      </c>
      <c r="D1403" s="46" t="s">
        <v>444</v>
      </c>
      <c r="E1403" s="46" t="s">
        <v>447</v>
      </c>
      <c r="F1403" s="47" t="s">
        <v>18</v>
      </c>
      <c r="G1403" s="48"/>
      <c r="H1403" s="48"/>
      <c r="I1403" s="48"/>
      <c r="J1403" s="49"/>
      <c r="K1403" s="49"/>
      <c r="L1403" s="50"/>
      <c r="M1403" s="50"/>
      <c r="N1403" s="50"/>
      <c r="O1403" s="49"/>
      <c r="P1403" s="51"/>
    </row>
    <row r="1404" ht="15.0" hidden="1" customHeight="1">
      <c r="A1404" s="62">
        <v>1398.0</v>
      </c>
      <c r="B1404" s="63" t="s">
        <v>24</v>
      </c>
      <c r="C1404" s="63" t="s">
        <v>431</v>
      </c>
      <c r="D1404" s="63" t="s">
        <v>444</v>
      </c>
      <c r="E1404" s="63" t="s">
        <v>447</v>
      </c>
      <c r="F1404" s="64" t="s">
        <v>19</v>
      </c>
      <c r="G1404" s="65">
        <v>243.0</v>
      </c>
      <c r="H1404" s="65">
        <v>59.0</v>
      </c>
      <c r="I1404" s="65">
        <v>7.0</v>
      </c>
      <c r="J1404" s="66">
        <v>80.4635761589404</v>
      </c>
      <c r="K1404" s="66"/>
      <c r="L1404" s="67">
        <v>196.0</v>
      </c>
      <c r="M1404" s="67">
        <v>10.0</v>
      </c>
      <c r="N1404" s="67">
        <v>3.0</v>
      </c>
      <c r="O1404" s="66">
        <v>95.1456310679612</v>
      </c>
      <c r="P1404" s="51"/>
    </row>
    <row r="1405" ht="15.0" hidden="1" customHeight="1">
      <c r="A1405" s="68" t="s">
        <v>448</v>
      </c>
      <c r="B1405" s="69"/>
      <c r="C1405" s="70"/>
      <c r="D1405" s="69"/>
      <c r="E1405" s="69"/>
      <c r="G1405" s="71"/>
      <c r="H1405" s="71"/>
      <c r="I1405" s="71"/>
      <c r="L1405" s="71"/>
      <c r="M1405" s="71"/>
      <c r="N1405" s="71"/>
    </row>
    <row r="1406" ht="15.75" hidden="1" customHeight="1">
      <c r="A1406" s="72" t="s">
        <v>449</v>
      </c>
    </row>
    <row r="1407" ht="15.75" hidden="1" customHeight="1">
      <c r="A1407" s="72" t="s">
        <v>450</v>
      </c>
    </row>
    <row r="1408" ht="15.75" hidden="1" customHeight="1">
      <c r="A1408" s="72" t="s">
        <v>451</v>
      </c>
    </row>
    <row r="1409" ht="15.75" hidden="1" customHeight="1">
      <c r="A1409" s="73"/>
    </row>
  </sheetData>
  <autoFilter ref="$A$6:$O$1409">
    <filterColumn colId="5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La Paz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Chuquisac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Beni"/>
        <filter val="San Ramón"/>
        <filter val="Porco"/>
        <filter val="Yamparáez"/>
        <filter val="Méndez"/>
        <filter val="Mapiri"/>
        <filter val="Papel Pampa"/>
        <filter val="Viacha"/>
        <filter val="Tarija"/>
        <filter val="Tipuani"/>
        <filter val="Tiahuanacu"/>
        <filter val="San Lucas"/>
        <filter val="Pando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Tomás Frías"/>
        <filter val="Santiago de Huari"/>
        <filter val="Yacuiba"/>
        <filter val="Montero"/>
        <filter val="Fernández Alonso"/>
        <filter val="Santa Cruz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Bolivi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1">
      <filters>
        <filter val="Municipio/TIOC"/>
      </filters>
    </filterColumn>
  </autoFilter>
  <mergeCells count="4">
    <mergeCell ref="G4:J4"/>
    <mergeCell ref="L4:O4"/>
    <mergeCell ref="G5:I5"/>
    <mergeCell ref="L5:N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60.0" customHeight="1">
      <c r="A1" s="74" t="s">
        <v>452</v>
      </c>
      <c r="B1" s="74" t="s">
        <v>453</v>
      </c>
      <c r="C1" s="75" t="s">
        <v>454</v>
      </c>
      <c r="D1" s="75" t="s">
        <v>455</v>
      </c>
      <c r="E1" s="76" t="s">
        <v>456</v>
      </c>
      <c r="F1" s="75" t="s">
        <v>457</v>
      </c>
      <c r="G1" s="75" t="s">
        <v>458</v>
      </c>
      <c r="H1" s="77" t="s">
        <v>459</v>
      </c>
      <c r="I1" s="78" t="s">
        <v>460</v>
      </c>
      <c r="J1" s="78" t="s">
        <v>461</v>
      </c>
      <c r="K1" s="79" t="s">
        <v>462</v>
      </c>
      <c r="L1" s="78" t="s">
        <v>463</v>
      </c>
      <c r="M1" s="78" t="s">
        <v>464</v>
      </c>
      <c r="N1" s="80" t="s">
        <v>465</v>
      </c>
      <c r="O1" s="81"/>
      <c r="P1" s="82" t="s">
        <v>20</v>
      </c>
      <c r="Q1" s="83" t="s">
        <v>454</v>
      </c>
      <c r="R1" s="82" t="s">
        <v>466</v>
      </c>
      <c r="S1" s="83" t="s">
        <v>467</v>
      </c>
      <c r="T1" s="83" t="s">
        <v>457</v>
      </c>
      <c r="U1" s="83" t="s">
        <v>460</v>
      </c>
      <c r="V1" s="82" t="s">
        <v>468</v>
      </c>
      <c r="W1" s="83" t="s">
        <v>462</v>
      </c>
      <c r="X1" s="83" t="s">
        <v>463</v>
      </c>
      <c r="Y1" s="84"/>
      <c r="Z1" s="84"/>
      <c r="AA1" s="84"/>
      <c r="AB1" s="84"/>
      <c r="AC1" s="84"/>
      <c r="AD1" s="84"/>
      <c r="AE1" s="84"/>
      <c r="AF1" s="84"/>
      <c r="AG1" s="84"/>
    </row>
    <row r="2">
      <c r="A2" s="85">
        <v>10101.0</v>
      </c>
      <c r="B2" s="86" t="s">
        <v>25</v>
      </c>
      <c r="C2" s="87">
        <v>25527.0</v>
      </c>
      <c r="D2" s="87">
        <v>1307.0</v>
      </c>
      <c r="E2" s="87">
        <v>27248.0</v>
      </c>
      <c r="F2" s="88">
        <f t="shared" ref="F2:F344" si="1">(C2/(C2+D2))*100</f>
        <v>95.12931356</v>
      </c>
      <c r="G2" s="87">
        <v>261622.0</v>
      </c>
      <c r="H2" s="89">
        <f t="shared" ref="H2:H344" si="2">+(E2/G2)*100</f>
        <v>10.41502626</v>
      </c>
      <c r="I2" s="90">
        <v>19284.0</v>
      </c>
      <c r="J2" s="90">
        <v>234.0</v>
      </c>
      <c r="K2" s="87">
        <v>19598.0</v>
      </c>
      <c r="L2" s="88">
        <f t="shared" ref="L2:L344" si="3">(I2/(I2+J2))*100</f>
        <v>98.80110667</v>
      </c>
      <c r="M2" s="87">
        <v>296746.0</v>
      </c>
      <c r="N2" s="89">
        <f t="shared" ref="N2:N344" si="4">+(K2/M2)*100</f>
        <v>6.604301322</v>
      </c>
      <c r="O2" s="90"/>
      <c r="P2" s="91" t="s">
        <v>21</v>
      </c>
      <c r="Q2" s="92">
        <v>57918.0</v>
      </c>
      <c r="R2" s="92">
        <v>5339.0</v>
      </c>
      <c r="S2" s="93">
        <v>64250.0</v>
      </c>
      <c r="T2" s="93">
        <f t="shared" ref="T2:T12" si="5">(Q2/(Q2+R2))*100</f>
        <v>91.55982737</v>
      </c>
      <c r="U2" s="94">
        <v>41815.0</v>
      </c>
      <c r="V2" s="94">
        <v>996.0</v>
      </c>
      <c r="W2" s="93">
        <v>43059.0</v>
      </c>
      <c r="X2" s="93">
        <f t="shared" ref="X2:X12" si="6">(U2/(U2+V2))*100</f>
        <v>97.67349513</v>
      </c>
    </row>
    <row r="3">
      <c r="A3" s="85">
        <v>10102.0</v>
      </c>
      <c r="B3" s="86" t="s">
        <v>26</v>
      </c>
      <c r="C3" s="87">
        <v>885.0</v>
      </c>
      <c r="D3" s="87">
        <v>34.0</v>
      </c>
      <c r="E3" s="87">
        <v>928.0</v>
      </c>
      <c r="F3" s="88">
        <f t="shared" si="1"/>
        <v>96.30032644</v>
      </c>
      <c r="G3" s="87">
        <v>9461.0</v>
      </c>
      <c r="H3" s="89">
        <f t="shared" si="2"/>
        <v>9.808688299</v>
      </c>
      <c r="I3" s="90">
        <v>618.0</v>
      </c>
      <c r="J3" s="90">
        <v>9.0</v>
      </c>
      <c r="K3" s="87">
        <v>628.0</v>
      </c>
      <c r="L3" s="88">
        <f t="shared" si="3"/>
        <v>98.5645933</v>
      </c>
      <c r="M3" s="87">
        <v>9256.0</v>
      </c>
      <c r="N3" s="89">
        <f t="shared" si="4"/>
        <v>6.784788245</v>
      </c>
      <c r="O3" s="90"/>
      <c r="P3" s="91" t="s">
        <v>59</v>
      </c>
      <c r="Q3" s="92">
        <v>241372.0</v>
      </c>
      <c r="R3" s="92">
        <v>19160.0</v>
      </c>
      <c r="S3" s="93">
        <v>262503.0</v>
      </c>
      <c r="T3" s="93">
        <f t="shared" si="5"/>
        <v>92.64581702</v>
      </c>
      <c r="U3" s="94">
        <v>196901.0</v>
      </c>
      <c r="V3" s="94">
        <v>5496.0</v>
      </c>
      <c r="W3" s="93">
        <v>203834.0</v>
      </c>
      <c r="X3" s="93">
        <f t="shared" si="6"/>
        <v>97.28454473</v>
      </c>
    </row>
    <row r="4">
      <c r="A4" s="85">
        <v>10103.0</v>
      </c>
      <c r="B4" s="86" t="s">
        <v>27</v>
      </c>
      <c r="C4" s="87">
        <v>1845.0</v>
      </c>
      <c r="D4" s="87">
        <v>307.0</v>
      </c>
      <c r="E4" s="87">
        <v>2198.0</v>
      </c>
      <c r="F4" s="88">
        <f t="shared" si="1"/>
        <v>85.73420074</v>
      </c>
      <c r="G4" s="87">
        <v>16532.0</v>
      </c>
      <c r="H4" s="89">
        <f t="shared" si="2"/>
        <v>13.29542705</v>
      </c>
      <c r="I4" s="90">
        <v>1106.0</v>
      </c>
      <c r="J4" s="90">
        <v>17.0</v>
      </c>
      <c r="K4" s="87">
        <v>1135.0</v>
      </c>
      <c r="L4" s="88">
        <f t="shared" si="3"/>
        <v>98.48619768</v>
      </c>
      <c r="M4" s="87">
        <v>13649.0</v>
      </c>
      <c r="N4" s="89">
        <f t="shared" si="4"/>
        <v>8.315627518</v>
      </c>
      <c r="O4" s="90"/>
      <c r="P4" s="91" t="s">
        <v>165</v>
      </c>
      <c r="Q4" s="92">
        <v>169054.0</v>
      </c>
      <c r="R4" s="92">
        <v>18996.0</v>
      </c>
      <c r="S4" s="93">
        <v>190688.0</v>
      </c>
      <c r="T4" s="93">
        <f t="shared" si="5"/>
        <v>89.89843127</v>
      </c>
      <c r="U4" s="94">
        <v>144062.0</v>
      </c>
      <c r="V4" s="94">
        <v>3700.0</v>
      </c>
      <c r="W4" s="93">
        <v>148692.0</v>
      </c>
      <c r="X4" s="93">
        <f t="shared" si="6"/>
        <v>97.49597325</v>
      </c>
    </row>
    <row r="5">
      <c r="A5" s="85">
        <v>10201.0</v>
      </c>
      <c r="B5" s="86" t="s">
        <v>28</v>
      </c>
      <c r="C5" s="87">
        <v>1175.0</v>
      </c>
      <c r="D5" s="87">
        <v>146.0</v>
      </c>
      <c r="E5" s="87">
        <v>1354.0</v>
      </c>
      <c r="F5" s="88">
        <f t="shared" si="1"/>
        <v>88.94776684</v>
      </c>
      <c r="G5" s="87">
        <v>10652.0</v>
      </c>
      <c r="H5" s="89">
        <f t="shared" si="2"/>
        <v>12.71122794</v>
      </c>
      <c r="I5" s="90">
        <v>696.0</v>
      </c>
      <c r="J5" s="90">
        <v>16.0</v>
      </c>
      <c r="K5" s="87">
        <v>725.0</v>
      </c>
      <c r="L5" s="88">
        <f t="shared" si="3"/>
        <v>97.75280899</v>
      </c>
      <c r="M5" s="87">
        <v>7903.0</v>
      </c>
      <c r="N5" s="89">
        <f t="shared" si="4"/>
        <v>9.173731494</v>
      </c>
      <c r="O5" s="90"/>
      <c r="P5" s="91" t="s">
        <v>219</v>
      </c>
      <c r="Q5" s="92">
        <v>49798.0</v>
      </c>
      <c r="R5" s="92">
        <v>4560.0</v>
      </c>
      <c r="S5" s="93">
        <v>54864.0</v>
      </c>
      <c r="T5" s="93">
        <f t="shared" si="5"/>
        <v>91.61117039</v>
      </c>
      <c r="U5" s="94">
        <v>40293.0</v>
      </c>
      <c r="V5" s="94">
        <v>1205.0</v>
      </c>
      <c r="W5" s="93">
        <v>41870.0</v>
      </c>
      <c r="X5" s="93">
        <f t="shared" si="6"/>
        <v>97.0962456</v>
      </c>
    </row>
    <row r="6">
      <c r="A6" s="85">
        <v>10202.0</v>
      </c>
      <c r="B6" s="86" t="s">
        <v>29</v>
      </c>
      <c r="C6" s="87">
        <v>1388.0</v>
      </c>
      <c r="D6" s="87">
        <v>204.0</v>
      </c>
      <c r="E6" s="87">
        <v>1623.0</v>
      </c>
      <c r="F6" s="88">
        <f t="shared" si="1"/>
        <v>87.18592965</v>
      </c>
      <c r="G6" s="87">
        <v>14261.0</v>
      </c>
      <c r="H6" s="89">
        <f t="shared" si="2"/>
        <v>11.38068859</v>
      </c>
      <c r="I6" s="90">
        <v>1399.0</v>
      </c>
      <c r="J6" s="90">
        <v>47.0</v>
      </c>
      <c r="K6" s="87">
        <v>1455.0</v>
      </c>
      <c r="L6" s="88">
        <f t="shared" si="3"/>
        <v>96.74965422</v>
      </c>
      <c r="M6" s="87">
        <v>16812.0</v>
      </c>
      <c r="N6" s="89">
        <f t="shared" si="4"/>
        <v>8.654532477</v>
      </c>
      <c r="O6" s="90"/>
      <c r="P6" s="91" t="s">
        <v>265</v>
      </c>
      <c r="Q6" s="92">
        <v>85494.0</v>
      </c>
      <c r="R6" s="92">
        <v>9462.0</v>
      </c>
      <c r="S6" s="93">
        <v>97463.0</v>
      </c>
      <c r="T6" s="93">
        <f t="shared" si="5"/>
        <v>90.03538481</v>
      </c>
      <c r="U6" s="94">
        <v>68866.0</v>
      </c>
      <c r="V6" s="94">
        <v>1851.0</v>
      </c>
      <c r="W6" s="93">
        <v>71266.0</v>
      </c>
      <c r="X6" s="93">
        <f t="shared" si="6"/>
        <v>97.38252471</v>
      </c>
    </row>
    <row r="7">
      <c r="A7" s="85">
        <v>10301.0</v>
      </c>
      <c r="B7" s="86" t="s">
        <v>30</v>
      </c>
      <c r="C7" s="87">
        <v>988.0</v>
      </c>
      <c r="D7" s="87">
        <v>97.0</v>
      </c>
      <c r="E7" s="87">
        <v>1103.0</v>
      </c>
      <c r="F7" s="88">
        <f t="shared" si="1"/>
        <v>91.05990783</v>
      </c>
      <c r="G7" s="87">
        <v>11362.0</v>
      </c>
      <c r="H7" s="89">
        <f t="shared" si="2"/>
        <v>9.707797923</v>
      </c>
      <c r="I7" s="90">
        <v>875.0</v>
      </c>
      <c r="J7" s="90">
        <v>17.0</v>
      </c>
      <c r="K7" s="87">
        <v>896.0</v>
      </c>
      <c r="L7" s="88">
        <f t="shared" si="3"/>
        <v>98.0941704</v>
      </c>
      <c r="M7" s="87">
        <v>13694.0</v>
      </c>
      <c r="N7" s="89">
        <f t="shared" si="4"/>
        <v>6.543011538</v>
      </c>
      <c r="O7" s="90"/>
      <c r="P7" s="91" t="s">
        <v>322</v>
      </c>
      <c r="Q7" s="92">
        <v>45619.0</v>
      </c>
      <c r="R7" s="92">
        <v>3700.0</v>
      </c>
      <c r="S7" s="93">
        <v>50266.0</v>
      </c>
      <c r="T7" s="93">
        <f t="shared" si="5"/>
        <v>92.49782031</v>
      </c>
      <c r="U7" s="94">
        <v>33848.0</v>
      </c>
      <c r="V7" s="94">
        <v>1044.0</v>
      </c>
      <c r="W7" s="93">
        <v>35090.0</v>
      </c>
      <c r="X7" s="93">
        <f t="shared" si="6"/>
        <v>97.00791012</v>
      </c>
    </row>
    <row r="8">
      <c r="A8" s="85">
        <v>10302.0</v>
      </c>
      <c r="B8" s="86" t="s">
        <v>31</v>
      </c>
      <c r="C8" s="87">
        <v>1288.0</v>
      </c>
      <c r="D8" s="87">
        <v>227.0</v>
      </c>
      <c r="E8" s="87">
        <v>1552.0</v>
      </c>
      <c r="F8" s="88">
        <f t="shared" si="1"/>
        <v>85.01650165</v>
      </c>
      <c r="G8" s="87">
        <v>12385.0</v>
      </c>
      <c r="H8" s="89">
        <f t="shared" si="2"/>
        <v>12.53128785</v>
      </c>
      <c r="I8" s="90">
        <v>997.0</v>
      </c>
      <c r="J8" s="90">
        <v>38.0</v>
      </c>
      <c r="K8" s="87">
        <v>1050.0</v>
      </c>
      <c r="L8" s="88">
        <f t="shared" si="3"/>
        <v>96.32850242</v>
      </c>
      <c r="M8" s="87">
        <v>12539.0</v>
      </c>
      <c r="N8" s="89">
        <f t="shared" si="4"/>
        <v>8.373873515</v>
      </c>
      <c r="O8" s="90"/>
      <c r="P8" s="91" t="s">
        <v>337</v>
      </c>
      <c r="Q8" s="92">
        <v>249052.0</v>
      </c>
      <c r="R8" s="92">
        <v>47155.0</v>
      </c>
      <c r="S8" s="93">
        <v>300515.0</v>
      </c>
      <c r="T8" s="93">
        <f t="shared" si="5"/>
        <v>84.08038973</v>
      </c>
      <c r="U8" s="94">
        <v>234588.0</v>
      </c>
      <c r="V8" s="94">
        <v>13885.0</v>
      </c>
      <c r="W8" s="93">
        <v>250753.0</v>
      </c>
      <c r="X8" s="93">
        <f t="shared" si="6"/>
        <v>94.41186769</v>
      </c>
    </row>
    <row r="9">
      <c r="A9" s="85">
        <v>10303.0</v>
      </c>
      <c r="B9" s="86" t="s">
        <v>32</v>
      </c>
      <c r="C9" s="87">
        <v>855.0</v>
      </c>
      <c r="D9" s="87">
        <v>76.0</v>
      </c>
      <c r="E9" s="87">
        <v>945.0</v>
      </c>
      <c r="F9" s="88">
        <f t="shared" si="1"/>
        <v>91.83673469</v>
      </c>
      <c r="G9" s="87">
        <v>8068.0</v>
      </c>
      <c r="H9" s="89">
        <f t="shared" si="2"/>
        <v>11.71294001</v>
      </c>
      <c r="I9" s="90">
        <v>733.0</v>
      </c>
      <c r="J9" s="90">
        <v>30.0</v>
      </c>
      <c r="K9" s="87">
        <v>765.0</v>
      </c>
      <c r="L9" s="88">
        <f t="shared" si="3"/>
        <v>96.06815203</v>
      </c>
      <c r="M9" s="87">
        <v>9055.0</v>
      </c>
      <c r="N9" s="89">
        <f t="shared" si="4"/>
        <v>8.448371066</v>
      </c>
      <c r="O9" s="90"/>
      <c r="P9" s="91" t="s">
        <v>406</v>
      </c>
      <c r="Q9" s="92">
        <v>45799.0</v>
      </c>
      <c r="R9" s="92">
        <v>7775.0</v>
      </c>
      <c r="S9" s="93">
        <v>54452.0</v>
      </c>
      <c r="T9" s="93">
        <f t="shared" si="5"/>
        <v>85.48736327</v>
      </c>
      <c r="U9" s="94">
        <v>43046.0</v>
      </c>
      <c r="V9" s="94">
        <v>2228.0</v>
      </c>
      <c r="W9" s="93">
        <v>45804.0</v>
      </c>
      <c r="X9" s="93">
        <f t="shared" si="6"/>
        <v>95.0788532</v>
      </c>
    </row>
    <row r="10">
      <c r="A10" s="85">
        <v>10304.0</v>
      </c>
      <c r="B10" s="86" t="s">
        <v>33</v>
      </c>
      <c r="C10" s="87">
        <v>735.0</v>
      </c>
      <c r="D10" s="87">
        <v>98.0</v>
      </c>
      <c r="E10" s="87">
        <v>843.0</v>
      </c>
      <c r="F10" s="88">
        <f t="shared" si="1"/>
        <v>88.23529412</v>
      </c>
      <c r="G10" s="87">
        <v>7774.0</v>
      </c>
      <c r="H10" s="89">
        <f t="shared" si="2"/>
        <v>10.84383844</v>
      </c>
      <c r="I10" s="90">
        <v>572.0</v>
      </c>
      <c r="J10" s="90">
        <v>9.0</v>
      </c>
      <c r="K10" s="87">
        <v>586.0</v>
      </c>
      <c r="L10" s="88">
        <f t="shared" si="3"/>
        <v>98.45094664</v>
      </c>
      <c r="M10" s="87">
        <v>9155.0</v>
      </c>
      <c r="N10" s="89">
        <f t="shared" si="4"/>
        <v>6.400873839</v>
      </c>
      <c r="O10" s="90"/>
      <c r="P10" s="91" t="s">
        <v>431</v>
      </c>
      <c r="Q10" s="92">
        <v>13063.0</v>
      </c>
      <c r="R10" s="92">
        <v>1747.0</v>
      </c>
      <c r="S10" s="93">
        <v>14947.0</v>
      </c>
      <c r="T10" s="93">
        <f t="shared" si="5"/>
        <v>88.20391627</v>
      </c>
      <c r="U10" s="94">
        <v>11685.0</v>
      </c>
      <c r="V10" s="94">
        <v>407.0</v>
      </c>
      <c r="W10" s="93">
        <v>12181.0</v>
      </c>
      <c r="X10" s="93">
        <f t="shared" si="6"/>
        <v>96.63413827</v>
      </c>
    </row>
    <row r="11">
      <c r="A11" s="85">
        <v>10401.0</v>
      </c>
      <c r="B11" s="86" t="s">
        <v>35</v>
      </c>
      <c r="C11" s="87">
        <v>892.0</v>
      </c>
      <c r="D11" s="87">
        <v>105.0</v>
      </c>
      <c r="E11" s="87">
        <v>1033.0</v>
      </c>
      <c r="F11" s="88">
        <f t="shared" si="1"/>
        <v>89.46840522</v>
      </c>
      <c r="G11" s="87">
        <v>10383.0</v>
      </c>
      <c r="H11" s="89">
        <f t="shared" si="2"/>
        <v>9.948955023</v>
      </c>
      <c r="I11" s="90">
        <v>669.0</v>
      </c>
      <c r="J11" s="90">
        <v>16.0</v>
      </c>
      <c r="K11" s="87">
        <v>689.0</v>
      </c>
      <c r="L11" s="88">
        <f t="shared" si="3"/>
        <v>97.66423358</v>
      </c>
      <c r="M11" s="87">
        <v>9192.0</v>
      </c>
      <c r="N11" s="89">
        <f t="shared" si="4"/>
        <v>7.49564839</v>
      </c>
      <c r="O11" s="90"/>
      <c r="P11" s="95" t="s">
        <v>17</v>
      </c>
      <c r="Q11" s="96">
        <v>957169.0</v>
      </c>
      <c r="R11" s="96">
        <v>117894.0</v>
      </c>
      <c r="S11" s="97">
        <v>1089948.0</v>
      </c>
      <c r="T11" s="97">
        <f t="shared" si="5"/>
        <v>89.03375895</v>
      </c>
      <c r="U11" s="95">
        <v>815104.0</v>
      </c>
      <c r="V11" s="95">
        <v>30812.0</v>
      </c>
      <c r="W11" s="97">
        <v>852549.0</v>
      </c>
      <c r="X11" s="97">
        <f t="shared" si="6"/>
        <v>96.35755796</v>
      </c>
    </row>
    <row r="12">
      <c r="A12" s="85">
        <v>10402.0</v>
      </c>
      <c r="B12" s="86" t="s">
        <v>34</v>
      </c>
      <c r="C12" s="87">
        <v>849.0</v>
      </c>
      <c r="D12" s="87">
        <v>90.0</v>
      </c>
      <c r="E12" s="87">
        <v>954.0</v>
      </c>
      <c r="F12" s="88">
        <f t="shared" si="1"/>
        <v>90.41533546</v>
      </c>
      <c r="G12" s="87">
        <v>8494.0</v>
      </c>
      <c r="H12" s="89">
        <f t="shared" si="2"/>
        <v>11.2314575</v>
      </c>
      <c r="I12" s="90">
        <v>611.0</v>
      </c>
      <c r="J12" s="90">
        <v>13.0</v>
      </c>
      <c r="K12" s="87">
        <v>627.0</v>
      </c>
      <c r="L12" s="88">
        <f t="shared" si="3"/>
        <v>97.91666667</v>
      </c>
      <c r="M12" s="87">
        <v>8509.0</v>
      </c>
      <c r="N12" s="89">
        <f t="shared" si="4"/>
        <v>7.368668469</v>
      </c>
      <c r="O12" s="90"/>
      <c r="P12" s="94" t="s">
        <v>326</v>
      </c>
      <c r="Q12" s="92">
        <f t="shared" ref="Q12:S12" si="7">SUM(C246:C248)</f>
        <v>14255</v>
      </c>
      <c r="R12" s="92">
        <f t="shared" si="7"/>
        <v>1680</v>
      </c>
      <c r="S12" s="92">
        <f t="shared" si="7"/>
        <v>16245</v>
      </c>
      <c r="T12" s="93">
        <f t="shared" si="5"/>
        <v>89.45716975</v>
      </c>
      <c r="U12" s="92">
        <f t="shared" ref="U12:W12" si="8">SUM(I246:I248)</f>
        <v>11294</v>
      </c>
      <c r="V12" s="92">
        <f t="shared" si="8"/>
        <v>477</v>
      </c>
      <c r="W12" s="92">
        <f t="shared" si="8"/>
        <v>11873</v>
      </c>
      <c r="X12" s="93">
        <f t="shared" si="6"/>
        <v>95.947668</v>
      </c>
    </row>
    <row r="13">
      <c r="A13" s="85">
        <v>10403.0</v>
      </c>
      <c r="B13" s="86" t="s">
        <v>36</v>
      </c>
      <c r="C13" s="87">
        <v>765.0</v>
      </c>
      <c r="D13" s="87">
        <v>88.0</v>
      </c>
      <c r="E13" s="87">
        <v>863.0</v>
      </c>
      <c r="F13" s="88">
        <f t="shared" si="1"/>
        <v>89.68347011</v>
      </c>
      <c r="G13" s="87">
        <v>7312.0</v>
      </c>
      <c r="H13" s="89">
        <f t="shared" si="2"/>
        <v>11.80251641</v>
      </c>
      <c r="I13" s="90">
        <v>528.0</v>
      </c>
      <c r="J13" s="90">
        <v>15.0</v>
      </c>
      <c r="K13" s="87">
        <v>545.0</v>
      </c>
      <c r="L13" s="88">
        <f t="shared" si="3"/>
        <v>97.23756906</v>
      </c>
      <c r="M13" s="87">
        <v>6942.0</v>
      </c>
      <c r="N13" s="89">
        <f t="shared" si="4"/>
        <v>7.850763469</v>
      </c>
      <c r="O13" s="90"/>
      <c r="P13" s="90"/>
    </row>
    <row r="14">
      <c r="A14" s="85">
        <v>10404.0</v>
      </c>
      <c r="B14" s="86" t="s">
        <v>37</v>
      </c>
      <c r="C14" s="87">
        <v>432.0</v>
      </c>
      <c r="D14" s="87">
        <v>63.0</v>
      </c>
      <c r="E14" s="87">
        <v>500.0</v>
      </c>
      <c r="F14" s="88">
        <f t="shared" si="1"/>
        <v>87.27272727</v>
      </c>
      <c r="G14" s="87">
        <v>4902.0</v>
      </c>
      <c r="H14" s="89">
        <f t="shared" si="2"/>
        <v>10.1999184</v>
      </c>
      <c r="I14" s="90">
        <v>228.0</v>
      </c>
      <c r="J14" s="90">
        <v>5.0</v>
      </c>
      <c r="K14" s="87">
        <v>234.0</v>
      </c>
      <c r="L14" s="88">
        <f t="shared" si="3"/>
        <v>97.85407725</v>
      </c>
      <c r="M14" s="87">
        <v>3768.0</v>
      </c>
      <c r="N14" s="89">
        <f t="shared" si="4"/>
        <v>6.210191083</v>
      </c>
      <c r="O14" s="90"/>
      <c r="P14" s="90"/>
    </row>
    <row r="15">
      <c r="A15" s="85">
        <v>10405.0</v>
      </c>
      <c r="B15" s="86" t="s">
        <v>38</v>
      </c>
      <c r="C15" s="87">
        <v>405.0</v>
      </c>
      <c r="D15" s="87">
        <v>18.0</v>
      </c>
      <c r="E15" s="87">
        <v>427.0</v>
      </c>
      <c r="F15" s="88">
        <f t="shared" si="1"/>
        <v>95.74468085</v>
      </c>
      <c r="G15" s="87">
        <v>4465.0</v>
      </c>
      <c r="H15" s="89">
        <f t="shared" si="2"/>
        <v>9.563269877</v>
      </c>
      <c r="I15" s="90">
        <v>412.0</v>
      </c>
      <c r="J15" s="90">
        <v>14.0</v>
      </c>
      <c r="K15" s="87">
        <v>429.0</v>
      </c>
      <c r="L15" s="88">
        <f t="shared" si="3"/>
        <v>96.71361502</v>
      </c>
      <c r="M15" s="87">
        <v>5654.0</v>
      </c>
      <c r="N15" s="89">
        <f t="shared" si="4"/>
        <v>7.587548638</v>
      </c>
      <c r="O15" s="90"/>
      <c r="P15" s="90"/>
    </row>
    <row r="16">
      <c r="A16" s="85">
        <v>10501.0</v>
      </c>
      <c r="B16" s="86" t="s">
        <v>40</v>
      </c>
      <c r="C16" s="87">
        <v>2296.0</v>
      </c>
      <c r="D16" s="87">
        <v>219.0</v>
      </c>
      <c r="E16" s="87">
        <v>2547.0</v>
      </c>
      <c r="F16" s="88">
        <f t="shared" si="1"/>
        <v>91.29224652</v>
      </c>
      <c r="G16" s="87">
        <v>24303.0</v>
      </c>
      <c r="H16" s="89">
        <f t="shared" si="2"/>
        <v>10.48018763</v>
      </c>
      <c r="I16" s="90">
        <v>1683.0</v>
      </c>
      <c r="J16" s="90">
        <v>29.0</v>
      </c>
      <c r="K16" s="87">
        <v>1723.0</v>
      </c>
      <c r="L16" s="88">
        <f t="shared" si="3"/>
        <v>98.30607477</v>
      </c>
      <c r="M16" s="87">
        <v>24546.0</v>
      </c>
      <c r="N16" s="89">
        <f t="shared" si="4"/>
        <v>7.019473641</v>
      </c>
      <c r="O16" s="90"/>
      <c r="P16" s="90"/>
    </row>
    <row r="17">
      <c r="A17" s="85">
        <v>10502.0</v>
      </c>
      <c r="B17" s="86" t="s">
        <v>41</v>
      </c>
      <c r="C17" s="87">
        <v>889.0</v>
      </c>
      <c r="D17" s="87">
        <v>88.0</v>
      </c>
      <c r="E17" s="87">
        <v>982.0</v>
      </c>
      <c r="F17" s="88">
        <f t="shared" si="1"/>
        <v>90.99283521</v>
      </c>
      <c r="G17" s="87">
        <v>8349.0</v>
      </c>
      <c r="H17" s="89">
        <f t="shared" si="2"/>
        <v>11.76188765</v>
      </c>
      <c r="I17" s="90">
        <v>580.0</v>
      </c>
      <c r="J17" s="90">
        <v>28.0</v>
      </c>
      <c r="K17" s="87">
        <v>613.0</v>
      </c>
      <c r="L17" s="88">
        <f t="shared" si="3"/>
        <v>95.39473684</v>
      </c>
      <c r="M17" s="87">
        <v>7200.0</v>
      </c>
      <c r="N17" s="89">
        <f t="shared" si="4"/>
        <v>8.513888889</v>
      </c>
      <c r="O17" s="90"/>
      <c r="P17" s="90"/>
    </row>
    <row r="18">
      <c r="A18" s="85">
        <v>10601.0</v>
      </c>
      <c r="B18" s="86" t="s">
        <v>43</v>
      </c>
      <c r="C18" s="87">
        <v>1651.0</v>
      </c>
      <c r="D18" s="87">
        <v>144.0</v>
      </c>
      <c r="E18" s="87">
        <v>1819.0</v>
      </c>
      <c r="F18" s="88">
        <f t="shared" si="1"/>
        <v>91.97771588</v>
      </c>
      <c r="G18" s="87">
        <v>16944.0</v>
      </c>
      <c r="H18" s="89">
        <f t="shared" si="2"/>
        <v>10.73536355</v>
      </c>
      <c r="I18" s="90">
        <v>880.0</v>
      </c>
      <c r="J18" s="90">
        <v>14.0</v>
      </c>
      <c r="K18" s="87">
        <v>905.0</v>
      </c>
      <c r="L18" s="88">
        <f t="shared" si="3"/>
        <v>98.43400447</v>
      </c>
      <c r="M18" s="87">
        <v>13323.0</v>
      </c>
      <c r="N18" s="89">
        <f t="shared" si="4"/>
        <v>6.792764392</v>
      </c>
      <c r="O18" s="90"/>
      <c r="P18" s="90"/>
    </row>
    <row r="19">
      <c r="A19" s="85">
        <v>10602.0</v>
      </c>
      <c r="B19" s="86" t="s">
        <v>42</v>
      </c>
      <c r="C19" s="87">
        <v>937.0</v>
      </c>
      <c r="D19" s="87">
        <v>48.0</v>
      </c>
      <c r="E19" s="87">
        <v>1003.0</v>
      </c>
      <c r="F19" s="88">
        <f t="shared" si="1"/>
        <v>95.12690355</v>
      </c>
      <c r="G19" s="87">
        <v>10111.0</v>
      </c>
      <c r="H19" s="89">
        <f t="shared" si="2"/>
        <v>9.91988923</v>
      </c>
      <c r="I19" s="90">
        <v>528.0</v>
      </c>
      <c r="J19" s="90">
        <v>6.0</v>
      </c>
      <c r="K19" s="87">
        <v>539.0</v>
      </c>
      <c r="L19" s="88">
        <f t="shared" si="3"/>
        <v>98.87640449</v>
      </c>
      <c r="M19" s="87">
        <v>8480.0</v>
      </c>
      <c r="N19" s="89">
        <f t="shared" si="4"/>
        <v>6.356132075</v>
      </c>
      <c r="O19" s="90"/>
      <c r="P19" s="90"/>
    </row>
    <row r="20">
      <c r="A20" s="85">
        <v>10701.0</v>
      </c>
      <c r="B20" s="86" t="s">
        <v>45</v>
      </c>
      <c r="C20" s="87">
        <v>1523.0</v>
      </c>
      <c r="D20" s="87">
        <v>132.0</v>
      </c>
      <c r="E20" s="87">
        <v>1678.0</v>
      </c>
      <c r="F20" s="88">
        <f t="shared" si="1"/>
        <v>92.02416918</v>
      </c>
      <c r="G20" s="87">
        <v>15644.0</v>
      </c>
      <c r="H20" s="89">
        <f t="shared" si="2"/>
        <v>10.72615699</v>
      </c>
      <c r="I20" s="90">
        <v>930.0</v>
      </c>
      <c r="J20" s="90">
        <v>28.0</v>
      </c>
      <c r="K20" s="87">
        <v>963.0</v>
      </c>
      <c r="L20" s="88">
        <f t="shared" si="3"/>
        <v>97.07724426</v>
      </c>
      <c r="M20" s="87">
        <v>14713.0</v>
      </c>
      <c r="N20" s="89">
        <f t="shared" si="4"/>
        <v>6.545232108</v>
      </c>
      <c r="O20" s="90"/>
      <c r="P20" s="90"/>
    </row>
    <row r="21">
      <c r="A21" s="85">
        <v>10702.0</v>
      </c>
      <c r="B21" s="86" t="s">
        <v>46</v>
      </c>
      <c r="C21" s="87">
        <v>3699.0</v>
      </c>
      <c r="D21" s="87">
        <v>526.0</v>
      </c>
      <c r="E21" s="87">
        <v>4298.0</v>
      </c>
      <c r="F21" s="88">
        <f t="shared" si="1"/>
        <v>87.55029586</v>
      </c>
      <c r="G21" s="87">
        <v>32520.0</v>
      </c>
      <c r="H21" s="89">
        <f t="shared" si="2"/>
        <v>13.21648216</v>
      </c>
      <c r="I21" s="90">
        <v>2196.0</v>
      </c>
      <c r="J21" s="90">
        <v>94.0</v>
      </c>
      <c r="K21" s="87">
        <v>2306.0</v>
      </c>
      <c r="L21" s="88">
        <f t="shared" si="3"/>
        <v>95.89519651</v>
      </c>
      <c r="M21" s="87">
        <v>26715.0</v>
      </c>
      <c r="N21" s="89">
        <f t="shared" si="4"/>
        <v>8.631854763</v>
      </c>
      <c r="O21" s="90"/>
      <c r="P21" s="90"/>
    </row>
    <row r="22">
      <c r="A22" s="85">
        <v>10703.0</v>
      </c>
      <c r="B22" s="86" t="s">
        <v>47</v>
      </c>
      <c r="C22" s="87">
        <v>1411.0</v>
      </c>
      <c r="D22" s="87">
        <v>356.0</v>
      </c>
      <c r="E22" s="87">
        <v>1796.0</v>
      </c>
      <c r="F22" s="88">
        <f t="shared" si="1"/>
        <v>79.85285795</v>
      </c>
      <c r="G22" s="87">
        <v>13056.0</v>
      </c>
      <c r="H22" s="89">
        <f t="shared" si="2"/>
        <v>13.75612745</v>
      </c>
      <c r="I22" s="90">
        <v>1310.0</v>
      </c>
      <c r="J22" s="90">
        <v>49.0</v>
      </c>
      <c r="K22" s="87">
        <v>1372.0</v>
      </c>
      <c r="L22" s="88">
        <f t="shared" si="3"/>
        <v>96.39440765</v>
      </c>
      <c r="M22" s="87">
        <v>16484.0</v>
      </c>
      <c r="N22" s="89">
        <f t="shared" si="4"/>
        <v>8.323222519</v>
      </c>
      <c r="O22" s="90"/>
      <c r="P22" s="90"/>
    </row>
    <row r="23">
      <c r="A23" s="85">
        <v>10704.0</v>
      </c>
      <c r="B23" s="86" t="s">
        <v>48</v>
      </c>
      <c r="C23" s="87">
        <v>1892.0</v>
      </c>
      <c r="D23" s="87">
        <v>286.0</v>
      </c>
      <c r="E23" s="87">
        <v>2199.0</v>
      </c>
      <c r="F23" s="88">
        <f t="shared" si="1"/>
        <v>86.86868687</v>
      </c>
      <c r="G23" s="87">
        <v>16150.0</v>
      </c>
      <c r="H23" s="89">
        <f t="shared" si="2"/>
        <v>13.61609907</v>
      </c>
      <c r="I23" s="90">
        <v>1109.0</v>
      </c>
      <c r="J23" s="90">
        <v>89.0</v>
      </c>
      <c r="K23" s="87">
        <v>1204.0</v>
      </c>
      <c r="L23" s="88">
        <f t="shared" si="3"/>
        <v>92.57095159</v>
      </c>
      <c r="M23" s="87">
        <v>14282.0</v>
      </c>
      <c r="N23" s="89">
        <f t="shared" si="4"/>
        <v>8.43019185</v>
      </c>
      <c r="O23" s="90"/>
      <c r="P23" s="90"/>
    </row>
    <row r="24">
      <c r="A24" s="85">
        <v>10801.0</v>
      </c>
      <c r="B24" s="86" t="s">
        <v>50</v>
      </c>
      <c r="C24" s="87">
        <v>1051.0</v>
      </c>
      <c r="D24" s="87">
        <v>89.0</v>
      </c>
      <c r="E24" s="87">
        <v>1166.0</v>
      </c>
      <c r="F24" s="88">
        <f t="shared" si="1"/>
        <v>92.19298246</v>
      </c>
      <c r="G24" s="87">
        <v>11161.0</v>
      </c>
      <c r="H24" s="89">
        <f t="shared" si="2"/>
        <v>10.44709255</v>
      </c>
      <c r="I24" s="90">
        <v>541.0</v>
      </c>
      <c r="J24" s="90">
        <v>10.0</v>
      </c>
      <c r="K24" s="87">
        <v>556.0</v>
      </c>
      <c r="L24" s="88">
        <f t="shared" si="3"/>
        <v>98.18511797</v>
      </c>
      <c r="M24" s="87">
        <v>9107.0</v>
      </c>
      <c r="N24" s="89">
        <f t="shared" si="4"/>
        <v>6.105193807</v>
      </c>
      <c r="O24" s="90"/>
      <c r="P24" s="90"/>
    </row>
    <row r="25">
      <c r="A25" s="85">
        <v>10901.0</v>
      </c>
      <c r="B25" s="86" t="s">
        <v>52</v>
      </c>
      <c r="C25" s="87">
        <v>372.0</v>
      </c>
      <c r="D25" s="87">
        <v>22.0</v>
      </c>
      <c r="E25" s="87">
        <v>396.0</v>
      </c>
      <c r="F25" s="88">
        <f t="shared" si="1"/>
        <v>94.41624365</v>
      </c>
      <c r="G25" s="87">
        <v>3514.0</v>
      </c>
      <c r="H25" s="89">
        <f t="shared" si="2"/>
        <v>11.26920888</v>
      </c>
      <c r="I25" s="90">
        <v>337.0</v>
      </c>
      <c r="J25" s="90">
        <v>20.0</v>
      </c>
      <c r="K25" s="87">
        <v>357.0</v>
      </c>
      <c r="L25" s="88">
        <f t="shared" si="3"/>
        <v>94.3977591</v>
      </c>
      <c r="M25" s="87">
        <v>5375.0</v>
      </c>
      <c r="N25" s="89">
        <f t="shared" si="4"/>
        <v>6.641860465</v>
      </c>
      <c r="O25" s="90"/>
      <c r="P25" s="90"/>
    </row>
    <row r="26">
      <c r="A26" s="85">
        <v>10902.0</v>
      </c>
      <c r="B26" s="86" t="s">
        <v>53</v>
      </c>
      <c r="C26" s="87">
        <v>1831.0</v>
      </c>
      <c r="D26" s="87">
        <v>315.0</v>
      </c>
      <c r="E26" s="87">
        <v>2174.0</v>
      </c>
      <c r="F26" s="88">
        <f t="shared" si="1"/>
        <v>85.32152842</v>
      </c>
      <c r="G26" s="87">
        <v>17731.0</v>
      </c>
      <c r="H26" s="89">
        <f t="shared" si="2"/>
        <v>12.26101179</v>
      </c>
      <c r="I26" s="90">
        <v>1235.0</v>
      </c>
      <c r="J26" s="90">
        <v>59.0</v>
      </c>
      <c r="K26" s="87">
        <v>1298.0</v>
      </c>
      <c r="L26" s="88">
        <f t="shared" si="3"/>
        <v>95.44049459</v>
      </c>
      <c r="M26" s="87">
        <v>14848.0</v>
      </c>
      <c r="N26" s="89">
        <f t="shared" si="4"/>
        <v>8.741918103</v>
      </c>
      <c r="O26" s="90"/>
      <c r="P26" s="90"/>
    </row>
    <row r="27">
      <c r="A27" s="85">
        <v>10903.0</v>
      </c>
      <c r="B27" s="86" t="s">
        <v>54</v>
      </c>
      <c r="C27" s="87">
        <v>353.0</v>
      </c>
      <c r="D27" s="87">
        <v>31.0</v>
      </c>
      <c r="E27" s="87">
        <v>388.0</v>
      </c>
      <c r="F27" s="88">
        <f t="shared" si="1"/>
        <v>91.92708333</v>
      </c>
      <c r="G27" s="87">
        <v>4088.0</v>
      </c>
      <c r="H27" s="89">
        <f t="shared" si="2"/>
        <v>9.491193738</v>
      </c>
      <c r="I27" s="90">
        <v>302.0</v>
      </c>
      <c r="J27" s="90">
        <v>4.0</v>
      </c>
      <c r="K27" s="87">
        <v>309.0</v>
      </c>
      <c r="L27" s="88">
        <f t="shared" si="3"/>
        <v>98.69281046</v>
      </c>
      <c r="M27" s="87">
        <v>5016.0</v>
      </c>
      <c r="N27" s="89">
        <f t="shared" si="4"/>
        <v>6.160287081</v>
      </c>
      <c r="O27" s="90"/>
      <c r="P27" s="90"/>
    </row>
    <row r="28">
      <c r="A28" s="85">
        <v>11001.0</v>
      </c>
      <c r="B28" s="86" t="s">
        <v>56</v>
      </c>
      <c r="C28" s="87">
        <v>948.0</v>
      </c>
      <c r="D28" s="87">
        <v>126.0</v>
      </c>
      <c r="E28" s="87">
        <v>1091.0</v>
      </c>
      <c r="F28" s="88">
        <f t="shared" si="1"/>
        <v>88.26815642</v>
      </c>
      <c r="G28" s="87">
        <v>9720.0</v>
      </c>
      <c r="H28" s="89">
        <f t="shared" si="2"/>
        <v>11.22427984</v>
      </c>
      <c r="I28" s="90">
        <v>789.0</v>
      </c>
      <c r="J28" s="90">
        <v>23.0</v>
      </c>
      <c r="K28" s="87">
        <v>816.0</v>
      </c>
      <c r="L28" s="88">
        <f t="shared" si="3"/>
        <v>97.16748768</v>
      </c>
      <c r="M28" s="87">
        <v>13282.0</v>
      </c>
      <c r="N28" s="89">
        <f t="shared" si="4"/>
        <v>6.143653064</v>
      </c>
      <c r="O28" s="90"/>
      <c r="P28" s="90"/>
    </row>
    <row r="29">
      <c r="A29" s="85">
        <v>11002.0</v>
      </c>
      <c r="B29" s="86" t="s">
        <v>57</v>
      </c>
      <c r="C29" s="87">
        <v>270.0</v>
      </c>
      <c r="D29" s="87">
        <v>34.0</v>
      </c>
      <c r="E29" s="87">
        <v>305.0</v>
      </c>
      <c r="F29" s="88">
        <f t="shared" si="1"/>
        <v>88.81578947</v>
      </c>
      <c r="G29" s="87">
        <v>2541.0</v>
      </c>
      <c r="H29" s="89">
        <f t="shared" si="2"/>
        <v>12.00314837</v>
      </c>
      <c r="I29" s="90">
        <v>201.0</v>
      </c>
      <c r="J29" s="90">
        <v>8.0</v>
      </c>
      <c r="K29" s="87">
        <v>209.0</v>
      </c>
      <c r="L29" s="88">
        <f t="shared" si="3"/>
        <v>96.1722488</v>
      </c>
      <c r="M29" s="87">
        <v>2547.0</v>
      </c>
      <c r="N29" s="89">
        <f t="shared" si="4"/>
        <v>8.205732234</v>
      </c>
      <c r="O29" s="90"/>
      <c r="P29" s="90"/>
    </row>
    <row r="30">
      <c r="A30" s="85">
        <v>11003.0</v>
      </c>
      <c r="B30" s="86" t="s">
        <v>58</v>
      </c>
      <c r="C30" s="87">
        <v>766.0</v>
      </c>
      <c r="D30" s="87">
        <v>63.0</v>
      </c>
      <c r="E30" s="87">
        <v>837.0</v>
      </c>
      <c r="F30" s="88">
        <f t="shared" si="1"/>
        <v>92.40048251</v>
      </c>
      <c r="G30" s="87">
        <v>7418.0</v>
      </c>
      <c r="H30" s="89">
        <f t="shared" si="2"/>
        <v>11.28336479</v>
      </c>
      <c r="I30" s="90">
        <v>466.0</v>
      </c>
      <c r="J30" s="90">
        <v>55.0</v>
      </c>
      <c r="K30" s="87">
        <v>527.0</v>
      </c>
      <c r="L30" s="88">
        <f t="shared" si="3"/>
        <v>89.44337812</v>
      </c>
      <c r="M30" s="87">
        <v>7235.0</v>
      </c>
      <c r="N30" s="89">
        <f t="shared" si="4"/>
        <v>7.284035936</v>
      </c>
      <c r="O30" s="90"/>
      <c r="P30" s="90"/>
    </row>
    <row r="31">
      <c r="A31" s="85">
        <v>20101.0</v>
      </c>
      <c r="B31" s="86" t="s">
        <v>61</v>
      </c>
      <c r="C31" s="87">
        <v>59958.0</v>
      </c>
      <c r="D31" s="87">
        <v>2649.0</v>
      </c>
      <c r="E31" s="87">
        <v>62988.0</v>
      </c>
      <c r="F31" s="88">
        <f t="shared" si="1"/>
        <v>95.76884374</v>
      </c>
      <c r="G31" s="87">
        <v>766468.0</v>
      </c>
      <c r="H31" s="89">
        <f t="shared" si="2"/>
        <v>8.217955609</v>
      </c>
      <c r="I31" s="90">
        <v>36597.0</v>
      </c>
      <c r="J31" s="90">
        <v>571.0</v>
      </c>
      <c r="K31" s="87">
        <v>37298.0</v>
      </c>
      <c r="L31" s="88">
        <f t="shared" si="3"/>
        <v>98.46373224</v>
      </c>
      <c r="M31" s="87">
        <v>757431.0</v>
      </c>
      <c r="N31" s="89">
        <f t="shared" si="4"/>
        <v>4.924276931</v>
      </c>
      <c r="O31" s="90"/>
      <c r="P31" s="90"/>
    </row>
    <row r="32">
      <c r="A32" s="85">
        <v>20102.0</v>
      </c>
      <c r="B32" s="98" t="s">
        <v>62</v>
      </c>
      <c r="C32" s="87">
        <v>1448.0</v>
      </c>
      <c r="D32" s="87">
        <v>224.0</v>
      </c>
      <c r="E32" s="87">
        <v>1684.0</v>
      </c>
      <c r="F32" s="88">
        <f t="shared" si="1"/>
        <v>86.60287081</v>
      </c>
      <c r="G32" s="87">
        <v>16622.0</v>
      </c>
      <c r="H32" s="89">
        <f t="shared" si="2"/>
        <v>10.13115149</v>
      </c>
      <c r="I32" s="90">
        <v>1707.0</v>
      </c>
      <c r="J32" s="90">
        <v>60.0</v>
      </c>
      <c r="K32" s="87">
        <v>1803.0</v>
      </c>
      <c r="L32" s="88">
        <f t="shared" si="3"/>
        <v>96.60441426</v>
      </c>
      <c r="M32" s="87">
        <v>21729.0</v>
      </c>
      <c r="N32" s="89">
        <f t="shared" si="4"/>
        <v>8.297666713</v>
      </c>
      <c r="O32" s="90"/>
      <c r="P32" s="90"/>
    </row>
    <row r="33">
      <c r="A33" s="85">
        <v>20103.0</v>
      </c>
      <c r="B33" s="98" t="s">
        <v>63</v>
      </c>
      <c r="C33" s="87">
        <v>1217.0</v>
      </c>
      <c r="D33" s="87">
        <v>95.0</v>
      </c>
      <c r="E33" s="87">
        <v>1326.0</v>
      </c>
      <c r="F33" s="88">
        <f t="shared" si="1"/>
        <v>92.75914634</v>
      </c>
      <c r="G33" s="87">
        <v>15834.0</v>
      </c>
      <c r="H33" s="89">
        <f t="shared" si="2"/>
        <v>8.374384236</v>
      </c>
      <c r="I33" s="90">
        <v>1270.0</v>
      </c>
      <c r="J33" s="90">
        <v>20.0</v>
      </c>
      <c r="K33" s="87">
        <v>1297.0</v>
      </c>
      <c r="L33" s="88">
        <f t="shared" si="3"/>
        <v>98.4496124</v>
      </c>
      <c r="M33" s="87">
        <v>20446.0</v>
      </c>
      <c r="N33" s="89">
        <f t="shared" si="4"/>
        <v>6.343539079</v>
      </c>
      <c r="O33" s="90"/>
      <c r="P33" s="90"/>
    </row>
    <row r="34">
      <c r="A34" s="85">
        <v>20104.0</v>
      </c>
      <c r="B34" s="98" t="s">
        <v>64</v>
      </c>
      <c r="C34" s="87">
        <v>1955.0</v>
      </c>
      <c r="D34" s="87">
        <v>142.0</v>
      </c>
      <c r="E34" s="87">
        <v>2118.0</v>
      </c>
      <c r="F34" s="88">
        <f t="shared" si="1"/>
        <v>93.22842155</v>
      </c>
      <c r="G34" s="87">
        <v>22431.0</v>
      </c>
      <c r="H34" s="89">
        <f t="shared" si="2"/>
        <v>9.442289688</v>
      </c>
      <c r="I34" s="90">
        <v>3204.0</v>
      </c>
      <c r="J34" s="90">
        <v>46.0</v>
      </c>
      <c r="K34" s="87">
        <v>3264.0</v>
      </c>
      <c r="L34" s="88">
        <f t="shared" si="3"/>
        <v>98.58461538</v>
      </c>
      <c r="M34" s="87">
        <v>46188.0</v>
      </c>
      <c r="N34" s="89">
        <f t="shared" si="4"/>
        <v>7.06677059</v>
      </c>
      <c r="O34" s="90"/>
      <c r="P34" s="90"/>
    </row>
    <row r="35">
      <c r="A35" s="85">
        <v>20105.0</v>
      </c>
      <c r="B35" s="98" t="s">
        <v>65</v>
      </c>
      <c r="C35" s="87">
        <v>85795.0</v>
      </c>
      <c r="D35" s="87">
        <v>6252.0</v>
      </c>
      <c r="E35" s="87">
        <v>92674.0</v>
      </c>
      <c r="F35" s="88">
        <f t="shared" si="1"/>
        <v>93.20781775</v>
      </c>
      <c r="G35" s="87">
        <v>848452.0</v>
      </c>
      <c r="H35" s="89">
        <f t="shared" si="2"/>
        <v>10.92271572</v>
      </c>
      <c r="I35" s="90">
        <v>62352.0</v>
      </c>
      <c r="J35" s="90">
        <v>1257.0</v>
      </c>
      <c r="K35" s="87">
        <v>63896.0</v>
      </c>
      <c r="L35" s="88">
        <f t="shared" si="3"/>
        <v>98.02386455</v>
      </c>
      <c r="M35" s="87">
        <v>885825.0</v>
      </c>
      <c r="N35" s="89">
        <f t="shared" si="4"/>
        <v>7.213162871</v>
      </c>
      <c r="O35" s="90"/>
      <c r="P35" s="90"/>
    </row>
    <row r="36">
      <c r="A36" s="85">
        <v>20201.0</v>
      </c>
      <c r="B36" s="98" t="s">
        <v>67</v>
      </c>
      <c r="C36" s="87">
        <v>3470.0</v>
      </c>
      <c r="D36" s="87">
        <v>311.0</v>
      </c>
      <c r="E36" s="87">
        <v>3811.0</v>
      </c>
      <c r="F36" s="88">
        <f t="shared" si="1"/>
        <v>91.77466279</v>
      </c>
      <c r="G36" s="87">
        <v>46058.0</v>
      </c>
      <c r="H36" s="89">
        <f t="shared" si="2"/>
        <v>8.274349733</v>
      </c>
      <c r="I36" s="90">
        <v>2778.0</v>
      </c>
      <c r="J36" s="90">
        <v>59.0</v>
      </c>
      <c r="K36" s="87">
        <v>2865.0</v>
      </c>
      <c r="L36" s="88">
        <f t="shared" si="3"/>
        <v>97.92033839</v>
      </c>
      <c r="M36" s="87">
        <v>47257.0</v>
      </c>
      <c r="N36" s="89">
        <f t="shared" si="4"/>
        <v>6.062593901</v>
      </c>
      <c r="O36" s="90"/>
      <c r="P36" s="90"/>
    </row>
    <row r="37">
      <c r="A37" s="85">
        <v>20202.0</v>
      </c>
      <c r="B37" s="98" t="s">
        <v>68</v>
      </c>
      <c r="C37" s="87">
        <v>871.0</v>
      </c>
      <c r="D37" s="87">
        <v>67.0</v>
      </c>
      <c r="E37" s="87">
        <v>948.0</v>
      </c>
      <c r="F37" s="88">
        <f t="shared" si="1"/>
        <v>92.85714286</v>
      </c>
      <c r="G37" s="87">
        <v>13136.0</v>
      </c>
      <c r="H37" s="89">
        <f t="shared" si="2"/>
        <v>7.21680877</v>
      </c>
      <c r="I37" s="90">
        <v>974.0</v>
      </c>
      <c r="J37" s="90">
        <v>15.0</v>
      </c>
      <c r="K37" s="87">
        <v>998.0</v>
      </c>
      <c r="L37" s="88">
        <f t="shared" si="3"/>
        <v>98.48331648</v>
      </c>
      <c r="M37" s="87">
        <v>16953.0</v>
      </c>
      <c r="N37" s="89">
        <f t="shared" si="4"/>
        <v>5.886863682</v>
      </c>
      <c r="O37" s="90"/>
      <c r="P37" s="90"/>
    </row>
    <row r="38">
      <c r="A38" s="85">
        <v>20203.0</v>
      </c>
      <c r="B38" s="98" t="s">
        <v>72</v>
      </c>
      <c r="C38" s="87">
        <v>312.0</v>
      </c>
      <c r="D38" s="87">
        <v>15.0</v>
      </c>
      <c r="E38" s="87">
        <v>329.0</v>
      </c>
      <c r="F38" s="88">
        <f t="shared" si="1"/>
        <v>95.41284404</v>
      </c>
      <c r="G38" s="87">
        <v>5003.0</v>
      </c>
      <c r="H38" s="89">
        <f t="shared" si="2"/>
        <v>6.576054367</v>
      </c>
      <c r="I38" s="90">
        <v>381.0</v>
      </c>
      <c r="J38" s="90">
        <v>5.0</v>
      </c>
      <c r="K38" s="87">
        <v>389.0</v>
      </c>
      <c r="L38" s="88">
        <f t="shared" si="3"/>
        <v>98.70466321</v>
      </c>
      <c r="M38" s="87">
        <v>7226.0</v>
      </c>
      <c r="N38" s="89">
        <f t="shared" si="4"/>
        <v>5.383337946</v>
      </c>
      <c r="O38" s="90"/>
      <c r="P38" s="90"/>
    </row>
    <row r="39">
      <c r="A39" s="85">
        <v>20204.0</v>
      </c>
      <c r="B39" s="98" t="s">
        <v>69</v>
      </c>
      <c r="C39" s="87">
        <v>490.0</v>
      </c>
      <c r="D39" s="87">
        <v>14.0</v>
      </c>
      <c r="E39" s="87">
        <v>512.0</v>
      </c>
      <c r="F39" s="88">
        <f t="shared" si="1"/>
        <v>97.22222222</v>
      </c>
      <c r="G39" s="87">
        <v>7948.0</v>
      </c>
      <c r="H39" s="89">
        <f t="shared" si="2"/>
        <v>6.441872169</v>
      </c>
      <c r="I39" s="90">
        <v>456.0</v>
      </c>
      <c r="J39" s="90">
        <v>9.0</v>
      </c>
      <c r="K39" s="87">
        <v>469.0</v>
      </c>
      <c r="L39" s="88">
        <f t="shared" si="3"/>
        <v>98.06451613</v>
      </c>
      <c r="M39" s="87">
        <v>8679.0</v>
      </c>
      <c r="N39" s="89">
        <f t="shared" si="4"/>
        <v>5.40384837</v>
      </c>
      <c r="O39" s="90"/>
      <c r="P39" s="90"/>
    </row>
    <row r="40">
      <c r="A40" s="85">
        <v>20205.0</v>
      </c>
      <c r="B40" s="98" t="s">
        <v>70</v>
      </c>
      <c r="C40" s="87">
        <v>574.0</v>
      </c>
      <c r="D40" s="87">
        <v>23.0</v>
      </c>
      <c r="E40" s="87">
        <v>602.0</v>
      </c>
      <c r="F40" s="88">
        <f t="shared" si="1"/>
        <v>96.14740369</v>
      </c>
      <c r="G40" s="87">
        <v>8562.0</v>
      </c>
      <c r="H40" s="89">
        <f t="shared" si="2"/>
        <v>7.031067508</v>
      </c>
      <c r="I40" s="90">
        <v>440.0</v>
      </c>
      <c r="J40" s="90">
        <v>9.0</v>
      </c>
      <c r="K40" s="87">
        <v>458.0</v>
      </c>
      <c r="L40" s="88">
        <f t="shared" si="3"/>
        <v>97.99554566</v>
      </c>
      <c r="M40" s="87">
        <v>9287.0</v>
      </c>
      <c r="N40" s="89">
        <f t="shared" si="4"/>
        <v>4.931624852</v>
      </c>
      <c r="O40" s="90"/>
      <c r="P40" s="90"/>
    </row>
    <row r="41">
      <c r="A41" s="85">
        <v>20206.0</v>
      </c>
      <c r="B41" s="98" t="s">
        <v>71</v>
      </c>
      <c r="C41" s="87">
        <v>335.0</v>
      </c>
      <c r="D41" s="87">
        <v>6.0</v>
      </c>
      <c r="E41" s="87">
        <v>341.0</v>
      </c>
      <c r="F41" s="88">
        <f t="shared" si="1"/>
        <v>98.24046921</v>
      </c>
      <c r="G41" s="87">
        <v>3927.0</v>
      </c>
      <c r="H41" s="89">
        <f t="shared" si="2"/>
        <v>8.683473389</v>
      </c>
      <c r="I41" s="90">
        <v>279.0</v>
      </c>
      <c r="J41" s="90">
        <v>16.0</v>
      </c>
      <c r="K41" s="87">
        <v>295.0</v>
      </c>
      <c r="L41" s="88">
        <f t="shared" si="3"/>
        <v>94.57627119</v>
      </c>
      <c r="M41" s="87">
        <v>5118.0</v>
      </c>
      <c r="N41" s="89">
        <f t="shared" si="4"/>
        <v>5.763970301</v>
      </c>
      <c r="O41" s="90"/>
      <c r="P41" s="90"/>
    </row>
    <row r="42">
      <c r="A42" s="85">
        <v>20301.0</v>
      </c>
      <c r="B42" s="98" t="s">
        <v>74</v>
      </c>
      <c r="C42" s="87">
        <v>809.0</v>
      </c>
      <c r="D42" s="87">
        <v>38.0</v>
      </c>
      <c r="E42" s="87">
        <v>870.0</v>
      </c>
      <c r="F42" s="88">
        <f t="shared" si="1"/>
        <v>95.51357733</v>
      </c>
      <c r="G42" s="87">
        <v>10647.0</v>
      </c>
      <c r="H42" s="89">
        <f t="shared" si="2"/>
        <v>8.171315864</v>
      </c>
      <c r="I42" s="90">
        <v>867.0</v>
      </c>
      <c r="J42" s="90">
        <v>11.0</v>
      </c>
      <c r="K42" s="87">
        <v>896.0</v>
      </c>
      <c r="L42" s="88">
        <f t="shared" si="3"/>
        <v>98.74715262</v>
      </c>
      <c r="M42" s="87">
        <v>13551.0</v>
      </c>
      <c r="N42" s="89">
        <f t="shared" si="4"/>
        <v>6.612058151</v>
      </c>
      <c r="O42" s="90"/>
      <c r="P42" s="90"/>
    </row>
    <row r="43">
      <c r="A43" s="85">
        <v>20302.0</v>
      </c>
      <c r="B43" s="98" t="s">
        <v>75</v>
      </c>
      <c r="C43" s="87">
        <v>1149.0</v>
      </c>
      <c r="D43" s="87">
        <v>55.0</v>
      </c>
      <c r="E43" s="87">
        <v>1215.0</v>
      </c>
      <c r="F43" s="88">
        <f t="shared" si="1"/>
        <v>95.43189369</v>
      </c>
      <c r="G43" s="87">
        <v>14687.0</v>
      </c>
      <c r="H43" s="89">
        <f t="shared" si="2"/>
        <v>8.272622047</v>
      </c>
      <c r="I43" s="90">
        <v>1017.0</v>
      </c>
      <c r="J43" s="90">
        <v>22.0</v>
      </c>
      <c r="K43" s="87">
        <v>1044.0</v>
      </c>
      <c r="L43" s="88">
        <f t="shared" si="3"/>
        <v>97.8825794</v>
      </c>
      <c r="M43" s="87">
        <v>15570.0</v>
      </c>
      <c r="N43" s="89">
        <f t="shared" si="4"/>
        <v>6.705202312</v>
      </c>
      <c r="O43" s="90"/>
      <c r="P43" s="90"/>
    </row>
    <row r="44">
      <c r="A44" s="85">
        <v>20303.0</v>
      </c>
      <c r="B44" s="98" t="s">
        <v>76</v>
      </c>
      <c r="C44" s="87">
        <v>670.0</v>
      </c>
      <c r="D44" s="87">
        <v>31.0</v>
      </c>
      <c r="E44" s="87">
        <v>713.0</v>
      </c>
      <c r="F44" s="88">
        <f t="shared" si="1"/>
        <v>95.57774608</v>
      </c>
      <c r="G44" s="87">
        <v>9879.0</v>
      </c>
      <c r="H44" s="89">
        <f t="shared" si="2"/>
        <v>7.217329689</v>
      </c>
      <c r="I44" s="90">
        <v>755.0</v>
      </c>
      <c r="J44" s="90">
        <v>19.0</v>
      </c>
      <c r="K44" s="87">
        <v>781.0</v>
      </c>
      <c r="L44" s="88">
        <f t="shared" si="3"/>
        <v>97.54521964</v>
      </c>
      <c r="M44" s="87">
        <v>12219.0</v>
      </c>
      <c r="N44" s="89">
        <f t="shared" si="4"/>
        <v>6.391685081</v>
      </c>
      <c r="O44" s="90"/>
      <c r="P44" s="90"/>
    </row>
    <row r="45">
      <c r="A45" s="85">
        <v>20304.0</v>
      </c>
      <c r="B45" s="98" t="s">
        <v>77</v>
      </c>
      <c r="C45" s="87">
        <v>303.0</v>
      </c>
      <c r="D45" s="87">
        <v>20.0</v>
      </c>
      <c r="E45" s="87">
        <v>325.0</v>
      </c>
      <c r="F45" s="88">
        <f t="shared" si="1"/>
        <v>93.80804954</v>
      </c>
      <c r="G45" s="87">
        <v>3880.0</v>
      </c>
      <c r="H45" s="89">
        <f t="shared" si="2"/>
        <v>8.37628866</v>
      </c>
      <c r="I45" s="90">
        <v>369.0</v>
      </c>
      <c r="J45" s="90">
        <v>5.0</v>
      </c>
      <c r="K45" s="87">
        <v>376.0</v>
      </c>
      <c r="L45" s="88">
        <f t="shared" si="3"/>
        <v>98.6631016</v>
      </c>
      <c r="M45" s="87">
        <v>5238.0</v>
      </c>
      <c r="N45" s="89">
        <f t="shared" si="4"/>
        <v>7.178312333</v>
      </c>
      <c r="O45" s="90"/>
      <c r="P45" s="90"/>
    </row>
    <row r="46">
      <c r="A46" s="85">
        <v>20305.0</v>
      </c>
      <c r="B46" s="98" t="s">
        <v>78</v>
      </c>
      <c r="C46" s="87">
        <v>273.0</v>
      </c>
      <c r="D46" s="87">
        <v>8.0</v>
      </c>
      <c r="E46" s="87">
        <v>282.0</v>
      </c>
      <c r="F46" s="88">
        <f t="shared" si="1"/>
        <v>97.15302491</v>
      </c>
      <c r="G46" s="87">
        <v>3246.0</v>
      </c>
      <c r="H46" s="89">
        <f t="shared" si="2"/>
        <v>8.687615527</v>
      </c>
      <c r="I46" s="90">
        <v>267.0</v>
      </c>
      <c r="J46" s="90">
        <v>16.0</v>
      </c>
      <c r="K46" s="87">
        <v>288.0</v>
      </c>
      <c r="L46" s="88">
        <f t="shared" si="3"/>
        <v>94.34628975</v>
      </c>
      <c r="M46" s="87">
        <v>4221.0</v>
      </c>
      <c r="N46" s="89">
        <f t="shared" si="4"/>
        <v>6.823027719</v>
      </c>
      <c r="O46" s="90"/>
      <c r="P46" s="90"/>
    </row>
    <row r="47">
      <c r="A47" s="85">
        <v>20306.0</v>
      </c>
      <c r="B47" s="98" t="s">
        <v>79</v>
      </c>
      <c r="C47" s="87">
        <v>484.0</v>
      </c>
      <c r="D47" s="87">
        <v>32.0</v>
      </c>
      <c r="E47" s="87">
        <v>520.0</v>
      </c>
      <c r="F47" s="88">
        <f t="shared" si="1"/>
        <v>93.79844961</v>
      </c>
      <c r="G47" s="87">
        <v>5069.0</v>
      </c>
      <c r="H47" s="89">
        <f t="shared" si="2"/>
        <v>10.25843362</v>
      </c>
      <c r="I47" s="90">
        <v>347.0</v>
      </c>
      <c r="J47" s="90">
        <v>7.0</v>
      </c>
      <c r="K47" s="87">
        <v>358.0</v>
      </c>
      <c r="L47" s="88">
        <f t="shared" si="3"/>
        <v>98.02259887</v>
      </c>
      <c r="M47" s="87">
        <v>6442.0</v>
      </c>
      <c r="N47" s="89">
        <f t="shared" si="4"/>
        <v>5.557280348</v>
      </c>
      <c r="O47" s="90"/>
      <c r="P47" s="90"/>
    </row>
    <row r="48">
      <c r="A48" s="85">
        <v>20307.0</v>
      </c>
      <c r="B48" s="98" t="s">
        <v>80</v>
      </c>
      <c r="C48" s="87">
        <v>55.0</v>
      </c>
      <c r="D48" s="87">
        <v>2.0</v>
      </c>
      <c r="E48" s="87">
        <v>57.0</v>
      </c>
      <c r="F48" s="88">
        <f t="shared" si="1"/>
        <v>96.49122807</v>
      </c>
      <c r="G48" s="86">
        <v>619.0</v>
      </c>
      <c r="H48" s="89">
        <f t="shared" si="2"/>
        <v>9.208400646</v>
      </c>
      <c r="I48" s="90">
        <v>260.0</v>
      </c>
      <c r="J48" s="90">
        <v>3.0</v>
      </c>
      <c r="K48" s="87">
        <v>264.0</v>
      </c>
      <c r="L48" s="88">
        <f t="shared" si="3"/>
        <v>98.85931559</v>
      </c>
      <c r="M48" s="87">
        <v>4022.0</v>
      </c>
      <c r="N48" s="89">
        <f t="shared" si="4"/>
        <v>6.563898558</v>
      </c>
      <c r="O48" s="90"/>
      <c r="P48" s="90"/>
    </row>
    <row r="49">
      <c r="A49" s="85">
        <v>20308.0</v>
      </c>
      <c r="B49" s="98" t="s">
        <v>81</v>
      </c>
      <c r="C49" s="87">
        <v>504.0</v>
      </c>
      <c r="D49" s="87">
        <v>26.0</v>
      </c>
      <c r="E49" s="87">
        <v>536.0</v>
      </c>
      <c r="F49" s="88">
        <f t="shared" si="1"/>
        <v>95.09433962</v>
      </c>
      <c r="G49" s="87">
        <v>7289.0</v>
      </c>
      <c r="H49" s="89">
        <f t="shared" si="2"/>
        <v>7.35354644</v>
      </c>
      <c r="I49" s="90">
        <v>440.0</v>
      </c>
      <c r="J49" s="90">
        <v>8.0</v>
      </c>
      <c r="K49" s="87">
        <v>454.0</v>
      </c>
      <c r="L49" s="88">
        <f t="shared" si="3"/>
        <v>98.21428571</v>
      </c>
      <c r="M49" s="87">
        <v>8037.0</v>
      </c>
      <c r="N49" s="89">
        <f t="shared" si="4"/>
        <v>5.648873958</v>
      </c>
      <c r="O49" s="90"/>
      <c r="P49" s="90"/>
    </row>
    <row r="50">
      <c r="A50" s="85">
        <v>20401.0</v>
      </c>
      <c r="B50" s="98" t="s">
        <v>83</v>
      </c>
      <c r="C50" s="87">
        <v>718.0</v>
      </c>
      <c r="D50" s="87">
        <v>60.0</v>
      </c>
      <c r="E50" s="87">
        <v>790.0</v>
      </c>
      <c r="F50" s="88">
        <f t="shared" si="1"/>
        <v>92.28791774</v>
      </c>
      <c r="G50" s="87">
        <v>11290.0</v>
      </c>
      <c r="H50" s="89">
        <f t="shared" si="2"/>
        <v>6.997342781</v>
      </c>
      <c r="I50" s="90">
        <v>704.0</v>
      </c>
      <c r="J50" s="90">
        <v>13.0</v>
      </c>
      <c r="K50" s="87">
        <v>723.0</v>
      </c>
      <c r="L50" s="88">
        <f t="shared" si="3"/>
        <v>98.18688982</v>
      </c>
      <c r="M50" s="87">
        <v>14012.0</v>
      </c>
      <c r="N50" s="89">
        <f t="shared" si="4"/>
        <v>5.159862975</v>
      </c>
      <c r="O50" s="90"/>
      <c r="P50" s="90"/>
    </row>
    <row r="51">
      <c r="A51" s="85">
        <v>20402.0</v>
      </c>
      <c r="B51" s="98" t="s">
        <v>84</v>
      </c>
      <c r="C51" s="87">
        <v>1234.0</v>
      </c>
      <c r="D51" s="87">
        <v>85.0</v>
      </c>
      <c r="E51" s="87">
        <v>1328.0</v>
      </c>
      <c r="F51" s="88">
        <f t="shared" si="1"/>
        <v>93.55572403</v>
      </c>
      <c r="G51" s="87">
        <v>15665.0</v>
      </c>
      <c r="H51" s="89">
        <f t="shared" si="2"/>
        <v>8.477497606</v>
      </c>
      <c r="I51" s="90">
        <v>960.0</v>
      </c>
      <c r="J51" s="90">
        <v>24.0</v>
      </c>
      <c r="K51" s="87">
        <v>1015.0</v>
      </c>
      <c r="L51" s="88">
        <f t="shared" si="3"/>
        <v>97.56097561</v>
      </c>
      <c r="M51" s="87">
        <v>17811.0</v>
      </c>
      <c r="N51" s="89">
        <f t="shared" si="4"/>
        <v>5.698725507</v>
      </c>
      <c r="O51" s="90"/>
      <c r="P51" s="90"/>
    </row>
    <row r="52">
      <c r="A52" s="85">
        <v>20403.0</v>
      </c>
      <c r="B52" s="98" t="s">
        <v>85</v>
      </c>
      <c r="C52" s="87">
        <v>1206.0</v>
      </c>
      <c r="D52" s="87">
        <v>79.0</v>
      </c>
      <c r="E52" s="87">
        <v>1297.0</v>
      </c>
      <c r="F52" s="88">
        <f t="shared" si="1"/>
        <v>93.85214008</v>
      </c>
      <c r="G52" s="87">
        <v>14589.0</v>
      </c>
      <c r="H52" s="89">
        <f t="shared" si="2"/>
        <v>8.890259785</v>
      </c>
      <c r="I52" s="90">
        <v>941.0</v>
      </c>
      <c r="J52" s="90">
        <v>20.0</v>
      </c>
      <c r="K52" s="87">
        <v>968.0</v>
      </c>
      <c r="L52" s="88">
        <f t="shared" si="3"/>
        <v>97.91883455</v>
      </c>
      <c r="M52" s="87">
        <v>17336.0</v>
      </c>
      <c r="N52" s="89">
        <f t="shared" si="4"/>
        <v>5.583756345</v>
      </c>
      <c r="O52" s="90"/>
      <c r="P52" s="90"/>
    </row>
    <row r="53">
      <c r="A53" s="85">
        <v>20404.0</v>
      </c>
      <c r="B53" s="98" t="s">
        <v>86</v>
      </c>
      <c r="C53" s="87">
        <v>362.0</v>
      </c>
      <c r="D53" s="87">
        <v>49.0</v>
      </c>
      <c r="E53" s="87">
        <v>418.0</v>
      </c>
      <c r="F53" s="88">
        <f t="shared" si="1"/>
        <v>88.07785888</v>
      </c>
      <c r="G53" s="87">
        <v>5342.0</v>
      </c>
      <c r="H53" s="89">
        <f t="shared" si="2"/>
        <v>7.824784725</v>
      </c>
      <c r="I53" s="90">
        <v>340.0</v>
      </c>
      <c r="J53" s="90">
        <v>4.0</v>
      </c>
      <c r="K53" s="87">
        <v>346.0</v>
      </c>
      <c r="L53" s="88">
        <f t="shared" si="3"/>
        <v>98.8372093</v>
      </c>
      <c r="M53" s="87">
        <v>5658.0</v>
      </c>
      <c r="N53" s="89">
        <f t="shared" si="4"/>
        <v>6.115235065</v>
      </c>
      <c r="O53" s="90"/>
      <c r="P53" s="90"/>
    </row>
    <row r="54">
      <c r="A54" s="85">
        <v>20405.0</v>
      </c>
      <c r="B54" s="98" t="s">
        <v>87</v>
      </c>
      <c r="C54" s="87">
        <v>419.0</v>
      </c>
      <c r="D54" s="87">
        <v>44.0</v>
      </c>
      <c r="E54" s="87">
        <v>467.0</v>
      </c>
      <c r="F54" s="88">
        <f t="shared" si="1"/>
        <v>90.49676026</v>
      </c>
      <c r="G54" s="87">
        <v>7186.0</v>
      </c>
      <c r="H54" s="89">
        <f t="shared" si="2"/>
        <v>6.498747565</v>
      </c>
      <c r="I54" s="90">
        <v>430.0</v>
      </c>
      <c r="J54" s="90">
        <v>16.0</v>
      </c>
      <c r="K54" s="87">
        <v>448.0</v>
      </c>
      <c r="L54" s="88">
        <f t="shared" si="3"/>
        <v>96.41255605</v>
      </c>
      <c r="M54" s="87">
        <v>8837.0</v>
      </c>
      <c r="N54" s="89">
        <f t="shared" si="4"/>
        <v>5.069593754</v>
      </c>
      <c r="O54" s="90"/>
      <c r="P54" s="90"/>
    </row>
    <row r="55">
      <c r="A55" s="85">
        <v>20501.0</v>
      </c>
      <c r="B55" s="98" t="s">
        <v>89</v>
      </c>
      <c r="C55" s="87">
        <v>915.0</v>
      </c>
      <c r="D55" s="87">
        <v>103.0</v>
      </c>
      <c r="E55" s="87">
        <v>1029.0</v>
      </c>
      <c r="F55" s="88">
        <f t="shared" si="1"/>
        <v>89.88212181</v>
      </c>
      <c r="G55" s="87">
        <v>11473.0</v>
      </c>
      <c r="H55" s="89">
        <f t="shared" si="2"/>
        <v>8.968883466</v>
      </c>
      <c r="I55" s="90">
        <v>1281.0</v>
      </c>
      <c r="J55" s="90">
        <v>69.0</v>
      </c>
      <c r="K55" s="87">
        <v>1377.0</v>
      </c>
      <c r="L55" s="88">
        <f t="shared" si="3"/>
        <v>94.88888889</v>
      </c>
      <c r="M55" s="87">
        <v>17830.0</v>
      </c>
      <c r="N55" s="89">
        <f t="shared" si="4"/>
        <v>7.722938867</v>
      </c>
      <c r="O55" s="90"/>
      <c r="P55" s="90"/>
    </row>
    <row r="56">
      <c r="A56" s="85">
        <v>20502.0</v>
      </c>
      <c r="B56" s="98" t="s">
        <v>90</v>
      </c>
      <c r="C56" s="87">
        <v>751.0</v>
      </c>
      <c r="D56" s="87">
        <v>128.0</v>
      </c>
      <c r="E56" s="87">
        <v>891.0</v>
      </c>
      <c r="F56" s="88">
        <f t="shared" si="1"/>
        <v>85.43799772</v>
      </c>
      <c r="G56" s="87">
        <v>8410.0</v>
      </c>
      <c r="H56" s="89">
        <f t="shared" si="2"/>
        <v>10.59453032</v>
      </c>
      <c r="I56" s="90">
        <v>640.0</v>
      </c>
      <c r="J56" s="90">
        <v>36.0</v>
      </c>
      <c r="K56" s="87">
        <v>690.0</v>
      </c>
      <c r="L56" s="88">
        <f t="shared" si="3"/>
        <v>94.67455621</v>
      </c>
      <c r="M56" s="87">
        <v>9029.0</v>
      </c>
      <c r="N56" s="89">
        <f t="shared" si="4"/>
        <v>7.642042308</v>
      </c>
      <c r="O56" s="90"/>
      <c r="P56" s="90"/>
    </row>
    <row r="57">
      <c r="A57" s="85">
        <v>20503.0</v>
      </c>
      <c r="B57" s="98" t="s">
        <v>91</v>
      </c>
      <c r="C57" s="87">
        <v>546.0</v>
      </c>
      <c r="D57" s="87">
        <v>51.0</v>
      </c>
      <c r="E57" s="87">
        <v>606.0</v>
      </c>
      <c r="F57" s="88">
        <f t="shared" si="1"/>
        <v>91.45728643</v>
      </c>
      <c r="G57" s="87">
        <v>5495.0</v>
      </c>
      <c r="H57" s="89">
        <f t="shared" si="2"/>
        <v>11.02820746</v>
      </c>
      <c r="I57" s="90">
        <v>566.0</v>
      </c>
      <c r="J57" s="90">
        <v>14.0</v>
      </c>
      <c r="K57" s="87">
        <v>590.0</v>
      </c>
      <c r="L57" s="88">
        <f t="shared" si="3"/>
        <v>97.5862069</v>
      </c>
      <c r="M57" s="87">
        <v>6721.0</v>
      </c>
      <c r="N57" s="89">
        <f t="shared" si="4"/>
        <v>8.778455587</v>
      </c>
      <c r="O57" s="90"/>
      <c r="P57" s="90"/>
    </row>
    <row r="58">
      <c r="A58" s="85">
        <v>20601.0</v>
      </c>
      <c r="B58" s="98" t="s">
        <v>93</v>
      </c>
      <c r="C58" s="87">
        <v>2002.0</v>
      </c>
      <c r="D58" s="87">
        <v>233.0</v>
      </c>
      <c r="E58" s="87">
        <v>2256.0</v>
      </c>
      <c r="F58" s="88">
        <f t="shared" si="1"/>
        <v>89.57494407</v>
      </c>
      <c r="G58" s="87">
        <v>23512.0</v>
      </c>
      <c r="H58" s="89">
        <f t="shared" si="2"/>
        <v>9.595100374</v>
      </c>
      <c r="I58" s="90">
        <v>2230.0</v>
      </c>
      <c r="J58" s="90">
        <v>79.0</v>
      </c>
      <c r="K58" s="87">
        <v>2332.0</v>
      </c>
      <c r="L58" s="88">
        <f t="shared" si="3"/>
        <v>96.57860546</v>
      </c>
      <c r="M58" s="87">
        <v>30083.0</v>
      </c>
      <c r="N58" s="89">
        <f t="shared" si="4"/>
        <v>7.751886447</v>
      </c>
      <c r="O58" s="90"/>
      <c r="P58" s="90"/>
    </row>
    <row r="59">
      <c r="A59" s="85">
        <v>20602.0</v>
      </c>
      <c r="B59" s="98" t="s">
        <v>94</v>
      </c>
      <c r="C59" s="87">
        <v>1343.0</v>
      </c>
      <c r="D59" s="87">
        <v>266.0</v>
      </c>
      <c r="E59" s="87">
        <v>1623.0</v>
      </c>
      <c r="F59" s="88">
        <f t="shared" si="1"/>
        <v>83.46799254</v>
      </c>
      <c r="G59" s="87">
        <v>14788.0</v>
      </c>
      <c r="H59" s="89">
        <f t="shared" si="2"/>
        <v>10.97511496</v>
      </c>
      <c r="I59" s="90">
        <v>1279.0</v>
      </c>
      <c r="J59" s="90">
        <v>62.0</v>
      </c>
      <c r="K59" s="87">
        <v>1360.0</v>
      </c>
      <c r="L59" s="88">
        <f t="shared" si="3"/>
        <v>95.37658464</v>
      </c>
      <c r="M59" s="87">
        <v>16386.0</v>
      </c>
      <c r="N59" s="89">
        <f t="shared" si="4"/>
        <v>8.299768095</v>
      </c>
      <c r="O59" s="90"/>
      <c r="P59" s="90"/>
    </row>
    <row r="60">
      <c r="A60" s="85">
        <v>20603.0</v>
      </c>
      <c r="B60" s="98" t="s">
        <v>95</v>
      </c>
      <c r="C60" s="87">
        <v>746.0</v>
      </c>
      <c r="D60" s="87">
        <v>134.0</v>
      </c>
      <c r="E60" s="87">
        <v>889.0</v>
      </c>
      <c r="F60" s="88">
        <f t="shared" si="1"/>
        <v>84.77272727</v>
      </c>
      <c r="G60" s="87">
        <v>8182.0</v>
      </c>
      <c r="H60" s="89">
        <f t="shared" si="2"/>
        <v>10.8653141</v>
      </c>
      <c r="I60" s="90">
        <v>759.0</v>
      </c>
      <c r="J60" s="90">
        <v>36.0</v>
      </c>
      <c r="K60" s="87">
        <v>803.0</v>
      </c>
      <c r="L60" s="88">
        <f t="shared" si="3"/>
        <v>95.47169811</v>
      </c>
      <c r="M60" s="87">
        <v>9761.0</v>
      </c>
      <c r="N60" s="89">
        <f t="shared" si="4"/>
        <v>8.226616125</v>
      </c>
      <c r="O60" s="90"/>
      <c r="P60" s="90"/>
    </row>
    <row r="61">
      <c r="A61" s="85">
        <v>20604.0</v>
      </c>
      <c r="B61" s="98" t="s">
        <v>96</v>
      </c>
      <c r="C61" s="87">
        <v>239.0</v>
      </c>
      <c r="D61" s="87">
        <v>26.0</v>
      </c>
      <c r="E61" s="87">
        <v>268.0</v>
      </c>
      <c r="F61" s="88">
        <f t="shared" si="1"/>
        <v>90.18867925</v>
      </c>
      <c r="G61" s="87">
        <v>2684.0</v>
      </c>
      <c r="H61" s="89">
        <f t="shared" si="2"/>
        <v>9.98509687</v>
      </c>
      <c r="I61" s="90">
        <v>364.0</v>
      </c>
      <c r="J61" s="90">
        <v>13.0</v>
      </c>
      <c r="K61" s="87">
        <v>380.0</v>
      </c>
      <c r="L61" s="88">
        <f t="shared" si="3"/>
        <v>96.55172414</v>
      </c>
      <c r="M61" s="87">
        <v>4224.0</v>
      </c>
      <c r="N61" s="89">
        <f t="shared" si="4"/>
        <v>8.996212121</v>
      </c>
      <c r="O61" s="90"/>
      <c r="P61" s="90"/>
    </row>
    <row r="62">
      <c r="A62" s="85">
        <v>20605.0</v>
      </c>
      <c r="B62" s="98" t="s">
        <v>97</v>
      </c>
      <c r="C62" s="87">
        <v>221.0</v>
      </c>
      <c r="D62" s="87">
        <v>13.0</v>
      </c>
      <c r="E62" s="87">
        <v>235.0</v>
      </c>
      <c r="F62" s="88">
        <f t="shared" si="1"/>
        <v>94.44444444</v>
      </c>
      <c r="G62" s="87">
        <v>3731.0</v>
      </c>
      <c r="H62" s="89">
        <f t="shared" si="2"/>
        <v>6.298579469</v>
      </c>
      <c r="I62" s="90">
        <v>207.0</v>
      </c>
      <c r="J62" s="90">
        <v>4.0</v>
      </c>
      <c r="K62" s="87">
        <v>216.0</v>
      </c>
      <c r="L62" s="88">
        <f t="shared" si="3"/>
        <v>98.1042654</v>
      </c>
      <c r="M62" s="87">
        <v>3529.0</v>
      </c>
      <c r="N62" s="89">
        <f t="shared" si="4"/>
        <v>6.120714083</v>
      </c>
      <c r="O62" s="90"/>
      <c r="P62" s="90"/>
    </row>
    <row r="63">
      <c r="A63" s="85">
        <v>20606.0</v>
      </c>
      <c r="B63" s="98" t="s">
        <v>98</v>
      </c>
      <c r="C63" s="87">
        <v>937.0</v>
      </c>
      <c r="D63" s="87">
        <v>158.0</v>
      </c>
      <c r="E63" s="87">
        <v>1107.0</v>
      </c>
      <c r="F63" s="88">
        <f t="shared" si="1"/>
        <v>85.57077626</v>
      </c>
      <c r="G63" s="87">
        <v>9985.0</v>
      </c>
      <c r="H63" s="89">
        <f t="shared" si="2"/>
        <v>11.08662994</v>
      </c>
      <c r="I63" s="90">
        <v>606.0</v>
      </c>
      <c r="J63" s="90">
        <v>58.0</v>
      </c>
      <c r="K63" s="87">
        <v>672.0</v>
      </c>
      <c r="L63" s="88">
        <f t="shared" si="3"/>
        <v>91.26506024</v>
      </c>
      <c r="M63" s="87">
        <v>7716.0</v>
      </c>
      <c r="N63" s="89">
        <f t="shared" si="4"/>
        <v>8.709175739</v>
      </c>
      <c r="O63" s="90"/>
      <c r="P63" s="90"/>
    </row>
    <row r="64">
      <c r="A64" s="85">
        <v>20607.0</v>
      </c>
      <c r="B64" s="98" t="s">
        <v>99</v>
      </c>
      <c r="C64" s="87">
        <v>1424.0</v>
      </c>
      <c r="D64" s="87">
        <v>370.0</v>
      </c>
      <c r="E64" s="87">
        <v>1803.0</v>
      </c>
      <c r="F64" s="88">
        <f t="shared" si="1"/>
        <v>79.37569677</v>
      </c>
      <c r="G64" s="87">
        <v>13891.0</v>
      </c>
      <c r="H64" s="89">
        <f t="shared" si="2"/>
        <v>12.9796271</v>
      </c>
      <c r="I64" s="90">
        <v>1800.0</v>
      </c>
      <c r="J64" s="90">
        <v>172.0</v>
      </c>
      <c r="K64" s="87">
        <v>1987.0</v>
      </c>
      <c r="L64" s="88">
        <f t="shared" si="3"/>
        <v>91.27789047</v>
      </c>
      <c r="M64" s="87">
        <v>21843.0</v>
      </c>
      <c r="N64" s="89">
        <f t="shared" si="4"/>
        <v>9.096735796</v>
      </c>
      <c r="O64" s="90"/>
      <c r="P64" s="90"/>
    </row>
    <row r="65">
      <c r="A65" s="85">
        <v>20608.0</v>
      </c>
      <c r="B65" s="98" t="s">
        <v>100</v>
      </c>
      <c r="C65" s="87">
        <v>924.0</v>
      </c>
      <c r="D65" s="87">
        <v>115.0</v>
      </c>
      <c r="E65" s="87">
        <v>1051.0</v>
      </c>
      <c r="F65" s="88">
        <f t="shared" si="1"/>
        <v>88.93166506</v>
      </c>
      <c r="G65" s="87">
        <v>9349.0</v>
      </c>
      <c r="H65" s="89">
        <f t="shared" si="2"/>
        <v>11.24184405</v>
      </c>
      <c r="I65" s="90">
        <v>1094.0</v>
      </c>
      <c r="J65" s="90">
        <v>76.0</v>
      </c>
      <c r="K65" s="87">
        <v>1181.0</v>
      </c>
      <c r="L65" s="88">
        <f t="shared" si="3"/>
        <v>93.5042735</v>
      </c>
      <c r="M65" s="87">
        <v>13379.0</v>
      </c>
      <c r="N65" s="89">
        <f t="shared" si="4"/>
        <v>8.827266612</v>
      </c>
      <c r="O65" s="90"/>
      <c r="P65" s="90"/>
    </row>
    <row r="66">
      <c r="A66" s="85">
        <v>20701.0</v>
      </c>
      <c r="B66" s="98" t="s">
        <v>102</v>
      </c>
      <c r="C66" s="87">
        <v>2137.0</v>
      </c>
      <c r="D66" s="87">
        <v>335.0</v>
      </c>
      <c r="E66" s="87">
        <v>2495.0</v>
      </c>
      <c r="F66" s="88">
        <f t="shared" si="1"/>
        <v>86.44822006</v>
      </c>
      <c r="G66" s="87">
        <v>20308.0</v>
      </c>
      <c r="H66" s="89">
        <f t="shared" si="2"/>
        <v>12.2857987</v>
      </c>
      <c r="I66" s="90">
        <v>1754.0</v>
      </c>
      <c r="J66" s="90">
        <v>148.0</v>
      </c>
      <c r="K66" s="87">
        <v>1931.0</v>
      </c>
      <c r="L66" s="88">
        <f t="shared" si="3"/>
        <v>92.21871714</v>
      </c>
      <c r="M66" s="87">
        <v>19156.0</v>
      </c>
      <c r="N66" s="89">
        <f t="shared" si="4"/>
        <v>10.08039257</v>
      </c>
      <c r="O66" s="90"/>
      <c r="P66" s="90"/>
    </row>
    <row r="67">
      <c r="A67" s="85">
        <v>20702.0</v>
      </c>
      <c r="B67" s="98" t="s">
        <v>103</v>
      </c>
      <c r="C67" s="87">
        <v>703.0</v>
      </c>
      <c r="D67" s="87">
        <v>76.0</v>
      </c>
      <c r="E67" s="87">
        <v>788.0</v>
      </c>
      <c r="F67" s="88">
        <f t="shared" si="1"/>
        <v>90.24390244</v>
      </c>
      <c r="G67" s="87">
        <v>6780.0</v>
      </c>
      <c r="H67" s="89">
        <f t="shared" si="2"/>
        <v>11.62241888</v>
      </c>
      <c r="I67" s="90">
        <v>683.0</v>
      </c>
      <c r="J67" s="90">
        <v>27.0</v>
      </c>
      <c r="K67" s="87">
        <v>722.0</v>
      </c>
      <c r="L67" s="88">
        <f t="shared" si="3"/>
        <v>96.1971831</v>
      </c>
      <c r="M67" s="87">
        <v>9060.0</v>
      </c>
      <c r="N67" s="89">
        <f t="shared" si="4"/>
        <v>7.969094923</v>
      </c>
      <c r="O67" s="90"/>
      <c r="P67" s="90"/>
    </row>
    <row r="68">
      <c r="A68" s="85">
        <v>20801.0</v>
      </c>
      <c r="B68" s="98" t="s">
        <v>105</v>
      </c>
      <c r="C68" s="87">
        <v>7669.0</v>
      </c>
      <c r="D68" s="87">
        <v>412.0</v>
      </c>
      <c r="E68" s="87">
        <v>8130.0</v>
      </c>
      <c r="F68" s="88">
        <f t="shared" si="1"/>
        <v>94.90162109</v>
      </c>
      <c r="G68" s="87">
        <v>80724.0</v>
      </c>
      <c r="H68" s="89">
        <f t="shared" si="2"/>
        <v>10.07135424</v>
      </c>
      <c r="I68" s="90">
        <v>8063.0</v>
      </c>
      <c r="J68" s="90">
        <v>130.0</v>
      </c>
      <c r="K68" s="87">
        <v>8249.0</v>
      </c>
      <c r="L68" s="88">
        <f t="shared" si="3"/>
        <v>98.41327963</v>
      </c>
      <c r="M68" s="87">
        <v>113554.0</v>
      </c>
      <c r="N68" s="89">
        <f t="shared" si="4"/>
        <v>7.264385226</v>
      </c>
      <c r="O68" s="90"/>
      <c r="P68" s="90"/>
    </row>
    <row r="69">
      <c r="A69" s="85">
        <v>20802.0</v>
      </c>
      <c r="B69" s="98" t="s">
        <v>106</v>
      </c>
      <c r="C69" s="87">
        <v>417.0</v>
      </c>
      <c r="D69" s="87">
        <v>29.0</v>
      </c>
      <c r="E69" s="87">
        <v>450.0</v>
      </c>
      <c r="F69" s="88">
        <f t="shared" si="1"/>
        <v>93.49775785</v>
      </c>
      <c r="G69" s="87">
        <v>7278.0</v>
      </c>
      <c r="H69" s="89">
        <f t="shared" si="2"/>
        <v>6.183017312</v>
      </c>
      <c r="I69" s="90">
        <v>470.0</v>
      </c>
      <c r="J69" s="90">
        <v>12.0</v>
      </c>
      <c r="K69" s="87">
        <v>482.0</v>
      </c>
      <c r="L69" s="88">
        <f t="shared" si="3"/>
        <v>97.51037344</v>
      </c>
      <c r="M69" s="87">
        <v>8592.0</v>
      </c>
      <c r="N69" s="89">
        <f t="shared" si="4"/>
        <v>5.609869646</v>
      </c>
      <c r="O69" s="90"/>
      <c r="P69" s="90"/>
    </row>
    <row r="70">
      <c r="A70" s="85">
        <v>20803.0</v>
      </c>
      <c r="B70" s="98" t="s">
        <v>107</v>
      </c>
      <c r="C70" s="87">
        <v>758.0</v>
      </c>
      <c r="D70" s="87">
        <v>49.0</v>
      </c>
      <c r="E70" s="87">
        <v>812.0</v>
      </c>
      <c r="F70" s="88">
        <f t="shared" si="1"/>
        <v>93.92812887</v>
      </c>
      <c r="G70" s="87">
        <v>12189.0</v>
      </c>
      <c r="H70" s="89">
        <f t="shared" si="2"/>
        <v>6.661744196</v>
      </c>
      <c r="I70" s="90">
        <v>930.0</v>
      </c>
      <c r="J70" s="90">
        <v>21.0</v>
      </c>
      <c r="K70" s="87">
        <v>960.0</v>
      </c>
      <c r="L70" s="88">
        <f t="shared" si="3"/>
        <v>97.79179811</v>
      </c>
      <c r="M70" s="87">
        <v>13648.0</v>
      </c>
      <c r="N70" s="89">
        <f t="shared" si="4"/>
        <v>7.033997655</v>
      </c>
      <c r="O70" s="90"/>
      <c r="P70" s="90"/>
    </row>
    <row r="71">
      <c r="A71" s="85">
        <v>20804.0</v>
      </c>
      <c r="B71" s="98" t="s">
        <v>108</v>
      </c>
      <c r="C71" s="87">
        <v>589.0</v>
      </c>
      <c r="D71" s="87">
        <v>59.0</v>
      </c>
      <c r="E71" s="87">
        <v>652.0</v>
      </c>
      <c r="F71" s="88">
        <f t="shared" si="1"/>
        <v>90.89506173</v>
      </c>
      <c r="G71" s="87">
        <v>6987.0</v>
      </c>
      <c r="H71" s="89">
        <f t="shared" si="2"/>
        <v>9.331615858</v>
      </c>
      <c r="I71" s="90">
        <v>497.0</v>
      </c>
      <c r="J71" s="90">
        <v>19.0</v>
      </c>
      <c r="K71" s="87">
        <v>519.0</v>
      </c>
      <c r="L71" s="88">
        <f t="shared" si="3"/>
        <v>96.31782946</v>
      </c>
      <c r="M71" s="87">
        <v>7897.0</v>
      </c>
      <c r="N71" s="89">
        <f t="shared" si="4"/>
        <v>6.572115993</v>
      </c>
      <c r="O71" s="90"/>
      <c r="P71" s="90"/>
    </row>
    <row r="72">
      <c r="A72" s="85">
        <v>20805.0</v>
      </c>
      <c r="B72" s="98" t="s">
        <v>109</v>
      </c>
      <c r="C72" s="87">
        <v>424.0</v>
      </c>
      <c r="D72" s="87">
        <v>48.0</v>
      </c>
      <c r="E72" s="87">
        <v>491.0</v>
      </c>
      <c r="F72" s="88">
        <f t="shared" si="1"/>
        <v>89.83050847</v>
      </c>
      <c r="G72" s="87">
        <v>6145.0</v>
      </c>
      <c r="H72" s="89">
        <f t="shared" si="2"/>
        <v>7.990235964</v>
      </c>
      <c r="I72" s="90">
        <v>447.0</v>
      </c>
      <c r="J72" s="90">
        <v>11.0</v>
      </c>
      <c r="K72" s="87">
        <v>461.0</v>
      </c>
      <c r="L72" s="88">
        <f t="shared" si="3"/>
        <v>97.59825328</v>
      </c>
      <c r="M72" s="87">
        <v>7936.0</v>
      </c>
      <c r="N72" s="89">
        <f t="shared" si="4"/>
        <v>5.808971774</v>
      </c>
      <c r="O72" s="90"/>
      <c r="P72" s="90"/>
    </row>
    <row r="73">
      <c r="A73" s="85">
        <v>20806.0</v>
      </c>
      <c r="B73" s="98" t="s">
        <v>110</v>
      </c>
      <c r="C73" s="87">
        <v>1086.0</v>
      </c>
      <c r="D73" s="87">
        <v>58.0</v>
      </c>
      <c r="E73" s="87">
        <v>1160.0</v>
      </c>
      <c r="F73" s="88">
        <f t="shared" si="1"/>
        <v>94.93006993</v>
      </c>
      <c r="G73" s="87">
        <v>15039.0</v>
      </c>
      <c r="H73" s="89">
        <f t="shared" si="2"/>
        <v>7.713278808</v>
      </c>
      <c r="I73" s="90">
        <v>1116.0</v>
      </c>
      <c r="J73" s="90">
        <v>20.0</v>
      </c>
      <c r="K73" s="87">
        <v>1144.0</v>
      </c>
      <c r="L73" s="88">
        <f t="shared" si="3"/>
        <v>98.23943662</v>
      </c>
      <c r="M73" s="87">
        <v>17016.0</v>
      </c>
      <c r="N73" s="89">
        <f t="shared" si="4"/>
        <v>6.723084156</v>
      </c>
      <c r="O73" s="90"/>
      <c r="P73" s="90"/>
    </row>
    <row r="74">
      <c r="A74" s="85">
        <v>20807.0</v>
      </c>
      <c r="B74" s="98" t="s">
        <v>111</v>
      </c>
      <c r="C74" s="87">
        <v>340.0</v>
      </c>
      <c r="D74" s="87">
        <v>25.0</v>
      </c>
      <c r="E74" s="87">
        <v>366.0</v>
      </c>
      <c r="F74" s="88">
        <f t="shared" si="1"/>
        <v>93.15068493</v>
      </c>
      <c r="G74" s="87">
        <v>6603.0</v>
      </c>
      <c r="H74" s="89">
        <f t="shared" si="2"/>
        <v>5.54293503</v>
      </c>
      <c r="I74" s="90">
        <v>454.0</v>
      </c>
      <c r="J74" s="90">
        <v>5.0</v>
      </c>
      <c r="K74" s="87">
        <v>462.0</v>
      </c>
      <c r="L74" s="88">
        <f t="shared" si="3"/>
        <v>98.91067538</v>
      </c>
      <c r="M74" s="87">
        <v>7540.0</v>
      </c>
      <c r="N74" s="89">
        <f t="shared" si="4"/>
        <v>6.127320955</v>
      </c>
      <c r="O74" s="90"/>
      <c r="P74" s="90"/>
    </row>
    <row r="75">
      <c r="A75" s="85">
        <v>20901.0</v>
      </c>
      <c r="B75" s="98" t="s">
        <v>113</v>
      </c>
      <c r="C75" s="87">
        <v>817.0</v>
      </c>
      <c r="D75" s="87">
        <v>64.0</v>
      </c>
      <c r="E75" s="87">
        <v>885.0</v>
      </c>
      <c r="F75" s="88">
        <f t="shared" si="1"/>
        <v>92.73552781</v>
      </c>
      <c r="G75" s="87">
        <v>11139.0</v>
      </c>
      <c r="H75" s="89">
        <f t="shared" si="2"/>
        <v>7.945057905</v>
      </c>
      <c r="I75" s="90">
        <v>646.0</v>
      </c>
      <c r="J75" s="90">
        <v>18.0</v>
      </c>
      <c r="K75" s="87">
        <v>665.0</v>
      </c>
      <c r="L75" s="88">
        <f t="shared" si="3"/>
        <v>97.28915663</v>
      </c>
      <c r="M75" s="87">
        <v>10703.0</v>
      </c>
      <c r="N75" s="89">
        <f t="shared" si="4"/>
        <v>6.213211249</v>
      </c>
      <c r="O75" s="90"/>
      <c r="P75" s="90"/>
    </row>
    <row r="76">
      <c r="A76" s="85">
        <v>20902.0</v>
      </c>
      <c r="B76" s="98" t="s">
        <v>114</v>
      </c>
      <c r="C76" s="87">
        <v>913.0</v>
      </c>
      <c r="D76" s="87">
        <v>92.0</v>
      </c>
      <c r="E76" s="87">
        <v>1013.0</v>
      </c>
      <c r="F76" s="88">
        <f t="shared" si="1"/>
        <v>90.84577114</v>
      </c>
      <c r="G76" s="87">
        <v>12484.0</v>
      </c>
      <c r="H76" s="89">
        <f t="shared" si="2"/>
        <v>8.114386415</v>
      </c>
      <c r="I76" s="90">
        <v>1043.0</v>
      </c>
      <c r="J76" s="90">
        <v>35.0</v>
      </c>
      <c r="K76" s="87">
        <v>1087.0</v>
      </c>
      <c r="L76" s="88">
        <f t="shared" si="3"/>
        <v>96.75324675</v>
      </c>
      <c r="M76" s="87">
        <v>16497.0</v>
      </c>
      <c r="N76" s="89">
        <f t="shared" si="4"/>
        <v>6.589076802</v>
      </c>
      <c r="O76" s="90"/>
      <c r="P76" s="90"/>
    </row>
    <row r="77">
      <c r="A77" s="85">
        <v>20903.0</v>
      </c>
      <c r="B77" s="98" t="s">
        <v>115</v>
      </c>
      <c r="C77" s="87">
        <v>624.0</v>
      </c>
      <c r="D77" s="87">
        <v>62.0</v>
      </c>
      <c r="E77" s="87">
        <v>692.0</v>
      </c>
      <c r="F77" s="88">
        <f t="shared" si="1"/>
        <v>90.96209913</v>
      </c>
      <c r="G77" s="87">
        <v>7315.0</v>
      </c>
      <c r="H77" s="89">
        <f t="shared" si="2"/>
        <v>9.460013671</v>
      </c>
      <c r="I77" s="90">
        <v>889.0</v>
      </c>
      <c r="J77" s="90">
        <v>36.0</v>
      </c>
      <c r="K77" s="87">
        <v>935.0</v>
      </c>
      <c r="L77" s="88">
        <f t="shared" si="3"/>
        <v>96.10810811</v>
      </c>
      <c r="M77" s="87">
        <v>12296.0</v>
      </c>
      <c r="N77" s="89">
        <f t="shared" si="4"/>
        <v>7.604098894</v>
      </c>
      <c r="O77" s="90"/>
      <c r="P77" s="90"/>
    </row>
    <row r="78">
      <c r="A78" s="85">
        <v>20904.0</v>
      </c>
      <c r="B78" s="98" t="s">
        <v>116</v>
      </c>
      <c r="C78" s="87">
        <v>446.0</v>
      </c>
      <c r="D78" s="87">
        <v>87.0</v>
      </c>
      <c r="E78" s="87">
        <v>537.0</v>
      </c>
      <c r="F78" s="88">
        <f t="shared" si="1"/>
        <v>83.67729831</v>
      </c>
      <c r="G78" s="87">
        <v>5180.0</v>
      </c>
      <c r="H78" s="89">
        <f t="shared" si="2"/>
        <v>10.36679537</v>
      </c>
      <c r="I78" s="90">
        <v>484.0</v>
      </c>
      <c r="J78" s="90">
        <v>45.0</v>
      </c>
      <c r="K78" s="87">
        <v>535.0</v>
      </c>
      <c r="L78" s="88">
        <f t="shared" si="3"/>
        <v>91.49338374</v>
      </c>
      <c r="M78" s="87">
        <v>5297.0</v>
      </c>
      <c r="N78" s="89">
        <f t="shared" si="4"/>
        <v>10.10005664</v>
      </c>
      <c r="O78" s="90"/>
      <c r="P78" s="90"/>
    </row>
    <row r="79">
      <c r="A79" s="85">
        <v>20905.0</v>
      </c>
      <c r="B79" s="98" t="s">
        <v>117</v>
      </c>
      <c r="C79" s="87">
        <v>993.0</v>
      </c>
      <c r="D79" s="87">
        <v>173.0</v>
      </c>
      <c r="E79" s="87">
        <v>1174.0</v>
      </c>
      <c r="F79" s="88">
        <f t="shared" si="1"/>
        <v>85.16295026</v>
      </c>
      <c r="G79" s="87">
        <v>11355.0</v>
      </c>
      <c r="H79" s="89">
        <f t="shared" si="2"/>
        <v>10.33905768</v>
      </c>
      <c r="I79" s="90">
        <v>1064.0</v>
      </c>
      <c r="J79" s="90">
        <v>54.0</v>
      </c>
      <c r="K79" s="87">
        <v>1133.0</v>
      </c>
      <c r="L79" s="88">
        <f t="shared" si="3"/>
        <v>95.16994633</v>
      </c>
      <c r="M79" s="87">
        <v>13598.0</v>
      </c>
      <c r="N79" s="89">
        <f t="shared" si="4"/>
        <v>8.332107663</v>
      </c>
      <c r="O79" s="90"/>
      <c r="P79" s="90"/>
    </row>
    <row r="80">
      <c r="A80" s="85">
        <v>21001.0</v>
      </c>
      <c r="B80" s="98" t="s">
        <v>118</v>
      </c>
      <c r="C80" s="87">
        <v>1218.0</v>
      </c>
      <c r="D80" s="87">
        <v>317.0</v>
      </c>
      <c r="E80" s="87">
        <v>1553.0</v>
      </c>
      <c r="F80" s="88">
        <f t="shared" si="1"/>
        <v>79.3485342</v>
      </c>
      <c r="G80" s="87">
        <v>14717.0</v>
      </c>
      <c r="H80" s="89">
        <f t="shared" si="2"/>
        <v>10.55242237</v>
      </c>
      <c r="I80" s="90">
        <v>1534.0</v>
      </c>
      <c r="J80" s="90">
        <v>68.0</v>
      </c>
      <c r="K80" s="87">
        <v>1606.0</v>
      </c>
      <c r="L80" s="88">
        <f t="shared" si="3"/>
        <v>95.75530587</v>
      </c>
      <c r="M80" s="87">
        <v>18679.0</v>
      </c>
      <c r="N80" s="89">
        <f t="shared" si="4"/>
        <v>8.597890679</v>
      </c>
      <c r="O80" s="90"/>
      <c r="P80" s="90"/>
    </row>
    <row r="81">
      <c r="A81" s="85">
        <v>21002.0</v>
      </c>
      <c r="B81" s="98" t="s">
        <v>119</v>
      </c>
      <c r="C81" s="87">
        <v>673.0</v>
      </c>
      <c r="D81" s="87">
        <v>80.0</v>
      </c>
      <c r="E81" s="87">
        <v>758.0</v>
      </c>
      <c r="F81" s="88">
        <f t="shared" si="1"/>
        <v>89.37583001</v>
      </c>
      <c r="G81" s="87">
        <v>8266.0</v>
      </c>
      <c r="H81" s="89">
        <f t="shared" si="2"/>
        <v>9.170094362</v>
      </c>
      <c r="I81" s="90">
        <v>847.0</v>
      </c>
      <c r="J81" s="90">
        <v>38.0</v>
      </c>
      <c r="K81" s="87">
        <v>891.0</v>
      </c>
      <c r="L81" s="88">
        <f t="shared" si="3"/>
        <v>95.70621469</v>
      </c>
      <c r="M81" s="87">
        <v>10887.0</v>
      </c>
      <c r="N81" s="89">
        <f t="shared" si="4"/>
        <v>8.184072747</v>
      </c>
      <c r="O81" s="90"/>
      <c r="P81" s="90"/>
    </row>
    <row r="82">
      <c r="A82" s="85">
        <v>21003.0</v>
      </c>
      <c r="B82" s="98" t="s">
        <v>120</v>
      </c>
      <c r="C82" s="87">
        <v>966.0</v>
      </c>
      <c r="D82" s="87">
        <v>177.0</v>
      </c>
      <c r="E82" s="87">
        <v>1149.0</v>
      </c>
      <c r="F82" s="88">
        <f t="shared" si="1"/>
        <v>84.5144357</v>
      </c>
      <c r="G82" s="87">
        <v>10458.0</v>
      </c>
      <c r="H82" s="89">
        <f t="shared" si="2"/>
        <v>10.98680436</v>
      </c>
      <c r="I82" s="90">
        <v>1373.0</v>
      </c>
      <c r="J82" s="90">
        <v>69.0</v>
      </c>
      <c r="K82" s="87">
        <v>1451.0</v>
      </c>
      <c r="L82" s="88">
        <f t="shared" si="3"/>
        <v>95.2149792</v>
      </c>
      <c r="M82" s="87">
        <v>15565.0</v>
      </c>
      <c r="N82" s="89">
        <f t="shared" si="4"/>
        <v>9.322197237</v>
      </c>
      <c r="O82" s="90"/>
      <c r="P82" s="90"/>
    </row>
    <row r="83">
      <c r="A83" s="85">
        <v>21004.0</v>
      </c>
      <c r="B83" s="98" t="s">
        <v>121</v>
      </c>
      <c r="C83" s="87">
        <v>1955.0</v>
      </c>
      <c r="D83" s="87">
        <v>223.0</v>
      </c>
      <c r="E83" s="87">
        <v>2191.0</v>
      </c>
      <c r="F83" s="88">
        <f t="shared" si="1"/>
        <v>89.76124885</v>
      </c>
      <c r="G83" s="87">
        <v>19620.0</v>
      </c>
      <c r="H83" s="89">
        <f t="shared" si="2"/>
        <v>11.16717635</v>
      </c>
      <c r="I83" s="90">
        <v>1926.0</v>
      </c>
      <c r="J83" s="90">
        <v>22.0</v>
      </c>
      <c r="K83" s="87">
        <v>1971.0</v>
      </c>
      <c r="L83" s="88">
        <f t="shared" si="3"/>
        <v>98.87063655</v>
      </c>
      <c r="M83" s="87">
        <v>23505.0</v>
      </c>
      <c r="N83" s="89">
        <f t="shared" si="4"/>
        <v>8.385449904</v>
      </c>
      <c r="O83" s="90"/>
      <c r="P83" s="90"/>
    </row>
    <row r="84">
      <c r="A84" s="85">
        <v>21005.0</v>
      </c>
      <c r="B84" s="98" t="s">
        <v>122</v>
      </c>
      <c r="C84" s="87">
        <v>743.0</v>
      </c>
      <c r="D84" s="87">
        <v>133.0</v>
      </c>
      <c r="E84" s="87">
        <v>885.0</v>
      </c>
      <c r="F84" s="88">
        <f t="shared" si="1"/>
        <v>84.8173516</v>
      </c>
      <c r="G84" s="87">
        <v>7913.0</v>
      </c>
      <c r="H84" s="89">
        <f t="shared" si="2"/>
        <v>11.18412739</v>
      </c>
      <c r="I84" s="90">
        <v>709.0</v>
      </c>
      <c r="J84" s="90">
        <v>20.0</v>
      </c>
      <c r="K84" s="87">
        <v>737.0</v>
      </c>
      <c r="L84" s="88">
        <f t="shared" si="3"/>
        <v>97.25651578</v>
      </c>
      <c r="M84" s="87">
        <v>9552.0</v>
      </c>
      <c r="N84" s="89">
        <f t="shared" si="4"/>
        <v>7.715661642</v>
      </c>
      <c r="O84" s="90"/>
      <c r="P84" s="90"/>
    </row>
    <row r="85">
      <c r="A85" s="85">
        <v>21006.0</v>
      </c>
      <c r="B85" s="98" t="s">
        <v>123</v>
      </c>
      <c r="C85" s="87">
        <v>378.0</v>
      </c>
      <c r="D85" s="87">
        <v>29.0</v>
      </c>
      <c r="E85" s="87">
        <v>408.0</v>
      </c>
      <c r="F85" s="88">
        <f t="shared" si="1"/>
        <v>92.87469287</v>
      </c>
      <c r="G85" s="87">
        <v>5488.0</v>
      </c>
      <c r="H85" s="89">
        <f t="shared" si="2"/>
        <v>7.434402332</v>
      </c>
      <c r="I85" s="90">
        <v>805.0</v>
      </c>
      <c r="J85" s="90">
        <v>48.0</v>
      </c>
      <c r="K85" s="87">
        <v>858.0</v>
      </c>
      <c r="L85" s="88">
        <f t="shared" si="3"/>
        <v>94.37280188</v>
      </c>
      <c r="M85" s="87">
        <v>7877.0</v>
      </c>
      <c r="N85" s="89">
        <f t="shared" si="4"/>
        <v>10.89247175</v>
      </c>
      <c r="O85" s="90"/>
      <c r="P85" s="90"/>
    </row>
    <row r="86">
      <c r="A86" s="85">
        <v>21101.0</v>
      </c>
      <c r="B86" s="98" t="s">
        <v>125</v>
      </c>
      <c r="C86" s="87">
        <v>1623.0</v>
      </c>
      <c r="D86" s="87">
        <v>144.0</v>
      </c>
      <c r="E86" s="87">
        <v>1792.0</v>
      </c>
      <c r="F86" s="88">
        <f t="shared" si="1"/>
        <v>91.85059423</v>
      </c>
      <c r="G86" s="87">
        <v>17823.0</v>
      </c>
      <c r="H86" s="89">
        <f t="shared" si="2"/>
        <v>10.05442406</v>
      </c>
      <c r="I86" s="90">
        <v>1261.0</v>
      </c>
      <c r="J86" s="90">
        <v>31.0</v>
      </c>
      <c r="K86" s="87">
        <v>1310.0</v>
      </c>
      <c r="L86" s="88">
        <f t="shared" si="3"/>
        <v>97.6006192</v>
      </c>
      <c r="M86" s="87">
        <v>18303.0</v>
      </c>
      <c r="N86" s="89">
        <f t="shared" si="4"/>
        <v>7.157296618</v>
      </c>
      <c r="O86" s="90"/>
      <c r="P86" s="90"/>
    </row>
    <row r="87">
      <c r="A87" s="85">
        <v>21102.0</v>
      </c>
      <c r="B87" s="98" t="s">
        <v>126</v>
      </c>
      <c r="C87" s="87">
        <v>1530.0</v>
      </c>
      <c r="D87" s="87">
        <v>179.0</v>
      </c>
      <c r="E87" s="87">
        <v>1723.0</v>
      </c>
      <c r="F87" s="88">
        <f t="shared" si="1"/>
        <v>89.52603862</v>
      </c>
      <c r="G87" s="87">
        <v>17276.0</v>
      </c>
      <c r="H87" s="89">
        <f t="shared" si="2"/>
        <v>9.973373466</v>
      </c>
      <c r="I87" s="90">
        <v>1565.0</v>
      </c>
      <c r="J87" s="90">
        <v>47.0</v>
      </c>
      <c r="K87" s="87">
        <v>1620.0</v>
      </c>
      <c r="L87" s="88">
        <f t="shared" si="3"/>
        <v>97.08436725</v>
      </c>
      <c r="M87" s="87">
        <v>23279.0</v>
      </c>
      <c r="N87" s="89">
        <f t="shared" si="4"/>
        <v>6.959061815</v>
      </c>
      <c r="O87" s="90"/>
      <c r="P87" s="90"/>
    </row>
    <row r="88">
      <c r="A88" s="85">
        <v>21103.0</v>
      </c>
      <c r="B88" s="98" t="s">
        <v>127</v>
      </c>
      <c r="C88" s="87">
        <v>555.0</v>
      </c>
      <c r="D88" s="87">
        <v>44.0</v>
      </c>
      <c r="E88" s="87">
        <v>601.0</v>
      </c>
      <c r="F88" s="88">
        <f t="shared" si="1"/>
        <v>92.65442404</v>
      </c>
      <c r="G88" s="87">
        <v>6420.0</v>
      </c>
      <c r="H88" s="89">
        <f t="shared" si="2"/>
        <v>9.361370717</v>
      </c>
      <c r="I88" s="90">
        <v>478.0</v>
      </c>
      <c r="J88" s="90">
        <v>16.0</v>
      </c>
      <c r="K88" s="87">
        <v>497.0</v>
      </c>
      <c r="L88" s="88">
        <f t="shared" si="3"/>
        <v>96.7611336</v>
      </c>
      <c r="M88" s="87">
        <v>7615.0</v>
      </c>
      <c r="N88" s="89">
        <f t="shared" si="4"/>
        <v>6.526592252</v>
      </c>
      <c r="O88" s="90"/>
      <c r="P88" s="90"/>
    </row>
    <row r="89">
      <c r="A89" s="85">
        <v>21104.0</v>
      </c>
      <c r="B89" s="98" t="s">
        <v>128</v>
      </c>
      <c r="C89" s="87">
        <v>2592.0</v>
      </c>
      <c r="D89" s="87">
        <v>321.0</v>
      </c>
      <c r="E89" s="87">
        <v>2927.0</v>
      </c>
      <c r="F89" s="88">
        <f t="shared" si="1"/>
        <v>88.98043254</v>
      </c>
      <c r="G89" s="87">
        <v>24731.0</v>
      </c>
      <c r="H89" s="89">
        <f t="shared" si="2"/>
        <v>11.83534835</v>
      </c>
      <c r="I89" s="90">
        <v>2166.0</v>
      </c>
      <c r="J89" s="90">
        <v>131.0</v>
      </c>
      <c r="K89" s="87">
        <v>2322.0</v>
      </c>
      <c r="L89" s="88">
        <f t="shared" si="3"/>
        <v>94.29690901</v>
      </c>
      <c r="M89" s="87">
        <v>27137.0</v>
      </c>
      <c r="N89" s="89">
        <f t="shared" si="4"/>
        <v>8.556583263</v>
      </c>
      <c r="O89" s="90"/>
      <c r="P89" s="90"/>
    </row>
    <row r="90">
      <c r="A90" s="85">
        <v>21105.0</v>
      </c>
      <c r="B90" s="98" t="s">
        <v>129</v>
      </c>
      <c r="C90" s="87">
        <v>4754.0</v>
      </c>
      <c r="D90" s="87">
        <v>938.0</v>
      </c>
      <c r="E90" s="87">
        <v>5755.0</v>
      </c>
      <c r="F90" s="88">
        <f t="shared" si="1"/>
        <v>83.52073085</v>
      </c>
      <c r="G90" s="87">
        <v>40178.0</v>
      </c>
      <c r="H90" s="89">
        <f t="shared" si="2"/>
        <v>14.32375927</v>
      </c>
      <c r="I90" s="90">
        <v>3919.0</v>
      </c>
      <c r="J90" s="90">
        <v>218.0</v>
      </c>
      <c r="K90" s="87">
        <v>4179.0</v>
      </c>
      <c r="L90" s="88">
        <f t="shared" si="3"/>
        <v>94.73048102</v>
      </c>
      <c r="M90" s="87">
        <v>45587.0</v>
      </c>
      <c r="N90" s="89">
        <f t="shared" si="4"/>
        <v>9.167087108</v>
      </c>
      <c r="O90" s="90"/>
      <c r="P90" s="90"/>
    </row>
    <row r="91">
      <c r="A91" s="85">
        <v>21201.0</v>
      </c>
      <c r="B91" s="98" t="s">
        <v>131</v>
      </c>
      <c r="C91" s="87">
        <v>2641.0</v>
      </c>
      <c r="D91" s="87">
        <v>148.0</v>
      </c>
      <c r="E91" s="87">
        <v>2823.0</v>
      </c>
      <c r="F91" s="88">
        <f t="shared" si="1"/>
        <v>94.69343851</v>
      </c>
      <c r="G91" s="87">
        <v>30124.0</v>
      </c>
      <c r="H91" s="89">
        <f t="shared" si="2"/>
        <v>9.371265436</v>
      </c>
      <c r="I91" s="90">
        <v>3579.0</v>
      </c>
      <c r="J91" s="90">
        <v>65.0</v>
      </c>
      <c r="K91" s="87">
        <v>3661.0</v>
      </c>
      <c r="L91" s="88">
        <f t="shared" si="3"/>
        <v>98.21624588</v>
      </c>
      <c r="M91" s="87">
        <v>49850.0</v>
      </c>
      <c r="N91" s="89">
        <f t="shared" si="4"/>
        <v>7.344032096</v>
      </c>
      <c r="O91" s="90"/>
      <c r="P91" s="90"/>
    </row>
    <row r="92">
      <c r="A92" s="85">
        <v>21202.0</v>
      </c>
      <c r="B92" s="98" t="s">
        <v>132</v>
      </c>
      <c r="C92" s="87">
        <v>1989.0</v>
      </c>
      <c r="D92" s="87">
        <v>93.0</v>
      </c>
      <c r="E92" s="87">
        <v>2095.0</v>
      </c>
      <c r="F92" s="88">
        <f t="shared" si="1"/>
        <v>95.53314121</v>
      </c>
      <c r="G92" s="87">
        <v>24531.0</v>
      </c>
      <c r="H92" s="89">
        <f t="shared" si="2"/>
        <v>8.540214423</v>
      </c>
      <c r="I92" s="90">
        <v>2797.0</v>
      </c>
      <c r="J92" s="90">
        <v>103.0</v>
      </c>
      <c r="K92" s="87">
        <v>2924.0</v>
      </c>
      <c r="L92" s="88">
        <f t="shared" si="3"/>
        <v>96.44827586</v>
      </c>
      <c r="M92" s="87">
        <v>38652.0</v>
      </c>
      <c r="N92" s="89">
        <f t="shared" si="4"/>
        <v>7.564938425</v>
      </c>
      <c r="O92" s="90"/>
      <c r="P92" s="90"/>
    </row>
    <row r="93">
      <c r="A93" s="85">
        <v>21203.0</v>
      </c>
      <c r="B93" s="98" t="s">
        <v>133</v>
      </c>
      <c r="C93" s="87">
        <v>1396.0</v>
      </c>
      <c r="D93" s="87">
        <v>80.0</v>
      </c>
      <c r="E93" s="87">
        <v>1486.0</v>
      </c>
      <c r="F93" s="88">
        <f t="shared" si="1"/>
        <v>94.5799458</v>
      </c>
      <c r="G93" s="87">
        <v>17426.0</v>
      </c>
      <c r="H93" s="89">
        <f t="shared" si="2"/>
        <v>8.527487662</v>
      </c>
      <c r="I93" s="90">
        <v>1350.0</v>
      </c>
      <c r="J93" s="90">
        <v>32.0</v>
      </c>
      <c r="K93" s="87">
        <v>1404.0</v>
      </c>
      <c r="L93" s="88">
        <f t="shared" si="3"/>
        <v>97.6845152</v>
      </c>
      <c r="M93" s="87">
        <v>20607.0</v>
      </c>
      <c r="N93" s="89">
        <f t="shared" si="4"/>
        <v>6.813218809</v>
      </c>
      <c r="O93" s="90"/>
      <c r="P93" s="90"/>
    </row>
    <row r="94">
      <c r="A94" s="85">
        <v>21204.0</v>
      </c>
      <c r="B94" s="98" t="s">
        <v>134</v>
      </c>
      <c r="C94" s="87">
        <v>467.0</v>
      </c>
      <c r="D94" s="87">
        <v>32.0</v>
      </c>
      <c r="E94" s="87">
        <v>505.0</v>
      </c>
      <c r="F94" s="88">
        <f t="shared" si="1"/>
        <v>93.58717435</v>
      </c>
      <c r="G94" s="87">
        <v>6498.0</v>
      </c>
      <c r="H94" s="89">
        <f t="shared" si="2"/>
        <v>7.771622038</v>
      </c>
      <c r="I94" s="90">
        <v>440.0</v>
      </c>
      <c r="J94" s="90">
        <v>12.0</v>
      </c>
      <c r="K94" s="87">
        <v>459.0</v>
      </c>
      <c r="L94" s="88">
        <f t="shared" si="3"/>
        <v>97.34513274</v>
      </c>
      <c r="M94" s="87">
        <v>7900.0</v>
      </c>
      <c r="N94" s="89">
        <f t="shared" si="4"/>
        <v>5.810126582</v>
      </c>
      <c r="O94" s="90"/>
      <c r="P94" s="90"/>
    </row>
    <row r="95">
      <c r="A95" s="85">
        <v>21301.0</v>
      </c>
      <c r="B95" s="98" t="s">
        <v>136</v>
      </c>
      <c r="C95" s="87">
        <v>2799.0</v>
      </c>
      <c r="D95" s="87">
        <v>304.0</v>
      </c>
      <c r="E95" s="87">
        <v>3132.0</v>
      </c>
      <c r="F95" s="88">
        <f t="shared" si="1"/>
        <v>90.20302933</v>
      </c>
      <c r="G95" s="87">
        <v>31312.0</v>
      </c>
      <c r="H95" s="89">
        <f t="shared" si="2"/>
        <v>10.00255493</v>
      </c>
      <c r="I95" s="90">
        <v>2517.0</v>
      </c>
      <c r="J95" s="90">
        <v>87.0</v>
      </c>
      <c r="K95" s="87">
        <v>2631.0</v>
      </c>
      <c r="L95" s="88">
        <f t="shared" si="3"/>
        <v>96.65898618</v>
      </c>
      <c r="M95" s="87">
        <v>33885.0</v>
      </c>
      <c r="N95" s="89">
        <f t="shared" si="4"/>
        <v>7.764497565</v>
      </c>
      <c r="O95" s="90"/>
      <c r="P95" s="90"/>
    </row>
    <row r="96">
      <c r="A96" s="85">
        <v>21302.0</v>
      </c>
      <c r="B96" s="98" t="s">
        <v>137</v>
      </c>
      <c r="C96" s="87">
        <v>682.0</v>
      </c>
      <c r="D96" s="87">
        <v>72.0</v>
      </c>
      <c r="E96" s="87">
        <v>763.0</v>
      </c>
      <c r="F96" s="88">
        <f t="shared" si="1"/>
        <v>90.45092838</v>
      </c>
      <c r="G96" s="87">
        <v>8903.0</v>
      </c>
      <c r="H96" s="89">
        <f t="shared" si="2"/>
        <v>8.570144895</v>
      </c>
      <c r="I96" s="90">
        <v>503.0</v>
      </c>
      <c r="J96" s="90">
        <v>17.0</v>
      </c>
      <c r="K96" s="87">
        <v>529.0</v>
      </c>
      <c r="L96" s="88">
        <f t="shared" si="3"/>
        <v>96.73076923</v>
      </c>
      <c r="M96" s="87">
        <v>9102.0</v>
      </c>
      <c r="N96" s="89">
        <f t="shared" si="4"/>
        <v>5.81190947</v>
      </c>
      <c r="O96" s="90"/>
      <c r="P96" s="90"/>
    </row>
    <row r="97">
      <c r="A97" s="85">
        <v>21303.0</v>
      </c>
      <c r="B97" s="98" t="s">
        <v>138</v>
      </c>
      <c r="C97" s="87">
        <v>688.0</v>
      </c>
      <c r="D97" s="87">
        <v>40.0</v>
      </c>
      <c r="E97" s="87">
        <v>738.0</v>
      </c>
      <c r="F97" s="88">
        <f t="shared" si="1"/>
        <v>94.50549451</v>
      </c>
      <c r="G97" s="87">
        <v>7798.0</v>
      </c>
      <c r="H97" s="89">
        <f t="shared" si="2"/>
        <v>9.463965119</v>
      </c>
      <c r="I97" s="90">
        <v>760.0</v>
      </c>
      <c r="J97" s="90">
        <v>15.0</v>
      </c>
      <c r="K97" s="87">
        <v>782.0</v>
      </c>
      <c r="L97" s="88">
        <f t="shared" si="3"/>
        <v>98.06451613</v>
      </c>
      <c r="M97" s="87">
        <v>11258.0</v>
      </c>
      <c r="N97" s="89">
        <f t="shared" si="4"/>
        <v>6.946171611</v>
      </c>
      <c r="O97" s="90"/>
      <c r="P97" s="90"/>
    </row>
    <row r="98">
      <c r="A98" s="85">
        <v>21304.0</v>
      </c>
      <c r="B98" s="98" t="s">
        <v>139</v>
      </c>
      <c r="C98" s="87">
        <v>974.0</v>
      </c>
      <c r="D98" s="87">
        <v>59.0</v>
      </c>
      <c r="E98" s="87">
        <v>1042.0</v>
      </c>
      <c r="F98" s="88">
        <f t="shared" si="1"/>
        <v>94.28848015</v>
      </c>
      <c r="G98" s="87">
        <v>12413.0</v>
      </c>
      <c r="H98" s="89">
        <f t="shared" si="2"/>
        <v>8.394425199</v>
      </c>
      <c r="I98" s="90">
        <v>1102.0</v>
      </c>
      <c r="J98" s="90">
        <v>24.0</v>
      </c>
      <c r="K98" s="87">
        <v>1133.0</v>
      </c>
      <c r="L98" s="88">
        <f t="shared" si="3"/>
        <v>97.86856128</v>
      </c>
      <c r="M98" s="87">
        <v>15327.0</v>
      </c>
      <c r="N98" s="89">
        <f t="shared" si="4"/>
        <v>7.392183728</v>
      </c>
      <c r="O98" s="90"/>
      <c r="P98" s="90"/>
    </row>
    <row r="99">
      <c r="A99" s="85">
        <v>21305.0</v>
      </c>
      <c r="B99" s="98" t="s">
        <v>140</v>
      </c>
      <c r="C99" s="87">
        <v>2200.0</v>
      </c>
      <c r="D99" s="87">
        <v>224.0</v>
      </c>
      <c r="E99" s="87">
        <v>2453.0</v>
      </c>
      <c r="F99" s="88">
        <f t="shared" si="1"/>
        <v>90.75907591</v>
      </c>
      <c r="G99" s="87">
        <v>22858.0</v>
      </c>
      <c r="H99" s="89">
        <f t="shared" si="2"/>
        <v>10.73147257</v>
      </c>
      <c r="I99" s="90">
        <v>1863.0</v>
      </c>
      <c r="J99" s="90">
        <v>52.0</v>
      </c>
      <c r="K99" s="87">
        <v>1930.0</v>
      </c>
      <c r="L99" s="88">
        <f t="shared" si="3"/>
        <v>97.2845953</v>
      </c>
      <c r="M99" s="87">
        <v>25148.0</v>
      </c>
      <c r="N99" s="89">
        <f t="shared" si="4"/>
        <v>7.674566566</v>
      </c>
      <c r="O99" s="90"/>
      <c r="P99" s="90"/>
    </row>
    <row r="100">
      <c r="A100" s="85">
        <v>21306.0</v>
      </c>
      <c r="B100" s="98" t="s">
        <v>141</v>
      </c>
      <c r="C100" s="87">
        <v>855.0</v>
      </c>
      <c r="D100" s="87">
        <v>41.0</v>
      </c>
      <c r="E100" s="87">
        <v>900.0</v>
      </c>
      <c r="F100" s="88">
        <f t="shared" si="1"/>
        <v>95.42410714</v>
      </c>
      <c r="G100" s="87">
        <v>9879.0</v>
      </c>
      <c r="H100" s="89">
        <f t="shared" si="2"/>
        <v>9.110233829</v>
      </c>
      <c r="I100" s="90">
        <v>1045.0</v>
      </c>
      <c r="J100" s="90">
        <v>83.0</v>
      </c>
      <c r="K100" s="87">
        <v>1147.0</v>
      </c>
      <c r="L100" s="88">
        <f t="shared" si="3"/>
        <v>92.64184397</v>
      </c>
      <c r="M100" s="87">
        <v>12490.0</v>
      </c>
      <c r="N100" s="89">
        <f t="shared" si="4"/>
        <v>9.183346677</v>
      </c>
      <c r="O100" s="90"/>
      <c r="P100" s="90"/>
    </row>
    <row r="101">
      <c r="A101" s="85">
        <v>21307.0</v>
      </c>
      <c r="B101" s="98" t="s">
        <v>142</v>
      </c>
      <c r="C101" s="87">
        <v>455.0</v>
      </c>
      <c r="D101" s="87">
        <v>21.0</v>
      </c>
      <c r="E101" s="87">
        <v>487.0</v>
      </c>
      <c r="F101" s="88">
        <f t="shared" si="1"/>
        <v>95.58823529</v>
      </c>
      <c r="G101" s="87">
        <v>5042.0</v>
      </c>
      <c r="H101" s="89">
        <f t="shared" si="2"/>
        <v>9.65886553</v>
      </c>
      <c r="I101" s="90">
        <v>386.0</v>
      </c>
      <c r="J101" s="90">
        <v>16.0</v>
      </c>
      <c r="K101" s="87">
        <v>410.0</v>
      </c>
      <c r="L101" s="88">
        <f t="shared" si="3"/>
        <v>96.0199005</v>
      </c>
      <c r="M101" s="87">
        <v>5526.0</v>
      </c>
      <c r="N101" s="89">
        <f t="shared" si="4"/>
        <v>7.419471589</v>
      </c>
      <c r="O101" s="90"/>
      <c r="P101" s="90"/>
    </row>
    <row r="102">
      <c r="A102" s="85">
        <v>21401.0</v>
      </c>
      <c r="B102" s="98" t="s">
        <v>144</v>
      </c>
      <c r="C102" s="87">
        <v>1655.0</v>
      </c>
      <c r="D102" s="87">
        <v>147.0</v>
      </c>
      <c r="E102" s="87">
        <v>1813.0</v>
      </c>
      <c r="F102" s="88">
        <f t="shared" si="1"/>
        <v>91.84239734</v>
      </c>
      <c r="G102" s="87">
        <v>19397.0</v>
      </c>
      <c r="H102" s="89">
        <f t="shared" si="2"/>
        <v>9.346806207</v>
      </c>
      <c r="I102" s="90">
        <v>1834.0</v>
      </c>
      <c r="J102" s="90">
        <v>42.0</v>
      </c>
      <c r="K102" s="87">
        <v>1894.0</v>
      </c>
      <c r="L102" s="88">
        <f t="shared" si="3"/>
        <v>97.76119403</v>
      </c>
      <c r="M102" s="87">
        <v>27711.0</v>
      </c>
      <c r="N102" s="89">
        <f t="shared" si="4"/>
        <v>6.834830934</v>
      </c>
      <c r="O102" s="90"/>
      <c r="P102" s="90"/>
    </row>
    <row r="103">
      <c r="A103" s="85">
        <v>21402.0</v>
      </c>
      <c r="B103" s="98" t="s">
        <v>145</v>
      </c>
      <c r="C103" s="87">
        <v>1470.0</v>
      </c>
      <c r="D103" s="87">
        <v>177.0</v>
      </c>
      <c r="E103" s="87">
        <v>1669.0</v>
      </c>
      <c r="F103" s="88">
        <f t="shared" si="1"/>
        <v>89.25318761</v>
      </c>
      <c r="G103" s="87">
        <v>16930.0</v>
      </c>
      <c r="H103" s="89">
        <f t="shared" si="2"/>
        <v>9.858239811</v>
      </c>
      <c r="I103" s="90">
        <v>1619.0</v>
      </c>
      <c r="J103" s="90">
        <v>54.0</v>
      </c>
      <c r="K103" s="87">
        <v>1693.0</v>
      </c>
      <c r="L103" s="88">
        <f t="shared" si="3"/>
        <v>96.77226539</v>
      </c>
      <c r="M103" s="87">
        <v>23530.0</v>
      </c>
      <c r="N103" s="89">
        <f t="shared" si="4"/>
        <v>7.195070123</v>
      </c>
      <c r="O103" s="90"/>
      <c r="P103" s="90"/>
    </row>
    <row r="104">
      <c r="A104" s="85">
        <v>21501.0</v>
      </c>
      <c r="B104" s="98" t="s">
        <v>147</v>
      </c>
      <c r="C104" s="87">
        <v>1074.0</v>
      </c>
      <c r="D104" s="87">
        <v>232.0</v>
      </c>
      <c r="E104" s="87">
        <v>1314.0</v>
      </c>
      <c r="F104" s="88">
        <f t="shared" si="1"/>
        <v>82.23583461</v>
      </c>
      <c r="G104" s="87">
        <v>9362.0</v>
      </c>
      <c r="H104" s="89">
        <f t="shared" si="2"/>
        <v>14.03546251</v>
      </c>
      <c r="I104" s="90">
        <v>1121.0</v>
      </c>
      <c r="J104" s="90">
        <v>104.0</v>
      </c>
      <c r="K104" s="87">
        <v>1258.0</v>
      </c>
      <c r="L104" s="88">
        <f t="shared" si="3"/>
        <v>91.51020408</v>
      </c>
      <c r="M104" s="87">
        <v>12595.0</v>
      </c>
      <c r="N104" s="89">
        <f t="shared" si="4"/>
        <v>9.988090512</v>
      </c>
      <c r="O104" s="90"/>
      <c r="P104" s="90"/>
    </row>
    <row r="105">
      <c r="A105" s="85">
        <v>21502.0</v>
      </c>
      <c r="B105" s="98" t="s">
        <v>148</v>
      </c>
      <c r="C105" s="87">
        <v>1061.0</v>
      </c>
      <c r="D105" s="87">
        <v>109.0</v>
      </c>
      <c r="E105" s="87">
        <v>1178.0</v>
      </c>
      <c r="F105" s="88">
        <f t="shared" si="1"/>
        <v>90.68376068</v>
      </c>
      <c r="G105" s="87">
        <v>8711.0</v>
      </c>
      <c r="H105" s="89">
        <f t="shared" si="2"/>
        <v>13.52313167</v>
      </c>
      <c r="I105" s="90">
        <v>949.0</v>
      </c>
      <c r="J105" s="90">
        <v>61.0</v>
      </c>
      <c r="K105" s="87">
        <v>1015.0</v>
      </c>
      <c r="L105" s="88">
        <f t="shared" si="3"/>
        <v>93.96039604</v>
      </c>
      <c r="M105" s="87">
        <v>10105.0</v>
      </c>
      <c r="N105" s="89">
        <f t="shared" si="4"/>
        <v>10.04453241</v>
      </c>
      <c r="O105" s="90"/>
      <c r="P105" s="90"/>
    </row>
    <row r="106">
      <c r="A106" s="85">
        <v>21601.0</v>
      </c>
      <c r="B106" s="98" t="s">
        <v>150</v>
      </c>
      <c r="C106" s="87">
        <v>1398.0</v>
      </c>
      <c r="D106" s="87">
        <v>143.0</v>
      </c>
      <c r="E106" s="87">
        <v>1554.0</v>
      </c>
      <c r="F106" s="88">
        <f t="shared" si="1"/>
        <v>90.72031149</v>
      </c>
      <c r="G106" s="87">
        <v>13023.0</v>
      </c>
      <c r="H106" s="89">
        <f t="shared" si="2"/>
        <v>11.93273439</v>
      </c>
      <c r="I106" s="90">
        <v>1472.0</v>
      </c>
      <c r="J106" s="90">
        <v>78.0</v>
      </c>
      <c r="K106" s="87">
        <v>1566.0</v>
      </c>
      <c r="L106" s="88">
        <f t="shared" si="3"/>
        <v>94.96774194</v>
      </c>
      <c r="M106" s="87">
        <v>15763.0</v>
      </c>
      <c r="N106" s="89">
        <f t="shared" si="4"/>
        <v>9.934657108</v>
      </c>
      <c r="O106" s="90"/>
      <c r="P106" s="90"/>
    </row>
    <row r="107">
      <c r="A107" s="85">
        <v>21602.0</v>
      </c>
      <c r="B107" s="98" t="s">
        <v>151</v>
      </c>
      <c r="C107" s="87">
        <v>348.0</v>
      </c>
      <c r="D107" s="87">
        <v>52.0</v>
      </c>
      <c r="E107" s="87">
        <v>402.0</v>
      </c>
      <c r="F107" s="88">
        <f t="shared" si="1"/>
        <v>87</v>
      </c>
      <c r="G107" s="87">
        <v>3285.0</v>
      </c>
      <c r="H107" s="89">
        <f t="shared" si="2"/>
        <v>12.23744292</v>
      </c>
      <c r="I107" s="90">
        <v>641.0</v>
      </c>
      <c r="J107" s="90">
        <v>96.0</v>
      </c>
      <c r="K107" s="87">
        <v>758.0</v>
      </c>
      <c r="L107" s="88">
        <f t="shared" si="3"/>
        <v>86.97421981</v>
      </c>
      <c r="M107" s="87">
        <v>6611.0</v>
      </c>
      <c r="N107" s="89">
        <f t="shared" si="4"/>
        <v>11.46573892</v>
      </c>
      <c r="O107" s="90"/>
      <c r="P107" s="90"/>
    </row>
    <row r="108">
      <c r="A108" s="85">
        <v>21701.0</v>
      </c>
      <c r="B108" s="98" t="s">
        <v>153</v>
      </c>
      <c r="C108" s="87">
        <v>1068.0</v>
      </c>
      <c r="D108" s="87">
        <v>135.0</v>
      </c>
      <c r="E108" s="87">
        <v>1215.0</v>
      </c>
      <c r="F108" s="88">
        <f t="shared" si="1"/>
        <v>88.77805486</v>
      </c>
      <c r="G108" s="87">
        <v>14931.0</v>
      </c>
      <c r="H108" s="89">
        <f t="shared" si="2"/>
        <v>8.137432188</v>
      </c>
      <c r="I108" s="90">
        <v>888.0</v>
      </c>
      <c r="J108" s="90">
        <v>68.0</v>
      </c>
      <c r="K108" s="87">
        <v>963.0</v>
      </c>
      <c r="L108" s="88">
        <f t="shared" si="3"/>
        <v>92.88702929</v>
      </c>
      <c r="M108" s="87">
        <v>17463.0</v>
      </c>
      <c r="N108" s="89">
        <f t="shared" si="4"/>
        <v>5.514516406</v>
      </c>
      <c r="O108" s="90"/>
      <c r="P108" s="90"/>
    </row>
    <row r="109">
      <c r="A109" s="85">
        <v>21702.0</v>
      </c>
      <c r="B109" s="98" t="s">
        <v>154</v>
      </c>
      <c r="C109" s="87">
        <v>336.0</v>
      </c>
      <c r="D109" s="87">
        <v>19.0</v>
      </c>
      <c r="E109" s="87">
        <v>356.0</v>
      </c>
      <c r="F109" s="88">
        <f t="shared" si="1"/>
        <v>94.64788732</v>
      </c>
      <c r="G109" s="87">
        <v>6052.0</v>
      </c>
      <c r="H109" s="89">
        <f t="shared" si="2"/>
        <v>5.882352941</v>
      </c>
      <c r="I109" s="90">
        <v>427.0</v>
      </c>
      <c r="J109" s="90">
        <v>9.0</v>
      </c>
      <c r="K109" s="87">
        <v>438.0</v>
      </c>
      <c r="L109" s="88">
        <f t="shared" si="3"/>
        <v>97.93577982</v>
      </c>
      <c r="M109" s="87">
        <v>9164.0</v>
      </c>
      <c r="N109" s="89">
        <f t="shared" si="4"/>
        <v>4.779572239</v>
      </c>
      <c r="O109" s="90"/>
      <c r="P109" s="90"/>
    </row>
    <row r="110">
      <c r="A110" s="85">
        <v>21703.0</v>
      </c>
      <c r="B110" s="98" t="s">
        <v>155</v>
      </c>
      <c r="C110" s="87">
        <v>337.0</v>
      </c>
      <c r="D110" s="87">
        <v>39.0</v>
      </c>
      <c r="E110" s="87">
        <v>378.0</v>
      </c>
      <c r="F110" s="88">
        <f t="shared" si="1"/>
        <v>89.62765957</v>
      </c>
      <c r="G110" s="87">
        <v>6261.0</v>
      </c>
      <c r="H110" s="89">
        <f t="shared" si="2"/>
        <v>6.037374221</v>
      </c>
      <c r="I110" s="90">
        <v>280.0</v>
      </c>
      <c r="J110" s="90">
        <v>16.0</v>
      </c>
      <c r="K110" s="87">
        <v>300.0</v>
      </c>
      <c r="L110" s="88">
        <f t="shared" si="3"/>
        <v>94.59459459</v>
      </c>
      <c r="M110" s="87">
        <v>7525.0</v>
      </c>
      <c r="N110" s="89">
        <f t="shared" si="4"/>
        <v>3.986710963</v>
      </c>
      <c r="O110" s="90"/>
      <c r="P110" s="90"/>
    </row>
    <row r="111">
      <c r="A111" s="85">
        <v>21801.0</v>
      </c>
      <c r="B111" s="98" t="s">
        <v>157</v>
      </c>
      <c r="C111" s="87">
        <v>595.0</v>
      </c>
      <c r="D111" s="87">
        <v>36.0</v>
      </c>
      <c r="E111" s="87">
        <v>634.0</v>
      </c>
      <c r="F111" s="88">
        <f t="shared" si="1"/>
        <v>94.29477021</v>
      </c>
      <c r="G111" s="87">
        <v>8858.0</v>
      </c>
      <c r="H111" s="89">
        <f t="shared" si="2"/>
        <v>7.157371867</v>
      </c>
      <c r="I111" s="90">
        <v>507.0</v>
      </c>
      <c r="J111" s="90">
        <v>17.0</v>
      </c>
      <c r="K111" s="87">
        <v>537.0</v>
      </c>
      <c r="L111" s="88">
        <f t="shared" si="3"/>
        <v>96.75572519</v>
      </c>
      <c r="M111" s="87">
        <v>9217.0</v>
      </c>
      <c r="N111" s="89">
        <f t="shared" si="4"/>
        <v>5.826190735</v>
      </c>
      <c r="O111" s="90"/>
      <c r="P111" s="90"/>
    </row>
    <row r="112">
      <c r="A112" s="85">
        <v>21802.0</v>
      </c>
      <c r="B112" s="98" t="s">
        <v>158</v>
      </c>
      <c r="C112" s="87">
        <v>572.0</v>
      </c>
      <c r="D112" s="87">
        <v>32.0</v>
      </c>
      <c r="E112" s="87">
        <v>610.0</v>
      </c>
      <c r="F112" s="88">
        <f t="shared" si="1"/>
        <v>94.70198675</v>
      </c>
      <c r="G112" s="87">
        <v>7003.0</v>
      </c>
      <c r="H112" s="89">
        <f t="shared" si="2"/>
        <v>8.71055262</v>
      </c>
      <c r="I112" s="90">
        <v>376.0</v>
      </c>
      <c r="J112" s="90">
        <v>7.0</v>
      </c>
      <c r="K112" s="87">
        <v>390.0</v>
      </c>
      <c r="L112" s="88">
        <f t="shared" si="3"/>
        <v>98.17232376</v>
      </c>
      <c r="M112" s="87">
        <v>6649.0</v>
      </c>
      <c r="N112" s="89">
        <f t="shared" si="4"/>
        <v>5.865543691</v>
      </c>
      <c r="O112" s="90"/>
      <c r="P112" s="90"/>
    </row>
    <row r="113">
      <c r="A113" s="85">
        <v>21803.0</v>
      </c>
      <c r="B113" s="98" t="s">
        <v>159</v>
      </c>
      <c r="C113" s="87">
        <v>178.0</v>
      </c>
      <c r="D113" s="87">
        <v>18.0</v>
      </c>
      <c r="E113" s="87">
        <v>197.0</v>
      </c>
      <c r="F113" s="88">
        <f t="shared" si="1"/>
        <v>90.81632653</v>
      </c>
      <c r="G113" s="87">
        <v>2004.0</v>
      </c>
      <c r="H113" s="89">
        <f t="shared" si="2"/>
        <v>9.830339321</v>
      </c>
      <c r="I113" s="90">
        <v>140.0</v>
      </c>
      <c r="J113" s="90">
        <v>0.0</v>
      </c>
      <c r="K113" s="87">
        <v>140.0</v>
      </c>
      <c r="L113" s="88">
        <f t="shared" si="3"/>
        <v>100</v>
      </c>
      <c r="M113" s="87">
        <v>2052.0</v>
      </c>
      <c r="N113" s="89">
        <f t="shared" si="4"/>
        <v>6.822612086</v>
      </c>
      <c r="O113" s="90"/>
      <c r="P113" s="90"/>
    </row>
    <row r="114">
      <c r="A114" s="85">
        <v>21901.0</v>
      </c>
      <c r="B114" s="98" t="s">
        <v>161</v>
      </c>
      <c r="C114" s="87">
        <v>296.0</v>
      </c>
      <c r="D114" s="87">
        <v>15.0</v>
      </c>
      <c r="E114" s="87">
        <v>312.0</v>
      </c>
      <c r="F114" s="88">
        <f t="shared" si="1"/>
        <v>95.17684887</v>
      </c>
      <c r="G114" s="87">
        <v>4593.0</v>
      </c>
      <c r="H114" s="89">
        <f t="shared" si="2"/>
        <v>6.792945787</v>
      </c>
      <c r="I114" s="90">
        <v>359.0</v>
      </c>
      <c r="J114" s="90">
        <v>9.0</v>
      </c>
      <c r="K114" s="87">
        <v>370.0</v>
      </c>
      <c r="L114" s="88">
        <f t="shared" si="3"/>
        <v>97.55434783</v>
      </c>
      <c r="M114" s="87">
        <v>6805.0</v>
      </c>
      <c r="N114" s="89">
        <f t="shared" si="4"/>
        <v>5.437178545</v>
      </c>
      <c r="O114" s="90"/>
      <c r="P114" s="90"/>
    </row>
    <row r="115">
      <c r="A115" s="85">
        <v>21902.0</v>
      </c>
      <c r="B115" s="98" t="s">
        <v>162</v>
      </c>
      <c r="C115" s="87">
        <v>234.0</v>
      </c>
      <c r="D115" s="87">
        <v>36.0</v>
      </c>
      <c r="E115" s="87">
        <v>279.0</v>
      </c>
      <c r="F115" s="88">
        <f t="shared" si="1"/>
        <v>86.66666667</v>
      </c>
      <c r="G115" s="87">
        <v>2881.0</v>
      </c>
      <c r="H115" s="89">
        <f t="shared" si="2"/>
        <v>9.684137452</v>
      </c>
      <c r="I115" s="90">
        <v>428.0</v>
      </c>
      <c r="J115" s="90">
        <v>41.0</v>
      </c>
      <c r="K115" s="87">
        <v>475.0</v>
      </c>
      <c r="L115" s="88">
        <f t="shared" si="3"/>
        <v>91.25799574</v>
      </c>
      <c r="M115" s="87">
        <v>5351.0</v>
      </c>
      <c r="N115" s="89">
        <f t="shared" si="4"/>
        <v>8.876845449</v>
      </c>
      <c r="O115" s="90"/>
      <c r="P115" s="90"/>
    </row>
    <row r="116">
      <c r="A116" s="85">
        <v>22001.0</v>
      </c>
      <c r="B116" s="98" t="s">
        <v>163</v>
      </c>
      <c r="C116" s="87">
        <v>4862.0</v>
      </c>
      <c r="D116" s="87">
        <v>667.0</v>
      </c>
      <c r="E116" s="87">
        <v>5570.0</v>
      </c>
      <c r="F116" s="88">
        <f t="shared" si="1"/>
        <v>87.93633568</v>
      </c>
      <c r="G116" s="87">
        <v>50330.0</v>
      </c>
      <c r="H116" s="89">
        <f t="shared" si="2"/>
        <v>11.06695808</v>
      </c>
      <c r="I116" s="90">
        <v>4671.0</v>
      </c>
      <c r="J116" s="90">
        <v>219.0</v>
      </c>
      <c r="K116" s="87">
        <v>4927.0</v>
      </c>
      <c r="L116" s="88">
        <f t="shared" si="3"/>
        <v>95.52147239</v>
      </c>
      <c r="M116" s="87">
        <v>59676.0</v>
      </c>
      <c r="N116" s="89">
        <f t="shared" si="4"/>
        <v>8.256250419</v>
      </c>
      <c r="O116" s="90"/>
      <c r="P116" s="90"/>
    </row>
    <row r="117">
      <c r="A117" s="85">
        <v>22002.0</v>
      </c>
      <c r="B117" s="98" t="s">
        <v>164</v>
      </c>
      <c r="C117" s="87">
        <v>1180.0</v>
      </c>
      <c r="D117" s="87">
        <v>111.0</v>
      </c>
      <c r="E117" s="87">
        <v>1302.0</v>
      </c>
      <c r="F117" s="88">
        <f t="shared" si="1"/>
        <v>91.40201394</v>
      </c>
      <c r="G117" s="87">
        <v>11194.0</v>
      </c>
      <c r="H117" s="89">
        <f t="shared" si="2"/>
        <v>11.63123102</v>
      </c>
      <c r="I117" s="90">
        <v>763.0</v>
      </c>
      <c r="J117" s="90">
        <v>26.0</v>
      </c>
      <c r="K117" s="87">
        <v>792.0</v>
      </c>
      <c r="L117" s="88">
        <f t="shared" si="3"/>
        <v>96.70468948</v>
      </c>
      <c r="M117" s="87">
        <v>10585.0</v>
      </c>
      <c r="N117" s="89">
        <f t="shared" si="4"/>
        <v>7.482286254</v>
      </c>
      <c r="O117" s="90"/>
      <c r="P117" s="90"/>
    </row>
    <row r="118">
      <c r="A118" s="85">
        <v>30101.0</v>
      </c>
      <c r="B118" s="98" t="s">
        <v>165</v>
      </c>
      <c r="C118" s="87">
        <v>56844.0</v>
      </c>
      <c r="D118" s="87">
        <v>5299.0</v>
      </c>
      <c r="E118" s="87">
        <v>62745.0</v>
      </c>
      <c r="F118" s="88">
        <f t="shared" si="1"/>
        <v>91.47289317</v>
      </c>
      <c r="G118" s="87">
        <v>632013.0</v>
      </c>
      <c r="H118" s="89">
        <f t="shared" si="2"/>
        <v>9.927802118</v>
      </c>
      <c r="I118" s="90">
        <v>41408.0</v>
      </c>
      <c r="J118" s="90">
        <v>957.0</v>
      </c>
      <c r="K118" s="87">
        <v>42528.0</v>
      </c>
      <c r="L118" s="88">
        <f t="shared" si="3"/>
        <v>97.74105984</v>
      </c>
      <c r="M118" s="87">
        <v>665505.0</v>
      </c>
      <c r="N118" s="89">
        <f t="shared" si="4"/>
        <v>6.390335159</v>
      </c>
      <c r="O118" s="90"/>
      <c r="P118" s="90"/>
    </row>
    <row r="119">
      <c r="A119" s="85">
        <v>30201.0</v>
      </c>
      <c r="B119" s="98" t="s">
        <v>168</v>
      </c>
      <c r="C119" s="87">
        <v>2275.0</v>
      </c>
      <c r="D119" s="87">
        <v>355.0</v>
      </c>
      <c r="E119" s="87">
        <v>2670.0</v>
      </c>
      <c r="F119" s="88">
        <f t="shared" si="1"/>
        <v>86.50190114</v>
      </c>
      <c r="G119" s="87">
        <v>23267.0</v>
      </c>
      <c r="H119" s="89">
        <f t="shared" si="2"/>
        <v>11.47548029</v>
      </c>
      <c r="I119" s="90">
        <v>1678.0</v>
      </c>
      <c r="J119" s="90">
        <v>38.0</v>
      </c>
      <c r="K119" s="87">
        <v>1733.0</v>
      </c>
      <c r="L119" s="88">
        <f t="shared" si="3"/>
        <v>97.78554779</v>
      </c>
      <c r="M119" s="87">
        <v>23123.0</v>
      </c>
      <c r="N119" s="89">
        <f t="shared" si="4"/>
        <v>7.494702245</v>
      </c>
      <c r="O119" s="90"/>
      <c r="P119" s="90"/>
    </row>
    <row r="120">
      <c r="A120" s="85">
        <v>30202.0</v>
      </c>
      <c r="B120" s="98" t="s">
        <v>169</v>
      </c>
      <c r="C120" s="87">
        <v>612.0</v>
      </c>
      <c r="D120" s="87">
        <v>42.0</v>
      </c>
      <c r="E120" s="87">
        <v>659.0</v>
      </c>
      <c r="F120" s="88">
        <f t="shared" si="1"/>
        <v>93.57798165</v>
      </c>
      <c r="G120" s="87">
        <v>6853.0</v>
      </c>
      <c r="H120" s="89">
        <f t="shared" si="2"/>
        <v>9.61622647</v>
      </c>
      <c r="I120" s="90">
        <v>419.0</v>
      </c>
      <c r="J120" s="90">
        <v>6.0</v>
      </c>
      <c r="K120" s="87">
        <v>426.0</v>
      </c>
      <c r="L120" s="88">
        <f t="shared" si="3"/>
        <v>98.58823529</v>
      </c>
      <c r="M120" s="87">
        <v>6475.0</v>
      </c>
      <c r="N120" s="89">
        <f t="shared" si="4"/>
        <v>6.579150579</v>
      </c>
      <c r="O120" s="90"/>
      <c r="P120" s="90"/>
    </row>
    <row r="121">
      <c r="A121" s="85">
        <v>30203.0</v>
      </c>
      <c r="B121" s="98" t="s">
        <v>170</v>
      </c>
      <c r="C121" s="87">
        <v>504.0</v>
      </c>
      <c r="D121" s="87">
        <v>112.0</v>
      </c>
      <c r="E121" s="87">
        <v>623.0</v>
      </c>
      <c r="F121" s="88">
        <f t="shared" si="1"/>
        <v>81.81818182</v>
      </c>
      <c r="G121" s="87">
        <v>5643.0</v>
      </c>
      <c r="H121" s="89">
        <f t="shared" si="2"/>
        <v>11.04022683</v>
      </c>
      <c r="I121" s="90">
        <v>540.0</v>
      </c>
      <c r="J121" s="90">
        <v>25.0</v>
      </c>
      <c r="K121" s="87">
        <v>572.0</v>
      </c>
      <c r="L121" s="88">
        <f t="shared" si="3"/>
        <v>95.57522124</v>
      </c>
      <c r="M121" s="87">
        <v>6700.0</v>
      </c>
      <c r="N121" s="89">
        <f t="shared" si="4"/>
        <v>8.537313433</v>
      </c>
      <c r="O121" s="90"/>
      <c r="P121" s="90"/>
    </row>
    <row r="122">
      <c r="A122" s="85">
        <v>30301.0</v>
      </c>
      <c r="B122" s="98" t="s">
        <v>171</v>
      </c>
      <c r="C122" s="87">
        <v>2464.0</v>
      </c>
      <c r="D122" s="87">
        <v>486.0</v>
      </c>
      <c r="E122" s="87">
        <v>2985.0</v>
      </c>
      <c r="F122" s="88">
        <f t="shared" si="1"/>
        <v>83.52542373</v>
      </c>
      <c r="G122" s="87">
        <v>23658.0</v>
      </c>
      <c r="H122" s="89">
        <f t="shared" si="2"/>
        <v>12.61729647</v>
      </c>
      <c r="I122" s="90">
        <v>1839.0</v>
      </c>
      <c r="J122" s="90">
        <v>63.0</v>
      </c>
      <c r="K122" s="87">
        <v>1912.0</v>
      </c>
      <c r="L122" s="88">
        <f t="shared" si="3"/>
        <v>96.68769716</v>
      </c>
      <c r="M122" s="87">
        <v>21815.0</v>
      </c>
      <c r="N122" s="89">
        <f t="shared" si="4"/>
        <v>8.764611506</v>
      </c>
      <c r="O122" s="90"/>
      <c r="P122" s="90"/>
    </row>
    <row r="123">
      <c r="A123" s="85">
        <v>30302.0</v>
      </c>
      <c r="B123" s="98" t="s">
        <v>172</v>
      </c>
      <c r="C123" s="87">
        <v>1166.0</v>
      </c>
      <c r="D123" s="87">
        <v>305.0</v>
      </c>
      <c r="E123" s="87">
        <v>1495.0</v>
      </c>
      <c r="F123" s="88">
        <f t="shared" si="1"/>
        <v>79.26580557</v>
      </c>
      <c r="G123" s="87">
        <v>12797.0</v>
      </c>
      <c r="H123" s="89">
        <f t="shared" si="2"/>
        <v>11.68242557</v>
      </c>
      <c r="I123" s="90">
        <v>1130.0</v>
      </c>
      <c r="J123" s="90">
        <v>17.0</v>
      </c>
      <c r="K123" s="87">
        <v>1157.0</v>
      </c>
      <c r="L123" s="88">
        <f t="shared" si="3"/>
        <v>98.51787271</v>
      </c>
      <c r="M123" s="87">
        <v>14720.0</v>
      </c>
      <c r="N123" s="89">
        <f t="shared" si="4"/>
        <v>7.860054348</v>
      </c>
      <c r="O123" s="90"/>
      <c r="P123" s="90"/>
    </row>
    <row r="124">
      <c r="A124" s="85">
        <v>30303.0</v>
      </c>
      <c r="B124" s="98" t="s">
        <v>173</v>
      </c>
      <c r="C124" s="87">
        <v>1806.0</v>
      </c>
      <c r="D124" s="87">
        <v>599.0</v>
      </c>
      <c r="E124" s="87">
        <v>2438.0</v>
      </c>
      <c r="F124" s="88">
        <f t="shared" si="1"/>
        <v>75.09355509</v>
      </c>
      <c r="G124" s="87">
        <v>18076.0</v>
      </c>
      <c r="H124" s="89">
        <f t="shared" si="2"/>
        <v>13.48749723</v>
      </c>
      <c r="I124" s="90">
        <v>1876.0</v>
      </c>
      <c r="J124" s="90">
        <v>51.0</v>
      </c>
      <c r="K124" s="87">
        <v>1965.0</v>
      </c>
      <c r="L124" s="88">
        <f t="shared" si="3"/>
        <v>97.35339907</v>
      </c>
      <c r="M124" s="87">
        <v>19608.0</v>
      </c>
      <c r="N124" s="89">
        <f t="shared" si="4"/>
        <v>10.02141983</v>
      </c>
      <c r="O124" s="90"/>
      <c r="P124" s="90"/>
    </row>
    <row r="125">
      <c r="A125" s="85">
        <v>30401.0</v>
      </c>
      <c r="B125" s="98" t="s">
        <v>175</v>
      </c>
      <c r="C125" s="87">
        <v>701.0</v>
      </c>
      <c r="D125" s="87">
        <v>54.0</v>
      </c>
      <c r="E125" s="87">
        <v>761.0</v>
      </c>
      <c r="F125" s="88">
        <f t="shared" si="1"/>
        <v>92.84768212</v>
      </c>
      <c r="G125" s="87">
        <v>8242.0</v>
      </c>
      <c r="H125" s="89">
        <f t="shared" si="2"/>
        <v>9.233195826</v>
      </c>
      <c r="I125" s="90">
        <v>797.0</v>
      </c>
      <c r="J125" s="90">
        <v>17.0</v>
      </c>
      <c r="K125" s="87">
        <v>815.0</v>
      </c>
      <c r="L125" s="88">
        <f t="shared" si="3"/>
        <v>97.91154791</v>
      </c>
      <c r="M125" s="87">
        <v>11273.0</v>
      </c>
      <c r="N125" s="89">
        <f t="shared" si="4"/>
        <v>7.229663798</v>
      </c>
      <c r="O125" s="90"/>
      <c r="P125" s="90"/>
    </row>
    <row r="126">
      <c r="A126" s="85">
        <v>30402.0</v>
      </c>
      <c r="B126" s="98" t="s">
        <v>176</v>
      </c>
      <c r="C126" s="87">
        <v>726.0</v>
      </c>
      <c r="D126" s="87">
        <v>83.0</v>
      </c>
      <c r="E126" s="87">
        <v>824.0</v>
      </c>
      <c r="F126" s="88">
        <f t="shared" si="1"/>
        <v>89.74042027</v>
      </c>
      <c r="G126" s="87">
        <v>7192.0</v>
      </c>
      <c r="H126" s="89">
        <f t="shared" si="2"/>
        <v>11.45717464</v>
      </c>
      <c r="I126" s="90">
        <v>449.0</v>
      </c>
      <c r="J126" s="90">
        <v>7.0</v>
      </c>
      <c r="K126" s="87">
        <v>468.0</v>
      </c>
      <c r="L126" s="88">
        <f t="shared" si="3"/>
        <v>98.46491228</v>
      </c>
      <c r="M126" s="87">
        <v>7335.0</v>
      </c>
      <c r="N126" s="89">
        <f t="shared" si="4"/>
        <v>6.380368098</v>
      </c>
      <c r="O126" s="90"/>
      <c r="P126" s="90"/>
    </row>
    <row r="127">
      <c r="A127" s="85">
        <v>30403.0</v>
      </c>
      <c r="B127" s="98" t="s">
        <v>177</v>
      </c>
      <c r="C127" s="87">
        <v>1550.0</v>
      </c>
      <c r="D127" s="87">
        <v>156.0</v>
      </c>
      <c r="E127" s="87">
        <v>1729.0</v>
      </c>
      <c r="F127" s="88">
        <f t="shared" si="1"/>
        <v>90.85580305</v>
      </c>
      <c r="G127" s="87">
        <v>17445.0</v>
      </c>
      <c r="H127" s="89">
        <f t="shared" si="2"/>
        <v>9.911149326</v>
      </c>
      <c r="I127" s="90">
        <v>2510.0</v>
      </c>
      <c r="J127" s="90">
        <v>69.0</v>
      </c>
      <c r="K127" s="87">
        <v>2592.0</v>
      </c>
      <c r="L127" s="88">
        <f t="shared" si="3"/>
        <v>97.3245444</v>
      </c>
      <c r="M127" s="87">
        <v>29375.0</v>
      </c>
      <c r="N127" s="89">
        <f t="shared" si="4"/>
        <v>8.823829787</v>
      </c>
      <c r="O127" s="90"/>
      <c r="P127" s="90"/>
    </row>
    <row r="128">
      <c r="A128" s="85">
        <v>30404.0</v>
      </c>
      <c r="B128" s="98" t="s">
        <v>178</v>
      </c>
      <c r="C128" s="87">
        <v>408.0</v>
      </c>
      <c r="D128" s="87">
        <v>53.0</v>
      </c>
      <c r="E128" s="87">
        <v>470.0</v>
      </c>
      <c r="F128" s="88">
        <f t="shared" si="1"/>
        <v>88.5032538</v>
      </c>
      <c r="G128" s="87">
        <v>4366.0</v>
      </c>
      <c r="H128" s="89">
        <f t="shared" si="2"/>
        <v>10.76500229</v>
      </c>
      <c r="I128" s="90">
        <v>301.0</v>
      </c>
      <c r="J128" s="90">
        <v>9.0</v>
      </c>
      <c r="K128" s="87">
        <v>311.0</v>
      </c>
      <c r="L128" s="88">
        <f t="shared" si="3"/>
        <v>97.09677419</v>
      </c>
      <c r="M128" s="87">
        <v>4987.0</v>
      </c>
      <c r="N128" s="89">
        <f t="shared" si="4"/>
        <v>6.236214157</v>
      </c>
      <c r="O128" s="90"/>
      <c r="P128" s="90"/>
    </row>
    <row r="129">
      <c r="A129" s="85">
        <v>30501.0</v>
      </c>
      <c r="B129" s="98" t="s">
        <v>179</v>
      </c>
      <c r="C129" s="87">
        <v>785.0</v>
      </c>
      <c r="D129" s="87">
        <v>40.0</v>
      </c>
      <c r="E129" s="87">
        <v>844.0</v>
      </c>
      <c r="F129" s="88">
        <f t="shared" si="1"/>
        <v>95.15151515</v>
      </c>
      <c r="G129" s="87">
        <v>9504.0</v>
      </c>
      <c r="H129" s="89">
        <f t="shared" si="2"/>
        <v>8.88047138</v>
      </c>
      <c r="I129" s="90">
        <v>710.0</v>
      </c>
      <c r="J129" s="90">
        <v>17.0</v>
      </c>
      <c r="K129" s="87">
        <v>731.0</v>
      </c>
      <c r="L129" s="88">
        <f t="shared" si="3"/>
        <v>97.66162311</v>
      </c>
      <c r="M129" s="87">
        <v>11183.0</v>
      </c>
      <c r="N129" s="89">
        <f t="shared" si="4"/>
        <v>6.536707502</v>
      </c>
      <c r="O129" s="90"/>
      <c r="P129" s="90"/>
    </row>
    <row r="130">
      <c r="A130" s="85">
        <v>30502.0</v>
      </c>
      <c r="B130" s="98" t="s">
        <v>180</v>
      </c>
      <c r="C130" s="87">
        <v>825.0</v>
      </c>
      <c r="D130" s="87">
        <v>68.0</v>
      </c>
      <c r="E130" s="87">
        <v>907.0</v>
      </c>
      <c r="F130" s="88">
        <f t="shared" si="1"/>
        <v>92.38521837</v>
      </c>
      <c r="G130" s="87">
        <v>8940.0</v>
      </c>
      <c r="H130" s="89">
        <f t="shared" si="2"/>
        <v>10.14541387</v>
      </c>
      <c r="I130" s="90">
        <v>518.0</v>
      </c>
      <c r="J130" s="90">
        <v>15.0</v>
      </c>
      <c r="K130" s="87">
        <v>535.0</v>
      </c>
      <c r="L130" s="88">
        <f t="shared" si="3"/>
        <v>97.18574109</v>
      </c>
      <c r="M130" s="87">
        <v>8409.0</v>
      </c>
      <c r="N130" s="89">
        <f t="shared" si="4"/>
        <v>6.362230943</v>
      </c>
      <c r="O130" s="90"/>
      <c r="P130" s="90"/>
    </row>
    <row r="131">
      <c r="A131" s="85">
        <v>30601.0</v>
      </c>
      <c r="B131" s="98" t="s">
        <v>181</v>
      </c>
      <c r="C131" s="87">
        <v>1405.0</v>
      </c>
      <c r="D131" s="87">
        <v>198.0</v>
      </c>
      <c r="E131" s="87">
        <v>1629.0</v>
      </c>
      <c r="F131" s="88">
        <f t="shared" si="1"/>
        <v>87.6481597</v>
      </c>
      <c r="G131" s="87">
        <v>10597.0</v>
      </c>
      <c r="H131" s="89">
        <f t="shared" si="2"/>
        <v>15.37227517</v>
      </c>
      <c r="I131" s="90">
        <v>1123.0</v>
      </c>
      <c r="J131" s="90">
        <v>11.0</v>
      </c>
      <c r="K131" s="87">
        <v>1149.0</v>
      </c>
      <c r="L131" s="88">
        <f t="shared" si="3"/>
        <v>99.02998236</v>
      </c>
      <c r="M131" s="87">
        <v>10632.0</v>
      </c>
      <c r="N131" s="89">
        <f t="shared" si="4"/>
        <v>10.80699774</v>
      </c>
      <c r="O131" s="90"/>
      <c r="P131" s="90"/>
    </row>
    <row r="132">
      <c r="A132" s="85">
        <v>30602.0</v>
      </c>
      <c r="B132" s="98" t="s">
        <v>182</v>
      </c>
      <c r="C132" s="87">
        <v>1099.0</v>
      </c>
      <c r="D132" s="87">
        <v>105.0</v>
      </c>
      <c r="E132" s="87">
        <v>1232.0</v>
      </c>
      <c r="F132" s="88">
        <f t="shared" si="1"/>
        <v>91.27906977</v>
      </c>
      <c r="G132" s="87">
        <v>10253.0</v>
      </c>
      <c r="H132" s="89">
        <f t="shared" si="2"/>
        <v>12.01599532</v>
      </c>
      <c r="I132" s="90">
        <v>788.0</v>
      </c>
      <c r="J132" s="90">
        <v>10.0</v>
      </c>
      <c r="K132" s="87">
        <v>819.0</v>
      </c>
      <c r="L132" s="88">
        <f t="shared" si="3"/>
        <v>98.74686717</v>
      </c>
      <c r="M132" s="87">
        <v>10750.0</v>
      </c>
      <c r="N132" s="89">
        <f t="shared" si="4"/>
        <v>7.618604651</v>
      </c>
      <c r="O132" s="90"/>
      <c r="P132" s="90"/>
    </row>
    <row r="133">
      <c r="A133" s="85">
        <v>30701.0</v>
      </c>
      <c r="B133" s="98" t="s">
        <v>183</v>
      </c>
      <c r="C133" s="87">
        <v>2067.0</v>
      </c>
      <c r="D133" s="87">
        <v>135.0</v>
      </c>
      <c r="E133" s="87">
        <v>2243.0</v>
      </c>
      <c r="F133" s="88">
        <f t="shared" si="1"/>
        <v>93.86920981</v>
      </c>
      <c r="G133" s="87">
        <v>19477.0</v>
      </c>
      <c r="H133" s="89">
        <f t="shared" si="2"/>
        <v>11.51614725</v>
      </c>
      <c r="I133" s="90">
        <v>1521.0</v>
      </c>
      <c r="J133" s="90">
        <v>20.0</v>
      </c>
      <c r="K133" s="87">
        <v>1550.0</v>
      </c>
      <c r="L133" s="88">
        <f t="shared" si="3"/>
        <v>98.70214147</v>
      </c>
      <c r="M133" s="87">
        <v>19427.0</v>
      </c>
      <c r="N133" s="89">
        <f t="shared" si="4"/>
        <v>7.978586503</v>
      </c>
      <c r="O133" s="90"/>
      <c r="P133" s="90"/>
    </row>
    <row r="134">
      <c r="A134" s="85">
        <v>30702.0</v>
      </c>
      <c r="B134" s="98" t="s">
        <v>184</v>
      </c>
      <c r="C134" s="87">
        <v>549.0</v>
      </c>
      <c r="D134" s="87">
        <v>27.0</v>
      </c>
      <c r="E134" s="87">
        <v>584.0</v>
      </c>
      <c r="F134" s="88">
        <f t="shared" si="1"/>
        <v>95.3125</v>
      </c>
      <c r="G134" s="87">
        <v>6527.0</v>
      </c>
      <c r="H134" s="89">
        <f t="shared" si="2"/>
        <v>8.947449058</v>
      </c>
      <c r="I134" s="90">
        <v>557.0</v>
      </c>
      <c r="J134" s="90">
        <v>10.0</v>
      </c>
      <c r="K134" s="87">
        <v>567.0</v>
      </c>
      <c r="L134" s="88">
        <f t="shared" si="3"/>
        <v>98.23633157</v>
      </c>
      <c r="M134" s="87">
        <v>7940.0</v>
      </c>
      <c r="N134" s="89">
        <f t="shared" si="4"/>
        <v>7.141057935</v>
      </c>
      <c r="O134" s="90"/>
      <c r="P134" s="90"/>
    </row>
    <row r="135">
      <c r="A135" s="85">
        <v>30703.0</v>
      </c>
      <c r="B135" s="98" t="s">
        <v>185</v>
      </c>
      <c r="C135" s="87">
        <v>441.0</v>
      </c>
      <c r="D135" s="87">
        <v>32.0</v>
      </c>
      <c r="E135" s="87">
        <v>474.0</v>
      </c>
      <c r="F135" s="88">
        <f t="shared" si="1"/>
        <v>93.2346723</v>
      </c>
      <c r="G135" s="87">
        <v>3740.0</v>
      </c>
      <c r="H135" s="89">
        <f t="shared" si="2"/>
        <v>12.67379679</v>
      </c>
      <c r="I135" s="90">
        <v>325.0</v>
      </c>
      <c r="J135" s="90">
        <v>6.0</v>
      </c>
      <c r="K135" s="87">
        <v>336.0</v>
      </c>
      <c r="L135" s="88">
        <f t="shared" si="3"/>
        <v>98.18731118</v>
      </c>
      <c r="M135" s="87">
        <v>3980.0</v>
      </c>
      <c r="N135" s="89">
        <f t="shared" si="4"/>
        <v>8.442211055</v>
      </c>
      <c r="O135" s="90"/>
      <c r="P135" s="90"/>
    </row>
    <row r="136">
      <c r="A136" s="85">
        <v>30801.0</v>
      </c>
      <c r="B136" s="98" t="s">
        <v>187</v>
      </c>
      <c r="C136" s="87">
        <v>1915.0</v>
      </c>
      <c r="D136" s="87">
        <v>215.0</v>
      </c>
      <c r="E136" s="87">
        <v>2191.0</v>
      </c>
      <c r="F136" s="88">
        <f t="shared" si="1"/>
        <v>89.90610329</v>
      </c>
      <c r="G136" s="87">
        <v>21899.0</v>
      </c>
      <c r="H136" s="89">
        <f t="shared" si="2"/>
        <v>10.00502306</v>
      </c>
      <c r="I136" s="90">
        <v>1482.0</v>
      </c>
      <c r="J136" s="90">
        <v>49.0</v>
      </c>
      <c r="K136" s="87">
        <v>1594.0</v>
      </c>
      <c r="L136" s="88">
        <f t="shared" si="3"/>
        <v>96.79947747</v>
      </c>
      <c r="M136" s="87">
        <v>21155.0</v>
      </c>
      <c r="N136" s="89">
        <f t="shared" si="4"/>
        <v>7.534861735</v>
      </c>
      <c r="O136" s="90"/>
      <c r="P136" s="90"/>
    </row>
    <row r="137">
      <c r="A137" s="85">
        <v>30802.0</v>
      </c>
      <c r="B137" s="98" t="s">
        <v>188</v>
      </c>
      <c r="C137" s="87">
        <v>460.0</v>
      </c>
      <c r="D137" s="87">
        <v>45.0</v>
      </c>
      <c r="E137" s="87">
        <v>513.0</v>
      </c>
      <c r="F137" s="88">
        <f t="shared" si="1"/>
        <v>91.08910891</v>
      </c>
      <c r="G137" s="87">
        <v>7057.0</v>
      </c>
      <c r="H137" s="89">
        <f t="shared" si="2"/>
        <v>7.269377923</v>
      </c>
      <c r="I137" s="90">
        <v>481.0</v>
      </c>
      <c r="J137" s="90">
        <v>12.0</v>
      </c>
      <c r="K137" s="87">
        <v>495.0</v>
      </c>
      <c r="L137" s="88">
        <f t="shared" si="3"/>
        <v>97.56592292</v>
      </c>
      <c r="M137" s="87">
        <v>7382.0</v>
      </c>
      <c r="N137" s="89">
        <f t="shared" si="4"/>
        <v>6.705499865</v>
      </c>
      <c r="O137" s="90"/>
      <c r="P137" s="90"/>
    </row>
    <row r="138">
      <c r="A138" s="85">
        <v>30803.0</v>
      </c>
      <c r="B138" s="98" t="s">
        <v>189</v>
      </c>
      <c r="C138" s="87">
        <v>451.0</v>
      </c>
      <c r="D138" s="87">
        <v>35.0</v>
      </c>
      <c r="E138" s="87">
        <v>494.0</v>
      </c>
      <c r="F138" s="88">
        <f t="shared" si="1"/>
        <v>92.79835391</v>
      </c>
      <c r="G138" s="87">
        <v>5542.0</v>
      </c>
      <c r="H138" s="89">
        <f t="shared" si="2"/>
        <v>8.913749549</v>
      </c>
      <c r="I138" s="90">
        <v>559.0</v>
      </c>
      <c r="J138" s="90">
        <v>15.0</v>
      </c>
      <c r="K138" s="87">
        <v>581.0</v>
      </c>
      <c r="L138" s="88">
        <f t="shared" si="3"/>
        <v>97.38675958</v>
      </c>
      <c r="M138" s="87">
        <v>8687.0</v>
      </c>
      <c r="N138" s="89">
        <f t="shared" si="4"/>
        <v>6.688154714</v>
      </c>
      <c r="O138" s="90"/>
      <c r="P138" s="90"/>
    </row>
    <row r="139">
      <c r="A139" s="85">
        <v>30901.0</v>
      </c>
      <c r="B139" s="98" t="s">
        <v>190</v>
      </c>
      <c r="C139" s="87">
        <v>13091.0</v>
      </c>
      <c r="D139" s="87">
        <v>1232.0</v>
      </c>
      <c r="E139" s="87">
        <v>14548.0</v>
      </c>
      <c r="F139" s="88">
        <f t="shared" si="1"/>
        <v>91.39845005</v>
      </c>
      <c r="G139" s="87">
        <v>137182.0</v>
      </c>
      <c r="H139" s="89">
        <f t="shared" si="2"/>
        <v>10.60488985</v>
      </c>
      <c r="I139" s="90">
        <v>11840.0</v>
      </c>
      <c r="J139" s="90">
        <v>250.0</v>
      </c>
      <c r="K139" s="87">
        <v>12149.0</v>
      </c>
      <c r="L139" s="88">
        <f t="shared" si="3"/>
        <v>97.93217535</v>
      </c>
      <c r="M139" s="87">
        <v>166741.0</v>
      </c>
      <c r="N139" s="89">
        <f t="shared" si="4"/>
        <v>7.286150377</v>
      </c>
      <c r="O139" s="90"/>
      <c r="P139" s="90"/>
    </row>
    <row r="140">
      <c r="A140" s="85">
        <v>30902.0</v>
      </c>
      <c r="B140" s="98" t="s">
        <v>191</v>
      </c>
      <c r="C140" s="87">
        <v>4278.0</v>
      </c>
      <c r="D140" s="87">
        <v>529.0</v>
      </c>
      <c r="E140" s="87">
        <v>4877.0</v>
      </c>
      <c r="F140" s="88">
        <f t="shared" si="1"/>
        <v>88.99521531</v>
      </c>
      <c r="G140" s="87">
        <v>41571.0</v>
      </c>
      <c r="H140" s="89">
        <f t="shared" si="2"/>
        <v>11.73173607</v>
      </c>
      <c r="I140" s="90">
        <v>5000.0</v>
      </c>
      <c r="J140" s="90">
        <v>103.0</v>
      </c>
      <c r="K140" s="87">
        <v>5116.0</v>
      </c>
      <c r="L140" s="88">
        <f t="shared" si="3"/>
        <v>97.98157946</v>
      </c>
      <c r="M140" s="87">
        <v>55908.0</v>
      </c>
      <c r="N140" s="89">
        <f t="shared" si="4"/>
        <v>9.150747657</v>
      </c>
      <c r="O140" s="90"/>
      <c r="P140" s="90"/>
    </row>
    <row r="141">
      <c r="A141" s="85">
        <v>30903.0</v>
      </c>
      <c r="B141" s="98" t="s">
        <v>192</v>
      </c>
      <c r="C141" s="87">
        <v>5059.0</v>
      </c>
      <c r="D141" s="87">
        <v>572.0</v>
      </c>
      <c r="E141" s="87">
        <v>5692.0</v>
      </c>
      <c r="F141" s="88">
        <f t="shared" si="1"/>
        <v>89.84194637</v>
      </c>
      <c r="G141" s="87">
        <v>53904.0</v>
      </c>
      <c r="H141" s="89">
        <f t="shared" si="2"/>
        <v>10.55951321</v>
      </c>
      <c r="I141" s="90">
        <v>4184.0</v>
      </c>
      <c r="J141" s="90">
        <v>97.0</v>
      </c>
      <c r="K141" s="87">
        <v>4295.0</v>
      </c>
      <c r="L141" s="88">
        <f t="shared" si="3"/>
        <v>97.73417426</v>
      </c>
      <c r="M141" s="87">
        <v>61840.0</v>
      </c>
      <c r="N141" s="89">
        <f t="shared" si="4"/>
        <v>6.94534282</v>
      </c>
      <c r="O141" s="90"/>
      <c r="P141" s="90"/>
    </row>
    <row r="142">
      <c r="A142" s="85">
        <v>30904.0</v>
      </c>
      <c r="B142" s="98" t="s">
        <v>193</v>
      </c>
      <c r="C142" s="87">
        <v>5306.0</v>
      </c>
      <c r="D142" s="87">
        <v>621.0</v>
      </c>
      <c r="E142" s="87">
        <v>5995.0</v>
      </c>
      <c r="F142" s="88">
        <f t="shared" si="1"/>
        <v>89.52252404</v>
      </c>
      <c r="G142" s="87">
        <v>51968.0</v>
      </c>
      <c r="H142" s="89">
        <f t="shared" si="2"/>
        <v>11.5359452</v>
      </c>
      <c r="I142" s="90">
        <v>4352.0</v>
      </c>
      <c r="J142" s="90">
        <v>111.0</v>
      </c>
      <c r="K142" s="87">
        <v>4481.0</v>
      </c>
      <c r="L142" s="88">
        <f t="shared" si="3"/>
        <v>97.51288371</v>
      </c>
      <c r="M142" s="87">
        <v>56064.0</v>
      </c>
      <c r="N142" s="89">
        <f t="shared" si="4"/>
        <v>7.992651256</v>
      </c>
      <c r="O142" s="90"/>
      <c r="P142" s="90"/>
    </row>
    <row r="143">
      <c r="A143" s="85">
        <v>30905.0</v>
      </c>
      <c r="B143" s="98" t="s">
        <v>194</v>
      </c>
      <c r="C143" s="87">
        <v>4716.0</v>
      </c>
      <c r="D143" s="87">
        <v>364.0</v>
      </c>
      <c r="E143" s="87">
        <v>5112.0</v>
      </c>
      <c r="F143" s="88">
        <f t="shared" si="1"/>
        <v>92.83464567</v>
      </c>
      <c r="G143" s="87">
        <v>51990.0</v>
      </c>
      <c r="H143" s="89">
        <f t="shared" si="2"/>
        <v>9.832660127</v>
      </c>
      <c r="I143" s="90">
        <v>4183.0</v>
      </c>
      <c r="J143" s="90">
        <v>68.0</v>
      </c>
      <c r="K143" s="87">
        <v>4266.0</v>
      </c>
      <c r="L143" s="88">
        <f t="shared" si="3"/>
        <v>98.40037638</v>
      </c>
      <c r="M143" s="87">
        <v>66505.0</v>
      </c>
      <c r="N143" s="89">
        <f t="shared" si="4"/>
        <v>6.414555297</v>
      </c>
      <c r="O143" s="90"/>
      <c r="P143" s="90"/>
    </row>
    <row r="144">
      <c r="A144" s="85">
        <v>31001.0</v>
      </c>
      <c r="B144" s="98" t="s">
        <v>196</v>
      </c>
      <c r="C144" s="87">
        <v>16507.0</v>
      </c>
      <c r="D144" s="87">
        <v>1593.0</v>
      </c>
      <c r="E144" s="87">
        <v>18298.0</v>
      </c>
      <c r="F144" s="88">
        <f t="shared" si="1"/>
        <v>91.19889503</v>
      </c>
      <c r="G144" s="87">
        <v>172466.0</v>
      </c>
      <c r="H144" s="89">
        <f t="shared" si="2"/>
        <v>10.6096274</v>
      </c>
      <c r="I144" s="90">
        <v>15056.0</v>
      </c>
      <c r="J144" s="90">
        <v>315.0</v>
      </c>
      <c r="K144" s="87">
        <v>15431.0</v>
      </c>
      <c r="L144" s="88">
        <f t="shared" si="3"/>
        <v>97.95068636</v>
      </c>
      <c r="M144" s="87">
        <v>219092.0</v>
      </c>
      <c r="N144" s="89">
        <f t="shared" si="4"/>
        <v>7.043159951</v>
      </c>
      <c r="O144" s="90"/>
      <c r="P144" s="90"/>
    </row>
    <row r="145">
      <c r="A145" s="85">
        <v>31002.0</v>
      </c>
      <c r="B145" s="98" t="s">
        <v>197</v>
      </c>
      <c r="C145" s="87">
        <v>2080.0</v>
      </c>
      <c r="D145" s="87">
        <v>247.0</v>
      </c>
      <c r="E145" s="87">
        <v>2368.0</v>
      </c>
      <c r="F145" s="88">
        <f t="shared" si="1"/>
        <v>89.38547486</v>
      </c>
      <c r="G145" s="87">
        <v>19285.0</v>
      </c>
      <c r="H145" s="89">
        <f t="shared" si="2"/>
        <v>12.2789733</v>
      </c>
      <c r="I145" s="90">
        <v>1739.0</v>
      </c>
      <c r="J145" s="90">
        <v>38.0</v>
      </c>
      <c r="K145" s="87">
        <v>1783.0</v>
      </c>
      <c r="L145" s="88">
        <f t="shared" si="3"/>
        <v>97.86156443</v>
      </c>
      <c r="M145" s="87">
        <v>21846.0</v>
      </c>
      <c r="N145" s="89">
        <f t="shared" si="4"/>
        <v>8.161677195</v>
      </c>
      <c r="O145" s="90"/>
      <c r="P145" s="90"/>
    </row>
    <row r="146">
      <c r="A146" s="85">
        <v>31003.0</v>
      </c>
      <c r="B146" s="98" t="s">
        <v>198</v>
      </c>
      <c r="C146" s="87">
        <v>8077.0</v>
      </c>
      <c r="D146" s="87">
        <v>1243.0</v>
      </c>
      <c r="E146" s="87">
        <v>9593.0</v>
      </c>
      <c r="F146" s="88">
        <f t="shared" si="1"/>
        <v>86.66309013</v>
      </c>
      <c r="G146" s="87">
        <v>71386.0</v>
      </c>
      <c r="H146" s="89">
        <f t="shared" si="2"/>
        <v>13.43820917</v>
      </c>
      <c r="I146" s="90">
        <v>7701.0</v>
      </c>
      <c r="J146" s="90">
        <v>210.0</v>
      </c>
      <c r="K146" s="87">
        <v>7992.0</v>
      </c>
      <c r="L146" s="88">
        <f t="shared" si="3"/>
        <v>97.34546834</v>
      </c>
      <c r="M146" s="87">
        <v>93747.0</v>
      </c>
      <c r="N146" s="89">
        <f t="shared" si="4"/>
        <v>8.525072802</v>
      </c>
      <c r="O146" s="90"/>
      <c r="P146" s="90"/>
    </row>
    <row r="147">
      <c r="A147" s="85">
        <v>31101.0</v>
      </c>
      <c r="B147" s="98" t="s">
        <v>199</v>
      </c>
      <c r="C147" s="87">
        <v>2609.0</v>
      </c>
      <c r="D147" s="87">
        <v>261.0</v>
      </c>
      <c r="E147" s="87">
        <v>2906.0</v>
      </c>
      <c r="F147" s="88">
        <f t="shared" si="1"/>
        <v>90.90592334</v>
      </c>
      <c r="G147" s="87">
        <v>24625.0</v>
      </c>
      <c r="H147" s="89">
        <f t="shared" si="2"/>
        <v>11.80101523</v>
      </c>
      <c r="I147" s="90">
        <v>2111.0</v>
      </c>
      <c r="J147" s="90">
        <v>35.0</v>
      </c>
      <c r="K147" s="87">
        <v>2173.0</v>
      </c>
      <c r="L147" s="88">
        <f t="shared" si="3"/>
        <v>98.36905871</v>
      </c>
      <c r="M147" s="87">
        <v>24666.0</v>
      </c>
      <c r="N147" s="89">
        <f t="shared" si="4"/>
        <v>8.809697559</v>
      </c>
      <c r="O147" s="90"/>
      <c r="P147" s="90"/>
    </row>
    <row r="148">
      <c r="A148" s="85">
        <v>31201.0</v>
      </c>
      <c r="B148" s="98" t="s">
        <v>201</v>
      </c>
      <c r="C148" s="87">
        <v>1646.0</v>
      </c>
      <c r="D148" s="87">
        <v>199.0</v>
      </c>
      <c r="E148" s="87">
        <v>1881.0</v>
      </c>
      <c r="F148" s="88">
        <f t="shared" si="1"/>
        <v>89.21409214</v>
      </c>
      <c r="G148" s="87">
        <v>14665.0</v>
      </c>
      <c r="H148" s="89">
        <f t="shared" si="2"/>
        <v>12.82645755</v>
      </c>
      <c r="I148" s="90">
        <v>1453.0</v>
      </c>
      <c r="J148" s="90">
        <v>41.0</v>
      </c>
      <c r="K148" s="87">
        <v>1518.0</v>
      </c>
      <c r="L148" s="88">
        <f t="shared" si="3"/>
        <v>97.25568942</v>
      </c>
      <c r="M148" s="87">
        <v>14821.0</v>
      </c>
      <c r="N148" s="89">
        <f t="shared" si="4"/>
        <v>10.24222387</v>
      </c>
      <c r="O148" s="90"/>
      <c r="P148" s="90"/>
    </row>
    <row r="149">
      <c r="A149" s="85">
        <v>31202.0</v>
      </c>
      <c r="B149" s="98" t="s">
        <v>202</v>
      </c>
      <c r="C149" s="87">
        <v>1204.0</v>
      </c>
      <c r="D149" s="87">
        <v>130.0</v>
      </c>
      <c r="E149" s="87">
        <v>1353.0</v>
      </c>
      <c r="F149" s="88">
        <f t="shared" si="1"/>
        <v>90.25487256</v>
      </c>
      <c r="G149" s="87">
        <v>10156.0</v>
      </c>
      <c r="H149" s="89">
        <f t="shared" si="2"/>
        <v>13.32217408</v>
      </c>
      <c r="I149" s="90">
        <v>1057.0</v>
      </c>
      <c r="J149" s="90">
        <v>39.0</v>
      </c>
      <c r="K149" s="87">
        <v>1104.0</v>
      </c>
      <c r="L149" s="88">
        <f t="shared" si="3"/>
        <v>96.44160584</v>
      </c>
      <c r="M149" s="87">
        <v>11865.0</v>
      </c>
      <c r="N149" s="89">
        <f t="shared" si="4"/>
        <v>9.304677623</v>
      </c>
      <c r="O149" s="90"/>
      <c r="P149" s="90"/>
    </row>
    <row r="150">
      <c r="A150" s="85">
        <v>31203.0</v>
      </c>
      <c r="B150" s="98" t="s">
        <v>203</v>
      </c>
      <c r="C150" s="87">
        <v>1018.0</v>
      </c>
      <c r="D150" s="87">
        <v>103.0</v>
      </c>
      <c r="E150" s="87">
        <v>1146.0</v>
      </c>
      <c r="F150" s="88">
        <f t="shared" si="1"/>
        <v>90.8117752</v>
      </c>
      <c r="G150" s="87">
        <v>10750.0</v>
      </c>
      <c r="H150" s="89">
        <f t="shared" si="2"/>
        <v>10.66046512</v>
      </c>
      <c r="I150" s="90">
        <v>891.0</v>
      </c>
      <c r="J150" s="90">
        <v>23.0</v>
      </c>
      <c r="K150" s="87">
        <v>923.0</v>
      </c>
      <c r="L150" s="88">
        <f t="shared" si="3"/>
        <v>97.48358862</v>
      </c>
      <c r="M150" s="87">
        <v>12258.0</v>
      </c>
      <c r="N150" s="89">
        <f t="shared" si="4"/>
        <v>7.529776473</v>
      </c>
      <c r="O150" s="90"/>
      <c r="P150" s="90"/>
    </row>
    <row r="151">
      <c r="A151" s="85">
        <v>31204.0</v>
      </c>
      <c r="B151" s="98" t="s">
        <v>204</v>
      </c>
      <c r="C151" s="87">
        <v>2371.0</v>
      </c>
      <c r="D151" s="87">
        <v>465.0</v>
      </c>
      <c r="E151" s="87">
        <v>2885.0</v>
      </c>
      <c r="F151" s="88">
        <f t="shared" si="1"/>
        <v>83.60366714</v>
      </c>
      <c r="G151" s="87">
        <v>21736.0</v>
      </c>
      <c r="H151" s="89">
        <f t="shared" si="2"/>
        <v>13.2729113</v>
      </c>
      <c r="I151" s="90">
        <v>2200.0</v>
      </c>
      <c r="J151" s="90">
        <v>80.0</v>
      </c>
      <c r="K151" s="87">
        <v>2300.0</v>
      </c>
      <c r="L151" s="88">
        <f t="shared" si="3"/>
        <v>96.49122807</v>
      </c>
      <c r="M151" s="87">
        <v>27521.0</v>
      </c>
      <c r="N151" s="89">
        <f t="shared" si="4"/>
        <v>8.35725446</v>
      </c>
      <c r="O151" s="90"/>
      <c r="P151" s="90"/>
    </row>
    <row r="152">
      <c r="A152" s="85">
        <v>31205.0</v>
      </c>
      <c r="B152" s="98" t="s">
        <v>205</v>
      </c>
      <c r="C152" s="87">
        <v>4874.0</v>
      </c>
      <c r="D152" s="87">
        <v>710.0</v>
      </c>
      <c r="E152" s="87">
        <v>5698.0</v>
      </c>
      <c r="F152" s="88">
        <f t="shared" si="1"/>
        <v>87.28510029</v>
      </c>
      <c r="G152" s="87">
        <v>46627.0</v>
      </c>
      <c r="H152" s="89">
        <f t="shared" si="2"/>
        <v>12.22038733</v>
      </c>
      <c r="I152" s="90">
        <v>5642.0</v>
      </c>
      <c r="J152" s="90">
        <v>175.0</v>
      </c>
      <c r="K152" s="87">
        <v>5851.0</v>
      </c>
      <c r="L152" s="88">
        <f t="shared" si="3"/>
        <v>96.99157641</v>
      </c>
      <c r="M152" s="87">
        <v>64595.0</v>
      </c>
      <c r="N152" s="89">
        <f t="shared" si="4"/>
        <v>9.057976624</v>
      </c>
      <c r="O152" s="90"/>
      <c r="P152" s="90"/>
    </row>
    <row r="153">
      <c r="A153" s="85">
        <v>31206.0</v>
      </c>
      <c r="B153" s="98" t="s">
        <v>206</v>
      </c>
      <c r="C153" s="87">
        <v>3316.0</v>
      </c>
      <c r="D153" s="87">
        <v>416.0</v>
      </c>
      <c r="E153" s="87">
        <v>3809.0</v>
      </c>
      <c r="F153" s="88">
        <f t="shared" si="1"/>
        <v>88.85316184</v>
      </c>
      <c r="G153" s="87">
        <v>31550.0</v>
      </c>
      <c r="H153" s="89">
        <f t="shared" si="2"/>
        <v>12.07290016</v>
      </c>
      <c r="I153" s="90">
        <v>3903.0</v>
      </c>
      <c r="J153" s="90">
        <v>165.0</v>
      </c>
      <c r="K153" s="87">
        <v>4090.0</v>
      </c>
      <c r="L153" s="88">
        <f t="shared" si="3"/>
        <v>95.9439528</v>
      </c>
      <c r="M153" s="87">
        <v>45780.0</v>
      </c>
      <c r="N153" s="89">
        <f t="shared" si="4"/>
        <v>8.934032329</v>
      </c>
      <c r="O153" s="90"/>
      <c r="P153" s="90"/>
    </row>
    <row r="154">
      <c r="A154" s="85">
        <v>31301.0</v>
      </c>
      <c r="B154" s="98" t="s">
        <v>207</v>
      </c>
      <c r="C154" s="87">
        <v>2107.0</v>
      </c>
      <c r="D154" s="87">
        <v>425.0</v>
      </c>
      <c r="E154" s="87">
        <v>2577.0</v>
      </c>
      <c r="F154" s="88">
        <f t="shared" si="1"/>
        <v>83.21484992</v>
      </c>
      <c r="G154" s="87">
        <v>19864.0</v>
      </c>
      <c r="H154" s="89">
        <f t="shared" si="2"/>
        <v>12.97321788</v>
      </c>
      <c r="I154" s="90">
        <v>1627.0</v>
      </c>
      <c r="J154" s="90">
        <v>43.0</v>
      </c>
      <c r="K154" s="87">
        <v>1692.0</v>
      </c>
      <c r="L154" s="88">
        <f t="shared" si="3"/>
        <v>97.4251497</v>
      </c>
      <c r="M154" s="87">
        <v>19896.0</v>
      </c>
      <c r="N154" s="89">
        <f t="shared" si="4"/>
        <v>8.504221954</v>
      </c>
      <c r="O154" s="90"/>
      <c r="P154" s="90"/>
    </row>
    <row r="155">
      <c r="A155" s="85">
        <v>31302.0</v>
      </c>
      <c r="B155" s="98" t="s">
        <v>208</v>
      </c>
      <c r="C155" s="87">
        <v>551.0</v>
      </c>
      <c r="D155" s="87">
        <v>199.0</v>
      </c>
      <c r="E155" s="87">
        <v>777.0</v>
      </c>
      <c r="F155" s="88">
        <f t="shared" si="1"/>
        <v>73.46666667</v>
      </c>
      <c r="G155" s="87">
        <v>5459.0</v>
      </c>
      <c r="H155" s="89">
        <f t="shared" si="2"/>
        <v>14.23337608</v>
      </c>
      <c r="I155" s="90">
        <v>500.0</v>
      </c>
      <c r="J155" s="90">
        <v>202.0</v>
      </c>
      <c r="K155" s="87">
        <v>717.0</v>
      </c>
      <c r="L155" s="88">
        <f t="shared" si="3"/>
        <v>71.22507123</v>
      </c>
      <c r="M155" s="87">
        <v>5244.0</v>
      </c>
      <c r="N155" s="89">
        <f t="shared" si="4"/>
        <v>13.67276888</v>
      </c>
      <c r="O155" s="90"/>
      <c r="P155" s="90"/>
    </row>
    <row r="156">
      <c r="A156" s="85">
        <v>31303.0</v>
      </c>
      <c r="B156" s="98" t="s">
        <v>209</v>
      </c>
      <c r="C156" s="87">
        <v>338.0</v>
      </c>
      <c r="D156" s="87">
        <v>79.0</v>
      </c>
      <c r="E156" s="87">
        <v>424.0</v>
      </c>
      <c r="F156" s="88">
        <f t="shared" si="1"/>
        <v>81.05515588</v>
      </c>
      <c r="G156" s="87">
        <v>3447.0</v>
      </c>
      <c r="H156" s="89">
        <f t="shared" si="2"/>
        <v>12.3005512</v>
      </c>
      <c r="I156" s="90">
        <v>255.0</v>
      </c>
      <c r="J156" s="90">
        <v>12.0</v>
      </c>
      <c r="K156" s="87">
        <v>269.0</v>
      </c>
      <c r="L156" s="88">
        <f t="shared" si="3"/>
        <v>95.50561798</v>
      </c>
      <c r="M156" s="87">
        <v>3512.0</v>
      </c>
      <c r="N156" s="89">
        <f t="shared" si="4"/>
        <v>7.659453303</v>
      </c>
      <c r="O156" s="90"/>
      <c r="P156" s="90"/>
    </row>
    <row r="157">
      <c r="A157" s="85">
        <v>31304.0</v>
      </c>
      <c r="B157" s="98" t="s">
        <v>469</v>
      </c>
      <c r="C157" s="87">
        <v>915.0</v>
      </c>
      <c r="D157" s="87">
        <v>125.0</v>
      </c>
      <c r="E157" s="87">
        <v>1075.0</v>
      </c>
      <c r="F157" s="88">
        <f t="shared" si="1"/>
        <v>87.98076923</v>
      </c>
      <c r="G157" s="87">
        <v>7036.0</v>
      </c>
      <c r="H157" s="89">
        <f t="shared" si="2"/>
        <v>15.27856737</v>
      </c>
      <c r="I157" s="90">
        <v>780.0</v>
      </c>
      <c r="J157" s="90">
        <v>37.0</v>
      </c>
      <c r="K157" s="87">
        <v>825.0</v>
      </c>
      <c r="L157" s="88">
        <f t="shared" si="3"/>
        <v>95.47123623</v>
      </c>
      <c r="M157" s="87">
        <v>8056.0</v>
      </c>
      <c r="N157" s="89">
        <f t="shared" si="4"/>
        <v>10.2408143</v>
      </c>
      <c r="O157" s="90"/>
      <c r="P157" s="90"/>
    </row>
    <row r="158">
      <c r="A158" s="85">
        <v>31401.0</v>
      </c>
      <c r="B158" s="98" t="s">
        <v>211</v>
      </c>
      <c r="C158" s="87">
        <v>2449.0</v>
      </c>
      <c r="D158" s="87">
        <v>226.0</v>
      </c>
      <c r="E158" s="87">
        <v>2718.0</v>
      </c>
      <c r="F158" s="88">
        <f t="shared" si="1"/>
        <v>91.55140187</v>
      </c>
      <c r="G158" s="87">
        <v>28887.0</v>
      </c>
      <c r="H158" s="89">
        <f t="shared" si="2"/>
        <v>9.409076747</v>
      </c>
      <c r="I158" s="90">
        <v>2442.0</v>
      </c>
      <c r="J158" s="90">
        <v>66.0</v>
      </c>
      <c r="K158" s="87">
        <v>2520.0</v>
      </c>
      <c r="L158" s="88">
        <f t="shared" si="3"/>
        <v>97.36842105</v>
      </c>
      <c r="M158" s="87">
        <v>35248.0</v>
      </c>
      <c r="N158" s="89">
        <f t="shared" si="4"/>
        <v>7.149341807</v>
      </c>
      <c r="O158" s="90"/>
      <c r="P158" s="90"/>
    </row>
    <row r="159">
      <c r="A159" s="85">
        <v>31402.0</v>
      </c>
      <c r="B159" s="98" t="s">
        <v>212</v>
      </c>
      <c r="C159" s="87">
        <v>822.0</v>
      </c>
      <c r="D159" s="87">
        <v>73.0</v>
      </c>
      <c r="E159" s="87">
        <v>903.0</v>
      </c>
      <c r="F159" s="88">
        <f t="shared" si="1"/>
        <v>91.84357542</v>
      </c>
      <c r="G159" s="87">
        <v>8135.0</v>
      </c>
      <c r="H159" s="89">
        <f t="shared" si="2"/>
        <v>11.10018439</v>
      </c>
      <c r="I159" s="90">
        <v>618.0</v>
      </c>
      <c r="J159" s="90">
        <v>26.0</v>
      </c>
      <c r="K159" s="87">
        <v>648.0</v>
      </c>
      <c r="L159" s="88">
        <f t="shared" si="3"/>
        <v>95.96273292</v>
      </c>
      <c r="M159" s="87">
        <v>8599.0</v>
      </c>
      <c r="N159" s="89">
        <f t="shared" si="4"/>
        <v>7.535759972</v>
      </c>
      <c r="O159" s="90"/>
      <c r="P159" s="90"/>
    </row>
    <row r="160">
      <c r="A160" s="85">
        <v>31403.0</v>
      </c>
      <c r="B160" s="98" t="s">
        <v>213</v>
      </c>
      <c r="C160" s="87">
        <v>1171.0</v>
      </c>
      <c r="D160" s="87">
        <v>78.0</v>
      </c>
      <c r="E160" s="87">
        <v>1271.0</v>
      </c>
      <c r="F160" s="88">
        <f t="shared" si="1"/>
        <v>93.755004</v>
      </c>
      <c r="G160" s="87">
        <v>13562.0</v>
      </c>
      <c r="H160" s="89">
        <f t="shared" si="2"/>
        <v>9.371774075</v>
      </c>
      <c r="I160" s="90">
        <v>900.0</v>
      </c>
      <c r="J160" s="90">
        <v>20.0</v>
      </c>
      <c r="K160" s="87">
        <v>928.0</v>
      </c>
      <c r="L160" s="88">
        <f t="shared" si="3"/>
        <v>97.82608696</v>
      </c>
      <c r="M160" s="87">
        <v>13054.0</v>
      </c>
      <c r="N160" s="89">
        <f t="shared" si="4"/>
        <v>7.108932128</v>
      </c>
      <c r="O160" s="90"/>
      <c r="P160" s="90"/>
    </row>
    <row r="161">
      <c r="A161" s="85">
        <v>31404.0</v>
      </c>
      <c r="B161" s="98" t="s">
        <v>214</v>
      </c>
      <c r="C161" s="87">
        <v>98.0</v>
      </c>
      <c r="D161" s="87">
        <v>8.0</v>
      </c>
      <c r="E161" s="87">
        <v>109.0</v>
      </c>
      <c r="F161" s="88">
        <f t="shared" si="1"/>
        <v>92.45283019</v>
      </c>
      <c r="G161" s="87">
        <v>1303.0</v>
      </c>
      <c r="H161" s="89">
        <f t="shared" si="2"/>
        <v>8.365310821</v>
      </c>
      <c r="I161" s="90">
        <v>83.0</v>
      </c>
      <c r="J161" s="90">
        <v>0.0</v>
      </c>
      <c r="K161" s="87">
        <v>84.0</v>
      </c>
      <c r="L161" s="88">
        <f t="shared" si="3"/>
        <v>100</v>
      </c>
      <c r="M161" s="87">
        <v>1287.0</v>
      </c>
      <c r="N161" s="89">
        <f t="shared" si="4"/>
        <v>6.526806527</v>
      </c>
      <c r="O161" s="90"/>
      <c r="P161" s="90"/>
    </row>
    <row r="162">
      <c r="A162" s="85">
        <v>31405.0</v>
      </c>
      <c r="B162" s="98" t="s">
        <v>215</v>
      </c>
      <c r="C162" s="87">
        <v>259.0</v>
      </c>
      <c r="D162" s="87">
        <v>27.0</v>
      </c>
      <c r="E162" s="87">
        <v>289.0</v>
      </c>
      <c r="F162" s="88">
        <f t="shared" si="1"/>
        <v>90.55944056</v>
      </c>
      <c r="G162" s="87">
        <v>2768.0</v>
      </c>
      <c r="H162" s="89">
        <f t="shared" si="2"/>
        <v>10.44075145</v>
      </c>
      <c r="I162" s="90">
        <v>231.0</v>
      </c>
      <c r="J162" s="90">
        <v>7.0</v>
      </c>
      <c r="K162" s="87">
        <v>240.0</v>
      </c>
      <c r="L162" s="88">
        <f t="shared" si="3"/>
        <v>97.05882353</v>
      </c>
      <c r="M162" s="87">
        <v>3822.0</v>
      </c>
      <c r="N162" s="89">
        <f t="shared" si="4"/>
        <v>6.279434851</v>
      </c>
      <c r="O162" s="90"/>
      <c r="P162" s="90"/>
    </row>
    <row r="163">
      <c r="A163" s="85">
        <v>31501.0</v>
      </c>
      <c r="B163" s="98" t="s">
        <v>216</v>
      </c>
      <c r="C163" s="87">
        <v>710.0</v>
      </c>
      <c r="D163" s="87">
        <v>73.0</v>
      </c>
      <c r="E163" s="87">
        <v>793.0</v>
      </c>
      <c r="F163" s="88">
        <f t="shared" si="1"/>
        <v>90.67688378</v>
      </c>
      <c r="G163" s="87">
        <v>7279.0</v>
      </c>
      <c r="H163" s="89">
        <f t="shared" si="2"/>
        <v>10.89435362</v>
      </c>
      <c r="I163" s="90">
        <v>705.0</v>
      </c>
      <c r="J163" s="90">
        <v>13.0</v>
      </c>
      <c r="K163" s="87">
        <v>730.0</v>
      </c>
      <c r="L163" s="88">
        <f t="shared" si="3"/>
        <v>98.18941504</v>
      </c>
      <c r="M163" s="87">
        <v>8282.0</v>
      </c>
      <c r="N163" s="89">
        <f t="shared" si="4"/>
        <v>8.814296064</v>
      </c>
      <c r="O163" s="90"/>
      <c r="P163" s="90"/>
    </row>
    <row r="164">
      <c r="A164" s="85">
        <v>31601.0</v>
      </c>
      <c r="B164" s="98" t="s">
        <v>217</v>
      </c>
      <c r="C164" s="87">
        <v>2265.0</v>
      </c>
      <c r="D164" s="87">
        <v>198.0</v>
      </c>
      <c r="E164" s="87">
        <v>2521.0</v>
      </c>
      <c r="F164" s="88">
        <f t="shared" si="1"/>
        <v>91.96102314</v>
      </c>
      <c r="G164" s="87">
        <v>21231.0</v>
      </c>
      <c r="H164" s="89">
        <f t="shared" si="2"/>
        <v>11.8741463</v>
      </c>
      <c r="I164" s="90">
        <v>1345.0</v>
      </c>
      <c r="J164" s="90">
        <v>31.0</v>
      </c>
      <c r="K164" s="87">
        <v>1394.0</v>
      </c>
      <c r="L164" s="88">
        <f t="shared" si="3"/>
        <v>97.74709302</v>
      </c>
      <c r="M164" s="87">
        <v>18475.0</v>
      </c>
      <c r="N164" s="89">
        <f t="shared" si="4"/>
        <v>7.545331529</v>
      </c>
      <c r="O164" s="90"/>
      <c r="P164" s="90"/>
    </row>
    <row r="165">
      <c r="A165" s="85">
        <v>31602.0</v>
      </c>
      <c r="B165" s="98" t="s">
        <v>218</v>
      </c>
      <c r="C165" s="87">
        <v>2164.0</v>
      </c>
      <c r="D165" s="87">
        <v>356.0</v>
      </c>
      <c r="E165" s="87">
        <v>2560.0</v>
      </c>
      <c r="F165" s="88">
        <f t="shared" si="1"/>
        <v>85.87301587</v>
      </c>
      <c r="G165" s="87">
        <v>20841.0</v>
      </c>
      <c r="H165" s="89">
        <f t="shared" si="2"/>
        <v>12.28347968</v>
      </c>
      <c r="I165" s="90">
        <v>2253.0</v>
      </c>
      <c r="J165" s="90">
        <v>69.0</v>
      </c>
      <c r="K165" s="87">
        <v>2337.0</v>
      </c>
      <c r="L165" s="88">
        <f t="shared" si="3"/>
        <v>97.02842377</v>
      </c>
      <c r="M165" s="87">
        <v>27172.0</v>
      </c>
      <c r="N165" s="89">
        <f t="shared" si="4"/>
        <v>8.600765494</v>
      </c>
      <c r="O165" s="90"/>
      <c r="P165" s="90"/>
    </row>
    <row r="166">
      <c r="A166" s="85">
        <v>40101.0</v>
      </c>
      <c r="B166" s="98" t="s">
        <v>219</v>
      </c>
      <c r="C166" s="87">
        <v>27170.0</v>
      </c>
      <c r="D166" s="87">
        <v>2239.0</v>
      </c>
      <c r="E166" s="87">
        <v>29682.0</v>
      </c>
      <c r="F166" s="88">
        <f t="shared" si="1"/>
        <v>92.38668435</v>
      </c>
      <c r="G166" s="87">
        <v>264943.0</v>
      </c>
      <c r="H166" s="89">
        <f t="shared" si="2"/>
        <v>11.20316445</v>
      </c>
      <c r="I166" s="90">
        <v>21361.0</v>
      </c>
      <c r="J166" s="90">
        <v>317.0</v>
      </c>
      <c r="K166" s="87">
        <v>21774.0</v>
      </c>
      <c r="L166" s="88">
        <f t="shared" si="3"/>
        <v>98.53768798</v>
      </c>
      <c r="M166" s="87">
        <v>298350.0</v>
      </c>
      <c r="N166" s="89">
        <f t="shared" si="4"/>
        <v>7.298139769</v>
      </c>
      <c r="O166" s="90"/>
      <c r="P166" s="90"/>
    </row>
    <row r="167">
      <c r="A167" s="85">
        <v>40102.0</v>
      </c>
      <c r="B167" s="98" t="s">
        <v>220</v>
      </c>
      <c r="C167" s="87">
        <v>2194.0</v>
      </c>
      <c r="D167" s="87">
        <v>267.0</v>
      </c>
      <c r="E167" s="87">
        <v>2490.0</v>
      </c>
      <c r="F167" s="88">
        <f t="shared" si="1"/>
        <v>89.15075173</v>
      </c>
      <c r="G167" s="87">
        <v>23115.0</v>
      </c>
      <c r="H167" s="89">
        <f t="shared" si="2"/>
        <v>10.77222583</v>
      </c>
      <c r="I167" s="90">
        <v>1664.0</v>
      </c>
      <c r="J167" s="90">
        <v>25.0</v>
      </c>
      <c r="K167" s="87">
        <v>1703.0</v>
      </c>
      <c r="L167" s="88">
        <f t="shared" si="3"/>
        <v>98.51983422</v>
      </c>
      <c r="M167" s="87">
        <v>22850.0</v>
      </c>
      <c r="N167" s="89">
        <f t="shared" si="4"/>
        <v>7.452954048</v>
      </c>
      <c r="O167" s="90"/>
      <c r="P167" s="90"/>
    </row>
    <row r="168">
      <c r="A168" s="85">
        <v>40103.0</v>
      </c>
      <c r="B168" s="98" t="s">
        <v>221</v>
      </c>
      <c r="C168" s="87">
        <v>777.0</v>
      </c>
      <c r="D168" s="87">
        <v>83.0</v>
      </c>
      <c r="E168" s="87">
        <v>878.0</v>
      </c>
      <c r="F168" s="88">
        <f t="shared" si="1"/>
        <v>90.34883721</v>
      </c>
      <c r="G168" s="87">
        <v>8725.0</v>
      </c>
      <c r="H168" s="89">
        <f t="shared" si="2"/>
        <v>10.06303725</v>
      </c>
      <c r="I168" s="90">
        <v>723.0</v>
      </c>
      <c r="J168" s="90">
        <v>66.0</v>
      </c>
      <c r="K168" s="87">
        <v>892.0</v>
      </c>
      <c r="L168" s="88">
        <f t="shared" si="3"/>
        <v>91.63498099</v>
      </c>
      <c r="M168" s="87">
        <v>9997.0</v>
      </c>
      <c r="N168" s="89">
        <f t="shared" si="4"/>
        <v>8.922676803</v>
      </c>
      <c r="O168" s="90"/>
      <c r="P168" s="90"/>
    </row>
    <row r="169">
      <c r="A169" s="85">
        <v>40104.0</v>
      </c>
      <c r="B169" s="98" t="s">
        <v>222</v>
      </c>
      <c r="C169" s="87">
        <v>1158.0</v>
      </c>
      <c r="D169" s="87">
        <v>133.0</v>
      </c>
      <c r="E169" s="87">
        <v>1304.0</v>
      </c>
      <c r="F169" s="88">
        <f t="shared" si="1"/>
        <v>89.6979086</v>
      </c>
      <c r="G169" s="87">
        <v>12846.0</v>
      </c>
      <c r="H169" s="89">
        <f t="shared" si="2"/>
        <v>10.15101977</v>
      </c>
      <c r="I169" s="90">
        <v>1224.0</v>
      </c>
      <c r="J169" s="90">
        <v>13.0</v>
      </c>
      <c r="K169" s="87">
        <v>1254.0</v>
      </c>
      <c r="L169" s="88">
        <f t="shared" si="3"/>
        <v>98.94907033</v>
      </c>
      <c r="M169" s="87">
        <v>15764.0</v>
      </c>
      <c r="N169" s="89">
        <f t="shared" si="4"/>
        <v>7.954833799</v>
      </c>
      <c r="O169" s="90"/>
      <c r="P169" s="90"/>
    </row>
    <row r="170">
      <c r="A170" s="85">
        <v>40201.0</v>
      </c>
      <c r="B170" s="98" t="s">
        <v>224</v>
      </c>
      <c r="C170" s="87">
        <v>2950.0</v>
      </c>
      <c r="D170" s="87">
        <v>338.0</v>
      </c>
      <c r="E170" s="87">
        <v>3323.0</v>
      </c>
      <c r="F170" s="88">
        <f t="shared" si="1"/>
        <v>89.72019465</v>
      </c>
      <c r="G170" s="87">
        <v>28918.0</v>
      </c>
      <c r="H170" s="89">
        <f t="shared" si="2"/>
        <v>11.4911128</v>
      </c>
      <c r="I170" s="90">
        <v>2871.0</v>
      </c>
      <c r="J170" s="90">
        <v>111.0</v>
      </c>
      <c r="K170" s="87">
        <v>3009.0</v>
      </c>
      <c r="L170" s="88">
        <f t="shared" si="3"/>
        <v>96.277666</v>
      </c>
      <c r="M170" s="87">
        <v>35427.0</v>
      </c>
      <c r="N170" s="89">
        <f t="shared" si="4"/>
        <v>8.49352189</v>
      </c>
      <c r="O170" s="90"/>
      <c r="P170" s="90"/>
    </row>
    <row r="171">
      <c r="A171" s="85">
        <v>40202.0</v>
      </c>
      <c r="B171" s="98" t="s">
        <v>225</v>
      </c>
      <c r="C171" s="87">
        <v>401.0</v>
      </c>
      <c r="D171" s="87">
        <v>46.0</v>
      </c>
      <c r="E171" s="87">
        <v>449.0</v>
      </c>
      <c r="F171" s="88">
        <f t="shared" si="1"/>
        <v>89.70917226</v>
      </c>
      <c r="G171" s="87">
        <v>4051.0</v>
      </c>
      <c r="H171" s="89">
        <f t="shared" si="2"/>
        <v>11.08368304</v>
      </c>
      <c r="I171" s="90">
        <v>273.0</v>
      </c>
      <c r="J171" s="90">
        <v>6.0</v>
      </c>
      <c r="K171" s="87">
        <v>281.0</v>
      </c>
      <c r="L171" s="88">
        <f t="shared" si="3"/>
        <v>97.84946237</v>
      </c>
      <c r="M171" s="87">
        <v>5161.0</v>
      </c>
      <c r="N171" s="89">
        <f t="shared" si="4"/>
        <v>5.444681263</v>
      </c>
      <c r="O171" s="90"/>
      <c r="P171" s="90"/>
    </row>
    <row r="172">
      <c r="A172" s="85">
        <v>40301.0</v>
      </c>
      <c r="B172" s="98" t="s">
        <v>227</v>
      </c>
      <c r="C172" s="87">
        <v>860.0</v>
      </c>
      <c r="D172" s="87">
        <v>74.0</v>
      </c>
      <c r="E172" s="87">
        <v>941.0</v>
      </c>
      <c r="F172" s="88">
        <f t="shared" si="1"/>
        <v>92.07708779</v>
      </c>
      <c r="G172" s="87">
        <v>9221.0</v>
      </c>
      <c r="H172" s="89">
        <f t="shared" si="2"/>
        <v>10.20496692</v>
      </c>
      <c r="I172" s="90">
        <v>1046.0</v>
      </c>
      <c r="J172" s="90">
        <v>38.0</v>
      </c>
      <c r="K172" s="87">
        <v>1093.0</v>
      </c>
      <c r="L172" s="88">
        <f t="shared" si="3"/>
        <v>96.49446494</v>
      </c>
      <c r="M172" s="87">
        <v>16101.0</v>
      </c>
      <c r="N172" s="89">
        <f t="shared" si="4"/>
        <v>6.788398236</v>
      </c>
      <c r="O172" s="90"/>
      <c r="P172" s="90"/>
    </row>
    <row r="173">
      <c r="A173" s="85">
        <v>40302.0</v>
      </c>
      <c r="B173" s="98" t="s">
        <v>228</v>
      </c>
      <c r="C173" s="87">
        <v>169.0</v>
      </c>
      <c r="D173" s="87">
        <v>11.0</v>
      </c>
      <c r="E173" s="87">
        <v>182.0</v>
      </c>
      <c r="F173" s="88">
        <f t="shared" si="1"/>
        <v>93.88888889</v>
      </c>
      <c r="G173" s="87">
        <v>1850.0</v>
      </c>
      <c r="H173" s="89">
        <f t="shared" si="2"/>
        <v>9.837837838</v>
      </c>
      <c r="I173" s="90">
        <v>159.0</v>
      </c>
      <c r="J173" s="90">
        <v>6.0</v>
      </c>
      <c r="K173" s="87">
        <v>166.0</v>
      </c>
      <c r="L173" s="88">
        <f t="shared" si="3"/>
        <v>96.36363636</v>
      </c>
      <c r="M173" s="87">
        <v>2504.0</v>
      </c>
      <c r="N173" s="89">
        <f t="shared" si="4"/>
        <v>6.629392971</v>
      </c>
      <c r="O173" s="90"/>
      <c r="P173" s="90"/>
    </row>
    <row r="174">
      <c r="A174" s="85">
        <v>40401.0</v>
      </c>
      <c r="B174" s="98" t="s">
        <v>230</v>
      </c>
      <c r="C174" s="87">
        <v>373.0</v>
      </c>
      <c r="D174" s="87">
        <v>18.0</v>
      </c>
      <c r="E174" s="87">
        <v>394.0</v>
      </c>
      <c r="F174" s="88">
        <f t="shared" si="1"/>
        <v>95.39641944</v>
      </c>
      <c r="G174" s="87">
        <v>4184.0</v>
      </c>
      <c r="H174" s="89">
        <f t="shared" si="2"/>
        <v>9.416826004</v>
      </c>
      <c r="I174" s="90">
        <v>352.0</v>
      </c>
      <c r="J174" s="90">
        <v>24.0</v>
      </c>
      <c r="K174" s="87">
        <v>382.0</v>
      </c>
      <c r="L174" s="88">
        <f t="shared" si="3"/>
        <v>93.61702128</v>
      </c>
      <c r="M174" s="87">
        <v>6683.0</v>
      </c>
      <c r="N174" s="89">
        <f t="shared" si="4"/>
        <v>5.71599581</v>
      </c>
      <c r="O174" s="90"/>
      <c r="P174" s="90"/>
    </row>
    <row r="175">
      <c r="A175" s="85">
        <v>40402.0</v>
      </c>
      <c r="B175" s="98" t="s">
        <v>231</v>
      </c>
      <c r="C175" s="87">
        <v>488.0</v>
      </c>
      <c r="D175" s="87">
        <v>29.0</v>
      </c>
      <c r="E175" s="87">
        <v>522.0</v>
      </c>
      <c r="F175" s="88">
        <f t="shared" si="1"/>
        <v>94.39071567</v>
      </c>
      <c r="G175" s="87">
        <v>5207.0</v>
      </c>
      <c r="H175" s="89">
        <f t="shared" si="2"/>
        <v>10.02496639</v>
      </c>
      <c r="I175" s="90">
        <v>373.0</v>
      </c>
      <c r="J175" s="90">
        <v>15.0</v>
      </c>
      <c r="K175" s="87">
        <v>393.0</v>
      </c>
      <c r="L175" s="88">
        <f t="shared" si="3"/>
        <v>96.13402062</v>
      </c>
      <c r="M175" s="87">
        <v>5803.0</v>
      </c>
      <c r="N175" s="89">
        <f t="shared" si="4"/>
        <v>6.772359125</v>
      </c>
      <c r="O175" s="90"/>
      <c r="P175" s="90"/>
    </row>
    <row r="176">
      <c r="A176" s="85">
        <v>40501.0</v>
      </c>
      <c r="B176" s="98" t="s">
        <v>233</v>
      </c>
      <c r="C176" s="87">
        <v>80.0</v>
      </c>
      <c r="D176" s="87">
        <v>6.0</v>
      </c>
      <c r="E176" s="87">
        <v>86.0</v>
      </c>
      <c r="F176" s="88">
        <f t="shared" si="1"/>
        <v>93.02325581</v>
      </c>
      <c r="G176" s="87">
        <v>1003.0</v>
      </c>
      <c r="H176" s="89">
        <f t="shared" si="2"/>
        <v>8.574277168</v>
      </c>
      <c r="I176" s="90">
        <v>228.0</v>
      </c>
      <c r="J176" s="90">
        <v>19.0</v>
      </c>
      <c r="K176" s="87">
        <v>249.0</v>
      </c>
      <c r="L176" s="88">
        <f t="shared" si="3"/>
        <v>92.30769231</v>
      </c>
      <c r="M176" s="87">
        <v>4011.0</v>
      </c>
      <c r="N176" s="89">
        <f t="shared" si="4"/>
        <v>6.207928197</v>
      </c>
      <c r="O176" s="90"/>
      <c r="P176" s="90"/>
    </row>
    <row r="177">
      <c r="A177" s="85">
        <v>40502.0</v>
      </c>
      <c r="B177" s="98" t="s">
        <v>234</v>
      </c>
      <c r="C177" s="87">
        <v>393.0</v>
      </c>
      <c r="D177" s="87">
        <v>66.0</v>
      </c>
      <c r="E177" s="87">
        <v>460.0</v>
      </c>
      <c r="F177" s="88">
        <f t="shared" si="1"/>
        <v>85.62091503</v>
      </c>
      <c r="G177" s="87">
        <v>4223.0</v>
      </c>
      <c r="H177" s="89">
        <f t="shared" si="2"/>
        <v>10.89273029</v>
      </c>
      <c r="I177" s="90">
        <v>314.0</v>
      </c>
      <c r="J177" s="90">
        <v>28.0</v>
      </c>
      <c r="K177" s="87">
        <v>350.0</v>
      </c>
      <c r="L177" s="88">
        <f t="shared" si="3"/>
        <v>91.8128655</v>
      </c>
      <c r="M177" s="87">
        <v>4231.0</v>
      </c>
      <c r="N177" s="89">
        <f t="shared" si="4"/>
        <v>8.272276058</v>
      </c>
      <c r="O177" s="90"/>
      <c r="P177" s="90"/>
    </row>
    <row r="178">
      <c r="A178" s="85">
        <v>40503.0</v>
      </c>
      <c r="B178" s="98" t="s">
        <v>235</v>
      </c>
      <c r="C178" s="87">
        <v>195.0</v>
      </c>
      <c r="D178" s="87">
        <v>51.0</v>
      </c>
      <c r="E178" s="87">
        <v>248.0</v>
      </c>
      <c r="F178" s="88">
        <f t="shared" si="1"/>
        <v>79.26829268</v>
      </c>
      <c r="G178" s="87">
        <v>1967.0</v>
      </c>
      <c r="H178" s="89">
        <f t="shared" si="2"/>
        <v>12.60803254</v>
      </c>
      <c r="I178" s="90">
        <v>80.0</v>
      </c>
      <c r="J178" s="90">
        <v>15.0</v>
      </c>
      <c r="K178" s="87">
        <v>99.0</v>
      </c>
      <c r="L178" s="88">
        <f t="shared" si="3"/>
        <v>84.21052632</v>
      </c>
      <c r="M178" s="87">
        <v>1517.0</v>
      </c>
      <c r="N178" s="89">
        <f t="shared" si="4"/>
        <v>6.526038233</v>
      </c>
      <c r="O178" s="90"/>
      <c r="P178" s="90"/>
    </row>
    <row r="179">
      <c r="A179" s="85">
        <v>40504.0</v>
      </c>
      <c r="B179" s="98" t="s">
        <v>236</v>
      </c>
      <c r="C179" s="87">
        <v>45.0</v>
      </c>
      <c r="D179" s="87">
        <v>7.0</v>
      </c>
      <c r="E179" s="87">
        <v>52.0</v>
      </c>
      <c r="F179" s="88">
        <f t="shared" si="1"/>
        <v>86.53846154</v>
      </c>
      <c r="G179" s="86">
        <v>514.0</v>
      </c>
      <c r="H179" s="89">
        <f t="shared" si="2"/>
        <v>10.11673152</v>
      </c>
      <c r="I179" s="90">
        <v>64.0</v>
      </c>
      <c r="J179" s="90">
        <v>11.0</v>
      </c>
      <c r="K179" s="87">
        <v>75.0</v>
      </c>
      <c r="L179" s="88">
        <f t="shared" si="3"/>
        <v>85.33333333</v>
      </c>
      <c r="M179" s="86">
        <v>875.0</v>
      </c>
      <c r="N179" s="89">
        <f t="shared" si="4"/>
        <v>8.571428571</v>
      </c>
      <c r="O179" s="90"/>
      <c r="P179" s="90"/>
    </row>
    <row r="180">
      <c r="A180" s="85">
        <v>40505.0</v>
      </c>
      <c r="B180" s="98" t="s">
        <v>237</v>
      </c>
      <c r="C180" s="87">
        <v>324.0</v>
      </c>
      <c r="D180" s="87">
        <v>51.0</v>
      </c>
      <c r="E180" s="87">
        <v>378.0</v>
      </c>
      <c r="F180" s="88">
        <f t="shared" si="1"/>
        <v>86.4</v>
      </c>
      <c r="G180" s="87">
        <v>2702.0</v>
      </c>
      <c r="H180" s="89">
        <f t="shared" si="2"/>
        <v>13.98963731</v>
      </c>
      <c r="I180" s="90">
        <v>273.0</v>
      </c>
      <c r="J180" s="90">
        <v>48.0</v>
      </c>
      <c r="K180" s="87">
        <v>321.0</v>
      </c>
      <c r="L180" s="88">
        <f t="shared" si="3"/>
        <v>85.04672897</v>
      </c>
      <c r="M180" s="87">
        <v>3882.0</v>
      </c>
      <c r="N180" s="89">
        <f t="shared" si="4"/>
        <v>8.268933539</v>
      </c>
      <c r="O180" s="90"/>
      <c r="P180" s="90"/>
    </row>
    <row r="181">
      <c r="A181" s="85">
        <v>40601.0</v>
      </c>
      <c r="B181" s="98" t="s">
        <v>238</v>
      </c>
      <c r="C181" s="87">
        <v>695.0</v>
      </c>
      <c r="D181" s="87">
        <v>25.0</v>
      </c>
      <c r="E181" s="87">
        <v>726.0</v>
      </c>
      <c r="F181" s="88">
        <f t="shared" si="1"/>
        <v>96.52777778</v>
      </c>
      <c r="G181" s="87">
        <v>7587.0</v>
      </c>
      <c r="H181" s="89">
        <f t="shared" si="2"/>
        <v>9.568999605</v>
      </c>
      <c r="I181" s="90">
        <v>715.0</v>
      </c>
      <c r="J181" s="90">
        <v>38.0</v>
      </c>
      <c r="K181" s="87">
        <v>753.0</v>
      </c>
      <c r="L181" s="88">
        <f t="shared" si="3"/>
        <v>94.95351926</v>
      </c>
      <c r="M181" s="87">
        <v>9189.0</v>
      </c>
      <c r="N181" s="89">
        <f t="shared" si="4"/>
        <v>8.194580477</v>
      </c>
      <c r="O181" s="90"/>
      <c r="P181" s="90"/>
    </row>
    <row r="182">
      <c r="A182" s="85">
        <v>40602.0</v>
      </c>
      <c r="B182" s="98" t="s">
        <v>239</v>
      </c>
      <c r="C182" s="87">
        <v>600.0</v>
      </c>
      <c r="D182" s="87">
        <v>48.0</v>
      </c>
      <c r="E182" s="87">
        <v>660.0</v>
      </c>
      <c r="F182" s="88">
        <f t="shared" si="1"/>
        <v>92.59259259</v>
      </c>
      <c r="G182" s="87">
        <v>5955.0</v>
      </c>
      <c r="H182" s="89">
        <f t="shared" si="2"/>
        <v>11.08312343</v>
      </c>
      <c r="I182" s="90">
        <v>273.0</v>
      </c>
      <c r="J182" s="90">
        <v>26.0</v>
      </c>
      <c r="K182" s="87">
        <v>301.0</v>
      </c>
      <c r="L182" s="88">
        <f t="shared" si="3"/>
        <v>91.30434783</v>
      </c>
      <c r="M182" s="87">
        <v>4251.0</v>
      </c>
      <c r="N182" s="89">
        <f t="shared" si="4"/>
        <v>7.080686897</v>
      </c>
      <c r="O182" s="90"/>
      <c r="P182" s="90"/>
    </row>
    <row r="183">
      <c r="A183" s="85">
        <v>40603.0</v>
      </c>
      <c r="B183" s="98" t="s">
        <v>240</v>
      </c>
      <c r="C183" s="87">
        <v>364.0</v>
      </c>
      <c r="D183" s="87">
        <v>30.0</v>
      </c>
      <c r="E183" s="87">
        <v>396.0</v>
      </c>
      <c r="F183" s="88">
        <f t="shared" si="1"/>
        <v>92.3857868</v>
      </c>
      <c r="G183" s="87">
        <v>3264.0</v>
      </c>
      <c r="H183" s="89">
        <f t="shared" si="2"/>
        <v>12.13235294</v>
      </c>
      <c r="I183" s="90">
        <v>241.0</v>
      </c>
      <c r="J183" s="90">
        <v>5.0</v>
      </c>
      <c r="K183" s="87">
        <v>247.0</v>
      </c>
      <c r="L183" s="88">
        <f t="shared" si="3"/>
        <v>97.96747967</v>
      </c>
      <c r="M183" s="87">
        <v>3666.0</v>
      </c>
      <c r="N183" s="89">
        <f t="shared" si="4"/>
        <v>6.737588652</v>
      </c>
      <c r="O183" s="90"/>
      <c r="P183" s="90"/>
    </row>
    <row r="184">
      <c r="A184" s="85">
        <v>40701.0</v>
      </c>
      <c r="B184" s="98" t="s">
        <v>242</v>
      </c>
      <c r="C184" s="87">
        <v>2907.0</v>
      </c>
      <c r="D184" s="87">
        <v>119.0</v>
      </c>
      <c r="E184" s="87">
        <v>3037.0</v>
      </c>
      <c r="F184" s="88">
        <f t="shared" si="1"/>
        <v>96.06741573</v>
      </c>
      <c r="G184" s="87">
        <v>24677.0</v>
      </c>
      <c r="H184" s="89">
        <f t="shared" si="2"/>
        <v>12.30700652</v>
      </c>
      <c r="I184" s="90">
        <v>1284.0</v>
      </c>
      <c r="J184" s="90">
        <v>15.0</v>
      </c>
      <c r="K184" s="87">
        <v>1307.0</v>
      </c>
      <c r="L184" s="88">
        <f t="shared" si="3"/>
        <v>98.84526559</v>
      </c>
      <c r="M184" s="87">
        <v>20118.0</v>
      </c>
      <c r="N184" s="89">
        <f t="shared" si="4"/>
        <v>6.496669649</v>
      </c>
      <c r="O184" s="90"/>
      <c r="P184" s="90"/>
    </row>
    <row r="185">
      <c r="A185" s="85">
        <v>40702.0</v>
      </c>
      <c r="B185" s="98" t="s">
        <v>243</v>
      </c>
      <c r="C185" s="87">
        <v>479.0</v>
      </c>
      <c r="D185" s="87">
        <v>45.0</v>
      </c>
      <c r="E185" s="87">
        <v>528.0</v>
      </c>
      <c r="F185" s="88">
        <f t="shared" si="1"/>
        <v>91.41221374</v>
      </c>
      <c r="G185" s="87">
        <v>4820.0</v>
      </c>
      <c r="H185" s="89">
        <f t="shared" si="2"/>
        <v>10.95435685</v>
      </c>
      <c r="I185" s="90">
        <v>426.0</v>
      </c>
      <c r="J185" s="90">
        <v>5.0</v>
      </c>
      <c r="K185" s="87">
        <v>434.0</v>
      </c>
      <c r="L185" s="88">
        <f t="shared" si="3"/>
        <v>98.83990719</v>
      </c>
      <c r="M185" s="87">
        <v>6120.0</v>
      </c>
      <c r="N185" s="89">
        <f t="shared" si="4"/>
        <v>7.091503268</v>
      </c>
      <c r="O185" s="90"/>
      <c r="P185" s="90"/>
    </row>
    <row r="186">
      <c r="A186" s="85">
        <v>40801.0</v>
      </c>
      <c r="B186" s="98" t="s">
        <v>245</v>
      </c>
      <c r="C186" s="87">
        <v>1194.0</v>
      </c>
      <c r="D186" s="87">
        <v>155.0</v>
      </c>
      <c r="E186" s="87">
        <v>1359.0</v>
      </c>
      <c r="F186" s="88">
        <f t="shared" si="1"/>
        <v>88.51000741</v>
      </c>
      <c r="G186" s="87">
        <v>11878.0</v>
      </c>
      <c r="H186" s="89">
        <f t="shared" si="2"/>
        <v>11.44132009</v>
      </c>
      <c r="I186" s="90">
        <v>1163.0</v>
      </c>
      <c r="J186" s="90">
        <v>31.0</v>
      </c>
      <c r="K186" s="87">
        <v>1204.0</v>
      </c>
      <c r="L186" s="88">
        <f t="shared" si="3"/>
        <v>97.40368509</v>
      </c>
      <c r="M186" s="87">
        <v>15934.0</v>
      </c>
      <c r="N186" s="89">
        <f t="shared" si="4"/>
        <v>7.556169198</v>
      </c>
      <c r="O186" s="90"/>
      <c r="P186" s="90"/>
    </row>
    <row r="187">
      <c r="A187" s="85">
        <v>40802.0</v>
      </c>
      <c r="B187" s="98" t="s">
        <v>246</v>
      </c>
      <c r="C187" s="87">
        <v>320.0</v>
      </c>
      <c r="D187" s="87">
        <v>46.0</v>
      </c>
      <c r="E187" s="87">
        <v>369.0</v>
      </c>
      <c r="F187" s="88">
        <f t="shared" si="1"/>
        <v>87.43169399</v>
      </c>
      <c r="G187" s="87">
        <v>2973.0</v>
      </c>
      <c r="H187" s="89">
        <f t="shared" si="2"/>
        <v>12.41170535</v>
      </c>
      <c r="I187" s="90">
        <v>214.0</v>
      </c>
      <c r="J187" s="90">
        <v>3.0</v>
      </c>
      <c r="K187" s="87">
        <v>218.0</v>
      </c>
      <c r="L187" s="88">
        <f t="shared" si="3"/>
        <v>98.61751152</v>
      </c>
      <c r="M187" s="87">
        <v>3197.0</v>
      </c>
      <c r="N187" s="89">
        <f t="shared" si="4"/>
        <v>6.818892712</v>
      </c>
      <c r="O187" s="90"/>
      <c r="P187" s="90"/>
    </row>
    <row r="188">
      <c r="A188" s="85">
        <v>40901.0</v>
      </c>
      <c r="B188" s="98" t="s">
        <v>247</v>
      </c>
      <c r="C188" s="87">
        <v>938.0</v>
      </c>
      <c r="D188" s="87">
        <v>141.0</v>
      </c>
      <c r="E188" s="87">
        <v>1081.0</v>
      </c>
      <c r="F188" s="88">
        <f t="shared" si="1"/>
        <v>86.93234476</v>
      </c>
      <c r="G188" s="87">
        <v>8018.0</v>
      </c>
      <c r="H188" s="89">
        <f t="shared" si="2"/>
        <v>13.48216513</v>
      </c>
      <c r="I188" s="90">
        <v>1171.0</v>
      </c>
      <c r="J188" s="90">
        <v>137.0</v>
      </c>
      <c r="K188" s="87">
        <v>1322.0</v>
      </c>
      <c r="L188" s="88">
        <f t="shared" si="3"/>
        <v>89.52599388</v>
      </c>
      <c r="M188" s="87">
        <v>15504.0</v>
      </c>
      <c r="N188" s="89">
        <f t="shared" si="4"/>
        <v>8.526831785</v>
      </c>
      <c r="O188" s="90"/>
      <c r="P188" s="90"/>
    </row>
    <row r="189">
      <c r="A189" s="85">
        <v>40902.0</v>
      </c>
      <c r="B189" s="98" t="s">
        <v>248</v>
      </c>
      <c r="C189" s="87">
        <v>96.0</v>
      </c>
      <c r="D189" s="87">
        <v>15.0</v>
      </c>
      <c r="E189" s="87">
        <v>111.0</v>
      </c>
      <c r="F189" s="88">
        <f t="shared" si="1"/>
        <v>86.48648649</v>
      </c>
      <c r="G189" s="86">
        <v>903.0</v>
      </c>
      <c r="H189" s="89">
        <f t="shared" si="2"/>
        <v>12.2923588</v>
      </c>
      <c r="I189" s="90">
        <v>167.0</v>
      </c>
      <c r="J189" s="90">
        <v>15.0</v>
      </c>
      <c r="K189" s="87">
        <v>184.0</v>
      </c>
      <c r="L189" s="88">
        <f t="shared" si="3"/>
        <v>91.75824176</v>
      </c>
      <c r="M189" s="87">
        <v>1406.0</v>
      </c>
      <c r="N189" s="89">
        <f t="shared" si="4"/>
        <v>13.08677098</v>
      </c>
      <c r="O189" s="90"/>
      <c r="P189" s="90"/>
    </row>
    <row r="190">
      <c r="A190" s="85">
        <v>40903.0</v>
      </c>
      <c r="B190" s="98" t="s">
        <v>249</v>
      </c>
      <c r="C190" s="87">
        <v>212.0</v>
      </c>
      <c r="D190" s="87">
        <v>41.0</v>
      </c>
      <c r="E190" s="87">
        <v>255.0</v>
      </c>
      <c r="F190" s="88">
        <f t="shared" si="1"/>
        <v>83.7944664</v>
      </c>
      <c r="G190" s="87">
        <v>2003.0</v>
      </c>
      <c r="H190" s="89">
        <f t="shared" si="2"/>
        <v>12.73090364</v>
      </c>
      <c r="I190" s="90">
        <v>173.0</v>
      </c>
      <c r="J190" s="90">
        <v>42.0</v>
      </c>
      <c r="K190" s="87">
        <v>215.0</v>
      </c>
      <c r="L190" s="88">
        <f t="shared" si="3"/>
        <v>80.46511628</v>
      </c>
      <c r="M190" s="87">
        <v>2355.0</v>
      </c>
      <c r="N190" s="89">
        <f t="shared" si="4"/>
        <v>9.129511677</v>
      </c>
      <c r="O190" s="90"/>
      <c r="P190" s="90"/>
    </row>
    <row r="191">
      <c r="A191" s="85">
        <v>41001.0</v>
      </c>
      <c r="B191" s="98" t="s">
        <v>251</v>
      </c>
      <c r="C191" s="87">
        <v>873.0</v>
      </c>
      <c r="D191" s="87">
        <v>115.0</v>
      </c>
      <c r="E191" s="87">
        <v>1001.0</v>
      </c>
      <c r="F191" s="88">
        <f t="shared" si="1"/>
        <v>88.36032389</v>
      </c>
      <c r="G191" s="87">
        <v>10149.0</v>
      </c>
      <c r="H191" s="89">
        <f t="shared" si="2"/>
        <v>9.863040694</v>
      </c>
      <c r="I191" s="90">
        <v>605.0</v>
      </c>
      <c r="J191" s="90">
        <v>17.0</v>
      </c>
      <c r="K191" s="87">
        <v>626.0</v>
      </c>
      <c r="L191" s="88">
        <f t="shared" si="3"/>
        <v>97.26688103</v>
      </c>
      <c r="M191" s="87">
        <v>12202.0</v>
      </c>
      <c r="N191" s="89">
        <f t="shared" si="4"/>
        <v>5.130306507</v>
      </c>
      <c r="O191" s="90"/>
      <c r="P191" s="90"/>
    </row>
    <row r="192">
      <c r="A192" s="85">
        <v>41101.0</v>
      </c>
      <c r="B192" s="98" t="s">
        <v>253</v>
      </c>
      <c r="C192" s="87">
        <v>503.0</v>
      </c>
      <c r="D192" s="87">
        <v>43.0</v>
      </c>
      <c r="E192" s="87">
        <v>555.0</v>
      </c>
      <c r="F192" s="88">
        <f t="shared" si="1"/>
        <v>92.12454212</v>
      </c>
      <c r="G192" s="87">
        <v>5267.0</v>
      </c>
      <c r="H192" s="89">
        <f t="shared" si="2"/>
        <v>10.53730777</v>
      </c>
      <c r="I192" s="90">
        <v>380.0</v>
      </c>
      <c r="J192" s="90">
        <v>8.0</v>
      </c>
      <c r="K192" s="87">
        <v>389.0</v>
      </c>
      <c r="L192" s="88">
        <f t="shared" si="3"/>
        <v>97.93814433</v>
      </c>
      <c r="M192" s="87">
        <v>5335.0</v>
      </c>
      <c r="N192" s="89">
        <f t="shared" si="4"/>
        <v>7.291471415</v>
      </c>
      <c r="O192" s="90"/>
      <c r="P192" s="90"/>
    </row>
    <row r="193">
      <c r="A193" s="85">
        <v>41201.0</v>
      </c>
      <c r="B193" s="98" t="s">
        <v>255</v>
      </c>
      <c r="C193" s="87">
        <v>429.0</v>
      </c>
      <c r="D193" s="87">
        <v>35.0</v>
      </c>
      <c r="E193" s="87">
        <v>470.0</v>
      </c>
      <c r="F193" s="88">
        <f t="shared" si="1"/>
        <v>92.45689655</v>
      </c>
      <c r="G193" s="87">
        <v>5216.0</v>
      </c>
      <c r="H193" s="89">
        <f t="shared" si="2"/>
        <v>9.010736196</v>
      </c>
      <c r="I193" s="90">
        <v>351.0</v>
      </c>
      <c r="J193" s="90">
        <v>4.0</v>
      </c>
      <c r="K193" s="87">
        <v>360.0</v>
      </c>
      <c r="L193" s="88">
        <f t="shared" si="3"/>
        <v>98.87323944</v>
      </c>
      <c r="M193" s="87">
        <v>6311.0</v>
      </c>
      <c r="N193" s="89">
        <f t="shared" si="4"/>
        <v>5.70432578</v>
      </c>
      <c r="O193" s="90"/>
      <c r="P193" s="90"/>
    </row>
    <row r="194">
      <c r="A194" s="85">
        <v>41202.0</v>
      </c>
      <c r="B194" s="98" t="s">
        <v>256</v>
      </c>
      <c r="C194" s="87">
        <v>201.0</v>
      </c>
      <c r="D194" s="87">
        <v>16.0</v>
      </c>
      <c r="E194" s="87">
        <v>222.0</v>
      </c>
      <c r="F194" s="88">
        <f t="shared" si="1"/>
        <v>92.62672811</v>
      </c>
      <c r="G194" s="87">
        <v>2016.0</v>
      </c>
      <c r="H194" s="89">
        <f t="shared" si="2"/>
        <v>11.01190476</v>
      </c>
      <c r="I194" s="90">
        <v>192.0</v>
      </c>
      <c r="J194" s="90">
        <v>2.0</v>
      </c>
      <c r="K194" s="87">
        <v>194.0</v>
      </c>
      <c r="L194" s="88">
        <f t="shared" si="3"/>
        <v>98.96907216</v>
      </c>
      <c r="M194" s="87">
        <v>3061.0</v>
      </c>
      <c r="N194" s="89">
        <f t="shared" si="4"/>
        <v>6.337798105</v>
      </c>
      <c r="O194" s="90"/>
      <c r="P194" s="90"/>
    </row>
    <row r="195">
      <c r="A195" s="85">
        <v>41301.0</v>
      </c>
      <c r="B195" s="98" t="s">
        <v>201</v>
      </c>
      <c r="C195" s="87">
        <v>540.0</v>
      </c>
      <c r="D195" s="87">
        <v>45.0</v>
      </c>
      <c r="E195" s="87">
        <v>590.0</v>
      </c>
      <c r="F195" s="88">
        <f t="shared" si="1"/>
        <v>92.30769231</v>
      </c>
      <c r="G195" s="87">
        <v>5531.0</v>
      </c>
      <c r="H195" s="89">
        <f t="shared" si="2"/>
        <v>10.6671488</v>
      </c>
      <c r="I195" s="90">
        <v>399.0</v>
      </c>
      <c r="J195" s="90">
        <v>19.0</v>
      </c>
      <c r="K195" s="87">
        <v>426.0</v>
      </c>
      <c r="L195" s="88">
        <f t="shared" si="3"/>
        <v>95.45454545</v>
      </c>
      <c r="M195" s="87">
        <v>6637.0</v>
      </c>
      <c r="N195" s="89">
        <f t="shared" si="4"/>
        <v>6.418562604</v>
      </c>
      <c r="O195" s="90"/>
      <c r="P195" s="90"/>
    </row>
    <row r="196">
      <c r="A196" s="85">
        <v>41401.0</v>
      </c>
      <c r="B196" s="98" t="s">
        <v>259</v>
      </c>
      <c r="C196" s="87">
        <v>1253.0</v>
      </c>
      <c r="D196" s="87">
        <v>125.0</v>
      </c>
      <c r="E196" s="87">
        <v>1390.0</v>
      </c>
      <c r="F196" s="88">
        <f t="shared" si="1"/>
        <v>90.92888244</v>
      </c>
      <c r="G196" s="87">
        <v>13283.0</v>
      </c>
      <c r="H196" s="89">
        <f t="shared" si="2"/>
        <v>10.4645035</v>
      </c>
      <c r="I196" s="90">
        <v>994.0</v>
      </c>
      <c r="J196" s="90">
        <v>46.0</v>
      </c>
      <c r="K196" s="87">
        <v>1052.0</v>
      </c>
      <c r="L196" s="88">
        <f t="shared" si="3"/>
        <v>95.57692308</v>
      </c>
      <c r="M196" s="87">
        <v>13502.0</v>
      </c>
      <c r="N196" s="89">
        <f t="shared" si="4"/>
        <v>7.791438305</v>
      </c>
      <c r="O196" s="90"/>
      <c r="P196" s="90"/>
    </row>
    <row r="197">
      <c r="A197" s="85">
        <v>41501.0</v>
      </c>
      <c r="B197" s="98" t="s">
        <v>261</v>
      </c>
      <c r="C197" s="87">
        <v>58.0</v>
      </c>
      <c r="D197" s="87">
        <v>12.0</v>
      </c>
      <c r="E197" s="87">
        <v>70.0</v>
      </c>
      <c r="F197" s="88">
        <f t="shared" si="1"/>
        <v>82.85714286</v>
      </c>
      <c r="G197" s="86">
        <v>509.0</v>
      </c>
      <c r="H197" s="89">
        <f t="shared" si="2"/>
        <v>13.7524558</v>
      </c>
      <c r="I197" s="90">
        <v>78.0</v>
      </c>
      <c r="J197" s="90">
        <v>26.0</v>
      </c>
      <c r="K197" s="87">
        <v>104.0</v>
      </c>
      <c r="L197" s="88">
        <f t="shared" si="3"/>
        <v>75</v>
      </c>
      <c r="M197" s="87">
        <v>1262.0</v>
      </c>
      <c r="N197" s="89">
        <f t="shared" si="4"/>
        <v>8.24088748</v>
      </c>
      <c r="O197" s="90"/>
      <c r="P197" s="90"/>
    </row>
    <row r="198">
      <c r="A198" s="85">
        <v>41502.0</v>
      </c>
      <c r="B198" s="98" t="s">
        <v>262</v>
      </c>
      <c r="C198" s="87">
        <v>70.0</v>
      </c>
      <c r="D198" s="87">
        <v>18.0</v>
      </c>
      <c r="E198" s="87">
        <v>88.0</v>
      </c>
      <c r="F198" s="88">
        <f t="shared" si="1"/>
        <v>79.54545455</v>
      </c>
      <c r="G198" s="86">
        <v>727.0</v>
      </c>
      <c r="H198" s="89">
        <f t="shared" si="2"/>
        <v>12.1045392</v>
      </c>
      <c r="I198" s="90">
        <v>96.0</v>
      </c>
      <c r="J198" s="90">
        <v>6.0</v>
      </c>
      <c r="K198" s="87">
        <v>103.0</v>
      </c>
      <c r="L198" s="88">
        <f t="shared" si="3"/>
        <v>94.11764706</v>
      </c>
      <c r="M198" s="87">
        <v>1140.0</v>
      </c>
      <c r="N198" s="89">
        <f t="shared" si="4"/>
        <v>9.035087719</v>
      </c>
      <c r="O198" s="90"/>
      <c r="P198" s="90"/>
    </row>
    <row r="199">
      <c r="A199" s="85">
        <v>41503.0</v>
      </c>
      <c r="B199" s="98" t="s">
        <v>226</v>
      </c>
      <c r="C199" s="87">
        <v>90.0</v>
      </c>
      <c r="D199" s="87">
        <v>23.0</v>
      </c>
      <c r="E199" s="87">
        <v>114.0</v>
      </c>
      <c r="F199" s="88">
        <f t="shared" si="1"/>
        <v>79.6460177</v>
      </c>
      <c r="G199" s="86">
        <v>840.0</v>
      </c>
      <c r="H199" s="89">
        <f t="shared" si="2"/>
        <v>13.57142857</v>
      </c>
      <c r="I199" s="90">
        <v>76.0</v>
      </c>
      <c r="J199" s="90">
        <v>12.0</v>
      </c>
      <c r="K199" s="87">
        <v>89.0</v>
      </c>
      <c r="L199" s="88">
        <f t="shared" si="3"/>
        <v>86.36363636</v>
      </c>
      <c r="M199" s="87">
        <v>1129.0</v>
      </c>
      <c r="N199" s="89">
        <f t="shared" si="4"/>
        <v>7.883082374</v>
      </c>
      <c r="O199" s="90"/>
      <c r="P199" s="90"/>
    </row>
    <row r="200">
      <c r="A200" s="85">
        <v>41601.0</v>
      </c>
      <c r="B200" s="98" t="s">
        <v>264</v>
      </c>
      <c r="C200" s="87">
        <v>399.0</v>
      </c>
      <c r="D200" s="87">
        <v>44.0</v>
      </c>
      <c r="E200" s="87">
        <v>453.0</v>
      </c>
      <c r="F200" s="88">
        <f t="shared" si="1"/>
        <v>90.06772009</v>
      </c>
      <c r="G200" s="87">
        <v>5502.0</v>
      </c>
      <c r="H200" s="89">
        <f t="shared" si="2"/>
        <v>8.233369684</v>
      </c>
      <c r="I200" s="90">
        <v>290.0</v>
      </c>
      <c r="J200" s="90">
        <v>6.0</v>
      </c>
      <c r="K200" s="87">
        <v>301.0</v>
      </c>
      <c r="L200" s="88">
        <f t="shared" si="3"/>
        <v>97.97297297</v>
      </c>
      <c r="M200" s="87">
        <v>5996.0</v>
      </c>
      <c r="N200" s="89">
        <f t="shared" si="4"/>
        <v>5.020013342</v>
      </c>
      <c r="O200" s="90"/>
      <c r="P200" s="90"/>
    </row>
    <row r="201">
      <c r="A201" s="85">
        <v>50101.0</v>
      </c>
      <c r="B201" s="98" t="s">
        <v>265</v>
      </c>
      <c r="C201" s="87">
        <v>21062.0</v>
      </c>
      <c r="D201" s="87">
        <v>1806.0</v>
      </c>
      <c r="E201" s="87">
        <v>23324.0</v>
      </c>
      <c r="F201" s="88">
        <f t="shared" si="1"/>
        <v>92.10250131</v>
      </c>
      <c r="G201" s="87">
        <v>191302.0</v>
      </c>
      <c r="H201" s="89">
        <f t="shared" si="2"/>
        <v>12.19224054</v>
      </c>
      <c r="I201" s="90">
        <v>18398.0</v>
      </c>
      <c r="J201" s="90">
        <v>288.0</v>
      </c>
      <c r="K201" s="87">
        <v>18743.0</v>
      </c>
      <c r="L201" s="88">
        <f t="shared" si="3"/>
        <v>98.45873916</v>
      </c>
      <c r="M201" s="87">
        <v>218702.0</v>
      </c>
      <c r="N201" s="89">
        <f t="shared" si="4"/>
        <v>8.570109098</v>
      </c>
      <c r="O201" s="90"/>
      <c r="P201" s="90"/>
    </row>
    <row r="202">
      <c r="A202" s="85">
        <v>50102.0</v>
      </c>
      <c r="B202" s="98" t="s">
        <v>267</v>
      </c>
      <c r="C202" s="87">
        <v>3088.0</v>
      </c>
      <c r="D202" s="87">
        <v>448.0</v>
      </c>
      <c r="E202" s="87">
        <v>3629.0</v>
      </c>
      <c r="F202" s="88">
        <f t="shared" si="1"/>
        <v>87.33031674</v>
      </c>
      <c r="G202" s="87">
        <v>27200.0</v>
      </c>
      <c r="H202" s="89">
        <f t="shared" si="2"/>
        <v>13.34191176</v>
      </c>
      <c r="I202" s="90">
        <v>3069.0</v>
      </c>
      <c r="J202" s="90">
        <v>54.0</v>
      </c>
      <c r="K202" s="87">
        <v>3144.0</v>
      </c>
      <c r="L202" s="88">
        <f t="shared" si="3"/>
        <v>98.27089337</v>
      </c>
      <c r="M202" s="87">
        <v>28942.0</v>
      </c>
      <c r="N202" s="89">
        <f t="shared" si="4"/>
        <v>10.86310552</v>
      </c>
      <c r="O202" s="90"/>
      <c r="P202" s="90"/>
    </row>
    <row r="203">
      <c r="A203" s="85">
        <v>50103.0</v>
      </c>
      <c r="B203" s="98" t="s">
        <v>268</v>
      </c>
      <c r="C203" s="87">
        <v>720.0</v>
      </c>
      <c r="D203" s="87">
        <v>57.0</v>
      </c>
      <c r="E203" s="87">
        <v>802.0</v>
      </c>
      <c r="F203" s="88">
        <f t="shared" si="1"/>
        <v>92.66409266</v>
      </c>
      <c r="G203" s="87">
        <v>8979.0</v>
      </c>
      <c r="H203" s="89">
        <f t="shared" si="2"/>
        <v>8.931952333</v>
      </c>
      <c r="I203" s="90">
        <v>871.0</v>
      </c>
      <c r="J203" s="90">
        <v>20.0</v>
      </c>
      <c r="K203" s="87">
        <v>899.0</v>
      </c>
      <c r="L203" s="88">
        <f t="shared" si="3"/>
        <v>97.75533109</v>
      </c>
      <c r="M203" s="87">
        <v>12253.0</v>
      </c>
      <c r="N203" s="89">
        <f t="shared" si="4"/>
        <v>7.336978699</v>
      </c>
      <c r="O203" s="90"/>
      <c r="P203" s="90"/>
    </row>
    <row r="204">
      <c r="A204" s="85">
        <v>50104.0</v>
      </c>
      <c r="B204" s="98" t="s">
        <v>269</v>
      </c>
      <c r="C204" s="87">
        <v>237.0</v>
      </c>
      <c r="D204" s="87">
        <v>45.0</v>
      </c>
      <c r="E204" s="87">
        <v>290.0</v>
      </c>
      <c r="F204" s="88">
        <f t="shared" si="1"/>
        <v>84.04255319</v>
      </c>
      <c r="G204" s="87">
        <v>2759.0</v>
      </c>
      <c r="H204" s="89">
        <f t="shared" si="2"/>
        <v>10.51105473</v>
      </c>
      <c r="I204" s="90">
        <v>195.0</v>
      </c>
      <c r="J204" s="90">
        <v>5.0</v>
      </c>
      <c r="K204" s="87">
        <v>200.0</v>
      </c>
      <c r="L204" s="88">
        <f t="shared" si="3"/>
        <v>97.5</v>
      </c>
      <c r="M204" s="87">
        <v>3121.0</v>
      </c>
      <c r="N204" s="89">
        <f t="shared" si="4"/>
        <v>6.408202499</v>
      </c>
      <c r="O204" s="90"/>
      <c r="P204" s="90"/>
    </row>
    <row r="205">
      <c r="A205" s="85">
        <v>50201.0</v>
      </c>
      <c r="B205" s="98" t="s">
        <v>271</v>
      </c>
      <c r="C205" s="87">
        <v>2236.0</v>
      </c>
      <c r="D205" s="87">
        <v>145.0</v>
      </c>
      <c r="E205" s="87">
        <v>2425.0</v>
      </c>
      <c r="F205" s="88">
        <f t="shared" si="1"/>
        <v>93.9101218</v>
      </c>
      <c r="G205" s="87">
        <v>22020.0</v>
      </c>
      <c r="H205" s="89">
        <f t="shared" si="2"/>
        <v>11.01271571</v>
      </c>
      <c r="I205" s="90">
        <v>1760.0</v>
      </c>
      <c r="J205" s="90">
        <v>40.0</v>
      </c>
      <c r="K205" s="87">
        <v>1809.0</v>
      </c>
      <c r="L205" s="88">
        <f t="shared" si="3"/>
        <v>97.77777778</v>
      </c>
      <c r="M205" s="87">
        <v>22768.0</v>
      </c>
      <c r="N205" s="89">
        <f t="shared" si="4"/>
        <v>7.945361911</v>
      </c>
      <c r="O205" s="90"/>
      <c r="P205" s="90"/>
    </row>
    <row r="206">
      <c r="A206" s="85">
        <v>50202.0</v>
      </c>
      <c r="B206" s="98" t="s">
        <v>272</v>
      </c>
      <c r="C206" s="87">
        <v>1791.0</v>
      </c>
      <c r="D206" s="87">
        <v>119.0</v>
      </c>
      <c r="E206" s="87">
        <v>1974.0</v>
      </c>
      <c r="F206" s="88">
        <f t="shared" si="1"/>
        <v>93.76963351</v>
      </c>
      <c r="G206" s="87">
        <v>16129.0</v>
      </c>
      <c r="H206" s="89">
        <f t="shared" si="2"/>
        <v>12.23882448</v>
      </c>
      <c r="I206" s="90">
        <v>1310.0</v>
      </c>
      <c r="J206" s="90">
        <v>14.0</v>
      </c>
      <c r="K206" s="87">
        <v>1336.0</v>
      </c>
      <c r="L206" s="88">
        <f t="shared" si="3"/>
        <v>98.94259819</v>
      </c>
      <c r="M206" s="87">
        <v>16021.0</v>
      </c>
      <c r="N206" s="89">
        <f t="shared" si="4"/>
        <v>8.33905499</v>
      </c>
      <c r="O206" s="90"/>
      <c r="P206" s="90"/>
    </row>
    <row r="207">
      <c r="A207" s="85">
        <v>50203.0</v>
      </c>
      <c r="B207" s="98" t="s">
        <v>273</v>
      </c>
      <c r="C207" s="87">
        <v>4496.0</v>
      </c>
      <c r="D207" s="87">
        <v>278.0</v>
      </c>
      <c r="E207" s="87">
        <v>4884.0</v>
      </c>
      <c r="F207" s="88">
        <f t="shared" si="1"/>
        <v>94.17679095</v>
      </c>
      <c r="G207" s="87">
        <v>41104.0</v>
      </c>
      <c r="H207" s="89">
        <f t="shared" si="2"/>
        <v>11.88205527</v>
      </c>
      <c r="I207" s="90">
        <v>3078.0</v>
      </c>
      <c r="J207" s="90">
        <v>37.0</v>
      </c>
      <c r="K207" s="87">
        <v>3130.0</v>
      </c>
      <c r="L207" s="88">
        <f t="shared" si="3"/>
        <v>98.81219904</v>
      </c>
      <c r="M207" s="87">
        <v>41686.0</v>
      </c>
      <c r="N207" s="89">
        <f t="shared" si="4"/>
        <v>7.508516049</v>
      </c>
      <c r="O207" s="90"/>
      <c r="P207" s="90"/>
    </row>
    <row r="208">
      <c r="A208" s="85">
        <v>50204.0</v>
      </c>
      <c r="B208" s="98" t="s">
        <v>274</v>
      </c>
      <c r="C208" s="87">
        <v>1000.0</v>
      </c>
      <c r="D208" s="87">
        <v>119.0</v>
      </c>
      <c r="E208" s="87">
        <v>1136.0</v>
      </c>
      <c r="F208" s="88">
        <f t="shared" si="1"/>
        <v>89.36550492</v>
      </c>
      <c r="G208" s="87">
        <v>8019.0</v>
      </c>
      <c r="H208" s="89">
        <f t="shared" si="2"/>
        <v>14.16635491</v>
      </c>
      <c r="I208" s="90">
        <v>729.0</v>
      </c>
      <c r="J208" s="90">
        <v>12.0</v>
      </c>
      <c r="K208" s="87">
        <v>746.0</v>
      </c>
      <c r="L208" s="88">
        <f t="shared" si="3"/>
        <v>98.3805668</v>
      </c>
      <c r="M208" s="87">
        <v>8220.0</v>
      </c>
      <c r="N208" s="89">
        <f t="shared" si="4"/>
        <v>9.075425791</v>
      </c>
      <c r="O208" s="90"/>
      <c r="P208" s="90"/>
    </row>
    <row r="209">
      <c r="A209" s="85">
        <v>50301.0</v>
      </c>
      <c r="B209" s="98" t="s">
        <v>276</v>
      </c>
      <c r="C209" s="87">
        <v>3175.0</v>
      </c>
      <c r="D209" s="87">
        <v>322.0</v>
      </c>
      <c r="E209" s="87">
        <v>3569.0</v>
      </c>
      <c r="F209" s="88">
        <f t="shared" si="1"/>
        <v>90.79210752</v>
      </c>
      <c r="G209" s="87">
        <v>33922.0</v>
      </c>
      <c r="H209" s="89">
        <f t="shared" si="2"/>
        <v>10.52119568</v>
      </c>
      <c r="I209" s="90">
        <v>2470.0</v>
      </c>
      <c r="J209" s="90">
        <v>78.0</v>
      </c>
      <c r="K209" s="87">
        <v>2566.0</v>
      </c>
      <c r="L209" s="88">
        <f t="shared" si="3"/>
        <v>96.93877551</v>
      </c>
      <c r="M209" s="87">
        <v>31904.0</v>
      </c>
      <c r="N209" s="89">
        <f t="shared" si="4"/>
        <v>8.042878636</v>
      </c>
      <c r="O209" s="90"/>
      <c r="P209" s="90"/>
    </row>
    <row r="210">
      <c r="A210" s="85">
        <v>50302.0</v>
      </c>
      <c r="B210" s="98" t="s">
        <v>277</v>
      </c>
      <c r="C210" s="87">
        <v>860.0</v>
      </c>
      <c r="D210" s="87">
        <v>51.0</v>
      </c>
      <c r="E210" s="87">
        <v>929.0</v>
      </c>
      <c r="F210" s="88">
        <f t="shared" si="1"/>
        <v>94.40175631</v>
      </c>
      <c r="G210" s="87">
        <v>9910.0</v>
      </c>
      <c r="H210" s="89">
        <f t="shared" si="2"/>
        <v>9.374369324</v>
      </c>
      <c r="I210" s="90">
        <v>671.0</v>
      </c>
      <c r="J210" s="90">
        <v>19.0</v>
      </c>
      <c r="K210" s="87">
        <v>692.0</v>
      </c>
      <c r="L210" s="88">
        <f t="shared" si="3"/>
        <v>97.24637681</v>
      </c>
      <c r="M210" s="87">
        <v>9285.0</v>
      </c>
      <c r="N210" s="89">
        <f t="shared" si="4"/>
        <v>7.452880991</v>
      </c>
      <c r="O210" s="90"/>
      <c r="P210" s="90"/>
    </row>
    <row r="211">
      <c r="A211" s="85">
        <v>50303.0</v>
      </c>
      <c r="B211" s="98" t="s">
        <v>278</v>
      </c>
      <c r="C211" s="87">
        <v>1047.0</v>
      </c>
      <c r="D211" s="87">
        <v>225.0</v>
      </c>
      <c r="E211" s="87">
        <v>1354.0</v>
      </c>
      <c r="F211" s="88">
        <f t="shared" si="1"/>
        <v>82.31132075</v>
      </c>
      <c r="G211" s="87">
        <v>11835.0</v>
      </c>
      <c r="H211" s="89">
        <f t="shared" si="2"/>
        <v>11.44064216</v>
      </c>
      <c r="I211" s="90">
        <v>1222.0</v>
      </c>
      <c r="J211" s="90">
        <v>33.0</v>
      </c>
      <c r="K211" s="87">
        <v>1269.0</v>
      </c>
      <c r="L211" s="88">
        <f t="shared" si="3"/>
        <v>97.37051793</v>
      </c>
      <c r="M211" s="87">
        <v>14366.0</v>
      </c>
      <c r="N211" s="89">
        <f t="shared" si="4"/>
        <v>8.833356536</v>
      </c>
      <c r="O211" s="90"/>
      <c r="P211" s="90"/>
    </row>
    <row r="212">
      <c r="A212" s="85">
        <v>50401.0</v>
      </c>
      <c r="B212" s="98" t="s">
        <v>279</v>
      </c>
      <c r="C212" s="87">
        <v>1531.0</v>
      </c>
      <c r="D212" s="87">
        <v>341.0</v>
      </c>
      <c r="E212" s="87">
        <v>1935.0</v>
      </c>
      <c r="F212" s="88">
        <f t="shared" si="1"/>
        <v>81.78418803</v>
      </c>
      <c r="G212" s="87">
        <v>15260.0</v>
      </c>
      <c r="H212" s="89">
        <f t="shared" si="2"/>
        <v>12.6802097</v>
      </c>
      <c r="I212" s="90">
        <v>1501.0</v>
      </c>
      <c r="J212" s="90">
        <v>43.0</v>
      </c>
      <c r="K212" s="87">
        <v>1585.0</v>
      </c>
      <c r="L212" s="88">
        <f t="shared" si="3"/>
        <v>97.21502591</v>
      </c>
      <c r="M212" s="87">
        <v>16363.0</v>
      </c>
      <c r="N212" s="89">
        <f t="shared" si="4"/>
        <v>9.686487808</v>
      </c>
      <c r="O212" s="90"/>
      <c r="P212" s="90"/>
    </row>
    <row r="213">
      <c r="A213" s="85">
        <v>50402.0</v>
      </c>
      <c r="B213" s="98" t="s">
        <v>280</v>
      </c>
      <c r="C213" s="87">
        <v>2024.0</v>
      </c>
      <c r="D213" s="87">
        <v>282.0</v>
      </c>
      <c r="E213" s="87">
        <v>2415.0</v>
      </c>
      <c r="F213" s="88">
        <f t="shared" si="1"/>
        <v>87.77103209</v>
      </c>
      <c r="G213" s="87">
        <v>21213.0</v>
      </c>
      <c r="H213" s="89">
        <f t="shared" si="2"/>
        <v>11.38452836</v>
      </c>
      <c r="I213" s="90">
        <v>1101.0</v>
      </c>
      <c r="J213" s="90">
        <v>14.0</v>
      </c>
      <c r="K213" s="87">
        <v>1135.0</v>
      </c>
      <c r="L213" s="88">
        <f t="shared" si="3"/>
        <v>98.74439462</v>
      </c>
      <c r="M213" s="87">
        <v>16909.0</v>
      </c>
      <c r="N213" s="89">
        <f t="shared" si="4"/>
        <v>6.71240168</v>
      </c>
      <c r="O213" s="90"/>
      <c r="P213" s="90"/>
    </row>
    <row r="214">
      <c r="A214" s="85">
        <v>50403.0</v>
      </c>
      <c r="B214" s="98" t="s">
        <v>281</v>
      </c>
      <c r="C214" s="87">
        <v>2574.0</v>
      </c>
      <c r="D214" s="87">
        <v>351.0</v>
      </c>
      <c r="E214" s="87">
        <v>3030.0</v>
      </c>
      <c r="F214" s="88">
        <f t="shared" si="1"/>
        <v>88</v>
      </c>
      <c r="G214" s="87">
        <v>26330.0</v>
      </c>
      <c r="H214" s="89">
        <f t="shared" si="2"/>
        <v>11.5077858</v>
      </c>
      <c r="I214" s="90">
        <v>2847.0</v>
      </c>
      <c r="J214" s="90">
        <v>68.0</v>
      </c>
      <c r="K214" s="87">
        <v>2961.0</v>
      </c>
      <c r="L214" s="88">
        <f t="shared" si="3"/>
        <v>97.66723842</v>
      </c>
      <c r="M214" s="87">
        <v>32641.0</v>
      </c>
      <c r="N214" s="89">
        <f t="shared" si="4"/>
        <v>9.071413253</v>
      </c>
      <c r="O214" s="90"/>
      <c r="P214" s="90"/>
    </row>
    <row r="215">
      <c r="A215" s="85">
        <v>50404.0</v>
      </c>
      <c r="B215" s="98" t="s">
        <v>282</v>
      </c>
      <c r="C215" s="87">
        <v>1648.0</v>
      </c>
      <c r="D215" s="87">
        <v>398.0</v>
      </c>
      <c r="E215" s="87">
        <v>2094.0</v>
      </c>
      <c r="F215" s="88">
        <f t="shared" si="1"/>
        <v>80.54740958</v>
      </c>
      <c r="G215" s="87">
        <v>16118.0</v>
      </c>
      <c r="H215" s="89">
        <f t="shared" si="2"/>
        <v>12.99168631</v>
      </c>
      <c r="I215" s="90">
        <v>1162.0</v>
      </c>
      <c r="J215" s="90">
        <v>29.0</v>
      </c>
      <c r="K215" s="87">
        <v>1210.0</v>
      </c>
      <c r="L215" s="88">
        <f t="shared" si="3"/>
        <v>97.56507137</v>
      </c>
      <c r="M215" s="87">
        <v>14532.0</v>
      </c>
      <c r="N215" s="89">
        <f t="shared" si="4"/>
        <v>8.326451968</v>
      </c>
      <c r="O215" s="90"/>
      <c r="P215" s="90"/>
    </row>
    <row r="216">
      <c r="A216" s="85">
        <v>50405.0</v>
      </c>
      <c r="B216" s="98" t="s">
        <v>283</v>
      </c>
      <c r="C216" s="87">
        <v>2258.0</v>
      </c>
      <c r="D216" s="87">
        <v>255.0</v>
      </c>
      <c r="E216" s="87">
        <v>2590.0</v>
      </c>
      <c r="F216" s="88">
        <f t="shared" si="1"/>
        <v>89.85276562</v>
      </c>
      <c r="G216" s="87">
        <v>19939.0</v>
      </c>
      <c r="H216" s="89">
        <f t="shared" si="2"/>
        <v>12.98961834</v>
      </c>
      <c r="I216" s="90">
        <v>1777.0</v>
      </c>
      <c r="J216" s="90">
        <v>65.0</v>
      </c>
      <c r="K216" s="87">
        <v>1877.0</v>
      </c>
      <c r="L216" s="88">
        <f t="shared" si="3"/>
        <v>96.47122693</v>
      </c>
      <c r="M216" s="87">
        <v>21011.0</v>
      </c>
      <c r="N216" s="89">
        <f t="shared" si="4"/>
        <v>8.93341583</v>
      </c>
      <c r="O216" s="90"/>
      <c r="P216" s="90"/>
    </row>
    <row r="217">
      <c r="A217" s="85">
        <v>50501.0</v>
      </c>
      <c r="B217" s="98" t="s">
        <v>285</v>
      </c>
      <c r="C217" s="87">
        <v>2722.0</v>
      </c>
      <c r="D217" s="87">
        <v>883.0</v>
      </c>
      <c r="E217" s="87">
        <v>3747.0</v>
      </c>
      <c r="F217" s="88">
        <f t="shared" si="1"/>
        <v>75.50624133</v>
      </c>
      <c r="G217" s="87">
        <v>30012.0</v>
      </c>
      <c r="H217" s="89">
        <f t="shared" si="2"/>
        <v>12.485006</v>
      </c>
      <c r="I217" s="90">
        <v>2688.0</v>
      </c>
      <c r="J217" s="90">
        <v>75.0</v>
      </c>
      <c r="K217" s="87">
        <v>2804.0</v>
      </c>
      <c r="L217" s="88">
        <f t="shared" si="3"/>
        <v>97.28555917</v>
      </c>
      <c r="M217" s="87">
        <v>28416.0</v>
      </c>
      <c r="N217" s="89">
        <f t="shared" si="4"/>
        <v>9.86768018</v>
      </c>
      <c r="O217" s="90"/>
      <c r="P217" s="90"/>
    </row>
    <row r="218">
      <c r="A218" s="85">
        <v>50502.0</v>
      </c>
      <c r="B218" s="98" t="s">
        <v>286</v>
      </c>
      <c r="C218" s="87">
        <v>997.0</v>
      </c>
      <c r="D218" s="87">
        <v>310.0</v>
      </c>
      <c r="E218" s="87">
        <v>1340.0</v>
      </c>
      <c r="F218" s="88">
        <f t="shared" si="1"/>
        <v>76.28156083</v>
      </c>
      <c r="G218" s="87">
        <v>10870.0</v>
      </c>
      <c r="H218" s="89">
        <f t="shared" si="2"/>
        <v>12.3275069</v>
      </c>
      <c r="I218" s="90">
        <v>914.0</v>
      </c>
      <c r="J218" s="90">
        <v>27.0</v>
      </c>
      <c r="K218" s="87">
        <v>953.0</v>
      </c>
      <c r="L218" s="88">
        <f t="shared" si="3"/>
        <v>97.13071201</v>
      </c>
      <c r="M218" s="87">
        <v>10714.0</v>
      </c>
      <c r="N218" s="89">
        <f t="shared" si="4"/>
        <v>8.894903864</v>
      </c>
      <c r="O218" s="90"/>
      <c r="P218" s="90"/>
    </row>
    <row r="219">
      <c r="A219" s="85">
        <v>50601.0</v>
      </c>
      <c r="B219" s="98" t="s">
        <v>288</v>
      </c>
      <c r="C219" s="87">
        <v>2910.0</v>
      </c>
      <c r="D219" s="87">
        <v>277.0</v>
      </c>
      <c r="E219" s="87">
        <v>3264.0</v>
      </c>
      <c r="F219" s="88">
        <f t="shared" si="1"/>
        <v>91.30844054</v>
      </c>
      <c r="G219" s="87">
        <v>31801.0</v>
      </c>
      <c r="H219" s="89">
        <f t="shared" si="2"/>
        <v>10.26382818</v>
      </c>
      <c r="I219" s="90">
        <v>1893.0</v>
      </c>
      <c r="J219" s="90">
        <v>117.0</v>
      </c>
      <c r="K219" s="87">
        <v>2030.0</v>
      </c>
      <c r="L219" s="88">
        <f t="shared" si="3"/>
        <v>94.17910448</v>
      </c>
      <c r="M219" s="87">
        <v>29221.0</v>
      </c>
      <c r="N219" s="89">
        <f t="shared" si="4"/>
        <v>6.947058622</v>
      </c>
      <c r="O219" s="90"/>
      <c r="P219" s="90"/>
    </row>
    <row r="220">
      <c r="A220" s="85">
        <v>50602.0</v>
      </c>
      <c r="B220" s="98" t="s">
        <v>289</v>
      </c>
      <c r="C220" s="87">
        <v>918.0</v>
      </c>
      <c r="D220" s="87">
        <v>88.0</v>
      </c>
      <c r="E220" s="87">
        <v>1027.0</v>
      </c>
      <c r="F220" s="88">
        <f t="shared" si="1"/>
        <v>91.25248509</v>
      </c>
      <c r="G220" s="87">
        <v>10646.0</v>
      </c>
      <c r="H220" s="89">
        <f t="shared" si="2"/>
        <v>9.646815705</v>
      </c>
      <c r="I220" s="90">
        <v>600.0</v>
      </c>
      <c r="J220" s="90">
        <v>29.0</v>
      </c>
      <c r="K220" s="87">
        <v>636.0</v>
      </c>
      <c r="L220" s="88">
        <f t="shared" si="3"/>
        <v>95.38950715</v>
      </c>
      <c r="M220" s="87">
        <v>10184.0</v>
      </c>
      <c r="N220" s="89">
        <f t="shared" si="4"/>
        <v>6.245090338</v>
      </c>
      <c r="O220" s="90"/>
      <c r="P220" s="90"/>
    </row>
    <row r="221">
      <c r="A221" s="85">
        <v>50701.0</v>
      </c>
      <c r="B221" s="98" t="s">
        <v>291</v>
      </c>
      <c r="C221" s="87">
        <v>2277.0</v>
      </c>
      <c r="D221" s="87">
        <v>228.0</v>
      </c>
      <c r="E221" s="87">
        <v>2566.0</v>
      </c>
      <c r="F221" s="88">
        <f t="shared" si="1"/>
        <v>90.89820359</v>
      </c>
      <c r="G221" s="87">
        <v>19611.0</v>
      </c>
      <c r="H221" s="89">
        <f t="shared" si="2"/>
        <v>13.0844934</v>
      </c>
      <c r="I221" s="90">
        <v>1623.0</v>
      </c>
      <c r="J221" s="90">
        <v>22.0</v>
      </c>
      <c r="K221" s="87">
        <v>1668.0</v>
      </c>
      <c r="L221" s="88">
        <f t="shared" si="3"/>
        <v>98.66261398</v>
      </c>
      <c r="M221" s="87">
        <v>17205.0</v>
      </c>
      <c r="N221" s="89">
        <f t="shared" si="4"/>
        <v>9.694856146</v>
      </c>
      <c r="O221" s="90"/>
      <c r="P221" s="90"/>
    </row>
    <row r="222">
      <c r="A222" s="85">
        <v>50702.0</v>
      </c>
      <c r="B222" s="98" t="s">
        <v>292</v>
      </c>
      <c r="C222" s="87">
        <v>954.0</v>
      </c>
      <c r="D222" s="87">
        <v>54.0</v>
      </c>
      <c r="E222" s="87">
        <v>1019.0</v>
      </c>
      <c r="F222" s="88">
        <f t="shared" si="1"/>
        <v>94.64285714</v>
      </c>
      <c r="G222" s="87">
        <v>8704.0</v>
      </c>
      <c r="H222" s="89">
        <f t="shared" si="2"/>
        <v>11.70726103</v>
      </c>
      <c r="I222" s="90">
        <v>664.0</v>
      </c>
      <c r="J222" s="90">
        <v>16.0</v>
      </c>
      <c r="K222" s="87">
        <v>688.0</v>
      </c>
      <c r="L222" s="88">
        <f t="shared" si="3"/>
        <v>97.64705882</v>
      </c>
      <c r="M222" s="87">
        <v>8458.0</v>
      </c>
      <c r="N222" s="89">
        <f t="shared" si="4"/>
        <v>8.134310712</v>
      </c>
      <c r="O222" s="90"/>
      <c r="P222" s="90"/>
    </row>
    <row r="223">
      <c r="A223" s="85">
        <v>50801.0</v>
      </c>
      <c r="B223" s="98" t="s">
        <v>294</v>
      </c>
      <c r="C223" s="87">
        <v>4523.0</v>
      </c>
      <c r="D223" s="87">
        <v>331.0</v>
      </c>
      <c r="E223" s="87">
        <v>4978.0</v>
      </c>
      <c r="F223" s="88">
        <f t="shared" si="1"/>
        <v>93.18088175</v>
      </c>
      <c r="G223" s="87">
        <v>44814.0</v>
      </c>
      <c r="H223" s="89">
        <f t="shared" si="2"/>
        <v>11.10813585</v>
      </c>
      <c r="I223" s="90">
        <v>3242.0</v>
      </c>
      <c r="J223" s="90">
        <v>86.0</v>
      </c>
      <c r="K223" s="87">
        <v>3342.0</v>
      </c>
      <c r="L223" s="88">
        <f t="shared" si="3"/>
        <v>97.41586538</v>
      </c>
      <c r="M223" s="87">
        <v>45590.0</v>
      </c>
      <c r="N223" s="89">
        <f t="shared" si="4"/>
        <v>7.330554946</v>
      </c>
      <c r="O223" s="90"/>
      <c r="P223" s="90"/>
    </row>
    <row r="224">
      <c r="A224" s="85">
        <v>50802.0</v>
      </c>
      <c r="B224" s="98" t="s">
        <v>295</v>
      </c>
      <c r="C224" s="87">
        <v>1409.0</v>
      </c>
      <c r="D224" s="87">
        <v>34.0</v>
      </c>
      <c r="E224" s="87">
        <v>1478.0</v>
      </c>
      <c r="F224" s="88">
        <f t="shared" si="1"/>
        <v>97.64379764</v>
      </c>
      <c r="G224" s="87">
        <v>11234.0</v>
      </c>
      <c r="H224" s="89">
        <f t="shared" si="2"/>
        <v>13.15648923</v>
      </c>
      <c r="I224" s="90">
        <v>769.0</v>
      </c>
      <c r="J224" s="90">
        <v>5.0</v>
      </c>
      <c r="K224" s="87">
        <v>776.0</v>
      </c>
      <c r="L224" s="88">
        <f t="shared" si="3"/>
        <v>99.35400517</v>
      </c>
      <c r="M224" s="87">
        <v>9610.0</v>
      </c>
      <c r="N224" s="89">
        <f t="shared" si="4"/>
        <v>8.074921956</v>
      </c>
      <c r="O224" s="90"/>
      <c r="P224" s="90"/>
    </row>
    <row r="225">
      <c r="A225" s="85">
        <v>50901.0</v>
      </c>
      <c r="B225" s="98" t="s">
        <v>297</v>
      </c>
      <c r="C225" s="87">
        <v>1253.0</v>
      </c>
      <c r="D225" s="87">
        <v>97.0</v>
      </c>
      <c r="E225" s="87">
        <v>1371.0</v>
      </c>
      <c r="F225" s="88">
        <f t="shared" si="1"/>
        <v>92.81481481</v>
      </c>
      <c r="G225" s="87">
        <v>12997.0</v>
      </c>
      <c r="H225" s="89">
        <f t="shared" si="2"/>
        <v>10.54858814</v>
      </c>
      <c r="I225" s="90">
        <v>957.0</v>
      </c>
      <c r="J225" s="90">
        <v>24.0</v>
      </c>
      <c r="K225" s="87">
        <v>987.0</v>
      </c>
      <c r="L225" s="88">
        <f t="shared" si="3"/>
        <v>97.55351682</v>
      </c>
      <c r="M225" s="87">
        <v>12740.0</v>
      </c>
      <c r="N225" s="89">
        <f t="shared" si="4"/>
        <v>7.747252747</v>
      </c>
      <c r="O225" s="90"/>
      <c r="P225" s="90"/>
    </row>
    <row r="226">
      <c r="A226" s="85">
        <v>50902.0</v>
      </c>
      <c r="B226" s="98" t="s">
        <v>298</v>
      </c>
      <c r="C226" s="87">
        <v>66.0</v>
      </c>
      <c r="D226" s="87">
        <v>13.0</v>
      </c>
      <c r="E226" s="87">
        <v>83.0</v>
      </c>
      <c r="F226" s="88">
        <f t="shared" si="1"/>
        <v>83.5443038</v>
      </c>
      <c r="G226" s="87">
        <v>1060.0</v>
      </c>
      <c r="H226" s="89">
        <f t="shared" si="2"/>
        <v>7.830188679</v>
      </c>
      <c r="I226" s="90">
        <v>96.0</v>
      </c>
      <c r="J226" s="90">
        <v>5.0</v>
      </c>
      <c r="K226" s="87">
        <v>101.0</v>
      </c>
      <c r="L226" s="88">
        <f t="shared" si="3"/>
        <v>95.04950495</v>
      </c>
      <c r="M226" s="87">
        <v>1621.0</v>
      </c>
      <c r="N226" s="89">
        <f t="shared" si="4"/>
        <v>6.230721777</v>
      </c>
      <c r="O226" s="90"/>
      <c r="P226" s="90"/>
    </row>
    <row r="227">
      <c r="A227" s="85">
        <v>51001.0</v>
      </c>
      <c r="B227" s="98" t="s">
        <v>300</v>
      </c>
      <c r="C227" s="87">
        <v>396.0</v>
      </c>
      <c r="D227" s="87">
        <v>28.0</v>
      </c>
      <c r="E227" s="87">
        <v>439.0</v>
      </c>
      <c r="F227" s="88">
        <f t="shared" si="1"/>
        <v>93.39622642</v>
      </c>
      <c r="G227" s="87">
        <v>3371.0</v>
      </c>
      <c r="H227" s="89">
        <f t="shared" si="2"/>
        <v>13.02284189</v>
      </c>
      <c r="I227" s="90">
        <v>245.0</v>
      </c>
      <c r="J227" s="90">
        <v>5.0</v>
      </c>
      <c r="K227" s="87">
        <v>252.0</v>
      </c>
      <c r="L227" s="88">
        <f t="shared" si="3"/>
        <v>98</v>
      </c>
      <c r="M227" s="87">
        <v>3150.0</v>
      </c>
      <c r="N227" s="89">
        <f t="shared" si="4"/>
        <v>8</v>
      </c>
      <c r="O227" s="90"/>
      <c r="P227" s="90"/>
    </row>
    <row r="228">
      <c r="A228" s="85">
        <v>51002.0</v>
      </c>
      <c r="B228" s="98" t="s">
        <v>301</v>
      </c>
      <c r="C228" s="87">
        <v>127.0</v>
      </c>
      <c r="D228" s="87">
        <v>24.0</v>
      </c>
      <c r="E228" s="87">
        <v>156.0</v>
      </c>
      <c r="F228" s="88">
        <f t="shared" si="1"/>
        <v>84.10596026</v>
      </c>
      <c r="G228" s="87">
        <v>1180.0</v>
      </c>
      <c r="H228" s="89">
        <f t="shared" si="2"/>
        <v>13.22033898</v>
      </c>
      <c r="I228" s="90">
        <v>65.0</v>
      </c>
      <c r="J228" s="90">
        <v>11.0</v>
      </c>
      <c r="K228" s="87">
        <v>76.0</v>
      </c>
      <c r="L228" s="88">
        <f t="shared" si="3"/>
        <v>85.52631579</v>
      </c>
      <c r="M228" s="87">
        <v>1025.0</v>
      </c>
      <c r="N228" s="89">
        <f t="shared" si="4"/>
        <v>7.414634146</v>
      </c>
      <c r="O228" s="90"/>
      <c r="P228" s="90"/>
    </row>
    <row r="229">
      <c r="A229" s="85">
        <v>51003.0</v>
      </c>
      <c r="B229" s="98" t="s">
        <v>302</v>
      </c>
      <c r="C229" s="87">
        <v>244.0</v>
      </c>
      <c r="D229" s="87">
        <v>25.0</v>
      </c>
      <c r="E229" s="87">
        <v>279.0</v>
      </c>
      <c r="F229" s="88">
        <f t="shared" si="1"/>
        <v>90.7063197</v>
      </c>
      <c r="G229" s="87">
        <v>2284.0</v>
      </c>
      <c r="H229" s="89">
        <f t="shared" si="2"/>
        <v>12.21541156</v>
      </c>
      <c r="I229" s="90">
        <v>139.0</v>
      </c>
      <c r="J229" s="90">
        <v>14.0</v>
      </c>
      <c r="K229" s="87">
        <v>156.0</v>
      </c>
      <c r="L229" s="88">
        <f t="shared" si="3"/>
        <v>90.8496732</v>
      </c>
      <c r="M229" s="87">
        <v>1936.0</v>
      </c>
      <c r="N229" s="89">
        <f t="shared" si="4"/>
        <v>8.05785124</v>
      </c>
      <c r="O229" s="90"/>
      <c r="P229" s="90"/>
    </row>
    <row r="230">
      <c r="A230" s="85">
        <v>51101.0</v>
      </c>
      <c r="B230" s="98" t="s">
        <v>304</v>
      </c>
      <c r="C230" s="87">
        <v>1963.0</v>
      </c>
      <c r="D230" s="87">
        <v>203.0</v>
      </c>
      <c r="E230" s="87">
        <v>2226.0</v>
      </c>
      <c r="F230" s="88">
        <f t="shared" si="1"/>
        <v>90.6278855</v>
      </c>
      <c r="G230" s="87">
        <v>21917.0</v>
      </c>
      <c r="H230" s="89">
        <f t="shared" si="2"/>
        <v>10.15649952</v>
      </c>
      <c r="I230" s="90">
        <v>991.0</v>
      </c>
      <c r="J230" s="90">
        <v>42.0</v>
      </c>
      <c r="K230" s="87">
        <v>1042.0</v>
      </c>
      <c r="L230" s="88">
        <f t="shared" si="3"/>
        <v>95.93417231</v>
      </c>
      <c r="M230" s="87">
        <v>16389.0</v>
      </c>
      <c r="N230" s="89">
        <f t="shared" si="4"/>
        <v>6.357922997</v>
      </c>
      <c r="O230" s="90"/>
      <c r="P230" s="90"/>
    </row>
    <row r="231">
      <c r="A231" s="85">
        <v>51102.0</v>
      </c>
      <c r="B231" s="98" t="s">
        <v>305</v>
      </c>
      <c r="C231" s="87">
        <v>1036.0</v>
      </c>
      <c r="D231" s="87">
        <v>94.0</v>
      </c>
      <c r="E231" s="87">
        <v>1149.0</v>
      </c>
      <c r="F231" s="88">
        <f t="shared" si="1"/>
        <v>91.68141593</v>
      </c>
      <c r="G231" s="87">
        <v>12067.0</v>
      </c>
      <c r="H231" s="89">
        <f t="shared" si="2"/>
        <v>9.521836413</v>
      </c>
      <c r="I231" s="90">
        <v>988.0</v>
      </c>
      <c r="J231" s="90">
        <v>44.0</v>
      </c>
      <c r="K231" s="87">
        <v>1041.0</v>
      </c>
      <c r="L231" s="88">
        <f t="shared" si="3"/>
        <v>95.73643411</v>
      </c>
      <c r="M231" s="87">
        <v>12999.0</v>
      </c>
      <c r="N231" s="89">
        <f t="shared" si="4"/>
        <v>8.008308331</v>
      </c>
      <c r="O231" s="90"/>
      <c r="P231" s="90"/>
    </row>
    <row r="232">
      <c r="A232" s="85">
        <v>51103.0</v>
      </c>
      <c r="B232" s="98" t="s">
        <v>306</v>
      </c>
      <c r="C232" s="87">
        <v>1735.0</v>
      </c>
      <c r="D232" s="87">
        <v>296.0</v>
      </c>
      <c r="E232" s="87">
        <v>2086.0</v>
      </c>
      <c r="F232" s="88">
        <f t="shared" si="1"/>
        <v>85.42589857</v>
      </c>
      <c r="G232" s="87">
        <v>15812.0</v>
      </c>
      <c r="H232" s="89">
        <f t="shared" si="2"/>
        <v>13.19251202</v>
      </c>
      <c r="I232" s="90">
        <v>1308.0</v>
      </c>
      <c r="J232" s="90">
        <v>44.0</v>
      </c>
      <c r="K232" s="87">
        <v>1361.0</v>
      </c>
      <c r="L232" s="88">
        <f t="shared" si="3"/>
        <v>96.74556213</v>
      </c>
      <c r="M232" s="87">
        <v>14338.0</v>
      </c>
      <c r="N232" s="89">
        <f t="shared" si="4"/>
        <v>9.492258334</v>
      </c>
      <c r="O232" s="90"/>
      <c r="P232" s="90"/>
    </row>
    <row r="233">
      <c r="A233" s="85">
        <v>51201.0</v>
      </c>
      <c r="B233" s="98" t="s">
        <v>308</v>
      </c>
      <c r="C233" s="87">
        <v>3255.0</v>
      </c>
      <c r="D233" s="87">
        <v>250.0</v>
      </c>
      <c r="E233" s="87">
        <v>3618.0</v>
      </c>
      <c r="F233" s="88">
        <f t="shared" si="1"/>
        <v>92.86733238</v>
      </c>
      <c r="G233" s="87">
        <v>29672.0</v>
      </c>
      <c r="H233" s="89">
        <f t="shared" si="2"/>
        <v>12.19331356</v>
      </c>
      <c r="I233" s="90">
        <v>2636.0</v>
      </c>
      <c r="J233" s="90">
        <v>51.0</v>
      </c>
      <c r="K233" s="87">
        <v>2697.0</v>
      </c>
      <c r="L233" s="88">
        <f t="shared" si="3"/>
        <v>98.10197246</v>
      </c>
      <c r="M233" s="87">
        <v>35318.0</v>
      </c>
      <c r="N233" s="89">
        <f t="shared" si="4"/>
        <v>7.636332748</v>
      </c>
      <c r="O233" s="90"/>
      <c r="P233" s="90"/>
    </row>
    <row r="234">
      <c r="A234" s="85">
        <v>51202.0</v>
      </c>
      <c r="B234" s="98" t="s">
        <v>309</v>
      </c>
      <c r="C234" s="87">
        <v>854.0</v>
      </c>
      <c r="D234" s="87">
        <v>66.0</v>
      </c>
      <c r="E234" s="87">
        <v>958.0</v>
      </c>
      <c r="F234" s="88">
        <f t="shared" si="1"/>
        <v>92.82608696</v>
      </c>
      <c r="G234" s="87">
        <v>8854.0</v>
      </c>
      <c r="H234" s="89">
        <f t="shared" si="2"/>
        <v>10.81996838</v>
      </c>
      <c r="I234" s="90">
        <v>542.0</v>
      </c>
      <c r="J234" s="90">
        <v>11.0</v>
      </c>
      <c r="K234" s="87">
        <v>554.0</v>
      </c>
      <c r="L234" s="88">
        <f t="shared" si="3"/>
        <v>98.01084991</v>
      </c>
      <c r="M234" s="87">
        <v>7845.0</v>
      </c>
      <c r="N234" s="89">
        <f t="shared" si="4"/>
        <v>7.061822817</v>
      </c>
      <c r="O234" s="90"/>
      <c r="P234" s="90"/>
    </row>
    <row r="235">
      <c r="A235" s="85">
        <v>51203.0</v>
      </c>
      <c r="B235" s="98" t="s">
        <v>310</v>
      </c>
      <c r="C235" s="87">
        <v>1413.0</v>
      </c>
      <c r="D235" s="87">
        <v>200.0</v>
      </c>
      <c r="E235" s="87">
        <v>1653.0</v>
      </c>
      <c r="F235" s="88">
        <f t="shared" si="1"/>
        <v>87.60074396</v>
      </c>
      <c r="G235" s="87">
        <v>10866.0</v>
      </c>
      <c r="H235" s="89">
        <f t="shared" si="2"/>
        <v>15.21258973</v>
      </c>
      <c r="I235" s="90">
        <v>1398.0</v>
      </c>
      <c r="J235" s="90">
        <v>14.0</v>
      </c>
      <c r="K235" s="87">
        <v>1417.0</v>
      </c>
      <c r="L235" s="88">
        <f t="shared" si="3"/>
        <v>99.00849858</v>
      </c>
      <c r="M235" s="87">
        <v>14654.0</v>
      </c>
      <c r="N235" s="89">
        <f t="shared" si="4"/>
        <v>9.669714754</v>
      </c>
      <c r="O235" s="90"/>
      <c r="P235" s="90"/>
    </row>
    <row r="236">
      <c r="A236" s="85">
        <v>51204.0</v>
      </c>
      <c r="B236" s="98" t="s">
        <v>470</v>
      </c>
      <c r="C236" s="87">
        <v>642.0</v>
      </c>
      <c r="D236" s="87">
        <v>66.0</v>
      </c>
      <c r="E236" s="87">
        <v>724.0</v>
      </c>
      <c r="F236" s="88">
        <f t="shared" si="1"/>
        <v>90.6779661</v>
      </c>
      <c r="G236" s="87">
        <v>5935.0</v>
      </c>
      <c r="H236" s="89">
        <f t="shared" si="2"/>
        <v>12.19882056</v>
      </c>
      <c r="I236" s="90">
        <v>410.0</v>
      </c>
      <c r="J236" s="90">
        <v>11.0</v>
      </c>
      <c r="K236" s="87">
        <v>424.0</v>
      </c>
      <c r="L236" s="88">
        <f t="shared" si="3"/>
        <v>97.3871734</v>
      </c>
      <c r="M236" s="87">
        <v>5819.0</v>
      </c>
      <c r="N236" s="89">
        <f t="shared" si="4"/>
        <v>7.286475339</v>
      </c>
      <c r="O236" s="90"/>
      <c r="P236" s="90"/>
    </row>
    <row r="237">
      <c r="A237" s="85">
        <v>51301.0</v>
      </c>
      <c r="B237" s="98" t="s">
        <v>313</v>
      </c>
      <c r="C237" s="87">
        <v>499.0</v>
      </c>
      <c r="D237" s="87">
        <v>48.0</v>
      </c>
      <c r="E237" s="87">
        <v>571.0</v>
      </c>
      <c r="F237" s="88">
        <f t="shared" si="1"/>
        <v>91.22486289</v>
      </c>
      <c r="G237" s="87">
        <v>4170.0</v>
      </c>
      <c r="H237" s="89">
        <f t="shared" si="2"/>
        <v>13.69304556</v>
      </c>
      <c r="I237" s="90">
        <v>310.0</v>
      </c>
      <c r="J237" s="90">
        <v>8.0</v>
      </c>
      <c r="K237" s="87">
        <v>327.0</v>
      </c>
      <c r="L237" s="88">
        <f t="shared" si="3"/>
        <v>97.48427673</v>
      </c>
      <c r="M237" s="87">
        <v>3666.0</v>
      </c>
      <c r="N237" s="89">
        <f t="shared" si="4"/>
        <v>8.919803601</v>
      </c>
      <c r="O237" s="90"/>
      <c r="P237" s="90"/>
    </row>
    <row r="238">
      <c r="A238" s="85">
        <v>51302.0</v>
      </c>
      <c r="B238" s="98" t="s">
        <v>314</v>
      </c>
      <c r="C238" s="87">
        <v>685.0</v>
      </c>
      <c r="D238" s="87">
        <v>68.0</v>
      </c>
      <c r="E238" s="87">
        <v>767.0</v>
      </c>
      <c r="F238" s="88">
        <f t="shared" si="1"/>
        <v>90.96945551</v>
      </c>
      <c r="G238" s="87">
        <v>6161.0</v>
      </c>
      <c r="H238" s="89">
        <f t="shared" si="2"/>
        <v>12.44927771</v>
      </c>
      <c r="I238" s="90">
        <v>288.0</v>
      </c>
      <c r="J238" s="90">
        <v>6.0</v>
      </c>
      <c r="K238" s="87">
        <v>300.0</v>
      </c>
      <c r="L238" s="88">
        <f t="shared" si="3"/>
        <v>97.95918367</v>
      </c>
      <c r="M238" s="87">
        <v>4471.0</v>
      </c>
      <c r="N238" s="89">
        <f t="shared" si="4"/>
        <v>6.709908298</v>
      </c>
      <c r="O238" s="90"/>
      <c r="P238" s="90"/>
    </row>
    <row r="239">
      <c r="A239" s="85">
        <v>51401.0</v>
      </c>
      <c r="B239" s="98" t="s">
        <v>316</v>
      </c>
      <c r="C239" s="87">
        <v>388.0</v>
      </c>
      <c r="D239" s="87">
        <v>27.0</v>
      </c>
      <c r="E239" s="87">
        <v>428.0</v>
      </c>
      <c r="F239" s="88">
        <f t="shared" si="1"/>
        <v>93.4939759</v>
      </c>
      <c r="G239" s="87">
        <v>4150.0</v>
      </c>
      <c r="H239" s="89">
        <f t="shared" si="2"/>
        <v>10.31325301</v>
      </c>
      <c r="I239" s="90">
        <v>265.0</v>
      </c>
      <c r="J239" s="90">
        <v>17.0</v>
      </c>
      <c r="K239" s="87">
        <v>282.0</v>
      </c>
      <c r="L239" s="88">
        <f t="shared" si="3"/>
        <v>93.97163121</v>
      </c>
      <c r="M239" s="87">
        <v>4187.0</v>
      </c>
      <c r="N239" s="89">
        <f t="shared" si="4"/>
        <v>6.735132553</v>
      </c>
      <c r="O239" s="90"/>
      <c r="P239" s="90"/>
    </row>
    <row r="240">
      <c r="A240" s="85">
        <v>51402.0</v>
      </c>
      <c r="B240" s="98" t="s">
        <v>317</v>
      </c>
      <c r="C240" s="87">
        <v>158.0</v>
      </c>
      <c r="D240" s="87">
        <v>12.0</v>
      </c>
      <c r="E240" s="87">
        <v>179.0</v>
      </c>
      <c r="F240" s="88">
        <f t="shared" si="1"/>
        <v>92.94117647</v>
      </c>
      <c r="G240" s="87">
        <v>1700.0</v>
      </c>
      <c r="H240" s="89">
        <f t="shared" si="2"/>
        <v>10.52941176</v>
      </c>
      <c r="I240" s="90">
        <v>85.0</v>
      </c>
      <c r="J240" s="90">
        <v>3.0</v>
      </c>
      <c r="K240" s="87">
        <v>88.0</v>
      </c>
      <c r="L240" s="88">
        <f t="shared" si="3"/>
        <v>96.59090909</v>
      </c>
      <c r="M240" s="87">
        <v>1546.0</v>
      </c>
      <c r="N240" s="89">
        <f t="shared" si="4"/>
        <v>5.692108668</v>
      </c>
      <c r="O240" s="90"/>
      <c r="P240" s="90"/>
    </row>
    <row r="241">
      <c r="A241" s="85">
        <v>51501.0</v>
      </c>
      <c r="B241" s="98" t="s">
        <v>319</v>
      </c>
      <c r="C241" s="87">
        <v>4184.0</v>
      </c>
      <c r="D241" s="87">
        <v>483.0</v>
      </c>
      <c r="E241" s="87">
        <v>4821.0</v>
      </c>
      <c r="F241" s="88">
        <f t="shared" si="1"/>
        <v>89.65073923</v>
      </c>
      <c r="G241" s="87">
        <v>44906.0</v>
      </c>
      <c r="H241" s="89">
        <f t="shared" si="2"/>
        <v>10.73575914</v>
      </c>
      <c r="I241" s="90">
        <v>3446.0</v>
      </c>
      <c r="J241" s="90">
        <v>333.0</v>
      </c>
      <c r="K241" s="87">
        <v>3807.0</v>
      </c>
      <c r="L241" s="88">
        <f t="shared" si="3"/>
        <v>91.18814501</v>
      </c>
      <c r="M241" s="87">
        <v>49340.0</v>
      </c>
      <c r="N241" s="89">
        <f t="shared" si="4"/>
        <v>7.71584921</v>
      </c>
      <c r="O241" s="90"/>
      <c r="P241" s="90"/>
    </row>
    <row r="242">
      <c r="A242" s="85">
        <v>51601.0</v>
      </c>
      <c r="B242" s="98" t="s">
        <v>321</v>
      </c>
      <c r="C242" s="87">
        <v>139.0</v>
      </c>
      <c r="D242" s="87">
        <v>15.0</v>
      </c>
      <c r="E242" s="87">
        <v>156.0</v>
      </c>
      <c r="F242" s="88">
        <f t="shared" si="1"/>
        <v>90.25974026</v>
      </c>
      <c r="G242" s="87">
        <v>1684.0</v>
      </c>
      <c r="H242" s="89">
        <f t="shared" si="2"/>
        <v>9.263657957</v>
      </c>
      <c r="I242" s="90">
        <v>143.0</v>
      </c>
      <c r="J242" s="90">
        <v>12.0</v>
      </c>
      <c r="K242" s="87">
        <v>155.0</v>
      </c>
      <c r="L242" s="88">
        <f t="shared" si="3"/>
        <v>92.25806452</v>
      </c>
      <c r="M242" s="87">
        <v>2126.0</v>
      </c>
      <c r="N242" s="89">
        <f t="shared" si="4"/>
        <v>7.290686736</v>
      </c>
      <c r="O242" s="90"/>
      <c r="P242" s="90"/>
    </row>
    <row r="243">
      <c r="A243" s="85">
        <v>60101.0</v>
      </c>
      <c r="B243" s="98" t="s">
        <v>322</v>
      </c>
      <c r="C243" s="87">
        <v>18802.0</v>
      </c>
      <c r="D243" s="87">
        <v>1098.0</v>
      </c>
      <c r="E243" s="87">
        <v>20173.0</v>
      </c>
      <c r="F243" s="88">
        <f t="shared" si="1"/>
        <v>94.48241206</v>
      </c>
      <c r="G243" s="87">
        <v>205375.0</v>
      </c>
      <c r="H243" s="89">
        <f t="shared" si="2"/>
        <v>9.822519781</v>
      </c>
      <c r="I243" s="90">
        <v>13862.0</v>
      </c>
      <c r="J243" s="90">
        <v>282.0</v>
      </c>
      <c r="K243" s="87">
        <v>14198.0</v>
      </c>
      <c r="L243" s="88">
        <f t="shared" si="3"/>
        <v>98.00622172</v>
      </c>
      <c r="M243" s="87">
        <v>238749.0</v>
      </c>
      <c r="N243" s="89">
        <f t="shared" si="4"/>
        <v>5.946831191</v>
      </c>
      <c r="O243" s="90"/>
      <c r="P243" s="90"/>
    </row>
    <row r="244">
      <c r="A244" s="85">
        <v>60201.0</v>
      </c>
      <c r="B244" s="98" t="s">
        <v>324</v>
      </c>
      <c r="C244" s="87">
        <v>1760.0</v>
      </c>
      <c r="D244" s="87">
        <v>120.0</v>
      </c>
      <c r="E244" s="87">
        <v>1944.0</v>
      </c>
      <c r="F244" s="88">
        <f t="shared" si="1"/>
        <v>93.61702128</v>
      </c>
      <c r="G244" s="87">
        <v>18681.0</v>
      </c>
      <c r="H244" s="89">
        <f t="shared" si="2"/>
        <v>10.40629517</v>
      </c>
      <c r="I244" s="90">
        <v>1060.0</v>
      </c>
      <c r="J244" s="90">
        <v>36.0</v>
      </c>
      <c r="K244" s="87">
        <v>1096.0</v>
      </c>
      <c r="L244" s="88">
        <f t="shared" si="3"/>
        <v>96.71532847</v>
      </c>
      <c r="M244" s="87">
        <v>17817.0</v>
      </c>
      <c r="N244" s="89">
        <f t="shared" si="4"/>
        <v>6.151428411</v>
      </c>
      <c r="O244" s="90"/>
      <c r="P244" s="90"/>
    </row>
    <row r="245">
      <c r="A245" s="85">
        <v>60202.0</v>
      </c>
      <c r="B245" s="98" t="s">
        <v>325</v>
      </c>
      <c r="C245" s="87">
        <v>3253.0</v>
      </c>
      <c r="D245" s="87">
        <v>196.0</v>
      </c>
      <c r="E245" s="87">
        <v>3487.0</v>
      </c>
      <c r="F245" s="88">
        <f t="shared" si="1"/>
        <v>94.31719339</v>
      </c>
      <c r="G245" s="87">
        <v>34505.0</v>
      </c>
      <c r="H245" s="89">
        <f t="shared" si="2"/>
        <v>10.10578177</v>
      </c>
      <c r="I245" s="90">
        <v>2308.0</v>
      </c>
      <c r="J245" s="90">
        <v>120.0</v>
      </c>
      <c r="K245" s="87">
        <v>2439.0</v>
      </c>
      <c r="L245" s="88">
        <f t="shared" si="3"/>
        <v>95.05766063</v>
      </c>
      <c r="M245" s="87">
        <v>36970.0</v>
      </c>
      <c r="N245" s="89">
        <f t="shared" si="4"/>
        <v>6.597241006</v>
      </c>
      <c r="O245" s="90"/>
      <c r="P245" s="90"/>
    </row>
    <row r="246">
      <c r="A246" s="85">
        <v>60301.0</v>
      </c>
      <c r="B246" s="98" t="s">
        <v>327</v>
      </c>
      <c r="C246" s="87">
        <v>8755.0</v>
      </c>
      <c r="D246" s="87">
        <v>1117.0</v>
      </c>
      <c r="E246" s="87">
        <v>10068.0</v>
      </c>
      <c r="F246" s="88">
        <f t="shared" si="1"/>
        <v>88.68517018</v>
      </c>
      <c r="G246" s="87">
        <v>92245.0</v>
      </c>
      <c r="H246" s="89">
        <f t="shared" si="2"/>
        <v>10.91441271</v>
      </c>
      <c r="I246" s="90">
        <v>6779.0</v>
      </c>
      <c r="J246" s="90">
        <v>327.0</v>
      </c>
      <c r="K246" s="87">
        <v>7169.0</v>
      </c>
      <c r="L246" s="88">
        <f t="shared" si="3"/>
        <v>95.398255</v>
      </c>
      <c r="M246" s="87">
        <v>97634.0</v>
      </c>
      <c r="N246" s="89">
        <f t="shared" si="4"/>
        <v>7.342728967</v>
      </c>
      <c r="O246" s="90"/>
      <c r="P246" s="90"/>
    </row>
    <row r="247">
      <c r="A247" s="85">
        <v>60302.0</v>
      </c>
      <c r="B247" s="98" t="s">
        <v>328</v>
      </c>
      <c r="C247" s="87">
        <v>1446.0</v>
      </c>
      <c r="D247" s="87">
        <v>168.0</v>
      </c>
      <c r="E247" s="87">
        <v>1629.0</v>
      </c>
      <c r="F247" s="88">
        <f t="shared" si="1"/>
        <v>89.59107807</v>
      </c>
      <c r="G247" s="87">
        <v>15366.0</v>
      </c>
      <c r="H247" s="89">
        <f t="shared" si="2"/>
        <v>10.60132761</v>
      </c>
      <c r="I247" s="90">
        <v>1175.0</v>
      </c>
      <c r="J247" s="90">
        <v>35.0</v>
      </c>
      <c r="K247" s="87">
        <v>1218.0</v>
      </c>
      <c r="L247" s="88">
        <f t="shared" si="3"/>
        <v>97.10743802</v>
      </c>
      <c r="M247" s="87">
        <v>15559.0</v>
      </c>
      <c r="N247" s="89">
        <f t="shared" si="4"/>
        <v>7.828266598</v>
      </c>
      <c r="O247" s="90"/>
      <c r="P247" s="90"/>
    </row>
    <row r="248">
      <c r="A248" s="85">
        <v>60303.0</v>
      </c>
      <c r="B248" s="98" t="s">
        <v>329</v>
      </c>
      <c r="C248" s="87">
        <v>4054.0</v>
      </c>
      <c r="D248" s="87">
        <v>395.0</v>
      </c>
      <c r="E248" s="87">
        <v>4548.0</v>
      </c>
      <c r="F248" s="88">
        <f t="shared" si="1"/>
        <v>91.12160036</v>
      </c>
      <c r="G248" s="87">
        <v>39867.0</v>
      </c>
      <c r="H248" s="89">
        <f t="shared" si="2"/>
        <v>11.40793137</v>
      </c>
      <c r="I248" s="90">
        <v>3340.0</v>
      </c>
      <c r="J248" s="90">
        <v>115.0</v>
      </c>
      <c r="K248" s="87">
        <v>3486.0</v>
      </c>
      <c r="L248" s="88">
        <f t="shared" si="3"/>
        <v>96.67149059</v>
      </c>
      <c r="M248" s="87">
        <v>46071.0</v>
      </c>
      <c r="N248" s="89">
        <f t="shared" si="4"/>
        <v>7.566582015</v>
      </c>
      <c r="O248" s="90"/>
      <c r="P248" s="90"/>
    </row>
    <row r="249">
      <c r="A249" s="85">
        <v>60401.0</v>
      </c>
      <c r="B249" s="98" t="s">
        <v>331</v>
      </c>
      <c r="C249" s="87">
        <v>1304.0</v>
      </c>
      <c r="D249" s="87">
        <v>115.0</v>
      </c>
      <c r="E249" s="87">
        <v>1435.0</v>
      </c>
      <c r="F249" s="88">
        <f t="shared" si="1"/>
        <v>91.8957012</v>
      </c>
      <c r="G249" s="87">
        <v>14781.0</v>
      </c>
      <c r="H249" s="89">
        <f t="shared" si="2"/>
        <v>9.708409445</v>
      </c>
      <c r="I249" s="90">
        <v>1032.0</v>
      </c>
      <c r="J249" s="90">
        <v>26.0</v>
      </c>
      <c r="K249" s="87">
        <v>1065.0</v>
      </c>
      <c r="L249" s="88">
        <f t="shared" si="3"/>
        <v>97.54253308</v>
      </c>
      <c r="M249" s="87">
        <v>15923.0</v>
      </c>
      <c r="N249" s="89">
        <f t="shared" si="4"/>
        <v>6.688438108</v>
      </c>
      <c r="O249" s="90"/>
      <c r="P249" s="90"/>
    </row>
    <row r="250">
      <c r="A250" s="85">
        <v>60402.0</v>
      </c>
      <c r="B250" s="98" t="s">
        <v>332</v>
      </c>
      <c r="C250" s="87">
        <v>583.0</v>
      </c>
      <c r="D250" s="87">
        <v>54.0</v>
      </c>
      <c r="E250" s="87">
        <v>645.0</v>
      </c>
      <c r="F250" s="88">
        <f t="shared" si="1"/>
        <v>91.52276295</v>
      </c>
      <c r="G250" s="87">
        <v>5490.0</v>
      </c>
      <c r="H250" s="89">
        <f t="shared" si="2"/>
        <v>11.74863388</v>
      </c>
      <c r="I250" s="90">
        <v>354.0</v>
      </c>
      <c r="J250" s="90">
        <v>9.0</v>
      </c>
      <c r="K250" s="87">
        <v>364.0</v>
      </c>
      <c r="L250" s="88">
        <f t="shared" si="3"/>
        <v>97.52066116</v>
      </c>
      <c r="M250" s="87">
        <v>4754.0</v>
      </c>
      <c r="N250" s="89">
        <f t="shared" si="4"/>
        <v>7.656710139</v>
      </c>
      <c r="O250" s="90"/>
      <c r="P250" s="90"/>
    </row>
    <row r="251">
      <c r="A251" s="85">
        <v>60501.0</v>
      </c>
      <c r="B251" s="98" t="s">
        <v>334</v>
      </c>
      <c r="C251" s="87">
        <v>2240.0</v>
      </c>
      <c r="D251" s="87">
        <v>171.0</v>
      </c>
      <c r="E251" s="87">
        <v>2491.0</v>
      </c>
      <c r="F251" s="88">
        <f t="shared" si="1"/>
        <v>92.90750726</v>
      </c>
      <c r="G251" s="87">
        <v>23863.0</v>
      </c>
      <c r="H251" s="89">
        <f t="shared" si="2"/>
        <v>10.43875456</v>
      </c>
      <c r="I251" s="90">
        <v>1873.0</v>
      </c>
      <c r="J251" s="90">
        <v>49.0</v>
      </c>
      <c r="K251" s="87">
        <v>1933.0</v>
      </c>
      <c r="L251" s="88">
        <f t="shared" si="3"/>
        <v>97.45057232</v>
      </c>
      <c r="M251" s="87">
        <v>30346.0</v>
      </c>
      <c r="N251" s="89">
        <f t="shared" si="4"/>
        <v>6.369867528</v>
      </c>
      <c r="O251" s="90"/>
      <c r="P251" s="90"/>
    </row>
    <row r="252">
      <c r="A252" s="85">
        <v>60502.0</v>
      </c>
      <c r="B252" s="98" t="s">
        <v>335</v>
      </c>
      <c r="C252" s="87">
        <v>1126.0</v>
      </c>
      <c r="D252" s="87">
        <v>62.0</v>
      </c>
      <c r="E252" s="87">
        <v>1216.0</v>
      </c>
      <c r="F252" s="88">
        <f t="shared" si="1"/>
        <v>94.78114478</v>
      </c>
      <c r="G252" s="87">
        <v>11354.0</v>
      </c>
      <c r="H252" s="89">
        <f t="shared" si="2"/>
        <v>10.70988198</v>
      </c>
      <c r="I252" s="90">
        <v>591.0</v>
      </c>
      <c r="J252" s="90">
        <v>11.0</v>
      </c>
      <c r="K252" s="87">
        <v>605.0</v>
      </c>
      <c r="L252" s="88">
        <f t="shared" si="3"/>
        <v>98.17275748</v>
      </c>
      <c r="M252" s="87">
        <v>9523.0</v>
      </c>
      <c r="N252" s="89">
        <f t="shared" si="4"/>
        <v>6.353040008</v>
      </c>
      <c r="O252" s="90"/>
      <c r="P252" s="90"/>
    </row>
    <row r="253">
      <c r="A253" s="85">
        <v>60601.0</v>
      </c>
      <c r="B253" s="98" t="s">
        <v>206</v>
      </c>
      <c r="C253" s="87">
        <v>2296.0</v>
      </c>
      <c r="D253" s="87">
        <v>204.0</v>
      </c>
      <c r="E253" s="87">
        <v>2630.0</v>
      </c>
      <c r="F253" s="88">
        <f t="shared" si="1"/>
        <v>91.84</v>
      </c>
      <c r="G253" s="87">
        <v>21991.0</v>
      </c>
      <c r="H253" s="89">
        <f t="shared" si="2"/>
        <v>11.95943795</v>
      </c>
      <c r="I253" s="90">
        <v>1474.0</v>
      </c>
      <c r="J253" s="90">
        <v>34.0</v>
      </c>
      <c r="K253" s="87">
        <v>1517.0</v>
      </c>
      <c r="L253" s="88">
        <f t="shared" si="3"/>
        <v>97.74535809</v>
      </c>
      <c r="M253" s="87">
        <v>20864.0</v>
      </c>
      <c r="N253" s="89">
        <f t="shared" si="4"/>
        <v>7.270897239</v>
      </c>
      <c r="O253" s="90"/>
      <c r="P253" s="90"/>
    </row>
    <row r="254">
      <c r="A254" s="85">
        <v>70101.0</v>
      </c>
      <c r="B254" s="98" t="s">
        <v>339</v>
      </c>
      <c r="C254" s="87">
        <v>126847.0</v>
      </c>
      <c r="D254" s="87">
        <v>23072.0</v>
      </c>
      <c r="E254" s="87">
        <v>151956.0</v>
      </c>
      <c r="F254" s="88">
        <f t="shared" si="1"/>
        <v>84.61035626</v>
      </c>
      <c r="G254" s="87">
        <v>1444425.0</v>
      </c>
      <c r="H254" s="89">
        <f t="shared" si="2"/>
        <v>10.52017239</v>
      </c>
      <c r="I254" s="90">
        <v>108758.0</v>
      </c>
      <c r="J254" s="90">
        <v>4336.0</v>
      </c>
      <c r="K254" s="87">
        <v>113880.0</v>
      </c>
      <c r="L254" s="88">
        <f t="shared" si="3"/>
        <v>96.16602119</v>
      </c>
      <c r="M254" s="87">
        <v>1610982.0</v>
      </c>
      <c r="N254" s="89">
        <f t="shared" si="4"/>
        <v>7.068980287</v>
      </c>
      <c r="O254" s="90"/>
      <c r="P254" s="90"/>
    </row>
    <row r="255">
      <c r="A255" s="85">
        <v>70102.0</v>
      </c>
      <c r="B255" s="98" t="s">
        <v>340</v>
      </c>
      <c r="C255" s="87">
        <v>5686.0</v>
      </c>
      <c r="D255" s="87">
        <v>1464.0</v>
      </c>
      <c r="E255" s="87">
        <v>7222.0</v>
      </c>
      <c r="F255" s="88">
        <f t="shared" si="1"/>
        <v>79.52447552</v>
      </c>
      <c r="G255" s="87">
        <v>55633.0</v>
      </c>
      <c r="H255" s="89">
        <f t="shared" si="2"/>
        <v>12.98150378</v>
      </c>
      <c r="I255" s="90">
        <v>9308.0</v>
      </c>
      <c r="J255" s="90">
        <v>423.0</v>
      </c>
      <c r="K255" s="87">
        <v>9820.0</v>
      </c>
      <c r="L255" s="88">
        <f t="shared" si="3"/>
        <v>95.65306752</v>
      </c>
      <c r="M255" s="87">
        <v>106603.0</v>
      </c>
      <c r="N255" s="89">
        <f t="shared" si="4"/>
        <v>9.211748262</v>
      </c>
      <c r="O255" s="90"/>
      <c r="P255" s="90"/>
    </row>
    <row r="256">
      <c r="A256" s="85">
        <v>70103.0</v>
      </c>
      <c r="B256" s="98" t="s">
        <v>341</v>
      </c>
      <c r="C256" s="87">
        <v>1484.0</v>
      </c>
      <c r="D256" s="87">
        <v>201.0</v>
      </c>
      <c r="E256" s="87">
        <v>1737.0</v>
      </c>
      <c r="F256" s="88">
        <f t="shared" si="1"/>
        <v>88.07121662</v>
      </c>
      <c r="G256" s="87">
        <v>15317.0</v>
      </c>
      <c r="H256" s="89">
        <f t="shared" si="2"/>
        <v>11.3403408</v>
      </c>
      <c r="I256" s="90">
        <v>1529.0</v>
      </c>
      <c r="J256" s="90">
        <v>48.0</v>
      </c>
      <c r="K256" s="87">
        <v>1596.0</v>
      </c>
      <c r="L256" s="88">
        <f t="shared" si="3"/>
        <v>96.95624604</v>
      </c>
      <c r="M256" s="87">
        <v>23126.0</v>
      </c>
      <c r="N256" s="89">
        <f t="shared" si="4"/>
        <v>6.901323186</v>
      </c>
      <c r="O256" s="90"/>
      <c r="P256" s="90"/>
    </row>
    <row r="257">
      <c r="A257" s="85">
        <v>70104.0</v>
      </c>
      <c r="B257" s="98" t="s">
        <v>342</v>
      </c>
      <c r="C257" s="87">
        <v>8734.0</v>
      </c>
      <c r="D257" s="87">
        <v>1484.0</v>
      </c>
      <c r="E257" s="87">
        <v>10343.0</v>
      </c>
      <c r="F257" s="88">
        <f t="shared" si="1"/>
        <v>85.4766099</v>
      </c>
      <c r="G257" s="87">
        <v>89284.0</v>
      </c>
      <c r="H257" s="89">
        <f t="shared" si="2"/>
        <v>11.58438242</v>
      </c>
      <c r="I257" s="90">
        <v>11762.0</v>
      </c>
      <c r="J257" s="90">
        <v>362.0</v>
      </c>
      <c r="K257" s="87">
        <v>12206.0</v>
      </c>
      <c r="L257" s="88">
        <f t="shared" si="3"/>
        <v>97.01418674</v>
      </c>
      <c r="M257" s="87">
        <v>147726.0</v>
      </c>
      <c r="N257" s="89">
        <f t="shared" si="4"/>
        <v>8.262594262</v>
      </c>
      <c r="O257" s="90"/>
      <c r="P257" s="90"/>
    </row>
    <row r="258">
      <c r="A258" s="85">
        <v>70105.0</v>
      </c>
      <c r="B258" s="98" t="s">
        <v>343</v>
      </c>
      <c r="C258" s="87">
        <v>4851.0</v>
      </c>
      <c r="D258" s="87">
        <v>678.0</v>
      </c>
      <c r="E258" s="87">
        <v>5598.0</v>
      </c>
      <c r="F258" s="88">
        <f t="shared" si="1"/>
        <v>87.7373847</v>
      </c>
      <c r="G258" s="87">
        <v>49652.0</v>
      </c>
      <c r="H258" s="89">
        <f t="shared" si="2"/>
        <v>11.27447031</v>
      </c>
      <c r="I258" s="90">
        <v>4246.0</v>
      </c>
      <c r="J258" s="90">
        <v>97.0</v>
      </c>
      <c r="K258" s="87">
        <v>4377.0</v>
      </c>
      <c r="L258" s="88">
        <f t="shared" si="3"/>
        <v>97.76652084</v>
      </c>
      <c r="M258" s="87">
        <v>55697.0</v>
      </c>
      <c r="N258" s="89">
        <f t="shared" si="4"/>
        <v>7.858592025</v>
      </c>
      <c r="O258" s="90"/>
      <c r="P258" s="90"/>
    </row>
    <row r="259">
      <c r="A259" s="85">
        <v>70201.0</v>
      </c>
      <c r="B259" s="98" t="s">
        <v>344</v>
      </c>
      <c r="C259" s="87">
        <v>9809.0</v>
      </c>
      <c r="D259" s="87">
        <v>2105.0</v>
      </c>
      <c r="E259" s="87">
        <v>12085.0</v>
      </c>
      <c r="F259" s="88">
        <f t="shared" si="1"/>
        <v>82.33171059</v>
      </c>
      <c r="G259" s="87">
        <v>96406.0</v>
      </c>
      <c r="H259" s="89">
        <f t="shared" si="2"/>
        <v>12.53552683</v>
      </c>
      <c r="I259" s="90">
        <v>12320.0</v>
      </c>
      <c r="J259" s="90">
        <v>548.0</v>
      </c>
      <c r="K259" s="87">
        <v>12983.0</v>
      </c>
      <c r="L259" s="88">
        <f t="shared" si="3"/>
        <v>95.74137395</v>
      </c>
      <c r="M259" s="87">
        <v>151248.0</v>
      </c>
      <c r="N259" s="89">
        <f t="shared" si="4"/>
        <v>8.583915159</v>
      </c>
      <c r="O259" s="90"/>
      <c r="P259" s="90"/>
    </row>
    <row r="260">
      <c r="A260" s="85">
        <v>70202.0</v>
      </c>
      <c r="B260" s="98" t="s">
        <v>345</v>
      </c>
      <c r="C260" s="87">
        <v>1383.0</v>
      </c>
      <c r="D260" s="87">
        <v>188.0</v>
      </c>
      <c r="E260" s="87">
        <v>1614.0</v>
      </c>
      <c r="F260" s="88">
        <f t="shared" si="1"/>
        <v>88.03309994</v>
      </c>
      <c r="G260" s="87">
        <v>12482.0</v>
      </c>
      <c r="H260" s="89">
        <f t="shared" si="2"/>
        <v>12.93062009</v>
      </c>
      <c r="I260" s="90">
        <v>886.0</v>
      </c>
      <c r="J260" s="90">
        <v>56.0</v>
      </c>
      <c r="K260" s="87">
        <v>952.0</v>
      </c>
      <c r="L260" s="88">
        <f t="shared" si="3"/>
        <v>94.0552017</v>
      </c>
      <c r="M260" s="87">
        <v>10665.0</v>
      </c>
      <c r="N260" s="89">
        <f t="shared" si="4"/>
        <v>8.926394749</v>
      </c>
      <c r="O260" s="90"/>
      <c r="P260" s="90"/>
    </row>
    <row r="261">
      <c r="A261" s="85">
        <v>70301.0</v>
      </c>
      <c r="B261" s="98" t="s">
        <v>347</v>
      </c>
      <c r="C261" s="87">
        <v>5482.0</v>
      </c>
      <c r="D261" s="87">
        <v>1505.0</v>
      </c>
      <c r="E261" s="87">
        <v>7118.0</v>
      </c>
      <c r="F261" s="88">
        <f t="shared" si="1"/>
        <v>78.45999714</v>
      </c>
      <c r="G261" s="87">
        <v>52362.0</v>
      </c>
      <c r="H261" s="89">
        <f t="shared" si="2"/>
        <v>13.59382758</v>
      </c>
      <c r="I261" s="90">
        <v>6464.0</v>
      </c>
      <c r="J261" s="90">
        <v>791.0</v>
      </c>
      <c r="K261" s="87">
        <v>7340.0</v>
      </c>
      <c r="L261" s="88">
        <f t="shared" si="3"/>
        <v>89.09717436</v>
      </c>
      <c r="M261" s="87">
        <v>67103.0</v>
      </c>
      <c r="N261" s="89">
        <f t="shared" si="4"/>
        <v>10.93840812</v>
      </c>
      <c r="O261" s="90"/>
      <c r="P261" s="90"/>
    </row>
    <row r="262">
      <c r="A262" s="85">
        <v>70302.0</v>
      </c>
      <c r="B262" s="98" t="s">
        <v>348</v>
      </c>
      <c r="C262" s="87">
        <v>1249.0</v>
      </c>
      <c r="D262" s="87">
        <v>152.0</v>
      </c>
      <c r="E262" s="87">
        <v>1425.0</v>
      </c>
      <c r="F262" s="88">
        <f t="shared" si="1"/>
        <v>89.15060671</v>
      </c>
      <c r="G262" s="87">
        <v>11327.0</v>
      </c>
      <c r="H262" s="89">
        <f t="shared" si="2"/>
        <v>12.58055972</v>
      </c>
      <c r="I262" s="90">
        <v>1221.0</v>
      </c>
      <c r="J262" s="90">
        <v>253.0</v>
      </c>
      <c r="K262" s="87">
        <v>1508.0</v>
      </c>
      <c r="L262" s="88">
        <f t="shared" si="3"/>
        <v>82.8358209</v>
      </c>
      <c r="M262" s="87">
        <v>15239.0</v>
      </c>
      <c r="N262" s="89">
        <f t="shared" si="4"/>
        <v>9.895662445</v>
      </c>
      <c r="O262" s="90"/>
      <c r="P262" s="90"/>
    </row>
    <row r="263">
      <c r="A263" s="85">
        <v>70303.0</v>
      </c>
      <c r="B263" s="98" t="s">
        <v>349</v>
      </c>
      <c r="C263" s="87">
        <v>690.0</v>
      </c>
      <c r="D263" s="87">
        <v>174.0</v>
      </c>
      <c r="E263" s="87">
        <v>880.0</v>
      </c>
      <c r="F263" s="88">
        <f t="shared" si="1"/>
        <v>79.86111111</v>
      </c>
      <c r="G263" s="87">
        <v>6139.0</v>
      </c>
      <c r="H263" s="89">
        <f t="shared" si="2"/>
        <v>14.33458218</v>
      </c>
      <c r="I263" s="90">
        <v>708.0</v>
      </c>
      <c r="J263" s="90">
        <v>119.0</v>
      </c>
      <c r="K263" s="87">
        <v>847.0</v>
      </c>
      <c r="L263" s="88">
        <f t="shared" si="3"/>
        <v>85.61064087</v>
      </c>
      <c r="M263" s="87">
        <v>8842.0</v>
      </c>
      <c r="N263" s="89">
        <f t="shared" si="4"/>
        <v>9.579280706</v>
      </c>
      <c r="O263" s="90"/>
      <c r="P263" s="90"/>
    </row>
    <row r="264">
      <c r="A264" s="85">
        <v>70401.0</v>
      </c>
      <c r="B264" s="98" t="s">
        <v>351</v>
      </c>
      <c r="C264" s="87">
        <v>1199.0</v>
      </c>
      <c r="D264" s="87">
        <v>259.0</v>
      </c>
      <c r="E264" s="87">
        <v>1478.0</v>
      </c>
      <c r="F264" s="88">
        <f t="shared" si="1"/>
        <v>82.23593964</v>
      </c>
      <c r="G264" s="87">
        <v>12879.0</v>
      </c>
      <c r="H264" s="89">
        <f t="shared" si="2"/>
        <v>11.47604628</v>
      </c>
      <c r="I264" s="90">
        <v>1054.0</v>
      </c>
      <c r="J264" s="90">
        <v>48.0</v>
      </c>
      <c r="K264" s="87">
        <v>1110.0</v>
      </c>
      <c r="L264" s="88">
        <f t="shared" si="3"/>
        <v>95.64428312</v>
      </c>
      <c r="M264" s="87">
        <v>13651.0</v>
      </c>
      <c r="N264" s="89">
        <f t="shared" si="4"/>
        <v>8.131272434</v>
      </c>
      <c r="O264" s="90"/>
      <c r="P264" s="90"/>
    </row>
    <row r="265">
      <c r="A265" s="85">
        <v>70402.0</v>
      </c>
      <c r="B265" s="98" t="s">
        <v>352</v>
      </c>
      <c r="C265" s="87">
        <v>2092.0</v>
      </c>
      <c r="D265" s="87">
        <v>263.0</v>
      </c>
      <c r="E265" s="87">
        <v>2435.0</v>
      </c>
      <c r="F265" s="88">
        <f t="shared" si="1"/>
        <v>88.83227176</v>
      </c>
      <c r="G265" s="87">
        <v>20093.0</v>
      </c>
      <c r="H265" s="89">
        <f t="shared" si="2"/>
        <v>12.11864829</v>
      </c>
      <c r="I265" s="90">
        <v>1464.0</v>
      </c>
      <c r="J265" s="90">
        <v>65.0</v>
      </c>
      <c r="K265" s="87">
        <v>1539.0</v>
      </c>
      <c r="L265" s="88">
        <f t="shared" si="3"/>
        <v>95.74885546</v>
      </c>
      <c r="M265" s="87">
        <v>18942.0</v>
      </c>
      <c r="N265" s="89">
        <f t="shared" si="4"/>
        <v>8.124802027</v>
      </c>
      <c r="O265" s="90"/>
      <c r="P265" s="90"/>
    </row>
    <row r="266">
      <c r="A266" s="85">
        <v>70403.0</v>
      </c>
      <c r="B266" s="98" t="s">
        <v>353</v>
      </c>
      <c r="C266" s="87">
        <v>4918.0</v>
      </c>
      <c r="D266" s="87">
        <v>951.0</v>
      </c>
      <c r="E266" s="87">
        <v>5963.0</v>
      </c>
      <c r="F266" s="88">
        <f t="shared" si="1"/>
        <v>83.79621741</v>
      </c>
      <c r="G266" s="87">
        <v>50558.0</v>
      </c>
      <c r="H266" s="89">
        <f t="shared" si="2"/>
        <v>11.79437478</v>
      </c>
      <c r="I266" s="90">
        <v>4421.0</v>
      </c>
      <c r="J266" s="90">
        <v>176.0</v>
      </c>
      <c r="K266" s="87">
        <v>4629.0</v>
      </c>
      <c r="L266" s="88">
        <f t="shared" si="3"/>
        <v>96.17141614</v>
      </c>
      <c r="M266" s="87">
        <v>57794.0</v>
      </c>
      <c r="N266" s="89">
        <f t="shared" si="4"/>
        <v>8.009481953</v>
      </c>
      <c r="O266" s="90"/>
      <c r="P266" s="90"/>
    </row>
    <row r="267">
      <c r="A267" s="85">
        <v>70404.0</v>
      </c>
      <c r="B267" s="98" t="s">
        <v>354</v>
      </c>
      <c r="C267" s="87">
        <v>977.0</v>
      </c>
      <c r="D267" s="87">
        <v>116.0</v>
      </c>
      <c r="E267" s="87">
        <v>1108.0</v>
      </c>
      <c r="F267" s="88">
        <f t="shared" si="1"/>
        <v>89.38700823</v>
      </c>
      <c r="G267" s="87">
        <v>9191.0</v>
      </c>
      <c r="H267" s="89">
        <f t="shared" si="2"/>
        <v>12.05527146</v>
      </c>
      <c r="I267" s="90">
        <v>833.0</v>
      </c>
      <c r="J267" s="90">
        <v>30.0</v>
      </c>
      <c r="K267" s="87">
        <v>868.0</v>
      </c>
      <c r="L267" s="88">
        <f t="shared" si="3"/>
        <v>96.52375435</v>
      </c>
      <c r="M267" s="87">
        <v>10200.0</v>
      </c>
      <c r="N267" s="89">
        <f t="shared" si="4"/>
        <v>8.509803922</v>
      </c>
      <c r="O267" s="90"/>
      <c r="P267" s="90"/>
    </row>
    <row r="268">
      <c r="A268" s="85">
        <v>70501.0</v>
      </c>
      <c r="B268" s="98" t="s">
        <v>356</v>
      </c>
      <c r="C268" s="87">
        <v>3256.0</v>
      </c>
      <c r="D268" s="87">
        <v>589.0</v>
      </c>
      <c r="E268" s="87">
        <v>3883.0</v>
      </c>
      <c r="F268" s="88">
        <f t="shared" si="1"/>
        <v>84.68140442</v>
      </c>
      <c r="G268" s="87">
        <v>28922.0</v>
      </c>
      <c r="H268" s="89">
        <f t="shared" si="2"/>
        <v>13.42576585</v>
      </c>
      <c r="I268" s="90">
        <v>3614.0</v>
      </c>
      <c r="J268" s="90">
        <v>1173.0</v>
      </c>
      <c r="K268" s="87">
        <v>4858.0</v>
      </c>
      <c r="L268" s="88">
        <f t="shared" si="3"/>
        <v>75.49613537</v>
      </c>
      <c r="M268" s="87">
        <v>40974.0</v>
      </c>
      <c r="N268" s="89">
        <f t="shared" si="4"/>
        <v>11.85629912</v>
      </c>
      <c r="O268" s="90"/>
      <c r="P268" s="90"/>
    </row>
    <row r="269">
      <c r="A269" s="85">
        <v>70502.0</v>
      </c>
      <c r="B269" s="98" t="s">
        <v>357</v>
      </c>
      <c r="C269" s="87">
        <v>4753.0</v>
      </c>
      <c r="D269" s="87">
        <v>1108.0</v>
      </c>
      <c r="E269" s="87">
        <v>5948.0</v>
      </c>
      <c r="F269" s="88">
        <f t="shared" si="1"/>
        <v>81.09537622</v>
      </c>
      <c r="G269" s="87">
        <v>37866.0</v>
      </c>
      <c r="H269" s="89">
        <f t="shared" si="2"/>
        <v>15.70802303</v>
      </c>
      <c r="I269" s="90">
        <v>6130.0</v>
      </c>
      <c r="J269" s="90">
        <v>1040.0</v>
      </c>
      <c r="K269" s="87">
        <v>7275.0</v>
      </c>
      <c r="L269" s="88">
        <f t="shared" si="3"/>
        <v>85.49511855</v>
      </c>
      <c r="M269" s="87">
        <v>54495.0</v>
      </c>
      <c r="N269" s="89">
        <f t="shared" si="4"/>
        <v>13.34984861</v>
      </c>
      <c r="O269" s="90"/>
      <c r="P269" s="90"/>
    </row>
    <row r="270">
      <c r="A270" s="85">
        <v>70503.0</v>
      </c>
      <c r="B270" s="98" t="s">
        <v>358</v>
      </c>
      <c r="C270" s="87">
        <v>1358.0</v>
      </c>
      <c r="D270" s="87">
        <v>170.0</v>
      </c>
      <c r="E270" s="87">
        <v>1539.0</v>
      </c>
      <c r="F270" s="88">
        <f t="shared" si="1"/>
        <v>88.87434555</v>
      </c>
      <c r="G270" s="87">
        <v>15641.0</v>
      </c>
      <c r="H270" s="89">
        <f t="shared" si="2"/>
        <v>9.839524327</v>
      </c>
      <c r="I270" s="90">
        <v>1471.0</v>
      </c>
      <c r="J270" s="90">
        <v>165.0</v>
      </c>
      <c r="K270" s="87">
        <v>1645.0</v>
      </c>
      <c r="L270" s="88">
        <f t="shared" si="3"/>
        <v>89.91442543</v>
      </c>
      <c r="M270" s="87">
        <v>18763.0</v>
      </c>
      <c r="N270" s="89">
        <f t="shared" si="4"/>
        <v>8.767254703</v>
      </c>
      <c r="O270" s="90"/>
      <c r="P270" s="90"/>
    </row>
    <row r="271">
      <c r="A271" s="85">
        <v>70601.0</v>
      </c>
      <c r="B271" s="98" t="s">
        <v>360</v>
      </c>
      <c r="C271" s="87">
        <v>1813.0</v>
      </c>
      <c r="D271" s="87">
        <v>295.0</v>
      </c>
      <c r="E271" s="87">
        <v>2142.0</v>
      </c>
      <c r="F271" s="88">
        <f t="shared" si="1"/>
        <v>86.0056926</v>
      </c>
      <c r="G271" s="87">
        <v>17885.0</v>
      </c>
      <c r="H271" s="89">
        <f t="shared" si="2"/>
        <v>11.97651663</v>
      </c>
      <c r="I271" s="90">
        <v>1633.0</v>
      </c>
      <c r="J271" s="90">
        <v>73.0</v>
      </c>
      <c r="K271" s="87">
        <v>1723.0</v>
      </c>
      <c r="L271" s="88">
        <f t="shared" si="3"/>
        <v>95.72098476</v>
      </c>
      <c r="M271" s="87">
        <v>20743.0</v>
      </c>
      <c r="N271" s="89">
        <f t="shared" si="4"/>
        <v>8.306416622</v>
      </c>
      <c r="O271" s="90"/>
      <c r="P271" s="90"/>
    </row>
    <row r="272">
      <c r="A272" s="85">
        <v>70602.0</v>
      </c>
      <c r="B272" s="98" t="s">
        <v>361</v>
      </c>
      <c r="C272" s="87">
        <v>1866.0</v>
      </c>
      <c r="D272" s="87">
        <v>410.0</v>
      </c>
      <c r="E272" s="87">
        <v>2313.0</v>
      </c>
      <c r="F272" s="88">
        <f t="shared" si="1"/>
        <v>81.98594025</v>
      </c>
      <c r="G272" s="87">
        <v>19217.0</v>
      </c>
      <c r="H272" s="89">
        <f t="shared" si="2"/>
        <v>12.03621793</v>
      </c>
      <c r="I272" s="90">
        <v>1319.0</v>
      </c>
      <c r="J272" s="90">
        <v>51.0</v>
      </c>
      <c r="K272" s="87">
        <v>1376.0</v>
      </c>
      <c r="L272" s="88">
        <f t="shared" si="3"/>
        <v>96.27737226</v>
      </c>
      <c r="M272" s="87">
        <v>17999.0</v>
      </c>
      <c r="N272" s="89">
        <f t="shared" si="4"/>
        <v>7.644869159</v>
      </c>
      <c r="O272" s="90"/>
      <c r="P272" s="90"/>
    </row>
    <row r="273">
      <c r="A273" s="85">
        <v>70603.0</v>
      </c>
      <c r="B273" s="98" t="s">
        <v>362</v>
      </c>
      <c r="C273" s="87">
        <v>733.0</v>
      </c>
      <c r="D273" s="87">
        <v>72.0</v>
      </c>
      <c r="E273" s="87">
        <v>812.0</v>
      </c>
      <c r="F273" s="88">
        <f t="shared" si="1"/>
        <v>91.05590062</v>
      </c>
      <c r="G273" s="87">
        <v>6069.0</v>
      </c>
      <c r="H273" s="89">
        <f t="shared" si="2"/>
        <v>13.37946943</v>
      </c>
      <c r="I273" s="90">
        <v>444.0</v>
      </c>
      <c r="J273" s="90">
        <v>30.0</v>
      </c>
      <c r="K273" s="87">
        <v>481.0</v>
      </c>
      <c r="L273" s="88">
        <f t="shared" si="3"/>
        <v>93.67088608</v>
      </c>
      <c r="M273" s="87">
        <v>6007.0</v>
      </c>
      <c r="N273" s="89">
        <f t="shared" si="4"/>
        <v>8.007324788</v>
      </c>
      <c r="O273" s="90"/>
      <c r="P273" s="90"/>
    </row>
    <row r="274">
      <c r="A274" s="85">
        <v>70701.0</v>
      </c>
      <c r="B274" s="98" t="s">
        <v>364</v>
      </c>
      <c r="C274" s="87">
        <v>483.0</v>
      </c>
      <c r="D274" s="87">
        <v>148.0</v>
      </c>
      <c r="E274" s="87">
        <v>640.0</v>
      </c>
      <c r="F274" s="88">
        <f t="shared" si="1"/>
        <v>76.5451664</v>
      </c>
      <c r="G274" s="87">
        <v>5366.0</v>
      </c>
      <c r="H274" s="89">
        <f t="shared" si="2"/>
        <v>11.92694745</v>
      </c>
      <c r="I274" s="90">
        <v>543.0</v>
      </c>
      <c r="J274" s="90">
        <v>17.0</v>
      </c>
      <c r="K274" s="87">
        <v>567.0</v>
      </c>
      <c r="L274" s="88">
        <f t="shared" si="3"/>
        <v>96.96428571</v>
      </c>
      <c r="M274" s="87">
        <v>5946.0</v>
      </c>
      <c r="N274" s="89">
        <f t="shared" si="4"/>
        <v>9.535822402</v>
      </c>
      <c r="O274" s="90"/>
      <c r="P274" s="90"/>
    </row>
    <row r="275">
      <c r="A275" s="85">
        <v>70702.0</v>
      </c>
      <c r="B275" s="98" t="s">
        <v>365</v>
      </c>
      <c r="C275" s="87">
        <v>3550.0</v>
      </c>
      <c r="D275" s="87">
        <v>1130.0</v>
      </c>
      <c r="E275" s="87">
        <v>4762.0</v>
      </c>
      <c r="F275" s="88">
        <f t="shared" si="1"/>
        <v>75.85470085</v>
      </c>
      <c r="G275" s="87">
        <v>32186.0</v>
      </c>
      <c r="H275" s="89">
        <f t="shared" si="2"/>
        <v>14.79525259</v>
      </c>
      <c r="I275" s="90">
        <v>3719.0</v>
      </c>
      <c r="J275" s="90">
        <v>509.0</v>
      </c>
      <c r="K275" s="87">
        <v>4341.0</v>
      </c>
      <c r="L275" s="88">
        <f t="shared" si="3"/>
        <v>87.96121097</v>
      </c>
      <c r="M275" s="87">
        <v>38420.0</v>
      </c>
      <c r="N275" s="89">
        <f t="shared" si="4"/>
        <v>11.29880271</v>
      </c>
      <c r="O275" s="90"/>
      <c r="P275" s="90"/>
    </row>
    <row r="276">
      <c r="A276" s="85">
        <v>70703.0</v>
      </c>
      <c r="B276" s="98" t="s">
        <v>366</v>
      </c>
      <c r="C276" s="87">
        <v>2877.0</v>
      </c>
      <c r="D276" s="87">
        <v>698.0</v>
      </c>
      <c r="E276" s="87">
        <v>3629.0</v>
      </c>
      <c r="F276" s="88">
        <f t="shared" si="1"/>
        <v>80.47552448</v>
      </c>
      <c r="G276" s="87">
        <v>26434.0</v>
      </c>
      <c r="H276" s="89">
        <f t="shared" si="2"/>
        <v>13.72853144</v>
      </c>
      <c r="I276" s="90">
        <v>3059.0</v>
      </c>
      <c r="J276" s="90">
        <v>436.0</v>
      </c>
      <c r="K276" s="87">
        <v>3546.0</v>
      </c>
      <c r="L276" s="88">
        <f t="shared" si="3"/>
        <v>87.52503577</v>
      </c>
      <c r="M276" s="87">
        <v>32961.0</v>
      </c>
      <c r="N276" s="89">
        <f t="shared" si="4"/>
        <v>10.75816874</v>
      </c>
      <c r="O276" s="90"/>
      <c r="P276" s="90"/>
    </row>
    <row r="277">
      <c r="A277" s="85">
        <v>70704.0</v>
      </c>
      <c r="B277" s="98" t="s">
        <v>367</v>
      </c>
      <c r="C277" s="87">
        <v>530.0</v>
      </c>
      <c r="D277" s="87">
        <v>97.0</v>
      </c>
      <c r="E277" s="87">
        <v>641.0</v>
      </c>
      <c r="F277" s="88">
        <f t="shared" si="1"/>
        <v>84.52950558</v>
      </c>
      <c r="G277" s="87">
        <v>5052.0</v>
      </c>
      <c r="H277" s="89">
        <f t="shared" si="2"/>
        <v>12.68804434</v>
      </c>
      <c r="I277" s="90">
        <v>362.0</v>
      </c>
      <c r="J277" s="90">
        <v>7.0</v>
      </c>
      <c r="K277" s="87">
        <v>379.0</v>
      </c>
      <c r="L277" s="88">
        <f t="shared" si="3"/>
        <v>98.10298103</v>
      </c>
      <c r="M277" s="87">
        <v>5335.0</v>
      </c>
      <c r="N277" s="89">
        <f t="shared" si="4"/>
        <v>7.104029991</v>
      </c>
      <c r="O277" s="90"/>
      <c r="P277" s="90"/>
    </row>
    <row r="278">
      <c r="A278" s="85">
        <v>70705.0</v>
      </c>
      <c r="B278" s="98" t="s">
        <v>368</v>
      </c>
      <c r="C278" s="87">
        <v>1403.0</v>
      </c>
      <c r="D278" s="87">
        <v>309.0</v>
      </c>
      <c r="E278" s="87">
        <v>1733.0</v>
      </c>
      <c r="F278" s="88">
        <f t="shared" si="1"/>
        <v>81.95093458</v>
      </c>
      <c r="G278" s="87">
        <v>12273.0</v>
      </c>
      <c r="H278" s="89">
        <f t="shared" si="2"/>
        <v>14.12042695</v>
      </c>
      <c r="I278" s="90">
        <v>1486.0</v>
      </c>
      <c r="J278" s="90">
        <v>85.0</v>
      </c>
      <c r="K278" s="87">
        <v>1602.0</v>
      </c>
      <c r="L278" s="88">
        <f t="shared" si="3"/>
        <v>94.58943348</v>
      </c>
      <c r="M278" s="87">
        <v>14389.0</v>
      </c>
      <c r="N278" s="89">
        <f t="shared" si="4"/>
        <v>11.13350476</v>
      </c>
      <c r="O278" s="90"/>
      <c r="P278" s="90"/>
    </row>
    <row r="279">
      <c r="A279" s="85">
        <v>70706.0</v>
      </c>
      <c r="B279" s="98" t="s">
        <v>369</v>
      </c>
      <c r="C279" s="87">
        <v>2962.0</v>
      </c>
      <c r="D279" s="87">
        <v>387.0</v>
      </c>
      <c r="E279" s="87">
        <v>3380.0</v>
      </c>
      <c r="F279" s="88">
        <f t="shared" si="1"/>
        <v>88.44431173</v>
      </c>
      <c r="G279" s="87">
        <v>33838.0</v>
      </c>
      <c r="H279" s="89">
        <f t="shared" si="2"/>
        <v>9.988770022</v>
      </c>
      <c r="I279" s="90">
        <v>2171.0</v>
      </c>
      <c r="J279" s="90">
        <v>39.0</v>
      </c>
      <c r="K279" s="87">
        <v>2222.0</v>
      </c>
      <c r="L279" s="88">
        <f t="shared" si="3"/>
        <v>98.23529412</v>
      </c>
      <c r="M279" s="87">
        <v>32285.0</v>
      </c>
      <c r="N279" s="89">
        <f t="shared" si="4"/>
        <v>6.882453152</v>
      </c>
      <c r="O279" s="90"/>
      <c r="P279" s="90"/>
    </row>
    <row r="280">
      <c r="A280" s="85">
        <v>70707.0</v>
      </c>
      <c r="B280" s="98" t="s">
        <v>370</v>
      </c>
      <c r="C280" s="87">
        <v>422.0</v>
      </c>
      <c r="D280" s="87">
        <v>114.0</v>
      </c>
      <c r="E280" s="87">
        <v>539.0</v>
      </c>
      <c r="F280" s="88">
        <f t="shared" si="1"/>
        <v>78.73134328</v>
      </c>
      <c r="G280" s="87">
        <v>5087.0</v>
      </c>
      <c r="H280" s="89">
        <f t="shared" si="2"/>
        <v>10.59563593</v>
      </c>
      <c r="I280" s="90">
        <v>474.0</v>
      </c>
      <c r="J280" s="90">
        <v>105.0</v>
      </c>
      <c r="K280" s="87">
        <v>591.0</v>
      </c>
      <c r="L280" s="88">
        <f t="shared" si="3"/>
        <v>81.86528497</v>
      </c>
      <c r="M280" s="87">
        <v>5612.0</v>
      </c>
      <c r="N280" s="89">
        <f t="shared" si="4"/>
        <v>10.53100499</v>
      </c>
      <c r="O280" s="90"/>
      <c r="P280" s="90"/>
    </row>
    <row r="281">
      <c r="A281" s="85">
        <v>70801.0</v>
      </c>
      <c r="B281" s="98" t="s">
        <v>372</v>
      </c>
      <c r="C281" s="87">
        <v>1533.0</v>
      </c>
      <c r="D281" s="87">
        <v>143.0</v>
      </c>
      <c r="E281" s="87">
        <v>1721.0</v>
      </c>
      <c r="F281" s="88">
        <f t="shared" si="1"/>
        <v>91.46778043</v>
      </c>
      <c r="G281" s="87">
        <v>17208.0</v>
      </c>
      <c r="H281" s="89">
        <f t="shared" si="2"/>
        <v>10.00116225</v>
      </c>
      <c r="I281" s="90">
        <v>1064.0</v>
      </c>
      <c r="J281" s="90">
        <v>10.0</v>
      </c>
      <c r="K281" s="87">
        <v>1081.0</v>
      </c>
      <c r="L281" s="88">
        <f t="shared" si="3"/>
        <v>99.0689013</v>
      </c>
      <c r="M281" s="87">
        <v>17249.0</v>
      </c>
      <c r="N281" s="89">
        <f t="shared" si="4"/>
        <v>6.267029973</v>
      </c>
      <c r="O281" s="90"/>
      <c r="P281" s="90"/>
    </row>
    <row r="282">
      <c r="A282" s="85">
        <v>70802.0</v>
      </c>
      <c r="B282" s="98" t="s">
        <v>373</v>
      </c>
      <c r="C282" s="87">
        <v>200.0</v>
      </c>
      <c r="D282" s="87">
        <v>38.0</v>
      </c>
      <c r="E282" s="87">
        <v>240.0</v>
      </c>
      <c r="F282" s="88">
        <f t="shared" si="1"/>
        <v>84.03361345</v>
      </c>
      <c r="G282" s="87">
        <v>2135.0</v>
      </c>
      <c r="H282" s="89">
        <f t="shared" si="2"/>
        <v>11.2412178</v>
      </c>
      <c r="I282" s="90">
        <v>135.0</v>
      </c>
      <c r="J282" s="90">
        <v>4.0</v>
      </c>
      <c r="K282" s="87">
        <v>142.0</v>
      </c>
      <c r="L282" s="88">
        <f t="shared" si="3"/>
        <v>97.12230216</v>
      </c>
      <c r="M282" s="87">
        <v>2359.0</v>
      </c>
      <c r="N282" s="89">
        <f t="shared" si="4"/>
        <v>6.019499788</v>
      </c>
      <c r="O282" s="90"/>
      <c r="P282" s="90"/>
    </row>
    <row r="283">
      <c r="A283" s="85">
        <v>70803.0</v>
      </c>
      <c r="B283" s="98" t="s">
        <v>374</v>
      </c>
      <c r="C283" s="87">
        <v>245.0</v>
      </c>
      <c r="D283" s="87">
        <v>17.0</v>
      </c>
      <c r="E283" s="87">
        <v>264.0</v>
      </c>
      <c r="F283" s="88">
        <f t="shared" si="1"/>
        <v>93.51145038</v>
      </c>
      <c r="G283" s="87">
        <v>2767.0</v>
      </c>
      <c r="H283" s="89">
        <f t="shared" si="2"/>
        <v>9.541019154</v>
      </c>
      <c r="I283" s="90">
        <v>174.0</v>
      </c>
      <c r="J283" s="90">
        <v>1.0</v>
      </c>
      <c r="K283" s="87">
        <v>176.0</v>
      </c>
      <c r="L283" s="88">
        <f t="shared" si="3"/>
        <v>99.42857143</v>
      </c>
      <c r="M283" s="87">
        <v>2793.0</v>
      </c>
      <c r="N283" s="89">
        <f t="shared" si="4"/>
        <v>6.301467956</v>
      </c>
      <c r="O283" s="90"/>
      <c r="P283" s="90"/>
    </row>
    <row r="284">
      <c r="A284" s="85">
        <v>70804.0</v>
      </c>
      <c r="B284" s="98" t="s">
        <v>375</v>
      </c>
      <c r="C284" s="87">
        <v>210.0</v>
      </c>
      <c r="D284" s="87">
        <v>43.0</v>
      </c>
      <c r="E284" s="87">
        <v>259.0</v>
      </c>
      <c r="F284" s="88">
        <f t="shared" si="1"/>
        <v>83.00395257</v>
      </c>
      <c r="G284" s="87">
        <v>2390.0</v>
      </c>
      <c r="H284" s="89">
        <f t="shared" si="2"/>
        <v>10.83682008</v>
      </c>
      <c r="I284" s="90">
        <v>105.0</v>
      </c>
      <c r="J284" s="90">
        <v>5.0</v>
      </c>
      <c r="K284" s="87">
        <v>111.0</v>
      </c>
      <c r="L284" s="88">
        <f t="shared" si="3"/>
        <v>95.45454545</v>
      </c>
      <c r="M284" s="87">
        <v>1806.0</v>
      </c>
      <c r="N284" s="89">
        <f t="shared" si="4"/>
        <v>6.146179402</v>
      </c>
      <c r="O284" s="90"/>
      <c r="P284" s="90"/>
    </row>
    <row r="285">
      <c r="A285" s="85">
        <v>70805.0</v>
      </c>
      <c r="B285" s="98" t="s">
        <v>376</v>
      </c>
      <c r="C285" s="87">
        <v>193.0</v>
      </c>
      <c r="D285" s="87">
        <v>18.0</v>
      </c>
      <c r="E285" s="87">
        <v>212.0</v>
      </c>
      <c r="F285" s="88">
        <f t="shared" si="1"/>
        <v>91.46919431</v>
      </c>
      <c r="G285" s="87">
        <v>2076.0</v>
      </c>
      <c r="H285" s="89">
        <f t="shared" si="2"/>
        <v>10.21194605</v>
      </c>
      <c r="I285" s="90">
        <v>140.0</v>
      </c>
      <c r="J285" s="90">
        <v>1.0</v>
      </c>
      <c r="K285" s="87">
        <v>141.0</v>
      </c>
      <c r="L285" s="88">
        <f t="shared" si="3"/>
        <v>99.29078014</v>
      </c>
      <c r="M285" s="87">
        <v>2015.0</v>
      </c>
      <c r="N285" s="89">
        <f t="shared" si="4"/>
        <v>6.99751861</v>
      </c>
      <c r="O285" s="90"/>
      <c r="P285" s="90"/>
    </row>
    <row r="286">
      <c r="A286" s="85">
        <v>70901.0</v>
      </c>
      <c r="B286" s="98" t="s">
        <v>378</v>
      </c>
      <c r="C286" s="87">
        <v>988.0</v>
      </c>
      <c r="D286" s="87">
        <v>106.0</v>
      </c>
      <c r="E286" s="87">
        <v>1111.0</v>
      </c>
      <c r="F286" s="88">
        <f t="shared" si="1"/>
        <v>90.31078611</v>
      </c>
      <c r="G286" s="87">
        <v>10472.0</v>
      </c>
      <c r="H286" s="89">
        <f t="shared" si="2"/>
        <v>10.6092437</v>
      </c>
      <c r="I286" s="90">
        <v>800.0</v>
      </c>
      <c r="J286" s="90">
        <v>34.0</v>
      </c>
      <c r="K286" s="87">
        <v>849.0</v>
      </c>
      <c r="L286" s="88">
        <f t="shared" si="3"/>
        <v>95.92326139</v>
      </c>
      <c r="M286" s="87">
        <v>11843.0</v>
      </c>
      <c r="N286" s="89">
        <f t="shared" si="4"/>
        <v>7.168791691</v>
      </c>
      <c r="O286" s="90"/>
      <c r="P286" s="90"/>
    </row>
    <row r="287">
      <c r="A287" s="85">
        <v>70902.0</v>
      </c>
      <c r="B287" s="98" t="s">
        <v>379</v>
      </c>
      <c r="C287" s="87">
        <v>872.0</v>
      </c>
      <c r="D287" s="87">
        <v>131.0</v>
      </c>
      <c r="E287" s="87">
        <v>1008.0</v>
      </c>
      <c r="F287" s="88">
        <f t="shared" si="1"/>
        <v>86.93918245</v>
      </c>
      <c r="G287" s="87">
        <v>9198.0</v>
      </c>
      <c r="H287" s="89">
        <f t="shared" si="2"/>
        <v>10.95890411</v>
      </c>
      <c r="I287" s="90">
        <v>851.0</v>
      </c>
      <c r="J287" s="90">
        <v>33.0</v>
      </c>
      <c r="K287" s="87">
        <v>888.0</v>
      </c>
      <c r="L287" s="88">
        <f t="shared" si="3"/>
        <v>96.26696833</v>
      </c>
      <c r="M287" s="87">
        <v>9692.0</v>
      </c>
      <c r="N287" s="89">
        <f t="shared" si="4"/>
        <v>9.162195625</v>
      </c>
      <c r="O287" s="90"/>
      <c r="P287" s="90"/>
    </row>
    <row r="288">
      <c r="A288" s="85">
        <v>70903.0</v>
      </c>
      <c r="B288" s="98" t="s">
        <v>380</v>
      </c>
      <c r="C288" s="87">
        <v>1064.0</v>
      </c>
      <c r="D288" s="87">
        <v>127.0</v>
      </c>
      <c r="E288" s="87">
        <v>1203.0</v>
      </c>
      <c r="F288" s="88">
        <f t="shared" si="1"/>
        <v>89.33669186</v>
      </c>
      <c r="G288" s="87">
        <v>10177.0</v>
      </c>
      <c r="H288" s="89">
        <f t="shared" si="2"/>
        <v>11.82077233</v>
      </c>
      <c r="I288" s="90">
        <v>1061.0</v>
      </c>
      <c r="J288" s="90">
        <v>32.0</v>
      </c>
      <c r="K288" s="87">
        <v>1102.0</v>
      </c>
      <c r="L288" s="88">
        <f t="shared" si="3"/>
        <v>97.07227813</v>
      </c>
      <c r="M288" s="87">
        <v>12735.0</v>
      </c>
      <c r="N288" s="89">
        <f t="shared" si="4"/>
        <v>8.653317629</v>
      </c>
      <c r="O288" s="90"/>
      <c r="P288" s="90"/>
    </row>
    <row r="289">
      <c r="A289" s="85">
        <v>70904.0</v>
      </c>
      <c r="B289" s="98" t="s">
        <v>381</v>
      </c>
      <c r="C289" s="87">
        <v>287.0</v>
      </c>
      <c r="D289" s="87">
        <v>33.0</v>
      </c>
      <c r="E289" s="87">
        <v>327.0</v>
      </c>
      <c r="F289" s="88">
        <f t="shared" si="1"/>
        <v>89.6875</v>
      </c>
      <c r="G289" s="87">
        <v>2995.0</v>
      </c>
      <c r="H289" s="89">
        <f t="shared" si="2"/>
        <v>10.91819699</v>
      </c>
      <c r="I289" s="90">
        <v>181.0</v>
      </c>
      <c r="J289" s="90">
        <v>12.0</v>
      </c>
      <c r="K289" s="87">
        <v>194.0</v>
      </c>
      <c r="L289" s="88">
        <f t="shared" si="3"/>
        <v>93.78238342</v>
      </c>
      <c r="M289" s="87">
        <v>3086.0</v>
      </c>
      <c r="N289" s="89">
        <f t="shared" si="4"/>
        <v>6.286454958</v>
      </c>
      <c r="O289" s="90"/>
      <c r="P289" s="90"/>
    </row>
    <row r="290">
      <c r="A290" s="85">
        <v>71001.0</v>
      </c>
      <c r="B290" s="98" t="s">
        <v>383</v>
      </c>
      <c r="C290" s="87">
        <v>10362.0</v>
      </c>
      <c r="D290" s="87">
        <v>1523.0</v>
      </c>
      <c r="E290" s="87">
        <v>12020.0</v>
      </c>
      <c r="F290" s="88">
        <f t="shared" si="1"/>
        <v>87.18552798</v>
      </c>
      <c r="G290" s="87">
        <v>109518.0</v>
      </c>
      <c r="H290" s="89">
        <f t="shared" si="2"/>
        <v>10.97536478</v>
      </c>
      <c r="I290" s="90">
        <v>10307.0</v>
      </c>
      <c r="J290" s="90">
        <v>253.0</v>
      </c>
      <c r="K290" s="87">
        <v>10637.0</v>
      </c>
      <c r="L290" s="88">
        <f t="shared" si="3"/>
        <v>97.60416667</v>
      </c>
      <c r="M290" s="87">
        <v>126886.0</v>
      </c>
      <c r="N290" s="89">
        <f t="shared" si="4"/>
        <v>8.383115553</v>
      </c>
      <c r="O290" s="90"/>
      <c r="P290" s="90"/>
    </row>
    <row r="291">
      <c r="A291" s="85">
        <v>71002.0</v>
      </c>
      <c r="B291" s="98" t="s">
        <v>384</v>
      </c>
      <c r="C291" s="87">
        <v>1425.0</v>
      </c>
      <c r="D291" s="87">
        <v>290.0</v>
      </c>
      <c r="E291" s="87">
        <v>1744.0</v>
      </c>
      <c r="F291" s="88">
        <f t="shared" si="1"/>
        <v>83.09037901</v>
      </c>
      <c r="G291" s="87">
        <v>14209.0</v>
      </c>
      <c r="H291" s="89">
        <f t="shared" si="2"/>
        <v>12.2739109</v>
      </c>
      <c r="I291" s="90">
        <v>1427.0</v>
      </c>
      <c r="J291" s="90">
        <v>89.0</v>
      </c>
      <c r="K291" s="87">
        <v>1540.0</v>
      </c>
      <c r="L291" s="88">
        <f t="shared" si="3"/>
        <v>94.1292876</v>
      </c>
      <c r="M291" s="87">
        <v>16598.0</v>
      </c>
      <c r="N291" s="89">
        <f t="shared" si="4"/>
        <v>9.278226292</v>
      </c>
      <c r="O291" s="90"/>
      <c r="P291" s="90"/>
    </row>
    <row r="292">
      <c r="A292" s="85">
        <v>71003.0</v>
      </c>
      <c r="B292" s="98" t="s">
        <v>385</v>
      </c>
      <c r="C292" s="87">
        <v>2471.0</v>
      </c>
      <c r="D292" s="87">
        <v>480.0</v>
      </c>
      <c r="E292" s="87">
        <v>2989.0</v>
      </c>
      <c r="F292" s="88">
        <f t="shared" si="1"/>
        <v>83.73432735</v>
      </c>
      <c r="G292" s="87">
        <v>23251.0</v>
      </c>
      <c r="H292" s="89">
        <f t="shared" si="2"/>
        <v>12.85536106</v>
      </c>
      <c r="I292" s="90">
        <v>1987.0</v>
      </c>
      <c r="J292" s="90">
        <v>96.0</v>
      </c>
      <c r="K292" s="87">
        <v>2097.0</v>
      </c>
      <c r="L292" s="88">
        <f t="shared" si="3"/>
        <v>95.3912626</v>
      </c>
      <c r="M292" s="87">
        <v>23110.0</v>
      </c>
      <c r="N292" s="89">
        <f t="shared" si="4"/>
        <v>9.073993942</v>
      </c>
      <c r="O292" s="90"/>
      <c r="P292" s="90"/>
    </row>
    <row r="293">
      <c r="A293" s="85">
        <v>71004.0</v>
      </c>
      <c r="B293" s="98" t="s">
        <v>386</v>
      </c>
      <c r="C293" s="87">
        <v>1446.0</v>
      </c>
      <c r="D293" s="87">
        <v>265.0</v>
      </c>
      <c r="E293" s="87">
        <v>1736.0</v>
      </c>
      <c r="F293" s="88">
        <f t="shared" si="1"/>
        <v>84.5119813</v>
      </c>
      <c r="G293" s="87">
        <v>15117.0</v>
      </c>
      <c r="H293" s="89">
        <f t="shared" si="2"/>
        <v>11.48376001</v>
      </c>
      <c r="I293" s="90">
        <v>1095.0</v>
      </c>
      <c r="J293" s="90">
        <v>43.0</v>
      </c>
      <c r="K293" s="87">
        <v>1149.0</v>
      </c>
      <c r="L293" s="88">
        <f t="shared" si="3"/>
        <v>96.22144112</v>
      </c>
      <c r="M293" s="87">
        <v>14610.0</v>
      </c>
      <c r="N293" s="89">
        <f t="shared" si="4"/>
        <v>7.864476386</v>
      </c>
      <c r="O293" s="90"/>
      <c r="P293" s="90"/>
    </row>
    <row r="294">
      <c r="A294" s="85">
        <v>71005.0</v>
      </c>
      <c r="B294" s="98" t="s">
        <v>285</v>
      </c>
      <c r="C294" s="87">
        <v>1766.0</v>
      </c>
      <c r="D294" s="87">
        <v>353.0</v>
      </c>
      <c r="E294" s="87">
        <v>2145.0</v>
      </c>
      <c r="F294" s="88">
        <f t="shared" si="1"/>
        <v>83.34119868</v>
      </c>
      <c r="G294" s="87">
        <v>19103.0</v>
      </c>
      <c r="H294" s="89">
        <f t="shared" si="2"/>
        <v>11.22860284</v>
      </c>
      <c r="I294" s="90">
        <v>1175.0</v>
      </c>
      <c r="J294" s="90">
        <v>52.0</v>
      </c>
      <c r="K294" s="87">
        <v>1235.0</v>
      </c>
      <c r="L294" s="88">
        <f t="shared" si="3"/>
        <v>95.76202119</v>
      </c>
      <c r="M294" s="87">
        <v>15246.0</v>
      </c>
      <c r="N294" s="89">
        <f t="shared" si="4"/>
        <v>8.100485373</v>
      </c>
      <c r="O294" s="90"/>
      <c r="P294" s="90"/>
    </row>
    <row r="295">
      <c r="A295" s="85">
        <v>71101.0</v>
      </c>
      <c r="B295" s="98" t="s">
        <v>388</v>
      </c>
      <c r="C295" s="87">
        <v>1858.0</v>
      </c>
      <c r="D295" s="87">
        <v>569.0</v>
      </c>
      <c r="E295" s="87">
        <v>2447.0</v>
      </c>
      <c r="F295" s="88">
        <f t="shared" si="1"/>
        <v>76.55541821</v>
      </c>
      <c r="G295" s="87">
        <v>18800.0</v>
      </c>
      <c r="H295" s="89">
        <f t="shared" si="2"/>
        <v>13.01595745</v>
      </c>
      <c r="I295" s="90">
        <v>2725.0</v>
      </c>
      <c r="J295" s="90">
        <v>266.0</v>
      </c>
      <c r="K295" s="87">
        <v>3040.0</v>
      </c>
      <c r="L295" s="88">
        <f t="shared" si="3"/>
        <v>91.10665329</v>
      </c>
      <c r="M295" s="87">
        <v>30118.0</v>
      </c>
      <c r="N295" s="89">
        <f t="shared" si="4"/>
        <v>10.09363172</v>
      </c>
      <c r="O295" s="90"/>
      <c r="P295" s="90"/>
    </row>
    <row r="296">
      <c r="A296" s="85">
        <v>71102.0</v>
      </c>
      <c r="B296" s="98" t="s">
        <v>389</v>
      </c>
      <c r="C296" s="87">
        <v>1220.0</v>
      </c>
      <c r="D296" s="87">
        <v>555.0</v>
      </c>
      <c r="E296" s="87">
        <v>1788.0</v>
      </c>
      <c r="F296" s="88">
        <f t="shared" si="1"/>
        <v>68.73239437</v>
      </c>
      <c r="G296" s="87">
        <v>13620.0</v>
      </c>
      <c r="H296" s="89">
        <f t="shared" si="2"/>
        <v>13.1277533</v>
      </c>
      <c r="I296" s="90">
        <v>1397.0</v>
      </c>
      <c r="J296" s="90">
        <v>139.0</v>
      </c>
      <c r="K296" s="87">
        <v>1557.0</v>
      </c>
      <c r="L296" s="88">
        <f t="shared" si="3"/>
        <v>90.95052083</v>
      </c>
      <c r="M296" s="87">
        <v>14888.0</v>
      </c>
      <c r="N296" s="89">
        <f t="shared" si="4"/>
        <v>10.45808705</v>
      </c>
      <c r="O296" s="90"/>
      <c r="P296" s="90"/>
    </row>
    <row r="297">
      <c r="A297" s="85">
        <v>71103.0</v>
      </c>
      <c r="B297" s="98" t="s">
        <v>392</v>
      </c>
      <c r="C297" s="87">
        <v>653.0</v>
      </c>
      <c r="D297" s="87">
        <v>243.0</v>
      </c>
      <c r="E297" s="87">
        <v>913.0</v>
      </c>
      <c r="F297" s="88">
        <f t="shared" si="1"/>
        <v>72.87946429</v>
      </c>
      <c r="G297" s="87">
        <v>7490.0</v>
      </c>
      <c r="H297" s="89">
        <f t="shared" si="2"/>
        <v>12.18958611</v>
      </c>
      <c r="I297" s="90">
        <v>719.0</v>
      </c>
      <c r="J297" s="90">
        <v>67.0</v>
      </c>
      <c r="K297" s="87">
        <v>806.0</v>
      </c>
      <c r="L297" s="88">
        <f t="shared" si="3"/>
        <v>91.47582697</v>
      </c>
      <c r="M297" s="87">
        <v>8541.0</v>
      </c>
      <c r="N297" s="89">
        <f t="shared" si="4"/>
        <v>9.436834094</v>
      </c>
      <c r="O297" s="90"/>
      <c r="P297" s="90"/>
    </row>
    <row r="298">
      <c r="A298" s="85">
        <v>71104.0</v>
      </c>
      <c r="B298" s="98" t="s">
        <v>390</v>
      </c>
      <c r="C298" s="87">
        <v>4931.0</v>
      </c>
      <c r="D298" s="87">
        <v>924.0</v>
      </c>
      <c r="E298" s="87">
        <v>6003.0</v>
      </c>
      <c r="F298" s="88">
        <f t="shared" si="1"/>
        <v>84.21861657</v>
      </c>
      <c r="G298" s="87">
        <v>47416.0</v>
      </c>
      <c r="H298" s="89">
        <f t="shared" si="2"/>
        <v>12.66028345</v>
      </c>
      <c r="I298" s="90">
        <v>3887.0</v>
      </c>
      <c r="J298" s="90">
        <v>174.0</v>
      </c>
      <c r="K298" s="87">
        <v>4087.0</v>
      </c>
      <c r="L298" s="88">
        <f t="shared" si="3"/>
        <v>95.71534105</v>
      </c>
      <c r="M298" s="87">
        <v>44909.0</v>
      </c>
      <c r="N298" s="89">
        <f t="shared" si="4"/>
        <v>9.10062571</v>
      </c>
      <c r="O298" s="90"/>
      <c r="P298" s="90"/>
    </row>
    <row r="299">
      <c r="A299" s="85">
        <v>71105.0</v>
      </c>
      <c r="B299" s="98" t="s">
        <v>391</v>
      </c>
      <c r="C299" s="87">
        <v>689.0</v>
      </c>
      <c r="D299" s="87">
        <v>120.0</v>
      </c>
      <c r="E299" s="87">
        <v>816.0</v>
      </c>
      <c r="F299" s="88">
        <f t="shared" si="1"/>
        <v>85.16687268</v>
      </c>
      <c r="G299" s="87">
        <v>6481.0</v>
      </c>
      <c r="H299" s="89">
        <f t="shared" si="2"/>
        <v>12.59064959</v>
      </c>
      <c r="I299" s="90">
        <v>673.0</v>
      </c>
      <c r="J299" s="90">
        <v>29.0</v>
      </c>
      <c r="K299" s="87">
        <v>709.0</v>
      </c>
      <c r="L299" s="88">
        <f t="shared" si="3"/>
        <v>95.86894587</v>
      </c>
      <c r="M299" s="87">
        <v>6364.0</v>
      </c>
      <c r="N299" s="89">
        <f t="shared" si="4"/>
        <v>11.14079195</v>
      </c>
      <c r="O299" s="90"/>
      <c r="P299" s="90"/>
    </row>
    <row r="300">
      <c r="A300" s="85">
        <v>71106.0</v>
      </c>
      <c r="B300" s="98" t="s">
        <v>393</v>
      </c>
      <c r="C300" s="87">
        <v>2517.0</v>
      </c>
      <c r="D300" s="87">
        <v>514.0</v>
      </c>
      <c r="E300" s="87">
        <v>3071.0</v>
      </c>
      <c r="F300" s="88">
        <f t="shared" si="1"/>
        <v>83.04190036</v>
      </c>
      <c r="G300" s="87">
        <v>22845.0</v>
      </c>
      <c r="H300" s="89">
        <f t="shared" si="2"/>
        <v>13.44276647</v>
      </c>
      <c r="I300" s="90">
        <v>2360.0</v>
      </c>
      <c r="J300" s="90">
        <v>358.0</v>
      </c>
      <c r="K300" s="87">
        <v>2746.0</v>
      </c>
      <c r="L300" s="88">
        <f t="shared" si="3"/>
        <v>86.8285504</v>
      </c>
      <c r="M300" s="87">
        <v>25258.0</v>
      </c>
      <c r="N300" s="89">
        <f t="shared" si="4"/>
        <v>10.87180299</v>
      </c>
      <c r="O300" s="90"/>
      <c r="P300" s="90"/>
    </row>
    <row r="301">
      <c r="A301" s="85">
        <v>71201.0</v>
      </c>
      <c r="B301" s="98" t="s">
        <v>395</v>
      </c>
      <c r="C301" s="87">
        <v>1114.0</v>
      </c>
      <c r="D301" s="87">
        <v>541.0</v>
      </c>
      <c r="E301" s="87">
        <v>1693.0</v>
      </c>
      <c r="F301" s="88">
        <f t="shared" si="1"/>
        <v>67.31117825</v>
      </c>
      <c r="G301" s="87">
        <v>14470.0</v>
      </c>
      <c r="H301" s="89">
        <f t="shared" si="2"/>
        <v>11.70006911</v>
      </c>
      <c r="I301" s="90">
        <v>1317.0</v>
      </c>
      <c r="J301" s="90">
        <v>212.0</v>
      </c>
      <c r="K301" s="87">
        <v>1563.0</v>
      </c>
      <c r="L301" s="88">
        <f t="shared" si="3"/>
        <v>86.13472858</v>
      </c>
      <c r="M301" s="87">
        <v>15378.0</v>
      </c>
      <c r="N301" s="89">
        <f t="shared" si="4"/>
        <v>10.16387046</v>
      </c>
      <c r="O301" s="90"/>
      <c r="P301" s="90"/>
    </row>
    <row r="302">
      <c r="A302" s="85">
        <v>71301.0</v>
      </c>
      <c r="B302" s="98" t="s">
        <v>397</v>
      </c>
      <c r="C302" s="87">
        <v>1789.0</v>
      </c>
      <c r="D302" s="87">
        <v>173.0</v>
      </c>
      <c r="E302" s="87">
        <v>1997.0</v>
      </c>
      <c r="F302" s="88">
        <f t="shared" si="1"/>
        <v>91.18246687</v>
      </c>
      <c r="G302" s="87">
        <v>15919.0</v>
      </c>
      <c r="H302" s="89">
        <f t="shared" si="2"/>
        <v>12.54475784</v>
      </c>
      <c r="I302" s="90">
        <v>1421.0</v>
      </c>
      <c r="J302" s="90">
        <v>36.0</v>
      </c>
      <c r="K302" s="87">
        <v>1468.0</v>
      </c>
      <c r="L302" s="88">
        <f t="shared" si="3"/>
        <v>97.52916953</v>
      </c>
      <c r="M302" s="87">
        <v>17195.0</v>
      </c>
      <c r="N302" s="89">
        <f t="shared" si="4"/>
        <v>8.537365513</v>
      </c>
      <c r="O302" s="90"/>
      <c r="P302" s="90"/>
    </row>
    <row r="303">
      <c r="A303" s="85">
        <v>71302.0</v>
      </c>
      <c r="B303" s="98" t="s">
        <v>398</v>
      </c>
      <c r="C303" s="87">
        <v>853.0</v>
      </c>
      <c r="D303" s="87">
        <v>57.0</v>
      </c>
      <c r="E303" s="87">
        <v>942.0</v>
      </c>
      <c r="F303" s="88">
        <f t="shared" si="1"/>
        <v>93.73626374</v>
      </c>
      <c r="G303" s="87">
        <v>7390.0</v>
      </c>
      <c r="H303" s="89">
        <f t="shared" si="2"/>
        <v>12.74695535</v>
      </c>
      <c r="I303" s="90">
        <v>478.0</v>
      </c>
      <c r="J303" s="90">
        <v>13.0</v>
      </c>
      <c r="K303" s="87">
        <v>491.0</v>
      </c>
      <c r="L303" s="88">
        <f t="shared" si="3"/>
        <v>97.35234216</v>
      </c>
      <c r="M303" s="87">
        <v>6048.0</v>
      </c>
      <c r="N303" s="89">
        <f t="shared" si="4"/>
        <v>8.118386243</v>
      </c>
      <c r="O303" s="90"/>
      <c r="P303" s="90"/>
    </row>
    <row r="304">
      <c r="A304" s="85">
        <v>71401.0</v>
      </c>
      <c r="B304" s="98" t="s">
        <v>400</v>
      </c>
      <c r="C304" s="87">
        <v>1751.0</v>
      </c>
      <c r="D304" s="87">
        <v>198.0</v>
      </c>
      <c r="E304" s="87">
        <v>1972.0</v>
      </c>
      <c r="F304" s="88">
        <f t="shared" si="1"/>
        <v>89.84094407</v>
      </c>
      <c r="G304" s="87">
        <v>19829.0</v>
      </c>
      <c r="H304" s="89">
        <f t="shared" si="2"/>
        <v>9.945030007</v>
      </c>
      <c r="I304" s="90">
        <v>1112.0</v>
      </c>
      <c r="J304" s="90">
        <v>85.0</v>
      </c>
      <c r="K304" s="87">
        <v>1215.0</v>
      </c>
      <c r="L304" s="88">
        <f t="shared" si="3"/>
        <v>92.89891395</v>
      </c>
      <c r="M304" s="87">
        <v>17417.0</v>
      </c>
      <c r="N304" s="89">
        <f t="shared" si="4"/>
        <v>6.975943044</v>
      </c>
      <c r="O304" s="90"/>
      <c r="P304" s="90"/>
    </row>
    <row r="305">
      <c r="A305" s="85">
        <v>71402.0</v>
      </c>
      <c r="B305" s="98" t="s">
        <v>401</v>
      </c>
      <c r="C305" s="87">
        <v>1586.0</v>
      </c>
      <c r="D305" s="87">
        <v>202.0</v>
      </c>
      <c r="E305" s="87">
        <v>1810.0</v>
      </c>
      <c r="F305" s="88">
        <f t="shared" si="1"/>
        <v>88.70246085</v>
      </c>
      <c r="G305" s="87">
        <v>16659.0</v>
      </c>
      <c r="H305" s="89">
        <f t="shared" si="2"/>
        <v>10.8649979</v>
      </c>
      <c r="I305" s="90">
        <v>1139.0</v>
      </c>
      <c r="J305" s="90">
        <v>149.0</v>
      </c>
      <c r="K305" s="87">
        <v>1312.0</v>
      </c>
      <c r="L305" s="88">
        <f t="shared" si="3"/>
        <v>88.43167702</v>
      </c>
      <c r="M305" s="87">
        <v>17974.0</v>
      </c>
      <c r="N305" s="89">
        <f t="shared" si="4"/>
        <v>7.299432514</v>
      </c>
      <c r="O305" s="90"/>
      <c r="P305" s="90"/>
    </row>
    <row r="306">
      <c r="A306" s="85">
        <v>71403.0</v>
      </c>
      <c r="B306" s="98" t="s">
        <v>402</v>
      </c>
      <c r="C306" s="87">
        <v>634.0</v>
      </c>
      <c r="D306" s="87">
        <v>132.0</v>
      </c>
      <c r="E306" s="87">
        <v>781.0</v>
      </c>
      <c r="F306" s="88">
        <f t="shared" si="1"/>
        <v>82.76762402</v>
      </c>
      <c r="G306" s="87">
        <v>6342.0</v>
      </c>
      <c r="H306" s="89">
        <f t="shared" si="2"/>
        <v>12.31472722</v>
      </c>
      <c r="I306" s="90">
        <v>776.0</v>
      </c>
      <c r="J306" s="90">
        <v>175.0</v>
      </c>
      <c r="K306" s="87">
        <v>957.0</v>
      </c>
      <c r="L306" s="88">
        <f t="shared" si="3"/>
        <v>81.59831756</v>
      </c>
      <c r="M306" s="87">
        <v>8816.0</v>
      </c>
      <c r="N306" s="89">
        <f t="shared" si="4"/>
        <v>10.85526316</v>
      </c>
      <c r="O306" s="90"/>
      <c r="P306" s="90"/>
    </row>
    <row r="307">
      <c r="A307" s="85">
        <v>71501.0</v>
      </c>
      <c r="B307" s="98" t="s">
        <v>404</v>
      </c>
      <c r="C307" s="87">
        <v>2740.0</v>
      </c>
      <c r="D307" s="87">
        <v>712.0</v>
      </c>
      <c r="E307" s="87">
        <v>3564.0</v>
      </c>
      <c r="F307" s="88">
        <f t="shared" si="1"/>
        <v>79.37427578</v>
      </c>
      <c r="G307" s="87">
        <v>27070.0</v>
      </c>
      <c r="H307" s="89">
        <f t="shared" si="2"/>
        <v>13.16586627</v>
      </c>
      <c r="I307" s="90">
        <v>2854.0</v>
      </c>
      <c r="J307" s="90">
        <v>278.0</v>
      </c>
      <c r="K307" s="87">
        <v>3187.0</v>
      </c>
      <c r="L307" s="88">
        <f t="shared" si="3"/>
        <v>91.1238825</v>
      </c>
      <c r="M307" s="87">
        <v>34079.0</v>
      </c>
      <c r="N307" s="89">
        <f t="shared" si="4"/>
        <v>9.351800229</v>
      </c>
      <c r="O307" s="90"/>
      <c r="P307" s="90"/>
    </row>
    <row r="308">
      <c r="A308" s="85">
        <v>71502.0</v>
      </c>
      <c r="B308" s="98" t="s">
        <v>405</v>
      </c>
      <c r="C308" s="87">
        <v>822.0</v>
      </c>
      <c r="D308" s="87">
        <v>93.0</v>
      </c>
      <c r="E308" s="87">
        <v>947.0</v>
      </c>
      <c r="F308" s="88">
        <f t="shared" si="1"/>
        <v>89.83606557</v>
      </c>
      <c r="G308" s="87">
        <v>7026.0</v>
      </c>
      <c r="H308" s="89">
        <f t="shared" si="2"/>
        <v>13.4785084</v>
      </c>
      <c r="I308" s="90">
        <v>585.0</v>
      </c>
      <c r="J308" s="90">
        <v>24.0</v>
      </c>
      <c r="K308" s="87">
        <v>615.0</v>
      </c>
      <c r="L308" s="88">
        <f t="shared" si="3"/>
        <v>96.0591133</v>
      </c>
      <c r="M308" s="87">
        <v>6555.0</v>
      </c>
      <c r="N308" s="89">
        <f t="shared" si="4"/>
        <v>9.38215103</v>
      </c>
      <c r="O308" s="90"/>
      <c r="P308" s="90"/>
    </row>
    <row r="309">
      <c r="A309" s="85">
        <v>71503.0</v>
      </c>
      <c r="B309" s="98" t="s">
        <v>335</v>
      </c>
      <c r="C309" s="87">
        <v>1426.0</v>
      </c>
      <c r="D309" s="87">
        <v>416.0</v>
      </c>
      <c r="E309" s="87">
        <v>1869.0</v>
      </c>
      <c r="F309" s="88">
        <f t="shared" si="1"/>
        <v>77.41585233</v>
      </c>
      <c r="G309" s="87">
        <v>14205.0</v>
      </c>
      <c r="H309" s="89">
        <f t="shared" si="2"/>
        <v>13.15733897</v>
      </c>
      <c r="I309" s="90">
        <v>1244.0</v>
      </c>
      <c r="J309" s="90">
        <v>133.0</v>
      </c>
      <c r="K309" s="87">
        <v>1397.0</v>
      </c>
      <c r="L309" s="88">
        <f t="shared" si="3"/>
        <v>90.34132171</v>
      </c>
      <c r="M309" s="87">
        <v>17290.0</v>
      </c>
      <c r="N309" s="89">
        <f t="shared" si="4"/>
        <v>8.079814922</v>
      </c>
      <c r="O309" s="90"/>
      <c r="P309" s="90"/>
    </row>
    <row r="310">
      <c r="A310" s="85">
        <v>80101.0</v>
      </c>
      <c r="B310" s="98" t="s">
        <v>407</v>
      </c>
      <c r="C310" s="87">
        <v>10781.0</v>
      </c>
      <c r="D310" s="87">
        <v>1350.0</v>
      </c>
      <c r="E310" s="87">
        <v>12333.0</v>
      </c>
      <c r="F310" s="88">
        <f t="shared" si="1"/>
        <v>88.87148627</v>
      </c>
      <c r="G310" s="87">
        <v>106596.0</v>
      </c>
      <c r="H310" s="89">
        <f t="shared" si="2"/>
        <v>11.56985253</v>
      </c>
      <c r="I310" s="90">
        <v>9820.0</v>
      </c>
      <c r="J310" s="90">
        <v>150.0</v>
      </c>
      <c r="K310" s="87">
        <v>10042.0</v>
      </c>
      <c r="L310" s="88">
        <f t="shared" si="3"/>
        <v>98.49548646</v>
      </c>
      <c r="M310" s="87">
        <v>128589.0</v>
      </c>
      <c r="N310" s="89">
        <f t="shared" si="4"/>
        <v>7.809377163</v>
      </c>
      <c r="O310" s="90"/>
      <c r="P310" s="90"/>
    </row>
    <row r="311">
      <c r="A311" s="85">
        <v>80102.0</v>
      </c>
      <c r="B311" s="98" t="s">
        <v>389</v>
      </c>
      <c r="C311" s="87">
        <v>623.0</v>
      </c>
      <c r="D311" s="87">
        <v>132.0</v>
      </c>
      <c r="E311" s="87">
        <v>765.0</v>
      </c>
      <c r="F311" s="88">
        <f t="shared" si="1"/>
        <v>82.51655629</v>
      </c>
      <c r="G311" s="87">
        <v>5277.0</v>
      </c>
      <c r="H311" s="89">
        <f t="shared" si="2"/>
        <v>14.49687322</v>
      </c>
      <c r="I311" s="90">
        <v>720.0</v>
      </c>
      <c r="J311" s="90">
        <v>159.0</v>
      </c>
      <c r="K311" s="87">
        <v>891.0</v>
      </c>
      <c r="L311" s="88">
        <f t="shared" si="3"/>
        <v>81.9112628</v>
      </c>
      <c r="M311" s="87">
        <v>7913.0</v>
      </c>
      <c r="N311" s="89">
        <f t="shared" si="4"/>
        <v>11.25995198</v>
      </c>
      <c r="O311" s="90"/>
      <c r="P311" s="90"/>
    </row>
    <row r="312">
      <c r="A312" s="85">
        <v>80201.0</v>
      </c>
      <c r="B312" s="98" t="s">
        <v>409</v>
      </c>
      <c r="C312" s="87">
        <v>10954.0</v>
      </c>
      <c r="D312" s="87">
        <v>964.0</v>
      </c>
      <c r="E312" s="87">
        <v>12088.0</v>
      </c>
      <c r="F312" s="88">
        <f t="shared" si="1"/>
        <v>91.91139453</v>
      </c>
      <c r="G312" s="87">
        <v>89022.0</v>
      </c>
      <c r="H312" s="89">
        <f t="shared" si="2"/>
        <v>13.57866595</v>
      </c>
      <c r="I312" s="90">
        <v>9858.0</v>
      </c>
      <c r="J312" s="90">
        <v>161.0</v>
      </c>
      <c r="K312" s="87">
        <v>10131.0</v>
      </c>
      <c r="L312" s="88">
        <f t="shared" si="3"/>
        <v>98.3930532</v>
      </c>
      <c r="M312" s="87">
        <v>110302.0</v>
      </c>
      <c r="N312" s="89">
        <f t="shared" si="4"/>
        <v>9.184783594</v>
      </c>
      <c r="O312" s="90"/>
      <c r="P312" s="90"/>
    </row>
    <row r="313">
      <c r="A313" s="85">
        <v>80202.0</v>
      </c>
      <c r="B313" s="98" t="s">
        <v>410</v>
      </c>
      <c r="C313" s="87">
        <v>4283.0</v>
      </c>
      <c r="D313" s="87">
        <v>671.0</v>
      </c>
      <c r="E313" s="87">
        <v>5068.0</v>
      </c>
      <c r="F313" s="88">
        <f t="shared" si="1"/>
        <v>86.45538958</v>
      </c>
      <c r="G313" s="87">
        <v>41814.0</v>
      </c>
      <c r="H313" s="89">
        <f t="shared" si="2"/>
        <v>12.12034247</v>
      </c>
      <c r="I313" s="90">
        <v>3353.0</v>
      </c>
      <c r="J313" s="90">
        <v>190.0</v>
      </c>
      <c r="K313" s="87">
        <v>3585.0</v>
      </c>
      <c r="L313" s="88">
        <f t="shared" si="3"/>
        <v>94.63731301</v>
      </c>
      <c r="M313" s="87">
        <v>42031.0</v>
      </c>
      <c r="N313" s="89">
        <f t="shared" si="4"/>
        <v>8.529418762</v>
      </c>
      <c r="O313" s="90"/>
      <c r="P313" s="90"/>
    </row>
    <row r="314">
      <c r="A314" s="85">
        <v>80301.0</v>
      </c>
      <c r="B314" s="98" t="s">
        <v>412</v>
      </c>
      <c r="C314" s="87">
        <v>1523.0</v>
      </c>
      <c r="D314" s="87">
        <v>238.0</v>
      </c>
      <c r="E314" s="87">
        <v>1781.0</v>
      </c>
      <c r="F314" s="88">
        <f t="shared" si="1"/>
        <v>86.48495173</v>
      </c>
      <c r="G314" s="87">
        <v>13246.0</v>
      </c>
      <c r="H314" s="89">
        <f t="shared" si="2"/>
        <v>13.44556847</v>
      </c>
      <c r="I314" s="90">
        <v>1138.0</v>
      </c>
      <c r="J314" s="90">
        <v>68.0</v>
      </c>
      <c r="K314" s="87">
        <v>1214.0</v>
      </c>
      <c r="L314" s="88">
        <f t="shared" si="3"/>
        <v>94.3615257</v>
      </c>
      <c r="M314" s="87">
        <v>11478.0</v>
      </c>
      <c r="N314" s="89">
        <f t="shared" si="4"/>
        <v>10.57675553</v>
      </c>
      <c r="O314" s="90"/>
      <c r="P314" s="90"/>
    </row>
    <row r="315">
      <c r="A315" s="85">
        <v>80302.0</v>
      </c>
      <c r="B315" s="98" t="s">
        <v>413</v>
      </c>
      <c r="C315" s="87">
        <v>3927.0</v>
      </c>
      <c r="D315" s="87">
        <v>1828.0</v>
      </c>
      <c r="E315" s="87">
        <v>5860.0</v>
      </c>
      <c r="F315" s="88">
        <f t="shared" si="1"/>
        <v>68.23631625</v>
      </c>
      <c r="G315" s="87">
        <v>40864.0</v>
      </c>
      <c r="H315" s="89">
        <f t="shared" si="2"/>
        <v>14.34025059</v>
      </c>
      <c r="I315" s="90">
        <v>4812.0</v>
      </c>
      <c r="J315" s="90">
        <v>495.0</v>
      </c>
      <c r="K315" s="87">
        <v>5440.0</v>
      </c>
      <c r="L315" s="88">
        <f t="shared" si="3"/>
        <v>90.67269644</v>
      </c>
      <c r="M315" s="87">
        <v>45798.0</v>
      </c>
      <c r="N315" s="89">
        <f t="shared" si="4"/>
        <v>11.87824796</v>
      </c>
      <c r="O315" s="90"/>
      <c r="P315" s="90"/>
    </row>
    <row r="316">
      <c r="A316" s="85">
        <v>80303.0</v>
      </c>
      <c r="B316" s="98" t="s">
        <v>361</v>
      </c>
      <c r="C316" s="87">
        <v>1052.0</v>
      </c>
      <c r="D316" s="87">
        <v>209.0</v>
      </c>
      <c r="E316" s="87">
        <v>1271.0</v>
      </c>
      <c r="F316" s="88">
        <f t="shared" si="1"/>
        <v>83.4258525</v>
      </c>
      <c r="G316" s="87">
        <v>9478.0</v>
      </c>
      <c r="H316" s="89">
        <f t="shared" si="2"/>
        <v>13.41000211</v>
      </c>
      <c r="I316" s="90">
        <v>1135.0</v>
      </c>
      <c r="J316" s="90">
        <v>78.0</v>
      </c>
      <c r="K316" s="87">
        <v>1221.0</v>
      </c>
      <c r="L316" s="88">
        <f t="shared" si="3"/>
        <v>93.569662</v>
      </c>
      <c r="M316" s="87">
        <v>11122.0</v>
      </c>
      <c r="N316" s="89">
        <f t="shared" si="4"/>
        <v>10.97824132</v>
      </c>
      <c r="O316" s="90"/>
      <c r="P316" s="90"/>
    </row>
    <row r="317">
      <c r="A317" s="85">
        <v>80304.0</v>
      </c>
      <c r="B317" s="98" t="s">
        <v>414</v>
      </c>
      <c r="C317" s="87">
        <v>2076.0</v>
      </c>
      <c r="D317" s="87">
        <v>319.0</v>
      </c>
      <c r="E317" s="87">
        <v>2443.0</v>
      </c>
      <c r="F317" s="88">
        <f t="shared" si="1"/>
        <v>86.68058455</v>
      </c>
      <c r="G317" s="87">
        <v>19195.0</v>
      </c>
      <c r="H317" s="89">
        <f t="shared" si="2"/>
        <v>12.72727273</v>
      </c>
      <c r="I317" s="90">
        <v>2006.0</v>
      </c>
      <c r="J317" s="90">
        <v>82.0</v>
      </c>
      <c r="K317" s="87">
        <v>2097.0</v>
      </c>
      <c r="L317" s="88">
        <f t="shared" si="3"/>
        <v>96.07279693</v>
      </c>
      <c r="M317" s="87">
        <v>21240.0</v>
      </c>
      <c r="N317" s="89">
        <f t="shared" si="4"/>
        <v>9.872881356</v>
      </c>
      <c r="O317" s="90"/>
      <c r="P317" s="90"/>
    </row>
    <row r="318">
      <c r="A318" s="85">
        <v>80401.0</v>
      </c>
      <c r="B318" s="98" t="s">
        <v>416</v>
      </c>
      <c r="C318" s="87">
        <v>1631.0</v>
      </c>
      <c r="D318" s="87">
        <v>461.0</v>
      </c>
      <c r="E318" s="87">
        <v>2132.0</v>
      </c>
      <c r="F318" s="88">
        <f t="shared" si="1"/>
        <v>77.96367113</v>
      </c>
      <c r="G318" s="87">
        <v>17069.0</v>
      </c>
      <c r="H318" s="89">
        <f t="shared" si="2"/>
        <v>12.49047982</v>
      </c>
      <c r="I318" s="90">
        <v>1711.0</v>
      </c>
      <c r="J318" s="90">
        <v>210.0</v>
      </c>
      <c r="K318" s="87">
        <v>1939.0</v>
      </c>
      <c r="L318" s="88">
        <f t="shared" si="3"/>
        <v>89.06819365</v>
      </c>
      <c r="M318" s="87">
        <v>18088.0</v>
      </c>
      <c r="N318" s="89">
        <f t="shared" si="4"/>
        <v>10.71981424</v>
      </c>
      <c r="O318" s="90"/>
      <c r="P318" s="90"/>
    </row>
    <row r="319">
      <c r="A319" s="85">
        <v>80402.0</v>
      </c>
      <c r="B319" s="98" t="s">
        <v>417</v>
      </c>
      <c r="C319" s="87">
        <v>563.0</v>
      </c>
      <c r="D319" s="87">
        <v>287.0</v>
      </c>
      <c r="E319" s="87">
        <v>863.0</v>
      </c>
      <c r="F319" s="88">
        <f t="shared" si="1"/>
        <v>66.23529412</v>
      </c>
      <c r="G319" s="87">
        <v>6362.0</v>
      </c>
      <c r="H319" s="89">
        <f t="shared" si="2"/>
        <v>13.56491669</v>
      </c>
      <c r="I319" s="90">
        <v>713.0</v>
      </c>
      <c r="J319" s="90">
        <v>115.0</v>
      </c>
      <c r="K319" s="87">
        <v>837.0</v>
      </c>
      <c r="L319" s="88">
        <f t="shared" si="3"/>
        <v>86.11111111</v>
      </c>
      <c r="M319" s="87">
        <v>8012.0</v>
      </c>
      <c r="N319" s="89">
        <f t="shared" si="4"/>
        <v>10.44682976</v>
      </c>
      <c r="O319" s="90"/>
      <c r="P319" s="90"/>
    </row>
    <row r="320">
      <c r="A320" s="85">
        <v>80501.0</v>
      </c>
      <c r="B320" s="98" t="s">
        <v>347</v>
      </c>
      <c r="C320" s="87">
        <v>2358.0</v>
      </c>
      <c r="D320" s="87">
        <v>386.0</v>
      </c>
      <c r="E320" s="87">
        <v>2809.0</v>
      </c>
      <c r="F320" s="88">
        <f t="shared" si="1"/>
        <v>85.93294461</v>
      </c>
      <c r="G320" s="87">
        <v>19252.0</v>
      </c>
      <c r="H320" s="89">
        <f t="shared" si="2"/>
        <v>14.59069188</v>
      </c>
      <c r="I320" s="90">
        <v>2366.0</v>
      </c>
      <c r="J320" s="90">
        <v>159.0</v>
      </c>
      <c r="K320" s="87">
        <v>2550.0</v>
      </c>
      <c r="L320" s="88">
        <f t="shared" si="3"/>
        <v>93.7029703</v>
      </c>
      <c r="M320" s="87">
        <v>21584.0</v>
      </c>
      <c r="N320" s="89">
        <f t="shared" si="4"/>
        <v>11.81430689</v>
      </c>
      <c r="O320" s="90"/>
      <c r="P320" s="90"/>
    </row>
    <row r="321">
      <c r="A321" s="85">
        <v>80601.0</v>
      </c>
      <c r="B321" s="98" t="s">
        <v>420</v>
      </c>
      <c r="C321" s="87">
        <v>508.0</v>
      </c>
      <c r="D321" s="87">
        <v>114.0</v>
      </c>
      <c r="E321" s="87">
        <v>623.0</v>
      </c>
      <c r="F321" s="88">
        <f t="shared" si="1"/>
        <v>81.67202572</v>
      </c>
      <c r="G321" s="87">
        <v>3828.0</v>
      </c>
      <c r="H321" s="89">
        <f t="shared" si="2"/>
        <v>16.27481714</v>
      </c>
      <c r="I321" s="90">
        <v>495.0</v>
      </c>
      <c r="J321" s="90">
        <v>60.0</v>
      </c>
      <c r="K321" s="87">
        <v>559.0</v>
      </c>
      <c r="L321" s="88">
        <f t="shared" si="3"/>
        <v>89.18918919</v>
      </c>
      <c r="M321" s="87">
        <v>4269.0</v>
      </c>
      <c r="N321" s="89">
        <f t="shared" si="4"/>
        <v>13.0944015</v>
      </c>
      <c r="O321" s="90"/>
      <c r="P321" s="90"/>
    </row>
    <row r="322">
      <c r="A322" s="85">
        <v>80602.0</v>
      </c>
      <c r="B322" s="98" t="s">
        <v>421</v>
      </c>
      <c r="C322" s="87">
        <v>1393.0</v>
      </c>
      <c r="D322" s="87">
        <v>154.0</v>
      </c>
      <c r="E322" s="87">
        <v>1577.0</v>
      </c>
      <c r="F322" s="88">
        <f t="shared" si="1"/>
        <v>90.04524887</v>
      </c>
      <c r="G322" s="87">
        <v>12503.0</v>
      </c>
      <c r="H322" s="89">
        <f t="shared" si="2"/>
        <v>12.61297289</v>
      </c>
      <c r="I322" s="90">
        <v>1214.0</v>
      </c>
      <c r="J322" s="90">
        <v>56.0</v>
      </c>
      <c r="K322" s="87">
        <v>1287.0</v>
      </c>
      <c r="L322" s="88">
        <f t="shared" si="3"/>
        <v>95.59055118</v>
      </c>
      <c r="M322" s="87">
        <v>15570.0</v>
      </c>
      <c r="N322" s="89">
        <f t="shared" si="4"/>
        <v>8.265895954</v>
      </c>
      <c r="O322" s="90"/>
      <c r="P322" s="90"/>
    </row>
    <row r="323">
      <c r="A323" s="85">
        <v>80701.0</v>
      </c>
      <c r="B323" s="98" t="s">
        <v>423</v>
      </c>
      <c r="C323" s="87">
        <v>697.0</v>
      </c>
      <c r="D323" s="87">
        <v>143.0</v>
      </c>
      <c r="E323" s="87">
        <v>852.0</v>
      </c>
      <c r="F323" s="88">
        <f t="shared" si="1"/>
        <v>82.97619048</v>
      </c>
      <c r="G323" s="87">
        <v>6917.0</v>
      </c>
      <c r="H323" s="89">
        <f t="shared" si="2"/>
        <v>12.31747868</v>
      </c>
      <c r="I323" s="90">
        <v>602.0</v>
      </c>
      <c r="J323" s="90">
        <v>55.0</v>
      </c>
      <c r="K323" s="87">
        <v>669.0</v>
      </c>
      <c r="L323" s="88">
        <f t="shared" si="3"/>
        <v>91.62861492</v>
      </c>
      <c r="M323" s="87">
        <v>6808.0</v>
      </c>
      <c r="N323" s="89">
        <f t="shared" si="4"/>
        <v>9.826674501</v>
      </c>
      <c r="O323" s="90"/>
      <c r="P323" s="90"/>
    </row>
    <row r="324">
      <c r="A324" s="85">
        <v>80702.0</v>
      </c>
      <c r="B324" s="98" t="s">
        <v>392</v>
      </c>
      <c r="C324" s="87">
        <v>622.0</v>
      </c>
      <c r="D324" s="87">
        <v>57.0</v>
      </c>
      <c r="E324" s="87">
        <v>684.0</v>
      </c>
      <c r="F324" s="88">
        <f t="shared" si="1"/>
        <v>91.60530191</v>
      </c>
      <c r="G324" s="87">
        <v>4955.0</v>
      </c>
      <c r="H324" s="89">
        <f t="shared" si="2"/>
        <v>13.80423814</v>
      </c>
      <c r="I324" s="90">
        <v>468.0</v>
      </c>
      <c r="J324" s="90">
        <v>18.0</v>
      </c>
      <c r="K324" s="87">
        <v>495.0</v>
      </c>
      <c r="L324" s="88">
        <f t="shared" si="3"/>
        <v>96.2962963</v>
      </c>
      <c r="M324" s="87">
        <v>5489.0</v>
      </c>
      <c r="N324" s="89">
        <f t="shared" si="4"/>
        <v>9.018036072</v>
      </c>
      <c r="O324" s="90"/>
      <c r="P324" s="90"/>
    </row>
    <row r="325">
      <c r="A325" s="85">
        <v>80703.0</v>
      </c>
      <c r="B325" s="98" t="s">
        <v>424</v>
      </c>
      <c r="C325" s="87">
        <v>116.0</v>
      </c>
      <c r="D325" s="87">
        <v>24.0</v>
      </c>
      <c r="E325" s="87">
        <v>141.0</v>
      </c>
      <c r="F325" s="88">
        <f t="shared" si="1"/>
        <v>82.85714286</v>
      </c>
      <c r="G325" s="86">
        <v>945.0</v>
      </c>
      <c r="H325" s="89">
        <f t="shared" si="2"/>
        <v>14.92063492</v>
      </c>
      <c r="I325" s="90">
        <v>98.0</v>
      </c>
      <c r="J325" s="90">
        <v>15.0</v>
      </c>
      <c r="K325" s="87">
        <v>114.0</v>
      </c>
      <c r="L325" s="88">
        <f t="shared" si="3"/>
        <v>86.72566372</v>
      </c>
      <c r="M325" s="87">
        <v>1091.0</v>
      </c>
      <c r="N325" s="89">
        <f t="shared" si="4"/>
        <v>10.44912924</v>
      </c>
      <c r="O325" s="90"/>
      <c r="P325" s="90"/>
    </row>
    <row r="326">
      <c r="A326" s="85">
        <v>80801.0</v>
      </c>
      <c r="B326" s="98" t="s">
        <v>426</v>
      </c>
      <c r="C326" s="87">
        <v>1239.0</v>
      </c>
      <c r="D326" s="87">
        <v>210.0</v>
      </c>
      <c r="E326" s="87">
        <v>1466.0</v>
      </c>
      <c r="F326" s="88">
        <f t="shared" si="1"/>
        <v>85.50724638</v>
      </c>
      <c r="G326" s="87">
        <v>11377.0</v>
      </c>
      <c r="H326" s="89">
        <f t="shared" si="2"/>
        <v>12.88564648</v>
      </c>
      <c r="I326" s="90">
        <v>1202.0</v>
      </c>
      <c r="J326" s="90">
        <v>27.0</v>
      </c>
      <c r="K326" s="87">
        <v>1244.0</v>
      </c>
      <c r="L326" s="88">
        <f t="shared" si="3"/>
        <v>97.80309194</v>
      </c>
      <c r="M326" s="87">
        <v>12785.0</v>
      </c>
      <c r="N326" s="89">
        <f t="shared" si="4"/>
        <v>9.730152522</v>
      </c>
      <c r="O326" s="90"/>
      <c r="P326" s="90"/>
    </row>
    <row r="327">
      <c r="A327" s="85">
        <v>80802.0</v>
      </c>
      <c r="B327" s="98" t="s">
        <v>427</v>
      </c>
      <c r="C327" s="87">
        <v>581.0</v>
      </c>
      <c r="D327" s="87">
        <v>76.0</v>
      </c>
      <c r="E327" s="87">
        <v>660.0</v>
      </c>
      <c r="F327" s="88">
        <f t="shared" si="1"/>
        <v>88.43226788</v>
      </c>
      <c r="G327" s="87">
        <v>5965.0</v>
      </c>
      <c r="H327" s="89">
        <f t="shared" si="2"/>
        <v>11.06454317</v>
      </c>
      <c r="I327" s="90">
        <v>478.0</v>
      </c>
      <c r="J327" s="90">
        <v>36.0</v>
      </c>
      <c r="K327" s="87">
        <v>522.0</v>
      </c>
      <c r="L327" s="88">
        <f t="shared" si="3"/>
        <v>92.99610895</v>
      </c>
      <c r="M327" s="87">
        <v>7488.0</v>
      </c>
      <c r="N327" s="89">
        <f t="shared" si="4"/>
        <v>6.971153846</v>
      </c>
      <c r="O327" s="90"/>
      <c r="P327" s="90"/>
    </row>
    <row r="328">
      <c r="A328" s="85">
        <v>80803.0</v>
      </c>
      <c r="B328" s="98" t="s">
        <v>428</v>
      </c>
      <c r="C328" s="87">
        <v>460.0</v>
      </c>
      <c r="D328" s="87">
        <v>41.0</v>
      </c>
      <c r="E328" s="87">
        <v>508.0</v>
      </c>
      <c r="F328" s="88">
        <f t="shared" si="1"/>
        <v>91.81636727</v>
      </c>
      <c r="G328" s="87">
        <v>4111.0</v>
      </c>
      <c r="H328" s="89">
        <f t="shared" si="2"/>
        <v>12.35709073</v>
      </c>
      <c r="I328" s="90">
        <v>366.0</v>
      </c>
      <c r="J328" s="90">
        <v>23.0</v>
      </c>
      <c r="K328" s="87">
        <v>394.0</v>
      </c>
      <c r="L328" s="88">
        <f t="shared" si="3"/>
        <v>94.0874036</v>
      </c>
      <c r="M328" s="87">
        <v>4630.0</v>
      </c>
      <c r="N328" s="89">
        <f t="shared" si="4"/>
        <v>8.509719222</v>
      </c>
      <c r="O328" s="90"/>
      <c r="P328" s="90"/>
    </row>
    <row r="329">
      <c r="A329" s="85">
        <v>80901.0</v>
      </c>
      <c r="B329" s="98" t="s">
        <v>471</v>
      </c>
      <c r="C329" s="87">
        <v>412.0</v>
      </c>
      <c r="D329" s="87">
        <v>111.0</v>
      </c>
      <c r="E329" s="87">
        <v>528.0</v>
      </c>
      <c r="F329" s="88">
        <f t="shared" si="1"/>
        <v>78.77629063</v>
      </c>
      <c r="G329" s="87">
        <v>3232.0</v>
      </c>
      <c r="H329" s="89">
        <f t="shared" si="2"/>
        <v>16.33663366</v>
      </c>
      <c r="I329" s="90">
        <v>491.0</v>
      </c>
      <c r="J329" s="90">
        <v>71.0</v>
      </c>
      <c r="K329" s="87">
        <v>573.0</v>
      </c>
      <c r="L329" s="88">
        <f t="shared" si="3"/>
        <v>87.36654804</v>
      </c>
      <c r="M329" s="87">
        <v>3973.0</v>
      </c>
      <c r="N329" s="89">
        <f t="shared" si="4"/>
        <v>14.42235087</v>
      </c>
      <c r="O329" s="90"/>
      <c r="P329" s="90"/>
    </row>
    <row r="330">
      <c r="A330" s="85">
        <v>90101.0</v>
      </c>
      <c r="B330" s="98" t="s">
        <v>433</v>
      </c>
      <c r="C330" s="87">
        <v>5359.0</v>
      </c>
      <c r="D330" s="87">
        <v>382.0</v>
      </c>
      <c r="E330" s="87">
        <v>5797.0</v>
      </c>
      <c r="F330" s="88">
        <f t="shared" si="1"/>
        <v>93.34610695</v>
      </c>
      <c r="G330" s="87">
        <v>46267.0</v>
      </c>
      <c r="H330" s="89">
        <f t="shared" si="2"/>
        <v>12.52944864</v>
      </c>
      <c r="I330" s="90">
        <v>3916.0</v>
      </c>
      <c r="J330" s="90">
        <v>90.0</v>
      </c>
      <c r="K330" s="87">
        <v>4024.0</v>
      </c>
      <c r="L330" s="88">
        <f t="shared" si="3"/>
        <v>97.75336995</v>
      </c>
      <c r="M330" s="87">
        <v>55114.0</v>
      </c>
      <c r="N330" s="89">
        <f t="shared" si="4"/>
        <v>7.301230177</v>
      </c>
      <c r="O330" s="90"/>
      <c r="P330" s="90"/>
    </row>
    <row r="331">
      <c r="A331" s="85">
        <v>90102.0</v>
      </c>
      <c r="B331" s="98" t="s">
        <v>434</v>
      </c>
      <c r="C331" s="87">
        <v>877.0</v>
      </c>
      <c r="D331" s="87">
        <v>107.0</v>
      </c>
      <c r="E331" s="87">
        <v>990.0</v>
      </c>
      <c r="F331" s="88">
        <f t="shared" si="1"/>
        <v>89.12601626</v>
      </c>
      <c r="G331" s="87">
        <v>7948.0</v>
      </c>
      <c r="H331" s="89">
        <f t="shared" si="2"/>
        <v>12.45596376</v>
      </c>
      <c r="I331" s="90">
        <v>872.0</v>
      </c>
      <c r="J331" s="90">
        <v>18.0</v>
      </c>
      <c r="K331" s="87">
        <v>901.0</v>
      </c>
      <c r="L331" s="88">
        <f t="shared" si="3"/>
        <v>97.97752809</v>
      </c>
      <c r="M331" s="87">
        <v>9353.0</v>
      </c>
      <c r="N331" s="89">
        <f t="shared" si="4"/>
        <v>9.633272747</v>
      </c>
      <c r="O331" s="90"/>
      <c r="P331" s="90"/>
    </row>
    <row r="332">
      <c r="A332" s="85">
        <v>90103.0</v>
      </c>
      <c r="B332" s="98" t="s">
        <v>435</v>
      </c>
      <c r="C332" s="87">
        <v>264.0</v>
      </c>
      <c r="D332" s="87">
        <v>48.0</v>
      </c>
      <c r="E332" s="87">
        <v>317.0</v>
      </c>
      <c r="F332" s="88">
        <f t="shared" si="1"/>
        <v>84.61538462</v>
      </c>
      <c r="G332" s="87">
        <v>2173.0</v>
      </c>
      <c r="H332" s="89">
        <f t="shared" si="2"/>
        <v>14.58812701</v>
      </c>
      <c r="I332" s="90">
        <v>156.0</v>
      </c>
      <c r="J332" s="90">
        <v>9.0</v>
      </c>
      <c r="K332" s="87">
        <v>165.0</v>
      </c>
      <c r="L332" s="88">
        <f t="shared" si="3"/>
        <v>94.54545455</v>
      </c>
      <c r="M332" s="87">
        <v>2437.0</v>
      </c>
      <c r="N332" s="89">
        <f t="shared" si="4"/>
        <v>6.770619614</v>
      </c>
      <c r="O332" s="90"/>
      <c r="P332" s="90"/>
    </row>
    <row r="333">
      <c r="A333" s="85">
        <v>90104.0</v>
      </c>
      <c r="B333" s="98" t="s">
        <v>436</v>
      </c>
      <c r="C333" s="87">
        <v>376.0</v>
      </c>
      <c r="D333" s="87">
        <v>71.0</v>
      </c>
      <c r="E333" s="87">
        <v>450.0</v>
      </c>
      <c r="F333" s="88">
        <f t="shared" si="1"/>
        <v>84.1163311</v>
      </c>
      <c r="G333" s="87">
        <v>3909.0</v>
      </c>
      <c r="H333" s="89">
        <f t="shared" si="2"/>
        <v>11.51189563</v>
      </c>
      <c r="I333" s="90">
        <v>258.0</v>
      </c>
      <c r="J333" s="90">
        <v>22.0</v>
      </c>
      <c r="K333" s="87">
        <v>281.0</v>
      </c>
      <c r="L333" s="88">
        <f t="shared" si="3"/>
        <v>92.14285714</v>
      </c>
      <c r="M333" s="87">
        <v>3630.0</v>
      </c>
      <c r="N333" s="89">
        <f t="shared" si="4"/>
        <v>7.741046832</v>
      </c>
      <c r="O333" s="90"/>
      <c r="P333" s="90"/>
    </row>
    <row r="334">
      <c r="A334" s="85">
        <v>90201.0</v>
      </c>
      <c r="B334" s="98" t="s">
        <v>438</v>
      </c>
      <c r="C334" s="87">
        <v>722.0</v>
      </c>
      <c r="D334" s="87">
        <v>153.0</v>
      </c>
      <c r="E334" s="87">
        <v>880.0</v>
      </c>
      <c r="F334" s="88">
        <f t="shared" si="1"/>
        <v>82.51428571</v>
      </c>
      <c r="G334" s="87">
        <v>6239.0</v>
      </c>
      <c r="H334" s="89">
        <f t="shared" si="2"/>
        <v>14.10482449</v>
      </c>
      <c r="I334" s="90">
        <v>640.0</v>
      </c>
      <c r="J334" s="90">
        <v>21.0</v>
      </c>
      <c r="K334" s="87">
        <v>664.0</v>
      </c>
      <c r="L334" s="88">
        <f t="shared" si="3"/>
        <v>96.82299546</v>
      </c>
      <c r="M334" s="87">
        <v>7367.0</v>
      </c>
      <c r="N334" s="89">
        <f t="shared" si="4"/>
        <v>9.013166825</v>
      </c>
      <c r="O334" s="90"/>
      <c r="P334" s="90"/>
    </row>
    <row r="335">
      <c r="A335" s="85">
        <v>90202.0</v>
      </c>
      <c r="B335" s="98" t="s">
        <v>285</v>
      </c>
      <c r="C335" s="87">
        <v>265.0</v>
      </c>
      <c r="D335" s="87">
        <v>81.0</v>
      </c>
      <c r="E335" s="87">
        <v>352.0</v>
      </c>
      <c r="F335" s="88">
        <f t="shared" si="1"/>
        <v>76.58959538</v>
      </c>
      <c r="G335" s="87">
        <v>2991.0</v>
      </c>
      <c r="H335" s="89">
        <f t="shared" si="2"/>
        <v>11.76863925</v>
      </c>
      <c r="I335" s="90">
        <v>355.0</v>
      </c>
      <c r="J335" s="90">
        <v>12.0</v>
      </c>
      <c r="K335" s="87">
        <v>370.0</v>
      </c>
      <c r="L335" s="88">
        <f t="shared" si="3"/>
        <v>96.73024523</v>
      </c>
      <c r="M335" s="87">
        <v>3518.0</v>
      </c>
      <c r="N335" s="89">
        <f t="shared" si="4"/>
        <v>10.5173394</v>
      </c>
      <c r="O335" s="90"/>
      <c r="P335" s="90"/>
    </row>
    <row r="336">
      <c r="A336" s="85">
        <v>90203.0</v>
      </c>
      <c r="B336" s="98" t="s">
        <v>439</v>
      </c>
      <c r="C336" s="87">
        <v>703.0</v>
      </c>
      <c r="D336" s="87">
        <v>114.0</v>
      </c>
      <c r="E336" s="87">
        <v>823.0</v>
      </c>
      <c r="F336" s="88">
        <f t="shared" si="1"/>
        <v>86.04651163</v>
      </c>
      <c r="G336" s="87">
        <v>5756.0</v>
      </c>
      <c r="H336" s="89">
        <f t="shared" si="2"/>
        <v>14.2981237</v>
      </c>
      <c r="I336" s="90">
        <v>681.0</v>
      </c>
      <c r="J336" s="90">
        <v>34.0</v>
      </c>
      <c r="K336" s="87">
        <v>721.0</v>
      </c>
      <c r="L336" s="88">
        <f t="shared" si="3"/>
        <v>95.24475524</v>
      </c>
      <c r="M336" s="87">
        <v>8045.0</v>
      </c>
      <c r="N336" s="89">
        <f t="shared" si="4"/>
        <v>8.962088254</v>
      </c>
      <c r="O336" s="90"/>
      <c r="P336" s="90"/>
    </row>
    <row r="337">
      <c r="A337" s="85">
        <v>90301.0</v>
      </c>
      <c r="B337" s="98" t="s">
        <v>441</v>
      </c>
      <c r="C337" s="87">
        <v>1021.0</v>
      </c>
      <c r="D337" s="87">
        <v>153.0</v>
      </c>
      <c r="E337" s="87">
        <v>1187.0</v>
      </c>
      <c r="F337" s="88">
        <f t="shared" si="1"/>
        <v>86.96763203</v>
      </c>
      <c r="G337" s="87">
        <v>8160.0</v>
      </c>
      <c r="H337" s="89">
        <f t="shared" si="2"/>
        <v>14.54656863</v>
      </c>
      <c r="I337" s="90">
        <v>1438.0</v>
      </c>
      <c r="J337" s="90">
        <v>31.0</v>
      </c>
      <c r="K337" s="87">
        <v>1485.0</v>
      </c>
      <c r="L337" s="88">
        <f t="shared" si="3"/>
        <v>97.8897209</v>
      </c>
      <c r="M337" s="87">
        <v>12431.0</v>
      </c>
      <c r="N337" s="89">
        <f t="shared" si="4"/>
        <v>11.9459416</v>
      </c>
      <c r="O337" s="90"/>
      <c r="P337" s="90"/>
    </row>
    <row r="338">
      <c r="A338" s="85">
        <v>90302.0</v>
      </c>
      <c r="B338" s="98" t="s">
        <v>334</v>
      </c>
      <c r="C338" s="87">
        <v>969.0</v>
      </c>
      <c r="D338" s="87">
        <v>178.0</v>
      </c>
      <c r="E338" s="87">
        <v>1154.0</v>
      </c>
      <c r="F338" s="88">
        <f t="shared" si="1"/>
        <v>84.48125545</v>
      </c>
      <c r="G338" s="87">
        <v>7652.0</v>
      </c>
      <c r="H338" s="89">
        <f t="shared" si="2"/>
        <v>15.08102457</v>
      </c>
      <c r="I338" s="90">
        <v>1185.0</v>
      </c>
      <c r="J338" s="90">
        <v>75.0</v>
      </c>
      <c r="K338" s="87">
        <v>1276.0</v>
      </c>
      <c r="L338" s="88">
        <f t="shared" si="3"/>
        <v>94.04761905</v>
      </c>
      <c r="M338" s="87">
        <v>9832.0</v>
      </c>
      <c r="N338" s="89">
        <f t="shared" si="4"/>
        <v>12.97803092</v>
      </c>
      <c r="O338" s="90"/>
      <c r="P338" s="90"/>
    </row>
    <row r="339">
      <c r="A339" s="85">
        <v>90303.0</v>
      </c>
      <c r="B339" s="98" t="s">
        <v>442</v>
      </c>
      <c r="C339" s="87">
        <v>1189.0</v>
      </c>
      <c r="D339" s="87">
        <v>153.0</v>
      </c>
      <c r="E339" s="87">
        <v>1358.0</v>
      </c>
      <c r="F339" s="88">
        <f t="shared" si="1"/>
        <v>88.59910581</v>
      </c>
      <c r="G339" s="87">
        <v>8258.0</v>
      </c>
      <c r="H339" s="89">
        <f t="shared" si="2"/>
        <v>16.44465972</v>
      </c>
      <c r="I339" s="90">
        <v>1111.0</v>
      </c>
      <c r="J339" s="90">
        <v>45.0</v>
      </c>
      <c r="K339" s="87">
        <v>1161.0</v>
      </c>
      <c r="L339" s="88">
        <f t="shared" si="3"/>
        <v>96.10726644</v>
      </c>
      <c r="M339" s="87">
        <v>10522.0</v>
      </c>
      <c r="N339" s="89">
        <f t="shared" si="4"/>
        <v>11.03402395</v>
      </c>
      <c r="O339" s="90"/>
      <c r="P339" s="90"/>
    </row>
    <row r="340">
      <c r="A340" s="85">
        <v>90401.0</v>
      </c>
      <c r="B340" s="98" t="s">
        <v>361</v>
      </c>
      <c r="C340" s="87">
        <v>274.0</v>
      </c>
      <c r="D340" s="87">
        <v>57.0</v>
      </c>
      <c r="E340" s="87">
        <v>334.0</v>
      </c>
      <c r="F340" s="88">
        <f t="shared" si="1"/>
        <v>82.77945619</v>
      </c>
      <c r="G340" s="87">
        <v>2395.0</v>
      </c>
      <c r="H340" s="89">
        <f t="shared" si="2"/>
        <v>13.94572025</v>
      </c>
      <c r="I340" s="90">
        <v>245.0</v>
      </c>
      <c r="J340" s="90">
        <v>17.0</v>
      </c>
      <c r="K340" s="87">
        <v>263.0</v>
      </c>
      <c r="L340" s="88">
        <f t="shared" si="3"/>
        <v>93.51145038</v>
      </c>
      <c r="M340" s="87">
        <v>2889.0</v>
      </c>
      <c r="N340" s="89">
        <f t="shared" si="4"/>
        <v>9.103496019</v>
      </c>
      <c r="O340" s="90"/>
      <c r="P340" s="90"/>
    </row>
    <row r="341">
      <c r="A341" s="85">
        <v>90402.0</v>
      </c>
      <c r="B341" s="98" t="s">
        <v>104</v>
      </c>
      <c r="C341" s="87">
        <v>214.0</v>
      </c>
      <c r="D341" s="87">
        <v>79.0</v>
      </c>
      <c r="E341" s="87">
        <v>294.0</v>
      </c>
      <c r="F341" s="88">
        <f t="shared" si="1"/>
        <v>73.03754266</v>
      </c>
      <c r="G341" s="87">
        <v>1654.0</v>
      </c>
      <c r="H341" s="89">
        <f t="shared" si="2"/>
        <v>17.77509069</v>
      </c>
      <c r="I341" s="90">
        <v>246.0</v>
      </c>
      <c r="J341" s="90">
        <v>11.0</v>
      </c>
      <c r="K341" s="87">
        <v>258.0</v>
      </c>
      <c r="L341" s="88">
        <f t="shared" si="3"/>
        <v>95.71984436</v>
      </c>
      <c r="M341" s="87">
        <v>2600.0</v>
      </c>
      <c r="N341" s="89">
        <f t="shared" si="4"/>
        <v>9.923076923</v>
      </c>
      <c r="O341" s="90"/>
      <c r="P341" s="90"/>
    </row>
    <row r="342">
      <c r="A342" s="85">
        <v>90501.0</v>
      </c>
      <c r="B342" s="98" t="s">
        <v>445</v>
      </c>
      <c r="C342" s="87">
        <v>215.0</v>
      </c>
      <c r="D342" s="87">
        <v>40.0</v>
      </c>
      <c r="E342" s="87">
        <v>256.0</v>
      </c>
      <c r="F342" s="88">
        <f t="shared" si="1"/>
        <v>84.31372549</v>
      </c>
      <c r="G342" s="87">
        <v>2068.0</v>
      </c>
      <c r="H342" s="89">
        <f t="shared" si="2"/>
        <v>12.37911025</v>
      </c>
      <c r="I342" s="90">
        <v>152.0</v>
      </c>
      <c r="J342" s="90">
        <v>4.0</v>
      </c>
      <c r="K342" s="87">
        <v>158.0</v>
      </c>
      <c r="L342" s="88">
        <f t="shared" si="3"/>
        <v>97.43589744</v>
      </c>
      <c r="M342" s="87">
        <v>1598.0</v>
      </c>
      <c r="N342" s="89">
        <f t="shared" si="4"/>
        <v>9.887359199</v>
      </c>
      <c r="O342" s="90"/>
      <c r="P342" s="90"/>
    </row>
    <row r="343">
      <c r="A343" s="85">
        <v>90502.0</v>
      </c>
      <c r="B343" s="98" t="s">
        <v>446</v>
      </c>
      <c r="C343" s="87">
        <v>372.0</v>
      </c>
      <c r="D343" s="87">
        <v>72.0</v>
      </c>
      <c r="E343" s="87">
        <v>446.0</v>
      </c>
      <c r="F343" s="88">
        <f t="shared" si="1"/>
        <v>83.78378378</v>
      </c>
      <c r="G343" s="87">
        <v>2801.0</v>
      </c>
      <c r="H343" s="89">
        <f t="shared" si="2"/>
        <v>15.92288468</v>
      </c>
      <c r="I343" s="90">
        <v>234.0</v>
      </c>
      <c r="J343" s="90">
        <v>8.0</v>
      </c>
      <c r="K343" s="87">
        <v>245.0</v>
      </c>
      <c r="L343" s="88">
        <f t="shared" si="3"/>
        <v>96.69421488</v>
      </c>
      <c r="M343" s="87">
        <v>2511.0</v>
      </c>
      <c r="N343" s="89">
        <f t="shared" si="4"/>
        <v>9.757068897</v>
      </c>
      <c r="O343" s="90"/>
      <c r="P343" s="90"/>
    </row>
    <row r="344">
      <c r="A344" s="85">
        <v>90503.0</v>
      </c>
      <c r="B344" s="98" t="s">
        <v>447</v>
      </c>
      <c r="C344" s="87">
        <v>243.0</v>
      </c>
      <c r="D344" s="87">
        <v>59.0</v>
      </c>
      <c r="E344" s="87">
        <v>309.0</v>
      </c>
      <c r="F344" s="88">
        <f t="shared" si="1"/>
        <v>80.46357616</v>
      </c>
      <c r="G344" s="87">
        <v>2165.0</v>
      </c>
      <c r="H344" s="89">
        <f t="shared" si="2"/>
        <v>14.27251732</v>
      </c>
      <c r="I344" s="90">
        <v>196.0</v>
      </c>
      <c r="J344" s="90">
        <v>10.0</v>
      </c>
      <c r="K344" s="87">
        <v>209.0</v>
      </c>
      <c r="L344" s="88">
        <f t="shared" si="3"/>
        <v>95.14563107</v>
      </c>
      <c r="M344" s="87">
        <v>2347.0</v>
      </c>
      <c r="N344" s="89">
        <f t="shared" si="4"/>
        <v>8.904985087</v>
      </c>
      <c r="O344" s="90"/>
      <c r="P344" s="90"/>
    </row>
    <row r="345">
      <c r="B345" s="86"/>
      <c r="E345" s="87"/>
      <c r="H345" s="89"/>
      <c r="K345" s="87"/>
      <c r="N345" s="89"/>
    </row>
    <row r="346">
      <c r="B346" s="86"/>
      <c r="E346" s="87"/>
      <c r="H346" s="89"/>
      <c r="K346" s="87"/>
      <c r="N346" s="89"/>
    </row>
    <row r="347">
      <c r="B347" s="86"/>
      <c r="E347" s="87"/>
      <c r="H347" s="89"/>
      <c r="K347" s="87"/>
      <c r="N347" s="89"/>
    </row>
    <row r="348">
      <c r="B348" s="86"/>
      <c r="E348" s="87"/>
      <c r="H348" s="89"/>
      <c r="K348" s="87"/>
      <c r="N348" s="89"/>
    </row>
    <row r="349">
      <c r="B349" s="86"/>
      <c r="E349" s="87"/>
      <c r="H349" s="89"/>
      <c r="K349" s="87"/>
      <c r="N349" s="89"/>
    </row>
    <row r="350">
      <c r="B350" s="86"/>
      <c r="E350" s="87"/>
      <c r="H350" s="89"/>
      <c r="K350" s="87"/>
      <c r="N350" s="89"/>
    </row>
    <row r="351">
      <c r="B351" s="86"/>
      <c r="E351" s="87"/>
      <c r="H351" s="89"/>
      <c r="K351" s="87"/>
      <c r="N351" s="89"/>
    </row>
    <row r="352">
      <c r="B352" s="86"/>
      <c r="E352" s="87"/>
      <c r="H352" s="89"/>
      <c r="K352" s="87"/>
      <c r="N352" s="89"/>
    </row>
    <row r="353">
      <c r="B353" s="86"/>
      <c r="E353" s="87"/>
      <c r="H353" s="89"/>
      <c r="K353" s="87"/>
      <c r="N353" s="89"/>
    </row>
    <row r="354">
      <c r="B354" s="86"/>
      <c r="E354" s="87"/>
      <c r="H354" s="89"/>
      <c r="K354" s="87"/>
      <c r="N354" s="89"/>
    </row>
    <row r="355">
      <c r="B355" s="86"/>
      <c r="E355" s="87"/>
      <c r="H355" s="89"/>
      <c r="K355" s="87"/>
      <c r="N355" s="89"/>
    </row>
    <row r="356">
      <c r="B356" s="86"/>
      <c r="E356" s="87"/>
      <c r="H356" s="89"/>
      <c r="K356" s="87"/>
      <c r="N356" s="89"/>
    </row>
    <row r="357">
      <c r="B357" s="86"/>
      <c r="E357" s="87"/>
      <c r="H357" s="89"/>
      <c r="K357" s="87"/>
      <c r="N357" s="89"/>
    </row>
    <row r="358">
      <c r="B358" s="86"/>
      <c r="E358" s="87"/>
      <c r="H358" s="89"/>
      <c r="K358" s="87"/>
      <c r="N358" s="89"/>
    </row>
    <row r="359">
      <c r="B359" s="86"/>
      <c r="E359" s="87"/>
      <c r="H359" s="89"/>
      <c r="K359" s="87"/>
      <c r="N359" s="89"/>
    </row>
    <row r="360">
      <c r="B360" s="86"/>
      <c r="E360" s="87"/>
      <c r="H360" s="89"/>
      <c r="K360" s="87"/>
      <c r="N360" s="89"/>
    </row>
    <row r="361">
      <c r="B361" s="86"/>
      <c r="E361" s="87"/>
      <c r="H361" s="89"/>
      <c r="K361" s="87"/>
      <c r="N361" s="89"/>
    </row>
    <row r="362">
      <c r="B362" s="86"/>
      <c r="E362" s="87"/>
      <c r="H362" s="89"/>
      <c r="K362" s="87"/>
      <c r="N362" s="89"/>
    </row>
    <row r="363">
      <c r="B363" s="86"/>
      <c r="E363" s="87"/>
      <c r="H363" s="89"/>
      <c r="K363" s="87"/>
      <c r="N363" s="89"/>
    </row>
    <row r="364">
      <c r="B364" s="86"/>
      <c r="E364" s="87"/>
      <c r="H364" s="89"/>
      <c r="K364" s="87"/>
      <c r="N364" s="89"/>
    </row>
    <row r="365">
      <c r="B365" s="86"/>
      <c r="E365" s="87"/>
      <c r="H365" s="89"/>
      <c r="K365" s="87"/>
      <c r="N365" s="89"/>
    </row>
    <row r="366">
      <c r="B366" s="86"/>
      <c r="E366" s="87"/>
      <c r="H366" s="89"/>
      <c r="K366" s="87"/>
      <c r="N366" s="89"/>
    </row>
    <row r="367">
      <c r="B367" s="86"/>
      <c r="E367" s="87"/>
      <c r="H367" s="89"/>
      <c r="K367" s="87"/>
      <c r="N367" s="89"/>
    </row>
    <row r="368">
      <c r="B368" s="86"/>
      <c r="E368" s="87"/>
      <c r="H368" s="89"/>
      <c r="K368" s="87"/>
      <c r="N368" s="89"/>
    </row>
    <row r="369">
      <c r="B369" s="86"/>
      <c r="E369" s="87"/>
      <c r="H369" s="89"/>
      <c r="K369" s="87"/>
      <c r="N369" s="89"/>
    </row>
    <row r="370">
      <c r="B370" s="86"/>
      <c r="E370" s="87"/>
      <c r="H370" s="89"/>
      <c r="K370" s="87"/>
      <c r="N370" s="89"/>
    </row>
    <row r="371">
      <c r="B371" s="86"/>
      <c r="E371" s="87"/>
      <c r="H371" s="89"/>
      <c r="K371" s="87"/>
      <c r="N371" s="89"/>
    </row>
    <row r="372">
      <c r="B372" s="86"/>
      <c r="E372" s="87"/>
      <c r="H372" s="89"/>
      <c r="K372" s="87"/>
      <c r="N372" s="89"/>
    </row>
    <row r="373">
      <c r="B373" s="86"/>
      <c r="E373" s="87"/>
      <c r="H373" s="89"/>
      <c r="K373" s="87"/>
      <c r="N373" s="89"/>
    </row>
    <row r="374">
      <c r="B374" s="86"/>
      <c r="E374" s="87"/>
      <c r="H374" s="89"/>
      <c r="K374" s="87"/>
      <c r="N374" s="89"/>
    </row>
    <row r="375">
      <c r="B375" s="86"/>
      <c r="E375" s="87"/>
      <c r="H375" s="89"/>
      <c r="K375" s="87"/>
      <c r="N375" s="89"/>
    </row>
    <row r="376">
      <c r="B376" s="86"/>
      <c r="E376" s="87"/>
      <c r="H376" s="89"/>
      <c r="K376" s="87"/>
      <c r="N376" s="89"/>
    </row>
    <row r="377">
      <c r="B377" s="86"/>
      <c r="E377" s="87"/>
      <c r="H377" s="89"/>
      <c r="K377" s="87"/>
      <c r="N377" s="89"/>
    </row>
    <row r="378">
      <c r="B378" s="86"/>
      <c r="E378" s="87"/>
      <c r="H378" s="89"/>
      <c r="K378" s="87"/>
      <c r="N378" s="89"/>
    </row>
    <row r="379">
      <c r="B379" s="86"/>
      <c r="E379" s="87"/>
      <c r="H379" s="89"/>
      <c r="K379" s="87"/>
      <c r="N379" s="89"/>
    </row>
    <row r="380">
      <c r="B380" s="86"/>
      <c r="E380" s="87"/>
      <c r="H380" s="89"/>
      <c r="K380" s="87"/>
      <c r="N380" s="89"/>
    </row>
    <row r="381">
      <c r="B381" s="86"/>
      <c r="E381" s="87"/>
      <c r="H381" s="89"/>
      <c r="K381" s="87"/>
      <c r="N381" s="89"/>
    </row>
    <row r="382">
      <c r="B382" s="86"/>
      <c r="E382" s="87"/>
      <c r="H382" s="89"/>
      <c r="K382" s="87"/>
      <c r="N382" s="89"/>
    </row>
    <row r="383">
      <c r="B383" s="86"/>
      <c r="E383" s="87"/>
      <c r="H383" s="89"/>
      <c r="K383" s="87"/>
      <c r="N383" s="89"/>
    </row>
    <row r="384">
      <c r="B384" s="86"/>
      <c r="E384" s="87"/>
      <c r="H384" s="89"/>
      <c r="K384" s="87"/>
      <c r="N384" s="89"/>
    </row>
    <row r="385">
      <c r="B385" s="86"/>
      <c r="E385" s="87"/>
      <c r="H385" s="89"/>
      <c r="K385" s="87"/>
      <c r="N385" s="89"/>
    </row>
    <row r="386">
      <c r="B386" s="86"/>
      <c r="E386" s="87"/>
      <c r="H386" s="89"/>
      <c r="K386" s="87"/>
      <c r="N386" s="89"/>
    </row>
    <row r="387">
      <c r="B387" s="86"/>
      <c r="E387" s="87"/>
      <c r="H387" s="89"/>
      <c r="K387" s="87"/>
      <c r="N387" s="89"/>
    </row>
    <row r="388">
      <c r="B388" s="86"/>
      <c r="E388" s="87"/>
      <c r="H388" s="89"/>
      <c r="K388" s="87"/>
      <c r="N388" s="89"/>
    </row>
    <row r="389">
      <c r="B389" s="86"/>
      <c r="E389" s="87"/>
      <c r="H389" s="89"/>
      <c r="K389" s="87"/>
      <c r="N389" s="89"/>
    </row>
    <row r="390">
      <c r="B390" s="86"/>
      <c r="E390" s="87"/>
      <c r="H390" s="89"/>
      <c r="K390" s="87"/>
      <c r="N390" s="89"/>
    </row>
    <row r="391">
      <c r="B391" s="86"/>
      <c r="E391" s="87"/>
      <c r="H391" s="89"/>
      <c r="K391" s="87"/>
      <c r="N391" s="89"/>
    </row>
    <row r="392">
      <c r="B392" s="86"/>
      <c r="E392" s="87"/>
      <c r="H392" s="89"/>
      <c r="K392" s="87"/>
      <c r="N392" s="89"/>
    </row>
    <row r="393">
      <c r="B393" s="86"/>
      <c r="E393" s="87"/>
      <c r="H393" s="89"/>
      <c r="K393" s="87"/>
      <c r="N393" s="89"/>
    </row>
    <row r="394">
      <c r="B394" s="86"/>
      <c r="E394" s="87"/>
      <c r="H394" s="89"/>
      <c r="K394" s="87"/>
      <c r="N394" s="89"/>
    </row>
    <row r="395">
      <c r="B395" s="86"/>
      <c r="E395" s="87"/>
      <c r="H395" s="89"/>
      <c r="K395" s="87"/>
      <c r="N395" s="89"/>
    </row>
    <row r="396">
      <c r="B396" s="86"/>
      <c r="E396" s="87"/>
      <c r="H396" s="89"/>
      <c r="K396" s="87"/>
      <c r="N396" s="89"/>
    </row>
    <row r="397">
      <c r="B397" s="86"/>
      <c r="E397" s="87"/>
      <c r="H397" s="89"/>
      <c r="K397" s="87"/>
      <c r="N397" s="89"/>
    </row>
    <row r="398">
      <c r="B398" s="86"/>
      <c r="E398" s="87"/>
      <c r="H398" s="89"/>
      <c r="K398" s="87"/>
      <c r="N398" s="89"/>
    </row>
    <row r="399">
      <c r="B399" s="86"/>
      <c r="E399" s="87"/>
      <c r="H399" s="89"/>
      <c r="K399" s="87"/>
      <c r="N399" s="89"/>
    </row>
    <row r="400">
      <c r="B400" s="86"/>
      <c r="E400" s="87"/>
      <c r="H400" s="89"/>
      <c r="K400" s="87"/>
      <c r="N400" s="89"/>
    </row>
    <row r="401">
      <c r="B401" s="86"/>
      <c r="E401" s="87"/>
      <c r="H401" s="89"/>
      <c r="K401" s="87"/>
      <c r="N401" s="89"/>
    </row>
    <row r="402">
      <c r="B402" s="86"/>
      <c r="E402" s="87"/>
      <c r="H402" s="89"/>
      <c r="K402" s="87"/>
      <c r="N402" s="89"/>
    </row>
    <row r="403">
      <c r="B403" s="86"/>
      <c r="E403" s="87"/>
      <c r="H403" s="89"/>
      <c r="K403" s="87"/>
      <c r="N403" s="89"/>
    </row>
    <row r="404">
      <c r="B404" s="86"/>
      <c r="E404" s="87"/>
      <c r="H404" s="89"/>
      <c r="K404" s="87"/>
      <c r="N404" s="89"/>
    </row>
    <row r="405">
      <c r="B405" s="86"/>
      <c r="E405" s="87"/>
      <c r="H405" s="89"/>
      <c r="K405" s="87"/>
      <c r="N405" s="89"/>
    </row>
    <row r="406">
      <c r="B406" s="86"/>
      <c r="E406" s="87"/>
      <c r="H406" s="89"/>
      <c r="K406" s="87"/>
      <c r="N406" s="89"/>
    </row>
    <row r="407">
      <c r="B407" s="86"/>
      <c r="E407" s="87"/>
      <c r="H407" s="89"/>
      <c r="K407" s="87"/>
      <c r="N407" s="89"/>
    </row>
    <row r="408">
      <c r="B408" s="86"/>
      <c r="E408" s="87"/>
      <c r="H408" s="89"/>
      <c r="K408" s="87"/>
      <c r="N408" s="89"/>
    </row>
    <row r="409">
      <c r="B409" s="86"/>
      <c r="E409" s="87"/>
      <c r="H409" s="89"/>
      <c r="K409" s="87"/>
      <c r="N409" s="89"/>
    </row>
    <row r="410">
      <c r="B410" s="86"/>
      <c r="E410" s="87"/>
      <c r="H410" s="89"/>
      <c r="K410" s="87"/>
      <c r="N410" s="89"/>
    </row>
    <row r="411">
      <c r="B411" s="86"/>
      <c r="E411" s="87"/>
      <c r="H411" s="89"/>
      <c r="K411" s="87"/>
      <c r="N411" s="89"/>
    </row>
    <row r="412">
      <c r="B412" s="86"/>
      <c r="E412" s="87"/>
      <c r="H412" s="89"/>
      <c r="K412" s="87"/>
      <c r="N412" s="89"/>
    </row>
    <row r="413">
      <c r="B413" s="86"/>
      <c r="E413" s="87"/>
      <c r="H413" s="89"/>
      <c r="K413" s="87"/>
      <c r="N413" s="89"/>
    </row>
    <row r="414">
      <c r="B414" s="86"/>
      <c r="E414" s="87"/>
      <c r="H414" s="89"/>
      <c r="K414" s="87"/>
      <c r="N414" s="89"/>
    </row>
    <row r="415">
      <c r="B415" s="86"/>
      <c r="E415" s="87"/>
      <c r="H415" s="89"/>
      <c r="K415" s="87"/>
      <c r="N415" s="89"/>
    </row>
    <row r="416">
      <c r="B416" s="86"/>
      <c r="E416" s="87"/>
      <c r="H416" s="89"/>
      <c r="K416" s="87"/>
      <c r="N416" s="89"/>
    </row>
    <row r="417">
      <c r="B417" s="86"/>
      <c r="E417" s="87"/>
      <c r="H417" s="89"/>
      <c r="K417" s="87"/>
      <c r="N417" s="89"/>
    </row>
    <row r="418">
      <c r="B418" s="86"/>
      <c r="E418" s="87"/>
      <c r="H418" s="89"/>
      <c r="K418" s="87"/>
      <c r="N418" s="89"/>
    </row>
    <row r="419">
      <c r="B419" s="86"/>
      <c r="E419" s="87"/>
      <c r="H419" s="89"/>
      <c r="K419" s="87"/>
      <c r="N419" s="89"/>
    </row>
    <row r="420">
      <c r="B420" s="86"/>
      <c r="E420" s="87"/>
      <c r="H420" s="89"/>
      <c r="K420" s="87"/>
      <c r="N420" s="89"/>
    </row>
    <row r="421">
      <c r="B421" s="86"/>
      <c r="E421" s="87"/>
      <c r="H421" s="89"/>
      <c r="K421" s="87"/>
      <c r="N421" s="89"/>
    </row>
    <row r="422">
      <c r="B422" s="86"/>
      <c r="E422" s="87"/>
      <c r="H422" s="89"/>
      <c r="K422" s="87"/>
      <c r="N422" s="89"/>
    </row>
    <row r="423">
      <c r="B423" s="86"/>
      <c r="E423" s="87"/>
      <c r="H423" s="89"/>
      <c r="K423" s="87"/>
      <c r="N423" s="89"/>
    </row>
    <row r="424">
      <c r="B424" s="86"/>
      <c r="E424" s="87"/>
      <c r="H424" s="89"/>
      <c r="K424" s="87"/>
      <c r="N424" s="89"/>
    </row>
    <row r="425">
      <c r="B425" s="86"/>
      <c r="E425" s="87"/>
      <c r="H425" s="89"/>
      <c r="K425" s="87"/>
      <c r="N425" s="89"/>
    </row>
    <row r="426">
      <c r="B426" s="86"/>
      <c r="E426" s="87"/>
      <c r="H426" s="89"/>
      <c r="K426" s="87"/>
      <c r="N426" s="89"/>
    </row>
    <row r="427">
      <c r="B427" s="86"/>
      <c r="E427" s="87"/>
      <c r="H427" s="89"/>
      <c r="K427" s="87"/>
      <c r="N427" s="89"/>
    </row>
    <row r="428">
      <c r="B428" s="86"/>
      <c r="E428" s="87"/>
      <c r="H428" s="89"/>
      <c r="K428" s="87"/>
      <c r="N428" s="89"/>
    </row>
    <row r="429">
      <c r="B429" s="86"/>
      <c r="E429" s="87"/>
      <c r="H429" s="89"/>
      <c r="K429" s="87"/>
      <c r="N429" s="89"/>
    </row>
    <row r="430">
      <c r="B430" s="86"/>
      <c r="E430" s="87"/>
      <c r="H430" s="89"/>
      <c r="K430" s="87"/>
      <c r="N430" s="89"/>
    </row>
    <row r="431">
      <c r="B431" s="86"/>
      <c r="E431" s="87"/>
      <c r="H431" s="89"/>
      <c r="K431" s="87"/>
      <c r="N431" s="89"/>
    </row>
    <row r="432">
      <c r="B432" s="86"/>
      <c r="E432" s="87"/>
      <c r="H432" s="89"/>
      <c r="K432" s="87"/>
      <c r="N432" s="89"/>
    </row>
    <row r="433">
      <c r="B433" s="86"/>
      <c r="E433" s="87"/>
      <c r="H433" s="89"/>
      <c r="K433" s="87"/>
      <c r="N433" s="89"/>
    </row>
    <row r="434">
      <c r="B434" s="86"/>
      <c r="E434" s="87"/>
      <c r="H434" s="89"/>
      <c r="K434" s="87"/>
      <c r="N434" s="89"/>
    </row>
    <row r="435">
      <c r="B435" s="86"/>
      <c r="E435" s="87"/>
      <c r="H435" s="89"/>
      <c r="K435" s="87"/>
      <c r="N435" s="89"/>
    </row>
    <row r="436">
      <c r="B436" s="86"/>
      <c r="E436" s="87"/>
      <c r="H436" s="89"/>
      <c r="K436" s="87"/>
      <c r="N436" s="89"/>
    </row>
    <row r="437">
      <c r="B437" s="86"/>
      <c r="E437" s="87"/>
      <c r="H437" s="89"/>
      <c r="K437" s="87"/>
      <c r="N437" s="89"/>
    </row>
    <row r="438">
      <c r="B438" s="86"/>
      <c r="E438" s="87"/>
      <c r="H438" s="89"/>
      <c r="K438" s="87"/>
      <c r="N438" s="89"/>
    </row>
    <row r="439">
      <c r="B439" s="86"/>
      <c r="E439" s="87"/>
      <c r="H439" s="89"/>
      <c r="K439" s="87"/>
      <c r="N439" s="89"/>
    </row>
    <row r="440">
      <c r="B440" s="86"/>
      <c r="E440" s="87"/>
      <c r="H440" s="89"/>
      <c r="K440" s="87"/>
      <c r="N440" s="89"/>
    </row>
    <row r="441">
      <c r="B441" s="86"/>
      <c r="E441" s="87"/>
      <c r="H441" s="89"/>
      <c r="K441" s="87"/>
      <c r="N441" s="89"/>
    </row>
    <row r="442">
      <c r="B442" s="86"/>
      <c r="E442" s="87"/>
      <c r="H442" s="89"/>
      <c r="K442" s="87"/>
      <c r="N442" s="89"/>
    </row>
    <row r="443">
      <c r="B443" s="86"/>
      <c r="E443" s="87"/>
      <c r="H443" s="89"/>
      <c r="K443" s="87"/>
      <c r="N443" s="89"/>
    </row>
    <row r="444">
      <c r="B444" s="86"/>
      <c r="E444" s="87"/>
      <c r="H444" s="89"/>
      <c r="K444" s="87"/>
      <c r="N444" s="89"/>
    </row>
    <row r="445">
      <c r="B445" s="86"/>
      <c r="E445" s="87"/>
      <c r="H445" s="89"/>
      <c r="K445" s="87"/>
      <c r="N445" s="89"/>
    </row>
    <row r="446">
      <c r="B446" s="86"/>
      <c r="E446" s="87"/>
      <c r="H446" s="89"/>
      <c r="K446" s="87"/>
      <c r="N446" s="89"/>
    </row>
    <row r="447">
      <c r="B447" s="86"/>
      <c r="E447" s="87"/>
      <c r="H447" s="89"/>
      <c r="K447" s="87"/>
      <c r="N447" s="89"/>
    </row>
    <row r="448">
      <c r="B448" s="86"/>
      <c r="E448" s="87"/>
      <c r="H448" s="89"/>
      <c r="K448" s="87"/>
      <c r="N448" s="89"/>
    </row>
    <row r="449">
      <c r="B449" s="86"/>
      <c r="E449" s="87"/>
      <c r="H449" s="89"/>
      <c r="K449" s="87"/>
      <c r="N449" s="89"/>
    </row>
    <row r="450">
      <c r="B450" s="86"/>
      <c r="E450" s="87"/>
      <c r="H450" s="89"/>
      <c r="K450" s="87"/>
      <c r="N450" s="89"/>
    </row>
    <row r="451">
      <c r="B451" s="86"/>
      <c r="E451" s="87"/>
      <c r="H451" s="89"/>
      <c r="K451" s="87"/>
      <c r="N451" s="89"/>
    </row>
    <row r="452">
      <c r="B452" s="86"/>
      <c r="E452" s="87"/>
      <c r="H452" s="89"/>
      <c r="K452" s="87"/>
      <c r="N452" s="89"/>
    </row>
    <row r="453">
      <c r="B453" s="86"/>
      <c r="E453" s="87"/>
      <c r="H453" s="89"/>
      <c r="K453" s="87"/>
      <c r="N453" s="89"/>
    </row>
    <row r="454">
      <c r="B454" s="86"/>
      <c r="E454" s="87"/>
      <c r="H454" s="89"/>
      <c r="K454" s="87"/>
      <c r="N454" s="89"/>
    </row>
    <row r="455">
      <c r="B455" s="86"/>
      <c r="E455" s="87"/>
      <c r="H455" s="89"/>
      <c r="K455" s="87"/>
      <c r="N455" s="89"/>
    </row>
    <row r="456">
      <c r="B456" s="86"/>
      <c r="E456" s="87"/>
      <c r="H456" s="89"/>
      <c r="K456" s="87"/>
      <c r="N456" s="89"/>
    </row>
    <row r="457">
      <c r="B457" s="86"/>
      <c r="E457" s="87"/>
      <c r="H457" s="89"/>
      <c r="K457" s="87"/>
      <c r="N457" s="89"/>
    </row>
    <row r="458">
      <c r="B458" s="86"/>
      <c r="E458" s="87"/>
      <c r="H458" s="89"/>
      <c r="K458" s="87"/>
      <c r="N458" s="89"/>
    </row>
    <row r="459">
      <c r="B459" s="86"/>
      <c r="E459" s="87"/>
      <c r="H459" s="89"/>
      <c r="K459" s="87"/>
      <c r="N459" s="89"/>
    </row>
    <row r="460">
      <c r="B460" s="86"/>
      <c r="E460" s="87"/>
      <c r="H460" s="89"/>
      <c r="K460" s="87"/>
      <c r="N460" s="89"/>
    </row>
    <row r="461">
      <c r="B461" s="86"/>
      <c r="E461" s="87"/>
      <c r="H461" s="89"/>
      <c r="K461" s="87"/>
      <c r="N461" s="89"/>
    </row>
    <row r="462">
      <c r="B462" s="86"/>
      <c r="E462" s="87"/>
      <c r="H462" s="89"/>
      <c r="K462" s="87"/>
      <c r="N462" s="89"/>
    </row>
    <row r="463">
      <c r="B463" s="86"/>
      <c r="E463" s="87"/>
      <c r="H463" s="89"/>
      <c r="K463" s="87"/>
      <c r="N463" s="89"/>
    </row>
    <row r="464">
      <c r="B464" s="86"/>
      <c r="E464" s="87"/>
      <c r="H464" s="89"/>
      <c r="K464" s="87"/>
      <c r="N464" s="89"/>
    </row>
    <row r="465">
      <c r="B465" s="86"/>
      <c r="E465" s="87"/>
      <c r="H465" s="89"/>
      <c r="K465" s="87"/>
      <c r="N465" s="89"/>
    </row>
    <row r="466">
      <c r="B466" s="86"/>
      <c r="E466" s="87"/>
      <c r="H466" s="89"/>
      <c r="K466" s="87"/>
      <c r="N466" s="89"/>
    </row>
    <row r="467">
      <c r="B467" s="86"/>
      <c r="E467" s="87"/>
      <c r="H467" s="89"/>
      <c r="K467" s="87"/>
      <c r="N467" s="89"/>
    </row>
    <row r="468">
      <c r="B468" s="86"/>
      <c r="E468" s="87"/>
      <c r="H468" s="89"/>
      <c r="K468" s="87"/>
      <c r="N468" s="89"/>
    </row>
    <row r="469">
      <c r="B469" s="86"/>
      <c r="E469" s="87"/>
      <c r="H469" s="89"/>
      <c r="K469" s="87"/>
      <c r="N469" s="89"/>
    </row>
    <row r="470">
      <c r="B470" s="86"/>
      <c r="E470" s="87"/>
      <c r="H470" s="89"/>
      <c r="K470" s="87"/>
      <c r="N470" s="89"/>
    </row>
    <row r="471">
      <c r="B471" s="86"/>
      <c r="E471" s="87"/>
      <c r="H471" s="89"/>
      <c r="K471" s="87"/>
      <c r="N471" s="89"/>
    </row>
    <row r="472">
      <c r="B472" s="86"/>
      <c r="E472" s="87"/>
      <c r="H472" s="89"/>
      <c r="K472" s="87"/>
      <c r="N472" s="89"/>
    </row>
    <row r="473">
      <c r="B473" s="86"/>
      <c r="E473" s="87"/>
      <c r="H473" s="89"/>
      <c r="K473" s="87"/>
      <c r="N473" s="89"/>
    </row>
    <row r="474">
      <c r="B474" s="86"/>
      <c r="E474" s="87"/>
      <c r="H474" s="89"/>
      <c r="K474" s="87"/>
      <c r="N474" s="89"/>
    </row>
    <row r="475">
      <c r="B475" s="86"/>
      <c r="E475" s="87"/>
      <c r="H475" s="89"/>
      <c r="K475" s="87"/>
      <c r="N475" s="89"/>
    </row>
    <row r="476">
      <c r="B476" s="86"/>
      <c r="E476" s="87"/>
      <c r="H476" s="89"/>
      <c r="K476" s="87"/>
      <c r="N476" s="89"/>
    </row>
    <row r="477">
      <c r="B477" s="86"/>
      <c r="E477" s="87"/>
      <c r="H477" s="89"/>
      <c r="K477" s="87"/>
      <c r="N477" s="89"/>
    </row>
    <row r="478">
      <c r="B478" s="86"/>
      <c r="E478" s="87"/>
      <c r="H478" s="89"/>
      <c r="K478" s="87"/>
      <c r="N478" s="89"/>
    </row>
    <row r="479">
      <c r="B479" s="86"/>
      <c r="E479" s="87"/>
      <c r="H479" s="89"/>
      <c r="K479" s="87"/>
      <c r="N479" s="89"/>
    </row>
    <row r="480">
      <c r="B480" s="86"/>
      <c r="E480" s="87"/>
      <c r="H480" s="89"/>
      <c r="K480" s="87"/>
      <c r="N480" s="89"/>
    </row>
    <row r="481">
      <c r="B481" s="86"/>
      <c r="E481" s="87"/>
      <c r="H481" s="89"/>
      <c r="K481" s="87"/>
      <c r="N481" s="89"/>
    </row>
    <row r="482">
      <c r="B482" s="86"/>
      <c r="E482" s="87"/>
      <c r="H482" s="89"/>
      <c r="K482" s="87"/>
      <c r="N482" s="89"/>
    </row>
    <row r="483">
      <c r="B483" s="86"/>
      <c r="E483" s="87"/>
      <c r="H483" s="89"/>
      <c r="K483" s="87"/>
      <c r="N483" s="89"/>
    </row>
    <row r="484">
      <c r="B484" s="86"/>
      <c r="E484" s="87"/>
      <c r="H484" s="89"/>
      <c r="K484" s="87"/>
      <c r="N484" s="89"/>
    </row>
    <row r="485">
      <c r="B485" s="86"/>
      <c r="E485" s="87"/>
      <c r="H485" s="89"/>
      <c r="K485" s="87"/>
      <c r="N485" s="89"/>
    </row>
    <row r="486">
      <c r="B486" s="86"/>
      <c r="E486" s="87"/>
      <c r="H486" s="89"/>
      <c r="K486" s="87"/>
      <c r="N486" s="89"/>
    </row>
    <row r="487">
      <c r="B487" s="86"/>
      <c r="E487" s="87"/>
      <c r="H487" s="89"/>
      <c r="K487" s="87"/>
      <c r="N487" s="89"/>
    </row>
    <row r="488">
      <c r="B488" s="86"/>
      <c r="E488" s="87"/>
      <c r="H488" s="89"/>
      <c r="K488" s="87"/>
      <c r="N488" s="89"/>
    </row>
    <row r="489">
      <c r="B489" s="86"/>
      <c r="E489" s="87"/>
      <c r="H489" s="89"/>
      <c r="K489" s="87"/>
      <c r="N489" s="89"/>
    </row>
    <row r="490">
      <c r="B490" s="86"/>
      <c r="E490" s="87"/>
      <c r="H490" s="89"/>
      <c r="K490" s="87"/>
      <c r="N490" s="89"/>
    </row>
    <row r="491">
      <c r="B491" s="86"/>
      <c r="E491" s="87"/>
      <c r="H491" s="89"/>
      <c r="K491" s="87"/>
      <c r="N491" s="89"/>
    </row>
    <row r="492">
      <c r="B492" s="86"/>
      <c r="E492" s="87"/>
      <c r="H492" s="89"/>
      <c r="K492" s="87"/>
      <c r="N492" s="89"/>
    </row>
    <row r="493">
      <c r="B493" s="86"/>
      <c r="E493" s="87"/>
      <c r="H493" s="89"/>
      <c r="K493" s="87"/>
      <c r="N493" s="89"/>
    </row>
    <row r="494">
      <c r="B494" s="86"/>
      <c r="E494" s="87"/>
      <c r="H494" s="89"/>
      <c r="K494" s="87"/>
      <c r="N494" s="89"/>
    </row>
    <row r="495">
      <c r="B495" s="86"/>
      <c r="E495" s="87"/>
      <c r="H495" s="89"/>
      <c r="K495" s="87"/>
      <c r="N495" s="89"/>
    </row>
    <row r="496">
      <c r="B496" s="86"/>
      <c r="E496" s="87"/>
      <c r="H496" s="89"/>
      <c r="K496" s="87"/>
      <c r="N496" s="89"/>
    </row>
    <row r="497">
      <c r="B497" s="86"/>
      <c r="E497" s="87"/>
      <c r="H497" s="89"/>
      <c r="K497" s="87"/>
      <c r="N497" s="89"/>
    </row>
    <row r="498">
      <c r="B498" s="86"/>
      <c r="E498" s="87"/>
      <c r="H498" s="89"/>
      <c r="K498" s="87"/>
      <c r="N498" s="89"/>
    </row>
    <row r="499">
      <c r="B499" s="86"/>
      <c r="E499" s="87"/>
      <c r="H499" s="89"/>
      <c r="K499" s="87"/>
      <c r="N499" s="89"/>
    </row>
    <row r="500">
      <c r="B500" s="86"/>
      <c r="E500" s="87"/>
      <c r="H500" s="89"/>
      <c r="K500" s="87"/>
      <c r="N500" s="89"/>
    </row>
    <row r="501">
      <c r="B501" s="86"/>
      <c r="E501" s="87"/>
      <c r="H501" s="89"/>
      <c r="K501" s="87"/>
      <c r="N501" s="89"/>
    </row>
    <row r="502">
      <c r="B502" s="86"/>
      <c r="E502" s="87"/>
      <c r="H502" s="89"/>
      <c r="K502" s="87"/>
      <c r="N502" s="89"/>
    </row>
    <row r="503">
      <c r="B503" s="86"/>
      <c r="E503" s="87"/>
      <c r="H503" s="89"/>
      <c r="K503" s="87"/>
      <c r="N503" s="89"/>
    </row>
    <row r="504">
      <c r="B504" s="86"/>
      <c r="E504" s="87"/>
      <c r="H504" s="89"/>
      <c r="K504" s="87"/>
      <c r="N504" s="89"/>
    </row>
    <row r="505">
      <c r="B505" s="86"/>
      <c r="E505" s="87"/>
      <c r="H505" s="89"/>
      <c r="K505" s="87"/>
      <c r="N505" s="89"/>
    </row>
    <row r="506">
      <c r="B506" s="86"/>
      <c r="E506" s="87"/>
      <c r="H506" s="89"/>
      <c r="K506" s="87"/>
      <c r="N506" s="89"/>
    </row>
    <row r="507">
      <c r="B507" s="86"/>
      <c r="E507" s="87"/>
      <c r="H507" s="89"/>
      <c r="K507" s="87"/>
      <c r="N507" s="89"/>
    </row>
    <row r="508">
      <c r="B508" s="86"/>
      <c r="E508" s="87"/>
      <c r="H508" s="89"/>
      <c r="K508" s="87"/>
      <c r="N508" s="89"/>
    </row>
    <row r="509">
      <c r="B509" s="86"/>
      <c r="E509" s="87"/>
      <c r="H509" s="89"/>
      <c r="K509" s="87"/>
      <c r="N509" s="89"/>
    </row>
    <row r="510">
      <c r="B510" s="86"/>
      <c r="E510" s="87"/>
      <c r="H510" s="89"/>
      <c r="K510" s="87"/>
      <c r="N510" s="89"/>
    </row>
    <row r="511">
      <c r="B511" s="86"/>
      <c r="E511" s="87"/>
      <c r="H511" s="89"/>
      <c r="K511" s="87"/>
      <c r="N511" s="89"/>
    </row>
    <row r="512">
      <c r="B512" s="86"/>
      <c r="E512" s="87"/>
      <c r="H512" s="89"/>
      <c r="K512" s="87"/>
      <c r="N512" s="89"/>
    </row>
    <row r="513">
      <c r="B513" s="86"/>
      <c r="E513" s="87"/>
      <c r="H513" s="89"/>
      <c r="K513" s="87"/>
      <c r="N513" s="89"/>
    </row>
    <row r="514">
      <c r="B514" s="86"/>
      <c r="E514" s="87"/>
      <c r="H514" s="89"/>
      <c r="K514" s="87"/>
      <c r="N514" s="89"/>
    </row>
    <row r="515">
      <c r="B515" s="86"/>
      <c r="E515" s="87"/>
      <c r="H515" s="89"/>
      <c r="K515" s="87"/>
      <c r="N515" s="89"/>
    </row>
    <row r="516">
      <c r="B516" s="86"/>
      <c r="E516" s="87"/>
      <c r="H516" s="89"/>
      <c r="K516" s="87"/>
      <c r="N516" s="89"/>
    </row>
    <row r="517">
      <c r="B517" s="86"/>
      <c r="E517" s="87"/>
      <c r="H517" s="89"/>
      <c r="K517" s="87"/>
      <c r="N517" s="89"/>
    </row>
    <row r="518">
      <c r="B518" s="86"/>
      <c r="E518" s="87"/>
      <c r="H518" s="89"/>
      <c r="K518" s="87"/>
      <c r="N518" s="89"/>
    </row>
    <row r="519">
      <c r="B519" s="86"/>
      <c r="E519" s="87"/>
      <c r="H519" s="89"/>
      <c r="K519" s="87"/>
      <c r="N519" s="89"/>
    </row>
    <row r="520">
      <c r="B520" s="86"/>
      <c r="E520" s="87"/>
      <c r="H520" s="89"/>
      <c r="K520" s="87"/>
      <c r="N520" s="89"/>
    </row>
    <row r="521">
      <c r="B521" s="86"/>
      <c r="E521" s="87"/>
      <c r="H521" s="89"/>
      <c r="K521" s="87"/>
      <c r="N521" s="89"/>
    </row>
    <row r="522">
      <c r="B522" s="86"/>
      <c r="E522" s="87"/>
      <c r="H522" s="89"/>
      <c r="K522" s="87"/>
      <c r="N522" s="89"/>
    </row>
    <row r="523">
      <c r="B523" s="86"/>
      <c r="E523" s="87"/>
      <c r="H523" s="89"/>
      <c r="K523" s="87"/>
      <c r="N523" s="89"/>
    </row>
    <row r="524">
      <c r="B524" s="86"/>
      <c r="E524" s="87"/>
      <c r="H524" s="89"/>
      <c r="K524" s="87"/>
      <c r="N524" s="89"/>
    </row>
    <row r="525">
      <c r="B525" s="86"/>
      <c r="E525" s="87"/>
      <c r="H525" s="89"/>
      <c r="K525" s="87"/>
      <c r="N525" s="89"/>
    </row>
    <row r="526">
      <c r="B526" s="86"/>
      <c r="E526" s="87"/>
      <c r="H526" s="89"/>
      <c r="K526" s="87"/>
      <c r="N526" s="89"/>
    </row>
    <row r="527">
      <c r="B527" s="86"/>
      <c r="E527" s="87"/>
      <c r="H527" s="89"/>
      <c r="K527" s="87"/>
      <c r="N527" s="89"/>
    </row>
    <row r="528">
      <c r="B528" s="86"/>
      <c r="E528" s="87"/>
      <c r="H528" s="89"/>
      <c r="K528" s="87"/>
      <c r="N528" s="89"/>
    </row>
    <row r="529">
      <c r="B529" s="86"/>
      <c r="E529" s="87"/>
      <c r="H529" s="89"/>
      <c r="K529" s="87"/>
      <c r="N529" s="89"/>
    </row>
    <row r="530">
      <c r="B530" s="86"/>
      <c r="E530" s="87"/>
      <c r="H530" s="89"/>
      <c r="K530" s="87"/>
      <c r="N530" s="89"/>
    </row>
    <row r="531">
      <c r="B531" s="86"/>
      <c r="E531" s="87"/>
      <c r="H531" s="89"/>
      <c r="K531" s="87"/>
      <c r="N531" s="89"/>
    </row>
    <row r="532">
      <c r="B532" s="86"/>
      <c r="E532" s="87"/>
      <c r="H532" s="89"/>
      <c r="K532" s="87"/>
      <c r="N532" s="89"/>
    </row>
    <row r="533">
      <c r="B533" s="86"/>
      <c r="E533" s="87"/>
      <c r="H533" s="89"/>
      <c r="K533" s="87"/>
      <c r="N533" s="89"/>
    </row>
    <row r="534">
      <c r="B534" s="86"/>
      <c r="E534" s="87"/>
      <c r="H534" s="89"/>
      <c r="K534" s="87"/>
      <c r="N534" s="89"/>
    </row>
    <row r="535">
      <c r="B535" s="86"/>
      <c r="E535" s="87"/>
      <c r="H535" s="89"/>
      <c r="K535" s="87"/>
      <c r="N535" s="89"/>
    </row>
    <row r="536">
      <c r="B536" s="86"/>
      <c r="E536" s="87"/>
      <c r="H536" s="89"/>
      <c r="K536" s="87"/>
      <c r="N536" s="89"/>
    </row>
    <row r="537">
      <c r="B537" s="86"/>
      <c r="E537" s="87"/>
      <c r="H537" s="89"/>
      <c r="K537" s="87"/>
      <c r="N537" s="89"/>
    </row>
    <row r="538">
      <c r="B538" s="86"/>
      <c r="E538" s="87"/>
      <c r="H538" s="89"/>
      <c r="K538" s="87"/>
      <c r="N538" s="89"/>
    </row>
    <row r="539">
      <c r="B539" s="86"/>
      <c r="E539" s="87"/>
      <c r="H539" s="89"/>
      <c r="K539" s="87"/>
      <c r="N539" s="89"/>
    </row>
    <row r="540">
      <c r="B540" s="86"/>
      <c r="E540" s="87"/>
      <c r="H540" s="89"/>
      <c r="K540" s="87"/>
      <c r="N540" s="89"/>
    </row>
    <row r="541">
      <c r="B541" s="86"/>
      <c r="E541" s="87"/>
      <c r="H541" s="89"/>
      <c r="K541" s="87"/>
      <c r="N541" s="89"/>
    </row>
    <row r="542">
      <c r="B542" s="86"/>
      <c r="E542" s="87"/>
      <c r="H542" s="89"/>
      <c r="K542" s="87"/>
      <c r="N542" s="89"/>
    </row>
    <row r="543">
      <c r="B543" s="86"/>
      <c r="E543" s="87"/>
      <c r="H543" s="89"/>
      <c r="K543" s="87"/>
      <c r="N543" s="89"/>
    </row>
    <row r="544">
      <c r="B544" s="86"/>
      <c r="E544" s="87"/>
      <c r="H544" s="89"/>
      <c r="K544" s="87"/>
      <c r="N544" s="89"/>
    </row>
    <row r="545">
      <c r="B545" s="86"/>
      <c r="E545" s="87"/>
      <c r="H545" s="89"/>
      <c r="K545" s="87"/>
      <c r="N545" s="89"/>
    </row>
    <row r="546">
      <c r="B546" s="86"/>
      <c r="E546" s="87"/>
      <c r="H546" s="89"/>
      <c r="K546" s="87"/>
      <c r="N546" s="89"/>
    </row>
    <row r="547">
      <c r="B547" s="86"/>
      <c r="E547" s="87"/>
      <c r="H547" s="89"/>
      <c r="K547" s="87"/>
      <c r="N547" s="89"/>
    </row>
    <row r="548">
      <c r="B548" s="86"/>
      <c r="E548" s="87"/>
      <c r="H548" s="89"/>
      <c r="K548" s="87"/>
      <c r="N548" s="89"/>
    </row>
    <row r="549">
      <c r="B549" s="86"/>
      <c r="E549" s="87"/>
      <c r="H549" s="89"/>
      <c r="K549" s="87"/>
      <c r="N549" s="89"/>
    </row>
    <row r="550">
      <c r="B550" s="86"/>
      <c r="E550" s="87"/>
      <c r="H550" s="89"/>
      <c r="K550" s="87"/>
      <c r="N550" s="89"/>
    </row>
    <row r="551">
      <c r="B551" s="86"/>
      <c r="E551" s="87"/>
      <c r="H551" s="89"/>
      <c r="K551" s="87"/>
      <c r="N551" s="89"/>
    </row>
    <row r="552">
      <c r="B552" s="86"/>
      <c r="E552" s="87"/>
      <c r="H552" s="89"/>
      <c r="K552" s="87"/>
      <c r="N552" s="89"/>
    </row>
    <row r="553">
      <c r="B553" s="86"/>
      <c r="E553" s="87"/>
      <c r="H553" s="89"/>
      <c r="K553" s="87"/>
      <c r="N553" s="89"/>
    </row>
    <row r="554">
      <c r="B554" s="86"/>
      <c r="E554" s="87"/>
      <c r="H554" s="89"/>
      <c r="K554" s="87"/>
      <c r="N554" s="89"/>
    </row>
    <row r="555">
      <c r="B555" s="86"/>
      <c r="E555" s="87"/>
      <c r="H555" s="89"/>
      <c r="K555" s="87"/>
      <c r="N555" s="89"/>
    </row>
    <row r="556">
      <c r="B556" s="86"/>
      <c r="E556" s="87"/>
      <c r="H556" s="89"/>
      <c r="K556" s="87"/>
      <c r="N556" s="89"/>
    </row>
    <row r="557">
      <c r="B557" s="86"/>
      <c r="E557" s="87"/>
      <c r="H557" s="89"/>
      <c r="K557" s="87"/>
      <c r="N557" s="89"/>
    </row>
    <row r="558">
      <c r="B558" s="86"/>
      <c r="E558" s="87"/>
      <c r="H558" s="89"/>
      <c r="K558" s="87"/>
      <c r="N558" s="89"/>
    </row>
    <row r="559">
      <c r="B559" s="86"/>
      <c r="E559" s="87"/>
      <c r="H559" s="89"/>
      <c r="K559" s="87"/>
      <c r="N559" s="89"/>
    </row>
    <row r="560">
      <c r="B560" s="86"/>
      <c r="E560" s="87"/>
      <c r="H560" s="89"/>
      <c r="K560" s="87"/>
      <c r="N560" s="89"/>
    </row>
    <row r="561">
      <c r="B561" s="86"/>
      <c r="E561" s="87"/>
      <c r="H561" s="89"/>
      <c r="K561" s="87"/>
      <c r="N561" s="89"/>
    </row>
    <row r="562">
      <c r="B562" s="86"/>
      <c r="E562" s="87"/>
      <c r="H562" s="89"/>
      <c r="K562" s="87"/>
      <c r="N562" s="89"/>
    </row>
    <row r="563">
      <c r="B563" s="86"/>
      <c r="E563" s="87"/>
      <c r="H563" s="89"/>
      <c r="K563" s="87"/>
      <c r="N563" s="89"/>
    </row>
    <row r="564">
      <c r="B564" s="86"/>
      <c r="E564" s="87"/>
      <c r="H564" s="89"/>
      <c r="K564" s="87"/>
      <c r="N564" s="89"/>
    </row>
    <row r="565">
      <c r="B565" s="86"/>
      <c r="E565" s="87"/>
      <c r="H565" s="89"/>
      <c r="K565" s="87"/>
      <c r="N565" s="89"/>
    </row>
    <row r="566">
      <c r="B566" s="86"/>
      <c r="E566" s="87"/>
      <c r="H566" s="89"/>
      <c r="K566" s="87"/>
      <c r="N566" s="89"/>
    </row>
    <row r="567">
      <c r="B567" s="86"/>
      <c r="E567" s="87"/>
      <c r="H567" s="89"/>
      <c r="K567" s="87"/>
      <c r="N567" s="89"/>
    </row>
    <row r="568">
      <c r="B568" s="86"/>
      <c r="E568" s="87"/>
      <c r="H568" s="89"/>
      <c r="K568" s="87"/>
      <c r="N568" s="89"/>
    </row>
    <row r="569">
      <c r="B569" s="86"/>
      <c r="E569" s="87"/>
      <c r="H569" s="89"/>
      <c r="K569" s="87"/>
      <c r="N569" s="89"/>
    </row>
    <row r="570">
      <c r="B570" s="86"/>
      <c r="E570" s="87"/>
      <c r="H570" s="89"/>
      <c r="K570" s="87"/>
      <c r="N570" s="89"/>
    </row>
    <row r="571">
      <c r="B571" s="86"/>
      <c r="E571" s="87"/>
      <c r="H571" s="89"/>
      <c r="K571" s="87"/>
      <c r="N571" s="89"/>
    </row>
    <row r="572">
      <c r="B572" s="86"/>
      <c r="E572" s="87"/>
      <c r="H572" s="89"/>
      <c r="K572" s="87"/>
      <c r="N572" s="89"/>
    </row>
    <row r="573">
      <c r="B573" s="86"/>
      <c r="E573" s="87"/>
      <c r="H573" s="89"/>
      <c r="K573" s="87"/>
      <c r="N573" s="89"/>
    </row>
    <row r="574">
      <c r="B574" s="86"/>
      <c r="E574" s="87"/>
      <c r="H574" s="89"/>
      <c r="K574" s="87"/>
      <c r="N574" s="89"/>
    </row>
    <row r="575">
      <c r="B575" s="86"/>
      <c r="E575" s="87"/>
      <c r="H575" s="89"/>
      <c r="K575" s="87"/>
      <c r="N575" s="89"/>
    </row>
    <row r="576">
      <c r="B576" s="86"/>
      <c r="E576" s="87"/>
      <c r="H576" s="89"/>
      <c r="K576" s="87"/>
      <c r="N576" s="89"/>
    </row>
    <row r="577">
      <c r="B577" s="86"/>
      <c r="E577" s="87"/>
      <c r="H577" s="89"/>
      <c r="K577" s="87"/>
      <c r="N577" s="89"/>
    </row>
    <row r="578">
      <c r="B578" s="86"/>
      <c r="E578" s="87"/>
      <c r="H578" s="89"/>
      <c r="K578" s="87"/>
      <c r="N578" s="89"/>
    </row>
    <row r="579">
      <c r="B579" s="86"/>
      <c r="E579" s="87"/>
      <c r="H579" s="89"/>
      <c r="K579" s="87"/>
      <c r="N579" s="89"/>
    </row>
    <row r="580">
      <c r="B580" s="86"/>
      <c r="E580" s="87"/>
      <c r="H580" s="89"/>
      <c r="K580" s="87"/>
      <c r="N580" s="89"/>
    </row>
    <row r="581">
      <c r="B581" s="86"/>
      <c r="E581" s="87"/>
      <c r="H581" s="89"/>
      <c r="K581" s="87"/>
      <c r="N581" s="89"/>
    </row>
    <row r="582">
      <c r="B582" s="86"/>
      <c r="E582" s="87"/>
      <c r="H582" s="89"/>
      <c r="K582" s="87"/>
      <c r="N582" s="89"/>
    </row>
    <row r="583">
      <c r="B583" s="86"/>
      <c r="E583" s="87"/>
      <c r="H583" s="89"/>
      <c r="K583" s="87"/>
      <c r="N583" s="89"/>
    </row>
    <row r="584">
      <c r="B584" s="86"/>
      <c r="E584" s="87"/>
      <c r="H584" s="89"/>
      <c r="K584" s="87"/>
      <c r="N584" s="89"/>
    </row>
    <row r="585">
      <c r="B585" s="86"/>
      <c r="E585" s="87"/>
      <c r="H585" s="89"/>
      <c r="K585" s="87"/>
      <c r="N585" s="89"/>
    </row>
    <row r="586">
      <c r="B586" s="86"/>
      <c r="E586" s="87"/>
      <c r="H586" s="89"/>
      <c r="K586" s="87"/>
      <c r="N586" s="89"/>
    </row>
    <row r="587">
      <c r="B587" s="86"/>
      <c r="E587" s="87"/>
      <c r="H587" s="89"/>
      <c r="K587" s="87"/>
      <c r="N587" s="89"/>
    </row>
    <row r="588">
      <c r="B588" s="86"/>
      <c r="E588" s="87"/>
      <c r="H588" s="89"/>
      <c r="K588" s="87"/>
      <c r="N588" s="89"/>
    </row>
    <row r="589">
      <c r="B589" s="86"/>
      <c r="E589" s="87"/>
      <c r="H589" s="89"/>
      <c r="K589" s="87"/>
      <c r="N589" s="89"/>
    </row>
    <row r="590">
      <c r="B590" s="86"/>
      <c r="E590" s="87"/>
      <c r="H590" s="89"/>
      <c r="K590" s="87"/>
      <c r="N590" s="89"/>
    </row>
    <row r="591">
      <c r="B591" s="86"/>
      <c r="E591" s="87"/>
      <c r="H591" s="89"/>
      <c r="K591" s="87"/>
      <c r="N591" s="89"/>
    </row>
    <row r="592">
      <c r="B592" s="86"/>
      <c r="E592" s="87"/>
      <c r="H592" s="89"/>
      <c r="K592" s="87"/>
      <c r="N592" s="89"/>
    </row>
    <row r="593">
      <c r="B593" s="86"/>
      <c r="E593" s="87"/>
      <c r="H593" s="89"/>
      <c r="K593" s="87"/>
      <c r="N593" s="89"/>
    </row>
    <row r="594">
      <c r="B594" s="86"/>
      <c r="E594" s="87"/>
      <c r="H594" s="89"/>
      <c r="K594" s="87"/>
      <c r="N594" s="89"/>
    </row>
    <row r="595">
      <c r="B595" s="86"/>
      <c r="E595" s="87"/>
      <c r="H595" s="89"/>
      <c r="K595" s="87"/>
      <c r="N595" s="89"/>
    </row>
    <row r="596">
      <c r="B596" s="86"/>
      <c r="E596" s="87"/>
      <c r="H596" s="89"/>
      <c r="K596" s="87"/>
      <c r="N596" s="89"/>
    </row>
    <row r="597">
      <c r="B597" s="86"/>
      <c r="E597" s="87"/>
      <c r="H597" s="89"/>
      <c r="K597" s="87"/>
      <c r="N597" s="89"/>
    </row>
    <row r="598">
      <c r="B598" s="86"/>
      <c r="E598" s="87"/>
      <c r="H598" s="89"/>
      <c r="K598" s="87"/>
      <c r="N598" s="89"/>
    </row>
    <row r="599">
      <c r="B599" s="86"/>
      <c r="E599" s="87"/>
      <c r="H599" s="89"/>
      <c r="K599" s="87"/>
      <c r="N599" s="89"/>
    </row>
    <row r="600">
      <c r="B600" s="86"/>
      <c r="E600" s="87"/>
      <c r="H600" s="89"/>
      <c r="K600" s="87"/>
      <c r="N600" s="89"/>
    </row>
    <row r="601">
      <c r="B601" s="86"/>
      <c r="E601" s="87"/>
      <c r="H601" s="89"/>
      <c r="K601" s="87"/>
      <c r="N601" s="89"/>
    </row>
    <row r="602">
      <c r="B602" s="86"/>
      <c r="E602" s="87"/>
      <c r="H602" s="89"/>
      <c r="K602" s="87"/>
      <c r="N602" s="89"/>
    </row>
    <row r="603">
      <c r="B603" s="86"/>
      <c r="E603" s="87"/>
      <c r="H603" s="89"/>
      <c r="K603" s="87"/>
      <c r="N603" s="89"/>
    </row>
    <row r="604">
      <c r="B604" s="86"/>
      <c r="E604" s="87"/>
      <c r="H604" s="89"/>
      <c r="K604" s="87"/>
      <c r="N604" s="89"/>
    </row>
    <row r="605">
      <c r="B605" s="86"/>
      <c r="E605" s="87"/>
      <c r="H605" s="89"/>
      <c r="K605" s="87"/>
      <c r="N605" s="89"/>
    </row>
    <row r="606">
      <c r="B606" s="86"/>
      <c r="E606" s="87"/>
      <c r="H606" s="89"/>
      <c r="K606" s="87"/>
      <c r="N606" s="89"/>
    </row>
    <row r="607">
      <c r="B607" s="86"/>
      <c r="E607" s="87"/>
      <c r="H607" s="89"/>
      <c r="K607" s="87"/>
      <c r="N607" s="89"/>
    </row>
    <row r="608">
      <c r="B608" s="86"/>
      <c r="E608" s="87"/>
      <c r="H608" s="89"/>
      <c r="K608" s="87"/>
      <c r="N608" s="89"/>
    </row>
    <row r="609">
      <c r="B609" s="86"/>
      <c r="E609" s="87"/>
      <c r="H609" s="89"/>
      <c r="K609" s="87"/>
      <c r="N609" s="89"/>
    </row>
    <row r="610">
      <c r="B610" s="86"/>
      <c r="E610" s="87"/>
      <c r="H610" s="89"/>
      <c r="K610" s="87"/>
      <c r="N610" s="89"/>
    </row>
    <row r="611">
      <c r="B611" s="86"/>
      <c r="E611" s="87"/>
      <c r="H611" s="89"/>
      <c r="K611" s="87"/>
      <c r="N611" s="89"/>
    </row>
    <row r="612">
      <c r="B612" s="86"/>
      <c r="E612" s="87"/>
      <c r="H612" s="89"/>
      <c r="K612" s="87"/>
      <c r="N612" s="89"/>
    </row>
    <row r="613">
      <c r="B613" s="86"/>
      <c r="E613" s="87"/>
      <c r="H613" s="89"/>
      <c r="K613" s="87"/>
      <c r="N613" s="89"/>
    </row>
    <row r="614">
      <c r="B614" s="86"/>
      <c r="E614" s="87"/>
      <c r="H614" s="89"/>
      <c r="K614" s="87"/>
      <c r="N614" s="89"/>
    </row>
    <row r="615">
      <c r="B615" s="86"/>
      <c r="E615" s="87"/>
      <c r="H615" s="89"/>
      <c r="K615" s="87"/>
      <c r="N615" s="89"/>
    </row>
    <row r="616">
      <c r="B616" s="86"/>
      <c r="E616" s="87"/>
      <c r="H616" s="89"/>
      <c r="K616" s="87"/>
      <c r="N616" s="89"/>
    </row>
    <row r="617">
      <c r="B617" s="86"/>
      <c r="E617" s="87"/>
      <c r="H617" s="89"/>
      <c r="K617" s="87"/>
      <c r="N617" s="89"/>
    </row>
    <row r="618">
      <c r="B618" s="86"/>
      <c r="E618" s="87"/>
      <c r="H618" s="89"/>
      <c r="K618" s="87"/>
      <c r="N618" s="89"/>
    </row>
    <row r="619">
      <c r="B619" s="86"/>
      <c r="E619" s="87"/>
      <c r="H619" s="89"/>
      <c r="K619" s="87"/>
      <c r="N619" s="89"/>
    </row>
    <row r="620">
      <c r="B620" s="86"/>
      <c r="E620" s="87"/>
      <c r="H620" s="89"/>
      <c r="K620" s="87"/>
      <c r="N620" s="89"/>
    </row>
    <row r="621">
      <c r="B621" s="86"/>
      <c r="E621" s="87"/>
      <c r="H621" s="89"/>
      <c r="K621" s="87"/>
      <c r="N621" s="89"/>
    </row>
    <row r="622">
      <c r="B622" s="86"/>
      <c r="E622" s="87"/>
      <c r="H622" s="89"/>
      <c r="K622" s="87"/>
      <c r="N622" s="89"/>
    </row>
    <row r="623">
      <c r="B623" s="86"/>
      <c r="E623" s="87"/>
      <c r="H623" s="89"/>
      <c r="K623" s="87"/>
      <c r="N623" s="89"/>
    </row>
    <row r="624">
      <c r="B624" s="86"/>
      <c r="E624" s="87"/>
      <c r="H624" s="89"/>
      <c r="K624" s="87"/>
      <c r="N624" s="89"/>
    </row>
    <row r="625">
      <c r="B625" s="86"/>
      <c r="E625" s="87"/>
      <c r="H625" s="89"/>
      <c r="K625" s="87"/>
      <c r="N625" s="89"/>
    </row>
    <row r="626">
      <c r="B626" s="86"/>
      <c r="E626" s="87"/>
      <c r="H626" s="89"/>
      <c r="K626" s="87"/>
      <c r="N626" s="89"/>
    </row>
    <row r="627">
      <c r="B627" s="86"/>
      <c r="E627" s="87"/>
      <c r="H627" s="89"/>
      <c r="K627" s="87"/>
      <c r="N627" s="89"/>
    </row>
    <row r="628">
      <c r="B628" s="86"/>
      <c r="E628" s="87"/>
      <c r="H628" s="89"/>
      <c r="K628" s="87"/>
      <c r="N628" s="89"/>
    </row>
    <row r="629">
      <c r="B629" s="86"/>
      <c r="E629" s="87"/>
      <c r="H629" s="89"/>
      <c r="K629" s="87"/>
      <c r="N629" s="89"/>
    </row>
    <row r="630">
      <c r="B630" s="86"/>
      <c r="E630" s="87"/>
      <c r="H630" s="89"/>
      <c r="K630" s="87"/>
      <c r="N630" s="89"/>
    </row>
    <row r="631">
      <c r="B631" s="86"/>
      <c r="E631" s="87"/>
      <c r="H631" s="89"/>
      <c r="K631" s="87"/>
      <c r="N631" s="89"/>
    </row>
    <row r="632">
      <c r="B632" s="86"/>
      <c r="E632" s="87"/>
      <c r="H632" s="89"/>
      <c r="K632" s="87"/>
      <c r="N632" s="89"/>
    </row>
    <row r="633">
      <c r="B633" s="86"/>
      <c r="E633" s="87"/>
      <c r="H633" s="89"/>
      <c r="K633" s="87"/>
      <c r="N633" s="89"/>
    </row>
    <row r="634">
      <c r="B634" s="86"/>
      <c r="E634" s="87"/>
      <c r="H634" s="89"/>
      <c r="K634" s="87"/>
      <c r="N634" s="89"/>
    </row>
    <row r="635">
      <c r="B635" s="86"/>
      <c r="E635" s="87"/>
      <c r="H635" s="89"/>
      <c r="K635" s="87"/>
      <c r="N635" s="89"/>
    </row>
    <row r="636">
      <c r="B636" s="86"/>
      <c r="E636" s="87"/>
      <c r="H636" s="89"/>
      <c r="K636" s="87"/>
      <c r="N636" s="89"/>
    </row>
    <row r="637">
      <c r="B637" s="86"/>
      <c r="E637" s="87"/>
      <c r="H637" s="89"/>
      <c r="K637" s="87"/>
      <c r="N637" s="89"/>
    </row>
    <row r="638">
      <c r="B638" s="86"/>
      <c r="E638" s="87"/>
      <c r="H638" s="89"/>
      <c r="K638" s="87"/>
      <c r="N638" s="89"/>
    </row>
    <row r="639">
      <c r="B639" s="86"/>
      <c r="E639" s="87"/>
      <c r="H639" s="89"/>
      <c r="K639" s="87"/>
      <c r="N639" s="89"/>
    </row>
    <row r="640">
      <c r="B640" s="86"/>
      <c r="E640" s="87"/>
      <c r="H640" s="89"/>
      <c r="K640" s="87"/>
      <c r="N640" s="89"/>
    </row>
    <row r="641">
      <c r="B641" s="86"/>
      <c r="E641" s="87"/>
      <c r="H641" s="89"/>
      <c r="K641" s="87"/>
      <c r="N641" s="89"/>
    </row>
    <row r="642">
      <c r="B642" s="86"/>
      <c r="E642" s="87"/>
      <c r="H642" s="89"/>
      <c r="K642" s="87"/>
      <c r="N642" s="89"/>
    </row>
    <row r="643">
      <c r="B643" s="86"/>
      <c r="E643" s="87"/>
      <c r="H643" s="89"/>
      <c r="K643" s="87"/>
      <c r="N643" s="89"/>
    </row>
    <row r="644">
      <c r="B644" s="86"/>
      <c r="E644" s="87"/>
      <c r="H644" s="89"/>
      <c r="K644" s="87"/>
      <c r="N644" s="89"/>
    </row>
    <row r="645">
      <c r="B645" s="86"/>
      <c r="E645" s="87"/>
      <c r="H645" s="89"/>
      <c r="K645" s="87"/>
      <c r="N645" s="89"/>
    </row>
    <row r="646">
      <c r="B646" s="86"/>
      <c r="E646" s="87"/>
      <c r="H646" s="89"/>
      <c r="K646" s="87"/>
      <c r="N646" s="89"/>
    </row>
    <row r="647">
      <c r="B647" s="86"/>
      <c r="E647" s="87"/>
      <c r="H647" s="89"/>
      <c r="K647" s="87"/>
      <c r="N647" s="89"/>
    </row>
    <row r="648">
      <c r="B648" s="86"/>
      <c r="E648" s="87"/>
      <c r="H648" s="89"/>
      <c r="K648" s="87"/>
      <c r="N648" s="89"/>
    </row>
    <row r="649">
      <c r="B649" s="86"/>
      <c r="E649" s="87"/>
      <c r="H649" s="89"/>
      <c r="K649" s="87"/>
      <c r="N649" s="89"/>
    </row>
    <row r="650">
      <c r="B650" s="86"/>
      <c r="E650" s="87"/>
      <c r="H650" s="89"/>
      <c r="K650" s="87"/>
      <c r="N650" s="89"/>
    </row>
    <row r="651">
      <c r="B651" s="86"/>
      <c r="E651" s="87"/>
      <c r="H651" s="89"/>
      <c r="K651" s="87"/>
      <c r="N651" s="89"/>
    </row>
    <row r="652">
      <c r="B652" s="86"/>
      <c r="E652" s="87"/>
      <c r="H652" s="89"/>
      <c r="K652" s="87"/>
      <c r="N652" s="89"/>
    </row>
    <row r="653">
      <c r="B653" s="86"/>
      <c r="E653" s="87"/>
      <c r="H653" s="89"/>
      <c r="K653" s="87"/>
      <c r="N653" s="89"/>
    </row>
    <row r="654">
      <c r="B654" s="86"/>
      <c r="E654" s="87"/>
      <c r="H654" s="89"/>
      <c r="K654" s="87"/>
      <c r="N654" s="89"/>
    </row>
    <row r="655">
      <c r="B655" s="86"/>
      <c r="E655" s="87"/>
      <c r="H655" s="89"/>
      <c r="K655" s="87"/>
      <c r="N655" s="89"/>
    </row>
    <row r="656">
      <c r="B656" s="86"/>
      <c r="E656" s="87"/>
      <c r="H656" s="89"/>
      <c r="K656" s="87"/>
      <c r="N656" s="89"/>
    </row>
    <row r="657">
      <c r="B657" s="86"/>
      <c r="E657" s="87"/>
      <c r="H657" s="89"/>
      <c r="K657" s="87"/>
      <c r="N657" s="89"/>
    </row>
    <row r="658">
      <c r="B658" s="86"/>
      <c r="E658" s="87"/>
      <c r="H658" s="89"/>
      <c r="K658" s="87"/>
      <c r="N658" s="89"/>
    </row>
    <row r="659">
      <c r="B659" s="86"/>
      <c r="E659" s="87"/>
      <c r="H659" s="89"/>
      <c r="K659" s="87"/>
      <c r="N659" s="89"/>
    </row>
    <row r="660">
      <c r="B660" s="86"/>
      <c r="E660" s="87"/>
      <c r="H660" s="89"/>
      <c r="K660" s="87"/>
      <c r="N660" s="89"/>
    </row>
    <row r="661">
      <c r="B661" s="86"/>
      <c r="E661" s="87"/>
      <c r="H661" s="89"/>
      <c r="K661" s="87"/>
      <c r="N661" s="89"/>
    </row>
    <row r="662">
      <c r="B662" s="86"/>
      <c r="E662" s="87"/>
      <c r="H662" s="89"/>
      <c r="K662" s="87"/>
      <c r="N662" s="89"/>
    </row>
    <row r="663">
      <c r="B663" s="86"/>
      <c r="E663" s="87"/>
      <c r="H663" s="89"/>
      <c r="K663" s="87"/>
      <c r="N663" s="89"/>
    </row>
    <row r="664">
      <c r="B664" s="86"/>
      <c r="E664" s="87"/>
      <c r="H664" s="89"/>
      <c r="K664" s="87"/>
      <c r="N664" s="89"/>
    </row>
    <row r="665">
      <c r="B665" s="86"/>
      <c r="E665" s="87"/>
      <c r="H665" s="89"/>
      <c r="K665" s="87"/>
      <c r="N665" s="89"/>
    </row>
    <row r="666">
      <c r="B666" s="86"/>
      <c r="E666" s="87"/>
      <c r="H666" s="89"/>
      <c r="K666" s="87"/>
      <c r="N666" s="89"/>
    </row>
    <row r="667">
      <c r="B667" s="86"/>
      <c r="E667" s="87"/>
      <c r="H667" s="89"/>
      <c r="K667" s="87"/>
      <c r="N667" s="89"/>
    </row>
    <row r="668">
      <c r="B668" s="86"/>
      <c r="E668" s="87"/>
      <c r="H668" s="89"/>
      <c r="K668" s="87"/>
      <c r="N668" s="89"/>
    </row>
    <row r="669">
      <c r="B669" s="86"/>
      <c r="E669" s="87"/>
      <c r="H669" s="89"/>
      <c r="K669" s="87"/>
      <c r="N669" s="89"/>
    </row>
    <row r="670">
      <c r="B670" s="86"/>
      <c r="E670" s="87"/>
      <c r="H670" s="89"/>
      <c r="K670" s="87"/>
      <c r="N670" s="89"/>
    </row>
    <row r="671">
      <c r="B671" s="86"/>
      <c r="E671" s="87"/>
      <c r="H671" s="89"/>
      <c r="K671" s="87"/>
      <c r="N671" s="89"/>
    </row>
    <row r="672">
      <c r="B672" s="86"/>
      <c r="E672" s="87"/>
      <c r="H672" s="89"/>
      <c r="K672" s="87"/>
      <c r="N672" s="89"/>
    </row>
    <row r="673">
      <c r="B673" s="86"/>
      <c r="E673" s="87"/>
      <c r="H673" s="89"/>
      <c r="K673" s="87"/>
      <c r="N673" s="89"/>
    </row>
    <row r="674">
      <c r="B674" s="86"/>
      <c r="E674" s="87"/>
      <c r="H674" s="89"/>
      <c r="K674" s="87"/>
      <c r="N674" s="89"/>
    </row>
    <row r="675">
      <c r="B675" s="86"/>
      <c r="E675" s="87"/>
      <c r="H675" s="89"/>
      <c r="K675" s="87"/>
      <c r="N675" s="89"/>
    </row>
    <row r="676">
      <c r="B676" s="86"/>
      <c r="E676" s="87"/>
      <c r="H676" s="89"/>
      <c r="K676" s="87"/>
      <c r="N676" s="89"/>
    </row>
    <row r="677">
      <c r="B677" s="86"/>
      <c r="E677" s="87"/>
      <c r="H677" s="89"/>
      <c r="K677" s="87"/>
      <c r="N677" s="89"/>
    </row>
    <row r="678">
      <c r="B678" s="86"/>
      <c r="E678" s="87"/>
      <c r="H678" s="89"/>
      <c r="K678" s="87"/>
      <c r="N678" s="89"/>
    </row>
    <row r="679">
      <c r="B679" s="86"/>
      <c r="E679" s="87"/>
      <c r="H679" s="89"/>
      <c r="K679" s="87"/>
      <c r="N679" s="89"/>
    </row>
    <row r="680">
      <c r="B680" s="86"/>
      <c r="E680" s="87"/>
      <c r="H680" s="89"/>
      <c r="K680" s="87"/>
      <c r="N680" s="89"/>
    </row>
    <row r="681">
      <c r="B681" s="86"/>
      <c r="E681" s="87"/>
      <c r="H681" s="89"/>
      <c r="K681" s="87"/>
      <c r="N681" s="89"/>
    </row>
    <row r="682">
      <c r="B682" s="86"/>
      <c r="E682" s="87"/>
      <c r="H682" s="89"/>
      <c r="K682" s="87"/>
      <c r="N682" s="89"/>
    </row>
    <row r="683">
      <c r="B683" s="86"/>
      <c r="E683" s="87"/>
      <c r="H683" s="89"/>
      <c r="K683" s="87"/>
      <c r="N683" s="89"/>
    </row>
    <row r="684">
      <c r="B684" s="86"/>
      <c r="E684" s="87"/>
      <c r="H684" s="89"/>
      <c r="K684" s="87"/>
      <c r="N684" s="89"/>
    </row>
    <row r="685">
      <c r="B685" s="86"/>
      <c r="E685" s="87"/>
      <c r="H685" s="89"/>
      <c r="K685" s="87"/>
      <c r="N685" s="89"/>
    </row>
    <row r="686">
      <c r="B686" s="86"/>
      <c r="E686" s="87"/>
      <c r="H686" s="89"/>
      <c r="K686" s="87"/>
      <c r="N686" s="89"/>
    </row>
    <row r="687">
      <c r="B687" s="86"/>
      <c r="E687" s="87"/>
      <c r="H687" s="89"/>
      <c r="K687" s="87"/>
      <c r="N687" s="89"/>
    </row>
    <row r="688">
      <c r="B688" s="86"/>
      <c r="E688" s="87"/>
      <c r="H688" s="89"/>
      <c r="K688" s="87"/>
      <c r="N688" s="89"/>
    </row>
    <row r="689">
      <c r="B689" s="86"/>
      <c r="E689" s="87"/>
      <c r="H689" s="89"/>
      <c r="K689" s="87"/>
      <c r="N689" s="89"/>
    </row>
    <row r="690">
      <c r="B690" s="86"/>
      <c r="E690" s="87"/>
      <c r="H690" s="89"/>
      <c r="K690" s="87"/>
      <c r="N690" s="89"/>
    </row>
    <row r="691">
      <c r="B691" s="86"/>
      <c r="E691" s="87"/>
      <c r="H691" s="89"/>
      <c r="K691" s="87"/>
      <c r="N691" s="89"/>
    </row>
    <row r="692">
      <c r="B692" s="86"/>
      <c r="E692" s="87"/>
      <c r="H692" s="89"/>
      <c r="K692" s="87"/>
      <c r="N692" s="89"/>
    </row>
    <row r="693">
      <c r="B693" s="86"/>
      <c r="E693" s="87"/>
      <c r="H693" s="89"/>
      <c r="K693" s="87"/>
      <c r="N693" s="89"/>
    </row>
    <row r="694">
      <c r="B694" s="86"/>
      <c r="E694" s="87"/>
      <c r="H694" s="89"/>
      <c r="K694" s="87"/>
      <c r="N694" s="89"/>
    </row>
    <row r="695">
      <c r="B695" s="86"/>
      <c r="E695" s="87"/>
      <c r="H695" s="89"/>
      <c r="K695" s="87"/>
      <c r="N695" s="89"/>
    </row>
    <row r="696">
      <c r="B696" s="86"/>
      <c r="E696" s="87"/>
      <c r="H696" s="89"/>
      <c r="K696" s="87"/>
      <c r="N696" s="89"/>
    </row>
    <row r="697">
      <c r="B697" s="86"/>
      <c r="E697" s="87"/>
      <c r="H697" s="89"/>
      <c r="K697" s="87"/>
      <c r="N697" s="89"/>
    </row>
    <row r="698">
      <c r="B698" s="86"/>
      <c r="E698" s="87"/>
      <c r="H698" s="89"/>
      <c r="K698" s="87"/>
      <c r="N698" s="89"/>
    </row>
    <row r="699">
      <c r="B699" s="86"/>
      <c r="E699" s="87"/>
      <c r="H699" s="89"/>
      <c r="K699" s="87"/>
      <c r="N699" s="89"/>
    </row>
    <row r="700">
      <c r="B700" s="86"/>
      <c r="E700" s="87"/>
      <c r="H700" s="89"/>
      <c r="K700" s="87"/>
      <c r="N700" s="89"/>
    </row>
    <row r="701">
      <c r="B701" s="86"/>
      <c r="E701" s="87"/>
      <c r="H701" s="89"/>
      <c r="K701" s="87"/>
      <c r="N701" s="89"/>
    </row>
    <row r="702">
      <c r="B702" s="86"/>
      <c r="E702" s="87"/>
      <c r="H702" s="89"/>
      <c r="K702" s="87"/>
      <c r="N702" s="89"/>
    </row>
    <row r="703">
      <c r="B703" s="86"/>
      <c r="E703" s="87"/>
      <c r="H703" s="89"/>
      <c r="K703" s="87"/>
      <c r="N703" s="89"/>
    </row>
    <row r="704">
      <c r="B704" s="86"/>
      <c r="E704" s="87"/>
      <c r="H704" s="89"/>
      <c r="K704" s="87"/>
      <c r="N704" s="89"/>
    </row>
    <row r="705">
      <c r="B705" s="86"/>
      <c r="E705" s="87"/>
      <c r="H705" s="89"/>
      <c r="K705" s="87"/>
      <c r="N705" s="89"/>
    </row>
    <row r="706">
      <c r="B706" s="86"/>
      <c r="E706" s="87"/>
      <c r="H706" s="89"/>
      <c r="K706" s="87"/>
      <c r="N706" s="89"/>
    </row>
    <row r="707">
      <c r="B707" s="86"/>
      <c r="E707" s="87"/>
      <c r="H707" s="89"/>
      <c r="K707" s="87"/>
      <c r="N707" s="89"/>
    </row>
    <row r="708">
      <c r="B708" s="86"/>
      <c r="E708" s="87"/>
      <c r="H708" s="89"/>
      <c r="K708" s="87"/>
      <c r="N708" s="89"/>
    </row>
    <row r="709">
      <c r="B709" s="86"/>
      <c r="E709" s="87"/>
      <c r="H709" s="89"/>
      <c r="K709" s="87"/>
      <c r="N709" s="89"/>
    </row>
    <row r="710">
      <c r="B710" s="86"/>
      <c r="E710" s="87"/>
      <c r="H710" s="89"/>
      <c r="K710" s="87"/>
      <c r="N710" s="89"/>
    </row>
    <row r="711">
      <c r="B711" s="86"/>
      <c r="E711" s="87"/>
      <c r="H711" s="89"/>
      <c r="K711" s="87"/>
      <c r="N711" s="89"/>
    </row>
    <row r="712">
      <c r="B712" s="86"/>
      <c r="E712" s="87"/>
      <c r="H712" s="89"/>
      <c r="K712" s="87"/>
      <c r="N712" s="89"/>
    </row>
    <row r="713">
      <c r="B713" s="86"/>
      <c r="E713" s="87"/>
      <c r="H713" s="89"/>
      <c r="K713" s="87"/>
      <c r="N713" s="89"/>
    </row>
    <row r="714">
      <c r="B714" s="86"/>
      <c r="E714" s="87"/>
      <c r="H714" s="89"/>
      <c r="K714" s="87"/>
      <c r="N714" s="89"/>
    </row>
    <row r="715">
      <c r="B715" s="86"/>
      <c r="E715" s="87"/>
      <c r="H715" s="89"/>
      <c r="K715" s="87"/>
      <c r="N715" s="89"/>
    </row>
    <row r="716">
      <c r="B716" s="86"/>
      <c r="E716" s="87"/>
      <c r="H716" s="89"/>
      <c r="K716" s="87"/>
      <c r="N716" s="89"/>
    </row>
    <row r="717">
      <c r="B717" s="86"/>
      <c r="E717" s="87"/>
      <c r="H717" s="89"/>
      <c r="K717" s="87"/>
      <c r="N717" s="89"/>
    </row>
    <row r="718">
      <c r="B718" s="86"/>
      <c r="E718" s="87"/>
      <c r="H718" s="89"/>
      <c r="K718" s="87"/>
      <c r="N718" s="89"/>
    </row>
    <row r="719">
      <c r="B719" s="86"/>
      <c r="E719" s="87"/>
      <c r="H719" s="89"/>
      <c r="K719" s="87"/>
      <c r="N719" s="89"/>
    </row>
    <row r="720">
      <c r="B720" s="86"/>
      <c r="E720" s="87"/>
      <c r="H720" s="89"/>
      <c r="K720" s="87"/>
      <c r="N720" s="89"/>
    </row>
    <row r="721">
      <c r="B721" s="86"/>
      <c r="E721" s="87"/>
      <c r="H721" s="89"/>
      <c r="K721" s="87"/>
      <c r="N721" s="89"/>
    </row>
    <row r="722">
      <c r="B722" s="86"/>
      <c r="E722" s="87"/>
      <c r="H722" s="89"/>
      <c r="K722" s="87"/>
      <c r="N722" s="89"/>
    </row>
    <row r="723">
      <c r="B723" s="86"/>
      <c r="E723" s="87"/>
      <c r="H723" s="89"/>
      <c r="K723" s="87"/>
      <c r="N723" s="89"/>
    </row>
    <row r="724">
      <c r="B724" s="86"/>
      <c r="E724" s="87"/>
      <c r="H724" s="89"/>
      <c r="K724" s="87"/>
      <c r="N724" s="89"/>
    </row>
    <row r="725">
      <c r="B725" s="86"/>
      <c r="E725" s="87"/>
      <c r="H725" s="89"/>
      <c r="K725" s="87"/>
      <c r="N725" s="89"/>
    </row>
    <row r="726">
      <c r="B726" s="86"/>
      <c r="E726" s="87"/>
      <c r="H726" s="89"/>
      <c r="K726" s="87"/>
      <c r="N726" s="89"/>
    </row>
    <row r="727">
      <c r="B727" s="86"/>
      <c r="E727" s="87"/>
      <c r="H727" s="89"/>
      <c r="K727" s="87"/>
      <c r="N727" s="89"/>
    </row>
    <row r="728">
      <c r="B728" s="86"/>
      <c r="E728" s="87"/>
      <c r="H728" s="89"/>
      <c r="K728" s="87"/>
      <c r="N728" s="89"/>
    </row>
    <row r="729">
      <c r="B729" s="86"/>
      <c r="E729" s="87"/>
      <c r="H729" s="89"/>
      <c r="K729" s="87"/>
      <c r="N729" s="89"/>
    </row>
    <row r="730">
      <c r="B730" s="86"/>
      <c r="E730" s="87"/>
      <c r="H730" s="89"/>
      <c r="K730" s="87"/>
      <c r="N730" s="89"/>
    </row>
    <row r="731">
      <c r="B731" s="86"/>
      <c r="E731" s="87"/>
      <c r="H731" s="89"/>
      <c r="K731" s="87"/>
      <c r="N731" s="89"/>
    </row>
    <row r="732">
      <c r="B732" s="86"/>
      <c r="E732" s="87"/>
      <c r="H732" s="89"/>
      <c r="K732" s="87"/>
      <c r="N732" s="89"/>
    </row>
    <row r="733">
      <c r="B733" s="86"/>
      <c r="E733" s="87"/>
      <c r="H733" s="89"/>
      <c r="K733" s="87"/>
      <c r="N733" s="89"/>
    </row>
    <row r="734">
      <c r="B734" s="86"/>
      <c r="E734" s="87"/>
      <c r="H734" s="89"/>
      <c r="K734" s="87"/>
      <c r="N734" s="89"/>
    </row>
    <row r="735">
      <c r="B735" s="86"/>
      <c r="E735" s="87"/>
      <c r="H735" s="89"/>
      <c r="K735" s="87"/>
      <c r="N735" s="89"/>
    </row>
    <row r="736">
      <c r="B736" s="86"/>
      <c r="E736" s="87"/>
      <c r="H736" s="89"/>
      <c r="K736" s="87"/>
      <c r="N736" s="89"/>
    </row>
    <row r="737">
      <c r="B737" s="86"/>
      <c r="E737" s="87"/>
      <c r="H737" s="89"/>
      <c r="K737" s="87"/>
      <c r="N737" s="89"/>
    </row>
    <row r="738">
      <c r="B738" s="86"/>
      <c r="E738" s="87"/>
      <c r="H738" s="89"/>
      <c r="K738" s="87"/>
      <c r="N738" s="89"/>
    </row>
    <row r="739">
      <c r="B739" s="86"/>
      <c r="E739" s="87"/>
      <c r="H739" s="89"/>
      <c r="K739" s="87"/>
      <c r="N739" s="89"/>
    </row>
    <row r="740">
      <c r="B740" s="86"/>
      <c r="E740" s="87"/>
      <c r="H740" s="89"/>
      <c r="K740" s="87"/>
      <c r="N740" s="89"/>
    </row>
    <row r="741">
      <c r="B741" s="86"/>
      <c r="E741" s="87"/>
      <c r="H741" s="89"/>
      <c r="K741" s="87"/>
      <c r="N741" s="89"/>
    </row>
    <row r="742">
      <c r="B742" s="86"/>
      <c r="E742" s="87"/>
      <c r="H742" s="89"/>
      <c r="K742" s="87"/>
      <c r="N742" s="89"/>
    </row>
    <row r="743">
      <c r="B743" s="86"/>
      <c r="E743" s="87"/>
      <c r="H743" s="89"/>
      <c r="K743" s="87"/>
      <c r="N743" s="89"/>
    </row>
    <row r="744">
      <c r="B744" s="86"/>
      <c r="E744" s="87"/>
      <c r="H744" s="89"/>
      <c r="K744" s="87"/>
      <c r="N744" s="89"/>
    </row>
    <row r="745">
      <c r="B745" s="86"/>
      <c r="E745" s="87"/>
      <c r="H745" s="89"/>
      <c r="K745" s="87"/>
      <c r="N745" s="89"/>
    </row>
    <row r="746">
      <c r="B746" s="86"/>
      <c r="E746" s="87"/>
      <c r="H746" s="89"/>
      <c r="K746" s="87"/>
      <c r="N746" s="89"/>
    </row>
    <row r="747">
      <c r="B747" s="86"/>
      <c r="E747" s="87"/>
      <c r="H747" s="89"/>
      <c r="K747" s="87"/>
      <c r="N747" s="89"/>
    </row>
    <row r="748">
      <c r="B748" s="86"/>
      <c r="E748" s="87"/>
      <c r="H748" s="89"/>
      <c r="K748" s="87"/>
      <c r="N748" s="89"/>
    </row>
    <row r="749">
      <c r="B749" s="86"/>
      <c r="E749" s="87"/>
      <c r="H749" s="89"/>
      <c r="K749" s="87"/>
      <c r="N749" s="89"/>
    </row>
    <row r="750">
      <c r="B750" s="86"/>
      <c r="E750" s="87"/>
      <c r="H750" s="89"/>
      <c r="K750" s="87"/>
      <c r="N750" s="89"/>
    </row>
    <row r="751">
      <c r="B751" s="86"/>
      <c r="E751" s="87"/>
      <c r="H751" s="89"/>
      <c r="K751" s="87"/>
      <c r="N751" s="89"/>
    </row>
    <row r="752">
      <c r="B752" s="86"/>
      <c r="E752" s="87"/>
      <c r="H752" s="89"/>
      <c r="K752" s="87"/>
      <c r="N752" s="89"/>
    </row>
    <row r="753">
      <c r="B753" s="86"/>
      <c r="E753" s="87"/>
      <c r="H753" s="89"/>
      <c r="K753" s="87"/>
      <c r="N753" s="89"/>
    </row>
    <row r="754">
      <c r="B754" s="86"/>
      <c r="E754" s="87"/>
      <c r="H754" s="89"/>
      <c r="K754" s="87"/>
      <c r="N754" s="89"/>
    </row>
    <row r="755">
      <c r="B755" s="86"/>
      <c r="E755" s="87"/>
      <c r="H755" s="89"/>
      <c r="K755" s="87"/>
      <c r="N755" s="89"/>
    </row>
    <row r="756">
      <c r="B756" s="86"/>
      <c r="E756" s="87"/>
      <c r="H756" s="89"/>
      <c r="K756" s="87"/>
      <c r="N756" s="89"/>
    </row>
    <row r="757">
      <c r="B757" s="86"/>
      <c r="E757" s="87"/>
      <c r="H757" s="89"/>
      <c r="K757" s="87"/>
      <c r="N757" s="89"/>
    </row>
    <row r="758">
      <c r="B758" s="86"/>
      <c r="E758" s="87"/>
      <c r="H758" s="89"/>
      <c r="K758" s="87"/>
      <c r="N758" s="89"/>
    </row>
    <row r="759">
      <c r="B759" s="86"/>
      <c r="E759" s="87"/>
      <c r="H759" s="89"/>
      <c r="K759" s="87"/>
      <c r="N759" s="89"/>
    </row>
    <row r="760">
      <c r="B760" s="86"/>
      <c r="E760" s="87"/>
      <c r="H760" s="89"/>
      <c r="K760" s="87"/>
      <c r="N760" s="89"/>
    </row>
    <row r="761">
      <c r="B761" s="86"/>
      <c r="E761" s="87"/>
      <c r="H761" s="89"/>
      <c r="K761" s="87"/>
      <c r="N761" s="89"/>
    </row>
    <row r="762">
      <c r="B762" s="86"/>
      <c r="E762" s="87"/>
      <c r="H762" s="89"/>
      <c r="K762" s="87"/>
      <c r="N762" s="89"/>
    </row>
    <row r="763">
      <c r="B763" s="86"/>
      <c r="E763" s="87"/>
      <c r="H763" s="89"/>
      <c r="K763" s="87"/>
      <c r="N763" s="89"/>
    </row>
    <row r="764">
      <c r="B764" s="86"/>
      <c r="E764" s="87"/>
      <c r="H764" s="89"/>
      <c r="K764" s="87"/>
      <c r="N764" s="89"/>
    </row>
    <row r="765">
      <c r="B765" s="86"/>
      <c r="E765" s="87"/>
      <c r="H765" s="89"/>
      <c r="K765" s="87"/>
      <c r="N765" s="89"/>
    </row>
    <row r="766">
      <c r="B766" s="86"/>
      <c r="E766" s="87"/>
      <c r="H766" s="89"/>
      <c r="K766" s="87"/>
      <c r="N766" s="89"/>
    </row>
    <row r="767">
      <c r="B767" s="86"/>
      <c r="E767" s="87"/>
      <c r="H767" s="89"/>
      <c r="K767" s="87"/>
      <c r="N767" s="89"/>
    </row>
    <row r="768">
      <c r="B768" s="86"/>
      <c r="E768" s="87"/>
      <c r="H768" s="89"/>
      <c r="K768" s="87"/>
      <c r="N768" s="89"/>
    </row>
    <row r="769">
      <c r="B769" s="86"/>
      <c r="E769" s="87"/>
      <c r="H769" s="89"/>
      <c r="K769" s="87"/>
      <c r="N769" s="89"/>
    </row>
    <row r="770">
      <c r="B770" s="86"/>
      <c r="E770" s="87"/>
      <c r="H770" s="89"/>
      <c r="K770" s="87"/>
      <c r="N770" s="89"/>
    </row>
    <row r="771">
      <c r="B771" s="86"/>
      <c r="E771" s="87"/>
      <c r="H771" s="89"/>
      <c r="K771" s="87"/>
      <c r="N771" s="89"/>
    </row>
    <row r="772">
      <c r="B772" s="86"/>
      <c r="E772" s="87"/>
      <c r="H772" s="89"/>
      <c r="K772" s="87"/>
      <c r="N772" s="89"/>
    </row>
    <row r="773">
      <c r="B773" s="86"/>
      <c r="E773" s="87"/>
      <c r="H773" s="89"/>
      <c r="K773" s="87"/>
      <c r="N773" s="89"/>
    </row>
    <row r="774">
      <c r="B774" s="86"/>
      <c r="E774" s="87"/>
      <c r="H774" s="89"/>
      <c r="K774" s="87"/>
      <c r="N774" s="89"/>
    </row>
    <row r="775">
      <c r="B775" s="86"/>
      <c r="E775" s="87"/>
      <c r="H775" s="89"/>
      <c r="K775" s="87"/>
      <c r="N775" s="89"/>
    </row>
    <row r="776">
      <c r="B776" s="86"/>
      <c r="E776" s="87"/>
      <c r="H776" s="89"/>
      <c r="K776" s="87"/>
      <c r="N776" s="89"/>
    </row>
    <row r="777">
      <c r="B777" s="86"/>
      <c r="E777" s="87"/>
      <c r="H777" s="89"/>
      <c r="K777" s="87"/>
      <c r="N777" s="89"/>
    </row>
    <row r="778">
      <c r="B778" s="86"/>
      <c r="E778" s="87"/>
      <c r="H778" s="89"/>
      <c r="K778" s="87"/>
      <c r="N778" s="89"/>
    </row>
    <row r="779">
      <c r="B779" s="86"/>
      <c r="E779" s="87"/>
      <c r="H779" s="89"/>
      <c r="K779" s="87"/>
      <c r="N779" s="89"/>
    </row>
    <row r="780">
      <c r="B780" s="86"/>
      <c r="E780" s="87"/>
      <c r="H780" s="89"/>
      <c r="K780" s="87"/>
      <c r="N780" s="89"/>
    </row>
    <row r="781">
      <c r="B781" s="86"/>
      <c r="E781" s="87"/>
      <c r="H781" s="89"/>
      <c r="K781" s="87"/>
      <c r="N781" s="89"/>
    </row>
    <row r="782">
      <c r="B782" s="86"/>
      <c r="E782" s="87"/>
      <c r="H782" s="89"/>
      <c r="K782" s="87"/>
      <c r="N782" s="89"/>
    </row>
    <row r="783">
      <c r="B783" s="86"/>
      <c r="E783" s="87"/>
      <c r="H783" s="89"/>
      <c r="K783" s="87"/>
      <c r="N783" s="89"/>
    </row>
    <row r="784">
      <c r="B784" s="86"/>
      <c r="E784" s="87"/>
      <c r="H784" s="89"/>
      <c r="K784" s="87"/>
      <c r="N784" s="89"/>
    </row>
    <row r="785">
      <c r="B785" s="86"/>
      <c r="E785" s="87"/>
      <c r="H785" s="89"/>
      <c r="K785" s="87"/>
      <c r="N785" s="89"/>
    </row>
    <row r="786">
      <c r="B786" s="86"/>
      <c r="E786" s="87"/>
      <c r="H786" s="89"/>
      <c r="K786" s="87"/>
      <c r="N786" s="89"/>
    </row>
    <row r="787">
      <c r="B787" s="86"/>
      <c r="E787" s="87"/>
      <c r="H787" s="89"/>
      <c r="K787" s="87"/>
      <c r="N787" s="89"/>
    </row>
    <row r="788">
      <c r="B788" s="86"/>
      <c r="E788" s="87"/>
      <c r="H788" s="89"/>
      <c r="K788" s="87"/>
      <c r="N788" s="89"/>
    </row>
    <row r="789">
      <c r="B789" s="86"/>
      <c r="E789" s="87"/>
      <c r="H789" s="89"/>
      <c r="K789" s="87"/>
      <c r="N789" s="89"/>
    </row>
    <row r="790">
      <c r="B790" s="86"/>
      <c r="E790" s="87"/>
      <c r="H790" s="89"/>
      <c r="K790" s="87"/>
      <c r="N790" s="89"/>
    </row>
    <row r="791">
      <c r="B791" s="86"/>
      <c r="E791" s="87"/>
      <c r="H791" s="89"/>
      <c r="K791" s="87"/>
      <c r="N791" s="89"/>
    </row>
    <row r="792">
      <c r="B792" s="86"/>
      <c r="E792" s="87"/>
      <c r="H792" s="89"/>
      <c r="K792" s="87"/>
      <c r="N792" s="89"/>
    </row>
    <row r="793">
      <c r="B793" s="86"/>
      <c r="E793" s="87"/>
      <c r="H793" s="89"/>
      <c r="K793" s="87"/>
      <c r="N793" s="89"/>
    </row>
    <row r="794">
      <c r="B794" s="86"/>
      <c r="E794" s="87"/>
      <c r="H794" s="89"/>
      <c r="K794" s="87"/>
      <c r="N794" s="89"/>
    </row>
    <row r="795">
      <c r="B795" s="86"/>
      <c r="E795" s="87"/>
      <c r="H795" s="89"/>
      <c r="K795" s="87"/>
      <c r="N795" s="89"/>
    </row>
    <row r="796">
      <c r="B796" s="86"/>
      <c r="E796" s="87"/>
      <c r="H796" s="89"/>
      <c r="K796" s="87"/>
      <c r="N796" s="89"/>
    </row>
    <row r="797">
      <c r="B797" s="86"/>
      <c r="E797" s="87"/>
      <c r="H797" s="89"/>
      <c r="K797" s="87"/>
      <c r="N797" s="89"/>
    </row>
    <row r="798">
      <c r="B798" s="86"/>
      <c r="E798" s="87"/>
      <c r="H798" s="89"/>
      <c r="K798" s="87"/>
      <c r="N798" s="89"/>
    </row>
    <row r="799">
      <c r="B799" s="86"/>
      <c r="E799" s="87"/>
      <c r="H799" s="89"/>
      <c r="K799" s="87"/>
      <c r="N799" s="89"/>
    </row>
    <row r="800">
      <c r="B800" s="86"/>
      <c r="E800" s="87"/>
      <c r="H800" s="89"/>
      <c r="K800" s="87"/>
      <c r="N800" s="89"/>
    </row>
    <row r="801">
      <c r="B801" s="86"/>
      <c r="E801" s="87"/>
      <c r="H801" s="89"/>
      <c r="K801" s="87"/>
      <c r="N801" s="89"/>
    </row>
    <row r="802">
      <c r="B802" s="86"/>
      <c r="E802" s="87"/>
      <c r="H802" s="89"/>
      <c r="K802" s="87"/>
      <c r="N802" s="89"/>
    </row>
    <row r="803">
      <c r="B803" s="86"/>
      <c r="E803" s="87"/>
      <c r="H803" s="89"/>
      <c r="K803" s="87"/>
      <c r="N803" s="89"/>
    </row>
    <row r="804">
      <c r="B804" s="86"/>
      <c r="E804" s="87"/>
      <c r="H804" s="89"/>
      <c r="K804" s="87"/>
      <c r="N804" s="89"/>
    </row>
    <row r="805">
      <c r="B805" s="86"/>
      <c r="E805" s="87"/>
      <c r="H805" s="89"/>
      <c r="K805" s="87"/>
      <c r="N805" s="89"/>
    </row>
    <row r="806">
      <c r="B806" s="86"/>
      <c r="E806" s="87"/>
      <c r="H806" s="89"/>
      <c r="K806" s="87"/>
      <c r="N806" s="89"/>
    </row>
    <row r="807">
      <c r="B807" s="86"/>
      <c r="E807" s="87"/>
      <c r="H807" s="89"/>
      <c r="K807" s="87"/>
      <c r="N807" s="89"/>
    </row>
    <row r="808">
      <c r="B808" s="86"/>
      <c r="E808" s="87"/>
      <c r="H808" s="89"/>
      <c r="K808" s="87"/>
      <c r="N808" s="89"/>
    </row>
    <row r="809">
      <c r="B809" s="86"/>
      <c r="E809" s="87"/>
      <c r="H809" s="89"/>
      <c r="K809" s="87"/>
      <c r="N809" s="89"/>
    </row>
    <row r="810">
      <c r="B810" s="86"/>
      <c r="E810" s="87"/>
      <c r="H810" s="89"/>
      <c r="K810" s="87"/>
      <c r="N810" s="89"/>
    </row>
    <row r="811">
      <c r="B811" s="86"/>
      <c r="E811" s="87"/>
      <c r="H811" s="89"/>
      <c r="K811" s="87"/>
      <c r="N811" s="89"/>
    </row>
    <row r="812">
      <c r="B812" s="86"/>
      <c r="E812" s="87"/>
      <c r="H812" s="89"/>
      <c r="K812" s="87"/>
      <c r="N812" s="89"/>
    </row>
    <row r="813">
      <c r="B813" s="86"/>
      <c r="E813" s="87"/>
      <c r="H813" s="89"/>
      <c r="K813" s="87"/>
      <c r="N813" s="89"/>
    </row>
    <row r="814">
      <c r="B814" s="86"/>
      <c r="E814" s="87"/>
      <c r="H814" s="89"/>
      <c r="K814" s="87"/>
      <c r="N814" s="89"/>
    </row>
    <row r="815">
      <c r="B815" s="86"/>
      <c r="E815" s="87"/>
      <c r="H815" s="89"/>
      <c r="K815" s="87"/>
      <c r="N815" s="89"/>
    </row>
    <row r="816">
      <c r="B816" s="86"/>
      <c r="E816" s="87"/>
      <c r="H816" s="89"/>
      <c r="K816" s="87"/>
      <c r="N816" s="89"/>
    </row>
    <row r="817">
      <c r="B817" s="86"/>
      <c r="E817" s="87"/>
      <c r="H817" s="89"/>
      <c r="K817" s="87"/>
      <c r="N817" s="89"/>
    </row>
    <row r="818">
      <c r="B818" s="86"/>
      <c r="E818" s="87"/>
      <c r="H818" s="89"/>
      <c r="K818" s="87"/>
      <c r="N818" s="89"/>
    </row>
    <row r="819">
      <c r="B819" s="86"/>
      <c r="E819" s="87"/>
      <c r="H819" s="89"/>
      <c r="K819" s="87"/>
      <c r="N819" s="89"/>
    </row>
    <row r="820">
      <c r="B820" s="86"/>
      <c r="E820" s="87"/>
      <c r="H820" s="89"/>
      <c r="K820" s="87"/>
      <c r="N820" s="89"/>
    </row>
    <row r="821">
      <c r="B821" s="86"/>
      <c r="E821" s="87"/>
      <c r="H821" s="89"/>
      <c r="K821" s="87"/>
      <c r="N821" s="89"/>
    </row>
    <row r="822">
      <c r="B822" s="86"/>
      <c r="E822" s="87"/>
      <c r="H822" s="89"/>
      <c r="K822" s="87"/>
      <c r="N822" s="89"/>
    </row>
    <row r="823">
      <c r="B823" s="86"/>
      <c r="E823" s="87"/>
      <c r="H823" s="89"/>
      <c r="K823" s="87"/>
      <c r="N823" s="89"/>
    </row>
    <row r="824">
      <c r="B824" s="86"/>
      <c r="E824" s="87"/>
      <c r="H824" s="89"/>
      <c r="K824" s="87"/>
      <c r="N824" s="89"/>
    </row>
    <row r="825">
      <c r="B825" s="86"/>
      <c r="E825" s="87"/>
      <c r="H825" s="89"/>
      <c r="K825" s="87"/>
      <c r="N825" s="89"/>
    </row>
    <row r="826">
      <c r="B826" s="86"/>
      <c r="E826" s="87"/>
      <c r="H826" s="89"/>
      <c r="K826" s="87"/>
      <c r="N826" s="89"/>
    </row>
    <row r="827">
      <c r="B827" s="86"/>
      <c r="E827" s="87"/>
      <c r="H827" s="89"/>
      <c r="K827" s="87"/>
      <c r="N827" s="89"/>
    </row>
    <row r="828">
      <c r="B828" s="86"/>
      <c r="E828" s="87"/>
      <c r="H828" s="89"/>
      <c r="K828" s="87"/>
      <c r="N828" s="89"/>
    </row>
    <row r="829">
      <c r="B829" s="86"/>
      <c r="E829" s="87"/>
      <c r="H829" s="89"/>
      <c r="K829" s="87"/>
      <c r="N829" s="89"/>
    </row>
    <row r="830">
      <c r="B830" s="86"/>
      <c r="E830" s="87"/>
      <c r="H830" s="89"/>
      <c r="K830" s="87"/>
      <c r="N830" s="89"/>
    </row>
    <row r="831">
      <c r="B831" s="86"/>
      <c r="E831" s="87"/>
      <c r="H831" s="89"/>
      <c r="K831" s="87"/>
      <c r="N831" s="89"/>
    </row>
    <row r="832">
      <c r="B832" s="86"/>
      <c r="E832" s="87"/>
      <c r="H832" s="89"/>
      <c r="K832" s="87"/>
      <c r="N832" s="89"/>
    </row>
    <row r="833">
      <c r="B833" s="86"/>
      <c r="E833" s="87"/>
      <c r="H833" s="89"/>
      <c r="K833" s="87"/>
      <c r="N833" s="89"/>
    </row>
    <row r="834">
      <c r="B834" s="86"/>
      <c r="E834" s="87"/>
      <c r="H834" s="89"/>
      <c r="K834" s="87"/>
      <c r="N834" s="89"/>
    </row>
    <row r="835">
      <c r="B835" s="86"/>
      <c r="E835" s="87"/>
      <c r="H835" s="89"/>
      <c r="K835" s="87"/>
      <c r="N835" s="89"/>
    </row>
    <row r="836">
      <c r="B836" s="86"/>
      <c r="E836" s="87"/>
      <c r="H836" s="89"/>
      <c r="K836" s="87"/>
      <c r="N836" s="89"/>
    </row>
    <row r="837">
      <c r="B837" s="86"/>
      <c r="E837" s="87"/>
      <c r="H837" s="89"/>
      <c r="K837" s="87"/>
      <c r="N837" s="89"/>
    </row>
    <row r="838">
      <c r="B838" s="86"/>
      <c r="E838" s="87"/>
      <c r="H838" s="89"/>
      <c r="K838" s="87"/>
      <c r="N838" s="89"/>
    </row>
    <row r="839">
      <c r="B839" s="86"/>
      <c r="E839" s="87"/>
      <c r="H839" s="89"/>
      <c r="K839" s="87"/>
      <c r="N839" s="89"/>
    </row>
    <row r="840">
      <c r="B840" s="86"/>
      <c r="E840" s="87"/>
      <c r="H840" s="89"/>
      <c r="K840" s="87"/>
      <c r="N840" s="89"/>
    </row>
    <row r="841">
      <c r="B841" s="86"/>
      <c r="E841" s="87"/>
      <c r="H841" s="89"/>
      <c r="K841" s="87"/>
      <c r="N841" s="89"/>
    </row>
    <row r="842">
      <c r="B842" s="86"/>
      <c r="E842" s="87"/>
      <c r="H842" s="89"/>
      <c r="K842" s="87"/>
      <c r="N842" s="89"/>
    </row>
    <row r="843">
      <c r="B843" s="86"/>
      <c r="E843" s="87"/>
      <c r="H843" s="89"/>
      <c r="K843" s="87"/>
      <c r="N843" s="89"/>
    </row>
    <row r="844">
      <c r="B844" s="86"/>
      <c r="E844" s="87"/>
      <c r="H844" s="89"/>
      <c r="K844" s="87"/>
      <c r="N844" s="89"/>
    </row>
    <row r="845">
      <c r="B845" s="86"/>
      <c r="E845" s="87"/>
      <c r="H845" s="89"/>
      <c r="K845" s="87"/>
      <c r="N845" s="89"/>
    </row>
    <row r="846">
      <c r="B846" s="86"/>
      <c r="E846" s="87"/>
      <c r="H846" s="89"/>
      <c r="K846" s="87"/>
      <c r="N846" s="89"/>
    </row>
    <row r="847">
      <c r="B847" s="86"/>
      <c r="E847" s="87"/>
      <c r="H847" s="89"/>
      <c r="K847" s="87"/>
      <c r="N847" s="89"/>
    </row>
    <row r="848">
      <c r="B848" s="86"/>
      <c r="E848" s="87"/>
      <c r="H848" s="89"/>
      <c r="K848" s="87"/>
      <c r="N848" s="89"/>
    </row>
    <row r="849">
      <c r="B849" s="86"/>
      <c r="E849" s="87"/>
      <c r="H849" s="89"/>
      <c r="K849" s="87"/>
      <c r="N849" s="89"/>
    </row>
    <row r="850">
      <c r="B850" s="86"/>
      <c r="E850" s="87"/>
      <c r="H850" s="89"/>
      <c r="K850" s="87"/>
      <c r="N850" s="89"/>
    </row>
    <row r="851">
      <c r="B851" s="86"/>
      <c r="E851" s="87"/>
      <c r="H851" s="89"/>
      <c r="K851" s="87"/>
      <c r="N851" s="89"/>
    </row>
    <row r="852">
      <c r="B852" s="86"/>
      <c r="E852" s="87"/>
      <c r="H852" s="89"/>
      <c r="K852" s="87"/>
      <c r="N852" s="89"/>
    </row>
    <row r="853">
      <c r="B853" s="86"/>
      <c r="E853" s="87"/>
      <c r="H853" s="89"/>
      <c r="K853" s="87"/>
      <c r="N853" s="89"/>
    </row>
    <row r="854">
      <c r="B854" s="86"/>
      <c r="E854" s="87"/>
      <c r="H854" s="89"/>
      <c r="K854" s="87"/>
      <c r="N854" s="89"/>
    </row>
    <row r="855">
      <c r="B855" s="86"/>
      <c r="E855" s="87"/>
      <c r="H855" s="89"/>
      <c r="K855" s="87"/>
      <c r="N855" s="89"/>
    </row>
    <row r="856">
      <c r="B856" s="86"/>
      <c r="E856" s="87"/>
      <c r="H856" s="89"/>
      <c r="K856" s="87"/>
      <c r="N856" s="89"/>
    </row>
    <row r="857">
      <c r="B857" s="86"/>
      <c r="E857" s="87"/>
      <c r="H857" s="89"/>
      <c r="K857" s="87"/>
      <c r="N857" s="89"/>
    </row>
    <row r="858">
      <c r="B858" s="86"/>
      <c r="E858" s="87"/>
      <c r="H858" s="89"/>
      <c r="K858" s="87"/>
      <c r="N858" s="89"/>
    </row>
    <row r="859">
      <c r="B859" s="86"/>
      <c r="E859" s="87"/>
      <c r="H859" s="89"/>
      <c r="K859" s="87"/>
      <c r="N859" s="89"/>
    </row>
    <row r="860">
      <c r="B860" s="86"/>
      <c r="E860" s="87"/>
      <c r="H860" s="89"/>
      <c r="K860" s="87"/>
      <c r="N860" s="89"/>
    </row>
    <row r="861">
      <c r="B861" s="86"/>
      <c r="E861" s="87"/>
      <c r="H861" s="89"/>
      <c r="K861" s="87"/>
      <c r="N861" s="89"/>
    </row>
    <row r="862">
      <c r="B862" s="86"/>
      <c r="E862" s="87"/>
      <c r="H862" s="89"/>
      <c r="K862" s="87"/>
      <c r="N862" s="89"/>
    </row>
    <row r="863">
      <c r="B863" s="86"/>
      <c r="E863" s="87"/>
      <c r="H863" s="89"/>
      <c r="K863" s="87"/>
      <c r="N863" s="89"/>
    </row>
    <row r="864">
      <c r="B864" s="86"/>
      <c r="E864" s="87"/>
      <c r="H864" s="89"/>
      <c r="K864" s="87"/>
      <c r="N864" s="89"/>
    </row>
    <row r="865">
      <c r="B865" s="86"/>
      <c r="E865" s="87"/>
      <c r="H865" s="89"/>
      <c r="K865" s="87"/>
      <c r="N865" s="89"/>
    </row>
    <row r="866">
      <c r="B866" s="86"/>
      <c r="E866" s="87"/>
      <c r="H866" s="89"/>
      <c r="K866" s="87"/>
      <c r="N866" s="89"/>
    </row>
    <row r="867">
      <c r="B867" s="86"/>
      <c r="E867" s="87"/>
      <c r="H867" s="89"/>
      <c r="K867" s="87"/>
      <c r="N867" s="89"/>
    </row>
    <row r="868">
      <c r="B868" s="86"/>
      <c r="E868" s="87"/>
      <c r="H868" s="89"/>
      <c r="K868" s="87"/>
      <c r="N868" s="89"/>
    </row>
    <row r="869">
      <c r="B869" s="86"/>
      <c r="E869" s="87"/>
      <c r="H869" s="89"/>
      <c r="K869" s="87"/>
      <c r="N869" s="89"/>
    </row>
    <row r="870">
      <c r="B870" s="86"/>
      <c r="E870" s="87"/>
      <c r="H870" s="89"/>
      <c r="K870" s="87"/>
      <c r="N870" s="89"/>
    </row>
    <row r="871">
      <c r="B871" s="86"/>
      <c r="E871" s="87"/>
      <c r="H871" s="89"/>
      <c r="K871" s="87"/>
      <c r="N871" s="89"/>
    </row>
    <row r="872">
      <c r="B872" s="86"/>
      <c r="E872" s="87"/>
      <c r="H872" s="89"/>
      <c r="K872" s="87"/>
      <c r="N872" s="89"/>
    </row>
    <row r="873">
      <c r="B873" s="86"/>
      <c r="E873" s="87"/>
      <c r="H873" s="89"/>
      <c r="K873" s="87"/>
      <c r="N873" s="89"/>
    </row>
    <row r="874">
      <c r="B874" s="86"/>
      <c r="E874" s="87"/>
      <c r="H874" s="89"/>
      <c r="K874" s="87"/>
      <c r="N874" s="89"/>
    </row>
    <row r="875">
      <c r="B875" s="86"/>
      <c r="E875" s="87"/>
      <c r="H875" s="89"/>
      <c r="K875" s="87"/>
      <c r="N875" s="89"/>
    </row>
    <row r="876">
      <c r="B876" s="86"/>
      <c r="E876" s="87"/>
      <c r="H876" s="89"/>
      <c r="K876" s="87"/>
      <c r="N876" s="89"/>
    </row>
    <row r="877">
      <c r="B877" s="86"/>
      <c r="E877" s="87"/>
      <c r="H877" s="89"/>
      <c r="K877" s="87"/>
      <c r="N877" s="89"/>
    </row>
    <row r="878">
      <c r="B878" s="86"/>
      <c r="E878" s="87"/>
      <c r="H878" s="89"/>
      <c r="K878" s="87"/>
      <c r="N878" s="89"/>
    </row>
    <row r="879">
      <c r="B879" s="86"/>
      <c r="E879" s="87"/>
      <c r="H879" s="89"/>
      <c r="K879" s="87"/>
      <c r="N879" s="89"/>
    </row>
    <row r="880">
      <c r="B880" s="86"/>
      <c r="E880" s="87"/>
      <c r="H880" s="89"/>
      <c r="K880" s="87"/>
      <c r="N880" s="89"/>
    </row>
    <row r="881">
      <c r="B881" s="86"/>
      <c r="E881" s="87"/>
      <c r="H881" s="89"/>
      <c r="K881" s="87"/>
      <c r="N881" s="89"/>
    </row>
    <row r="882">
      <c r="B882" s="86"/>
      <c r="E882" s="87"/>
      <c r="H882" s="89"/>
      <c r="K882" s="87"/>
      <c r="N882" s="89"/>
    </row>
    <row r="883">
      <c r="B883" s="86"/>
      <c r="E883" s="87"/>
      <c r="H883" s="89"/>
      <c r="K883" s="87"/>
      <c r="N883" s="89"/>
    </row>
    <row r="884">
      <c r="B884" s="86"/>
      <c r="E884" s="87"/>
      <c r="H884" s="89"/>
      <c r="K884" s="87"/>
      <c r="N884" s="89"/>
    </row>
    <row r="885">
      <c r="B885" s="86"/>
      <c r="E885" s="87"/>
      <c r="H885" s="89"/>
      <c r="K885" s="87"/>
      <c r="N885" s="89"/>
    </row>
    <row r="886">
      <c r="B886" s="86"/>
      <c r="E886" s="87"/>
      <c r="H886" s="89"/>
      <c r="K886" s="87"/>
      <c r="N886" s="89"/>
    </row>
    <row r="887">
      <c r="B887" s="86"/>
      <c r="E887" s="87"/>
      <c r="H887" s="89"/>
      <c r="K887" s="87"/>
      <c r="N887" s="89"/>
    </row>
    <row r="888">
      <c r="B888" s="86"/>
      <c r="E888" s="87"/>
      <c r="H888" s="89"/>
      <c r="K888" s="87"/>
      <c r="N888" s="89"/>
    </row>
    <row r="889">
      <c r="B889" s="86"/>
      <c r="E889" s="87"/>
      <c r="H889" s="89"/>
      <c r="K889" s="87"/>
      <c r="N889" s="89"/>
    </row>
    <row r="890">
      <c r="B890" s="86"/>
      <c r="E890" s="87"/>
      <c r="H890" s="89"/>
      <c r="K890" s="87"/>
      <c r="N890" s="89"/>
    </row>
    <row r="891">
      <c r="B891" s="86"/>
      <c r="E891" s="87"/>
      <c r="H891" s="89"/>
      <c r="K891" s="87"/>
      <c r="N891" s="89"/>
    </row>
    <row r="892">
      <c r="B892" s="86"/>
      <c r="E892" s="87"/>
      <c r="H892" s="89"/>
      <c r="K892" s="87"/>
      <c r="N892" s="89"/>
    </row>
    <row r="893">
      <c r="B893" s="86"/>
      <c r="E893" s="87"/>
      <c r="H893" s="89"/>
      <c r="K893" s="87"/>
      <c r="N893" s="89"/>
    </row>
    <row r="894">
      <c r="B894" s="86"/>
      <c r="E894" s="87"/>
      <c r="H894" s="89"/>
      <c r="K894" s="87"/>
      <c r="N894" s="89"/>
    </row>
    <row r="895">
      <c r="B895" s="86"/>
      <c r="E895" s="87"/>
      <c r="H895" s="89"/>
      <c r="K895" s="87"/>
      <c r="N895" s="89"/>
    </row>
    <row r="896">
      <c r="B896" s="86"/>
      <c r="E896" s="87"/>
      <c r="H896" s="89"/>
      <c r="K896" s="87"/>
      <c r="N896" s="89"/>
    </row>
    <row r="897">
      <c r="B897" s="86"/>
      <c r="E897" s="87"/>
      <c r="H897" s="89"/>
      <c r="K897" s="87"/>
      <c r="N897" s="89"/>
    </row>
    <row r="898">
      <c r="B898" s="86"/>
      <c r="E898" s="87"/>
      <c r="H898" s="89"/>
      <c r="K898" s="87"/>
      <c r="N898" s="89"/>
    </row>
    <row r="899">
      <c r="B899" s="86"/>
      <c r="E899" s="87"/>
      <c r="H899" s="89"/>
      <c r="K899" s="87"/>
      <c r="N899" s="89"/>
    </row>
    <row r="900">
      <c r="B900" s="86"/>
      <c r="E900" s="87"/>
      <c r="H900" s="89"/>
      <c r="K900" s="87"/>
      <c r="N900" s="89"/>
    </row>
    <row r="901">
      <c r="B901" s="86"/>
      <c r="E901" s="87"/>
      <c r="H901" s="89"/>
      <c r="K901" s="87"/>
      <c r="N901" s="89"/>
    </row>
    <row r="902">
      <c r="B902" s="86"/>
      <c r="E902" s="87"/>
      <c r="H902" s="89"/>
      <c r="K902" s="87"/>
      <c r="N902" s="89"/>
    </row>
    <row r="903">
      <c r="B903" s="86"/>
      <c r="E903" s="87"/>
      <c r="H903" s="89"/>
      <c r="K903" s="87"/>
      <c r="N903" s="89"/>
    </row>
    <row r="904">
      <c r="B904" s="86"/>
      <c r="E904" s="87"/>
      <c r="H904" s="89"/>
      <c r="K904" s="87"/>
      <c r="N904" s="89"/>
    </row>
    <row r="905">
      <c r="B905" s="86"/>
      <c r="E905" s="87"/>
      <c r="H905" s="89"/>
      <c r="K905" s="87"/>
      <c r="N905" s="89"/>
    </row>
    <row r="906">
      <c r="B906" s="86"/>
      <c r="E906" s="87"/>
      <c r="H906" s="89"/>
      <c r="K906" s="87"/>
      <c r="N906" s="89"/>
    </row>
    <row r="907">
      <c r="B907" s="86"/>
      <c r="E907" s="87"/>
      <c r="H907" s="89"/>
      <c r="K907" s="87"/>
      <c r="N907" s="89"/>
    </row>
    <row r="908">
      <c r="B908" s="86"/>
      <c r="E908" s="87"/>
      <c r="H908" s="89"/>
      <c r="K908" s="87"/>
      <c r="N908" s="89"/>
    </row>
    <row r="909">
      <c r="B909" s="86"/>
      <c r="E909" s="87"/>
      <c r="H909" s="89"/>
      <c r="K909" s="87"/>
      <c r="N909" s="89"/>
    </row>
    <row r="910">
      <c r="B910" s="86"/>
      <c r="E910" s="87"/>
      <c r="H910" s="89"/>
      <c r="K910" s="87"/>
      <c r="N910" s="89"/>
    </row>
    <row r="911">
      <c r="B911" s="86"/>
      <c r="E911" s="87"/>
      <c r="H911" s="89"/>
      <c r="K911" s="87"/>
      <c r="N911" s="89"/>
    </row>
    <row r="912">
      <c r="B912" s="86"/>
      <c r="E912" s="87"/>
      <c r="H912" s="89"/>
      <c r="K912" s="87"/>
      <c r="N912" s="89"/>
    </row>
    <row r="913">
      <c r="B913" s="86"/>
      <c r="E913" s="87"/>
      <c r="H913" s="89"/>
      <c r="K913" s="87"/>
      <c r="N913" s="89"/>
    </row>
    <row r="914">
      <c r="B914" s="86"/>
      <c r="E914" s="87"/>
      <c r="H914" s="89"/>
      <c r="K914" s="87"/>
      <c r="N914" s="89"/>
    </row>
    <row r="915">
      <c r="B915" s="86"/>
      <c r="E915" s="87"/>
      <c r="H915" s="89"/>
      <c r="K915" s="87"/>
      <c r="N915" s="89"/>
    </row>
    <row r="916">
      <c r="B916" s="86"/>
      <c r="E916" s="87"/>
      <c r="H916" s="89"/>
      <c r="K916" s="87"/>
      <c r="N916" s="89"/>
    </row>
    <row r="917">
      <c r="B917" s="86"/>
      <c r="E917" s="87"/>
      <c r="H917" s="89"/>
      <c r="K917" s="87"/>
      <c r="N917" s="89"/>
    </row>
    <row r="918">
      <c r="B918" s="86"/>
      <c r="E918" s="87"/>
      <c r="H918" s="89"/>
      <c r="K918" s="87"/>
      <c r="N918" s="89"/>
    </row>
    <row r="919">
      <c r="B919" s="86"/>
      <c r="E919" s="87"/>
      <c r="H919" s="89"/>
      <c r="K919" s="87"/>
      <c r="N919" s="89"/>
    </row>
    <row r="920">
      <c r="B920" s="86"/>
      <c r="E920" s="87"/>
      <c r="H920" s="89"/>
      <c r="K920" s="87"/>
      <c r="N920" s="89"/>
    </row>
    <row r="921">
      <c r="B921" s="86"/>
      <c r="E921" s="87"/>
      <c r="H921" s="89"/>
      <c r="K921" s="87"/>
      <c r="N921" s="89"/>
    </row>
    <row r="922">
      <c r="B922" s="86"/>
      <c r="E922" s="87"/>
      <c r="H922" s="89"/>
      <c r="K922" s="87"/>
      <c r="N922" s="89"/>
    </row>
    <row r="923">
      <c r="B923" s="86"/>
      <c r="E923" s="87"/>
      <c r="H923" s="89"/>
      <c r="K923" s="87"/>
      <c r="N923" s="89"/>
    </row>
    <row r="924">
      <c r="B924" s="86"/>
      <c r="E924" s="87"/>
      <c r="H924" s="89"/>
      <c r="K924" s="87"/>
      <c r="N924" s="89"/>
    </row>
    <row r="925">
      <c r="B925" s="86"/>
      <c r="E925" s="87"/>
      <c r="H925" s="89"/>
      <c r="K925" s="87"/>
      <c r="N925" s="89"/>
    </row>
    <row r="926">
      <c r="B926" s="86"/>
      <c r="E926" s="87"/>
      <c r="H926" s="89"/>
      <c r="K926" s="87"/>
      <c r="N926" s="89"/>
    </row>
    <row r="927">
      <c r="B927" s="86"/>
      <c r="E927" s="87"/>
      <c r="H927" s="89"/>
      <c r="K927" s="87"/>
      <c r="N927" s="89"/>
    </row>
    <row r="928">
      <c r="B928" s="86"/>
      <c r="E928" s="87"/>
      <c r="H928" s="89"/>
      <c r="K928" s="87"/>
      <c r="N928" s="89"/>
    </row>
    <row r="929">
      <c r="B929" s="86"/>
      <c r="E929" s="87"/>
      <c r="H929" s="89"/>
      <c r="K929" s="87"/>
      <c r="N929" s="89"/>
    </row>
    <row r="930">
      <c r="B930" s="86"/>
      <c r="E930" s="87"/>
      <c r="H930" s="89"/>
      <c r="K930" s="87"/>
      <c r="N930" s="89"/>
    </row>
    <row r="931">
      <c r="B931" s="86"/>
      <c r="E931" s="87"/>
      <c r="H931" s="89"/>
      <c r="K931" s="87"/>
      <c r="N931" s="89"/>
    </row>
    <row r="932">
      <c r="B932" s="86"/>
      <c r="E932" s="87"/>
      <c r="H932" s="89"/>
      <c r="K932" s="87"/>
      <c r="N932" s="89"/>
    </row>
    <row r="933">
      <c r="B933" s="86"/>
      <c r="E933" s="87"/>
      <c r="H933" s="89"/>
      <c r="K933" s="87"/>
      <c r="N933" s="89"/>
    </row>
    <row r="934">
      <c r="B934" s="86"/>
      <c r="E934" s="87"/>
      <c r="H934" s="89"/>
      <c r="K934" s="87"/>
      <c r="N934" s="89"/>
    </row>
    <row r="935">
      <c r="B935" s="86"/>
      <c r="E935" s="87"/>
      <c r="H935" s="89"/>
      <c r="K935" s="87"/>
      <c r="N935" s="89"/>
    </row>
    <row r="936">
      <c r="B936" s="86"/>
      <c r="E936" s="87"/>
      <c r="H936" s="89"/>
      <c r="K936" s="87"/>
      <c r="N936" s="89"/>
    </row>
    <row r="937">
      <c r="B937" s="86"/>
      <c r="E937" s="87"/>
      <c r="H937" s="89"/>
      <c r="K937" s="87"/>
      <c r="N937" s="89"/>
    </row>
    <row r="938">
      <c r="B938" s="86"/>
      <c r="E938" s="87"/>
      <c r="H938" s="89"/>
      <c r="K938" s="87"/>
      <c r="N938" s="89"/>
    </row>
    <row r="939">
      <c r="B939" s="86"/>
      <c r="E939" s="87"/>
      <c r="H939" s="89"/>
      <c r="K939" s="87"/>
      <c r="N939" s="89"/>
    </row>
    <row r="940">
      <c r="B940" s="86"/>
      <c r="E940" s="87"/>
      <c r="H940" s="89"/>
      <c r="K940" s="87"/>
      <c r="N940" s="89"/>
    </row>
    <row r="941">
      <c r="B941" s="86"/>
      <c r="E941" s="87"/>
      <c r="H941" s="89"/>
      <c r="K941" s="87"/>
      <c r="N941" s="89"/>
    </row>
    <row r="942">
      <c r="B942" s="86"/>
      <c r="E942" s="87"/>
      <c r="H942" s="89"/>
      <c r="K942" s="87"/>
      <c r="N942" s="89"/>
    </row>
    <row r="943">
      <c r="B943" s="86"/>
      <c r="E943" s="87"/>
      <c r="H943" s="89"/>
      <c r="K943" s="87"/>
      <c r="N943" s="89"/>
    </row>
    <row r="944">
      <c r="B944" s="86"/>
      <c r="E944" s="87"/>
      <c r="H944" s="89"/>
      <c r="K944" s="87"/>
      <c r="N944" s="89"/>
    </row>
    <row r="945">
      <c r="B945" s="86"/>
      <c r="E945" s="87"/>
      <c r="H945" s="89"/>
      <c r="K945" s="87"/>
      <c r="N945" s="89"/>
    </row>
    <row r="946">
      <c r="B946" s="86"/>
      <c r="E946" s="87"/>
      <c r="H946" s="89"/>
      <c r="K946" s="87"/>
      <c r="N946" s="89"/>
    </row>
    <row r="947">
      <c r="B947" s="86"/>
      <c r="E947" s="87"/>
      <c r="H947" s="89"/>
      <c r="K947" s="87"/>
      <c r="N947" s="89"/>
    </row>
    <row r="948">
      <c r="B948" s="86"/>
      <c r="E948" s="87"/>
      <c r="H948" s="89"/>
      <c r="K948" s="87"/>
      <c r="N948" s="89"/>
    </row>
    <row r="949">
      <c r="B949" s="86"/>
      <c r="E949" s="87"/>
      <c r="H949" s="89"/>
      <c r="K949" s="87"/>
      <c r="N949" s="89"/>
    </row>
    <row r="950">
      <c r="B950" s="86"/>
      <c r="E950" s="87"/>
      <c r="H950" s="89"/>
      <c r="K950" s="87"/>
      <c r="N950" s="89"/>
    </row>
    <row r="951">
      <c r="B951" s="86"/>
      <c r="E951" s="87"/>
      <c r="H951" s="89"/>
      <c r="K951" s="87"/>
      <c r="N951" s="89"/>
    </row>
    <row r="952">
      <c r="B952" s="86"/>
      <c r="E952" s="87"/>
      <c r="H952" s="89"/>
      <c r="K952" s="87"/>
      <c r="N952" s="89"/>
    </row>
    <row r="953">
      <c r="B953" s="86"/>
      <c r="E953" s="87"/>
      <c r="H953" s="89"/>
      <c r="K953" s="87"/>
      <c r="N953" s="89"/>
    </row>
    <row r="954">
      <c r="B954" s="86"/>
      <c r="E954" s="87"/>
      <c r="H954" s="89"/>
      <c r="K954" s="87"/>
      <c r="N954" s="89"/>
    </row>
    <row r="955">
      <c r="B955" s="86"/>
      <c r="E955" s="87"/>
      <c r="H955" s="89"/>
      <c r="K955" s="87"/>
      <c r="N955" s="89"/>
    </row>
    <row r="956">
      <c r="B956" s="86"/>
      <c r="E956" s="87"/>
      <c r="H956" s="89"/>
      <c r="K956" s="87"/>
      <c r="N956" s="89"/>
    </row>
    <row r="957">
      <c r="B957" s="86"/>
      <c r="E957" s="87"/>
      <c r="H957" s="89"/>
      <c r="K957" s="87"/>
      <c r="N957" s="89"/>
    </row>
    <row r="958">
      <c r="B958" s="86"/>
      <c r="E958" s="87"/>
      <c r="H958" s="89"/>
      <c r="K958" s="87"/>
      <c r="N958" s="89"/>
    </row>
    <row r="959">
      <c r="B959" s="86"/>
      <c r="E959" s="87"/>
      <c r="H959" s="89"/>
      <c r="K959" s="87"/>
      <c r="N959" s="89"/>
    </row>
    <row r="960">
      <c r="B960" s="86"/>
      <c r="E960" s="87"/>
      <c r="H960" s="89"/>
      <c r="K960" s="87"/>
      <c r="N960" s="89"/>
    </row>
    <row r="961">
      <c r="B961" s="86"/>
      <c r="E961" s="87"/>
      <c r="H961" s="89"/>
      <c r="K961" s="87"/>
      <c r="N961" s="89"/>
    </row>
    <row r="962">
      <c r="B962" s="86"/>
      <c r="E962" s="87"/>
      <c r="H962" s="89"/>
      <c r="K962" s="87"/>
      <c r="N962" s="89"/>
    </row>
    <row r="963">
      <c r="B963" s="86"/>
      <c r="E963" s="87"/>
      <c r="H963" s="89"/>
      <c r="K963" s="87"/>
      <c r="N963" s="89"/>
    </row>
    <row r="964">
      <c r="B964" s="86"/>
      <c r="E964" s="87"/>
      <c r="H964" s="89"/>
      <c r="K964" s="87"/>
      <c r="N964" s="89"/>
    </row>
    <row r="965">
      <c r="B965" s="86"/>
      <c r="E965" s="87"/>
      <c r="H965" s="89"/>
      <c r="K965" s="87"/>
      <c r="N965" s="89"/>
    </row>
    <row r="966">
      <c r="B966" s="86"/>
      <c r="E966" s="87"/>
      <c r="H966" s="89"/>
      <c r="K966" s="87"/>
      <c r="N966" s="89"/>
    </row>
    <row r="967">
      <c r="B967" s="86"/>
      <c r="E967" s="87"/>
      <c r="H967" s="89"/>
      <c r="K967" s="87"/>
      <c r="N967" s="89"/>
    </row>
    <row r="968">
      <c r="B968" s="86"/>
      <c r="E968" s="87"/>
      <c r="H968" s="89"/>
      <c r="K968" s="87"/>
      <c r="N968" s="89"/>
    </row>
    <row r="969">
      <c r="B969" s="86"/>
      <c r="E969" s="87"/>
      <c r="H969" s="89"/>
      <c r="K969" s="87"/>
      <c r="N969" s="89"/>
    </row>
    <row r="970">
      <c r="B970" s="86"/>
      <c r="E970" s="87"/>
      <c r="H970" s="89"/>
      <c r="K970" s="87"/>
      <c r="N970" s="89"/>
    </row>
    <row r="971">
      <c r="B971" s="86"/>
      <c r="E971" s="87"/>
      <c r="H971" s="89"/>
      <c r="K971" s="87"/>
      <c r="N971" s="89"/>
    </row>
    <row r="972">
      <c r="B972" s="86"/>
      <c r="E972" s="87"/>
      <c r="H972" s="89"/>
      <c r="K972" s="87"/>
      <c r="N972" s="89"/>
    </row>
    <row r="973">
      <c r="B973" s="86"/>
      <c r="E973" s="87"/>
      <c r="H973" s="89"/>
      <c r="K973" s="87"/>
      <c r="N973" s="89"/>
    </row>
    <row r="974">
      <c r="B974" s="86"/>
      <c r="E974" s="87"/>
      <c r="H974" s="89"/>
      <c r="K974" s="87"/>
      <c r="N974" s="89"/>
    </row>
    <row r="975">
      <c r="B975" s="86"/>
      <c r="E975" s="87"/>
      <c r="H975" s="89"/>
      <c r="K975" s="87"/>
      <c r="N975" s="89"/>
    </row>
    <row r="976">
      <c r="B976" s="86"/>
      <c r="E976" s="87"/>
      <c r="H976" s="89"/>
      <c r="K976" s="87"/>
      <c r="N976" s="89"/>
    </row>
    <row r="977">
      <c r="B977" s="86"/>
      <c r="E977" s="87"/>
      <c r="H977" s="89"/>
      <c r="K977" s="87"/>
      <c r="N977" s="89"/>
    </row>
    <row r="978">
      <c r="B978" s="86"/>
      <c r="E978" s="87"/>
      <c r="H978" s="89"/>
      <c r="K978" s="87"/>
      <c r="N978" s="89"/>
    </row>
    <row r="979">
      <c r="B979" s="86"/>
      <c r="E979" s="87"/>
      <c r="H979" s="89"/>
      <c r="K979" s="87"/>
      <c r="N979" s="89"/>
    </row>
    <row r="980">
      <c r="B980" s="86"/>
      <c r="E980" s="87"/>
      <c r="H980" s="89"/>
      <c r="K980" s="87"/>
      <c r="N980" s="89"/>
    </row>
    <row r="981">
      <c r="B981" s="86"/>
      <c r="E981" s="87"/>
      <c r="H981" s="89"/>
      <c r="K981" s="87"/>
      <c r="N981" s="89"/>
    </row>
    <row r="982">
      <c r="B982" s="86"/>
      <c r="E982" s="87"/>
      <c r="H982" s="89"/>
      <c r="K982" s="87"/>
      <c r="N982" s="89"/>
    </row>
    <row r="983">
      <c r="B983" s="86"/>
      <c r="E983" s="87"/>
      <c r="H983" s="89"/>
      <c r="K983" s="87"/>
      <c r="N983" s="89"/>
    </row>
    <row r="984">
      <c r="B984" s="86"/>
      <c r="E984" s="87"/>
      <c r="H984" s="89"/>
      <c r="K984" s="87"/>
      <c r="N984" s="89"/>
    </row>
    <row r="985">
      <c r="B985" s="86"/>
      <c r="E985" s="87"/>
      <c r="H985" s="89"/>
      <c r="K985" s="87"/>
      <c r="N985" s="89"/>
    </row>
    <row r="986">
      <c r="B986" s="86"/>
      <c r="E986" s="87"/>
      <c r="H986" s="89"/>
      <c r="K986" s="87"/>
      <c r="N986" s="89"/>
    </row>
    <row r="987">
      <c r="B987" s="86"/>
      <c r="E987" s="87"/>
      <c r="H987" s="89"/>
      <c r="K987" s="87"/>
      <c r="N987" s="89"/>
    </row>
    <row r="988">
      <c r="B988" s="86"/>
      <c r="E988" s="87"/>
      <c r="H988" s="89"/>
      <c r="K988" s="87"/>
      <c r="N988" s="89"/>
    </row>
    <row r="989">
      <c r="B989" s="86"/>
      <c r="E989" s="87"/>
      <c r="H989" s="89"/>
      <c r="K989" s="87"/>
      <c r="N989" s="89"/>
    </row>
    <row r="990">
      <c r="B990" s="86"/>
      <c r="E990" s="87"/>
      <c r="H990" s="89"/>
      <c r="K990" s="87"/>
      <c r="N990" s="89"/>
    </row>
    <row r="991">
      <c r="B991" s="86"/>
      <c r="E991" s="87"/>
      <c r="H991" s="89"/>
      <c r="K991" s="87"/>
      <c r="N991" s="89"/>
    </row>
    <row r="992">
      <c r="B992" s="86"/>
      <c r="E992" s="87"/>
      <c r="H992" s="89"/>
      <c r="K992" s="87"/>
      <c r="N992" s="89"/>
    </row>
    <row r="993">
      <c r="B993" s="86"/>
      <c r="E993" s="87"/>
      <c r="H993" s="89"/>
      <c r="K993" s="87"/>
      <c r="N993" s="89"/>
    </row>
    <row r="994">
      <c r="B994" s="86"/>
      <c r="E994" s="87"/>
      <c r="H994" s="89"/>
      <c r="K994" s="87"/>
      <c r="N994" s="89"/>
    </row>
    <row r="995">
      <c r="B995" s="86"/>
      <c r="E995" s="87"/>
      <c r="H995" s="89"/>
      <c r="K995" s="87"/>
      <c r="N995" s="89"/>
    </row>
    <row r="996">
      <c r="B996" s="86"/>
      <c r="E996" s="87"/>
      <c r="H996" s="89"/>
      <c r="K996" s="87"/>
      <c r="N996" s="89"/>
    </row>
    <row r="997">
      <c r="B997" s="86"/>
      <c r="E997" s="87"/>
      <c r="H997" s="89"/>
      <c r="K997" s="87"/>
      <c r="N997" s="89"/>
    </row>
    <row r="998">
      <c r="B998" s="86"/>
      <c r="E998" s="87"/>
      <c r="H998" s="89"/>
      <c r="K998" s="87"/>
      <c r="N998" s="89"/>
    </row>
    <row r="999">
      <c r="B999" s="86"/>
      <c r="E999" s="87"/>
      <c r="H999" s="89"/>
      <c r="K999" s="87"/>
      <c r="N999" s="89"/>
    </row>
    <row r="1000">
      <c r="B1000" s="86"/>
      <c r="E1000" s="87"/>
      <c r="H1000" s="89"/>
      <c r="K1000" s="87"/>
      <c r="N1000" s="8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2" t="s">
        <v>452</v>
      </c>
      <c r="B1" s="82" t="s">
        <v>453</v>
      </c>
      <c r="C1" s="82" t="s">
        <v>472</v>
      </c>
      <c r="D1" s="82" t="s">
        <v>473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91">
        <v>10101.0</v>
      </c>
      <c r="B2" s="91" t="s">
        <v>25</v>
      </c>
      <c r="C2" s="93">
        <v>95.1293135574271</v>
      </c>
      <c r="D2" s="93">
        <v>98.8011066707654</v>
      </c>
    </row>
    <row r="3">
      <c r="A3" s="91">
        <v>10102.0</v>
      </c>
      <c r="B3" s="91" t="s">
        <v>26</v>
      </c>
      <c r="C3" s="93">
        <v>96.3003264417845</v>
      </c>
      <c r="D3" s="93">
        <v>98.5645933014354</v>
      </c>
    </row>
    <row r="4">
      <c r="A4" s="91">
        <v>10103.0</v>
      </c>
      <c r="B4" s="91" t="s">
        <v>27</v>
      </c>
      <c r="C4" s="93">
        <v>85.7342007434944</v>
      </c>
      <c r="D4" s="93">
        <v>98.4861976847729</v>
      </c>
    </row>
    <row r="5">
      <c r="A5" s="91">
        <v>10201.0</v>
      </c>
      <c r="B5" s="91" t="s">
        <v>28</v>
      </c>
      <c r="C5" s="93">
        <v>88.9477668433005</v>
      </c>
      <c r="D5" s="93">
        <v>97.752808988764</v>
      </c>
    </row>
    <row r="6">
      <c r="A6" s="91">
        <v>10202.0</v>
      </c>
      <c r="B6" s="91" t="s">
        <v>29</v>
      </c>
      <c r="C6" s="93">
        <v>87.1859296482412</v>
      </c>
      <c r="D6" s="93">
        <v>96.7496542185339</v>
      </c>
    </row>
    <row r="7">
      <c r="A7" s="91">
        <v>10301.0</v>
      </c>
      <c r="B7" s="91" t="s">
        <v>30</v>
      </c>
      <c r="C7" s="93">
        <v>91.0599078341014</v>
      </c>
      <c r="D7" s="93">
        <v>98.0941704035874</v>
      </c>
    </row>
    <row r="8">
      <c r="A8" s="91">
        <v>10302.0</v>
      </c>
      <c r="B8" s="91" t="s">
        <v>31</v>
      </c>
      <c r="C8" s="93">
        <v>85.016501650165</v>
      </c>
      <c r="D8" s="93">
        <v>96.3285024154589</v>
      </c>
    </row>
    <row r="9">
      <c r="A9" s="91">
        <v>10303.0</v>
      </c>
      <c r="B9" s="91" t="s">
        <v>32</v>
      </c>
      <c r="C9" s="93">
        <v>91.8367346938776</v>
      </c>
      <c r="D9" s="93">
        <v>96.0681520314548</v>
      </c>
    </row>
    <row r="10">
      <c r="A10" s="91">
        <v>10304.0</v>
      </c>
      <c r="B10" s="91" t="s">
        <v>33</v>
      </c>
      <c r="C10" s="93">
        <v>88.2352941176471</v>
      </c>
      <c r="D10" s="93">
        <v>98.4509466437177</v>
      </c>
    </row>
    <row r="11">
      <c r="A11" s="91">
        <v>10401.0</v>
      </c>
      <c r="B11" s="91" t="s">
        <v>35</v>
      </c>
      <c r="C11" s="93">
        <v>89.4684052156469</v>
      </c>
      <c r="D11" s="93">
        <v>97.6642335766423</v>
      </c>
    </row>
    <row r="12">
      <c r="A12" s="91">
        <v>10402.0</v>
      </c>
      <c r="B12" s="91" t="s">
        <v>34</v>
      </c>
      <c r="C12" s="93">
        <v>90.4153354632588</v>
      </c>
      <c r="D12" s="93">
        <v>97.9166666666667</v>
      </c>
    </row>
    <row r="13">
      <c r="A13" s="91">
        <v>10403.0</v>
      </c>
      <c r="B13" s="91" t="s">
        <v>36</v>
      </c>
      <c r="C13" s="93">
        <v>89.68347010551</v>
      </c>
      <c r="D13" s="93">
        <v>97.2375690607735</v>
      </c>
    </row>
    <row r="14">
      <c r="A14" s="91">
        <v>10404.0</v>
      </c>
      <c r="B14" s="91" t="s">
        <v>37</v>
      </c>
      <c r="C14" s="93">
        <v>87.2727272727273</v>
      </c>
      <c r="D14" s="93">
        <v>97.8540772532189</v>
      </c>
    </row>
    <row r="15">
      <c r="A15" s="91">
        <v>10405.0</v>
      </c>
      <c r="B15" s="91" t="s">
        <v>38</v>
      </c>
      <c r="C15" s="93">
        <v>95.7446808510638</v>
      </c>
      <c r="D15" s="93">
        <v>96.7136150234742</v>
      </c>
    </row>
    <row r="16">
      <c r="A16" s="91">
        <v>10501.0</v>
      </c>
      <c r="B16" s="91" t="s">
        <v>40</v>
      </c>
      <c r="C16" s="93">
        <v>91.2922465208748</v>
      </c>
      <c r="D16" s="93">
        <v>98.3060747663551</v>
      </c>
    </row>
    <row r="17">
      <c r="A17" s="91">
        <v>10502.0</v>
      </c>
      <c r="B17" s="91" t="s">
        <v>41</v>
      </c>
      <c r="C17" s="93">
        <v>90.992835209826</v>
      </c>
      <c r="D17" s="93">
        <v>95.3947368421053</v>
      </c>
    </row>
    <row r="18">
      <c r="A18" s="91">
        <v>10601.0</v>
      </c>
      <c r="B18" s="91" t="s">
        <v>43</v>
      </c>
      <c r="C18" s="93">
        <v>91.9777158774373</v>
      </c>
      <c r="D18" s="93">
        <v>98.4340044742729</v>
      </c>
    </row>
    <row r="19">
      <c r="A19" s="91">
        <v>10602.0</v>
      </c>
      <c r="B19" s="91" t="s">
        <v>42</v>
      </c>
      <c r="C19" s="93">
        <v>95.1269035532995</v>
      </c>
      <c r="D19" s="93">
        <v>98.876404494382</v>
      </c>
    </row>
    <row r="20">
      <c r="A20" s="91">
        <v>10701.0</v>
      </c>
      <c r="B20" s="91" t="s">
        <v>45</v>
      </c>
      <c r="C20" s="93">
        <v>92.02416918429</v>
      </c>
      <c r="D20" s="93">
        <v>97.0772442588727</v>
      </c>
    </row>
    <row r="21">
      <c r="A21" s="91">
        <v>10702.0</v>
      </c>
      <c r="B21" s="91" t="s">
        <v>46</v>
      </c>
      <c r="C21" s="93">
        <v>87.5502958579882</v>
      </c>
      <c r="D21" s="93">
        <v>95.8951965065502</v>
      </c>
    </row>
    <row r="22">
      <c r="A22" s="91">
        <v>10703.0</v>
      </c>
      <c r="B22" s="91" t="s">
        <v>47</v>
      </c>
      <c r="C22" s="93">
        <v>79.8528579513299</v>
      </c>
      <c r="D22" s="93">
        <v>96.3944076526858</v>
      </c>
    </row>
    <row r="23">
      <c r="A23" s="91">
        <v>10704.0</v>
      </c>
      <c r="B23" s="91" t="s">
        <v>48</v>
      </c>
      <c r="C23" s="93">
        <v>86.8686868686869</v>
      </c>
      <c r="D23" s="93">
        <v>92.5709515859766</v>
      </c>
    </row>
    <row r="24">
      <c r="A24" s="91">
        <v>10801.0</v>
      </c>
      <c r="B24" s="91" t="s">
        <v>50</v>
      </c>
      <c r="C24" s="93">
        <v>92.1929824561403</v>
      </c>
      <c r="D24" s="93">
        <v>98.1851179673321</v>
      </c>
    </row>
    <row r="25">
      <c r="A25" s="91">
        <v>10901.0</v>
      </c>
      <c r="B25" s="91" t="s">
        <v>52</v>
      </c>
      <c r="C25" s="93">
        <v>94.4162436548223</v>
      </c>
      <c r="D25" s="93">
        <v>94.3977591036414</v>
      </c>
    </row>
    <row r="26">
      <c r="A26" s="91">
        <v>10902.0</v>
      </c>
      <c r="B26" s="91" t="s">
        <v>53</v>
      </c>
      <c r="C26" s="93">
        <v>85.3215284249767</v>
      </c>
      <c r="D26" s="93">
        <v>95.4404945904173</v>
      </c>
    </row>
    <row r="27">
      <c r="A27" s="91">
        <v>10903.0</v>
      </c>
      <c r="B27" s="91" t="s">
        <v>54</v>
      </c>
      <c r="C27" s="93">
        <v>91.9270833333333</v>
      </c>
      <c r="D27" s="93">
        <v>98.6928104575163</v>
      </c>
    </row>
    <row r="28">
      <c r="A28" s="91">
        <v>11001.0</v>
      </c>
      <c r="B28" s="91" t="s">
        <v>56</v>
      </c>
      <c r="C28" s="93">
        <v>88.268156424581</v>
      </c>
      <c r="D28" s="93">
        <v>97.1674876847291</v>
      </c>
    </row>
    <row r="29">
      <c r="A29" s="91">
        <v>11002.0</v>
      </c>
      <c r="B29" s="91" t="s">
        <v>57</v>
      </c>
      <c r="C29" s="93">
        <v>88.8157894736842</v>
      </c>
      <c r="D29" s="93">
        <v>96.1722488038278</v>
      </c>
    </row>
    <row r="30">
      <c r="A30" s="91">
        <v>11003.0</v>
      </c>
      <c r="B30" s="91" t="s">
        <v>58</v>
      </c>
      <c r="C30" s="93">
        <v>92.400482509047</v>
      </c>
      <c r="D30" s="93">
        <v>89.4433781190019</v>
      </c>
    </row>
    <row r="31">
      <c r="A31" s="91">
        <v>20101.0</v>
      </c>
      <c r="B31" s="91" t="s">
        <v>61</v>
      </c>
      <c r="C31" s="93">
        <v>95.7688437395179</v>
      </c>
      <c r="D31" s="93">
        <v>98.4637322427895</v>
      </c>
    </row>
    <row r="32">
      <c r="A32" s="91">
        <v>20102.0</v>
      </c>
      <c r="B32" s="99" t="s">
        <v>62</v>
      </c>
      <c r="C32" s="93">
        <v>86.6028708133971</v>
      </c>
      <c r="D32" s="93">
        <v>96.6044142614601</v>
      </c>
    </row>
    <row r="33">
      <c r="A33" s="91">
        <v>20103.0</v>
      </c>
      <c r="B33" s="99" t="s">
        <v>63</v>
      </c>
      <c r="C33" s="93">
        <v>92.7591463414634</v>
      </c>
      <c r="D33" s="93">
        <v>98.4496124031008</v>
      </c>
    </row>
    <row r="34">
      <c r="A34" s="91">
        <v>20104.0</v>
      </c>
      <c r="B34" s="99" t="s">
        <v>64</v>
      </c>
      <c r="C34" s="93">
        <v>93.2284215546018</v>
      </c>
      <c r="D34" s="93">
        <v>98.5846153846154</v>
      </c>
    </row>
    <row r="35">
      <c r="A35" s="91">
        <v>20105.0</v>
      </c>
      <c r="B35" s="99" t="s">
        <v>65</v>
      </c>
      <c r="C35" s="93">
        <v>93.2078177452823</v>
      </c>
      <c r="D35" s="93">
        <v>98.0238645474697</v>
      </c>
    </row>
    <row r="36">
      <c r="A36" s="91">
        <v>20201.0</v>
      </c>
      <c r="B36" s="99" t="s">
        <v>67</v>
      </c>
      <c r="C36" s="93">
        <v>91.7746627876223</v>
      </c>
      <c r="D36" s="93">
        <v>97.9203383856186</v>
      </c>
    </row>
    <row r="37">
      <c r="A37" s="91">
        <v>20202.0</v>
      </c>
      <c r="B37" s="99" t="s">
        <v>68</v>
      </c>
      <c r="C37" s="93">
        <v>92.8571428571429</v>
      </c>
      <c r="D37" s="93">
        <v>98.4833164812942</v>
      </c>
    </row>
    <row r="38">
      <c r="A38" s="91">
        <v>20203.0</v>
      </c>
      <c r="B38" s="99" t="s">
        <v>72</v>
      </c>
      <c r="C38" s="93">
        <v>95.4128440366973</v>
      </c>
      <c r="D38" s="93">
        <v>98.7046632124352</v>
      </c>
    </row>
    <row r="39">
      <c r="A39" s="91">
        <v>20204.0</v>
      </c>
      <c r="B39" s="99" t="s">
        <v>69</v>
      </c>
      <c r="C39" s="93">
        <v>97.2222222222222</v>
      </c>
      <c r="D39" s="93">
        <v>98.0645161290323</v>
      </c>
    </row>
    <row r="40">
      <c r="A40" s="91">
        <v>20205.0</v>
      </c>
      <c r="B40" s="99" t="s">
        <v>70</v>
      </c>
      <c r="C40" s="93">
        <v>96.1474036850921</v>
      </c>
      <c r="D40" s="93">
        <v>97.9955456570156</v>
      </c>
    </row>
    <row r="41">
      <c r="A41" s="91">
        <v>20206.0</v>
      </c>
      <c r="B41" s="99" t="s">
        <v>71</v>
      </c>
      <c r="C41" s="93">
        <v>98.2404692082112</v>
      </c>
      <c r="D41" s="93">
        <v>94.5762711864407</v>
      </c>
    </row>
    <row r="42">
      <c r="A42" s="91">
        <v>20301.0</v>
      </c>
      <c r="B42" s="99" t="s">
        <v>74</v>
      </c>
      <c r="C42" s="93">
        <v>95.5135773317592</v>
      </c>
      <c r="D42" s="93">
        <v>98.74715261959</v>
      </c>
    </row>
    <row r="43">
      <c r="A43" s="91">
        <v>20302.0</v>
      </c>
      <c r="B43" s="99" t="s">
        <v>75</v>
      </c>
      <c r="C43" s="93">
        <v>95.4318936877076</v>
      </c>
      <c r="D43" s="93">
        <v>97.8825794032724</v>
      </c>
    </row>
    <row r="44">
      <c r="A44" s="91">
        <v>20303.0</v>
      </c>
      <c r="B44" s="99" t="s">
        <v>76</v>
      </c>
      <c r="C44" s="93">
        <v>95.5777460770328</v>
      </c>
      <c r="D44" s="93">
        <v>97.5452196382429</v>
      </c>
    </row>
    <row r="45">
      <c r="A45" s="91">
        <v>20304.0</v>
      </c>
      <c r="B45" s="99" t="s">
        <v>77</v>
      </c>
      <c r="C45" s="93">
        <v>93.8080495356037</v>
      </c>
      <c r="D45" s="93">
        <v>98.6631016042781</v>
      </c>
    </row>
    <row r="46">
      <c r="A46" s="91">
        <v>20305.0</v>
      </c>
      <c r="B46" s="99" t="s">
        <v>78</v>
      </c>
      <c r="C46" s="93">
        <v>97.153024911032</v>
      </c>
      <c r="D46" s="93">
        <v>94.3462897526502</v>
      </c>
    </row>
    <row r="47">
      <c r="A47" s="91">
        <v>20306.0</v>
      </c>
      <c r="B47" s="99" t="s">
        <v>79</v>
      </c>
      <c r="C47" s="93">
        <v>93.7984496124031</v>
      </c>
      <c r="D47" s="93">
        <v>98.0225988700565</v>
      </c>
    </row>
    <row r="48">
      <c r="A48" s="91">
        <v>20307.0</v>
      </c>
      <c r="B48" s="99" t="s">
        <v>80</v>
      </c>
      <c r="C48" s="93">
        <v>96.4912280701754</v>
      </c>
      <c r="D48" s="93">
        <v>98.8593155893536</v>
      </c>
    </row>
    <row r="49">
      <c r="A49" s="91">
        <v>20308.0</v>
      </c>
      <c r="B49" s="99" t="s">
        <v>81</v>
      </c>
      <c r="C49" s="93">
        <v>95.0943396226415</v>
      </c>
      <c r="D49" s="93">
        <v>98.2142857142857</v>
      </c>
    </row>
    <row r="50">
      <c r="A50" s="91">
        <v>20401.0</v>
      </c>
      <c r="B50" s="99" t="s">
        <v>83</v>
      </c>
      <c r="C50" s="93">
        <v>92.2879177377892</v>
      </c>
      <c r="D50" s="93">
        <v>98.186889818689</v>
      </c>
    </row>
    <row r="51">
      <c r="A51" s="91">
        <v>20402.0</v>
      </c>
      <c r="B51" s="99" t="s">
        <v>84</v>
      </c>
      <c r="C51" s="93">
        <v>93.5557240333586</v>
      </c>
      <c r="D51" s="93">
        <v>97.5609756097561</v>
      </c>
    </row>
    <row r="52">
      <c r="A52" s="91">
        <v>20403.0</v>
      </c>
      <c r="B52" s="99" t="s">
        <v>85</v>
      </c>
      <c r="C52" s="93">
        <v>93.852140077821</v>
      </c>
      <c r="D52" s="93">
        <v>97.9188345473465</v>
      </c>
    </row>
    <row r="53">
      <c r="A53" s="91">
        <v>20404.0</v>
      </c>
      <c r="B53" s="99" t="s">
        <v>86</v>
      </c>
      <c r="C53" s="93">
        <v>88.0778588807786</v>
      </c>
      <c r="D53" s="93">
        <v>98.8372093023256</v>
      </c>
    </row>
    <row r="54">
      <c r="A54" s="91">
        <v>20405.0</v>
      </c>
      <c r="B54" s="99" t="s">
        <v>87</v>
      </c>
      <c r="C54" s="93">
        <v>90.4967602591793</v>
      </c>
      <c r="D54" s="93">
        <v>96.4125560538117</v>
      </c>
    </row>
    <row r="55">
      <c r="A55" s="91">
        <v>20501.0</v>
      </c>
      <c r="B55" s="99" t="s">
        <v>89</v>
      </c>
      <c r="C55" s="93">
        <v>89.8821218074656</v>
      </c>
      <c r="D55" s="93">
        <v>94.8888888888889</v>
      </c>
    </row>
    <row r="56">
      <c r="A56" s="91">
        <v>20502.0</v>
      </c>
      <c r="B56" s="99" t="s">
        <v>90</v>
      </c>
      <c r="C56" s="93">
        <v>85.4379977246871</v>
      </c>
      <c r="D56" s="93">
        <v>94.6745562130178</v>
      </c>
    </row>
    <row r="57">
      <c r="A57" s="91">
        <v>20503.0</v>
      </c>
      <c r="B57" s="99" t="s">
        <v>91</v>
      </c>
      <c r="C57" s="93">
        <v>91.4572864321608</v>
      </c>
      <c r="D57" s="93">
        <v>97.5862068965517</v>
      </c>
    </row>
    <row r="58">
      <c r="A58" s="91">
        <v>20601.0</v>
      </c>
      <c r="B58" s="99" t="s">
        <v>93</v>
      </c>
      <c r="C58" s="93">
        <v>89.5749440715884</v>
      </c>
      <c r="D58" s="93">
        <v>96.5786054569078</v>
      </c>
    </row>
    <row r="59">
      <c r="A59" s="91">
        <v>20602.0</v>
      </c>
      <c r="B59" s="99" t="s">
        <v>94</v>
      </c>
      <c r="C59" s="93">
        <v>83.4679925419515</v>
      </c>
      <c r="D59" s="93">
        <v>95.3765846383296</v>
      </c>
    </row>
    <row r="60">
      <c r="A60" s="91">
        <v>20603.0</v>
      </c>
      <c r="B60" s="99" t="s">
        <v>95</v>
      </c>
      <c r="C60" s="93">
        <v>84.7727272727273</v>
      </c>
      <c r="D60" s="93">
        <v>95.4716981132076</v>
      </c>
    </row>
    <row r="61">
      <c r="A61" s="91">
        <v>20604.0</v>
      </c>
      <c r="B61" s="99" t="s">
        <v>96</v>
      </c>
      <c r="C61" s="93">
        <v>90.188679245283</v>
      </c>
      <c r="D61" s="93">
        <v>96.551724137931</v>
      </c>
    </row>
    <row r="62">
      <c r="A62" s="91">
        <v>20605.0</v>
      </c>
      <c r="B62" s="99" t="s">
        <v>97</v>
      </c>
      <c r="C62" s="93">
        <v>94.4444444444444</v>
      </c>
      <c r="D62" s="93">
        <v>98.1042654028436</v>
      </c>
    </row>
    <row r="63">
      <c r="A63" s="91">
        <v>20606.0</v>
      </c>
      <c r="B63" s="99" t="s">
        <v>98</v>
      </c>
      <c r="C63" s="93">
        <v>85.5707762557078</v>
      </c>
      <c r="D63" s="93">
        <v>91.2650602409639</v>
      </c>
    </row>
    <row r="64">
      <c r="A64" s="91">
        <v>20607.0</v>
      </c>
      <c r="B64" s="99" t="s">
        <v>99</v>
      </c>
      <c r="C64" s="93">
        <v>79.3756967670011</v>
      </c>
      <c r="D64" s="93">
        <v>91.2778904665314</v>
      </c>
    </row>
    <row r="65">
      <c r="A65" s="91">
        <v>20608.0</v>
      </c>
      <c r="B65" s="99" t="s">
        <v>100</v>
      </c>
      <c r="C65" s="93">
        <v>88.9316650625602</v>
      </c>
      <c r="D65" s="93">
        <v>93.5042735042735</v>
      </c>
    </row>
    <row r="66">
      <c r="A66" s="91">
        <v>20701.0</v>
      </c>
      <c r="B66" s="99" t="s">
        <v>102</v>
      </c>
      <c r="C66" s="93">
        <v>86.4482200647249</v>
      </c>
      <c r="D66" s="93">
        <v>92.2187171398528</v>
      </c>
    </row>
    <row r="67">
      <c r="A67" s="91">
        <v>20702.0</v>
      </c>
      <c r="B67" s="99" t="s">
        <v>103</v>
      </c>
      <c r="C67" s="93">
        <v>90.2439024390244</v>
      </c>
      <c r="D67" s="93">
        <v>96.1971830985916</v>
      </c>
    </row>
    <row r="68">
      <c r="A68" s="91">
        <v>20801.0</v>
      </c>
      <c r="B68" s="99" t="s">
        <v>105</v>
      </c>
      <c r="C68" s="93">
        <v>94.9016210864992</v>
      </c>
      <c r="D68" s="93">
        <v>98.4132796289515</v>
      </c>
    </row>
    <row r="69">
      <c r="A69" s="91">
        <v>20802.0</v>
      </c>
      <c r="B69" s="99" t="s">
        <v>106</v>
      </c>
      <c r="C69" s="93">
        <v>93.4977578475336</v>
      </c>
      <c r="D69" s="93">
        <v>97.5103734439834</v>
      </c>
    </row>
    <row r="70">
      <c r="A70" s="91">
        <v>20803.0</v>
      </c>
      <c r="B70" s="99" t="s">
        <v>107</v>
      </c>
      <c r="C70" s="93">
        <v>93.9281288723668</v>
      </c>
      <c r="D70" s="93">
        <v>97.7917981072555</v>
      </c>
    </row>
    <row r="71">
      <c r="A71" s="91">
        <v>20804.0</v>
      </c>
      <c r="B71" s="99" t="s">
        <v>108</v>
      </c>
      <c r="C71" s="93">
        <v>90.8950617283951</v>
      </c>
      <c r="D71" s="93">
        <v>96.3178294573643</v>
      </c>
    </row>
    <row r="72">
      <c r="A72" s="91">
        <v>20805.0</v>
      </c>
      <c r="B72" s="99" t="s">
        <v>109</v>
      </c>
      <c r="C72" s="93">
        <v>89.8305084745763</v>
      </c>
      <c r="D72" s="93">
        <v>97.5982532751092</v>
      </c>
    </row>
    <row r="73">
      <c r="A73" s="91">
        <v>20806.0</v>
      </c>
      <c r="B73" s="99" t="s">
        <v>110</v>
      </c>
      <c r="C73" s="93">
        <v>94.9300699300699</v>
      </c>
      <c r="D73" s="93">
        <v>98.2394366197183</v>
      </c>
    </row>
    <row r="74">
      <c r="A74" s="91">
        <v>20807.0</v>
      </c>
      <c r="B74" s="99" t="s">
        <v>111</v>
      </c>
      <c r="C74" s="93">
        <v>93.1506849315068</v>
      </c>
      <c r="D74" s="93">
        <v>98.9106753812636</v>
      </c>
    </row>
    <row r="75">
      <c r="A75" s="91">
        <v>20901.0</v>
      </c>
      <c r="B75" s="99" t="s">
        <v>113</v>
      </c>
      <c r="C75" s="93">
        <v>92.7355278093076</v>
      </c>
      <c r="D75" s="93">
        <v>97.289156626506</v>
      </c>
    </row>
    <row r="76">
      <c r="A76" s="91">
        <v>20902.0</v>
      </c>
      <c r="B76" s="99" t="s">
        <v>114</v>
      </c>
      <c r="C76" s="93">
        <v>90.8457711442786</v>
      </c>
      <c r="D76" s="93">
        <v>96.7532467532468</v>
      </c>
    </row>
    <row r="77">
      <c r="A77" s="91">
        <v>20903.0</v>
      </c>
      <c r="B77" s="99" t="s">
        <v>115</v>
      </c>
      <c r="C77" s="93">
        <v>90.9620991253644</v>
      </c>
      <c r="D77" s="93">
        <v>96.1081081081081</v>
      </c>
    </row>
    <row r="78">
      <c r="A78" s="91">
        <v>20904.0</v>
      </c>
      <c r="B78" s="99" t="s">
        <v>116</v>
      </c>
      <c r="C78" s="93">
        <v>83.6772983114446</v>
      </c>
      <c r="D78" s="93">
        <v>91.4933837429111</v>
      </c>
    </row>
    <row r="79">
      <c r="A79" s="91">
        <v>20905.0</v>
      </c>
      <c r="B79" s="99" t="s">
        <v>117</v>
      </c>
      <c r="C79" s="93">
        <v>85.1629502572899</v>
      </c>
      <c r="D79" s="93">
        <v>95.169946332737</v>
      </c>
    </row>
    <row r="80">
      <c r="A80" s="91">
        <v>21001.0</v>
      </c>
      <c r="B80" s="99" t="s">
        <v>118</v>
      </c>
      <c r="C80" s="93">
        <v>79.3485342019544</v>
      </c>
      <c r="D80" s="93">
        <v>95.7553058676654</v>
      </c>
    </row>
    <row r="81">
      <c r="A81" s="91">
        <v>21002.0</v>
      </c>
      <c r="B81" s="99" t="s">
        <v>119</v>
      </c>
      <c r="C81" s="93">
        <v>89.3758300132802</v>
      </c>
      <c r="D81" s="93">
        <v>95.7062146892655</v>
      </c>
    </row>
    <row r="82">
      <c r="A82" s="91">
        <v>21003.0</v>
      </c>
      <c r="B82" s="99" t="s">
        <v>120</v>
      </c>
      <c r="C82" s="93">
        <v>84.5144356955381</v>
      </c>
      <c r="D82" s="93">
        <v>95.2149791955617</v>
      </c>
    </row>
    <row r="83">
      <c r="A83" s="91">
        <v>21004.0</v>
      </c>
      <c r="B83" s="99" t="s">
        <v>121</v>
      </c>
      <c r="C83" s="93">
        <v>89.7612488521579</v>
      </c>
      <c r="D83" s="93">
        <v>98.870636550308</v>
      </c>
    </row>
    <row r="84">
      <c r="A84" s="91">
        <v>21005.0</v>
      </c>
      <c r="B84" s="99" t="s">
        <v>122</v>
      </c>
      <c r="C84" s="93">
        <v>84.8173515981735</v>
      </c>
      <c r="D84" s="93">
        <v>97.2565157750343</v>
      </c>
    </row>
    <row r="85">
      <c r="A85" s="91">
        <v>21006.0</v>
      </c>
      <c r="B85" s="99" t="s">
        <v>123</v>
      </c>
      <c r="C85" s="93">
        <v>92.8746928746929</v>
      </c>
      <c r="D85" s="93">
        <v>94.3728018757327</v>
      </c>
    </row>
    <row r="86">
      <c r="A86" s="91">
        <v>21101.0</v>
      </c>
      <c r="B86" s="99" t="s">
        <v>125</v>
      </c>
      <c r="C86" s="93">
        <v>91.8505942275042</v>
      </c>
      <c r="D86" s="93">
        <v>97.6006191950464</v>
      </c>
    </row>
    <row r="87">
      <c r="A87" s="91">
        <v>21102.0</v>
      </c>
      <c r="B87" s="99" t="s">
        <v>126</v>
      </c>
      <c r="C87" s="93">
        <v>89.5260386190755</v>
      </c>
      <c r="D87" s="93">
        <v>97.0843672456576</v>
      </c>
    </row>
    <row r="88">
      <c r="A88" s="91">
        <v>21103.0</v>
      </c>
      <c r="B88" s="99" t="s">
        <v>127</v>
      </c>
      <c r="C88" s="93">
        <v>92.6544240400668</v>
      </c>
      <c r="D88" s="93">
        <v>96.7611336032389</v>
      </c>
    </row>
    <row r="89">
      <c r="A89" s="91">
        <v>21104.0</v>
      </c>
      <c r="B89" s="99" t="s">
        <v>128</v>
      </c>
      <c r="C89" s="93">
        <v>88.9804325437693</v>
      </c>
      <c r="D89" s="93">
        <v>94.2969090117545</v>
      </c>
    </row>
    <row r="90">
      <c r="A90" s="91">
        <v>21105.0</v>
      </c>
      <c r="B90" s="99" t="s">
        <v>129</v>
      </c>
      <c r="C90" s="93">
        <v>83.5207308503162</v>
      </c>
      <c r="D90" s="93">
        <v>94.7304810248973</v>
      </c>
    </row>
    <row r="91">
      <c r="A91" s="91">
        <v>21201.0</v>
      </c>
      <c r="B91" s="99" t="s">
        <v>131</v>
      </c>
      <c r="C91" s="93">
        <v>94.693438508426</v>
      </c>
      <c r="D91" s="93">
        <v>98.2162458836443</v>
      </c>
    </row>
    <row r="92">
      <c r="A92" s="91">
        <v>21202.0</v>
      </c>
      <c r="B92" s="99" t="s">
        <v>132</v>
      </c>
      <c r="C92" s="93">
        <v>95.5331412103746</v>
      </c>
      <c r="D92" s="93">
        <v>96.448275862069</v>
      </c>
    </row>
    <row r="93">
      <c r="A93" s="91">
        <v>21203.0</v>
      </c>
      <c r="B93" s="99" t="s">
        <v>133</v>
      </c>
      <c r="C93" s="93">
        <v>94.579945799458</v>
      </c>
      <c r="D93" s="93">
        <v>97.684515195369</v>
      </c>
    </row>
    <row r="94">
      <c r="A94" s="91">
        <v>21204.0</v>
      </c>
      <c r="B94" s="99" t="s">
        <v>134</v>
      </c>
      <c r="C94" s="93">
        <v>93.5871743486974</v>
      </c>
      <c r="D94" s="93">
        <v>97.3451327433628</v>
      </c>
    </row>
    <row r="95">
      <c r="A95" s="91">
        <v>21301.0</v>
      </c>
      <c r="B95" s="99" t="s">
        <v>136</v>
      </c>
      <c r="C95" s="93">
        <v>90.2030293264583</v>
      </c>
      <c r="D95" s="93">
        <v>96.6589861751152</v>
      </c>
    </row>
    <row r="96">
      <c r="A96" s="91">
        <v>21302.0</v>
      </c>
      <c r="B96" s="99" t="s">
        <v>137</v>
      </c>
      <c r="C96" s="93">
        <v>90.4509283819629</v>
      </c>
      <c r="D96" s="93">
        <v>96.7307692307692</v>
      </c>
    </row>
    <row r="97">
      <c r="A97" s="91">
        <v>21303.0</v>
      </c>
      <c r="B97" s="99" t="s">
        <v>138</v>
      </c>
      <c r="C97" s="93">
        <v>94.5054945054945</v>
      </c>
      <c r="D97" s="93">
        <v>98.0645161290323</v>
      </c>
    </row>
    <row r="98">
      <c r="A98" s="91">
        <v>21304.0</v>
      </c>
      <c r="B98" s="99" t="s">
        <v>139</v>
      </c>
      <c r="C98" s="93">
        <v>94.2884801548887</v>
      </c>
      <c r="D98" s="93">
        <v>97.8685612788632</v>
      </c>
    </row>
    <row r="99">
      <c r="A99" s="91">
        <v>21305.0</v>
      </c>
      <c r="B99" s="99" t="s">
        <v>140</v>
      </c>
      <c r="C99" s="93">
        <v>90.7590759075908</v>
      </c>
      <c r="D99" s="93">
        <v>97.2845953002611</v>
      </c>
    </row>
    <row r="100">
      <c r="A100" s="91">
        <v>21306.0</v>
      </c>
      <c r="B100" s="99" t="s">
        <v>141</v>
      </c>
      <c r="C100" s="93">
        <v>95.4241071428571</v>
      </c>
      <c r="D100" s="93">
        <v>92.6418439716312</v>
      </c>
    </row>
    <row r="101">
      <c r="A101" s="91">
        <v>21307.0</v>
      </c>
      <c r="B101" s="99" t="s">
        <v>142</v>
      </c>
      <c r="C101" s="93">
        <v>95.5882352941177</v>
      </c>
      <c r="D101" s="93">
        <v>96.0199004975124</v>
      </c>
    </row>
    <row r="102">
      <c r="A102" s="91">
        <v>21401.0</v>
      </c>
      <c r="B102" s="99" t="s">
        <v>144</v>
      </c>
      <c r="C102" s="93">
        <v>91.842397336293</v>
      </c>
      <c r="D102" s="93">
        <v>97.7611940298508</v>
      </c>
    </row>
    <row r="103">
      <c r="A103" s="91">
        <v>21402.0</v>
      </c>
      <c r="B103" s="99" t="s">
        <v>145</v>
      </c>
      <c r="C103" s="93">
        <v>89.2531876138434</v>
      </c>
      <c r="D103" s="93">
        <v>96.7722653915123</v>
      </c>
    </row>
    <row r="104">
      <c r="A104" s="91">
        <v>21501.0</v>
      </c>
      <c r="B104" s="99" t="s">
        <v>147</v>
      </c>
      <c r="C104" s="93">
        <v>82.2358346094946</v>
      </c>
      <c r="D104" s="93">
        <v>91.5102040816327</v>
      </c>
    </row>
    <row r="105">
      <c r="A105" s="91">
        <v>21502.0</v>
      </c>
      <c r="B105" s="99" t="s">
        <v>148</v>
      </c>
      <c r="C105" s="93">
        <v>90.6837606837607</v>
      </c>
      <c r="D105" s="93">
        <v>93.9603960396039</v>
      </c>
    </row>
    <row r="106">
      <c r="A106" s="91">
        <v>21601.0</v>
      </c>
      <c r="B106" s="99" t="s">
        <v>150</v>
      </c>
      <c r="C106" s="93">
        <v>90.720311486048</v>
      </c>
      <c r="D106" s="93">
        <v>94.9677419354839</v>
      </c>
    </row>
    <row r="107">
      <c r="A107" s="91">
        <v>21602.0</v>
      </c>
      <c r="B107" s="99" t="s">
        <v>151</v>
      </c>
      <c r="C107" s="93">
        <v>87.0</v>
      </c>
      <c r="D107" s="93">
        <v>86.9742198100407</v>
      </c>
    </row>
    <row r="108">
      <c r="A108" s="91">
        <v>21701.0</v>
      </c>
      <c r="B108" s="99" t="s">
        <v>153</v>
      </c>
      <c r="C108" s="93">
        <v>88.7780548628429</v>
      </c>
      <c r="D108" s="93">
        <v>92.8870292887029</v>
      </c>
    </row>
    <row r="109">
      <c r="A109" s="91">
        <v>21702.0</v>
      </c>
      <c r="B109" s="99" t="s">
        <v>154</v>
      </c>
      <c r="C109" s="93">
        <v>94.6478873239437</v>
      </c>
      <c r="D109" s="93">
        <v>97.9357798165138</v>
      </c>
    </row>
    <row r="110">
      <c r="A110" s="91">
        <v>21703.0</v>
      </c>
      <c r="B110" s="99" t="s">
        <v>155</v>
      </c>
      <c r="C110" s="93">
        <v>89.6276595744681</v>
      </c>
      <c r="D110" s="93">
        <v>94.5945945945946</v>
      </c>
    </row>
    <row r="111">
      <c r="A111" s="91">
        <v>21801.0</v>
      </c>
      <c r="B111" s="99" t="s">
        <v>157</v>
      </c>
      <c r="C111" s="93">
        <v>94.2947702060222</v>
      </c>
      <c r="D111" s="93">
        <v>96.7557251908397</v>
      </c>
    </row>
    <row r="112">
      <c r="A112" s="91">
        <v>21802.0</v>
      </c>
      <c r="B112" s="99" t="s">
        <v>158</v>
      </c>
      <c r="C112" s="93">
        <v>94.7019867549669</v>
      </c>
      <c r="D112" s="93">
        <v>98.1723237597911</v>
      </c>
    </row>
    <row r="113">
      <c r="A113" s="91">
        <v>21803.0</v>
      </c>
      <c r="B113" s="99" t="s">
        <v>159</v>
      </c>
      <c r="C113" s="93">
        <v>90.8163265306122</v>
      </c>
      <c r="D113" s="93">
        <v>100.0</v>
      </c>
    </row>
    <row r="114">
      <c r="A114" s="91">
        <v>21901.0</v>
      </c>
      <c r="B114" s="99" t="s">
        <v>161</v>
      </c>
      <c r="C114" s="93">
        <v>95.1768488745981</v>
      </c>
      <c r="D114" s="93">
        <v>97.554347826087</v>
      </c>
    </row>
    <row r="115">
      <c r="A115" s="91">
        <v>21902.0</v>
      </c>
      <c r="B115" s="99" t="s">
        <v>162</v>
      </c>
      <c r="C115" s="93">
        <v>86.6666666666667</v>
      </c>
      <c r="D115" s="93">
        <v>91.2579957356077</v>
      </c>
    </row>
    <row r="116">
      <c r="A116" s="91">
        <v>22001.0</v>
      </c>
      <c r="B116" s="99" t="s">
        <v>163</v>
      </c>
      <c r="C116" s="93">
        <v>87.9363356845723</v>
      </c>
      <c r="D116" s="93">
        <v>95.521472392638</v>
      </c>
    </row>
    <row r="117">
      <c r="A117" s="91">
        <v>22002.0</v>
      </c>
      <c r="B117" s="99" t="s">
        <v>164</v>
      </c>
      <c r="C117" s="93">
        <v>91.4020139426801</v>
      </c>
      <c r="D117" s="93">
        <v>96.7046894803549</v>
      </c>
    </row>
    <row r="118">
      <c r="A118" s="91">
        <v>30101.0</v>
      </c>
      <c r="B118" s="99" t="s">
        <v>165</v>
      </c>
      <c r="C118" s="93">
        <v>91.4728931657628</v>
      </c>
      <c r="D118" s="93">
        <v>97.7410598371297</v>
      </c>
    </row>
    <row r="119">
      <c r="A119" s="91">
        <v>30201.0</v>
      </c>
      <c r="B119" s="99" t="s">
        <v>168</v>
      </c>
      <c r="C119" s="93">
        <v>86.5019011406844</v>
      </c>
      <c r="D119" s="93">
        <v>97.7855477855478</v>
      </c>
    </row>
    <row r="120">
      <c r="A120" s="91">
        <v>30202.0</v>
      </c>
      <c r="B120" s="99" t="s">
        <v>169</v>
      </c>
      <c r="C120" s="93">
        <v>93.5779816513761</v>
      </c>
      <c r="D120" s="93">
        <v>98.5882352941176</v>
      </c>
    </row>
    <row r="121">
      <c r="A121" s="91">
        <v>30203.0</v>
      </c>
      <c r="B121" s="99" t="s">
        <v>170</v>
      </c>
      <c r="C121" s="93">
        <v>81.8181818181818</v>
      </c>
      <c r="D121" s="93">
        <v>95.5752212389381</v>
      </c>
    </row>
    <row r="122">
      <c r="A122" s="91">
        <v>30301.0</v>
      </c>
      <c r="B122" s="99" t="s">
        <v>171</v>
      </c>
      <c r="C122" s="93">
        <v>83.5254237288136</v>
      </c>
      <c r="D122" s="93">
        <v>96.6876971608833</v>
      </c>
    </row>
    <row r="123">
      <c r="A123" s="91">
        <v>30302.0</v>
      </c>
      <c r="B123" s="99" t="s">
        <v>172</v>
      </c>
      <c r="C123" s="93">
        <v>79.2658055744392</v>
      </c>
      <c r="D123" s="93">
        <v>98.5178727114211</v>
      </c>
    </row>
    <row r="124">
      <c r="A124" s="91">
        <v>30303.0</v>
      </c>
      <c r="B124" s="99" t="s">
        <v>173</v>
      </c>
      <c r="C124" s="93">
        <v>75.0935550935551</v>
      </c>
      <c r="D124" s="93">
        <v>97.3533990659055</v>
      </c>
    </row>
    <row r="125">
      <c r="A125" s="91">
        <v>30401.0</v>
      </c>
      <c r="B125" s="99" t="s">
        <v>175</v>
      </c>
      <c r="C125" s="93">
        <v>92.8476821192053</v>
      </c>
      <c r="D125" s="93">
        <v>97.9115479115479</v>
      </c>
    </row>
    <row r="126">
      <c r="A126" s="91">
        <v>30402.0</v>
      </c>
      <c r="B126" s="99" t="s">
        <v>176</v>
      </c>
      <c r="C126" s="93">
        <v>89.7404202719407</v>
      </c>
      <c r="D126" s="93">
        <v>98.4649122807018</v>
      </c>
    </row>
    <row r="127">
      <c r="A127" s="91">
        <v>30403.0</v>
      </c>
      <c r="B127" s="99" t="s">
        <v>177</v>
      </c>
      <c r="C127" s="93">
        <v>90.8558030480657</v>
      </c>
      <c r="D127" s="93">
        <v>97.3245443970531</v>
      </c>
    </row>
    <row r="128">
      <c r="A128" s="91">
        <v>30404.0</v>
      </c>
      <c r="B128" s="99" t="s">
        <v>178</v>
      </c>
      <c r="C128" s="93">
        <v>88.5032537960954</v>
      </c>
      <c r="D128" s="93">
        <v>97.0967741935484</v>
      </c>
    </row>
    <row r="129">
      <c r="A129" s="91">
        <v>30501.0</v>
      </c>
      <c r="B129" s="99" t="s">
        <v>179</v>
      </c>
      <c r="C129" s="93">
        <v>95.1515151515152</v>
      </c>
      <c r="D129" s="93">
        <v>97.6616231086658</v>
      </c>
    </row>
    <row r="130">
      <c r="A130" s="91">
        <v>30502.0</v>
      </c>
      <c r="B130" s="99" t="s">
        <v>180</v>
      </c>
      <c r="C130" s="93">
        <v>92.3852183650616</v>
      </c>
      <c r="D130" s="93">
        <v>97.1857410881801</v>
      </c>
    </row>
    <row r="131">
      <c r="A131" s="91">
        <v>30601.0</v>
      </c>
      <c r="B131" s="99" t="s">
        <v>181</v>
      </c>
      <c r="C131" s="93">
        <v>87.6481597005615</v>
      </c>
      <c r="D131" s="93">
        <v>99.0299823633157</v>
      </c>
    </row>
    <row r="132">
      <c r="A132" s="91">
        <v>30602.0</v>
      </c>
      <c r="B132" s="99" t="s">
        <v>182</v>
      </c>
      <c r="C132" s="93">
        <v>91.2790697674419</v>
      </c>
      <c r="D132" s="93">
        <v>98.7468671679198</v>
      </c>
    </row>
    <row r="133">
      <c r="A133" s="91">
        <v>30701.0</v>
      </c>
      <c r="B133" s="99" t="s">
        <v>183</v>
      </c>
      <c r="C133" s="93">
        <v>93.8692098092643</v>
      </c>
      <c r="D133" s="93">
        <v>98.7021414665801</v>
      </c>
    </row>
    <row r="134">
      <c r="A134" s="91">
        <v>30702.0</v>
      </c>
      <c r="B134" s="99" t="s">
        <v>184</v>
      </c>
      <c r="C134" s="93">
        <v>95.3125</v>
      </c>
      <c r="D134" s="93">
        <v>98.2363315696649</v>
      </c>
    </row>
    <row r="135">
      <c r="A135" s="91">
        <v>30703.0</v>
      </c>
      <c r="B135" s="99" t="s">
        <v>185</v>
      </c>
      <c r="C135" s="93">
        <v>93.2346723044397</v>
      </c>
      <c r="D135" s="93">
        <v>98.1873111782477</v>
      </c>
    </row>
    <row r="136">
      <c r="A136" s="91">
        <v>30801.0</v>
      </c>
      <c r="B136" s="99" t="s">
        <v>187</v>
      </c>
      <c r="C136" s="93">
        <v>89.906103286385</v>
      </c>
      <c r="D136" s="93">
        <v>96.7994774657087</v>
      </c>
    </row>
    <row r="137">
      <c r="A137" s="91">
        <v>30802.0</v>
      </c>
      <c r="B137" s="99" t="s">
        <v>188</v>
      </c>
      <c r="C137" s="93">
        <v>91.0891089108911</v>
      </c>
      <c r="D137" s="93">
        <v>97.5659229208925</v>
      </c>
    </row>
    <row r="138">
      <c r="A138" s="91">
        <v>30803.0</v>
      </c>
      <c r="B138" s="99" t="s">
        <v>189</v>
      </c>
      <c r="C138" s="93">
        <v>92.798353909465</v>
      </c>
      <c r="D138" s="93">
        <v>97.3867595818815</v>
      </c>
    </row>
    <row r="139">
      <c r="A139" s="91">
        <v>30901.0</v>
      </c>
      <c r="B139" s="99" t="s">
        <v>190</v>
      </c>
      <c r="C139" s="93">
        <v>91.3984500453816</v>
      </c>
      <c r="D139" s="93">
        <v>97.9321753515302</v>
      </c>
    </row>
    <row r="140">
      <c r="A140" s="91">
        <v>30902.0</v>
      </c>
      <c r="B140" s="99" t="s">
        <v>191</v>
      </c>
      <c r="C140" s="93">
        <v>88.9952153110048</v>
      </c>
      <c r="D140" s="93">
        <v>97.9815794630609</v>
      </c>
    </row>
    <row r="141">
      <c r="A141" s="91">
        <v>30903.0</v>
      </c>
      <c r="B141" s="99" t="s">
        <v>192</v>
      </c>
      <c r="C141" s="93">
        <v>89.8419463683182</v>
      </c>
      <c r="D141" s="93">
        <v>97.7341742583508</v>
      </c>
    </row>
    <row r="142">
      <c r="A142" s="91">
        <v>30904.0</v>
      </c>
      <c r="B142" s="99" t="s">
        <v>193</v>
      </c>
      <c r="C142" s="93">
        <v>89.5225240425173</v>
      </c>
      <c r="D142" s="93">
        <v>97.5128837105086</v>
      </c>
    </row>
    <row r="143">
      <c r="A143" s="91">
        <v>30905.0</v>
      </c>
      <c r="B143" s="99" t="s">
        <v>194</v>
      </c>
      <c r="C143" s="93">
        <v>92.8346456692913</v>
      </c>
      <c r="D143" s="93">
        <v>98.4003763820278</v>
      </c>
    </row>
    <row r="144">
      <c r="A144" s="91">
        <v>31001.0</v>
      </c>
      <c r="B144" s="99" t="s">
        <v>196</v>
      </c>
      <c r="C144" s="93">
        <v>91.1988950276243</v>
      </c>
      <c r="D144" s="93">
        <v>97.9506863574263</v>
      </c>
    </row>
    <row r="145">
      <c r="A145" s="91">
        <v>31002.0</v>
      </c>
      <c r="B145" s="99" t="s">
        <v>197</v>
      </c>
      <c r="C145" s="93">
        <v>89.3854748603352</v>
      </c>
      <c r="D145" s="93">
        <v>97.8615644344401</v>
      </c>
    </row>
    <row r="146">
      <c r="A146" s="91">
        <v>31003.0</v>
      </c>
      <c r="B146" s="99" t="s">
        <v>198</v>
      </c>
      <c r="C146" s="93">
        <v>86.6630901287554</v>
      </c>
      <c r="D146" s="93">
        <v>97.3454683352294</v>
      </c>
    </row>
    <row r="147">
      <c r="A147" s="91">
        <v>31101.0</v>
      </c>
      <c r="B147" s="99" t="s">
        <v>199</v>
      </c>
      <c r="C147" s="93">
        <v>90.9059233449477</v>
      </c>
      <c r="D147" s="93">
        <v>98.3690587138863</v>
      </c>
    </row>
    <row r="148">
      <c r="A148" s="91">
        <v>31201.0</v>
      </c>
      <c r="B148" s="99" t="s">
        <v>201</v>
      </c>
      <c r="C148" s="93">
        <v>89.2140921409214</v>
      </c>
      <c r="D148" s="93">
        <v>97.2556894243641</v>
      </c>
    </row>
    <row r="149">
      <c r="A149" s="91">
        <v>31202.0</v>
      </c>
      <c r="B149" s="99" t="s">
        <v>202</v>
      </c>
      <c r="C149" s="93">
        <v>90.2548725637181</v>
      </c>
      <c r="D149" s="93">
        <v>96.4416058394161</v>
      </c>
    </row>
    <row r="150">
      <c r="A150" s="91">
        <v>31203.0</v>
      </c>
      <c r="B150" s="99" t="s">
        <v>203</v>
      </c>
      <c r="C150" s="93">
        <v>90.8117752007137</v>
      </c>
      <c r="D150" s="93">
        <v>97.4835886214442</v>
      </c>
    </row>
    <row r="151">
      <c r="A151" s="91">
        <v>31204.0</v>
      </c>
      <c r="B151" s="99" t="s">
        <v>204</v>
      </c>
      <c r="C151" s="93">
        <v>83.6036671368124</v>
      </c>
      <c r="D151" s="93">
        <v>96.4912280701754</v>
      </c>
    </row>
    <row r="152">
      <c r="A152" s="91">
        <v>31205.0</v>
      </c>
      <c r="B152" s="99" t="s">
        <v>205</v>
      </c>
      <c r="C152" s="93">
        <v>87.285100286533</v>
      </c>
      <c r="D152" s="93">
        <v>96.9915764139591</v>
      </c>
    </row>
    <row r="153">
      <c r="A153" s="91">
        <v>31206.0</v>
      </c>
      <c r="B153" s="99" t="s">
        <v>206</v>
      </c>
      <c r="C153" s="93">
        <v>88.8531618435155</v>
      </c>
      <c r="D153" s="93">
        <v>95.9439528023599</v>
      </c>
    </row>
    <row r="154">
      <c r="A154" s="91">
        <v>31301.0</v>
      </c>
      <c r="B154" s="99" t="s">
        <v>207</v>
      </c>
      <c r="C154" s="93">
        <v>83.2148499210111</v>
      </c>
      <c r="D154" s="93">
        <v>97.4251497005988</v>
      </c>
    </row>
    <row r="155">
      <c r="A155" s="91">
        <v>31302.0</v>
      </c>
      <c r="B155" s="99" t="s">
        <v>208</v>
      </c>
      <c r="C155" s="93">
        <v>73.4666666666667</v>
      </c>
      <c r="D155" s="93">
        <v>71.2250712250712</v>
      </c>
    </row>
    <row r="156">
      <c r="A156" s="91">
        <v>31303.0</v>
      </c>
      <c r="B156" s="99" t="s">
        <v>209</v>
      </c>
      <c r="C156" s="93">
        <v>81.0551558752998</v>
      </c>
      <c r="D156" s="93">
        <v>95.5056179775281</v>
      </c>
    </row>
    <row r="157">
      <c r="A157" s="91">
        <v>31304.0</v>
      </c>
      <c r="B157" s="99" t="s">
        <v>469</v>
      </c>
      <c r="C157" s="93">
        <v>87.9807692307692</v>
      </c>
      <c r="D157" s="93">
        <v>95.4712362301102</v>
      </c>
    </row>
    <row r="158">
      <c r="A158" s="91">
        <v>31401.0</v>
      </c>
      <c r="B158" s="99" t="s">
        <v>211</v>
      </c>
      <c r="C158" s="93">
        <v>91.5514018691589</v>
      </c>
      <c r="D158" s="93">
        <v>97.3684210526316</v>
      </c>
    </row>
    <row r="159">
      <c r="A159" s="91">
        <v>31402.0</v>
      </c>
      <c r="B159" s="99" t="s">
        <v>212</v>
      </c>
      <c r="C159" s="93">
        <v>91.8435754189944</v>
      </c>
      <c r="D159" s="93">
        <v>95.9627329192547</v>
      </c>
    </row>
    <row r="160">
      <c r="A160" s="91">
        <v>31403.0</v>
      </c>
      <c r="B160" s="99" t="s">
        <v>213</v>
      </c>
      <c r="C160" s="93">
        <v>93.7550040032026</v>
      </c>
      <c r="D160" s="93">
        <v>97.8260869565217</v>
      </c>
    </row>
    <row r="161">
      <c r="A161" s="91">
        <v>31404.0</v>
      </c>
      <c r="B161" s="99" t="s">
        <v>214</v>
      </c>
      <c r="C161" s="93">
        <v>92.4528301886792</v>
      </c>
      <c r="D161" s="93">
        <v>100.0</v>
      </c>
    </row>
    <row r="162">
      <c r="A162" s="91">
        <v>31405.0</v>
      </c>
      <c r="B162" s="99" t="s">
        <v>215</v>
      </c>
      <c r="C162" s="93">
        <v>90.5594405594406</v>
      </c>
      <c r="D162" s="93">
        <v>97.0588235294118</v>
      </c>
    </row>
    <row r="163">
      <c r="A163" s="91">
        <v>31501.0</v>
      </c>
      <c r="B163" s="99" t="s">
        <v>216</v>
      </c>
      <c r="C163" s="93">
        <v>90.676883780332</v>
      </c>
      <c r="D163" s="93">
        <v>98.1894150417827</v>
      </c>
    </row>
    <row r="164">
      <c r="A164" s="91">
        <v>31601.0</v>
      </c>
      <c r="B164" s="99" t="s">
        <v>217</v>
      </c>
      <c r="C164" s="93">
        <v>91.9610231425091</v>
      </c>
      <c r="D164" s="93">
        <v>97.7470930232558</v>
      </c>
    </row>
    <row r="165">
      <c r="A165" s="91">
        <v>31602.0</v>
      </c>
      <c r="B165" s="99" t="s">
        <v>218</v>
      </c>
      <c r="C165" s="93">
        <v>85.8730158730159</v>
      </c>
      <c r="D165" s="93">
        <v>97.0284237726098</v>
      </c>
    </row>
    <row r="166">
      <c r="A166" s="91">
        <v>40101.0</v>
      </c>
      <c r="B166" s="99" t="s">
        <v>219</v>
      </c>
      <c r="C166" s="93">
        <v>92.3866843483287</v>
      </c>
      <c r="D166" s="93">
        <v>98.5376879785958</v>
      </c>
    </row>
    <row r="167">
      <c r="A167" s="91">
        <v>40102.0</v>
      </c>
      <c r="B167" s="99" t="s">
        <v>220</v>
      </c>
      <c r="C167" s="93">
        <v>89.1507517269403</v>
      </c>
      <c r="D167" s="93">
        <v>98.5198342214328</v>
      </c>
    </row>
    <row r="168">
      <c r="A168" s="91">
        <v>40103.0</v>
      </c>
      <c r="B168" s="99" t="s">
        <v>221</v>
      </c>
      <c r="C168" s="93">
        <v>90.3488372093023</v>
      </c>
      <c r="D168" s="93">
        <v>91.6349809885932</v>
      </c>
    </row>
    <row r="169">
      <c r="A169" s="91">
        <v>40104.0</v>
      </c>
      <c r="B169" s="99" t="s">
        <v>222</v>
      </c>
      <c r="C169" s="93">
        <v>89.6979085979861</v>
      </c>
      <c r="D169" s="93">
        <v>98.949070331447</v>
      </c>
    </row>
    <row r="170">
      <c r="A170" s="91">
        <v>40201.0</v>
      </c>
      <c r="B170" s="99" t="s">
        <v>224</v>
      </c>
      <c r="C170" s="93">
        <v>89.720194647202</v>
      </c>
      <c r="D170" s="93">
        <v>96.2776659959759</v>
      </c>
    </row>
    <row r="171">
      <c r="A171" s="91">
        <v>40202.0</v>
      </c>
      <c r="B171" s="99" t="s">
        <v>225</v>
      </c>
      <c r="C171" s="93">
        <v>89.7091722595078</v>
      </c>
      <c r="D171" s="93">
        <v>97.8494623655914</v>
      </c>
    </row>
    <row r="172">
      <c r="A172" s="91">
        <v>40301.0</v>
      </c>
      <c r="B172" s="99" t="s">
        <v>227</v>
      </c>
      <c r="C172" s="93">
        <v>92.0770877944325</v>
      </c>
      <c r="D172" s="93">
        <v>96.4944649446495</v>
      </c>
    </row>
    <row r="173">
      <c r="A173" s="91">
        <v>40302.0</v>
      </c>
      <c r="B173" s="99" t="s">
        <v>228</v>
      </c>
      <c r="C173" s="93">
        <v>93.8888888888889</v>
      </c>
      <c r="D173" s="93">
        <v>96.3636363636364</v>
      </c>
    </row>
    <row r="174">
      <c r="A174" s="91">
        <v>40401.0</v>
      </c>
      <c r="B174" s="99" t="s">
        <v>230</v>
      </c>
      <c r="C174" s="93">
        <v>95.3964194373402</v>
      </c>
      <c r="D174" s="93">
        <v>93.6170212765958</v>
      </c>
    </row>
    <row r="175">
      <c r="A175" s="91">
        <v>40402.0</v>
      </c>
      <c r="B175" s="99" t="s">
        <v>231</v>
      </c>
      <c r="C175" s="93">
        <v>94.3907156673114</v>
      </c>
      <c r="D175" s="93">
        <v>96.1340206185567</v>
      </c>
    </row>
    <row r="176">
      <c r="A176" s="91">
        <v>40501.0</v>
      </c>
      <c r="B176" s="99" t="s">
        <v>233</v>
      </c>
      <c r="C176" s="93">
        <v>93.0232558139535</v>
      </c>
      <c r="D176" s="93">
        <v>92.3076923076923</v>
      </c>
    </row>
    <row r="177">
      <c r="A177" s="91">
        <v>40502.0</v>
      </c>
      <c r="B177" s="99" t="s">
        <v>234</v>
      </c>
      <c r="C177" s="93">
        <v>85.6209150326797</v>
      </c>
      <c r="D177" s="93">
        <v>91.812865497076</v>
      </c>
    </row>
    <row r="178">
      <c r="A178" s="91">
        <v>40503.0</v>
      </c>
      <c r="B178" s="99" t="s">
        <v>235</v>
      </c>
      <c r="C178" s="93">
        <v>79.2682926829268</v>
      </c>
      <c r="D178" s="93">
        <v>84.2105263157895</v>
      </c>
    </row>
    <row r="179">
      <c r="A179" s="91">
        <v>40504.0</v>
      </c>
      <c r="B179" s="99" t="s">
        <v>236</v>
      </c>
      <c r="C179" s="93">
        <v>86.5384615384615</v>
      </c>
      <c r="D179" s="93">
        <v>85.3333333333333</v>
      </c>
    </row>
    <row r="180">
      <c r="A180" s="91">
        <v>40505.0</v>
      </c>
      <c r="B180" s="99" t="s">
        <v>237</v>
      </c>
      <c r="C180" s="93">
        <v>86.4</v>
      </c>
      <c r="D180" s="93">
        <v>85.0467289719626</v>
      </c>
    </row>
    <row r="181">
      <c r="A181" s="91">
        <v>40601.0</v>
      </c>
      <c r="B181" s="99" t="s">
        <v>238</v>
      </c>
      <c r="C181" s="93">
        <v>96.5277777777778</v>
      </c>
      <c r="D181" s="93">
        <v>94.9535192563081</v>
      </c>
    </row>
    <row r="182">
      <c r="A182" s="91">
        <v>40602.0</v>
      </c>
      <c r="B182" s="99" t="s">
        <v>239</v>
      </c>
      <c r="C182" s="93">
        <v>92.5925925925926</v>
      </c>
      <c r="D182" s="93">
        <v>91.304347826087</v>
      </c>
    </row>
    <row r="183">
      <c r="A183" s="91">
        <v>40603.0</v>
      </c>
      <c r="B183" s="99" t="s">
        <v>240</v>
      </c>
      <c r="C183" s="93">
        <v>92.3857868020305</v>
      </c>
      <c r="D183" s="93">
        <v>97.9674796747967</v>
      </c>
    </row>
    <row r="184">
      <c r="A184" s="91">
        <v>40701.0</v>
      </c>
      <c r="B184" s="99" t="s">
        <v>242</v>
      </c>
      <c r="C184" s="93">
        <v>96.0674157303371</v>
      </c>
      <c r="D184" s="93">
        <v>98.8452655889146</v>
      </c>
    </row>
    <row r="185">
      <c r="A185" s="91">
        <v>40702.0</v>
      </c>
      <c r="B185" s="99" t="s">
        <v>243</v>
      </c>
      <c r="C185" s="93">
        <v>91.412213740458</v>
      </c>
      <c r="D185" s="93">
        <v>98.8399071925754</v>
      </c>
    </row>
    <row r="186">
      <c r="A186" s="91">
        <v>40801.0</v>
      </c>
      <c r="B186" s="99" t="s">
        <v>245</v>
      </c>
      <c r="C186" s="93">
        <v>88.5100074128984</v>
      </c>
      <c r="D186" s="93">
        <v>97.4036850921273</v>
      </c>
    </row>
    <row r="187">
      <c r="A187" s="91">
        <v>40802.0</v>
      </c>
      <c r="B187" s="99" t="s">
        <v>246</v>
      </c>
      <c r="C187" s="93">
        <v>87.431693989071</v>
      </c>
      <c r="D187" s="93">
        <v>98.6175115207373</v>
      </c>
    </row>
    <row r="188">
      <c r="A188" s="91">
        <v>40901.0</v>
      </c>
      <c r="B188" s="99" t="s">
        <v>247</v>
      </c>
      <c r="C188" s="93">
        <v>86.9323447636701</v>
      </c>
      <c r="D188" s="93">
        <v>89.5259938837921</v>
      </c>
    </row>
    <row r="189">
      <c r="A189" s="91">
        <v>40902.0</v>
      </c>
      <c r="B189" s="99" t="s">
        <v>248</v>
      </c>
      <c r="C189" s="93">
        <v>86.4864864864865</v>
      </c>
      <c r="D189" s="93">
        <v>91.7582417582418</v>
      </c>
    </row>
    <row r="190">
      <c r="A190" s="91">
        <v>40903.0</v>
      </c>
      <c r="B190" s="99" t="s">
        <v>249</v>
      </c>
      <c r="C190" s="93">
        <v>83.7944664031621</v>
      </c>
      <c r="D190" s="93">
        <v>80.4651162790698</v>
      </c>
    </row>
    <row r="191">
      <c r="A191" s="91">
        <v>41001.0</v>
      </c>
      <c r="B191" s="99" t="s">
        <v>251</v>
      </c>
      <c r="C191" s="93">
        <v>88.3603238866397</v>
      </c>
      <c r="D191" s="93">
        <v>97.2668810289389</v>
      </c>
    </row>
    <row r="192">
      <c r="A192" s="91">
        <v>41101.0</v>
      </c>
      <c r="B192" s="99" t="s">
        <v>253</v>
      </c>
      <c r="C192" s="93">
        <v>92.1245421245421</v>
      </c>
      <c r="D192" s="93">
        <v>97.9381443298969</v>
      </c>
    </row>
    <row r="193">
      <c r="A193" s="91">
        <v>41201.0</v>
      </c>
      <c r="B193" s="99" t="s">
        <v>255</v>
      </c>
      <c r="C193" s="93">
        <v>92.4568965517241</v>
      </c>
      <c r="D193" s="93">
        <v>98.8732394366197</v>
      </c>
    </row>
    <row r="194">
      <c r="A194" s="91">
        <v>41202.0</v>
      </c>
      <c r="B194" s="99" t="s">
        <v>256</v>
      </c>
      <c r="C194" s="93">
        <v>92.6267281105991</v>
      </c>
      <c r="D194" s="93">
        <v>98.9690721649485</v>
      </c>
    </row>
    <row r="195">
      <c r="A195" s="91">
        <v>41301.0</v>
      </c>
      <c r="B195" s="99" t="s">
        <v>201</v>
      </c>
      <c r="C195" s="93">
        <v>92.3076923076923</v>
      </c>
      <c r="D195" s="93">
        <v>95.4545454545455</v>
      </c>
    </row>
    <row r="196">
      <c r="A196" s="91">
        <v>41401.0</v>
      </c>
      <c r="B196" s="99" t="s">
        <v>259</v>
      </c>
      <c r="C196" s="93">
        <v>90.9288824383164</v>
      </c>
      <c r="D196" s="93">
        <v>95.5769230769231</v>
      </c>
    </row>
    <row r="197">
      <c r="A197" s="91">
        <v>41501.0</v>
      </c>
      <c r="B197" s="99" t="s">
        <v>261</v>
      </c>
      <c r="C197" s="93">
        <v>82.8571428571429</v>
      </c>
      <c r="D197" s="93">
        <v>75.0</v>
      </c>
    </row>
    <row r="198">
      <c r="A198" s="91">
        <v>41502.0</v>
      </c>
      <c r="B198" s="99" t="s">
        <v>262</v>
      </c>
      <c r="C198" s="93">
        <v>79.5454545454545</v>
      </c>
      <c r="D198" s="93">
        <v>94.1176470588235</v>
      </c>
    </row>
    <row r="199">
      <c r="A199" s="91">
        <v>41503.0</v>
      </c>
      <c r="B199" s="99" t="s">
        <v>226</v>
      </c>
      <c r="C199" s="93">
        <v>79.646017699115</v>
      </c>
      <c r="D199" s="93">
        <v>86.3636363636364</v>
      </c>
    </row>
    <row r="200">
      <c r="A200" s="91">
        <v>41601.0</v>
      </c>
      <c r="B200" s="99" t="s">
        <v>264</v>
      </c>
      <c r="C200" s="93">
        <v>90.0677200902935</v>
      </c>
      <c r="D200" s="93">
        <v>97.972972972973</v>
      </c>
    </row>
    <row r="201">
      <c r="A201" s="91">
        <v>50101.0</v>
      </c>
      <c r="B201" s="99" t="s">
        <v>265</v>
      </c>
      <c r="C201" s="93">
        <v>92.1025013118769</v>
      </c>
      <c r="D201" s="93">
        <v>98.4587391630097</v>
      </c>
    </row>
    <row r="202">
      <c r="A202" s="91">
        <v>50102.0</v>
      </c>
      <c r="B202" s="99" t="s">
        <v>267</v>
      </c>
      <c r="C202" s="93">
        <v>87.3303167420815</v>
      </c>
      <c r="D202" s="93">
        <v>98.2708933717579</v>
      </c>
    </row>
    <row r="203">
      <c r="A203" s="91">
        <v>50103.0</v>
      </c>
      <c r="B203" s="99" t="s">
        <v>268</v>
      </c>
      <c r="C203" s="93">
        <v>92.6640926640927</v>
      </c>
      <c r="D203" s="93">
        <v>97.7553310886644</v>
      </c>
    </row>
    <row r="204">
      <c r="A204" s="91">
        <v>50104.0</v>
      </c>
      <c r="B204" s="99" t="s">
        <v>269</v>
      </c>
      <c r="C204" s="93">
        <v>84.0425531914894</v>
      </c>
      <c r="D204" s="93">
        <v>97.5</v>
      </c>
    </row>
    <row r="205">
      <c r="A205" s="91">
        <v>50201.0</v>
      </c>
      <c r="B205" s="99" t="s">
        <v>271</v>
      </c>
      <c r="C205" s="93">
        <v>93.910121797564</v>
      </c>
      <c r="D205" s="93">
        <v>97.7777777777778</v>
      </c>
    </row>
    <row r="206">
      <c r="A206" s="91">
        <v>50202.0</v>
      </c>
      <c r="B206" s="99" t="s">
        <v>272</v>
      </c>
      <c r="C206" s="93">
        <v>93.7696335078534</v>
      </c>
      <c r="D206" s="93">
        <v>98.9425981873112</v>
      </c>
    </row>
    <row r="207">
      <c r="A207" s="91">
        <v>50203.0</v>
      </c>
      <c r="B207" s="99" t="s">
        <v>273</v>
      </c>
      <c r="C207" s="93">
        <v>94.1767909509845</v>
      </c>
      <c r="D207" s="93">
        <v>98.8121990369181</v>
      </c>
    </row>
    <row r="208">
      <c r="A208" s="91">
        <v>50204.0</v>
      </c>
      <c r="B208" s="99" t="s">
        <v>274</v>
      </c>
      <c r="C208" s="93">
        <v>89.3655049151028</v>
      </c>
      <c r="D208" s="93">
        <v>98.3805668016194</v>
      </c>
    </row>
    <row r="209">
      <c r="A209" s="91">
        <v>50301.0</v>
      </c>
      <c r="B209" s="99" t="s">
        <v>276</v>
      </c>
      <c r="C209" s="93">
        <v>90.7921075207321</v>
      </c>
      <c r="D209" s="93">
        <v>96.9387755102041</v>
      </c>
    </row>
    <row r="210">
      <c r="A210" s="91">
        <v>50302.0</v>
      </c>
      <c r="B210" s="99" t="s">
        <v>277</v>
      </c>
      <c r="C210" s="93">
        <v>94.4017563117453</v>
      </c>
      <c r="D210" s="93">
        <v>97.2463768115942</v>
      </c>
    </row>
    <row r="211">
      <c r="A211" s="91">
        <v>50303.0</v>
      </c>
      <c r="B211" s="99" t="s">
        <v>278</v>
      </c>
      <c r="C211" s="93">
        <v>82.311320754717</v>
      </c>
      <c r="D211" s="93">
        <v>97.3705179282868</v>
      </c>
    </row>
    <row r="212">
      <c r="A212" s="91">
        <v>50401.0</v>
      </c>
      <c r="B212" s="99" t="s">
        <v>279</v>
      </c>
      <c r="C212" s="93">
        <v>81.784188034188</v>
      </c>
      <c r="D212" s="93">
        <v>97.2150259067357</v>
      </c>
    </row>
    <row r="213">
      <c r="A213" s="91">
        <v>50402.0</v>
      </c>
      <c r="B213" s="99" t="s">
        <v>280</v>
      </c>
      <c r="C213" s="93">
        <v>87.7710320901995</v>
      </c>
      <c r="D213" s="93">
        <v>98.7443946188341</v>
      </c>
    </row>
    <row r="214">
      <c r="A214" s="91">
        <v>50403.0</v>
      </c>
      <c r="B214" s="99" t="s">
        <v>281</v>
      </c>
      <c r="C214" s="93">
        <v>88.0</v>
      </c>
      <c r="D214" s="93">
        <v>97.6672384219554</v>
      </c>
    </row>
    <row r="215">
      <c r="A215" s="91">
        <v>50404.0</v>
      </c>
      <c r="B215" s="99" t="s">
        <v>282</v>
      </c>
      <c r="C215" s="93">
        <v>80.5474095796676</v>
      </c>
      <c r="D215" s="93">
        <v>97.5650713685978</v>
      </c>
    </row>
    <row r="216">
      <c r="A216" s="91">
        <v>50405.0</v>
      </c>
      <c r="B216" s="99" t="s">
        <v>283</v>
      </c>
      <c r="C216" s="93">
        <v>89.8527656187823</v>
      </c>
      <c r="D216" s="93">
        <v>96.471226927253</v>
      </c>
    </row>
    <row r="217">
      <c r="A217" s="91">
        <v>50501.0</v>
      </c>
      <c r="B217" s="99" t="s">
        <v>285</v>
      </c>
      <c r="C217" s="93">
        <v>75.506241331484</v>
      </c>
      <c r="D217" s="93">
        <v>97.28555917481</v>
      </c>
    </row>
    <row r="218">
      <c r="A218" s="91">
        <v>50502.0</v>
      </c>
      <c r="B218" s="99" t="s">
        <v>286</v>
      </c>
      <c r="C218" s="93">
        <v>76.2815608263198</v>
      </c>
      <c r="D218" s="93">
        <v>97.1307120085016</v>
      </c>
    </row>
    <row r="219">
      <c r="A219" s="91">
        <v>50601.0</v>
      </c>
      <c r="B219" s="99" t="s">
        <v>288</v>
      </c>
      <c r="C219" s="93">
        <v>91.3084405396925</v>
      </c>
      <c r="D219" s="93">
        <v>94.1791044776119</v>
      </c>
    </row>
    <row r="220">
      <c r="A220" s="91">
        <v>50602.0</v>
      </c>
      <c r="B220" s="99" t="s">
        <v>289</v>
      </c>
      <c r="C220" s="93">
        <v>91.2524850894632</v>
      </c>
      <c r="D220" s="93">
        <v>95.389507154213</v>
      </c>
    </row>
    <row r="221">
      <c r="A221" s="91">
        <v>50701.0</v>
      </c>
      <c r="B221" s="99" t="s">
        <v>291</v>
      </c>
      <c r="C221" s="93">
        <v>90.8982035928144</v>
      </c>
      <c r="D221" s="93">
        <v>98.6626139817629</v>
      </c>
    </row>
    <row r="222">
      <c r="A222" s="91">
        <v>50702.0</v>
      </c>
      <c r="B222" s="99" t="s">
        <v>292</v>
      </c>
      <c r="C222" s="93">
        <v>94.6428571428571</v>
      </c>
      <c r="D222" s="93">
        <v>97.6470588235294</v>
      </c>
    </row>
    <row r="223">
      <c r="A223" s="91">
        <v>50801.0</v>
      </c>
      <c r="B223" s="99" t="s">
        <v>294</v>
      </c>
      <c r="C223" s="93">
        <v>93.1808817470128</v>
      </c>
      <c r="D223" s="93">
        <v>97.4158653846154</v>
      </c>
    </row>
    <row r="224">
      <c r="A224" s="91">
        <v>50802.0</v>
      </c>
      <c r="B224" s="99" t="s">
        <v>295</v>
      </c>
      <c r="C224" s="93">
        <v>97.6437976437977</v>
      </c>
      <c r="D224" s="93">
        <v>99.3540051679587</v>
      </c>
    </row>
    <row r="225">
      <c r="A225" s="91">
        <v>50901.0</v>
      </c>
      <c r="B225" s="99" t="s">
        <v>297</v>
      </c>
      <c r="C225" s="93">
        <v>92.8148148148148</v>
      </c>
      <c r="D225" s="93">
        <v>97.5535168195719</v>
      </c>
    </row>
    <row r="226">
      <c r="A226" s="91">
        <v>50902.0</v>
      </c>
      <c r="B226" s="99" t="s">
        <v>298</v>
      </c>
      <c r="C226" s="93">
        <v>83.5443037974684</v>
      </c>
      <c r="D226" s="93">
        <v>95.049504950495</v>
      </c>
    </row>
    <row r="227">
      <c r="A227" s="91">
        <v>51001.0</v>
      </c>
      <c r="B227" s="99" t="s">
        <v>300</v>
      </c>
      <c r="C227" s="93">
        <v>93.3962264150943</v>
      </c>
      <c r="D227" s="93">
        <v>98.0</v>
      </c>
    </row>
    <row r="228">
      <c r="A228" s="91">
        <v>51002.0</v>
      </c>
      <c r="B228" s="99" t="s">
        <v>301</v>
      </c>
      <c r="C228" s="93">
        <v>84.1059602649007</v>
      </c>
      <c r="D228" s="93">
        <v>85.5263157894737</v>
      </c>
    </row>
    <row r="229">
      <c r="A229" s="91">
        <v>51003.0</v>
      </c>
      <c r="B229" s="99" t="s">
        <v>302</v>
      </c>
      <c r="C229" s="93">
        <v>90.7063197026022</v>
      </c>
      <c r="D229" s="93">
        <v>90.8496732026144</v>
      </c>
    </row>
    <row r="230">
      <c r="A230" s="91">
        <v>51101.0</v>
      </c>
      <c r="B230" s="99" t="s">
        <v>304</v>
      </c>
      <c r="C230" s="93">
        <v>90.6278855032318</v>
      </c>
      <c r="D230" s="93">
        <v>95.9341723136496</v>
      </c>
    </row>
    <row r="231">
      <c r="A231" s="91">
        <v>51102.0</v>
      </c>
      <c r="B231" s="99" t="s">
        <v>305</v>
      </c>
      <c r="C231" s="93">
        <v>91.6814159292035</v>
      </c>
      <c r="D231" s="93">
        <v>95.7364341085271</v>
      </c>
    </row>
    <row r="232">
      <c r="A232" s="91">
        <v>51103.0</v>
      </c>
      <c r="B232" s="99" t="s">
        <v>306</v>
      </c>
      <c r="C232" s="93">
        <v>85.425898572132</v>
      </c>
      <c r="D232" s="93">
        <v>96.7455621301775</v>
      </c>
    </row>
    <row r="233">
      <c r="A233" s="91">
        <v>51201.0</v>
      </c>
      <c r="B233" s="99" t="s">
        <v>308</v>
      </c>
      <c r="C233" s="93">
        <v>92.867332382311</v>
      </c>
      <c r="D233" s="93">
        <v>98.1019724599926</v>
      </c>
    </row>
    <row r="234">
      <c r="A234" s="91">
        <v>51202.0</v>
      </c>
      <c r="B234" s="99" t="s">
        <v>309</v>
      </c>
      <c r="C234" s="93">
        <v>92.8260869565217</v>
      </c>
      <c r="D234" s="93">
        <v>98.0108499095841</v>
      </c>
    </row>
    <row r="235">
      <c r="A235" s="91">
        <v>51203.0</v>
      </c>
      <c r="B235" s="99" t="s">
        <v>310</v>
      </c>
      <c r="C235" s="93">
        <v>87.6007439553627</v>
      </c>
      <c r="D235" s="93">
        <v>99.0084985835694</v>
      </c>
    </row>
    <row r="236">
      <c r="A236" s="91">
        <v>51204.0</v>
      </c>
      <c r="B236" s="99" t="s">
        <v>470</v>
      </c>
      <c r="C236" s="93">
        <v>90.6779661016949</v>
      </c>
      <c r="D236" s="93">
        <v>97.3871733966746</v>
      </c>
    </row>
    <row r="237">
      <c r="A237" s="91">
        <v>51301.0</v>
      </c>
      <c r="B237" s="99" t="s">
        <v>313</v>
      </c>
      <c r="C237" s="93">
        <v>91.2248628884826</v>
      </c>
      <c r="D237" s="93">
        <v>97.4842767295598</v>
      </c>
    </row>
    <row r="238">
      <c r="A238" s="91">
        <v>51302.0</v>
      </c>
      <c r="B238" s="99" t="s">
        <v>314</v>
      </c>
      <c r="C238" s="93">
        <v>90.9694555112882</v>
      </c>
      <c r="D238" s="93">
        <v>97.9591836734694</v>
      </c>
    </row>
    <row r="239">
      <c r="A239" s="91">
        <v>51401.0</v>
      </c>
      <c r="B239" s="99" t="s">
        <v>316</v>
      </c>
      <c r="C239" s="93">
        <v>93.4939759036145</v>
      </c>
      <c r="D239" s="93">
        <v>93.9716312056738</v>
      </c>
    </row>
    <row r="240">
      <c r="A240" s="91">
        <v>51402.0</v>
      </c>
      <c r="B240" s="99" t="s">
        <v>317</v>
      </c>
      <c r="C240" s="93">
        <v>92.9411764705882</v>
      </c>
      <c r="D240" s="93">
        <v>96.5909090909091</v>
      </c>
    </row>
    <row r="241">
      <c r="A241" s="91">
        <v>51501.0</v>
      </c>
      <c r="B241" s="99" t="s">
        <v>319</v>
      </c>
      <c r="C241" s="93">
        <v>89.6507392329119</v>
      </c>
      <c r="D241" s="93">
        <v>91.1881450119079</v>
      </c>
    </row>
    <row r="242">
      <c r="A242" s="91">
        <v>51601.0</v>
      </c>
      <c r="B242" s="99" t="s">
        <v>321</v>
      </c>
      <c r="C242" s="93">
        <v>90.2597402597403</v>
      </c>
      <c r="D242" s="93">
        <v>92.258064516129</v>
      </c>
    </row>
    <row r="243">
      <c r="A243" s="91">
        <v>60101.0</v>
      </c>
      <c r="B243" s="99" t="s">
        <v>322</v>
      </c>
      <c r="C243" s="93">
        <v>94.4824120603015</v>
      </c>
      <c r="D243" s="93">
        <v>98.006221719457</v>
      </c>
    </row>
    <row r="244">
      <c r="A244" s="91">
        <v>60201.0</v>
      </c>
      <c r="B244" s="99" t="s">
        <v>324</v>
      </c>
      <c r="C244" s="93">
        <v>93.6170212765958</v>
      </c>
      <c r="D244" s="93">
        <v>96.7153284671533</v>
      </c>
    </row>
    <row r="245">
      <c r="A245" s="91">
        <v>60202.0</v>
      </c>
      <c r="B245" s="99" t="s">
        <v>325</v>
      </c>
      <c r="C245" s="93">
        <v>94.3171933893882</v>
      </c>
      <c r="D245" s="93">
        <v>95.0576606260296</v>
      </c>
    </row>
    <row r="246">
      <c r="A246" s="91">
        <v>60301.0</v>
      </c>
      <c r="B246" s="99" t="s">
        <v>327</v>
      </c>
      <c r="C246" s="93">
        <v>88.685170178282</v>
      </c>
      <c r="D246" s="93">
        <v>95.3982549957782</v>
      </c>
    </row>
    <row r="247">
      <c r="A247" s="91">
        <v>60302.0</v>
      </c>
      <c r="B247" s="99" t="s">
        <v>328</v>
      </c>
      <c r="C247" s="93">
        <v>89.5910780669145</v>
      </c>
      <c r="D247" s="93">
        <v>97.1074380165289</v>
      </c>
    </row>
    <row r="248">
      <c r="A248" s="91">
        <v>60303.0</v>
      </c>
      <c r="B248" s="99" t="s">
        <v>329</v>
      </c>
      <c r="C248" s="93">
        <v>91.1216003596314</v>
      </c>
      <c r="D248" s="93">
        <v>96.671490593343</v>
      </c>
    </row>
    <row r="249">
      <c r="A249" s="91">
        <v>60401.0</v>
      </c>
      <c r="B249" s="99" t="s">
        <v>331</v>
      </c>
      <c r="C249" s="93">
        <v>91.8957011980268</v>
      </c>
      <c r="D249" s="93">
        <v>97.5425330812854</v>
      </c>
    </row>
    <row r="250">
      <c r="A250" s="91">
        <v>60402.0</v>
      </c>
      <c r="B250" s="99" t="s">
        <v>332</v>
      </c>
      <c r="C250" s="93">
        <v>91.5227629513344</v>
      </c>
      <c r="D250" s="93">
        <v>97.5206611570248</v>
      </c>
    </row>
    <row r="251">
      <c r="A251" s="91">
        <v>60501.0</v>
      </c>
      <c r="B251" s="99" t="s">
        <v>334</v>
      </c>
      <c r="C251" s="93">
        <v>92.907507258399</v>
      </c>
      <c r="D251" s="93">
        <v>97.4505723204995</v>
      </c>
    </row>
    <row r="252">
      <c r="A252" s="91">
        <v>60502.0</v>
      </c>
      <c r="B252" s="99" t="s">
        <v>335</v>
      </c>
      <c r="C252" s="93">
        <v>94.7811447811448</v>
      </c>
      <c r="D252" s="93">
        <v>98.1727574750831</v>
      </c>
    </row>
    <row r="253">
      <c r="A253" s="91">
        <v>60601.0</v>
      </c>
      <c r="B253" s="99" t="s">
        <v>206</v>
      </c>
      <c r="C253" s="93">
        <v>91.84</v>
      </c>
      <c r="D253" s="93">
        <v>97.7453580901857</v>
      </c>
    </row>
    <row r="254">
      <c r="A254" s="91">
        <v>70101.0</v>
      </c>
      <c r="B254" s="99" t="s">
        <v>339</v>
      </c>
      <c r="C254" s="93">
        <v>84.6103562590466</v>
      </c>
      <c r="D254" s="93">
        <v>96.1660211859161</v>
      </c>
    </row>
    <row r="255">
      <c r="A255" s="91">
        <v>70102.0</v>
      </c>
      <c r="B255" s="99" t="s">
        <v>340</v>
      </c>
      <c r="C255" s="93">
        <v>79.5244755244755</v>
      </c>
      <c r="D255" s="93">
        <v>95.6530675161854</v>
      </c>
    </row>
    <row r="256">
      <c r="A256" s="91">
        <v>70103.0</v>
      </c>
      <c r="B256" s="99" t="s">
        <v>341</v>
      </c>
      <c r="C256" s="93">
        <v>88.0712166172107</v>
      </c>
      <c r="D256" s="93">
        <v>96.9562460367787</v>
      </c>
    </row>
    <row r="257">
      <c r="A257" s="91">
        <v>70104.0</v>
      </c>
      <c r="B257" s="99" t="s">
        <v>342</v>
      </c>
      <c r="C257" s="93">
        <v>85.4766099040908</v>
      </c>
      <c r="D257" s="93">
        <v>97.0141867370505</v>
      </c>
    </row>
    <row r="258">
      <c r="A258" s="91">
        <v>70105.0</v>
      </c>
      <c r="B258" s="99" t="s">
        <v>343</v>
      </c>
      <c r="C258" s="93">
        <v>87.7373846988606</v>
      </c>
      <c r="D258" s="93">
        <v>97.7665208381303</v>
      </c>
    </row>
    <row r="259">
      <c r="A259" s="91">
        <v>70201.0</v>
      </c>
      <c r="B259" s="99" t="s">
        <v>344</v>
      </c>
      <c r="C259" s="93">
        <v>82.3317105925802</v>
      </c>
      <c r="D259" s="93">
        <v>95.7413739508859</v>
      </c>
    </row>
    <row r="260">
      <c r="A260" s="91">
        <v>70202.0</v>
      </c>
      <c r="B260" s="99" t="s">
        <v>345</v>
      </c>
      <c r="C260" s="93">
        <v>88.0330999363463</v>
      </c>
      <c r="D260" s="93">
        <v>94.0552016985138</v>
      </c>
    </row>
    <row r="261">
      <c r="A261" s="91">
        <v>70301.0</v>
      </c>
      <c r="B261" s="99" t="s">
        <v>347</v>
      </c>
      <c r="C261" s="93">
        <v>78.4599971375412</v>
      </c>
      <c r="D261" s="93">
        <v>89.0971743625086</v>
      </c>
    </row>
    <row r="262">
      <c r="A262" s="91">
        <v>70302.0</v>
      </c>
      <c r="B262" s="99" t="s">
        <v>348</v>
      </c>
      <c r="C262" s="93">
        <v>89.1506067094932</v>
      </c>
      <c r="D262" s="93">
        <v>82.8358208955224</v>
      </c>
    </row>
    <row r="263">
      <c r="A263" s="91">
        <v>70303.0</v>
      </c>
      <c r="B263" s="99" t="s">
        <v>349</v>
      </c>
      <c r="C263" s="93">
        <v>79.8611111111111</v>
      </c>
      <c r="D263" s="93">
        <v>85.6106408706167</v>
      </c>
    </row>
    <row r="264">
      <c r="A264" s="91">
        <v>70401.0</v>
      </c>
      <c r="B264" s="99" t="s">
        <v>351</v>
      </c>
      <c r="C264" s="93">
        <v>82.2359396433471</v>
      </c>
      <c r="D264" s="93">
        <v>95.6442831215971</v>
      </c>
    </row>
    <row r="265">
      <c r="A265" s="91">
        <v>70402.0</v>
      </c>
      <c r="B265" s="99" t="s">
        <v>352</v>
      </c>
      <c r="C265" s="93">
        <v>88.8322717622081</v>
      </c>
      <c r="D265" s="93">
        <v>95.7488554610857</v>
      </c>
    </row>
    <row r="266">
      <c r="A266" s="91">
        <v>70403.0</v>
      </c>
      <c r="B266" s="99" t="s">
        <v>353</v>
      </c>
      <c r="C266" s="93">
        <v>83.7962174135287</v>
      </c>
      <c r="D266" s="93">
        <v>96.1714161409615</v>
      </c>
    </row>
    <row r="267">
      <c r="A267" s="91">
        <v>70404.0</v>
      </c>
      <c r="B267" s="99" t="s">
        <v>354</v>
      </c>
      <c r="C267" s="93">
        <v>89.3870082342177</v>
      </c>
      <c r="D267" s="93">
        <v>96.5237543453071</v>
      </c>
    </row>
    <row r="268">
      <c r="A268" s="91">
        <v>70501.0</v>
      </c>
      <c r="B268" s="99" t="s">
        <v>356</v>
      </c>
      <c r="C268" s="93">
        <v>84.6814044213264</v>
      </c>
      <c r="D268" s="93">
        <v>75.4961353666179</v>
      </c>
    </row>
    <row r="269">
      <c r="A269" s="91">
        <v>70502.0</v>
      </c>
      <c r="B269" s="99" t="s">
        <v>357</v>
      </c>
      <c r="C269" s="93">
        <v>81.0953762156629</v>
      </c>
      <c r="D269" s="93">
        <v>85.4951185495118</v>
      </c>
    </row>
    <row r="270">
      <c r="A270" s="91">
        <v>70503.0</v>
      </c>
      <c r="B270" s="99" t="s">
        <v>358</v>
      </c>
      <c r="C270" s="93">
        <v>88.8743455497382</v>
      </c>
      <c r="D270" s="93">
        <v>89.9144254278729</v>
      </c>
    </row>
    <row r="271">
      <c r="A271" s="91">
        <v>70601.0</v>
      </c>
      <c r="B271" s="99" t="s">
        <v>360</v>
      </c>
      <c r="C271" s="93">
        <v>86.0056925996205</v>
      </c>
      <c r="D271" s="93">
        <v>95.7209847596718</v>
      </c>
    </row>
    <row r="272">
      <c r="A272" s="91">
        <v>70602.0</v>
      </c>
      <c r="B272" s="99" t="s">
        <v>361</v>
      </c>
      <c r="C272" s="93">
        <v>81.9859402460457</v>
      </c>
      <c r="D272" s="93">
        <v>96.2773722627737</v>
      </c>
    </row>
    <row r="273">
      <c r="A273" s="91">
        <v>70603.0</v>
      </c>
      <c r="B273" s="99" t="s">
        <v>362</v>
      </c>
      <c r="C273" s="93">
        <v>91.055900621118</v>
      </c>
      <c r="D273" s="93">
        <v>93.6708860759494</v>
      </c>
    </row>
    <row r="274">
      <c r="A274" s="91">
        <v>70701.0</v>
      </c>
      <c r="B274" s="99" t="s">
        <v>364</v>
      </c>
      <c r="C274" s="93">
        <v>76.5451664025357</v>
      </c>
      <c r="D274" s="93">
        <v>96.9642857142857</v>
      </c>
    </row>
    <row r="275">
      <c r="A275" s="91">
        <v>70702.0</v>
      </c>
      <c r="B275" s="99" t="s">
        <v>365</v>
      </c>
      <c r="C275" s="93">
        <v>75.8547008547009</v>
      </c>
      <c r="D275" s="93">
        <v>87.961210974456</v>
      </c>
    </row>
    <row r="276">
      <c r="A276" s="91">
        <v>70703.0</v>
      </c>
      <c r="B276" s="99" t="s">
        <v>366</v>
      </c>
      <c r="C276" s="93">
        <v>80.4755244755245</v>
      </c>
      <c r="D276" s="93">
        <v>87.5250357653791</v>
      </c>
    </row>
    <row r="277">
      <c r="A277" s="91">
        <v>70704.0</v>
      </c>
      <c r="B277" s="99" t="s">
        <v>367</v>
      </c>
      <c r="C277" s="93">
        <v>84.5295055821372</v>
      </c>
      <c r="D277" s="93">
        <v>98.1029810298103</v>
      </c>
    </row>
    <row r="278">
      <c r="A278" s="91">
        <v>70705.0</v>
      </c>
      <c r="B278" s="99" t="s">
        <v>368</v>
      </c>
      <c r="C278" s="93">
        <v>81.9509345794392</v>
      </c>
      <c r="D278" s="93">
        <v>94.5894334818587</v>
      </c>
    </row>
    <row r="279">
      <c r="A279" s="91">
        <v>70706.0</v>
      </c>
      <c r="B279" s="99" t="s">
        <v>369</v>
      </c>
      <c r="C279" s="93">
        <v>88.4443117348462</v>
      </c>
      <c r="D279" s="93">
        <v>98.2352941176471</v>
      </c>
    </row>
    <row r="280">
      <c r="A280" s="91">
        <v>70707.0</v>
      </c>
      <c r="B280" s="99" t="s">
        <v>370</v>
      </c>
      <c r="C280" s="93">
        <v>78.7313432835821</v>
      </c>
      <c r="D280" s="93">
        <v>81.8652849740933</v>
      </c>
    </row>
    <row r="281">
      <c r="A281" s="91">
        <v>70801.0</v>
      </c>
      <c r="B281" s="99" t="s">
        <v>372</v>
      </c>
      <c r="C281" s="93">
        <v>91.4677804295943</v>
      </c>
      <c r="D281" s="93">
        <v>99.0689013035382</v>
      </c>
    </row>
    <row r="282">
      <c r="A282" s="91">
        <v>70802.0</v>
      </c>
      <c r="B282" s="99" t="s">
        <v>373</v>
      </c>
      <c r="C282" s="93">
        <v>84.0336134453782</v>
      </c>
      <c r="D282" s="93">
        <v>97.1223021582734</v>
      </c>
    </row>
    <row r="283">
      <c r="A283" s="91">
        <v>70803.0</v>
      </c>
      <c r="B283" s="99" t="s">
        <v>374</v>
      </c>
      <c r="C283" s="93">
        <v>93.5114503816794</v>
      </c>
      <c r="D283" s="93">
        <v>99.4285714285714</v>
      </c>
    </row>
    <row r="284">
      <c r="A284" s="91">
        <v>70804.0</v>
      </c>
      <c r="B284" s="99" t="s">
        <v>375</v>
      </c>
      <c r="C284" s="93">
        <v>83.00395256917</v>
      </c>
      <c r="D284" s="93">
        <v>95.4545454545455</v>
      </c>
    </row>
    <row r="285">
      <c r="A285" s="91">
        <v>70805.0</v>
      </c>
      <c r="B285" s="99" t="s">
        <v>376</v>
      </c>
      <c r="C285" s="93">
        <v>91.4691943127962</v>
      </c>
      <c r="D285" s="93">
        <v>99.290780141844</v>
      </c>
    </row>
    <row r="286">
      <c r="A286" s="91">
        <v>70901.0</v>
      </c>
      <c r="B286" s="99" t="s">
        <v>378</v>
      </c>
      <c r="C286" s="93">
        <v>90.3107861060329</v>
      </c>
      <c r="D286" s="93">
        <v>95.9232613908873</v>
      </c>
    </row>
    <row r="287">
      <c r="A287" s="91">
        <v>70902.0</v>
      </c>
      <c r="B287" s="99" t="s">
        <v>379</v>
      </c>
      <c r="C287" s="93">
        <v>86.9391824526421</v>
      </c>
      <c r="D287" s="93">
        <v>96.2669683257919</v>
      </c>
    </row>
    <row r="288">
      <c r="A288" s="91">
        <v>70903.0</v>
      </c>
      <c r="B288" s="99" t="s">
        <v>380</v>
      </c>
      <c r="C288" s="93">
        <v>89.3366918555835</v>
      </c>
      <c r="D288" s="93">
        <v>97.0722781335773</v>
      </c>
    </row>
    <row r="289">
      <c r="A289" s="91">
        <v>70904.0</v>
      </c>
      <c r="B289" s="99" t="s">
        <v>381</v>
      </c>
      <c r="C289" s="93">
        <v>89.6875</v>
      </c>
      <c r="D289" s="93">
        <v>93.7823834196891</v>
      </c>
    </row>
    <row r="290">
      <c r="A290" s="91">
        <v>71001.0</v>
      </c>
      <c r="B290" s="99" t="s">
        <v>383</v>
      </c>
      <c r="C290" s="93">
        <v>87.1855279764409</v>
      </c>
      <c r="D290" s="93">
        <v>97.6041666666667</v>
      </c>
    </row>
    <row r="291">
      <c r="A291" s="91">
        <v>71002.0</v>
      </c>
      <c r="B291" s="99" t="s">
        <v>384</v>
      </c>
      <c r="C291" s="93">
        <v>83.0903790087464</v>
      </c>
      <c r="D291" s="93">
        <v>94.1292875989446</v>
      </c>
    </row>
    <row r="292">
      <c r="A292" s="91">
        <v>71003.0</v>
      </c>
      <c r="B292" s="99" t="s">
        <v>385</v>
      </c>
      <c r="C292" s="93">
        <v>83.7343273466622</v>
      </c>
      <c r="D292" s="93">
        <v>95.3912626020163</v>
      </c>
    </row>
    <row r="293">
      <c r="A293" s="91">
        <v>71004.0</v>
      </c>
      <c r="B293" s="99" t="s">
        <v>386</v>
      </c>
      <c r="C293" s="93">
        <v>84.5119812974869</v>
      </c>
      <c r="D293" s="93">
        <v>96.2214411247803</v>
      </c>
    </row>
    <row r="294">
      <c r="A294" s="91">
        <v>71005.0</v>
      </c>
      <c r="B294" s="99" t="s">
        <v>285</v>
      </c>
      <c r="C294" s="93">
        <v>83.341198678622</v>
      </c>
      <c r="D294" s="93">
        <v>95.7620211898941</v>
      </c>
    </row>
    <row r="295">
      <c r="A295" s="91">
        <v>71101.0</v>
      </c>
      <c r="B295" s="99" t="s">
        <v>388</v>
      </c>
      <c r="C295" s="93">
        <v>76.5554182117841</v>
      </c>
      <c r="D295" s="93">
        <v>91.106653293213</v>
      </c>
    </row>
    <row r="296">
      <c r="A296" s="91">
        <v>71102.0</v>
      </c>
      <c r="B296" s="99" t="s">
        <v>389</v>
      </c>
      <c r="C296" s="93">
        <v>68.7323943661972</v>
      </c>
      <c r="D296" s="93">
        <v>90.9505208333333</v>
      </c>
    </row>
    <row r="297">
      <c r="A297" s="91">
        <v>71103.0</v>
      </c>
      <c r="B297" s="99" t="s">
        <v>392</v>
      </c>
      <c r="C297" s="93">
        <v>72.8794642857143</v>
      </c>
      <c r="D297" s="93">
        <v>91.4758269720102</v>
      </c>
    </row>
    <row r="298">
      <c r="A298" s="91">
        <v>71104.0</v>
      </c>
      <c r="B298" s="99" t="s">
        <v>390</v>
      </c>
      <c r="C298" s="93">
        <v>84.2186165670367</v>
      </c>
      <c r="D298" s="93">
        <v>95.7153410490027</v>
      </c>
    </row>
    <row r="299">
      <c r="A299" s="91">
        <v>71105.0</v>
      </c>
      <c r="B299" s="99" t="s">
        <v>391</v>
      </c>
      <c r="C299" s="93">
        <v>85.1668726823239</v>
      </c>
      <c r="D299" s="93">
        <v>95.8689458689459</v>
      </c>
    </row>
    <row r="300">
      <c r="A300" s="91">
        <v>71106.0</v>
      </c>
      <c r="B300" s="99" t="s">
        <v>393</v>
      </c>
      <c r="C300" s="93">
        <v>83.0419003629165</v>
      </c>
      <c r="D300" s="93">
        <v>86.8285504047093</v>
      </c>
    </row>
    <row r="301">
      <c r="A301" s="91">
        <v>71201.0</v>
      </c>
      <c r="B301" s="99" t="s">
        <v>395</v>
      </c>
      <c r="C301" s="93">
        <v>67.3111782477341</v>
      </c>
      <c r="D301" s="93">
        <v>86.1347285807717</v>
      </c>
    </row>
    <row r="302">
      <c r="A302" s="91">
        <v>71301.0</v>
      </c>
      <c r="B302" s="99" t="s">
        <v>397</v>
      </c>
      <c r="C302" s="93">
        <v>91.1824668705403</v>
      </c>
      <c r="D302" s="93">
        <v>97.5291695264242</v>
      </c>
    </row>
    <row r="303">
      <c r="A303" s="91">
        <v>71302.0</v>
      </c>
      <c r="B303" s="99" t="s">
        <v>398</v>
      </c>
      <c r="C303" s="93">
        <v>93.7362637362637</v>
      </c>
      <c r="D303" s="93">
        <v>97.3523421588595</v>
      </c>
    </row>
    <row r="304">
      <c r="A304" s="91">
        <v>71401.0</v>
      </c>
      <c r="B304" s="99" t="s">
        <v>400</v>
      </c>
      <c r="C304" s="93">
        <v>89.840944073884</v>
      </c>
      <c r="D304" s="93">
        <v>92.8989139515455</v>
      </c>
    </row>
    <row r="305">
      <c r="A305" s="91">
        <v>71402.0</v>
      </c>
      <c r="B305" s="99" t="s">
        <v>401</v>
      </c>
      <c r="C305" s="93">
        <v>88.7024608501118</v>
      </c>
      <c r="D305" s="93">
        <v>88.4316770186335</v>
      </c>
    </row>
    <row r="306">
      <c r="A306" s="91">
        <v>71403.0</v>
      </c>
      <c r="B306" s="99" t="s">
        <v>402</v>
      </c>
      <c r="C306" s="93">
        <v>82.7676240208877</v>
      </c>
      <c r="D306" s="93">
        <v>81.5983175604627</v>
      </c>
    </row>
    <row r="307">
      <c r="A307" s="91">
        <v>71501.0</v>
      </c>
      <c r="B307" s="99" t="s">
        <v>404</v>
      </c>
      <c r="C307" s="93">
        <v>79.3742757821553</v>
      </c>
      <c r="D307" s="93">
        <v>91.1238825031928</v>
      </c>
    </row>
    <row r="308">
      <c r="A308" s="91">
        <v>71502.0</v>
      </c>
      <c r="B308" s="99" t="s">
        <v>405</v>
      </c>
      <c r="C308" s="93">
        <v>89.8360655737705</v>
      </c>
      <c r="D308" s="93">
        <v>96.0591133004926</v>
      </c>
    </row>
    <row r="309">
      <c r="A309" s="91">
        <v>71503.0</v>
      </c>
      <c r="B309" s="99" t="s">
        <v>335</v>
      </c>
      <c r="C309" s="93">
        <v>77.4158523344191</v>
      </c>
      <c r="D309" s="93">
        <v>90.3413217138707</v>
      </c>
    </row>
    <row r="310">
      <c r="A310" s="91">
        <v>80101.0</v>
      </c>
      <c r="B310" s="99" t="s">
        <v>407</v>
      </c>
      <c r="C310" s="93">
        <v>88.8714862748331</v>
      </c>
      <c r="D310" s="93">
        <v>98.4954864593781</v>
      </c>
    </row>
    <row r="311">
      <c r="A311" s="91">
        <v>80102.0</v>
      </c>
      <c r="B311" s="99" t="s">
        <v>389</v>
      </c>
      <c r="C311" s="93">
        <v>82.5165562913907</v>
      </c>
      <c r="D311" s="93">
        <v>81.9112627986348</v>
      </c>
    </row>
    <row r="312">
      <c r="A312" s="91">
        <v>80201.0</v>
      </c>
      <c r="B312" s="99" t="s">
        <v>409</v>
      </c>
      <c r="C312" s="93">
        <v>91.9113945292834</v>
      </c>
      <c r="D312" s="93">
        <v>98.393053198922</v>
      </c>
    </row>
    <row r="313">
      <c r="A313" s="91">
        <v>80202.0</v>
      </c>
      <c r="B313" s="99" t="s">
        <v>410</v>
      </c>
      <c r="C313" s="93">
        <v>86.4553895841744</v>
      </c>
      <c r="D313" s="93">
        <v>94.6373130115721</v>
      </c>
    </row>
    <row r="314">
      <c r="A314" s="91">
        <v>80301.0</v>
      </c>
      <c r="B314" s="99" t="s">
        <v>412</v>
      </c>
      <c r="C314" s="93">
        <v>86.4849517319705</v>
      </c>
      <c r="D314" s="93">
        <v>94.3615257048093</v>
      </c>
    </row>
    <row r="315">
      <c r="A315" s="91">
        <v>80302.0</v>
      </c>
      <c r="B315" s="99" t="s">
        <v>413</v>
      </c>
      <c r="C315" s="93">
        <v>68.236316246742</v>
      </c>
      <c r="D315" s="93">
        <v>90.6726964386659</v>
      </c>
    </row>
    <row r="316">
      <c r="A316" s="91">
        <v>80303.0</v>
      </c>
      <c r="B316" s="99" t="s">
        <v>361</v>
      </c>
      <c r="C316" s="93">
        <v>83.4258524980174</v>
      </c>
      <c r="D316" s="93">
        <v>93.5696619950536</v>
      </c>
    </row>
    <row r="317">
      <c r="A317" s="91">
        <v>80304.0</v>
      </c>
      <c r="B317" s="99" t="s">
        <v>414</v>
      </c>
      <c r="C317" s="93">
        <v>86.6805845511482</v>
      </c>
      <c r="D317" s="93">
        <v>96.0727969348659</v>
      </c>
    </row>
    <row r="318">
      <c r="A318" s="91">
        <v>80401.0</v>
      </c>
      <c r="B318" s="99" t="s">
        <v>416</v>
      </c>
      <c r="C318" s="93">
        <v>77.9636711281071</v>
      </c>
      <c r="D318" s="93">
        <v>89.0681936491411</v>
      </c>
    </row>
    <row r="319">
      <c r="A319" s="91">
        <v>80402.0</v>
      </c>
      <c r="B319" s="99" t="s">
        <v>417</v>
      </c>
      <c r="C319" s="93">
        <v>66.2352941176471</v>
      </c>
      <c r="D319" s="93">
        <v>86.1111111111111</v>
      </c>
    </row>
    <row r="320">
      <c r="A320" s="91">
        <v>80501.0</v>
      </c>
      <c r="B320" s="99" t="s">
        <v>347</v>
      </c>
      <c r="C320" s="93">
        <v>85.932944606414</v>
      </c>
      <c r="D320" s="93">
        <v>93.7029702970297</v>
      </c>
    </row>
    <row r="321">
      <c r="A321" s="91">
        <v>80601.0</v>
      </c>
      <c r="B321" s="99" t="s">
        <v>420</v>
      </c>
      <c r="C321" s="93">
        <v>81.6720257234727</v>
      </c>
      <c r="D321" s="93">
        <v>89.1891891891892</v>
      </c>
    </row>
    <row r="322">
      <c r="A322" s="91">
        <v>80602.0</v>
      </c>
      <c r="B322" s="99" t="s">
        <v>421</v>
      </c>
      <c r="C322" s="93">
        <v>90.0452488687783</v>
      </c>
      <c r="D322" s="93">
        <v>95.5905511811024</v>
      </c>
    </row>
    <row r="323">
      <c r="A323" s="91">
        <v>80701.0</v>
      </c>
      <c r="B323" s="99" t="s">
        <v>423</v>
      </c>
      <c r="C323" s="93">
        <v>82.9761904761905</v>
      </c>
      <c r="D323" s="93">
        <v>91.6286149162861</v>
      </c>
    </row>
    <row r="324">
      <c r="A324" s="91">
        <v>80702.0</v>
      </c>
      <c r="B324" s="99" t="s">
        <v>392</v>
      </c>
      <c r="C324" s="93">
        <v>91.6053019145803</v>
      </c>
      <c r="D324" s="93">
        <v>96.2962962962963</v>
      </c>
    </row>
    <row r="325">
      <c r="A325" s="91">
        <v>80703.0</v>
      </c>
      <c r="B325" s="99" t="s">
        <v>424</v>
      </c>
      <c r="C325" s="93">
        <v>82.8571428571429</v>
      </c>
      <c r="D325" s="93">
        <v>86.7256637168142</v>
      </c>
    </row>
    <row r="326">
      <c r="A326" s="91">
        <v>80801.0</v>
      </c>
      <c r="B326" s="99" t="s">
        <v>426</v>
      </c>
      <c r="C326" s="93">
        <v>85.5072463768116</v>
      </c>
      <c r="D326" s="93">
        <v>97.8030919446705</v>
      </c>
    </row>
    <row r="327">
      <c r="A327" s="91">
        <v>80802.0</v>
      </c>
      <c r="B327" s="99" t="s">
        <v>427</v>
      </c>
      <c r="C327" s="93">
        <v>88.4322678843227</v>
      </c>
      <c r="D327" s="93">
        <v>92.9961089494163</v>
      </c>
    </row>
    <row r="328">
      <c r="A328" s="91">
        <v>80803.0</v>
      </c>
      <c r="B328" s="99" t="s">
        <v>428</v>
      </c>
      <c r="C328" s="93">
        <v>91.8163672654691</v>
      </c>
      <c r="D328" s="93">
        <v>94.0874035989717</v>
      </c>
    </row>
    <row r="329">
      <c r="A329" s="91">
        <v>80901.0</v>
      </c>
      <c r="B329" s="99" t="s">
        <v>471</v>
      </c>
      <c r="C329" s="93">
        <v>78.7762906309751</v>
      </c>
      <c r="D329" s="93">
        <v>87.3665480427046</v>
      </c>
    </row>
    <row r="330">
      <c r="A330" s="91">
        <v>90101.0</v>
      </c>
      <c r="B330" s="99" t="s">
        <v>433</v>
      </c>
      <c r="C330" s="93">
        <v>93.3461069500087</v>
      </c>
      <c r="D330" s="93">
        <v>97.7533699450824</v>
      </c>
    </row>
    <row r="331">
      <c r="A331" s="91">
        <v>90102.0</v>
      </c>
      <c r="B331" s="99" t="s">
        <v>434</v>
      </c>
      <c r="C331" s="93">
        <v>89.1260162601626</v>
      </c>
      <c r="D331" s="93">
        <v>97.9775280898876</v>
      </c>
    </row>
    <row r="332">
      <c r="A332" s="91">
        <v>90103.0</v>
      </c>
      <c r="B332" s="99" t="s">
        <v>435</v>
      </c>
      <c r="C332" s="93">
        <v>84.6153846153846</v>
      </c>
      <c r="D332" s="93">
        <v>94.5454545454545</v>
      </c>
    </row>
    <row r="333">
      <c r="A333" s="91">
        <v>90104.0</v>
      </c>
      <c r="B333" s="99" t="s">
        <v>436</v>
      </c>
      <c r="C333" s="93">
        <v>84.1163310961969</v>
      </c>
      <c r="D333" s="93">
        <v>92.1428571428571</v>
      </c>
    </row>
    <row r="334">
      <c r="A334" s="91">
        <v>90201.0</v>
      </c>
      <c r="B334" s="99" t="s">
        <v>438</v>
      </c>
      <c r="C334" s="93">
        <v>82.5142857142857</v>
      </c>
      <c r="D334" s="93">
        <v>96.8229954614221</v>
      </c>
    </row>
    <row r="335">
      <c r="A335" s="91">
        <v>90202.0</v>
      </c>
      <c r="B335" s="99" t="s">
        <v>285</v>
      </c>
      <c r="C335" s="93">
        <v>76.5895953757225</v>
      </c>
      <c r="D335" s="93">
        <v>96.7302452316076</v>
      </c>
    </row>
    <row r="336">
      <c r="A336" s="91">
        <v>90203.0</v>
      </c>
      <c r="B336" s="99" t="s">
        <v>439</v>
      </c>
      <c r="C336" s="93">
        <v>86.046511627907</v>
      </c>
      <c r="D336" s="93">
        <v>95.2447552447552</v>
      </c>
    </row>
    <row r="337">
      <c r="A337" s="91">
        <v>90301.0</v>
      </c>
      <c r="B337" s="99" t="s">
        <v>441</v>
      </c>
      <c r="C337" s="93">
        <v>86.9676320272572</v>
      </c>
      <c r="D337" s="93">
        <v>97.8897208985705</v>
      </c>
    </row>
    <row r="338">
      <c r="A338" s="91">
        <v>90302.0</v>
      </c>
      <c r="B338" s="99" t="s">
        <v>334</v>
      </c>
      <c r="C338" s="93">
        <v>84.4812554489974</v>
      </c>
      <c r="D338" s="93">
        <v>94.0476190476191</v>
      </c>
    </row>
    <row r="339">
      <c r="A339" s="91">
        <v>90303.0</v>
      </c>
      <c r="B339" s="99" t="s">
        <v>442</v>
      </c>
      <c r="C339" s="93">
        <v>88.5991058122206</v>
      </c>
      <c r="D339" s="93">
        <v>96.1072664359862</v>
      </c>
    </row>
    <row r="340">
      <c r="A340" s="91">
        <v>90401.0</v>
      </c>
      <c r="B340" s="99" t="s">
        <v>361</v>
      </c>
      <c r="C340" s="93">
        <v>82.7794561933535</v>
      </c>
      <c r="D340" s="93">
        <v>93.5114503816794</v>
      </c>
    </row>
    <row r="341">
      <c r="A341" s="91">
        <v>90402.0</v>
      </c>
      <c r="B341" s="99" t="s">
        <v>104</v>
      </c>
      <c r="C341" s="93">
        <v>73.037542662116</v>
      </c>
      <c r="D341" s="93">
        <v>95.7198443579767</v>
      </c>
    </row>
    <row r="342">
      <c r="A342" s="91">
        <v>90501.0</v>
      </c>
      <c r="B342" s="99" t="s">
        <v>445</v>
      </c>
      <c r="C342" s="93">
        <v>84.3137254901961</v>
      </c>
      <c r="D342" s="93">
        <v>97.4358974358974</v>
      </c>
    </row>
    <row r="343">
      <c r="A343" s="91">
        <v>90502.0</v>
      </c>
      <c r="B343" s="99" t="s">
        <v>446</v>
      </c>
      <c r="C343" s="93">
        <v>83.7837837837838</v>
      </c>
      <c r="D343" s="93">
        <v>96.6942148760331</v>
      </c>
    </row>
    <row r="344">
      <c r="A344" s="91">
        <v>90503.0</v>
      </c>
      <c r="B344" s="99" t="s">
        <v>447</v>
      </c>
      <c r="C344" s="93">
        <v>80.4635761589404</v>
      </c>
      <c r="D344" s="93">
        <v>95.1456310679612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2" t="s">
        <v>452</v>
      </c>
      <c r="B1" s="82" t="s">
        <v>453</v>
      </c>
      <c r="C1" s="82" t="s">
        <v>474</v>
      </c>
      <c r="D1" s="82" t="s">
        <v>475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91">
        <v>10101.0</v>
      </c>
      <c r="B2" s="91" t="s">
        <v>25</v>
      </c>
      <c r="C2" s="92">
        <v>1307.0</v>
      </c>
      <c r="D2" s="94">
        <v>234.0</v>
      </c>
    </row>
    <row r="3">
      <c r="A3" s="91">
        <v>10102.0</v>
      </c>
      <c r="B3" s="91" t="s">
        <v>26</v>
      </c>
      <c r="C3" s="92">
        <v>34.0</v>
      </c>
      <c r="D3" s="94">
        <v>9.0</v>
      </c>
    </row>
    <row r="4">
      <c r="A4" s="91">
        <v>10103.0</v>
      </c>
      <c r="B4" s="91" t="s">
        <v>27</v>
      </c>
      <c r="C4" s="92">
        <v>307.0</v>
      </c>
      <c r="D4" s="94">
        <v>17.0</v>
      </c>
    </row>
    <row r="5">
      <c r="A5" s="91">
        <v>10201.0</v>
      </c>
      <c r="B5" s="91" t="s">
        <v>28</v>
      </c>
      <c r="C5" s="92">
        <v>146.0</v>
      </c>
      <c r="D5" s="94">
        <v>16.0</v>
      </c>
    </row>
    <row r="6">
      <c r="A6" s="91">
        <v>10202.0</v>
      </c>
      <c r="B6" s="91" t="s">
        <v>29</v>
      </c>
      <c r="C6" s="92">
        <v>204.0</v>
      </c>
      <c r="D6" s="94">
        <v>47.0</v>
      </c>
    </row>
    <row r="7">
      <c r="A7" s="91">
        <v>10301.0</v>
      </c>
      <c r="B7" s="91" t="s">
        <v>30</v>
      </c>
      <c r="C7" s="92">
        <v>97.0</v>
      </c>
      <c r="D7" s="94">
        <v>17.0</v>
      </c>
    </row>
    <row r="8">
      <c r="A8" s="91">
        <v>10302.0</v>
      </c>
      <c r="B8" s="91" t="s">
        <v>31</v>
      </c>
      <c r="C8" s="92">
        <v>227.0</v>
      </c>
      <c r="D8" s="94">
        <v>38.0</v>
      </c>
    </row>
    <row r="9">
      <c r="A9" s="91">
        <v>10303.0</v>
      </c>
      <c r="B9" s="91" t="s">
        <v>32</v>
      </c>
      <c r="C9" s="92">
        <v>76.0</v>
      </c>
      <c r="D9" s="94">
        <v>30.0</v>
      </c>
    </row>
    <row r="10">
      <c r="A10" s="91">
        <v>10304.0</v>
      </c>
      <c r="B10" s="91" t="s">
        <v>33</v>
      </c>
      <c r="C10" s="92">
        <v>98.0</v>
      </c>
      <c r="D10" s="94">
        <v>9.0</v>
      </c>
    </row>
    <row r="11">
      <c r="A11" s="91">
        <v>10401.0</v>
      </c>
      <c r="B11" s="91" t="s">
        <v>35</v>
      </c>
      <c r="C11" s="92">
        <v>105.0</v>
      </c>
      <c r="D11" s="94">
        <v>16.0</v>
      </c>
    </row>
    <row r="12">
      <c r="A12" s="91">
        <v>10402.0</v>
      </c>
      <c r="B12" s="91" t="s">
        <v>34</v>
      </c>
      <c r="C12" s="92">
        <v>90.0</v>
      </c>
      <c r="D12" s="94">
        <v>13.0</v>
      </c>
    </row>
    <row r="13">
      <c r="A13" s="91">
        <v>10403.0</v>
      </c>
      <c r="B13" s="91" t="s">
        <v>36</v>
      </c>
      <c r="C13" s="92">
        <v>88.0</v>
      </c>
      <c r="D13" s="94">
        <v>15.0</v>
      </c>
    </row>
    <row r="14">
      <c r="A14" s="91">
        <v>10404.0</v>
      </c>
      <c r="B14" s="91" t="s">
        <v>37</v>
      </c>
      <c r="C14" s="92">
        <v>63.0</v>
      </c>
      <c r="D14" s="94">
        <v>5.0</v>
      </c>
    </row>
    <row r="15">
      <c r="A15" s="91">
        <v>10405.0</v>
      </c>
      <c r="B15" s="91" t="s">
        <v>38</v>
      </c>
      <c r="C15" s="92">
        <v>18.0</v>
      </c>
      <c r="D15" s="94">
        <v>14.0</v>
      </c>
    </row>
    <row r="16">
      <c r="A16" s="91">
        <v>10501.0</v>
      </c>
      <c r="B16" s="91" t="s">
        <v>40</v>
      </c>
      <c r="C16" s="92">
        <v>219.0</v>
      </c>
      <c r="D16" s="94">
        <v>29.0</v>
      </c>
    </row>
    <row r="17">
      <c r="A17" s="91">
        <v>10502.0</v>
      </c>
      <c r="B17" s="91" t="s">
        <v>41</v>
      </c>
      <c r="C17" s="92">
        <v>88.0</v>
      </c>
      <c r="D17" s="94">
        <v>28.0</v>
      </c>
    </row>
    <row r="18">
      <c r="A18" s="91">
        <v>10601.0</v>
      </c>
      <c r="B18" s="91" t="s">
        <v>43</v>
      </c>
      <c r="C18" s="92">
        <v>144.0</v>
      </c>
      <c r="D18" s="94">
        <v>14.0</v>
      </c>
    </row>
    <row r="19">
      <c r="A19" s="91">
        <v>10602.0</v>
      </c>
      <c r="B19" s="91" t="s">
        <v>42</v>
      </c>
      <c r="C19" s="92">
        <v>48.0</v>
      </c>
      <c r="D19" s="94">
        <v>6.0</v>
      </c>
    </row>
    <row r="20">
      <c r="A20" s="91">
        <v>10701.0</v>
      </c>
      <c r="B20" s="91" t="s">
        <v>45</v>
      </c>
      <c r="C20" s="92">
        <v>132.0</v>
      </c>
      <c r="D20" s="94">
        <v>28.0</v>
      </c>
    </row>
    <row r="21">
      <c r="A21" s="91">
        <v>10702.0</v>
      </c>
      <c r="B21" s="91" t="s">
        <v>46</v>
      </c>
      <c r="C21" s="92">
        <v>526.0</v>
      </c>
      <c r="D21" s="94">
        <v>94.0</v>
      </c>
    </row>
    <row r="22">
      <c r="A22" s="91">
        <v>10703.0</v>
      </c>
      <c r="B22" s="91" t="s">
        <v>47</v>
      </c>
      <c r="C22" s="92">
        <v>356.0</v>
      </c>
      <c r="D22" s="94">
        <v>49.0</v>
      </c>
    </row>
    <row r="23">
      <c r="A23" s="91">
        <v>10704.0</v>
      </c>
      <c r="B23" s="91" t="s">
        <v>48</v>
      </c>
      <c r="C23" s="92">
        <v>286.0</v>
      </c>
      <c r="D23" s="94">
        <v>89.0</v>
      </c>
    </row>
    <row r="24">
      <c r="A24" s="91">
        <v>10801.0</v>
      </c>
      <c r="B24" s="91" t="s">
        <v>50</v>
      </c>
      <c r="C24" s="92">
        <v>89.0</v>
      </c>
      <c r="D24" s="94">
        <v>10.0</v>
      </c>
    </row>
    <row r="25">
      <c r="A25" s="91">
        <v>10901.0</v>
      </c>
      <c r="B25" s="91" t="s">
        <v>52</v>
      </c>
      <c r="C25" s="92">
        <v>22.0</v>
      </c>
      <c r="D25" s="94">
        <v>20.0</v>
      </c>
    </row>
    <row r="26">
      <c r="A26" s="91">
        <v>10902.0</v>
      </c>
      <c r="B26" s="91" t="s">
        <v>53</v>
      </c>
      <c r="C26" s="92">
        <v>315.0</v>
      </c>
      <c r="D26" s="94">
        <v>59.0</v>
      </c>
    </row>
    <row r="27">
      <c r="A27" s="91">
        <v>10903.0</v>
      </c>
      <c r="B27" s="91" t="s">
        <v>54</v>
      </c>
      <c r="C27" s="92">
        <v>31.0</v>
      </c>
      <c r="D27" s="94">
        <v>4.0</v>
      </c>
    </row>
    <row r="28">
      <c r="A28" s="91">
        <v>11001.0</v>
      </c>
      <c r="B28" s="91" t="s">
        <v>56</v>
      </c>
      <c r="C28" s="92">
        <v>126.0</v>
      </c>
      <c r="D28" s="94">
        <v>23.0</v>
      </c>
    </row>
    <row r="29">
      <c r="A29" s="91">
        <v>11002.0</v>
      </c>
      <c r="B29" s="91" t="s">
        <v>57</v>
      </c>
      <c r="C29" s="92">
        <v>34.0</v>
      </c>
      <c r="D29" s="94">
        <v>8.0</v>
      </c>
    </row>
    <row r="30">
      <c r="A30" s="91">
        <v>11003.0</v>
      </c>
      <c r="B30" s="91" t="s">
        <v>58</v>
      </c>
      <c r="C30" s="92">
        <v>63.0</v>
      </c>
      <c r="D30" s="94">
        <v>55.0</v>
      </c>
    </row>
    <row r="31">
      <c r="A31" s="91">
        <v>20101.0</v>
      </c>
      <c r="B31" s="91" t="s">
        <v>61</v>
      </c>
      <c r="C31" s="92">
        <v>2649.0</v>
      </c>
      <c r="D31" s="94">
        <v>571.0</v>
      </c>
    </row>
    <row r="32">
      <c r="A32" s="91">
        <v>20102.0</v>
      </c>
      <c r="B32" s="99" t="s">
        <v>62</v>
      </c>
      <c r="C32" s="92">
        <v>224.0</v>
      </c>
      <c r="D32" s="94">
        <v>60.0</v>
      </c>
    </row>
    <row r="33">
      <c r="A33" s="91">
        <v>20103.0</v>
      </c>
      <c r="B33" s="99" t="s">
        <v>63</v>
      </c>
      <c r="C33" s="92">
        <v>95.0</v>
      </c>
      <c r="D33" s="94">
        <v>20.0</v>
      </c>
    </row>
    <row r="34">
      <c r="A34" s="91">
        <v>20104.0</v>
      </c>
      <c r="B34" s="99" t="s">
        <v>64</v>
      </c>
      <c r="C34" s="92">
        <v>142.0</v>
      </c>
      <c r="D34" s="94">
        <v>46.0</v>
      </c>
    </row>
    <row r="35">
      <c r="A35" s="91">
        <v>20105.0</v>
      </c>
      <c r="B35" s="99" t="s">
        <v>65</v>
      </c>
      <c r="C35" s="92">
        <v>6252.0</v>
      </c>
      <c r="D35" s="94">
        <v>1257.0</v>
      </c>
    </row>
    <row r="36">
      <c r="A36" s="91">
        <v>20201.0</v>
      </c>
      <c r="B36" s="99" t="s">
        <v>67</v>
      </c>
      <c r="C36" s="92">
        <v>311.0</v>
      </c>
      <c r="D36" s="94">
        <v>59.0</v>
      </c>
    </row>
    <row r="37">
      <c r="A37" s="91">
        <v>20202.0</v>
      </c>
      <c r="B37" s="99" t="s">
        <v>68</v>
      </c>
      <c r="C37" s="92">
        <v>67.0</v>
      </c>
      <c r="D37" s="94">
        <v>15.0</v>
      </c>
    </row>
    <row r="38">
      <c r="A38" s="91">
        <v>20203.0</v>
      </c>
      <c r="B38" s="99" t="s">
        <v>72</v>
      </c>
      <c r="C38" s="92">
        <v>15.0</v>
      </c>
      <c r="D38" s="94">
        <v>5.0</v>
      </c>
    </row>
    <row r="39">
      <c r="A39" s="91">
        <v>20204.0</v>
      </c>
      <c r="B39" s="99" t="s">
        <v>69</v>
      </c>
      <c r="C39" s="92">
        <v>14.0</v>
      </c>
      <c r="D39" s="94">
        <v>9.0</v>
      </c>
    </row>
    <row r="40">
      <c r="A40" s="91">
        <v>20205.0</v>
      </c>
      <c r="B40" s="99" t="s">
        <v>70</v>
      </c>
      <c r="C40" s="92">
        <v>23.0</v>
      </c>
      <c r="D40" s="94">
        <v>9.0</v>
      </c>
    </row>
    <row r="41">
      <c r="A41" s="91">
        <v>20206.0</v>
      </c>
      <c r="B41" s="99" t="s">
        <v>71</v>
      </c>
      <c r="C41" s="92">
        <v>6.0</v>
      </c>
      <c r="D41" s="94">
        <v>16.0</v>
      </c>
    </row>
    <row r="42">
      <c r="A42" s="91">
        <v>20301.0</v>
      </c>
      <c r="B42" s="99" t="s">
        <v>74</v>
      </c>
      <c r="C42" s="92">
        <v>38.0</v>
      </c>
      <c r="D42" s="94">
        <v>11.0</v>
      </c>
    </row>
    <row r="43">
      <c r="A43" s="91">
        <v>20302.0</v>
      </c>
      <c r="B43" s="99" t="s">
        <v>75</v>
      </c>
      <c r="C43" s="92">
        <v>55.0</v>
      </c>
      <c r="D43" s="94">
        <v>22.0</v>
      </c>
    </row>
    <row r="44">
      <c r="A44" s="91">
        <v>20303.0</v>
      </c>
      <c r="B44" s="99" t="s">
        <v>76</v>
      </c>
      <c r="C44" s="92">
        <v>31.0</v>
      </c>
      <c r="D44" s="94">
        <v>19.0</v>
      </c>
    </row>
    <row r="45">
      <c r="A45" s="91">
        <v>20304.0</v>
      </c>
      <c r="B45" s="99" t="s">
        <v>77</v>
      </c>
      <c r="C45" s="92">
        <v>20.0</v>
      </c>
      <c r="D45" s="94">
        <v>5.0</v>
      </c>
    </row>
    <row r="46">
      <c r="A46" s="91">
        <v>20305.0</v>
      </c>
      <c r="B46" s="99" t="s">
        <v>78</v>
      </c>
      <c r="C46" s="92">
        <v>8.0</v>
      </c>
      <c r="D46" s="94">
        <v>16.0</v>
      </c>
    </row>
    <row r="47">
      <c r="A47" s="91">
        <v>20306.0</v>
      </c>
      <c r="B47" s="99" t="s">
        <v>79</v>
      </c>
      <c r="C47" s="92">
        <v>32.0</v>
      </c>
      <c r="D47" s="94">
        <v>7.0</v>
      </c>
    </row>
    <row r="48">
      <c r="A48" s="91">
        <v>20307.0</v>
      </c>
      <c r="B48" s="99" t="s">
        <v>80</v>
      </c>
      <c r="C48" s="92">
        <v>2.0</v>
      </c>
      <c r="D48" s="94">
        <v>3.0</v>
      </c>
    </row>
    <row r="49">
      <c r="A49" s="91">
        <v>20308.0</v>
      </c>
      <c r="B49" s="99" t="s">
        <v>81</v>
      </c>
      <c r="C49" s="92">
        <v>26.0</v>
      </c>
      <c r="D49" s="94">
        <v>8.0</v>
      </c>
    </row>
    <row r="50">
      <c r="A50" s="91">
        <v>20401.0</v>
      </c>
      <c r="B50" s="99" t="s">
        <v>83</v>
      </c>
      <c r="C50" s="92">
        <v>60.0</v>
      </c>
      <c r="D50" s="94">
        <v>13.0</v>
      </c>
    </row>
    <row r="51">
      <c r="A51" s="91">
        <v>20402.0</v>
      </c>
      <c r="B51" s="99" t="s">
        <v>84</v>
      </c>
      <c r="C51" s="92">
        <v>85.0</v>
      </c>
      <c r="D51" s="94">
        <v>24.0</v>
      </c>
    </row>
    <row r="52">
      <c r="A52" s="91">
        <v>20403.0</v>
      </c>
      <c r="B52" s="99" t="s">
        <v>85</v>
      </c>
      <c r="C52" s="92">
        <v>79.0</v>
      </c>
      <c r="D52" s="94">
        <v>20.0</v>
      </c>
    </row>
    <row r="53">
      <c r="A53" s="91">
        <v>20404.0</v>
      </c>
      <c r="B53" s="99" t="s">
        <v>86</v>
      </c>
      <c r="C53" s="92">
        <v>49.0</v>
      </c>
      <c r="D53" s="94">
        <v>4.0</v>
      </c>
    </row>
    <row r="54">
      <c r="A54" s="91">
        <v>20405.0</v>
      </c>
      <c r="B54" s="99" t="s">
        <v>87</v>
      </c>
      <c r="C54" s="92">
        <v>44.0</v>
      </c>
      <c r="D54" s="94">
        <v>16.0</v>
      </c>
    </row>
    <row r="55">
      <c r="A55" s="91">
        <v>20501.0</v>
      </c>
      <c r="B55" s="99" t="s">
        <v>89</v>
      </c>
      <c r="C55" s="92">
        <v>103.0</v>
      </c>
      <c r="D55" s="94">
        <v>69.0</v>
      </c>
    </row>
    <row r="56">
      <c r="A56" s="91">
        <v>20502.0</v>
      </c>
      <c r="B56" s="99" t="s">
        <v>90</v>
      </c>
      <c r="C56" s="92">
        <v>128.0</v>
      </c>
      <c r="D56" s="94">
        <v>36.0</v>
      </c>
    </row>
    <row r="57">
      <c r="A57" s="91">
        <v>20503.0</v>
      </c>
      <c r="B57" s="99" t="s">
        <v>91</v>
      </c>
      <c r="C57" s="92">
        <v>51.0</v>
      </c>
      <c r="D57" s="94">
        <v>14.0</v>
      </c>
    </row>
    <row r="58">
      <c r="A58" s="91">
        <v>20601.0</v>
      </c>
      <c r="B58" s="99" t="s">
        <v>93</v>
      </c>
      <c r="C58" s="92">
        <v>233.0</v>
      </c>
      <c r="D58" s="94">
        <v>79.0</v>
      </c>
    </row>
    <row r="59">
      <c r="A59" s="91">
        <v>20602.0</v>
      </c>
      <c r="B59" s="99" t="s">
        <v>94</v>
      </c>
      <c r="C59" s="92">
        <v>266.0</v>
      </c>
      <c r="D59" s="94">
        <v>62.0</v>
      </c>
    </row>
    <row r="60">
      <c r="A60" s="91">
        <v>20603.0</v>
      </c>
      <c r="B60" s="99" t="s">
        <v>95</v>
      </c>
      <c r="C60" s="92">
        <v>134.0</v>
      </c>
      <c r="D60" s="94">
        <v>36.0</v>
      </c>
    </row>
    <row r="61">
      <c r="A61" s="91">
        <v>20604.0</v>
      </c>
      <c r="B61" s="99" t="s">
        <v>96</v>
      </c>
      <c r="C61" s="92">
        <v>26.0</v>
      </c>
      <c r="D61" s="94">
        <v>13.0</v>
      </c>
    </row>
    <row r="62">
      <c r="A62" s="91">
        <v>20605.0</v>
      </c>
      <c r="B62" s="99" t="s">
        <v>97</v>
      </c>
      <c r="C62" s="92">
        <v>13.0</v>
      </c>
      <c r="D62" s="94">
        <v>4.0</v>
      </c>
    </row>
    <row r="63">
      <c r="A63" s="91">
        <v>20606.0</v>
      </c>
      <c r="B63" s="99" t="s">
        <v>98</v>
      </c>
      <c r="C63" s="92">
        <v>158.0</v>
      </c>
      <c r="D63" s="94">
        <v>58.0</v>
      </c>
    </row>
    <row r="64">
      <c r="A64" s="91">
        <v>20607.0</v>
      </c>
      <c r="B64" s="99" t="s">
        <v>99</v>
      </c>
      <c r="C64" s="92">
        <v>370.0</v>
      </c>
      <c r="D64" s="94">
        <v>172.0</v>
      </c>
    </row>
    <row r="65">
      <c r="A65" s="91">
        <v>20608.0</v>
      </c>
      <c r="B65" s="99" t="s">
        <v>100</v>
      </c>
      <c r="C65" s="92">
        <v>115.0</v>
      </c>
      <c r="D65" s="94">
        <v>76.0</v>
      </c>
    </row>
    <row r="66">
      <c r="A66" s="91">
        <v>20701.0</v>
      </c>
      <c r="B66" s="99" t="s">
        <v>102</v>
      </c>
      <c r="C66" s="92">
        <v>335.0</v>
      </c>
      <c r="D66" s="94">
        <v>148.0</v>
      </c>
    </row>
    <row r="67">
      <c r="A67" s="91">
        <v>20702.0</v>
      </c>
      <c r="B67" s="99" t="s">
        <v>103</v>
      </c>
      <c r="C67" s="92">
        <v>76.0</v>
      </c>
      <c r="D67" s="94">
        <v>27.0</v>
      </c>
    </row>
    <row r="68">
      <c r="A68" s="91">
        <v>20801.0</v>
      </c>
      <c r="B68" s="99" t="s">
        <v>105</v>
      </c>
      <c r="C68" s="92">
        <v>412.0</v>
      </c>
      <c r="D68" s="94">
        <v>130.0</v>
      </c>
    </row>
    <row r="69">
      <c r="A69" s="91">
        <v>20802.0</v>
      </c>
      <c r="B69" s="99" t="s">
        <v>106</v>
      </c>
      <c r="C69" s="92">
        <v>29.0</v>
      </c>
      <c r="D69" s="94">
        <v>12.0</v>
      </c>
    </row>
    <row r="70">
      <c r="A70" s="91">
        <v>20803.0</v>
      </c>
      <c r="B70" s="99" t="s">
        <v>107</v>
      </c>
      <c r="C70" s="92">
        <v>49.0</v>
      </c>
      <c r="D70" s="94">
        <v>21.0</v>
      </c>
    </row>
    <row r="71">
      <c r="A71" s="91">
        <v>20804.0</v>
      </c>
      <c r="B71" s="99" t="s">
        <v>108</v>
      </c>
      <c r="C71" s="92">
        <v>59.0</v>
      </c>
      <c r="D71" s="94">
        <v>19.0</v>
      </c>
    </row>
    <row r="72">
      <c r="A72" s="91">
        <v>20805.0</v>
      </c>
      <c r="B72" s="99" t="s">
        <v>109</v>
      </c>
      <c r="C72" s="92">
        <v>48.0</v>
      </c>
      <c r="D72" s="94">
        <v>11.0</v>
      </c>
    </row>
    <row r="73">
      <c r="A73" s="91">
        <v>20806.0</v>
      </c>
      <c r="B73" s="99" t="s">
        <v>110</v>
      </c>
      <c r="C73" s="92">
        <v>58.0</v>
      </c>
      <c r="D73" s="94">
        <v>20.0</v>
      </c>
    </row>
    <row r="74">
      <c r="A74" s="91">
        <v>20807.0</v>
      </c>
      <c r="B74" s="99" t="s">
        <v>111</v>
      </c>
      <c r="C74" s="92">
        <v>25.0</v>
      </c>
      <c r="D74" s="94">
        <v>5.0</v>
      </c>
    </row>
    <row r="75">
      <c r="A75" s="91">
        <v>20901.0</v>
      </c>
      <c r="B75" s="99" t="s">
        <v>113</v>
      </c>
      <c r="C75" s="92">
        <v>64.0</v>
      </c>
      <c r="D75" s="94">
        <v>18.0</v>
      </c>
    </row>
    <row r="76">
      <c r="A76" s="91">
        <v>20902.0</v>
      </c>
      <c r="B76" s="99" t="s">
        <v>114</v>
      </c>
      <c r="C76" s="92">
        <v>92.0</v>
      </c>
      <c r="D76" s="94">
        <v>35.0</v>
      </c>
    </row>
    <row r="77">
      <c r="A77" s="91">
        <v>20903.0</v>
      </c>
      <c r="B77" s="99" t="s">
        <v>115</v>
      </c>
      <c r="C77" s="92">
        <v>62.0</v>
      </c>
      <c r="D77" s="94">
        <v>36.0</v>
      </c>
    </row>
    <row r="78">
      <c r="A78" s="91">
        <v>20904.0</v>
      </c>
      <c r="B78" s="99" t="s">
        <v>116</v>
      </c>
      <c r="C78" s="92">
        <v>87.0</v>
      </c>
      <c r="D78" s="94">
        <v>45.0</v>
      </c>
    </row>
    <row r="79">
      <c r="A79" s="91">
        <v>20905.0</v>
      </c>
      <c r="B79" s="99" t="s">
        <v>117</v>
      </c>
      <c r="C79" s="92">
        <v>173.0</v>
      </c>
      <c r="D79" s="94">
        <v>54.0</v>
      </c>
    </row>
    <row r="80">
      <c r="A80" s="91">
        <v>21001.0</v>
      </c>
      <c r="B80" s="99" t="s">
        <v>118</v>
      </c>
      <c r="C80" s="92">
        <v>317.0</v>
      </c>
      <c r="D80" s="94">
        <v>68.0</v>
      </c>
    </row>
    <row r="81">
      <c r="A81" s="91">
        <v>21002.0</v>
      </c>
      <c r="B81" s="99" t="s">
        <v>119</v>
      </c>
      <c r="C81" s="92">
        <v>80.0</v>
      </c>
      <c r="D81" s="94">
        <v>38.0</v>
      </c>
    </row>
    <row r="82">
      <c r="A82" s="91">
        <v>21003.0</v>
      </c>
      <c r="B82" s="99" t="s">
        <v>120</v>
      </c>
      <c r="C82" s="92">
        <v>177.0</v>
      </c>
      <c r="D82" s="94">
        <v>69.0</v>
      </c>
    </row>
    <row r="83">
      <c r="A83" s="91">
        <v>21004.0</v>
      </c>
      <c r="B83" s="99" t="s">
        <v>121</v>
      </c>
      <c r="C83" s="92">
        <v>223.0</v>
      </c>
      <c r="D83" s="94">
        <v>22.0</v>
      </c>
    </row>
    <row r="84">
      <c r="A84" s="91">
        <v>21005.0</v>
      </c>
      <c r="B84" s="99" t="s">
        <v>122</v>
      </c>
      <c r="C84" s="92">
        <v>133.0</v>
      </c>
      <c r="D84" s="94">
        <v>20.0</v>
      </c>
    </row>
    <row r="85">
      <c r="A85" s="91">
        <v>21006.0</v>
      </c>
      <c r="B85" s="99" t="s">
        <v>123</v>
      </c>
      <c r="C85" s="92">
        <v>29.0</v>
      </c>
      <c r="D85" s="94">
        <v>48.0</v>
      </c>
    </row>
    <row r="86">
      <c r="A86" s="91">
        <v>21101.0</v>
      </c>
      <c r="B86" s="99" t="s">
        <v>125</v>
      </c>
      <c r="C86" s="92">
        <v>144.0</v>
      </c>
      <c r="D86" s="94">
        <v>31.0</v>
      </c>
    </row>
    <row r="87">
      <c r="A87" s="91">
        <v>21102.0</v>
      </c>
      <c r="B87" s="99" t="s">
        <v>126</v>
      </c>
      <c r="C87" s="92">
        <v>179.0</v>
      </c>
      <c r="D87" s="94">
        <v>47.0</v>
      </c>
    </row>
    <row r="88">
      <c r="A88" s="91">
        <v>21103.0</v>
      </c>
      <c r="B88" s="99" t="s">
        <v>127</v>
      </c>
      <c r="C88" s="92">
        <v>44.0</v>
      </c>
      <c r="D88" s="94">
        <v>16.0</v>
      </c>
    </row>
    <row r="89">
      <c r="A89" s="91">
        <v>21104.0</v>
      </c>
      <c r="B89" s="99" t="s">
        <v>128</v>
      </c>
      <c r="C89" s="92">
        <v>321.0</v>
      </c>
      <c r="D89" s="94">
        <v>131.0</v>
      </c>
    </row>
    <row r="90">
      <c r="A90" s="91">
        <v>21105.0</v>
      </c>
      <c r="B90" s="99" t="s">
        <v>129</v>
      </c>
      <c r="C90" s="92">
        <v>938.0</v>
      </c>
      <c r="D90" s="94">
        <v>218.0</v>
      </c>
    </row>
    <row r="91">
      <c r="A91" s="91">
        <v>21201.0</v>
      </c>
      <c r="B91" s="99" t="s">
        <v>131</v>
      </c>
      <c r="C91" s="92">
        <v>148.0</v>
      </c>
      <c r="D91" s="94">
        <v>65.0</v>
      </c>
    </row>
    <row r="92">
      <c r="A92" s="91">
        <v>21202.0</v>
      </c>
      <c r="B92" s="99" t="s">
        <v>132</v>
      </c>
      <c r="C92" s="92">
        <v>93.0</v>
      </c>
      <c r="D92" s="94">
        <v>103.0</v>
      </c>
    </row>
    <row r="93">
      <c r="A93" s="91">
        <v>21203.0</v>
      </c>
      <c r="B93" s="99" t="s">
        <v>133</v>
      </c>
      <c r="C93" s="92">
        <v>80.0</v>
      </c>
      <c r="D93" s="94">
        <v>32.0</v>
      </c>
    </row>
    <row r="94">
      <c r="A94" s="91">
        <v>21204.0</v>
      </c>
      <c r="B94" s="99" t="s">
        <v>134</v>
      </c>
      <c r="C94" s="92">
        <v>32.0</v>
      </c>
      <c r="D94" s="94">
        <v>12.0</v>
      </c>
    </row>
    <row r="95">
      <c r="A95" s="91">
        <v>21301.0</v>
      </c>
      <c r="B95" s="99" t="s">
        <v>136</v>
      </c>
      <c r="C95" s="92">
        <v>304.0</v>
      </c>
      <c r="D95" s="94">
        <v>87.0</v>
      </c>
    </row>
    <row r="96">
      <c r="A96" s="91">
        <v>21302.0</v>
      </c>
      <c r="B96" s="99" t="s">
        <v>137</v>
      </c>
      <c r="C96" s="92">
        <v>72.0</v>
      </c>
      <c r="D96" s="94">
        <v>17.0</v>
      </c>
    </row>
    <row r="97">
      <c r="A97" s="91">
        <v>21303.0</v>
      </c>
      <c r="B97" s="99" t="s">
        <v>138</v>
      </c>
      <c r="C97" s="92">
        <v>40.0</v>
      </c>
      <c r="D97" s="94">
        <v>15.0</v>
      </c>
    </row>
    <row r="98">
      <c r="A98" s="91">
        <v>21304.0</v>
      </c>
      <c r="B98" s="99" t="s">
        <v>139</v>
      </c>
      <c r="C98" s="92">
        <v>59.0</v>
      </c>
      <c r="D98" s="94">
        <v>24.0</v>
      </c>
    </row>
    <row r="99">
      <c r="A99" s="91">
        <v>21305.0</v>
      </c>
      <c r="B99" s="99" t="s">
        <v>140</v>
      </c>
      <c r="C99" s="92">
        <v>224.0</v>
      </c>
      <c r="D99" s="94">
        <v>52.0</v>
      </c>
    </row>
    <row r="100">
      <c r="A100" s="91">
        <v>21306.0</v>
      </c>
      <c r="B100" s="99" t="s">
        <v>141</v>
      </c>
      <c r="C100" s="92">
        <v>41.0</v>
      </c>
      <c r="D100" s="94">
        <v>83.0</v>
      </c>
    </row>
    <row r="101">
      <c r="A101" s="91">
        <v>21307.0</v>
      </c>
      <c r="B101" s="99" t="s">
        <v>142</v>
      </c>
      <c r="C101" s="92">
        <v>21.0</v>
      </c>
      <c r="D101" s="94">
        <v>16.0</v>
      </c>
    </row>
    <row r="102">
      <c r="A102" s="91">
        <v>21401.0</v>
      </c>
      <c r="B102" s="99" t="s">
        <v>144</v>
      </c>
      <c r="C102" s="92">
        <v>147.0</v>
      </c>
      <c r="D102" s="94">
        <v>42.0</v>
      </c>
    </row>
    <row r="103">
      <c r="A103" s="91">
        <v>21402.0</v>
      </c>
      <c r="B103" s="99" t="s">
        <v>145</v>
      </c>
      <c r="C103" s="92">
        <v>177.0</v>
      </c>
      <c r="D103" s="94">
        <v>54.0</v>
      </c>
    </row>
    <row r="104">
      <c r="A104" s="91">
        <v>21501.0</v>
      </c>
      <c r="B104" s="99" t="s">
        <v>147</v>
      </c>
      <c r="C104" s="92">
        <v>232.0</v>
      </c>
      <c r="D104" s="94">
        <v>104.0</v>
      </c>
    </row>
    <row r="105">
      <c r="A105" s="91">
        <v>21502.0</v>
      </c>
      <c r="B105" s="99" t="s">
        <v>148</v>
      </c>
      <c r="C105" s="92">
        <v>109.0</v>
      </c>
      <c r="D105" s="94">
        <v>61.0</v>
      </c>
    </row>
    <row r="106">
      <c r="A106" s="91">
        <v>21601.0</v>
      </c>
      <c r="B106" s="99" t="s">
        <v>150</v>
      </c>
      <c r="C106" s="92">
        <v>143.0</v>
      </c>
      <c r="D106" s="94">
        <v>78.0</v>
      </c>
    </row>
    <row r="107">
      <c r="A107" s="91">
        <v>21602.0</v>
      </c>
      <c r="B107" s="99" t="s">
        <v>151</v>
      </c>
      <c r="C107" s="92">
        <v>52.0</v>
      </c>
      <c r="D107" s="94">
        <v>96.0</v>
      </c>
    </row>
    <row r="108">
      <c r="A108" s="91">
        <v>21701.0</v>
      </c>
      <c r="B108" s="99" t="s">
        <v>153</v>
      </c>
      <c r="C108" s="92">
        <v>135.0</v>
      </c>
      <c r="D108" s="94">
        <v>68.0</v>
      </c>
    </row>
    <row r="109">
      <c r="A109" s="91">
        <v>21702.0</v>
      </c>
      <c r="B109" s="99" t="s">
        <v>154</v>
      </c>
      <c r="C109" s="92">
        <v>19.0</v>
      </c>
      <c r="D109" s="94">
        <v>9.0</v>
      </c>
    </row>
    <row r="110">
      <c r="A110" s="91">
        <v>21703.0</v>
      </c>
      <c r="B110" s="99" t="s">
        <v>155</v>
      </c>
      <c r="C110" s="92">
        <v>39.0</v>
      </c>
      <c r="D110" s="94">
        <v>16.0</v>
      </c>
    </row>
    <row r="111">
      <c r="A111" s="91">
        <v>21801.0</v>
      </c>
      <c r="B111" s="99" t="s">
        <v>157</v>
      </c>
      <c r="C111" s="92">
        <v>36.0</v>
      </c>
      <c r="D111" s="94">
        <v>17.0</v>
      </c>
    </row>
    <row r="112">
      <c r="A112" s="91">
        <v>21802.0</v>
      </c>
      <c r="B112" s="99" t="s">
        <v>158</v>
      </c>
      <c r="C112" s="92">
        <v>32.0</v>
      </c>
      <c r="D112" s="94">
        <v>7.0</v>
      </c>
    </row>
    <row r="113">
      <c r="A113" s="91">
        <v>21803.0</v>
      </c>
      <c r="B113" s="99" t="s">
        <v>159</v>
      </c>
      <c r="C113" s="92">
        <v>18.0</v>
      </c>
      <c r="D113" s="94">
        <v>0.0</v>
      </c>
    </row>
    <row r="114">
      <c r="A114" s="91">
        <v>21901.0</v>
      </c>
      <c r="B114" s="99" t="s">
        <v>161</v>
      </c>
      <c r="C114" s="92">
        <v>15.0</v>
      </c>
      <c r="D114" s="94">
        <v>9.0</v>
      </c>
    </row>
    <row r="115">
      <c r="A115" s="91">
        <v>21902.0</v>
      </c>
      <c r="B115" s="99" t="s">
        <v>162</v>
      </c>
      <c r="C115" s="92">
        <v>36.0</v>
      </c>
      <c r="D115" s="94">
        <v>41.0</v>
      </c>
    </row>
    <row r="116">
      <c r="A116" s="91">
        <v>22001.0</v>
      </c>
      <c r="B116" s="99" t="s">
        <v>163</v>
      </c>
      <c r="C116" s="92">
        <v>667.0</v>
      </c>
      <c r="D116" s="94">
        <v>219.0</v>
      </c>
    </row>
    <row r="117">
      <c r="A117" s="91">
        <v>22002.0</v>
      </c>
      <c r="B117" s="99" t="s">
        <v>164</v>
      </c>
      <c r="C117" s="92">
        <v>111.0</v>
      </c>
      <c r="D117" s="94">
        <v>26.0</v>
      </c>
    </row>
    <row r="118">
      <c r="A118" s="91">
        <v>30101.0</v>
      </c>
      <c r="B118" s="99" t="s">
        <v>165</v>
      </c>
      <c r="C118" s="92">
        <v>5299.0</v>
      </c>
      <c r="D118" s="94">
        <v>957.0</v>
      </c>
    </row>
    <row r="119">
      <c r="A119" s="91">
        <v>30201.0</v>
      </c>
      <c r="B119" s="99" t="s">
        <v>168</v>
      </c>
      <c r="C119" s="92">
        <v>355.0</v>
      </c>
      <c r="D119" s="94">
        <v>38.0</v>
      </c>
    </row>
    <row r="120">
      <c r="A120" s="91">
        <v>30202.0</v>
      </c>
      <c r="B120" s="99" t="s">
        <v>169</v>
      </c>
      <c r="C120" s="92">
        <v>42.0</v>
      </c>
      <c r="D120" s="94">
        <v>6.0</v>
      </c>
    </row>
    <row r="121">
      <c r="A121" s="91">
        <v>30203.0</v>
      </c>
      <c r="B121" s="99" t="s">
        <v>170</v>
      </c>
      <c r="C121" s="92">
        <v>112.0</v>
      </c>
      <c r="D121" s="94">
        <v>25.0</v>
      </c>
    </row>
    <row r="122">
      <c r="A122" s="91">
        <v>30301.0</v>
      </c>
      <c r="B122" s="99" t="s">
        <v>171</v>
      </c>
      <c r="C122" s="92">
        <v>486.0</v>
      </c>
      <c r="D122" s="94">
        <v>63.0</v>
      </c>
    </row>
    <row r="123">
      <c r="A123" s="91">
        <v>30302.0</v>
      </c>
      <c r="B123" s="99" t="s">
        <v>172</v>
      </c>
      <c r="C123" s="92">
        <v>305.0</v>
      </c>
      <c r="D123" s="94">
        <v>17.0</v>
      </c>
    </row>
    <row r="124">
      <c r="A124" s="91">
        <v>30303.0</v>
      </c>
      <c r="B124" s="99" t="s">
        <v>173</v>
      </c>
      <c r="C124" s="92">
        <v>599.0</v>
      </c>
      <c r="D124" s="94">
        <v>51.0</v>
      </c>
    </row>
    <row r="125">
      <c r="A125" s="91">
        <v>30401.0</v>
      </c>
      <c r="B125" s="99" t="s">
        <v>175</v>
      </c>
      <c r="C125" s="92">
        <v>54.0</v>
      </c>
      <c r="D125" s="94">
        <v>17.0</v>
      </c>
    </row>
    <row r="126">
      <c r="A126" s="91">
        <v>30402.0</v>
      </c>
      <c r="B126" s="99" t="s">
        <v>176</v>
      </c>
      <c r="C126" s="92">
        <v>83.0</v>
      </c>
      <c r="D126" s="94">
        <v>7.0</v>
      </c>
    </row>
    <row r="127">
      <c r="A127" s="91">
        <v>30403.0</v>
      </c>
      <c r="B127" s="99" t="s">
        <v>177</v>
      </c>
      <c r="C127" s="92">
        <v>156.0</v>
      </c>
      <c r="D127" s="94">
        <v>69.0</v>
      </c>
    </row>
    <row r="128">
      <c r="A128" s="91">
        <v>30404.0</v>
      </c>
      <c r="B128" s="99" t="s">
        <v>178</v>
      </c>
      <c r="C128" s="92">
        <v>53.0</v>
      </c>
      <c r="D128" s="94">
        <v>9.0</v>
      </c>
    </row>
    <row r="129">
      <c r="A129" s="91">
        <v>30501.0</v>
      </c>
      <c r="B129" s="99" t="s">
        <v>179</v>
      </c>
      <c r="C129" s="92">
        <v>40.0</v>
      </c>
      <c r="D129" s="94">
        <v>17.0</v>
      </c>
    </row>
    <row r="130">
      <c r="A130" s="91">
        <v>30502.0</v>
      </c>
      <c r="B130" s="99" t="s">
        <v>180</v>
      </c>
      <c r="C130" s="92">
        <v>68.0</v>
      </c>
      <c r="D130" s="94">
        <v>15.0</v>
      </c>
    </row>
    <row r="131">
      <c r="A131" s="91">
        <v>30601.0</v>
      </c>
      <c r="B131" s="99" t="s">
        <v>181</v>
      </c>
      <c r="C131" s="92">
        <v>198.0</v>
      </c>
      <c r="D131" s="94">
        <v>11.0</v>
      </c>
    </row>
    <row r="132">
      <c r="A132" s="91">
        <v>30602.0</v>
      </c>
      <c r="B132" s="99" t="s">
        <v>182</v>
      </c>
      <c r="C132" s="92">
        <v>105.0</v>
      </c>
      <c r="D132" s="94">
        <v>10.0</v>
      </c>
    </row>
    <row r="133">
      <c r="A133" s="91">
        <v>30701.0</v>
      </c>
      <c r="B133" s="99" t="s">
        <v>183</v>
      </c>
      <c r="C133" s="92">
        <v>135.0</v>
      </c>
      <c r="D133" s="94">
        <v>20.0</v>
      </c>
    </row>
    <row r="134">
      <c r="A134" s="91">
        <v>30702.0</v>
      </c>
      <c r="B134" s="99" t="s">
        <v>184</v>
      </c>
      <c r="C134" s="92">
        <v>27.0</v>
      </c>
      <c r="D134" s="94">
        <v>10.0</v>
      </c>
    </row>
    <row r="135">
      <c r="A135" s="91">
        <v>30703.0</v>
      </c>
      <c r="B135" s="99" t="s">
        <v>185</v>
      </c>
      <c r="C135" s="92">
        <v>32.0</v>
      </c>
      <c r="D135" s="94">
        <v>6.0</v>
      </c>
    </row>
    <row r="136">
      <c r="A136" s="91">
        <v>30801.0</v>
      </c>
      <c r="B136" s="99" t="s">
        <v>187</v>
      </c>
      <c r="C136" s="92">
        <v>215.0</v>
      </c>
      <c r="D136" s="94">
        <v>49.0</v>
      </c>
    </row>
    <row r="137">
      <c r="A137" s="91">
        <v>30802.0</v>
      </c>
      <c r="B137" s="99" t="s">
        <v>188</v>
      </c>
      <c r="C137" s="92">
        <v>45.0</v>
      </c>
      <c r="D137" s="94">
        <v>12.0</v>
      </c>
    </row>
    <row r="138">
      <c r="A138" s="91">
        <v>30803.0</v>
      </c>
      <c r="B138" s="99" t="s">
        <v>189</v>
      </c>
      <c r="C138" s="92">
        <v>35.0</v>
      </c>
      <c r="D138" s="94">
        <v>15.0</v>
      </c>
    </row>
    <row r="139">
      <c r="A139" s="91">
        <v>30901.0</v>
      </c>
      <c r="B139" s="99" t="s">
        <v>190</v>
      </c>
      <c r="C139" s="92">
        <v>1232.0</v>
      </c>
      <c r="D139" s="94">
        <v>250.0</v>
      </c>
    </row>
    <row r="140">
      <c r="A140" s="91">
        <v>30902.0</v>
      </c>
      <c r="B140" s="99" t="s">
        <v>191</v>
      </c>
      <c r="C140" s="92">
        <v>529.0</v>
      </c>
      <c r="D140" s="94">
        <v>103.0</v>
      </c>
    </row>
    <row r="141">
      <c r="A141" s="91">
        <v>30903.0</v>
      </c>
      <c r="B141" s="99" t="s">
        <v>192</v>
      </c>
      <c r="C141" s="92">
        <v>572.0</v>
      </c>
      <c r="D141" s="94">
        <v>97.0</v>
      </c>
    </row>
    <row r="142">
      <c r="A142" s="91">
        <v>30904.0</v>
      </c>
      <c r="B142" s="99" t="s">
        <v>193</v>
      </c>
      <c r="C142" s="92">
        <v>621.0</v>
      </c>
      <c r="D142" s="94">
        <v>111.0</v>
      </c>
    </row>
    <row r="143">
      <c r="A143" s="91">
        <v>30905.0</v>
      </c>
      <c r="B143" s="99" t="s">
        <v>194</v>
      </c>
      <c r="C143" s="92">
        <v>364.0</v>
      </c>
      <c r="D143" s="94">
        <v>68.0</v>
      </c>
    </row>
    <row r="144">
      <c r="A144" s="91">
        <v>31001.0</v>
      </c>
      <c r="B144" s="99" t="s">
        <v>196</v>
      </c>
      <c r="C144" s="92">
        <v>1593.0</v>
      </c>
      <c r="D144" s="94">
        <v>315.0</v>
      </c>
    </row>
    <row r="145">
      <c r="A145" s="91">
        <v>31002.0</v>
      </c>
      <c r="B145" s="99" t="s">
        <v>197</v>
      </c>
      <c r="C145" s="92">
        <v>247.0</v>
      </c>
      <c r="D145" s="94">
        <v>38.0</v>
      </c>
    </row>
    <row r="146">
      <c r="A146" s="91">
        <v>31003.0</v>
      </c>
      <c r="B146" s="99" t="s">
        <v>198</v>
      </c>
      <c r="C146" s="92">
        <v>1243.0</v>
      </c>
      <c r="D146" s="94">
        <v>210.0</v>
      </c>
    </row>
    <row r="147">
      <c r="A147" s="91">
        <v>31101.0</v>
      </c>
      <c r="B147" s="99" t="s">
        <v>199</v>
      </c>
      <c r="C147" s="92">
        <v>261.0</v>
      </c>
      <c r="D147" s="94">
        <v>35.0</v>
      </c>
    </row>
    <row r="148">
      <c r="A148" s="91">
        <v>31201.0</v>
      </c>
      <c r="B148" s="99" t="s">
        <v>201</v>
      </c>
      <c r="C148" s="92">
        <v>199.0</v>
      </c>
      <c r="D148" s="94">
        <v>41.0</v>
      </c>
    </row>
    <row r="149">
      <c r="A149" s="91">
        <v>31202.0</v>
      </c>
      <c r="B149" s="99" t="s">
        <v>202</v>
      </c>
      <c r="C149" s="92">
        <v>130.0</v>
      </c>
      <c r="D149" s="94">
        <v>39.0</v>
      </c>
    </row>
    <row r="150">
      <c r="A150" s="91">
        <v>31203.0</v>
      </c>
      <c r="B150" s="99" t="s">
        <v>203</v>
      </c>
      <c r="C150" s="92">
        <v>103.0</v>
      </c>
      <c r="D150" s="94">
        <v>23.0</v>
      </c>
    </row>
    <row r="151">
      <c r="A151" s="91">
        <v>31204.0</v>
      </c>
      <c r="B151" s="99" t="s">
        <v>204</v>
      </c>
      <c r="C151" s="92">
        <v>465.0</v>
      </c>
      <c r="D151" s="94">
        <v>80.0</v>
      </c>
    </row>
    <row r="152">
      <c r="A152" s="91">
        <v>31205.0</v>
      </c>
      <c r="B152" s="99" t="s">
        <v>205</v>
      </c>
      <c r="C152" s="92">
        <v>710.0</v>
      </c>
      <c r="D152" s="94">
        <v>175.0</v>
      </c>
    </row>
    <row r="153">
      <c r="A153" s="91">
        <v>31206.0</v>
      </c>
      <c r="B153" s="99" t="s">
        <v>206</v>
      </c>
      <c r="C153" s="92">
        <v>416.0</v>
      </c>
      <c r="D153" s="94">
        <v>165.0</v>
      </c>
    </row>
    <row r="154">
      <c r="A154" s="91">
        <v>31301.0</v>
      </c>
      <c r="B154" s="99" t="s">
        <v>207</v>
      </c>
      <c r="C154" s="92">
        <v>425.0</v>
      </c>
      <c r="D154" s="94">
        <v>43.0</v>
      </c>
    </row>
    <row r="155">
      <c r="A155" s="91">
        <v>31302.0</v>
      </c>
      <c r="B155" s="99" t="s">
        <v>208</v>
      </c>
      <c r="C155" s="92">
        <v>199.0</v>
      </c>
      <c r="D155" s="94">
        <v>202.0</v>
      </c>
    </row>
    <row r="156">
      <c r="A156" s="91">
        <v>31303.0</v>
      </c>
      <c r="B156" s="99" t="s">
        <v>209</v>
      </c>
      <c r="C156" s="92">
        <v>79.0</v>
      </c>
      <c r="D156" s="94">
        <v>12.0</v>
      </c>
    </row>
    <row r="157">
      <c r="A157" s="91">
        <v>31304.0</v>
      </c>
      <c r="B157" s="99" t="s">
        <v>469</v>
      </c>
      <c r="C157" s="92">
        <v>125.0</v>
      </c>
      <c r="D157" s="94">
        <v>37.0</v>
      </c>
    </row>
    <row r="158">
      <c r="A158" s="91">
        <v>31401.0</v>
      </c>
      <c r="B158" s="99" t="s">
        <v>211</v>
      </c>
      <c r="C158" s="92">
        <v>226.0</v>
      </c>
      <c r="D158" s="94">
        <v>66.0</v>
      </c>
    </row>
    <row r="159">
      <c r="A159" s="91">
        <v>31402.0</v>
      </c>
      <c r="B159" s="99" t="s">
        <v>212</v>
      </c>
      <c r="C159" s="92">
        <v>73.0</v>
      </c>
      <c r="D159" s="94">
        <v>26.0</v>
      </c>
    </row>
    <row r="160">
      <c r="A160" s="91">
        <v>31403.0</v>
      </c>
      <c r="B160" s="99" t="s">
        <v>213</v>
      </c>
      <c r="C160" s="92">
        <v>78.0</v>
      </c>
      <c r="D160" s="94">
        <v>20.0</v>
      </c>
    </row>
    <row r="161">
      <c r="A161" s="91">
        <v>31404.0</v>
      </c>
      <c r="B161" s="99" t="s">
        <v>214</v>
      </c>
      <c r="C161" s="92">
        <v>8.0</v>
      </c>
      <c r="D161" s="94">
        <v>0.0</v>
      </c>
    </row>
    <row r="162">
      <c r="A162" s="91">
        <v>31405.0</v>
      </c>
      <c r="B162" s="99" t="s">
        <v>215</v>
      </c>
      <c r="C162" s="92">
        <v>27.0</v>
      </c>
      <c r="D162" s="94">
        <v>7.0</v>
      </c>
    </row>
    <row r="163">
      <c r="A163" s="91">
        <v>31501.0</v>
      </c>
      <c r="B163" s="99" t="s">
        <v>216</v>
      </c>
      <c r="C163" s="92">
        <v>73.0</v>
      </c>
      <c r="D163" s="94">
        <v>13.0</v>
      </c>
    </row>
    <row r="164">
      <c r="A164" s="91">
        <v>31601.0</v>
      </c>
      <c r="B164" s="99" t="s">
        <v>217</v>
      </c>
      <c r="C164" s="92">
        <v>198.0</v>
      </c>
      <c r="D164" s="94">
        <v>31.0</v>
      </c>
    </row>
    <row r="165">
      <c r="A165" s="91">
        <v>31602.0</v>
      </c>
      <c r="B165" s="99" t="s">
        <v>218</v>
      </c>
      <c r="C165" s="92">
        <v>356.0</v>
      </c>
      <c r="D165" s="94">
        <v>69.0</v>
      </c>
    </row>
    <row r="166">
      <c r="A166" s="91">
        <v>40101.0</v>
      </c>
      <c r="B166" s="99" t="s">
        <v>219</v>
      </c>
      <c r="C166" s="92">
        <v>2239.0</v>
      </c>
      <c r="D166" s="94">
        <v>317.0</v>
      </c>
    </row>
    <row r="167">
      <c r="A167" s="91">
        <v>40102.0</v>
      </c>
      <c r="B167" s="99" t="s">
        <v>220</v>
      </c>
      <c r="C167" s="92">
        <v>267.0</v>
      </c>
      <c r="D167" s="94">
        <v>25.0</v>
      </c>
    </row>
    <row r="168">
      <c r="A168" s="91">
        <v>40103.0</v>
      </c>
      <c r="B168" s="99" t="s">
        <v>221</v>
      </c>
      <c r="C168" s="92">
        <v>83.0</v>
      </c>
      <c r="D168" s="94">
        <v>66.0</v>
      </c>
    </row>
    <row r="169">
      <c r="A169" s="91">
        <v>40104.0</v>
      </c>
      <c r="B169" s="99" t="s">
        <v>222</v>
      </c>
      <c r="C169" s="92">
        <v>133.0</v>
      </c>
      <c r="D169" s="94">
        <v>13.0</v>
      </c>
    </row>
    <row r="170">
      <c r="A170" s="91">
        <v>40201.0</v>
      </c>
      <c r="B170" s="99" t="s">
        <v>224</v>
      </c>
      <c r="C170" s="92">
        <v>338.0</v>
      </c>
      <c r="D170" s="94">
        <v>111.0</v>
      </c>
    </row>
    <row r="171">
      <c r="A171" s="91">
        <v>40202.0</v>
      </c>
      <c r="B171" s="99" t="s">
        <v>225</v>
      </c>
      <c r="C171" s="92">
        <v>46.0</v>
      </c>
      <c r="D171" s="94">
        <v>6.0</v>
      </c>
    </row>
    <row r="172">
      <c r="A172" s="91">
        <v>40301.0</v>
      </c>
      <c r="B172" s="99" t="s">
        <v>227</v>
      </c>
      <c r="C172" s="92">
        <v>74.0</v>
      </c>
      <c r="D172" s="94">
        <v>38.0</v>
      </c>
    </row>
    <row r="173">
      <c r="A173" s="91">
        <v>40302.0</v>
      </c>
      <c r="B173" s="99" t="s">
        <v>228</v>
      </c>
      <c r="C173" s="92">
        <v>11.0</v>
      </c>
      <c r="D173" s="94">
        <v>6.0</v>
      </c>
    </row>
    <row r="174">
      <c r="A174" s="91">
        <v>40401.0</v>
      </c>
      <c r="B174" s="99" t="s">
        <v>230</v>
      </c>
      <c r="C174" s="92">
        <v>18.0</v>
      </c>
      <c r="D174" s="94">
        <v>24.0</v>
      </c>
    </row>
    <row r="175">
      <c r="A175" s="91">
        <v>40402.0</v>
      </c>
      <c r="B175" s="99" t="s">
        <v>231</v>
      </c>
      <c r="C175" s="92">
        <v>29.0</v>
      </c>
      <c r="D175" s="94">
        <v>15.0</v>
      </c>
    </row>
    <row r="176">
      <c r="A176" s="91">
        <v>40501.0</v>
      </c>
      <c r="B176" s="99" t="s">
        <v>233</v>
      </c>
      <c r="C176" s="92">
        <v>6.0</v>
      </c>
      <c r="D176" s="94">
        <v>19.0</v>
      </c>
    </row>
    <row r="177">
      <c r="A177" s="91">
        <v>40502.0</v>
      </c>
      <c r="B177" s="99" t="s">
        <v>234</v>
      </c>
      <c r="C177" s="92">
        <v>66.0</v>
      </c>
      <c r="D177" s="94">
        <v>28.0</v>
      </c>
    </row>
    <row r="178">
      <c r="A178" s="91">
        <v>40503.0</v>
      </c>
      <c r="B178" s="99" t="s">
        <v>235</v>
      </c>
      <c r="C178" s="92">
        <v>51.0</v>
      </c>
      <c r="D178" s="94">
        <v>15.0</v>
      </c>
    </row>
    <row r="179">
      <c r="A179" s="91">
        <v>40504.0</v>
      </c>
      <c r="B179" s="99" t="s">
        <v>236</v>
      </c>
      <c r="C179" s="92">
        <v>7.0</v>
      </c>
      <c r="D179" s="94">
        <v>11.0</v>
      </c>
    </row>
    <row r="180">
      <c r="A180" s="91">
        <v>40505.0</v>
      </c>
      <c r="B180" s="99" t="s">
        <v>237</v>
      </c>
      <c r="C180" s="92">
        <v>51.0</v>
      </c>
      <c r="D180" s="94">
        <v>48.0</v>
      </c>
    </row>
    <row r="181">
      <c r="A181" s="91">
        <v>40601.0</v>
      </c>
      <c r="B181" s="99" t="s">
        <v>238</v>
      </c>
      <c r="C181" s="92">
        <v>25.0</v>
      </c>
      <c r="D181" s="94">
        <v>38.0</v>
      </c>
    </row>
    <row r="182">
      <c r="A182" s="91">
        <v>40602.0</v>
      </c>
      <c r="B182" s="99" t="s">
        <v>239</v>
      </c>
      <c r="C182" s="92">
        <v>48.0</v>
      </c>
      <c r="D182" s="94">
        <v>26.0</v>
      </c>
    </row>
    <row r="183">
      <c r="A183" s="91">
        <v>40603.0</v>
      </c>
      <c r="B183" s="99" t="s">
        <v>240</v>
      </c>
      <c r="C183" s="92">
        <v>30.0</v>
      </c>
      <c r="D183" s="94">
        <v>5.0</v>
      </c>
    </row>
    <row r="184">
      <c r="A184" s="91">
        <v>40701.0</v>
      </c>
      <c r="B184" s="99" t="s">
        <v>242</v>
      </c>
      <c r="C184" s="92">
        <v>119.0</v>
      </c>
      <c r="D184" s="94">
        <v>15.0</v>
      </c>
    </row>
    <row r="185">
      <c r="A185" s="91">
        <v>40702.0</v>
      </c>
      <c r="B185" s="99" t="s">
        <v>243</v>
      </c>
      <c r="C185" s="92">
        <v>45.0</v>
      </c>
      <c r="D185" s="94">
        <v>5.0</v>
      </c>
    </row>
    <row r="186">
      <c r="A186" s="91">
        <v>40801.0</v>
      </c>
      <c r="B186" s="99" t="s">
        <v>245</v>
      </c>
      <c r="C186" s="92">
        <v>155.0</v>
      </c>
      <c r="D186" s="94">
        <v>31.0</v>
      </c>
    </row>
    <row r="187">
      <c r="A187" s="91">
        <v>40802.0</v>
      </c>
      <c r="B187" s="99" t="s">
        <v>246</v>
      </c>
      <c r="C187" s="92">
        <v>46.0</v>
      </c>
      <c r="D187" s="94">
        <v>3.0</v>
      </c>
    </row>
    <row r="188">
      <c r="A188" s="91">
        <v>40901.0</v>
      </c>
      <c r="B188" s="99" t="s">
        <v>247</v>
      </c>
      <c r="C188" s="92">
        <v>141.0</v>
      </c>
      <c r="D188" s="94">
        <v>137.0</v>
      </c>
    </row>
    <row r="189">
      <c r="A189" s="91">
        <v>40902.0</v>
      </c>
      <c r="B189" s="99" t="s">
        <v>248</v>
      </c>
      <c r="C189" s="92">
        <v>15.0</v>
      </c>
      <c r="D189" s="94">
        <v>15.0</v>
      </c>
    </row>
    <row r="190">
      <c r="A190" s="91">
        <v>40903.0</v>
      </c>
      <c r="B190" s="99" t="s">
        <v>249</v>
      </c>
      <c r="C190" s="92">
        <v>41.0</v>
      </c>
      <c r="D190" s="94">
        <v>42.0</v>
      </c>
    </row>
    <row r="191">
      <c r="A191" s="91">
        <v>41001.0</v>
      </c>
      <c r="B191" s="99" t="s">
        <v>251</v>
      </c>
      <c r="C191" s="92">
        <v>115.0</v>
      </c>
      <c r="D191" s="94">
        <v>17.0</v>
      </c>
    </row>
    <row r="192">
      <c r="A192" s="91">
        <v>41101.0</v>
      </c>
      <c r="B192" s="99" t="s">
        <v>253</v>
      </c>
      <c r="C192" s="92">
        <v>43.0</v>
      </c>
      <c r="D192" s="94">
        <v>8.0</v>
      </c>
    </row>
    <row r="193">
      <c r="A193" s="91">
        <v>41201.0</v>
      </c>
      <c r="B193" s="99" t="s">
        <v>255</v>
      </c>
      <c r="C193" s="92">
        <v>35.0</v>
      </c>
      <c r="D193" s="94">
        <v>4.0</v>
      </c>
    </row>
    <row r="194">
      <c r="A194" s="91">
        <v>41202.0</v>
      </c>
      <c r="B194" s="99" t="s">
        <v>256</v>
      </c>
      <c r="C194" s="92">
        <v>16.0</v>
      </c>
      <c r="D194" s="94">
        <v>2.0</v>
      </c>
    </row>
    <row r="195">
      <c r="A195" s="91">
        <v>41301.0</v>
      </c>
      <c r="B195" s="99" t="s">
        <v>201</v>
      </c>
      <c r="C195" s="92">
        <v>45.0</v>
      </c>
      <c r="D195" s="94">
        <v>19.0</v>
      </c>
    </row>
    <row r="196">
      <c r="A196" s="91">
        <v>41401.0</v>
      </c>
      <c r="B196" s="99" t="s">
        <v>259</v>
      </c>
      <c r="C196" s="92">
        <v>125.0</v>
      </c>
      <c r="D196" s="94">
        <v>46.0</v>
      </c>
    </row>
    <row r="197">
      <c r="A197" s="91">
        <v>41501.0</v>
      </c>
      <c r="B197" s="99" t="s">
        <v>261</v>
      </c>
      <c r="C197" s="92">
        <v>12.0</v>
      </c>
      <c r="D197" s="94">
        <v>26.0</v>
      </c>
    </row>
    <row r="198">
      <c r="A198" s="91">
        <v>41502.0</v>
      </c>
      <c r="B198" s="99" t="s">
        <v>262</v>
      </c>
      <c r="C198" s="92">
        <v>18.0</v>
      </c>
      <c r="D198" s="94">
        <v>6.0</v>
      </c>
    </row>
    <row r="199">
      <c r="A199" s="91">
        <v>41503.0</v>
      </c>
      <c r="B199" s="99" t="s">
        <v>226</v>
      </c>
      <c r="C199" s="92">
        <v>23.0</v>
      </c>
      <c r="D199" s="94">
        <v>12.0</v>
      </c>
    </row>
    <row r="200">
      <c r="A200" s="91">
        <v>41601.0</v>
      </c>
      <c r="B200" s="99" t="s">
        <v>264</v>
      </c>
      <c r="C200" s="92">
        <v>44.0</v>
      </c>
      <c r="D200" s="94">
        <v>6.0</v>
      </c>
    </row>
    <row r="201">
      <c r="A201" s="91">
        <v>50101.0</v>
      </c>
      <c r="B201" s="99" t="s">
        <v>265</v>
      </c>
      <c r="C201" s="92">
        <v>1806.0</v>
      </c>
      <c r="D201" s="94">
        <v>288.0</v>
      </c>
    </row>
    <row r="202">
      <c r="A202" s="91">
        <v>50102.0</v>
      </c>
      <c r="B202" s="99" t="s">
        <v>267</v>
      </c>
      <c r="C202" s="92">
        <v>448.0</v>
      </c>
      <c r="D202" s="94">
        <v>54.0</v>
      </c>
    </row>
    <row r="203">
      <c r="A203" s="91">
        <v>50103.0</v>
      </c>
      <c r="B203" s="99" t="s">
        <v>268</v>
      </c>
      <c r="C203" s="92">
        <v>57.0</v>
      </c>
      <c r="D203" s="94">
        <v>20.0</v>
      </c>
    </row>
    <row r="204">
      <c r="A204" s="91">
        <v>50104.0</v>
      </c>
      <c r="B204" s="99" t="s">
        <v>269</v>
      </c>
      <c r="C204" s="92">
        <v>45.0</v>
      </c>
      <c r="D204" s="94">
        <v>5.0</v>
      </c>
    </row>
    <row r="205">
      <c r="A205" s="91">
        <v>50201.0</v>
      </c>
      <c r="B205" s="99" t="s">
        <v>271</v>
      </c>
      <c r="C205" s="92">
        <v>145.0</v>
      </c>
      <c r="D205" s="94">
        <v>40.0</v>
      </c>
    </row>
    <row r="206">
      <c r="A206" s="91">
        <v>50202.0</v>
      </c>
      <c r="B206" s="99" t="s">
        <v>272</v>
      </c>
      <c r="C206" s="92">
        <v>119.0</v>
      </c>
      <c r="D206" s="94">
        <v>14.0</v>
      </c>
    </row>
    <row r="207">
      <c r="A207" s="91">
        <v>50203.0</v>
      </c>
      <c r="B207" s="99" t="s">
        <v>273</v>
      </c>
      <c r="C207" s="92">
        <v>278.0</v>
      </c>
      <c r="D207" s="94">
        <v>37.0</v>
      </c>
    </row>
    <row r="208">
      <c r="A208" s="91">
        <v>50204.0</v>
      </c>
      <c r="B208" s="99" t="s">
        <v>274</v>
      </c>
      <c r="C208" s="92">
        <v>119.0</v>
      </c>
      <c r="D208" s="94">
        <v>12.0</v>
      </c>
    </row>
    <row r="209">
      <c r="A209" s="91">
        <v>50301.0</v>
      </c>
      <c r="B209" s="99" t="s">
        <v>276</v>
      </c>
      <c r="C209" s="92">
        <v>322.0</v>
      </c>
      <c r="D209" s="94">
        <v>78.0</v>
      </c>
    </row>
    <row r="210">
      <c r="A210" s="91">
        <v>50302.0</v>
      </c>
      <c r="B210" s="99" t="s">
        <v>277</v>
      </c>
      <c r="C210" s="92">
        <v>51.0</v>
      </c>
      <c r="D210" s="94">
        <v>19.0</v>
      </c>
    </row>
    <row r="211">
      <c r="A211" s="91">
        <v>50303.0</v>
      </c>
      <c r="B211" s="99" t="s">
        <v>278</v>
      </c>
      <c r="C211" s="92">
        <v>225.0</v>
      </c>
      <c r="D211" s="94">
        <v>33.0</v>
      </c>
    </row>
    <row r="212">
      <c r="A212" s="91">
        <v>50401.0</v>
      </c>
      <c r="B212" s="99" t="s">
        <v>279</v>
      </c>
      <c r="C212" s="92">
        <v>341.0</v>
      </c>
      <c r="D212" s="94">
        <v>43.0</v>
      </c>
    </row>
    <row r="213">
      <c r="A213" s="91">
        <v>50402.0</v>
      </c>
      <c r="B213" s="99" t="s">
        <v>280</v>
      </c>
      <c r="C213" s="92">
        <v>282.0</v>
      </c>
      <c r="D213" s="94">
        <v>14.0</v>
      </c>
    </row>
    <row r="214">
      <c r="A214" s="91">
        <v>50403.0</v>
      </c>
      <c r="B214" s="99" t="s">
        <v>281</v>
      </c>
      <c r="C214" s="92">
        <v>351.0</v>
      </c>
      <c r="D214" s="94">
        <v>68.0</v>
      </c>
    </row>
    <row r="215">
      <c r="A215" s="91">
        <v>50404.0</v>
      </c>
      <c r="B215" s="99" t="s">
        <v>282</v>
      </c>
      <c r="C215" s="92">
        <v>398.0</v>
      </c>
      <c r="D215" s="94">
        <v>29.0</v>
      </c>
    </row>
    <row r="216">
      <c r="A216" s="91">
        <v>50405.0</v>
      </c>
      <c r="B216" s="99" t="s">
        <v>283</v>
      </c>
      <c r="C216" s="92">
        <v>255.0</v>
      </c>
      <c r="D216" s="94">
        <v>65.0</v>
      </c>
    </row>
    <row r="217">
      <c r="A217" s="91">
        <v>50501.0</v>
      </c>
      <c r="B217" s="99" t="s">
        <v>285</v>
      </c>
      <c r="C217" s="92">
        <v>883.0</v>
      </c>
      <c r="D217" s="94">
        <v>75.0</v>
      </c>
    </row>
    <row r="218">
      <c r="A218" s="91">
        <v>50502.0</v>
      </c>
      <c r="B218" s="99" t="s">
        <v>286</v>
      </c>
      <c r="C218" s="92">
        <v>310.0</v>
      </c>
      <c r="D218" s="94">
        <v>27.0</v>
      </c>
    </row>
    <row r="219">
      <c r="A219" s="91">
        <v>50601.0</v>
      </c>
      <c r="B219" s="99" t="s">
        <v>288</v>
      </c>
      <c r="C219" s="92">
        <v>277.0</v>
      </c>
      <c r="D219" s="94">
        <v>117.0</v>
      </c>
    </row>
    <row r="220">
      <c r="A220" s="91">
        <v>50602.0</v>
      </c>
      <c r="B220" s="99" t="s">
        <v>289</v>
      </c>
      <c r="C220" s="92">
        <v>88.0</v>
      </c>
      <c r="D220" s="94">
        <v>29.0</v>
      </c>
    </row>
    <row r="221">
      <c r="A221" s="91">
        <v>50701.0</v>
      </c>
      <c r="B221" s="99" t="s">
        <v>291</v>
      </c>
      <c r="C221" s="92">
        <v>228.0</v>
      </c>
      <c r="D221" s="94">
        <v>22.0</v>
      </c>
    </row>
    <row r="222">
      <c r="A222" s="91">
        <v>50702.0</v>
      </c>
      <c r="B222" s="99" t="s">
        <v>292</v>
      </c>
      <c r="C222" s="92">
        <v>54.0</v>
      </c>
      <c r="D222" s="94">
        <v>16.0</v>
      </c>
    </row>
    <row r="223">
      <c r="A223" s="91">
        <v>50801.0</v>
      </c>
      <c r="B223" s="99" t="s">
        <v>294</v>
      </c>
      <c r="C223" s="92">
        <v>331.0</v>
      </c>
      <c r="D223" s="94">
        <v>86.0</v>
      </c>
    </row>
    <row r="224">
      <c r="A224" s="91">
        <v>50802.0</v>
      </c>
      <c r="B224" s="99" t="s">
        <v>295</v>
      </c>
      <c r="C224" s="92">
        <v>34.0</v>
      </c>
      <c r="D224" s="94">
        <v>5.0</v>
      </c>
    </row>
    <row r="225">
      <c r="A225" s="91">
        <v>50901.0</v>
      </c>
      <c r="B225" s="99" t="s">
        <v>297</v>
      </c>
      <c r="C225" s="92">
        <v>97.0</v>
      </c>
      <c r="D225" s="94">
        <v>24.0</v>
      </c>
    </row>
    <row r="226">
      <c r="A226" s="91">
        <v>50902.0</v>
      </c>
      <c r="B226" s="99" t="s">
        <v>298</v>
      </c>
      <c r="C226" s="92">
        <v>13.0</v>
      </c>
      <c r="D226" s="94">
        <v>5.0</v>
      </c>
    </row>
    <row r="227">
      <c r="A227" s="91">
        <v>51001.0</v>
      </c>
      <c r="B227" s="99" t="s">
        <v>300</v>
      </c>
      <c r="C227" s="92">
        <v>28.0</v>
      </c>
      <c r="D227" s="94">
        <v>5.0</v>
      </c>
    </row>
    <row r="228">
      <c r="A228" s="91">
        <v>51002.0</v>
      </c>
      <c r="B228" s="99" t="s">
        <v>301</v>
      </c>
      <c r="C228" s="92">
        <v>24.0</v>
      </c>
      <c r="D228" s="94">
        <v>11.0</v>
      </c>
    </row>
    <row r="229">
      <c r="A229" s="91">
        <v>51003.0</v>
      </c>
      <c r="B229" s="99" t="s">
        <v>302</v>
      </c>
      <c r="C229" s="92">
        <v>25.0</v>
      </c>
      <c r="D229" s="94">
        <v>14.0</v>
      </c>
    </row>
    <row r="230">
      <c r="A230" s="91">
        <v>51101.0</v>
      </c>
      <c r="B230" s="99" t="s">
        <v>304</v>
      </c>
      <c r="C230" s="92">
        <v>203.0</v>
      </c>
      <c r="D230" s="94">
        <v>42.0</v>
      </c>
    </row>
    <row r="231">
      <c r="A231" s="91">
        <v>51102.0</v>
      </c>
      <c r="B231" s="99" t="s">
        <v>305</v>
      </c>
      <c r="C231" s="92">
        <v>94.0</v>
      </c>
      <c r="D231" s="94">
        <v>44.0</v>
      </c>
    </row>
    <row r="232">
      <c r="A232" s="91">
        <v>51103.0</v>
      </c>
      <c r="B232" s="99" t="s">
        <v>306</v>
      </c>
      <c r="C232" s="92">
        <v>296.0</v>
      </c>
      <c r="D232" s="94">
        <v>44.0</v>
      </c>
    </row>
    <row r="233">
      <c r="A233" s="91">
        <v>51201.0</v>
      </c>
      <c r="B233" s="99" t="s">
        <v>308</v>
      </c>
      <c r="C233" s="92">
        <v>250.0</v>
      </c>
      <c r="D233" s="94">
        <v>51.0</v>
      </c>
    </row>
    <row r="234">
      <c r="A234" s="91">
        <v>51202.0</v>
      </c>
      <c r="B234" s="99" t="s">
        <v>309</v>
      </c>
      <c r="C234" s="92">
        <v>66.0</v>
      </c>
      <c r="D234" s="94">
        <v>11.0</v>
      </c>
    </row>
    <row r="235">
      <c r="A235" s="91">
        <v>51203.0</v>
      </c>
      <c r="B235" s="99" t="s">
        <v>310</v>
      </c>
      <c r="C235" s="92">
        <v>200.0</v>
      </c>
      <c r="D235" s="94">
        <v>14.0</v>
      </c>
    </row>
    <row r="236">
      <c r="A236" s="91">
        <v>51204.0</v>
      </c>
      <c r="B236" s="99" t="s">
        <v>470</v>
      </c>
      <c r="C236" s="92">
        <v>66.0</v>
      </c>
      <c r="D236" s="94">
        <v>11.0</v>
      </c>
    </row>
    <row r="237">
      <c r="A237" s="91">
        <v>51301.0</v>
      </c>
      <c r="B237" s="99" t="s">
        <v>313</v>
      </c>
      <c r="C237" s="92">
        <v>48.0</v>
      </c>
      <c r="D237" s="94">
        <v>8.0</v>
      </c>
    </row>
    <row r="238">
      <c r="A238" s="91">
        <v>51302.0</v>
      </c>
      <c r="B238" s="99" t="s">
        <v>314</v>
      </c>
      <c r="C238" s="92">
        <v>68.0</v>
      </c>
      <c r="D238" s="94">
        <v>6.0</v>
      </c>
    </row>
    <row r="239">
      <c r="A239" s="91">
        <v>51401.0</v>
      </c>
      <c r="B239" s="99" t="s">
        <v>316</v>
      </c>
      <c r="C239" s="92">
        <v>27.0</v>
      </c>
      <c r="D239" s="94">
        <v>17.0</v>
      </c>
    </row>
    <row r="240">
      <c r="A240" s="91">
        <v>51402.0</v>
      </c>
      <c r="B240" s="99" t="s">
        <v>317</v>
      </c>
      <c r="C240" s="92">
        <v>12.0</v>
      </c>
      <c r="D240" s="94">
        <v>3.0</v>
      </c>
    </row>
    <row r="241">
      <c r="A241" s="91">
        <v>51501.0</v>
      </c>
      <c r="B241" s="99" t="s">
        <v>319</v>
      </c>
      <c r="C241" s="92">
        <v>483.0</v>
      </c>
      <c r="D241" s="94">
        <v>333.0</v>
      </c>
    </row>
    <row r="242">
      <c r="A242" s="91">
        <v>51601.0</v>
      </c>
      <c r="B242" s="99" t="s">
        <v>321</v>
      </c>
      <c r="C242" s="92">
        <v>15.0</v>
      </c>
      <c r="D242" s="94">
        <v>12.0</v>
      </c>
    </row>
    <row r="243">
      <c r="A243" s="91">
        <v>60101.0</v>
      </c>
      <c r="B243" s="99" t="s">
        <v>322</v>
      </c>
      <c r="C243" s="92">
        <v>1098.0</v>
      </c>
      <c r="D243" s="94">
        <v>282.0</v>
      </c>
    </row>
    <row r="244">
      <c r="A244" s="91">
        <v>60201.0</v>
      </c>
      <c r="B244" s="99" t="s">
        <v>324</v>
      </c>
      <c r="C244" s="92">
        <v>120.0</v>
      </c>
      <c r="D244" s="94">
        <v>36.0</v>
      </c>
    </row>
    <row r="245">
      <c r="A245" s="91">
        <v>60202.0</v>
      </c>
      <c r="B245" s="99" t="s">
        <v>325</v>
      </c>
      <c r="C245" s="92">
        <v>196.0</v>
      </c>
      <c r="D245" s="94">
        <v>120.0</v>
      </c>
    </row>
    <row r="246">
      <c r="A246" s="91">
        <v>60301.0</v>
      </c>
      <c r="B246" s="99" t="s">
        <v>327</v>
      </c>
      <c r="C246" s="92">
        <v>1117.0</v>
      </c>
      <c r="D246" s="94">
        <v>327.0</v>
      </c>
    </row>
    <row r="247">
      <c r="A247" s="91">
        <v>60302.0</v>
      </c>
      <c r="B247" s="99" t="s">
        <v>328</v>
      </c>
      <c r="C247" s="92">
        <v>168.0</v>
      </c>
      <c r="D247" s="94">
        <v>35.0</v>
      </c>
    </row>
    <row r="248">
      <c r="A248" s="91">
        <v>60303.0</v>
      </c>
      <c r="B248" s="99" t="s">
        <v>329</v>
      </c>
      <c r="C248" s="92">
        <v>395.0</v>
      </c>
      <c r="D248" s="94">
        <v>115.0</v>
      </c>
    </row>
    <row r="249">
      <c r="A249" s="91">
        <v>60401.0</v>
      </c>
      <c r="B249" s="99" t="s">
        <v>331</v>
      </c>
      <c r="C249" s="92">
        <v>115.0</v>
      </c>
      <c r="D249" s="94">
        <v>26.0</v>
      </c>
    </row>
    <row r="250">
      <c r="A250" s="91">
        <v>60402.0</v>
      </c>
      <c r="B250" s="99" t="s">
        <v>332</v>
      </c>
      <c r="C250" s="92">
        <v>54.0</v>
      </c>
      <c r="D250" s="94">
        <v>9.0</v>
      </c>
    </row>
    <row r="251">
      <c r="A251" s="91">
        <v>60501.0</v>
      </c>
      <c r="B251" s="99" t="s">
        <v>334</v>
      </c>
      <c r="C251" s="92">
        <v>171.0</v>
      </c>
      <c r="D251" s="94">
        <v>49.0</v>
      </c>
    </row>
    <row r="252">
      <c r="A252" s="91">
        <v>60502.0</v>
      </c>
      <c r="B252" s="99" t="s">
        <v>335</v>
      </c>
      <c r="C252" s="92">
        <v>62.0</v>
      </c>
      <c r="D252" s="94">
        <v>11.0</v>
      </c>
    </row>
    <row r="253">
      <c r="A253" s="91">
        <v>60601.0</v>
      </c>
      <c r="B253" s="99" t="s">
        <v>206</v>
      </c>
      <c r="C253" s="92">
        <v>204.0</v>
      </c>
      <c r="D253" s="94">
        <v>34.0</v>
      </c>
    </row>
    <row r="254">
      <c r="A254" s="91">
        <v>70101.0</v>
      </c>
      <c r="B254" s="99" t="s">
        <v>339</v>
      </c>
      <c r="C254" s="92">
        <v>23072.0</v>
      </c>
      <c r="D254" s="94">
        <v>4336.0</v>
      </c>
    </row>
    <row r="255">
      <c r="A255" s="91">
        <v>70102.0</v>
      </c>
      <c r="B255" s="99" t="s">
        <v>340</v>
      </c>
      <c r="C255" s="92">
        <v>1464.0</v>
      </c>
      <c r="D255" s="94">
        <v>423.0</v>
      </c>
    </row>
    <row r="256">
      <c r="A256" s="91">
        <v>70103.0</v>
      </c>
      <c r="B256" s="99" t="s">
        <v>341</v>
      </c>
      <c r="C256" s="92">
        <v>201.0</v>
      </c>
      <c r="D256" s="94">
        <v>48.0</v>
      </c>
    </row>
    <row r="257">
      <c r="A257" s="91">
        <v>70104.0</v>
      </c>
      <c r="B257" s="99" t="s">
        <v>342</v>
      </c>
      <c r="C257" s="92">
        <v>1484.0</v>
      </c>
      <c r="D257" s="94">
        <v>362.0</v>
      </c>
    </row>
    <row r="258">
      <c r="A258" s="91">
        <v>70105.0</v>
      </c>
      <c r="B258" s="99" t="s">
        <v>343</v>
      </c>
      <c r="C258" s="92">
        <v>678.0</v>
      </c>
      <c r="D258" s="94">
        <v>97.0</v>
      </c>
    </row>
    <row r="259">
      <c r="A259" s="91">
        <v>70201.0</v>
      </c>
      <c r="B259" s="99" t="s">
        <v>344</v>
      </c>
      <c r="C259" s="92">
        <v>2105.0</v>
      </c>
      <c r="D259" s="94">
        <v>548.0</v>
      </c>
    </row>
    <row r="260">
      <c r="A260" s="91">
        <v>70202.0</v>
      </c>
      <c r="B260" s="99" t="s">
        <v>345</v>
      </c>
      <c r="C260" s="92">
        <v>188.0</v>
      </c>
      <c r="D260" s="94">
        <v>56.0</v>
      </c>
    </row>
    <row r="261">
      <c r="A261" s="91">
        <v>70301.0</v>
      </c>
      <c r="B261" s="99" t="s">
        <v>347</v>
      </c>
      <c r="C261" s="92">
        <v>1505.0</v>
      </c>
      <c r="D261" s="94">
        <v>791.0</v>
      </c>
    </row>
    <row r="262">
      <c r="A262" s="91">
        <v>70302.0</v>
      </c>
      <c r="B262" s="99" t="s">
        <v>348</v>
      </c>
      <c r="C262" s="92">
        <v>152.0</v>
      </c>
      <c r="D262" s="94">
        <v>253.0</v>
      </c>
    </row>
    <row r="263">
      <c r="A263" s="91">
        <v>70303.0</v>
      </c>
      <c r="B263" s="99" t="s">
        <v>349</v>
      </c>
      <c r="C263" s="92">
        <v>174.0</v>
      </c>
      <c r="D263" s="94">
        <v>119.0</v>
      </c>
    </row>
    <row r="264">
      <c r="A264" s="91">
        <v>70401.0</v>
      </c>
      <c r="B264" s="99" t="s">
        <v>351</v>
      </c>
      <c r="C264" s="92">
        <v>259.0</v>
      </c>
      <c r="D264" s="94">
        <v>48.0</v>
      </c>
    </row>
    <row r="265">
      <c r="A265" s="91">
        <v>70402.0</v>
      </c>
      <c r="B265" s="99" t="s">
        <v>352</v>
      </c>
      <c r="C265" s="92">
        <v>263.0</v>
      </c>
      <c r="D265" s="94">
        <v>65.0</v>
      </c>
    </row>
    <row r="266">
      <c r="A266" s="91">
        <v>70403.0</v>
      </c>
      <c r="B266" s="99" t="s">
        <v>353</v>
      </c>
      <c r="C266" s="92">
        <v>951.0</v>
      </c>
      <c r="D266" s="94">
        <v>176.0</v>
      </c>
    </row>
    <row r="267">
      <c r="A267" s="91">
        <v>70404.0</v>
      </c>
      <c r="B267" s="99" t="s">
        <v>354</v>
      </c>
      <c r="C267" s="92">
        <v>116.0</v>
      </c>
      <c r="D267" s="94">
        <v>30.0</v>
      </c>
    </row>
    <row r="268">
      <c r="A268" s="91">
        <v>70501.0</v>
      </c>
      <c r="B268" s="99" t="s">
        <v>356</v>
      </c>
      <c r="C268" s="92">
        <v>589.0</v>
      </c>
      <c r="D268" s="94">
        <v>1173.0</v>
      </c>
    </row>
    <row r="269">
      <c r="A269" s="91">
        <v>70502.0</v>
      </c>
      <c r="B269" s="99" t="s">
        <v>357</v>
      </c>
      <c r="C269" s="92">
        <v>1108.0</v>
      </c>
      <c r="D269" s="94">
        <v>1040.0</v>
      </c>
    </row>
    <row r="270">
      <c r="A270" s="91">
        <v>70503.0</v>
      </c>
      <c r="B270" s="99" t="s">
        <v>358</v>
      </c>
      <c r="C270" s="92">
        <v>170.0</v>
      </c>
      <c r="D270" s="94">
        <v>165.0</v>
      </c>
    </row>
    <row r="271">
      <c r="A271" s="91">
        <v>70601.0</v>
      </c>
      <c r="B271" s="99" t="s">
        <v>360</v>
      </c>
      <c r="C271" s="92">
        <v>295.0</v>
      </c>
      <c r="D271" s="94">
        <v>73.0</v>
      </c>
    </row>
    <row r="272">
      <c r="A272" s="91">
        <v>70602.0</v>
      </c>
      <c r="B272" s="99" t="s">
        <v>361</v>
      </c>
      <c r="C272" s="92">
        <v>410.0</v>
      </c>
      <c r="D272" s="94">
        <v>51.0</v>
      </c>
    </row>
    <row r="273">
      <c r="A273" s="91">
        <v>70603.0</v>
      </c>
      <c r="B273" s="99" t="s">
        <v>362</v>
      </c>
      <c r="C273" s="92">
        <v>72.0</v>
      </c>
      <c r="D273" s="94">
        <v>30.0</v>
      </c>
    </row>
    <row r="274">
      <c r="A274" s="91">
        <v>70701.0</v>
      </c>
      <c r="B274" s="99" t="s">
        <v>364</v>
      </c>
      <c r="C274" s="92">
        <v>148.0</v>
      </c>
      <c r="D274" s="94">
        <v>17.0</v>
      </c>
    </row>
    <row r="275">
      <c r="A275" s="91">
        <v>70702.0</v>
      </c>
      <c r="B275" s="99" t="s">
        <v>365</v>
      </c>
      <c r="C275" s="92">
        <v>1130.0</v>
      </c>
      <c r="D275" s="94">
        <v>509.0</v>
      </c>
    </row>
    <row r="276">
      <c r="A276" s="91">
        <v>70703.0</v>
      </c>
      <c r="B276" s="99" t="s">
        <v>366</v>
      </c>
      <c r="C276" s="92">
        <v>698.0</v>
      </c>
      <c r="D276" s="94">
        <v>436.0</v>
      </c>
    </row>
    <row r="277">
      <c r="A277" s="91">
        <v>70704.0</v>
      </c>
      <c r="B277" s="99" t="s">
        <v>367</v>
      </c>
      <c r="C277" s="92">
        <v>97.0</v>
      </c>
      <c r="D277" s="94">
        <v>7.0</v>
      </c>
    </row>
    <row r="278">
      <c r="A278" s="91">
        <v>70705.0</v>
      </c>
      <c r="B278" s="99" t="s">
        <v>368</v>
      </c>
      <c r="C278" s="92">
        <v>309.0</v>
      </c>
      <c r="D278" s="94">
        <v>85.0</v>
      </c>
    </row>
    <row r="279">
      <c r="A279" s="91">
        <v>70706.0</v>
      </c>
      <c r="B279" s="99" t="s">
        <v>369</v>
      </c>
      <c r="C279" s="92">
        <v>387.0</v>
      </c>
      <c r="D279" s="94">
        <v>39.0</v>
      </c>
    </row>
    <row r="280">
      <c r="A280" s="91">
        <v>70707.0</v>
      </c>
      <c r="B280" s="99" t="s">
        <v>370</v>
      </c>
      <c r="C280" s="92">
        <v>114.0</v>
      </c>
      <c r="D280" s="94">
        <v>105.0</v>
      </c>
    </row>
    <row r="281">
      <c r="A281" s="91">
        <v>70801.0</v>
      </c>
      <c r="B281" s="99" t="s">
        <v>372</v>
      </c>
      <c r="C281" s="92">
        <v>143.0</v>
      </c>
      <c r="D281" s="94">
        <v>10.0</v>
      </c>
    </row>
    <row r="282">
      <c r="A282" s="91">
        <v>70802.0</v>
      </c>
      <c r="B282" s="99" t="s">
        <v>373</v>
      </c>
      <c r="C282" s="92">
        <v>38.0</v>
      </c>
      <c r="D282" s="94">
        <v>4.0</v>
      </c>
    </row>
    <row r="283">
      <c r="A283" s="91">
        <v>70803.0</v>
      </c>
      <c r="B283" s="99" t="s">
        <v>374</v>
      </c>
      <c r="C283" s="92">
        <v>17.0</v>
      </c>
      <c r="D283" s="94">
        <v>1.0</v>
      </c>
    </row>
    <row r="284">
      <c r="A284" s="91">
        <v>70804.0</v>
      </c>
      <c r="B284" s="99" t="s">
        <v>375</v>
      </c>
      <c r="C284" s="92">
        <v>43.0</v>
      </c>
      <c r="D284" s="94">
        <v>5.0</v>
      </c>
    </row>
    <row r="285">
      <c r="A285" s="91">
        <v>70805.0</v>
      </c>
      <c r="B285" s="99" t="s">
        <v>376</v>
      </c>
      <c r="C285" s="92">
        <v>18.0</v>
      </c>
      <c r="D285" s="94">
        <v>1.0</v>
      </c>
    </row>
    <row r="286">
      <c r="A286" s="91">
        <v>70901.0</v>
      </c>
      <c r="B286" s="99" t="s">
        <v>378</v>
      </c>
      <c r="C286" s="92">
        <v>106.0</v>
      </c>
      <c r="D286" s="94">
        <v>34.0</v>
      </c>
    </row>
    <row r="287">
      <c r="A287" s="91">
        <v>70902.0</v>
      </c>
      <c r="B287" s="99" t="s">
        <v>379</v>
      </c>
      <c r="C287" s="92">
        <v>131.0</v>
      </c>
      <c r="D287" s="94">
        <v>33.0</v>
      </c>
    </row>
    <row r="288">
      <c r="A288" s="91">
        <v>70903.0</v>
      </c>
      <c r="B288" s="99" t="s">
        <v>380</v>
      </c>
      <c r="C288" s="92">
        <v>127.0</v>
      </c>
      <c r="D288" s="94">
        <v>32.0</v>
      </c>
    </row>
    <row r="289">
      <c r="A289" s="91">
        <v>70904.0</v>
      </c>
      <c r="B289" s="99" t="s">
        <v>381</v>
      </c>
      <c r="C289" s="92">
        <v>33.0</v>
      </c>
      <c r="D289" s="94">
        <v>12.0</v>
      </c>
    </row>
    <row r="290">
      <c r="A290" s="91">
        <v>71001.0</v>
      </c>
      <c r="B290" s="99" t="s">
        <v>383</v>
      </c>
      <c r="C290" s="92">
        <v>1523.0</v>
      </c>
      <c r="D290" s="94">
        <v>253.0</v>
      </c>
    </row>
    <row r="291">
      <c r="A291" s="91">
        <v>71002.0</v>
      </c>
      <c r="B291" s="99" t="s">
        <v>384</v>
      </c>
      <c r="C291" s="92">
        <v>290.0</v>
      </c>
      <c r="D291" s="94">
        <v>89.0</v>
      </c>
    </row>
    <row r="292">
      <c r="A292" s="91">
        <v>71003.0</v>
      </c>
      <c r="B292" s="99" t="s">
        <v>385</v>
      </c>
      <c r="C292" s="92">
        <v>480.0</v>
      </c>
      <c r="D292" s="94">
        <v>96.0</v>
      </c>
    </row>
    <row r="293">
      <c r="A293" s="91">
        <v>71004.0</v>
      </c>
      <c r="B293" s="99" t="s">
        <v>386</v>
      </c>
      <c r="C293" s="92">
        <v>265.0</v>
      </c>
      <c r="D293" s="94">
        <v>43.0</v>
      </c>
    </row>
    <row r="294">
      <c r="A294" s="91">
        <v>71005.0</v>
      </c>
      <c r="B294" s="99" t="s">
        <v>285</v>
      </c>
      <c r="C294" s="92">
        <v>353.0</v>
      </c>
      <c r="D294" s="94">
        <v>52.0</v>
      </c>
    </row>
    <row r="295">
      <c r="A295" s="91">
        <v>71101.0</v>
      </c>
      <c r="B295" s="99" t="s">
        <v>388</v>
      </c>
      <c r="C295" s="92">
        <v>569.0</v>
      </c>
      <c r="D295" s="94">
        <v>266.0</v>
      </c>
    </row>
    <row r="296">
      <c r="A296" s="91">
        <v>71102.0</v>
      </c>
      <c r="B296" s="99" t="s">
        <v>389</v>
      </c>
      <c r="C296" s="92">
        <v>555.0</v>
      </c>
      <c r="D296" s="94">
        <v>139.0</v>
      </c>
    </row>
    <row r="297">
      <c r="A297" s="91">
        <v>71103.0</v>
      </c>
      <c r="B297" s="99" t="s">
        <v>392</v>
      </c>
      <c r="C297" s="92">
        <v>243.0</v>
      </c>
      <c r="D297" s="94">
        <v>67.0</v>
      </c>
    </row>
    <row r="298">
      <c r="A298" s="91">
        <v>71104.0</v>
      </c>
      <c r="B298" s="99" t="s">
        <v>390</v>
      </c>
      <c r="C298" s="92">
        <v>924.0</v>
      </c>
      <c r="D298" s="94">
        <v>174.0</v>
      </c>
    </row>
    <row r="299">
      <c r="A299" s="91">
        <v>71105.0</v>
      </c>
      <c r="B299" s="99" t="s">
        <v>391</v>
      </c>
      <c r="C299" s="92">
        <v>120.0</v>
      </c>
      <c r="D299" s="94">
        <v>29.0</v>
      </c>
    </row>
    <row r="300">
      <c r="A300" s="91">
        <v>71106.0</v>
      </c>
      <c r="B300" s="99" t="s">
        <v>393</v>
      </c>
      <c r="C300" s="92">
        <v>514.0</v>
      </c>
      <c r="D300" s="94">
        <v>358.0</v>
      </c>
    </row>
    <row r="301">
      <c r="A301" s="91">
        <v>71201.0</v>
      </c>
      <c r="B301" s="99" t="s">
        <v>395</v>
      </c>
      <c r="C301" s="92">
        <v>541.0</v>
      </c>
      <c r="D301" s="94">
        <v>212.0</v>
      </c>
    </row>
    <row r="302">
      <c r="A302" s="91">
        <v>71301.0</v>
      </c>
      <c r="B302" s="99" t="s">
        <v>397</v>
      </c>
      <c r="C302" s="92">
        <v>173.0</v>
      </c>
      <c r="D302" s="94">
        <v>36.0</v>
      </c>
    </row>
    <row r="303">
      <c r="A303" s="91">
        <v>71302.0</v>
      </c>
      <c r="B303" s="99" t="s">
        <v>398</v>
      </c>
      <c r="C303" s="92">
        <v>57.0</v>
      </c>
      <c r="D303" s="94">
        <v>13.0</v>
      </c>
    </row>
    <row r="304">
      <c r="A304" s="91">
        <v>71401.0</v>
      </c>
      <c r="B304" s="99" t="s">
        <v>400</v>
      </c>
      <c r="C304" s="92">
        <v>198.0</v>
      </c>
      <c r="D304" s="94">
        <v>85.0</v>
      </c>
    </row>
    <row r="305">
      <c r="A305" s="91">
        <v>71402.0</v>
      </c>
      <c r="B305" s="99" t="s">
        <v>401</v>
      </c>
      <c r="C305" s="92">
        <v>202.0</v>
      </c>
      <c r="D305" s="94">
        <v>149.0</v>
      </c>
    </row>
    <row r="306">
      <c r="A306" s="91">
        <v>71403.0</v>
      </c>
      <c r="B306" s="99" t="s">
        <v>402</v>
      </c>
      <c r="C306" s="92">
        <v>132.0</v>
      </c>
      <c r="D306" s="94">
        <v>175.0</v>
      </c>
    </row>
    <row r="307">
      <c r="A307" s="91">
        <v>71501.0</v>
      </c>
      <c r="B307" s="99" t="s">
        <v>404</v>
      </c>
      <c r="C307" s="92">
        <v>712.0</v>
      </c>
      <c r="D307" s="94">
        <v>278.0</v>
      </c>
    </row>
    <row r="308">
      <c r="A308" s="91">
        <v>71502.0</v>
      </c>
      <c r="B308" s="99" t="s">
        <v>405</v>
      </c>
      <c r="C308" s="92">
        <v>93.0</v>
      </c>
      <c r="D308" s="94">
        <v>24.0</v>
      </c>
    </row>
    <row r="309">
      <c r="A309" s="91">
        <v>71503.0</v>
      </c>
      <c r="B309" s="99" t="s">
        <v>335</v>
      </c>
      <c r="C309" s="92">
        <v>416.0</v>
      </c>
      <c r="D309" s="94">
        <v>133.0</v>
      </c>
    </row>
    <row r="310">
      <c r="A310" s="91">
        <v>80101.0</v>
      </c>
      <c r="B310" s="99" t="s">
        <v>407</v>
      </c>
      <c r="C310" s="92">
        <v>1350.0</v>
      </c>
      <c r="D310" s="94">
        <v>150.0</v>
      </c>
    </row>
    <row r="311">
      <c r="A311" s="91">
        <v>80102.0</v>
      </c>
      <c r="B311" s="99" t="s">
        <v>389</v>
      </c>
      <c r="C311" s="92">
        <v>132.0</v>
      </c>
      <c r="D311" s="94">
        <v>159.0</v>
      </c>
    </row>
    <row r="312">
      <c r="A312" s="91">
        <v>80201.0</v>
      </c>
      <c r="B312" s="99" t="s">
        <v>409</v>
      </c>
      <c r="C312" s="92">
        <v>964.0</v>
      </c>
      <c r="D312" s="94">
        <v>161.0</v>
      </c>
    </row>
    <row r="313">
      <c r="A313" s="91">
        <v>80202.0</v>
      </c>
      <c r="B313" s="99" t="s">
        <v>410</v>
      </c>
      <c r="C313" s="92">
        <v>671.0</v>
      </c>
      <c r="D313" s="94">
        <v>190.0</v>
      </c>
    </row>
    <row r="314">
      <c r="A314" s="91">
        <v>80301.0</v>
      </c>
      <c r="B314" s="99" t="s">
        <v>412</v>
      </c>
      <c r="C314" s="92">
        <v>238.0</v>
      </c>
      <c r="D314" s="94">
        <v>68.0</v>
      </c>
    </row>
    <row r="315">
      <c r="A315" s="91">
        <v>80302.0</v>
      </c>
      <c r="B315" s="99" t="s">
        <v>413</v>
      </c>
      <c r="C315" s="92">
        <v>1828.0</v>
      </c>
      <c r="D315" s="94">
        <v>495.0</v>
      </c>
    </row>
    <row r="316">
      <c r="A316" s="91">
        <v>80303.0</v>
      </c>
      <c r="B316" s="99" t="s">
        <v>361</v>
      </c>
      <c r="C316" s="92">
        <v>209.0</v>
      </c>
      <c r="D316" s="94">
        <v>78.0</v>
      </c>
    </row>
    <row r="317">
      <c r="A317" s="91">
        <v>80304.0</v>
      </c>
      <c r="B317" s="99" t="s">
        <v>414</v>
      </c>
      <c r="C317" s="92">
        <v>319.0</v>
      </c>
      <c r="D317" s="94">
        <v>82.0</v>
      </c>
    </row>
    <row r="318">
      <c r="A318" s="91">
        <v>80401.0</v>
      </c>
      <c r="B318" s="99" t="s">
        <v>416</v>
      </c>
      <c r="C318" s="92">
        <v>461.0</v>
      </c>
      <c r="D318" s="94">
        <v>210.0</v>
      </c>
    </row>
    <row r="319">
      <c r="A319" s="91">
        <v>80402.0</v>
      </c>
      <c r="B319" s="99" t="s">
        <v>417</v>
      </c>
      <c r="C319" s="92">
        <v>287.0</v>
      </c>
      <c r="D319" s="94">
        <v>115.0</v>
      </c>
    </row>
    <row r="320">
      <c r="A320" s="91">
        <v>80501.0</v>
      </c>
      <c r="B320" s="99" t="s">
        <v>347</v>
      </c>
      <c r="C320" s="92">
        <v>386.0</v>
      </c>
      <c r="D320" s="94">
        <v>159.0</v>
      </c>
    </row>
    <row r="321">
      <c r="A321" s="91">
        <v>80601.0</v>
      </c>
      <c r="B321" s="99" t="s">
        <v>420</v>
      </c>
      <c r="C321" s="92">
        <v>114.0</v>
      </c>
      <c r="D321" s="94">
        <v>60.0</v>
      </c>
    </row>
    <row r="322">
      <c r="A322" s="91">
        <v>80602.0</v>
      </c>
      <c r="B322" s="99" t="s">
        <v>421</v>
      </c>
      <c r="C322" s="92">
        <v>154.0</v>
      </c>
      <c r="D322" s="94">
        <v>56.0</v>
      </c>
    </row>
    <row r="323">
      <c r="A323" s="91">
        <v>80701.0</v>
      </c>
      <c r="B323" s="99" t="s">
        <v>423</v>
      </c>
      <c r="C323" s="92">
        <v>143.0</v>
      </c>
      <c r="D323" s="94">
        <v>55.0</v>
      </c>
    </row>
    <row r="324">
      <c r="A324" s="91">
        <v>80702.0</v>
      </c>
      <c r="B324" s="99" t="s">
        <v>392</v>
      </c>
      <c r="C324" s="92">
        <v>57.0</v>
      </c>
      <c r="D324" s="94">
        <v>18.0</v>
      </c>
    </row>
    <row r="325">
      <c r="A325" s="91">
        <v>80703.0</v>
      </c>
      <c r="B325" s="99" t="s">
        <v>424</v>
      </c>
      <c r="C325" s="92">
        <v>24.0</v>
      </c>
      <c r="D325" s="94">
        <v>15.0</v>
      </c>
    </row>
    <row r="326">
      <c r="A326" s="91">
        <v>80801.0</v>
      </c>
      <c r="B326" s="99" t="s">
        <v>426</v>
      </c>
      <c r="C326" s="92">
        <v>210.0</v>
      </c>
      <c r="D326" s="94">
        <v>27.0</v>
      </c>
    </row>
    <row r="327">
      <c r="A327" s="91">
        <v>80802.0</v>
      </c>
      <c r="B327" s="99" t="s">
        <v>427</v>
      </c>
      <c r="C327" s="92">
        <v>76.0</v>
      </c>
      <c r="D327" s="94">
        <v>36.0</v>
      </c>
    </row>
    <row r="328">
      <c r="A328" s="91">
        <v>80803.0</v>
      </c>
      <c r="B328" s="99" t="s">
        <v>428</v>
      </c>
      <c r="C328" s="92">
        <v>41.0</v>
      </c>
      <c r="D328" s="94">
        <v>23.0</v>
      </c>
    </row>
    <row r="329">
      <c r="A329" s="91">
        <v>80901.0</v>
      </c>
      <c r="B329" s="99" t="s">
        <v>471</v>
      </c>
      <c r="C329" s="92">
        <v>111.0</v>
      </c>
      <c r="D329" s="94">
        <v>71.0</v>
      </c>
    </row>
    <row r="330">
      <c r="A330" s="91">
        <v>90101.0</v>
      </c>
      <c r="B330" s="99" t="s">
        <v>433</v>
      </c>
      <c r="C330" s="92">
        <v>382.0</v>
      </c>
      <c r="D330" s="94">
        <v>90.0</v>
      </c>
    </row>
    <row r="331">
      <c r="A331" s="91">
        <v>90102.0</v>
      </c>
      <c r="B331" s="99" t="s">
        <v>434</v>
      </c>
      <c r="C331" s="92">
        <v>107.0</v>
      </c>
      <c r="D331" s="94">
        <v>18.0</v>
      </c>
    </row>
    <row r="332">
      <c r="A332" s="91">
        <v>90103.0</v>
      </c>
      <c r="B332" s="99" t="s">
        <v>435</v>
      </c>
      <c r="C332" s="92">
        <v>48.0</v>
      </c>
      <c r="D332" s="94">
        <v>9.0</v>
      </c>
    </row>
    <row r="333">
      <c r="A333" s="91">
        <v>90104.0</v>
      </c>
      <c r="B333" s="99" t="s">
        <v>436</v>
      </c>
      <c r="C333" s="92">
        <v>71.0</v>
      </c>
      <c r="D333" s="94">
        <v>22.0</v>
      </c>
    </row>
    <row r="334">
      <c r="A334" s="91">
        <v>90201.0</v>
      </c>
      <c r="B334" s="99" t="s">
        <v>438</v>
      </c>
      <c r="C334" s="92">
        <v>153.0</v>
      </c>
      <c r="D334" s="94">
        <v>21.0</v>
      </c>
    </row>
    <row r="335">
      <c r="A335" s="91">
        <v>90202.0</v>
      </c>
      <c r="B335" s="99" t="s">
        <v>285</v>
      </c>
      <c r="C335" s="92">
        <v>81.0</v>
      </c>
      <c r="D335" s="94">
        <v>12.0</v>
      </c>
    </row>
    <row r="336">
      <c r="A336" s="91">
        <v>90203.0</v>
      </c>
      <c r="B336" s="99" t="s">
        <v>439</v>
      </c>
      <c r="C336" s="92">
        <v>114.0</v>
      </c>
      <c r="D336" s="94">
        <v>34.0</v>
      </c>
    </row>
    <row r="337">
      <c r="A337" s="91">
        <v>90301.0</v>
      </c>
      <c r="B337" s="99" t="s">
        <v>441</v>
      </c>
      <c r="C337" s="92">
        <v>153.0</v>
      </c>
      <c r="D337" s="94">
        <v>31.0</v>
      </c>
    </row>
    <row r="338">
      <c r="A338" s="91">
        <v>90302.0</v>
      </c>
      <c r="B338" s="99" t="s">
        <v>334</v>
      </c>
      <c r="C338" s="92">
        <v>178.0</v>
      </c>
      <c r="D338" s="94">
        <v>75.0</v>
      </c>
    </row>
    <row r="339">
      <c r="A339" s="91">
        <v>90303.0</v>
      </c>
      <c r="B339" s="99" t="s">
        <v>442</v>
      </c>
      <c r="C339" s="92">
        <v>153.0</v>
      </c>
      <c r="D339" s="94">
        <v>45.0</v>
      </c>
    </row>
    <row r="340">
      <c r="A340" s="91">
        <v>90401.0</v>
      </c>
      <c r="B340" s="99" t="s">
        <v>361</v>
      </c>
      <c r="C340" s="92">
        <v>57.0</v>
      </c>
      <c r="D340" s="94">
        <v>17.0</v>
      </c>
    </row>
    <row r="341">
      <c r="A341" s="91">
        <v>90402.0</v>
      </c>
      <c r="B341" s="99" t="s">
        <v>104</v>
      </c>
      <c r="C341" s="92">
        <v>79.0</v>
      </c>
      <c r="D341" s="94">
        <v>11.0</v>
      </c>
    </row>
    <row r="342">
      <c r="A342" s="91">
        <v>90501.0</v>
      </c>
      <c r="B342" s="99" t="s">
        <v>445</v>
      </c>
      <c r="C342" s="92">
        <v>40.0</v>
      </c>
      <c r="D342" s="94">
        <v>4.0</v>
      </c>
    </row>
    <row r="343">
      <c r="A343" s="91">
        <v>90502.0</v>
      </c>
      <c r="B343" s="99" t="s">
        <v>446</v>
      </c>
      <c r="C343" s="92">
        <v>72.0</v>
      </c>
      <c r="D343" s="94">
        <v>8.0</v>
      </c>
    </row>
    <row r="344">
      <c r="A344" s="91">
        <v>90503.0</v>
      </c>
      <c r="B344" s="99" t="s">
        <v>447</v>
      </c>
      <c r="C344" s="92">
        <v>59.0</v>
      </c>
      <c r="D344" s="94">
        <v>10.0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2" t="s">
        <v>476</v>
      </c>
      <c r="B1" s="82" t="s">
        <v>20</v>
      </c>
      <c r="C1" s="82" t="s">
        <v>472</v>
      </c>
      <c r="D1" s="82" t="s">
        <v>473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>
      <c r="A2" s="101">
        <v>1.0</v>
      </c>
      <c r="B2" s="101" t="s">
        <v>21</v>
      </c>
      <c r="C2" s="102">
        <v>91.55982737088385</v>
      </c>
      <c r="D2" s="102">
        <v>97.67349512975638</v>
      </c>
    </row>
    <row r="3">
      <c r="A3" s="101">
        <v>2.0</v>
      </c>
      <c r="B3" s="101" t="s">
        <v>59</v>
      </c>
      <c r="C3" s="102">
        <v>92.64581702055793</v>
      </c>
      <c r="D3" s="102">
        <v>97.28454473139423</v>
      </c>
    </row>
    <row r="4">
      <c r="A4" s="101">
        <v>3.0</v>
      </c>
      <c r="B4" s="101" t="s">
        <v>165</v>
      </c>
      <c r="C4" s="102">
        <v>89.89843126827971</v>
      </c>
      <c r="D4" s="102">
        <v>97.4959732542873</v>
      </c>
    </row>
    <row r="5">
      <c r="A5" s="101">
        <v>4.0</v>
      </c>
      <c r="B5" s="101" t="s">
        <v>219</v>
      </c>
      <c r="C5" s="102">
        <v>91.61117038890319</v>
      </c>
      <c r="D5" s="102">
        <v>97.0962456021977</v>
      </c>
    </row>
    <row r="6">
      <c r="A6" s="101">
        <v>5.0</v>
      </c>
      <c r="B6" s="101" t="s">
        <v>265</v>
      </c>
      <c r="C6" s="102">
        <v>90.03538480980666</v>
      </c>
      <c r="D6" s="102">
        <v>97.3825247111727</v>
      </c>
    </row>
    <row r="7">
      <c r="A7" s="101">
        <v>6.0</v>
      </c>
      <c r="B7" s="101" t="s">
        <v>322</v>
      </c>
      <c r="C7" s="102">
        <v>92.4978203126584</v>
      </c>
      <c r="D7" s="102">
        <v>97.00791012266421</v>
      </c>
    </row>
    <row r="8">
      <c r="A8" s="101">
        <v>7.0</v>
      </c>
      <c r="B8" s="101" t="s">
        <v>337</v>
      </c>
      <c r="C8" s="102">
        <v>84.0803897274541</v>
      </c>
      <c r="D8" s="102">
        <v>94.41186768783732</v>
      </c>
    </row>
    <row r="9">
      <c r="A9" s="101">
        <v>8.0</v>
      </c>
      <c r="B9" s="101" t="s">
        <v>406</v>
      </c>
      <c r="C9" s="102">
        <v>85.48736327322956</v>
      </c>
      <c r="D9" s="102">
        <v>95.07885320492998</v>
      </c>
    </row>
    <row r="10">
      <c r="A10" s="103">
        <v>9.0</v>
      </c>
      <c r="B10" s="103" t="s">
        <v>431</v>
      </c>
      <c r="C10" s="104">
        <v>88.20391627278865</v>
      </c>
      <c r="D10" s="104">
        <v>96.6341382732385</v>
      </c>
    </row>
    <row r="11" ht="15.0" customHeight="1">
      <c r="A11" s="101">
        <v>10.0</v>
      </c>
      <c r="B11" s="101" t="s">
        <v>326</v>
      </c>
      <c r="C11" s="93">
        <v>89.45716975211798</v>
      </c>
      <c r="D11" s="93">
        <v>95.94766799762128</v>
      </c>
    </row>
    <row r="12" ht="15.0" customHeight="1">
      <c r="A12" s="101">
        <v>11.0</v>
      </c>
      <c r="B12" s="101" t="s">
        <v>17</v>
      </c>
      <c r="C12" s="93">
        <v>89.03375895180096</v>
      </c>
      <c r="D12" s="93">
        <v>96.35755796083771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2" t="s">
        <v>476</v>
      </c>
      <c r="B1" s="82" t="s">
        <v>20</v>
      </c>
      <c r="C1" s="82" t="s">
        <v>474</v>
      </c>
      <c r="D1" s="82" t="s">
        <v>475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101">
        <v>1.0</v>
      </c>
      <c r="B2" s="101" t="s">
        <v>21</v>
      </c>
      <c r="C2" s="92">
        <v>5339.0</v>
      </c>
      <c r="D2" s="94">
        <v>996.0</v>
      </c>
    </row>
    <row r="3">
      <c r="A3" s="101">
        <v>2.0</v>
      </c>
      <c r="B3" s="101" t="s">
        <v>59</v>
      </c>
      <c r="C3" s="92">
        <v>19160.0</v>
      </c>
      <c r="D3" s="94">
        <v>5496.0</v>
      </c>
    </row>
    <row r="4">
      <c r="A4" s="101">
        <v>3.0</v>
      </c>
      <c r="B4" s="101" t="s">
        <v>165</v>
      </c>
      <c r="C4" s="92">
        <v>18996.0</v>
      </c>
      <c r="D4" s="94">
        <v>3700.0</v>
      </c>
    </row>
    <row r="5">
      <c r="A5" s="101">
        <v>4.0</v>
      </c>
      <c r="B5" s="101" t="s">
        <v>219</v>
      </c>
      <c r="C5" s="92">
        <v>4560.0</v>
      </c>
      <c r="D5" s="94">
        <v>1205.0</v>
      </c>
    </row>
    <row r="6">
      <c r="A6" s="101">
        <v>5.0</v>
      </c>
      <c r="B6" s="101" t="s">
        <v>265</v>
      </c>
      <c r="C6" s="92">
        <v>9462.0</v>
      </c>
      <c r="D6" s="94">
        <v>1851.0</v>
      </c>
    </row>
    <row r="7">
      <c r="A7" s="101">
        <v>6.0</v>
      </c>
      <c r="B7" s="101" t="s">
        <v>322</v>
      </c>
      <c r="C7" s="92">
        <v>3700.0</v>
      </c>
      <c r="D7" s="94">
        <v>1044.0</v>
      </c>
      <c r="F7" s="87"/>
      <c r="G7" s="87"/>
    </row>
    <row r="8">
      <c r="A8" s="101">
        <v>7.0</v>
      </c>
      <c r="B8" s="101" t="s">
        <v>337</v>
      </c>
      <c r="C8" s="92">
        <v>47155.0</v>
      </c>
      <c r="D8" s="94">
        <v>13885.0</v>
      </c>
    </row>
    <row r="9">
      <c r="A9" s="101">
        <v>8.0</v>
      </c>
      <c r="B9" s="101" t="s">
        <v>406</v>
      </c>
      <c r="C9" s="92">
        <v>7775.0</v>
      </c>
      <c r="D9" s="94">
        <v>2228.0</v>
      </c>
    </row>
    <row r="10">
      <c r="A10" s="101">
        <v>9.0</v>
      </c>
      <c r="B10" s="101" t="s">
        <v>431</v>
      </c>
      <c r="C10" s="92">
        <v>1747.0</v>
      </c>
      <c r="D10" s="94">
        <v>407.0</v>
      </c>
    </row>
    <row r="11" ht="15.0" customHeight="1">
      <c r="A11" s="101">
        <v>10.0</v>
      </c>
      <c r="B11" s="101" t="s">
        <v>326</v>
      </c>
      <c r="C11" s="92">
        <v>1680.0</v>
      </c>
      <c r="D11" s="92">
        <v>477.0</v>
      </c>
    </row>
    <row r="12" ht="15.0" customHeight="1">
      <c r="A12" s="101">
        <v>11.0</v>
      </c>
      <c r="B12" s="101" t="s">
        <v>17</v>
      </c>
      <c r="C12" s="92">
        <v>117894.0</v>
      </c>
      <c r="D12" s="94">
        <v>30812.0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1" max="11" width="26.43"/>
  </cols>
  <sheetData>
    <row r="1">
      <c r="A1" s="105" t="s">
        <v>477</v>
      </c>
      <c r="B1" s="105" t="s">
        <v>478</v>
      </c>
      <c r="C1" s="106" t="s">
        <v>479</v>
      </c>
      <c r="D1" s="106" t="s">
        <v>480</v>
      </c>
      <c r="E1" s="107" t="s">
        <v>481</v>
      </c>
      <c r="F1" s="107" t="s">
        <v>482</v>
      </c>
      <c r="G1" s="108" t="s">
        <v>483</v>
      </c>
      <c r="H1" s="108" t="s">
        <v>484</v>
      </c>
      <c r="I1" s="109" t="s">
        <v>485</v>
      </c>
      <c r="J1" s="109" t="s">
        <v>486</v>
      </c>
      <c r="K1" s="110" t="s">
        <v>487</v>
      </c>
    </row>
    <row r="2">
      <c r="A2" s="111">
        <v>16.0</v>
      </c>
      <c r="B2" s="112" t="s">
        <v>488</v>
      </c>
      <c r="C2" s="111">
        <v>100.0</v>
      </c>
      <c r="D2" s="113">
        <v>98.0</v>
      </c>
      <c r="E2" s="113">
        <v>98.0</v>
      </c>
      <c r="F2" s="113">
        <v>86.5</v>
      </c>
      <c r="G2" s="113">
        <v>86.5</v>
      </c>
      <c r="H2" s="113">
        <v>75.0</v>
      </c>
      <c r="I2" s="113">
        <v>75.0</v>
      </c>
      <c r="J2" s="111">
        <v>0.0</v>
      </c>
      <c r="K2" s="114" t="s">
        <v>489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2025-09-05T18:42:09Z</dcterms:created>
  <dc:creator>Instituto Nacional de Estadística</dc:creator>
</cp:coreProperties>
</file>