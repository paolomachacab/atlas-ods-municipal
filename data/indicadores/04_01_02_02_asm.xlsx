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ods_paolo\"/>
    </mc:Choice>
  </mc:AlternateContent>
  <xr:revisionPtr revIDLastSave="0" documentId="8_{B8407626-98E9-4D6C-B548-01EEF2A20509}" xr6:coauthVersionLast="47" xr6:coauthVersionMax="47" xr10:uidLastSave="{00000000-0000-0000-0000-000000000000}"/>
  <bookViews>
    <workbookView xWindow="-108" yWindow="-108" windowWidth="23256" windowHeight="12456" activeTab="6" xr2:uid="{1F0CCE29-C528-4204-AA1E-F32404105712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Mapa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12" i="1" l="1"/>
  <c r="AT12" i="1" s="1"/>
  <c r="AR12" i="1"/>
  <c r="AU12" i="1" s="1"/>
  <c r="AP12" i="1"/>
  <c r="AS12" i="1" s="1"/>
  <c r="AV12" i="1" s="1"/>
  <c r="AN12" i="1"/>
  <c r="AO12" i="1"/>
  <c r="AM12" i="1"/>
  <c r="AG12" i="1"/>
  <c r="AJ12" i="1" s="1"/>
  <c r="AH12" i="1"/>
  <c r="AK12" i="1" s="1"/>
  <c r="AF12" i="1"/>
  <c r="AI12" i="1" s="1"/>
  <c r="AD12" i="1"/>
  <c r="AE12" i="1"/>
  <c r="AC12" i="1"/>
  <c r="V2" i="1"/>
  <c r="X344" i="1"/>
  <c r="W344" i="1"/>
  <c r="V344" i="1"/>
  <c r="N344" i="1"/>
  <c r="M344" i="1"/>
  <c r="L344" i="1"/>
  <c r="X343" i="1"/>
  <c r="W343" i="1"/>
  <c r="V343" i="1"/>
  <c r="Y343" i="1" s="1"/>
  <c r="N343" i="1"/>
  <c r="M343" i="1"/>
  <c r="L343" i="1"/>
  <c r="X342" i="1"/>
  <c r="W342" i="1"/>
  <c r="V342" i="1"/>
  <c r="N342" i="1"/>
  <c r="M342" i="1"/>
  <c r="L342" i="1"/>
  <c r="X341" i="1"/>
  <c r="W341" i="1"/>
  <c r="V341" i="1"/>
  <c r="N341" i="1"/>
  <c r="M341" i="1"/>
  <c r="L341" i="1"/>
  <c r="X340" i="1"/>
  <c r="W340" i="1"/>
  <c r="V340" i="1"/>
  <c r="N340" i="1"/>
  <c r="M340" i="1"/>
  <c r="L340" i="1"/>
  <c r="X339" i="1"/>
  <c r="W339" i="1"/>
  <c r="V339" i="1"/>
  <c r="Y339" i="1" s="1"/>
  <c r="N339" i="1"/>
  <c r="M339" i="1"/>
  <c r="L339" i="1"/>
  <c r="X338" i="1"/>
  <c r="W338" i="1"/>
  <c r="V338" i="1"/>
  <c r="N338" i="1"/>
  <c r="M338" i="1"/>
  <c r="L338" i="1"/>
  <c r="X337" i="1"/>
  <c r="W337" i="1"/>
  <c r="V337" i="1"/>
  <c r="N337" i="1"/>
  <c r="M337" i="1"/>
  <c r="L337" i="1"/>
  <c r="X336" i="1"/>
  <c r="W336" i="1"/>
  <c r="V336" i="1"/>
  <c r="N336" i="1"/>
  <c r="M336" i="1"/>
  <c r="L336" i="1"/>
  <c r="X335" i="1"/>
  <c r="W335" i="1"/>
  <c r="V335" i="1"/>
  <c r="N335" i="1"/>
  <c r="M335" i="1"/>
  <c r="L335" i="1"/>
  <c r="X334" i="1"/>
  <c r="W334" i="1"/>
  <c r="V334" i="1"/>
  <c r="N334" i="1"/>
  <c r="M334" i="1"/>
  <c r="L334" i="1"/>
  <c r="X333" i="1"/>
  <c r="W333" i="1"/>
  <c r="V333" i="1"/>
  <c r="N333" i="1"/>
  <c r="M333" i="1"/>
  <c r="L333" i="1"/>
  <c r="X332" i="1"/>
  <c r="W332" i="1"/>
  <c r="V332" i="1"/>
  <c r="N332" i="1"/>
  <c r="M332" i="1"/>
  <c r="L332" i="1"/>
  <c r="X331" i="1"/>
  <c r="W331" i="1"/>
  <c r="V331" i="1"/>
  <c r="N331" i="1"/>
  <c r="M331" i="1"/>
  <c r="L331" i="1"/>
  <c r="X330" i="1"/>
  <c r="W330" i="1"/>
  <c r="V330" i="1"/>
  <c r="N330" i="1"/>
  <c r="M330" i="1"/>
  <c r="L330" i="1"/>
  <c r="U329" i="1"/>
  <c r="T329" i="1"/>
  <c r="AQ9" i="1" s="1"/>
  <c r="S329" i="1"/>
  <c r="R329" i="1"/>
  <c r="Q329" i="1"/>
  <c r="AN9" i="1" s="1"/>
  <c r="P329" i="1"/>
  <c r="AM9" i="1" s="1"/>
  <c r="K329" i="1"/>
  <c r="AH9" i="1" s="1"/>
  <c r="J329" i="1"/>
  <c r="AG9" i="1" s="1"/>
  <c r="I329" i="1"/>
  <c r="H329" i="1"/>
  <c r="AE9" i="1" s="1"/>
  <c r="G329" i="1"/>
  <c r="F329" i="1"/>
  <c r="AC9" i="1" s="1"/>
  <c r="X328" i="1"/>
  <c r="W328" i="1"/>
  <c r="V328" i="1"/>
  <c r="N328" i="1"/>
  <c r="M328" i="1"/>
  <c r="L328" i="1"/>
  <c r="X327" i="1"/>
  <c r="W327" i="1"/>
  <c r="V327" i="1"/>
  <c r="N327" i="1"/>
  <c r="M327" i="1"/>
  <c r="L327" i="1"/>
  <c r="X326" i="1"/>
  <c r="W326" i="1"/>
  <c r="V326" i="1"/>
  <c r="N326" i="1"/>
  <c r="M326" i="1"/>
  <c r="L326" i="1"/>
  <c r="X325" i="1"/>
  <c r="W325" i="1"/>
  <c r="V325" i="1"/>
  <c r="N325" i="1"/>
  <c r="M325" i="1"/>
  <c r="L325" i="1"/>
  <c r="X324" i="1"/>
  <c r="W324" i="1"/>
  <c r="V324" i="1"/>
  <c r="N324" i="1"/>
  <c r="M324" i="1"/>
  <c r="L324" i="1"/>
  <c r="X323" i="1"/>
  <c r="W323" i="1"/>
  <c r="V323" i="1"/>
  <c r="N323" i="1"/>
  <c r="M323" i="1"/>
  <c r="L323" i="1"/>
  <c r="X322" i="1"/>
  <c r="W322" i="1"/>
  <c r="V322" i="1"/>
  <c r="N322" i="1"/>
  <c r="M322" i="1"/>
  <c r="L322" i="1"/>
  <c r="X321" i="1"/>
  <c r="W321" i="1"/>
  <c r="V321" i="1"/>
  <c r="N321" i="1"/>
  <c r="M321" i="1"/>
  <c r="L321" i="1"/>
  <c r="X320" i="1"/>
  <c r="W320" i="1"/>
  <c r="V320" i="1"/>
  <c r="N320" i="1"/>
  <c r="M320" i="1"/>
  <c r="L320" i="1"/>
  <c r="X319" i="1"/>
  <c r="W319" i="1"/>
  <c r="V319" i="1"/>
  <c r="N319" i="1"/>
  <c r="M319" i="1"/>
  <c r="L319" i="1"/>
  <c r="X318" i="1"/>
  <c r="W318" i="1"/>
  <c r="V318" i="1"/>
  <c r="N318" i="1"/>
  <c r="M318" i="1"/>
  <c r="L318" i="1"/>
  <c r="X317" i="1"/>
  <c r="W317" i="1"/>
  <c r="V317" i="1"/>
  <c r="N317" i="1"/>
  <c r="M317" i="1"/>
  <c r="L317" i="1"/>
  <c r="X316" i="1"/>
  <c r="W316" i="1"/>
  <c r="V316" i="1"/>
  <c r="N316" i="1"/>
  <c r="M316" i="1"/>
  <c r="L316" i="1"/>
  <c r="X315" i="1"/>
  <c r="W315" i="1"/>
  <c r="V315" i="1"/>
  <c r="N315" i="1"/>
  <c r="M315" i="1"/>
  <c r="L315" i="1"/>
  <c r="X314" i="1"/>
  <c r="W314" i="1"/>
  <c r="V314" i="1"/>
  <c r="N314" i="1"/>
  <c r="M314" i="1"/>
  <c r="L314" i="1"/>
  <c r="X313" i="1"/>
  <c r="W313" i="1"/>
  <c r="V313" i="1"/>
  <c r="N313" i="1"/>
  <c r="M313" i="1"/>
  <c r="L313" i="1"/>
  <c r="X312" i="1"/>
  <c r="W312" i="1"/>
  <c r="V312" i="1"/>
  <c r="N312" i="1"/>
  <c r="M312" i="1"/>
  <c r="L312" i="1"/>
  <c r="X311" i="1"/>
  <c r="W311" i="1"/>
  <c r="V311" i="1"/>
  <c r="N311" i="1"/>
  <c r="M311" i="1"/>
  <c r="L311" i="1"/>
  <c r="X310" i="1"/>
  <c r="W310" i="1"/>
  <c r="V310" i="1"/>
  <c r="N310" i="1"/>
  <c r="M310" i="1"/>
  <c r="L310" i="1"/>
  <c r="X309" i="1"/>
  <c r="W309" i="1"/>
  <c r="V309" i="1"/>
  <c r="N309" i="1"/>
  <c r="M309" i="1"/>
  <c r="L309" i="1"/>
  <c r="X308" i="1"/>
  <c r="W308" i="1"/>
  <c r="V308" i="1"/>
  <c r="N308" i="1"/>
  <c r="M308" i="1"/>
  <c r="L308" i="1"/>
  <c r="X307" i="1"/>
  <c r="W307" i="1"/>
  <c r="V307" i="1"/>
  <c r="N307" i="1"/>
  <c r="M307" i="1"/>
  <c r="L307" i="1"/>
  <c r="X306" i="1"/>
  <c r="W306" i="1"/>
  <c r="V306" i="1"/>
  <c r="N306" i="1"/>
  <c r="M306" i="1"/>
  <c r="L306" i="1"/>
  <c r="X305" i="1"/>
  <c r="W305" i="1"/>
  <c r="V305" i="1"/>
  <c r="N305" i="1"/>
  <c r="M305" i="1"/>
  <c r="L305" i="1"/>
  <c r="X304" i="1"/>
  <c r="W304" i="1"/>
  <c r="V304" i="1"/>
  <c r="N304" i="1"/>
  <c r="M304" i="1"/>
  <c r="L304" i="1"/>
  <c r="X303" i="1"/>
  <c r="W303" i="1"/>
  <c r="V303" i="1"/>
  <c r="N303" i="1"/>
  <c r="M303" i="1"/>
  <c r="L303" i="1"/>
  <c r="X302" i="1"/>
  <c r="W302" i="1"/>
  <c r="V302" i="1"/>
  <c r="N302" i="1"/>
  <c r="M302" i="1"/>
  <c r="L302" i="1"/>
  <c r="X301" i="1"/>
  <c r="W301" i="1"/>
  <c r="V301" i="1"/>
  <c r="N301" i="1"/>
  <c r="M301" i="1"/>
  <c r="L301" i="1"/>
  <c r="X300" i="1"/>
  <c r="W300" i="1"/>
  <c r="V300" i="1"/>
  <c r="N300" i="1"/>
  <c r="M300" i="1"/>
  <c r="L300" i="1"/>
  <c r="X299" i="1"/>
  <c r="W299" i="1"/>
  <c r="V299" i="1"/>
  <c r="N299" i="1"/>
  <c r="M299" i="1"/>
  <c r="L299" i="1"/>
  <c r="X298" i="1"/>
  <c r="W298" i="1"/>
  <c r="V298" i="1"/>
  <c r="N298" i="1"/>
  <c r="M298" i="1"/>
  <c r="L298" i="1"/>
  <c r="X297" i="1"/>
  <c r="W297" i="1"/>
  <c r="V297" i="1"/>
  <c r="N297" i="1"/>
  <c r="M297" i="1"/>
  <c r="L297" i="1"/>
  <c r="X296" i="1"/>
  <c r="W296" i="1"/>
  <c r="V296" i="1"/>
  <c r="N296" i="1"/>
  <c r="M296" i="1"/>
  <c r="L296" i="1"/>
  <c r="X295" i="1"/>
  <c r="W295" i="1"/>
  <c r="V295" i="1"/>
  <c r="N295" i="1"/>
  <c r="M295" i="1"/>
  <c r="L295" i="1"/>
  <c r="X294" i="1"/>
  <c r="W294" i="1"/>
  <c r="V294" i="1"/>
  <c r="N294" i="1"/>
  <c r="M294" i="1"/>
  <c r="L294" i="1"/>
  <c r="X293" i="1"/>
  <c r="W293" i="1"/>
  <c r="V293" i="1"/>
  <c r="N293" i="1"/>
  <c r="M293" i="1"/>
  <c r="L293" i="1"/>
  <c r="X292" i="1"/>
  <c r="W292" i="1"/>
  <c r="V292" i="1"/>
  <c r="N292" i="1"/>
  <c r="M292" i="1"/>
  <c r="L292" i="1"/>
  <c r="X291" i="1"/>
  <c r="W291" i="1"/>
  <c r="V291" i="1"/>
  <c r="Y291" i="1" s="1"/>
  <c r="N291" i="1"/>
  <c r="M291" i="1"/>
  <c r="L291" i="1"/>
  <c r="X290" i="1"/>
  <c r="W290" i="1"/>
  <c r="V290" i="1"/>
  <c r="N290" i="1"/>
  <c r="M290" i="1"/>
  <c r="L290" i="1"/>
  <c r="X289" i="1"/>
  <c r="W289" i="1"/>
  <c r="V289" i="1"/>
  <c r="N289" i="1"/>
  <c r="M289" i="1"/>
  <c r="L289" i="1"/>
  <c r="X288" i="1"/>
  <c r="W288" i="1"/>
  <c r="V288" i="1"/>
  <c r="N288" i="1"/>
  <c r="M288" i="1"/>
  <c r="L288" i="1"/>
  <c r="X287" i="1"/>
  <c r="W287" i="1"/>
  <c r="V287" i="1"/>
  <c r="N287" i="1"/>
  <c r="M287" i="1"/>
  <c r="L287" i="1"/>
  <c r="X286" i="1"/>
  <c r="W286" i="1"/>
  <c r="V286" i="1"/>
  <c r="N286" i="1"/>
  <c r="M286" i="1"/>
  <c r="L286" i="1"/>
  <c r="X285" i="1"/>
  <c r="W285" i="1"/>
  <c r="V285" i="1"/>
  <c r="N285" i="1"/>
  <c r="M285" i="1"/>
  <c r="L285" i="1"/>
  <c r="X284" i="1"/>
  <c r="W284" i="1"/>
  <c r="V284" i="1"/>
  <c r="N284" i="1"/>
  <c r="M284" i="1"/>
  <c r="L284" i="1"/>
  <c r="X283" i="1"/>
  <c r="W283" i="1"/>
  <c r="V283" i="1"/>
  <c r="N283" i="1"/>
  <c r="M283" i="1"/>
  <c r="L283" i="1"/>
  <c r="X282" i="1"/>
  <c r="W282" i="1"/>
  <c r="V282" i="1"/>
  <c r="N282" i="1"/>
  <c r="M282" i="1"/>
  <c r="L282" i="1"/>
  <c r="X281" i="1"/>
  <c r="W281" i="1"/>
  <c r="V281" i="1"/>
  <c r="N281" i="1"/>
  <c r="M281" i="1"/>
  <c r="L281" i="1"/>
  <c r="X280" i="1"/>
  <c r="W280" i="1"/>
  <c r="V280" i="1"/>
  <c r="N280" i="1"/>
  <c r="M280" i="1"/>
  <c r="L280" i="1"/>
  <c r="X279" i="1"/>
  <c r="W279" i="1"/>
  <c r="V279" i="1"/>
  <c r="N279" i="1"/>
  <c r="M279" i="1"/>
  <c r="L279" i="1"/>
  <c r="X278" i="1"/>
  <c r="W278" i="1"/>
  <c r="V278" i="1"/>
  <c r="N278" i="1"/>
  <c r="M278" i="1"/>
  <c r="L278" i="1"/>
  <c r="X277" i="1"/>
  <c r="W277" i="1"/>
  <c r="V277" i="1"/>
  <c r="N277" i="1"/>
  <c r="M277" i="1"/>
  <c r="L277" i="1"/>
  <c r="X276" i="1"/>
  <c r="W276" i="1"/>
  <c r="V276" i="1"/>
  <c r="N276" i="1"/>
  <c r="M276" i="1"/>
  <c r="L276" i="1"/>
  <c r="X275" i="1"/>
  <c r="W275" i="1"/>
  <c r="V275" i="1"/>
  <c r="Y275" i="1" s="1"/>
  <c r="N275" i="1"/>
  <c r="M275" i="1"/>
  <c r="L275" i="1"/>
  <c r="X274" i="1"/>
  <c r="W274" i="1"/>
  <c r="V274" i="1"/>
  <c r="N274" i="1"/>
  <c r="M274" i="1"/>
  <c r="L274" i="1"/>
  <c r="X273" i="1"/>
  <c r="W273" i="1"/>
  <c r="V273" i="1"/>
  <c r="N273" i="1"/>
  <c r="M273" i="1"/>
  <c r="L273" i="1"/>
  <c r="X272" i="1"/>
  <c r="W272" i="1"/>
  <c r="V272" i="1"/>
  <c r="N272" i="1"/>
  <c r="M272" i="1"/>
  <c r="L272" i="1"/>
  <c r="X271" i="1"/>
  <c r="W271" i="1"/>
  <c r="V271" i="1"/>
  <c r="Y271" i="1" s="1"/>
  <c r="N271" i="1"/>
  <c r="M271" i="1"/>
  <c r="L271" i="1"/>
  <c r="X270" i="1"/>
  <c r="W270" i="1"/>
  <c r="V270" i="1"/>
  <c r="N270" i="1"/>
  <c r="M270" i="1"/>
  <c r="L270" i="1"/>
  <c r="X269" i="1"/>
  <c r="W269" i="1"/>
  <c r="V269" i="1"/>
  <c r="N269" i="1"/>
  <c r="M269" i="1"/>
  <c r="L269" i="1"/>
  <c r="X268" i="1"/>
  <c r="W268" i="1"/>
  <c r="V268" i="1"/>
  <c r="N268" i="1"/>
  <c r="M268" i="1"/>
  <c r="L268" i="1"/>
  <c r="X267" i="1"/>
  <c r="W267" i="1"/>
  <c r="V267" i="1"/>
  <c r="N267" i="1"/>
  <c r="M267" i="1"/>
  <c r="L267" i="1"/>
  <c r="X266" i="1"/>
  <c r="W266" i="1"/>
  <c r="V266" i="1"/>
  <c r="Y266" i="1" s="1"/>
  <c r="N266" i="1"/>
  <c r="M266" i="1"/>
  <c r="L266" i="1"/>
  <c r="X265" i="1"/>
  <c r="W265" i="1"/>
  <c r="V265" i="1"/>
  <c r="N265" i="1"/>
  <c r="M265" i="1"/>
  <c r="L265" i="1"/>
  <c r="X264" i="1"/>
  <c r="W264" i="1"/>
  <c r="V264" i="1"/>
  <c r="N264" i="1"/>
  <c r="M264" i="1"/>
  <c r="L264" i="1"/>
  <c r="X263" i="1"/>
  <c r="W263" i="1"/>
  <c r="V263" i="1"/>
  <c r="N263" i="1"/>
  <c r="M263" i="1"/>
  <c r="L263" i="1"/>
  <c r="X262" i="1"/>
  <c r="W262" i="1"/>
  <c r="V262" i="1"/>
  <c r="Y262" i="1" s="1"/>
  <c r="N262" i="1"/>
  <c r="M262" i="1"/>
  <c r="L262" i="1"/>
  <c r="X261" i="1"/>
  <c r="W261" i="1"/>
  <c r="V261" i="1"/>
  <c r="N261" i="1"/>
  <c r="M261" i="1"/>
  <c r="L261" i="1"/>
  <c r="X260" i="1"/>
  <c r="W260" i="1"/>
  <c r="V260" i="1"/>
  <c r="Y260" i="1" s="1"/>
  <c r="N260" i="1"/>
  <c r="M260" i="1"/>
  <c r="L260" i="1"/>
  <c r="X259" i="1"/>
  <c r="W259" i="1"/>
  <c r="V259" i="1"/>
  <c r="N259" i="1"/>
  <c r="M259" i="1"/>
  <c r="L259" i="1"/>
  <c r="X258" i="1"/>
  <c r="W258" i="1"/>
  <c r="V258" i="1"/>
  <c r="N258" i="1"/>
  <c r="M258" i="1"/>
  <c r="L258" i="1"/>
  <c r="X257" i="1"/>
  <c r="W257" i="1"/>
  <c r="V257" i="1"/>
  <c r="N257" i="1"/>
  <c r="M257" i="1"/>
  <c r="L257" i="1"/>
  <c r="X256" i="1"/>
  <c r="W256" i="1"/>
  <c r="V256" i="1"/>
  <c r="Y256" i="1" s="1"/>
  <c r="N256" i="1"/>
  <c r="M256" i="1"/>
  <c r="L256" i="1"/>
  <c r="X255" i="1"/>
  <c r="W255" i="1"/>
  <c r="V255" i="1"/>
  <c r="N255" i="1"/>
  <c r="M255" i="1"/>
  <c r="L255" i="1"/>
  <c r="X254" i="1"/>
  <c r="W254" i="1"/>
  <c r="V254" i="1"/>
  <c r="N254" i="1"/>
  <c r="M254" i="1"/>
  <c r="L254" i="1"/>
  <c r="X253" i="1"/>
  <c r="W253" i="1"/>
  <c r="V253" i="1"/>
  <c r="N253" i="1"/>
  <c r="M253" i="1"/>
  <c r="L253" i="1"/>
  <c r="X252" i="1"/>
  <c r="W252" i="1"/>
  <c r="V252" i="1"/>
  <c r="Y252" i="1" s="1"/>
  <c r="N252" i="1"/>
  <c r="M252" i="1"/>
  <c r="L252" i="1"/>
  <c r="X251" i="1"/>
  <c r="W251" i="1"/>
  <c r="V251" i="1"/>
  <c r="N251" i="1"/>
  <c r="M251" i="1"/>
  <c r="L251" i="1"/>
  <c r="X250" i="1"/>
  <c r="W250" i="1"/>
  <c r="V250" i="1"/>
  <c r="N250" i="1"/>
  <c r="M250" i="1"/>
  <c r="L250" i="1"/>
  <c r="X249" i="1"/>
  <c r="W249" i="1"/>
  <c r="V249" i="1"/>
  <c r="N249" i="1"/>
  <c r="M249" i="1"/>
  <c r="L249" i="1"/>
  <c r="X248" i="1"/>
  <c r="W248" i="1"/>
  <c r="V248" i="1"/>
  <c r="Y248" i="1" s="1"/>
  <c r="N248" i="1"/>
  <c r="M248" i="1"/>
  <c r="L248" i="1"/>
  <c r="X247" i="1"/>
  <c r="W247" i="1"/>
  <c r="V247" i="1"/>
  <c r="N247" i="1"/>
  <c r="M247" i="1"/>
  <c r="L247" i="1"/>
  <c r="X246" i="1"/>
  <c r="W246" i="1"/>
  <c r="V246" i="1"/>
  <c r="N246" i="1"/>
  <c r="M246" i="1"/>
  <c r="L246" i="1"/>
  <c r="X245" i="1"/>
  <c r="W245" i="1"/>
  <c r="V245" i="1"/>
  <c r="N245" i="1"/>
  <c r="M245" i="1"/>
  <c r="L245" i="1"/>
  <c r="X244" i="1"/>
  <c r="W244" i="1"/>
  <c r="V244" i="1"/>
  <c r="Y244" i="1" s="1"/>
  <c r="N244" i="1"/>
  <c r="M244" i="1"/>
  <c r="L244" i="1"/>
  <c r="X243" i="1"/>
  <c r="W243" i="1"/>
  <c r="V243" i="1"/>
  <c r="N243" i="1"/>
  <c r="M243" i="1"/>
  <c r="L243" i="1"/>
  <c r="X242" i="1"/>
  <c r="W242" i="1"/>
  <c r="V242" i="1"/>
  <c r="N242" i="1"/>
  <c r="M242" i="1"/>
  <c r="L242" i="1"/>
  <c r="X241" i="1"/>
  <c r="W241" i="1"/>
  <c r="Y241" i="1" s="1"/>
  <c r="V241" i="1"/>
  <c r="N241" i="1"/>
  <c r="M241" i="1"/>
  <c r="L241" i="1"/>
  <c r="X240" i="1"/>
  <c r="W240" i="1"/>
  <c r="V240" i="1"/>
  <c r="N240" i="1"/>
  <c r="M240" i="1"/>
  <c r="L240" i="1"/>
  <c r="X239" i="1"/>
  <c r="W239" i="1"/>
  <c r="V239" i="1"/>
  <c r="N239" i="1"/>
  <c r="M239" i="1"/>
  <c r="L239" i="1"/>
  <c r="X238" i="1"/>
  <c r="W238" i="1"/>
  <c r="V238" i="1"/>
  <c r="N238" i="1"/>
  <c r="M238" i="1"/>
  <c r="L238" i="1"/>
  <c r="X237" i="1"/>
  <c r="W237" i="1"/>
  <c r="V237" i="1"/>
  <c r="N237" i="1"/>
  <c r="M237" i="1"/>
  <c r="L237" i="1"/>
  <c r="W236" i="1"/>
  <c r="V236" i="1"/>
  <c r="N236" i="1"/>
  <c r="M236" i="1"/>
  <c r="L236" i="1"/>
  <c r="X235" i="1"/>
  <c r="W235" i="1"/>
  <c r="V235" i="1"/>
  <c r="Y235" i="1" s="1"/>
  <c r="N235" i="1"/>
  <c r="M235" i="1"/>
  <c r="L235" i="1"/>
  <c r="X234" i="1"/>
  <c r="W234" i="1"/>
  <c r="V234" i="1"/>
  <c r="N234" i="1"/>
  <c r="M234" i="1"/>
  <c r="L234" i="1"/>
  <c r="X233" i="1"/>
  <c r="W233" i="1"/>
  <c r="V233" i="1"/>
  <c r="N233" i="1"/>
  <c r="M233" i="1"/>
  <c r="L233" i="1"/>
  <c r="X232" i="1"/>
  <c r="W232" i="1"/>
  <c r="V232" i="1"/>
  <c r="N232" i="1"/>
  <c r="O232" i="1" s="1"/>
  <c r="X231" i="1"/>
  <c r="W231" i="1"/>
  <c r="V231" i="1"/>
  <c r="N231" i="1"/>
  <c r="M231" i="1"/>
  <c r="L231" i="1"/>
  <c r="X230" i="1"/>
  <c r="W230" i="1"/>
  <c r="V230" i="1"/>
  <c r="N230" i="1"/>
  <c r="M230" i="1"/>
  <c r="L230" i="1"/>
  <c r="X229" i="1"/>
  <c r="W229" i="1"/>
  <c r="V229" i="1"/>
  <c r="N229" i="1"/>
  <c r="M229" i="1"/>
  <c r="L229" i="1"/>
  <c r="X228" i="1"/>
  <c r="W228" i="1"/>
  <c r="V228" i="1"/>
  <c r="Y228" i="1" s="1"/>
  <c r="N228" i="1"/>
  <c r="M228" i="1"/>
  <c r="L228" i="1"/>
  <c r="X227" i="1"/>
  <c r="W227" i="1"/>
  <c r="V227" i="1"/>
  <c r="N227" i="1"/>
  <c r="M227" i="1"/>
  <c r="L227" i="1"/>
  <c r="X226" i="1"/>
  <c r="W226" i="1"/>
  <c r="V226" i="1"/>
  <c r="N226" i="1"/>
  <c r="M226" i="1"/>
  <c r="L226" i="1"/>
  <c r="X225" i="1"/>
  <c r="W225" i="1"/>
  <c r="V225" i="1"/>
  <c r="N225" i="1"/>
  <c r="M225" i="1"/>
  <c r="L225" i="1"/>
  <c r="X224" i="1"/>
  <c r="W224" i="1"/>
  <c r="V224" i="1"/>
  <c r="Y224" i="1" s="1"/>
  <c r="N224" i="1"/>
  <c r="M224" i="1"/>
  <c r="L224" i="1"/>
  <c r="X223" i="1"/>
  <c r="W223" i="1"/>
  <c r="V223" i="1"/>
  <c r="N223" i="1"/>
  <c r="M223" i="1"/>
  <c r="L223" i="1"/>
  <c r="X222" i="1"/>
  <c r="W222" i="1"/>
  <c r="V222" i="1"/>
  <c r="N222" i="1"/>
  <c r="M222" i="1"/>
  <c r="L222" i="1"/>
  <c r="X221" i="1"/>
  <c r="W221" i="1"/>
  <c r="V221" i="1"/>
  <c r="N221" i="1"/>
  <c r="M221" i="1"/>
  <c r="L221" i="1"/>
  <c r="X220" i="1"/>
  <c r="W220" i="1"/>
  <c r="V220" i="1"/>
  <c r="N220" i="1"/>
  <c r="M220" i="1"/>
  <c r="L220" i="1"/>
  <c r="X219" i="1"/>
  <c r="W219" i="1"/>
  <c r="V219" i="1"/>
  <c r="N219" i="1"/>
  <c r="M219" i="1"/>
  <c r="L219" i="1"/>
  <c r="X218" i="1"/>
  <c r="W218" i="1"/>
  <c r="V218" i="1"/>
  <c r="N218" i="1"/>
  <c r="M218" i="1"/>
  <c r="L218" i="1"/>
  <c r="X217" i="1"/>
  <c r="W217" i="1"/>
  <c r="V217" i="1"/>
  <c r="N217" i="1"/>
  <c r="M217" i="1"/>
  <c r="L217" i="1"/>
  <c r="X216" i="1"/>
  <c r="W216" i="1"/>
  <c r="V216" i="1"/>
  <c r="N216" i="1"/>
  <c r="M216" i="1"/>
  <c r="L216" i="1"/>
  <c r="X215" i="1"/>
  <c r="W215" i="1"/>
  <c r="V215" i="1"/>
  <c r="N215" i="1"/>
  <c r="M215" i="1"/>
  <c r="L215" i="1"/>
  <c r="X214" i="1"/>
  <c r="W214" i="1"/>
  <c r="V214" i="1"/>
  <c r="N214" i="1"/>
  <c r="M214" i="1"/>
  <c r="L214" i="1"/>
  <c r="X213" i="1"/>
  <c r="W213" i="1"/>
  <c r="V213" i="1"/>
  <c r="N213" i="1"/>
  <c r="M213" i="1"/>
  <c r="L213" i="1"/>
  <c r="X212" i="1"/>
  <c r="W212" i="1"/>
  <c r="V212" i="1"/>
  <c r="N212" i="1"/>
  <c r="M212" i="1"/>
  <c r="L212" i="1"/>
  <c r="X211" i="1"/>
  <c r="W211" i="1"/>
  <c r="V211" i="1"/>
  <c r="N211" i="1"/>
  <c r="M211" i="1"/>
  <c r="L211" i="1"/>
  <c r="X210" i="1"/>
  <c r="W210" i="1"/>
  <c r="V210" i="1"/>
  <c r="N210" i="1"/>
  <c r="M210" i="1"/>
  <c r="L210" i="1"/>
  <c r="X209" i="1"/>
  <c r="W209" i="1"/>
  <c r="V209" i="1"/>
  <c r="N209" i="1"/>
  <c r="M209" i="1"/>
  <c r="L209" i="1"/>
  <c r="X208" i="1"/>
  <c r="W208" i="1"/>
  <c r="V208" i="1"/>
  <c r="N208" i="1"/>
  <c r="O208" i="1" s="1"/>
  <c r="X207" i="1"/>
  <c r="W207" i="1"/>
  <c r="V207" i="1"/>
  <c r="N207" i="1"/>
  <c r="M207" i="1"/>
  <c r="L207" i="1"/>
  <c r="X206" i="1"/>
  <c r="W206" i="1"/>
  <c r="V206" i="1"/>
  <c r="N206" i="1"/>
  <c r="M206" i="1"/>
  <c r="L206" i="1"/>
  <c r="X205" i="1"/>
  <c r="W205" i="1"/>
  <c r="V205" i="1"/>
  <c r="N205" i="1"/>
  <c r="M205" i="1"/>
  <c r="L205" i="1"/>
  <c r="X204" i="1"/>
  <c r="W204" i="1"/>
  <c r="V204" i="1"/>
  <c r="Y204" i="1" s="1"/>
  <c r="N204" i="1"/>
  <c r="M204" i="1"/>
  <c r="L204" i="1"/>
  <c r="X203" i="1"/>
  <c r="W203" i="1"/>
  <c r="V203" i="1"/>
  <c r="Y203" i="1" s="1"/>
  <c r="N203" i="1"/>
  <c r="M203" i="1"/>
  <c r="L203" i="1"/>
  <c r="X202" i="1"/>
  <c r="W202" i="1"/>
  <c r="V202" i="1"/>
  <c r="N202" i="1"/>
  <c r="M202" i="1"/>
  <c r="L202" i="1"/>
  <c r="X201" i="1"/>
  <c r="W201" i="1"/>
  <c r="V201" i="1"/>
  <c r="N201" i="1"/>
  <c r="M201" i="1"/>
  <c r="L201" i="1"/>
  <c r="X200" i="1"/>
  <c r="W200" i="1"/>
  <c r="V200" i="1"/>
  <c r="Y200" i="1" s="1"/>
  <c r="N200" i="1"/>
  <c r="M200" i="1"/>
  <c r="L200" i="1"/>
  <c r="X199" i="1"/>
  <c r="W199" i="1"/>
  <c r="V199" i="1"/>
  <c r="N199" i="1"/>
  <c r="M199" i="1"/>
  <c r="L199" i="1"/>
  <c r="X198" i="1"/>
  <c r="W198" i="1"/>
  <c r="V198" i="1"/>
  <c r="N198" i="1"/>
  <c r="M198" i="1"/>
  <c r="L198" i="1"/>
  <c r="X197" i="1"/>
  <c r="W197" i="1"/>
  <c r="V197" i="1"/>
  <c r="N197" i="1"/>
  <c r="M197" i="1"/>
  <c r="L197" i="1"/>
  <c r="X196" i="1"/>
  <c r="W196" i="1"/>
  <c r="V196" i="1"/>
  <c r="Y196" i="1" s="1"/>
  <c r="N196" i="1"/>
  <c r="M196" i="1"/>
  <c r="L196" i="1"/>
  <c r="X195" i="1"/>
  <c r="W195" i="1"/>
  <c r="V195" i="1"/>
  <c r="N195" i="1"/>
  <c r="M195" i="1"/>
  <c r="L195" i="1"/>
  <c r="X194" i="1"/>
  <c r="W194" i="1"/>
  <c r="V194" i="1"/>
  <c r="N194" i="1"/>
  <c r="M194" i="1"/>
  <c r="L194" i="1"/>
  <c r="X193" i="1"/>
  <c r="W193" i="1"/>
  <c r="V193" i="1"/>
  <c r="N193" i="1"/>
  <c r="M193" i="1"/>
  <c r="L193" i="1"/>
  <c r="X192" i="1"/>
  <c r="W192" i="1"/>
  <c r="V192" i="1"/>
  <c r="N192" i="1"/>
  <c r="M192" i="1"/>
  <c r="L192" i="1"/>
  <c r="X191" i="1"/>
  <c r="W191" i="1"/>
  <c r="V191" i="1"/>
  <c r="N191" i="1"/>
  <c r="M191" i="1"/>
  <c r="L191" i="1"/>
  <c r="X190" i="1"/>
  <c r="W190" i="1"/>
  <c r="V190" i="1"/>
  <c r="N190" i="1"/>
  <c r="M190" i="1"/>
  <c r="L190" i="1"/>
  <c r="X189" i="1"/>
  <c r="W189" i="1"/>
  <c r="V189" i="1"/>
  <c r="N189" i="1"/>
  <c r="M189" i="1"/>
  <c r="L189" i="1"/>
  <c r="X188" i="1"/>
  <c r="W188" i="1"/>
  <c r="V188" i="1"/>
  <c r="N188" i="1"/>
  <c r="M188" i="1"/>
  <c r="L188" i="1"/>
  <c r="X187" i="1"/>
  <c r="W187" i="1"/>
  <c r="V187" i="1"/>
  <c r="Y187" i="1" s="1"/>
  <c r="N187" i="1"/>
  <c r="M187" i="1"/>
  <c r="L187" i="1"/>
  <c r="X186" i="1"/>
  <c r="W186" i="1"/>
  <c r="V186" i="1"/>
  <c r="N186" i="1"/>
  <c r="M186" i="1"/>
  <c r="L186" i="1"/>
  <c r="X185" i="1"/>
  <c r="W185" i="1"/>
  <c r="V185" i="1"/>
  <c r="N185" i="1"/>
  <c r="M185" i="1"/>
  <c r="L185" i="1"/>
  <c r="X184" i="1"/>
  <c r="W184" i="1"/>
  <c r="V184" i="1"/>
  <c r="N184" i="1"/>
  <c r="M184" i="1"/>
  <c r="L184" i="1"/>
  <c r="X183" i="1"/>
  <c r="W183" i="1"/>
  <c r="V183" i="1"/>
  <c r="N183" i="1"/>
  <c r="M183" i="1"/>
  <c r="L183" i="1"/>
  <c r="X182" i="1"/>
  <c r="W182" i="1"/>
  <c r="V182" i="1"/>
  <c r="N182" i="1"/>
  <c r="M182" i="1"/>
  <c r="L182" i="1"/>
  <c r="X181" i="1"/>
  <c r="W181" i="1"/>
  <c r="V181" i="1"/>
  <c r="N181" i="1"/>
  <c r="M181" i="1"/>
  <c r="L181" i="1"/>
  <c r="X177" i="1"/>
  <c r="W177" i="1"/>
  <c r="V177" i="1"/>
  <c r="N177" i="1"/>
  <c r="M177" i="1"/>
  <c r="L177" i="1"/>
  <c r="X176" i="1"/>
  <c r="W176" i="1"/>
  <c r="V176" i="1"/>
  <c r="Y176" i="1" s="1"/>
  <c r="N176" i="1"/>
  <c r="M176" i="1"/>
  <c r="L176" i="1"/>
  <c r="X175" i="1"/>
  <c r="W175" i="1"/>
  <c r="V175" i="1"/>
  <c r="N175" i="1"/>
  <c r="M175" i="1"/>
  <c r="L175" i="1"/>
  <c r="X174" i="1"/>
  <c r="W174" i="1"/>
  <c r="V174" i="1"/>
  <c r="N174" i="1"/>
  <c r="M174" i="1"/>
  <c r="L174" i="1"/>
  <c r="X173" i="1"/>
  <c r="W173" i="1"/>
  <c r="V173" i="1"/>
  <c r="N173" i="1"/>
  <c r="M173" i="1"/>
  <c r="L173" i="1"/>
  <c r="X172" i="1"/>
  <c r="W172" i="1"/>
  <c r="V172" i="1"/>
  <c r="N172" i="1"/>
  <c r="M172" i="1"/>
  <c r="L172" i="1"/>
  <c r="X171" i="1"/>
  <c r="W171" i="1"/>
  <c r="V171" i="1"/>
  <c r="N171" i="1"/>
  <c r="M171" i="1"/>
  <c r="L171" i="1"/>
  <c r="X170" i="1"/>
  <c r="W170" i="1"/>
  <c r="V170" i="1"/>
  <c r="N170" i="1"/>
  <c r="M170" i="1"/>
  <c r="L170" i="1"/>
  <c r="X169" i="1"/>
  <c r="W169" i="1"/>
  <c r="V169" i="1"/>
  <c r="N169" i="1"/>
  <c r="M169" i="1"/>
  <c r="L169" i="1"/>
  <c r="X168" i="1"/>
  <c r="W168" i="1"/>
  <c r="V168" i="1"/>
  <c r="N168" i="1"/>
  <c r="M168" i="1"/>
  <c r="L168" i="1"/>
  <c r="X167" i="1"/>
  <c r="W167" i="1"/>
  <c r="V167" i="1"/>
  <c r="N167" i="1"/>
  <c r="M167" i="1"/>
  <c r="L167" i="1"/>
  <c r="X166" i="1"/>
  <c r="W166" i="1"/>
  <c r="V166" i="1"/>
  <c r="N166" i="1"/>
  <c r="M166" i="1"/>
  <c r="L166" i="1"/>
  <c r="X165" i="1"/>
  <c r="W165" i="1"/>
  <c r="V165" i="1"/>
  <c r="N165" i="1"/>
  <c r="O165" i="1" s="1"/>
  <c r="X164" i="1"/>
  <c r="W164" i="1"/>
  <c r="V164" i="1"/>
  <c r="N164" i="1"/>
  <c r="M164" i="1"/>
  <c r="L164" i="1"/>
  <c r="X163" i="1"/>
  <c r="W163" i="1"/>
  <c r="V163" i="1"/>
  <c r="N163" i="1"/>
  <c r="M163" i="1"/>
  <c r="L163" i="1"/>
  <c r="X162" i="1"/>
  <c r="N162" i="1"/>
  <c r="M162" i="1"/>
  <c r="L162" i="1"/>
  <c r="X160" i="1"/>
  <c r="W160" i="1"/>
  <c r="V160" i="1"/>
  <c r="N160" i="1"/>
  <c r="M160" i="1"/>
  <c r="L160" i="1"/>
  <c r="X159" i="1"/>
  <c r="W159" i="1"/>
  <c r="V159" i="1"/>
  <c r="N159" i="1"/>
  <c r="M159" i="1"/>
  <c r="L159" i="1"/>
  <c r="X158" i="1"/>
  <c r="W158" i="1"/>
  <c r="V158" i="1"/>
  <c r="N158" i="1"/>
  <c r="M158" i="1"/>
  <c r="L158" i="1"/>
  <c r="W157" i="1"/>
  <c r="V157" i="1"/>
  <c r="N157" i="1"/>
  <c r="M157" i="1"/>
  <c r="L157" i="1"/>
  <c r="X156" i="1"/>
  <c r="W156" i="1"/>
  <c r="V156" i="1"/>
  <c r="N156" i="1"/>
  <c r="M156" i="1"/>
  <c r="L156" i="1"/>
  <c r="X155" i="1"/>
  <c r="W155" i="1"/>
  <c r="V155" i="1"/>
  <c r="N155" i="1"/>
  <c r="M155" i="1"/>
  <c r="L155" i="1"/>
  <c r="X154" i="1"/>
  <c r="W154" i="1"/>
  <c r="V154" i="1"/>
  <c r="N154" i="1"/>
  <c r="M154" i="1"/>
  <c r="L154" i="1"/>
  <c r="X153" i="1"/>
  <c r="W153" i="1"/>
  <c r="V153" i="1"/>
  <c r="N153" i="1"/>
  <c r="M153" i="1"/>
  <c r="L153" i="1"/>
  <c r="X152" i="1"/>
  <c r="W152" i="1"/>
  <c r="V152" i="1"/>
  <c r="N152" i="1"/>
  <c r="M152" i="1"/>
  <c r="L152" i="1"/>
  <c r="X151" i="1"/>
  <c r="W151" i="1"/>
  <c r="V151" i="1"/>
  <c r="N151" i="1"/>
  <c r="M151" i="1"/>
  <c r="L151" i="1"/>
  <c r="X150" i="1"/>
  <c r="W150" i="1"/>
  <c r="V150" i="1"/>
  <c r="N150" i="1"/>
  <c r="M150" i="1"/>
  <c r="L150" i="1"/>
  <c r="X149" i="1"/>
  <c r="W149" i="1"/>
  <c r="V149" i="1"/>
  <c r="N149" i="1"/>
  <c r="M149" i="1"/>
  <c r="L149" i="1"/>
  <c r="X148" i="1"/>
  <c r="W148" i="1"/>
  <c r="V148" i="1"/>
  <c r="N148" i="1"/>
  <c r="M148" i="1"/>
  <c r="L148" i="1"/>
  <c r="X147" i="1"/>
  <c r="W147" i="1"/>
  <c r="V147" i="1"/>
  <c r="N147" i="1"/>
  <c r="M147" i="1"/>
  <c r="L147" i="1"/>
  <c r="X146" i="1"/>
  <c r="W146" i="1"/>
  <c r="V146" i="1"/>
  <c r="N146" i="1"/>
  <c r="M146" i="1"/>
  <c r="L146" i="1"/>
  <c r="X145" i="1"/>
  <c r="W145" i="1"/>
  <c r="V145" i="1"/>
  <c r="N145" i="1"/>
  <c r="M145" i="1"/>
  <c r="L145" i="1"/>
  <c r="X144" i="1"/>
  <c r="W144" i="1"/>
  <c r="V144" i="1"/>
  <c r="N144" i="1"/>
  <c r="M144" i="1"/>
  <c r="L144" i="1"/>
  <c r="X143" i="1"/>
  <c r="W143" i="1"/>
  <c r="V143" i="1"/>
  <c r="N143" i="1"/>
  <c r="M143" i="1"/>
  <c r="L143" i="1"/>
  <c r="X142" i="1"/>
  <c r="W142" i="1"/>
  <c r="V142" i="1"/>
  <c r="N142" i="1"/>
  <c r="M142" i="1"/>
  <c r="L142" i="1"/>
  <c r="X141" i="1"/>
  <c r="W141" i="1"/>
  <c r="V141" i="1"/>
  <c r="N141" i="1"/>
  <c r="M141" i="1"/>
  <c r="L141" i="1"/>
  <c r="X140" i="1"/>
  <c r="W140" i="1"/>
  <c r="V140" i="1"/>
  <c r="N140" i="1"/>
  <c r="M140" i="1"/>
  <c r="L140" i="1"/>
  <c r="X139" i="1"/>
  <c r="W139" i="1"/>
  <c r="V139" i="1"/>
  <c r="N139" i="1"/>
  <c r="M139" i="1"/>
  <c r="L139" i="1"/>
  <c r="X138" i="1"/>
  <c r="W138" i="1"/>
  <c r="V138" i="1"/>
  <c r="N138" i="1"/>
  <c r="M138" i="1"/>
  <c r="L138" i="1"/>
  <c r="X137" i="1"/>
  <c r="W137" i="1"/>
  <c r="V137" i="1"/>
  <c r="N137" i="1"/>
  <c r="M137" i="1"/>
  <c r="L137" i="1"/>
  <c r="X136" i="1"/>
  <c r="W136" i="1"/>
  <c r="V136" i="1"/>
  <c r="N136" i="1"/>
  <c r="M136" i="1"/>
  <c r="L136" i="1"/>
  <c r="X135" i="1"/>
  <c r="W135" i="1"/>
  <c r="V135" i="1"/>
  <c r="N135" i="1"/>
  <c r="M135" i="1"/>
  <c r="L135" i="1"/>
  <c r="X134" i="1"/>
  <c r="W134" i="1"/>
  <c r="V134" i="1"/>
  <c r="N134" i="1"/>
  <c r="M134" i="1"/>
  <c r="L134" i="1"/>
  <c r="X133" i="1"/>
  <c r="W133" i="1"/>
  <c r="V133" i="1"/>
  <c r="Y133" i="1" s="1"/>
  <c r="N133" i="1"/>
  <c r="M133" i="1"/>
  <c r="L133" i="1"/>
  <c r="X132" i="1"/>
  <c r="W132" i="1"/>
  <c r="V132" i="1"/>
  <c r="N132" i="1"/>
  <c r="M132" i="1"/>
  <c r="L132" i="1"/>
  <c r="X131" i="1"/>
  <c r="W131" i="1"/>
  <c r="V131" i="1"/>
  <c r="N131" i="1"/>
  <c r="M131" i="1"/>
  <c r="L131" i="1"/>
  <c r="X130" i="1"/>
  <c r="W130" i="1"/>
  <c r="V130" i="1"/>
  <c r="N130" i="1"/>
  <c r="M130" i="1"/>
  <c r="L130" i="1"/>
  <c r="X129" i="1"/>
  <c r="W129" i="1"/>
  <c r="V129" i="1"/>
  <c r="N129" i="1"/>
  <c r="M129" i="1"/>
  <c r="L129" i="1"/>
  <c r="X128" i="1"/>
  <c r="W128" i="1"/>
  <c r="V128" i="1"/>
  <c r="N128" i="1"/>
  <c r="M128" i="1"/>
  <c r="L128" i="1"/>
  <c r="X127" i="1"/>
  <c r="W127" i="1"/>
  <c r="V127" i="1"/>
  <c r="N127" i="1"/>
  <c r="M127" i="1"/>
  <c r="L127" i="1"/>
  <c r="X126" i="1"/>
  <c r="W126" i="1"/>
  <c r="V126" i="1"/>
  <c r="N126" i="1"/>
  <c r="M126" i="1"/>
  <c r="L126" i="1"/>
  <c r="X125" i="1"/>
  <c r="W125" i="1"/>
  <c r="V125" i="1"/>
  <c r="N125" i="1"/>
  <c r="M125" i="1"/>
  <c r="L125" i="1"/>
  <c r="X124" i="1"/>
  <c r="W124" i="1"/>
  <c r="V124" i="1"/>
  <c r="N124" i="1"/>
  <c r="O124" i="1" s="1"/>
  <c r="X123" i="1"/>
  <c r="W123" i="1"/>
  <c r="V123" i="1"/>
  <c r="N123" i="1"/>
  <c r="M123" i="1"/>
  <c r="L123" i="1"/>
  <c r="X122" i="1"/>
  <c r="W122" i="1"/>
  <c r="V122" i="1"/>
  <c r="N122" i="1"/>
  <c r="M122" i="1"/>
  <c r="L122" i="1"/>
  <c r="X121" i="1"/>
  <c r="W121" i="1"/>
  <c r="V121" i="1"/>
  <c r="N121" i="1"/>
  <c r="M121" i="1"/>
  <c r="L121" i="1"/>
  <c r="X120" i="1"/>
  <c r="W120" i="1"/>
  <c r="V120" i="1"/>
  <c r="N120" i="1"/>
  <c r="M120" i="1"/>
  <c r="L120" i="1"/>
  <c r="X119" i="1"/>
  <c r="W119" i="1"/>
  <c r="V119" i="1"/>
  <c r="N119" i="1"/>
  <c r="M119" i="1"/>
  <c r="L119" i="1"/>
  <c r="X118" i="1"/>
  <c r="W118" i="1"/>
  <c r="V118" i="1"/>
  <c r="N118" i="1"/>
  <c r="M118" i="1"/>
  <c r="L118" i="1"/>
  <c r="X117" i="1"/>
  <c r="W117" i="1"/>
  <c r="V117" i="1"/>
  <c r="N117" i="1"/>
  <c r="O117" i="1" s="1"/>
  <c r="X116" i="1"/>
  <c r="W116" i="1"/>
  <c r="V116" i="1"/>
  <c r="N116" i="1"/>
  <c r="M116" i="1"/>
  <c r="L116" i="1"/>
  <c r="X115" i="1"/>
  <c r="W115" i="1"/>
  <c r="V115" i="1"/>
  <c r="N115" i="1"/>
  <c r="M115" i="1"/>
  <c r="L115" i="1"/>
  <c r="X114" i="1"/>
  <c r="W114" i="1"/>
  <c r="V114" i="1"/>
  <c r="N114" i="1"/>
  <c r="M114" i="1"/>
  <c r="L114" i="1"/>
  <c r="X113" i="1"/>
  <c r="W113" i="1"/>
  <c r="V113" i="1"/>
  <c r="N113" i="1"/>
  <c r="M113" i="1"/>
  <c r="L113" i="1"/>
  <c r="X112" i="1"/>
  <c r="W112" i="1"/>
  <c r="V112" i="1"/>
  <c r="N112" i="1"/>
  <c r="M112" i="1"/>
  <c r="L112" i="1"/>
  <c r="X111" i="1"/>
  <c r="W111" i="1"/>
  <c r="V111" i="1"/>
  <c r="N111" i="1"/>
  <c r="M111" i="1"/>
  <c r="L111" i="1"/>
  <c r="X110" i="1"/>
  <c r="W110" i="1"/>
  <c r="V110" i="1"/>
  <c r="N110" i="1"/>
  <c r="M110" i="1"/>
  <c r="L110" i="1"/>
  <c r="X109" i="1"/>
  <c r="W109" i="1"/>
  <c r="V109" i="1"/>
  <c r="N109" i="1"/>
  <c r="M109" i="1"/>
  <c r="L109" i="1"/>
  <c r="X108" i="1"/>
  <c r="W108" i="1"/>
  <c r="V108" i="1"/>
  <c r="N108" i="1"/>
  <c r="M108" i="1"/>
  <c r="L108" i="1"/>
  <c r="X107" i="1"/>
  <c r="W107" i="1"/>
  <c r="V107" i="1"/>
  <c r="N107" i="1"/>
  <c r="M107" i="1"/>
  <c r="L107" i="1"/>
  <c r="X106" i="1"/>
  <c r="W106" i="1"/>
  <c r="V106" i="1"/>
  <c r="N106" i="1"/>
  <c r="M106" i="1"/>
  <c r="L106" i="1"/>
  <c r="X105" i="1"/>
  <c r="W105" i="1"/>
  <c r="V105" i="1"/>
  <c r="N105" i="1"/>
  <c r="M105" i="1"/>
  <c r="L105" i="1"/>
  <c r="X104" i="1"/>
  <c r="W104" i="1"/>
  <c r="V104" i="1"/>
  <c r="N104" i="1"/>
  <c r="M104" i="1"/>
  <c r="L104" i="1"/>
  <c r="X103" i="1"/>
  <c r="W103" i="1"/>
  <c r="V103" i="1"/>
  <c r="N103" i="1"/>
  <c r="M103" i="1"/>
  <c r="L103" i="1"/>
  <c r="X102" i="1"/>
  <c r="W102" i="1"/>
  <c r="V102" i="1"/>
  <c r="N102" i="1"/>
  <c r="M102" i="1"/>
  <c r="L102" i="1"/>
  <c r="X101" i="1"/>
  <c r="W101" i="1"/>
  <c r="V101" i="1"/>
  <c r="N101" i="1"/>
  <c r="M101" i="1"/>
  <c r="L101" i="1"/>
  <c r="X100" i="1"/>
  <c r="W100" i="1"/>
  <c r="V100" i="1"/>
  <c r="N100" i="1"/>
  <c r="M100" i="1"/>
  <c r="L100" i="1"/>
  <c r="X99" i="1"/>
  <c r="W99" i="1"/>
  <c r="V99" i="1"/>
  <c r="N99" i="1"/>
  <c r="M99" i="1"/>
  <c r="L99" i="1"/>
  <c r="X98" i="1"/>
  <c r="W98" i="1"/>
  <c r="V98" i="1"/>
  <c r="N98" i="1"/>
  <c r="M98" i="1"/>
  <c r="L98" i="1"/>
  <c r="X97" i="1"/>
  <c r="W97" i="1"/>
  <c r="V97" i="1"/>
  <c r="N97" i="1"/>
  <c r="M97" i="1"/>
  <c r="L97" i="1"/>
  <c r="X96" i="1"/>
  <c r="W96" i="1"/>
  <c r="V96" i="1"/>
  <c r="N96" i="1"/>
  <c r="M96" i="1"/>
  <c r="L96" i="1"/>
  <c r="X95" i="1"/>
  <c r="W95" i="1"/>
  <c r="V95" i="1"/>
  <c r="N95" i="1"/>
  <c r="M95" i="1"/>
  <c r="L95" i="1"/>
  <c r="X94" i="1"/>
  <c r="W94" i="1"/>
  <c r="V94" i="1"/>
  <c r="N94" i="1"/>
  <c r="M94" i="1"/>
  <c r="L94" i="1"/>
  <c r="X93" i="1"/>
  <c r="W93" i="1"/>
  <c r="V93" i="1"/>
  <c r="Y93" i="1" s="1"/>
  <c r="N93" i="1"/>
  <c r="M93" i="1"/>
  <c r="L93" i="1"/>
  <c r="X92" i="1"/>
  <c r="W92" i="1"/>
  <c r="V92" i="1"/>
  <c r="N92" i="1"/>
  <c r="M92" i="1"/>
  <c r="L92" i="1"/>
  <c r="X91" i="1"/>
  <c r="W91" i="1"/>
  <c r="V91" i="1"/>
  <c r="N91" i="1"/>
  <c r="M91" i="1"/>
  <c r="L91" i="1"/>
  <c r="X90" i="1"/>
  <c r="W90" i="1"/>
  <c r="V90" i="1"/>
  <c r="N90" i="1"/>
  <c r="M90" i="1"/>
  <c r="L90" i="1"/>
  <c r="X89" i="1"/>
  <c r="W89" i="1"/>
  <c r="V89" i="1"/>
  <c r="N89" i="1"/>
  <c r="M89" i="1"/>
  <c r="L89" i="1"/>
  <c r="X88" i="1"/>
  <c r="W88" i="1"/>
  <c r="V88" i="1"/>
  <c r="N88" i="1"/>
  <c r="M88" i="1"/>
  <c r="L88" i="1"/>
  <c r="X87" i="1"/>
  <c r="W87" i="1"/>
  <c r="V87" i="1"/>
  <c r="N87" i="1"/>
  <c r="M87" i="1"/>
  <c r="L87" i="1"/>
  <c r="X86" i="1"/>
  <c r="W86" i="1"/>
  <c r="V86" i="1"/>
  <c r="N86" i="1"/>
  <c r="M86" i="1"/>
  <c r="L86" i="1"/>
  <c r="X85" i="1"/>
  <c r="W85" i="1"/>
  <c r="V85" i="1"/>
  <c r="N85" i="1"/>
  <c r="M85" i="1"/>
  <c r="L85" i="1"/>
  <c r="X84" i="1"/>
  <c r="W84" i="1"/>
  <c r="V84" i="1"/>
  <c r="N84" i="1"/>
  <c r="M84" i="1"/>
  <c r="L84" i="1"/>
  <c r="X83" i="1"/>
  <c r="W83" i="1"/>
  <c r="V83" i="1"/>
  <c r="N83" i="1"/>
  <c r="M83" i="1"/>
  <c r="L83" i="1"/>
  <c r="X82" i="1"/>
  <c r="W82" i="1"/>
  <c r="V82" i="1"/>
  <c r="N82" i="1"/>
  <c r="M82" i="1"/>
  <c r="L82" i="1"/>
  <c r="X81" i="1"/>
  <c r="W81" i="1"/>
  <c r="V81" i="1"/>
  <c r="N81" i="1"/>
  <c r="M81" i="1"/>
  <c r="L81" i="1"/>
  <c r="X80" i="1"/>
  <c r="W80" i="1"/>
  <c r="V80" i="1"/>
  <c r="N80" i="1"/>
  <c r="M80" i="1"/>
  <c r="L80" i="1"/>
  <c r="X79" i="1"/>
  <c r="W79" i="1"/>
  <c r="V79" i="1"/>
  <c r="N79" i="1"/>
  <c r="M79" i="1"/>
  <c r="L79" i="1"/>
  <c r="X78" i="1"/>
  <c r="W78" i="1"/>
  <c r="V78" i="1"/>
  <c r="N78" i="1"/>
  <c r="M78" i="1"/>
  <c r="L78" i="1"/>
  <c r="X77" i="1"/>
  <c r="W77" i="1"/>
  <c r="V77" i="1"/>
  <c r="N77" i="1"/>
  <c r="M77" i="1"/>
  <c r="L77" i="1"/>
  <c r="X76" i="1"/>
  <c r="W76" i="1"/>
  <c r="V76" i="1"/>
  <c r="N76" i="1"/>
  <c r="M76" i="1"/>
  <c r="L76" i="1"/>
  <c r="X75" i="1"/>
  <c r="W75" i="1"/>
  <c r="V75" i="1"/>
  <c r="N75" i="1"/>
  <c r="M75" i="1"/>
  <c r="L75" i="1"/>
  <c r="X74" i="1"/>
  <c r="W74" i="1"/>
  <c r="V74" i="1"/>
  <c r="N74" i="1"/>
  <c r="M74" i="1"/>
  <c r="L74" i="1"/>
  <c r="X73" i="1"/>
  <c r="W73" i="1"/>
  <c r="V73" i="1"/>
  <c r="N73" i="1"/>
  <c r="M73" i="1"/>
  <c r="L73" i="1"/>
  <c r="X72" i="1"/>
  <c r="W72" i="1"/>
  <c r="V72" i="1"/>
  <c r="N72" i="1"/>
  <c r="M72" i="1"/>
  <c r="L72" i="1"/>
  <c r="X71" i="1"/>
  <c r="W71" i="1"/>
  <c r="V71" i="1"/>
  <c r="N71" i="1"/>
  <c r="M71" i="1"/>
  <c r="L71" i="1"/>
  <c r="X70" i="1"/>
  <c r="W70" i="1"/>
  <c r="V70" i="1"/>
  <c r="N70" i="1"/>
  <c r="M70" i="1"/>
  <c r="L70" i="1"/>
  <c r="X69" i="1"/>
  <c r="W69" i="1"/>
  <c r="V69" i="1"/>
  <c r="N69" i="1"/>
  <c r="M69" i="1"/>
  <c r="L69" i="1"/>
  <c r="X68" i="1"/>
  <c r="W68" i="1"/>
  <c r="V68" i="1"/>
  <c r="N68" i="1"/>
  <c r="M68" i="1"/>
  <c r="L68" i="1"/>
  <c r="O68" i="1" s="1"/>
  <c r="X67" i="1"/>
  <c r="W67" i="1"/>
  <c r="V67" i="1"/>
  <c r="N67" i="1"/>
  <c r="M67" i="1"/>
  <c r="L67" i="1"/>
  <c r="X66" i="1"/>
  <c r="W66" i="1"/>
  <c r="V66" i="1"/>
  <c r="N66" i="1"/>
  <c r="M66" i="1"/>
  <c r="L66" i="1"/>
  <c r="X65" i="1"/>
  <c r="W65" i="1"/>
  <c r="V65" i="1"/>
  <c r="N65" i="1"/>
  <c r="M65" i="1"/>
  <c r="L65" i="1"/>
  <c r="X64" i="1"/>
  <c r="W64" i="1"/>
  <c r="V64" i="1"/>
  <c r="N64" i="1"/>
  <c r="M64" i="1"/>
  <c r="L64" i="1"/>
  <c r="O64" i="1" s="1"/>
  <c r="X63" i="1"/>
  <c r="W63" i="1"/>
  <c r="V63" i="1"/>
  <c r="N63" i="1"/>
  <c r="M63" i="1"/>
  <c r="L63" i="1"/>
  <c r="X62" i="1"/>
  <c r="W62" i="1"/>
  <c r="V62" i="1"/>
  <c r="N62" i="1"/>
  <c r="M62" i="1"/>
  <c r="L62" i="1"/>
  <c r="X61" i="1"/>
  <c r="W61" i="1"/>
  <c r="V61" i="1"/>
  <c r="N61" i="1"/>
  <c r="M61" i="1"/>
  <c r="L61" i="1"/>
  <c r="X60" i="1"/>
  <c r="W60" i="1"/>
  <c r="V60" i="1"/>
  <c r="N60" i="1"/>
  <c r="M60" i="1"/>
  <c r="L60" i="1"/>
  <c r="O60" i="1" s="1"/>
  <c r="X59" i="1"/>
  <c r="W59" i="1"/>
  <c r="V59" i="1"/>
  <c r="N59" i="1"/>
  <c r="M59" i="1"/>
  <c r="L59" i="1"/>
  <c r="X58" i="1"/>
  <c r="W58" i="1"/>
  <c r="V58" i="1"/>
  <c r="N58" i="1"/>
  <c r="M58" i="1"/>
  <c r="L58" i="1"/>
  <c r="X57" i="1"/>
  <c r="W57" i="1"/>
  <c r="V57" i="1"/>
  <c r="N57" i="1"/>
  <c r="M57" i="1"/>
  <c r="L57" i="1"/>
  <c r="X56" i="1"/>
  <c r="W56" i="1"/>
  <c r="V56" i="1"/>
  <c r="N56" i="1"/>
  <c r="M56" i="1"/>
  <c r="L56" i="1"/>
  <c r="X55" i="1"/>
  <c r="W55" i="1"/>
  <c r="V55" i="1"/>
  <c r="N55" i="1"/>
  <c r="M55" i="1"/>
  <c r="L55" i="1"/>
  <c r="X54" i="1"/>
  <c r="W54" i="1"/>
  <c r="V54" i="1"/>
  <c r="N54" i="1"/>
  <c r="O54" i="1" s="1"/>
  <c r="X53" i="1"/>
  <c r="W53" i="1"/>
  <c r="V53" i="1"/>
  <c r="N53" i="1"/>
  <c r="O53" i="1" s="1"/>
  <c r="X52" i="1"/>
  <c r="W52" i="1"/>
  <c r="V52" i="1"/>
  <c r="N52" i="1"/>
  <c r="M52" i="1"/>
  <c r="L52" i="1"/>
  <c r="X51" i="1"/>
  <c r="W51" i="1"/>
  <c r="V51" i="1"/>
  <c r="Y51" i="1" s="1"/>
  <c r="N51" i="1"/>
  <c r="M51" i="1"/>
  <c r="L51" i="1"/>
  <c r="X50" i="1"/>
  <c r="W50" i="1"/>
  <c r="V50" i="1"/>
  <c r="N50" i="1"/>
  <c r="M50" i="1"/>
  <c r="L50" i="1"/>
  <c r="X49" i="1"/>
  <c r="W49" i="1"/>
  <c r="V49" i="1"/>
  <c r="Y49" i="1" s="1"/>
  <c r="N49" i="1"/>
  <c r="M49" i="1"/>
  <c r="L49" i="1"/>
  <c r="X48" i="1"/>
  <c r="W48" i="1"/>
  <c r="V48" i="1"/>
  <c r="N48" i="1"/>
  <c r="M48" i="1"/>
  <c r="L48" i="1"/>
  <c r="X47" i="1"/>
  <c r="W47" i="1"/>
  <c r="V47" i="1"/>
  <c r="N47" i="1"/>
  <c r="M47" i="1"/>
  <c r="L47" i="1"/>
  <c r="X46" i="1"/>
  <c r="W46" i="1"/>
  <c r="V46" i="1"/>
  <c r="N46" i="1"/>
  <c r="M46" i="1"/>
  <c r="L46" i="1"/>
  <c r="X45" i="1"/>
  <c r="W45" i="1"/>
  <c r="V45" i="1"/>
  <c r="Y45" i="1" s="1"/>
  <c r="N45" i="1"/>
  <c r="M45" i="1"/>
  <c r="L45" i="1"/>
  <c r="X44" i="1"/>
  <c r="W44" i="1"/>
  <c r="V44" i="1"/>
  <c r="Y44" i="1" s="1"/>
  <c r="N44" i="1"/>
  <c r="M44" i="1"/>
  <c r="L44" i="1"/>
  <c r="X43" i="1"/>
  <c r="W43" i="1"/>
  <c r="V43" i="1"/>
  <c r="N43" i="1"/>
  <c r="M43" i="1"/>
  <c r="L43" i="1"/>
  <c r="X42" i="1"/>
  <c r="W42" i="1"/>
  <c r="V42" i="1"/>
  <c r="N42" i="1"/>
  <c r="M42" i="1"/>
  <c r="L42" i="1"/>
  <c r="X41" i="1"/>
  <c r="W41" i="1"/>
  <c r="V41" i="1"/>
  <c r="N41" i="1"/>
  <c r="O41" i="1" s="1"/>
  <c r="X40" i="1"/>
  <c r="W40" i="1"/>
  <c r="V40" i="1"/>
  <c r="N40" i="1"/>
  <c r="O40" i="1" s="1"/>
  <c r="X39" i="1"/>
  <c r="W39" i="1"/>
  <c r="V39" i="1"/>
  <c r="N39" i="1"/>
  <c r="O39" i="1" s="1"/>
  <c r="X38" i="1"/>
  <c r="W38" i="1"/>
  <c r="V38" i="1"/>
  <c r="N38" i="1"/>
  <c r="O38" i="1" s="1"/>
  <c r="X37" i="1"/>
  <c r="W37" i="1"/>
  <c r="V37" i="1"/>
  <c r="Y37" i="1" s="1"/>
  <c r="N37" i="1"/>
  <c r="M37" i="1"/>
  <c r="L37" i="1"/>
  <c r="X36" i="1"/>
  <c r="W36" i="1"/>
  <c r="V36" i="1"/>
  <c r="N36" i="1"/>
  <c r="M36" i="1"/>
  <c r="L36" i="1"/>
  <c r="X35" i="1"/>
  <c r="W35" i="1"/>
  <c r="V35" i="1"/>
  <c r="N35" i="1"/>
  <c r="M35" i="1"/>
  <c r="L35" i="1"/>
  <c r="X34" i="1"/>
  <c r="W34" i="1"/>
  <c r="Y34" i="1" s="1"/>
  <c r="V34" i="1"/>
  <c r="N34" i="1"/>
  <c r="M34" i="1"/>
  <c r="L34" i="1"/>
  <c r="X33" i="1"/>
  <c r="W33" i="1"/>
  <c r="V33" i="1"/>
  <c r="Y33" i="1" s="1"/>
  <c r="N33" i="1"/>
  <c r="M33" i="1"/>
  <c r="L33" i="1"/>
  <c r="X32" i="1"/>
  <c r="W32" i="1"/>
  <c r="V32" i="1"/>
  <c r="N32" i="1"/>
  <c r="M32" i="1"/>
  <c r="L32" i="1"/>
  <c r="X31" i="1"/>
  <c r="W31" i="1"/>
  <c r="V31" i="1"/>
  <c r="N31" i="1"/>
  <c r="M31" i="1"/>
  <c r="L31" i="1"/>
  <c r="X30" i="1"/>
  <c r="W30" i="1"/>
  <c r="V30" i="1"/>
  <c r="N30" i="1"/>
  <c r="M30" i="1"/>
  <c r="L30" i="1"/>
  <c r="X29" i="1"/>
  <c r="W29" i="1"/>
  <c r="V29" i="1"/>
  <c r="Y29" i="1" s="1"/>
  <c r="N29" i="1"/>
  <c r="M29" i="1"/>
  <c r="L29" i="1"/>
  <c r="X28" i="1"/>
  <c r="W28" i="1"/>
  <c r="V28" i="1"/>
  <c r="Y28" i="1" s="1"/>
  <c r="N28" i="1"/>
  <c r="M28" i="1"/>
  <c r="L28" i="1"/>
  <c r="X27" i="1"/>
  <c r="W27" i="1"/>
  <c r="Y27" i="1" s="1"/>
  <c r="V27" i="1"/>
  <c r="N27" i="1"/>
  <c r="M27" i="1"/>
  <c r="L27" i="1"/>
  <c r="X26" i="1"/>
  <c r="W26" i="1"/>
  <c r="V26" i="1"/>
  <c r="N26" i="1"/>
  <c r="M26" i="1"/>
  <c r="L26" i="1"/>
  <c r="X25" i="1"/>
  <c r="W25" i="1"/>
  <c r="V25" i="1"/>
  <c r="N25" i="1"/>
  <c r="M25" i="1"/>
  <c r="L25" i="1"/>
  <c r="X24" i="1"/>
  <c r="W24" i="1"/>
  <c r="V24" i="1"/>
  <c r="N24" i="1"/>
  <c r="M24" i="1"/>
  <c r="L24" i="1"/>
  <c r="X23" i="1"/>
  <c r="W23" i="1"/>
  <c r="V23" i="1"/>
  <c r="N23" i="1"/>
  <c r="O23" i="1" s="1"/>
  <c r="X22" i="1"/>
  <c r="W22" i="1"/>
  <c r="V22" i="1"/>
  <c r="N22" i="1"/>
  <c r="M22" i="1"/>
  <c r="L22" i="1"/>
  <c r="X21" i="1"/>
  <c r="W21" i="1"/>
  <c r="V21" i="1"/>
  <c r="N21" i="1"/>
  <c r="M21" i="1"/>
  <c r="L21" i="1"/>
  <c r="X20" i="1"/>
  <c r="W20" i="1"/>
  <c r="Y20" i="1" s="1"/>
  <c r="V20" i="1"/>
  <c r="N20" i="1"/>
  <c r="M20" i="1"/>
  <c r="L20" i="1"/>
  <c r="X19" i="1"/>
  <c r="W19" i="1"/>
  <c r="V19" i="1"/>
  <c r="N19" i="1"/>
  <c r="M19" i="1"/>
  <c r="L19" i="1"/>
  <c r="X18" i="1"/>
  <c r="W18" i="1"/>
  <c r="V18" i="1"/>
  <c r="N18" i="1"/>
  <c r="M18" i="1"/>
  <c r="L18" i="1"/>
  <c r="X17" i="1"/>
  <c r="W17" i="1"/>
  <c r="V17" i="1"/>
  <c r="N17" i="1"/>
  <c r="M17" i="1"/>
  <c r="L17" i="1"/>
  <c r="X16" i="1"/>
  <c r="W16" i="1"/>
  <c r="Y16" i="1" s="1"/>
  <c r="V16" i="1"/>
  <c r="N16" i="1"/>
  <c r="M16" i="1"/>
  <c r="L16" i="1"/>
  <c r="X15" i="1"/>
  <c r="W15" i="1"/>
  <c r="V15" i="1"/>
  <c r="N15" i="1"/>
  <c r="M15" i="1"/>
  <c r="L15" i="1"/>
  <c r="X14" i="1"/>
  <c r="W14" i="1"/>
  <c r="V14" i="1"/>
  <c r="N14" i="1"/>
  <c r="M14" i="1"/>
  <c r="L14" i="1"/>
  <c r="X13" i="1"/>
  <c r="W13" i="1"/>
  <c r="V13" i="1"/>
  <c r="N13" i="1"/>
  <c r="M13" i="1"/>
  <c r="L13" i="1"/>
  <c r="X12" i="1"/>
  <c r="W12" i="1"/>
  <c r="Y12" i="1" s="1"/>
  <c r="V12" i="1"/>
  <c r="N12" i="1"/>
  <c r="M12" i="1"/>
  <c r="L12" i="1"/>
  <c r="X11" i="1"/>
  <c r="W11" i="1"/>
  <c r="V11" i="1"/>
  <c r="N11" i="1"/>
  <c r="M11" i="1"/>
  <c r="L11" i="1"/>
  <c r="AR10" i="1"/>
  <c r="AQ10" i="1"/>
  <c r="AP10" i="1"/>
  <c r="AO10" i="1"/>
  <c r="AN10" i="1"/>
  <c r="AM10" i="1"/>
  <c r="AH10" i="1"/>
  <c r="AG10" i="1"/>
  <c r="AF10" i="1"/>
  <c r="AE10" i="1"/>
  <c r="AD10" i="1"/>
  <c r="AC10" i="1"/>
  <c r="X10" i="1"/>
  <c r="W10" i="1"/>
  <c r="V10" i="1"/>
  <c r="Y10" i="1" s="1"/>
  <c r="N10" i="1"/>
  <c r="M10" i="1"/>
  <c r="L10" i="1"/>
  <c r="AR9" i="1"/>
  <c r="AP9" i="1"/>
  <c r="AO9" i="1"/>
  <c r="AF9" i="1"/>
  <c r="AD9" i="1"/>
  <c r="X9" i="1"/>
  <c r="W9" i="1"/>
  <c r="V9" i="1"/>
  <c r="N9" i="1"/>
  <c r="M9" i="1"/>
  <c r="L9" i="1"/>
  <c r="AR8" i="1"/>
  <c r="AQ8" i="1"/>
  <c r="AP8" i="1"/>
  <c r="AO8" i="1"/>
  <c r="AN8" i="1"/>
  <c r="AM8" i="1"/>
  <c r="AH8" i="1"/>
  <c r="AG8" i="1"/>
  <c r="AF8" i="1"/>
  <c r="AE8" i="1"/>
  <c r="AD8" i="1"/>
  <c r="AC8" i="1"/>
  <c r="X8" i="1"/>
  <c r="W8" i="1"/>
  <c r="V8" i="1"/>
  <c r="N8" i="1"/>
  <c r="M8" i="1"/>
  <c r="L8" i="1"/>
  <c r="AR7" i="1"/>
  <c r="AQ7" i="1"/>
  <c r="AT7" i="1" s="1"/>
  <c r="AP7" i="1"/>
  <c r="AO7" i="1"/>
  <c r="AN7" i="1"/>
  <c r="AM7" i="1"/>
  <c r="AH7" i="1"/>
  <c r="AG7" i="1"/>
  <c r="AF7" i="1"/>
  <c r="AE7" i="1"/>
  <c r="AD7" i="1"/>
  <c r="AC7" i="1"/>
  <c r="X7" i="1"/>
  <c r="W7" i="1"/>
  <c r="V7" i="1"/>
  <c r="N7" i="1"/>
  <c r="M7" i="1"/>
  <c r="L7" i="1"/>
  <c r="AR6" i="1"/>
  <c r="AQ6" i="1"/>
  <c r="AP6" i="1"/>
  <c r="AO6" i="1"/>
  <c r="AN6" i="1"/>
  <c r="AM6" i="1"/>
  <c r="AH6" i="1"/>
  <c r="AG6" i="1"/>
  <c r="AF6" i="1"/>
  <c r="AE6" i="1"/>
  <c r="AD6" i="1"/>
  <c r="AC6" i="1"/>
  <c r="X6" i="1"/>
  <c r="W6" i="1"/>
  <c r="V6" i="1"/>
  <c r="Y6" i="1" s="1"/>
  <c r="N6" i="1"/>
  <c r="M6" i="1"/>
  <c r="L6" i="1"/>
  <c r="AR5" i="1"/>
  <c r="AQ5" i="1"/>
  <c r="AP5" i="1"/>
  <c r="AO5" i="1"/>
  <c r="AN5" i="1"/>
  <c r="AM5" i="1"/>
  <c r="AH5" i="1"/>
  <c r="AG5" i="1"/>
  <c r="AF5" i="1"/>
  <c r="AE5" i="1"/>
  <c r="AD5" i="1"/>
  <c r="AC5" i="1"/>
  <c r="X5" i="1"/>
  <c r="W5" i="1"/>
  <c r="V5" i="1"/>
  <c r="N5" i="1"/>
  <c r="M5" i="1"/>
  <c r="L5" i="1"/>
  <c r="AR4" i="1"/>
  <c r="AQ4" i="1"/>
  <c r="AP4" i="1"/>
  <c r="AO4" i="1"/>
  <c r="AN4" i="1"/>
  <c r="AM4" i="1"/>
  <c r="AH4" i="1"/>
  <c r="AG4" i="1"/>
  <c r="AF4" i="1"/>
  <c r="AE4" i="1"/>
  <c r="AD4" i="1"/>
  <c r="AC4" i="1"/>
  <c r="X4" i="1"/>
  <c r="W4" i="1"/>
  <c r="V4" i="1"/>
  <c r="N4" i="1"/>
  <c r="M4" i="1"/>
  <c r="L4" i="1"/>
  <c r="AR3" i="1"/>
  <c r="AQ3" i="1"/>
  <c r="AP3" i="1"/>
  <c r="AO3" i="1"/>
  <c r="AN3" i="1"/>
  <c r="AM3" i="1"/>
  <c r="AH3" i="1"/>
  <c r="AG3" i="1"/>
  <c r="AF3" i="1"/>
  <c r="AE3" i="1"/>
  <c r="AD3" i="1"/>
  <c r="AC3" i="1"/>
  <c r="X3" i="1"/>
  <c r="W3" i="1"/>
  <c r="V3" i="1"/>
  <c r="Y3" i="1" s="1"/>
  <c r="N3" i="1"/>
  <c r="M3" i="1"/>
  <c r="L3" i="1"/>
  <c r="AR2" i="1"/>
  <c r="AQ2" i="1"/>
  <c r="AP2" i="1"/>
  <c r="AO2" i="1"/>
  <c r="AN2" i="1"/>
  <c r="AM2" i="1"/>
  <c r="AH2" i="1"/>
  <c r="AG2" i="1"/>
  <c r="AF2" i="1"/>
  <c r="AE2" i="1"/>
  <c r="AD2" i="1"/>
  <c r="AC2" i="1"/>
  <c r="X2" i="1"/>
  <c r="W2" i="1"/>
  <c r="N2" i="1"/>
  <c r="M2" i="1"/>
  <c r="L2" i="1"/>
  <c r="AL12" i="1" l="1"/>
  <c r="Y115" i="1"/>
  <c r="AK4" i="1"/>
  <c r="AU5" i="1"/>
  <c r="Y195" i="1"/>
  <c r="O271" i="1"/>
  <c r="Y71" i="1"/>
  <c r="Y95" i="1"/>
  <c r="O302" i="1"/>
  <c r="Y2" i="1"/>
  <c r="AU2" i="1"/>
  <c r="Y111" i="1"/>
  <c r="AJ3" i="1"/>
  <c r="Y76" i="1"/>
  <c r="Y84" i="1"/>
  <c r="Y92" i="1"/>
  <c r="Y100" i="1"/>
  <c r="Y119" i="1"/>
  <c r="Y285" i="1"/>
  <c r="Y293" i="1"/>
  <c r="Y305" i="1"/>
  <c r="O223" i="1"/>
  <c r="O227" i="1"/>
  <c r="Y239" i="1"/>
  <c r="O309" i="1"/>
  <c r="Y81" i="1"/>
  <c r="Y233" i="1"/>
  <c r="Y4" i="1"/>
  <c r="Y160" i="1"/>
  <c r="Y167" i="1"/>
  <c r="Y171" i="1"/>
  <c r="Y175" i="1"/>
  <c r="Y194" i="1"/>
  <c r="O224" i="1"/>
  <c r="Y225" i="1"/>
  <c r="Y229" i="1"/>
  <c r="Y120" i="1"/>
  <c r="Y131" i="1"/>
  <c r="Y139" i="1"/>
  <c r="Y342" i="1"/>
  <c r="O237" i="1"/>
  <c r="Y191" i="1"/>
  <c r="O228" i="1"/>
  <c r="Y35" i="1"/>
  <c r="Y38" i="1"/>
  <c r="O69" i="1"/>
  <c r="Y40" i="1"/>
  <c r="Y122" i="1"/>
  <c r="Y246" i="1"/>
  <c r="O293" i="1"/>
  <c r="Y15" i="1"/>
  <c r="Y42" i="1"/>
  <c r="AT9" i="1"/>
  <c r="Y333" i="1"/>
  <c r="Y46" i="1"/>
  <c r="O111" i="1"/>
  <c r="O118" i="1"/>
  <c r="Y166" i="1"/>
  <c r="Y182" i="1"/>
  <c r="Y186" i="1"/>
  <c r="O243" i="1"/>
  <c r="O263" i="1"/>
  <c r="O267" i="1"/>
  <c r="O279" i="1"/>
  <c r="O283" i="1"/>
  <c r="O287" i="1"/>
  <c r="Y309" i="1"/>
  <c r="Y317" i="1"/>
  <c r="Y325" i="1"/>
  <c r="Y336" i="1"/>
  <c r="Y340" i="1"/>
  <c r="Y39" i="1"/>
  <c r="Y104" i="1"/>
  <c r="Y112" i="1"/>
  <c r="Y116" i="1"/>
  <c r="Y202" i="1"/>
  <c r="O270" i="1"/>
  <c r="AI9" i="1"/>
  <c r="AI3" i="1"/>
  <c r="AL3" i="1" s="1"/>
  <c r="Y99" i="1"/>
  <c r="O314" i="1"/>
  <c r="O326" i="1"/>
  <c r="Y335" i="1"/>
  <c r="AJ4" i="1"/>
  <c r="AJ2" i="1"/>
  <c r="AS3" i="1"/>
  <c r="AK5" i="1"/>
  <c r="Y9" i="1"/>
  <c r="O121" i="1"/>
  <c r="Y172" i="1"/>
  <c r="Y177" i="1"/>
  <c r="O222" i="1"/>
  <c r="O262" i="1"/>
  <c r="AU8" i="1"/>
  <c r="Y62" i="1"/>
  <c r="Y66" i="1"/>
  <c r="Y117" i="1"/>
  <c r="Y168" i="1"/>
  <c r="O186" i="1"/>
  <c r="O203" i="1"/>
  <c r="Y205" i="1"/>
  <c r="O255" i="1"/>
  <c r="Y268" i="1"/>
  <c r="O284" i="1"/>
  <c r="O291" i="1"/>
  <c r="Y337" i="1"/>
  <c r="Y341" i="1"/>
  <c r="AS8" i="1"/>
  <c r="Y50" i="1"/>
  <c r="Y77" i="1"/>
  <c r="O100" i="1"/>
  <c r="O214" i="1"/>
  <c r="O218" i="1"/>
  <c r="O311" i="1"/>
  <c r="O315" i="1"/>
  <c r="O316" i="1"/>
  <c r="O319" i="1"/>
  <c r="O323" i="1"/>
  <c r="M329" i="1"/>
  <c r="AS5" i="1"/>
  <c r="Y7" i="1"/>
  <c r="AK7" i="1"/>
  <c r="AK10" i="1"/>
  <c r="O31" i="1"/>
  <c r="Y32" i="1"/>
  <c r="Y36" i="1"/>
  <c r="O55" i="1"/>
  <c r="O87" i="1"/>
  <c r="O91" i="1"/>
  <c r="Y121" i="1"/>
  <c r="O135" i="1"/>
  <c r="Y136" i="1"/>
  <c r="O139" i="1"/>
  <c r="Y140" i="1"/>
  <c r="Y144" i="1"/>
  <c r="Y148" i="1"/>
  <c r="Y211" i="1"/>
  <c r="Y243" i="1"/>
  <c r="Y263" i="1"/>
  <c r="Y267" i="1"/>
  <c r="O282" i="1"/>
  <c r="O286" i="1"/>
  <c r="O294" i="1"/>
  <c r="O306" i="1"/>
  <c r="Y331" i="1"/>
  <c r="AT10" i="1"/>
  <c r="O67" i="1"/>
  <c r="O70" i="1"/>
  <c r="Y96" i="1"/>
  <c r="O142" i="1"/>
  <c r="O146" i="1"/>
  <c r="Y147" i="1"/>
  <c r="O177" i="1"/>
  <c r="O188" i="1"/>
  <c r="O229" i="1"/>
  <c r="Y234" i="1"/>
  <c r="Y242" i="1"/>
  <c r="O277" i="1"/>
  <c r="O285" i="1"/>
  <c r="O297" i="1"/>
  <c r="O301" i="1"/>
  <c r="O305" i="1"/>
  <c r="O310" i="1"/>
  <c r="O318" i="1"/>
  <c r="Y323" i="1"/>
  <c r="Y334" i="1"/>
  <c r="AK9" i="1"/>
  <c r="AJ5" i="1"/>
  <c r="AU9" i="1"/>
  <c r="Y19" i="1"/>
  <c r="Y26" i="1"/>
  <c r="Y48" i="1"/>
  <c r="Y52" i="1"/>
  <c r="O57" i="1"/>
  <c r="Y75" i="1"/>
  <c r="O149" i="1"/>
  <c r="Y169" i="1"/>
  <c r="Y173" i="1"/>
  <c r="O212" i="1"/>
  <c r="Y222" i="1"/>
  <c r="Y226" i="1"/>
  <c r="Y237" i="1"/>
  <c r="O248" i="1"/>
  <c r="O252" i="1"/>
  <c r="O260" i="1"/>
  <c r="Y278" i="1"/>
  <c r="Y282" i="1"/>
  <c r="O317" i="1"/>
  <c r="O325" i="1"/>
  <c r="L329" i="1"/>
  <c r="Y338" i="1"/>
  <c r="Y5" i="1"/>
  <c r="AJ9" i="1"/>
  <c r="O10" i="1"/>
  <c r="AS10" i="1"/>
  <c r="Y25" i="1"/>
  <c r="Y30" i="1"/>
  <c r="Y43" i="1"/>
  <c r="Y118" i="1"/>
  <c r="O164" i="1"/>
  <c r="O167" i="1"/>
  <c r="O196" i="1"/>
  <c r="Y206" i="1"/>
  <c r="Y209" i="1"/>
  <c r="O272" i="1"/>
  <c r="Y310" i="1"/>
  <c r="Y314" i="1"/>
  <c r="Y14" i="1"/>
  <c r="Y18" i="1"/>
  <c r="Y22" i="1"/>
  <c r="O49" i="1"/>
  <c r="O61" i="1"/>
  <c r="Y63" i="1"/>
  <c r="O65" i="1"/>
  <c r="Y67" i="1"/>
  <c r="Y97" i="1"/>
  <c r="O99" i="1"/>
  <c r="Y102" i="1"/>
  <c r="Y106" i="1"/>
  <c r="O108" i="1"/>
  <c r="Y110" i="1"/>
  <c r="Y114" i="1"/>
  <c r="O128" i="1"/>
  <c r="O184" i="1"/>
  <c r="O189" i="1"/>
  <c r="O193" i="1"/>
  <c r="O202" i="1"/>
  <c r="O221" i="1"/>
  <c r="Y230" i="1"/>
  <c r="O240" i="1"/>
  <c r="O246" i="1"/>
  <c r="O250" i="1"/>
  <c r="O254" i="1"/>
  <c r="Y273" i="1"/>
  <c r="O280" i="1"/>
  <c r="O289" i="1"/>
  <c r="O298" i="1"/>
  <c r="O303" i="1"/>
  <c r="O307" i="1"/>
  <c r="O308" i="1"/>
  <c r="O312" i="1"/>
  <c r="O321" i="1"/>
  <c r="O333" i="1"/>
  <c r="O344" i="1"/>
  <c r="AS7" i="1"/>
  <c r="AU10" i="1"/>
  <c r="Y24" i="1"/>
  <c r="Y54" i="1"/>
  <c r="O56" i="1"/>
  <c r="Y58" i="1"/>
  <c r="O73" i="1"/>
  <c r="O82" i="1"/>
  <c r="Y88" i="1"/>
  <c r="Y101" i="1"/>
  <c r="Y109" i="1"/>
  <c r="O132" i="1"/>
  <c r="O140" i="1"/>
  <c r="O148" i="1"/>
  <c r="Y149" i="1"/>
  <c r="Y153" i="1"/>
  <c r="O163" i="1"/>
  <c r="O166" i="1"/>
  <c r="O175" i="1"/>
  <c r="Y181" i="1"/>
  <c r="Y185" i="1"/>
  <c r="Y190" i="1"/>
  <c r="Y199" i="1"/>
  <c r="O216" i="1"/>
  <c r="Y217" i="1"/>
  <c r="Y221" i="1"/>
  <c r="O235" i="1"/>
  <c r="O236" i="1"/>
  <c r="O239" i="1"/>
  <c r="Y247" i="1"/>
  <c r="Y251" i="1"/>
  <c r="Y255" i="1"/>
  <c r="O258" i="1"/>
  <c r="Y259" i="1"/>
  <c r="O266" i="1"/>
  <c r="O275" i="1"/>
  <c r="O276" i="1"/>
  <c r="Y277" i="1"/>
  <c r="Y286" i="1"/>
  <c r="Y290" i="1"/>
  <c r="Y299" i="1"/>
  <c r="Y313" i="1"/>
  <c r="Y318" i="1"/>
  <c r="Y322" i="1"/>
  <c r="Y330" i="1"/>
  <c r="O343" i="1"/>
  <c r="AI5" i="1"/>
  <c r="AJ10" i="1"/>
  <c r="O98" i="1"/>
  <c r="O115" i="1"/>
  <c r="O192" i="1"/>
  <c r="O197" i="1"/>
  <c r="O201" i="1"/>
  <c r="O245" i="1"/>
  <c r="O249" i="1"/>
  <c r="O253" i="1"/>
  <c r="O288" i="1"/>
  <c r="O320" i="1"/>
  <c r="AK3" i="1"/>
  <c r="AI4" i="1"/>
  <c r="AU4" i="1"/>
  <c r="AI7" i="1"/>
  <c r="O11" i="1"/>
  <c r="O15" i="1"/>
  <c r="O19" i="1"/>
  <c r="O7" i="1"/>
  <c r="AJ7" i="1"/>
  <c r="AL7" i="1" s="1"/>
  <c r="Y23" i="1"/>
  <c r="Y53" i="1"/>
  <c r="Y57" i="1"/>
  <c r="Y70" i="1"/>
  <c r="O72" i="1"/>
  <c r="Y79" i="1"/>
  <c r="Y83" i="1"/>
  <c r="Y87" i="1"/>
  <c r="Y91" i="1"/>
  <c r="Y108" i="1"/>
  <c r="O151" i="1"/>
  <c r="Y152" i="1"/>
  <c r="O155" i="1"/>
  <c r="Y164" i="1"/>
  <c r="O170" i="1"/>
  <c r="O174" i="1"/>
  <c r="Y184" i="1"/>
  <c r="Y189" i="1"/>
  <c r="Y193" i="1"/>
  <c r="Y198" i="1"/>
  <c r="Y212" i="1"/>
  <c r="Y216" i="1"/>
  <c r="O219" i="1"/>
  <c r="Y220" i="1"/>
  <c r="Y232" i="1"/>
  <c r="O234" i="1"/>
  <c r="O238" i="1"/>
  <c r="Y240" i="1"/>
  <c r="O244" i="1"/>
  <c r="Y250" i="1"/>
  <c r="Y254" i="1"/>
  <c r="O257" i="1"/>
  <c r="Y258" i="1"/>
  <c r="O265" i="1"/>
  <c r="O274" i="1"/>
  <c r="Y280" i="1"/>
  <c r="Y289" i="1"/>
  <c r="Y294" i="1"/>
  <c r="Y298" i="1"/>
  <c r="Y307" i="1"/>
  <c r="Y321" i="1"/>
  <c r="Y326" i="1"/>
  <c r="O341" i="1"/>
  <c r="Y344" i="1"/>
  <c r="O18" i="1"/>
  <c r="O22" i="1"/>
  <c r="O63" i="1"/>
  <c r="O102" i="1"/>
  <c r="O106" i="1"/>
  <c r="O261" i="1"/>
  <c r="O292" i="1"/>
  <c r="O324" i="1"/>
  <c r="O25" i="1"/>
  <c r="Y41" i="1"/>
  <c r="O46" i="1"/>
  <c r="Y56" i="1"/>
  <c r="O58" i="1"/>
  <c r="O59" i="1"/>
  <c r="Y78" i="1"/>
  <c r="Y82" i="1"/>
  <c r="O84" i="1"/>
  <c r="Y86" i="1"/>
  <c r="Y90" i="1"/>
  <c r="Y107" i="1"/>
  <c r="O125" i="1"/>
  <c r="O133" i="1"/>
  <c r="O141" i="1"/>
  <c r="O150" i="1"/>
  <c r="O154" i="1"/>
  <c r="Y163" i="1"/>
  <c r="O169" i="1"/>
  <c r="O173" i="1"/>
  <c r="Y183" i="1"/>
  <c r="Y188" i="1"/>
  <c r="Y192" i="1"/>
  <c r="Y197" i="1"/>
  <c r="Y201" i="1"/>
  <c r="O205" i="1"/>
  <c r="Y215" i="1"/>
  <c r="Y219" i="1"/>
  <c r="O230" i="1"/>
  <c r="O233" i="1"/>
  <c r="O242" i="1"/>
  <c r="Y245" i="1"/>
  <c r="Y249" i="1"/>
  <c r="Y253" i="1"/>
  <c r="O256" i="1"/>
  <c r="Y257" i="1"/>
  <c r="O264" i="1"/>
  <c r="O269" i="1"/>
  <c r="Y270" i="1"/>
  <c r="Y283" i="1"/>
  <c r="O296" i="1"/>
  <c r="Y297" i="1"/>
  <c r="Y302" i="1"/>
  <c r="Y306" i="1"/>
  <c r="Y315" i="1"/>
  <c r="O328" i="1"/>
  <c r="Y332" i="1"/>
  <c r="O336" i="1"/>
  <c r="O3" i="1"/>
  <c r="O21" i="1"/>
  <c r="Y31" i="1"/>
  <c r="Y47" i="1"/>
  <c r="O62" i="1"/>
  <c r="O66" i="1"/>
  <c r="O71" i="1"/>
  <c r="Y85" i="1"/>
  <c r="O101" i="1"/>
  <c r="Y123" i="1"/>
  <c r="Y126" i="1"/>
  <c r="O129" i="1"/>
  <c r="Y130" i="1"/>
  <c r="Y134" i="1"/>
  <c r="O137" i="1"/>
  <c r="Y138" i="1"/>
  <c r="O145" i="1"/>
  <c r="Y146" i="1"/>
  <c r="O157" i="1"/>
  <c r="Y165" i="1"/>
  <c r="Y170" i="1"/>
  <c r="Y174" i="1"/>
  <c r="O181" i="1"/>
  <c r="O185" i="1"/>
  <c r="O194" i="1"/>
  <c r="O204" i="1"/>
  <c r="Y207" i="1"/>
  <c r="O209" i="1"/>
  <c r="Y210" i="1"/>
  <c r="O213" i="1"/>
  <c r="Y231" i="1"/>
  <c r="O241" i="1"/>
  <c r="O247" i="1"/>
  <c r="O251" i="1"/>
  <c r="O259" i="1"/>
  <c r="Y265" i="1"/>
  <c r="O268" i="1"/>
  <c r="Y274" i="1"/>
  <c r="O278" i="1"/>
  <c r="O281" i="1"/>
  <c r="O290" i="1"/>
  <c r="O295" i="1"/>
  <c r="O299" i="1"/>
  <c r="O300" i="1"/>
  <c r="Y301" i="1"/>
  <c r="O304" i="1"/>
  <c r="O313" i="1"/>
  <c r="O322" i="1"/>
  <c r="O327" i="1"/>
  <c r="O335" i="1"/>
  <c r="Y94" i="1"/>
  <c r="AE11" i="1"/>
  <c r="AT2" i="1"/>
  <c r="AU6" i="1"/>
  <c r="O12" i="1"/>
  <c r="O16" i="1"/>
  <c r="O20" i="1"/>
  <c r="O24" i="1"/>
  <c r="O32" i="1"/>
  <c r="O47" i="1"/>
  <c r="Y55" i="1"/>
  <c r="O79" i="1"/>
  <c r="O83" i="1"/>
  <c r="O92" i="1"/>
  <c r="O97" i="1"/>
  <c r="O116" i="1"/>
  <c r="O122" i="1"/>
  <c r="O127" i="1"/>
  <c r="Y128" i="1"/>
  <c r="O131" i="1"/>
  <c r="Y132" i="1"/>
  <c r="Y141" i="1"/>
  <c r="O144" i="1"/>
  <c r="Y145" i="1"/>
  <c r="Y150" i="1"/>
  <c r="O153" i="1"/>
  <c r="Y154" i="1"/>
  <c r="O158" i="1"/>
  <c r="O171" i="1"/>
  <c r="O182" i="1"/>
  <c r="O190" i="1"/>
  <c r="Y208" i="1"/>
  <c r="O211" i="1"/>
  <c r="Y213" i="1"/>
  <c r="Y218" i="1"/>
  <c r="Y223" i="1"/>
  <c r="O226" i="1"/>
  <c r="Y227" i="1"/>
  <c r="O231" i="1"/>
  <c r="Y238" i="1"/>
  <c r="Y264" i="1"/>
  <c r="Y272" i="1"/>
  <c r="Y279" i="1"/>
  <c r="Y287" i="1"/>
  <c r="Y295" i="1"/>
  <c r="Y303" i="1"/>
  <c r="Y311" i="1"/>
  <c r="Y319" i="1"/>
  <c r="Y327" i="1"/>
  <c r="O337" i="1"/>
  <c r="Y69" i="1"/>
  <c r="Y80" i="1"/>
  <c r="Y89" i="1"/>
  <c r="Y113" i="1"/>
  <c r="O126" i="1"/>
  <c r="O143" i="1"/>
  <c r="O152" i="1"/>
  <c r="O162" i="1"/>
  <c r="O210" i="1"/>
  <c r="O220" i="1"/>
  <c r="O225" i="1"/>
  <c r="O2" i="1"/>
  <c r="AI6" i="1"/>
  <c r="AI8" i="1"/>
  <c r="O29" i="1"/>
  <c r="O37" i="1"/>
  <c r="O44" i="1"/>
  <c r="O52" i="1"/>
  <c r="Y60" i="1"/>
  <c r="Y68" i="1"/>
  <c r="Y74" i="1"/>
  <c r="O77" i="1"/>
  <c r="Y103" i="1"/>
  <c r="O105" i="1"/>
  <c r="O134" i="1"/>
  <c r="O138" i="1"/>
  <c r="O147" i="1"/>
  <c r="O215" i="1"/>
  <c r="Y261" i="1"/>
  <c r="Y269" i="1"/>
  <c r="O273" i="1"/>
  <c r="Y276" i="1"/>
  <c r="Y284" i="1"/>
  <c r="Y292" i="1"/>
  <c r="Y300" i="1"/>
  <c r="Y308" i="1"/>
  <c r="Y316" i="1"/>
  <c r="Y324" i="1"/>
  <c r="O334" i="1"/>
  <c r="O342" i="1"/>
  <c r="Y13" i="1"/>
  <c r="O30" i="1"/>
  <c r="O45" i="1"/>
  <c r="O6" i="1"/>
  <c r="AJ6" i="1"/>
  <c r="O8" i="1"/>
  <c r="AJ8" i="1"/>
  <c r="O14" i="1"/>
  <c r="O28" i="1"/>
  <c r="O36" i="1"/>
  <c r="O43" i="1"/>
  <c r="O51" i="1"/>
  <c r="Y59" i="1"/>
  <c r="O76" i="1"/>
  <c r="O81" i="1"/>
  <c r="O86" i="1"/>
  <c r="O90" i="1"/>
  <c r="O114" i="1"/>
  <c r="O156" i="1"/>
  <c r="O160" i="1"/>
  <c r="Y236" i="1"/>
  <c r="V329" i="1"/>
  <c r="Y21" i="1"/>
  <c r="AT3" i="1"/>
  <c r="AK6" i="1"/>
  <c r="Y8" i="1"/>
  <c r="O27" i="1"/>
  <c r="O35" i="1"/>
  <c r="O42" i="1"/>
  <c r="O50" i="1"/>
  <c r="Y73" i="1"/>
  <c r="O75" i="1"/>
  <c r="O85" i="1"/>
  <c r="O109" i="1"/>
  <c r="Y156" i="1"/>
  <c r="W329" i="1"/>
  <c r="Y17" i="1"/>
  <c r="Y98" i="1"/>
  <c r="AU3" i="1"/>
  <c r="AS9" i="1"/>
  <c r="O13" i="1"/>
  <c r="O17" i="1"/>
  <c r="O26" i="1"/>
  <c r="O34" i="1"/>
  <c r="Y65" i="1"/>
  <c r="O89" i="1"/>
  <c r="O94" i="1"/>
  <c r="O113" i="1"/>
  <c r="Y129" i="1"/>
  <c r="O159" i="1"/>
  <c r="Y281" i="1"/>
  <c r="O4" i="1"/>
  <c r="Y61" i="1"/>
  <c r="AT5" i="1"/>
  <c r="AU7" i="1"/>
  <c r="O33" i="1"/>
  <c r="O48" i="1"/>
  <c r="Y64" i="1"/>
  <c r="Y72" i="1"/>
  <c r="O74" i="1"/>
  <c r="O93" i="1"/>
  <c r="O103" i="1"/>
  <c r="Y105" i="1"/>
  <c r="O107" i="1"/>
  <c r="Y124" i="1"/>
  <c r="O136" i="1"/>
  <c r="Y137" i="1"/>
  <c r="Y155" i="1"/>
  <c r="Y214" i="1"/>
  <c r="O217" i="1"/>
  <c r="Y288" i="1"/>
  <c r="Y296" i="1"/>
  <c r="Y304" i="1"/>
  <c r="Y312" i="1"/>
  <c r="Y320" i="1"/>
  <c r="Y328" i="1"/>
  <c r="N329" i="1"/>
  <c r="O330" i="1"/>
  <c r="O338" i="1"/>
  <c r="AF11" i="1"/>
  <c r="AI2" i="1"/>
  <c r="O120" i="1"/>
  <c r="AQ11" i="1"/>
  <c r="O5" i="1"/>
  <c r="AT8" i="1"/>
  <c r="Y11" i="1"/>
  <c r="AR11" i="1"/>
  <c r="O95" i="1"/>
  <c r="O110" i="1"/>
  <c r="O119" i="1"/>
  <c r="O130" i="1"/>
  <c r="Y142" i="1"/>
  <c r="Y157" i="1"/>
  <c r="O168" i="1"/>
  <c r="O176" i="1"/>
  <c r="O187" i="1"/>
  <c r="O195" i="1"/>
  <c r="AP11" i="1"/>
  <c r="AS2" i="1"/>
  <c r="AV2" i="1" s="1"/>
  <c r="AS6" i="1"/>
  <c r="AM11" i="1"/>
  <c r="AT6" i="1"/>
  <c r="AN11" i="1"/>
  <c r="AS4" i="1"/>
  <c r="AK8" i="1"/>
  <c r="AG11" i="1"/>
  <c r="AK2" i="1"/>
  <c r="AD11" i="1"/>
  <c r="AO11" i="1"/>
  <c r="AT4" i="1"/>
  <c r="O9" i="1"/>
  <c r="AH11" i="1"/>
  <c r="O78" i="1"/>
  <c r="O123" i="1"/>
  <c r="Y125" i="1"/>
  <c r="O172" i="1"/>
  <c r="O183" i="1"/>
  <c r="O191" i="1"/>
  <c r="AC11" i="1"/>
  <c r="AI10" i="1"/>
  <c r="Y159" i="1"/>
  <c r="O80" i="1"/>
  <c r="O88" i="1"/>
  <c r="O96" i="1"/>
  <c r="O104" i="1"/>
  <c r="O112" i="1"/>
  <c r="Y127" i="1"/>
  <c r="Y135" i="1"/>
  <c r="Y143" i="1"/>
  <c r="Y151" i="1"/>
  <c r="Y158" i="1"/>
  <c r="O200" i="1"/>
  <c r="O199" i="1"/>
  <c r="O207" i="1"/>
  <c r="O332" i="1"/>
  <c r="O340" i="1"/>
  <c r="O198" i="1"/>
  <c r="O206" i="1"/>
  <c r="X329" i="1"/>
  <c r="O331" i="1"/>
  <c r="O339" i="1"/>
  <c r="AV5" i="1" l="1"/>
  <c r="AL5" i="1"/>
  <c r="O329" i="1"/>
  <c r="AV9" i="1"/>
  <c r="AV7" i="1"/>
  <c r="AL4" i="1"/>
  <c r="AV8" i="1"/>
  <c r="AV3" i="1"/>
  <c r="AL9" i="1"/>
  <c r="AK11" i="1"/>
  <c r="AL10" i="1"/>
  <c r="AL8" i="1"/>
  <c r="AV10" i="1"/>
  <c r="AL6" i="1"/>
  <c r="Y329" i="1"/>
  <c r="AJ11" i="1"/>
  <c r="AV6" i="1"/>
  <c r="AT11" i="1"/>
  <c r="AS11" i="1"/>
  <c r="AV4" i="1"/>
  <c r="AU11" i="1"/>
  <c r="AL2" i="1"/>
  <c r="AI11" i="1"/>
  <c r="AL11" i="1" l="1"/>
  <c r="AV11" i="1"/>
</calcChain>
</file>

<file path=xl/sharedStrings.xml><?xml version="1.0" encoding="utf-8"?>
<sst xmlns="http://schemas.openxmlformats.org/spreadsheetml/2006/main" count="2164" uniqueCount="523">
  <si>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</si>
  <si>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</si>
  <si>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</si>
  <si>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</si>
  <si>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</si>
  <si>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</si>
  <si>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</si>
  <si>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</si>
  <si>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</si>
  <si>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</si>
  <si>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</si>
  <si>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</si>
  <si>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</si>
  <si>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</si>
  <si>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Villa Zudáñez</t>
  </si>
  <si>
    <t>Presto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</si>
  <si>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</si>
  <si>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</si>
  <si>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</si>
  <si>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</si>
  <si>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</si>
  <si>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</si>
  <si>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</si>
  <si>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</si>
  <si>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</si>
  <si>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</si>
  <si>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</si>
  <si>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</si>
  <si>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</si>
  <si>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</si>
  <si>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</si>
  <si>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</si>
  <si>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</si>
  <si>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</si>
  <si>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</si>
  <si>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</si>
  <si>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</si>
  <si>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</si>
  <si>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</si>
  <si>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</si>
  <si>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</si>
  <si>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</si>
  <si>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</si>
  <si>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</si>
  <si>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</si>
  <si>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</si>
  <si>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</si>
  <si>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</si>
  <si>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</si>
  <si>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</si>
  <si>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</si>
  <si>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</si>
  <si>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</si>
  <si>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</si>
  <si>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</si>
  <si>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</si>
  <si>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Chua Cocani</t>
  </si>
  <si>
    <t>Huarina</t>
  </si>
  <si>
    <t>Santiago de Huata</t>
  </si>
  <si>
    <t>Huatajata</t>
  </si>
  <si>
    <t>Pacajes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</si>
  <si>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</si>
  <si>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</si>
  <si>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</si>
  <si>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</si>
  <si>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</si>
  <si>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</si>
  <si>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</si>
  <si>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</si>
  <si>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</si>
  <si>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</si>
  <si>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</si>
  <si>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</si>
  <si>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</si>
  <si>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</si>
  <si>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</si>
  <si>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</si>
  <si>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</si>
  <si>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</si>
  <si>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</si>
  <si>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</si>
  <si>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</si>
  <si>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</si>
  <si>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</si>
  <si>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</si>
  <si>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</si>
  <si>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</si>
  <si>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</si>
  <si>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</si>
  <si>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</si>
  <si>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</si>
  <si>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</si>
  <si>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</si>
  <si>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</si>
  <si>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</si>
  <si>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</si>
  <si>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</si>
  <si>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</si>
  <si>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</si>
  <si>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</si>
  <si>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</si>
  <si>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</si>
  <si>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</si>
  <si>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</si>
  <si>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</si>
  <si>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</si>
  <si>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</si>
  <si>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</si>
  <si>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</si>
  <si>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</si>
  <si>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</si>
  <si>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</si>
  <si>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</si>
  <si>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</si>
  <si>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</si>
  <si>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</si>
  <si>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</si>
  <si>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</si>
  <si>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</si>
  <si>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</si>
  <si>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</si>
  <si>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</si>
  <si>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</si>
  <si>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</si>
  <si>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</si>
  <si>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</si>
  <si>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</si>
  <si>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</si>
  <si>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</si>
  <si>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</si>
  <si>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</si>
  <si>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</si>
  <si>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</si>
  <si>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</si>
  <si>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</si>
  <si>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</si>
  <si>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</si>
  <si>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</si>
  <si>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</si>
  <si>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</si>
  <si>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</si>
  <si>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</si>
  <si>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</si>
  <si>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</si>
  <si>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</si>
  <si>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</si>
  <si>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</si>
  <si>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</si>
  <si>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</si>
  <si>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</si>
  <si>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</si>
  <si>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</si>
  <si>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</si>
  <si>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</si>
  <si>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</si>
  <si>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</si>
  <si>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</si>
  <si>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</si>
  <si>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</si>
  <si>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</si>
  <si>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</si>
  <si>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</si>
  <si>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</si>
  <si>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</si>
  <si>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</si>
  <si>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</si>
  <si>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</si>
  <si>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</si>
  <si>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</si>
  <si>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</si>
  <si>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</si>
  <si>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</si>
  <si>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</si>
  <si>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</si>
  <si>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</si>
  <si>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</si>
  <si>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</si>
  <si>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</si>
  <si>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</si>
  <si>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</si>
  <si>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</si>
  <si>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</si>
  <si>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</si>
  <si>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</si>
  <si>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</si>
  <si>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</si>
  <si>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</si>
  <si>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</si>
  <si>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</si>
  <si>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</si>
  <si>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</si>
  <si>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</si>
  <si>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</si>
  <si>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</si>
  <si>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</si>
  <si>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</si>
  <si>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</si>
  <si>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</si>
  <si>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</si>
  <si>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</si>
  <si>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</si>
  <si>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</si>
  <si>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</si>
  <si>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</si>
  <si>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</si>
  <si>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</si>
  <si>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</si>
  <si>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</si>
  <si>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</si>
  <si>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</si>
  <si>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</si>
  <si>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</si>
  <si>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</si>
  <si>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</si>
  <si>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</si>
  <si>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</si>
  <si>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</si>
  <si>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</si>
  <si>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</si>
  <si>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</si>
  <si>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</si>
  <si>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</si>
  <si>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</si>
  <si>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</si>
  <si>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</si>
  <si>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</si>
  <si>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</si>
  <si>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</si>
  <si>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</si>
  <si>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</si>
  <si>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</si>
  <si>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</si>
  <si>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</si>
  <si>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</si>
  <si>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</si>
  <si>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</si>
  <si>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</si>
  <si>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</si>
  <si>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</si>
  <si>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</si>
  <si>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</si>
  <si>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</si>
  <si>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</si>
  <si>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</si>
  <si>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</si>
  <si>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</si>
  <si>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</si>
  <si>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</si>
  <si>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</si>
  <si>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</si>
  <si>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</si>
  <si>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</si>
  <si>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</si>
  <si>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</si>
  <si>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</si>
  <si>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</si>
  <si>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</si>
  <si>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</si>
  <si>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</si>
  <si>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</si>
  <si>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</si>
  <si>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</si>
  <si>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</si>
  <si>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</si>
  <si>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</si>
  <si>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</si>
  <si>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</si>
  <si>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</si>
  <si>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</si>
  <si>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</si>
  <si>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</si>
  <si>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</si>
  <si>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</si>
  <si>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</si>
  <si>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</si>
  <si>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</si>
  <si>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</si>
  <si>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</si>
  <si>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</si>
  <si>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</si>
  <si>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</si>
  <si>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</si>
  <si>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</si>
  <si>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</si>
  <si>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</si>
  <si>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</si>
  <si>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</si>
  <si>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</si>
  <si>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</si>
  <si>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</si>
  <si>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</si>
  <si>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</si>
  <si>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</si>
  <si>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</si>
  <si>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</si>
  <si>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</si>
  <si>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</si>
  <si>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</si>
  <si>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</si>
  <si>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</si>
  <si>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</si>
  <si>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</si>
  <si>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</si>
  <si>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</si>
  <si>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</si>
  <si>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</si>
  <si>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</si>
  <si>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</si>
  <si>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</si>
  <si>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</si>
  <si>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</si>
  <si>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</si>
  <si>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</si>
  <si>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</si>
  <si>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</si>
  <si>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</si>
  <si>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</si>
  <si>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</si>
  <si>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</si>
  <si>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</si>
  <si>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</si>
  <si>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</si>
  <si>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</si>
  <si>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</si>
  <si>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</si>
  <si>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</si>
  <si>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</si>
  <si>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</si>
  <si>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</si>
  <si>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</si>
  <si>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</si>
  <si>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</si>
  <si>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</si>
  <si>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</si>
  <si>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</si>
  <si>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</si>
  <si>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</si>
  <si>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</si>
  <si>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</si>
  <si>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</si>
  <si>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</si>
  <si>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</si>
  <si>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</si>
  <si>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</si>
  <si>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</si>
  <si>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</si>
  <si>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</si>
  <si>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</si>
  <si>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</si>
  <si>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</si>
  <si>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</si>
  <si>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</si>
  <si>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</si>
  <si>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</si>
  <si>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</si>
  <si>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</si>
  <si>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</si>
  <si>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</si>
  <si>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</si>
  <si>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</si>
  <si>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</si>
  <si>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</si>
  <si>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</si>
  <si>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</si>
  <si>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</si>
  <si>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</si>
  <si>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</si>
  <si>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</si>
  <si>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</si>
  <si>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</si>
  <si>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</si>
  <si>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</si>
  <si>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</si>
  <si>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</si>
  <si>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</si>
  <si>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</si>
  <si>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</si>
  <si>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</si>
  <si>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</si>
  <si>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</si>
  <si>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</si>
  <si>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</si>
  <si>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</si>
  <si>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</si>
  <si>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</si>
  <si>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</si>
  <si>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</si>
  <si>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</si>
  <si>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</si>
  <si>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</si>
  <si>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</si>
  <si>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</si>
  <si>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</si>
  <si>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</si>
  <si>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</si>
  <si>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</si>
  <si>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</si>
  <si>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</si>
  <si>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</si>
  <si>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</si>
  <si>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</si>
  <si>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</si>
  <si>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</si>
  <si>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</si>
  <si>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</si>
  <si>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</si>
  <si>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</si>
  <si>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</si>
  <si>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</si>
  <si>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</si>
  <si>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</si>
  <si>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</si>
  <si>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</si>
  <si>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</si>
  <si>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</si>
  <si>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</si>
  <si>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</si>
  <si>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</si>
  <si>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</si>
  <si>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</si>
  <si>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</si>
  <si>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</si>
  <si>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</si>
  <si>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</si>
  <si>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</si>
  <si>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</si>
  <si>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</si>
  <si>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</si>
  <si>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</si>
  <si>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</si>
  <si>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</si>
  <si>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</si>
  <si>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</si>
  <si>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</si>
  <si>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</si>
  <si>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</si>
  <si>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</si>
  <si>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</si>
  <si>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</si>
  <si>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</si>
  <si>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</si>
  <si>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</si>
  <si>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</si>
  <si>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</si>
  <si>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</si>
  <si>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</si>
  <si>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</si>
  <si>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</si>
  <si>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</si>
  <si>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</si>
  <si>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</si>
  <si>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</si>
  <si>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</si>
  <si>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</si>
  <si>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</si>
  <si>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</si>
  <si>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</si>
  <si>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</si>
  <si>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</si>
  <si>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</si>
  <si>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</si>
  <si>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</si>
  <si>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</si>
  <si>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</si>
  <si>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</si>
  <si>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</si>
  <si>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</si>
  <si>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</si>
  <si>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</si>
  <si>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</si>
  <si>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</si>
  <si>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</si>
  <si>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</si>
  <si>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</si>
  <si>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</si>
  <si>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Codigo_MUN</t>
  </si>
  <si>
    <t>Mojocoya</t>
  </si>
  <si>
    <t>Huacareta</t>
  </si>
  <si>
    <t>Huacaya (Autonomía Guaraní Chaqueño de Huacaya)</t>
  </si>
  <si>
    <t>Waldo Ballivián</t>
  </si>
  <si>
    <t>Sicasica</t>
  </si>
  <si>
    <t>Charazani</t>
  </si>
  <si>
    <t>Santiváñez</t>
  </si>
  <si>
    <t>Bolívar</t>
  </si>
  <si>
    <t>Salinas de Garci Mendoza (Autonomía Indígena Originario Campesina de Salinas)</t>
  </si>
  <si>
    <t>Uru Chipaya (Nación Originaria Uru Chipaya)</t>
  </si>
  <si>
    <t>Vitichi</t>
  </si>
  <si>
    <t>TIOC-Jatun Ayllu Yura</t>
  </si>
  <si>
    <t>Charagua (Autonomía Guaraní Charagua Iyambae)</t>
  </si>
  <si>
    <t>Gutiérrez (Autonomía Indígena Kereimba Iyaambae)</t>
  </si>
  <si>
    <t>Pampagrande</t>
  </si>
  <si>
    <t>Puerto Suárez</t>
  </si>
  <si>
    <t>TIOC-Territorio Indígena Multiétnico</t>
  </si>
  <si>
    <t>Matriculación escolar de mujeres en secundaria, 2012</t>
  </si>
  <si>
    <t>Matriculación escolar de mujeres en secundaria, 2013</t>
  </si>
  <si>
    <t>Matriculación escolar de mujeres en secundaria, 2014</t>
  </si>
  <si>
    <t>Abandono escolar de mujeres en secundaria, 2012</t>
  </si>
  <si>
    <t>Abandono escolar de mujeres en secundaria, 2013</t>
  </si>
  <si>
    <t>Abandono escolar de mujeres en secundaria, 2014</t>
  </si>
  <si>
    <t>Tasas de abandono escolar de mujeres en secundaria, 2012</t>
  </si>
  <si>
    <t>Tasas de abandono escolar de mujeres en secundaria, 2013</t>
  </si>
  <si>
    <t>Tasas de abandono escolar de mujeres en secundaria, 2014</t>
  </si>
  <si>
    <t>Promedio de abandono escolar de mujeres en secundaria, 2012 - 2014</t>
  </si>
  <si>
    <t>Matriculación escolar de mujeres en secundaria, 2022</t>
  </si>
  <si>
    <t>Matriculación escolar de mujeres en secundaria, 2023</t>
  </si>
  <si>
    <t>Matriculación escolar de mujeres en secundaria, 2024</t>
  </si>
  <si>
    <t>Abandono escolar de mujeres en secundaria, 2022</t>
  </si>
  <si>
    <t>Abandono escolar de mujeres en secundaria, 2023</t>
  </si>
  <si>
    <t>Abandono escolar de mujeres en secundaria, 2024</t>
  </si>
  <si>
    <t>Tasas de abandono escolar de mujeres en secundaria, 2022</t>
  </si>
  <si>
    <t>Tasas de abandono escolar de mujeres en secundaria, 2023</t>
  </si>
  <si>
    <t>Tasas de abandono escolar de mujeres en secundaria, 2024</t>
  </si>
  <si>
    <t>Promedio de abandono escolar de mujeres en secundaria, 2022 - 2024</t>
  </si>
  <si>
    <t>Promedio de abandono escolar de mujeres en secundaria, 2022 - 2023</t>
  </si>
  <si>
    <t>Potosi</t>
  </si>
  <si>
    <t>Bolivia</t>
  </si>
  <si>
    <t>Tasa_abandono_secundaria_mujeres_prom_2012_2014</t>
  </si>
  <si>
    <t>Tasa_abandono_secundaria_mujeres_prom_2022_2024</t>
  </si>
  <si>
    <t>Número_promedio_de_abandonos_escolares_de_mujeres_en_secundaria_2012</t>
  </si>
  <si>
    <t>Número_promedio_de_abandonos_escolares_de_mujeres_en_secundaria_2024</t>
  </si>
  <si>
    <t>Tasa de abandono escolar de mujeres en secundaria (Abandono/Matriculación) (%)</t>
  </si>
  <si>
    <t>Número_promedio_de_abandonos_escolares_de_mujeres_en_secundaria_2022_2024</t>
  </si>
  <si>
    <t>Número_promedio_de_abandonos_escolares_de_mujeres_en_secundaria_2012_2014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</si>
</sst>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0" fontId="7" fillId="0" borderId="1" xfId="0" applyFont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9" fillId="0" borderId="0" xfId="0" applyFont="1" applyAlignment="1">
      <alignment vertical="center" wrapText="1"/>
    </xf>
    <xf numFmtId="3" fontId="0" fillId="0" borderId="1" xfId="0" applyNumberFormat="1" applyBorder="1"/>
    <xf numFmtId="0" fontId="7" fillId="0" borderId="1" xfId="0" applyFont="1" applyBorder="1"/>
    <xf numFmtId="165" fontId="0" fillId="0" borderId="1" xfId="0" applyNumberFormat="1" applyBorder="1"/>
    <xf numFmtId="0" fontId="6" fillId="0" borderId="1" xfId="0" applyFont="1" applyBorder="1"/>
    <xf numFmtId="3" fontId="6" fillId="0" borderId="1" xfId="0" applyNumberFormat="1" applyFont="1" applyBorder="1"/>
    <xf numFmtId="3" fontId="0" fillId="0" borderId="0" xfId="0" applyNumberFormat="1"/>
  </cellXfs>
  <cellStyles count="2">
    <cellStyle name="Normal" xfId="0" builtinId="0"/>
    <cellStyle name="Normal 5" xfId="1" xr:uid="{FE9A07AF-313A-4EEC-93A6-04B13174B0E0}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99060</xdr:rowOff>
    </xdr:from>
    <xdr:to>
      <xdr:col>8</xdr:col>
      <xdr:colOff>723900</xdr:colOff>
      <xdr:row>25</xdr:row>
      <xdr:rowOff>143058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13152C-ACC8-BBF0-FD83-99AE822EE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9060"/>
          <a:ext cx="6835140" cy="4615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AV344"/>
  <sheetViews>
    <sheetView topLeftCell="AJ1" workbookViewId="0">
      <selection activeCell="AT16" sqref="AT16:AT17"/>
    </sheetView>
  </sheetViews>
  <sheetFormatPr baseColWidth="10" defaultRowHeight="14.4" x14ac:dyDescent="0.3"/>
  <cols>
    <col min="4" max="4" width="21.33203125" customWidth="1"/>
  </cols>
  <sheetData>
    <row r="1" spans="1:48" ht="100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475</v>
      </c>
      <c r="F1" s="13" t="s">
        <v>493</v>
      </c>
      <c r="G1" s="13" t="s">
        <v>494</v>
      </c>
      <c r="H1" s="13" t="s">
        <v>495</v>
      </c>
      <c r="I1" s="13" t="s">
        <v>496</v>
      </c>
      <c r="J1" s="13" t="s">
        <v>497</v>
      </c>
      <c r="K1" s="13" t="s">
        <v>498</v>
      </c>
      <c r="L1" s="13" t="s">
        <v>499</v>
      </c>
      <c r="M1" s="13" t="s">
        <v>500</v>
      </c>
      <c r="N1" s="13" t="s">
        <v>501</v>
      </c>
      <c r="O1" s="14" t="s">
        <v>502</v>
      </c>
      <c r="P1" s="13" t="s">
        <v>503</v>
      </c>
      <c r="Q1" s="13" t="s">
        <v>504</v>
      </c>
      <c r="R1" s="13" t="s">
        <v>505</v>
      </c>
      <c r="S1" s="13" t="s">
        <v>506</v>
      </c>
      <c r="T1" s="13" t="s">
        <v>507</v>
      </c>
      <c r="U1" s="13" t="s">
        <v>508</v>
      </c>
      <c r="V1" s="13" t="s">
        <v>509</v>
      </c>
      <c r="W1" s="13" t="s">
        <v>510</v>
      </c>
      <c r="X1" s="13" t="s">
        <v>511</v>
      </c>
      <c r="Y1" s="14" t="s">
        <v>512</v>
      </c>
      <c r="Z1" s="15"/>
      <c r="AA1" s="15"/>
      <c r="AB1" s="13" t="s">
        <v>464</v>
      </c>
      <c r="AC1" s="13" t="s">
        <v>493</v>
      </c>
      <c r="AD1" s="13" t="s">
        <v>494</v>
      </c>
      <c r="AE1" s="13" t="s">
        <v>495</v>
      </c>
      <c r="AF1" s="13" t="s">
        <v>496</v>
      </c>
      <c r="AG1" s="13" t="s">
        <v>497</v>
      </c>
      <c r="AH1" s="13" t="s">
        <v>498</v>
      </c>
      <c r="AI1" s="13" t="s">
        <v>499</v>
      </c>
      <c r="AJ1" s="13" t="s">
        <v>500</v>
      </c>
      <c r="AK1" s="13" t="s">
        <v>501</v>
      </c>
      <c r="AL1" s="14" t="s">
        <v>502</v>
      </c>
      <c r="AM1" s="13" t="s">
        <v>503</v>
      </c>
      <c r="AN1" s="13" t="s">
        <v>504</v>
      </c>
      <c r="AO1" s="13" t="s">
        <v>505</v>
      </c>
      <c r="AP1" s="13" t="s">
        <v>506</v>
      </c>
      <c r="AQ1" s="13" t="s">
        <v>507</v>
      </c>
      <c r="AR1" s="13" t="s">
        <v>508</v>
      </c>
      <c r="AS1" s="13" t="s">
        <v>509</v>
      </c>
      <c r="AT1" s="13" t="s">
        <v>510</v>
      </c>
      <c r="AU1" s="13" t="s">
        <v>511</v>
      </c>
      <c r="AV1" s="14" t="s">
        <v>513</v>
      </c>
    </row>
    <row r="2" spans="1:48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16">
        <v>16401</v>
      </c>
      <c r="G2" s="16">
        <v>16912</v>
      </c>
      <c r="H2" s="16">
        <v>17219</v>
      </c>
      <c r="I2" s="16">
        <v>710</v>
      </c>
      <c r="J2" s="16">
        <v>805</v>
      </c>
      <c r="K2" s="16">
        <v>710</v>
      </c>
      <c r="L2" s="12">
        <f t="shared" ref="L2:L22" si="0">(I2/F2)*100</f>
        <v>4.329004329004329</v>
      </c>
      <c r="M2" s="12">
        <f t="shared" ref="M2:M22" si="1">(J2/G2)*100</f>
        <v>4.7599337748344368</v>
      </c>
      <c r="N2" s="12">
        <f t="shared" ref="N2:N22" si="2">(K2/H2)*100</f>
        <v>4.1233521110401306</v>
      </c>
      <c r="O2" s="12">
        <f>AVERAGE(L2:N2)</f>
        <v>4.4040967382929654</v>
      </c>
      <c r="P2" s="16">
        <v>18039</v>
      </c>
      <c r="Q2" s="16">
        <v>18296</v>
      </c>
      <c r="R2" s="16">
        <v>18384</v>
      </c>
      <c r="S2" s="16">
        <v>422</v>
      </c>
      <c r="T2" s="16">
        <v>353</v>
      </c>
      <c r="U2" s="16">
        <v>338</v>
      </c>
      <c r="V2" s="12">
        <f t="shared" ref="V2:V33" si="3">(S2/P2)*100</f>
        <v>2.3393757968845281</v>
      </c>
      <c r="W2" s="12">
        <f t="shared" ref="W2:W33" si="4">(T2/Q2)*100</f>
        <v>1.9293834717971141</v>
      </c>
      <c r="X2" s="12">
        <f t="shared" ref="X2:X33" si="5">(U2/R2)*100</f>
        <v>1.8385552654482158</v>
      </c>
      <c r="Y2" s="12">
        <f>AVERAGE(V2:W2)</f>
        <v>2.1343796343408212</v>
      </c>
      <c r="AB2" s="17" t="s">
        <v>4</v>
      </c>
      <c r="AC2" s="16">
        <f t="shared" ref="AC2:AH2" si="6">+SUM(F2:F30)</f>
        <v>28406</v>
      </c>
      <c r="AD2" s="16">
        <f t="shared" si="6"/>
        <v>29289</v>
      </c>
      <c r="AE2" s="16">
        <f t="shared" si="6"/>
        <v>30002</v>
      </c>
      <c r="AF2" s="16">
        <f t="shared" si="6"/>
        <v>1672</v>
      </c>
      <c r="AG2" s="16">
        <f t="shared" si="6"/>
        <v>1889</v>
      </c>
      <c r="AH2" s="16">
        <f t="shared" si="6"/>
        <v>1699</v>
      </c>
      <c r="AI2" s="12">
        <f t="shared" ref="AI2:AK11" si="7">+(AF2/AC2)*100</f>
        <v>5.8860804055481237</v>
      </c>
      <c r="AJ2" s="12">
        <f t="shared" si="7"/>
        <v>6.4495202977226942</v>
      </c>
      <c r="AK2" s="12">
        <f t="shared" si="7"/>
        <v>5.6629558029464704</v>
      </c>
      <c r="AL2" s="12">
        <f>AVERAGE(AI2:AK2)</f>
        <v>5.9995188354057625</v>
      </c>
      <c r="AM2" s="16">
        <f t="shared" ref="AM2:AR2" si="8">+SUM(P2:P30)</f>
        <v>29906</v>
      </c>
      <c r="AN2" s="16">
        <f t="shared" si="8"/>
        <v>29877</v>
      </c>
      <c r="AO2" s="16">
        <f t="shared" si="8"/>
        <v>29790</v>
      </c>
      <c r="AP2" s="16">
        <f t="shared" si="8"/>
        <v>933</v>
      </c>
      <c r="AQ2" s="16">
        <f t="shared" si="8"/>
        <v>779</v>
      </c>
      <c r="AR2" s="16">
        <f t="shared" si="8"/>
        <v>764</v>
      </c>
      <c r="AS2" s="18">
        <f>(AP2/AM2)*100</f>
        <v>3.1197752959272385</v>
      </c>
      <c r="AT2" s="18">
        <f>(AQ2/AN2)*100</f>
        <v>2.6073568296683067</v>
      </c>
      <c r="AU2" s="18">
        <f>(AR2/AO2)*100</f>
        <v>2.5646189996643169</v>
      </c>
      <c r="AV2" s="18">
        <f>AVERAGE(AS2:AU2)</f>
        <v>2.7639170417532877</v>
      </c>
    </row>
    <row r="3" spans="1:48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16">
        <v>427</v>
      </c>
      <c r="G3" s="16">
        <v>449</v>
      </c>
      <c r="H3" s="16">
        <v>508</v>
      </c>
      <c r="I3" s="16">
        <v>27</v>
      </c>
      <c r="J3" s="16">
        <v>20</v>
      </c>
      <c r="K3" s="16">
        <v>16</v>
      </c>
      <c r="L3" s="12">
        <f t="shared" si="0"/>
        <v>6.3231850117096018</v>
      </c>
      <c r="M3" s="12">
        <f t="shared" si="1"/>
        <v>4.4543429844097995</v>
      </c>
      <c r="N3" s="12">
        <f t="shared" si="2"/>
        <v>3.1496062992125982</v>
      </c>
      <c r="O3" s="12">
        <f t="shared" ref="O3:O66" si="9">AVERAGE(L3:N3)</f>
        <v>4.6423780984439995</v>
      </c>
      <c r="P3" s="16">
        <v>422</v>
      </c>
      <c r="Q3" s="16">
        <v>413</v>
      </c>
      <c r="R3" s="16">
        <v>405</v>
      </c>
      <c r="S3" s="16">
        <v>11</v>
      </c>
      <c r="T3" s="16">
        <v>10</v>
      </c>
      <c r="U3" s="16">
        <v>11</v>
      </c>
      <c r="V3" s="12">
        <f t="shared" si="3"/>
        <v>2.6066350710900474</v>
      </c>
      <c r="W3" s="12">
        <f t="shared" si="4"/>
        <v>2.4213075060532687</v>
      </c>
      <c r="X3" s="12">
        <f t="shared" si="5"/>
        <v>2.7160493827160495</v>
      </c>
      <c r="Y3" s="12">
        <f t="shared" ref="Y3:Y66" si="10">AVERAGE(V3:W3)</f>
        <v>2.5139712885716579</v>
      </c>
      <c r="AB3" s="17" t="s">
        <v>46</v>
      </c>
      <c r="AC3" s="16">
        <f t="shared" ref="AC3:AH3" si="11">+SUM(F31:F117)</f>
        <v>151353</v>
      </c>
      <c r="AD3" s="16">
        <f t="shared" si="11"/>
        <v>155502</v>
      </c>
      <c r="AE3" s="16">
        <f t="shared" si="11"/>
        <v>156208</v>
      </c>
      <c r="AF3" s="16">
        <f t="shared" si="11"/>
        <v>6443</v>
      </c>
      <c r="AG3" s="16">
        <f t="shared" si="11"/>
        <v>6611</v>
      </c>
      <c r="AH3" s="16">
        <f t="shared" si="11"/>
        <v>7251</v>
      </c>
      <c r="AI3" s="12">
        <f t="shared" si="7"/>
        <v>4.2569357726639048</v>
      </c>
      <c r="AJ3" s="12">
        <f t="shared" si="7"/>
        <v>4.2513922650512539</v>
      </c>
      <c r="AK3" s="12">
        <f t="shared" si="7"/>
        <v>4.641887739424357</v>
      </c>
      <c r="AL3" s="12">
        <f t="shared" ref="AL3:AL12" si="12">AVERAGE(AI3:AK3)</f>
        <v>4.3834052590465058</v>
      </c>
      <c r="AM3" s="16">
        <f t="shared" ref="AM3:AR3" si="13">+SUM(P31:P117)</f>
        <v>153431</v>
      </c>
      <c r="AN3" s="16">
        <f t="shared" si="13"/>
        <v>155406</v>
      </c>
      <c r="AO3" s="16">
        <f t="shared" si="13"/>
        <v>156618</v>
      </c>
      <c r="AP3" s="16">
        <f t="shared" si="13"/>
        <v>2802</v>
      </c>
      <c r="AQ3" s="16">
        <f t="shared" si="13"/>
        <v>2630</v>
      </c>
      <c r="AR3" s="16">
        <f t="shared" si="13"/>
        <v>2715</v>
      </c>
      <c r="AS3" s="18">
        <f t="shared" ref="AS3:AU11" si="14">(AP3/AM3)*100</f>
        <v>1.8262280764643388</v>
      </c>
      <c r="AT3" s="18">
        <f t="shared" si="14"/>
        <v>1.6923413510417873</v>
      </c>
      <c r="AU3" s="18">
        <f t="shared" si="14"/>
        <v>1.7335172202428841</v>
      </c>
      <c r="AV3" s="18">
        <f t="shared" ref="AV3:AV12" si="15">AVERAGE(AS3:AU3)</f>
        <v>1.7506955492496701</v>
      </c>
    </row>
    <row r="4" spans="1:48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16">
        <v>902</v>
      </c>
      <c r="G4" s="16">
        <v>913</v>
      </c>
      <c r="H4" s="16">
        <v>907</v>
      </c>
      <c r="I4" s="16">
        <v>91</v>
      </c>
      <c r="J4" s="16">
        <v>97</v>
      </c>
      <c r="K4" s="16">
        <v>81</v>
      </c>
      <c r="L4" s="12">
        <f t="shared" si="0"/>
        <v>10.08869179600887</v>
      </c>
      <c r="M4" s="12">
        <f t="shared" si="1"/>
        <v>10.624315443592552</v>
      </c>
      <c r="N4" s="12">
        <f t="shared" si="2"/>
        <v>8.9305402425578819</v>
      </c>
      <c r="O4" s="12">
        <f t="shared" si="9"/>
        <v>9.8811824940531015</v>
      </c>
      <c r="P4" s="16">
        <v>476</v>
      </c>
      <c r="Q4" s="16">
        <v>452</v>
      </c>
      <c r="R4" s="16">
        <v>436</v>
      </c>
      <c r="S4" s="16">
        <v>28</v>
      </c>
      <c r="T4" s="16">
        <v>25</v>
      </c>
      <c r="U4" s="16">
        <v>37</v>
      </c>
      <c r="V4" s="12">
        <f t="shared" si="3"/>
        <v>5.8823529411764701</v>
      </c>
      <c r="W4" s="12">
        <f t="shared" si="4"/>
        <v>5.5309734513274336</v>
      </c>
      <c r="X4" s="12">
        <f t="shared" si="5"/>
        <v>8.486238532110093</v>
      </c>
      <c r="Y4" s="12">
        <f t="shared" si="10"/>
        <v>5.7066631962519523</v>
      </c>
      <c r="AB4" s="17" t="s">
        <v>157</v>
      </c>
      <c r="AC4" s="16">
        <f t="shared" ref="AC4:AH4" si="16">+SUM(F118:F165)</f>
        <v>96770</v>
      </c>
      <c r="AD4" s="16">
        <f t="shared" si="16"/>
        <v>101121</v>
      </c>
      <c r="AE4" s="16">
        <f t="shared" si="16"/>
        <v>103802</v>
      </c>
      <c r="AF4" s="16">
        <f t="shared" si="16"/>
        <v>4811</v>
      </c>
      <c r="AG4" s="16">
        <f t="shared" si="16"/>
        <v>5287</v>
      </c>
      <c r="AH4" s="16">
        <f t="shared" si="16"/>
        <v>5102</v>
      </c>
      <c r="AI4" s="12">
        <f t="shared" si="7"/>
        <v>4.971582101891082</v>
      </c>
      <c r="AJ4" s="12">
        <f t="shared" si="7"/>
        <v>5.2283897508924957</v>
      </c>
      <c r="AK4" s="12">
        <f t="shared" si="7"/>
        <v>4.9151268761680891</v>
      </c>
      <c r="AL4" s="12">
        <f t="shared" si="12"/>
        <v>5.038366242983888</v>
      </c>
      <c r="AM4" s="16">
        <f t="shared" ref="AM4:AR4" si="17">+SUM(P118:P168)</f>
        <v>135079</v>
      </c>
      <c r="AN4" s="16">
        <f t="shared" si="17"/>
        <v>137110</v>
      </c>
      <c r="AO4" s="16">
        <f t="shared" si="17"/>
        <v>137584</v>
      </c>
      <c r="AP4" s="16">
        <f t="shared" si="17"/>
        <v>2941</v>
      </c>
      <c r="AQ4" s="16">
        <f t="shared" si="17"/>
        <v>2520</v>
      </c>
      <c r="AR4" s="16">
        <f t="shared" si="17"/>
        <v>2698</v>
      </c>
      <c r="AS4" s="18">
        <f t="shared" si="14"/>
        <v>2.1772444273351148</v>
      </c>
      <c r="AT4" s="18">
        <f t="shared" si="14"/>
        <v>1.8379403398730947</v>
      </c>
      <c r="AU4" s="18">
        <f t="shared" si="14"/>
        <v>1.9609838353296896</v>
      </c>
      <c r="AV4" s="18">
        <f t="shared" si="15"/>
        <v>1.9920562008459664</v>
      </c>
    </row>
    <row r="5" spans="1:48" x14ac:dyDescent="0.3">
      <c r="A5" s="1" t="s">
        <v>4</v>
      </c>
      <c r="B5" s="1" t="s">
        <v>9</v>
      </c>
      <c r="C5" s="1" t="s">
        <v>9</v>
      </c>
      <c r="D5" s="1" t="s">
        <v>10</v>
      </c>
      <c r="E5" s="2">
        <v>10201</v>
      </c>
      <c r="F5" s="16">
        <v>272</v>
      </c>
      <c r="G5" s="16">
        <v>343</v>
      </c>
      <c r="H5" s="16">
        <v>336</v>
      </c>
      <c r="I5" s="16">
        <v>37</v>
      </c>
      <c r="J5" s="16">
        <v>70</v>
      </c>
      <c r="K5" s="16">
        <v>46</v>
      </c>
      <c r="L5" s="12">
        <f t="shared" si="0"/>
        <v>13.602941176470587</v>
      </c>
      <c r="M5" s="12">
        <f t="shared" si="1"/>
        <v>20.408163265306122</v>
      </c>
      <c r="N5" s="12">
        <f t="shared" si="2"/>
        <v>13.690476190476192</v>
      </c>
      <c r="O5" s="12">
        <f t="shared" si="9"/>
        <v>15.900526877417633</v>
      </c>
      <c r="P5" s="16">
        <v>308</v>
      </c>
      <c r="Q5" s="16">
        <v>302</v>
      </c>
      <c r="R5" s="16">
        <v>284</v>
      </c>
      <c r="S5" s="16">
        <v>12</v>
      </c>
      <c r="T5" s="16">
        <v>11</v>
      </c>
      <c r="U5" s="16">
        <v>16</v>
      </c>
      <c r="V5" s="12">
        <f t="shared" si="3"/>
        <v>3.8961038961038961</v>
      </c>
      <c r="W5" s="12">
        <f t="shared" si="4"/>
        <v>3.6423841059602649</v>
      </c>
      <c r="X5" s="12">
        <f t="shared" si="5"/>
        <v>5.6338028169014089</v>
      </c>
      <c r="Y5" s="12">
        <f t="shared" si="10"/>
        <v>3.7692440010320807</v>
      </c>
      <c r="AB5" s="17" t="s">
        <v>217</v>
      </c>
      <c r="AC5" s="16">
        <f t="shared" ref="AC5:AH5" si="18">+SUM(F166:F200)</f>
        <v>25390</v>
      </c>
      <c r="AD5" s="16">
        <f t="shared" si="18"/>
        <v>26113</v>
      </c>
      <c r="AE5" s="16">
        <f t="shared" si="18"/>
        <v>26527</v>
      </c>
      <c r="AF5" s="16">
        <f t="shared" si="18"/>
        <v>1100</v>
      </c>
      <c r="AG5" s="16">
        <f t="shared" si="18"/>
        <v>1374</v>
      </c>
      <c r="AH5" s="16">
        <f t="shared" si="18"/>
        <v>1324</v>
      </c>
      <c r="AI5" s="12">
        <f t="shared" si="7"/>
        <v>4.3324143363528949</v>
      </c>
      <c r="AJ5" s="12">
        <f t="shared" si="7"/>
        <v>5.2617470225558147</v>
      </c>
      <c r="AK5" s="12">
        <f t="shared" si="7"/>
        <v>4.9911411015192062</v>
      </c>
      <c r="AL5" s="12">
        <f t="shared" si="12"/>
        <v>4.8617674868093053</v>
      </c>
      <c r="AM5" s="16">
        <f t="shared" ref="AM5:AR5" si="19">+SUM(P169:P206)</f>
        <v>24479</v>
      </c>
      <c r="AN5" s="16">
        <f t="shared" si="19"/>
        <v>25022</v>
      </c>
      <c r="AO5" s="16">
        <f t="shared" si="19"/>
        <v>25595</v>
      </c>
      <c r="AP5" s="16">
        <f t="shared" si="19"/>
        <v>688</v>
      </c>
      <c r="AQ5" s="16">
        <f t="shared" si="19"/>
        <v>636</v>
      </c>
      <c r="AR5" s="16">
        <f t="shared" si="19"/>
        <v>630</v>
      </c>
      <c r="AS5" s="18">
        <f t="shared" si="14"/>
        <v>2.8105723273009517</v>
      </c>
      <c r="AT5" s="18">
        <f t="shared" si="14"/>
        <v>2.5417632483414594</v>
      </c>
      <c r="AU5" s="18">
        <f t="shared" si="14"/>
        <v>2.4614182457511231</v>
      </c>
      <c r="AV5" s="18">
        <f t="shared" si="15"/>
        <v>2.6045846071311782</v>
      </c>
    </row>
    <row r="6" spans="1:48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16">
        <v>518</v>
      </c>
      <c r="G6" s="16">
        <v>550</v>
      </c>
      <c r="H6" s="16">
        <v>587</v>
      </c>
      <c r="I6" s="16">
        <v>67</v>
      </c>
      <c r="J6" s="16">
        <v>35</v>
      </c>
      <c r="K6" s="16">
        <v>37</v>
      </c>
      <c r="L6" s="12">
        <f t="shared" si="0"/>
        <v>12.934362934362934</v>
      </c>
      <c r="M6" s="12">
        <f t="shared" si="1"/>
        <v>6.3636363636363633</v>
      </c>
      <c r="N6" s="12">
        <f t="shared" si="2"/>
        <v>6.3032367972742751</v>
      </c>
      <c r="O6" s="12">
        <f t="shared" si="9"/>
        <v>8.5337453650911907</v>
      </c>
      <c r="P6" s="16">
        <v>578</v>
      </c>
      <c r="Q6" s="16">
        <v>524</v>
      </c>
      <c r="R6" s="16">
        <v>491</v>
      </c>
      <c r="S6" s="16">
        <v>39</v>
      </c>
      <c r="T6" s="16">
        <v>39</v>
      </c>
      <c r="U6" s="16">
        <v>24</v>
      </c>
      <c r="V6" s="12">
        <f t="shared" si="3"/>
        <v>6.7474048442906582</v>
      </c>
      <c r="W6" s="12">
        <f t="shared" si="4"/>
        <v>7.4427480916030531</v>
      </c>
      <c r="X6" s="12">
        <f t="shared" si="5"/>
        <v>4.887983706720977</v>
      </c>
      <c r="Y6" s="12">
        <f t="shared" si="10"/>
        <v>7.0950764679468552</v>
      </c>
      <c r="AB6" s="17" t="s">
        <v>514</v>
      </c>
      <c r="AC6" s="16">
        <f t="shared" ref="AC6:AH6" si="20">+SUM(F201:F242)</f>
        <v>37857</v>
      </c>
      <c r="AD6" s="16">
        <f t="shared" si="20"/>
        <v>39139</v>
      </c>
      <c r="AE6" s="16">
        <f t="shared" si="20"/>
        <v>40052</v>
      </c>
      <c r="AF6" s="16">
        <f t="shared" si="20"/>
        <v>3930</v>
      </c>
      <c r="AG6" s="16">
        <f t="shared" si="20"/>
        <v>3998</v>
      </c>
      <c r="AH6" s="16">
        <f t="shared" si="20"/>
        <v>3906</v>
      </c>
      <c r="AI6" s="12">
        <f t="shared" si="7"/>
        <v>10.381171249702829</v>
      </c>
      <c r="AJ6" s="12">
        <f t="shared" si="7"/>
        <v>10.214875188430977</v>
      </c>
      <c r="AK6" s="12">
        <f t="shared" si="7"/>
        <v>9.7523219814241493</v>
      </c>
      <c r="AL6" s="12">
        <f t="shared" si="12"/>
        <v>10.116122806519318</v>
      </c>
      <c r="AM6" s="16">
        <f t="shared" ref="AM6:AR6" si="21">+SUM(P207:P250)</f>
        <v>50540</v>
      </c>
      <c r="AN6" s="16">
        <f t="shared" si="21"/>
        <v>51102</v>
      </c>
      <c r="AO6" s="16">
        <f t="shared" si="21"/>
        <v>51247</v>
      </c>
      <c r="AP6" s="16">
        <f t="shared" si="21"/>
        <v>1556</v>
      </c>
      <c r="AQ6" s="16">
        <f t="shared" si="21"/>
        <v>1286</v>
      </c>
      <c r="AR6" s="16">
        <f t="shared" si="21"/>
        <v>1264</v>
      </c>
      <c r="AS6" s="18">
        <f t="shared" si="14"/>
        <v>3.0787495053423033</v>
      </c>
      <c r="AT6" s="18">
        <f t="shared" si="14"/>
        <v>2.5165355563383041</v>
      </c>
      <c r="AU6" s="18">
        <f t="shared" si="14"/>
        <v>2.4664858430737411</v>
      </c>
      <c r="AV6" s="18">
        <f t="shared" si="15"/>
        <v>2.6872569682514498</v>
      </c>
    </row>
    <row r="7" spans="1:48" x14ac:dyDescent="0.3">
      <c r="A7" s="1" t="s">
        <v>4</v>
      </c>
      <c r="B7" s="1" t="s">
        <v>13</v>
      </c>
      <c r="C7" s="1" t="s">
        <v>13</v>
      </c>
      <c r="D7" s="1" t="s">
        <v>14</v>
      </c>
      <c r="E7" s="2">
        <v>10301</v>
      </c>
      <c r="F7" s="16">
        <v>220</v>
      </c>
      <c r="G7" s="16">
        <v>212</v>
      </c>
      <c r="H7" s="16">
        <v>232</v>
      </c>
      <c r="I7" s="16">
        <v>10</v>
      </c>
      <c r="J7" s="16">
        <v>16</v>
      </c>
      <c r="K7" s="16">
        <v>23</v>
      </c>
      <c r="L7" s="12">
        <f t="shared" si="0"/>
        <v>4.5454545454545459</v>
      </c>
      <c r="M7" s="12">
        <f t="shared" si="1"/>
        <v>7.5471698113207548</v>
      </c>
      <c r="N7" s="12">
        <f t="shared" si="2"/>
        <v>9.9137931034482758</v>
      </c>
      <c r="O7" s="12">
        <f t="shared" si="9"/>
        <v>7.3354724867411916</v>
      </c>
      <c r="P7" s="16">
        <v>239</v>
      </c>
      <c r="Q7" s="16">
        <v>227</v>
      </c>
      <c r="R7" s="16">
        <v>235</v>
      </c>
      <c r="S7" s="16">
        <v>13</v>
      </c>
      <c r="T7" s="16">
        <v>2</v>
      </c>
      <c r="U7" s="16">
        <v>3</v>
      </c>
      <c r="V7" s="12">
        <f t="shared" si="3"/>
        <v>5.439330543933055</v>
      </c>
      <c r="W7" s="12">
        <f t="shared" si="4"/>
        <v>0.88105726872246704</v>
      </c>
      <c r="X7" s="12">
        <f t="shared" si="5"/>
        <v>1.2765957446808509</v>
      </c>
      <c r="Y7" s="12">
        <f t="shared" si="10"/>
        <v>3.1601939063277609</v>
      </c>
      <c r="AB7" s="17" t="s">
        <v>332</v>
      </c>
      <c r="AC7" s="16">
        <f t="shared" ref="AC7:AH7" si="22">+SUM(F243:F253)</f>
        <v>25787</v>
      </c>
      <c r="AD7" s="16">
        <f t="shared" si="22"/>
        <v>26210</v>
      </c>
      <c r="AE7" s="16">
        <f t="shared" si="22"/>
        <v>26282</v>
      </c>
      <c r="AF7" s="16">
        <f t="shared" si="22"/>
        <v>1472</v>
      </c>
      <c r="AG7" s="16">
        <f t="shared" si="22"/>
        <v>1614</v>
      </c>
      <c r="AH7" s="16">
        <f t="shared" si="22"/>
        <v>1323</v>
      </c>
      <c r="AI7" s="12">
        <f t="shared" si="7"/>
        <v>5.7083026331097058</v>
      </c>
      <c r="AJ7" s="12">
        <f t="shared" si="7"/>
        <v>6.1579549790156429</v>
      </c>
      <c r="AK7" s="12">
        <f t="shared" si="7"/>
        <v>5.0338634807092308</v>
      </c>
      <c r="AL7" s="12">
        <f t="shared" si="12"/>
        <v>5.6333736976115274</v>
      </c>
      <c r="AM7" s="16">
        <f t="shared" ref="AM7:AR7" si="23">+SUM(P251:P261)</f>
        <v>113066</v>
      </c>
      <c r="AN7" s="16">
        <f t="shared" si="23"/>
        <v>116288</v>
      </c>
      <c r="AO7" s="16">
        <f t="shared" si="23"/>
        <v>119780</v>
      </c>
      <c r="AP7" s="16">
        <f t="shared" si="23"/>
        <v>2076</v>
      </c>
      <c r="AQ7" s="16">
        <f t="shared" si="23"/>
        <v>1720</v>
      </c>
      <c r="AR7" s="16">
        <f t="shared" si="23"/>
        <v>2349</v>
      </c>
      <c r="AS7" s="18">
        <f t="shared" si="14"/>
        <v>1.8360957316965312</v>
      </c>
      <c r="AT7" s="18">
        <f t="shared" si="14"/>
        <v>1.4790864061640066</v>
      </c>
      <c r="AU7" s="18">
        <f t="shared" si="14"/>
        <v>1.9610953414593422</v>
      </c>
      <c r="AV7" s="18">
        <f t="shared" si="15"/>
        <v>1.7587591597732934</v>
      </c>
    </row>
    <row r="8" spans="1:48" x14ac:dyDescent="0.3">
      <c r="A8" s="1" t="s">
        <v>4</v>
      </c>
      <c r="B8" s="1" t="s">
        <v>13</v>
      </c>
      <c r="C8" s="1" t="s">
        <v>15</v>
      </c>
      <c r="D8" s="1" t="s">
        <v>15</v>
      </c>
      <c r="E8" s="2">
        <v>10302</v>
      </c>
      <c r="F8" s="16">
        <v>190</v>
      </c>
      <c r="G8" s="16">
        <v>201</v>
      </c>
      <c r="H8" s="16">
        <v>230</v>
      </c>
      <c r="I8" s="16">
        <v>13</v>
      </c>
      <c r="J8" s="16">
        <v>24</v>
      </c>
      <c r="K8" s="16">
        <v>47</v>
      </c>
      <c r="L8" s="12">
        <f t="shared" si="0"/>
        <v>6.8421052631578956</v>
      </c>
      <c r="M8" s="12">
        <f t="shared" si="1"/>
        <v>11.940298507462686</v>
      </c>
      <c r="N8" s="12">
        <f t="shared" si="2"/>
        <v>20.434782608695652</v>
      </c>
      <c r="O8" s="12">
        <f t="shared" si="9"/>
        <v>13.072395459772077</v>
      </c>
      <c r="P8" s="16">
        <v>266</v>
      </c>
      <c r="Q8" s="16">
        <v>263</v>
      </c>
      <c r="R8" s="16">
        <v>268</v>
      </c>
      <c r="S8" s="16">
        <v>7</v>
      </c>
      <c r="T8" s="16">
        <v>10</v>
      </c>
      <c r="U8" s="16">
        <v>17</v>
      </c>
      <c r="V8" s="12">
        <f t="shared" si="3"/>
        <v>2.6315789473684208</v>
      </c>
      <c r="W8" s="12">
        <f t="shared" si="4"/>
        <v>3.8022813688212929</v>
      </c>
      <c r="X8" s="12">
        <f t="shared" si="5"/>
        <v>6.3432835820895521</v>
      </c>
      <c r="Y8" s="12">
        <f t="shared" si="10"/>
        <v>3.2169301580948568</v>
      </c>
      <c r="AB8" s="17" t="s">
        <v>349</v>
      </c>
      <c r="AC8" s="16">
        <f t="shared" ref="AC8:AH8" si="24">+SUM(F254:F309)</f>
        <v>139698</v>
      </c>
      <c r="AD8" s="16">
        <f t="shared" si="24"/>
        <v>143448</v>
      </c>
      <c r="AE8" s="16">
        <f t="shared" si="24"/>
        <v>145577</v>
      </c>
      <c r="AF8" s="16">
        <f t="shared" si="24"/>
        <v>7635</v>
      </c>
      <c r="AG8" s="16">
        <f t="shared" si="24"/>
        <v>9157</v>
      </c>
      <c r="AH8" s="16">
        <f t="shared" si="24"/>
        <v>9433</v>
      </c>
      <c r="AI8" s="12">
        <f t="shared" si="7"/>
        <v>5.4653609929991838</v>
      </c>
      <c r="AJ8" s="12">
        <f t="shared" si="7"/>
        <v>6.3834978528804864</v>
      </c>
      <c r="AK8" s="12">
        <f t="shared" si="7"/>
        <v>6.479732375306539</v>
      </c>
      <c r="AL8" s="12">
        <f t="shared" si="12"/>
        <v>6.1095304070620697</v>
      </c>
      <c r="AM8" s="16">
        <f t="shared" ref="AM8:AR8" si="25">+SUM(P262:P317)</f>
        <v>69754</v>
      </c>
      <c r="AN8" s="16">
        <f t="shared" si="25"/>
        <v>71431</v>
      </c>
      <c r="AO8" s="16">
        <f t="shared" si="25"/>
        <v>73348</v>
      </c>
      <c r="AP8" s="16">
        <f t="shared" si="25"/>
        <v>2273</v>
      </c>
      <c r="AQ8" s="16">
        <f t="shared" si="25"/>
        <v>2279</v>
      </c>
      <c r="AR8" s="16">
        <f t="shared" si="25"/>
        <v>2640</v>
      </c>
      <c r="AS8" s="18">
        <f t="shared" si="14"/>
        <v>3.2585944892049206</v>
      </c>
      <c r="AT8" s="18">
        <f t="shared" si="14"/>
        <v>3.1904915232882081</v>
      </c>
      <c r="AU8" s="18">
        <f t="shared" si="14"/>
        <v>3.5992801439712054</v>
      </c>
      <c r="AV8" s="18">
        <f t="shared" si="15"/>
        <v>3.3494553854881115</v>
      </c>
    </row>
    <row r="9" spans="1:48" x14ac:dyDescent="0.3">
      <c r="A9" s="1" t="s">
        <v>4</v>
      </c>
      <c r="B9" s="1" t="s">
        <v>13</v>
      </c>
      <c r="C9" s="1" t="s">
        <v>476</v>
      </c>
      <c r="D9" s="1" t="s">
        <v>16</v>
      </c>
      <c r="E9" s="2">
        <v>10303</v>
      </c>
      <c r="F9" s="16">
        <v>379</v>
      </c>
      <c r="G9" s="16">
        <v>365</v>
      </c>
      <c r="H9" s="16">
        <v>359</v>
      </c>
      <c r="I9" s="16">
        <v>18</v>
      </c>
      <c r="J9" s="16">
        <v>24</v>
      </c>
      <c r="K9" s="16">
        <v>22</v>
      </c>
      <c r="L9" s="12">
        <f t="shared" si="0"/>
        <v>4.7493403693931393</v>
      </c>
      <c r="M9" s="12">
        <f t="shared" si="1"/>
        <v>6.5753424657534243</v>
      </c>
      <c r="N9" s="12">
        <f t="shared" si="2"/>
        <v>6.1281337047353759</v>
      </c>
      <c r="O9" s="12">
        <f t="shared" si="9"/>
        <v>5.8176055132939801</v>
      </c>
      <c r="P9" s="16">
        <v>270</v>
      </c>
      <c r="Q9" s="16">
        <v>282</v>
      </c>
      <c r="R9" s="16">
        <v>289</v>
      </c>
      <c r="S9" s="16">
        <v>16</v>
      </c>
      <c r="T9" s="16">
        <v>8</v>
      </c>
      <c r="U9" s="16">
        <v>5</v>
      </c>
      <c r="V9" s="12">
        <f t="shared" si="3"/>
        <v>5.9259259259259265</v>
      </c>
      <c r="W9" s="12">
        <f t="shared" si="4"/>
        <v>2.8368794326241136</v>
      </c>
      <c r="X9" s="12">
        <f t="shared" si="5"/>
        <v>1.7301038062283738</v>
      </c>
      <c r="Y9" s="12">
        <f t="shared" si="10"/>
        <v>4.3814026792750198</v>
      </c>
      <c r="AB9" s="17" t="s">
        <v>418</v>
      </c>
      <c r="AC9" s="16">
        <f t="shared" ref="AC9:AH9" si="26">+SUM(F310:F329)</f>
        <v>23942.5</v>
      </c>
      <c r="AD9" s="16">
        <f t="shared" si="26"/>
        <v>24460</v>
      </c>
      <c r="AE9" s="16">
        <f t="shared" si="26"/>
        <v>24668</v>
      </c>
      <c r="AF9" s="16">
        <f t="shared" si="26"/>
        <v>2339</v>
      </c>
      <c r="AG9" s="16">
        <f t="shared" si="26"/>
        <v>2850.5</v>
      </c>
      <c r="AH9" s="16">
        <f t="shared" si="26"/>
        <v>2730</v>
      </c>
      <c r="AI9" s="12">
        <f t="shared" si="7"/>
        <v>9.7692388012947688</v>
      </c>
      <c r="AJ9" s="12">
        <f t="shared" si="7"/>
        <v>11.653720359771055</v>
      </c>
      <c r="AK9" s="12">
        <f t="shared" si="7"/>
        <v>11.066969353007945</v>
      </c>
      <c r="AL9" s="12">
        <f t="shared" si="12"/>
        <v>10.829976171357922</v>
      </c>
      <c r="AM9" s="16">
        <f t="shared" ref="AM9:AR9" si="27">+SUM(P318:P338)</f>
        <v>12160.5</v>
      </c>
      <c r="AN9" s="16">
        <f t="shared" si="27"/>
        <v>12458.5</v>
      </c>
      <c r="AO9" s="16">
        <f t="shared" si="27"/>
        <v>12871</v>
      </c>
      <c r="AP9" s="16">
        <f t="shared" si="27"/>
        <v>539.5</v>
      </c>
      <c r="AQ9" s="16">
        <f t="shared" si="27"/>
        <v>530.5</v>
      </c>
      <c r="AR9" s="16">
        <f t="shared" si="27"/>
        <v>619</v>
      </c>
      <c r="AS9" s="18">
        <f t="shared" si="14"/>
        <v>4.4364952099009081</v>
      </c>
      <c r="AT9" s="18">
        <f t="shared" si="14"/>
        <v>4.2581370148894324</v>
      </c>
      <c r="AU9" s="18">
        <f t="shared" si="14"/>
        <v>4.8092611296713539</v>
      </c>
      <c r="AV9" s="18">
        <f t="shared" si="15"/>
        <v>4.5012977848205642</v>
      </c>
    </row>
    <row r="10" spans="1:48" x14ac:dyDescent="0.3">
      <c r="A10" s="1" t="s">
        <v>4</v>
      </c>
      <c r="B10" s="1" t="s">
        <v>13</v>
      </c>
      <c r="C10" s="1" t="s">
        <v>17</v>
      </c>
      <c r="D10" s="1" t="s">
        <v>17</v>
      </c>
      <c r="E10" s="2">
        <v>10304</v>
      </c>
      <c r="F10" s="16">
        <v>306</v>
      </c>
      <c r="G10" s="16">
        <v>335</v>
      </c>
      <c r="H10" s="16">
        <v>363</v>
      </c>
      <c r="I10" s="16">
        <v>16</v>
      </c>
      <c r="J10" s="16">
        <v>32</v>
      </c>
      <c r="K10" s="16">
        <v>37</v>
      </c>
      <c r="L10" s="12">
        <f t="shared" si="0"/>
        <v>5.2287581699346406</v>
      </c>
      <c r="M10" s="12">
        <f t="shared" si="1"/>
        <v>9.5522388059701502</v>
      </c>
      <c r="N10" s="12">
        <f t="shared" si="2"/>
        <v>10.192837465564738</v>
      </c>
      <c r="O10" s="12">
        <f t="shared" si="9"/>
        <v>8.3246114804898426</v>
      </c>
      <c r="P10" s="16">
        <v>339</v>
      </c>
      <c r="Q10" s="16">
        <v>288</v>
      </c>
      <c r="R10" s="16">
        <v>268</v>
      </c>
      <c r="S10" s="16">
        <v>22</v>
      </c>
      <c r="T10" s="16">
        <v>10</v>
      </c>
      <c r="U10" s="16">
        <v>6</v>
      </c>
      <c r="V10" s="12">
        <f t="shared" si="3"/>
        <v>6.4896755162241888</v>
      </c>
      <c r="W10" s="12">
        <f t="shared" si="4"/>
        <v>3.4722222222222223</v>
      </c>
      <c r="X10" s="12">
        <f t="shared" si="5"/>
        <v>2.2388059701492535</v>
      </c>
      <c r="Y10" s="12">
        <f t="shared" si="10"/>
        <v>4.9809488692232051</v>
      </c>
      <c r="AB10" s="17" t="s">
        <v>444</v>
      </c>
      <c r="AC10" s="16">
        <f t="shared" ref="AC10:AH10" si="28">+SUM(F330:F344)</f>
        <v>3712</v>
      </c>
      <c r="AD10" s="16">
        <f t="shared" si="28"/>
        <v>4021</v>
      </c>
      <c r="AE10" s="16">
        <f t="shared" si="28"/>
        <v>4483</v>
      </c>
      <c r="AF10" s="16">
        <f t="shared" si="28"/>
        <v>482</v>
      </c>
      <c r="AG10" s="16">
        <f t="shared" si="28"/>
        <v>590</v>
      </c>
      <c r="AH10" s="16">
        <f t="shared" si="28"/>
        <v>543</v>
      </c>
      <c r="AI10" s="12">
        <f t="shared" si="7"/>
        <v>12.984913793103448</v>
      </c>
      <c r="AJ10" s="12">
        <f t="shared" si="7"/>
        <v>14.672966923650833</v>
      </c>
      <c r="AK10" s="12">
        <f t="shared" si="7"/>
        <v>12.112424715592237</v>
      </c>
      <c r="AL10" s="12">
        <f t="shared" si="12"/>
        <v>13.256768477448839</v>
      </c>
      <c r="AM10" s="16">
        <f t="shared" ref="AM10:AR10" si="29">+SUM(P336:P344)</f>
        <v>2269</v>
      </c>
      <c r="AN10" s="16">
        <f t="shared" si="29"/>
        <v>2327</v>
      </c>
      <c r="AO10" s="16">
        <f t="shared" si="29"/>
        <v>2477</v>
      </c>
      <c r="AP10" s="16">
        <f t="shared" si="29"/>
        <v>161</v>
      </c>
      <c r="AQ10" s="16">
        <f t="shared" si="29"/>
        <v>174</v>
      </c>
      <c r="AR10" s="16">
        <f t="shared" si="29"/>
        <v>197</v>
      </c>
      <c r="AS10" s="18">
        <f t="shared" si="14"/>
        <v>7.0956368444248579</v>
      </c>
      <c r="AT10" s="18">
        <f t="shared" si="14"/>
        <v>7.4774387623549643</v>
      </c>
      <c r="AU10" s="18">
        <f t="shared" si="14"/>
        <v>7.9531691562373847</v>
      </c>
      <c r="AV10" s="18">
        <f t="shared" si="15"/>
        <v>7.5087482543390687</v>
      </c>
    </row>
    <row r="11" spans="1:48" x14ac:dyDescent="0.3">
      <c r="A11" s="1" t="s">
        <v>4</v>
      </c>
      <c r="B11" s="1" t="s">
        <v>18</v>
      </c>
      <c r="C11" s="1" t="s">
        <v>19</v>
      </c>
      <c r="D11" s="1" t="s">
        <v>19</v>
      </c>
      <c r="E11" s="2">
        <v>10401</v>
      </c>
      <c r="F11" s="16">
        <v>385</v>
      </c>
      <c r="G11" s="16">
        <v>413</v>
      </c>
      <c r="H11" s="16">
        <v>442</v>
      </c>
      <c r="I11" s="16">
        <v>16</v>
      </c>
      <c r="J11" s="16">
        <v>7</v>
      </c>
      <c r="K11" s="16">
        <v>9</v>
      </c>
      <c r="L11" s="12">
        <f t="shared" si="0"/>
        <v>4.1558441558441555</v>
      </c>
      <c r="M11" s="12">
        <f t="shared" si="1"/>
        <v>1.6949152542372881</v>
      </c>
      <c r="N11" s="12">
        <f t="shared" si="2"/>
        <v>2.0361990950226243</v>
      </c>
      <c r="O11" s="12">
        <f t="shared" si="9"/>
        <v>2.6289861683680225</v>
      </c>
      <c r="P11" s="16">
        <v>371</v>
      </c>
      <c r="Q11" s="16">
        <v>373</v>
      </c>
      <c r="R11" s="16">
        <v>367</v>
      </c>
      <c r="S11" s="16">
        <v>4</v>
      </c>
      <c r="T11" s="16">
        <v>12</v>
      </c>
      <c r="U11" s="16">
        <v>10</v>
      </c>
      <c r="V11" s="12">
        <f t="shared" si="3"/>
        <v>1.0781671159029651</v>
      </c>
      <c r="W11" s="12">
        <f t="shared" si="4"/>
        <v>3.2171581769436997</v>
      </c>
      <c r="X11" s="12">
        <f t="shared" si="5"/>
        <v>2.7247956403269753</v>
      </c>
      <c r="Y11" s="12">
        <f t="shared" si="10"/>
        <v>2.1476626464233322</v>
      </c>
      <c r="AB11" s="17" t="s">
        <v>515</v>
      </c>
      <c r="AC11" s="1">
        <f t="shared" ref="AC11:AH11" si="30">SUM(AC2:AC10)</f>
        <v>532915.5</v>
      </c>
      <c r="AD11" s="1">
        <f t="shared" si="30"/>
        <v>549303</v>
      </c>
      <c r="AE11" s="1">
        <f t="shared" si="30"/>
        <v>557601</v>
      </c>
      <c r="AF11" s="1">
        <f t="shared" si="30"/>
        <v>29884</v>
      </c>
      <c r="AG11" s="1">
        <f t="shared" si="30"/>
        <v>33370.5</v>
      </c>
      <c r="AH11" s="1">
        <f t="shared" si="30"/>
        <v>33311</v>
      </c>
      <c r="AI11" s="12">
        <f t="shared" si="7"/>
        <v>5.6076432379992696</v>
      </c>
      <c r="AJ11" s="12">
        <f t="shared" si="7"/>
        <v>6.0750623972561595</v>
      </c>
      <c r="AK11" s="12">
        <f t="shared" si="7"/>
        <v>5.9739849820929303</v>
      </c>
      <c r="AL11" s="12">
        <f t="shared" si="12"/>
        <v>5.8855635391161201</v>
      </c>
      <c r="AM11" s="1">
        <f t="shared" ref="AM11:AR11" si="31">SUM(AM2:AM10)</f>
        <v>590684.5</v>
      </c>
      <c r="AN11" s="1">
        <f t="shared" si="31"/>
        <v>601021.5</v>
      </c>
      <c r="AO11" s="1">
        <f t="shared" si="31"/>
        <v>609310</v>
      </c>
      <c r="AP11" s="1">
        <f t="shared" si="31"/>
        <v>13969.5</v>
      </c>
      <c r="AQ11" s="1">
        <f t="shared" si="31"/>
        <v>12554.5</v>
      </c>
      <c r="AR11" s="1">
        <f t="shared" si="31"/>
        <v>13876</v>
      </c>
      <c r="AS11" s="18">
        <f t="shared" si="14"/>
        <v>2.3649681005680696</v>
      </c>
      <c r="AT11" s="18">
        <f t="shared" si="14"/>
        <v>2.0888603818665388</v>
      </c>
      <c r="AU11" s="18">
        <f t="shared" si="14"/>
        <v>2.2773300946972808</v>
      </c>
      <c r="AV11" s="18">
        <f t="shared" si="15"/>
        <v>2.2437195257106297</v>
      </c>
    </row>
    <row r="12" spans="1:48" x14ac:dyDescent="0.3">
      <c r="A12" s="1" t="s">
        <v>4</v>
      </c>
      <c r="B12" s="1" t="s">
        <v>18</v>
      </c>
      <c r="C12" s="1" t="s">
        <v>18</v>
      </c>
      <c r="D12" s="1" t="s">
        <v>20</v>
      </c>
      <c r="E12" s="2">
        <v>10402</v>
      </c>
      <c r="F12" s="16">
        <v>304</v>
      </c>
      <c r="G12" s="16">
        <v>298</v>
      </c>
      <c r="H12" s="16">
        <v>326</v>
      </c>
      <c r="I12" s="16">
        <v>15</v>
      </c>
      <c r="J12" s="16">
        <v>10</v>
      </c>
      <c r="K12" s="16">
        <v>15</v>
      </c>
      <c r="L12" s="12">
        <f t="shared" si="0"/>
        <v>4.9342105263157894</v>
      </c>
      <c r="M12" s="12">
        <f t="shared" si="1"/>
        <v>3.3557046979865772</v>
      </c>
      <c r="N12" s="12">
        <f t="shared" si="2"/>
        <v>4.6012269938650308</v>
      </c>
      <c r="O12" s="12">
        <f t="shared" si="9"/>
        <v>4.2970474060557988</v>
      </c>
      <c r="P12" s="16">
        <v>343</v>
      </c>
      <c r="Q12" s="16">
        <v>318</v>
      </c>
      <c r="R12" s="16">
        <v>307</v>
      </c>
      <c r="S12" s="16">
        <v>12</v>
      </c>
      <c r="T12" s="16">
        <v>8</v>
      </c>
      <c r="U12" s="16">
        <v>10</v>
      </c>
      <c r="V12" s="12">
        <f t="shared" si="3"/>
        <v>3.4985422740524781</v>
      </c>
      <c r="W12" s="12">
        <f t="shared" si="4"/>
        <v>2.5157232704402519</v>
      </c>
      <c r="X12" s="12">
        <f t="shared" si="5"/>
        <v>3.2573289902280131</v>
      </c>
      <c r="Y12" s="12">
        <f t="shared" si="10"/>
        <v>3.007132772246365</v>
      </c>
      <c r="AB12" s="17" t="s">
        <v>336</v>
      </c>
      <c r="AC12" s="16">
        <f>+SUM(F246:F248)</f>
        <v>8568</v>
      </c>
      <c r="AD12" s="16">
        <f t="shared" ref="AD12:AE12" si="32">+SUM(G246:G248)</f>
        <v>8709</v>
      </c>
      <c r="AE12" s="16">
        <f t="shared" si="32"/>
        <v>8744</v>
      </c>
      <c r="AF12" s="16">
        <f>+SUM(I246:I248)</f>
        <v>517</v>
      </c>
      <c r="AG12" s="16">
        <f t="shared" ref="AG12:AH12" si="33">+SUM(J246:J248)</f>
        <v>568</v>
      </c>
      <c r="AH12" s="16">
        <f t="shared" si="33"/>
        <v>497</v>
      </c>
      <c r="AI12" s="12">
        <f t="shared" ref="AI12" si="34">+(AF12/AC12)*100</f>
        <v>6.034080298786181</v>
      </c>
      <c r="AJ12" s="12">
        <f t="shared" ref="AJ12" si="35">+(AG12/AD12)*100</f>
        <v>6.5219887472729363</v>
      </c>
      <c r="AK12" s="12">
        <f t="shared" ref="AK12" si="36">+(AH12/AE12)*100</f>
        <v>5.6838975297346748</v>
      </c>
      <c r="AL12" s="12">
        <f t="shared" si="12"/>
        <v>6.0799888585979316</v>
      </c>
      <c r="AM12" s="16">
        <f>+SUM(P246:P248)</f>
        <v>8553</v>
      </c>
      <c r="AN12" s="16">
        <f t="shared" ref="AN12:AO12" si="37">+SUM(Q246:Q248)</f>
        <v>8804</v>
      </c>
      <c r="AO12" s="16">
        <f t="shared" si="37"/>
        <v>8878</v>
      </c>
      <c r="AP12" s="16">
        <f>+SUM(S246:S248)</f>
        <v>190</v>
      </c>
      <c r="AQ12" s="16">
        <f t="shared" ref="AQ12:AR12" si="38">+SUM(T246:T248)</f>
        <v>157</v>
      </c>
      <c r="AR12" s="16">
        <f t="shared" si="38"/>
        <v>148</v>
      </c>
      <c r="AS12" s="18">
        <f t="shared" ref="AS12" si="39">(AP12/AM12)*100</f>
        <v>2.2214427686191982</v>
      </c>
      <c r="AT12" s="18">
        <f t="shared" ref="AT12" si="40">(AQ12/AN12)*100</f>
        <v>1.7832803271240345</v>
      </c>
      <c r="AU12" s="18">
        <f t="shared" ref="AU12" si="41">(AR12/AO12)*100</f>
        <v>1.6670421266050912</v>
      </c>
      <c r="AV12" s="18">
        <f t="shared" si="15"/>
        <v>1.8905884074494412</v>
      </c>
    </row>
    <row r="13" spans="1:48" x14ac:dyDescent="0.3">
      <c r="A13" s="1" t="s">
        <v>4</v>
      </c>
      <c r="B13" s="1" t="s">
        <v>18</v>
      </c>
      <c r="C13" s="1" t="s">
        <v>21</v>
      </c>
      <c r="D13" s="1" t="s">
        <v>22</v>
      </c>
      <c r="E13" s="2">
        <v>10403</v>
      </c>
      <c r="F13" s="16">
        <v>249</v>
      </c>
      <c r="G13" s="16">
        <v>227</v>
      </c>
      <c r="H13" s="16">
        <v>225</v>
      </c>
      <c r="I13" s="16">
        <v>23</v>
      </c>
      <c r="J13" s="16">
        <v>19</v>
      </c>
      <c r="K13" s="16">
        <v>25</v>
      </c>
      <c r="L13" s="12">
        <f t="shared" si="0"/>
        <v>9.236947791164658</v>
      </c>
      <c r="M13" s="12">
        <f t="shared" si="1"/>
        <v>8.3700440528634363</v>
      </c>
      <c r="N13" s="12">
        <f t="shared" si="2"/>
        <v>11.111111111111111</v>
      </c>
      <c r="O13" s="12">
        <f t="shared" si="9"/>
        <v>9.5727009850464011</v>
      </c>
      <c r="P13" s="16">
        <v>229</v>
      </c>
      <c r="Q13" s="16">
        <v>220</v>
      </c>
      <c r="R13" s="16">
        <v>211</v>
      </c>
      <c r="S13" s="16">
        <v>8</v>
      </c>
      <c r="T13" s="16">
        <v>5</v>
      </c>
      <c r="U13" s="16">
        <v>11</v>
      </c>
      <c r="V13" s="12">
        <f t="shared" si="3"/>
        <v>3.4934497816593884</v>
      </c>
      <c r="W13" s="12">
        <f t="shared" si="4"/>
        <v>2.2727272727272729</v>
      </c>
      <c r="X13" s="12">
        <f t="shared" si="5"/>
        <v>5.2132701421800949</v>
      </c>
      <c r="Y13" s="12">
        <f t="shared" si="10"/>
        <v>2.8830885271933306</v>
      </c>
    </row>
    <row r="14" spans="1:48" x14ac:dyDescent="0.3">
      <c r="A14" s="1" t="s">
        <v>4</v>
      </c>
      <c r="B14" s="1" t="s">
        <v>18</v>
      </c>
      <c r="C14" s="1" t="s">
        <v>23</v>
      </c>
      <c r="D14" s="1" t="s">
        <v>23</v>
      </c>
      <c r="E14" s="2">
        <v>10404</v>
      </c>
      <c r="F14" s="16">
        <v>166</v>
      </c>
      <c r="G14" s="16">
        <v>175</v>
      </c>
      <c r="H14" s="16">
        <v>172</v>
      </c>
      <c r="I14" s="16">
        <v>12</v>
      </c>
      <c r="J14" s="16">
        <v>15</v>
      </c>
      <c r="K14" s="16">
        <v>4</v>
      </c>
      <c r="L14" s="12">
        <f t="shared" si="0"/>
        <v>7.2289156626506017</v>
      </c>
      <c r="M14" s="12">
        <f t="shared" si="1"/>
        <v>8.5714285714285712</v>
      </c>
      <c r="N14" s="12">
        <f t="shared" si="2"/>
        <v>2.3255813953488373</v>
      </c>
      <c r="O14" s="12">
        <f t="shared" si="9"/>
        <v>6.0419752098093369</v>
      </c>
      <c r="P14" s="16">
        <v>129</v>
      </c>
      <c r="Q14" s="16">
        <v>131</v>
      </c>
      <c r="R14" s="16">
        <v>129</v>
      </c>
      <c r="S14" s="16">
        <v>3</v>
      </c>
      <c r="T14" s="16">
        <v>2</v>
      </c>
      <c r="U14" s="16">
        <v>0</v>
      </c>
      <c r="V14" s="12">
        <f t="shared" si="3"/>
        <v>2.3255813953488373</v>
      </c>
      <c r="W14" s="12">
        <f t="shared" si="4"/>
        <v>1.5267175572519083</v>
      </c>
      <c r="X14" s="12">
        <f t="shared" si="5"/>
        <v>0</v>
      </c>
      <c r="Y14" s="12">
        <f t="shared" si="10"/>
        <v>1.9261494763003728</v>
      </c>
    </row>
    <row r="15" spans="1:48" x14ac:dyDescent="0.3">
      <c r="A15" s="1" t="s">
        <v>4</v>
      </c>
      <c r="B15" s="1" t="s">
        <v>18</v>
      </c>
      <c r="C15" s="1" t="s">
        <v>24</v>
      </c>
      <c r="D15" s="1" t="s">
        <v>24</v>
      </c>
      <c r="E15" s="2">
        <v>10405</v>
      </c>
      <c r="F15" s="16">
        <v>187</v>
      </c>
      <c r="G15" s="16">
        <v>182</v>
      </c>
      <c r="H15" s="16">
        <v>183</v>
      </c>
      <c r="I15" s="16">
        <v>3</v>
      </c>
      <c r="J15" s="16">
        <v>6</v>
      </c>
      <c r="K15" s="16">
        <v>2</v>
      </c>
      <c r="L15" s="12">
        <f t="shared" si="0"/>
        <v>1.6042780748663104</v>
      </c>
      <c r="M15" s="12">
        <f t="shared" si="1"/>
        <v>3.296703296703297</v>
      </c>
      <c r="N15" s="12">
        <f t="shared" si="2"/>
        <v>1.0928961748633881</v>
      </c>
      <c r="O15" s="12">
        <f t="shared" si="9"/>
        <v>1.9979591821443317</v>
      </c>
      <c r="P15" s="16">
        <v>147</v>
      </c>
      <c r="Q15" s="16">
        <v>130</v>
      </c>
      <c r="R15" s="16">
        <v>130</v>
      </c>
      <c r="S15" s="16">
        <v>2</v>
      </c>
      <c r="T15" s="16">
        <v>1</v>
      </c>
      <c r="U15" s="16">
        <v>0</v>
      </c>
      <c r="V15" s="12">
        <f t="shared" si="3"/>
        <v>1.3605442176870748</v>
      </c>
      <c r="W15" s="12">
        <f t="shared" si="4"/>
        <v>0.76923076923076927</v>
      </c>
      <c r="X15" s="12">
        <f t="shared" si="5"/>
        <v>0</v>
      </c>
      <c r="Y15" s="12">
        <f t="shared" si="10"/>
        <v>1.0648874934589221</v>
      </c>
    </row>
    <row r="16" spans="1:48" x14ac:dyDescent="0.3">
      <c r="A16" s="1" t="s">
        <v>4</v>
      </c>
      <c r="B16" s="1" t="s">
        <v>25</v>
      </c>
      <c r="C16" s="1" t="s">
        <v>26</v>
      </c>
      <c r="D16" s="1" t="s">
        <v>26</v>
      </c>
      <c r="E16" s="2">
        <v>10501</v>
      </c>
      <c r="F16" s="16">
        <v>1533</v>
      </c>
      <c r="G16" s="16">
        <v>1545</v>
      </c>
      <c r="H16" s="16">
        <v>1533</v>
      </c>
      <c r="I16" s="16">
        <v>60</v>
      </c>
      <c r="J16" s="16">
        <v>98</v>
      </c>
      <c r="K16" s="16">
        <v>43</v>
      </c>
      <c r="L16" s="12">
        <f t="shared" si="0"/>
        <v>3.9138943248532287</v>
      </c>
      <c r="M16" s="12">
        <f t="shared" si="1"/>
        <v>6.3430420711974103</v>
      </c>
      <c r="N16" s="12">
        <f t="shared" si="2"/>
        <v>2.804957599478147</v>
      </c>
      <c r="O16" s="12">
        <f t="shared" si="9"/>
        <v>4.353964665176262</v>
      </c>
      <c r="P16" s="16">
        <v>1195</v>
      </c>
      <c r="Q16" s="16">
        <v>1196</v>
      </c>
      <c r="R16" s="16">
        <v>1226</v>
      </c>
      <c r="S16" s="16">
        <v>26</v>
      </c>
      <c r="T16" s="16">
        <v>25</v>
      </c>
      <c r="U16" s="16">
        <v>15</v>
      </c>
      <c r="V16" s="12">
        <f t="shared" si="3"/>
        <v>2.1757322175732217</v>
      </c>
      <c r="W16" s="12">
        <f t="shared" si="4"/>
        <v>2.0903010033444818</v>
      </c>
      <c r="X16" s="12">
        <f t="shared" si="5"/>
        <v>1.2234910277324633</v>
      </c>
      <c r="Y16" s="12">
        <f t="shared" si="10"/>
        <v>2.1330166104588519</v>
      </c>
    </row>
    <row r="17" spans="1:25" x14ac:dyDescent="0.3">
      <c r="A17" s="1" t="s">
        <v>4</v>
      </c>
      <c r="B17" s="1" t="s">
        <v>25</v>
      </c>
      <c r="C17" s="1" t="s">
        <v>477</v>
      </c>
      <c r="D17" s="1" t="s">
        <v>27</v>
      </c>
      <c r="E17" s="2">
        <v>10502</v>
      </c>
      <c r="F17" s="16">
        <v>302</v>
      </c>
      <c r="G17" s="16">
        <v>343</v>
      </c>
      <c r="H17" s="16">
        <v>346</v>
      </c>
      <c r="I17" s="16">
        <v>38</v>
      </c>
      <c r="J17" s="16">
        <v>51</v>
      </c>
      <c r="K17" s="16">
        <v>48</v>
      </c>
      <c r="L17" s="12">
        <f t="shared" si="0"/>
        <v>12.582781456953644</v>
      </c>
      <c r="M17" s="12">
        <f t="shared" si="1"/>
        <v>14.868804664723031</v>
      </c>
      <c r="N17" s="12">
        <f t="shared" si="2"/>
        <v>13.872832369942195</v>
      </c>
      <c r="O17" s="12">
        <f t="shared" si="9"/>
        <v>13.774806163872958</v>
      </c>
      <c r="P17" s="16">
        <v>327</v>
      </c>
      <c r="Q17" s="16">
        <v>328</v>
      </c>
      <c r="R17" s="16">
        <v>330</v>
      </c>
      <c r="S17" s="16">
        <v>14</v>
      </c>
      <c r="T17" s="16">
        <v>8</v>
      </c>
      <c r="U17" s="16">
        <v>18</v>
      </c>
      <c r="V17" s="12">
        <f t="shared" si="3"/>
        <v>4.281345565749235</v>
      </c>
      <c r="W17" s="12">
        <f t="shared" si="4"/>
        <v>2.4390243902439024</v>
      </c>
      <c r="X17" s="12">
        <f t="shared" si="5"/>
        <v>5.4545454545454541</v>
      </c>
      <c r="Y17" s="12">
        <f t="shared" si="10"/>
        <v>3.3601849779965685</v>
      </c>
    </row>
    <row r="18" spans="1:25" x14ac:dyDescent="0.3">
      <c r="A18" s="1" t="s">
        <v>4</v>
      </c>
      <c r="B18" s="1" t="s">
        <v>28</v>
      </c>
      <c r="C18" s="1" t="s">
        <v>29</v>
      </c>
      <c r="D18" s="1" t="s">
        <v>29</v>
      </c>
      <c r="E18" s="2">
        <v>10601</v>
      </c>
      <c r="F18" s="16">
        <v>579</v>
      </c>
      <c r="G18" s="16">
        <v>618</v>
      </c>
      <c r="H18" s="16">
        <v>654</v>
      </c>
      <c r="I18" s="16">
        <v>33</v>
      </c>
      <c r="J18" s="16">
        <v>67</v>
      </c>
      <c r="K18" s="16">
        <v>43</v>
      </c>
      <c r="L18" s="12">
        <f t="shared" si="0"/>
        <v>5.6994818652849739</v>
      </c>
      <c r="M18" s="12">
        <f t="shared" si="1"/>
        <v>10.841423948220065</v>
      </c>
      <c r="N18" s="12">
        <f t="shared" si="2"/>
        <v>6.5749235474006111</v>
      </c>
      <c r="O18" s="12">
        <f t="shared" si="9"/>
        <v>7.705276453635217</v>
      </c>
      <c r="P18" s="16">
        <v>702</v>
      </c>
      <c r="Q18" s="16">
        <v>647</v>
      </c>
      <c r="R18" s="16">
        <v>581</v>
      </c>
      <c r="S18" s="16">
        <v>33</v>
      </c>
      <c r="T18" s="16">
        <v>28</v>
      </c>
      <c r="U18" s="16">
        <v>29</v>
      </c>
      <c r="V18" s="12">
        <f t="shared" si="3"/>
        <v>4.700854700854701</v>
      </c>
      <c r="W18" s="12">
        <f t="shared" si="4"/>
        <v>4.327666151468315</v>
      </c>
      <c r="X18" s="12">
        <f t="shared" si="5"/>
        <v>4.9913941480206541</v>
      </c>
      <c r="Y18" s="12">
        <f t="shared" si="10"/>
        <v>4.514260426161508</v>
      </c>
    </row>
    <row r="19" spans="1:25" x14ac:dyDescent="0.3">
      <c r="A19" s="1" t="s">
        <v>4</v>
      </c>
      <c r="B19" s="1" t="s">
        <v>28</v>
      </c>
      <c r="C19" s="1" t="s">
        <v>28</v>
      </c>
      <c r="D19" s="1" t="s">
        <v>28</v>
      </c>
      <c r="E19" s="2">
        <v>10602</v>
      </c>
      <c r="F19" s="16">
        <v>304</v>
      </c>
      <c r="G19" s="16">
        <v>320</v>
      </c>
      <c r="H19" s="16">
        <v>353</v>
      </c>
      <c r="I19" s="16">
        <v>17</v>
      </c>
      <c r="J19" s="16">
        <v>24</v>
      </c>
      <c r="K19" s="16">
        <v>28</v>
      </c>
      <c r="L19" s="12">
        <f t="shared" si="0"/>
        <v>5.5921052631578947</v>
      </c>
      <c r="M19" s="12">
        <f t="shared" si="1"/>
        <v>7.5</v>
      </c>
      <c r="N19" s="12">
        <f t="shared" si="2"/>
        <v>7.9320113314447589</v>
      </c>
      <c r="O19" s="12">
        <f t="shared" si="9"/>
        <v>7.0080388648675509</v>
      </c>
      <c r="P19" s="16">
        <v>342</v>
      </c>
      <c r="Q19" s="16">
        <v>319</v>
      </c>
      <c r="R19" s="16">
        <v>306</v>
      </c>
      <c r="S19" s="16">
        <v>14</v>
      </c>
      <c r="T19" s="16">
        <v>8</v>
      </c>
      <c r="U19" s="16">
        <v>11</v>
      </c>
      <c r="V19" s="12">
        <f t="shared" si="3"/>
        <v>4.0935672514619883</v>
      </c>
      <c r="W19" s="12">
        <f t="shared" si="4"/>
        <v>2.507836990595611</v>
      </c>
      <c r="X19" s="12">
        <f t="shared" si="5"/>
        <v>3.594771241830065</v>
      </c>
      <c r="Y19" s="12">
        <f t="shared" si="10"/>
        <v>3.3007021210287997</v>
      </c>
    </row>
    <row r="20" spans="1:25" x14ac:dyDescent="0.3">
      <c r="A20" s="1" t="s">
        <v>4</v>
      </c>
      <c r="B20" s="1" t="s">
        <v>30</v>
      </c>
      <c r="C20" s="1" t="s">
        <v>31</v>
      </c>
      <c r="D20" s="1" t="s">
        <v>31</v>
      </c>
      <c r="E20" s="2">
        <v>10701</v>
      </c>
      <c r="F20" s="16">
        <v>797</v>
      </c>
      <c r="G20" s="16">
        <v>802</v>
      </c>
      <c r="H20" s="16">
        <v>782</v>
      </c>
      <c r="I20" s="16">
        <v>40</v>
      </c>
      <c r="J20" s="16">
        <v>50</v>
      </c>
      <c r="K20" s="16">
        <v>48</v>
      </c>
      <c r="L20" s="12">
        <f t="shared" si="0"/>
        <v>5.0188205771643668</v>
      </c>
      <c r="M20" s="12">
        <f t="shared" si="1"/>
        <v>6.2344139650872821</v>
      </c>
      <c r="N20" s="12">
        <f t="shared" si="2"/>
        <v>6.1381074168797953</v>
      </c>
      <c r="O20" s="12">
        <f t="shared" si="9"/>
        <v>5.7971139863771484</v>
      </c>
      <c r="P20" s="16">
        <v>705</v>
      </c>
      <c r="Q20" s="16">
        <v>696</v>
      </c>
      <c r="R20" s="16">
        <v>667</v>
      </c>
      <c r="S20" s="16">
        <v>23</v>
      </c>
      <c r="T20" s="16">
        <v>26</v>
      </c>
      <c r="U20" s="16">
        <v>15</v>
      </c>
      <c r="V20" s="12">
        <f t="shared" si="3"/>
        <v>3.2624113475177303</v>
      </c>
      <c r="W20" s="12">
        <f t="shared" si="4"/>
        <v>3.7356321839080464</v>
      </c>
      <c r="X20" s="12">
        <f t="shared" si="5"/>
        <v>2.2488755622188905</v>
      </c>
      <c r="Y20" s="12">
        <f t="shared" si="10"/>
        <v>3.4990217657128886</v>
      </c>
    </row>
    <row r="21" spans="1:25" x14ac:dyDescent="0.3">
      <c r="A21" s="1" t="s">
        <v>4</v>
      </c>
      <c r="B21" s="1" t="s">
        <v>30</v>
      </c>
      <c r="C21" s="1" t="s">
        <v>32</v>
      </c>
      <c r="D21" s="1" t="s">
        <v>32</v>
      </c>
      <c r="E21" s="2">
        <v>10702</v>
      </c>
      <c r="F21" s="16">
        <v>1190</v>
      </c>
      <c r="G21" s="16">
        <v>1236</v>
      </c>
      <c r="H21" s="16">
        <v>1339</v>
      </c>
      <c r="I21" s="16">
        <v>173</v>
      </c>
      <c r="J21" s="16">
        <v>138</v>
      </c>
      <c r="K21" s="16">
        <v>153</v>
      </c>
      <c r="L21" s="12">
        <f t="shared" si="0"/>
        <v>14.537815126050422</v>
      </c>
      <c r="M21" s="12">
        <f t="shared" si="1"/>
        <v>11.165048543689322</v>
      </c>
      <c r="N21" s="12">
        <f t="shared" si="2"/>
        <v>11.426437640029873</v>
      </c>
      <c r="O21" s="12">
        <f t="shared" si="9"/>
        <v>12.376433769923205</v>
      </c>
      <c r="P21" s="16">
        <v>1500</v>
      </c>
      <c r="Q21" s="16">
        <v>1447</v>
      </c>
      <c r="R21" s="16">
        <v>1419</v>
      </c>
      <c r="S21" s="16">
        <v>94</v>
      </c>
      <c r="T21" s="16">
        <v>71</v>
      </c>
      <c r="U21" s="16">
        <v>66</v>
      </c>
      <c r="V21" s="12">
        <f t="shared" si="3"/>
        <v>6.2666666666666666</v>
      </c>
      <c r="W21" s="12">
        <f t="shared" si="4"/>
        <v>4.9067035245335173</v>
      </c>
      <c r="X21" s="12">
        <f t="shared" si="5"/>
        <v>4.6511627906976747</v>
      </c>
      <c r="Y21" s="12">
        <f t="shared" si="10"/>
        <v>5.5866850956000924</v>
      </c>
    </row>
    <row r="22" spans="1:25" x14ac:dyDescent="0.3">
      <c r="A22" s="1" t="s">
        <v>4</v>
      </c>
      <c r="B22" s="1" t="s">
        <v>30</v>
      </c>
      <c r="C22" s="1" t="s">
        <v>33</v>
      </c>
      <c r="D22" s="1" t="s">
        <v>33</v>
      </c>
      <c r="E22" s="2">
        <v>10703</v>
      </c>
      <c r="F22" s="16">
        <v>694</v>
      </c>
      <c r="G22" s="16">
        <v>723</v>
      </c>
      <c r="H22" s="16">
        <v>338</v>
      </c>
      <c r="I22" s="16">
        <v>119</v>
      </c>
      <c r="J22" s="16">
        <v>117</v>
      </c>
      <c r="K22" s="16">
        <v>52</v>
      </c>
      <c r="L22" s="12">
        <f t="shared" si="0"/>
        <v>17.146974063400577</v>
      </c>
      <c r="M22" s="12">
        <f t="shared" si="1"/>
        <v>16.182572614107883</v>
      </c>
      <c r="N22" s="12">
        <f t="shared" si="2"/>
        <v>15.384615384615385</v>
      </c>
      <c r="O22" s="12">
        <f t="shared" si="9"/>
        <v>16.238054020707949</v>
      </c>
      <c r="P22" s="16">
        <v>460</v>
      </c>
      <c r="Q22" s="16">
        <v>468</v>
      </c>
      <c r="R22" s="16">
        <v>490</v>
      </c>
      <c r="S22" s="16">
        <v>25</v>
      </c>
      <c r="T22" s="16">
        <v>31</v>
      </c>
      <c r="U22" s="16">
        <v>35</v>
      </c>
      <c r="V22" s="12">
        <f t="shared" si="3"/>
        <v>5.4347826086956523</v>
      </c>
      <c r="W22" s="12">
        <f t="shared" si="4"/>
        <v>6.6239316239316244</v>
      </c>
      <c r="X22" s="12">
        <f t="shared" si="5"/>
        <v>7.1428571428571423</v>
      </c>
      <c r="Y22" s="12">
        <f t="shared" si="10"/>
        <v>6.0293571163136388</v>
      </c>
    </row>
    <row r="23" spans="1:25" x14ac:dyDescent="0.3">
      <c r="A23" s="1" t="s">
        <v>4</v>
      </c>
      <c r="B23" s="1" t="s">
        <v>30</v>
      </c>
      <c r="C23" s="1" t="s">
        <v>34</v>
      </c>
      <c r="D23" s="1" t="s">
        <v>34</v>
      </c>
      <c r="E23" s="2">
        <v>10704</v>
      </c>
      <c r="F23" s="16">
        <v>0</v>
      </c>
      <c r="G23" s="16">
        <v>0</v>
      </c>
      <c r="H23" s="16">
        <v>448</v>
      </c>
      <c r="I23" s="16">
        <v>0</v>
      </c>
      <c r="J23" s="16">
        <v>0</v>
      </c>
      <c r="K23" s="16">
        <v>65</v>
      </c>
      <c r="L23" s="12"/>
      <c r="M23" s="12"/>
      <c r="N23" s="12">
        <f t="shared" ref="N23:N54" si="42">(K23/H23)*100</f>
        <v>14.508928571428573</v>
      </c>
      <c r="O23" s="12">
        <f t="shared" si="9"/>
        <v>14.508928571428573</v>
      </c>
      <c r="P23" s="16">
        <v>609</v>
      </c>
      <c r="Q23" s="16">
        <v>596</v>
      </c>
      <c r="R23" s="16">
        <v>588</v>
      </c>
      <c r="S23" s="16">
        <v>43</v>
      </c>
      <c r="T23" s="16">
        <v>35</v>
      </c>
      <c r="U23" s="16">
        <v>31</v>
      </c>
      <c r="V23" s="12">
        <f t="shared" si="3"/>
        <v>7.0607553366174054</v>
      </c>
      <c r="W23" s="12">
        <f t="shared" si="4"/>
        <v>5.8724832214765099</v>
      </c>
      <c r="X23" s="12">
        <f t="shared" si="5"/>
        <v>5.2721088435374153</v>
      </c>
      <c r="Y23" s="12">
        <f t="shared" si="10"/>
        <v>6.4666192790469577</v>
      </c>
    </row>
    <row r="24" spans="1:25" x14ac:dyDescent="0.3">
      <c r="A24" s="1" t="s">
        <v>4</v>
      </c>
      <c r="B24" s="1" t="s">
        <v>35</v>
      </c>
      <c r="C24" s="1" t="s">
        <v>36</v>
      </c>
      <c r="D24" s="1" t="s">
        <v>36</v>
      </c>
      <c r="E24" s="2">
        <v>10801</v>
      </c>
      <c r="F24" s="16">
        <v>579</v>
      </c>
      <c r="G24" s="16">
        <v>528</v>
      </c>
      <c r="H24" s="16">
        <v>508</v>
      </c>
      <c r="I24" s="16">
        <v>26</v>
      </c>
      <c r="J24" s="16">
        <v>31</v>
      </c>
      <c r="K24" s="16">
        <v>15</v>
      </c>
      <c r="L24" s="12">
        <f t="shared" ref="L24:L37" si="43">(I24/F24)*100</f>
        <v>4.4905008635578589</v>
      </c>
      <c r="M24" s="12">
        <f t="shared" ref="M24:M37" si="44">(J24/G24)*100</f>
        <v>5.8712121212121211</v>
      </c>
      <c r="N24" s="12">
        <f t="shared" si="42"/>
        <v>2.9527559055118111</v>
      </c>
      <c r="O24" s="12">
        <f t="shared" si="9"/>
        <v>4.4381562967605968</v>
      </c>
      <c r="P24" s="16">
        <v>383</v>
      </c>
      <c r="Q24" s="16">
        <v>427</v>
      </c>
      <c r="R24" s="16">
        <v>421</v>
      </c>
      <c r="S24" s="16">
        <v>4</v>
      </c>
      <c r="T24" s="16">
        <v>5</v>
      </c>
      <c r="U24" s="16">
        <v>7</v>
      </c>
      <c r="V24" s="12">
        <f t="shared" si="3"/>
        <v>1.0443864229765014</v>
      </c>
      <c r="W24" s="12">
        <f t="shared" si="4"/>
        <v>1.1709601873536302</v>
      </c>
      <c r="X24" s="12">
        <f t="shared" si="5"/>
        <v>1.66270783847981</v>
      </c>
      <c r="Y24" s="12">
        <f t="shared" si="10"/>
        <v>1.1076733051650658</v>
      </c>
    </row>
    <row r="25" spans="1:25" x14ac:dyDescent="0.3">
      <c r="A25" s="1" t="s">
        <v>4</v>
      </c>
      <c r="B25" s="1" t="s">
        <v>37</v>
      </c>
      <c r="C25" s="1" t="s">
        <v>38</v>
      </c>
      <c r="D25" s="1" t="s">
        <v>38</v>
      </c>
      <c r="E25" s="2">
        <v>10901</v>
      </c>
      <c r="F25" s="16">
        <v>147</v>
      </c>
      <c r="G25" s="16">
        <v>147</v>
      </c>
      <c r="H25" s="16">
        <v>149</v>
      </c>
      <c r="I25" s="16">
        <v>3</v>
      </c>
      <c r="J25" s="16">
        <v>7</v>
      </c>
      <c r="K25" s="16">
        <v>6</v>
      </c>
      <c r="L25" s="12">
        <f t="shared" si="43"/>
        <v>2.0408163265306123</v>
      </c>
      <c r="M25" s="12">
        <f t="shared" si="44"/>
        <v>4.7619047619047619</v>
      </c>
      <c r="N25" s="12">
        <f t="shared" si="42"/>
        <v>4.0268456375838921</v>
      </c>
      <c r="O25" s="12">
        <f t="shared" si="9"/>
        <v>3.6098555753397554</v>
      </c>
      <c r="P25" s="16">
        <v>132</v>
      </c>
      <c r="Q25" s="16">
        <v>129</v>
      </c>
      <c r="R25" s="16">
        <v>115</v>
      </c>
      <c r="S25" s="16">
        <v>4</v>
      </c>
      <c r="T25" s="16">
        <v>0</v>
      </c>
      <c r="U25" s="16">
        <v>3</v>
      </c>
      <c r="V25" s="12">
        <f t="shared" si="3"/>
        <v>3.0303030303030303</v>
      </c>
      <c r="W25" s="12">
        <f t="shared" si="4"/>
        <v>0</v>
      </c>
      <c r="X25" s="12">
        <f t="shared" si="5"/>
        <v>2.6086956521739131</v>
      </c>
      <c r="Y25" s="12">
        <f t="shared" si="10"/>
        <v>1.5151515151515151</v>
      </c>
    </row>
    <row r="26" spans="1:25" x14ac:dyDescent="0.3">
      <c r="A26" s="1" t="s">
        <v>4</v>
      </c>
      <c r="B26" s="1" t="s">
        <v>37</v>
      </c>
      <c r="C26" s="1" t="s">
        <v>39</v>
      </c>
      <c r="D26" s="1" t="s">
        <v>39</v>
      </c>
      <c r="E26" s="2">
        <v>10902</v>
      </c>
      <c r="F26" s="16">
        <v>497</v>
      </c>
      <c r="G26" s="16">
        <v>522</v>
      </c>
      <c r="H26" s="16">
        <v>520</v>
      </c>
      <c r="I26" s="16">
        <v>62</v>
      </c>
      <c r="J26" s="16">
        <v>68</v>
      </c>
      <c r="K26" s="16">
        <v>65</v>
      </c>
      <c r="L26" s="12">
        <f t="shared" si="43"/>
        <v>12.474849094567404</v>
      </c>
      <c r="M26" s="12">
        <f t="shared" si="44"/>
        <v>13.026819923371647</v>
      </c>
      <c r="N26" s="12">
        <f t="shared" si="42"/>
        <v>12.5</v>
      </c>
      <c r="O26" s="12">
        <f t="shared" si="9"/>
        <v>12.667223005979684</v>
      </c>
      <c r="P26" s="16">
        <v>558</v>
      </c>
      <c r="Q26" s="16">
        <v>566</v>
      </c>
      <c r="R26" s="16">
        <v>579</v>
      </c>
      <c r="S26" s="16">
        <v>27</v>
      </c>
      <c r="T26" s="16">
        <v>26</v>
      </c>
      <c r="U26" s="16">
        <v>26</v>
      </c>
      <c r="V26" s="12">
        <f t="shared" si="3"/>
        <v>4.838709677419355</v>
      </c>
      <c r="W26" s="12">
        <f t="shared" si="4"/>
        <v>4.5936395759717312</v>
      </c>
      <c r="X26" s="12">
        <f t="shared" si="5"/>
        <v>4.4905008635578589</v>
      </c>
      <c r="Y26" s="12">
        <f t="shared" si="10"/>
        <v>4.7161746266955431</v>
      </c>
    </row>
    <row r="27" spans="1:25" x14ac:dyDescent="0.3">
      <c r="A27" s="1" t="s">
        <v>4</v>
      </c>
      <c r="B27" s="1" t="s">
        <v>37</v>
      </c>
      <c r="C27" s="1" t="s">
        <v>40</v>
      </c>
      <c r="D27" s="1" t="s">
        <v>40</v>
      </c>
      <c r="E27" s="2">
        <v>10903</v>
      </c>
      <c r="F27" s="16">
        <v>73</v>
      </c>
      <c r="G27" s="16">
        <v>76</v>
      </c>
      <c r="H27" s="16">
        <v>69</v>
      </c>
      <c r="I27" s="16">
        <v>5</v>
      </c>
      <c r="J27" s="16">
        <v>5</v>
      </c>
      <c r="K27" s="16">
        <v>2</v>
      </c>
      <c r="L27" s="12">
        <f t="shared" si="43"/>
        <v>6.8493150684931505</v>
      </c>
      <c r="M27" s="12">
        <f t="shared" si="44"/>
        <v>6.5789473684210522</v>
      </c>
      <c r="N27" s="12">
        <f t="shared" si="42"/>
        <v>2.8985507246376812</v>
      </c>
      <c r="O27" s="12">
        <f t="shared" si="9"/>
        <v>5.4422710538506278</v>
      </c>
      <c r="P27" s="16">
        <v>77</v>
      </c>
      <c r="Q27" s="16">
        <v>73</v>
      </c>
      <c r="R27" s="16">
        <v>81</v>
      </c>
      <c r="S27" s="16">
        <v>2</v>
      </c>
      <c r="T27" s="16">
        <v>0</v>
      </c>
      <c r="U27" s="16"/>
      <c r="V27" s="12">
        <f t="shared" si="3"/>
        <v>2.5974025974025974</v>
      </c>
      <c r="W27" s="12">
        <f t="shared" si="4"/>
        <v>0</v>
      </c>
      <c r="X27" s="12">
        <f t="shared" si="5"/>
        <v>0</v>
      </c>
      <c r="Y27" s="12">
        <f t="shared" si="10"/>
        <v>1.2987012987012987</v>
      </c>
    </row>
    <row r="28" spans="1:25" x14ac:dyDescent="0.3">
      <c r="A28" s="1" t="s">
        <v>4</v>
      </c>
      <c r="B28" s="1" t="s">
        <v>41</v>
      </c>
      <c r="C28" s="1" t="s">
        <v>42</v>
      </c>
      <c r="D28" s="1" t="s">
        <v>42</v>
      </c>
      <c r="E28" s="2">
        <v>11001</v>
      </c>
      <c r="F28" s="16">
        <v>440</v>
      </c>
      <c r="G28" s="16">
        <v>452</v>
      </c>
      <c r="H28" s="16">
        <v>440</v>
      </c>
      <c r="I28" s="16">
        <v>5</v>
      </c>
      <c r="J28" s="16">
        <v>18</v>
      </c>
      <c r="K28" s="16">
        <v>21</v>
      </c>
      <c r="L28" s="12">
        <f t="shared" si="43"/>
        <v>1.1363636363636365</v>
      </c>
      <c r="M28" s="12">
        <f t="shared" si="44"/>
        <v>3.9823008849557522</v>
      </c>
      <c r="N28" s="12">
        <f t="shared" si="42"/>
        <v>4.7727272727272734</v>
      </c>
      <c r="O28" s="12">
        <f t="shared" si="9"/>
        <v>3.2971305980155541</v>
      </c>
      <c r="P28" s="16">
        <v>364</v>
      </c>
      <c r="Q28" s="16">
        <v>368</v>
      </c>
      <c r="R28" s="16">
        <v>366</v>
      </c>
      <c r="S28" s="16">
        <v>14</v>
      </c>
      <c r="T28" s="16">
        <v>15</v>
      </c>
      <c r="U28" s="16">
        <v>6</v>
      </c>
      <c r="V28" s="12">
        <f t="shared" si="3"/>
        <v>3.8461538461538463</v>
      </c>
      <c r="W28" s="12">
        <f t="shared" si="4"/>
        <v>4.0760869565217392</v>
      </c>
      <c r="X28" s="12">
        <f t="shared" si="5"/>
        <v>1.639344262295082</v>
      </c>
      <c r="Y28" s="12">
        <f t="shared" si="10"/>
        <v>3.9611204013377925</v>
      </c>
    </row>
    <row r="29" spans="1:25" x14ac:dyDescent="0.3">
      <c r="A29" s="1" t="s">
        <v>4</v>
      </c>
      <c r="B29" s="1" t="s">
        <v>41</v>
      </c>
      <c r="C29" s="1" t="s">
        <v>478</v>
      </c>
      <c r="D29" s="1" t="s">
        <v>43</v>
      </c>
      <c r="E29" s="2">
        <v>11002</v>
      </c>
      <c r="F29" s="16">
        <v>87</v>
      </c>
      <c r="G29" s="16">
        <v>92</v>
      </c>
      <c r="H29" s="16">
        <v>113</v>
      </c>
      <c r="I29" s="16">
        <v>8</v>
      </c>
      <c r="J29" s="16">
        <v>7</v>
      </c>
      <c r="K29" s="16">
        <v>12</v>
      </c>
      <c r="L29" s="12">
        <f t="shared" si="43"/>
        <v>9.1954022988505741</v>
      </c>
      <c r="M29" s="12">
        <f t="shared" si="44"/>
        <v>7.608695652173914</v>
      </c>
      <c r="N29" s="12">
        <f t="shared" si="42"/>
        <v>10.619469026548673</v>
      </c>
      <c r="O29" s="12">
        <f t="shared" si="9"/>
        <v>9.1411889925243859</v>
      </c>
      <c r="P29" s="16">
        <v>128</v>
      </c>
      <c r="Q29" s="16">
        <v>128</v>
      </c>
      <c r="R29" s="16">
        <v>115</v>
      </c>
      <c r="S29" s="16">
        <v>2</v>
      </c>
      <c r="T29" s="16">
        <v>2</v>
      </c>
      <c r="U29" s="16">
        <v>1</v>
      </c>
      <c r="V29" s="12">
        <f t="shared" si="3"/>
        <v>1.5625</v>
      </c>
      <c r="W29" s="12">
        <f t="shared" si="4"/>
        <v>1.5625</v>
      </c>
      <c r="X29" s="12">
        <f t="shared" si="5"/>
        <v>0.86956521739130432</v>
      </c>
      <c r="Y29" s="12">
        <f t="shared" si="10"/>
        <v>1.5625</v>
      </c>
    </row>
    <row r="30" spans="1:25" x14ac:dyDescent="0.3">
      <c r="A30" s="1" t="s">
        <v>4</v>
      </c>
      <c r="B30" s="1" t="s">
        <v>41</v>
      </c>
      <c r="C30" s="1" t="s">
        <v>44</v>
      </c>
      <c r="D30" s="1" t="s">
        <v>45</v>
      </c>
      <c r="E30" s="2">
        <v>11003</v>
      </c>
      <c r="F30" s="16">
        <v>278</v>
      </c>
      <c r="G30" s="16">
        <v>310</v>
      </c>
      <c r="H30" s="16">
        <v>321</v>
      </c>
      <c r="I30" s="16">
        <v>25</v>
      </c>
      <c r="J30" s="16">
        <v>28</v>
      </c>
      <c r="K30" s="16">
        <v>24</v>
      </c>
      <c r="L30" s="12">
        <f t="shared" si="43"/>
        <v>8.9928057553956826</v>
      </c>
      <c r="M30" s="12">
        <f t="shared" si="44"/>
        <v>9.0322580645161281</v>
      </c>
      <c r="N30" s="12">
        <f t="shared" si="42"/>
        <v>7.4766355140186906</v>
      </c>
      <c r="O30" s="12">
        <f t="shared" si="9"/>
        <v>8.5005664446435016</v>
      </c>
      <c r="P30" s="16">
        <v>268</v>
      </c>
      <c r="Q30" s="16">
        <v>270</v>
      </c>
      <c r="R30" s="16">
        <v>302</v>
      </c>
      <c r="S30" s="16">
        <v>9</v>
      </c>
      <c r="T30" s="16">
        <v>3</v>
      </c>
      <c r="U30" s="16">
        <v>13</v>
      </c>
      <c r="V30" s="12">
        <f t="shared" si="3"/>
        <v>3.3582089552238807</v>
      </c>
      <c r="W30" s="12">
        <f t="shared" si="4"/>
        <v>1.1111111111111112</v>
      </c>
      <c r="X30" s="12">
        <f t="shared" si="5"/>
        <v>4.3046357615894042</v>
      </c>
      <c r="Y30" s="12">
        <f t="shared" si="10"/>
        <v>2.2346600331674962</v>
      </c>
    </row>
    <row r="31" spans="1:25" x14ac:dyDescent="0.3">
      <c r="A31" s="1" t="s">
        <v>46</v>
      </c>
      <c r="B31" s="1" t="s">
        <v>47</v>
      </c>
      <c r="C31" s="1" t="s">
        <v>48</v>
      </c>
      <c r="D31" s="1" t="s">
        <v>48</v>
      </c>
      <c r="E31" s="2">
        <v>20101</v>
      </c>
      <c r="F31" s="16">
        <v>46408</v>
      </c>
      <c r="G31" s="16">
        <v>46456</v>
      </c>
      <c r="H31" s="16">
        <v>45750</v>
      </c>
      <c r="I31" s="16">
        <v>1347</v>
      </c>
      <c r="J31" s="16">
        <v>1403</v>
      </c>
      <c r="K31" s="16">
        <v>1545</v>
      </c>
      <c r="L31" s="12">
        <f t="shared" si="43"/>
        <v>2.9025168074469923</v>
      </c>
      <c r="M31" s="12">
        <f t="shared" si="44"/>
        <v>3.0200619941449975</v>
      </c>
      <c r="N31" s="12">
        <f t="shared" si="42"/>
        <v>3.3770491803278686</v>
      </c>
      <c r="O31" s="12">
        <f t="shared" si="9"/>
        <v>3.0998759939732863</v>
      </c>
      <c r="P31" s="16">
        <v>40451</v>
      </c>
      <c r="Q31" s="16">
        <v>40481</v>
      </c>
      <c r="R31" s="16">
        <v>40587</v>
      </c>
      <c r="S31" s="16">
        <v>509</v>
      </c>
      <c r="T31" s="16">
        <v>455</v>
      </c>
      <c r="U31" s="16">
        <v>523</v>
      </c>
      <c r="V31" s="12">
        <f t="shared" si="3"/>
        <v>1.258312526266347</v>
      </c>
      <c r="W31" s="12">
        <f t="shared" si="4"/>
        <v>1.1239840913020924</v>
      </c>
      <c r="X31" s="12">
        <f t="shared" si="5"/>
        <v>1.2885899425924556</v>
      </c>
      <c r="Y31" s="12">
        <f t="shared" si="10"/>
        <v>1.1911483087842196</v>
      </c>
    </row>
    <row r="32" spans="1:25" x14ac:dyDescent="0.3">
      <c r="A32" s="1" t="s">
        <v>46</v>
      </c>
      <c r="B32" s="1" t="s">
        <v>47</v>
      </c>
      <c r="C32" s="1" t="s">
        <v>49</v>
      </c>
      <c r="D32" s="1" t="s">
        <v>49</v>
      </c>
      <c r="E32" s="2">
        <v>20102</v>
      </c>
      <c r="F32" s="16">
        <v>779</v>
      </c>
      <c r="G32" s="16">
        <v>845</v>
      </c>
      <c r="H32" s="16">
        <v>842</v>
      </c>
      <c r="I32" s="16">
        <v>31</v>
      </c>
      <c r="J32" s="16">
        <v>75</v>
      </c>
      <c r="K32" s="16">
        <v>58</v>
      </c>
      <c r="L32" s="12">
        <f t="shared" si="43"/>
        <v>3.9794608472400519</v>
      </c>
      <c r="M32" s="12">
        <f t="shared" si="44"/>
        <v>8.8757396449704142</v>
      </c>
      <c r="N32" s="12">
        <f t="shared" si="42"/>
        <v>6.8883610451306403</v>
      </c>
      <c r="O32" s="12">
        <f t="shared" si="9"/>
        <v>6.5811871791137024</v>
      </c>
      <c r="P32" s="16">
        <v>1005</v>
      </c>
      <c r="Q32" s="16">
        <v>1031</v>
      </c>
      <c r="R32" s="16">
        <v>1004</v>
      </c>
      <c r="S32" s="16">
        <v>23</v>
      </c>
      <c r="T32" s="16">
        <v>44</v>
      </c>
      <c r="U32" s="16">
        <v>37</v>
      </c>
      <c r="V32" s="12">
        <f t="shared" si="3"/>
        <v>2.2885572139303481</v>
      </c>
      <c r="W32" s="12">
        <f t="shared" si="4"/>
        <v>4.2677012609117364</v>
      </c>
      <c r="X32" s="12">
        <f t="shared" si="5"/>
        <v>3.6852589641434266</v>
      </c>
      <c r="Y32" s="12">
        <f t="shared" si="10"/>
        <v>3.2781292374210422</v>
      </c>
    </row>
    <row r="33" spans="1:25" x14ac:dyDescent="0.3">
      <c r="A33" s="1" t="s">
        <v>46</v>
      </c>
      <c r="B33" s="1" t="s">
        <v>47</v>
      </c>
      <c r="C33" s="1" t="s">
        <v>50</v>
      </c>
      <c r="D33" s="1" t="s">
        <v>50</v>
      </c>
      <c r="E33" s="2">
        <v>20103</v>
      </c>
      <c r="F33" s="16">
        <v>806</v>
      </c>
      <c r="G33" s="16">
        <v>818</v>
      </c>
      <c r="H33" s="16">
        <v>835</v>
      </c>
      <c r="I33" s="16">
        <v>40</v>
      </c>
      <c r="J33" s="16">
        <v>26</v>
      </c>
      <c r="K33" s="16">
        <v>44</v>
      </c>
      <c r="L33" s="12">
        <f t="shared" si="43"/>
        <v>4.9627791563275441</v>
      </c>
      <c r="M33" s="12">
        <f t="shared" si="44"/>
        <v>3.1784841075794623</v>
      </c>
      <c r="N33" s="12">
        <f t="shared" si="42"/>
        <v>5.2694610778443112</v>
      </c>
      <c r="O33" s="12">
        <f t="shared" si="9"/>
        <v>4.4702414472504399</v>
      </c>
      <c r="P33" s="16">
        <v>824</v>
      </c>
      <c r="Q33" s="16">
        <v>835</v>
      </c>
      <c r="R33" s="16">
        <v>819</v>
      </c>
      <c r="S33" s="16">
        <v>25</v>
      </c>
      <c r="T33" s="16">
        <v>23</v>
      </c>
      <c r="U33" s="16">
        <v>8</v>
      </c>
      <c r="V33" s="12">
        <f t="shared" si="3"/>
        <v>3.0339805825242721</v>
      </c>
      <c r="W33" s="12">
        <f t="shared" si="4"/>
        <v>2.7544910179640718</v>
      </c>
      <c r="X33" s="12">
        <f t="shared" si="5"/>
        <v>0.97680097680097677</v>
      </c>
      <c r="Y33" s="12">
        <f t="shared" si="10"/>
        <v>2.8942358002441719</v>
      </c>
    </row>
    <row r="34" spans="1:25" x14ac:dyDescent="0.3">
      <c r="A34" s="1" t="s">
        <v>46</v>
      </c>
      <c r="B34" s="1" t="s">
        <v>47</v>
      </c>
      <c r="C34" s="1" t="s">
        <v>51</v>
      </c>
      <c r="D34" s="1" t="s">
        <v>51</v>
      </c>
      <c r="E34" s="2">
        <v>20104</v>
      </c>
      <c r="F34" s="16">
        <v>996</v>
      </c>
      <c r="G34" s="16">
        <v>1104</v>
      </c>
      <c r="H34" s="16">
        <v>1156</v>
      </c>
      <c r="I34" s="16">
        <v>52</v>
      </c>
      <c r="J34" s="16">
        <v>58</v>
      </c>
      <c r="K34" s="16">
        <v>61</v>
      </c>
      <c r="L34" s="12">
        <f t="shared" si="43"/>
        <v>5.2208835341365463</v>
      </c>
      <c r="M34" s="12">
        <f t="shared" si="44"/>
        <v>5.2536231884057969</v>
      </c>
      <c r="N34" s="12">
        <f t="shared" si="42"/>
        <v>5.2768166089965396</v>
      </c>
      <c r="O34" s="12">
        <f t="shared" si="9"/>
        <v>5.2504411105129618</v>
      </c>
      <c r="P34" s="16">
        <v>1472</v>
      </c>
      <c r="Q34" s="16">
        <v>1551</v>
      </c>
      <c r="R34" s="16">
        <v>1638</v>
      </c>
      <c r="S34" s="16">
        <v>24</v>
      </c>
      <c r="T34" s="16">
        <v>29</v>
      </c>
      <c r="U34" s="16">
        <v>32</v>
      </c>
      <c r="V34" s="12">
        <f t="shared" ref="V34:V65" si="45">(S34/P34)*100</f>
        <v>1.6304347826086956</v>
      </c>
      <c r="W34" s="12">
        <f t="shared" ref="W34:W65" si="46">(T34/Q34)*100</f>
        <v>1.8697614442295292</v>
      </c>
      <c r="X34" s="12">
        <f t="shared" ref="X34:X65" si="47">(U34/R34)*100</f>
        <v>1.9536019536019535</v>
      </c>
      <c r="Y34" s="12">
        <f t="shared" si="10"/>
        <v>1.7500981134191123</v>
      </c>
    </row>
    <row r="35" spans="1:25" x14ac:dyDescent="0.3">
      <c r="A35" s="1" t="s">
        <v>46</v>
      </c>
      <c r="B35" s="1" t="s">
        <v>47</v>
      </c>
      <c r="C35" s="1" t="s">
        <v>52</v>
      </c>
      <c r="D35" s="1" t="s">
        <v>52</v>
      </c>
      <c r="E35" s="2">
        <v>20105</v>
      </c>
      <c r="F35" s="16">
        <v>59693</v>
      </c>
      <c r="G35" s="16">
        <v>61895</v>
      </c>
      <c r="H35" s="16">
        <v>62906</v>
      </c>
      <c r="I35" s="16">
        <v>1952</v>
      </c>
      <c r="J35" s="16">
        <v>1916</v>
      </c>
      <c r="K35" s="16">
        <v>2138</v>
      </c>
      <c r="L35" s="12">
        <f t="shared" si="43"/>
        <v>3.2700651667699732</v>
      </c>
      <c r="M35" s="12">
        <f t="shared" si="44"/>
        <v>3.0955650698764039</v>
      </c>
      <c r="N35" s="12">
        <f t="shared" si="42"/>
        <v>3.3987219025212219</v>
      </c>
      <c r="O35" s="12">
        <f t="shared" si="9"/>
        <v>3.2547840463891995</v>
      </c>
      <c r="P35" s="16">
        <v>64029</v>
      </c>
      <c r="Q35" s="16">
        <v>65136</v>
      </c>
      <c r="R35" s="16">
        <v>66002</v>
      </c>
      <c r="S35" s="16">
        <v>919</v>
      </c>
      <c r="T35" s="16">
        <v>737</v>
      </c>
      <c r="U35" s="16">
        <v>773</v>
      </c>
      <c r="V35" s="12">
        <f t="shared" si="45"/>
        <v>1.4352871355167189</v>
      </c>
      <c r="W35" s="12">
        <f t="shared" si="46"/>
        <v>1.131478752149349</v>
      </c>
      <c r="X35" s="12">
        <f t="shared" si="47"/>
        <v>1.1711766310111815</v>
      </c>
      <c r="Y35" s="12">
        <f t="shared" si="10"/>
        <v>1.283382943833034</v>
      </c>
    </row>
    <row r="36" spans="1:25" x14ac:dyDescent="0.3">
      <c r="A36" s="1" t="s">
        <v>46</v>
      </c>
      <c r="B36" s="1" t="s">
        <v>53</v>
      </c>
      <c r="C36" s="1" t="s">
        <v>54</v>
      </c>
      <c r="D36" s="1" t="s">
        <v>54</v>
      </c>
      <c r="E36" s="2">
        <v>20201</v>
      </c>
      <c r="F36" s="16">
        <v>3433</v>
      </c>
      <c r="G36" s="16">
        <v>3450</v>
      </c>
      <c r="H36" s="16">
        <v>2592</v>
      </c>
      <c r="I36" s="16">
        <v>175</v>
      </c>
      <c r="J36" s="16">
        <v>192</v>
      </c>
      <c r="K36" s="16">
        <v>140</v>
      </c>
      <c r="L36" s="12">
        <f t="shared" si="43"/>
        <v>5.0975822895426743</v>
      </c>
      <c r="M36" s="12">
        <f t="shared" si="44"/>
        <v>5.5652173913043477</v>
      </c>
      <c r="N36" s="12">
        <f t="shared" si="42"/>
        <v>5.4012345679012341</v>
      </c>
      <c r="O36" s="12">
        <f t="shared" si="9"/>
        <v>5.3546780829160854</v>
      </c>
      <c r="P36" s="16">
        <v>1890</v>
      </c>
      <c r="Q36" s="16">
        <v>1942</v>
      </c>
      <c r="R36" s="16">
        <v>1975</v>
      </c>
      <c r="S36" s="16">
        <v>37</v>
      </c>
      <c r="T36" s="16">
        <v>33</v>
      </c>
      <c r="U36" s="16">
        <v>32</v>
      </c>
      <c r="V36" s="12">
        <f t="shared" si="45"/>
        <v>1.9576719576719577</v>
      </c>
      <c r="W36" s="12">
        <f t="shared" si="46"/>
        <v>1.6992790937178166</v>
      </c>
      <c r="X36" s="12">
        <f t="shared" si="47"/>
        <v>1.6202531645569622</v>
      </c>
      <c r="Y36" s="12">
        <f t="shared" si="10"/>
        <v>1.8284755256948872</v>
      </c>
    </row>
    <row r="37" spans="1:25" x14ac:dyDescent="0.3">
      <c r="A37" s="1" t="s">
        <v>46</v>
      </c>
      <c r="B37" s="1" t="s">
        <v>53</v>
      </c>
      <c r="C37" s="1" t="s">
        <v>55</v>
      </c>
      <c r="D37" s="1" t="s">
        <v>55</v>
      </c>
      <c r="E37" s="2">
        <v>20202</v>
      </c>
      <c r="F37" s="16">
        <v>581</v>
      </c>
      <c r="G37" s="16">
        <v>567</v>
      </c>
      <c r="H37" s="16">
        <v>564</v>
      </c>
      <c r="I37" s="16">
        <v>52</v>
      </c>
      <c r="J37" s="16">
        <v>42</v>
      </c>
      <c r="K37" s="16">
        <v>50</v>
      </c>
      <c r="L37" s="12">
        <f t="shared" si="43"/>
        <v>8.9500860585197941</v>
      </c>
      <c r="M37" s="12">
        <f t="shared" si="44"/>
        <v>7.4074074074074066</v>
      </c>
      <c r="N37" s="12">
        <f t="shared" si="42"/>
        <v>8.8652482269503547</v>
      </c>
      <c r="O37" s="12">
        <f t="shared" si="9"/>
        <v>8.4075805642925179</v>
      </c>
      <c r="P37" s="16">
        <v>423</v>
      </c>
      <c r="Q37" s="16">
        <v>438</v>
      </c>
      <c r="R37" s="16">
        <v>450</v>
      </c>
      <c r="S37" s="16">
        <v>14</v>
      </c>
      <c r="T37" s="16">
        <v>16</v>
      </c>
      <c r="U37" s="16">
        <v>7</v>
      </c>
      <c r="V37" s="12">
        <f t="shared" si="45"/>
        <v>3.3096926713947989</v>
      </c>
      <c r="W37" s="12">
        <f t="shared" si="46"/>
        <v>3.6529680365296802</v>
      </c>
      <c r="X37" s="12">
        <f t="shared" si="47"/>
        <v>1.5555555555555556</v>
      </c>
      <c r="Y37" s="12">
        <f t="shared" si="10"/>
        <v>3.4813303539622398</v>
      </c>
    </row>
    <row r="38" spans="1:25" x14ac:dyDescent="0.3">
      <c r="A38" s="1" t="s">
        <v>46</v>
      </c>
      <c r="B38" s="1" t="s">
        <v>53</v>
      </c>
      <c r="C38" s="1" t="s">
        <v>56</v>
      </c>
      <c r="D38" s="1" t="s">
        <v>56</v>
      </c>
      <c r="E38" s="2">
        <v>20203</v>
      </c>
      <c r="F38" s="16">
        <v>0</v>
      </c>
      <c r="G38" s="16">
        <v>0</v>
      </c>
      <c r="H38" s="16">
        <v>170</v>
      </c>
      <c r="I38" s="16">
        <v>0</v>
      </c>
      <c r="J38" s="16">
        <v>0</v>
      </c>
      <c r="K38" s="16">
        <v>14</v>
      </c>
      <c r="L38" s="12"/>
      <c r="M38" s="12"/>
      <c r="N38" s="12">
        <f t="shared" si="42"/>
        <v>8.235294117647058</v>
      </c>
      <c r="O38" s="12">
        <f t="shared" si="9"/>
        <v>8.235294117647058</v>
      </c>
      <c r="P38" s="16">
        <v>106</v>
      </c>
      <c r="Q38" s="16">
        <v>118</v>
      </c>
      <c r="R38" s="16">
        <v>113</v>
      </c>
      <c r="S38" s="16">
        <v>1</v>
      </c>
      <c r="T38" s="16">
        <v>2</v>
      </c>
      <c r="U38" s="16">
        <v>2</v>
      </c>
      <c r="V38" s="12">
        <f t="shared" si="45"/>
        <v>0.94339622641509435</v>
      </c>
      <c r="W38" s="12">
        <f t="shared" si="46"/>
        <v>1.6949152542372881</v>
      </c>
      <c r="X38" s="12">
        <f t="shared" si="47"/>
        <v>1.7699115044247788</v>
      </c>
      <c r="Y38" s="12">
        <f t="shared" si="10"/>
        <v>1.3191557403261913</v>
      </c>
    </row>
    <row r="39" spans="1:25" x14ac:dyDescent="0.3">
      <c r="A39" s="1" t="s">
        <v>46</v>
      </c>
      <c r="B39" s="1" t="s">
        <v>53</v>
      </c>
      <c r="C39" s="1" t="s">
        <v>57</v>
      </c>
      <c r="D39" s="1" t="s">
        <v>57</v>
      </c>
      <c r="E39" s="2">
        <v>20204</v>
      </c>
      <c r="F39" s="16">
        <v>0</v>
      </c>
      <c r="G39" s="16">
        <v>0</v>
      </c>
      <c r="H39" s="16">
        <v>305</v>
      </c>
      <c r="I39" s="16">
        <v>0</v>
      </c>
      <c r="J39" s="16">
        <v>0</v>
      </c>
      <c r="K39" s="16">
        <v>26</v>
      </c>
      <c r="L39" s="12"/>
      <c r="M39" s="12"/>
      <c r="N39" s="12">
        <f t="shared" si="42"/>
        <v>8.524590163934425</v>
      </c>
      <c r="O39" s="12">
        <f t="shared" si="9"/>
        <v>8.524590163934425</v>
      </c>
      <c r="P39" s="16">
        <v>226</v>
      </c>
      <c r="Q39" s="16">
        <v>244</v>
      </c>
      <c r="R39" s="16">
        <v>239</v>
      </c>
      <c r="S39" s="16">
        <v>1</v>
      </c>
      <c r="T39" s="16">
        <v>6</v>
      </c>
      <c r="U39" s="16">
        <v>5</v>
      </c>
      <c r="V39" s="12">
        <f t="shared" si="45"/>
        <v>0.44247787610619471</v>
      </c>
      <c r="W39" s="12">
        <f t="shared" si="46"/>
        <v>2.459016393442623</v>
      </c>
      <c r="X39" s="12">
        <f t="shared" si="47"/>
        <v>2.0920502092050208</v>
      </c>
      <c r="Y39" s="12">
        <f t="shared" si="10"/>
        <v>1.4507471347744088</v>
      </c>
    </row>
    <row r="40" spans="1:25" x14ac:dyDescent="0.3">
      <c r="A40" s="1" t="s">
        <v>46</v>
      </c>
      <c r="B40" s="1" t="s">
        <v>53</v>
      </c>
      <c r="C40" s="1" t="s">
        <v>58</v>
      </c>
      <c r="D40" s="1" t="s">
        <v>58</v>
      </c>
      <c r="E40" s="2">
        <v>20205</v>
      </c>
      <c r="F40" s="16">
        <v>0</v>
      </c>
      <c r="G40" s="16">
        <v>0</v>
      </c>
      <c r="H40" s="16">
        <v>330</v>
      </c>
      <c r="I40" s="16">
        <v>0</v>
      </c>
      <c r="J40" s="16">
        <v>0</v>
      </c>
      <c r="K40" s="16">
        <v>16</v>
      </c>
      <c r="L40" s="12"/>
      <c r="M40" s="12"/>
      <c r="N40" s="12">
        <f t="shared" si="42"/>
        <v>4.8484848484848486</v>
      </c>
      <c r="O40" s="12">
        <f t="shared" si="9"/>
        <v>4.8484848484848486</v>
      </c>
      <c r="P40" s="16">
        <v>231</v>
      </c>
      <c r="Q40" s="16">
        <v>231</v>
      </c>
      <c r="R40" s="16">
        <v>245</v>
      </c>
      <c r="S40" s="16">
        <v>2</v>
      </c>
      <c r="T40" s="16">
        <v>5</v>
      </c>
      <c r="U40" s="16">
        <v>2</v>
      </c>
      <c r="V40" s="12">
        <f t="shared" si="45"/>
        <v>0.86580086580086579</v>
      </c>
      <c r="W40" s="12">
        <f t="shared" si="46"/>
        <v>2.1645021645021645</v>
      </c>
      <c r="X40" s="12">
        <f t="shared" si="47"/>
        <v>0.81632653061224492</v>
      </c>
      <c r="Y40" s="12">
        <f t="shared" si="10"/>
        <v>1.5151515151515151</v>
      </c>
    </row>
    <row r="41" spans="1:25" x14ac:dyDescent="0.3">
      <c r="A41" s="1" t="s">
        <v>46</v>
      </c>
      <c r="B41" s="1" t="s">
        <v>53</v>
      </c>
      <c r="C41" s="1" t="s">
        <v>59</v>
      </c>
      <c r="D41" s="1" t="s">
        <v>59</v>
      </c>
      <c r="E41" s="2">
        <v>20206</v>
      </c>
      <c r="F41" s="16">
        <v>0</v>
      </c>
      <c r="G41" s="16">
        <v>0</v>
      </c>
      <c r="H41" s="16">
        <v>77</v>
      </c>
      <c r="I41" s="16">
        <v>0</v>
      </c>
      <c r="J41" s="16">
        <v>0</v>
      </c>
      <c r="K41" s="16">
        <v>1</v>
      </c>
      <c r="L41" s="12"/>
      <c r="M41" s="12"/>
      <c r="N41" s="12">
        <f t="shared" si="42"/>
        <v>1.2987012987012987</v>
      </c>
      <c r="O41" s="12">
        <f t="shared" si="9"/>
        <v>1.2987012987012987</v>
      </c>
      <c r="P41" s="16">
        <v>62</v>
      </c>
      <c r="Q41" s="16">
        <v>72</v>
      </c>
      <c r="R41" s="16">
        <v>76</v>
      </c>
      <c r="S41" s="16">
        <v>0</v>
      </c>
      <c r="T41" s="16">
        <v>2</v>
      </c>
      <c r="U41" s="16">
        <v>0</v>
      </c>
      <c r="V41" s="12">
        <f t="shared" si="45"/>
        <v>0</v>
      </c>
      <c r="W41" s="12">
        <f t="shared" si="46"/>
        <v>2.7777777777777777</v>
      </c>
      <c r="X41" s="12">
        <f t="shared" si="47"/>
        <v>0</v>
      </c>
      <c r="Y41" s="12">
        <f t="shared" si="10"/>
        <v>1.3888888888888888</v>
      </c>
    </row>
    <row r="42" spans="1:25" x14ac:dyDescent="0.3">
      <c r="A42" s="1" t="s">
        <v>46</v>
      </c>
      <c r="B42" s="1" t="s">
        <v>60</v>
      </c>
      <c r="C42" s="1" t="s">
        <v>61</v>
      </c>
      <c r="D42" s="1" t="s">
        <v>61</v>
      </c>
      <c r="E42" s="2">
        <v>20301</v>
      </c>
      <c r="F42" s="16">
        <v>400</v>
      </c>
      <c r="G42" s="16">
        <v>390</v>
      </c>
      <c r="H42" s="16">
        <v>412</v>
      </c>
      <c r="I42" s="16">
        <v>38</v>
      </c>
      <c r="J42" s="16">
        <v>35</v>
      </c>
      <c r="K42" s="16">
        <v>54</v>
      </c>
      <c r="L42" s="12">
        <f t="shared" ref="L42:L52" si="48">(I42/F42)*100</f>
        <v>9.5</v>
      </c>
      <c r="M42" s="12">
        <f t="shared" ref="M42:M52" si="49">(J42/G42)*100</f>
        <v>8.9743589743589745</v>
      </c>
      <c r="N42" s="12">
        <f t="shared" si="42"/>
        <v>13.106796116504855</v>
      </c>
      <c r="O42" s="12">
        <f t="shared" si="9"/>
        <v>10.52705169695461</v>
      </c>
      <c r="P42" s="16">
        <v>367</v>
      </c>
      <c r="Q42" s="16">
        <v>381</v>
      </c>
      <c r="R42" s="16">
        <v>377</v>
      </c>
      <c r="S42" s="16">
        <v>12</v>
      </c>
      <c r="T42" s="16">
        <v>18</v>
      </c>
      <c r="U42" s="16">
        <v>17</v>
      </c>
      <c r="V42" s="12">
        <f t="shared" si="45"/>
        <v>3.2697547683923704</v>
      </c>
      <c r="W42" s="12">
        <f t="shared" si="46"/>
        <v>4.7244094488188972</v>
      </c>
      <c r="X42" s="12">
        <f t="shared" si="47"/>
        <v>4.5092838196286467</v>
      </c>
      <c r="Y42" s="12">
        <f t="shared" si="10"/>
        <v>3.9970821086056336</v>
      </c>
    </row>
    <row r="43" spans="1:25" x14ac:dyDescent="0.3">
      <c r="A43" s="1" t="s">
        <v>46</v>
      </c>
      <c r="B43" s="1" t="s">
        <v>60</v>
      </c>
      <c r="C43" s="1" t="s">
        <v>62</v>
      </c>
      <c r="D43" s="1" t="s">
        <v>62</v>
      </c>
      <c r="E43" s="2">
        <v>20302</v>
      </c>
      <c r="F43" s="16">
        <v>413</v>
      </c>
      <c r="G43" s="16">
        <v>425</v>
      </c>
      <c r="H43" s="16">
        <v>397</v>
      </c>
      <c r="I43" s="16">
        <v>27</v>
      </c>
      <c r="J43" s="16">
        <v>31</v>
      </c>
      <c r="K43" s="16">
        <v>41</v>
      </c>
      <c r="L43" s="12">
        <f t="shared" si="48"/>
        <v>6.5375302663438255</v>
      </c>
      <c r="M43" s="12">
        <f t="shared" si="49"/>
        <v>7.2941176470588234</v>
      </c>
      <c r="N43" s="12">
        <f t="shared" si="42"/>
        <v>10.327455919395465</v>
      </c>
      <c r="O43" s="12">
        <f t="shared" si="9"/>
        <v>8.0530346109327038</v>
      </c>
      <c r="P43" s="16">
        <v>311</v>
      </c>
      <c r="Q43" s="16">
        <v>308</v>
      </c>
      <c r="R43" s="16">
        <v>299</v>
      </c>
      <c r="S43" s="16">
        <v>13</v>
      </c>
      <c r="T43" s="16">
        <v>10</v>
      </c>
      <c r="U43" s="16">
        <v>10</v>
      </c>
      <c r="V43" s="12">
        <f t="shared" si="45"/>
        <v>4.180064308681672</v>
      </c>
      <c r="W43" s="12">
        <f t="shared" si="46"/>
        <v>3.2467532467532463</v>
      </c>
      <c r="X43" s="12">
        <f t="shared" si="47"/>
        <v>3.3444816053511706</v>
      </c>
      <c r="Y43" s="12">
        <f t="shared" si="10"/>
        <v>3.7134087777174591</v>
      </c>
    </row>
    <row r="44" spans="1:25" x14ac:dyDescent="0.3">
      <c r="A44" s="1" t="s">
        <v>46</v>
      </c>
      <c r="B44" s="1" t="s">
        <v>60</v>
      </c>
      <c r="C44" s="1" t="s">
        <v>63</v>
      </c>
      <c r="D44" s="1" t="s">
        <v>63</v>
      </c>
      <c r="E44" s="2">
        <v>20303</v>
      </c>
      <c r="F44" s="16">
        <v>261</v>
      </c>
      <c r="G44" s="16">
        <v>261</v>
      </c>
      <c r="H44" s="16">
        <v>252</v>
      </c>
      <c r="I44" s="16">
        <v>20</v>
      </c>
      <c r="J44" s="16">
        <v>26</v>
      </c>
      <c r="K44" s="16">
        <v>28</v>
      </c>
      <c r="L44" s="12">
        <f t="shared" si="48"/>
        <v>7.6628352490421454</v>
      </c>
      <c r="M44" s="12">
        <f t="shared" si="49"/>
        <v>9.9616858237547881</v>
      </c>
      <c r="N44" s="12">
        <f t="shared" si="42"/>
        <v>11.111111111111111</v>
      </c>
      <c r="O44" s="12">
        <f t="shared" si="9"/>
        <v>9.5785440613026811</v>
      </c>
      <c r="P44" s="16">
        <v>174</v>
      </c>
      <c r="Q44" s="16">
        <v>195</v>
      </c>
      <c r="R44" s="16">
        <v>185</v>
      </c>
      <c r="S44" s="16">
        <v>4</v>
      </c>
      <c r="T44" s="16">
        <v>9</v>
      </c>
      <c r="U44" s="16">
        <v>4</v>
      </c>
      <c r="V44" s="12">
        <f t="shared" si="45"/>
        <v>2.2988505747126435</v>
      </c>
      <c r="W44" s="12">
        <f t="shared" si="46"/>
        <v>4.6153846153846159</v>
      </c>
      <c r="X44" s="12">
        <f t="shared" si="47"/>
        <v>2.1621621621621623</v>
      </c>
      <c r="Y44" s="12">
        <f t="shared" si="10"/>
        <v>3.4571175950486297</v>
      </c>
    </row>
    <row r="45" spans="1:25" x14ac:dyDescent="0.3">
      <c r="A45" s="1" t="s">
        <v>46</v>
      </c>
      <c r="B45" s="1" t="s">
        <v>60</v>
      </c>
      <c r="C45" s="1" t="s">
        <v>64</v>
      </c>
      <c r="D45" s="1" t="s">
        <v>64</v>
      </c>
      <c r="E45" s="2">
        <v>20304</v>
      </c>
      <c r="F45" s="16">
        <v>137</v>
      </c>
      <c r="G45" s="16">
        <v>158</v>
      </c>
      <c r="H45" s="16">
        <v>159</v>
      </c>
      <c r="I45" s="16">
        <v>9</v>
      </c>
      <c r="J45" s="16">
        <v>25</v>
      </c>
      <c r="K45" s="16">
        <v>14</v>
      </c>
      <c r="L45" s="12">
        <f t="shared" si="48"/>
        <v>6.5693430656934311</v>
      </c>
      <c r="M45" s="12">
        <f t="shared" si="49"/>
        <v>15.822784810126583</v>
      </c>
      <c r="N45" s="12">
        <f t="shared" si="42"/>
        <v>8.8050314465408803</v>
      </c>
      <c r="O45" s="12">
        <f t="shared" si="9"/>
        <v>10.399053107453632</v>
      </c>
      <c r="P45" s="16">
        <v>142</v>
      </c>
      <c r="Q45" s="16">
        <v>149</v>
      </c>
      <c r="R45" s="16">
        <v>144</v>
      </c>
      <c r="S45" s="16">
        <v>4</v>
      </c>
      <c r="T45" s="16">
        <v>2</v>
      </c>
      <c r="U45" s="16">
        <v>3</v>
      </c>
      <c r="V45" s="12">
        <f t="shared" si="45"/>
        <v>2.8169014084507045</v>
      </c>
      <c r="W45" s="12">
        <f t="shared" si="46"/>
        <v>1.3422818791946309</v>
      </c>
      <c r="X45" s="12">
        <f t="shared" si="47"/>
        <v>2.083333333333333</v>
      </c>
      <c r="Y45" s="12">
        <f t="shared" si="10"/>
        <v>2.0795916438226678</v>
      </c>
    </row>
    <row r="46" spans="1:25" x14ac:dyDescent="0.3">
      <c r="A46" s="1" t="s">
        <v>46</v>
      </c>
      <c r="B46" s="1" t="s">
        <v>60</v>
      </c>
      <c r="C46" s="1" t="s">
        <v>65</v>
      </c>
      <c r="D46" s="1" t="s">
        <v>65</v>
      </c>
      <c r="E46" s="2">
        <v>20305</v>
      </c>
      <c r="F46" s="16">
        <v>80</v>
      </c>
      <c r="G46" s="16">
        <v>70</v>
      </c>
      <c r="H46" s="16">
        <v>83</v>
      </c>
      <c r="I46" s="16">
        <v>3</v>
      </c>
      <c r="J46" s="16">
        <v>8</v>
      </c>
      <c r="K46" s="16">
        <v>7</v>
      </c>
      <c r="L46" s="12">
        <f t="shared" si="48"/>
        <v>3.75</v>
      </c>
      <c r="M46" s="12">
        <f t="shared" si="49"/>
        <v>11.428571428571429</v>
      </c>
      <c r="N46" s="12">
        <f t="shared" si="42"/>
        <v>8.4337349397590362</v>
      </c>
      <c r="O46" s="12">
        <f t="shared" si="9"/>
        <v>7.8707687894434883</v>
      </c>
      <c r="P46" s="16">
        <v>72</v>
      </c>
      <c r="Q46" s="16">
        <v>68</v>
      </c>
      <c r="R46" s="16">
        <v>74</v>
      </c>
      <c r="S46" s="16">
        <v>3</v>
      </c>
      <c r="T46" s="16">
        <v>1</v>
      </c>
      <c r="U46" s="16">
        <v>4</v>
      </c>
      <c r="V46" s="12">
        <f t="shared" si="45"/>
        <v>4.1666666666666661</v>
      </c>
      <c r="W46" s="12">
        <f t="shared" si="46"/>
        <v>1.4705882352941175</v>
      </c>
      <c r="X46" s="12">
        <f t="shared" si="47"/>
        <v>5.4054054054054053</v>
      </c>
      <c r="Y46" s="12">
        <f t="shared" si="10"/>
        <v>2.8186274509803919</v>
      </c>
    </row>
    <row r="47" spans="1:25" x14ac:dyDescent="0.3">
      <c r="A47" s="1" t="s">
        <v>46</v>
      </c>
      <c r="B47" s="1" t="s">
        <v>60</v>
      </c>
      <c r="C47" s="1" t="s">
        <v>479</v>
      </c>
      <c r="D47" s="1" t="s">
        <v>66</v>
      </c>
      <c r="E47" s="2">
        <v>20306</v>
      </c>
      <c r="F47" s="16">
        <v>84</v>
      </c>
      <c r="G47" s="16">
        <v>101</v>
      </c>
      <c r="H47" s="16">
        <v>103</v>
      </c>
      <c r="I47" s="16">
        <v>3</v>
      </c>
      <c r="J47" s="16">
        <v>5</v>
      </c>
      <c r="K47" s="16">
        <v>5</v>
      </c>
      <c r="L47" s="12">
        <f t="shared" si="48"/>
        <v>3.5714285714285712</v>
      </c>
      <c r="M47" s="12">
        <f t="shared" si="49"/>
        <v>4.9504950495049505</v>
      </c>
      <c r="N47" s="12">
        <f t="shared" si="42"/>
        <v>4.8543689320388346</v>
      </c>
      <c r="O47" s="12">
        <f t="shared" si="9"/>
        <v>4.4587641843241181</v>
      </c>
      <c r="P47" s="16">
        <v>101</v>
      </c>
      <c r="Q47" s="16">
        <v>92</v>
      </c>
      <c r="R47" s="16">
        <v>90</v>
      </c>
      <c r="S47" s="16">
        <v>7</v>
      </c>
      <c r="T47" s="16">
        <v>0</v>
      </c>
      <c r="U47" s="16">
        <v>4</v>
      </c>
      <c r="V47" s="12">
        <f t="shared" si="45"/>
        <v>6.9306930693069315</v>
      </c>
      <c r="W47" s="12">
        <f t="shared" si="46"/>
        <v>0</v>
      </c>
      <c r="X47" s="12">
        <f t="shared" si="47"/>
        <v>4.4444444444444446</v>
      </c>
      <c r="Y47" s="12">
        <f t="shared" si="10"/>
        <v>3.4653465346534658</v>
      </c>
    </row>
    <row r="48" spans="1:25" x14ac:dyDescent="0.3">
      <c r="A48" s="1" t="s">
        <v>46</v>
      </c>
      <c r="B48" s="1" t="s">
        <v>60</v>
      </c>
      <c r="C48" s="1" t="s">
        <v>67</v>
      </c>
      <c r="D48" s="1" t="s">
        <v>67</v>
      </c>
      <c r="E48" s="2">
        <v>20307</v>
      </c>
      <c r="F48" s="16">
        <v>15</v>
      </c>
      <c r="G48" s="16">
        <v>18</v>
      </c>
      <c r="H48" s="16">
        <v>17</v>
      </c>
      <c r="I48" s="16">
        <v>3</v>
      </c>
      <c r="J48" s="16">
        <v>5</v>
      </c>
      <c r="K48" s="16">
        <v>4</v>
      </c>
      <c r="L48" s="12">
        <f t="shared" si="48"/>
        <v>20</v>
      </c>
      <c r="M48" s="12">
        <f t="shared" si="49"/>
        <v>27.777777777777779</v>
      </c>
      <c r="N48" s="12">
        <f t="shared" si="42"/>
        <v>23.52941176470588</v>
      </c>
      <c r="O48" s="12">
        <f t="shared" si="9"/>
        <v>23.769063180827885</v>
      </c>
      <c r="P48" s="16">
        <v>26</v>
      </c>
      <c r="Q48" s="16">
        <v>24</v>
      </c>
      <c r="R48" s="16">
        <v>17</v>
      </c>
      <c r="S48" s="16">
        <v>1</v>
      </c>
      <c r="T48" s="16">
        <v>2</v>
      </c>
      <c r="U48" s="16">
        <v>1</v>
      </c>
      <c r="V48" s="12">
        <f t="shared" si="45"/>
        <v>3.8461538461538463</v>
      </c>
      <c r="W48" s="12">
        <f t="shared" si="46"/>
        <v>8.3333333333333321</v>
      </c>
      <c r="X48" s="12">
        <f t="shared" si="47"/>
        <v>5.8823529411764701</v>
      </c>
      <c r="Y48" s="12">
        <f t="shared" si="10"/>
        <v>6.0897435897435894</v>
      </c>
    </row>
    <row r="49" spans="1:25" x14ac:dyDescent="0.3">
      <c r="A49" s="1" t="s">
        <v>46</v>
      </c>
      <c r="B49" s="1" t="s">
        <v>60</v>
      </c>
      <c r="C49" s="1" t="s">
        <v>68</v>
      </c>
      <c r="D49" s="1" t="s">
        <v>68</v>
      </c>
      <c r="E49" s="2">
        <v>20308</v>
      </c>
      <c r="F49" s="16">
        <v>196</v>
      </c>
      <c r="G49" s="16">
        <v>188</v>
      </c>
      <c r="H49" s="16">
        <v>185</v>
      </c>
      <c r="I49" s="16">
        <v>16</v>
      </c>
      <c r="J49" s="16">
        <v>30</v>
      </c>
      <c r="K49" s="16">
        <v>31</v>
      </c>
      <c r="L49" s="12">
        <f t="shared" si="48"/>
        <v>8.1632653061224492</v>
      </c>
      <c r="M49" s="12">
        <f t="shared" si="49"/>
        <v>15.957446808510639</v>
      </c>
      <c r="N49" s="12">
        <f t="shared" si="42"/>
        <v>16.756756756756758</v>
      </c>
      <c r="O49" s="12">
        <f t="shared" si="9"/>
        <v>13.625822957129948</v>
      </c>
      <c r="P49" s="16">
        <v>133</v>
      </c>
      <c r="Q49" s="16">
        <v>131</v>
      </c>
      <c r="R49" s="16">
        <v>129</v>
      </c>
      <c r="S49" s="16">
        <v>4</v>
      </c>
      <c r="T49" s="16">
        <v>8</v>
      </c>
      <c r="U49" s="16">
        <v>5</v>
      </c>
      <c r="V49" s="12">
        <f t="shared" si="45"/>
        <v>3.007518796992481</v>
      </c>
      <c r="W49" s="12">
        <f t="shared" si="46"/>
        <v>6.1068702290076331</v>
      </c>
      <c r="X49" s="12">
        <f t="shared" si="47"/>
        <v>3.8759689922480618</v>
      </c>
      <c r="Y49" s="12">
        <f t="shared" si="10"/>
        <v>4.5571945130000575</v>
      </c>
    </row>
    <row r="50" spans="1:25" x14ac:dyDescent="0.3">
      <c r="A50" s="1" t="s">
        <v>46</v>
      </c>
      <c r="B50" s="1" t="s">
        <v>69</v>
      </c>
      <c r="C50" s="1" t="s">
        <v>70</v>
      </c>
      <c r="D50" s="1" t="s">
        <v>70</v>
      </c>
      <c r="E50" s="2">
        <v>20401</v>
      </c>
      <c r="F50" s="16">
        <v>1027</v>
      </c>
      <c r="G50" s="16">
        <v>1054</v>
      </c>
      <c r="H50" s="16">
        <v>483</v>
      </c>
      <c r="I50" s="16">
        <v>58</v>
      </c>
      <c r="J50" s="16">
        <v>79</v>
      </c>
      <c r="K50" s="16">
        <v>66</v>
      </c>
      <c r="L50" s="12">
        <f t="shared" si="48"/>
        <v>5.6475170399221026</v>
      </c>
      <c r="M50" s="12">
        <f t="shared" si="49"/>
        <v>7.4952561669829221</v>
      </c>
      <c r="N50" s="12">
        <f t="shared" si="42"/>
        <v>13.664596273291925</v>
      </c>
      <c r="O50" s="12">
        <f t="shared" si="9"/>
        <v>8.9357898267323161</v>
      </c>
      <c r="P50" s="16">
        <v>354</v>
      </c>
      <c r="Q50" s="16">
        <v>349</v>
      </c>
      <c r="R50" s="16">
        <v>332</v>
      </c>
      <c r="S50" s="16">
        <v>11</v>
      </c>
      <c r="T50" s="16">
        <v>14</v>
      </c>
      <c r="U50" s="16">
        <v>6</v>
      </c>
      <c r="V50" s="12">
        <f t="shared" si="45"/>
        <v>3.1073446327683616</v>
      </c>
      <c r="W50" s="12">
        <f t="shared" si="46"/>
        <v>4.0114613180515759</v>
      </c>
      <c r="X50" s="12">
        <f t="shared" si="47"/>
        <v>1.8072289156626504</v>
      </c>
      <c r="Y50" s="12">
        <f t="shared" si="10"/>
        <v>3.5594029754099688</v>
      </c>
    </row>
    <row r="51" spans="1:25" x14ac:dyDescent="0.3">
      <c r="A51" s="1" t="s">
        <v>46</v>
      </c>
      <c r="B51" s="1" t="s">
        <v>69</v>
      </c>
      <c r="C51" s="1" t="s">
        <v>71</v>
      </c>
      <c r="D51" s="1" t="s">
        <v>71</v>
      </c>
      <c r="E51" s="2">
        <v>20402</v>
      </c>
      <c r="F51" s="16">
        <v>614</v>
      </c>
      <c r="G51" s="16">
        <v>665</v>
      </c>
      <c r="H51" s="16">
        <v>636</v>
      </c>
      <c r="I51" s="16">
        <v>41</v>
      </c>
      <c r="J51" s="16">
        <v>66</v>
      </c>
      <c r="K51" s="16">
        <v>67</v>
      </c>
      <c r="L51" s="12">
        <f t="shared" si="48"/>
        <v>6.677524429967427</v>
      </c>
      <c r="M51" s="12">
        <f t="shared" si="49"/>
        <v>9.9248120300751879</v>
      </c>
      <c r="N51" s="12">
        <f t="shared" si="42"/>
        <v>10.534591194968554</v>
      </c>
      <c r="O51" s="12">
        <f t="shared" si="9"/>
        <v>9.0456425516703902</v>
      </c>
      <c r="P51" s="16">
        <v>539</v>
      </c>
      <c r="Q51" s="16">
        <v>547</v>
      </c>
      <c r="R51" s="16">
        <v>508</v>
      </c>
      <c r="S51" s="16">
        <v>23</v>
      </c>
      <c r="T51" s="16">
        <v>28</v>
      </c>
      <c r="U51" s="16">
        <v>21</v>
      </c>
      <c r="V51" s="12">
        <f t="shared" si="45"/>
        <v>4.2671614100185531</v>
      </c>
      <c r="W51" s="12">
        <f t="shared" si="46"/>
        <v>5.1188299817184646</v>
      </c>
      <c r="X51" s="12">
        <f t="shared" si="47"/>
        <v>4.1338582677165361</v>
      </c>
      <c r="Y51" s="12">
        <f t="shared" si="10"/>
        <v>4.6929956958685093</v>
      </c>
    </row>
    <row r="52" spans="1:25" x14ac:dyDescent="0.3">
      <c r="A52" s="1" t="s">
        <v>46</v>
      </c>
      <c r="B52" s="1" t="s">
        <v>69</v>
      </c>
      <c r="C52" s="1" t="s">
        <v>72</v>
      </c>
      <c r="D52" s="1" t="s">
        <v>73</v>
      </c>
      <c r="E52" s="2">
        <v>20403</v>
      </c>
      <c r="F52" s="16">
        <v>564</v>
      </c>
      <c r="G52" s="16">
        <v>552</v>
      </c>
      <c r="H52" s="16">
        <v>549</v>
      </c>
      <c r="I52" s="16">
        <v>34</v>
      </c>
      <c r="J52" s="16">
        <v>58</v>
      </c>
      <c r="K52" s="16">
        <v>65</v>
      </c>
      <c r="L52" s="12">
        <f t="shared" si="48"/>
        <v>6.0283687943262407</v>
      </c>
      <c r="M52" s="12">
        <f t="shared" si="49"/>
        <v>10.507246376811594</v>
      </c>
      <c r="N52" s="12">
        <f t="shared" si="42"/>
        <v>11.839708561020036</v>
      </c>
      <c r="O52" s="12">
        <f t="shared" si="9"/>
        <v>9.458441244052624</v>
      </c>
      <c r="P52" s="16">
        <v>486</v>
      </c>
      <c r="Q52" s="16">
        <v>510</v>
      </c>
      <c r="R52" s="16">
        <v>544</v>
      </c>
      <c r="S52" s="16">
        <v>18</v>
      </c>
      <c r="T52" s="16">
        <v>10</v>
      </c>
      <c r="U52" s="16">
        <v>14</v>
      </c>
      <c r="V52" s="12">
        <f t="shared" si="45"/>
        <v>3.7037037037037033</v>
      </c>
      <c r="W52" s="12">
        <f t="shared" si="46"/>
        <v>1.9607843137254901</v>
      </c>
      <c r="X52" s="12">
        <f t="shared" si="47"/>
        <v>2.5735294117647056</v>
      </c>
      <c r="Y52" s="12">
        <f t="shared" si="10"/>
        <v>2.8322440087145968</v>
      </c>
    </row>
    <row r="53" spans="1:25" x14ac:dyDescent="0.3">
      <c r="A53" s="1" t="s">
        <v>46</v>
      </c>
      <c r="B53" s="1" t="s">
        <v>69</v>
      </c>
      <c r="C53" s="1" t="s">
        <v>74</v>
      </c>
      <c r="D53" s="1" t="s">
        <v>74</v>
      </c>
      <c r="E53" s="2">
        <v>20404</v>
      </c>
      <c r="F53" s="16">
        <v>0</v>
      </c>
      <c r="G53" s="16">
        <v>0</v>
      </c>
      <c r="H53" s="16">
        <v>272</v>
      </c>
      <c r="I53" s="16">
        <v>0</v>
      </c>
      <c r="J53" s="16">
        <v>0</v>
      </c>
      <c r="K53" s="16">
        <v>34</v>
      </c>
      <c r="L53" s="12"/>
      <c r="M53" s="12"/>
      <c r="N53" s="12">
        <f t="shared" si="42"/>
        <v>12.5</v>
      </c>
      <c r="O53" s="12">
        <f t="shared" si="9"/>
        <v>12.5</v>
      </c>
      <c r="P53" s="16">
        <v>165</v>
      </c>
      <c r="Q53" s="16">
        <v>158</v>
      </c>
      <c r="R53" s="16">
        <v>159</v>
      </c>
      <c r="S53" s="16">
        <v>6</v>
      </c>
      <c r="T53" s="16">
        <v>20</v>
      </c>
      <c r="U53" s="16">
        <v>12</v>
      </c>
      <c r="V53" s="12">
        <f t="shared" si="45"/>
        <v>3.6363636363636362</v>
      </c>
      <c r="W53" s="12">
        <f t="shared" si="46"/>
        <v>12.658227848101266</v>
      </c>
      <c r="X53" s="12">
        <f t="shared" si="47"/>
        <v>7.5471698113207548</v>
      </c>
      <c r="Y53" s="12">
        <f t="shared" si="10"/>
        <v>8.1472957422324512</v>
      </c>
    </row>
    <row r="54" spans="1:25" x14ac:dyDescent="0.3">
      <c r="A54" s="1" t="s">
        <v>46</v>
      </c>
      <c r="B54" s="1" t="s">
        <v>69</v>
      </c>
      <c r="C54" s="1" t="s">
        <v>75</v>
      </c>
      <c r="D54" s="1" t="s">
        <v>75</v>
      </c>
      <c r="E54" s="2">
        <v>20405</v>
      </c>
      <c r="F54" s="16">
        <v>0</v>
      </c>
      <c r="G54" s="16">
        <v>0</v>
      </c>
      <c r="H54" s="16">
        <v>289</v>
      </c>
      <c r="I54" s="16">
        <v>0</v>
      </c>
      <c r="J54" s="16">
        <v>0</v>
      </c>
      <c r="K54" s="16">
        <v>21</v>
      </c>
      <c r="L54" s="12"/>
      <c r="M54" s="12"/>
      <c r="N54" s="12">
        <f t="shared" si="42"/>
        <v>7.2664359861591699</v>
      </c>
      <c r="O54" s="12">
        <f t="shared" si="9"/>
        <v>7.2664359861591699</v>
      </c>
      <c r="P54" s="16">
        <v>264</v>
      </c>
      <c r="Q54" s="16">
        <v>278</v>
      </c>
      <c r="R54" s="16">
        <v>273</v>
      </c>
      <c r="S54" s="16">
        <v>6</v>
      </c>
      <c r="T54" s="16">
        <v>5</v>
      </c>
      <c r="U54" s="16">
        <v>8</v>
      </c>
      <c r="V54" s="12">
        <f t="shared" si="45"/>
        <v>2.2727272727272729</v>
      </c>
      <c r="W54" s="12">
        <f t="shared" si="46"/>
        <v>1.7985611510791366</v>
      </c>
      <c r="X54" s="12">
        <f t="shared" si="47"/>
        <v>2.9304029304029302</v>
      </c>
      <c r="Y54" s="12">
        <f t="shared" si="10"/>
        <v>2.0356442119032048</v>
      </c>
    </row>
    <row r="55" spans="1:25" x14ac:dyDescent="0.3">
      <c r="A55" s="1" t="s">
        <v>46</v>
      </c>
      <c r="B55" s="1" t="s">
        <v>76</v>
      </c>
      <c r="C55" s="1" t="s">
        <v>77</v>
      </c>
      <c r="D55" s="1" t="s">
        <v>77</v>
      </c>
      <c r="E55" s="2">
        <v>20501</v>
      </c>
      <c r="F55" s="16">
        <v>524</v>
      </c>
      <c r="G55" s="16">
        <v>544</v>
      </c>
      <c r="H55" s="16">
        <v>522</v>
      </c>
      <c r="I55" s="16">
        <v>32</v>
      </c>
      <c r="J55" s="16">
        <v>57</v>
      </c>
      <c r="K55" s="16">
        <v>56</v>
      </c>
      <c r="L55" s="12">
        <f t="shared" ref="L55:L86" si="50">(I55/F55)*100</f>
        <v>6.1068702290076331</v>
      </c>
      <c r="M55" s="12">
        <f t="shared" ref="M55:M86" si="51">(J55/G55)*100</f>
        <v>10.477941176470589</v>
      </c>
      <c r="N55" s="12">
        <f t="shared" ref="N55:N86" si="52">(K55/H55)*100</f>
        <v>10.727969348659004</v>
      </c>
      <c r="O55" s="12">
        <f t="shared" si="9"/>
        <v>9.104260251379074</v>
      </c>
      <c r="P55" s="16">
        <v>396</v>
      </c>
      <c r="Q55" s="16">
        <v>396</v>
      </c>
      <c r="R55" s="16">
        <v>380</v>
      </c>
      <c r="S55" s="16">
        <v>19</v>
      </c>
      <c r="T55" s="16">
        <v>3</v>
      </c>
      <c r="U55" s="16">
        <v>12</v>
      </c>
      <c r="V55" s="12">
        <f t="shared" si="45"/>
        <v>4.7979797979797976</v>
      </c>
      <c r="W55" s="12">
        <f t="shared" si="46"/>
        <v>0.75757575757575757</v>
      </c>
      <c r="X55" s="12">
        <f t="shared" si="47"/>
        <v>3.1578947368421053</v>
      </c>
      <c r="Y55" s="12">
        <f t="shared" si="10"/>
        <v>2.7777777777777777</v>
      </c>
    </row>
    <row r="56" spans="1:25" x14ac:dyDescent="0.3">
      <c r="A56" s="1" t="s">
        <v>46</v>
      </c>
      <c r="B56" s="1" t="s">
        <v>76</v>
      </c>
      <c r="C56" s="1" t="s">
        <v>78</v>
      </c>
      <c r="D56" s="1" t="s">
        <v>78</v>
      </c>
      <c r="E56" s="2">
        <v>20502</v>
      </c>
      <c r="F56" s="16">
        <v>263</v>
      </c>
      <c r="G56" s="16">
        <v>351</v>
      </c>
      <c r="H56" s="16">
        <v>367</v>
      </c>
      <c r="I56" s="16">
        <v>27</v>
      </c>
      <c r="J56" s="16">
        <v>42</v>
      </c>
      <c r="K56" s="16">
        <v>51</v>
      </c>
      <c r="L56" s="12">
        <f t="shared" si="50"/>
        <v>10.266159695817491</v>
      </c>
      <c r="M56" s="12">
        <f t="shared" si="51"/>
        <v>11.965811965811966</v>
      </c>
      <c r="N56" s="12">
        <f t="shared" si="52"/>
        <v>13.896457765667575</v>
      </c>
      <c r="O56" s="12">
        <f t="shared" si="9"/>
        <v>12.042809809099012</v>
      </c>
      <c r="P56" s="16">
        <v>372</v>
      </c>
      <c r="Q56" s="16">
        <v>384</v>
      </c>
      <c r="R56" s="16">
        <v>372</v>
      </c>
      <c r="S56" s="16">
        <v>13</v>
      </c>
      <c r="T56" s="16">
        <v>11</v>
      </c>
      <c r="U56" s="16">
        <v>7</v>
      </c>
      <c r="V56" s="12">
        <f t="shared" si="45"/>
        <v>3.4946236559139781</v>
      </c>
      <c r="W56" s="12">
        <f t="shared" si="46"/>
        <v>2.864583333333333</v>
      </c>
      <c r="X56" s="12">
        <f t="shared" si="47"/>
        <v>1.881720430107527</v>
      </c>
      <c r="Y56" s="12">
        <f t="shared" si="10"/>
        <v>3.1796034946236555</v>
      </c>
    </row>
    <row r="57" spans="1:25" x14ac:dyDescent="0.3">
      <c r="A57" s="1" t="s">
        <v>46</v>
      </c>
      <c r="B57" s="1" t="s">
        <v>76</v>
      </c>
      <c r="C57" s="1" t="s">
        <v>79</v>
      </c>
      <c r="D57" s="1" t="s">
        <v>79</v>
      </c>
      <c r="E57" s="2">
        <v>20503</v>
      </c>
      <c r="F57" s="16">
        <v>160</v>
      </c>
      <c r="G57" s="16">
        <v>186</v>
      </c>
      <c r="H57" s="16">
        <v>200</v>
      </c>
      <c r="I57" s="16">
        <v>4</v>
      </c>
      <c r="J57" s="16">
        <v>12</v>
      </c>
      <c r="K57" s="16">
        <v>19</v>
      </c>
      <c r="L57" s="12">
        <f t="shared" si="50"/>
        <v>2.5</v>
      </c>
      <c r="M57" s="12">
        <f t="shared" si="51"/>
        <v>6.4516129032258061</v>
      </c>
      <c r="N57" s="12">
        <f t="shared" si="52"/>
        <v>9.5</v>
      </c>
      <c r="O57" s="12">
        <f t="shared" si="9"/>
        <v>6.1505376344086029</v>
      </c>
      <c r="P57" s="16">
        <v>224</v>
      </c>
      <c r="Q57" s="16">
        <v>235</v>
      </c>
      <c r="R57" s="16">
        <v>249</v>
      </c>
      <c r="S57" s="16">
        <v>8</v>
      </c>
      <c r="T57" s="16">
        <v>10</v>
      </c>
      <c r="U57" s="16">
        <v>10</v>
      </c>
      <c r="V57" s="12">
        <f t="shared" si="45"/>
        <v>3.5714285714285712</v>
      </c>
      <c r="W57" s="12">
        <f t="shared" si="46"/>
        <v>4.2553191489361701</v>
      </c>
      <c r="X57" s="12">
        <f t="shared" si="47"/>
        <v>4.0160642570281126</v>
      </c>
      <c r="Y57" s="12">
        <f t="shared" si="10"/>
        <v>3.9133738601823707</v>
      </c>
    </row>
    <row r="58" spans="1:25" x14ac:dyDescent="0.3">
      <c r="A58" s="1" t="s">
        <v>46</v>
      </c>
      <c r="B58" s="1" t="s">
        <v>80</v>
      </c>
      <c r="C58" s="1" t="s">
        <v>81</v>
      </c>
      <c r="D58" s="1" t="s">
        <v>81</v>
      </c>
      <c r="E58" s="2">
        <v>20601</v>
      </c>
      <c r="F58" s="16">
        <v>761</v>
      </c>
      <c r="G58" s="16">
        <v>792</v>
      </c>
      <c r="H58" s="16">
        <v>818</v>
      </c>
      <c r="I58" s="16">
        <v>72</v>
      </c>
      <c r="J58" s="16">
        <v>54</v>
      </c>
      <c r="K58" s="16">
        <v>66</v>
      </c>
      <c r="L58" s="12">
        <f t="shared" si="50"/>
        <v>9.4612352168199738</v>
      </c>
      <c r="M58" s="12">
        <f t="shared" si="51"/>
        <v>6.8181818181818175</v>
      </c>
      <c r="N58" s="12">
        <f t="shared" si="52"/>
        <v>8.0684596577017107</v>
      </c>
      <c r="O58" s="12">
        <f t="shared" si="9"/>
        <v>8.1159588975678343</v>
      </c>
      <c r="P58" s="16">
        <v>845</v>
      </c>
      <c r="Q58" s="16">
        <v>853</v>
      </c>
      <c r="R58" s="16">
        <v>824</v>
      </c>
      <c r="S58" s="16">
        <v>27</v>
      </c>
      <c r="T58" s="16">
        <v>32</v>
      </c>
      <c r="U58" s="16">
        <v>21</v>
      </c>
      <c r="V58" s="12">
        <f t="shared" si="45"/>
        <v>3.195266272189349</v>
      </c>
      <c r="W58" s="12">
        <f t="shared" si="46"/>
        <v>3.7514654161781942</v>
      </c>
      <c r="X58" s="12">
        <f t="shared" si="47"/>
        <v>2.5485436893203883</v>
      </c>
      <c r="Y58" s="12">
        <f t="shared" si="10"/>
        <v>3.4733658441837716</v>
      </c>
    </row>
    <row r="59" spans="1:25" x14ac:dyDescent="0.3">
      <c r="A59" s="1" t="s">
        <v>46</v>
      </c>
      <c r="B59" s="1" t="s">
        <v>80</v>
      </c>
      <c r="C59" s="1" t="s">
        <v>82</v>
      </c>
      <c r="D59" s="1" t="s">
        <v>82</v>
      </c>
      <c r="E59" s="2">
        <v>20602</v>
      </c>
      <c r="F59" s="16">
        <v>557</v>
      </c>
      <c r="G59" s="16">
        <v>617</v>
      </c>
      <c r="H59" s="16">
        <v>615</v>
      </c>
      <c r="I59" s="16">
        <v>35</v>
      </c>
      <c r="J59" s="16">
        <v>64</v>
      </c>
      <c r="K59" s="16">
        <v>72</v>
      </c>
      <c r="L59" s="12">
        <f t="shared" si="50"/>
        <v>6.2836624775583481</v>
      </c>
      <c r="M59" s="12">
        <f t="shared" si="51"/>
        <v>10.372771474878444</v>
      </c>
      <c r="N59" s="12">
        <f t="shared" si="52"/>
        <v>11.707317073170733</v>
      </c>
      <c r="O59" s="12">
        <f t="shared" si="9"/>
        <v>9.4545836752025085</v>
      </c>
      <c r="P59" s="16">
        <v>741</v>
      </c>
      <c r="Q59" s="16">
        <v>744</v>
      </c>
      <c r="R59" s="16">
        <v>765</v>
      </c>
      <c r="S59" s="16">
        <v>43</v>
      </c>
      <c r="T59" s="16">
        <v>31</v>
      </c>
      <c r="U59" s="16">
        <v>30</v>
      </c>
      <c r="V59" s="12">
        <f t="shared" si="45"/>
        <v>5.8029689608636978</v>
      </c>
      <c r="W59" s="12">
        <f t="shared" si="46"/>
        <v>4.1666666666666661</v>
      </c>
      <c r="X59" s="12">
        <f t="shared" si="47"/>
        <v>3.9215686274509802</v>
      </c>
      <c r="Y59" s="12">
        <f t="shared" si="10"/>
        <v>4.984817813765182</v>
      </c>
    </row>
    <row r="60" spans="1:25" x14ac:dyDescent="0.3">
      <c r="A60" s="1" t="s">
        <v>46</v>
      </c>
      <c r="B60" s="1" t="s">
        <v>80</v>
      </c>
      <c r="C60" s="1" t="s">
        <v>83</v>
      </c>
      <c r="D60" s="1" t="s">
        <v>83</v>
      </c>
      <c r="E60" s="2">
        <v>20603</v>
      </c>
      <c r="F60" s="16">
        <v>268</v>
      </c>
      <c r="G60" s="16">
        <v>279</v>
      </c>
      <c r="H60" s="16">
        <v>296</v>
      </c>
      <c r="I60" s="16">
        <v>26</v>
      </c>
      <c r="J60" s="16">
        <v>25</v>
      </c>
      <c r="K60" s="16">
        <v>33</v>
      </c>
      <c r="L60" s="12">
        <f t="shared" si="50"/>
        <v>9.7014925373134329</v>
      </c>
      <c r="M60" s="12">
        <f t="shared" si="51"/>
        <v>8.9605734767025087</v>
      </c>
      <c r="N60" s="12">
        <f t="shared" si="52"/>
        <v>11.148648648648649</v>
      </c>
      <c r="O60" s="12">
        <f t="shared" si="9"/>
        <v>9.9369048875548636</v>
      </c>
      <c r="P60" s="16">
        <v>324</v>
      </c>
      <c r="Q60" s="16">
        <v>336</v>
      </c>
      <c r="R60" s="16">
        <v>342</v>
      </c>
      <c r="S60" s="16">
        <v>8</v>
      </c>
      <c r="T60" s="16">
        <v>5</v>
      </c>
      <c r="U60" s="16">
        <v>9</v>
      </c>
      <c r="V60" s="12">
        <f t="shared" si="45"/>
        <v>2.4691358024691357</v>
      </c>
      <c r="W60" s="12">
        <f t="shared" si="46"/>
        <v>1.4880952380952379</v>
      </c>
      <c r="X60" s="12">
        <f t="shared" si="47"/>
        <v>2.6315789473684208</v>
      </c>
      <c r="Y60" s="12">
        <f t="shared" si="10"/>
        <v>1.9786155202821867</v>
      </c>
    </row>
    <row r="61" spans="1:25" x14ac:dyDescent="0.3">
      <c r="A61" s="1" t="s">
        <v>46</v>
      </c>
      <c r="B61" s="1" t="s">
        <v>80</v>
      </c>
      <c r="C61" s="1" t="s">
        <v>84</v>
      </c>
      <c r="D61" s="1" t="s">
        <v>84</v>
      </c>
      <c r="E61" s="2">
        <v>20604</v>
      </c>
      <c r="F61" s="16">
        <v>113</v>
      </c>
      <c r="G61" s="16">
        <v>126</v>
      </c>
      <c r="H61" s="16">
        <v>127</v>
      </c>
      <c r="I61" s="16">
        <v>1</v>
      </c>
      <c r="J61" s="16">
        <v>5</v>
      </c>
      <c r="K61" s="16">
        <v>15</v>
      </c>
      <c r="L61" s="12">
        <f t="shared" si="50"/>
        <v>0.88495575221238942</v>
      </c>
      <c r="M61" s="12">
        <f t="shared" si="51"/>
        <v>3.9682539682539679</v>
      </c>
      <c r="N61" s="12">
        <f t="shared" si="52"/>
        <v>11.811023622047244</v>
      </c>
      <c r="O61" s="12">
        <f t="shared" si="9"/>
        <v>5.5547444475045333</v>
      </c>
      <c r="P61" s="16">
        <v>100</v>
      </c>
      <c r="Q61" s="16">
        <v>106</v>
      </c>
      <c r="R61" s="16">
        <v>104</v>
      </c>
      <c r="S61" s="16">
        <v>3</v>
      </c>
      <c r="T61" s="16">
        <v>7</v>
      </c>
      <c r="U61" s="16">
        <v>5</v>
      </c>
      <c r="V61" s="12">
        <f t="shared" si="45"/>
        <v>3</v>
      </c>
      <c r="W61" s="12">
        <f t="shared" si="46"/>
        <v>6.6037735849056602</v>
      </c>
      <c r="X61" s="12">
        <f t="shared" si="47"/>
        <v>4.8076923076923084</v>
      </c>
      <c r="Y61" s="12">
        <f t="shared" si="10"/>
        <v>4.8018867924528301</v>
      </c>
    </row>
    <row r="62" spans="1:25" x14ac:dyDescent="0.3">
      <c r="A62" s="1" t="s">
        <v>46</v>
      </c>
      <c r="B62" s="1" t="s">
        <v>80</v>
      </c>
      <c r="C62" s="1" t="s">
        <v>85</v>
      </c>
      <c r="D62" s="1" t="s">
        <v>85</v>
      </c>
      <c r="E62" s="2">
        <v>20605</v>
      </c>
      <c r="F62" s="16">
        <v>128</v>
      </c>
      <c r="G62" s="16">
        <v>136</v>
      </c>
      <c r="H62" s="16">
        <v>120</v>
      </c>
      <c r="I62" s="16">
        <v>7</v>
      </c>
      <c r="J62" s="16">
        <v>7</v>
      </c>
      <c r="K62" s="16">
        <v>2</v>
      </c>
      <c r="L62" s="12">
        <f t="shared" si="50"/>
        <v>5.46875</v>
      </c>
      <c r="M62" s="12">
        <f t="shared" si="51"/>
        <v>5.1470588235294112</v>
      </c>
      <c r="N62" s="12">
        <f t="shared" si="52"/>
        <v>1.6666666666666667</v>
      </c>
      <c r="O62" s="12">
        <f t="shared" si="9"/>
        <v>4.0941584967320255</v>
      </c>
      <c r="P62" s="16">
        <v>70</v>
      </c>
      <c r="Q62" s="16">
        <v>79</v>
      </c>
      <c r="R62" s="16">
        <v>83</v>
      </c>
      <c r="S62" s="16">
        <v>6</v>
      </c>
      <c r="T62" s="16">
        <v>9</v>
      </c>
      <c r="U62" s="16">
        <v>7</v>
      </c>
      <c r="V62" s="12">
        <f t="shared" si="45"/>
        <v>8.5714285714285712</v>
      </c>
      <c r="W62" s="12">
        <f t="shared" si="46"/>
        <v>11.39240506329114</v>
      </c>
      <c r="X62" s="12">
        <f t="shared" si="47"/>
        <v>8.4337349397590362</v>
      </c>
      <c r="Y62" s="12">
        <f t="shared" si="10"/>
        <v>9.9819168173598563</v>
      </c>
    </row>
    <row r="63" spans="1:25" x14ac:dyDescent="0.3">
      <c r="A63" s="1" t="s">
        <v>46</v>
      </c>
      <c r="B63" s="1" t="s">
        <v>80</v>
      </c>
      <c r="C63" s="1" t="s">
        <v>86</v>
      </c>
      <c r="D63" s="1" t="s">
        <v>86</v>
      </c>
      <c r="E63" s="2">
        <v>20606</v>
      </c>
      <c r="F63" s="16">
        <v>570</v>
      </c>
      <c r="G63" s="16">
        <v>575</v>
      </c>
      <c r="H63" s="16">
        <v>561</v>
      </c>
      <c r="I63" s="16">
        <v>32</v>
      </c>
      <c r="J63" s="16">
        <v>23</v>
      </c>
      <c r="K63" s="16">
        <v>35</v>
      </c>
      <c r="L63" s="12">
        <f t="shared" si="50"/>
        <v>5.6140350877192979</v>
      </c>
      <c r="M63" s="12">
        <f t="shared" si="51"/>
        <v>4</v>
      </c>
      <c r="N63" s="12">
        <f t="shared" si="52"/>
        <v>6.2388591800356501</v>
      </c>
      <c r="O63" s="12">
        <f t="shared" si="9"/>
        <v>5.2842980892516493</v>
      </c>
      <c r="P63" s="16">
        <v>378</v>
      </c>
      <c r="Q63" s="16">
        <v>384</v>
      </c>
      <c r="R63" s="16">
        <v>363</v>
      </c>
      <c r="S63" s="16">
        <v>5</v>
      </c>
      <c r="T63" s="16">
        <v>8</v>
      </c>
      <c r="U63" s="16">
        <v>8</v>
      </c>
      <c r="V63" s="12">
        <f t="shared" si="45"/>
        <v>1.3227513227513228</v>
      </c>
      <c r="W63" s="12">
        <f t="shared" si="46"/>
        <v>2.083333333333333</v>
      </c>
      <c r="X63" s="12">
        <f t="shared" si="47"/>
        <v>2.2038567493112948</v>
      </c>
      <c r="Y63" s="12">
        <f t="shared" si="10"/>
        <v>1.7030423280423279</v>
      </c>
    </row>
    <row r="64" spans="1:25" x14ac:dyDescent="0.3">
      <c r="A64" s="1" t="s">
        <v>46</v>
      </c>
      <c r="B64" s="1" t="s">
        <v>80</v>
      </c>
      <c r="C64" s="1" t="s">
        <v>87</v>
      </c>
      <c r="D64" s="1" t="s">
        <v>87</v>
      </c>
      <c r="E64" s="2">
        <v>20607</v>
      </c>
      <c r="F64" s="16">
        <v>706</v>
      </c>
      <c r="G64" s="16">
        <v>756</v>
      </c>
      <c r="H64" s="16">
        <v>741</v>
      </c>
      <c r="I64" s="16">
        <v>71</v>
      </c>
      <c r="J64" s="16">
        <v>56</v>
      </c>
      <c r="K64" s="16">
        <v>60</v>
      </c>
      <c r="L64" s="12">
        <f t="shared" si="50"/>
        <v>10.056657223796034</v>
      </c>
      <c r="M64" s="12">
        <f t="shared" si="51"/>
        <v>7.4074074074074066</v>
      </c>
      <c r="N64" s="12">
        <f t="shared" si="52"/>
        <v>8.097165991902834</v>
      </c>
      <c r="O64" s="12">
        <f t="shared" si="9"/>
        <v>8.520410207702092</v>
      </c>
      <c r="P64" s="16">
        <v>970</v>
      </c>
      <c r="Q64" s="16">
        <v>970</v>
      </c>
      <c r="R64" s="16">
        <v>955</v>
      </c>
      <c r="S64" s="16">
        <v>56</v>
      </c>
      <c r="T64" s="16">
        <v>48</v>
      </c>
      <c r="U64" s="16">
        <v>37</v>
      </c>
      <c r="V64" s="12">
        <f t="shared" si="45"/>
        <v>5.7731958762886597</v>
      </c>
      <c r="W64" s="12">
        <f t="shared" si="46"/>
        <v>4.9484536082474229</v>
      </c>
      <c r="X64" s="12">
        <f t="shared" si="47"/>
        <v>3.8743455497382202</v>
      </c>
      <c r="Y64" s="12">
        <f t="shared" si="10"/>
        <v>5.3608247422680417</v>
      </c>
    </row>
    <row r="65" spans="1:25" x14ac:dyDescent="0.3">
      <c r="A65" s="1" t="s">
        <v>46</v>
      </c>
      <c r="B65" s="1" t="s">
        <v>80</v>
      </c>
      <c r="C65" s="1" t="s">
        <v>88</v>
      </c>
      <c r="D65" s="1" t="s">
        <v>88</v>
      </c>
      <c r="E65" s="2">
        <v>20608</v>
      </c>
      <c r="F65" s="16">
        <v>394</v>
      </c>
      <c r="G65" s="16">
        <v>425</v>
      </c>
      <c r="H65" s="16">
        <v>409</v>
      </c>
      <c r="I65" s="16">
        <v>40</v>
      </c>
      <c r="J65" s="16">
        <v>39</v>
      </c>
      <c r="K65" s="16">
        <v>46</v>
      </c>
      <c r="L65" s="12">
        <f t="shared" si="50"/>
        <v>10.152284263959391</v>
      </c>
      <c r="M65" s="12">
        <f t="shared" si="51"/>
        <v>9.1764705882352935</v>
      </c>
      <c r="N65" s="12">
        <f t="shared" si="52"/>
        <v>11.246943765281173</v>
      </c>
      <c r="O65" s="12">
        <f t="shared" si="9"/>
        <v>10.191899539158619</v>
      </c>
      <c r="P65" s="16">
        <v>507</v>
      </c>
      <c r="Q65" s="16">
        <v>494</v>
      </c>
      <c r="R65" s="16">
        <v>517</v>
      </c>
      <c r="S65" s="16">
        <v>24</v>
      </c>
      <c r="T65" s="16">
        <v>14</v>
      </c>
      <c r="U65" s="16">
        <v>17</v>
      </c>
      <c r="V65" s="12">
        <f t="shared" si="45"/>
        <v>4.7337278106508878</v>
      </c>
      <c r="W65" s="12">
        <f t="shared" si="46"/>
        <v>2.834008097165992</v>
      </c>
      <c r="X65" s="12">
        <f t="shared" si="47"/>
        <v>3.2882011605415857</v>
      </c>
      <c r="Y65" s="12">
        <f t="shared" si="10"/>
        <v>3.7838679539084401</v>
      </c>
    </row>
    <row r="66" spans="1:25" x14ac:dyDescent="0.3">
      <c r="A66" s="1" t="s">
        <v>46</v>
      </c>
      <c r="B66" s="1" t="s">
        <v>89</v>
      </c>
      <c r="C66" s="1" t="s">
        <v>90</v>
      </c>
      <c r="D66" s="1" t="s">
        <v>90</v>
      </c>
      <c r="E66" s="2">
        <v>20701</v>
      </c>
      <c r="F66" s="16">
        <v>769</v>
      </c>
      <c r="G66" s="16">
        <v>825</v>
      </c>
      <c r="H66" s="16">
        <v>817</v>
      </c>
      <c r="I66" s="16">
        <v>91</v>
      </c>
      <c r="J66" s="16">
        <v>66</v>
      </c>
      <c r="K66" s="16">
        <v>80</v>
      </c>
      <c r="L66" s="12">
        <f t="shared" si="50"/>
        <v>11.833550065019507</v>
      </c>
      <c r="M66" s="12">
        <f t="shared" si="51"/>
        <v>8</v>
      </c>
      <c r="N66" s="12">
        <f t="shared" si="52"/>
        <v>9.7919216646266829</v>
      </c>
      <c r="O66" s="12">
        <f t="shared" si="9"/>
        <v>9.8751572432153978</v>
      </c>
      <c r="P66" s="16">
        <v>1120</v>
      </c>
      <c r="Q66" s="16">
        <v>1174</v>
      </c>
      <c r="R66" s="16">
        <v>1187</v>
      </c>
      <c r="S66" s="16">
        <v>50</v>
      </c>
      <c r="T66" s="16">
        <v>51</v>
      </c>
      <c r="U66" s="16">
        <v>59</v>
      </c>
      <c r="V66" s="12">
        <f t="shared" ref="V66:V97" si="53">(S66/P66)*100</f>
        <v>4.4642857142857144</v>
      </c>
      <c r="W66" s="12">
        <f t="shared" ref="W66:W97" si="54">(T66/Q66)*100</f>
        <v>4.34412265758092</v>
      </c>
      <c r="X66" s="12">
        <f t="shared" ref="X66:X97" si="55">(U66/R66)*100</f>
        <v>4.9705139005897223</v>
      </c>
      <c r="Y66" s="12">
        <f t="shared" si="10"/>
        <v>4.4042041859333168</v>
      </c>
    </row>
    <row r="67" spans="1:25" x14ac:dyDescent="0.3">
      <c r="A67" s="1" t="s">
        <v>46</v>
      </c>
      <c r="B67" s="1" t="s">
        <v>89</v>
      </c>
      <c r="C67" s="1" t="s">
        <v>91</v>
      </c>
      <c r="D67" s="1" t="s">
        <v>91</v>
      </c>
      <c r="E67" s="2">
        <v>20702</v>
      </c>
      <c r="F67" s="16">
        <v>145</v>
      </c>
      <c r="G67" s="16">
        <v>181</v>
      </c>
      <c r="H67" s="16">
        <v>181</v>
      </c>
      <c r="I67" s="16">
        <v>9</v>
      </c>
      <c r="J67" s="16">
        <v>19</v>
      </c>
      <c r="K67" s="16">
        <v>15</v>
      </c>
      <c r="L67" s="12">
        <f t="shared" si="50"/>
        <v>6.2068965517241379</v>
      </c>
      <c r="M67" s="12">
        <f t="shared" si="51"/>
        <v>10.497237569060774</v>
      </c>
      <c r="N67" s="12">
        <f t="shared" si="52"/>
        <v>8.2872928176795568</v>
      </c>
      <c r="O67" s="12">
        <f t="shared" ref="O67:O130" si="56">AVERAGE(L67:N67)</f>
        <v>8.3304756461548219</v>
      </c>
      <c r="P67" s="16">
        <v>258</v>
      </c>
      <c r="Q67" s="16">
        <v>268</v>
      </c>
      <c r="R67" s="16">
        <v>289</v>
      </c>
      <c r="S67" s="16">
        <v>1</v>
      </c>
      <c r="T67" s="16">
        <v>5</v>
      </c>
      <c r="U67" s="16">
        <v>7</v>
      </c>
      <c r="V67" s="12">
        <f t="shared" si="53"/>
        <v>0.38759689922480622</v>
      </c>
      <c r="W67" s="12">
        <f t="shared" si="54"/>
        <v>1.8656716417910446</v>
      </c>
      <c r="X67" s="12">
        <f t="shared" si="55"/>
        <v>2.422145328719723</v>
      </c>
      <c r="Y67" s="12">
        <f t="shared" ref="Y67:Y130" si="57">AVERAGE(V67:W67)</f>
        <v>1.1266342705079255</v>
      </c>
    </row>
    <row r="68" spans="1:25" x14ac:dyDescent="0.3">
      <c r="A68" s="1" t="s">
        <v>46</v>
      </c>
      <c r="B68" s="1" t="s">
        <v>92</v>
      </c>
      <c r="C68" s="1" t="s">
        <v>93</v>
      </c>
      <c r="D68" s="1" t="s">
        <v>93</v>
      </c>
      <c r="E68" s="2">
        <v>20801</v>
      </c>
      <c r="F68" s="16">
        <v>3565</v>
      </c>
      <c r="G68" s="16">
        <v>3702</v>
      </c>
      <c r="H68" s="16">
        <v>3839</v>
      </c>
      <c r="I68" s="16">
        <v>135</v>
      </c>
      <c r="J68" s="16">
        <v>123</v>
      </c>
      <c r="K68" s="16">
        <v>158</v>
      </c>
      <c r="L68" s="12">
        <f t="shared" si="50"/>
        <v>3.7868162692847123</v>
      </c>
      <c r="M68" s="12">
        <f t="shared" si="51"/>
        <v>3.3225283630470019</v>
      </c>
      <c r="N68" s="12">
        <f t="shared" si="52"/>
        <v>4.115655118520448</v>
      </c>
      <c r="O68" s="12">
        <f t="shared" si="56"/>
        <v>3.7416665836173877</v>
      </c>
      <c r="P68" s="16">
        <v>4940</v>
      </c>
      <c r="Q68" s="16">
        <v>5156</v>
      </c>
      <c r="R68" s="16">
        <v>5368</v>
      </c>
      <c r="S68" s="16">
        <v>65</v>
      </c>
      <c r="T68" s="16">
        <v>74</v>
      </c>
      <c r="U68" s="16">
        <v>63</v>
      </c>
      <c r="V68" s="12">
        <f t="shared" si="53"/>
        <v>1.3157894736842104</v>
      </c>
      <c r="W68" s="12">
        <f t="shared" si="54"/>
        <v>1.4352211016291698</v>
      </c>
      <c r="X68" s="12">
        <f t="shared" si="55"/>
        <v>1.1736214605067063</v>
      </c>
      <c r="Y68" s="12">
        <f t="shared" si="57"/>
        <v>1.37550528765669</v>
      </c>
    </row>
    <row r="69" spans="1:25" x14ac:dyDescent="0.3">
      <c r="A69" s="1" t="s">
        <v>46</v>
      </c>
      <c r="B69" s="1" t="s">
        <v>92</v>
      </c>
      <c r="C69" s="1" t="s">
        <v>94</v>
      </c>
      <c r="D69" s="1" t="s">
        <v>95</v>
      </c>
      <c r="E69" s="2">
        <v>20802</v>
      </c>
      <c r="F69" s="16">
        <v>374</v>
      </c>
      <c r="G69" s="16">
        <v>384</v>
      </c>
      <c r="H69" s="16">
        <v>368</v>
      </c>
      <c r="I69" s="16">
        <v>29</v>
      </c>
      <c r="J69" s="16">
        <v>30</v>
      </c>
      <c r="K69" s="16">
        <v>32</v>
      </c>
      <c r="L69" s="12">
        <f t="shared" si="50"/>
        <v>7.7540106951871666</v>
      </c>
      <c r="M69" s="12">
        <f t="shared" si="51"/>
        <v>7.8125</v>
      </c>
      <c r="N69" s="12">
        <f t="shared" si="52"/>
        <v>8.695652173913043</v>
      </c>
      <c r="O69" s="12">
        <f t="shared" si="56"/>
        <v>8.0873876230334023</v>
      </c>
      <c r="P69" s="16">
        <v>290</v>
      </c>
      <c r="Q69" s="16">
        <v>281</v>
      </c>
      <c r="R69" s="16">
        <v>283</v>
      </c>
      <c r="S69" s="16">
        <v>5</v>
      </c>
      <c r="T69" s="16">
        <v>2</v>
      </c>
      <c r="U69" s="16">
        <v>4</v>
      </c>
      <c r="V69" s="12">
        <f t="shared" si="53"/>
        <v>1.7241379310344827</v>
      </c>
      <c r="W69" s="12">
        <f t="shared" si="54"/>
        <v>0.71174377224199281</v>
      </c>
      <c r="X69" s="12">
        <f t="shared" si="55"/>
        <v>1.4134275618374559</v>
      </c>
      <c r="Y69" s="12">
        <f t="shared" si="57"/>
        <v>1.2179408516382377</v>
      </c>
    </row>
    <row r="70" spans="1:25" x14ac:dyDescent="0.3">
      <c r="A70" s="1" t="s">
        <v>46</v>
      </c>
      <c r="B70" s="1" t="s">
        <v>92</v>
      </c>
      <c r="C70" s="1" t="s">
        <v>96</v>
      </c>
      <c r="D70" s="1" t="s">
        <v>96</v>
      </c>
      <c r="E70" s="2">
        <v>20803</v>
      </c>
      <c r="F70" s="16">
        <v>658</v>
      </c>
      <c r="G70" s="16">
        <v>669</v>
      </c>
      <c r="H70" s="16">
        <v>661</v>
      </c>
      <c r="I70" s="16">
        <v>36</v>
      </c>
      <c r="J70" s="16">
        <v>36</v>
      </c>
      <c r="K70" s="16">
        <v>35</v>
      </c>
      <c r="L70" s="12">
        <f t="shared" si="50"/>
        <v>5.4711246200607899</v>
      </c>
      <c r="M70" s="12">
        <f t="shared" si="51"/>
        <v>5.3811659192825116</v>
      </c>
      <c r="N70" s="12">
        <f t="shared" si="52"/>
        <v>5.2950075642965198</v>
      </c>
      <c r="O70" s="12">
        <f t="shared" si="56"/>
        <v>5.3824327012132729</v>
      </c>
      <c r="P70" s="16">
        <v>499</v>
      </c>
      <c r="Q70" s="16">
        <v>497</v>
      </c>
      <c r="R70" s="16">
        <v>475</v>
      </c>
      <c r="S70" s="16">
        <v>18</v>
      </c>
      <c r="T70" s="16">
        <v>9</v>
      </c>
      <c r="U70" s="16">
        <v>6</v>
      </c>
      <c r="V70" s="12">
        <f t="shared" si="53"/>
        <v>3.6072144288577155</v>
      </c>
      <c r="W70" s="12">
        <f t="shared" si="54"/>
        <v>1.8108651911468814</v>
      </c>
      <c r="X70" s="12">
        <f t="shared" si="55"/>
        <v>1.263157894736842</v>
      </c>
      <c r="Y70" s="12">
        <f t="shared" si="57"/>
        <v>2.7090398100022983</v>
      </c>
    </row>
    <row r="71" spans="1:25" x14ac:dyDescent="0.3">
      <c r="A71" s="1" t="s">
        <v>46</v>
      </c>
      <c r="B71" s="1" t="s">
        <v>92</v>
      </c>
      <c r="C71" s="1" t="s">
        <v>97</v>
      </c>
      <c r="D71" s="1" t="s">
        <v>97</v>
      </c>
      <c r="E71" s="2">
        <v>20804</v>
      </c>
      <c r="F71" s="16">
        <v>234</v>
      </c>
      <c r="G71" s="16">
        <v>229</v>
      </c>
      <c r="H71" s="16">
        <v>220</v>
      </c>
      <c r="I71" s="16">
        <v>4</v>
      </c>
      <c r="J71" s="16">
        <v>7</v>
      </c>
      <c r="K71" s="16">
        <v>12</v>
      </c>
      <c r="L71" s="12">
        <f t="shared" si="50"/>
        <v>1.7094017094017095</v>
      </c>
      <c r="M71" s="12">
        <f t="shared" si="51"/>
        <v>3.0567685589519651</v>
      </c>
      <c r="N71" s="12">
        <f t="shared" si="52"/>
        <v>5.4545454545454541</v>
      </c>
      <c r="O71" s="12">
        <f t="shared" si="56"/>
        <v>3.4069052409663763</v>
      </c>
      <c r="P71" s="16">
        <v>313</v>
      </c>
      <c r="Q71" s="16">
        <v>304</v>
      </c>
      <c r="R71" s="16">
        <v>308</v>
      </c>
      <c r="S71" s="16">
        <v>5</v>
      </c>
      <c r="T71" s="16">
        <v>4</v>
      </c>
      <c r="U71" s="16">
        <v>4</v>
      </c>
      <c r="V71" s="12">
        <f t="shared" si="53"/>
        <v>1.5974440894568689</v>
      </c>
      <c r="W71" s="12">
        <f t="shared" si="54"/>
        <v>1.3157894736842104</v>
      </c>
      <c r="X71" s="12">
        <f t="shared" si="55"/>
        <v>1.2987012987012987</v>
      </c>
      <c r="Y71" s="12">
        <f t="shared" si="57"/>
        <v>1.4566167815705398</v>
      </c>
    </row>
    <row r="72" spans="1:25" x14ac:dyDescent="0.3">
      <c r="A72" s="1" t="s">
        <v>46</v>
      </c>
      <c r="B72" s="1" t="s">
        <v>92</v>
      </c>
      <c r="C72" s="1" t="s">
        <v>98</v>
      </c>
      <c r="D72" s="1" t="s">
        <v>98</v>
      </c>
      <c r="E72" s="2">
        <v>20805</v>
      </c>
      <c r="F72" s="16">
        <v>199</v>
      </c>
      <c r="G72" s="16">
        <v>205</v>
      </c>
      <c r="H72" s="16">
        <v>206</v>
      </c>
      <c r="I72" s="16">
        <v>18</v>
      </c>
      <c r="J72" s="16">
        <v>7</v>
      </c>
      <c r="K72" s="16">
        <v>21</v>
      </c>
      <c r="L72" s="12">
        <f t="shared" si="50"/>
        <v>9.0452261306532673</v>
      </c>
      <c r="M72" s="12">
        <f t="shared" si="51"/>
        <v>3.4146341463414638</v>
      </c>
      <c r="N72" s="12">
        <f t="shared" si="52"/>
        <v>10.194174757281553</v>
      </c>
      <c r="O72" s="12">
        <f t="shared" si="56"/>
        <v>7.5513450114254281</v>
      </c>
      <c r="P72" s="16">
        <v>138</v>
      </c>
      <c r="Q72" s="16">
        <v>146</v>
      </c>
      <c r="R72" s="16">
        <v>165</v>
      </c>
      <c r="S72" s="16">
        <v>3</v>
      </c>
      <c r="T72" s="16">
        <v>3</v>
      </c>
      <c r="U72" s="16">
        <v>9</v>
      </c>
      <c r="V72" s="12">
        <f t="shared" si="53"/>
        <v>2.1739130434782608</v>
      </c>
      <c r="W72" s="12">
        <f t="shared" si="54"/>
        <v>2.054794520547945</v>
      </c>
      <c r="X72" s="12">
        <f t="shared" si="55"/>
        <v>5.4545454545454541</v>
      </c>
      <c r="Y72" s="12">
        <f t="shared" si="57"/>
        <v>2.1143537820131026</v>
      </c>
    </row>
    <row r="73" spans="1:25" x14ac:dyDescent="0.3">
      <c r="A73" s="1" t="s">
        <v>46</v>
      </c>
      <c r="B73" s="1" t="s">
        <v>92</v>
      </c>
      <c r="C73" s="1" t="s">
        <v>99</v>
      </c>
      <c r="D73" s="1" t="s">
        <v>99</v>
      </c>
      <c r="E73" s="2">
        <v>20806</v>
      </c>
      <c r="F73" s="16">
        <v>597</v>
      </c>
      <c r="G73" s="16">
        <v>595</v>
      </c>
      <c r="H73" s="16">
        <v>555</v>
      </c>
      <c r="I73" s="16">
        <v>37</v>
      </c>
      <c r="J73" s="16">
        <v>48</v>
      </c>
      <c r="K73" s="16">
        <v>43</v>
      </c>
      <c r="L73" s="12">
        <f t="shared" si="50"/>
        <v>6.1976549413735347</v>
      </c>
      <c r="M73" s="12">
        <f t="shared" si="51"/>
        <v>8.0672268907563023</v>
      </c>
      <c r="N73" s="12">
        <f t="shared" si="52"/>
        <v>7.7477477477477477</v>
      </c>
      <c r="O73" s="12">
        <f t="shared" si="56"/>
        <v>7.3375431932925288</v>
      </c>
      <c r="P73" s="16">
        <v>427</v>
      </c>
      <c r="Q73" s="16">
        <v>446</v>
      </c>
      <c r="R73" s="16">
        <v>444</v>
      </c>
      <c r="S73" s="16">
        <v>16</v>
      </c>
      <c r="T73" s="16">
        <v>15</v>
      </c>
      <c r="U73" s="16">
        <v>12</v>
      </c>
      <c r="V73" s="12">
        <f t="shared" si="53"/>
        <v>3.7470725995316161</v>
      </c>
      <c r="W73" s="12">
        <f t="shared" si="54"/>
        <v>3.3632286995515694</v>
      </c>
      <c r="X73" s="12">
        <f t="shared" si="55"/>
        <v>2.7027027027027026</v>
      </c>
      <c r="Y73" s="12">
        <f t="shared" si="57"/>
        <v>3.5551506495415928</v>
      </c>
    </row>
    <row r="74" spans="1:25" x14ac:dyDescent="0.3">
      <c r="A74" s="1" t="s">
        <v>46</v>
      </c>
      <c r="B74" s="1" t="s">
        <v>92</v>
      </c>
      <c r="C74" s="1" t="s">
        <v>100</v>
      </c>
      <c r="D74" s="1" t="s">
        <v>100</v>
      </c>
      <c r="E74" s="2">
        <v>20807</v>
      </c>
      <c r="F74" s="16">
        <v>206</v>
      </c>
      <c r="G74" s="16">
        <v>214</v>
      </c>
      <c r="H74" s="16">
        <v>199</v>
      </c>
      <c r="I74" s="16">
        <v>25</v>
      </c>
      <c r="J74" s="16">
        <v>21</v>
      </c>
      <c r="K74" s="16">
        <v>7</v>
      </c>
      <c r="L74" s="12">
        <f t="shared" si="50"/>
        <v>12.135922330097088</v>
      </c>
      <c r="M74" s="12">
        <f t="shared" si="51"/>
        <v>9.8130841121495322</v>
      </c>
      <c r="N74" s="12">
        <f t="shared" si="52"/>
        <v>3.5175879396984926</v>
      </c>
      <c r="O74" s="12">
        <f t="shared" si="56"/>
        <v>8.4888647939817048</v>
      </c>
      <c r="P74" s="16">
        <v>177</v>
      </c>
      <c r="Q74" s="16">
        <v>153</v>
      </c>
      <c r="R74" s="16">
        <v>161</v>
      </c>
      <c r="S74" s="16">
        <v>6</v>
      </c>
      <c r="T74" s="16">
        <v>4</v>
      </c>
      <c r="U74" s="16">
        <v>1</v>
      </c>
      <c r="V74" s="12">
        <f t="shared" si="53"/>
        <v>3.3898305084745761</v>
      </c>
      <c r="W74" s="12">
        <f t="shared" si="54"/>
        <v>2.6143790849673203</v>
      </c>
      <c r="X74" s="12">
        <f t="shared" si="55"/>
        <v>0.6211180124223602</v>
      </c>
      <c r="Y74" s="12">
        <f t="shared" si="57"/>
        <v>3.002104796720948</v>
      </c>
    </row>
    <row r="75" spans="1:25" x14ac:dyDescent="0.3">
      <c r="A75" s="1" t="s">
        <v>46</v>
      </c>
      <c r="B75" s="1" t="s">
        <v>101</v>
      </c>
      <c r="C75" s="1" t="s">
        <v>102</v>
      </c>
      <c r="D75" s="1" t="s">
        <v>102</v>
      </c>
      <c r="E75" s="2">
        <v>20901</v>
      </c>
      <c r="F75" s="16">
        <v>430</v>
      </c>
      <c r="G75" s="16">
        <v>473</v>
      </c>
      <c r="H75" s="16">
        <v>506</v>
      </c>
      <c r="I75" s="16">
        <v>28</v>
      </c>
      <c r="J75" s="16">
        <v>31</v>
      </c>
      <c r="K75" s="16">
        <v>37</v>
      </c>
      <c r="L75" s="12">
        <f t="shared" si="50"/>
        <v>6.5116279069767442</v>
      </c>
      <c r="M75" s="12">
        <f t="shared" si="51"/>
        <v>6.5539112050739963</v>
      </c>
      <c r="N75" s="12">
        <f t="shared" si="52"/>
        <v>7.312252964426877</v>
      </c>
      <c r="O75" s="12">
        <f t="shared" si="56"/>
        <v>6.7925973588258728</v>
      </c>
      <c r="P75" s="16">
        <v>394</v>
      </c>
      <c r="Q75" s="16">
        <v>422</v>
      </c>
      <c r="R75" s="16">
        <v>403</v>
      </c>
      <c r="S75" s="16">
        <v>10</v>
      </c>
      <c r="T75" s="16">
        <v>16</v>
      </c>
      <c r="U75" s="16">
        <v>12</v>
      </c>
      <c r="V75" s="12">
        <f t="shared" si="53"/>
        <v>2.5380710659898478</v>
      </c>
      <c r="W75" s="12">
        <f t="shared" si="54"/>
        <v>3.7914691943127963</v>
      </c>
      <c r="X75" s="12">
        <f t="shared" si="55"/>
        <v>2.9776674937965262</v>
      </c>
      <c r="Y75" s="12">
        <f t="shared" si="57"/>
        <v>3.164770130151322</v>
      </c>
    </row>
    <row r="76" spans="1:25" x14ac:dyDescent="0.3">
      <c r="A76" s="1" t="s">
        <v>46</v>
      </c>
      <c r="B76" s="1" t="s">
        <v>101</v>
      </c>
      <c r="C76" s="1" t="s">
        <v>103</v>
      </c>
      <c r="D76" s="1" t="s">
        <v>103</v>
      </c>
      <c r="E76" s="2">
        <v>20902</v>
      </c>
      <c r="F76" s="16">
        <v>512</v>
      </c>
      <c r="G76" s="16">
        <v>509</v>
      </c>
      <c r="H76" s="16">
        <v>486</v>
      </c>
      <c r="I76" s="16">
        <v>34</v>
      </c>
      <c r="J76" s="16">
        <v>36</v>
      </c>
      <c r="K76" s="16">
        <v>24</v>
      </c>
      <c r="L76" s="12">
        <f t="shared" si="50"/>
        <v>6.640625</v>
      </c>
      <c r="M76" s="12">
        <f t="shared" si="51"/>
        <v>7.0726915520628681</v>
      </c>
      <c r="N76" s="12">
        <f t="shared" si="52"/>
        <v>4.9382716049382713</v>
      </c>
      <c r="O76" s="12">
        <f t="shared" si="56"/>
        <v>6.2171960523337129</v>
      </c>
      <c r="P76" s="16">
        <v>451</v>
      </c>
      <c r="Q76" s="16">
        <v>449</v>
      </c>
      <c r="R76" s="16">
        <v>440</v>
      </c>
      <c r="S76" s="16">
        <v>17</v>
      </c>
      <c r="T76" s="16">
        <v>13</v>
      </c>
      <c r="U76" s="16">
        <v>14</v>
      </c>
      <c r="V76" s="12">
        <f t="shared" si="53"/>
        <v>3.7694013303769403</v>
      </c>
      <c r="W76" s="12">
        <f t="shared" si="54"/>
        <v>2.8953229398663698</v>
      </c>
      <c r="X76" s="12">
        <f t="shared" si="55"/>
        <v>3.1818181818181817</v>
      </c>
      <c r="Y76" s="12">
        <f t="shared" si="57"/>
        <v>3.332362135121655</v>
      </c>
    </row>
    <row r="77" spans="1:25" x14ac:dyDescent="0.3">
      <c r="A77" s="1" t="s">
        <v>46</v>
      </c>
      <c r="B77" s="1" t="s">
        <v>101</v>
      </c>
      <c r="C77" s="1" t="s">
        <v>104</v>
      </c>
      <c r="D77" s="1" t="s">
        <v>104</v>
      </c>
      <c r="E77" s="2">
        <v>20903</v>
      </c>
      <c r="F77" s="16">
        <v>281</v>
      </c>
      <c r="G77" s="16">
        <v>276</v>
      </c>
      <c r="H77" s="16">
        <v>322</v>
      </c>
      <c r="I77" s="16">
        <v>32</v>
      </c>
      <c r="J77" s="16">
        <v>19</v>
      </c>
      <c r="K77" s="16">
        <v>30</v>
      </c>
      <c r="L77" s="12">
        <f t="shared" si="50"/>
        <v>11.387900355871885</v>
      </c>
      <c r="M77" s="12">
        <f t="shared" si="51"/>
        <v>6.8840579710144931</v>
      </c>
      <c r="N77" s="12">
        <f t="shared" si="52"/>
        <v>9.316770186335404</v>
      </c>
      <c r="O77" s="12">
        <f t="shared" si="56"/>
        <v>9.1962428377405931</v>
      </c>
      <c r="P77" s="16">
        <v>305</v>
      </c>
      <c r="Q77" s="16">
        <v>303</v>
      </c>
      <c r="R77" s="16">
        <v>279</v>
      </c>
      <c r="S77" s="16">
        <v>10</v>
      </c>
      <c r="T77" s="16">
        <v>13</v>
      </c>
      <c r="U77" s="16">
        <v>7</v>
      </c>
      <c r="V77" s="12">
        <f t="shared" si="53"/>
        <v>3.278688524590164</v>
      </c>
      <c r="W77" s="12">
        <f t="shared" si="54"/>
        <v>4.2904290429042904</v>
      </c>
      <c r="X77" s="12">
        <f t="shared" si="55"/>
        <v>2.5089605734767026</v>
      </c>
      <c r="Y77" s="12">
        <f t="shared" si="57"/>
        <v>3.7845587837472272</v>
      </c>
    </row>
    <row r="78" spans="1:25" x14ac:dyDescent="0.3">
      <c r="A78" s="1" t="s">
        <v>46</v>
      </c>
      <c r="B78" s="1" t="s">
        <v>101</v>
      </c>
      <c r="C78" s="1" t="s">
        <v>105</v>
      </c>
      <c r="D78" s="1" t="s">
        <v>105</v>
      </c>
      <c r="E78" s="2">
        <v>20904</v>
      </c>
      <c r="F78" s="16">
        <v>58</v>
      </c>
      <c r="G78" s="16">
        <v>59</v>
      </c>
      <c r="H78" s="16">
        <v>59</v>
      </c>
      <c r="I78" s="16">
        <v>5</v>
      </c>
      <c r="J78" s="16">
        <v>1</v>
      </c>
      <c r="K78" s="16">
        <v>4</v>
      </c>
      <c r="L78" s="12">
        <f t="shared" si="50"/>
        <v>8.6206896551724146</v>
      </c>
      <c r="M78" s="12">
        <f t="shared" si="51"/>
        <v>1.6949152542372881</v>
      </c>
      <c r="N78" s="12">
        <f t="shared" si="52"/>
        <v>6.7796610169491522</v>
      </c>
      <c r="O78" s="12">
        <f t="shared" si="56"/>
        <v>5.6984219754529519</v>
      </c>
      <c r="P78" s="16">
        <v>59</v>
      </c>
      <c r="Q78" s="16">
        <v>61</v>
      </c>
      <c r="R78" s="16">
        <v>55</v>
      </c>
      <c r="S78" s="16">
        <v>1</v>
      </c>
      <c r="T78" s="16">
        <v>0</v>
      </c>
      <c r="U78" s="16">
        <v>0</v>
      </c>
      <c r="V78" s="12">
        <f t="shared" si="53"/>
        <v>1.6949152542372881</v>
      </c>
      <c r="W78" s="12">
        <f t="shared" si="54"/>
        <v>0</v>
      </c>
      <c r="X78" s="12">
        <f t="shared" si="55"/>
        <v>0</v>
      </c>
      <c r="Y78" s="12">
        <f t="shared" si="57"/>
        <v>0.84745762711864403</v>
      </c>
    </row>
    <row r="79" spans="1:25" x14ac:dyDescent="0.3">
      <c r="A79" s="1" t="s">
        <v>46</v>
      </c>
      <c r="B79" s="1" t="s">
        <v>101</v>
      </c>
      <c r="C79" s="1" t="s">
        <v>106</v>
      </c>
      <c r="D79" s="1" t="s">
        <v>106</v>
      </c>
      <c r="E79" s="2">
        <v>20905</v>
      </c>
      <c r="F79" s="16">
        <v>497</v>
      </c>
      <c r="G79" s="16">
        <v>516</v>
      </c>
      <c r="H79" s="16">
        <v>509</v>
      </c>
      <c r="I79" s="16">
        <v>51</v>
      </c>
      <c r="J79" s="16">
        <v>33</v>
      </c>
      <c r="K79" s="16">
        <v>42</v>
      </c>
      <c r="L79" s="12">
        <f t="shared" si="50"/>
        <v>10.261569416498995</v>
      </c>
      <c r="M79" s="12">
        <f t="shared" si="51"/>
        <v>6.395348837209303</v>
      </c>
      <c r="N79" s="12">
        <f t="shared" si="52"/>
        <v>8.2514734774066802</v>
      </c>
      <c r="O79" s="12">
        <f t="shared" si="56"/>
        <v>8.3027972437049922</v>
      </c>
      <c r="P79" s="16">
        <v>488</v>
      </c>
      <c r="Q79" s="16">
        <v>494</v>
      </c>
      <c r="R79" s="16">
        <v>535</v>
      </c>
      <c r="S79" s="16">
        <v>20</v>
      </c>
      <c r="T79" s="16">
        <v>26</v>
      </c>
      <c r="U79" s="16">
        <v>29</v>
      </c>
      <c r="V79" s="12">
        <f t="shared" si="53"/>
        <v>4.0983606557377046</v>
      </c>
      <c r="W79" s="12">
        <f t="shared" si="54"/>
        <v>5.2631578947368416</v>
      </c>
      <c r="X79" s="12">
        <f t="shared" si="55"/>
        <v>5.4205607476635516</v>
      </c>
      <c r="Y79" s="12">
        <f t="shared" si="57"/>
        <v>4.6807592752372731</v>
      </c>
    </row>
    <row r="80" spans="1:25" x14ac:dyDescent="0.3">
      <c r="A80" s="1" t="s">
        <v>46</v>
      </c>
      <c r="B80" s="1" t="s">
        <v>107</v>
      </c>
      <c r="C80" s="1" t="s">
        <v>107</v>
      </c>
      <c r="D80" s="1" t="s">
        <v>107</v>
      </c>
      <c r="E80" s="2">
        <v>21001</v>
      </c>
      <c r="F80" s="16">
        <v>577</v>
      </c>
      <c r="G80" s="16">
        <v>628</v>
      </c>
      <c r="H80" s="16">
        <v>636</v>
      </c>
      <c r="I80" s="16">
        <v>52</v>
      </c>
      <c r="J80" s="16">
        <v>52</v>
      </c>
      <c r="K80" s="16">
        <v>73</v>
      </c>
      <c r="L80" s="12">
        <f t="shared" si="50"/>
        <v>9.0121317157712308</v>
      </c>
      <c r="M80" s="12">
        <f t="shared" si="51"/>
        <v>8.2802547770700627</v>
      </c>
      <c r="N80" s="12">
        <f t="shared" si="52"/>
        <v>11.477987421383649</v>
      </c>
      <c r="O80" s="12">
        <f t="shared" si="56"/>
        <v>9.5901246380749807</v>
      </c>
      <c r="P80" s="16">
        <v>593</v>
      </c>
      <c r="Q80" s="16">
        <v>604</v>
      </c>
      <c r="R80" s="16">
        <v>566</v>
      </c>
      <c r="S80" s="16">
        <v>24</v>
      </c>
      <c r="T80" s="16">
        <v>36</v>
      </c>
      <c r="U80" s="16">
        <v>20</v>
      </c>
      <c r="V80" s="12">
        <f t="shared" si="53"/>
        <v>4.0472175379426645</v>
      </c>
      <c r="W80" s="12">
        <f t="shared" si="54"/>
        <v>5.9602649006622519</v>
      </c>
      <c r="X80" s="12">
        <f t="shared" si="55"/>
        <v>3.5335689045936398</v>
      </c>
      <c r="Y80" s="12">
        <f t="shared" si="57"/>
        <v>5.0037412193024586</v>
      </c>
    </row>
    <row r="81" spans="1:25" x14ac:dyDescent="0.3">
      <c r="A81" s="1" t="s">
        <v>46</v>
      </c>
      <c r="B81" s="1" t="s">
        <v>107</v>
      </c>
      <c r="C81" s="1" t="s">
        <v>108</v>
      </c>
      <c r="D81" s="1" t="s">
        <v>108</v>
      </c>
      <c r="E81" s="2">
        <v>21002</v>
      </c>
      <c r="F81" s="16">
        <v>286</v>
      </c>
      <c r="G81" s="16">
        <v>301</v>
      </c>
      <c r="H81" s="16">
        <v>292</v>
      </c>
      <c r="I81" s="16">
        <v>15</v>
      </c>
      <c r="J81" s="16">
        <v>12</v>
      </c>
      <c r="K81" s="16">
        <v>14</v>
      </c>
      <c r="L81" s="12">
        <f t="shared" si="50"/>
        <v>5.244755244755245</v>
      </c>
      <c r="M81" s="12">
        <f t="shared" si="51"/>
        <v>3.9867109634551494</v>
      </c>
      <c r="N81" s="12">
        <f t="shared" si="52"/>
        <v>4.7945205479452051</v>
      </c>
      <c r="O81" s="12">
        <f t="shared" si="56"/>
        <v>4.6753289187185336</v>
      </c>
      <c r="P81" s="16">
        <v>323</v>
      </c>
      <c r="Q81" s="16">
        <v>335</v>
      </c>
      <c r="R81" s="16">
        <v>351</v>
      </c>
      <c r="S81" s="16">
        <v>4</v>
      </c>
      <c r="T81" s="16">
        <v>5</v>
      </c>
      <c r="U81" s="16">
        <v>8</v>
      </c>
      <c r="V81" s="12">
        <f t="shared" si="53"/>
        <v>1.2383900928792571</v>
      </c>
      <c r="W81" s="12">
        <f t="shared" si="54"/>
        <v>1.4925373134328357</v>
      </c>
      <c r="X81" s="12">
        <f t="shared" si="55"/>
        <v>2.2792022792022792</v>
      </c>
      <c r="Y81" s="12">
        <f t="shared" si="57"/>
        <v>1.3654637031560464</v>
      </c>
    </row>
    <row r="82" spans="1:25" x14ac:dyDescent="0.3">
      <c r="A82" s="1" t="s">
        <v>46</v>
      </c>
      <c r="B82" s="1" t="s">
        <v>107</v>
      </c>
      <c r="C82" s="1" t="s">
        <v>109</v>
      </c>
      <c r="D82" s="1" t="s">
        <v>109</v>
      </c>
      <c r="E82" s="2">
        <v>21003</v>
      </c>
      <c r="F82" s="16">
        <v>427</v>
      </c>
      <c r="G82" s="16">
        <v>459</v>
      </c>
      <c r="H82" s="16">
        <v>521</v>
      </c>
      <c r="I82" s="16">
        <v>24</v>
      </c>
      <c r="J82" s="16">
        <v>23</v>
      </c>
      <c r="K82" s="16">
        <v>49</v>
      </c>
      <c r="L82" s="12">
        <f t="shared" si="50"/>
        <v>5.6206088992974239</v>
      </c>
      <c r="M82" s="12">
        <f t="shared" si="51"/>
        <v>5.0108932461873641</v>
      </c>
      <c r="N82" s="12">
        <f t="shared" si="52"/>
        <v>9.4049904030710181</v>
      </c>
      <c r="O82" s="12">
        <f t="shared" si="56"/>
        <v>6.6788308495186017</v>
      </c>
      <c r="P82" s="16">
        <v>684</v>
      </c>
      <c r="Q82" s="16">
        <v>660</v>
      </c>
      <c r="R82" s="16">
        <v>670</v>
      </c>
      <c r="S82" s="16">
        <v>35</v>
      </c>
      <c r="T82" s="16">
        <v>22</v>
      </c>
      <c r="U82" s="16">
        <v>19</v>
      </c>
      <c r="V82" s="12">
        <f t="shared" si="53"/>
        <v>5.1169590643274852</v>
      </c>
      <c r="W82" s="12">
        <f t="shared" si="54"/>
        <v>3.3333333333333335</v>
      </c>
      <c r="X82" s="12">
        <f t="shared" si="55"/>
        <v>2.8358208955223883</v>
      </c>
      <c r="Y82" s="12">
        <f t="shared" si="57"/>
        <v>4.2251461988304095</v>
      </c>
    </row>
    <row r="83" spans="1:25" x14ac:dyDescent="0.3">
      <c r="A83" s="1" t="s">
        <v>46</v>
      </c>
      <c r="B83" s="1" t="s">
        <v>107</v>
      </c>
      <c r="C83" s="1" t="s">
        <v>110</v>
      </c>
      <c r="D83" s="1" t="s">
        <v>110</v>
      </c>
      <c r="E83" s="2">
        <v>21004</v>
      </c>
      <c r="F83" s="16">
        <v>783</v>
      </c>
      <c r="G83" s="16">
        <v>827</v>
      </c>
      <c r="H83" s="16">
        <v>864</v>
      </c>
      <c r="I83" s="16">
        <v>71</v>
      </c>
      <c r="J83" s="16">
        <v>74</v>
      </c>
      <c r="K83" s="16">
        <v>81</v>
      </c>
      <c r="L83" s="12">
        <f t="shared" si="50"/>
        <v>9.0676883780332069</v>
      </c>
      <c r="M83" s="12">
        <f t="shared" si="51"/>
        <v>8.9480048367593703</v>
      </c>
      <c r="N83" s="12">
        <f t="shared" si="52"/>
        <v>9.375</v>
      </c>
      <c r="O83" s="12">
        <f t="shared" si="56"/>
        <v>9.1302310715975263</v>
      </c>
      <c r="P83" s="16">
        <v>883</v>
      </c>
      <c r="Q83" s="16">
        <v>885</v>
      </c>
      <c r="R83" s="16">
        <v>894</v>
      </c>
      <c r="S83" s="16">
        <v>27</v>
      </c>
      <c r="T83" s="16">
        <v>30</v>
      </c>
      <c r="U83" s="16">
        <v>29</v>
      </c>
      <c r="V83" s="12">
        <f t="shared" si="53"/>
        <v>3.057757644394111</v>
      </c>
      <c r="W83" s="12">
        <f t="shared" si="54"/>
        <v>3.3898305084745761</v>
      </c>
      <c r="X83" s="12">
        <f t="shared" si="55"/>
        <v>3.2438478747203576</v>
      </c>
      <c r="Y83" s="12">
        <f t="shared" si="57"/>
        <v>3.2237940764343436</v>
      </c>
    </row>
    <row r="84" spans="1:25" x14ac:dyDescent="0.3">
      <c r="A84" s="1" t="s">
        <v>46</v>
      </c>
      <c r="B84" s="1" t="s">
        <v>107</v>
      </c>
      <c r="C84" s="1" t="s">
        <v>111</v>
      </c>
      <c r="D84" s="1" t="s">
        <v>111</v>
      </c>
      <c r="E84" s="2">
        <v>21005</v>
      </c>
      <c r="F84" s="16">
        <v>176</v>
      </c>
      <c r="G84" s="16">
        <v>178</v>
      </c>
      <c r="H84" s="16">
        <v>175</v>
      </c>
      <c r="I84" s="16">
        <v>16</v>
      </c>
      <c r="J84" s="16">
        <v>24</v>
      </c>
      <c r="K84" s="16">
        <v>24</v>
      </c>
      <c r="L84" s="12">
        <f t="shared" si="50"/>
        <v>9.0909090909090917</v>
      </c>
      <c r="M84" s="12">
        <f t="shared" si="51"/>
        <v>13.48314606741573</v>
      </c>
      <c r="N84" s="12">
        <f t="shared" si="52"/>
        <v>13.714285714285715</v>
      </c>
      <c r="O84" s="12">
        <f t="shared" si="56"/>
        <v>12.096113624203511</v>
      </c>
      <c r="P84" s="16">
        <v>193</v>
      </c>
      <c r="Q84" s="16">
        <v>186</v>
      </c>
      <c r="R84" s="16">
        <v>170</v>
      </c>
      <c r="S84" s="16">
        <v>12</v>
      </c>
      <c r="T84" s="16">
        <v>16</v>
      </c>
      <c r="U84" s="16">
        <v>3</v>
      </c>
      <c r="V84" s="12">
        <f t="shared" si="53"/>
        <v>6.2176165803108807</v>
      </c>
      <c r="W84" s="12">
        <f t="shared" si="54"/>
        <v>8.6021505376344098</v>
      </c>
      <c r="X84" s="12">
        <f t="shared" si="55"/>
        <v>1.7647058823529411</v>
      </c>
      <c r="Y84" s="12">
        <f t="shared" si="57"/>
        <v>7.4098835589726448</v>
      </c>
    </row>
    <row r="85" spans="1:25" x14ac:dyDescent="0.3">
      <c r="A85" s="1" t="s">
        <v>46</v>
      </c>
      <c r="B85" s="1" t="s">
        <v>107</v>
      </c>
      <c r="C85" s="1" t="s">
        <v>112</v>
      </c>
      <c r="D85" s="1" t="s">
        <v>112</v>
      </c>
      <c r="E85" s="2">
        <v>21006</v>
      </c>
      <c r="F85" s="16">
        <v>94</v>
      </c>
      <c r="G85" s="16">
        <v>102</v>
      </c>
      <c r="H85" s="16">
        <v>121</v>
      </c>
      <c r="I85" s="16">
        <v>8</v>
      </c>
      <c r="J85" s="16">
        <v>5</v>
      </c>
      <c r="K85" s="16">
        <v>15</v>
      </c>
      <c r="L85" s="12">
        <f t="shared" si="50"/>
        <v>8.5106382978723403</v>
      </c>
      <c r="M85" s="12">
        <f t="shared" si="51"/>
        <v>4.9019607843137258</v>
      </c>
      <c r="N85" s="12">
        <f t="shared" si="52"/>
        <v>12.396694214876034</v>
      </c>
      <c r="O85" s="12">
        <f t="shared" si="56"/>
        <v>8.6030977656873659</v>
      </c>
      <c r="P85" s="16">
        <v>120</v>
      </c>
      <c r="Q85" s="16">
        <v>112</v>
      </c>
      <c r="R85" s="16">
        <v>112</v>
      </c>
      <c r="S85" s="16">
        <v>5</v>
      </c>
      <c r="T85" s="16">
        <v>1</v>
      </c>
      <c r="U85" s="16">
        <v>2</v>
      </c>
      <c r="V85" s="12">
        <f t="shared" si="53"/>
        <v>4.1666666666666661</v>
      </c>
      <c r="W85" s="12">
        <f t="shared" si="54"/>
        <v>0.89285714285714279</v>
      </c>
      <c r="X85" s="12">
        <f t="shared" si="55"/>
        <v>1.7857142857142856</v>
      </c>
      <c r="Y85" s="12">
        <f t="shared" si="57"/>
        <v>2.5297619047619042</v>
      </c>
    </row>
    <row r="86" spans="1:25" x14ac:dyDescent="0.3">
      <c r="A86" s="1" t="s">
        <v>46</v>
      </c>
      <c r="B86" s="1" t="s">
        <v>113</v>
      </c>
      <c r="C86" s="1" t="s">
        <v>114</v>
      </c>
      <c r="D86" s="1" t="s">
        <v>115</v>
      </c>
      <c r="E86" s="2">
        <v>21101</v>
      </c>
      <c r="F86" s="16">
        <v>765</v>
      </c>
      <c r="G86" s="16">
        <v>788</v>
      </c>
      <c r="H86" s="16">
        <v>787</v>
      </c>
      <c r="I86" s="16">
        <v>41</v>
      </c>
      <c r="J86" s="16">
        <v>56</v>
      </c>
      <c r="K86" s="16">
        <v>71</v>
      </c>
      <c r="L86" s="12">
        <f t="shared" si="50"/>
        <v>5.3594771241830061</v>
      </c>
      <c r="M86" s="12">
        <f t="shared" si="51"/>
        <v>7.1065989847715745</v>
      </c>
      <c r="N86" s="12">
        <f t="shared" si="52"/>
        <v>9.0216010165184244</v>
      </c>
      <c r="O86" s="12">
        <f t="shared" si="56"/>
        <v>7.162559041824335</v>
      </c>
      <c r="P86" s="16">
        <v>907</v>
      </c>
      <c r="Q86" s="16">
        <v>896</v>
      </c>
      <c r="R86" s="16">
        <v>861</v>
      </c>
      <c r="S86" s="16">
        <v>23</v>
      </c>
      <c r="T86" s="16">
        <v>19</v>
      </c>
      <c r="U86" s="16">
        <v>23</v>
      </c>
      <c r="V86" s="12">
        <f t="shared" si="53"/>
        <v>2.535832414553473</v>
      </c>
      <c r="W86" s="12">
        <f t="shared" si="54"/>
        <v>2.1205357142857144</v>
      </c>
      <c r="X86" s="12">
        <f t="shared" si="55"/>
        <v>2.6713124274099882</v>
      </c>
      <c r="Y86" s="12">
        <f t="shared" si="57"/>
        <v>2.3281840644195935</v>
      </c>
    </row>
    <row r="87" spans="1:25" x14ac:dyDescent="0.3">
      <c r="A87" s="1" t="s">
        <v>46</v>
      </c>
      <c r="B87" s="1" t="s">
        <v>113</v>
      </c>
      <c r="C87" s="1" t="s">
        <v>116</v>
      </c>
      <c r="D87" s="1" t="s">
        <v>117</v>
      </c>
      <c r="E87" s="2">
        <v>21102</v>
      </c>
      <c r="F87" s="16">
        <v>544</v>
      </c>
      <c r="G87" s="16">
        <v>570</v>
      </c>
      <c r="H87" s="16">
        <v>560</v>
      </c>
      <c r="I87" s="16">
        <v>37</v>
      </c>
      <c r="J87" s="16">
        <v>44</v>
      </c>
      <c r="K87" s="16">
        <v>66</v>
      </c>
      <c r="L87" s="12">
        <f t="shared" ref="L87:L116" si="58">(I87/F87)*100</f>
        <v>6.8014705882352935</v>
      </c>
      <c r="M87" s="12">
        <f t="shared" ref="M87:M116" si="59">(J87/G87)*100</f>
        <v>7.7192982456140351</v>
      </c>
      <c r="N87" s="12">
        <f t="shared" ref="N87:N118" si="60">(K87/H87)*100</f>
        <v>11.785714285714285</v>
      </c>
      <c r="O87" s="12">
        <f t="shared" si="56"/>
        <v>8.7688277065212041</v>
      </c>
      <c r="P87" s="16">
        <v>768</v>
      </c>
      <c r="Q87" s="16">
        <v>814</v>
      </c>
      <c r="R87" s="16">
        <v>774</v>
      </c>
      <c r="S87" s="16">
        <v>20</v>
      </c>
      <c r="T87" s="16">
        <v>33</v>
      </c>
      <c r="U87" s="16">
        <v>25</v>
      </c>
      <c r="V87" s="12">
        <f t="shared" si="53"/>
        <v>2.604166666666667</v>
      </c>
      <c r="W87" s="12">
        <f t="shared" si="54"/>
        <v>4.0540540540540544</v>
      </c>
      <c r="X87" s="12">
        <f t="shared" si="55"/>
        <v>3.229974160206718</v>
      </c>
      <c r="Y87" s="12">
        <f t="shared" si="57"/>
        <v>3.3291103603603607</v>
      </c>
    </row>
    <row r="88" spans="1:25" x14ac:dyDescent="0.3">
      <c r="A88" s="1" t="s">
        <v>46</v>
      </c>
      <c r="B88" s="1" t="s">
        <v>113</v>
      </c>
      <c r="C88" s="1" t="s">
        <v>118</v>
      </c>
      <c r="D88" s="1" t="s">
        <v>118</v>
      </c>
      <c r="E88" s="2">
        <v>21103</v>
      </c>
      <c r="F88" s="16">
        <v>206</v>
      </c>
      <c r="G88" s="16">
        <v>223</v>
      </c>
      <c r="H88" s="16">
        <v>256</v>
      </c>
      <c r="I88" s="16">
        <v>11</v>
      </c>
      <c r="J88" s="16">
        <v>8</v>
      </c>
      <c r="K88" s="16">
        <v>11</v>
      </c>
      <c r="L88" s="12">
        <f t="shared" si="58"/>
        <v>5.3398058252427179</v>
      </c>
      <c r="M88" s="12">
        <f t="shared" si="59"/>
        <v>3.5874439461883409</v>
      </c>
      <c r="N88" s="12">
        <f t="shared" si="60"/>
        <v>4.296875</v>
      </c>
      <c r="O88" s="12">
        <f t="shared" si="56"/>
        <v>4.40804159047702</v>
      </c>
      <c r="P88" s="16">
        <v>270</v>
      </c>
      <c r="Q88" s="16">
        <v>273</v>
      </c>
      <c r="R88" s="16">
        <v>277</v>
      </c>
      <c r="S88" s="16">
        <v>8</v>
      </c>
      <c r="T88" s="16">
        <v>4</v>
      </c>
      <c r="U88" s="16">
        <v>3</v>
      </c>
      <c r="V88" s="12">
        <f t="shared" si="53"/>
        <v>2.9629629629629632</v>
      </c>
      <c r="W88" s="12">
        <f t="shared" si="54"/>
        <v>1.4652014652014651</v>
      </c>
      <c r="X88" s="12">
        <f t="shared" si="55"/>
        <v>1.0830324909747291</v>
      </c>
      <c r="Y88" s="12">
        <f t="shared" si="57"/>
        <v>2.2140822140822141</v>
      </c>
    </row>
    <row r="89" spans="1:25" x14ac:dyDescent="0.3">
      <c r="A89" s="1" t="s">
        <v>46</v>
      </c>
      <c r="B89" s="1" t="s">
        <v>113</v>
      </c>
      <c r="C89" s="1" t="s">
        <v>119</v>
      </c>
      <c r="D89" s="1" t="s">
        <v>119</v>
      </c>
      <c r="E89" s="2">
        <v>21104</v>
      </c>
      <c r="F89" s="16">
        <v>1326</v>
      </c>
      <c r="G89" s="16">
        <v>1377</v>
      </c>
      <c r="H89" s="16">
        <v>1421</v>
      </c>
      <c r="I89" s="16">
        <v>126</v>
      </c>
      <c r="J89" s="16">
        <v>107</v>
      </c>
      <c r="K89" s="16">
        <v>90</v>
      </c>
      <c r="L89" s="12">
        <f t="shared" si="58"/>
        <v>9.502262443438914</v>
      </c>
      <c r="M89" s="12">
        <f t="shared" si="59"/>
        <v>7.7705156136528686</v>
      </c>
      <c r="N89" s="12">
        <f t="shared" si="60"/>
        <v>6.3335679099225901</v>
      </c>
      <c r="O89" s="12">
        <f t="shared" si="56"/>
        <v>7.8687819890047912</v>
      </c>
      <c r="P89" s="16">
        <v>1512</v>
      </c>
      <c r="Q89" s="16">
        <v>1548</v>
      </c>
      <c r="R89" s="16">
        <v>1556</v>
      </c>
      <c r="S89" s="16">
        <v>54</v>
      </c>
      <c r="T89" s="16">
        <v>50</v>
      </c>
      <c r="U89" s="16">
        <v>54</v>
      </c>
      <c r="V89" s="12">
        <f t="shared" si="53"/>
        <v>3.5714285714285712</v>
      </c>
      <c r="W89" s="12">
        <f t="shared" si="54"/>
        <v>3.229974160206718</v>
      </c>
      <c r="X89" s="12">
        <f t="shared" si="55"/>
        <v>3.4704370179948589</v>
      </c>
      <c r="Y89" s="12">
        <f t="shared" si="57"/>
        <v>3.4007013658176444</v>
      </c>
    </row>
    <row r="90" spans="1:25" x14ac:dyDescent="0.3">
      <c r="A90" s="1" t="s">
        <v>46</v>
      </c>
      <c r="B90" s="1" t="s">
        <v>113</v>
      </c>
      <c r="C90" s="1" t="s">
        <v>120</v>
      </c>
      <c r="D90" s="1" t="s">
        <v>120</v>
      </c>
      <c r="E90" s="2">
        <v>21105</v>
      </c>
      <c r="F90" s="16">
        <v>1318</v>
      </c>
      <c r="G90" s="16">
        <v>1554</v>
      </c>
      <c r="H90" s="16">
        <v>1689</v>
      </c>
      <c r="I90" s="16">
        <v>105</v>
      </c>
      <c r="J90" s="16">
        <v>193</v>
      </c>
      <c r="K90" s="16">
        <v>130</v>
      </c>
      <c r="L90" s="12">
        <f t="shared" si="58"/>
        <v>7.9666160849772378</v>
      </c>
      <c r="M90" s="12">
        <f t="shared" si="59"/>
        <v>12.419562419562419</v>
      </c>
      <c r="N90" s="12">
        <f t="shared" si="60"/>
        <v>7.6968620485494386</v>
      </c>
      <c r="O90" s="12">
        <f t="shared" si="56"/>
        <v>9.3610135176963656</v>
      </c>
      <c r="P90" s="16">
        <v>2765</v>
      </c>
      <c r="Q90" s="16">
        <v>2774</v>
      </c>
      <c r="R90" s="16">
        <v>2814</v>
      </c>
      <c r="S90" s="16">
        <v>71</v>
      </c>
      <c r="T90" s="16">
        <v>91</v>
      </c>
      <c r="U90" s="16">
        <v>105</v>
      </c>
      <c r="V90" s="12">
        <f t="shared" si="53"/>
        <v>2.5678119349005426</v>
      </c>
      <c r="W90" s="12">
        <f t="shared" si="54"/>
        <v>3.2804614275414563</v>
      </c>
      <c r="X90" s="12">
        <f t="shared" si="55"/>
        <v>3.7313432835820892</v>
      </c>
      <c r="Y90" s="12">
        <f t="shared" si="57"/>
        <v>2.9241366812209995</v>
      </c>
    </row>
    <row r="91" spans="1:25" x14ac:dyDescent="0.3">
      <c r="A91" s="1" t="s">
        <v>46</v>
      </c>
      <c r="B91" s="1" t="s">
        <v>121</v>
      </c>
      <c r="C91" s="1" t="s">
        <v>122</v>
      </c>
      <c r="D91" s="1" t="s">
        <v>122</v>
      </c>
      <c r="E91" s="2">
        <v>21201</v>
      </c>
      <c r="F91" s="16">
        <v>1565</v>
      </c>
      <c r="G91" s="16">
        <v>1646</v>
      </c>
      <c r="H91" s="16">
        <v>1632</v>
      </c>
      <c r="I91" s="16">
        <v>108</v>
      </c>
      <c r="J91" s="16">
        <v>124</v>
      </c>
      <c r="K91" s="16">
        <v>122</v>
      </c>
      <c r="L91" s="12">
        <f t="shared" si="58"/>
        <v>6.9009584664536741</v>
      </c>
      <c r="M91" s="12">
        <f t="shared" si="59"/>
        <v>7.5334143377885781</v>
      </c>
      <c r="N91" s="12">
        <f t="shared" si="60"/>
        <v>7.4754901960784315</v>
      </c>
      <c r="O91" s="12">
        <f t="shared" si="56"/>
        <v>7.3032876667735609</v>
      </c>
      <c r="P91" s="16">
        <v>1426</v>
      </c>
      <c r="Q91" s="16">
        <v>1455</v>
      </c>
      <c r="R91" s="16">
        <v>1482</v>
      </c>
      <c r="S91" s="16">
        <v>37</v>
      </c>
      <c r="T91" s="16">
        <v>28</v>
      </c>
      <c r="U91" s="16">
        <v>36</v>
      </c>
      <c r="V91" s="12">
        <f t="shared" si="53"/>
        <v>2.5946704067321176</v>
      </c>
      <c r="W91" s="12">
        <f t="shared" si="54"/>
        <v>1.9243986254295533</v>
      </c>
      <c r="X91" s="12">
        <f t="shared" si="55"/>
        <v>2.42914979757085</v>
      </c>
      <c r="Y91" s="12">
        <f t="shared" si="57"/>
        <v>2.2595345160808353</v>
      </c>
    </row>
    <row r="92" spans="1:25" x14ac:dyDescent="0.3">
      <c r="A92" s="1" t="s">
        <v>46</v>
      </c>
      <c r="B92" s="1" t="s">
        <v>121</v>
      </c>
      <c r="C92" s="1" t="s">
        <v>123</v>
      </c>
      <c r="D92" s="1" t="s">
        <v>123</v>
      </c>
      <c r="E92" s="2">
        <v>21202</v>
      </c>
      <c r="F92" s="16">
        <v>718</v>
      </c>
      <c r="G92" s="16">
        <v>763</v>
      </c>
      <c r="H92" s="16">
        <v>732</v>
      </c>
      <c r="I92" s="16">
        <v>43</v>
      </c>
      <c r="J92" s="16">
        <v>62</v>
      </c>
      <c r="K92" s="16">
        <v>30</v>
      </c>
      <c r="L92" s="12">
        <f t="shared" si="58"/>
        <v>5.9888579387186631</v>
      </c>
      <c r="M92" s="12">
        <f t="shared" si="59"/>
        <v>8.1258191349934457</v>
      </c>
      <c r="N92" s="12">
        <f t="shared" si="60"/>
        <v>4.0983606557377046</v>
      </c>
      <c r="O92" s="12">
        <f t="shared" si="56"/>
        <v>6.0710125764832705</v>
      </c>
      <c r="P92" s="16">
        <v>807</v>
      </c>
      <c r="Q92" s="16">
        <v>829</v>
      </c>
      <c r="R92" s="16">
        <v>831</v>
      </c>
      <c r="S92" s="16">
        <v>34</v>
      </c>
      <c r="T92" s="16">
        <v>20</v>
      </c>
      <c r="U92" s="16">
        <v>25</v>
      </c>
      <c r="V92" s="12">
        <f t="shared" si="53"/>
        <v>4.2131350681536555</v>
      </c>
      <c r="W92" s="12">
        <f t="shared" si="54"/>
        <v>2.4125452352231602</v>
      </c>
      <c r="X92" s="12">
        <f t="shared" si="55"/>
        <v>3.0084235860409145</v>
      </c>
      <c r="Y92" s="12">
        <f t="shared" si="57"/>
        <v>3.3128401516884081</v>
      </c>
    </row>
    <row r="93" spans="1:25" x14ac:dyDescent="0.3">
      <c r="A93" s="1" t="s">
        <v>46</v>
      </c>
      <c r="B93" s="1" t="s">
        <v>121</v>
      </c>
      <c r="C93" s="1" t="s">
        <v>124</v>
      </c>
      <c r="D93" s="1" t="s">
        <v>124</v>
      </c>
      <c r="E93" s="2">
        <v>21203</v>
      </c>
      <c r="F93" s="16">
        <v>1009</v>
      </c>
      <c r="G93" s="16">
        <v>1065</v>
      </c>
      <c r="H93" s="16">
        <v>1060</v>
      </c>
      <c r="I93" s="16">
        <v>79</v>
      </c>
      <c r="J93" s="16">
        <v>72</v>
      </c>
      <c r="K93" s="16">
        <v>80</v>
      </c>
      <c r="L93" s="12">
        <f t="shared" si="58"/>
        <v>7.8295341922695743</v>
      </c>
      <c r="M93" s="12">
        <f t="shared" si="59"/>
        <v>6.7605633802816891</v>
      </c>
      <c r="N93" s="12">
        <f t="shared" si="60"/>
        <v>7.5471698113207548</v>
      </c>
      <c r="O93" s="12">
        <f t="shared" si="56"/>
        <v>7.3790891279573394</v>
      </c>
      <c r="P93" s="16">
        <v>766</v>
      </c>
      <c r="Q93" s="16">
        <v>785</v>
      </c>
      <c r="R93" s="16">
        <v>788</v>
      </c>
      <c r="S93" s="16">
        <v>14</v>
      </c>
      <c r="T93" s="16">
        <v>22</v>
      </c>
      <c r="U93" s="16">
        <v>24</v>
      </c>
      <c r="V93" s="12">
        <f t="shared" si="53"/>
        <v>1.8276762402088773</v>
      </c>
      <c r="W93" s="12">
        <f t="shared" si="54"/>
        <v>2.8025477707006372</v>
      </c>
      <c r="X93" s="12">
        <f t="shared" si="55"/>
        <v>3.0456852791878175</v>
      </c>
      <c r="Y93" s="12">
        <f t="shared" si="57"/>
        <v>2.3151120054547571</v>
      </c>
    </row>
    <row r="94" spans="1:25" x14ac:dyDescent="0.3">
      <c r="A94" s="1" t="s">
        <v>46</v>
      </c>
      <c r="B94" s="1" t="s">
        <v>121</v>
      </c>
      <c r="C94" s="1" t="s">
        <v>125</v>
      </c>
      <c r="D94" s="1" t="s">
        <v>125</v>
      </c>
      <c r="E94" s="2">
        <v>21204</v>
      </c>
      <c r="F94" s="16">
        <v>307</v>
      </c>
      <c r="G94" s="16">
        <v>287</v>
      </c>
      <c r="H94" s="16">
        <v>293</v>
      </c>
      <c r="I94" s="16">
        <v>22</v>
      </c>
      <c r="J94" s="16">
        <v>21</v>
      </c>
      <c r="K94" s="16">
        <v>21</v>
      </c>
      <c r="L94" s="12">
        <f t="shared" si="58"/>
        <v>7.1661237785016292</v>
      </c>
      <c r="M94" s="12">
        <f t="shared" si="59"/>
        <v>7.3170731707317067</v>
      </c>
      <c r="N94" s="12">
        <f t="shared" si="60"/>
        <v>7.1672354948805461</v>
      </c>
      <c r="O94" s="12">
        <f t="shared" si="56"/>
        <v>7.216810814704627</v>
      </c>
      <c r="P94" s="16">
        <v>238</v>
      </c>
      <c r="Q94" s="16">
        <v>258</v>
      </c>
      <c r="R94" s="16">
        <v>239</v>
      </c>
      <c r="S94" s="16">
        <v>3</v>
      </c>
      <c r="T94" s="16">
        <v>6</v>
      </c>
      <c r="U94" s="16">
        <v>4</v>
      </c>
      <c r="V94" s="12">
        <f t="shared" si="53"/>
        <v>1.2605042016806722</v>
      </c>
      <c r="W94" s="12">
        <f t="shared" si="54"/>
        <v>2.3255813953488373</v>
      </c>
      <c r="X94" s="12">
        <f t="shared" si="55"/>
        <v>1.6736401673640167</v>
      </c>
      <c r="Y94" s="12">
        <f t="shared" si="57"/>
        <v>1.7930427985147548</v>
      </c>
    </row>
    <row r="95" spans="1:25" x14ac:dyDescent="0.3">
      <c r="A95" s="1" t="s">
        <v>46</v>
      </c>
      <c r="B95" s="1" t="s">
        <v>126</v>
      </c>
      <c r="C95" s="1" t="s">
        <v>480</v>
      </c>
      <c r="D95" s="1" t="s">
        <v>127</v>
      </c>
      <c r="E95" s="2">
        <v>21301</v>
      </c>
      <c r="F95" s="16">
        <v>1041</v>
      </c>
      <c r="G95" s="16">
        <v>1028</v>
      </c>
      <c r="H95" s="16">
        <v>1007</v>
      </c>
      <c r="I95" s="16">
        <v>53</v>
      </c>
      <c r="J95" s="16">
        <v>62</v>
      </c>
      <c r="K95" s="16">
        <v>70</v>
      </c>
      <c r="L95" s="12">
        <f t="shared" si="58"/>
        <v>5.0912584053794427</v>
      </c>
      <c r="M95" s="12">
        <f t="shared" si="59"/>
        <v>6.0311284046692606</v>
      </c>
      <c r="N95" s="12">
        <f t="shared" si="60"/>
        <v>6.9513406156901683</v>
      </c>
      <c r="O95" s="12">
        <f t="shared" si="56"/>
        <v>6.0245758085796233</v>
      </c>
      <c r="P95" s="16">
        <v>991</v>
      </c>
      <c r="Q95" s="16">
        <v>951</v>
      </c>
      <c r="R95" s="16">
        <v>948</v>
      </c>
      <c r="S95" s="16">
        <v>16</v>
      </c>
      <c r="T95" s="16">
        <v>22</v>
      </c>
      <c r="U95" s="16">
        <v>17</v>
      </c>
      <c r="V95" s="12">
        <f t="shared" si="53"/>
        <v>1.6145307769929365</v>
      </c>
      <c r="W95" s="12">
        <f t="shared" si="54"/>
        <v>2.3133543638275498</v>
      </c>
      <c r="X95" s="12">
        <f t="shared" si="55"/>
        <v>1.7932489451476792</v>
      </c>
      <c r="Y95" s="12">
        <f t="shared" si="57"/>
        <v>1.9639425704102431</v>
      </c>
    </row>
    <row r="96" spans="1:25" x14ac:dyDescent="0.3">
      <c r="A96" s="1" t="s">
        <v>46</v>
      </c>
      <c r="B96" s="1" t="s">
        <v>126</v>
      </c>
      <c r="C96" s="1" t="s">
        <v>128</v>
      </c>
      <c r="D96" s="1" t="s">
        <v>128</v>
      </c>
      <c r="E96" s="2">
        <v>21302</v>
      </c>
      <c r="F96" s="16">
        <v>261</v>
      </c>
      <c r="G96" s="16">
        <v>300</v>
      </c>
      <c r="H96" s="16">
        <v>299</v>
      </c>
      <c r="I96" s="16">
        <v>45</v>
      </c>
      <c r="J96" s="16">
        <v>43</v>
      </c>
      <c r="K96" s="16">
        <v>38</v>
      </c>
      <c r="L96" s="12">
        <f t="shared" si="58"/>
        <v>17.241379310344829</v>
      </c>
      <c r="M96" s="12">
        <f t="shared" si="59"/>
        <v>14.333333333333334</v>
      </c>
      <c r="N96" s="12">
        <f t="shared" si="60"/>
        <v>12.709030100334449</v>
      </c>
      <c r="O96" s="12">
        <f t="shared" si="56"/>
        <v>14.761247581337537</v>
      </c>
      <c r="P96" s="16">
        <v>305</v>
      </c>
      <c r="Q96" s="16">
        <v>323</v>
      </c>
      <c r="R96" s="16">
        <v>326</v>
      </c>
      <c r="S96" s="16">
        <v>6</v>
      </c>
      <c r="T96" s="16">
        <v>16</v>
      </c>
      <c r="U96" s="16">
        <v>20</v>
      </c>
      <c r="V96" s="12">
        <f t="shared" si="53"/>
        <v>1.9672131147540985</v>
      </c>
      <c r="W96" s="12">
        <f t="shared" si="54"/>
        <v>4.9535603715170282</v>
      </c>
      <c r="X96" s="12">
        <f t="shared" si="55"/>
        <v>6.1349693251533743</v>
      </c>
      <c r="Y96" s="12">
        <f t="shared" si="57"/>
        <v>3.4603867431355635</v>
      </c>
    </row>
    <row r="97" spans="1:25" x14ac:dyDescent="0.3">
      <c r="A97" s="1" t="s">
        <v>46</v>
      </c>
      <c r="B97" s="1" t="s">
        <v>126</v>
      </c>
      <c r="C97" s="1" t="s">
        <v>129</v>
      </c>
      <c r="D97" s="1" t="s">
        <v>129</v>
      </c>
      <c r="E97" s="2">
        <v>21303</v>
      </c>
      <c r="F97" s="16">
        <v>371</v>
      </c>
      <c r="G97" s="16">
        <v>385</v>
      </c>
      <c r="H97" s="16">
        <v>408</v>
      </c>
      <c r="I97" s="16">
        <v>23</v>
      </c>
      <c r="J97" s="16">
        <v>34</v>
      </c>
      <c r="K97" s="16">
        <v>35</v>
      </c>
      <c r="L97" s="12">
        <f t="shared" si="58"/>
        <v>6.1994609164420487</v>
      </c>
      <c r="M97" s="12">
        <f t="shared" si="59"/>
        <v>8.8311688311688314</v>
      </c>
      <c r="N97" s="12">
        <f t="shared" si="60"/>
        <v>8.5784313725490193</v>
      </c>
      <c r="O97" s="12">
        <f t="shared" si="56"/>
        <v>7.8696870400533001</v>
      </c>
      <c r="P97" s="16">
        <v>361</v>
      </c>
      <c r="Q97" s="16">
        <v>346</v>
      </c>
      <c r="R97" s="16">
        <v>353</v>
      </c>
      <c r="S97" s="16">
        <v>11</v>
      </c>
      <c r="T97" s="16">
        <v>10</v>
      </c>
      <c r="U97" s="16">
        <v>17</v>
      </c>
      <c r="V97" s="12">
        <f t="shared" si="53"/>
        <v>3.0470914127423825</v>
      </c>
      <c r="W97" s="12">
        <f t="shared" si="54"/>
        <v>2.8901734104046244</v>
      </c>
      <c r="X97" s="12">
        <f t="shared" si="55"/>
        <v>4.8158640226628888</v>
      </c>
      <c r="Y97" s="12">
        <f t="shared" si="57"/>
        <v>2.9686324115735037</v>
      </c>
    </row>
    <row r="98" spans="1:25" x14ac:dyDescent="0.3">
      <c r="A98" s="1" t="s">
        <v>46</v>
      </c>
      <c r="B98" s="1" t="s">
        <v>126</v>
      </c>
      <c r="C98" s="1" t="s">
        <v>130</v>
      </c>
      <c r="D98" s="1" t="s">
        <v>130</v>
      </c>
      <c r="E98" s="2">
        <v>21304</v>
      </c>
      <c r="F98" s="16">
        <v>560</v>
      </c>
      <c r="G98" s="16">
        <v>582</v>
      </c>
      <c r="H98" s="16">
        <v>606</v>
      </c>
      <c r="I98" s="16">
        <v>61</v>
      </c>
      <c r="J98" s="16">
        <v>45</v>
      </c>
      <c r="K98" s="16">
        <v>54</v>
      </c>
      <c r="L98" s="12">
        <f t="shared" si="58"/>
        <v>10.892857142857142</v>
      </c>
      <c r="M98" s="12">
        <f t="shared" si="59"/>
        <v>7.731958762886598</v>
      </c>
      <c r="N98" s="12">
        <f t="shared" si="60"/>
        <v>8.9108910891089099</v>
      </c>
      <c r="O98" s="12">
        <f t="shared" si="56"/>
        <v>9.1785689982842182</v>
      </c>
      <c r="P98" s="16">
        <v>600</v>
      </c>
      <c r="Q98" s="16">
        <v>611</v>
      </c>
      <c r="R98" s="16">
        <v>607</v>
      </c>
      <c r="S98" s="16">
        <v>16</v>
      </c>
      <c r="T98" s="16">
        <v>28</v>
      </c>
      <c r="U98" s="16">
        <v>44</v>
      </c>
      <c r="V98" s="12">
        <f t="shared" ref="V98:V129" si="61">(S98/P98)*100</f>
        <v>2.666666666666667</v>
      </c>
      <c r="W98" s="12">
        <f t="shared" ref="W98:W129" si="62">(T98/Q98)*100</f>
        <v>4.5826513911620292</v>
      </c>
      <c r="X98" s="12">
        <f t="shared" ref="X98:X129" si="63">(U98/R98)*100</f>
        <v>7.2487644151565069</v>
      </c>
      <c r="Y98" s="12">
        <f t="shared" si="57"/>
        <v>3.6246590289143481</v>
      </c>
    </row>
    <row r="99" spans="1:25" x14ac:dyDescent="0.3">
      <c r="A99" s="1" t="s">
        <v>46</v>
      </c>
      <c r="B99" s="1" t="s">
        <v>126</v>
      </c>
      <c r="C99" s="1" t="s">
        <v>131</v>
      </c>
      <c r="D99" s="1" t="s">
        <v>131</v>
      </c>
      <c r="E99" s="2">
        <v>21305</v>
      </c>
      <c r="F99" s="16">
        <v>1417</v>
      </c>
      <c r="G99" s="16">
        <v>1484</v>
      </c>
      <c r="H99" s="16">
        <v>1497</v>
      </c>
      <c r="I99" s="16">
        <v>99</v>
      </c>
      <c r="J99" s="16">
        <v>87</v>
      </c>
      <c r="K99" s="16">
        <v>89</v>
      </c>
      <c r="L99" s="12">
        <f t="shared" si="58"/>
        <v>6.9865913902611156</v>
      </c>
      <c r="M99" s="12">
        <f t="shared" si="59"/>
        <v>5.8625336927223719</v>
      </c>
      <c r="N99" s="12">
        <f t="shared" si="60"/>
        <v>5.945223780895124</v>
      </c>
      <c r="O99" s="12">
        <f t="shared" si="56"/>
        <v>6.2647829546262033</v>
      </c>
      <c r="P99" s="16">
        <v>1469</v>
      </c>
      <c r="Q99" s="16">
        <v>1483</v>
      </c>
      <c r="R99" s="16">
        <v>1528</v>
      </c>
      <c r="S99" s="16">
        <v>25</v>
      </c>
      <c r="T99" s="16">
        <v>19</v>
      </c>
      <c r="U99" s="16">
        <v>36</v>
      </c>
      <c r="V99" s="12">
        <f t="shared" si="61"/>
        <v>1.7018379850238259</v>
      </c>
      <c r="W99" s="12">
        <f t="shared" si="62"/>
        <v>1.2811867835468644</v>
      </c>
      <c r="X99" s="12">
        <f t="shared" si="63"/>
        <v>2.3560209424083771</v>
      </c>
      <c r="Y99" s="12">
        <f t="shared" si="57"/>
        <v>1.491512384285345</v>
      </c>
    </row>
    <row r="100" spans="1:25" x14ac:dyDescent="0.3">
      <c r="A100" s="1" t="s">
        <v>46</v>
      </c>
      <c r="B100" s="1" t="s">
        <v>126</v>
      </c>
      <c r="C100" s="1" t="s">
        <v>132</v>
      </c>
      <c r="D100" s="1" t="s">
        <v>132</v>
      </c>
      <c r="E100" s="2">
        <v>21306</v>
      </c>
      <c r="F100" s="16">
        <v>455</v>
      </c>
      <c r="G100" s="16">
        <v>470</v>
      </c>
      <c r="H100" s="16">
        <v>499</v>
      </c>
      <c r="I100" s="16">
        <v>23</v>
      </c>
      <c r="J100" s="16">
        <v>29</v>
      </c>
      <c r="K100" s="16">
        <v>39</v>
      </c>
      <c r="L100" s="12">
        <f t="shared" si="58"/>
        <v>5.0549450549450547</v>
      </c>
      <c r="M100" s="12">
        <f t="shared" si="59"/>
        <v>6.1702127659574471</v>
      </c>
      <c r="N100" s="12">
        <f t="shared" si="60"/>
        <v>7.8156312625250495</v>
      </c>
      <c r="O100" s="12">
        <f t="shared" si="56"/>
        <v>6.3469296944758504</v>
      </c>
      <c r="P100" s="16">
        <v>430</v>
      </c>
      <c r="Q100" s="16">
        <v>449</v>
      </c>
      <c r="R100" s="16">
        <v>443</v>
      </c>
      <c r="S100" s="16">
        <v>8</v>
      </c>
      <c r="T100" s="16">
        <v>20</v>
      </c>
      <c r="U100" s="16">
        <v>12</v>
      </c>
      <c r="V100" s="12">
        <f t="shared" si="61"/>
        <v>1.8604651162790697</v>
      </c>
      <c r="W100" s="12">
        <f t="shared" si="62"/>
        <v>4.4543429844097995</v>
      </c>
      <c r="X100" s="12">
        <f t="shared" si="63"/>
        <v>2.7088036117381491</v>
      </c>
      <c r="Y100" s="12">
        <f t="shared" si="57"/>
        <v>3.1574040503444345</v>
      </c>
    </row>
    <row r="101" spans="1:25" x14ac:dyDescent="0.3">
      <c r="A101" s="1" t="s">
        <v>46</v>
      </c>
      <c r="B101" s="1" t="s">
        <v>126</v>
      </c>
      <c r="C101" s="1" t="s">
        <v>133</v>
      </c>
      <c r="D101" s="1" t="s">
        <v>133</v>
      </c>
      <c r="E101" s="2">
        <v>21307</v>
      </c>
      <c r="F101" s="16">
        <v>89</v>
      </c>
      <c r="G101" s="16">
        <v>92</v>
      </c>
      <c r="H101" s="16">
        <v>77</v>
      </c>
      <c r="I101" s="16">
        <v>0</v>
      </c>
      <c r="J101" s="16">
        <v>3</v>
      </c>
      <c r="K101" s="16">
        <v>5</v>
      </c>
      <c r="L101" s="12">
        <f t="shared" si="58"/>
        <v>0</v>
      </c>
      <c r="M101" s="12">
        <f t="shared" si="59"/>
        <v>3.2608695652173911</v>
      </c>
      <c r="N101" s="12">
        <f t="shared" si="60"/>
        <v>6.4935064935064926</v>
      </c>
      <c r="O101" s="12">
        <f t="shared" si="56"/>
        <v>3.2514586862412944</v>
      </c>
      <c r="P101" s="16">
        <v>103</v>
      </c>
      <c r="Q101" s="16">
        <v>93</v>
      </c>
      <c r="R101" s="16">
        <v>101</v>
      </c>
      <c r="S101" s="16">
        <v>3</v>
      </c>
      <c r="T101" s="16">
        <v>1</v>
      </c>
      <c r="U101" s="16">
        <v>1</v>
      </c>
      <c r="V101" s="12">
        <f t="shared" si="61"/>
        <v>2.912621359223301</v>
      </c>
      <c r="W101" s="12">
        <f t="shared" si="62"/>
        <v>1.0752688172043012</v>
      </c>
      <c r="X101" s="12">
        <f t="shared" si="63"/>
        <v>0.99009900990099009</v>
      </c>
      <c r="Y101" s="12">
        <f t="shared" si="57"/>
        <v>1.9939450882138012</v>
      </c>
    </row>
    <row r="102" spans="1:25" x14ac:dyDescent="0.3">
      <c r="A102" s="1" t="s">
        <v>46</v>
      </c>
      <c r="B102" s="1" t="s">
        <v>134</v>
      </c>
      <c r="C102" s="1" t="s">
        <v>135</v>
      </c>
      <c r="D102" s="1" t="s">
        <v>135</v>
      </c>
      <c r="E102" s="2">
        <v>21401</v>
      </c>
      <c r="F102" s="16">
        <v>809</v>
      </c>
      <c r="G102" s="16">
        <v>807</v>
      </c>
      <c r="H102" s="16">
        <v>792</v>
      </c>
      <c r="I102" s="16">
        <v>59</v>
      </c>
      <c r="J102" s="16">
        <v>53</v>
      </c>
      <c r="K102" s="16">
        <v>62</v>
      </c>
      <c r="L102" s="12">
        <f t="shared" si="58"/>
        <v>7.2929542645241039</v>
      </c>
      <c r="M102" s="12">
        <f t="shared" si="59"/>
        <v>6.5675340768277568</v>
      </c>
      <c r="N102" s="12">
        <f t="shared" si="60"/>
        <v>7.8282828282828287</v>
      </c>
      <c r="O102" s="12">
        <f t="shared" si="56"/>
        <v>7.2295903898782301</v>
      </c>
      <c r="P102" s="16">
        <v>955</v>
      </c>
      <c r="Q102" s="16">
        <v>979</v>
      </c>
      <c r="R102" s="16">
        <v>1004</v>
      </c>
      <c r="S102" s="16">
        <v>15</v>
      </c>
      <c r="T102" s="16">
        <v>22</v>
      </c>
      <c r="U102" s="16">
        <v>30</v>
      </c>
      <c r="V102" s="12">
        <f t="shared" si="61"/>
        <v>1.5706806282722512</v>
      </c>
      <c r="W102" s="12">
        <f t="shared" si="62"/>
        <v>2.2471910112359552</v>
      </c>
      <c r="X102" s="12">
        <f t="shared" si="63"/>
        <v>2.9880478087649402</v>
      </c>
      <c r="Y102" s="12">
        <f t="shared" si="57"/>
        <v>1.9089358197541033</v>
      </c>
    </row>
    <row r="103" spans="1:25" x14ac:dyDescent="0.3">
      <c r="A103" s="1" t="s">
        <v>46</v>
      </c>
      <c r="B103" s="1" t="s">
        <v>134</v>
      </c>
      <c r="C103" s="1" t="s">
        <v>136</v>
      </c>
      <c r="D103" s="1" t="s">
        <v>136</v>
      </c>
      <c r="E103" s="2">
        <v>21402</v>
      </c>
      <c r="F103" s="16">
        <v>702</v>
      </c>
      <c r="G103" s="16">
        <v>729</v>
      </c>
      <c r="H103" s="16">
        <v>728</v>
      </c>
      <c r="I103" s="16">
        <v>31</v>
      </c>
      <c r="J103" s="16">
        <v>34</v>
      </c>
      <c r="K103" s="16">
        <v>31</v>
      </c>
      <c r="L103" s="12">
        <f t="shared" si="58"/>
        <v>4.415954415954416</v>
      </c>
      <c r="M103" s="12">
        <f t="shared" si="59"/>
        <v>4.6639231824417013</v>
      </c>
      <c r="N103" s="12">
        <f t="shared" si="60"/>
        <v>4.2582417582417582</v>
      </c>
      <c r="O103" s="12">
        <f t="shared" si="56"/>
        <v>4.4460397855459588</v>
      </c>
      <c r="P103" s="16">
        <v>815</v>
      </c>
      <c r="Q103" s="16">
        <v>793</v>
      </c>
      <c r="R103" s="16">
        <v>762</v>
      </c>
      <c r="S103" s="16">
        <v>16</v>
      </c>
      <c r="T103" s="16">
        <v>18</v>
      </c>
      <c r="U103" s="16">
        <v>15</v>
      </c>
      <c r="V103" s="12">
        <f t="shared" si="61"/>
        <v>1.96319018404908</v>
      </c>
      <c r="W103" s="12">
        <f t="shared" si="62"/>
        <v>2.2698612862547289</v>
      </c>
      <c r="X103" s="12">
        <f t="shared" si="63"/>
        <v>1.9685039370078741</v>
      </c>
      <c r="Y103" s="12">
        <f t="shared" si="57"/>
        <v>2.1165257351519045</v>
      </c>
    </row>
    <row r="104" spans="1:25" x14ac:dyDescent="0.3">
      <c r="A104" s="1" t="s">
        <v>46</v>
      </c>
      <c r="B104" s="1" t="s">
        <v>137</v>
      </c>
      <c r="C104" s="1" t="s">
        <v>138</v>
      </c>
      <c r="D104" s="1" t="s">
        <v>138</v>
      </c>
      <c r="E104" s="2">
        <v>21501</v>
      </c>
      <c r="F104" s="16">
        <v>377</v>
      </c>
      <c r="G104" s="16">
        <v>399</v>
      </c>
      <c r="H104" s="16">
        <v>436</v>
      </c>
      <c r="I104" s="16">
        <v>52</v>
      </c>
      <c r="J104" s="16">
        <v>46</v>
      </c>
      <c r="K104" s="16">
        <v>46</v>
      </c>
      <c r="L104" s="12">
        <f t="shared" si="58"/>
        <v>13.793103448275861</v>
      </c>
      <c r="M104" s="12">
        <f t="shared" si="59"/>
        <v>11.528822055137844</v>
      </c>
      <c r="N104" s="12">
        <f t="shared" si="60"/>
        <v>10.550458715596331</v>
      </c>
      <c r="O104" s="12">
        <f t="shared" si="56"/>
        <v>11.957461406336678</v>
      </c>
      <c r="P104" s="16">
        <v>628</v>
      </c>
      <c r="Q104" s="16">
        <v>658</v>
      </c>
      <c r="R104" s="16">
        <v>663</v>
      </c>
      <c r="S104" s="16">
        <v>21</v>
      </c>
      <c r="T104" s="16">
        <v>27</v>
      </c>
      <c r="U104" s="16">
        <v>38</v>
      </c>
      <c r="V104" s="12">
        <f t="shared" si="61"/>
        <v>3.3439490445859872</v>
      </c>
      <c r="W104" s="12">
        <f t="shared" si="62"/>
        <v>4.1033434650455929</v>
      </c>
      <c r="X104" s="12">
        <f t="shared" si="63"/>
        <v>5.7315233785822022</v>
      </c>
      <c r="Y104" s="12">
        <f t="shared" si="57"/>
        <v>3.7236462548157903</v>
      </c>
    </row>
    <row r="105" spans="1:25" x14ac:dyDescent="0.3">
      <c r="A105" s="1" t="s">
        <v>46</v>
      </c>
      <c r="B105" s="1" t="s">
        <v>137</v>
      </c>
      <c r="C105" s="1" t="s">
        <v>139</v>
      </c>
      <c r="D105" s="1" t="s">
        <v>139</v>
      </c>
      <c r="E105" s="2">
        <v>21502</v>
      </c>
      <c r="F105" s="16">
        <v>402</v>
      </c>
      <c r="G105" s="16">
        <v>420</v>
      </c>
      <c r="H105" s="16">
        <v>433</v>
      </c>
      <c r="I105" s="16">
        <v>38</v>
      </c>
      <c r="J105" s="16">
        <v>24</v>
      </c>
      <c r="K105" s="16">
        <v>20</v>
      </c>
      <c r="L105" s="12">
        <f t="shared" si="58"/>
        <v>9.4527363184079594</v>
      </c>
      <c r="M105" s="12">
        <f t="shared" si="59"/>
        <v>5.7142857142857144</v>
      </c>
      <c r="N105" s="12">
        <f t="shared" si="60"/>
        <v>4.6189376443418011</v>
      </c>
      <c r="O105" s="12">
        <f t="shared" si="56"/>
        <v>6.5953198923451586</v>
      </c>
      <c r="P105" s="16">
        <v>573</v>
      </c>
      <c r="Q105" s="16">
        <v>576</v>
      </c>
      <c r="R105" s="16">
        <v>597</v>
      </c>
      <c r="S105" s="16">
        <v>31</v>
      </c>
      <c r="T105" s="16">
        <v>14</v>
      </c>
      <c r="U105" s="16">
        <v>18</v>
      </c>
      <c r="V105" s="12">
        <f t="shared" si="61"/>
        <v>5.4101221640488655</v>
      </c>
      <c r="W105" s="12">
        <f t="shared" si="62"/>
        <v>2.4305555555555558</v>
      </c>
      <c r="X105" s="12">
        <f t="shared" si="63"/>
        <v>3.0150753768844218</v>
      </c>
      <c r="Y105" s="12">
        <f t="shared" si="57"/>
        <v>3.9203388598022109</v>
      </c>
    </row>
    <row r="106" spans="1:25" x14ac:dyDescent="0.3">
      <c r="A106" s="1" t="s">
        <v>46</v>
      </c>
      <c r="B106" s="1" t="s">
        <v>140</v>
      </c>
      <c r="C106" s="1" t="s">
        <v>481</v>
      </c>
      <c r="D106" s="1" t="s">
        <v>141</v>
      </c>
      <c r="E106" s="2">
        <v>21601</v>
      </c>
      <c r="F106" s="16">
        <v>388</v>
      </c>
      <c r="G106" s="16">
        <v>420</v>
      </c>
      <c r="H106" s="16">
        <v>449</v>
      </c>
      <c r="I106" s="16">
        <v>49</v>
      </c>
      <c r="J106" s="16">
        <v>34</v>
      </c>
      <c r="K106" s="16">
        <v>47</v>
      </c>
      <c r="L106" s="12">
        <f t="shared" si="58"/>
        <v>12.628865979381443</v>
      </c>
      <c r="M106" s="12">
        <f t="shared" si="59"/>
        <v>8.0952380952380949</v>
      </c>
      <c r="N106" s="12">
        <f t="shared" si="60"/>
        <v>10.46770601336303</v>
      </c>
      <c r="O106" s="12">
        <f t="shared" si="56"/>
        <v>10.397270029327522</v>
      </c>
      <c r="P106" s="16">
        <v>517</v>
      </c>
      <c r="Q106" s="16">
        <v>527</v>
      </c>
      <c r="R106" s="16">
        <v>504</v>
      </c>
      <c r="S106" s="16">
        <v>18</v>
      </c>
      <c r="T106" s="16">
        <v>16</v>
      </c>
      <c r="U106" s="16">
        <v>16</v>
      </c>
      <c r="V106" s="12">
        <f t="shared" si="61"/>
        <v>3.4816247582205029</v>
      </c>
      <c r="W106" s="12">
        <f t="shared" si="62"/>
        <v>3.0360531309297913</v>
      </c>
      <c r="X106" s="12">
        <f t="shared" si="63"/>
        <v>3.1746031746031744</v>
      </c>
      <c r="Y106" s="12">
        <f t="shared" si="57"/>
        <v>3.2588389445751469</v>
      </c>
    </row>
    <row r="107" spans="1:25" x14ac:dyDescent="0.3">
      <c r="A107" s="1" t="s">
        <v>46</v>
      </c>
      <c r="B107" s="1" t="s">
        <v>140</v>
      </c>
      <c r="C107" s="1" t="s">
        <v>142</v>
      </c>
      <c r="D107" s="1" t="s">
        <v>142</v>
      </c>
      <c r="E107" s="2">
        <v>21602</v>
      </c>
      <c r="F107" s="16">
        <v>45</v>
      </c>
      <c r="G107" s="16">
        <v>56</v>
      </c>
      <c r="H107" s="16">
        <v>50</v>
      </c>
      <c r="I107" s="16">
        <v>2</v>
      </c>
      <c r="J107" s="16">
        <v>5</v>
      </c>
      <c r="K107" s="16">
        <v>2</v>
      </c>
      <c r="L107" s="12">
        <f t="shared" si="58"/>
        <v>4.4444444444444446</v>
      </c>
      <c r="M107" s="12">
        <f t="shared" si="59"/>
        <v>8.9285714285714288</v>
      </c>
      <c r="N107" s="12">
        <f t="shared" si="60"/>
        <v>4</v>
      </c>
      <c r="O107" s="12">
        <f t="shared" si="56"/>
        <v>5.7910052910052912</v>
      </c>
      <c r="P107" s="16">
        <v>78</v>
      </c>
      <c r="Q107" s="16">
        <v>81</v>
      </c>
      <c r="R107" s="16">
        <v>79</v>
      </c>
      <c r="S107" s="16">
        <v>2</v>
      </c>
      <c r="T107" s="16">
        <v>1</v>
      </c>
      <c r="U107" s="16">
        <v>2</v>
      </c>
      <c r="V107" s="12">
        <f t="shared" si="61"/>
        <v>2.5641025641025639</v>
      </c>
      <c r="W107" s="12">
        <f t="shared" si="62"/>
        <v>1.2345679012345678</v>
      </c>
      <c r="X107" s="12">
        <f t="shared" si="63"/>
        <v>2.5316455696202533</v>
      </c>
      <c r="Y107" s="12">
        <f t="shared" si="57"/>
        <v>1.899335232668566</v>
      </c>
    </row>
    <row r="108" spans="1:25" x14ac:dyDescent="0.3">
      <c r="A108" s="1" t="s">
        <v>46</v>
      </c>
      <c r="B108" s="1" t="s">
        <v>143</v>
      </c>
      <c r="C108" s="1" t="s">
        <v>144</v>
      </c>
      <c r="D108" s="1" t="s">
        <v>144</v>
      </c>
      <c r="E108" s="2">
        <v>21701</v>
      </c>
      <c r="F108" s="16">
        <v>823</v>
      </c>
      <c r="G108" s="16">
        <v>799</v>
      </c>
      <c r="H108" s="16">
        <v>797</v>
      </c>
      <c r="I108" s="16">
        <v>41</v>
      </c>
      <c r="J108" s="16">
        <v>41</v>
      </c>
      <c r="K108" s="16">
        <v>50</v>
      </c>
      <c r="L108" s="12">
        <f t="shared" si="58"/>
        <v>4.9817739975698663</v>
      </c>
      <c r="M108" s="12">
        <f t="shared" si="59"/>
        <v>5.1314142678347929</v>
      </c>
      <c r="N108" s="12">
        <f t="shared" si="60"/>
        <v>6.2735257214554583</v>
      </c>
      <c r="O108" s="12">
        <f t="shared" si="56"/>
        <v>5.4622379956200389</v>
      </c>
      <c r="P108" s="16">
        <v>692</v>
      </c>
      <c r="Q108" s="16">
        <v>684</v>
      </c>
      <c r="R108" s="16">
        <v>671</v>
      </c>
      <c r="S108" s="16">
        <v>11</v>
      </c>
      <c r="T108" s="16">
        <v>10</v>
      </c>
      <c r="U108" s="16">
        <v>14</v>
      </c>
      <c r="V108" s="12">
        <f t="shared" si="61"/>
        <v>1.5895953757225432</v>
      </c>
      <c r="W108" s="12">
        <f t="shared" si="62"/>
        <v>1.4619883040935671</v>
      </c>
      <c r="X108" s="12">
        <f t="shared" si="63"/>
        <v>2.0864381520119228</v>
      </c>
      <c r="Y108" s="12">
        <f t="shared" si="57"/>
        <v>1.525791839908055</v>
      </c>
    </row>
    <row r="109" spans="1:25" x14ac:dyDescent="0.3">
      <c r="A109" s="1" t="s">
        <v>46</v>
      </c>
      <c r="B109" s="1" t="s">
        <v>143</v>
      </c>
      <c r="C109" s="1" t="s">
        <v>145</v>
      </c>
      <c r="D109" s="1" t="s">
        <v>145</v>
      </c>
      <c r="E109" s="2">
        <v>21702</v>
      </c>
      <c r="F109" s="16">
        <v>184</v>
      </c>
      <c r="G109" s="16">
        <v>196</v>
      </c>
      <c r="H109" s="16">
        <v>194</v>
      </c>
      <c r="I109" s="16">
        <v>10</v>
      </c>
      <c r="J109" s="16">
        <v>6</v>
      </c>
      <c r="K109" s="16">
        <v>14</v>
      </c>
      <c r="L109" s="12">
        <f t="shared" si="58"/>
        <v>5.4347826086956523</v>
      </c>
      <c r="M109" s="12">
        <f t="shared" si="59"/>
        <v>3.0612244897959182</v>
      </c>
      <c r="N109" s="12">
        <f t="shared" si="60"/>
        <v>7.216494845360824</v>
      </c>
      <c r="O109" s="12">
        <f t="shared" si="56"/>
        <v>5.2375006479507986</v>
      </c>
      <c r="P109" s="16">
        <v>221</v>
      </c>
      <c r="Q109" s="16">
        <v>212</v>
      </c>
      <c r="R109" s="16">
        <v>205</v>
      </c>
      <c r="S109" s="16">
        <v>0</v>
      </c>
      <c r="T109" s="16">
        <v>2</v>
      </c>
      <c r="U109" s="16">
        <v>4</v>
      </c>
      <c r="V109" s="12">
        <f t="shared" si="61"/>
        <v>0</v>
      </c>
      <c r="W109" s="12">
        <f t="shared" si="62"/>
        <v>0.94339622641509435</v>
      </c>
      <c r="X109" s="12">
        <f t="shared" si="63"/>
        <v>1.9512195121951219</v>
      </c>
      <c r="Y109" s="12">
        <f t="shared" si="57"/>
        <v>0.47169811320754718</v>
      </c>
    </row>
    <row r="110" spans="1:25" x14ac:dyDescent="0.3">
      <c r="A110" s="1" t="s">
        <v>46</v>
      </c>
      <c r="B110" s="1" t="s">
        <v>143</v>
      </c>
      <c r="C110" s="1" t="s">
        <v>146</v>
      </c>
      <c r="D110" s="1" t="s">
        <v>146</v>
      </c>
      <c r="E110" s="2">
        <v>21703</v>
      </c>
      <c r="F110" s="16">
        <v>46</v>
      </c>
      <c r="G110" s="16">
        <v>46</v>
      </c>
      <c r="H110" s="16">
        <v>45</v>
      </c>
      <c r="I110" s="16">
        <v>1</v>
      </c>
      <c r="J110" s="16">
        <v>1</v>
      </c>
      <c r="K110" s="16">
        <v>1</v>
      </c>
      <c r="L110" s="12">
        <f t="shared" si="58"/>
        <v>2.1739130434782608</v>
      </c>
      <c r="M110" s="12">
        <f t="shared" si="59"/>
        <v>2.1739130434782608</v>
      </c>
      <c r="N110" s="12">
        <f t="shared" si="60"/>
        <v>2.2222222222222223</v>
      </c>
      <c r="O110" s="12">
        <f t="shared" si="56"/>
        <v>2.1900161030595813</v>
      </c>
      <c r="P110" s="16">
        <v>51</v>
      </c>
      <c r="Q110" s="16">
        <v>53</v>
      </c>
      <c r="R110" s="16">
        <v>57</v>
      </c>
      <c r="S110" s="16">
        <v>0</v>
      </c>
      <c r="T110" s="16">
        <v>0</v>
      </c>
      <c r="U110" s="16">
        <v>2</v>
      </c>
      <c r="V110" s="12">
        <f t="shared" si="61"/>
        <v>0</v>
      </c>
      <c r="W110" s="12">
        <f t="shared" si="62"/>
        <v>0</v>
      </c>
      <c r="X110" s="12">
        <f t="shared" si="63"/>
        <v>3.5087719298245612</v>
      </c>
      <c r="Y110" s="12">
        <f t="shared" si="57"/>
        <v>0</v>
      </c>
    </row>
    <row r="111" spans="1:25" x14ac:dyDescent="0.3">
      <c r="A111" s="1" t="s">
        <v>46</v>
      </c>
      <c r="B111" s="1" t="s">
        <v>147</v>
      </c>
      <c r="C111" s="1" t="s">
        <v>148</v>
      </c>
      <c r="D111" s="1" t="s">
        <v>148</v>
      </c>
      <c r="E111" s="2">
        <v>21801</v>
      </c>
      <c r="F111" s="16">
        <v>294</v>
      </c>
      <c r="G111" s="16">
        <v>292</v>
      </c>
      <c r="H111" s="16">
        <v>278</v>
      </c>
      <c r="I111" s="16">
        <v>18</v>
      </c>
      <c r="J111" s="16">
        <v>16</v>
      </c>
      <c r="K111" s="16">
        <v>10</v>
      </c>
      <c r="L111" s="12">
        <f t="shared" si="58"/>
        <v>6.1224489795918364</v>
      </c>
      <c r="M111" s="12">
        <f t="shared" si="59"/>
        <v>5.4794520547945202</v>
      </c>
      <c r="N111" s="12">
        <f t="shared" si="60"/>
        <v>3.5971223021582732</v>
      </c>
      <c r="O111" s="12">
        <f t="shared" si="56"/>
        <v>5.0663411121815436</v>
      </c>
      <c r="P111" s="16">
        <v>240</v>
      </c>
      <c r="Q111" s="16">
        <v>234</v>
      </c>
      <c r="R111" s="16">
        <v>224</v>
      </c>
      <c r="S111" s="16">
        <v>8</v>
      </c>
      <c r="T111" s="16">
        <v>10</v>
      </c>
      <c r="U111" s="16">
        <v>5</v>
      </c>
      <c r="V111" s="12">
        <f t="shared" si="61"/>
        <v>3.3333333333333335</v>
      </c>
      <c r="W111" s="12">
        <f t="shared" si="62"/>
        <v>4.2735042735042734</v>
      </c>
      <c r="X111" s="12">
        <f t="shared" si="63"/>
        <v>2.2321428571428572</v>
      </c>
      <c r="Y111" s="12">
        <f t="shared" si="57"/>
        <v>3.8034188034188032</v>
      </c>
    </row>
    <row r="112" spans="1:25" x14ac:dyDescent="0.3">
      <c r="A112" s="1" t="s">
        <v>46</v>
      </c>
      <c r="B112" s="1" t="s">
        <v>149</v>
      </c>
      <c r="C112" s="1" t="s">
        <v>150</v>
      </c>
      <c r="D112" s="1" t="s">
        <v>150</v>
      </c>
      <c r="E112" s="2">
        <v>21802</v>
      </c>
      <c r="F112" s="16">
        <v>208</v>
      </c>
      <c r="G112" s="16">
        <v>200</v>
      </c>
      <c r="H112" s="16">
        <v>196</v>
      </c>
      <c r="I112" s="16">
        <v>29</v>
      </c>
      <c r="J112" s="16">
        <v>13</v>
      </c>
      <c r="K112" s="16">
        <v>10</v>
      </c>
      <c r="L112" s="12">
        <f t="shared" si="58"/>
        <v>13.942307692307693</v>
      </c>
      <c r="M112" s="12">
        <f t="shared" si="59"/>
        <v>6.5</v>
      </c>
      <c r="N112" s="12">
        <f t="shared" si="60"/>
        <v>5.1020408163265305</v>
      </c>
      <c r="O112" s="12">
        <f t="shared" si="56"/>
        <v>8.514782836211408</v>
      </c>
      <c r="P112" s="16">
        <v>170</v>
      </c>
      <c r="Q112" s="16">
        <v>157</v>
      </c>
      <c r="R112" s="16">
        <v>157</v>
      </c>
      <c r="S112" s="16">
        <v>3</v>
      </c>
      <c r="T112" s="16">
        <v>4</v>
      </c>
      <c r="U112" s="16">
        <v>5</v>
      </c>
      <c r="V112" s="12">
        <f t="shared" si="61"/>
        <v>1.7647058823529411</v>
      </c>
      <c r="W112" s="12">
        <f t="shared" si="62"/>
        <v>2.547770700636943</v>
      </c>
      <c r="X112" s="12">
        <f t="shared" si="63"/>
        <v>3.1847133757961785</v>
      </c>
      <c r="Y112" s="12">
        <f t="shared" si="57"/>
        <v>2.1562382914949421</v>
      </c>
    </row>
    <row r="113" spans="1:25" x14ac:dyDescent="0.3">
      <c r="A113" s="1" t="s">
        <v>46</v>
      </c>
      <c r="B113" s="1" t="s">
        <v>149</v>
      </c>
      <c r="C113" s="1" t="s">
        <v>151</v>
      </c>
      <c r="D113" s="1" t="s">
        <v>151</v>
      </c>
      <c r="E113" s="2">
        <v>21803</v>
      </c>
      <c r="F113" s="16">
        <v>47</v>
      </c>
      <c r="G113" s="16">
        <v>46</v>
      </c>
      <c r="H113" s="16">
        <v>37</v>
      </c>
      <c r="I113" s="16">
        <v>4</v>
      </c>
      <c r="J113" s="16">
        <v>6</v>
      </c>
      <c r="K113" s="16">
        <v>1</v>
      </c>
      <c r="L113" s="12">
        <f t="shared" si="58"/>
        <v>8.5106382978723403</v>
      </c>
      <c r="M113" s="12">
        <f t="shared" si="59"/>
        <v>13.043478260869565</v>
      </c>
      <c r="N113" s="12">
        <f t="shared" si="60"/>
        <v>2.7027027027027026</v>
      </c>
      <c r="O113" s="12">
        <f t="shared" si="56"/>
        <v>8.0856064204815343</v>
      </c>
      <c r="P113" s="16">
        <v>60</v>
      </c>
      <c r="Q113" s="16">
        <v>57</v>
      </c>
      <c r="R113" s="16">
        <v>52</v>
      </c>
      <c r="S113" s="16">
        <v>0</v>
      </c>
      <c r="T113" s="16">
        <v>3</v>
      </c>
      <c r="U113" s="16">
        <v>1</v>
      </c>
      <c r="V113" s="12">
        <f t="shared" si="61"/>
        <v>0</v>
      </c>
      <c r="W113" s="12">
        <f t="shared" si="62"/>
        <v>5.2631578947368416</v>
      </c>
      <c r="X113" s="12">
        <f t="shared" si="63"/>
        <v>1.9230769230769231</v>
      </c>
      <c r="Y113" s="12">
        <f t="shared" si="57"/>
        <v>2.6315789473684208</v>
      </c>
    </row>
    <row r="114" spans="1:25" x14ac:dyDescent="0.3">
      <c r="A114" s="1" t="s">
        <v>46</v>
      </c>
      <c r="B114" s="1" t="s">
        <v>152</v>
      </c>
      <c r="C114" s="1" t="s">
        <v>153</v>
      </c>
      <c r="D114" s="1" t="s">
        <v>153</v>
      </c>
      <c r="E114" s="2">
        <v>21901</v>
      </c>
      <c r="F114" s="16">
        <v>168</v>
      </c>
      <c r="G114" s="16">
        <v>166</v>
      </c>
      <c r="H114" s="16">
        <v>160</v>
      </c>
      <c r="I114" s="16">
        <v>14</v>
      </c>
      <c r="J114" s="16">
        <v>12</v>
      </c>
      <c r="K114" s="16">
        <v>18</v>
      </c>
      <c r="L114" s="12">
        <f t="shared" si="58"/>
        <v>8.3333333333333321</v>
      </c>
      <c r="M114" s="12">
        <f t="shared" si="59"/>
        <v>7.2289156626506017</v>
      </c>
      <c r="N114" s="12">
        <f t="shared" si="60"/>
        <v>11.25</v>
      </c>
      <c r="O114" s="12">
        <f t="shared" si="56"/>
        <v>8.9374163319946458</v>
      </c>
      <c r="P114" s="16">
        <v>160</v>
      </c>
      <c r="Q114" s="16">
        <v>157</v>
      </c>
      <c r="R114" s="16">
        <v>154</v>
      </c>
      <c r="S114" s="16">
        <v>13</v>
      </c>
      <c r="T114" s="16">
        <v>2</v>
      </c>
      <c r="U114" s="16">
        <v>4</v>
      </c>
      <c r="V114" s="12">
        <f t="shared" si="61"/>
        <v>8.125</v>
      </c>
      <c r="W114" s="12">
        <f t="shared" si="62"/>
        <v>1.2738853503184715</v>
      </c>
      <c r="X114" s="12">
        <f t="shared" si="63"/>
        <v>2.5974025974025974</v>
      </c>
      <c r="Y114" s="12">
        <f t="shared" si="57"/>
        <v>4.6994426751592355</v>
      </c>
    </row>
    <row r="115" spans="1:25" x14ac:dyDescent="0.3">
      <c r="A115" s="1" t="s">
        <v>46</v>
      </c>
      <c r="B115" s="1" t="s">
        <v>152</v>
      </c>
      <c r="C115" s="1" t="s">
        <v>154</v>
      </c>
      <c r="D115" s="1" t="s">
        <v>154</v>
      </c>
      <c r="E115" s="2">
        <v>21902</v>
      </c>
      <c r="F115" s="16">
        <v>59</v>
      </c>
      <c r="G115" s="16">
        <v>57</v>
      </c>
      <c r="H115" s="16">
        <v>47</v>
      </c>
      <c r="I115" s="16">
        <v>1</v>
      </c>
      <c r="J115" s="16">
        <v>2</v>
      </c>
      <c r="K115" s="16">
        <v>1</v>
      </c>
      <c r="L115" s="12">
        <f t="shared" si="58"/>
        <v>1.6949152542372881</v>
      </c>
      <c r="M115" s="12">
        <f t="shared" si="59"/>
        <v>3.5087719298245612</v>
      </c>
      <c r="N115" s="12">
        <f t="shared" si="60"/>
        <v>2.1276595744680851</v>
      </c>
      <c r="O115" s="12">
        <f t="shared" si="56"/>
        <v>2.4437822528433113</v>
      </c>
      <c r="P115" s="16">
        <v>34</v>
      </c>
      <c r="Q115" s="16">
        <v>31</v>
      </c>
      <c r="R115" s="16">
        <v>25</v>
      </c>
      <c r="S115" s="16">
        <v>1</v>
      </c>
      <c r="T115" s="16">
        <v>0</v>
      </c>
      <c r="U115" s="16">
        <v>0</v>
      </c>
      <c r="V115" s="12">
        <f t="shared" si="61"/>
        <v>2.9411764705882351</v>
      </c>
      <c r="W115" s="12">
        <f t="shared" si="62"/>
        <v>0</v>
      </c>
      <c r="X115" s="12">
        <f t="shared" si="63"/>
        <v>0</v>
      </c>
      <c r="Y115" s="12">
        <f t="shared" si="57"/>
        <v>1.4705882352941175</v>
      </c>
    </row>
    <row r="116" spans="1:25" x14ac:dyDescent="0.3">
      <c r="A116" s="1" t="s">
        <v>46</v>
      </c>
      <c r="B116" s="1" t="s">
        <v>155</v>
      </c>
      <c r="C116" s="1" t="s">
        <v>155</v>
      </c>
      <c r="D116" s="1" t="s">
        <v>155</v>
      </c>
      <c r="E116" s="2">
        <v>22001</v>
      </c>
      <c r="F116" s="16">
        <v>3050</v>
      </c>
      <c r="G116" s="16">
        <v>3119</v>
      </c>
      <c r="H116" s="16">
        <v>2737</v>
      </c>
      <c r="I116" s="16">
        <v>250</v>
      </c>
      <c r="J116" s="16">
        <v>197</v>
      </c>
      <c r="K116" s="16">
        <v>189</v>
      </c>
      <c r="L116" s="12">
        <f t="shared" si="58"/>
        <v>8.1967213114754092</v>
      </c>
      <c r="M116" s="12">
        <f t="shared" si="59"/>
        <v>6.3161269637704391</v>
      </c>
      <c r="N116" s="12">
        <f t="shared" si="60"/>
        <v>6.9053708439897692</v>
      </c>
      <c r="O116" s="12">
        <f t="shared" si="56"/>
        <v>7.1394063730785389</v>
      </c>
      <c r="P116" s="16">
        <v>2632</v>
      </c>
      <c r="Q116" s="16">
        <v>2650</v>
      </c>
      <c r="R116" s="16">
        <v>2668</v>
      </c>
      <c r="S116" s="16">
        <v>89</v>
      </c>
      <c r="T116" s="16">
        <v>99</v>
      </c>
      <c r="U116" s="16">
        <v>96</v>
      </c>
      <c r="V116" s="12">
        <f t="shared" si="61"/>
        <v>3.3814589665653498</v>
      </c>
      <c r="W116" s="12">
        <f t="shared" si="62"/>
        <v>3.7358490566037741</v>
      </c>
      <c r="X116" s="12">
        <f t="shared" si="63"/>
        <v>3.5982008995502248</v>
      </c>
      <c r="Y116" s="12">
        <f t="shared" si="57"/>
        <v>3.558654011584562</v>
      </c>
    </row>
    <row r="117" spans="1:25" x14ac:dyDescent="0.3">
      <c r="A117" s="1" t="s">
        <v>46</v>
      </c>
      <c r="B117" s="1" t="s">
        <v>155</v>
      </c>
      <c r="C117" s="1" t="s">
        <v>156</v>
      </c>
      <c r="D117" s="1" t="s">
        <v>156</v>
      </c>
      <c r="E117" s="2">
        <v>22002</v>
      </c>
      <c r="F117" s="16">
        <v>0</v>
      </c>
      <c r="G117" s="16">
        <v>0</v>
      </c>
      <c r="H117" s="16">
        <v>329</v>
      </c>
      <c r="I117" s="16">
        <v>0</v>
      </c>
      <c r="J117" s="16">
        <v>0</v>
      </c>
      <c r="K117" s="16">
        <v>17</v>
      </c>
      <c r="L117" s="12"/>
      <c r="M117" s="12"/>
      <c r="N117" s="12">
        <f t="shared" si="60"/>
        <v>5.1671732522796354</v>
      </c>
      <c r="O117" s="12">
        <f t="shared" si="56"/>
        <v>5.1671732522796354</v>
      </c>
      <c r="P117" s="16">
        <v>452</v>
      </c>
      <c r="Q117" s="16">
        <v>483</v>
      </c>
      <c r="R117" s="16">
        <v>480</v>
      </c>
      <c r="S117" s="16">
        <v>12</v>
      </c>
      <c r="T117" s="16">
        <v>11</v>
      </c>
      <c r="U117" s="16">
        <v>18</v>
      </c>
      <c r="V117" s="12">
        <f t="shared" si="61"/>
        <v>2.6548672566371683</v>
      </c>
      <c r="W117" s="12">
        <f t="shared" si="62"/>
        <v>2.2774327122153206</v>
      </c>
      <c r="X117" s="12">
        <f t="shared" si="63"/>
        <v>3.75</v>
      </c>
      <c r="Y117" s="12">
        <f t="shared" si="57"/>
        <v>2.4661499844262442</v>
      </c>
    </row>
    <row r="118" spans="1:25" x14ac:dyDescent="0.3">
      <c r="A118" s="1" t="s">
        <v>157</v>
      </c>
      <c r="B118" s="1" t="s">
        <v>158</v>
      </c>
      <c r="C118" s="1" t="s">
        <v>157</v>
      </c>
      <c r="D118" s="1" t="s">
        <v>157</v>
      </c>
      <c r="E118" s="2">
        <v>30101</v>
      </c>
      <c r="F118" s="16">
        <v>41400</v>
      </c>
      <c r="G118" s="16">
        <v>42471</v>
      </c>
      <c r="H118" s="16">
        <v>42993</v>
      </c>
      <c r="I118" s="16">
        <v>1425</v>
      </c>
      <c r="J118" s="16">
        <v>1567</v>
      </c>
      <c r="K118" s="16">
        <v>1573</v>
      </c>
      <c r="L118" s="12">
        <f t="shared" ref="L118:M123" si="64">(I118/F118)*100</f>
        <v>3.4420289855072466</v>
      </c>
      <c r="M118" s="12">
        <f t="shared" si="64"/>
        <v>3.6895764168491443</v>
      </c>
      <c r="N118" s="12">
        <f t="shared" si="60"/>
        <v>3.6587351429302446</v>
      </c>
      <c r="O118" s="12">
        <f t="shared" si="56"/>
        <v>3.5967801817622118</v>
      </c>
      <c r="P118" s="16">
        <v>43114</v>
      </c>
      <c r="Q118" s="16">
        <v>43165</v>
      </c>
      <c r="R118" s="16">
        <v>43516</v>
      </c>
      <c r="S118" s="16">
        <v>737</v>
      </c>
      <c r="T118" s="16">
        <v>576</v>
      </c>
      <c r="U118" s="16">
        <v>636</v>
      </c>
      <c r="V118" s="12">
        <f t="shared" si="61"/>
        <v>1.7094215336085725</v>
      </c>
      <c r="W118" s="12">
        <f t="shared" si="62"/>
        <v>1.3344144561566085</v>
      </c>
      <c r="X118" s="12">
        <f t="shared" si="63"/>
        <v>1.4615313907528265</v>
      </c>
      <c r="Y118" s="12">
        <f t="shared" si="57"/>
        <v>1.5219179948825905</v>
      </c>
    </row>
    <row r="119" spans="1:25" x14ac:dyDescent="0.3">
      <c r="A119" s="1" t="s">
        <v>157</v>
      </c>
      <c r="B119" s="1" t="s">
        <v>159</v>
      </c>
      <c r="C119" s="1" t="s">
        <v>160</v>
      </c>
      <c r="D119" s="1" t="s">
        <v>160</v>
      </c>
      <c r="E119" s="2">
        <v>30201</v>
      </c>
      <c r="F119" s="16">
        <v>1254</v>
      </c>
      <c r="G119" s="16">
        <v>1328</v>
      </c>
      <c r="H119" s="16">
        <v>1349</v>
      </c>
      <c r="I119" s="16">
        <v>51</v>
      </c>
      <c r="J119" s="16">
        <v>84</v>
      </c>
      <c r="K119" s="16">
        <v>87</v>
      </c>
      <c r="L119" s="12">
        <f t="shared" si="64"/>
        <v>4.0669856459330145</v>
      </c>
      <c r="M119" s="12">
        <f t="shared" si="64"/>
        <v>6.3253012048192767</v>
      </c>
      <c r="N119" s="12">
        <f t="shared" ref="N119:N150" si="65">(K119/H119)*100</f>
        <v>6.4492216456634539</v>
      </c>
      <c r="O119" s="12">
        <f t="shared" si="56"/>
        <v>5.6138361654719153</v>
      </c>
      <c r="P119" s="16">
        <v>1243</v>
      </c>
      <c r="Q119" s="16">
        <v>1274</v>
      </c>
      <c r="R119" s="16">
        <v>1263</v>
      </c>
      <c r="S119" s="16">
        <v>22</v>
      </c>
      <c r="T119" s="16">
        <v>31</v>
      </c>
      <c r="U119" s="16">
        <v>39</v>
      </c>
      <c r="V119" s="12">
        <f t="shared" si="61"/>
        <v>1.7699115044247788</v>
      </c>
      <c r="W119" s="12">
        <f t="shared" si="62"/>
        <v>2.4332810047095763</v>
      </c>
      <c r="X119" s="12">
        <f t="shared" si="63"/>
        <v>3.0878859857482186</v>
      </c>
      <c r="Y119" s="12">
        <f t="shared" si="57"/>
        <v>2.1015962545671778</v>
      </c>
    </row>
    <row r="120" spans="1:25" x14ac:dyDescent="0.3">
      <c r="A120" s="1" t="s">
        <v>157</v>
      </c>
      <c r="B120" s="1" t="s">
        <v>159</v>
      </c>
      <c r="C120" s="1" t="s">
        <v>161</v>
      </c>
      <c r="D120" s="1" t="s">
        <v>161</v>
      </c>
      <c r="E120" s="2">
        <v>30202</v>
      </c>
      <c r="F120" s="16">
        <v>189</v>
      </c>
      <c r="G120" s="16">
        <v>193</v>
      </c>
      <c r="H120" s="16">
        <v>190</v>
      </c>
      <c r="I120" s="16">
        <v>10</v>
      </c>
      <c r="J120" s="16">
        <v>8</v>
      </c>
      <c r="K120" s="16">
        <v>12</v>
      </c>
      <c r="L120" s="12">
        <f t="shared" si="64"/>
        <v>5.2910052910052912</v>
      </c>
      <c r="M120" s="12">
        <f t="shared" si="64"/>
        <v>4.1450777202072544</v>
      </c>
      <c r="N120" s="12">
        <f t="shared" si="65"/>
        <v>6.3157894736842106</v>
      </c>
      <c r="O120" s="12">
        <f t="shared" si="56"/>
        <v>5.2506241616322518</v>
      </c>
      <c r="P120" s="16">
        <v>110</v>
      </c>
      <c r="Q120" s="16">
        <v>118</v>
      </c>
      <c r="R120" s="16">
        <v>118</v>
      </c>
      <c r="S120" s="16">
        <v>3</v>
      </c>
      <c r="T120" s="16">
        <v>0</v>
      </c>
      <c r="U120" s="16">
        <v>2</v>
      </c>
      <c r="V120" s="12">
        <f t="shared" si="61"/>
        <v>2.7272727272727271</v>
      </c>
      <c r="W120" s="12">
        <f t="shared" si="62"/>
        <v>0</v>
      </c>
      <c r="X120" s="12">
        <f t="shared" si="63"/>
        <v>1.6949152542372881</v>
      </c>
      <c r="Y120" s="12">
        <f t="shared" si="57"/>
        <v>1.3636363636363635</v>
      </c>
    </row>
    <row r="121" spans="1:25" x14ac:dyDescent="0.3">
      <c r="A121" s="1" t="s">
        <v>157</v>
      </c>
      <c r="B121" s="1" t="s">
        <v>159</v>
      </c>
      <c r="C121" s="1" t="s">
        <v>162</v>
      </c>
      <c r="D121" s="1" t="s">
        <v>162</v>
      </c>
      <c r="E121" s="2">
        <v>30203</v>
      </c>
      <c r="F121" s="16">
        <v>179</v>
      </c>
      <c r="G121" s="16">
        <v>180</v>
      </c>
      <c r="H121" s="16">
        <v>203</v>
      </c>
      <c r="I121" s="16">
        <v>19</v>
      </c>
      <c r="J121" s="16">
        <v>13</v>
      </c>
      <c r="K121" s="16">
        <v>18</v>
      </c>
      <c r="L121" s="12">
        <f t="shared" si="64"/>
        <v>10.614525139664805</v>
      </c>
      <c r="M121" s="12">
        <f t="shared" si="64"/>
        <v>7.2222222222222214</v>
      </c>
      <c r="N121" s="12">
        <f t="shared" si="65"/>
        <v>8.8669950738916263</v>
      </c>
      <c r="O121" s="12">
        <f t="shared" si="56"/>
        <v>8.9012474785928841</v>
      </c>
      <c r="P121" s="16">
        <v>269</v>
      </c>
      <c r="Q121" s="16">
        <v>251</v>
      </c>
      <c r="R121" s="16">
        <v>246</v>
      </c>
      <c r="S121" s="16">
        <v>9</v>
      </c>
      <c r="T121" s="16">
        <v>0</v>
      </c>
      <c r="U121" s="16">
        <v>4</v>
      </c>
      <c r="V121" s="12">
        <f t="shared" si="61"/>
        <v>3.3457249070631967</v>
      </c>
      <c r="W121" s="12">
        <f t="shared" si="62"/>
        <v>0</v>
      </c>
      <c r="X121" s="12">
        <f t="shared" si="63"/>
        <v>1.6260162601626018</v>
      </c>
      <c r="Y121" s="12">
        <f t="shared" si="57"/>
        <v>1.6728624535315983</v>
      </c>
    </row>
    <row r="122" spans="1:25" x14ac:dyDescent="0.3">
      <c r="A122" s="1" t="s">
        <v>157</v>
      </c>
      <c r="B122" s="1" t="s">
        <v>163</v>
      </c>
      <c r="C122" s="1" t="s">
        <v>163</v>
      </c>
      <c r="D122" s="1" t="s">
        <v>164</v>
      </c>
      <c r="E122" s="2">
        <v>30301</v>
      </c>
      <c r="F122" s="16">
        <v>944</v>
      </c>
      <c r="G122" s="16">
        <v>934</v>
      </c>
      <c r="H122" s="16">
        <v>994</v>
      </c>
      <c r="I122" s="16">
        <v>131</v>
      </c>
      <c r="J122" s="16">
        <v>148</v>
      </c>
      <c r="K122" s="16">
        <v>110</v>
      </c>
      <c r="L122" s="12">
        <f t="shared" si="64"/>
        <v>13.877118644067796</v>
      </c>
      <c r="M122" s="12">
        <f t="shared" si="64"/>
        <v>15.845824411134904</v>
      </c>
      <c r="N122" s="12">
        <f t="shared" si="65"/>
        <v>11.066398390342053</v>
      </c>
      <c r="O122" s="12">
        <f t="shared" si="56"/>
        <v>13.596447148514917</v>
      </c>
      <c r="P122" s="16">
        <v>986</v>
      </c>
      <c r="Q122" s="16">
        <v>1008</v>
      </c>
      <c r="R122" s="16">
        <v>984</v>
      </c>
      <c r="S122" s="16">
        <v>38</v>
      </c>
      <c r="T122" s="16">
        <v>40</v>
      </c>
      <c r="U122" s="16">
        <v>40</v>
      </c>
      <c r="V122" s="12">
        <f t="shared" si="61"/>
        <v>3.8539553752535496</v>
      </c>
      <c r="W122" s="12">
        <f t="shared" si="62"/>
        <v>3.9682539682539679</v>
      </c>
      <c r="X122" s="12">
        <f t="shared" si="63"/>
        <v>4.0650406504065035</v>
      </c>
      <c r="Y122" s="12">
        <f t="shared" si="57"/>
        <v>3.9111046717537588</v>
      </c>
    </row>
    <row r="123" spans="1:25" x14ac:dyDescent="0.3">
      <c r="A123" s="1" t="s">
        <v>157</v>
      </c>
      <c r="B123" s="1" t="s">
        <v>163</v>
      </c>
      <c r="C123" s="1" t="s">
        <v>165</v>
      </c>
      <c r="D123" s="1" t="s">
        <v>165</v>
      </c>
      <c r="E123" s="2">
        <v>30302</v>
      </c>
      <c r="F123" s="16">
        <v>646</v>
      </c>
      <c r="G123" s="16">
        <v>676</v>
      </c>
      <c r="H123" s="16">
        <v>354</v>
      </c>
      <c r="I123" s="16">
        <v>94</v>
      </c>
      <c r="J123" s="16">
        <v>88</v>
      </c>
      <c r="K123" s="16">
        <v>52</v>
      </c>
      <c r="L123" s="12">
        <f t="shared" si="64"/>
        <v>14.551083591331269</v>
      </c>
      <c r="M123" s="12">
        <f t="shared" si="64"/>
        <v>13.017751479289942</v>
      </c>
      <c r="N123" s="12">
        <f t="shared" si="65"/>
        <v>14.689265536723164</v>
      </c>
      <c r="O123" s="12">
        <f t="shared" si="56"/>
        <v>14.086033535781459</v>
      </c>
      <c r="P123" s="16">
        <v>475</v>
      </c>
      <c r="Q123" s="16">
        <v>461</v>
      </c>
      <c r="R123" s="16">
        <v>466</v>
      </c>
      <c r="S123" s="16">
        <v>16</v>
      </c>
      <c r="T123" s="16">
        <v>14</v>
      </c>
      <c r="U123" s="16">
        <v>14</v>
      </c>
      <c r="V123" s="12">
        <f t="shared" si="61"/>
        <v>3.3684210526315788</v>
      </c>
      <c r="W123" s="12">
        <f t="shared" si="62"/>
        <v>3.0368763557483729</v>
      </c>
      <c r="X123" s="12">
        <f t="shared" si="63"/>
        <v>3.0042918454935621</v>
      </c>
      <c r="Y123" s="12">
        <f t="shared" si="57"/>
        <v>3.2026487041899756</v>
      </c>
    </row>
    <row r="124" spans="1:25" x14ac:dyDescent="0.3">
      <c r="A124" s="1" t="s">
        <v>157</v>
      </c>
      <c r="B124" s="1" t="s">
        <v>163</v>
      </c>
      <c r="C124" s="1" t="s">
        <v>166</v>
      </c>
      <c r="D124" s="1" t="s">
        <v>166</v>
      </c>
      <c r="E124" s="2">
        <v>30303</v>
      </c>
      <c r="F124" s="16">
        <v>0</v>
      </c>
      <c r="G124" s="16">
        <v>0</v>
      </c>
      <c r="H124" s="16">
        <v>345</v>
      </c>
      <c r="I124" s="16">
        <v>0</v>
      </c>
      <c r="J124" s="16">
        <v>0</v>
      </c>
      <c r="K124" s="16">
        <v>50</v>
      </c>
      <c r="L124" s="12"/>
      <c r="M124" s="12"/>
      <c r="N124" s="12">
        <f t="shared" si="65"/>
        <v>14.492753623188406</v>
      </c>
      <c r="O124" s="12">
        <f t="shared" si="56"/>
        <v>14.492753623188406</v>
      </c>
      <c r="P124" s="16">
        <v>646</v>
      </c>
      <c r="Q124" s="16">
        <v>648</v>
      </c>
      <c r="R124" s="16">
        <v>658</v>
      </c>
      <c r="S124" s="16">
        <v>45</v>
      </c>
      <c r="T124" s="16">
        <v>24</v>
      </c>
      <c r="U124" s="16">
        <v>30</v>
      </c>
      <c r="V124" s="12">
        <f t="shared" si="61"/>
        <v>6.96594427244582</v>
      </c>
      <c r="W124" s="12">
        <f t="shared" si="62"/>
        <v>3.7037037037037033</v>
      </c>
      <c r="X124" s="12">
        <f t="shared" si="63"/>
        <v>4.5592705167173255</v>
      </c>
      <c r="Y124" s="12">
        <f t="shared" si="57"/>
        <v>5.3348239880747617</v>
      </c>
    </row>
    <row r="125" spans="1:25" x14ac:dyDescent="0.3">
      <c r="A125" s="1" t="s">
        <v>157</v>
      </c>
      <c r="B125" s="1" t="s">
        <v>167</v>
      </c>
      <c r="C125" s="1" t="s">
        <v>168</v>
      </c>
      <c r="D125" s="1" t="s">
        <v>168</v>
      </c>
      <c r="E125" s="2">
        <v>30401</v>
      </c>
      <c r="F125" s="16">
        <v>623</v>
      </c>
      <c r="G125" s="16">
        <v>644</v>
      </c>
      <c r="H125" s="16">
        <v>647</v>
      </c>
      <c r="I125" s="16">
        <v>28</v>
      </c>
      <c r="J125" s="16">
        <v>39</v>
      </c>
      <c r="K125" s="16">
        <v>28</v>
      </c>
      <c r="L125" s="12">
        <f t="shared" ref="L125:L160" si="66">(I125/F125)*100</f>
        <v>4.4943820224719104</v>
      </c>
      <c r="M125" s="12">
        <f t="shared" ref="M125:M160" si="67">(J125/G125)*100</f>
        <v>6.0559006211180124</v>
      </c>
      <c r="N125" s="12">
        <f t="shared" si="65"/>
        <v>4.327666151468315</v>
      </c>
      <c r="O125" s="12">
        <f t="shared" si="56"/>
        <v>4.9593162650194129</v>
      </c>
      <c r="P125" s="16">
        <v>599</v>
      </c>
      <c r="Q125" s="16">
        <v>590</v>
      </c>
      <c r="R125" s="16">
        <v>614</v>
      </c>
      <c r="S125" s="16">
        <v>21</v>
      </c>
      <c r="T125" s="16">
        <v>11</v>
      </c>
      <c r="U125" s="16">
        <v>11</v>
      </c>
      <c r="V125" s="12">
        <f t="shared" si="61"/>
        <v>3.5058430717863103</v>
      </c>
      <c r="W125" s="12">
        <f t="shared" si="62"/>
        <v>1.8644067796610171</v>
      </c>
      <c r="X125" s="12">
        <f t="shared" si="63"/>
        <v>1.7915309446254073</v>
      </c>
      <c r="Y125" s="12">
        <f t="shared" si="57"/>
        <v>2.6851249257236636</v>
      </c>
    </row>
    <row r="126" spans="1:25" x14ac:dyDescent="0.3">
      <c r="A126" s="1" t="s">
        <v>157</v>
      </c>
      <c r="B126" s="1" t="s">
        <v>167</v>
      </c>
      <c r="C126" s="1" t="s">
        <v>169</v>
      </c>
      <c r="D126" s="1" t="s">
        <v>170</v>
      </c>
      <c r="E126" s="2">
        <v>30402</v>
      </c>
      <c r="F126" s="16">
        <v>239</v>
      </c>
      <c r="G126" s="16">
        <v>279</v>
      </c>
      <c r="H126" s="16">
        <v>283</v>
      </c>
      <c r="I126" s="16">
        <v>19</v>
      </c>
      <c r="J126" s="16">
        <v>37</v>
      </c>
      <c r="K126" s="16">
        <v>33</v>
      </c>
      <c r="L126" s="12">
        <f t="shared" si="66"/>
        <v>7.9497907949790791</v>
      </c>
      <c r="M126" s="12">
        <f t="shared" si="67"/>
        <v>13.261648745519713</v>
      </c>
      <c r="N126" s="12">
        <f t="shared" si="65"/>
        <v>11.66077738515901</v>
      </c>
      <c r="O126" s="12">
        <f t="shared" si="56"/>
        <v>10.957405641885934</v>
      </c>
      <c r="P126" s="16">
        <v>276</v>
      </c>
      <c r="Q126" s="16">
        <v>290</v>
      </c>
      <c r="R126" s="16">
        <v>271</v>
      </c>
      <c r="S126" s="16">
        <v>6</v>
      </c>
      <c r="T126" s="16">
        <v>16</v>
      </c>
      <c r="U126" s="16">
        <v>7</v>
      </c>
      <c r="V126" s="12">
        <f t="shared" si="61"/>
        <v>2.1739130434782608</v>
      </c>
      <c r="W126" s="12">
        <f t="shared" si="62"/>
        <v>5.5172413793103452</v>
      </c>
      <c r="X126" s="12">
        <f t="shared" si="63"/>
        <v>2.5830258302583027</v>
      </c>
      <c r="Y126" s="12">
        <f t="shared" si="57"/>
        <v>3.845577211394303</v>
      </c>
    </row>
    <row r="127" spans="1:25" x14ac:dyDescent="0.3">
      <c r="A127" s="1" t="s">
        <v>157</v>
      </c>
      <c r="B127" s="1" t="s">
        <v>167</v>
      </c>
      <c r="C127" s="1" t="s">
        <v>171</v>
      </c>
      <c r="D127" s="1" t="s">
        <v>171</v>
      </c>
      <c r="E127" s="2">
        <v>30403</v>
      </c>
      <c r="F127" s="16">
        <v>383</v>
      </c>
      <c r="G127" s="16">
        <v>473</v>
      </c>
      <c r="H127" s="16">
        <v>565</v>
      </c>
      <c r="I127" s="16">
        <v>29</v>
      </c>
      <c r="J127" s="16">
        <v>33</v>
      </c>
      <c r="K127" s="16">
        <v>31</v>
      </c>
      <c r="L127" s="12">
        <f t="shared" si="66"/>
        <v>7.5718015665796345</v>
      </c>
      <c r="M127" s="12">
        <f t="shared" si="67"/>
        <v>6.9767441860465116</v>
      </c>
      <c r="N127" s="12">
        <f t="shared" si="65"/>
        <v>5.4867256637168138</v>
      </c>
      <c r="O127" s="12">
        <f t="shared" si="56"/>
        <v>6.6784238054476539</v>
      </c>
      <c r="P127" s="16">
        <v>858</v>
      </c>
      <c r="Q127" s="16">
        <v>913</v>
      </c>
      <c r="R127" s="16">
        <v>936</v>
      </c>
      <c r="S127" s="16">
        <v>22</v>
      </c>
      <c r="T127" s="16">
        <v>20</v>
      </c>
      <c r="U127" s="16">
        <v>25</v>
      </c>
      <c r="V127" s="12">
        <f t="shared" si="61"/>
        <v>2.5641025641025639</v>
      </c>
      <c r="W127" s="12">
        <f t="shared" si="62"/>
        <v>2.190580503833516</v>
      </c>
      <c r="X127" s="12">
        <f t="shared" si="63"/>
        <v>2.6709401709401708</v>
      </c>
      <c r="Y127" s="12">
        <f t="shared" si="57"/>
        <v>2.3773415339680399</v>
      </c>
    </row>
    <row r="128" spans="1:25" x14ac:dyDescent="0.3">
      <c r="A128" s="1" t="s">
        <v>157</v>
      </c>
      <c r="B128" s="1" t="s">
        <v>167</v>
      </c>
      <c r="C128" s="1" t="s">
        <v>172</v>
      </c>
      <c r="D128" s="1" t="s">
        <v>172</v>
      </c>
      <c r="E128" s="2">
        <v>30404</v>
      </c>
      <c r="F128" s="16">
        <v>185</v>
      </c>
      <c r="G128" s="16">
        <v>183</v>
      </c>
      <c r="H128" s="16">
        <v>181</v>
      </c>
      <c r="I128" s="16">
        <v>17</v>
      </c>
      <c r="J128" s="16">
        <v>25</v>
      </c>
      <c r="K128" s="16">
        <v>17</v>
      </c>
      <c r="L128" s="12">
        <f t="shared" si="66"/>
        <v>9.1891891891891895</v>
      </c>
      <c r="M128" s="12">
        <f t="shared" si="67"/>
        <v>13.661202185792352</v>
      </c>
      <c r="N128" s="12">
        <f t="shared" si="65"/>
        <v>9.3922651933701662</v>
      </c>
      <c r="O128" s="12">
        <f t="shared" si="56"/>
        <v>10.747552189450568</v>
      </c>
      <c r="P128" s="16">
        <v>179</v>
      </c>
      <c r="Q128" s="16">
        <v>171</v>
      </c>
      <c r="R128" s="16">
        <v>159</v>
      </c>
      <c r="S128" s="16">
        <v>9</v>
      </c>
      <c r="T128" s="16">
        <v>10</v>
      </c>
      <c r="U128" s="16">
        <v>1</v>
      </c>
      <c r="V128" s="12">
        <f t="shared" si="61"/>
        <v>5.027932960893855</v>
      </c>
      <c r="W128" s="12">
        <f t="shared" si="62"/>
        <v>5.8479532163742682</v>
      </c>
      <c r="X128" s="12">
        <f t="shared" si="63"/>
        <v>0.62893081761006298</v>
      </c>
      <c r="Y128" s="12">
        <f t="shared" si="57"/>
        <v>5.4379430886340616</v>
      </c>
    </row>
    <row r="129" spans="1:25" x14ac:dyDescent="0.3">
      <c r="A129" s="1" t="s">
        <v>157</v>
      </c>
      <c r="B129" s="1" t="s">
        <v>173</v>
      </c>
      <c r="C129" s="1" t="s">
        <v>173</v>
      </c>
      <c r="D129" s="1" t="s">
        <v>173</v>
      </c>
      <c r="E129" s="2">
        <v>30501</v>
      </c>
      <c r="F129" s="16">
        <v>538</v>
      </c>
      <c r="G129" s="16">
        <v>544</v>
      </c>
      <c r="H129" s="16">
        <v>545</v>
      </c>
      <c r="I129" s="16">
        <v>31</v>
      </c>
      <c r="J129" s="16">
        <v>37</v>
      </c>
      <c r="K129" s="16">
        <v>18</v>
      </c>
      <c r="L129" s="12">
        <f t="shared" si="66"/>
        <v>5.7620817843866172</v>
      </c>
      <c r="M129" s="12">
        <f t="shared" si="67"/>
        <v>6.8014705882352935</v>
      </c>
      <c r="N129" s="12">
        <f t="shared" si="65"/>
        <v>3.3027522935779818</v>
      </c>
      <c r="O129" s="12">
        <f t="shared" si="56"/>
        <v>5.2887682220666301</v>
      </c>
      <c r="P129" s="16">
        <v>499</v>
      </c>
      <c r="Q129" s="16">
        <v>523</v>
      </c>
      <c r="R129" s="16">
        <v>499</v>
      </c>
      <c r="S129" s="16">
        <v>3</v>
      </c>
      <c r="T129" s="16">
        <v>10</v>
      </c>
      <c r="U129" s="16">
        <v>10</v>
      </c>
      <c r="V129" s="12">
        <f t="shared" si="61"/>
        <v>0.60120240480961928</v>
      </c>
      <c r="W129" s="12">
        <f t="shared" si="62"/>
        <v>1.9120458891013385</v>
      </c>
      <c r="X129" s="12">
        <f t="shared" si="63"/>
        <v>2.0040080160320639</v>
      </c>
      <c r="Y129" s="12">
        <f t="shared" si="57"/>
        <v>1.2566241469554789</v>
      </c>
    </row>
    <row r="130" spans="1:25" x14ac:dyDescent="0.3">
      <c r="A130" s="1" t="s">
        <v>157</v>
      </c>
      <c r="B130" s="1" t="s">
        <v>173</v>
      </c>
      <c r="C130" s="1" t="s">
        <v>174</v>
      </c>
      <c r="D130" s="1" t="s">
        <v>174</v>
      </c>
      <c r="E130" s="2">
        <v>30502</v>
      </c>
      <c r="F130" s="16">
        <v>519</v>
      </c>
      <c r="G130" s="16">
        <v>506</v>
      </c>
      <c r="H130" s="16">
        <v>495</v>
      </c>
      <c r="I130" s="16">
        <v>41</v>
      </c>
      <c r="J130" s="16">
        <v>38</v>
      </c>
      <c r="K130" s="16">
        <v>55</v>
      </c>
      <c r="L130" s="12">
        <f t="shared" si="66"/>
        <v>7.8998073217726397</v>
      </c>
      <c r="M130" s="12">
        <f t="shared" si="67"/>
        <v>7.5098814229249005</v>
      </c>
      <c r="N130" s="12">
        <f t="shared" si="65"/>
        <v>11.111111111111111</v>
      </c>
      <c r="O130" s="12">
        <f t="shared" si="56"/>
        <v>8.8402666186028842</v>
      </c>
      <c r="P130" s="16">
        <v>346</v>
      </c>
      <c r="Q130" s="16">
        <v>361</v>
      </c>
      <c r="R130" s="16">
        <v>341</v>
      </c>
      <c r="S130" s="16">
        <v>11</v>
      </c>
      <c r="T130" s="16">
        <v>17</v>
      </c>
      <c r="U130" s="16">
        <v>16</v>
      </c>
      <c r="V130" s="12">
        <f t="shared" ref="V130:V156" si="68">(S130/P130)*100</f>
        <v>3.1791907514450863</v>
      </c>
      <c r="W130" s="12">
        <f t="shared" ref="W130:W156" si="69">(T130/Q130)*100</f>
        <v>4.7091412742382275</v>
      </c>
      <c r="X130" s="12">
        <f t="shared" ref="X130:X156" si="70">(U130/R130)*100</f>
        <v>4.6920821114369504</v>
      </c>
      <c r="Y130" s="12">
        <f t="shared" si="57"/>
        <v>3.9441660128416567</v>
      </c>
    </row>
    <row r="131" spans="1:25" x14ac:dyDescent="0.3">
      <c r="A131" s="1" t="s">
        <v>157</v>
      </c>
      <c r="B131" s="1" t="s">
        <v>175</v>
      </c>
      <c r="C131" s="1" t="s">
        <v>175</v>
      </c>
      <c r="D131" s="1" t="s">
        <v>176</v>
      </c>
      <c r="E131" s="2">
        <v>30601</v>
      </c>
      <c r="F131" s="16">
        <v>284</v>
      </c>
      <c r="G131" s="16">
        <v>294</v>
      </c>
      <c r="H131" s="16">
        <v>307</v>
      </c>
      <c r="I131" s="16">
        <v>46</v>
      </c>
      <c r="J131" s="16">
        <v>60</v>
      </c>
      <c r="K131" s="16">
        <v>49</v>
      </c>
      <c r="L131" s="12">
        <f t="shared" si="66"/>
        <v>16.197183098591552</v>
      </c>
      <c r="M131" s="12">
        <f t="shared" si="67"/>
        <v>20.408163265306122</v>
      </c>
      <c r="N131" s="12">
        <f t="shared" si="65"/>
        <v>15.960912052117262</v>
      </c>
      <c r="O131" s="12">
        <f t="shared" ref="O131:O194" si="71">AVERAGE(L131:N131)</f>
        <v>17.522086138671643</v>
      </c>
      <c r="P131" s="16">
        <v>409</v>
      </c>
      <c r="Q131" s="16">
        <v>438</v>
      </c>
      <c r="R131" s="16">
        <v>409</v>
      </c>
      <c r="S131" s="16">
        <v>28</v>
      </c>
      <c r="T131" s="16">
        <v>36</v>
      </c>
      <c r="U131" s="16">
        <v>21</v>
      </c>
      <c r="V131" s="12">
        <f t="shared" si="68"/>
        <v>6.8459657701711487</v>
      </c>
      <c r="W131" s="12">
        <f t="shared" si="69"/>
        <v>8.2191780821917799</v>
      </c>
      <c r="X131" s="12">
        <f t="shared" si="70"/>
        <v>5.1344743276283618</v>
      </c>
      <c r="Y131" s="12">
        <f t="shared" ref="Y131:Y194" si="72">AVERAGE(V131:W131)</f>
        <v>7.5325719261814648</v>
      </c>
    </row>
    <row r="132" spans="1:25" x14ac:dyDescent="0.3">
      <c r="A132" s="1" t="s">
        <v>157</v>
      </c>
      <c r="B132" s="1" t="s">
        <v>175</v>
      </c>
      <c r="C132" s="1" t="s">
        <v>177</v>
      </c>
      <c r="D132" s="1" t="s">
        <v>177</v>
      </c>
      <c r="E132" s="2">
        <v>30602</v>
      </c>
      <c r="F132" s="16">
        <v>240</v>
      </c>
      <c r="G132" s="16">
        <v>316</v>
      </c>
      <c r="H132" s="16">
        <v>305</v>
      </c>
      <c r="I132" s="16">
        <v>35</v>
      </c>
      <c r="J132" s="16">
        <v>62</v>
      </c>
      <c r="K132" s="16">
        <v>45</v>
      </c>
      <c r="L132" s="12">
        <f t="shared" si="66"/>
        <v>14.583333333333334</v>
      </c>
      <c r="M132" s="12">
        <f t="shared" si="67"/>
        <v>19.62025316455696</v>
      </c>
      <c r="N132" s="12">
        <f t="shared" si="65"/>
        <v>14.754098360655737</v>
      </c>
      <c r="O132" s="12">
        <f t="shared" si="71"/>
        <v>16.31922828618201</v>
      </c>
      <c r="P132" s="16">
        <v>306</v>
      </c>
      <c r="Q132" s="16">
        <v>286</v>
      </c>
      <c r="R132" s="16">
        <v>274</v>
      </c>
      <c r="S132" s="16">
        <v>12</v>
      </c>
      <c r="T132" s="16">
        <v>16</v>
      </c>
      <c r="U132" s="16">
        <v>15</v>
      </c>
      <c r="V132" s="12">
        <f t="shared" si="68"/>
        <v>3.9215686274509802</v>
      </c>
      <c r="W132" s="12">
        <f t="shared" si="69"/>
        <v>5.5944055944055942</v>
      </c>
      <c r="X132" s="12">
        <f t="shared" si="70"/>
        <v>5.4744525547445262</v>
      </c>
      <c r="Y132" s="12">
        <f t="shared" si="72"/>
        <v>4.757987110928287</v>
      </c>
    </row>
    <row r="133" spans="1:25" x14ac:dyDescent="0.3">
      <c r="A133" s="1" t="s">
        <v>157</v>
      </c>
      <c r="B133" s="1" t="s">
        <v>178</v>
      </c>
      <c r="C133" s="1" t="s">
        <v>178</v>
      </c>
      <c r="D133" s="1" t="s">
        <v>178</v>
      </c>
      <c r="E133" s="2">
        <v>30701</v>
      </c>
      <c r="F133" s="16">
        <v>1116</v>
      </c>
      <c r="G133" s="16">
        <v>1177</v>
      </c>
      <c r="H133" s="16">
        <v>1206</v>
      </c>
      <c r="I133" s="16">
        <v>80</v>
      </c>
      <c r="J133" s="16">
        <v>87</v>
      </c>
      <c r="K133" s="16">
        <v>72</v>
      </c>
      <c r="L133" s="12">
        <f t="shared" si="66"/>
        <v>7.1684587813620064</v>
      </c>
      <c r="M133" s="12">
        <f t="shared" si="67"/>
        <v>7.3916737468139342</v>
      </c>
      <c r="N133" s="12">
        <f t="shared" si="65"/>
        <v>5.9701492537313428</v>
      </c>
      <c r="O133" s="12">
        <f t="shared" si="71"/>
        <v>6.8434272606357611</v>
      </c>
      <c r="P133" s="16">
        <v>1263</v>
      </c>
      <c r="Q133" s="16">
        <v>1260</v>
      </c>
      <c r="R133" s="16">
        <v>1264</v>
      </c>
      <c r="S133" s="16">
        <v>26</v>
      </c>
      <c r="T133" s="16">
        <v>37</v>
      </c>
      <c r="U133" s="16">
        <v>33</v>
      </c>
      <c r="V133" s="12">
        <f t="shared" si="68"/>
        <v>2.0585906571654791</v>
      </c>
      <c r="W133" s="12">
        <f t="shared" si="69"/>
        <v>2.9365079365079363</v>
      </c>
      <c r="X133" s="12">
        <f t="shared" si="70"/>
        <v>2.6107594936708862</v>
      </c>
      <c r="Y133" s="12">
        <f t="shared" si="72"/>
        <v>2.4975492968367075</v>
      </c>
    </row>
    <row r="134" spans="1:25" x14ac:dyDescent="0.3">
      <c r="A134" s="1" t="s">
        <v>157</v>
      </c>
      <c r="B134" s="1" t="s">
        <v>178</v>
      </c>
      <c r="C134" s="1" t="s">
        <v>482</v>
      </c>
      <c r="D134" s="1" t="s">
        <v>179</v>
      </c>
      <c r="E134" s="2">
        <v>30702</v>
      </c>
      <c r="F134" s="16">
        <v>274</v>
      </c>
      <c r="G134" s="16">
        <v>312</v>
      </c>
      <c r="H134" s="16">
        <v>320</v>
      </c>
      <c r="I134" s="16">
        <v>9</v>
      </c>
      <c r="J134" s="16">
        <v>20</v>
      </c>
      <c r="K134" s="16">
        <v>18</v>
      </c>
      <c r="L134" s="12">
        <f t="shared" si="66"/>
        <v>3.2846715328467155</v>
      </c>
      <c r="M134" s="12">
        <f t="shared" si="67"/>
        <v>6.4102564102564097</v>
      </c>
      <c r="N134" s="12">
        <f t="shared" si="65"/>
        <v>5.625</v>
      </c>
      <c r="O134" s="12">
        <f t="shared" si="71"/>
        <v>5.1066426477010411</v>
      </c>
      <c r="P134" s="16">
        <v>366</v>
      </c>
      <c r="Q134" s="16">
        <v>375</v>
      </c>
      <c r="R134" s="16">
        <v>367</v>
      </c>
      <c r="S134" s="16">
        <v>5</v>
      </c>
      <c r="T134" s="16">
        <v>5</v>
      </c>
      <c r="U134" s="16">
        <v>6</v>
      </c>
      <c r="V134" s="12">
        <f t="shared" si="68"/>
        <v>1.3661202185792349</v>
      </c>
      <c r="W134" s="12">
        <f t="shared" si="69"/>
        <v>1.3333333333333335</v>
      </c>
      <c r="X134" s="12">
        <f t="shared" si="70"/>
        <v>1.6348773841961852</v>
      </c>
      <c r="Y134" s="12">
        <f t="shared" si="72"/>
        <v>1.3497267759562841</v>
      </c>
    </row>
    <row r="135" spans="1:25" x14ac:dyDescent="0.3">
      <c r="A135" s="1" t="s">
        <v>157</v>
      </c>
      <c r="B135" s="1" t="s">
        <v>178</v>
      </c>
      <c r="C135" s="1" t="s">
        <v>180</v>
      </c>
      <c r="D135" s="1" t="s">
        <v>180</v>
      </c>
      <c r="E135" s="2">
        <v>30703</v>
      </c>
      <c r="F135" s="16">
        <v>76</v>
      </c>
      <c r="G135" s="16">
        <v>87</v>
      </c>
      <c r="H135" s="16">
        <v>94</v>
      </c>
      <c r="I135" s="16">
        <v>10</v>
      </c>
      <c r="J135" s="16">
        <v>10</v>
      </c>
      <c r="K135" s="16">
        <v>12</v>
      </c>
      <c r="L135" s="12">
        <f t="shared" si="66"/>
        <v>13.157894736842104</v>
      </c>
      <c r="M135" s="12">
        <f t="shared" si="67"/>
        <v>11.494252873563218</v>
      </c>
      <c r="N135" s="12">
        <f t="shared" si="65"/>
        <v>12.76595744680851</v>
      </c>
      <c r="O135" s="12">
        <f t="shared" si="71"/>
        <v>12.472701685737945</v>
      </c>
      <c r="P135" s="16">
        <v>161</v>
      </c>
      <c r="Q135" s="16">
        <v>158</v>
      </c>
      <c r="R135" s="16">
        <v>174</v>
      </c>
      <c r="S135" s="16">
        <v>5</v>
      </c>
      <c r="T135" s="16">
        <v>3</v>
      </c>
      <c r="U135" s="16">
        <v>10</v>
      </c>
      <c r="V135" s="12">
        <f t="shared" si="68"/>
        <v>3.1055900621118013</v>
      </c>
      <c r="W135" s="12">
        <f t="shared" si="69"/>
        <v>1.89873417721519</v>
      </c>
      <c r="X135" s="12">
        <f t="shared" si="70"/>
        <v>5.7471264367816088</v>
      </c>
      <c r="Y135" s="12">
        <f t="shared" si="72"/>
        <v>2.5021621196634958</v>
      </c>
    </row>
    <row r="136" spans="1:25" x14ac:dyDescent="0.3">
      <c r="A136" s="1" t="s">
        <v>157</v>
      </c>
      <c r="B136" s="1" t="s">
        <v>181</v>
      </c>
      <c r="C136" s="1" t="s">
        <v>182</v>
      </c>
      <c r="D136" s="1" t="s">
        <v>182</v>
      </c>
      <c r="E136" s="2">
        <v>30801</v>
      </c>
      <c r="F136" s="16">
        <v>1220</v>
      </c>
      <c r="G136" s="16">
        <v>1242</v>
      </c>
      <c r="H136" s="16">
        <v>1258</v>
      </c>
      <c r="I136" s="16">
        <v>55</v>
      </c>
      <c r="J136" s="16">
        <v>47</v>
      </c>
      <c r="K136" s="16">
        <v>76</v>
      </c>
      <c r="L136" s="12">
        <f t="shared" si="66"/>
        <v>4.5081967213114753</v>
      </c>
      <c r="M136" s="12">
        <f t="shared" si="67"/>
        <v>3.7842190016103059</v>
      </c>
      <c r="N136" s="12">
        <f t="shared" si="65"/>
        <v>6.0413354531001593</v>
      </c>
      <c r="O136" s="12">
        <f t="shared" si="71"/>
        <v>4.7779170586739808</v>
      </c>
      <c r="P136" s="16">
        <v>1164</v>
      </c>
      <c r="Q136" s="16">
        <v>1194</v>
      </c>
      <c r="R136" s="16">
        <v>1227</v>
      </c>
      <c r="S136" s="16">
        <v>49</v>
      </c>
      <c r="T136" s="16">
        <v>32</v>
      </c>
      <c r="U136" s="16">
        <v>44</v>
      </c>
      <c r="V136" s="12">
        <f t="shared" si="68"/>
        <v>4.2096219931271479</v>
      </c>
      <c r="W136" s="12">
        <f t="shared" si="69"/>
        <v>2.6800670016750421</v>
      </c>
      <c r="X136" s="12">
        <f t="shared" si="70"/>
        <v>3.5859820700896492</v>
      </c>
      <c r="Y136" s="12">
        <f t="shared" si="72"/>
        <v>3.4448444974010952</v>
      </c>
    </row>
    <row r="137" spans="1:25" x14ac:dyDescent="0.3">
      <c r="A137" s="1" t="s">
        <v>157</v>
      </c>
      <c r="B137" s="1" t="s">
        <v>181</v>
      </c>
      <c r="C137" s="1" t="s">
        <v>183</v>
      </c>
      <c r="D137" s="1" t="s">
        <v>183</v>
      </c>
      <c r="E137" s="2">
        <v>30802</v>
      </c>
      <c r="F137" s="16">
        <v>191</v>
      </c>
      <c r="G137" s="16">
        <v>193</v>
      </c>
      <c r="H137" s="16">
        <v>203</v>
      </c>
      <c r="I137" s="16">
        <v>17</v>
      </c>
      <c r="J137" s="16">
        <v>16</v>
      </c>
      <c r="K137" s="16">
        <v>19</v>
      </c>
      <c r="L137" s="12">
        <f t="shared" si="66"/>
        <v>8.9005235602094235</v>
      </c>
      <c r="M137" s="12">
        <f t="shared" si="67"/>
        <v>8.2901554404145088</v>
      </c>
      <c r="N137" s="12">
        <f t="shared" si="65"/>
        <v>9.3596059113300498</v>
      </c>
      <c r="O137" s="12">
        <f t="shared" si="71"/>
        <v>8.8500949706513268</v>
      </c>
      <c r="P137" s="16">
        <v>160</v>
      </c>
      <c r="Q137" s="16">
        <v>149</v>
      </c>
      <c r="R137" s="16">
        <v>157</v>
      </c>
      <c r="S137" s="16">
        <v>14</v>
      </c>
      <c r="T137" s="16">
        <v>13</v>
      </c>
      <c r="U137" s="16">
        <v>15</v>
      </c>
      <c r="V137" s="12">
        <f t="shared" si="68"/>
        <v>8.75</v>
      </c>
      <c r="W137" s="12">
        <f t="shared" si="69"/>
        <v>8.724832214765101</v>
      </c>
      <c r="X137" s="12">
        <f t="shared" si="70"/>
        <v>9.5541401273885356</v>
      </c>
      <c r="Y137" s="12">
        <f t="shared" si="72"/>
        <v>8.7374161073825505</v>
      </c>
    </row>
    <row r="138" spans="1:25" x14ac:dyDescent="0.3">
      <c r="A138" s="1" t="s">
        <v>157</v>
      </c>
      <c r="B138" s="1" t="s">
        <v>181</v>
      </c>
      <c r="C138" s="1" t="s">
        <v>184</v>
      </c>
      <c r="D138" s="1" t="s">
        <v>184</v>
      </c>
      <c r="E138" s="2">
        <v>30803</v>
      </c>
      <c r="F138" s="16">
        <v>302</v>
      </c>
      <c r="G138" s="16">
        <v>347</v>
      </c>
      <c r="H138" s="16">
        <v>366</v>
      </c>
      <c r="I138" s="16">
        <v>5</v>
      </c>
      <c r="J138" s="16">
        <v>13</v>
      </c>
      <c r="K138" s="16">
        <v>10</v>
      </c>
      <c r="L138" s="12">
        <f t="shared" si="66"/>
        <v>1.6556291390728477</v>
      </c>
      <c r="M138" s="12">
        <f t="shared" si="67"/>
        <v>3.7463976945244957</v>
      </c>
      <c r="N138" s="12">
        <f t="shared" si="65"/>
        <v>2.7322404371584699</v>
      </c>
      <c r="O138" s="12">
        <f t="shared" si="71"/>
        <v>2.7114224235852711</v>
      </c>
      <c r="P138" s="16">
        <v>313</v>
      </c>
      <c r="Q138" s="16">
        <v>308</v>
      </c>
      <c r="R138" s="16">
        <v>283</v>
      </c>
      <c r="S138" s="16">
        <v>12</v>
      </c>
      <c r="T138" s="16">
        <v>14</v>
      </c>
      <c r="U138" s="16">
        <v>11</v>
      </c>
      <c r="V138" s="12">
        <f t="shared" si="68"/>
        <v>3.8338658146964857</v>
      </c>
      <c r="W138" s="12">
        <f t="shared" si="69"/>
        <v>4.5454545454545459</v>
      </c>
      <c r="X138" s="12">
        <f t="shared" si="70"/>
        <v>3.8869257950530036</v>
      </c>
      <c r="Y138" s="12">
        <f t="shared" si="72"/>
        <v>4.1896601800755153</v>
      </c>
    </row>
    <row r="139" spans="1:25" x14ac:dyDescent="0.3">
      <c r="A139" s="1" t="s">
        <v>157</v>
      </c>
      <c r="B139" s="1" t="s">
        <v>185</v>
      </c>
      <c r="C139" s="1" t="s">
        <v>185</v>
      </c>
      <c r="D139" s="1" t="s">
        <v>185</v>
      </c>
      <c r="E139" s="2">
        <v>30901</v>
      </c>
      <c r="F139" s="16">
        <v>9119</v>
      </c>
      <c r="G139" s="16">
        <v>9477</v>
      </c>
      <c r="H139" s="16">
        <v>9693</v>
      </c>
      <c r="I139" s="16">
        <v>395</v>
      </c>
      <c r="J139" s="16">
        <v>475</v>
      </c>
      <c r="K139" s="16">
        <v>449</v>
      </c>
      <c r="L139" s="12">
        <f t="shared" si="66"/>
        <v>4.3316153086961284</v>
      </c>
      <c r="M139" s="12">
        <f t="shared" si="67"/>
        <v>5.0121346417642716</v>
      </c>
      <c r="N139" s="12">
        <f t="shared" si="65"/>
        <v>4.6322088104817905</v>
      </c>
      <c r="O139" s="12">
        <f t="shared" si="71"/>
        <v>4.6586529203140632</v>
      </c>
      <c r="P139" s="16">
        <v>10247</v>
      </c>
      <c r="Q139" s="16">
        <v>10441</v>
      </c>
      <c r="R139" s="16">
        <v>10518</v>
      </c>
      <c r="S139" s="16">
        <v>169</v>
      </c>
      <c r="T139" s="16">
        <v>171</v>
      </c>
      <c r="U139" s="16">
        <v>154</v>
      </c>
      <c r="V139" s="12">
        <f t="shared" si="68"/>
        <v>1.6492631989850688</v>
      </c>
      <c r="W139" s="12">
        <f t="shared" si="69"/>
        <v>1.6377741595632604</v>
      </c>
      <c r="X139" s="12">
        <f t="shared" si="70"/>
        <v>1.4641566837801865</v>
      </c>
      <c r="Y139" s="12">
        <f t="shared" si="72"/>
        <v>1.6435186792741647</v>
      </c>
    </row>
    <row r="140" spans="1:25" x14ac:dyDescent="0.3">
      <c r="A140" s="1" t="s">
        <v>157</v>
      </c>
      <c r="B140" s="1" t="s">
        <v>185</v>
      </c>
      <c r="C140" s="1" t="s">
        <v>186</v>
      </c>
      <c r="D140" s="1" t="s">
        <v>186</v>
      </c>
      <c r="E140" s="2">
        <v>30902</v>
      </c>
      <c r="F140" s="16">
        <v>2154</v>
      </c>
      <c r="G140" s="16">
        <v>2296</v>
      </c>
      <c r="H140" s="16">
        <v>2381</v>
      </c>
      <c r="I140" s="16">
        <v>116</v>
      </c>
      <c r="J140" s="16">
        <v>92</v>
      </c>
      <c r="K140" s="16">
        <v>95</v>
      </c>
      <c r="L140" s="12">
        <f t="shared" si="66"/>
        <v>5.3853296193129063</v>
      </c>
      <c r="M140" s="12">
        <f t="shared" si="67"/>
        <v>4.0069686411149821</v>
      </c>
      <c r="N140" s="12">
        <f t="shared" si="65"/>
        <v>3.9899202015959681</v>
      </c>
      <c r="O140" s="12">
        <f t="shared" si="71"/>
        <v>4.4607394873412858</v>
      </c>
      <c r="P140" s="16">
        <v>3193</v>
      </c>
      <c r="Q140" s="16">
        <v>3268</v>
      </c>
      <c r="R140" s="16">
        <v>3363</v>
      </c>
      <c r="S140" s="16">
        <v>81</v>
      </c>
      <c r="T140" s="16">
        <v>49</v>
      </c>
      <c r="U140" s="16">
        <v>80</v>
      </c>
      <c r="V140" s="12">
        <f t="shared" si="68"/>
        <v>2.5367992483557784</v>
      </c>
      <c r="W140" s="12">
        <f t="shared" si="69"/>
        <v>1.4993880048959609</v>
      </c>
      <c r="X140" s="12">
        <f t="shared" si="70"/>
        <v>2.3788284269997026</v>
      </c>
      <c r="Y140" s="12">
        <f t="shared" si="72"/>
        <v>2.0180936266258698</v>
      </c>
    </row>
    <row r="141" spans="1:25" x14ac:dyDescent="0.3">
      <c r="A141" s="1" t="s">
        <v>157</v>
      </c>
      <c r="B141" s="1" t="s">
        <v>185</v>
      </c>
      <c r="C141" s="1" t="s">
        <v>187</v>
      </c>
      <c r="D141" s="1" t="s">
        <v>187</v>
      </c>
      <c r="E141" s="2">
        <v>30903</v>
      </c>
      <c r="F141" s="16">
        <v>3159</v>
      </c>
      <c r="G141" s="16">
        <v>3279</v>
      </c>
      <c r="H141" s="16">
        <v>3375</v>
      </c>
      <c r="I141" s="16">
        <v>151</v>
      </c>
      <c r="J141" s="16">
        <v>160</v>
      </c>
      <c r="K141" s="16">
        <v>102</v>
      </c>
      <c r="L141" s="12">
        <f t="shared" si="66"/>
        <v>4.7799936688825584</v>
      </c>
      <c r="M141" s="12">
        <f t="shared" si="67"/>
        <v>4.8795364440378162</v>
      </c>
      <c r="N141" s="12">
        <f t="shared" si="65"/>
        <v>3.0222222222222221</v>
      </c>
      <c r="O141" s="12">
        <f t="shared" si="71"/>
        <v>4.2272507783808662</v>
      </c>
      <c r="P141" s="16">
        <v>3781</v>
      </c>
      <c r="Q141" s="16">
        <v>3797</v>
      </c>
      <c r="R141" s="16">
        <v>3823</v>
      </c>
      <c r="S141" s="16">
        <v>58</v>
      </c>
      <c r="T141" s="16">
        <v>54</v>
      </c>
      <c r="U141" s="16">
        <v>62</v>
      </c>
      <c r="V141" s="12">
        <f t="shared" si="68"/>
        <v>1.5339857180640042</v>
      </c>
      <c r="W141" s="12">
        <f t="shared" si="69"/>
        <v>1.422175401632868</v>
      </c>
      <c r="X141" s="12">
        <f t="shared" si="70"/>
        <v>1.6217630133403087</v>
      </c>
      <c r="Y141" s="12">
        <f t="shared" si="72"/>
        <v>1.4780805598484361</v>
      </c>
    </row>
    <row r="142" spans="1:25" x14ac:dyDescent="0.3">
      <c r="A142" s="1" t="s">
        <v>157</v>
      </c>
      <c r="B142" s="1" t="s">
        <v>185</v>
      </c>
      <c r="C142" s="1" t="s">
        <v>188</v>
      </c>
      <c r="D142" s="1" t="s">
        <v>188</v>
      </c>
      <c r="E142" s="2">
        <v>30904</v>
      </c>
      <c r="F142" s="16">
        <v>3105</v>
      </c>
      <c r="G142" s="16">
        <v>3330</v>
      </c>
      <c r="H142" s="16">
        <v>3466</v>
      </c>
      <c r="I142" s="16">
        <v>159</v>
      </c>
      <c r="J142" s="16">
        <v>178</v>
      </c>
      <c r="K142" s="16">
        <v>142</v>
      </c>
      <c r="L142" s="12">
        <f t="shared" si="66"/>
        <v>5.1207729468599039</v>
      </c>
      <c r="M142" s="12">
        <f t="shared" si="67"/>
        <v>5.3453453453453452</v>
      </c>
      <c r="N142" s="12">
        <f t="shared" si="65"/>
        <v>4.0969417195614541</v>
      </c>
      <c r="O142" s="12">
        <f t="shared" si="71"/>
        <v>4.8543533372555672</v>
      </c>
      <c r="P142" s="16">
        <v>3855</v>
      </c>
      <c r="Q142" s="16">
        <v>3849</v>
      </c>
      <c r="R142" s="16">
        <v>3964</v>
      </c>
      <c r="S142" s="16">
        <v>51</v>
      </c>
      <c r="T142" s="16">
        <v>40</v>
      </c>
      <c r="U142" s="16">
        <v>84</v>
      </c>
      <c r="V142" s="12">
        <f t="shared" si="68"/>
        <v>1.3229571984435797</v>
      </c>
      <c r="W142" s="12">
        <f t="shared" si="69"/>
        <v>1.0392309690828787</v>
      </c>
      <c r="X142" s="12">
        <f t="shared" si="70"/>
        <v>2.119071644803229</v>
      </c>
      <c r="Y142" s="12">
        <f t="shared" si="72"/>
        <v>1.1810940837632291</v>
      </c>
    </row>
    <row r="143" spans="1:25" x14ac:dyDescent="0.3">
      <c r="A143" s="1" t="s">
        <v>157</v>
      </c>
      <c r="B143" s="1" t="s">
        <v>185</v>
      </c>
      <c r="C143" s="1" t="s">
        <v>189</v>
      </c>
      <c r="D143" s="1" t="s">
        <v>189</v>
      </c>
      <c r="E143" s="2">
        <v>30905</v>
      </c>
      <c r="F143" s="16">
        <v>2220</v>
      </c>
      <c r="G143" s="16">
        <v>2274</v>
      </c>
      <c r="H143" s="16">
        <v>2327</v>
      </c>
      <c r="I143" s="16">
        <v>68</v>
      </c>
      <c r="J143" s="16">
        <v>73</v>
      </c>
      <c r="K143" s="16">
        <v>51</v>
      </c>
      <c r="L143" s="12">
        <f t="shared" si="66"/>
        <v>3.0630630630630629</v>
      </c>
      <c r="M143" s="12">
        <f t="shared" si="67"/>
        <v>3.2102022867194373</v>
      </c>
      <c r="N143" s="12">
        <f t="shared" si="65"/>
        <v>2.1916630855178343</v>
      </c>
      <c r="O143" s="12">
        <f t="shared" si="71"/>
        <v>2.8216428117667784</v>
      </c>
      <c r="P143" s="16">
        <v>2498</v>
      </c>
      <c r="Q143" s="16">
        <v>2573</v>
      </c>
      <c r="R143" s="16">
        <v>2629</v>
      </c>
      <c r="S143" s="16">
        <v>48</v>
      </c>
      <c r="T143" s="16">
        <v>30</v>
      </c>
      <c r="U143" s="16">
        <v>23</v>
      </c>
      <c r="V143" s="12">
        <f t="shared" si="68"/>
        <v>1.9215372297838269</v>
      </c>
      <c r="W143" s="12">
        <f t="shared" si="69"/>
        <v>1.1659541391371939</v>
      </c>
      <c r="X143" s="12">
        <f t="shared" si="70"/>
        <v>0.87485736021300875</v>
      </c>
      <c r="Y143" s="12">
        <f t="shared" si="72"/>
        <v>1.5437456844605104</v>
      </c>
    </row>
    <row r="144" spans="1:25" x14ac:dyDescent="0.3">
      <c r="A144" s="1" t="s">
        <v>157</v>
      </c>
      <c r="B144" s="1" t="s">
        <v>190</v>
      </c>
      <c r="C144" s="1" t="s">
        <v>191</v>
      </c>
      <c r="D144" s="1" t="s">
        <v>191</v>
      </c>
      <c r="E144" s="2">
        <v>31001</v>
      </c>
      <c r="F144" s="16">
        <v>6896</v>
      </c>
      <c r="G144" s="16">
        <v>7568</v>
      </c>
      <c r="H144" s="16">
        <v>7997</v>
      </c>
      <c r="I144" s="16">
        <v>340</v>
      </c>
      <c r="J144" s="16">
        <v>401</v>
      </c>
      <c r="K144" s="16">
        <v>383</v>
      </c>
      <c r="L144" s="12">
        <f t="shared" si="66"/>
        <v>4.9303944315545243</v>
      </c>
      <c r="M144" s="12">
        <f t="shared" si="67"/>
        <v>5.2986257928118397</v>
      </c>
      <c r="N144" s="12">
        <f t="shared" si="65"/>
        <v>4.7892959859947482</v>
      </c>
      <c r="O144" s="12">
        <f t="shared" si="71"/>
        <v>5.006105403453704</v>
      </c>
      <c r="P144" s="16">
        <v>9549</v>
      </c>
      <c r="Q144" s="16">
        <v>9840</v>
      </c>
      <c r="R144" s="16">
        <v>10033</v>
      </c>
      <c r="S144" s="16">
        <v>162</v>
      </c>
      <c r="T144" s="16">
        <v>159</v>
      </c>
      <c r="U144" s="16">
        <v>133</v>
      </c>
      <c r="V144" s="12">
        <f t="shared" si="68"/>
        <v>1.6965127238454287</v>
      </c>
      <c r="W144" s="12">
        <f t="shared" si="69"/>
        <v>1.6158536585365855</v>
      </c>
      <c r="X144" s="12">
        <f t="shared" si="70"/>
        <v>1.3256254360609987</v>
      </c>
      <c r="Y144" s="12">
        <f t="shared" si="72"/>
        <v>1.656183191191007</v>
      </c>
    </row>
    <row r="145" spans="1:25" x14ac:dyDescent="0.3">
      <c r="A145" s="1" t="s">
        <v>157</v>
      </c>
      <c r="B145" s="1" t="s">
        <v>190</v>
      </c>
      <c r="C145" s="1" t="s">
        <v>192</v>
      </c>
      <c r="D145" s="1" t="s">
        <v>192</v>
      </c>
      <c r="E145" s="2">
        <v>31002</v>
      </c>
      <c r="F145" s="16">
        <v>1184</v>
      </c>
      <c r="G145" s="16">
        <v>1266</v>
      </c>
      <c r="H145" s="16">
        <v>1300</v>
      </c>
      <c r="I145" s="16">
        <v>77</v>
      </c>
      <c r="J145" s="16">
        <v>120</v>
      </c>
      <c r="K145" s="16">
        <v>86</v>
      </c>
      <c r="L145" s="12">
        <f t="shared" si="66"/>
        <v>6.503378378378379</v>
      </c>
      <c r="M145" s="12">
        <f t="shared" si="67"/>
        <v>9.4786729857819907</v>
      </c>
      <c r="N145" s="12">
        <f t="shared" si="65"/>
        <v>6.6153846153846159</v>
      </c>
      <c r="O145" s="12">
        <f t="shared" si="71"/>
        <v>7.5324786598483291</v>
      </c>
      <c r="P145" s="16">
        <v>1283</v>
      </c>
      <c r="Q145" s="16">
        <v>1255</v>
      </c>
      <c r="R145" s="16">
        <v>1235</v>
      </c>
      <c r="S145" s="16">
        <v>48</v>
      </c>
      <c r="T145" s="16">
        <v>29</v>
      </c>
      <c r="U145" s="16">
        <v>30</v>
      </c>
      <c r="V145" s="12">
        <f t="shared" si="68"/>
        <v>3.7412314886983635</v>
      </c>
      <c r="W145" s="12">
        <f t="shared" si="69"/>
        <v>2.3107569721115535</v>
      </c>
      <c r="X145" s="12">
        <f t="shared" si="70"/>
        <v>2.42914979757085</v>
      </c>
      <c r="Y145" s="12">
        <f t="shared" si="72"/>
        <v>3.0259942304049585</v>
      </c>
    </row>
    <row r="146" spans="1:25" x14ac:dyDescent="0.3">
      <c r="A146" s="1" t="s">
        <v>157</v>
      </c>
      <c r="B146" s="1" t="s">
        <v>190</v>
      </c>
      <c r="C146" s="1" t="s">
        <v>193</v>
      </c>
      <c r="D146" s="1" t="s">
        <v>193</v>
      </c>
      <c r="E146" s="2">
        <v>31003</v>
      </c>
      <c r="F146" s="16">
        <v>3162</v>
      </c>
      <c r="G146" s="16">
        <v>3439</v>
      </c>
      <c r="H146" s="16">
        <v>3642</v>
      </c>
      <c r="I146" s="16">
        <v>249</v>
      </c>
      <c r="J146" s="16">
        <v>252</v>
      </c>
      <c r="K146" s="16">
        <v>263</v>
      </c>
      <c r="L146" s="12">
        <f t="shared" si="66"/>
        <v>7.8747628083491463</v>
      </c>
      <c r="M146" s="12">
        <f t="shared" si="67"/>
        <v>7.3277115440535043</v>
      </c>
      <c r="N146" s="12">
        <f t="shared" si="65"/>
        <v>7.2213069741900062</v>
      </c>
      <c r="O146" s="12">
        <f t="shared" si="71"/>
        <v>7.4745937755308853</v>
      </c>
      <c r="P146" s="16">
        <v>5345</v>
      </c>
      <c r="Q146" s="16">
        <v>5555</v>
      </c>
      <c r="R146" s="16">
        <v>5836</v>
      </c>
      <c r="S146" s="16">
        <v>122</v>
      </c>
      <c r="T146" s="16">
        <v>136</v>
      </c>
      <c r="U146" s="16">
        <v>136</v>
      </c>
      <c r="V146" s="12">
        <f t="shared" si="68"/>
        <v>2.2825070159027128</v>
      </c>
      <c r="W146" s="12">
        <f t="shared" si="69"/>
        <v>2.4482448244824484</v>
      </c>
      <c r="X146" s="12">
        <f t="shared" si="70"/>
        <v>2.3303632625085675</v>
      </c>
      <c r="Y146" s="12">
        <f t="shared" si="72"/>
        <v>2.3653759201925806</v>
      </c>
    </row>
    <row r="147" spans="1:25" x14ac:dyDescent="0.3">
      <c r="A147" s="1" t="s">
        <v>157</v>
      </c>
      <c r="B147" s="1" t="s">
        <v>194</v>
      </c>
      <c r="C147" s="1" t="s">
        <v>194</v>
      </c>
      <c r="D147" s="1" t="s">
        <v>194</v>
      </c>
      <c r="E147" s="2">
        <v>31101</v>
      </c>
      <c r="F147" s="16">
        <v>562</v>
      </c>
      <c r="G147" s="16">
        <v>589</v>
      </c>
      <c r="H147" s="16">
        <v>618</v>
      </c>
      <c r="I147" s="16">
        <v>84</v>
      </c>
      <c r="J147" s="16">
        <v>82</v>
      </c>
      <c r="K147" s="16">
        <v>104</v>
      </c>
      <c r="L147" s="12">
        <f t="shared" si="66"/>
        <v>14.946619217081849</v>
      </c>
      <c r="M147" s="12">
        <f t="shared" si="67"/>
        <v>13.921901528013583</v>
      </c>
      <c r="N147" s="12">
        <f t="shared" si="65"/>
        <v>16.828478964401295</v>
      </c>
      <c r="O147" s="12">
        <f t="shared" si="71"/>
        <v>15.232333236498908</v>
      </c>
      <c r="P147" s="16">
        <v>730</v>
      </c>
      <c r="Q147" s="16">
        <v>717</v>
      </c>
      <c r="R147" s="16">
        <v>671</v>
      </c>
      <c r="S147" s="16">
        <v>48</v>
      </c>
      <c r="T147" s="16">
        <v>58</v>
      </c>
      <c r="U147" s="16">
        <v>41</v>
      </c>
      <c r="V147" s="12">
        <f t="shared" si="68"/>
        <v>6.5753424657534243</v>
      </c>
      <c r="W147" s="12">
        <f t="shared" si="69"/>
        <v>8.0892608089260811</v>
      </c>
      <c r="X147" s="12">
        <f t="shared" si="70"/>
        <v>6.1102831594634877</v>
      </c>
      <c r="Y147" s="12">
        <f t="shared" si="72"/>
        <v>7.3323016373397527</v>
      </c>
    </row>
    <row r="148" spans="1:25" x14ac:dyDescent="0.3">
      <c r="A148" s="1" t="s">
        <v>157</v>
      </c>
      <c r="B148" s="1" t="s">
        <v>195</v>
      </c>
      <c r="C148" s="1" t="s">
        <v>196</v>
      </c>
      <c r="D148" s="1" t="s">
        <v>196</v>
      </c>
      <c r="E148" s="2">
        <v>31201</v>
      </c>
      <c r="F148" s="16">
        <v>394</v>
      </c>
      <c r="G148" s="16">
        <v>417</v>
      </c>
      <c r="H148" s="16">
        <v>463</v>
      </c>
      <c r="I148" s="16">
        <v>36</v>
      </c>
      <c r="J148" s="16">
        <v>36</v>
      </c>
      <c r="K148" s="16">
        <v>38</v>
      </c>
      <c r="L148" s="12">
        <f t="shared" si="66"/>
        <v>9.1370558375634516</v>
      </c>
      <c r="M148" s="12">
        <f t="shared" si="67"/>
        <v>8.6330935251798557</v>
      </c>
      <c r="N148" s="12">
        <f t="shared" si="65"/>
        <v>8.2073434125269973</v>
      </c>
      <c r="O148" s="12">
        <f t="shared" si="71"/>
        <v>8.6591642584234361</v>
      </c>
      <c r="P148" s="16">
        <v>608</v>
      </c>
      <c r="Q148" s="16">
        <v>660</v>
      </c>
      <c r="R148" s="16">
        <v>646</v>
      </c>
      <c r="S148" s="16">
        <v>15</v>
      </c>
      <c r="T148" s="16">
        <v>50</v>
      </c>
      <c r="U148" s="16">
        <v>27</v>
      </c>
      <c r="V148" s="12">
        <f t="shared" si="68"/>
        <v>2.4671052631578947</v>
      </c>
      <c r="W148" s="12">
        <f t="shared" si="69"/>
        <v>7.5757575757575761</v>
      </c>
      <c r="X148" s="12">
        <f t="shared" si="70"/>
        <v>4.1795665634674917</v>
      </c>
      <c r="Y148" s="12">
        <f t="shared" si="72"/>
        <v>5.0214314194577359</v>
      </c>
    </row>
    <row r="149" spans="1:25" x14ac:dyDescent="0.3">
      <c r="A149" s="1" t="s">
        <v>157</v>
      </c>
      <c r="B149" s="1" t="s">
        <v>195</v>
      </c>
      <c r="C149" s="1" t="s">
        <v>197</v>
      </c>
      <c r="D149" s="1" t="s">
        <v>197</v>
      </c>
      <c r="E149" s="2">
        <v>31202</v>
      </c>
      <c r="F149" s="16">
        <v>372</v>
      </c>
      <c r="G149" s="16">
        <v>388</v>
      </c>
      <c r="H149" s="16">
        <v>440</v>
      </c>
      <c r="I149" s="16">
        <v>28</v>
      </c>
      <c r="J149" s="16">
        <v>37</v>
      </c>
      <c r="K149" s="16">
        <v>42</v>
      </c>
      <c r="L149" s="12">
        <f t="shared" si="66"/>
        <v>7.5268817204301079</v>
      </c>
      <c r="M149" s="12">
        <f t="shared" si="67"/>
        <v>9.536082474226804</v>
      </c>
      <c r="N149" s="12">
        <f t="shared" si="65"/>
        <v>9.5454545454545467</v>
      </c>
      <c r="O149" s="12">
        <f t="shared" si="71"/>
        <v>8.8694729133704868</v>
      </c>
      <c r="P149" s="16">
        <v>603</v>
      </c>
      <c r="Q149" s="16">
        <v>612</v>
      </c>
      <c r="R149" s="16">
        <v>649</v>
      </c>
      <c r="S149" s="16">
        <v>20</v>
      </c>
      <c r="T149" s="16">
        <v>17</v>
      </c>
      <c r="U149" s="16">
        <v>33</v>
      </c>
      <c r="V149" s="12">
        <f t="shared" si="68"/>
        <v>3.3167495854063018</v>
      </c>
      <c r="W149" s="12">
        <f t="shared" si="69"/>
        <v>2.7777777777777777</v>
      </c>
      <c r="X149" s="12">
        <f t="shared" si="70"/>
        <v>5.0847457627118651</v>
      </c>
      <c r="Y149" s="12">
        <f t="shared" si="72"/>
        <v>3.0472636815920398</v>
      </c>
    </row>
    <row r="150" spans="1:25" x14ac:dyDescent="0.3">
      <c r="A150" s="1" t="s">
        <v>157</v>
      </c>
      <c r="B150" s="1" t="s">
        <v>195</v>
      </c>
      <c r="C150" s="1" t="s">
        <v>198</v>
      </c>
      <c r="D150" s="1" t="s">
        <v>198</v>
      </c>
      <c r="E150" s="2">
        <v>31203</v>
      </c>
      <c r="F150" s="16">
        <v>417</v>
      </c>
      <c r="G150" s="16">
        <v>458</v>
      </c>
      <c r="H150" s="16">
        <v>479</v>
      </c>
      <c r="I150" s="16">
        <v>48</v>
      </c>
      <c r="J150" s="16">
        <v>54</v>
      </c>
      <c r="K150" s="16">
        <v>41</v>
      </c>
      <c r="L150" s="12">
        <f t="shared" si="66"/>
        <v>11.510791366906476</v>
      </c>
      <c r="M150" s="12">
        <f t="shared" si="67"/>
        <v>11.790393013100436</v>
      </c>
      <c r="N150" s="12">
        <f t="shared" si="65"/>
        <v>8.559498956158663</v>
      </c>
      <c r="O150" s="12">
        <f t="shared" si="71"/>
        <v>10.620227778721858</v>
      </c>
      <c r="P150" s="16">
        <v>534</v>
      </c>
      <c r="Q150" s="16">
        <v>539</v>
      </c>
      <c r="R150" s="16">
        <v>522</v>
      </c>
      <c r="S150" s="16">
        <v>15</v>
      </c>
      <c r="T150" s="16">
        <v>14</v>
      </c>
      <c r="U150" s="16">
        <v>15</v>
      </c>
      <c r="V150" s="12">
        <f t="shared" si="68"/>
        <v>2.8089887640449436</v>
      </c>
      <c r="W150" s="12">
        <f t="shared" si="69"/>
        <v>2.5974025974025974</v>
      </c>
      <c r="X150" s="12">
        <f t="shared" si="70"/>
        <v>2.8735632183908044</v>
      </c>
      <c r="Y150" s="12">
        <f t="shared" si="72"/>
        <v>2.7031956807237707</v>
      </c>
    </row>
    <row r="151" spans="1:25" x14ac:dyDescent="0.3">
      <c r="A151" s="1" t="s">
        <v>157</v>
      </c>
      <c r="B151" s="1" t="s">
        <v>195</v>
      </c>
      <c r="C151" s="1" t="s">
        <v>199</v>
      </c>
      <c r="D151" s="1" t="s">
        <v>199</v>
      </c>
      <c r="E151" s="2">
        <v>31204</v>
      </c>
      <c r="F151" s="16">
        <v>1004</v>
      </c>
      <c r="G151" s="16">
        <v>1062</v>
      </c>
      <c r="H151" s="16">
        <v>1070</v>
      </c>
      <c r="I151" s="16">
        <v>70</v>
      </c>
      <c r="J151" s="16">
        <v>61</v>
      </c>
      <c r="K151" s="16">
        <v>76</v>
      </c>
      <c r="L151" s="12">
        <f t="shared" si="66"/>
        <v>6.9721115537848597</v>
      </c>
      <c r="M151" s="12">
        <f t="shared" si="67"/>
        <v>5.743879472693032</v>
      </c>
      <c r="N151" s="12">
        <f t="shared" ref="N151:N160" si="73">(K151/H151)*100</f>
        <v>7.1028037383177578</v>
      </c>
      <c r="O151" s="12">
        <f t="shared" si="71"/>
        <v>6.6062649215985489</v>
      </c>
      <c r="P151" s="16">
        <v>1658</v>
      </c>
      <c r="Q151" s="16">
        <v>1683</v>
      </c>
      <c r="R151" s="16">
        <v>1695</v>
      </c>
      <c r="S151" s="16">
        <v>33</v>
      </c>
      <c r="T151" s="16">
        <v>34</v>
      </c>
      <c r="U151" s="16">
        <v>41</v>
      </c>
      <c r="V151" s="12">
        <f t="shared" si="68"/>
        <v>1.9903498190591074</v>
      </c>
      <c r="W151" s="12">
        <f t="shared" si="69"/>
        <v>2.0202020202020203</v>
      </c>
      <c r="X151" s="12">
        <f t="shared" si="70"/>
        <v>2.4188790560471976</v>
      </c>
      <c r="Y151" s="12">
        <f t="shared" si="72"/>
        <v>2.0052759196305638</v>
      </c>
    </row>
    <row r="152" spans="1:25" x14ac:dyDescent="0.3">
      <c r="A152" s="1" t="s">
        <v>157</v>
      </c>
      <c r="B152" s="1" t="s">
        <v>195</v>
      </c>
      <c r="C152" s="1" t="s">
        <v>200</v>
      </c>
      <c r="D152" s="1" t="s">
        <v>200</v>
      </c>
      <c r="E152" s="2">
        <v>31205</v>
      </c>
      <c r="F152" s="16">
        <v>2763</v>
      </c>
      <c r="G152" s="16">
        <v>2956</v>
      </c>
      <c r="H152" s="16">
        <v>3129</v>
      </c>
      <c r="I152" s="16">
        <v>135</v>
      </c>
      <c r="J152" s="16">
        <v>117</v>
      </c>
      <c r="K152" s="16">
        <v>140</v>
      </c>
      <c r="L152" s="12">
        <f t="shared" si="66"/>
        <v>4.8859934853420199</v>
      </c>
      <c r="M152" s="12">
        <f t="shared" si="67"/>
        <v>3.9580514208389714</v>
      </c>
      <c r="N152" s="12">
        <f t="shared" si="73"/>
        <v>4.4742729306487696</v>
      </c>
      <c r="O152" s="12">
        <f t="shared" si="71"/>
        <v>4.4394392789432535</v>
      </c>
      <c r="P152" s="16">
        <v>3750</v>
      </c>
      <c r="Q152" s="16">
        <v>3803</v>
      </c>
      <c r="R152" s="16">
        <v>4002</v>
      </c>
      <c r="S152" s="16">
        <v>99</v>
      </c>
      <c r="T152" s="16">
        <v>69</v>
      </c>
      <c r="U152" s="16">
        <v>131</v>
      </c>
      <c r="V152" s="12">
        <f t="shared" si="68"/>
        <v>2.64</v>
      </c>
      <c r="W152" s="12">
        <f t="shared" si="69"/>
        <v>1.8143570865106495</v>
      </c>
      <c r="X152" s="12">
        <f t="shared" si="70"/>
        <v>3.2733633183408295</v>
      </c>
      <c r="Y152" s="12">
        <f t="shared" si="72"/>
        <v>2.2271785432553246</v>
      </c>
    </row>
    <row r="153" spans="1:25" x14ac:dyDescent="0.3">
      <c r="A153" s="1" t="s">
        <v>157</v>
      </c>
      <c r="B153" s="1" t="s">
        <v>195</v>
      </c>
      <c r="C153" s="1" t="s">
        <v>201</v>
      </c>
      <c r="D153" s="1" t="s">
        <v>201</v>
      </c>
      <c r="E153" s="2">
        <v>31206</v>
      </c>
      <c r="F153" s="16">
        <v>1751</v>
      </c>
      <c r="G153" s="16">
        <v>1924</v>
      </c>
      <c r="H153" s="16">
        <v>2015</v>
      </c>
      <c r="I153" s="16">
        <v>109</v>
      </c>
      <c r="J153" s="16">
        <v>79</v>
      </c>
      <c r="K153" s="16">
        <v>92</v>
      </c>
      <c r="L153" s="12">
        <f t="shared" si="66"/>
        <v>6.2250142775556823</v>
      </c>
      <c r="M153" s="12">
        <f t="shared" si="67"/>
        <v>4.1060291060291059</v>
      </c>
      <c r="N153" s="12">
        <f t="shared" si="73"/>
        <v>4.5657568238213404</v>
      </c>
      <c r="O153" s="12">
        <f t="shared" si="71"/>
        <v>4.9656000691353759</v>
      </c>
      <c r="P153" s="16">
        <v>2674</v>
      </c>
      <c r="Q153" s="16">
        <v>2755</v>
      </c>
      <c r="R153" s="16">
        <v>2826</v>
      </c>
      <c r="S153" s="16">
        <v>74</v>
      </c>
      <c r="T153" s="16">
        <v>72</v>
      </c>
      <c r="U153" s="16">
        <v>74</v>
      </c>
      <c r="V153" s="12">
        <f t="shared" si="68"/>
        <v>2.7673896783844425</v>
      </c>
      <c r="W153" s="12">
        <f t="shared" si="69"/>
        <v>2.6134301270417422</v>
      </c>
      <c r="X153" s="12">
        <f t="shared" si="70"/>
        <v>2.6185421089879686</v>
      </c>
      <c r="Y153" s="12">
        <f t="shared" si="72"/>
        <v>2.6904099027130925</v>
      </c>
    </row>
    <row r="154" spans="1:25" x14ac:dyDescent="0.3">
      <c r="A154" s="1" t="s">
        <v>157</v>
      </c>
      <c r="B154" s="1" t="s">
        <v>202</v>
      </c>
      <c r="C154" s="1" t="s">
        <v>202</v>
      </c>
      <c r="D154" s="1" t="s">
        <v>202</v>
      </c>
      <c r="E154" s="2">
        <v>31301</v>
      </c>
      <c r="F154" s="16">
        <v>993</v>
      </c>
      <c r="G154" s="16">
        <v>1046</v>
      </c>
      <c r="H154" s="16">
        <v>1073</v>
      </c>
      <c r="I154" s="16">
        <v>91</v>
      </c>
      <c r="J154" s="16">
        <v>137</v>
      </c>
      <c r="K154" s="16">
        <v>129</v>
      </c>
      <c r="L154" s="12">
        <f t="shared" si="66"/>
        <v>9.1641490433031212</v>
      </c>
      <c r="M154" s="12">
        <f t="shared" si="67"/>
        <v>13.097514340344169</v>
      </c>
      <c r="N154" s="12">
        <f t="shared" si="73"/>
        <v>12.022367194780987</v>
      </c>
      <c r="O154" s="12">
        <f t="shared" si="71"/>
        <v>11.428010192809424</v>
      </c>
      <c r="P154" s="16">
        <v>1483</v>
      </c>
      <c r="Q154" s="16">
        <v>1471</v>
      </c>
      <c r="R154" s="16">
        <v>1492</v>
      </c>
      <c r="S154" s="16">
        <v>73</v>
      </c>
      <c r="T154" s="16">
        <v>55</v>
      </c>
      <c r="U154" s="16">
        <v>101</v>
      </c>
      <c r="V154" s="12">
        <f t="shared" si="68"/>
        <v>4.9224544841537421</v>
      </c>
      <c r="W154" s="12">
        <f t="shared" si="69"/>
        <v>3.7389530931339223</v>
      </c>
      <c r="X154" s="12">
        <f t="shared" si="70"/>
        <v>6.7694369973190351</v>
      </c>
      <c r="Y154" s="12">
        <f t="shared" si="72"/>
        <v>4.3307037886438327</v>
      </c>
    </row>
    <row r="155" spans="1:25" x14ac:dyDescent="0.3">
      <c r="A155" s="1" t="s">
        <v>157</v>
      </c>
      <c r="B155" s="1" t="s">
        <v>202</v>
      </c>
      <c r="C155" s="1" t="s">
        <v>203</v>
      </c>
      <c r="D155" s="1" t="s">
        <v>203</v>
      </c>
      <c r="E155" s="2">
        <v>31302</v>
      </c>
      <c r="F155" s="16">
        <v>97</v>
      </c>
      <c r="G155" s="16">
        <v>110</v>
      </c>
      <c r="H155" s="16">
        <v>109</v>
      </c>
      <c r="I155" s="16">
        <v>23</v>
      </c>
      <c r="J155" s="16">
        <v>10</v>
      </c>
      <c r="K155" s="16">
        <v>6</v>
      </c>
      <c r="L155" s="12">
        <f t="shared" si="66"/>
        <v>23.711340206185564</v>
      </c>
      <c r="M155" s="12">
        <f t="shared" si="67"/>
        <v>9.0909090909090917</v>
      </c>
      <c r="N155" s="12">
        <f t="shared" si="73"/>
        <v>5.5045871559633035</v>
      </c>
      <c r="O155" s="12">
        <f t="shared" si="71"/>
        <v>12.768945484352651</v>
      </c>
      <c r="P155" s="16">
        <v>151</v>
      </c>
      <c r="Q155" s="16">
        <v>162</v>
      </c>
      <c r="R155" s="16">
        <v>171</v>
      </c>
      <c r="S155" s="16">
        <v>5</v>
      </c>
      <c r="T155" s="16">
        <v>15</v>
      </c>
      <c r="U155" s="16">
        <v>6</v>
      </c>
      <c r="V155" s="12">
        <f t="shared" si="68"/>
        <v>3.3112582781456954</v>
      </c>
      <c r="W155" s="12">
        <f t="shared" si="69"/>
        <v>9.2592592592592595</v>
      </c>
      <c r="X155" s="12">
        <f t="shared" si="70"/>
        <v>3.5087719298245612</v>
      </c>
      <c r="Y155" s="12">
        <f t="shared" si="72"/>
        <v>6.2852587687024775</v>
      </c>
    </row>
    <row r="156" spans="1:25" x14ac:dyDescent="0.3">
      <c r="A156" s="1" t="s">
        <v>157</v>
      </c>
      <c r="B156" s="1" t="s">
        <v>202</v>
      </c>
      <c r="C156" s="1" t="s">
        <v>204</v>
      </c>
      <c r="D156" s="1" t="s">
        <v>204</v>
      </c>
      <c r="E156" s="2">
        <v>31303</v>
      </c>
      <c r="F156" s="16">
        <v>53</v>
      </c>
      <c r="G156" s="16">
        <v>57</v>
      </c>
      <c r="H156" s="16">
        <v>55</v>
      </c>
      <c r="I156" s="16">
        <v>15</v>
      </c>
      <c r="J156" s="16">
        <v>14</v>
      </c>
      <c r="K156" s="16">
        <v>8</v>
      </c>
      <c r="L156" s="12">
        <f t="shared" si="66"/>
        <v>28.30188679245283</v>
      </c>
      <c r="M156" s="12">
        <f t="shared" si="67"/>
        <v>24.561403508771928</v>
      </c>
      <c r="N156" s="12">
        <f t="shared" si="73"/>
        <v>14.545454545454545</v>
      </c>
      <c r="O156" s="12">
        <f t="shared" si="71"/>
        <v>22.469581615559765</v>
      </c>
      <c r="P156" s="16">
        <v>48</v>
      </c>
      <c r="Q156" s="16">
        <v>42</v>
      </c>
      <c r="R156" s="16">
        <v>38</v>
      </c>
      <c r="S156" s="16">
        <v>4</v>
      </c>
      <c r="T156" s="16">
        <v>3</v>
      </c>
      <c r="U156" s="16">
        <v>3</v>
      </c>
      <c r="V156" s="12">
        <f t="shared" si="68"/>
        <v>8.3333333333333321</v>
      </c>
      <c r="W156" s="12">
        <f t="shared" si="69"/>
        <v>7.1428571428571423</v>
      </c>
      <c r="X156" s="12">
        <f t="shared" si="70"/>
        <v>7.8947368421052628</v>
      </c>
      <c r="Y156" s="12">
        <f t="shared" si="72"/>
        <v>7.7380952380952372</v>
      </c>
    </row>
    <row r="157" spans="1:25" x14ac:dyDescent="0.3">
      <c r="A157" s="1" t="s">
        <v>157</v>
      </c>
      <c r="B157" s="1" t="s">
        <v>202</v>
      </c>
      <c r="C157" s="1" t="s">
        <v>205</v>
      </c>
      <c r="D157" s="1" t="s">
        <v>206</v>
      </c>
      <c r="E157" s="2">
        <v>31304</v>
      </c>
      <c r="F157" s="16">
        <v>993</v>
      </c>
      <c r="G157" s="16">
        <v>1046</v>
      </c>
      <c r="H157" s="16">
        <v>1073</v>
      </c>
      <c r="I157" s="16">
        <v>91</v>
      </c>
      <c r="J157" s="16">
        <v>137</v>
      </c>
      <c r="K157" s="16">
        <v>129</v>
      </c>
      <c r="L157" s="12">
        <f t="shared" si="66"/>
        <v>9.1641490433031212</v>
      </c>
      <c r="M157" s="12">
        <f t="shared" si="67"/>
        <v>13.097514340344169</v>
      </c>
      <c r="N157" s="12">
        <f t="shared" si="73"/>
        <v>12.022367194780987</v>
      </c>
      <c r="O157" s="12">
        <f t="shared" si="71"/>
        <v>11.428010192809424</v>
      </c>
      <c r="P157" s="16">
        <v>1483</v>
      </c>
      <c r="Q157" s="16">
        <v>1471</v>
      </c>
      <c r="R157" s="16"/>
      <c r="S157" s="16">
        <v>73</v>
      </c>
      <c r="T157" s="16">
        <v>55</v>
      </c>
      <c r="U157" s="16"/>
      <c r="V157" s="12">
        <f t="shared" ref="V157:W160" si="74">(S157/P157)*100</f>
        <v>4.9224544841537421</v>
      </c>
      <c r="W157" s="12">
        <f t="shared" si="74"/>
        <v>3.7389530931339223</v>
      </c>
      <c r="X157" s="12"/>
      <c r="Y157" s="12">
        <f t="shared" si="72"/>
        <v>4.3307037886438327</v>
      </c>
    </row>
    <row r="158" spans="1:25" x14ac:dyDescent="0.3">
      <c r="A158" s="1" t="s">
        <v>157</v>
      </c>
      <c r="B158" s="1" t="s">
        <v>207</v>
      </c>
      <c r="C158" s="1" t="s">
        <v>207</v>
      </c>
      <c r="D158" s="1" t="s">
        <v>208</v>
      </c>
      <c r="E158" s="2">
        <v>31401</v>
      </c>
      <c r="F158" s="16">
        <v>2211</v>
      </c>
      <c r="G158" s="16">
        <v>2244</v>
      </c>
      <c r="H158" s="16">
        <v>2260</v>
      </c>
      <c r="I158" s="16">
        <v>118</v>
      </c>
      <c r="J158" s="16">
        <v>102</v>
      </c>
      <c r="K158" s="16">
        <v>102</v>
      </c>
      <c r="L158" s="12">
        <f t="shared" si="66"/>
        <v>5.3369516056083217</v>
      </c>
      <c r="M158" s="12">
        <f t="shared" si="67"/>
        <v>4.5454545454545459</v>
      </c>
      <c r="N158" s="12">
        <f t="shared" si="73"/>
        <v>4.5132743362831862</v>
      </c>
      <c r="O158" s="12">
        <f t="shared" si="71"/>
        <v>4.798560162448684</v>
      </c>
      <c r="P158" s="16">
        <v>2130</v>
      </c>
      <c r="Q158" s="16">
        <v>2238</v>
      </c>
      <c r="R158" s="16">
        <v>2240</v>
      </c>
      <c r="S158" s="16">
        <v>53</v>
      </c>
      <c r="T158" s="16">
        <v>47</v>
      </c>
      <c r="U158" s="16">
        <v>64</v>
      </c>
      <c r="V158" s="12">
        <f t="shared" si="74"/>
        <v>2.488262910798122</v>
      </c>
      <c r="W158" s="12">
        <f t="shared" si="74"/>
        <v>2.1000893655049149</v>
      </c>
      <c r="X158" s="12">
        <f>(U158/R158)*100</f>
        <v>2.8571428571428572</v>
      </c>
      <c r="Y158" s="12">
        <f t="shared" si="72"/>
        <v>2.2941761381515184</v>
      </c>
    </row>
    <row r="159" spans="1:25" x14ac:dyDescent="0.3">
      <c r="A159" s="1" t="s">
        <v>157</v>
      </c>
      <c r="B159" s="1" t="s">
        <v>207</v>
      </c>
      <c r="C159" s="1" t="s">
        <v>209</v>
      </c>
      <c r="D159" s="1" t="s">
        <v>209</v>
      </c>
      <c r="E159" s="2">
        <v>31402</v>
      </c>
      <c r="F159" s="16">
        <v>443</v>
      </c>
      <c r="G159" s="16">
        <v>443</v>
      </c>
      <c r="H159" s="16">
        <v>465</v>
      </c>
      <c r="I159" s="16">
        <v>24</v>
      </c>
      <c r="J159" s="16">
        <v>33</v>
      </c>
      <c r="K159" s="16">
        <v>48</v>
      </c>
      <c r="L159" s="12">
        <f t="shared" si="66"/>
        <v>5.4176072234762982</v>
      </c>
      <c r="M159" s="12">
        <f t="shared" si="67"/>
        <v>7.4492099322799099</v>
      </c>
      <c r="N159" s="12">
        <f t="shared" si="73"/>
        <v>10.32258064516129</v>
      </c>
      <c r="O159" s="12">
        <f t="shared" si="71"/>
        <v>7.7297992669724991</v>
      </c>
      <c r="P159" s="16">
        <v>375</v>
      </c>
      <c r="Q159" s="16">
        <v>390</v>
      </c>
      <c r="R159" s="16">
        <v>361</v>
      </c>
      <c r="S159" s="16">
        <v>18</v>
      </c>
      <c r="T159" s="16">
        <v>15</v>
      </c>
      <c r="U159" s="16">
        <v>17</v>
      </c>
      <c r="V159" s="12">
        <f t="shared" si="74"/>
        <v>4.8</v>
      </c>
      <c r="W159" s="12">
        <f t="shared" si="74"/>
        <v>3.8461538461538463</v>
      </c>
      <c r="X159" s="12">
        <f>(U159/R159)*100</f>
        <v>4.7091412742382275</v>
      </c>
      <c r="Y159" s="12">
        <f t="shared" si="72"/>
        <v>4.3230769230769228</v>
      </c>
    </row>
    <row r="160" spans="1:25" x14ac:dyDescent="0.3">
      <c r="A160" s="1" t="s">
        <v>157</v>
      </c>
      <c r="B160" s="1" t="s">
        <v>207</v>
      </c>
      <c r="C160" s="1" t="s">
        <v>210</v>
      </c>
      <c r="D160" s="1" t="s">
        <v>211</v>
      </c>
      <c r="E160" s="2">
        <v>31403</v>
      </c>
      <c r="F160" s="16">
        <v>618</v>
      </c>
      <c r="G160" s="16">
        <v>641</v>
      </c>
      <c r="H160" s="16">
        <v>660</v>
      </c>
      <c r="I160" s="16">
        <v>38</v>
      </c>
      <c r="J160" s="16">
        <v>32</v>
      </c>
      <c r="K160" s="16">
        <v>33</v>
      </c>
      <c r="L160" s="12">
        <f t="shared" si="66"/>
        <v>6.1488673139158578</v>
      </c>
      <c r="M160" s="12">
        <f t="shared" si="67"/>
        <v>4.9921996879875197</v>
      </c>
      <c r="N160" s="12">
        <f t="shared" si="73"/>
        <v>5</v>
      </c>
      <c r="O160" s="12">
        <f t="shared" si="71"/>
        <v>5.3803556673011252</v>
      </c>
      <c r="P160" s="16">
        <v>611</v>
      </c>
      <c r="Q160" s="16">
        <v>626</v>
      </c>
      <c r="R160" s="16">
        <v>609</v>
      </c>
      <c r="S160" s="16">
        <v>8</v>
      </c>
      <c r="T160" s="16">
        <v>11</v>
      </c>
      <c r="U160" s="16">
        <v>9</v>
      </c>
      <c r="V160" s="12">
        <f t="shared" si="74"/>
        <v>1.3093289689034371</v>
      </c>
      <c r="W160" s="12">
        <f t="shared" si="74"/>
        <v>1.7571884984025559</v>
      </c>
      <c r="X160" s="12">
        <f>(U160/R160)*100</f>
        <v>1.4778325123152709</v>
      </c>
      <c r="Y160" s="12">
        <f t="shared" si="72"/>
        <v>1.5332587336529966</v>
      </c>
    </row>
    <row r="161" spans="1:25" x14ac:dyDescent="0.3">
      <c r="A161" s="1" t="s">
        <v>157</v>
      </c>
      <c r="B161" s="1" t="s">
        <v>207</v>
      </c>
      <c r="C161" s="1" t="s">
        <v>212</v>
      </c>
      <c r="D161" s="1" t="s">
        <v>212</v>
      </c>
      <c r="E161" s="2">
        <v>31404</v>
      </c>
      <c r="F161" s="19"/>
      <c r="G161" s="19"/>
      <c r="H161" s="19"/>
      <c r="I161" s="20">
        <v>0</v>
      </c>
      <c r="J161" s="20">
        <v>0</v>
      </c>
      <c r="K161" s="20">
        <v>1</v>
      </c>
      <c r="L161" s="12"/>
      <c r="M161" s="12"/>
      <c r="N161" s="12"/>
      <c r="O161" s="12"/>
      <c r="P161" s="1"/>
      <c r="Q161" s="1"/>
      <c r="R161" s="1"/>
      <c r="S161" s="1"/>
      <c r="T161" s="1"/>
      <c r="U161" s="1"/>
      <c r="V161" s="12"/>
      <c r="W161" s="12"/>
      <c r="X161" s="12"/>
      <c r="Y161" s="12"/>
    </row>
    <row r="162" spans="1:25" x14ac:dyDescent="0.3">
      <c r="A162" s="1" t="s">
        <v>157</v>
      </c>
      <c r="B162" s="1" t="s">
        <v>207</v>
      </c>
      <c r="C162" s="1" t="s">
        <v>213</v>
      </c>
      <c r="D162" s="1" t="s">
        <v>213</v>
      </c>
      <c r="E162" s="2">
        <v>31405</v>
      </c>
      <c r="F162" s="16">
        <v>5</v>
      </c>
      <c r="G162" s="16">
        <v>9</v>
      </c>
      <c r="H162" s="16">
        <v>8</v>
      </c>
      <c r="I162" s="16">
        <v>7</v>
      </c>
      <c r="J162" s="16">
        <v>5</v>
      </c>
      <c r="K162" s="16">
        <v>3</v>
      </c>
      <c r="L162" s="12">
        <f t="shared" ref="L162:N164" si="75">(I162/F162)*100</f>
        <v>140</v>
      </c>
      <c r="M162" s="12">
        <f t="shared" si="75"/>
        <v>55.555555555555557</v>
      </c>
      <c r="N162" s="12">
        <f t="shared" si="75"/>
        <v>37.5</v>
      </c>
      <c r="O162" s="12">
        <f t="shared" si="71"/>
        <v>77.685185185185176</v>
      </c>
      <c r="P162" s="1"/>
      <c r="Q162" s="1"/>
      <c r="R162" s="1">
        <v>7</v>
      </c>
      <c r="S162" s="1"/>
      <c r="T162" s="1"/>
      <c r="U162" s="1"/>
      <c r="V162" s="12"/>
      <c r="W162" s="12"/>
      <c r="X162" s="12">
        <f t="shared" ref="X162:X177" si="76">(U162/R162)*100</f>
        <v>0</v>
      </c>
      <c r="Y162" s="12"/>
    </row>
    <row r="163" spans="1:25" x14ac:dyDescent="0.3">
      <c r="A163" s="1" t="s">
        <v>157</v>
      </c>
      <c r="B163" s="1" t="s">
        <v>214</v>
      </c>
      <c r="C163" s="1" t="s">
        <v>483</v>
      </c>
      <c r="D163" s="1" t="s">
        <v>214</v>
      </c>
      <c r="E163" s="2">
        <v>31501</v>
      </c>
      <c r="F163" s="16">
        <v>161</v>
      </c>
      <c r="G163" s="16">
        <v>147</v>
      </c>
      <c r="H163" s="16">
        <v>149</v>
      </c>
      <c r="I163" s="16">
        <v>35</v>
      </c>
      <c r="J163" s="16">
        <v>26</v>
      </c>
      <c r="K163" s="16">
        <v>28</v>
      </c>
      <c r="L163" s="12">
        <f t="shared" si="75"/>
        <v>21.739130434782609</v>
      </c>
      <c r="M163" s="12">
        <f t="shared" si="75"/>
        <v>17.687074829931973</v>
      </c>
      <c r="N163" s="12">
        <f t="shared" si="75"/>
        <v>18.791946308724832</v>
      </c>
      <c r="O163" s="12">
        <f t="shared" si="71"/>
        <v>19.406050524479806</v>
      </c>
      <c r="P163" s="16">
        <v>184</v>
      </c>
      <c r="Q163" s="16">
        <v>171</v>
      </c>
      <c r="R163" s="16">
        <v>163</v>
      </c>
      <c r="S163" s="16">
        <v>8</v>
      </c>
      <c r="T163" s="16">
        <v>6</v>
      </c>
      <c r="U163" s="16">
        <v>12</v>
      </c>
      <c r="V163" s="12">
        <f t="shared" ref="V163:V177" si="77">(S163/P163)*100</f>
        <v>4.3478260869565215</v>
      </c>
      <c r="W163" s="12">
        <f t="shared" ref="W163:W177" si="78">(T163/Q163)*100</f>
        <v>3.5087719298245612</v>
      </c>
      <c r="X163" s="12">
        <f t="shared" si="76"/>
        <v>7.3619631901840492</v>
      </c>
      <c r="Y163" s="12">
        <f t="shared" si="72"/>
        <v>3.9282990083905416</v>
      </c>
    </row>
    <row r="164" spans="1:25" x14ac:dyDescent="0.3">
      <c r="A164" s="1" t="s">
        <v>157</v>
      </c>
      <c r="B164" s="1" t="s">
        <v>215</v>
      </c>
      <c r="C164" s="1" t="s">
        <v>215</v>
      </c>
      <c r="D164" s="1" t="s">
        <v>215</v>
      </c>
      <c r="E164" s="2">
        <v>31601</v>
      </c>
      <c r="F164" s="16">
        <v>2132</v>
      </c>
      <c r="G164" s="16">
        <v>2276</v>
      </c>
      <c r="H164" s="16">
        <v>1159</v>
      </c>
      <c r="I164" s="16">
        <v>152</v>
      </c>
      <c r="J164" s="16">
        <v>142</v>
      </c>
      <c r="K164" s="16">
        <v>69</v>
      </c>
      <c r="L164" s="12">
        <f t="shared" si="75"/>
        <v>7.1294559099437143</v>
      </c>
      <c r="M164" s="12">
        <f t="shared" si="75"/>
        <v>6.2390158172231986</v>
      </c>
      <c r="N164" s="12">
        <f t="shared" si="75"/>
        <v>5.9534081104400345</v>
      </c>
      <c r="O164" s="12">
        <f t="shared" si="71"/>
        <v>6.4406266125356488</v>
      </c>
      <c r="P164" s="1">
        <v>1079</v>
      </c>
      <c r="Q164" s="1">
        <v>1064</v>
      </c>
      <c r="R164" s="1">
        <v>1053</v>
      </c>
      <c r="S164" s="1">
        <v>41</v>
      </c>
      <c r="T164" s="1">
        <v>33</v>
      </c>
      <c r="U164" s="1">
        <v>35</v>
      </c>
      <c r="V164" s="12">
        <f t="shared" si="77"/>
        <v>3.7998146431881374</v>
      </c>
      <c r="W164" s="12">
        <f t="shared" si="78"/>
        <v>3.1015037593984962</v>
      </c>
      <c r="X164" s="12">
        <f t="shared" si="76"/>
        <v>3.3238366571699909</v>
      </c>
      <c r="Y164" s="12">
        <f t="shared" si="72"/>
        <v>3.450659201293317</v>
      </c>
    </row>
    <row r="165" spans="1:25" x14ac:dyDescent="0.3">
      <c r="A165" s="1" t="s">
        <v>157</v>
      </c>
      <c r="B165" s="1" t="s">
        <v>215</v>
      </c>
      <c r="C165" s="1" t="s">
        <v>216</v>
      </c>
      <c r="D165" s="1" t="s">
        <v>216</v>
      </c>
      <c r="E165" s="2">
        <v>31602</v>
      </c>
      <c r="F165" s="16">
        <v>0</v>
      </c>
      <c r="G165" s="16">
        <v>0</v>
      </c>
      <c r="H165" s="16">
        <v>1193</v>
      </c>
      <c r="I165" s="16">
        <v>0</v>
      </c>
      <c r="J165" s="16">
        <v>0</v>
      </c>
      <c r="K165" s="16">
        <v>57</v>
      </c>
      <c r="L165" s="12"/>
      <c r="M165" s="12"/>
      <c r="N165" s="12">
        <f t="shared" ref="N165:N177" si="79">(K165/H165)*100</f>
        <v>4.7778709136630342</v>
      </c>
      <c r="O165" s="12">
        <f t="shared" si="71"/>
        <v>4.7778709136630342</v>
      </c>
      <c r="P165" s="1">
        <v>1621</v>
      </c>
      <c r="Q165" s="1">
        <v>1676</v>
      </c>
      <c r="R165" s="1">
        <v>1697</v>
      </c>
      <c r="S165" s="1">
        <v>52</v>
      </c>
      <c r="T165" s="1">
        <v>44</v>
      </c>
      <c r="U165" s="1">
        <v>42</v>
      </c>
      <c r="V165" s="12">
        <f t="shared" si="77"/>
        <v>3.2078963602714374</v>
      </c>
      <c r="W165" s="12">
        <f t="shared" si="78"/>
        <v>2.6252983293556085</v>
      </c>
      <c r="X165" s="12">
        <f t="shared" si="76"/>
        <v>2.4749558043606363</v>
      </c>
      <c r="Y165" s="12">
        <f t="shared" si="72"/>
        <v>2.916597344813523</v>
      </c>
    </row>
    <row r="166" spans="1:25" x14ac:dyDescent="0.3">
      <c r="A166" s="1" t="s">
        <v>217</v>
      </c>
      <c r="B166" s="1" t="s">
        <v>158</v>
      </c>
      <c r="C166" s="1" t="s">
        <v>217</v>
      </c>
      <c r="D166" s="1" t="s">
        <v>217</v>
      </c>
      <c r="E166" s="2">
        <v>40101</v>
      </c>
      <c r="F166" s="16">
        <v>17369</v>
      </c>
      <c r="G166" s="16">
        <v>17890</v>
      </c>
      <c r="H166" s="16">
        <v>18136</v>
      </c>
      <c r="I166" s="16">
        <v>511</v>
      </c>
      <c r="J166" s="16">
        <v>778</v>
      </c>
      <c r="K166" s="16">
        <v>658</v>
      </c>
      <c r="L166" s="12">
        <f t="shared" ref="L166:L177" si="80">(I166/F166)*100</f>
        <v>2.942023144683056</v>
      </c>
      <c r="M166" s="12">
        <f t="shared" ref="M166:M177" si="81">(J166/G166)*100</f>
        <v>4.348798211291224</v>
      </c>
      <c r="N166" s="12">
        <f t="shared" si="79"/>
        <v>3.6281429201588002</v>
      </c>
      <c r="O166" s="12">
        <f t="shared" si="71"/>
        <v>3.6396547587110271</v>
      </c>
      <c r="P166" s="16">
        <v>20634</v>
      </c>
      <c r="Q166" s="16">
        <v>21294</v>
      </c>
      <c r="R166" s="16">
        <v>21915</v>
      </c>
      <c r="S166" s="16">
        <v>445</v>
      </c>
      <c r="T166" s="16">
        <v>307</v>
      </c>
      <c r="U166" s="16">
        <v>325</v>
      </c>
      <c r="V166" s="12">
        <f t="shared" si="77"/>
        <v>2.1566346806242125</v>
      </c>
      <c r="W166" s="12">
        <f t="shared" si="78"/>
        <v>1.4417206724899034</v>
      </c>
      <c r="X166" s="12">
        <f t="shared" si="76"/>
        <v>1.4830025096965549</v>
      </c>
      <c r="Y166" s="12">
        <f t="shared" si="72"/>
        <v>1.799177676557058</v>
      </c>
    </row>
    <row r="167" spans="1:25" x14ac:dyDescent="0.3">
      <c r="A167" s="1" t="s">
        <v>217</v>
      </c>
      <c r="B167" s="1" t="s">
        <v>158</v>
      </c>
      <c r="C167" s="1" t="s">
        <v>218</v>
      </c>
      <c r="D167" s="1" t="s">
        <v>218</v>
      </c>
      <c r="E167" s="2">
        <v>40102</v>
      </c>
      <c r="F167" s="16">
        <v>1052</v>
      </c>
      <c r="G167" s="16">
        <v>1083</v>
      </c>
      <c r="H167" s="16">
        <v>1097</v>
      </c>
      <c r="I167" s="16">
        <v>65</v>
      </c>
      <c r="J167" s="16">
        <v>69</v>
      </c>
      <c r="K167" s="16">
        <v>84</v>
      </c>
      <c r="L167" s="12">
        <f t="shared" si="80"/>
        <v>6.1787072243346008</v>
      </c>
      <c r="M167" s="12">
        <f t="shared" si="81"/>
        <v>6.3711911357340725</v>
      </c>
      <c r="N167" s="12">
        <f t="shared" si="79"/>
        <v>7.6572470373746579</v>
      </c>
      <c r="O167" s="12">
        <f t="shared" si="71"/>
        <v>6.7357151324811113</v>
      </c>
      <c r="P167" s="16">
        <v>1111</v>
      </c>
      <c r="Q167" s="16">
        <v>1091</v>
      </c>
      <c r="R167" s="16">
        <v>1066</v>
      </c>
      <c r="S167" s="16">
        <v>18</v>
      </c>
      <c r="T167" s="16">
        <v>19</v>
      </c>
      <c r="U167" s="16">
        <v>24</v>
      </c>
      <c r="V167" s="12">
        <f t="shared" si="77"/>
        <v>1.6201620162016201</v>
      </c>
      <c r="W167" s="12">
        <f t="shared" si="78"/>
        <v>1.7415215398716772</v>
      </c>
      <c r="X167" s="12">
        <f t="shared" si="76"/>
        <v>2.2514071294559099</v>
      </c>
      <c r="Y167" s="12">
        <f t="shared" si="72"/>
        <v>1.6808417780366487</v>
      </c>
    </row>
    <row r="168" spans="1:25" x14ac:dyDescent="0.3">
      <c r="A168" s="1" t="s">
        <v>217</v>
      </c>
      <c r="B168" s="1" t="s">
        <v>158</v>
      </c>
      <c r="C168" s="1" t="s">
        <v>219</v>
      </c>
      <c r="D168" s="1" t="s">
        <v>219</v>
      </c>
      <c r="E168" s="2">
        <v>40103</v>
      </c>
      <c r="F168" s="16">
        <v>55</v>
      </c>
      <c r="G168" s="16">
        <v>57</v>
      </c>
      <c r="H168" s="16">
        <v>80</v>
      </c>
      <c r="I168" s="16">
        <v>7</v>
      </c>
      <c r="J168" s="16">
        <v>7</v>
      </c>
      <c r="K168" s="16">
        <v>20</v>
      </c>
      <c r="L168" s="12">
        <f t="shared" si="80"/>
        <v>12.727272727272727</v>
      </c>
      <c r="M168" s="12">
        <f t="shared" si="81"/>
        <v>12.280701754385964</v>
      </c>
      <c r="N168" s="12">
        <f t="shared" si="79"/>
        <v>25</v>
      </c>
      <c r="O168" s="12">
        <f t="shared" si="71"/>
        <v>16.669324827219565</v>
      </c>
      <c r="P168" s="16">
        <v>119</v>
      </c>
      <c r="Q168" s="16">
        <v>126</v>
      </c>
      <c r="R168" s="16">
        <v>134</v>
      </c>
      <c r="S168" s="16">
        <v>7</v>
      </c>
      <c r="T168" s="16">
        <v>3</v>
      </c>
      <c r="U168" s="16">
        <v>6</v>
      </c>
      <c r="V168" s="12">
        <f t="shared" si="77"/>
        <v>5.8823529411764701</v>
      </c>
      <c r="W168" s="12">
        <f t="shared" si="78"/>
        <v>2.3809523809523809</v>
      </c>
      <c r="X168" s="12">
        <f t="shared" si="76"/>
        <v>4.4776119402985071</v>
      </c>
      <c r="Y168" s="12">
        <f t="shared" si="72"/>
        <v>4.1316526610644253</v>
      </c>
    </row>
    <row r="169" spans="1:25" x14ac:dyDescent="0.3">
      <c r="A169" s="1" t="s">
        <v>217</v>
      </c>
      <c r="B169" s="1" t="s">
        <v>158</v>
      </c>
      <c r="C169" s="1" t="s">
        <v>220</v>
      </c>
      <c r="D169" s="1" t="s">
        <v>221</v>
      </c>
      <c r="E169" s="2">
        <v>40104</v>
      </c>
      <c r="F169" s="16">
        <v>441</v>
      </c>
      <c r="G169" s="16">
        <v>463</v>
      </c>
      <c r="H169" s="16">
        <v>446</v>
      </c>
      <c r="I169" s="16">
        <v>43</v>
      </c>
      <c r="J169" s="16">
        <v>56</v>
      </c>
      <c r="K169" s="16">
        <v>44</v>
      </c>
      <c r="L169" s="12">
        <f t="shared" si="80"/>
        <v>9.7505668934240362</v>
      </c>
      <c r="M169" s="12">
        <f t="shared" si="81"/>
        <v>12.095032397408207</v>
      </c>
      <c r="N169" s="12">
        <f t="shared" si="79"/>
        <v>9.8654708520179373</v>
      </c>
      <c r="O169" s="12">
        <f t="shared" si="71"/>
        <v>10.570356714283394</v>
      </c>
      <c r="P169" s="16">
        <v>517</v>
      </c>
      <c r="Q169" s="16">
        <v>525</v>
      </c>
      <c r="R169" s="16">
        <v>535</v>
      </c>
      <c r="S169" s="16">
        <v>14</v>
      </c>
      <c r="T169" s="16">
        <v>27</v>
      </c>
      <c r="U169" s="16">
        <v>38</v>
      </c>
      <c r="V169" s="12">
        <f t="shared" si="77"/>
        <v>2.7079303675048356</v>
      </c>
      <c r="W169" s="12">
        <f t="shared" si="78"/>
        <v>5.1428571428571423</v>
      </c>
      <c r="X169" s="12">
        <f t="shared" si="76"/>
        <v>7.1028037383177578</v>
      </c>
      <c r="Y169" s="12">
        <f t="shared" si="72"/>
        <v>3.925393755180989</v>
      </c>
    </row>
    <row r="170" spans="1:25" x14ac:dyDescent="0.3">
      <c r="A170" s="1" t="s">
        <v>217</v>
      </c>
      <c r="B170" s="1" t="s">
        <v>222</v>
      </c>
      <c r="C170" s="1" t="s">
        <v>223</v>
      </c>
      <c r="D170" s="1" t="s">
        <v>223</v>
      </c>
      <c r="E170" s="2">
        <v>40201</v>
      </c>
      <c r="F170" s="16">
        <v>1545</v>
      </c>
      <c r="G170" s="16">
        <v>1640</v>
      </c>
      <c r="H170" s="16">
        <v>1739</v>
      </c>
      <c r="I170" s="16">
        <v>102</v>
      </c>
      <c r="J170" s="16">
        <v>89</v>
      </c>
      <c r="K170" s="16">
        <v>126</v>
      </c>
      <c r="L170" s="12">
        <f t="shared" si="80"/>
        <v>6.6019417475728162</v>
      </c>
      <c r="M170" s="12">
        <f t="shared" si="81"/>
        <v>5.4268292682926829</v>
      </c>
      <c r="N170" s="12">
        <f t="shared" si="79"/>
        <v>7.245543415756182</v>
      </c>
      <c r="O170" s="12">
        <f t="shared" si="71"/>
        <v>6.4247714772072264</v>
      </c>
      <c r="P170" s="16">
        <v>1916</v>
      </c>
      <c r="Q170" s="16">
        <v>1938</v>
      </c>
      <c r="R170" s="16">
        <v>1969</v>
      </c>
      <c r="S170" s="16">
        <v>46</v>
      </c>
      <c r="T170" s="16">
        <v>55</v>
      </c>
      <c r="U170" s="16">
        <v>45</v>
      </c>
      <c r="V170" s="12">
        <f t="shared" si="77"/>
        <v>2.4008350730688934</v>
      </c>
      <c r="W170" s="12">
        <f t="shared" si="78"/>
        <v>2.8379772961816303</v>
      </c>
      <c r="X170" s="12">
        <f t="shared" si="76"/>
        <v>2.2854240731335702</v>
      </c>
      <c r="Y170" s="12">
        <f t="shared" si="72"/>
        <v>2.6194061846252619</v>
      </c>
    </row>
    <row r="171" spans="1:25" x14ac:dyDescent="0.3">
      <c r="A171" s="1" t="s">
        <v>217</v>
      </c>
      <c r="B171" s="1" t="s">
        <v>222</v>
      </c>
      <c r="C171" s="1" t="s">
        <v>224</v>
      </c>
      <c r="D171" s="1" t="s">
        <v>224</v>
      </c>
      <c r="E171" s="2">
        <v>40202</v>
      </c>
      <c r="F171" s="16">
        <v>109</v>
      </c>
      <c r="G171" s="16">
        <v>113</v>
      </c>
      <c r="H171" s="16">
        <v>118</v>
      </c>
      <c r="I171" s="16">
        <v>9</v>
      </c>
      <c r="J171" s="16">
        <v>12</v>
      </c>
      <c r="K171" s="16">
        <v>5</v>
      </c>
      <c r="L171" s="12">
        <f t="shared" si="80"/>
        <v>8.2568807339449553</v>
      </c>
      <c r="M171" s="12">
        <f t="shared" si="81"/>
        <v>10.619469026548673</v>
      </c>
      <c r="N171" s="12">
        <f t="shared" si="79"/>
        <v>4.2372881355932197</v>
      </c>
      <c r="O171" s="12">
        <f t="shared" si="71"/>
        <v>7.704545965362283</v>
      </c>
      <c r="P171" s="16">
        <v>141</v>
      </c>
      <c r="Q171" s="16">
        <v>135</v>
      </c>
      <c r="R171" s="16">
        <v>131</v>
      </c>
      <c r="S171" s="16">
        <v>5</v>
      </c>
      <c r="T171" s="16">
        <v>2</v>
      </c>
      <c r="U171" s="16">
        <v>2</v>
      </c>
      <c r="V171" s="12">
        <f t="shared" si="77"/>
        <v>3.5460992907801421</v>
      </c>
      <c r="W171" s="12">
        <f t="shared" si="78"/>
        <v>1.4814814814814816</v>
      </c>
      <c r="X171" s="12">
        <f t="shared" si="76"/>
        <v>1.5267175572519083</v>
      </c>
      <c r="Y171" s="12">
        <f t="shared" si="72"/>
        <v>2.513790386130812</v>
      </c>
    </row>
    <row r="172" spans="1:25" x14ac:dyDescent="0.3">
      <c r="A172" s="1" t="s">
        <v>217</v>
      </c>
      <c r="B172" s="1" t="s">
        <v>225</v>
      </c>
      <c r="C172" s="1" t="s">
        <v>226</v>
      </c>
      <c r="D172" s="1" t="s">
        <v>226</v>
      </c>
      <c r="E172" s="2">
        <v>40301</v>
      </c>
      <c r="F172" s="16">
        <v>209</v>
      </c>
      <c r="G172" s="16">
        <v>213</v>
      </c>
      <c r="H172" s="16">
        <v>213</v>
      </c>
      <c r="I172" s="16">
        <v>33</v>
      </c>
      <c r="J172" s="16">
        <v>51</v>
      </c>
      <c r="K172" s="16">
        <v>30</v>
      </c>
      <c r="L172" s="12">
        <f t="shared" si="80"/>
        <v>15.789473684210526</v>
      </c>
      <c r="M172" s="12">
        <f t="shared" si="81"/>
        <v>23.943661971830984</v>
      </c>
      <c r="N172" s="12">
        <f t="shared" si="79"/>
        <v>14.084507042253522</v>
      </c>
      <c r="O172" s="12">
        <f t="shared" si="71"/>
        <v>17.939214232765011</v>
      </c>
      <c r="P172" s="16">
        <v>263</v>
      </c>
      <c r="Q172" s="16">
        <v>256</v>
      </c>
      <c r="R172" s="16">
        <v>268</v>
      </c>
      <c r="S172" s="16">
        <v>10</v>
      </c>
      <c r="T172" s="16">
        <v>12</v>
      </c>
      <c r="U172" s="16">
        <v>22</v>
      </c>
      <c r="V172" s="12">
        <f t="shared" si="77"/>
        <v>3.8022813688212929</v>
      </c>
      <c r="W172" s="12">
        <f t="shared" si="78"/>
        <v>4.6875</v>
      </c>
      <c r="X172" s="12">
        <f t="shared" si="76"/>
        <v>8.2089552238805972</v>
      </c>
      <c r="Y172" s="12">
        <f t="shared" si="72"/>
        <v>4.2448906844106462</v>
      </c>
    </row>
    <row r="173" spans="1:25" x14ac:dyDescent="0.3">
      <c r="A173" s="1" t="s">
        <v>217</v>
      </c>
      <c r="B173" s="1" t="s">
        <v>225</v>
      </c>
      <c r="C173" s="1" t="s">
        <v>227</v>
      </c>
      <c r="D173" s="1" t="s">
        <v>227</v>
      </c>
      <c r="E173" s="2">
        <v>40302</v>
      </c>
      <c r="F173" s="16">
        <v>51</v>
      </c>
      <c r="G173" s="16">
        <v>51</v>
      </c>
      <c r="H173" s="16">
        <v>56</v>
      </c>
      <c r="I173" s="16">
        <v>6</v>
      </c>
      <c r="J173" s="16">
        <v>6</v>
      </c>
      <c r="K173" s="16">
        <v>5</v>
      </c>
      <c r="L173" s="12">
        <f t="shared" si="80"/>
        <v>11.76470588235294</v>
      </c>
      <c r="M173" s="12">
        <f t="shared" si="81"/>
        <v>11.76470588235294</v>
      </c>
      <c r="N173" s="12">
        <f t="shared" si="79"/>
        <v>8.9285714285714288</v>
      </c>
      <c r="O173" s="12">
        <f t="shared" si="71"/>
        <v>10.819327731092436</v>
      </c>
      <c r="P173" s="16">
        <v>34</v>
      </c>
      <c r="Q173" s="16">
        <v>27</v>
      </c>
      <c r="R173" s="16">
        <v>28</v>
      </c>
      <c r="S173" s="16">
        <v>0</v>
      </c>
      <c r="T173" s="16">
        <v>0</v>
      </c>
      <c r="U173" s="16"/>
      <c r="V173" s="12">
        <f t="shared" si="77"/>
        <v>0</v>
      </c>
      <c r="W173" s="12">
        <f t="shared" si="78"/>
        <v>0</v>
      </c>
      <c r="X173" s="12">
        <f t="shared" si="76"/>
        <v>0</v>
      </c>
      <c r="Y173" s="12">
        <f t="shared" si="72"/>
        <v>0</v>
      </c>
    </row>
    <row r="174" spans="1:25" x14ac:dyDescent="0.3">
      <c r="A174" s="1" t="s">
        <v>217</v>
      </c>
      <c r="B174" s="1" t="s">
        <v>228</v>
      </c>
      <c r="C174" s="1" t="s">
        <v>229</v>
      </c>
      <c r="D174" s="1" t="s">
        <v>229</v>
      </c>
      <c r="E174" s="2">
        <v>40401</v>
      </c>
      <c r="F174" s="16">
        <v>212</v>
      </c>
      <c r="G174" s="16">
        <v>204</v>
      </c>
      <c r="H174" s="16">
        <v>197</v>
      </c>
      <c r="I174" s="16">
        <v>14</v>
      </c>
      <c r="J174" s="16">
        <v>9</v>
      </c>
      <c r="K174" s="16">
        <v>12</v>
      </c>
      <c r="L174" s="12">
        <f t="shared" si="80"/>
        <v>6.6037735849056602</v>
      </c>
      <c r="M174" s="12">
        <f t="shared" si="81"/>
        <v>4.4117647058823533</v>
      </c>
      <c r="N174" s="12">
        <f t="shared" si="79"/>
        <v>6.091370558375635</v>
      </c>
      <c r="O174" s="12">
        <f t="shared" si="71"/>
        <v>5.7023029497212159</v>
      </c>
      <c r="P174" s="16">
        <v>134</v>
      </c>
      <c r="Q174" s="16">
        <v>140</v>
      </c>
      <c r="R174" s="16">
        <v>125</v>
      </c>
      <c r="S174" s="16">
        <v>3</v>
      </c>
      <c r="T174" s="16">
        <v>1</v>
      </c>
      <c r="U174" s="16">
        <v>1</v>
      </c>
      <c r="V174" s="12">
        <f t="shared" si="77"/>
        <v>2.2388059701492535</v>
      </c>
      <c r="W174" s="12">
        <f t="shared" si="78"/>
        <v>0.7142857142857143</v>
      </c>
      <c r="X174" s="12">
        <f t="shared" si="76"/>
        <v>0.8</v>
      </c>
      <c r="Y174" s="12">
        <f t="shared" si="72"/>
        <v>1.476545842217484</v>
      </c>
    </row>
    <row r="175" spans="1:25" x14ac:dyDescent="0.3">
      <c r="A175" s="1" t="s">
        <v>217</v>
      </c>
      <c r="B175" s="1" t="s">
        <v>228</v>
      </c>
      <c r="C175" s="1" t="s">
        <v>230</v>
      </c>
      <c r="D175" s="1" t="s">
        <v>230</v>
      </c>
      <c r="E175" s="2">
        <v>40402</v>
      </c>
      <c r="F175" s="16">
        <v>168</v>
      </c>
      <c r="G175" s="16">
        <v>163</v>
      </c>
      <c r="H175" s="16">
        <v>158</v>
      </c>
      <c r="I175" s="16">
        <v>8</v>
      </c>
      <c r="J175" s="16">
        <v>7</v>
      </c>
      <c r="K175" s="16">
        <v>10</v>
      </c>
      <c r="L175" s="12">
        <f t="shared" si="80"/>
        <v>4.7619047619047619</v>
      </c>
      <c r="M175" s="12">
        <f t="shared" si="81"/>
        <v>4.294478527607362</v>
      </c>
      <c r="N175" s="12">
        <f t="shared" si="79"/>
        <v>6.3291139240506329</v>
      </c>
      <c r="O175" s="12">
        <f t="shared" si="71"/>
        <v>5.1284990711875853</v>
      </c>
      <c r="P175" s="16">
        <v>143</v>
      </c>
      <c r="Q175" s="16">
        <v>135</v>
      </c>
      <c r="R175" s="16">
        <v>133</v>
      </c>
      <c r="S175" s="16">
        <v>2</v>
      </c>
      <c r="T175" s="16">
        <v>6</v>
      </c>
      <c r="U175" s="16">
        <v>5</v>
      </c>
      <c r="V175" s="12">
        <f t="shared" si="77"/>
        <v>1.3986013986013985</v>
      </c>
      <c r="W175" s="12">
        <f t="shared" si="78"/>
        <v>4.4444444444444446</v>
      </c>
      <c r="X175" s="12">
        <f t="shared" si="76"/>
        <v>3.7593984962406015</v>
      </c>
      <c r="Y175" s="12">
        <f t="shared" si="72"/>
        <v>2.9215229215229215</v>
      </c>
    </row>
    <row r="176" spans="1:25" x14ac:dyDescent="0.3">
      <c r="A176" s="1" t="s">
        <v>217</v>
      </c>
      <c r="B176" s="1" t="s">
        <v>231</v>
      </c>
      <c r="C176" s="1" t="s">
        <v>232</v>
      </c>
      <c r="D176" s="1" t="s">
        <v>232</v>
      </c>
      <c r="E176" s="2">
        <v>40501</v>
      </c>
      <c r="F176" s="16">
        <v>45</v>
      </c>
      <c r="G176" s="16">
        <v>46</v>
      </c>
      <c r="H176" s="16">
        <v>40</v>
      </c>
      <c r="I176" s="16">
        <v>5</v>
      </c>
      <c r="J176" s="16">
        <v>2</v>
      </c>
      <c r="K176" s="16">
        <v>2</v>
      </c>
      <c r="L176" s="12">
        <f t="shared" si="80"/>
        <v>11.111111111111111</v>
      </c>
      <c r="M176" s="12">
        <f t="shared" si="81"/>
        <v>4.3478260869565215</v>
      </c>
      <c r="N176" s="12">
        <f t="shared" si="79"/>
        <v>5</v>
      </c>
      <c r="O176" s="12">
        <f t="shared" si="71"/>
        <v>6.8196457326892101</v>
      </c>
      <c r="P176" s="16">
        <v>27</v>
      </c>
      <c r="Q176" s="16">
        <v>25</v>
      </c>
      <c r="R176" s="16">
        <v>35</v>
      </c>
      <c r="S176" s="16">
        <v>0</v>
      </c>
      <c r="T176" s="16">
        <v>0</v>
      </c>
      <c r="U176" s="16">
        <v>1</v>
      </c>
      <c r="V176" s="12">
        <f t="shared" si="77"/>
        <v>0</v>
      </c>
      <c r="W176" s="12">
        <f t="shared" si="78"/>
        <v>0</v>
      </c>
      <c r="X176" s="12">
        <f t="shared" si="76"/>
        <v>2.8571428571428572</v>
      </c>
      <c r="Y176" s="12">
        <f t="shared" si="72"/>
        <v>0</v>
      </c>
    </row>
    <row r="177" spans="1:25" x14ac:dyDescent="0.3">
      <c r="A177" s="1" t="s">
        <v>217</v>
      </c>
      <c r="B177" s="1" t="s">
        <v>231</v>
      </c>
      <c r="C177" s="1" t="s">
        <v>233</v>
      </c>
      <c r="D177" s="1" t="s">
        <v>233</v>
      </c>
      <c r="E177" s="2">
        <v>40502</v>
      </c>
      <c r="F177" s="16">
        <v>17</v>
      </c>
      <c r="G177" s="16">
        <v>15</v>
      </c>
      <c r="H177" s="16">
        <v>17</v>
      </c>
      <c r="I177" s="16">
        <v>3</v>
      </c>
      <c r="J177" s="16">
        <v>0</v>
      </c>
      <c r="K177" s="16">
        <v>0</v>
      </c>
      <c r="L177" s="12">
        <f t="shared" si="80"/>
        <v>17.647058823529413</v>
      </c>
      <c r="M177" s="12">
        <f t="shared" si="81"/>
        <v>0</v>
      </c>
      <c r="N177" s="12">
        <f t="shared" si="79"/>
        <v>0</v>
      </c>
      <c r="O177" s="12">
        <f t="shared" si="71"/>
        <v>5.882352941176471</v>
      </c>
      <c r="P177" s="16">
        <v>18</v>
      </c>
      <c r="Q177" s="16">
        <v>18</v>
      </c>
      <c r="R177" s="16">
        <v>25</v>
      </c>
      <c r="S177" s="16">
        <v>1</v>
      </c>
      <c r="T177" s="16">
        <v>0</v>
      </c>
      <c r="U177" s="16"/>
      <c r="V177" s="12">
        <f t="shared" si="77"/>
        <v>5.5555555555555554</v>
      </c>
      <c r="W177" s="12">
        <f t="shared" si="78"/>
        <v>0</v>
      </c>
      <c r="X177" s="12">
        <f t="shared" si="76"/>
        <v>0</v>
      </c>
      <c r="Y177" s="12">
        <f t="shared" si="72"/>
        <v>2.7777777777777777</v>
      </c>
    </row>
    <row r="178" spans="1:25" x14ac:dyDescent="0.3">
      <c r="A178" s="1" t="s">
        <v>217</v>
      </c>
      <c r="B178" s="1" t="s">
        <v>231</v>
      </c>
      <c r="C178" s="1" t="s">
        <v>234</v>
      </c>
      <c r="D178" s="1" t="s">
        <v>234</v>
      </c>
      <c r="E178" s="2">
        <v>40503</v>
      </c>
      <c r="F178" s="19"/>
      <c r="G178" s="19"/>
      <c r="H178" s="19"/>
      <c r="I178" s="20">
        <v>0</v>
      </c>
      <c r="J178" s="20">
        <v>0</v>
      </c>
      <c r="K178" s="20">
        <v>1</v>
      </c>
      <c r="L178" s="12"/>
      <c r="M178" s="12"/>
      <c r="N178" s="12"/>
      <c r="O178" s="12"/>
      <c r="P178" s="1"/>
      <c r="Q178" s="1"/>
      <c r="R178" s="1"/>
      <c r="S178" s="1"/>
      <c r="T178" s="1"/>
      <c r="U178" s="1"/>
      <c r="V178" s="12"/>
      <c r="W178" s="12"/>
      <c r="X178" s="12"/>
      <c r="Y178" s="12"/>
    </row>
    <row r="179" spans="1:25" x14ac:dyDescent="0.3">
      <c r="A179" s="1" t="s">
        <v>217</v>
      </c>
      <c r="B179" s="1" t="s">
        <v>231</v>
      </c>
      <c r="C179" s="1" t="s">
        <v>235</v>
      </c>
      <c r="D179" s="1" t="s">
        <v>235</v>
      </c>
      <c r="E179" s="2">
        <v>40504</v>
      </c>
      <c r="F179" s="19"/>
      <c r="G179" s="19"/>
      <c r="H179" s="19"/>
      <c r="I179" s="20">
        <v>0</v>
      </c>
      <c r="J179" s="20">
        <v>0</v>
      </c>
      <c r="K179" s="20">
        <v>1</v>
      </c>
      <c r="L179" s="12"/>
      <c r="M179" s="12"/>
      <c r="N179" s="12"/>
      <c r="O179" s="12"/>
      <c r="P179" s="1"/>
      <c r="Q179" s="1"/>
      <c r="R179" s="1"/>
      <c r="S179" s="1"/>
      <c r="T179" s="1"/>
      <c r="U179" s="1"/>
      <c r="V179" s="12"/>
      <c r="W179" s="12"/>
      <c r="X179" s="12"/>
      <c r="Y179" s="12"/>
    </row>
    <row r="180" spans="1:25" x14ac:dyDescent="0.3">
      <c r="A180" s="1" t="s">
        <v>217</v>
      </c>
      <c r="B180" s="1" t="s">
        <v>231</v>
      </c>
      <c r="C180" s="1" t="s">
        <v>236</v>
      </c>
      <c r="D180" s="1" t="s">
        <v>236</v>
      </c>
      <c r="E180" s="2">
        <v>40505</v>
      </c>
      <c r="F180" s="19"/>
      <c r="G180" s="19"/>
      <c r="H180" s="19"/>
      <c r="I180" s="20">
        <v>0</v>
      </c>
      <c r="J180" s="20">
        <v>1</v>
      </c>
      <c r="K180" s="20">
        <v>0</v>
      </c>
      <c r="L180" s="12"/>
      <c r="M180" s="12"/>
      <c r="N180" s="12"/>
      <c r="O180" s="12"/>
      <c r="P180" s="1"/>
      <c r="Q180" s="1"/>
      <c r="R180" s="1"/>
      <c r="S180" s="1"/>
      <c r="T180" s="1"/>
      <c r="U180" s="1"/>
      <c r="V180" s="12"/>
      <c r="W180" s="12"/>
      <c r="X180" s="12"/>
      <c r="Y180" s="12"/>
    </row>
    <row r="181" spans="1:25" x14ac:dyDescent="0.3">
      <c r="A181" s="1" t="s">
        <v>217</v>
      </c>
      <c r="B181" s="1" t="s">
        <v>237</v>
      </c>
      <c r="C181" s="1" t="s">
        <v>237</v>
      </c>
      <c r="D181" s="1" t="s">
        <v>238</v>
      </c>
      <c r="E181" s="2">
        <v>40601</v>
      </c>
      <c r="F181" s="16">
        <v>219</v>
      </c>
      <c r="G181" s="16">
        <v>219</v>
      </c>
      <c r="H181" s="16">
        <v>222</v>
      </c>
      <c r="I181" s="16">
        <v>12</v>
      </c>
      <c r="J181" s="16">
        <v>8</v>
      </c>
      <c r="K181" s="16">
        <v>14</v>
      </c>
      <c r="L181" s="12">
        <f t="shared" ref="L181:L207" si="82">(I181/F181)*100</f>
        <v>5.4794520547945202</v>
      </c>
      <c r="M181" s="12">
        <f t="shared" ref="M181:M207" si="83">(J181/G181)*100</f>
        <v>3.6529680365296802</v>
      </c>
      <c r="N181" s="12">
        <f t="shared" ref="N181:N207" si="84">(K181/H181)*100</f>
        <v>6.3063063063063058</v>
      </c>
      <c r="O181" s="12">
        <f t="shared" si="71"/>
        <v>5.1462421325435015</v>
      </c>
      <c r="P181" s="16">
        <v>255</v>
      </c>
      <c r="Q181" s="16">
        <v>281</v>
      </c>
      <c r="R181" s="16">
        <v>303</v>
      </c>
      <c r="S181" s="16">
        <v>7</v>
      </c>
      <c r="T181" s="16">
        <v>10</v>
      </c>
      <c r="U181" s="16">
        <v>9</v>
      </c>
      <c r="V181" s="12">
        <f t="shared" ref="V181:V212" si="85">(S181/P181)*100</f>
        <v>2.7450980392156863</v>
      </c>
      <c r="W181" s="12">
        <f t="shared" ref="W181:W212" si="86">(T181/Q181)*100</f>
        <v>3.5587188612099649</v>
      </c>
      <c r="X181" s="12">
        <f t="shared" ref="X181:X212" si="87">(U181/R181)*100</f>
        <v>2.9702970297029703</v>
      </c>
      <c r="Y181" s="12">
        <f t="shared" si="72"/>
        <v>3.1519084502128258</v>
      </c>
    </row>
    <row r="182" spans="1:25" x14ac:dyDescent="0.3">
      <c r="A182" s="1" t="s">
        <v>217</v>
      </c>
      <c r="B182" s="1" t="s">
        <v>237</v>
      </c>
      <c r="C182" s="1" t="s">
        <v>239</v>
      </c>
      <c r="D182" s="1" t="s">
        <v>239</v>
      </c>
      <c r="E182" s="2">
        <v>40602</v>
      </c>
      <c r="F182" s="16">
        <v>255</v>
      </c>
      <c r="G182" s="16">
        <v>268</v>
      </c>
      <c r="H182" s="16">
        <v>270</v>
      </c>
      <c r="I182" s="16">
        <v>12</v>
      </c>
      <c r="J182" s="16">
        <v>14</v>
      </c>
      <c r="K182" s="16">
        <v>8</v>
      </c>
      <c r="L182" s="12">
        <f t="shared" si="82"/>
        <v>4.7058823529411766</v>
      </c>
      <c r="M182" s="12">
        <f t="shared" si="83"/>
        <v>5.2238805970149249</v>
      </c>
      <c r="N182" s="12">
        <f t="shared" si="84"/>
        <v>2.9629629629629632</v>
      </c>
      <c r="O182" s="12">
        <f t="shared" si="71"/>
        <v>4.2975753043063554</v>
      </c>
      <c r="P182" s="16">
        <v>267</v>
      </c>
      <c r="Q182" s="16">
        <v>253</v>
      </c>
      <c r="R182" s="16">
        <v>247</v>
      </c>
      <c r="S182" s="16">
        <v>8</v>
      </c>
      <c r="T182" s="16">
        <v>5</v>
      </c>
      <c r="U182" s="16">
        <v>4</v>
      </c>
      <c r="V182" s="12">
        <f t="shared" si="85"/>
        <v>2.9962546816479403</v>
      </c>
      <c r="W182" s="12">
        <f t="shared" si="86"/>
        <v>1.9762845849802373</v>
      </c>
      <c r="X182" s="12">
        <f t="shared" si="87"/>
        <v>1.6194331983805668</v>
      </c>
      <c r="Y182" s="12">
        <f t="shared" si="72"/>
        <v>2.4862696333140888</v>
      </c>
    </row>
    <row r="183" spans="1:25" x14ac:dyDescent="0.3">
      <c r="A183" s="1" t="s">
        <v>217</v>
      </c>
      <c r="B183" s="1" t="s">
        <v>237</v>
      </c>
      <c r="C183" s="1" t="s">
        <v>240</v>
      </c>
      <c r="D183" s="1" t="s">
        <v>240</v>
      </c>
      <c r="E183" s="2">
        <v>40603</v>
      </c>
      <c r="F183" s="16">
        <v>145</v>
      </c>
      <c r="G183" s="16">
        <v>145</v>
      </c>
      <c r="H183" s="16">
        <v>132</v>
      </c>
      <c r="I183" s="16">
        <v>5</v>
      </c>
      <c r="J183" s="16">
        <v>7</v>
      </c>
      <c r="K183" s="16">
        <v>5</v>
      </c>
      <c r="L183" s="12">
        <f t="shared" si="82"/>
        <v>3.4482758620689653</v>
      </c>
      <c r="M183" s="12">
        <f t="shared" si="83"/>
        <v>4.8275862068965516</v>
      </c>
      <c r="N183" s="12">
        <f t="shared" si="84"/>
        <v>3.7878787878787881</v>
      </c>
      <c r="O183" s="12">
        <f t="shared" si="71"/>
        <v>4.0212469522814347</v>
      </c>
      <c r="P183" s="16">
        <v>124</v>
      </c>
      <c r="Q183" s="16">
        <v>113</v>
      </c>
      <c r="R183" s="16">
        <v>112</v>
      </c>
      <c r="S183" s="16">
        <v>2</v>
      </c>
      <c r="T183" s="16">
        <v>0</v>
      </c>
      <c r="U183" s="16">
        <v>1</v>
      </c>
      <c r="V183" s="12">
        <f t="shared" si="85"/>
        <v>1.6129032258064515</v>
      </c>
      <c r="W183" s="12">
        <f t="shared" si="86"/>
        <v>0</v>
      </c>
      <c r="X183" s="12">
        <f t="shared" si="87"/>
        <v>0.89285714285714279</v>
      </c>
      <c r="Y183" s="12">
        <f t="shared" si="72"/>
        <v>0.80645161290322576</v>
      </c>
    </row>
    <row r="184" spans="1:25" x14ac:dyDescent="0.3">
      <c r="A184" s="1" t="s">
        <v>217</v>
      </c>
      <c r="B184" s="1" t="s">
        <v>241</v>
      </c>
      <c r="C184" s="1" t="s">
        <v>242</v>
      </c>
      <c r="D184" s="1" t="s">
        <v>243</v>
      </c>
      <c r="E184" s="2">
        <v>40701</v>
      </c>
      <c r="F184" s="16">
        <v>1572</v>
      </c>
      <c r="G184" s="16">
        <v>1611</v>
      </c>
      <c r="H184" s="16">
        <v>1629</v>
      </c>
      <c r="I184" s="16">
        <v>71</v>
      </c>
      <c r="J184" s="16">
        <v>103</v>
      </c>
      <c r="K184" s="16">
        <v>126</v>
      </c>
      <c r="L184" s="12">
        <f t="shared" si="82"/>
        <v>4.5165394402035624</v>
      </c>
      <c r="M184" s="12">
        <f t="shared" si="83"/>
        <v>6.3935443823711982</v>
      </c>
      <c r="N184" s="12">
        <f t="shared" si="84"/>
        <v>7.7348066298342539</v>
      </c>
      <c r="O184" s="12">
        <f t="shared" si="71"/>
        <v>6.2149634841363381</v>
      </c>
      <c r="P184" s="1">
        <v>1439</v>
      </c>
      <c r="Q184" s="1">
        <v>1457</v>
      </c>
      <c r="R184" s="1">
        <v>1413</v>
      </c>
      <c r="S184" s="1">
        <v>14</v>
      </c>
      <c r="T184" s="1">
        <v>22</v>
      </c>
      <c r="U184" s="1">
        <v>19</v>
      </c>
      <c r="V184" s="12">
        <f t="shared" si="85"/>
        <v>0.97289784572619875</v>
      </c>
      <c r="W184" s="12">
        <f t="shared" si="86"/>
        <v>1.5099519560741248</v>
      </c>
      <c r="X184" s="12">
        <f t="shared" si="87"/>
        <v>1.3446567586694975</v>
      </c>
      <c r="Y184" s="12">
        <f t="shared" si="72"/>
        <v>1.2414249009001619</v>
      </c>
    </row>
    <row r="185" spans="1:25" x14ac:dyDescent="0.3">
      <c r="A185" s="1" t="s">
        <v>217</v>
      </c>
      <c r="B185" s="1" t="s">
        <v>241</v>
      </c>
      <c r="C185" s="1" t="s">
        <v>244</v>
      </c>
      <c r="D185" s="1" t="s">
        <v>244</v>
      </c>
      <c r="E185" s="2">
        <v>40702</v>
      </c>
      <c r="F185" s="16">
        <v>178</v>
      </c>
      <c r="G185" s="16">
        <v>184</v>
      </c>
      <c r="H185" s="16">
        <v>187</v>
      </c>
      <c r="I185" s="16">
        <v>13</v>
      </c>
      <c r="J185" s="16">
        <v>3</v>
      </c>
      <c r="K185" s="16">
        <v>16</v>
      </c>
      <c r="L185" s="12">
        <f t="shared" si="82"/>
        <v>7.3033707865168536</v>
      </c>
      <c r="M185" s="12">
        <f t="shared" si="83"/>
        <v>1.6304347826086956</v>
      </c>
      <c r="N185" s="12">
        <f t="shared" si="84"/>
        <v>8.5561497326203195</v>
      </c>
      <c r="O185" s="12">
        <f t="shared" si="71"/>
        <v>5.8299851005819567</v>
      </c>
      <c r="P185" s="1">
        <v>222</v>
      </c>
      <c r="Q185" s="1">
        <v>213</v>
      </c>
      <c r="R185" s="1">
        <v>237</v>
      </c>
      <c r="S185" s="1">
        <v>10</v>
      </c>
      <c r="T185" s="1">
        <v>9</v>
      </c>
      <c r="U185" s="1">
        <v>16</v>
      </c>
      <c r="V185" s="12">
        <f t="shared" si="85"/>
        <v>4.5045045045045047</v>
      </c>
      <c r="W185" s="12">
        <f t="shared" si="86"/>
        <v>4.225352112676056</v>
      </c>
      <c r="X185" s="12">
        <f t="shared" si="87"/>
        <v>6.7510548523206744</v>
      </c>
      <c r="Y185" s="12">
        <f t="shared" si="72"/>
        <v>4.3649283085902804</v>
      </c>
    </row>
    <row r="186" spans="1:25" x14ac:dyDescent="0.3">
      <c r="A186" s="1" t="s">
        <v>217</v>
      </c>
      <c r="B186" s="1" t="s">
        <v>245</v>
      </c>
      <c r="C186" s="1" t="s">
        <v>484</v>
      </c>
      <c r="D186" s="1" t="s">
        <v>246</v>
      </c>
      <c r="E186" s="2">
        <v>40801</v>
      </c>
      <c r="F186" s="16">
        <v>239</v>
      </c>
      <c r="G186" s="16">
        <v>266</v>
      </c>
      <c r="H186" s="16">
        <v>291</v>
      </c>
      <c r="I186" s="16">
        <v>19</v>
      </c>
      <c r="J186" s="16">
        <v>9</v>
      </c>
      <c r="K186" s="16">
        <v>34</v>
      </c>
      <c r="L186" s="12">
        <f t="shared" si="82"/>
        <v>7.9497907949790791</v>
      </c>
      <c r="M186" s="12">
        <f t="shared" si="83"/>
        <v>3.3834586466165413</v>
      </c>
      <c r="N186" s="12">
        <f t="shared" si="84"/>
        <v>11.683848797250858</v>
      </c>
      <c r="O186" s="12">
        <f t="shared" si="71"/>
        <v>7.6723660796154931</v>
      </c>
      <c r="P186" s="1">
        <v>266</v>
      </c>
      <c r="Q186" s="1">
        <v>266</v>
      </c>
      <c r="R186" s="1">
        <v>257</v>
      </c>
      <c r="S186" s="1">
        <v>10</v>
      </c>
      <c r="T186" s="1">
        <v>7</v>
      </c>
      <c r="U186" s="1">
        <v>5</v>
      </c>
      <c r="V186" s="12">
        <f t="shared" si="85"/>
        <v>3.7593984962406015</v>
      </c>
      <c r="W186" s="12">
        <f t="shared" si="86"/>
        <v>2.6315789473684208</v>
      </c>
      <c r="X186" s="12">
        <f t="shared" si="87"/>
        <v>1.9455252918287937</v>
      </c>
      <c r="Y186" s="12">
        <f t="shared" si="72"/>
        <v>3.1954887218045114</v>
      </c>
    </row>
    <row r="187" spans="1:25" x14ac:dyDescent="0.3">
      <c r="A187" s="1" t="s">
        <v>217</v>
      </c>
      <c r="B187" s="1" t="s">
        <v>245</v>
      </c>
      <c r="C187" s="1" t="s">
        <v>247</v>
      </c>
      <c r="D187" s="1" t="s">
        <v>247</v>
      </c>
      <c r="E187" s="2">
        <v>40802</v>
      </c>
      <c r="F187" s="16">
        <v>85</v>
      </c>
      <c r="G187" s="16">
        <v>95</v>
      </c>
      <c r="H187" s="16">
        <v>92</v>
      </c>
      <c r="I187" s="16">
        <v>5</v>
      </c>
      <c r="J187" s="16">
        <v>6</v>
      </c>
      <c r="K187" s="16">
        <v>5</v>
      </c>
      <c r="L187" s="12">
        <f t="shared" si="82"/>
        <v>5.8823529411764701</v>
      </c>
      <c r="M187" s="12">
        <f t="shared" si="83"/>
        <v>6.3157894736842106</v>
      </c>
      <c r="N187" s="12">
        <f t="shared" si="84"/>
        <v>5.4347826086956523</v>
      </c>
      <c r="O187" s="12">
        <f t="shared" si="71"/>
        <v>5.8776416745187774</v>
      </c>
      <c r="P187" s="16">
        <v>101</v>
      </c>
      <c r="Q187" s="16">
        <v>108</v>
      </c>
      <c r="R187" s="16">
        <v>110</v>
      </c>
      <c r="S187" s="16">
        <v>4</v>
      </c>
      <c r="T187" s="16">
        <v>1</v>
      </c>
      <c r="U187" s="16">
        <v>2</v>
      </c>
      <c r="V187" s="12">
        <f t="shared" si="85"/>
        <v>3.9603960396039604</v>
      </c>
      <c r="W187" s="12">
        <f t="shared" si="86"/>
        <v>0.92592592592592582</v>
      </c>
      <c r="X187" s="12">
        <f t="shared" si="87"/>
        <v>1.8181818181818181</v>
      </c>
      <c r="Y187" s="12">
        <f t="shared" si="72"/>
        <v>2.443160982764943</v>
      </c>
    </row>
    <row r="188" spans="1:25" x14ac:dyDescent="0.3">
      <c r="A188" s="1" t="s">
        <v>217</v>
      </c>
      <c r="B188" s="1" t="s">
        <v>248</v>
      </c>
      <c r="C188" s="1" t="s">
        <v>248</v>
      </c>
      <c r="D188" s="1" t="s">
        <v>248</v>
      </c>
      <c r="E188" s="2">
        <v>40901</v>
      </c>
      <c r="F188" s="16">
        <v>74</v>
      </c>
      <c r="G188" s="16">
        <v>79</v>
      </c>
      <c r="H188" s="16">
        <v>73</v>
      </c>
      <c r="I188" s="16">
        <v>10</v>
      </c>
      <c r="J188" s="16">
        <v>5</v>
      </c>
      <c r="K188" s="16">
        <v>7</v>
      </c>
      <c r="L188" s="12">
        <f t="shared" si="82"/>
        <v>13.513513513513514</v>
      </c>
      <c r="M188" s="12">
        <f t="shared" si="83"/>
        <v>6.3291139240506329</v>
      </c>
      <c r="N188" s="12">
        <f t="shared" si="84"/>
        <v>9.5890410958904102</v>
      </c>
      <c r="O188" s="12">
        <f t="shared" si="71"/>
        <v>9.8105561778181851</v>
      </c>
      <c r="P188" s="16">
        <v>120</v>
      </c>
      <c r="Q188" s="16">
        <v>132</v>
      </c>
      <c r="R188" s="16">
        <v>120</v>
      </c>
      <c r="S188" s="16">
        <v>1</v>
      </c>
      <c r="T188" s="16">
        <v>4</v>
      </c>
      <c r="U188" s="16">
        <v>5</v>
      </c>
      <c r="V188" s="12">
        <f t="shared" si="85"/>
        <v>0.83333333333333337</v>
      </c>
      <c r="W188" s="12">
        <f t="shared" si="86"/>
        <v>3.0303030303030303</v>
      </c>
      <c r="X188" s="12">
        <f t="shared" si="87"/>
        <v>4.1666666666666661</v>
      </c>
      <c r="Y188" s="12">
        <f t="shared" si="72"/>
        <v>1.9318181818181819</v>
      </c>
    </row>
    <row r="189" spans="1:25" x14ac:dyDescent="0.3">
      <c r="A189" s="1" t="s">
        <v>217</v>
      </c>
      <c r="B189" s="1" t="s">
        <v>248</v>
      </c>
      <c r="C189" s="1" t="s">
        <v>249</v>
      </c>
      <c r="D189" s="1" t="s">
        <v>249</v>
      </c>
      <c r="E189" s="2">
        <v>40902</v>
      </c>
      <c r="F189" s="16">
        <v>35</v>
      </c>
      <c r="G189" s="16">
        <v>38</v>
      </c>
      <c r="H189" s="16">
        <v>35</v>
      </c>
      <c r="I189" s="16">
        <v>1</v>
      </c>
      <c r="J189" s="16">
        <v>1</v>
      </c>
      <c r="K189" s="16">
        <v>7</v>
      </c>
      <c r="L189" s="12">
        <f t="shared" si="82"/>
        <v>2.8571428571428572</v>
      </c>
      <c r="M189" s="12">
        <f t="shared" si="83"/>
        <v>2.6315789473684208</v>
      </c>
      <c r="N189" s="12">
        <f t="shared" si="84"/>
        <v>20</v>
      </c>
      <c r="O189" s="12">
        <f t="shared" si="71"/>
        <v>8.496240601503759</v>
      </c>
      <c r="P189" s="16">
        <v>37</v>
      </c>
      <c r="Q189" s="16">
        <v>37</v>
      </c>
      <c r="R189" s="16">
        <v>32</v>
      </c>
      <c r="S189" s="16">
        <v>2</v>
      </c>
      <c r="T189" s="16">
        <v>0</v>
      </c>
      <c r="U189" s="16"/>
      <c r="V189" s="12">
        <f t="shared" si="85"/>
        <v>5.4054054054054053</v>
      </c>
      <c r="W189" s="12">
        <f t="shared" si="86"/>
        <v>0</v>
      </c>
      <c r="X189" s="12">
        <f t="shared" si="87"/>
        <v>0</v>
      </c>
      <c r="Y189" s="12">
        <f t="shared" si="72"/>
        <v>2.7027027027027026</v>
      </c>
    </row>
    <row r="190" spans="1:25" x14ac:dyDescent="0.3">
      <c r="A190" s="1" t="s">
        <v>217</v>
      </c>
      <c r="B190" s="1" t="s">
        <v>248</v>
      </c>
      <c r="C190" s="1" t="s">
        <v>485</v>
      </c>
      <c r="D190" s="1" t="s">
        <v>250</v>
      </c>
      <c r="E190" s="2">
        <v>40903</v>
      </c>
      <c r="F190" s="16">
        <v>70</v>
      </c>
      <c r="G190" s="16">
        <v>69</v>
      </c>
      <c r="H190" s="16">
        <v>79</v>
      </c>
      <c r="I190" s="16">
        <v>11</v>
      </c>
      <c r="J190" s="16">
        <v>6</v>
      </c>
      <c r="K190" s="16">
        <v>22</v>
      </c>
      <c r="L190" s="12">
        <f t="shared" si="82"/>
        <v>15.714285714285714</v>
      </c>
      <c r="M190" s="12">
        <f t="shared" si="83"/>
        <v>8.695652173913043</v>
      </c>
      <c r="N190" s="12">
        <f t="shared" si="84"/>
        <v>27.848101265822784</v>
      </c>
      <c r="O190" s="12">
        <f t="shared" si="71"/>
        <v>17.419346384673847</v>
      </c>
      <c r="P190" s="16">
        <v>76</v>
      </c>
      <c r="Q190" s="16">
        <v>79</v>
      </c>
      <c r="R190" s="16">
        <v>75</v>
      </c>
      <c r="S190" s="16">
        <v>6</v>
      </c>
      <c r="T190" s="16">
        <v>5</v>
      </c>
      <c r="U190" s="16">
        <v>6</v>
      </c>
      <c r="V190" s="12">
        <f t="shared" si="85"/>
        <v>7.8947368421052628</v>
      </c>
      <c r="W190" s="12">
        <f t="shared" si="86"/>
        <v>6.3291139240506329</v>
      </c>
      <c r="X190" s="12">
        <f t="shared" si="87"/>
        <v>8</v>
      </c>
      <c r="Y190" s="12">
        <f t="shared" si="72"/>
        <v>7.1119253830779474</v>
      </c>
    </row>
    <row r="191" spans="1:25" x14ac:dyDescent="0.3">
      <c r="A191" s="1" t="s">
        <v>217</v>
      </c>
      <c r="B191" s="1" t="s">
        <v>251</v>
      </c>
      <c r="C191" s="1" t="s">
        <v>252</v>
      </c>
      <c r="D191" s="1" t="s">
        <v>252</v>
      </c>
      <c r="E191" s="2">
        <v>41001</v>
      </c>
      <c r="F191" s="16">
        <v>144</v>
      </c>
      <c r="G191" s="16">
        <v>135</v>
      </c>
      <c r="H191" s="16">
        <v>141</v>
      </c>
      <c r="I191" s="16">
        <v>36</v>
      </c>
      <c r="J191" s="16">
        <v>31</v>
      </c>
      <c r="K191" s="16">
        <v>22</v>
      </c>
      <c r="L191" s="12">
        <f t="shared" si="82"/>
        <v>25</v>
      </c>
      <c r="M191" s="12">
        <f t="shared" si="83"/>
        <v>22.962962962962962</v>
      </c>
      <c r="N191" s="12">
        <f t="shared" si="84"/>
        <v>15.602836879432624</v>
      </c>
      <c r="O191" s="12">
        <f t="shared" si="71"/>
        <v>21.188599947465196</v>
      </c>
      <c r="P191" s="16">
        <v>148</v>
      </c>
      <c r="Q191" s="16">
        <v>141</v>
      </c>
      <c r="R191" s="16">
        <v>148</v>
      </c>
      <c r="S191" s="16">
        <v>5</v>
      </c>
      <c r="T191" s="16">
        <v>4</v>
      </c>
      <c r="U191" s="16">
        <v>6</v>
      </c>
      <c r="V191" s="12">
        <f t="shared" si="85"/>
        <v>3.3783783783783785</v>
      </c>
      <c r="W191" s="12">
        <f t="shared" si="86"/>
        <v>2.8368794326241136</v>
      </c>
      <c r="X191" s="12">
        <f t="shared" si="87"/>
        <v>4.0540540540540544</v>
      </c>
      <c r="Y191" s="12">
        <f t="shared" si="72"/>
        <v>3.107628905501246</v>
      </c>
    </row>
    <row r="192" spans="1:25" x14ac:dyDescent="0.3">
      <c r="A192" s="1" t="s">
        <v>217</v>
      </c>
      <c r="B192" s="1" t="s">
        <v>253</v>
      </c>
      <c r="C192" s="1" t="s">
        <v>254</v>
      </c>
      <c r="D192" s="1" t="s">
        <v>254</v>
      </c>
      <c r="E192" s="2">
        <v>41101</v>
      </c>
      <c r="F192" s="16">
        <v>301</v>
      </c>
      <c r="G192" s="16">
        <v>314</v>
      </c>
      <c r="H192" s="16">
        <v>295</v>
      </c>
      <c r="I192" s="16">
        <v>7</v>
      </c>
      <c r="J192" s="16">
        <v>20</v>
      </c>
      <c r="K192" s="16">
        <v>4</v>
      </c>
      <c r="L192" s="12">
        <f t="shared" si="82"/>
        <v>2.3255813953488373</v>
      </c>
      <c r="M192" s="12">
        <f t="shared" si="83"/>
        <v>6.369426751592357</v>
      </c>
      <c r="N192" s="12">
        <f t="shared" si="84"/>
        <v>1.3559322033898304</v>
      </c>
      <c r="O192" s="12">
        <f t="shared" si="71"/>
        <v>3.3503134501103418</v>
      </c>
      <c r="P192" s="16">
        <v>213</v>
      </c>
      <c r="Q192" s="16">
        <v>220</v>
      </c>
      <c r="R192" s="16">
        <v>216</v>
      </c>
      <c r="S192" s="16">
        <v>7</v>
      </c>
      <c r="T192" s="16">
        <v>14</v>
      </c>
      <c r="U192" s="16">
        <v>11</v>
      </c>
      <c r="V192" s="12">
        <f t="shared" si="85"/>
        <v>3.286384976525822</v>
      </c>
      <c r="W192" s="12">
        <f t="shared" si="86"/>
        <v>6.3636363636363633</v>
      </c>
      <c r="X192" s="12">
        <f t="shared" si="87"/>
        <v>5.0925925925925926</v>
      </c>
      <c r="Y192" s="12">
        <f t="shared" si="72"/>
        <v>4.8250106700810926</v>
      </c>
    </row>
    <row r="193" spans="1:25" x14ac:dyDescent="0.3">
      <c r="A193" s="1" t="s">
        <v>217</v>
      </c>
      <c r="B193" s="1" t="s">
        <v>255</v>
      </c>
      <c r="C193" s="1" t="s">
        <v>256</v>
      </c>
      <c r="D193" s="1" t="s">
        <v>257</v>
      </c>
      <c r="E193" s="2">
        <v>41201</v>
      </c>
      <c r="F193" s="16">
        <v>133</v>
      </c>
      <c r="G193" s="16">
        <v>119</v>
      </c>
      <c r="H193" s="16">
        <v>129</v>
      </c>
      <c r="I193" s="16">
        <v>11</v>
      </c>
      <c r="J193" s="16">
        <v>12</v>
      </c>
      <c r="K193" s="16">
        <v>11</v>
      </c>
      <c r="L193" s="12">
        <f t="shared" si="82"/>
        <v>8.2706766917293226</v>
      </c>
      <c r="M193" s="12">
        <f t="shared" si="83"/>
        <v>10.084033613445378</v>
      </c>
      <c r="N193" s="12">
        <f t="shared" si="84"/>
        <v>8.5271317829457356</v>
      </c>
      <c r="O193" s="12">
        <f t="shared" si="71"/>
        <v>8.9606140293734793</v>
      </c>
      <c r="P193" s="16">
        <v>121</v>
      </c>
      <c r="Q193" s="16">
        <v>122</v>
      </c>
      <c r="R193" s="16">
        <v>113</v>
      </c>
      <c r="S193" s="16">
        <v>3</v>
      </c>
      <c r="T193" s="16">
        <v>3</v>
      </c>
      <c r="U193" s="16">
        <v>2</v>
      </c>
      <c r="V193" s="12">
        <f t="shared" si="85"/>
        <v>2.4793388429752068</v>
      </c>
      <c r="W193" s="12">
        <f t="shared" si="86"/>
        <v>2.459016393442623</v>
      </c>
      <c r="X193" s="12">
        <f t="shared" si="87"/>
        <v>1.7699115044247788</v>
      </c>
      <c r="Y193" s="12">
        <f t="shared" si="72"/>
        <v>2.4691776182089149</v>
      </c>
    </row>
    <row r="194" spans="1:25" x14ac:dyDescent="0.3">
      <c r="A194" s="1" t="s">
        <v>217</v>
      </c>
      <c r="B194" s="1" t="s">
        <v>255</v>
      </c>
      <c r="C194" s="1" t="s">
        <v>258</v>
      </c>
      <c r="D194" s="1" t="s">
        <v>258</v>
      </c>
      <c r="E194" s="2">
        <v>41202</v>
      </c>
      <c r="F194" s="16">
        <v>47</v>
      </c>
      <c r="G194" s="16">
        <v>43</v>
      </c>
      <c r="H194" s="16">
        <v>42</v>
      </c>
      <c r="I194" s="16">
        <v>2</v>
      </c>
      <c r="J194" s="16">
        <v>2</v>
      </c>
      <c r="K194" s="16">
        <v>3</v>
      </c>
      <c r="L194" s="12">
        <f t="shared" si="82"/>
        <v>4.2553191489361701</v>
      </c>
      <c r="M194" s="12">
        <f t="shared" si="83"/>
        <v>4.6511627906976747</v>
      </c>
      <c r="N194" s="12">
        <f t="shared" si="84"/>
        <v>7.1428571428571423</v>
      </c>
      <c r="O194" s="12">
        <f t="shared" si="71"/>
        <v>5.3497796941636624</v>
      </c>
      <c r="P194" s="16">
        <v>45</v>
      </c>
      <c r="Q194" s="16">
        <v>46</v>
      </c>
      <c r="R194" s="16">
        <v>44</v>
      </c>
      <c r="S194" s="16">
        <v>0</v>
      </c>
      <c r="T194" s="16">
        <v>5</v>
      </c>
      <c r="U194" s="16">
        <v>6</v>
      </c>
      <c r="V194" s="12">
        <f t="shared" si="85"/>
        <v>0</v>
      </c>
      <c r="W194" s="12">
        <f t="shared" si="86"/>
        <v>10.869565217391305</v>
      </c>
      <c r="X194" s="12">
        <f t="shared" si="87"/>
        <v>13.636363636363635</v>
      </c>
      <c r="Y194" s="12">
        <f t="shared" si="72"/>
        <v>5.4347826086956523</v>
      </c>
    </row>
    <row r="195" spans="1:25" x14ac:dyDescent="0.3">
      <c r="A195" s="1" t="s">
        <v>217</v>
      </c>
      <c r="B195" s="1" t="s">
        <v>259</v>
      </c>
      <c r="C195" s="1" t="s">
        <v>196</v>
      </c>
      <c r="D195" s="1" t="s">
        <v>196</v>
      </c>
      <c r="E195" s="2">
        <v>41301</v>
      </c>
      <c r="F195" s="16">
        <v>228</v>
      </c>
      <c r="G195" s="16">
        <v>211</v>
      </c>
      <c r="H195" s="16">
        <v>206</v>
      </c>
      <c r="I195" s="16">
        <v>19</v>
      </c>
      <c r="J195" s="16">
        <v>15</v>
      </c>
      <c r="K195" s="16">
        <v>10</v>
      </c>
      <c r="L195" s="12">
        <f t="shared" si="82"/>
        <v>8.3333333333333321</v>
      </c>
      <c r="M195" s="12">
        <f t="shared" si="83"/>
        <v>7.109004739336493</v>
      </c>
      <c r="N195" s="12">
        <f t="shared" si="84"/>
        <v>4.8543689320388346</v>
      </c>
      <c r="O195" s="12">
        <f t="shared" ref="O195:O258" si="88">AVERAGE(L195:N195)</f>
        <v>6.7655690015695527</v>
      </c>
      <c r="P195" s="16">
        <v>201</v>
      </c>
      <c r="Q195" s="16">
        <v>184</v>
      </c>
      <c r="R195" s="16">
        <v>181</v>
      </c>
      <c r="S195" s="16">
        <v>13</v>
      </c>
      <c r="T195" s="16">
        <v>5</v>
      </c>
      <c r="U195" s="16">
        <v>6</v>
      </c>
      <c r="V195" s="12">
        <f t="shared" si="85"/>
        <v>6.467661691542288</v>
      </c>
      <c r="W195" s="12">
        <f t="shared" si="86"/>
        <v>2.7173913043478262</v>
      </c>
      <c r="X195" s="12">
        <f t="shared" si="87"/>
        <v>3.3149171270718232</v>
      </c>
      <c r="Y195" s="12">
        <f t="shared" ref="Y195:Y258" si="89">AVERAGE(V195:W195)</f>
        <v>4.5925264979450571</v>
      </c>
    </row>
    <row r="196" spans="1:25" x14ac:dyDescent="0.3">
      <c r="A196" s="1" t="s">
        <v>217</v>
      </c>
      <c r="B196" s="1" t="s">
        <v>260</v>
      </c>
      <c r="C196" s="1" t="s">
        <v>261</v>
      </c>
      <c r="D196" s="1" t="s">
        <v>261</v>
      </c>
      <c r="E196" s="2">
        <v>41401</v>
      </c>
      <c r="F196" s="16">
        <v>238</v>
      </c>
      <c r="G196" s="16">
        <v>227</v>
      </c>
      <c r="H196" s="16">
        <v>259</v>
      </c>
      <c r="I196" s="16">
        <v>36</v>
      </c>
      <c r="J196" s="16">
        <v>31</v>
      </c>
      <c r="K196" s="16">
        <v>19</v>
      </c>
      <c r="L196" s="12">
        <f t="shared" si="82"/>
        <v>15.126050420168067</v>
      </c>
      <c r="M196" s="12">
        <f t="shared" si="83"/>
        <v>13.656387665198238</v>
      </c>
      <c r="N196" s="12">
        <f t="shared" si="84"/>
        <v>7.3359073359073363</v>
      </c>
      <c r="O196" s="12">
        <f t="shared" si="88"/>
        <v>12.039448473757881</v>
      </c>
      <c r="P196" s="16">
        <v>273</v>
      </c>
      <c r="Q196" s="16">
        <v>257</v>
      </c>
      <c r="R196" s="16">
        <v>282</v>
      </c>
      <c r="S196" s="16">
        <v>5</v>
      </c>
      <c r="T196" s="16">
        <v>2</v>
      </c>
      <c r="U196" s="16">
        <v>6</v>
      </c>
      <c r="V196" s="12">
        <f t="shared" si="85"/>
        <v>1.8315018315018317</v>
      </c>
      <c r="W196" s="12">
        <f t="shared" si="86"/>
        <v>0.77821011673151752</v>
      </c>
      <c r="X196" s="12">
        <f t="shared" si="87"/>
        <v>2.1276595744680851</v>
      </c>
      <c r="Y196" s="12">
        <f t="shared" si="89"/>
        <v>1.3048559741166745</v>
      </c>
    </row>
    <row r="197" spans="1:25" x14ac:dyDescent="0.3">
      <c r="A197" s="1" t="s">
        <v>217</v>
      </c>
      <c r="B197" s="1" t="s">
        <v>262</v>
      </c>
      <c r="C197" s="1" t="s">
        <v>263</v>
      </c>
      <c r="D197" s="1" t="s">
        <v>263</v>
      </c>
      <c r="E197" s="2">
        <v>41501</v>
      </c>
      <c r="F197" s="16">
        <v>9</v>
      </c>
      <c r="G197" s="16">
        <v>6</v>
      </c>
      <c r="H197" s="16">
        <v>5</v>
      </c>
      <c r="I197" s="16">
        <v>2</v>
      </c>
      <c r="J197" s="16">
        <v>0</v>
      </c>
      <c r="K197" s="16">
        <v>0</v>
      </c>
      <c r="L197" s="12">
        <f t="shared" si="82"/>
        <v>22.222222222222221</v>
      </c>
      <c r="M197" s="12">
        <f t="shared" si="83"/>
        <v>0</v>
      </c>
      <c r="N197" s="12">
        <f t="shared" si="84"/>
        <v>0</v>
      </c>
      <c r="O197" s="12">
        <f t="shared" si="88"/>
        <v>7.4074074074074074</v>
      </c>
      <c r="P197" s="16">
        <v>22</v>
      </c>
      <c r="Q197" s="16">
        <v>22</v>
      </c>
      <c r="R197" s="16">
        <v>19</v>
      </c>
      <c r="S197" s="16">
        <v>1</v>
      </c>
      <c r="T197" s="16">
        <v>0</v>
      </c>
      <c r="U197" s="16">
        <v>2</v>
      </c>
      <c r="V197" s="12">
        <f t="shared" si="85"/>
        <v>4.5454545454545459</v>
      </c>
      <c r="W197" s="12">
        <f t="shared" si="86"/>
        <v>0</v>
      </c>
      <c r="X197" s="12">
        <f t="shared" si="87"/>
        <v>10.526315789473683</v>
      </c>
      <c r="Y197" s="12">
        <f t="shared" si="89"/>
        <v>2.2727272727272729</v>
      </c>
    </row>
    <row r="198" spans="1:25" x14ac:dyDescent="0.3">
      <c r="A198" s="1" t="s">
        <v>217</v>
      </c>
      <c r="B198" s="1" t="s">
        <v>262</v>
      </c>
      <c r="C198" s="1" t="s">
        <v>264</v>
      </c>
      <c r="D198" s="1" t="s">
        <v>264</v>
      </c>
      <c r="E198" s="2">
        <v>41502</v>
      </c>
      <c r="F198" s="16">
        <v>4</v>
      </c>
      <c r="G198" s="16">
        <v>8</v>
      </c>
      <c r="H198" s="16">
        <v>8</v>
      </c>
      <c r="I198" s="16">
        <v>0</v>
      </c>
      <c r="J198" s="16">
        <v>1</v>
      </c>
      <c r="K198" s="16">
        <v>0</v>
      </c>
      <c r="L198" s="12">
        <f t="shared" si="82"/>
        <v>0</v>
      </c>
      <c r="M198" s="12">
        <f t="shared" si="83"/>
        <v>12.5</v>
      </c>
      <c r="N198" s="12">
        <f t="shared" si="84"/>
        <v>0</v>
      </c>
      <c r="O198" s="12">
        <f t="shared" si="88"/>
        <v>4.166666666666667</v>
      </c>
      <c r="P198" s="16">
        <v>6</v>
      </c>
      <c r="Q198" s="16">
        <v>6</v>
      </c>
      <c r="R198" s="16">
        <v>8</v>
      </c>
      <c r="S198" s="1"/>
      <c r="T198" s="1"/>
      <c r="U198" s="1">
        <v>1</v>
      </c>
      <c r="V198" s="12">
        <f t="shared" si="85"/>
        <v>0</v>
      </c>
      <c r="W198" s="12">
        <f t="shared" si="86"/>
        <v>0</v>
      </c>
      <c r="X198" s="12">
        <f t="shared" si="87"/>
        <v>12.5</v>
      </c>
      <c r="Y198" s="12">
        <f t="shared" si="89"/>
        <v>0</v>
      </c>
    </row>
    <row r="199" spans="1:25" x14ac:dyDescent="0.3">
      <c r="A199" s="1" t="s">
        <v>217</v>
      </c>
      <c r="B199" s="1" t="s">
        <v>262</v>
      </c>
      <c r="C199" s="1" t="s">
        <v>225</v>
      </c>
      <c r="D199" s="1" t="s">
        <v>225</v>
      </c>
      <c r="E199" s="2">
        <v>41503</v>
      </c>
      <c r="F199" s="16">
        <v>1</v>
      </c>
      <c r="G199" s="16">
        <v>1</v>
      </c>
      <c r="H199" s="16">
        <v>1</v>
      </c>
      <c r="I199" s="16">
        <v>2</v>
      </c>
      <c r="J199" s="16">
        <v>0</v>
      </c>
      <c r="K199" s="16">
        <v>0</v>
      </c>
      <c r="L199" s="12">
        <f t="shared" si="82"/>
        <v>200</v>
      </c>
      <c r="M199" s="12">
        <f t="shared" si="83"/>
        <v>0</v>
      </c>
      <c r="N199" s="12">
        <f t="shared" si="84"/>
        <v>0</v>
      </c>
      <c r="O199" s="12">
        <f t="shared" si="88"/>
        <v>66.666666666666671</v>
      </c>
      <c r="P199" s="16">
        <v>6</v>
      </c>
      <c r="Q199" s="16">
        <v>5</v>
      </c>
      <c r="R199" s="16">
        <v>7</v>
      </c>
      <c r="S199" s="16">
        <v>0</v>
      </c>
      <c r="T199" s="16">
        <v>0</v>
      </c>
      <c r="U199" s="16"/>
      <c r="V199" s="12">
        <f t="shared" si="85"/>
        <v>0</v>
      </c>
      <c r="W199" s="12">
        <f t="shared" si="86"/>
        <v>0</v>
      </c>
      <c r="X199" s="12">
        <f t="shared" si="87"/>
        <v>0</v>
      </c>
      <c r="Y199" s="12">
        <f t="shared" si="89"/>
        <v>0</v>
      </c>
    </row>
    <row r="200" spans="1:25" x14ac:dyDescent="0.3">
      <c r="A200" s="1" t="s">
        <v>217</v>
      </c>
      <c r="B200" s="1" t="s">
        <v>265</v>
      </c>
      <c r="C200" s="1" t="s">
        <v>266</v>
      </c>
      <c r="D200" s="1" t="s">
        <v>266</v>
      </c>
      <c r="E200" s="2">
        <v>41601</v>
      </c>
      <c r="F200" s="16">
        <v>140</v>
      </c>
      <c r="G200" s="16">
        <v>137</v>
      </c>
      <c r="H200" s="16">
        <v>134</v>
      </c>
      <c r="I200" s="16">
        <v>20</v>
      </c>
      <c r="J200" s="16">
        <v>13</v>
      </c>
      <c r="K200" s="16">
        <v>13</v>
      </c>
      <c r="L200" s="12">
        <f t="shared" si="82"/>
        <v>14.285714285714285</v>
      </c>
      <c r="M200" s="12">
        <f t="shared" si="83"/>
        <v>9.4890510948905096</v>
      </c>
      <c r="N200" s="12">
        <f t="shared" si="84"/>
        <v>9.7014925373134329</v>
      </c>
      <c r="O200" s="12">
        <f t="shared" si="88"/>
        <v>11.158752639306075</v>
      </c>
      <c r="P200" s="16">
        <v>121</v>
      </c>
      <c r="Q200" s="16">
        <v>119</v>
      </c>
      <c r="R200" s="16">
        <v>107</v>
      </c>
      <c r="S200" s="16">
        <v>4</v>
      </c>
      <c r="T200" s="16">
        <v>3</v>
      </c>
      <c r="U200" s="16">
        <v>2</v>
      </c>
      <c r="V200" s="12">
        <f t="shared" si="85"/>
        <v>3.3057851239669422</v>
      </c>
      <c r="W200" s="12">
        <f t="shared" si="86"/>
        <v>2.5210084033613445</v>
      </c>
      <c r="X200" s="12">
        <f t="shared" si="87"/>
        <v>1.8691588785046727</v>
      </c>
      <c r="Y200" s="12">
        <f t="shared" si="89"/>
        <v>2.9133967636641431</v>
      </c>
    </row>
    <row r="201" spans="1:25" x14ac:dyDescent="0.3">
      <c r="A201" s="1" t="s">
        <v>267</v>
      </c>
      <c r="B201" s="1" t="s">
        <v>268</v>
      </c>
      <c r="C201" s="1" t="s">
        <v>267</v>
      </c>
      <c r="D201" s="1" t="s">
        <v>267</v>
      </c>
      <c r="E201" s="2">
        <v>50101</v>
      </c>
      <c r="F201" s="16">
        <v>12337</v>
      </c>
      <c r="G201" s="16">
        <v>12664</v>
      </c>
      <c r="H201" s="16">
        <v>13042</v>
      </c>
      <c r="I201" s="16">
        <v>687</v>
      </c>
      <c r="J201" s="16">
        <v>721</v>
      </c>
      <c r="K201" s="16">
        <v>733</v>
      </c>
      <c r="L201" s="12">
        <f t="shared" si="82"/>
        <v>5.5686147361595202</v>
      </c>
      <c r="M201" s="12">
        <f t="shared" si="83"/>
        <v>5.6933038534428295</v>
      </c>
      <c r="N201" s="12">
        <f t="shared" si="84"/>
        <v>5.6203036344119006</v>
      </c>
      <c r="O201" s="12">
        <f t="shared" si="88"/>
        <v>5.6274074080047498</v>
      </c>
      <c r="P201" s="16">
        <v>14594</v>
      </c>
      <c r="Q201" s="16">
        <v>15160</v>
      </c>
      <c r="R201" s="16">
        <v>15677</v>
      </c>
      <c r="S201" s="16">
        <v>393</v>
      </c>
      <c r="T201" s="16">
        <v>331</v>
      </c>
      <c r="U201" s="16">
        <v>302</v>
      </c>
      <c r="V201" s="12">
        <f t="shared" si="85"/>
        <v>2.6928874880087705</v>
      </c>
      <c r="W201" s="12">
        <f t="shared" si="86"/>
        <v>2.183377308707124</v>
      </c>
      <c r="X201" s="12">
        <f t="shared" si="87"/>
        <v>1.9263889774829366</v>
      </c>
      <c r="Y201" s="12">
        <f t="shared" si="89"/>
        <v>2.438132398357947</v>
      </c>
    </row>
    <row r="202" spans="1:25" x14ac:dyDescent="0.3">
      <c r="A202" s="1" t="s">
        <v>267</v>
      </c>
      <c r="B202" s="1" t="s">
        <v>268</v>
      </c>
      <c r="C202" s="1" t="s">
        <v>269</v>
      </c>
      <c r="D202" s="1" t="s">
        <v>269</v>
      </c>
      <c r="E202" s="2">
        <v>50102</v>
      </c>
      <c r="F202" s="16">
        <v>245</v>
      </c>
      <c r="G202" s="16">
        <v>267</v>
      </c>
      <c r="H202" s="16">
        <v>312</v>
      </c>
      <c r="I202" s="16">
        <v>107</v>
      </c>
      <c r="J202" s="16">
        <v>117</v>
      </c>
      <c r="K202" s="16">
        <v>161</v>
      </c>
      <c r="L202" s="12">
        <f t="shared" si="82"/>
        <v>43.673469387755105</v>
      </c>
      <c r="M202" s="12">
        <f t="shared" si="83"/>
        <v>43.820224719101127</v>
      </c>
      <c r="N202" s="12">
        <f t="shared" si="84"/>
        <v>51.602564102564109</v>
      </c>
      <c r="O202" s="12">
        <f t="shared" si="88"/>
        <v>46.365419403140116</v>
      </c>
      <c r="P202" s="16">
        <v>360</v>
      </c>
      <c r="Q202" s="16">
        <v>342</v>
      </c>
      <c r="R202" s="16">
        <v>374</v>
      </c>
      <c r="S202" s="16">
        <v>35</v>
      </c>
      <c r="T202" s="16">
        <v>20</v>
      </c>
      <c r="U202" s="16">
        <v>34</v>
      </c>
      <c r="V202" s="12">
        <f t="shared" si="85"/>
        <v>9.7222222222222232</v>
      </c>
      <c r="W202" s="12">
        <f t="shared" si="86"/>
        <v>5.8479532163742682</v>
      </c>
      <c r="X202" s="12">
        <f t="shared" si="87"/>
        <v>9.0909090909090917</v>
      </c>
      <c r="Y202" s="12">
        <f t="shared" si="89"/>
        <v>7.7850877192982457</v>
      </c>
    </row>
    <row r="203" spans="1:25" x14ac:dyDescent="0.3">
      <c r="A203" s="1" t="s">
        <v>267</v>
      </c>
      <c r="B203" s="1" t="s">
        <v>268</v>
      </c>
      <c r="C203" s="1" t="s">
        <v>270</v>
      </c>
      <c r="D203" s="1" t="s">
        <v>271</v>
      </c>
      <c r="E203" s="2">
        <v>50103</v>
      </c>
      <c r="F203" s="16">
        <v>286</v>
      </c>
      <c r="G203" s="16">
        <v>317</v>
      </c>
      <c r="H203" s="16">
        <v>323</v>
      </c>
      <c r="I203" s="16">
        <v>20</v>
      </c>
      <c r="J203" s="16">
        <v>29</v>
      </c>
      <c r="K203" s="16">
        <v>21</v>
      </c>
      <c r="L203" s="12">
        <f t="shared" si="82"/>
        <v>6.9930069930069934</v>
      </c>
      <c r="M203" s="12">
        <f t="shared" si="83"/>
        <v>9.1482649842271293</v>
      </c>
      <c r="N203" s="12">
        <f t="shared" si="84"/>
        <v>6.5015479876160995</v>
      </c>
      <c r="O203" s="12">
        <f t="shared" si="88"/>
        <v>7.5476066549500738</v>
      </c>
      <c r="P203" s="16">
        <v>321</v>
      </c>
      <c r="Q203" s="16">
        <v>313</v>
      </c>
      <c r="R203" s="16">
        <v>291</v>
      </c>
      <c r="S203" s="16">
        <v>6</v>
      </c>
      <c r="T203" s="16">
        <v>14</v>
      </c>
      <c r="U203" s="16">
        <v>14</v>
      </c>
      <c r="V203" s="12">
        <f t="shared" si="85"/>
        <v>1.8691588785046727</v>
      </c>
      <c r="W203" s="12">
        <f t="shared" si="86"/>
        <v>4.4728434504792327</v>
      </c>
      <c r="X203" s="12">
        <f t="shared" si="87"/>
        <v>4.8109965635738838</v>
      </c>
      <c r="Y203" s="12">
        <f t="shared" si="89"/>
        <v>3.1710011644919529</v>
      </c>
    </row>
    <row r="204" spans="1:25" x14ac:dyDescent="0.3">
      <c r="A204" s="1" t="s">
        <v>267</v>
      </c>
      <c r="B204" s="1" t="s">
        <v>268</v>
      </c>
      <c r="C204" s="1" t="s">
        <v>272</v>
      </c>
      <c r="D204" s="1" t="s">
        <v>273</v>
      </c>
      <c r="E204" s="2">
        <v>50104</v>
      </c>
      <c r="F204" s="16">
        <v>32</v>
      </c>
      <c r="G204" s="16">
        <v>26</v>
      </c>
      <c r="H204" s="16">
        <v>25</v>
      </c>
      <c r="I204" s="16">
        <v>4</v>
      </c>
      <c r="J204" s="16">
        <v>6</v>
      </c>
      <c r="K204" s="16">
        <v>1</v>
      </c>
      <c r="L204" s="12">
        <f t="shared" si="82"/>
        <v>12.5</v>
      </c>
      <c r="M204" s="12">
        <f t="shared" si="83"/>
        <v>23.076923076923077</v>
      </c>
      <c r="N204" s="12">
        <f t="shared" si="84"/>
        <v>4</v>
      </c>
      <c r="O204" s="12">
        <f t="shared" si="88"/>
        <v>13.192307692307693</v>
      </c>
      <c r="P204" s="16">
        <v>32</v>
      </c>
      <c r="Q204" s="16">
        <v>34</v>
      </c>
      <c r="R204" s="16">
        <v>44</v>
      </c>
      <c r="S204" s="1">
        <v>0</v>
      </c>
      <c r="T204" s="1">
        <v>0</v>
      </c>
      <c r="U204" s="1">
        <v>0</v>
      </c>
      <c r="V204" s="12">
        <f t="shared" si="85"/>
        <v>0</v>
      </c>
      <c r="W204" s="12">
        <f t="shared" si="86"/>
        <v>0</v>
      </c>
      <c r="X204" s="12">
        <f t="shared" si="87"/>
        <v>0</v>
      </c>
      <c r="Y204" s="12">
        <f t="shared" si="89"/>
        <v>0</v>
      </c>
    </row>
    <row r="205" spans="1:25" x14ac:dyDescent="0.3">
      <c r="A205" s="1" t="s">
        <v>267</v>
      </c>
      <c r="B205" s="1" t="s">
        <v>274</v>
      </c>
      <c r="C205" s="1" t="s">
        <v>275</v>
      </c>
      <c r="D205" s="1" t="s">
        <v>275</v>
      </c>
      <c r="E205" s="2">
        <v>50201</v>
      </c>
      <c r="F205" s="16">
        <v>1411</v>
      </c>
      <c r="G205" s="16">
        <v>1449</v>
      </c>
      <c r="H205" s="16">
        <v>1200</v>
      </c>
      <c r="I205" s="16">
        <v>136</v>
      </c>
      <c r="J205" s="16">
        <v>118</v>
      </c>
      <c r="K205" s="16">
        <v>73</v>
      </c>
      <c r="L205" s="12">
        <f t="shared" si="82"/>
        <v>9.6385542168674707</v>
      </c>
      <c r="M205" s="12">
        <f t="shared" si="83"/>
        <v>8.1435472739820565</v>
      </c>
      <c r="N205" s="12">
        <f t="shared" si="84"/>
        <v>6.0833333333333339</v>
      </c>
      <c r="O205" s="12">
        <f t="shared" si="88"/>
        <v>7.9551449413942876</v>
      </c>
      <c r="P205" s="16">
        <v>1163</v>
      </c>
      <c r="Q205" s="16">
        <v>1182</v>
      </c>
      <c r="R205" s="16">
        <v>1220</v>
      </c>
      <c r="S205" s="16">
        <v>31</v>
      </c>
      <c r="T205" s="16">
        <v>35</v>
      </c>
      <c r="U205" s="16">
        <v>29</v>
      </c>
      <c r="V205" s="12">
        <f t="shared" si="85"/>
        <v>2.6655202063628547</v>
      </c>
      <c r="W205" s="12">
        <f t="shared" si="86"/>
        <v>2.9610829103214891</v>
      </c>
      <c r="X205" s="12">
        <f t="shared" si="87"/>
        <v>2.3770491803278686</v>
      </c>
      <c r="Y205" s="12">
        <f t="shared" si="89"/>
        <v>2.8133015583421717</v>
      </c>
    </row>
    <row r="206" spans="1:25" x14ac:dyDescent="0.3">
      <c r="A206" s="1" t="s">
        <v>267</v>
      </c>
      <c r="B206" s="1" t="s">
        <v>274</v>
      </c>
      <c r="C206" s="1" t="s">
        <v>276</v>
      </c>
      <c r="D206" s="1" t="s">
        <v>276</v>
      </c>
      <c r="E206" s="2">
        <v>50202</v>
      </c>
      <c r="F206" s="16">
        <v>731</v>
      </c>
      <c r="G206" s="16">
        <v>747</v>
      </c>
      <c r="H206" s="16">
        <v>768</v>
      </c>
      <c r="I206" s="16">
        <v>63</v>
      </c>
      <c r="J206" s="16">
        <v>74</v>
      </c>
      <c r="K206" s="16">
        <v>84</v>
      </c>
      <c r="L206" s="12">
        <f t="shared" si="82"/>
        <v>8.6183310533515733</v>
      </c>
      <c r="M206" s="12">
        <f t="shared" si="83"/>
        <v>9.9062918340026762</v>
      </c>
      <c r="N206" s="12">
        <f t="shared" si="84"/>
        <v>10.9375</v>
      </c>
      <c r="O206" s="12">
        <f t="shared" si="88"/>
        <v>9.8207076291180826</v>
      </c>
      <c r="P206" s="16">
        <v>753</v>
      </c>
      <c r="Q206" s="16">
        <v>731</v>
      </c>
      <c r="R206" s="16">
        <v>709</v>
      </c>
      <c r="S206" s="16">
        <v>40</v>
      </c>
      <c r="T206" s="16">
        <v>34</v>
      </c>
      <c r="U206" s="16">
        <v>28</v>
      </c>
      <c r="V206" s="12">
        <f t="shared" si="85"/>
        <v>5.3120849933598935</v>
      </c>
      <c r="W206" s="12">
        <f t="shared" si="86"/>
        <v>4.6511627906976747</v>
      </c>
      <c r="X206" s="12">
        <f t="shared" si="87"/>
        <v>3.9492242595204514</v>
      </c>
      <c r="Y206" s="12">
        <f t="shared" si="89"/>
        <v>4.9816238920287841</v>
      </c>
    </row>
    <row r="207" spans="1:25" x14ac:dyDescent="0.3">
      <c r="A207" s="1" t="s">
        <v>267</v>
      </c>
      <c r="B207" s="1" t="s">
        <v>274</v>
      </c>
      <c r="C207" s="1" t="s">
        <v>277</v>
      </c>
      <c r="D207" s="1" t="s">
        <v>277</v>
      </c>
      <c r="E207" s="2">
        <v>50203</v>
      </c>
      <c r="F207" s="16">
        <v>2641</v>
      </c>
      <c r="G207" s="16">
        <v>2705</v>
      </c>
      <c r="H207" s="16">
        <v>2810</v>
      </c>
      <c r="I207" s="16">
        <v>133</v>
      </c>
      <c r="J207" s="16">
        <v>114</v>
      </c>
      <c r="K207" s="16">
        <v>132</v>
      </c>
      <c r="L207" s="12">
        <f t="shared" si="82"/>
        <v>5.0359712230215825</v>
      </c>
      <c r="M207" s="12">
        <f t="shared" si="83"/>
        <v>4.2144177449168208</v>
      </c>
      <c r="N207" s="12">
        <f t="shared" si="84"/>
        <v>4.697508896797153</v>
      </c>
      <c r="O207" s="12">
        <f t="shared" si="88"/>
        <v>4.6492992882451851</v>
      </c>
      <c r="P207" s="16">
        <v>2870</v>
      </c>
      <c r="Q207" s="16">
        <v>2952</v>
      </c>
      <c r="R207" s="16">
        <v>2910</v>
      </c>
      <c r="S207" s="16">
        <v>58</v>
      </c>
      <c r="T207" s="16">
        <v>58</v>
      </c>
      <c r="U207" s="16">
        <v>52</v>
      </c>
      <c r="V207" s="12">
        <f t="shared" si="85"/>
        <v>2.0209059233449476</v>
      </c>
      <c r="W207" s="12">
        <f t="shared" si="86"/>
        <v>1.9647696476964769</v>
      </c>
      <c r="X207" s="12">
        <f t="shared" si="87"/>
        <v>1.7869415807560136</v>
      </c>
      <c r="Y207" s="12">
        <f t="shared" si="89"/>
        <v>1.9928377855207122</v>
      </c>
    </row>
    <row r="208" spans="1:25" x14ac:dyDescent="0.3">
      <c r="A208" s="1" t="s">
        <v>267</v>
      </c>
      <c r="B208" s="1" t="s">
        <v>274</v>
      </c>
      <c r="C208" s="1" t="s">
        <v>278</v>
      </c>
      <c r="D208" s="1" t="s">
        <v>278</v>
      </c>
      <c r="E208" s="2">
        <v>50204</v>
      </c>
      <c r="F208" s="16">
        <v>0</v>
      </c>
      <c r="G208" s="16">
        <v>0</v>
      </c>
      <c r="H208" s="16">
        <v>271</v>
      </c>
      <c r="I208" s="16">
        <v>0</v>
      </c>
      <c r="J208" s="16">
        <v>0</v>
      </c>
      <c r="K208" s="16">
        <v>35</v>
      </c>
      <c r="L208" s="12"/>
      <c r="M208" s="12"/>
      <c r="N208" s="12">
        <f t="shared" ref="N208:N239" si="90">(K208/H208)*100</f>
        <v>12.915129151291513</v>
      </c>
      <c r="O208" s="12">
        <f t="shared" si="88"/>
        <v>12.915129151291513</v>
      </c>
      <c r="P208" s="16">
        <v>373</v>
      </c>
      <c r="Q208" s="16">
        <v>383</v>
      </c>
      <c r="R208" s="16">
        <v>351</v>
      </c>
      <c r="S208" s="16">
        <v>14</v>
      </c>
      <c r="T208" s="16">
        <v>8</v>
      </c>
      <c r="U208" s="16">
        <v>7</v>
      </c>
      <c r="V208" s="12">
        <f t="shared" si="85"/>
        <v>3.7533512064343162</v>
      </c>
      <c r="W208" s="12">
        <f t="shared" si="86"/>
        <v>2.0887728459530028</v>
      </c>
      <c r="X208" s="12">
        <f t="shared" si="87"/>
        <v>1.9943019943019942</v>
      </c>
      <c r="Y208" s="12">
        <f t="shared" si="89"/>
        <v>2.9210620261936597</v>
      </c>
    </row>
    <row r="209" spans="1:25" x14ac:dyDescent="0.3">
      <c r="A209" s="1" t="s">
        <v>267</v>
      </c>
      <c r="B209" s="1" t="s">
        <v>279</v>
      </c>
      <c r="C209" s="1" t="s">
        <v>280</v>
      </c>
      <c r="D209" s="1" t="s">
        <v>281</v>
      </c>
      <c r="E209" s="2">
        <v>50301</v>
      </c>
      <c r="F209" s="16">
        <v>1371</v>
      </c>
      <c r="G209" s="16">
        <v>1442</v>
      </c>
      <c r="H209" s="16">
        <v>1472</v>
      </c>
      <c r="I209" s="16">
        <v>174</v>
      </c>
      <c r="J209" s="16">
        <v>171</v>
      </c>
      <c r="K209" s="16">
        <v>169</v>
      </c>
      <c r="L209" s="12">
        <f t="shared" ref="L209:L231" si="91">(I209/F209)*100</f>
        <v>12.691466083150985</v>
      </c>
      <c r="M209" s="12">
        <f t="shared" ref="M209:M231" si="92">(J209/G209)*100</f>
        <v>11.858529819694869</v>
      </c>
      <c r="N209" s="12">
        <f t="shared" si="90"/>
        <v>11.480978260869565</v>
      </c>
      <c r="O209" s="12">
        <f t="shared" si="88"/>
        <v>12.010324721238474</v>
      </c>
      <c r="P209" s="16">
        <v>1322</v>
      </c>
      <c r="Q209" s="16">
        <v>1338</v>
      </c>
      <c r="R209" s="16">
        <v>1372</v>
      </c>
      <c r="S209" s="16">
        <v>52</v>
      </c>
      <c r="T209" s="16">
        <v>48</v>
      </c>
      <c r="U209" s="16">
        <v>44</v>
      </c>
      <c r="V209" s="12">
        <f t="shared" si="85"/>
        <v>3.9334341906202726</v>
      </c>
      <c r="W209" s="12">
        <f t="shared" si="86"/>
        <v>3.5874439461883409</v>
      </c>
      <c r="X209" s="12">
        <f t="shared" si="87"/>
        <v>3.2069970845481048</v>
      </c>
      <c r="Y209" s="12">
        <f t="shared" si="89"/>
        <v>3.760439068404307</v>
      </c>
    </row>
    <row r="210" spans="1:25" x14ac:dyDescent="0.3">
      <c r="A210" s="1" t="s">
        <v>267</v>
      </c>
      <c r="B210" s="1" t="s">
        <v>279</v>
      </c>
      <c r="C210" s="1" t="s">
        <v>282</v>
      </c>
      <c r="D210" s="1" t="s">
        <v>282</v>
      </c>
      <c r="E210" s="2">
        <v>50302</v>
      </c>
      <c r="F210" s="16">
        <v>432</v>
      </c>
      <c r="G210" s="16">
        <v>431</v>
      </c>
      <c r="H210" s="16">
        <v>434</v>
      </c>
      <c r="I210" s="16">
        <v>28</v>
      </c>
      <c r="J210" s="16">
        <v>29</v>
      </c>
      <c r="K210" s="16">
        <v>25</v>
      </c>
      <c r="L210" s="12">
        <f t="shared" si="91"/>
        <v>6.481481481481481</v>
      </c>
      <c r="M210" s="12">
        <f t="shared" si="92"/>
        <v>6.7285382830626448</v>
      </c>
      <c r="N210" s="12">
        <f t="shared" si="90"/>
        <v>5.7603686635944698</v>
      </c>
      <c r="O210" s="12">
        <f t="shared" si="88"/>
        <v>6.3234628093795315</v>
      </c>
      <c r="P210" s="16">
        <v>424</v>
      </c>
      <c r="Q210" s="16">
        <v>404</v>
      </c>
      <c r="R210" s="16">
        <v>377</v>
      </c>
      <c r="S210" s="16">
        <v>14</v>
      </c>
      <c r="T210" s="16">
        <v>10</v>
      </c>
      <c r="U210" s="16">
        <v>14</v>
      </c>
      <c r="V210" s="12">
        <f t="shared" si="85"/>
        <v>3.3018867924528301</v>
      </c>
      <c r="W210" s="12">
        <f t="shared" si="86"/>
        <v>2.4752475247524752</v>
      </c>
      <c r="X210" s="12">
        <f t="shared" si="87"/>
        <v>3.7135278514588856</v>
      </c>
      <c r="Y210" s="12">
        <f t="shared" si="89"/>
        <v>2.8885671586026529</v>
      </c>
    </row>
    <row r="211" spans="1:25" x14ac:dyDescent="0.3">
      <c r="A211" s="1" t="s">
        <v>267</v>
      </c>
      <c r="B211" s="1" t="s">
        <v>279</v>
      </c>
      <c r="C211" s="1" t="s">
        <v>283</v>
      </c>
      <c r="D211" s="1" t="s">
        <v>283</v>
      </c>
      <c r="E211" s="2">
        <v>50303</v>
      </c>
      <c r="F211" s="16">
        <v>216</v>
      </c>
      <c r="G211" s="16">
        <v>239</v>
      </c>
      <c r="H211" s="16">
        <v>250</v>
      </c>
      <c r="I211" s="16">
        <v>74</v>
      </c>
      <c r="J211" s="16">
        <v>76</v>
      </c>
      <c r="K211" s="16">
        <v>55</v>
      </c>
      <c r="L211" s="12">
        <f t="shared" si="91"/>
        <v>34.25925925925926</v>
      </c>
      <c r="M211" s="12">
        <f t="shared" si="92"/>
        <v>31.799163179916317</v>
      </c>
      <c r="N211" s="12">
        <f t="shared" si="90"/>
        <v>22</v>
      </c>
      <c r="O211" s="12">
        <f t="shared" si="88"/>
        <v>29.35280747972519</v>
      </c>
      <c r="P211" s="16">
        <v>316</v>
      </c>
      <c r="Q211" s="16">
        <v>303</v>
      </c>
      <c r="R211" s="16">
        <v>305</v>
      </c>
      <c r="S211" s="16">
        <v>22</v>
      </c>
      <c r="T211" s="16">
        <v>14</v>
      </c>
      <c r="U211" s="16">
        <v>16</v>
      </c>
      <c r="V211" s="12">
        <f t="shared" si="85"/>
        <v>6.962025316455696</v>
      </c>
      <c r="W211" s="12">
        <f t="shared" si="86"/>
        <v>4.6204620462046204</v>
      </c>
      <c r="X211" s="12">
        <f t="shared" si="87"/>
        <v>5.2459016393442619</v>
      </c>
      <c r="Y211" s="12">
        <f t="shared" si="89"/>
        <v>5.7912436813301582</v>
      </c>
    </row>
    <row r="212" spans="1:25" x14ac:dyDescent="0.3">
      <c r="A212" s="1" t="s">
        <v>267</v>
      </c>
      <c r="B212" s="1" t="s">
        <v>276</v>
      </c>
      <c r="C212" s="1" t="s">
        <v>284</v>
      </c>
      <c r="D212" s="1" t="s">
        <v>284</v>
      </c>
      <c r="E212" s="2">
        <v>50401</v>
      </c>
      <c r="F212" s="16">
        <v>594</v>
      </c>
      <c r="G212" s="16">
        <v>620</v>
      </c>
      <c r="H212" s="16">
        <v>650</v>
      </c>
      <c r="I212" s="16">
        <v>291</v>
      </c>
      <c r="J212" s="16">
        <v>236</v>
      </c>
      <c r="K212" s="16">
        <v>198</v>
      </c>
      <c r="L212" s="12">
        <f t="shared" si="91"/>
        <v>48.98989898989899</v>
      </c>
      <c r="M212" s="12">
        <f t="shared" si="92"/>
        <v>38.064516129032256</v>
      </c>
      <c r="N212" s="12">
        <f t="shared" si="90"/>
        <v>30.461538461538463</v>
      </c>
      <c r="O212" s="12">
        <f t="shared" si="88"/>
        <v>39.171984526823238</v>
      </c>
      <c r="P212" s="16">
        <v>1152</v>
      </c>
      <c r="Q212" s="16">
        <v>1140</v>
      </c>
      <c r="R212" s="16">
        <v>1172</v>
      </c>
      <c r="S212" s="16">
        <v>87</v>
      </c>
      <c r="T212" s="16">
        <v>62</v>
      </c>
      <c r="U212" s="16">
        <v>67</v>
      </c>
      <c r="V212" s="12">
        <f t="shared" si="85"/>
        <v>7.552083333333333</v>
      </c>
      <c r="W212" s="12">
        <f t="shared" si="86"/>
        <v>5.4385964912280702</v>
      </c>
      <c r="X212" s="12">
        <f t="shared" si="87"/>
        <v>5.7167235494880542</v>
      </c>
      <c r="Y212" s="12">
        <f t="shared" si="89"/>
        <v>6.4953399122807021</v>
      </c>
    </row>
    <row r="213" spans="1:25" x14ac:dyDescent="0.3">
      <c r="A213" s="1" t="s">
        <v>267</v>
      </c>
      <c r="B213" s="1" t="s">
        <v>276</v>
      </c>
      <c r="C213" s="1" t="s">
        <v>285</v>
      </c>
      <c r="D213" s="1" t="s">
        <v>285</v>
      </c>
      <c r="E213" s="2">
        <v>50402</v>
      </c>
      <c r="F213" s="16">
        <v>396</v>
      </c>
      <c r="G213" s="16">
        <v>425</v>
      </c>
      <c r="H213" s="16">
        <v>434</v>
      </c>
      <c r="I213" s="16">
        <v>133</v>
      </c>
      <c r="J213" s="16">
        <v>117</v>
      </c>
      <c r="K213" s="16">
        <v>148</v>
      </c>
      <c r="L213" s="12">
        <f t="shared" si="91"/>
        <v>33.585858585858588</v>
      </c>
      <c r="M213" s="12">
        <f t="shared" si="92"/>
        <v>27.52941176470588</v>
      </c>
      <c r="N213" s="12">
        <f t="shared" si="90"/>
        <v>34.101382488479267</v>
      </c>
      <c r="O213" s="12">
        <f t="shared" si="88"/>
        <v>31.738884279681248</v>
      </c>
      <c r="P213" s="16">
        <v>489</v>
      </c>
      <c r="Q213" s="16">
        <v>470</v>
      </c>
      <c r="R213" s="16">
        <v>449</v>
      </c>
      <c r="S213" s="16">
        <v>27</v>
      </c>
      <c r="T213" s="16">
        <v>20</v>
      </c>
      <c r="U213" s="16">
        <v>21</v>
      </c>
      <c r="V213" s="12">
        <f t="shared" ref="V213:V235" si="93">(S213/P213)*100</f>
        <v>5.5214723926380369</v>
      </c>
      <c r="W213" s="12">
        <f t="shared" ref="W213:W235" si="94">(T213/Q213)*100</f>
        <v>4.2553191489361701</v>
      </c>
      <c r="X213" s="12">
        <f t="shared" ref="X213:X235" si="95">(U213/R213)*100</f>
        <v>4.6770601336302899</v>
      </c>
      <c r="Y213" s="12">
        <f t="shared" si="89"/>
        <v>4.8883957707871035</v>
      </c>
    </row>
    <row r="214" spans="1:25" x14ac:dyDescent="0.3">
      <c r="A214" s="1" t="s">
        <v>267</v>
      </c>
      <c r="B214" s="1" t="s">
        <v>276</v>
      </c>
      <c r="C214" s="1" t="s">
        <v>286</v>
      </c>
      <c r="D214" s="1" t="s">
        <v>286</v>
      </c>
      <c r="E214" s="2">
        <v>50403</v>
      </c>
      <c r="F214" s="16">
        <v>807</v>
      </c>
      <c r="G214" s="16">
        <v>830</v>
      </c>
      <c r="H214" s="16">
        <v>872</v>
      </c>
      <c r="I214" s="16">
        <v>156</v>
      </c>
      <c r="J214" s="16">
        <v>173</v>
      </c>
      <c r="K214" s="16">
        <v>183</v>
      </c>
      <c r="L214" s="12">
        <f t="shared" si="91"/>
        <v>19.330855018587361</v>
      </c>
      <c r="M214" s="12">
        <f t="shared" si="92"/>
        <v>20.843373493975903</v>
      </c>
      <c r="N214" s="12">
        <f t="shared" si="90"/>
        <v>20.986238532110089</v>
      </c>
      <c r="O214" s="12">
        <f t="shared" si="88"/>
        <v>20.386822348224452</v>
      </c>
      <c r="P214" s="16">
        <v>985</v>
      </c>
      <c r="Q214" s="16">
        <v>949</v>
      </c>
      <c r="R214" s="16">
        <v>928</v>
      </c>
      <c r="S214" s="16">
        <v>55</v>
      </c>
      <c r="T214" s="16">
        <v>67</v>
      </c>
      <c r="U214" s="16">
        <v>60</v>
      </c>
      <c r="V214" s="12">
        <f t="shared" si="93"/>
        <v>5.5837563451776653</v>
      </c>
      <c r="W214" s="12">
        <f t="shared" si="94"/>
        <v>7.060063224446786</v>
      </c>
      <c r="X214" s="12">
        <f t="shared" si="95"/>
        <v>6.4655172413793105</v>
      </c>
      <c r="Y214" s="12">
        <f t="shared" si="89"/>
        <v>6.3219097848122257</v>
      </c>
    </row>
    <row r="215" spans="1:25" x14ac:dyDescent="0.3">
      <c r="A215" s="1" t="s">
        <v>267</v>
      </c>
      <c r="B215" s="1" t="s">
        <v>276</v>
      </c>
      <c r="C215" s="1" t="s">
        <v>287</v>
      </c>
      <c r="D215" s="1" t="s">
        <v>287</v>
      </c>
      <c r="E215" s="2">
        <v>50404</v>
      </c>
      <c r="F215" s="16">
        <v>353</v>
      </c>
      <c r="G215" s="16">
        <v>418</v>
      </c>
      <c r="H215" s="16">
        <v>439</v>
      </c>
      <c r="I215" s="16">
        <v>92</v>
      </c>
      <c r="J215" s="16">
        <v>113</v>
      </c>
      <c r="K215" s="16">
        <v>98</v>
      </c>
      <c r="L215" s="12">
        <f t="shared" si="91"/>
        <v>26.062322946175637</v>
      </c>
      <c r="M215" s="12">
        <f t="shared" si="92"/>
        <v>27.033492822966508</v>
      </c>
      <c r="N215" s="12">
        <f t="shared" si="90"/>
        <v>22.323462414578586</v>
      </c>
      <c r="O215" s="12">
        <f t="shared" si="88"/>
        <v>25.139759394573577</v>
      </c>
      <c r="P215" s="16">
        <v>420</v>
      </c>
      <c r="Q215" s="16">
        <v>372</v>
      </c>
      <c r="R215" s="16">
        <v>374</v>
      </c>
      <c r="S215" s="16">
        <v>29</v>
      </c>
      <c r="T215" s="16">
        <v>14</v>
      </c>
      <c r="U215" s="16">
        <v>9</v>
      </c>
      <c r="V215" s="12">
        <f t="shared" si="93"/>
        <v>6.9047619047619051</v>
      </c>
      <c r="W215" s="12">
        <f t="shared" si="94"/>
        <v>3.763440860215054</v>
      </c>
      <c r="X215" s="12">
        <f t="shared" si="95"/>
        <v>2.4064171122994651</v>
      </c>
      <c r="Y215" s="12">
        <f t="shared" si="89"/>
        <v>5.3341013824884795</v>
      </c>
    </row>
    <row r="216" spans="1:25" x14ac:dyDescent="0.3">
      <c r="A216" s="1" t="s">
        <v>267</v>
      </c>
      <c r="B216" s="1" t="s">
        <v>276</v>
      </c>
      <c r="C216" s="1" t="s">
        <v>288</v>
      </c>
      <c r="D216" s="1" t="s">
        <v>288</v>
      </c>
      <c r="E216" s="2">
        <v>50405</v>
      </c>
      <c r="F216" s="16">
        <v>594</v>
      </c>
      <c r="G216" s="16">
        <v>620</v>
      </c>
      <c r="H216" s="16">
        <v>650</v>
      </c>
      <c r="I216" s="16">
        <v>291</v>
      </c>
      <c r="J216" s="16">
        <v>236</v>
      </c>
      <c r="K216" s="16">
        <v>198</v>
      </c>
      <c r="L216" s="12">
        <f t="shared" si="91"/>
        <v>48.98989898989899</v>
      </c>
      <c r="M216" s="12">
        <f t="shared" si="92"/>
        <v>38.064516129032256</v>
      </c>
      <c r="N216" s="12">
        <f t="shared" si="90"/>
        <v>30.461538461538463</v>
      </c>
      <c r="O216" s="12">
        <f t="shared" si="88"/>
        <v>39.171984526823238</v>
      </c>
      <c r="P216">
        <v>1152</v>
      </c>
      <c r="Q216">
        <v>1140</v>
      </c>
      <c r="R216" s="16">
        <v>1172</v>
      </c>
      <c r="S216">
        <v>87</v>
      </c>
      <c r="T216">
        <v>62</v>
      </c>
      <c r="U216">
        <v>67</v>
      </c>
      <c r="V216" s="12">
        <f t="shared" si="93"/>
        <v>7.552083333333333</v>
      </c>
      <c r="W216" s="12">
        <f t="shared" si="94"/>
        <v>5.4385964912280702</v>
      </c>
      <c r="X216" s="12">
        <f t="shared" si="95"/>
        <v>5.7167235494880542</v>
      </c>
      <c r="Y216" s="12">
        <f t="shared" si="89"/>
        <v>6.4953399122807021</v>
      </c>
    </row>
    <row r="217" spans="1:25" x14ac:dyDescent="0.3">
      <c r="A217" s="1" t="s">
        <v>267</v>
      </c>
      <c r="B217" s="1" t="s">
        <v>289</v>
      </c>
      <c r="C217" s="1" t="s">
        <v>290</v>
      </c>
      <c r="D217" s="1" t="s">
        <v>290</v>
      </c>
      <c r="E217" s="2">
        <v>50501</v>
      </c>
      <c r="F217" s="16">
        <v>708</v>
      </c>
      <c r="G217" s="16">
        <v>767</v>
      </c>
      <c r="H217" s="16">
        <v>841</v>
      </c>
      <c r="I217" s="16">
        <v>190</v>
      </c>
      <c r="J217" s="16">
        <v>211</v>
      </c>
      <c r="K217" s="16">
        <v>264</v>
      </c>
      <c r="L217" s="12">
        <f t="shared" si="91"/>
        <v>26.836158192090398</v>
      </c>
      <c r="M217" s="12">
        <f t="shared" si="92"/>
        <v>27.509778357235987</v>
      </c>
      <c r="N217" s="12">
        <f t="shared" si="90"/>
        <v>31.391200951248514</v>
      </c>
      <c r="O217" s="12">
        <f t="shared" si="88"/>
        <v>28.579045833524969</v>
      </c>
      <c r="P217" s="16">
        <v>978</v>
      </c>
      <c r="Q217" s="16">
        <v>986</v>
      </c>
      <c r="R217" s="16">
        <v>999</v>
      </c>
      <c r="S217" s="16">
        <v>90</v>
      </c>
      <c r="T217" s="16">
        <v>113</v>
      </c>
      <c r="U217" s="16">
        <v>83</v>
      </c>
      <c r="V217" s="12">
        <f t="shared" si="93"/>
        <v>9.2024539877300615</v>
      </c>
      <c r="W217" s="12">
        <f t="shared" si="94"/>
        <v>11.460446247464503</v>
      </c>
      <c r="X217" s="12">
        <f t="shared" si="95"/>
        <v>8.3083083083083089</v>
      </c>
      <c r="Y217" s="12">
        <f t="shared" si="89"/>
        <v>10.331450117597281</v>
      </c>
    </row>
    <row r="218" spans="1:25" x14ac:dyDescent="0.3">
      <c r="A218" s="1" t="s">
        <v>267</v>
      </c>
      <c r="B218" s="1" t="s">
        <v>289</v>
      </c>
      <c r="C218" s="1" t="s">
        <v>291</v>
      </c>
      <c r="D218" s="1" t="s">
        <v>291</v>
      </c>
      <c r="E218" s="2">
        <v>50502</v>
      </c>
      <c r="F218" s="16">
        <v>342</v>
      </c>
      <c r="G218" s="16">
        <v>357</v>
      </c>
      <c r="H218" s="16">
        <v>397</v>
      </c>
      <c r="I218" s="16">
        <v>70</v>
      </c>
      <c r="J218" s="16">
        <v>70</v>
      </c>
      <c r="K218" s="16">
        <v>78</v>
      </c>
      <c r="L218" s="12">
        <f t="shared" si="91"/>
        <v>20.467836257309941</v>
      </c>
      <c r="M218" s="12">
        <f t="shared" si="92"/>
        <v>19.607843137254903</v>
      </c>
      <c r="N218" s="12">
        <f t="shared" si="90"/>
        <v>19.647355163727958</v>
      </c>
      <c r="O218" s="12">
        <f t="shared" si="88"/>
        <v>19.907678186097602</v>
      </c>
      <c r="P218" s="16">
        <v>531</v>
      </c>
      <c r="Q218" s="16">
        <v>518</v>
      </c>
      <c r="R218" s="16">
        <v>498</v>
      </c>
      <c r="S218" s="16">
        <v>46</v>
      </c>
      <c r="T218" s="16">
        <v>20</v>
      </c>
      <c r="U218" s="16">
        <v>36</v>
      </c>
      <c r="V218" s="12">
        <f t="shared" si="93"/>
        <v>8.662900188323917</v>
      </c>
      <c r="W218" s="12">
        <f t="shared" si="94"/>
        <v>3.8610038610038608</v>
      </c>
      <c r="X218" s="12">
        <f t="shared" si="95"/>
        <v>7.2289156626506017</v>
      </c>
      <c r="Y218" s="12">
        <f t="shared" si="89"/>
        <v>6.2619520246638887</v>
      </c>
    </row>
    <row r="219" spans="1:25" x14ac:dyDescent="0.3">
      <c r="A219" s="1" t="s">
        <v>267</v>
      </c>
      <c r="B219" s="1" t="s">
        <v>292</v>
      </c>
      <c r="C219" s="1" t="s">
        <v>293</v>
      </c>
      <c r="D219" s="1" t="s">
        <v>293</v>
      </c>
      <c r="E219" s="2">
        <v>50601</v>
      </c>
      <c r="F219" s="16">
        <v>1077</v>
      </c>
      <c r="G219" s="16">
        <v>1187</v>
      </c>
      <c r="H219" s="16">
        <v>1133</v>
      </c>
      <c r="I219" s="16">
        <v>153</v>
      </c>
      <c r="J219" s="16">
        <v>174</v>
      </c>
      <c r="K219" s="16">
        <v>118</v>
      </c>
      <c r="L219" s="12">
        <f t="shared" si="91"/>
        <v>14.206128133704734</v>
      </c>
      <c r="M219" s="12">
        <f t="shared" si="92"/>
        <v>14.658803706823925</v>
      </c>
      <c r="N219" s="12">
        <f t="shared" si="90"/>
        <v>10.414827890556046</v>
      </c>
      <c r="O219" s="12">
        <f t="shared" si="88"/>
        <v>13.093253243694901</v>
      </c>
      <c r="P219" s="16">
        <v>1129</v>
      </c>
      <c r="Q219" s="16">
        <v>1114</v>
      </c>
      <c r="R219" s="16">
        <v>1093</v>
      </c>
      <c r="S219" s="16">
        <v>43</v>
      </c>
      <c r="T219" s="16">
        <v>42</v>
      </c>
      <c r="U219" s="16">
        <v>31</v>
      </c>
      <c r="V219" s="12">
        <f t="shared" si="93"/>
        <v>3.8086802480070863</v>
      </c>
      <c r="W219" s="12">
        <f t="shared" si="94"/>
        <v>3.7701974865350087</v>
      </c>
      <c r="X219" s="12">
        <f t="shared" si="95"/>
        <v>2.8362305580969807</v>
      </c>
      <c r="Y219" s="12">
        <f t="shared" si="89"/>
        <v>3.7894388672710475</v>
      </c>
    </row>
    <row r="220" spans="1:25" x14ac:dyDescent="0.3">
      <c r="A220" s="1" t="s">
        <v>267</v>
      </c>
      <c r="B220" s="1" t="s">
        <v>292</v>
      </c>
      <c r="C220" s="1" t="s">
        <v>486</v>
      </c>
      <c r="D220" s="1" t="s">
        <v>294</v>
      </c>
      <c r="E220" s="2">
        <v>50602</v>
      </c>
      <c r="F220" s="16">
        <v>417</v>
      </c>
      <c r="G220" s="16">
        <v>444</v>
      </c>
      <c r="H220" s="16">
        <v>458</v>
      </c>
      <c r="I220" s="16">
        <v>27</v>
      </c>
      <c r="J220" s="16">
        <v>46</v>
      </c>
      <c r="K220" s="16">
        <v>34</v>
      </c>
      <c r="L220" s="12">
        <f t="shared" si="91"/>
        <v>6.4748201438848918</v>
      </c>
      <c r="M220" s="12">
        <f t="shared" si="92"/>
        <v>10.36036036036036</v>
      </c>
      <c r="N220" s="12">
        <f t="shared" si="90"/>
        <v>7.4235807860262017</v>
      </c>
      <c r="O220" s="12">
        <f t="shared" si="88"/>
        <v>8.0862537634238176</v>
      </c>
      <c r="P220" s="16">
        <v>415</v>
      </c>
      <c r="Q220" s="16">
        <v>395</v>
      </c>
      <c r="R220" s="16">
        <v>378</v>
      </c>
      <c r="S220" s="16">
        <v>10</v>
      </c>
      <c r="T220" s="16">
        <v>10</v>
      </c>
      <c r="U220" s="16">
        <v>18</v>
      </c>
      <c r="V220" s="12">
        <f t="shared" si="93"/>
        <v>2.4096385542168677</v>
      </c>
      <c r="W220" s="12">
        <f t="shared" si="94"/>
        <v>2.5316455696202533</v>
      </c>
      <c r="X220" s="12">
        <f t="shared" si="95"/>
        <v>4.7619047619047619</v>
      </c>
      <c r="Y220" s="12">
        <f t="shared" si="89"/>
        <v>2.4706420619185607</v>
      </c>
    </row>
    <row r="221" spans="1:25" x14ac:dyDescent="0.3">
      <c r="A221" s="1" t="s">
        <v>267</v>
      </c>
      <c r="B221" s="1" t="s">
        <v>295</v>
      </c>
      <c r="C221" s="1" t="s">
        <v>296</v>
      </c>
      <c r="D221" s="1" t="s">
        <v>297</v>
      </c>
      <c r="E221" s="2">
        <v>50701</v>
      </c>
      <c r="F221" s="16">
        <v>442</v>
      </c>
      <c r="G221" s="16">
        <v>517</v>
      </c>
      <c r="H221" s="16">
        <v>547</v>
      </c>
      <c r="I221" s="16">
        <v>140</v>
      </c>
      <c r="J221" s="16">
        <v>122</v>
      </c>
      <c r="K221" s="16">
        <v>120</v>
      </c>
      <c r="L221" s="12">
        <f t="shared" si="91"/>
        <v>31.674208144796378</v>
      </c>
      <c r="M221" s="12">
        <f t="shared" si="92"/>
        <v>23.597678916827853</v>
      </c>
      <c r="N221" s="12">
        <f t="shared" si="90"/>
        <v>21.937842778793417</v>
      </c>
      <c r="O221" s="12">
        <f t="shared" si="88"/>
        <v>25.73657661347255</v>
      </c>
      <c r="P221" s="16">
        <v>694</v>
      </c>
      <c r="Q221" s="16">
        <v>677</v>
      </c>
      <c r="R221" s="16">
        <v>673</v>
      </c>
      <c r="S221" s="16">
        <v>55</v>
      </c>
      <c r="T221" s="16">
        <v>35</v>
      </c>
      <c r="U221" s="16">
        <v>26</v>
      </c>
      <c r="V221" s="12">
        <f t="shared" si="93"/>
        <v>7.9250720461095101</v>
      </c>
      <c r="W221" s="12">
        <f t="shared" si="94"/>
        <v>5.1698670605613</v>
      </c>
      <c r="X221" s="12">
        <f t="shared" si="95"/>
        <v>3.8632986627043091</v>
      </c>
      <c r="Y221" s="12">
        <f t="shared" si="89"/>
        <v>6.5474695533354055</v>
      </c>
    </row>
    <row r="222" spans="1:25" x14ac:dyDescent="0.3">
      <c r="A222" s="1" t="s">
        <v>267</v>
      </c>
      <c r="B222" s="1" t="s">
        <v>295</v>
      </c>
      <c r="C222" s="1" t="s">
        <v>298</v>
      </c>
      <c r="D222" s="1" t="s">
        <v>298</v>
      </c>
      <c r="E222" s="2">
        <v>50702</v>
      </c>
      <c r="F222" s="16">
        <v>329</v>
      </c>
      <c r="G222" s="16">
        <v>318</v>
      </c>
      <c r="H222" s="16">
        <v>300</v>
      </c>
      <c r="I222" s="16">
        <v>39</v>
      </c>
      <c r="J222" s="16">
        <v>53</v>
      </c>
      <c r="K222" s="16">
        <v>44</v>
      </c>
      <c r="L222" s="12">
        <f t="shared" si="91"/>
        <v>11.854103343465045</v>
      </c>
      <c r="M222" s="12">
        <f t="shared" si="92"/>
        <v>16.666666666666664</v>
      </c>
      <c r="N222" s="12">
        <f t="shared" si="90"/>
        <v>14.666666666666666</v>
      </c>
      <c r="O222" s="12">
        <f t="shared" si="88"/>
        <v>14.395812225599459</v>
      </c>
      <c r="P222" s="16">
        <v>272</v>
      </c>
      <c r="Q222" s="16">
        <v>265</v>
      </c>
      <c r="R222" s="16">
        <v>264</v>
      </c>
      <c r="S222" s="16">
        <v>20</v>
      </c>
      <c r="T222" s="16">
        <v>19</v>
      </c>
      <c r="U222" s="16">
        <v>22</v>
      </c>
      <c r="V222" s="12">
        <f t="shared" si="93"/>
        <v>7.3529411764705888</v>
      </c>
      <c r="W222" s="12">
        <f t="shared" si="94"/>
        <v>7.1698113207547172</v>
      </c>
      <c r="X222" s="12">
        <f t="shared" si="95"/>
        <v>8.3333333333333321</v>
      </c>
      <c r="Y222" s="12">
        <f t="shared" si="89"/>
        <v>7.2613762486126525</v>
      </c>
    </row>
    <row r="223" spans="1:25" x14ac:dyDescent="0.3">
      <c r="A223" s="1" t="s">
        <v>267</v>
      </c>
      <c r="B223" s="1" t="s">
        <v>299</v>
      </c>
      <c r="C223" s="1" t="s">
        <v>300</v>
      </c>
      <c r="D223" s="1" t="s">
        <v>300</v>
      </c>
      <c r="E223" s="2">
        <v>50801</v>
      </c>
      <c r="F223" s="16">
        <v>2522</v>
      </c>
      <c r="G223" s="16">
        <v>2552</v>
      </c>
      <c r="H223" s="16">
        <v>2554</v>
      </c>
      <c r="I223" s="16">
        <v>150</v>
      </c>
      <c r="J223" s="16">
        <v>129</v>
      </c>
      <c r="K223" s="16">
        <v>129</v>
      </c>
      <c r="L223" s="12">
        <f t="shared" si="91"/>
        <v>5.9476605868358439</v>
      </c>
      <c r="M223" s="12">
        <f t="shared" si="92"/>
        <v>5.0548589341692791</v>
      </c>
      <c r="N223" s="12">
        <f t="shared" si="90"/>
        <v>5.0509005481597491</v>
      </c>
      <c r="O223" s="12">
        <f t="shared" si="88"/>
        <v>5.3511400230549571</v>
      </c>
      <c r="P223" s="16">
        <v>2531</v>
      </c>
      <c r="Q223" s="16">
        <v>2575</v>
      </c>
      <c r="R223" s="16">
        <v>2641</v>
      </c>
      <c r="S223" s="16">
        <v>64</v>
      </c>
      <c r="T223" s="16">
        <v>39</v>
      </c>
      <c r="U223" s="16">
        <v>32</v>
      </c>
      <c r="V223" s="12">
        <f t="shared" si="93"/>
        <v>2.5286448044251282</v>
      </c>
      <c r="W223" s="12">
        <f t="shared" si="94"/>
        <v>1.5145631067961165</v>
      </c>
      <c r="X223" s="12">
        <f t="shared" si="95"/>
        <v>1.21166224914805</v>
      </c>
      <c r="Y223" s="12">
        <f t="shared" si="89"/>
        <v>2.0216039556106224</v>
      </c>
    </row>
    <row r="224" spans="1:25" x14ac:dyDescent="0.3">
      <c r="A224" s="1" t="s">
        <v>267</v>
      </c>
      <c r="B224" s="1" t="s">
        <v>299</v>
      </c>
      <c r="C224" s="1" t="s">
        <v>301</v>
      </c>
      <c r="D224" s="1" t="s">
        <v>301</v>
      </c>
      <c r="E224" s="2">
        <v>50802</v>
      </c>
      <c r="F224" s="16">
        <v>726</v>
      </c>
      <c r="G224" s="16">
        <v>719</v>
      </c>
      <c r="H224" s="16">
        <v>726</v>
      </c>
      <c r="I224" s="16">
        <v>38</v>
      </c>
      <c r="J224" s="16">
        <v>26</v>
      </c>
      <c r="K224" s="16">
        <v>36</v>
      </c>
      <c r="L224" s="12">
        <f t="shared" si="91"/>
        <v>5.2341597796143251</v>
      </c>
      <c r="M224" s="12">
        <f t="shared" si="92"/>
        <v>3.6161335187760781</v>
      </c>
      <c r="N224" s="12">
        <f t="shared" si="90"/>
        <v>4.9586776859504136</v>
      </c>
      <c r="O224" s="12">
        <f t="shared" si="88"/>
        <v>4.6029903281136058</v>
      </c>
      <c r="P224" s="16">
        <v>672</v>
      </c>
      <c r="Q224" s="16">
        <v>659</v>
      </c>
      <c r="R224" s="16">
        <v>661</v>
      </c>
      <c r="S224" s="16">
        <v>9</v>
      </c>
      <c r="T224" s="16">
        <v>10</v>
      </c>
      <c r="U224" s="16">
        <v>4</v>
      </c>
      <c r="V224" s="12">
        <f t="shared" si="93"/>
        <v>1.3392857142857142</v>
      </c>
      <c r="W224" s="12">
        <f t="shared" si="94"/>
        <v>1.5174506828528074</v>
      </c>
      <c r="X224" s="12">
        <f t="shared" si="95"/>
        <v>0.60514372163388808</v>
      </c>
      <c r="Y224" s="12">
        <f t="shared" si="89"/>
        <v>1.4283681985692609</v>
      </c>
    </row>
    <row r="225" spans="1:25" x14ac:dyDescent="0.3">
      <c r="A225" s="1" t="s">
        <v>267</v>
      </c>
      <c r="B225" s="1" t="s">
        <v>302</v>
      </c>
      <c r="C225" s="1" t="s">
        <v>303</v>
      </c>
      <c r="D225" s="1" t="s">
        <v>304</v>
      </c>
      <c r="E225" s="2">
        <v>50901</v>
      </c>
      <c r="F225" s="16">
        <v>456</v>
      </c>
      <c r="G225" s="16">
        <v>506</v>
      </c>
      <c r="H225" s="16">
        <v>541</v>
      </c>
      <c r="I225" s="16">
        <v>21</v>
      </c>
      <c r="J225" s="16">
        <v>30</v>
      </c>
      <c r="K225" s="16">
        <v>34</v>
      </c>
      <c r="L225" s="12">
        <f t="shared" si="91"/>
        <v>4.6052631578947363</v>
      </c>
      <c r="M225" s="12">
        <f t="shared" si="92"/>
        <v>5.928853754940711</v>
      </c>
      <c r="N225" s="12">
        <f t="shared" si="90"/>
        <v>6.2846580406654349</v>
      </c>
      <c r="O225" s="12">
        <f t="shared" si="88"/>
        <v>5.6062583178336274</v>
      </c>
      <c r="P225" s="16">
        <v>693</v>
      </c>
      <c r="Q225" s="16">
        <v>704</v>
      </c>
      <c r="R225" s="16">
        <v>693</v>
      </c>
      <c r="S225" s="16">
        <v>13</v>
      </c>
      <c r="T225" s="16">
        <v>10</v>
      </c>
      <c r="U225" s="16">
        <v>10</v>
      </c>
      <c r="V225" s="12">
        <f t="shared" si="93"/>
        <v>1.875901875901876</v>
      </c>
      <c r="W225" s="12">
        <f t="shared" si="94"/>
        <v>1.4204545454545454</v>
      </c>
      <c r="X225" s="12">
        <f t="shared" si="95"/>
        <v>1.4430014430014431</v>
      </c>
      <c r="Y225" s="12">
        <f t="shared" si="89"/>
        <v>1.6481782106782106</v>
      </c>
    </row>
    <row r="226" spans="1:25" x14ac:dyDescent="0.3">
      <c r="A226" s="1" t="s">
        <v>267</v>
      </c>
      <c r="B226" s="1" t="s">
        <v>302</v>
      </c>
      <c r="C226" s="1" t="s">
        <v>305</v>
      </c>
      <c r="D226" s="1" t="s">
        <v>306</v>
      </c>
      <c r="E226" s="2">
        <v>50902</v>
      </c>
      <c r="F226" s="16">
        <v>19</v>
      </c>
      <c r="G226" s="16">
        <v>15</v>
      </c>
      <c r="H226" s="16">
        <v>15</v>
      </c>
      <c r="I226" s="16">
        <v>0</v>
      </c>
      <c r="J226" s="16">
        <v>1</v>
      </c>
      <c r="K226" s="16">
        <v>0</v>
      </c>
      <c r="L226" s="12">
        <f t="shared" si="91"/>
        <v>0</v>
      </c>
      <c r="M226" s="12">
        <f t="shared" si="92"/>
        <v>6.666666666666667</v>
      </c>
      <c r="N226" s="12">
        <f t="shared" si="90"/>
        <v>0</v>
      </c>
      <c r="O226" s="12">
        <f t="shared" si="88"/>
        <v>2.2222222222222223</v>
      </c>
      <c r="P226" s="16">
        <v>25</v>
      </c>
      <c r="Q226" s="16">
        <v>21</v>
      </c>
      <c r="R226" s="16">
        <v>23</v>
      </c>
      <c r="S226" s="16">
        <v>5</v>
      </c>
      <c r="T226" s="16">
        <v>2</v>
      </c>
      <c r="U226" s="16">
        <v>1</v>
      </c>
      <c r="V226" s="12">
        <f t="shared" si="93"/>
        <v>20</v>
      </c>
      <c r="W226" s="12">
        <f t="shared" si="94"/>
        <v>9.5238095238095237</v>
      </c>
      <c r="X226" s="12">
        <f t="shared" si="95"/>
        <v>4.3478260869565215</v>
      </c>
      <c r="Y226" s="12">
        <f t="shared" si="89"/>
        <v>14.761904761904763</v>
      </c>
    </row>
    <row r="227" spans="1:25" x14ac:dyDescent="0.3">
      <c r="A227" s="1" t="s">
        <v>267</v>
      </c>
      <c r="B227" s="1" t="s">
        <v>307</v>
      </c>
      <c r="C227" s="1" t="s">
        <v>308</v>
      </c>
      <c r="D227" s="1" t="s">
        <v>309</v>
      </c>
      <c r="E227" s="2">
        <v>51001</v>
      </c>
      <c r="F227" s="16">
        <v>100</v>
      </c>
      <c r="G227" s="16">
        <v>111</v>
      </c>
      <c r="H227" s="16">
        <v>103</v>
      </c>
      <c r="I227" s="16">
        <v>5</v>
      </c>
      <c r="J227" s="16">
        <v>11</v>
      </c>
      <c r="K227" s="16">
        <v>8</v>
      </c>
      <c r="L227" s="12">
        <f t="shared" si="91"/>
        <v>5</v>
      </c>
      <c r="M227" s="12">
        <f t="shared" si="92"/>
        <v>9.9099099099099099</v>
      </c>
      <c r="N227" s="12">
        <f t="shared" si="90"/>
        <v>7.7669902912621351</v>
      </c>
      <c r="O227" s="12">
        <f t="shared" si="88"/>
        <v>7.5589667337240156</v>
      </c>
      <c r="P227" s="16">
        <v>116</v>
      </c>
      <c r="Q227" s="16">
        <v>107</v>
      </c>
      <c r="R227" s="16">
        <v>112</v>
      </c>
      <c r="S227" s="16">
        <v>1</v>
      </c>
      <c r="T227" s="16">
        <v>0</v>
      </c>
      <c r="U227" s="16">
        <v>4</v>
      </c>
      <c r="V227" s="12">
        <f t="shared" si="93"/>
        <v>0.86206896551724133</v>
      </c>
      <c r="W227" s="12">
        <f t="shared" si="94"/>
        <v>0</v>
      </c>
      <c r="X227" s="12">
        <f t="shared" si="95"/>
        <v>3.5714285714285712</v>
      </c>
      <c r="Y227" s="12">
        <f t="shared" si="89"/>
        <v>0.43103448275862066</v>
      </c>
    </row>
    <row r="228" spans="1:25" x14ac:dyDescent="0.3">
      <c r="A228" s="1" t="s">
        <v>267</v>
      </c>
      <c r="B228" s="1" t="s">
        <v>307</v>
      </c>
      <c r="C228" s="1" t="s">
        <v>310</v>
      </c>
      <c r="D228" s="1" t="s">
        <v>310</v>
      </c>
      <c r="E228" s="2">
        <v>51002</v>
      </c>
      <c r="F228" s="16">
        <v>17</v>
      </c>
      <c r="G228" s="16">
        <v>20</v>
      </c>
      <c r="H228" s="16">
        <v>18</v>
      </c>
      <c r="I228" s="16">
        <v>2</v>
      </c>
      <c r="J228" s="16">
        <v>1</v>
      </c>
      <c r="K228" s="16">
        <v>1</v>
      </c>
      <c r="L228" s="12">
        <f t="shared" si="91"/>
        <v>11.76470588235294</v>
      </c>
      <c r="M228" s="12">
        <f t="shared" si="92"/>
        <v>5</v>
      </c>
      <c r="N228" s="12">
        <f t="shared" si="90"/>
        <v>5.5555555555555554</v>
      </c>
      <c r="O228" s="12">
        <f t="shared" si="88"/>
        <v>7.4400871459694997</v>
      </c>
      <c r="P228" s="16">
        <v>30</v>
      </c>
      <c r="Q228" s="16">
        <v>33</v>
      </c>
      <c r="R228" s="16">
        <v>33</v>
      </c>
      <c r="S228" s="16">
        <v>0</v>
      </c>
      <c r="T228" s="16">
        <v>0</v>
      </c>
      <c r="U228" s="16"/>
      <c r="V228" s="12">
        <f t="shared" si="93"/>
        <v>0</v>
      </c>
      <c r="W228" s="12">
        <f t="shared" si="94"/>
        <v>0</v>
      </c>
      <c r="X228" s="12">
        <f t="shared" si="95"/>
        <v>0</v>
      </c>
      <c r="Y228" s="12">
        <f t="shared" si="89"/>
        <v>0</v>
      </c>
    </row>
    <row r="229" spans="1:25" x14ac:dyDescent="0.3">
      <c r="A229" s="1" t="s">
        <v>267</v>
      </c>
      <c r="B229" s="1" t="s">
        <v>307</v>
      </c>
      <c r="C229" s="1" t="s">
        <v>311</v>
      </c>
      <c r="D229" s="1" t="s">
        <v>311</v>
      </c>
      <c r="E229" s="2">
        <v>51003</v>
      </c>
      <c r="F229" s="16">
        <v>51</v>
      </c>
      <c r="G229" s="16">
        <v>44</v>
      </c>
      <c r="H229" s="16">
        <v>50</v>
      </c>
      <c r="I229" s="16">
        <v>3</v>
      </c>
      <c r="J229" s="16">
        <v>2</v>
      </c>
      <c r="K229" s="16">
        <v>4</v>
      </c>
      <c r="L229" s="12">
        <f t="shared" si="91"/>
        <v>5.8823529411764701</v>
      </c>
      <c r="M229" s="12">
        <f t="shared" si="92"/>
        <v>4.5454545454545459</v>
      </c>
      <c r="N229" s="12">
        <f t="shared" si="90"/>
        <v>8</v>
      </c>
      <c r="O229" s="12">
        <f t="shared" si="88"/>
        <v>6.1426024955436729</v>
      </c>
      <c r="P229" s="16">
        <v>81</v>
      </c>
      <c r="Q229" s="16">
        <v>96</v>
      </c>
      <c r="R229" s="16">
        <v>95</v>
      </c>
      <c r="S229" s="16">
        <v>2</v>
      </c>
      <c r="T229" s="16">
        <v>0</v>
      </c>
      <c r="U229" s="16">
        <v>4</v>
      </c>
      <c r="V229" s="12">
        <f t="shared" si="93"/>
        <v>2.4691358024691357</v>
      </c>
      <c r="W229" s="12">
        <f t="shared" si="94"/>
        <v>0</v>
      </c>
      <c r="X229" s="12">
        <f t="shared" si="95"/>
        <v>4.2105263157894735</v>
      </c>
      <c r="Y229" s="12">
        <f t="shared" si="89"/>
        <v>1.2345679012345678</v>
      </c>
    </row>
    <row r="230" spans="1:25" x14ac:dyDescent="0.3">
      <c r="A230" s="1" t="s">
        <v>267</v>
      </c>
      <c r="B230" s="1" t="s">
        <v>312</v>
      </c>
      <c r="C230" s="1" t="s">
        <v>313</v>
      </c>
      <c r="D230" s="1" t="s">
        <v>314</v>
      </c>
      <c r="E230" s="2">
        <v>51101</v>
      </c>
      <c r="F230" s="16">
        <v>1431</v>
      </c>
      <c r="G230" s="16">
        <v>1424</v>
      </c>
      <c r="H230" s="16">
        <v>945</v>
      </c>
      <c r="I230" s="16">
        <v>205</v>
      </c>
      <c r="J230" s="16">
        <v>227</v>
      </c>
      <c r="K230" s="16">
        <v>91</v>
      </c>
      <c r="L230" s="12">
        <f t="shared" si="91"/>
        <v>14.3256464011181</v>
      </c>
      <c r="M230" s="12">
        <f t="shared" si="92"/>
        <v>15.941011235955054</v>
      </c>
      <c r="N230" s="12">
        <f t="shared" si="90"/>
        <v>9.6296296296296298</v>
      </c>
      <c r="O230" s="12">
        <f t="shared" si="88"/>
        <v>13.298762422234262</v>
      </c>
      <c r="P230" s="16">
        <v>841</v>
      </c>
      <c r="Q230" s="16">
        <v>842</v>
      </c>
      <c r="R230" s="16">
        <v>844</v>
      </c>
      <c r="S230" s="16">
        <v>26</v>
      </c>
      <c r="T230" s="16">
        <v>33</v>
      </c>
      <c r="U230" s="16">
        <v>25</v>
      </c>
      <c r="V230" s="12">
        <f t="shared" si="93"/>
        <v>3.0915576694411415</v>
      </c>
      <c r="W230" s="12">
        <f t="shared" si="94"/>
        <v>3.9192399049881232</v>
      </c>
      <c r="X230" s="12">
        <f t="shared" si="95"/>
        <v>2.9620853080568721</v>
      </c>
      <c r="Y230" s="12">
        <f t="shared" si="89"/>
        <v>3.5053987872146326</v>
      </c>
    </row>
    <row r="231" spans="1:25" x14ac:dyDescent="0.3">
      <c r="A231" s="1" t="s">
        <v>267</v>
      </c>
      <c r="B231" s="1" t="s">
        <v>312</v>
      </c>
      <c r="C231" s="1" t="s">
        <v>315</v>
      </c>
      <c r="D231" s="1" t="s">
        <v>315</v>
      </c>
      <c r="E231" s="2">
        <v>51102</v>
      </c>
      <c r="F231" s="16">
        <v>460</v>
      </c>
      <c r="G231" s="16">
        <v>488</v>
      </c>
      <c r="H231" s="16">
        <v>520</v>
      </c>
      <c r="I231" s="16">
        <v>38</v>
      </c>
      <c r="J231" s="16">
        <v>28</v>
      </c>
      <c r="K231" s="16">
        <v>28</v>
      </c>
      <c r="L231" s="12">
        <f t="shared" si="91"/>
        <v>8.2608695652173907</v>
      </c>
      <c r="M231" s="12">
        <f t="shared" si="92"/>
        <v>5.7377049180327866</v>
      </c>
      <c r="N231" s="12">
        <f t="shared" si="90"/>
        <v>5.384615384615385</v>
      </c>
      <c r="O231" s="12">
        <f t="shared" si="88"/>
        <v>6.4610632892885205</v>
      </c>
      <c r="P231" s="16">
        <v>541</v>
      </c>
      <c r="Q231" s="16">
        <v>558</v>
      </c>
      <c r="R231" s="16">
        <v>567</v>
      </c>
      <c r="S231" s="16">
        <v>22</v>
      </c>
      <c r="T231" s="16">
        <v>23</v>
      </c>
      <c r="U231" s="16">
        <v>21</v>
      </c>
      <c r="V231" s="12">
        <f t="shared" si="93"/>
        <v>4.066543438077634</v>
      </c>
      <c r="W231" s="12">
        <f t="shared" si="94"/>
        <v>4.1218637992831546</v>
      </c>
      <c r="X231" s="12">
        <f t="shared" si="95"/>
        <v>3.7037037037037033</v>
      </c>
      <c r="Y231" s="12">
        <f t="shared" si="89"/>
        <v>4.0942036186803943</v>
      </c>
    </row>
    <row r="232" spans="1:25" x14ac:dyDescent="0.3">
      <c r="A232" s="1" t="s">
        <v>267</v>
      </c>
      <c r="B232" s="1" t="s">
        <v>312</v>
      </c>
      <c r="C232" s="1" t="s">
        <v>316</v>
      </c>
      <c r="D232" s="1" t="s">
        <v>316</v>
      </c>
      <c r="E232" s="2">
        <v>51103</v>
      </c>
      <c r="F232" s="16">
        <v>0</v>
      </c>
      <c r="G232" s="16">
        <v>0</v>
      </c>
      <c r="H232" s="16">
        <v>440</v>
      </c>
      <c r="I232" s="16">
        <v>0</v>
      </c>
      <c r="J232" s="16">
        <v>0</v>
      </c>
      <c r="K232" s="16">
        <v>88</v>
      </c>
      <c r="L232" s="12"/>
      <c r="M232" s="12"/>
      <c r="N232" s="12">
        <f t="shared" si="90"/>
        <v>20</v>
      </c>
      <c r="O232" s="12">
        <f t="shared" si="88"/>
        <v>20</v>
      </c>
      <c r="P232" s="16">
        <v>503</v>
      </c>
      <c r="Q232" s="16">
        <v>481</v>
      </c>
      <c r="R232" s="16">
        <v>509</v>
      </c>
      <c r="S232" s="16">
        <v>26</v>
      </c>
      <c r="T232" s="16">
        <v>27</v>
      </c>
      <c r="U232" s="16">
        <v>22</v>
      </c>
      <c r="V232" s="12">
        <f t="shared" si="93"/>
        <v>5.1689860834990062</v>
      </c>
      <c r="W232" s="12">
        <f t="shared" si="94"/>
        <v>5.6133056133056138</v>
      </c>
      <c r="X232" s="12">
        <f t="shared" si="95"/>
        <v>4.3222003929273081</v>
      </c>
      <c r="Y232" s="12">
        <f t="shared" si="89"/>
        <v>5.39114584840231</v>
      </c>
    </row>
    <row r="233" spans="1:25" x14ac:dyDescent="0.3">
      <c r="A233" s="1" t="s">
        <v>267</v>
      </c>
      <c r="B233" s="1" t="s">
        <v>317</v>
      </c>
      <c r="C233" s="1" t="s">
        <v>318</v>
      </c>
      <c r="D233" s="1" t="s">
        <v>318</v>
      </c>
      <c r="E233" s="2">
        <v>51201</v>
      </c>
      <c r="F233" s="16">
        <v>1705</v>
      </c>
      <c r="G233" s="16">
        <v>1728</v>
      </c>
      <c r="H233" s="16">
        <v>1797</v>
      </c>
      <c r="I233" s="16">
        <v>98</v>
      </c>
      <c r="J233" s="16">
        <v>98</v>
      </c>
      <c r="K233" s="16">
        <v>122</v>
      </c>
      <c r="L233" s="12">
        <f t="shared" ref="L233:L264" si="96">(I233/F233)*100</f>
        <v>5.7478005865102642</v>
      </c>
      <c r="M233" s="12">
        <f t="shared" ref="M233:M264" si="97">(J233/G233)*100</f>
        <v>5.6712962962962967</v>
      </c>
      <c r="N233" s="12">
        <f t="shared" si="90"/>
        <v>6.7890929326655538</v>
      </c>
      <c r="O233" s="12">
        <f t="shared" si="88"/>
        <v>6.0693966051573716</v>
      </c>
      <c r="P233" s="16">
        <v>2014</v>
      </c>
      <c r="Q233" s="16">
        <v>2054</v>
      </c>
      <c r="R233" s="16">
        <v>2152</v>
      </c>
      <c r="S233" s="16">
        <v>44</v>
      </c>
      <c r="T233" s="16">
        <v>42</v>
      </c>
      <c r="U233" s="16">
        <v>41</v>
      </c>
      <c r="V233" s="12">
        <f t="shared" si="93"/>
        <v>2.1847070506454815</v>
      </c>
      <c r="W233" s="12">
        <f t="shared" si="94"/>
        <v>2.044790652385589</v>
      </c>
      <c r="X233" s="12">
        <f t="shared" si="95"/>
        <v>1.9052044609665426</v>
      </c>
      <c r="Y233" s="12">
        <f t="shared" si="89"/>
        <v>2.114748851515535</v>
      </c>
    </row>
    <row r="234" spans="1:25" x14ac:dyDescent="0.3">
      <c r="A234" s="1" t="s">
        <v>267</v>
      </c>
      <c r="B234" s="1" t="s">
        <v>317</v>
      </c>
      <c r="C234" s="1" t="s">
        <v>319</v>
      </c>
      <c r="D234" s="1" t="s">
        <v>319</v>
      </c>
      <c r="E234" s="2">
        <v>51202</v>
      </c>
      <c r="F234" s="16">
        <v>547</v>
      </c>
      <c r="G234" s="16">
        <v>583</v>
      </c>
      <c r="H234" s="16">
        <v>587</v>
      </c>
      <c r="I234" s="16">
        <v>38</v>
      </c>
      <c r="J234" s="16">
        <v>77</v>
      </c>
      <c r="K234" s="16">
        <v>57</v>
      </c>
      <c r="L234" s="12">
        <f t="shared" si="96"/>
        <v>6.9469835466179157</v>
      </c>
      <c r="M234" s="12">
        <f t="shared" si="97"/>
        <v>13.20754716981132</v>
      </c>
      <c r="N234" s="12">
        <f t="shared" si="90"/>
        <v>9.7103918228279387</v>
      </c>
      <c r="O234" s="12">
        <f t="shared" si="88"/>
        <v>9.9549741797523907</v>
      </c>
      <c r="P234" s="16">
        <v>534</v>
      </c>
      <c r="Q234" s="16">
        <v>505</v>
      </c>
      <c r="R234" s="16">
        <v>493</v>
      </c>
      <c r="S234" s="16">
        <v>14</v>
      </c>
      <c r="T234" s="16">
        <v>9</v>
      </c>
      <c r="U234" s="16">
        <v>6</v>
      </c>
      <c r="V234" s="12">
        <f t="shared" si="93"/>
        <v>2.6217228464419478</v>
      </c>
      <c r="W234" s="12">
        <f t="shared" si="94"/>
        <v>1.782178217821782</v>
      </c>
      <c r="X234" s="12">
        <f t="shared" si="95"/>
        <v>1.2170385395537524</v>
      </c>
      <c r="Y234" s="12">
        <f t="shared" si="89"/>
        <v>2.2019505321318649</v>
      </c>
    </row>
    <row r="235" spans="1:25" x14ac:dyDescent="0.3">
      <c r="A235" s="1" t="s">
        <v>267</v>
      </c>
      <c r="B235" s="1" t="s">
        <v>317</v>
      </c>
      <c r="C235" s="1" t="s">
        <v>320</v>
      </c>
      <c r="D235" s="1" t="s">
        <v>320</v>
      </c>
      <c r="E235" s="2">
        <v>51203</v>
      </c>
      <c r="F235" s="16">
        <v>450</v>
      </c>
      <c r="G235" s="16">
        <v>474</v>
      </c>
      <c r="H235" s="16">
        <v>469</v>
      </c>
      <c r="I235" s="16">
        <v>25</v>
      </c>
      <c r="J235" s="16">
        <v>27</v>
      </c>
      <c r="K235" s="16">
        <v>39</v>
      </c>
      <c r="L235" s="12">
        <f t="shared" si="96"/>
        <v>5.5555555555555554</v>
      </c>
      <c r="M235" s="12">
        <f t="shared" si="97"/>
        <v>5.6962025316455698</v>
      </c>
      <c r="N235" s="12">
        <f t="shared" si="90"/>
        <v>8.3155650319829419</v>
      </c>
      <c r="O235" s="12">
        <f t="shared" si="88"/>
        <v>6.5224410397280224</v>
      </c>
      <c r="P235" s="16">
        <v>591</v>
      </c>
      <c r="Q235" s="16">
        <v>589</v>
      </c>
      <c r="R235" s="16">
        <v>601</v>
      </c>
      <c r="S235" s="16">
        <v>7</v>
      </c>
      <c r="T235" s="16">
        <v>6</v>
      </c>
      <c r="U235" s="16">
        <v>11</v>
      </c>
      <c r="V235" s="12">
        <f t="shared" si="93"/>
        <v>1.1844331641285957</v>
      </c>
      <c r="W235" s="12">
        <f t="shared" si="94"/>
        <v>1.0186757215619695</v>
      </c>
      <c r="X235" s="12">
        <f t="shared" si="95"/>
        <v>1.8302828618968388</v>
      </c>
      <c r="Y235" s="12">
        <f t="shared" si="89"/>
        <v>1.1015544428452826</v>
      </c>
    </row>
    <row r="236" spans="1:25" x14ac:dyDescent="0.3">
      <c r="A236" s="1" t="s">
        <v>267</v>
      </c>
      <c r="B236" s="1" t="s">
        <v>319</v>
      </c>
      <c r="C236" s="1" t="s">
        <v>487</v>
      </c>
      <c r="D236" s="1" t="s">
        <v>321</v>
      </c>
      <c r="E236" s="2">
        <v>51204</v>
      </c>
      <c r="F236" s="16">
        <v>547</v>
      </c>
      <c r="G236" s="16">
        <v>583</v>
      </c>
      <c r="H236" s="16">
        <v>587</v>
      </c>
      <c r="I236" s="16">
        <v>38</v>
      </c>
      <c r="J236" s="16">
        <v>77</v>
      </c>
      <c r="K236" s="16">
        <v>57</v>
      </c>
      <c r="L236" s="12">
        <f t="shared" si="96"/>
        <v>6.9469835466179157</v>
      </c>
      <c r="M236" s="12">
        <f t="shared" si="97"/>
        <v>13.20754716981132</v>
      </c>
      <c r="N236" s="12">
        <f t="shared" si="90"/>
        <v>9.7103918228279387</v>
      </c>
      <c r="O236" s="12">
        <f t="shared" si="88"/>
        <v>9.9549741797523907</v>
      </c>
      <c r="P236">
        <v>534</v>
      </c>
      <c r="Q236">
        <v>505</v>
      </c>
      <c r="S236">
        <v>14</v>
      </c>
      <c r="T236">
        <v>9</v>
      </c>
      <c r="V236" s="12">
        <f t="shared" ref="V236:V267" si="98">(S236/P236)*100</f>
        <v>2.6217228464419478</v>
      </c>
      <c r="W236" s="12">
        <f t="shared" ref="W236:W267" si="99">(T236/Q236)*100</f>
        <v>1.782178217821782</v>
      </c>
      <c r="X236" s="12"/>
      <c r="Y236" s="12">
        <f t="shared" si="89"/>
        <v>2.2019505321318649</v>
      </c>
    </row>
    <row r="237" spans="1:25" x14ac:dyDescent="0.3">
      <c r="A237" s="1" t="s">
        <v>267</v>
      </c>
      <c r="B237" s="1" t="s">
        <v>322</v>
      </c>
      <c r="C237" s="1" t="s">
        <v>323</v>
      </c>
      <c r="D237" s="1" t="s">
        <v>323</v>
      </c>
      <c r="E237" s="2">
        <v>51301</v>
      </c>
      <c r="F237" s="16">
        <v>73</v>
      </c>
      <c r="G237" s="16">
        <v>86</v>
      </c>
      <c r="H237" s="16">
        <v>102</v>
      </c>
      <c r="I237" s="16">
        <v>29</v>
      </c>
      <c r="J237" s="16">
        <v>28</v>
      </c>
      <c r="K237" s="16">
        <v>34</v>
      </c>
      <c r="L237" s="12">
        <f t="shared" si="96"/>
        <v>39.726027397260275</v>
      </c>
      <c r="M237" s="12">
        <f t="shared" si="97"/>
        <v>32.558139534883722</v>
      </c>
      <c r="N237" s="12">
        <f t="shared" si="90"/>
        <v>33.333333333333329</v>
      </c>
      <c r="O237" s="12">
        <f t="shared" si="88"/>
        <v>35.205833421825773</v>
      </c>
      <c r="P237" s="16">
        <v>153</v>
      </c>
      <c r="Q237" s="16">
        <v>156</v>
      </c>
      <c r="R237" s="16">
        <v>147</v>
      </c>
      <c r="S237" s="16">
        <v>24</v>
      </c>
      <c r="T237" s="16">
        <v>26</v>
      </c>
      <c r="U237" s="16"/>
      <c r="V237" s="12">
        <f t="shared" si="98"/>
        <v>15.686274509803921</v>
      </c>
      <c r="W237" s="12">
        <f t="shared" si="99"/>
        <v>16.666666666666664</v>
      </c>
      <c r="X237" s="12">
        <f t="shared" ref="X237:X268" si="100">(U237/R237)*100</f>
        <v>0</v>
      </c>
      <c r="Y237" s="12">
        <f t="shared" si="89"/>
        <v>16.176470588235293</v>
      </c>
    </row>
    <row r="238" spans="1:25" x14ac:dyDescent="0.3">
      <c r="A238" s="1" t="s">
        <v>267</v>
      </c>
      <c r="B238" s="1" t="s">
        <v>322</v>
      </c>
      <c r="C238" s="1" t="s">
        <v>324</v>
      </c>
      <c r="D238" s="1" t="s">
        <v>324</v>
      </c>
      <c r="E238" s="2">
        <v>51302</v>
      </c>
      <c r="F238" s="16">
        <v>175</v>
      </c>
      <c r="G238" s="16">
        <v>184</v>
      </c>
      <c r="H238" s="16">
        <v>184</v>
      </c>
      <c r="I238" s="16">
        <v>24</v>
      </c>
      <c r="J238" s="16">
        <v>12</v>
      </c>
      <c r="K238" s="16">
        <v>22</v>
      </c>
      <c r="L238" s="12">
        <f t="shared" si="96"/>
        <v>13.714285714285715</v>
      </c>
      <c r="M238" s="12">
        <f t="shared" si="97"/>
        <v>6.5217391304347823</v>
      </c>
      <c r="N238" s="12">
        <f t="shared" si="90"/>
        <v>11.956521739130435</v>
      </c>
      <c r="O238" s="12">
        <f t="shared" si="88"/>
        <v>10.730848861283645</v>
      </c>
      <c r="P238" s="16">
        <v>249</v>
      </c>
      <c r="Q238" s="16">
        <v>247</v>
      </c>
      <c r="R238" s="16">
        <v>228</v>
      </c>
      <c r="S238" s="16">
        <v>15</v>
      </c>
      <c r="T238" s="16">
        <v>16</v>
      </c>
      <c r="U238" s="16">
        <v>17</v>
      </c>
      <c r="V238" s="12">
        <f t="shared" si="98"/>
        <v>6.024096385542169</v>
      </c>
      <c r="W238" s="12">
        <f t="shared" si="99"/>
        <v>6.4777327935222671</v>
      </c>
      <c r="X238" s="12">
        <f t="shared" si="100"/>
        <v>7.4561403508771926</v>
      </c>
      <c r="Y238" s="12">
        <f t="shared" si="89"/>
        <v>6.2509145895322185</v>
      </c>
    </row>
    <row r="239" spans="1:25" x14ac:dyDescent="0.3">
      <c r="A239" s="1" t="s">
        <v>267</v>
      </c>
      <c r="B239" s="1" t="s">
        <v>325</v>
      </c>
      <c r="C239" s="1" t="s">
        <v>326</v>
      </c>
      <c r="D239" s="1" t="s">
        <v>326</v>
      </c>
      <c r="E239" s="2">
        <v>51401</v>
      </c>
      <c r="F239" s="16">
        <v>130</v>
      </c>
      <c r="G239" s="16">
        <v>126</v>
      </c>
      <c r="H239" s="16">
        <v>127</v>
      </c>
      <c r="I239" s="16">
        <v>13</v>
      </c>
      <c r="J239" s="16">
        <v>8</v>
      </c>
      <c r="K239" s="16">
        <v>14</v>
      </c>
      <c r="L239" s="12">
        <f t="shared" si="96"/>
        <v>10</v>
      </c>
      <c r="M239" s="12">
        <f t="shared" si="97"/>
        <v>6.3492063492063489</v>
      </c>
      <c r="N239" s="12">
        <f t="shared" si="90"/>
        <v>11.023622047244094</v>
      </c>
      <c r="O239" s="12">
        <f t="shared" si="88"/>
        <v>9.1242761321501487</v>
      </c>
      <c r="P239" s="16">
        <v>163</v>
      </c>
      <c r="Q239" s="16">
        <v>171</v>
      </c>
      <c r="R239" s="16">
        <v>171</v>
      </c>
      <c r="S239" s="16">
        <v>6</v>
      </c>
      <c r="T239" s="16">
        <v>7</v>
      </c>
      <c r="U239" s="16">
        <v>11</v>
      </c>
      <c r="V239" s="12">
        <f t="shared" si="98"/>
        <v>3.6809815950920246</v>
      </c>
      <c r="W239" s="12">
        <f t="shared" si="99"/>
        <v>4.0935672514619883</v>
      </c>
      <c r="X239" s="12">
        <f t="shared" si="100"/>
        <v>6.4327485380116958</v>
      </c>
      <c r="Y239" s="12">
        <f t="shared" si="89"/>
        <v>3.8872744232770065</v>
      </c>
    </row>
    <row r="240" spans="1:25" x14ac:dyDescent="0.3">
      <c r="A240" s="1" t="s">
        <v>267</v>
      </c>
      <c r="B240" s="1" t="s">
        <v>325</v>
      </c>
      <c r="C240" s="1" t="s">
        <v>327</v>
      </c>
      <c r="D240" s="1" t="s">
        <v>327</v>
      </c>
      <c r="E240" s="2">
        <v>51402</v>
      </c>
      <c r="F240" s="16">
        <v>36</v>
      </c>
      <c r="G240" s="16">
        <v>44</v>
      </c>
      <c r="H240" s="16">
        <v>52</v>
      </c>
      <c r="I240" s="16">
        <v>3</v>
      </c>
      <c r="J240" s="16">
        <v>6</v>
      </c>
      <c r="K240" s="16">
        <v>5</v>
      </c>
      <c r="L240" s="12">
        <f t="shared" si="96"/>
        <v>8.3333333333333321</v>
      </c>
      <c r="M240" s="12">
        <f t="shared" si="97"/>
        <v>13.636363636363635</v>
      </c>
      <c r="N240" s="12">
        <f t="shared" ref="N240:N271" si="101">(K240/H240)*100</f>
        <v>9.6153846153846168</v>
      </c>
      <c r="O240" s="12">
        <f t="shared" si="88"/>
        <v>10.528360528360528</v>
      </c>
      <c r="P240" s="16">
        <v>37</v>
      </c>
      <c r="Q240" s="16">
        <v>44</v>
      </c>
      <c r="R240" s="16">
        <v>44</v>
      </c>
      <c r="S240" s="16">
        <v>0</v>
      </c>
      <c r="T240" s="16">
        <v>0</v>
      </c>
      <c r="U240" s="16">
        <v>1</v>
      </c>
      <c r="V240" s="12">
        <f t="shared" si="98"/>
        <v>0</v>
      </c>
      <c r="W240" s="12">
        <f t="shared" si="99"/>
        <v>0</v>
      </c>
      <c r="X240" s="12">
        <f t="shared" si="100"/>
        <v>2.2727272727272729</v>
      </c>
      <c r="Y240" s="12">
        <f t="shared" si="89"/>
        <v>0</v>
      </c>
    </row>
    <row r="241" spans="1:25" x14ac:dyDescent="0.3">
      <c r="A241" s="1" t="s">
        <v>267</v>
      </c>
      <c r="B241" s="1" t="s">
        <v>328</v>
      </c>
      <c r="C241" s="1" t="s">
        <v>329</v>
      </c>
      <c r="D241" s="1" t="s">
        <v>329</v>
      </c>
      <c r="E241" s="2">
        <v>51501</v>
      </c>
      <c r="F241" s="16">
        <v>2574</v>
      </c>
      <c r="G241" s="16">
        <v>2584</v>
      </c>
      <c r="H241" s="16">
        <v>2538</v>
      </c>
      <c r="I241" s="16">
        <v>185</v>
      </c>
      <c r="J241" s="16">
        <v>200</v>
      </c>
      <c r="K241" s="16">
        <v>164</v>
      </c>
      <c r="L241" s="12">
        <f t="shared" si="96"/>
        <v>7.1872571872571873</v>
      </c>
      <c r="M241" s="12">
        <f t="shared" si="97"/>
        <v>7.7399380804953566</v>
      </c>
      <c r="N241" s="12">
        <f t="shared" si="101"/>
        <v>6.4617809298660358</v>
      </c>
      <c r="O241" s="12">
        <f t="shared" si="88"/>
        <v>7.1296587325395278</v>
      </c>
      <c r="P241" s="16">
        <v>2344</v>
      </c>
      <c r="Q241" s="16">
        <v>2424</v>
      </c>
      <c r="R241" s="16">
        <v>2480</v>
      </c>
      <c r="S241" s="16">
        <v>77</v>
      </c>
      <c r="T241" s="16">
        <v>66</v>
      </c>
      <c r="U241" s="16">
        <v>58</v>
      </c>
      <c r="V241" s="12">
        <f t="shared" si="98"/>
        <v>3.2849829351535837</v>
      </c>
      <c r="W241" s="12">
        <f t="shared" si="99"/>
        <v>2.722772277227723</v>
      </c>
      <c r="X241" s="12">
        <f t="shared" si="100"/>
        <v>2.338709677419355</v>
      </c>
      <c r="Y241" s="12">
        <f t="shared" si="89"/>
        <v>3.0038776061906534</v>
      </c>
    </row>
    <row r="242" spans="1:25" x14ac:dyDescent="0.3">
      <c r="A242" s="1" t="s">
        <v>267</v>
      </c>
      <c r="B242" s="1" t="s">
        <v>330</v>
      </c>
      <c r="C242" s="1" t="s">
        <v>331</v>
      </c>
      <c r="D242" s="1" t="s">
        <v>331</v>
      </c>
      <c r="E242" s="2">
        <v>51601</v>
      </c>
      <c r="F242" s="16">
        <v>77</v>
      </c>
      <c r="G242" s="16">
        <v>78</v>
      </c>
      <c r="H242" s="16">
        <v>69</v>
      </c>
      <c r="I242" s="16">
        <v>7</v>
      </c>
      <c r="J242" s="16">
        <v>4</v>
      </c>
      <c r="K242" s="16">
        <v>1</v>
      </c>
      <c r="L242" s="12">
        <f t="shared" si="96"/>
        <v>9.0909090909090917</v>
      </c>
      <c r="M242" s="12">
        <f t="shared" si="97"/>
        <v>5.1282051282051277</v>
      </c>
      <c r="N242" s="12">
        <f t="shared" si="101"/>
        <v>1.4492753623188406</v>
      </c>
      <c r="O242" s="12">
        <f t="shared" si="88"/>
        <v>5.2227965271443528</v>
      </c>
      <c r="P242" s="16">
        <v>89</v>
      </c>
      <c r="Q242" s="16">
        <v>85</v>
      </c>
      <c r="R242" s="16">
        <v>84</v>
      </c>
      <c r="S242" s="16">
        <v>2</v>
      </c>
      <c r="T242" s="16">
        <v>2</v>
      </c>
      <c r="U242" s="16"/>
      <c r="V242" s="12">
        <f t="shared" si="98"/>
        <v>2.2471910112359552</v>
      </c>
      <c r="W242" s="12">
        <f t="shared" si="99"/>
        <v>2.3529411764705883</v>
      </c>
      <c r="X242" s="12">
        <f t="shared" si="100"/>
        <v>0</v>
      </c>
      <c r="Y242" s="12">
        <f t="shared" si="89"/>
        <v>2.300066093853272</v>
      </c>
    </row>
    <row r="243" spans="1:25" x14ac:dyDescent="0.3">
      <c r="A243" s="1" t="s">
        <v>332</v>
      </c>
      <c r="B243" s="1" t="s">
        <v>158</v>
      </c>
      <c r="C243" s="1" t="s">
        <v>332</v>
      </c>
      <c r="D243" s="1" t="s">
        <v>332</v>
      </c>
      <c r="E243" s="2">
        <v>60101</v>
      </c>
      <c r="F243" s="16">
        <v>11382</v>
      </c>
      <c r="G243" s="16">
        <v>11539</v>
      </c>
      <c r="H243" s="16">
        <v>11594</v>
      </c>
      <c r="I243" s="16">
        <v>493</v>
      </c>
      <c r="J243" s="16">
        <v>498</v>
      </c>
      <c r="K243" s="16">
        <v>428</v>
      </c>
      <c r="L243" s="12">
        <f t="shared" si="96"/>
        <v>4.3314004568617115</v>
      </c>
      <c r="M243" s="12">
        <f t="shared" si="97"/>
        <v>4.315798596065517</v>
      </c>
      <c r="N243" s="12">
        <f t="shared" si="101"/>
        <v>3.691564602380542</v>
      </c>
      <c r="O243" s="12">
        <f t="shared" si="88"/>
        <v>4.1129212184359227</v>
      </c>
      <c r="P243" s="16">
        <v>12349</v>
      </c>
      <c r="Q243" s="16">
        <v>12632</v>
      </c>
      <c r="R243" s="16">
        <v>13029</v>
      </c>
      <c r="S243" s="16">
        <v>197</v>
      </c>
      <c r="T243" s="16">
        <v>138</v>
      </c>
      <c r="U243" s="16">
        <v>204</v>
      </c>
      <c r="V243" s="12">
        <f t="shared" si="98"/>
        <v>1.5952708721353954</v>
      </c>
      <c r="W243" s="12">
        <f t="shared" si="99"/>
        <v>1.0924635845471817</v>
      </c>
      <c r="X243" s="12">
        <f t="shared" si="100"/>
        <v>1.5657379691457518</v>
      </c>
      <c r="Y243" s="12">
        <f t="shared" si="89"/>
        <v>1.3438672283412885</v>
      </c>
    </row>
    <row r="244" spans="1:25" x14ac:dyDescent="0.3">
      <c r="A244" s="1" t="s">
        <v>332</v>
      </c>
      <c r="B244" s="1" t="s">
        <v>333</v>
      </c>
      <c r="C244" s="1" t="s">
        <v>334</v>
      </c>
      <c r="D244" s="1" t="s">
        <v>334</v>
      </c>
      <c r="E244" s="2">
        <v>60201</v>
      </c>
      <c r="F244" s="16">
        <v>759</v>
      </c>
      <c r="G244" s="16">
        <v>788</v>
      </c>
      <c r="H244" s="16">
        <v>780</v>
      </c>
      <c r="I244" s="16">
        <v>47</v>
      </c>
      <c r="J244" s="16">
        <v>57</v>
      </c>
      <c r="K244" s="16">
        <v>39</v>
      </c>
      <c r="L244" s="12">
        <f t="shared" si="96"/>
        <v>6.1923583662714092</v>
      </c>
      <c r="M244" s="12">
        <f t="shared" si="97"/>
        <v>7.2335025380710656</v>
      </c>
      <c r="N244" s="12">
        <f t="shared" si="101"/>
        <v>5</v>
      </c>
      <c r="O244" s="12">
        <f t="shared" si="88"/>
        <v>6.1419536347808252</v>
      </c>
      <c r="P244" s="16">
        <v>662</v>
      </c>
      <c r="Q244" s="16">
        <v>708</v>
      </c>
      <c r="R244" s="16">
        <v>717</v>
      </c>
      <c r="S244" s="16">
        <v>10</v>
      </c>
      <c r="T244" s="16">
        <v>11</v>
      </c>
      <c r="U244" s="16">
        <v>10</v>
      </c>
      <c r="V244" s="12">
        <f t="shared" si="98"/>
        <v>1.5105740181268883</v>
      </c>
      <c r="W244" s="12">
        <f t="shared" si="99"/>
        <v>1.5536723163841808</v>
      </c>
      <c r="X244" s="12">
        <f t="shared" si="100"/>
        <v>1.394700139470014</v>
      </c>
      <c r="Y244" s="12">
        <f t="shared" si="89"/>
        <v>1.5321231672555347</v>
      </c>
    </row>
    <row r="245" spans="1:25" x14ac:dyDescent="0.3">
      <c r="A245" s="1" t="s">
        <v>332</v>
      </c>
      <c r="B245" s="1" t="s">
        <v>333</v>
      </c>
      <c r="C245" s="1" t="s">
        <v>335</v>
      </c>
      <c r="D245" s="1" t="s">
        <v>335</v>
      </c>
      <c r="E245" s="2">
        <v>60202</v>
      </c>
      <c r="F245" s="16">
        <v>1968</v>
      </c>
      <c r="G245" s="16">
        <v>2008</v>
      </c>
      <c r="H245" s="16">
        <v>1997</v>
      </c>
      <c r="I245" s="16">
        <v>87</v>
      </c>
      <c r="J245" s="16">
        <v>125</v>
      </c>
      <c r="K245" s="16">
        <v>90</v>
      </c>
      <c r="L245" s="12">
        <f t="shared" si="96"/>
        <v>4.4207317073170733</v>
      </c>
      <c r="M245" s="12">
        <f t="shared" si="97"/>
        <v>6.2250996015936257</v>
      </c>
      <c r="N245" s="12">
        <f t="shared" si="101"/>
        <v>4.5067601402103152</v>
      </c>
      <c r="O245" s="12">
        <f t="shared" si="88"/>
        <v>5.0508638163736714</v>
      </c>
      <c r="P245" s="16">
        <v>1861</v>
      </c>
      <c r="Q245" s="16">
        <v>1863</v>
      </c>
      <c r="R245" s="16">
        <v>1915</v>
      </c>
      <c r="S245" s="16">
        <v>60</v>
      </c>
      <c r="T245" s="16">
        <v>40</v>
      </c>
      <c r="U245" s="16">
        <v>49</v>
      </c>
      <c r="V245" s="12">
        <f t="shared" si="98"/>
        <v>3.2240730789897905</v>
      </c>
      <c r="W245" s="12">
        <f t="shared" si="99"/>
        <v>2.147074610842727</v>
      </c>
      <c r="X245" s="12">
        <f t="shared" si="100"/>
        <v>2.5587467362924285</v>
      </c>
      <c r="Y245" s="12">
        <f t="shared" si="89"/>
        <v>2.6855738449162585</v>
      </c>
    </row>
    <row r="246" spans="1:25" x14ac:dyDescent="0.3">
      <c r="A246" s="1" t="s">
        <v>332</v>
      </c>
      <c r="B246" s="1" t="s">
        <v>336</v>
      </c>
      <c r="C246" s="1" t="s">
        <v>337</v>
      </c>
      <c r="D246" s="1" t="s">
        <v>337</v>
      </c>
      <c r="E246" s="2">
        <v>60301</v>
      </c>
      <c r="F246" s="16">
        <v>5635</v>
      </c>
      <c r="G246" s="16">
        <v>5581</v>
      </c>
      <c r="H246" s="16">
        <v>5601</v>
      </c>
      <c r="I246" s="16">
        <v>333</v>
      </c>
      <c r="J246" s="16">
        <v>353</v>
      </c>
      <c r="K246" s="16">
        <v>285</v>
      </c>
      <c r="L246" s="12">
        <f t="shared" si="96"/>
        <v>5.9094942324755992</v>
      </c>
      <c r="M246" s="12">
        <f t="shared" si="97"/>
        <v>6.3250313563877452</v>
      </c>
      <c r="N246" s="12">
        <f t="shared" si="101"/>
        <v>5.088377075522228</v>
      </c>
      <c r="O246" s="12">
        <f t="shared" si="88"/>
        <v>5.7743008881285247</v>
      </c>
      <c r="P246" s="16">
        <v>5112</v>
      </c>
      <c r="Q246" s="16">
        <v>5282</v>
      </c>
      <c r="R246" s="16">
        <v>5307</v>
      </c>
      <c r="S246" s="16">
        <v>89</v>
      </c>
      <c r="T246" s="16">
        <v>76</v>
      </c>
      <c r="U246" s="16">
        <v>89</v>
      </c>
      <c r="V246" s="12">
        <f t="shared" si="98"/>
        <v>1.7410015649452271</v>
      </c>
      <c r="W246" s="12">
        <f t="shared" si="99"/>
        <v>1.4388489208633095</v>
      </c>
      <c r="X246" s="12">
        <f t="shared" si="100"/>
        <v>1.6770303372903712</v>
      </c>
      <c r="Y246" s="12">
        <f t="shared" si="89"/>
        <v>1.5899252429042683</v>
      </c>
    </row>
    <row r="247" spans="1:25" x14ac:dyDescent="0.3">
      <c r="A247" s="1" t="s">
        <v>332</v>
      </c>
      <c r="B247" s="1" t="s">
        <v>336</v>
      </c>
      <c r="C247" s="1" t="s">
        <v>338</v>
      </c>
      <c r="D247" s="1" t="s">
        <v>338</v>
      </c>
      <c r="E247" s="2">
        <v>60302</v>
      </c>
      <c r="F247" s="16">
        <v>675</v>
      </c>
      <c r="G247" s="16">
        <v>750</v>
      </c>
      <c r="H247" s="16">
        <v>765</v>
      </c>
      <c r="I247" s="16">
        <v>43</v>
      </c>
      <c r="J247" s="16">
        <v>45</v>
      </c>
      <c r="K247" s="16">
        <v>34</v>
      </c>
      <c r="L247" s="12">
        <f t="shared" si="96"/>
        <v>6.3703703703703702</v>
      </c>
      <c r="M247" s="12">
        <f t="shared" si="97"/>
        <v>6</v>
      </c>
      <c r="N247" s="12">
        <f t="shared" si="101"/>
        <v>4.4444444444444446</v>
      </c>
      <c r="O247" s="12">
        <f t="shared" si="88"/>
        <v>5.6049382716049392</v>
      </c>
      <c r="P247" s="16">
        <v>831</v>
      </c>
      <c r="Q247" s="16">
        <v>843</v>
      </c>
      <c r="R247" s="16">
        <v>840</v>
      </c>
      <c r="S247" s="16">
        <v>15</v>
      </c>
      <c r="T247" s="16">
        <v>16</v>
      </c>
      <c r="U247" s="16">
        <v>12</v>
      </c>
      <c r="V247" s="12">
        <f t="shared" si="98"/>
        <v>1.8050541516245486</v>
      </c>
      <c r="W247" s="12">
        <f t="shared" si="99"/>
        <v>1.8979833926453145</v>
      </c>
      <c r="X247" s="12">
        <f t="shared" si="100"/>
        <v>1.4285714285714286</v>
      </c>
      <c r="Y247" s="12">
        <f t="shared" si="89"/>
        <v>1.8515187721349315</v>
      </c>
    </row>
    <row r="248" spans="1:25" x14ac:dyDescent="0.3">
      <c r="A248" s="1" t="s">
        <v>332</v>
      </c>
      <c r="B248" s="1" t="s">
        <v>336</v>
      </c>
      <c r="C248" s="1" t="s">
        <v>339</v>
      </c>
      <c r="D248" s="1" t="s">
        <v>339</v>
      </c>
      <c r="E248" s="2">
        <v>60303</v>
      </c>
      <c r="F248" s="16">
        <v>2258</v>
      </c>
      <c r="G248" s="16">
        <v>2378</v>
      </c>
      <c r="H248" s="16">
        <v>2378</v>
      </c>
      <c r="I248" s="16">
        <v>141</v>
      </c>
      <c r="J248" s="16">
        <v>170</v>
      </c>
      <c r="K248" s="16">
        <v>178</v>
      </c>
      <c r="L248" s="12">
        <f t="shared" si="96"/>
        <v>6.2444641275465012</v>
      </c>
      <c r="M248" s="12">
        <f t="shared" si="97"/>
        <v>7.1488645920941964</v>
      </c>
      <c r="N248" s="12">
        <f t="shared" si="101"/>
        <v>7.485281749369217</v>
      </c>
      <c r="O248" s="12">
        <f t="shared" si="88"/>
        <v>6.9595368230033046</v>
      </c>
      <c r="P248" s="16">
        <v>2610</v>
      </c>
      <c r="Q248" s="16">
        <v>2679</v>
      </c>
      <c r="R248" s="16">
        <v>2731</v>
      </c>
      <c r="S248" s="16">
        <v>86</v>
      </c>
      <c r="T248" s="16">
        <v>65</v>
      </c>
      <c r="U248" s="16">
        <v>47</v>
      </c>
      <c r="V248" s="12">
        <f t="shared" si="98"/>
        <v>3.2950191570881229</v>
      </c>
      <c r="W248" s="12">
        <f t="shared" si="99"/>
        <v>2.4262784621127289</v>
      </c>
      <c r="X248" s="12">
        <f t="shared" si="100"/>
        <v>1.720981325521787</v>
      </c>
      <c r="Y248" s="12">
        <f t="shared" si="89"/>
        <v>2.8606488096004261</v>
      </c>
    </row>
    <row r="249" spans="1:25" x14ac:dyDescent="0.3">
      <c r="A249" s="1" t="s">
        <v>332</v>
      </c>
      <c r="B249" s="1" t="s">
        <v>340</v>
      </c>
      <c r="C249" s="1" t="s">
        <v>341</v>
      </c>
      <c r="D249" s="1" t="s">
        <v>342</v>
      </c>
      <c r="E249" s="2">
        <v>60401</v>
      </c>
      <c r="F249" s="16">
        <v>659</v>
      </c>
      <c r="G249" s="16">
        <v>694</v>
      </c>
      <c r="H249" s="16">
        <v>720</v>
      </c>
      <c r="I249" s="16">
        <v>59</v>
      </c>
      <c r="J249" s="16">
        <v>76</v>
      </c>
      <c r="K249" s="16">
        <v>65</v>
      </c>
      <c r="L249" s="12">
        <f t="shared" si="96"/>
        <v>8.9529590288315628</v>
      </c>
      <c r="M249" s="12">
        <f t="shared" si="97"/>
        <v>10.951008645533141</v>
      </c>
      <c r="N249" s="12">
        <f t="shared" si="101"/>
        <v>9.0277777777777768</v>
      </c>
      <c r="O249" s="12">
        <f t="shared" si="88"/>
        <v>9.6439151507141592</v>
      </c>
      <c r="P249" s="16">
        <v>705</v>
      </c>
      <c r="Q249" s="16">
        <v>689</v>
      </c>
      <c r="R249" s="16">
        <v>672</v>
      </c>
      <c r="S249" s="16">
        <v>12</v>
      </c>
      <c r="T249" s="16">
        <v>8</v>
      </c>
      <c r="U249" s="16">
        <v>7</v>
      </c>
      <c r="V249" s="12">
        <f t="shared" si="98"/>
        <v>1.7021276595744681</v>
      </c>
      <c r="W249" s="12">
        <f t="shared" si="99"/>
        <v>1.1611030478955007</v>
      </c>
      <c r="X249" s="12">
        <f t="shared" si="100"/>
        <v>1.0416666666666665</v>
      </c>
      <c r="Y249" s="12">
        <f t="shared" si="89"/>
        <v>1.4316153537349843</v>
      </c>
    </row>
    <row r="250" spans="1:25" x14ac:dyDescent="0.3">
      <c r="A250" s="1" t="s">
        <v>332</v>
      </c>
      <c r="B250" s="1" t="s">
        <v>340</v>
      </c>
      <c r="C250" s="1" t="s">
        <v>343</v>
      </c>
      <c r="D250" s="1" t="s">
        <v>343</v>
      </c>
      <c r="E250" s="2">
        <v>60402</v>
      </c>
      <c r="F250" s="16">
        <v>129</v>
      </c>
      <c r="G250" s="16">
        <v>143</v>
      </c>
      <c r="H250" s="16">
        <v>168</v>
      </c>
      <c r="I250" s="16">
        <v>11</v>
      </c>
      <c r="J250" s="16">
        <v>6</v>
      </c>
      <c r="K250" s="16">
        <v>8</v>
      </c>
      <c r="L250" s="12">
        <f t="shared" si="96"/>
        <v>8.5271317829457356</v>
      </c>
      <c r="M250" s="12">
        <f t="shared" si="97"/>
        <v>4.1958041958041958</v>
      </c>
      <c r="N250" s="12">
        <f t="shared" si="101"/>
        <v>4.7619047619047619</v>
      </c>
      <c r="O250" s="12">
        <f t="shared" si="88"/>
        <v>5.8282802468848978</v>
      </c>
      <c r="P250" s="16">
        <v>147</v>
      </c>
      <c r="Q250" s="16">
        <v>144</v>
      </c>
      <c r="R250" s="16">
        <v>143</v>
      </c>
      <c r="S250" s="16">
        <v>7</v>
      </c>
      <c r="T250" s="16">
        <v>3</v>
      </c>
      <c r="U250" s="16">
        <v>5</v>
      </c>
      <c r="V250" s="12">
        <f t="shared" si="98"/>
        <v>4.7619047619047619</v>
      </c>
      <c r="W250" s="12">
        <f t="shared" si="99"/>
        <v>2.083333333333333</v>
      </c>
      <c r="X250" s="12">
        <f t="shared" si="100"/>
        <v>3.4965034965034967</v>
      </c>
      <c r="Y250" s="12">
        <f t="shared" si="89"/>
        <v>3.4226190476190474</v>
      </c>
    </row>
    <row r="251" spans="1:25" x14ac:dyDescent="0.3">
      <c r="A251" s="1" t="s">
        <v>332</v>
      </c>
      <c r="B251" s="1" t="s">
        <v>344</v>
      </c>
      <c r="C251" s="1" t="s">
        <v>345</v>
      </c>
      <c r="D251" s="1" t="s">
        <v>346</v>
      </c>
      <c r="E251" s="2">
        <v>60501</v>
      </c>
      <c r="F251" s="16">
        <v>902</v>
      </c>
      <c r="G251" s="16">
        <v>890</v>
      </c>
      <c r="H251" s="16">
        <v>865</v>
      </c>
      <c r="I251" s="16">
        <v>95</v>
      </c>
      <c r="J251" s="16">
        <v>122</v>
      </c>
      <c r="K251" s="16">
        <v>86</v>
      </c>
      <c r="L251" s="12">
        <f t="shared" si="96"/>
        <v>10.532150776053214</v>
      </c>
      <c r="M251" s="12">
        <f t="shared" si="97"/>
        <v>13.707865168539326</v>
      </c>
      <c r="N251" s="12">
        <f t="shared" si="101"/>
        <v>9.9421965317919074</v>
      </c>
      <c r="O251" s="12">
        <f t="shared" si="88"/>
        <v>11.394070825461483</v>
      </c>
      <c r="P251" s="16">
        <v>969</v>
      </c>
      <c r="Q251" s="16">
        <v>993</v>
      </c>
      <c r="R251" s="16">
        <v>1033</v>
      </c>
      <c r="S251" s="16">
        <v>30</v>
      </c>
      <c r="T251" s="16">
        <v>23</v>
      </c>
      <c r="U251" s="16">
        <v>24</v>
      </c>
      <c r="V251" s="12">
        <f t="shared" si="98"/>
        <v>3.0959752321981426</v>
      </c>
      <c r="W251" s="12">
        <f t="shared" si="99"/>
        <v>2.3162134944612287</v>
      </c>
      <c r="X251" s="12">
        <f t="shared" si="100"/>
        <v>2.3233301064859635</v>
      </c>
      <c r="Y251" s="12">
        <f t="shared" si="89"/>
        <v>2.7060943633296857</v>
      </c>
    </row>
    <row r="252" spans="1:25" x14ac:dyDescent="0.3">
      <c r="A252" s="1" t="s">
        <v>332</v>
      </c>
      <c r="B252" s="1" t="s">
        <v>344</v>
      </c>
      <c r="C252" s="1" t="s">
        <v>347</v>
      </c>
      <c r="D252" s="1" t="s">
        <v>347</v>
      </c>
      <c r="E252" s="2">
        <v>60502</v>
      </c>
      <c r="F252" s="16">
        <v>475</v>
      </c>
      <c r="G252" s="16">
        <v>490</v>
      </c>
      <c r="H252" s="16">
        <v>467</v>
      </c>
      <c r="I252" s="16">
        <v>70</v>
      </c>
      <c r="J252" s="16">
        <v>61</v>
      </c>
      <c r="K252" s="16">
        <v>24</v>
      </c>
      <c r="L252" s="12">
        <f t="shared" si="96"/>
        <v>14.736842105263156</v>
      </c>
      <c r="M252" s="12">
        <f t="shared" si="97"/>
        <v>12.448979591836734</v>
      </c>
      <c r="N252" s="12">
        <f t="shared" si="101"/>
        <v>5.1391862955032117</v>
      </c>
      <c r="O252" s="12">
        <f t="shared" si="88"/>
        <v>10.775002664201034</v>
      </c>
      <c r="P252" s="16">
        <v>422</v>
      </c>
      <c r="Q252" s="16">
        <v>422</v>
      </c>
      <c r="R252" s="16">
        <v>405</v>
      </c>
      <c r="S252" s="16">
        <v>14</v>
      </c>
      <c r="T252" s="16">
        <v>12</v>
      </c>
      <c r="U252" s="16">
        <v>5</v>
      </c>
      <c r="V252" s="12">
        <f t="shared" si="98"/>
        <v>3.3175355450236967</v>
      </c>
      <c r="W252" s="12">
        <f t="shared" si="99"/>
        <v>2.8436018957345972</v>
      </c>
      <c r="X252" s="12">
        <f t="shared" si="100"/>
        <v>1.2345679012345678</v>
      </c>
      <c r="Y252" s="12">
        <f t="shared" si="89"/>
        <v>3.080568720379147</v>
      </c>
    </row>
    <row r="253" spans="1:25" x14ac:dyDescent="0.3">
      <c r="A253" s="1" t="s">
        <v>332</v>
      </c>
      <c r="B253" s="1" t="s">
        <v>348</v>
      </c>
      <c r="C253" s="1" t="s">
        <v>201</v>
      </c>
      <c r="D253" s="1" t="s">
        <v>201</v>
      </c>
      <c r="E253" s="2">
        <v>60601</v>
      </c>
      <c r="F253" s="16">
        <v>945</v>
      </c>
      <c r="G253" s="16">
        <v>949</v>
      </c>
      <c r="H253" s="16">
        <v>947</v>
      </c>
      <c r="I253" s="16">
        <v>93</v>
      </c>
      <c r="J253" s="16">
        <v>101</v>
      </c>
      <c r="K253" s="16">
        <v>86</v>
      </c>
      <c r="L253" s="12">
        <f t="shared" si="96"/>
        <v>9.8412698412698418</v>
      </c>
      <c r="M253" s="12">
        <f t="shared" si="97"/>
        <v>10.642781875658589</v>
      </c>
      <c r="N253" s="12">
        <f t="shared" si="101"/>
        <v>9.0813093980992612</v>
      </c>
      <c r="O253" s="12">
        <f t="shared" si="88"/>
        <v>9.8551203716758966</v>
      </c>
      <c r="P253" s="16">
        <v>1064</v>
      </c>
      <c r="Q253" s="16">
        <v>1049</v>
      </c>
      <c r="R253" s="16">
        <v>1078</v>
      </c>
      <c r="S253" s="16">
        <v>31</v>
      </c>
      <c r="T253" s="16">
        <v>20</v>
      </c>
      <c r="U253" s="16">
        <v>18</v>
      </c>
      <c r="V253" s="12">
        <f t="shared" si="98"/>
        <v>2.9135338345864659</v>
      </c>
      <c r="W253" s="12">
        <f t="shared" si="99"/>
        <v>1.9065776930409915</v>
      </c>
      <c r="X253" s="12">
        <f t="shared" si="100"/>
        <v>1.6697588126159555</v>
      </c>
      <c r="Y253" s="12">
        <f t="shared" si="89"/>
        <v>2.4100557638137285</v>
      </c>
    </row>
    <row r="254" spans="1:25" x14ac:dyDescent="0.3">
      <c r="A254" s="1" t="s">
        <v>349</v>
      </c>
      <c r="B254" s="1" t="s">
        <v>350</v>
      </c>
      <c r="C254" s="1" t="s">
        <v>351</v>
      </c>
      <c r="D254" s="1" t="s">
        <v>351</v>
      </c>
      <c r="E254" s="2">
        <v>70101</v>
      </c>
      <c r="F254" s="16">
        <v>79300</v>
      </c>
      <c r="G254" s="16">
        <v>80401</v>
      </c>
      <c r="H254" s="16">
        <v>80832</v>
      </c>
      <c r="I254" s="16">
        <v>3741</v>
      </c>
      <c r="J254" s="16">
        <v>4494</v>
      </c>
      <c r="K254" s="16">
        <v>4767</v>
      </c>
      <c r="L254" s="12">
        <f t="shared" si="96"/>
        <v>4.7175283732660782</v>
      </c>
      <c r="M254" s="12">
        <f t="shared" si="97"/>
        <v>5.5894827178766437</v>
      </c>
      <c r="N254" s="12">
        <f t="shared" si="101"/>
        <v>5.8974168646080756</v>
      </c>
      <c r="O254" s="12">
        <f t="shared" si="88"/>
        <v>5.4014759852502658</v>
      </c>
      <c r="P254" s="16">
        <v>84370</v>
      </c>
      <c r="Q254" s="16">
        <v>86336</v>
      </c>
      <c r="R254" s="16">
        <v>88365</v>
      </c>
      <c r="S254" s="16">
        <v>1391</v>
      </c>
      <c r="T254" s="16">
        <v>1140</v>
      </c>
      <c r="U254" s="16">
        <v>1565</v>
      </c>
      <c r="V254" s="12">
        <f t="shared" si="98"/>
        <v>1.6486902927580895</v>
      </c>
      <c r="W254" s="12">
        <f t="shared" si="99"/>
        <v>1.3204225352112675</v>
      </c>
      <c r="X254" s="12">
        <f t="shared" si="100"/>
        <v>1.7710632037571437</v>
      </c>
      <c r="Y254" s="12">
        <f t="shared" si="89"/>
        <v>1.4845564139846785</v>
      </c>
    </row>
    <row r="255" spans="1:25" x14ac:dyDescent="0.3">
      <c r="A255" s="1" t="s">
        <v>349</v>
      </c>
      <c r="B255" s="1" t="s">
        <v>350</v>
      </c>
      <c r="C255" s="1" t="s">
        <v>352</v>
      </c>
      <c r="D255" s="1" t="s">
        <v>352</v>
      </c>
      <c r="E255" s="2">
        <v>70102</v>
      </c>
      <c r="F255" s="16">
        <v>2805</v>
      </c>
      <c r="G255" s="16">
        <v>3029</v>
      </c>
      <c r="H255" s="16">
        <v>3271</v>
      </c>
      <c r="I255" s="16">
        <v>207</v>
      </c>
      <c r="J255" s="16">
        <v>303</v>
      </c>
      <c r="K255" s="16">
        <v>306</v>
      </c>
      <c r="L255" s="12">
        <f t="shared" si="96"/>
        <v>7.379679144385026</v>
      </c>
      <c r="M255" s="12">
        <f t="shared" si="97"/>
        <v>10.003301419610434</v>
      </c>
      <c r="N255" s="12">
        <f t="shared" si="101"/>
        <v>9.3549373280342412</v>
      </c>
      <c r="O255" s="12">
        <f t="shared" si="88"/>
        <v>8.9126392973432331</v>
      </c>
      <c r="P255" s="16">
        <v>4410</v>
      </c>
      <c r="Q255" s="16">
        <v>4673</v>
      </c>
      <c r="R255" s="16">
        <v>4899</v>
      </c>
      <c r="S255" s="16">
        <v>117</v>
      </c>
      <c r="T255" s="16">
        <v>81</v>
      </c>
      <c r="U255" s="16">
        <v>137</v>
      </c>
      <c r="V255" s="12">
        <f t="shared" si="98"/>
        <v>2.6530612244897958</v>
      </c>
      <c r="W255" s="12">
        <f t="shared" si="99"/>
        <v>1.7333618660389472</v>
      </c>
      <c r="X255" s="12">
        <f t="shared" si="100"/>
        <v>2.7964890794039601</v>
      </c>
      <c r="Y255" s="12">
        <f t="shared" si="89"/>
        <v>2.1932115452643712</v>
      </c>
    </row>
    <row r="256" spans="1:25" x14ac:dyDescent="0.3">
      <c r="A256" s="1" t="s">
        <v>349</v>
      </c>
      <c r="B256" s="1" t="s">
        <v>350</v>
      </c>
      <c r="C256" s="1" t="s">
        <v>353</v>
      </c>
      <c r="D256" s="1" t="s">
        <v>354</v>
      </c>
      <c r="E256" s="2">
        <v>70103</v>
      </c>
      <c r="F256" s="16">
        <v>360</v>
      </c>
      <c r="G256" s="16">
        <v>380</v>
      </c>
      <c r="H256" s="16">
        <v>389</v>
      </c>
      <c r="I256" s="16">
        <v>59</v>
      </c>
      <c r="J256" s="16">
        <v>77</v>
      </c>
      <c r="K256" s="16">
        <v>64</v>
      </c>
      <c r="L256" s="12">
        <f t="shared" si="96"/>
        <v>16.388888888888889</v>
      </c>
      <c r="M256" s="12">
        <f t="shared" si="97"/>
        <v>20.263157894736842</v>
      </c>
      <c r="N256" s="12">
        <f t="shared" si="101"/>
        <v>16.452442159383033</v>
      </c>
      <c r="O256" s="12">
        <f t="shared" si="88"/>
        <v>17.701496314336257</v>
      </c>
      <c r="P256" s="16">
        <v>509</v>
      </c>
      <c r="Q256" s="16">
        <v>552</v>
      </c>
      <c r="R256" s="16">
        <v>727</v>
      </c>
      <c r="S256" s="16">
        <v>20</v>
      </c>
      <c r="T256" s="16">
        <v>22</v>
      </c>
      <c r="U256" s="16">
        <v>10</v>
      </c>
      <c r="V256" s="12">
        <f t="shared" si="98"/>
        <v>3.9292730844793713</v>
      </c>
      <c r="W256" s="12">
        <f t="shared" si="99"/>
        <v>3.9855072463768111</v>
      </c>
      <c r="X256" s="12">
        <f t="shared" si="100"/>
        <v>1.3755158184319118</v>
      </c>
      <c r="Y256" s="12">
        <f t="shared" si="89"/>
        <v>3.957390165428091</v>
      </c>
    </row>
    <row r="257" spans="1:25" x14ac:dyDescent="0.3">
      <c r="A257" s="1" t="s">
        <v>349</v>
      </c>
      <c r="B257" s="1" t="s">
        <v>350</v>
      </c>
      <c r="C257" s="1" t="s">
        <v>355</v>
      </c>
      <c r="D257" s="1" t="s">
        <v>355</v>
      </c>
      <c r="E257" s="2">
        <v>70104</v>
      </c>
      <c r="F257" s="16">
        <v>3910</v>
      </c>
      <c r="G257" s="16">
        <v>4271</v>
      </c>
      <c r="H257" s="16">
        <v>4510</v>
      </c>
      <c r="I257" s="16">
        <v>157</v>
      </c>
      <c r="J257" s="16">
        <v>252</v>
      </c>
      <c r="K257" s="16">
        <v>275</v>
      </c>
      <c r="L257" s="12">
        <f t="shared" si="96"/>
        <v>4.0153452685422</v>
      </c>
      <c r="M257" s="12">
        <f t="shared" si="97"/>
        <v>5.9002575509248425</v>
      </c>
      <c r="N257" s="12">
        <f t="shared" si="101"/>
        <v>6.0975609756097562</v>
      </c>
      <c r="O257" s="12">
        <f t="shared" si="88"/>
        <v>5.3377212650255998</v>
      </c>
      <c r="P257" s="16">
        <v>6010</v>
      </c>
      <c r="Q257" s="16">
        <v>6446</v>
      </c>
      <c r="R257" s="16">
        <v>6816</v>
      </c>
      <c r="S257" s="16">
        <v>104</v>
      </c>
      <c r="T257" s="16">
        <v>102</v>
      </c>
      <c r="U257" s="16">
        <v>104</v>
      </c>
      <c r="V257" s="12">
        <f t="shared" si="98"/>
        <v>1.7304492512479204</v>
      </c>
      <c r="W257" s="12">
        <f t="shared" si="99"/>
        <v>1.5823766677008997</v>
      </c>
      <c r="X257" s="12">
        <f t="shared" si="100"/>
        <v>1.5258215962441315</v>
      </c>
      <c r="Y257" s="12">
        <f t="shared" si="89"/>
        <v>1.6564129594744101</v>
      </c>
    </row>
    <row r="258" spans="1:25" x14ac:dyDescent="0.3">
      <c r="A258" s="1" t="s">
        <v>349</v>
      </c>
      <c r="B258" s="1" t="s">
        <v>350</v>
      </c>
      <c r="C258" s="1" t="s">
        <v>356</v>
      </c>
      <c r="D258" s="1" t="s">
        <v>356</v>
      </c>
      <c r="E258" s="2">
        <v>70105</v>
      </c>
      <c r="F258" s="16">
        <v>3082</v>
      </c>
      <c r="G258" s="16">
        <v>3161</v>
      </c>
      <c r="H258" s="16">
        <v>3128</v>
      </c>
      <c r="I258" s="16">
        <v>183</v>
      </c>
      <c r="J258" s="16">
        <v>179</v>
      </c>
      <c r="K258" s="16">
        <v>189</v>
      </c>
      <c r="L258" s="12">
        <f t="shared" si="96"/>
        <v>5.9377027903958473</v>
      </c>
      <c r="M258" s="12">
        <f t="shared" si="97"/>
        <v>5.6627649478013282</v>
      </c>
      <c r="N258" s="12">
        <f t="shared" si="101"/>
        <v>6.0421994884910486</v>
      </c>
      <c r="O258" s="12">
        <f t="shared" si="88"/>
        <v>5.8808890755627417</v>
      </c>
      <c r="P258" s="16">
        <v>3061</v>
      </c>
      <c r="Q258" s="16">
        <v>3099</v>
      </c>
      <c r="R258" s="16">
        <v>3194</v>
      </c>
      <c r="S258" s="16">
        <v>69</v>
      </c>
      <c r="T258" s="16">
        <v>66</v>
      </c>
      <c r="U258" s="16">
        <v>92</v>
      </c>
      <c r="V258" s="12">
        <f t="shared" si="98"/>
        <v>2.2541653054557331</v>
      </c>
      <c r="W258" s="12">
        <f t="shared" si="99"/>
        <v>2.1297192642787994</v>
      </c>
      <c r="X258" s="12">
        <f t="shared" si="100"/>
        <v>2.8804007514088918</v>
      </c>
      <c r="Y258" s="12">
        <f t="shared" si="89"/>
        <v>2.1919422848672663</v>
      </c>
    </row>
    <row r="259" spans="1:25" x14ac:dyDescent="0.3">
      <c r="A259" s="1" t="s">
        <v>349</v>
      </c>
      <c r="B259" s="1" t="s">
        <v>357</v>
      </c>
      <c r="C259" s="1" t="s">
        <v>357</v>
      </c>
      <c r="D259" s="1" t="s">
        <v>357</v>
      </c>
      <c r="E259" s="2">
        <v>70201</v>
      </c>
      <c r="F259" s="16">
        <v>4480</v>
      </c>
      <c r="G259" s="16">
        <v>4919</v>
      </c>
      <c r="H259" s="16">
        <v>5368</v>
      </c>
      <c r="I259" s="16">
        <v>349</v>
      </c>
      <c r="J259" s="16">
        <v>406</v>
      </c>
      <c r="K259" s="16">
        <v>377</v>
      </c>
      <c r="L259" s="12">
        <f t="shared" si="96"/>
        <v>7.7901785714285712</v>
      </c>
      <c r="M259" s="12">
        <f t="shared" si="97"/>
        <v>8.2537101036796088</v>
      </c>
      <c r="N259" s="12">
        <f t="shared" si="101"/>
        <v>7.0230998509687028</v>
      </c>
      <c r="O259" s="12">
        <f t="shared" ref="O259:O322" si="102">AVERAGE(L259:N259)</f>
        <v>7.6889961753589597</v>
      </c>
      <c r="P259" s="16">
        <v>8243</v>
      </c>
      <c r="Q259" s="16">
        <v>8610</v>
      </c>
      <c r="R259" s="16">
        <v>9070</v>
      </c>
      <c r="S259" s="16">
        <v>199</v>
      </c>
      <c r="T259" s="16">
        <v>152</v>
      </c>
      <c r="U259" s="16">
        <v>268</v>
      </c>
      <c r="V259" s="12">
        <f t="shared" si="98"/>
        <v>2.4141695984471672</v>
      </c>
      <c r="W259" s="12">
        <f t="shared" si="99"/>
        <v>1.7653890824622531</v>
      </c>
      <c r="X259" s="12">
        <f t="shared" si="100"/>
        <v>2.9547960308710031</v>
      </c>
      <c r="Y259" s="12">
        <f t="shared" ref="Y259:Y322" si="103">AVERAGE(V259:W259)</f>
        <v>2.0897793404547103</v>
      </c>
    </row>
    <row r="260" spans="1:25" x14ac:dyDescent="0.3">
      <c r="A260" s="1" t="s">
        <v>349</v>
      </c>
      <c r="B260" s="1" t="s">
        <v>357</v>
      </c>
      <c r="C260" s="1" t="s">
        <v>358</v>
      </c>
      <c r="D260" s="1" t="s">
        <v>358</v>
      </c>
      <c r="E260" s="2">
        <v>70202</v>
      </c>
      <c r="F260" s="16">
        <v>649</v>
      </c>
      <c r="G260" s="16">
        <v>697</v>
      </c>
      <c r="H260" s="16">
        <v>690</v>
      </c>
      <c r="I260" s="16">
        <v>51</v>
      </c>
      <c r="J260" s="16">
        <v>51</v>
      </c>
      <c r="K260" s="16">
        <v>68</v>
      </c>
      <c r="L260" s="12">
        <f t="shared" si="96"/>
        <v>7.8582434514637907</v>
      </c>
      <c r="M260" s="12">
        <f t="shared" si="97"/>
        <v>7.3170731707317067</v>
      </c>
      <c r="N260" s="12">
        <f t="shared" si="101"/>
        <v>9.8550724637681171</v>
      </c>
      <c r="O260" s="12">
        <f t="shared" si="102"/>
        <v>8.3434630286545381</v>
      </c>
      <c r="P260" s="16">
        <v>657</v>
      </c>
      <c r="Q260" s="16">
        <v>681</v>
      </c>
      <c r="R260" s="16">
        <v>673</v>
      </c>
      <c r="S260" s="16">
        <v>10</v>
      </c>
      <c r="T260" s="16">
        <v>12</v>
      </c>
      <c r="U260" s="16">
        <v>27</v>
      </c>
      <c r="V260" s="12">
        <f t="shared" si="98"/>
        <v>1.5220700152207001</v>
      </c>
      <c r="W260" s="12">
        <f t="shared" si="99"/>
        <v>1.7621145374449341</v>
      </c>
      <c r="X260" s="12">
        <f t="shared" si="100"/>
        <v>4.0118870728083209</v>
      </c>
      <c r="Y260" s="12">
        <f t="shared" si="103"/>
        <v>1.642092276332817</v>
      </c>
    </row>
    <row r="261" spans="1:25" x14ac:dyDescent="0.3">
      <c r="A261" s="1" t="s">
        <v>349</v>
      </c>
      <c r="B261" s="1" t="s">
        <v>359</v>
      </c>
      <c r="C261" s="1" t="s">
        <v>360</v>
      </c>
      <c r="D261" s="1" t="s">
        <v>360</v>
      </c>
      <c r="E261" s="2">
        <v>70301</v>
      </c>
      <c r="F261" s="16">
        <v>2555</v>
      </c>
      <c r="G261" s="16">
        <v>2675</v>
      </c>
      <c r="H261" s="16">
        <v>2804</v>
      </c>
      <c r="I261" s="16">
        <v>208</v>
      </c>
      <c r="J261" s="16">
        <v>207</v>
      </c>
      <c r="K261" s="16">
        <v>235</v>
      </c>
      <c r="L261" s="12">
        <f t="shared" si="96"/>
        <v>8.1409001956947176</v>
      </c>
      <c r="M261" s="12">
        <f t="shared" si="97"/>
        <v>7.7383177570093453</v>
      </c>
      <c r="N261" s="12">
        <f t="shared" si="101"/>
        <v>8.3808844507845937</v>
      </c>
      <c r="O261" s="12">
        <f t="shared" si="102"/>
        <v>8.0867008011628858</v>
      </c>
      <c r="P261" s="16">
        <v>3351</v>
      </c>
      <c r="Q261" s="16">
        <v>3427</v>
      </c>
      <c r="R261" s="16">
        <v>3520</v>
      </c>
      <c r="S261" s="16">
        <v>91</v>
      </c>
      <c r="T261" s="16">
        <v>90</v>
      </c>
      <c r="U261" s="16">
        <v>99</v>
      </c>
      <c r="V261" s="12">
        <f t="shared" si="98"/>
        <v>2.7156072814085346</v>
      </c>
      <c r="W261" s="12">
        <f t="shared" si="99"/>
        <v>2.6262036766851473</v>
      </c>
      <c r="X261" s="12">
        <f t="shared" si="100"/>
        <v>2.8125</v>
      </c>
      <c r="Y261" s="12">
        <f t="shared" si="103"/>
        <v>2.6709054790468407</v>
      </c>
    </row>
    <row r="262" spans="1:25" x14ac:dyDescent="0.3">
      <c r="A262" s="1" t="s">
        <v>349</v>
      </c>
      <c r="B262" s="1" t="s">
        <v>359</v>
      </c>
      <c r="C262" s="1" t="s">
        <v>361</v>
      </c>
      <c r="D262" s="1" t="s">
        <v>361</v>
      </c>
      <c r="E262" s="2">
        <v>70302</v>
      </c>
      <c r="F262" s="16">
        <v>643</v>
      </c>
      <c r="G262" s="16">
        <v>675</v>
      </c>
      <c r="H262" s="16">
        <v>675</v>
      </c>
      <c r="I262" s="16">
        <v>33</v>
      </c>
      <c r="J262" s="16">
        <v>40</v>
      </c>
      <c r="K262" s="16">
        <v>30</v>
      </c>
      <c r="L262" s="12">
        <f t="shared" si="96"/>
        <v>5.132192846034215</v>
      </c>
      <c r="M262" s="12">
        <f t="shared" si="97"/>
        <v>5.9259259259259265</v>
      </c>
      <c r="N262" s="12">
        <f t="shared" si="101"/>
        <v>4.4444444444444446</v>
      </c>
      <c r="O262" s="12">
        <f t="shared" si="102"/>
        <v>5.1675210721348623</v>
      </c>
      <c r="P262" s="16">
        <v>639</v>
      </c>
      <c r="Q262" s="16">
        <v>659</v>
      </c>
      <c r="R262" s="16">
        <v>684</v>
      </c>
      <c r="S262" s="16">
        <v>15</v>
      </c>
      <c r="T262" s="16">
        <v>7</v>
      </c>
      <c r="U262" s="16">
        <v>16</v>
      </c>
      <c r="V262" s="12">
        <f t="shared" si="98"/>
        <v>2.3474178403755865</v>
      </c>
      <c r="W262" s="12">
        <f t="shared" si="99"/>
        <v>1.062215477996965</v>
      </c>
      <c r="X262" s="12">
        <f t="shared" si="100"/>
        <v>2.3391812865497075</v>
      </c>
      <c r="Y262" s="12">
        <f t="shared" si="103"/>
        <v>1.7048166591862759</v>
      </c>
    </row>
    <row r="263" spans="1:25" x14ac:dyDescent="0.3">
      <c r="A263" s="1" t="s">
        <v>349</v>
      </c>
      <c r="B263" s="1" t="s">
        <v>359</v>
      </c>
      <c r="C263" s="1" t="s">
        <v>362</v>
      </c>
      <c r="D263" s="1" t="s">
        <v>362</v>
      </c>
      <c r="E263" s="2">
        <v>70303</v>
      </c>
      <c r="F263" s="16">
        <v>212</v>
      </c>
      <c r="G263" s="16">
        <v>214</v>
      </c>
      <c r="H263" s="16">
        <v>223</v>
      </c>
      <c r="I263" s="16">
        <v>37</v>
      </c>
      <c r="J263" s="16">
        <v>19</v>
      </c>
      <c r="K263" s="16">
        <v>20</v>
      </c>
      <c r="L263" s="12">
        <f t="shared" si="96"/>
        <v>17.452830188679243</v>
      </c>
      <c r="M263" s="12">
        <f t="shared" si="97"/>
        <v>8.8785046728971952</v>
      </c>
      <c r="N263" s="12">
        <f t="shared" si="101"/>
        <v>8.9686098654708513</v>
      </c>
      <c r="O263" s="12">
        <f t="shared" si="102"/>
        <v>11.766648242349097</v>
      </c>
      <c r="P263" s="16">
        <v>310</v>
      </c>
      <c r="Q263" s="16">
        <v>322</v>
      </c>
      <c r="R263" s="16">
        <v>339</v>
      </c>
      <c r="S263" s="16">
        <v>6</v>
      </c>
      <c r="T263" s="16">
        <v>6</v>
      </c>
      <c r="U263" s="16">
        <v>9</v>
      </c>
      <c r="V263" s="12">
        <f t="shared" si="98"/>
        <v>1.935483870967742</v>
      </c>
      <c r="W263" s="12">
        <f t="shared" si="99"/>
        <v>1.8633540372670807</v>
      </c>
      <c r="X263" s="12">
        <f t="shared" si="100"/>
        <v>2.6548672566371683</v>
      </c>
      <c r="Y263" s="12">
        <f t="shared" si="103"/>
        <v>1.8994189541174114</v>
      </c>
    </row>
    <row r="264" spans="1:25" x14ac:dyDescent="0.3">
      <c r="A264" s="1" t="s">
        <v>349</v>
      </c>
      <c r="B264" s="1" t="s">
        <v>363</v>
      </c>
      <c r="C264" s="1" t="s">
        <v>364</v>
      </c>
      <c r="D264" s="1" t="s">
        <v>364</v>
      </c>
      <c r="E264" s="2">
        <v>70401</v>
      </c>
      <c r="F264" s="16">
        <v>728</v>
      </c>
      <c r="G264" s="16">
        <v>739</v>
      </c>
      <c r="H264" s="16">
        <v>697</v>
      </c>
      <c r="I264" s="16">
        <v>41</v>
      </c>
      <c r="J264" s="16">
        <v>63</v>
      </c>
      <c r="K264" s="16">
        <v>54</v>
      </c>
      <c r="L264" s="12">
        <f t="shared" si="96"/>
        <v>5.6318681318681323</v>
      </c>
      <c r="M264" s="12">
        <f t="shared" si="97"/>
        <v>8.5250338294993231</v>
      </c>
      <c r="N264" s="12">
        <f t="shared" si="101"/>
        <v>7.747489239598278</v>
      </c>
      <c r="O264" s="12">
        <f t="shared" si="102"/>
        <v>7.3014637336552441</v>
      </c>
      <c r="P264" s="16">
        <v>703</v>
      </c>
      <c r="Q264" s="16">
        <v>702</v>
      </c>
      <c r="R264" s="16">
        <v>728</v>
      </c>
      <c r="S264" s="16">
        <v>19</v>
      </c>
      <c r="T264" s="16">
        <v>22</v>
      </c>
      <c r="U264" s="16">
        <v>22</v>
      </c>
      <c r="V264" s="12">
        <f t="shared" si="98"/>
        <v>2.7027027027027026</v>
      </c>
      <c r="W264" s="12">
        <f t="shared" si="99"/>
        <v>3.133903133903134</v>
      </c>
      <c r="X264" s="12">
        <f t="shared" si="100"/>
        <v>3.0219780219780219</v>
      </c>
      <c r="Y264" s="12">
        <f t="shared" si="103"/>
        <v>2.9183029183029183</v>
      </c>
    </row>
    <row r="265" spans="1:25" x14ac:dyDescent="0.3">
      <c r="A265" s="1" t="s">
        <v>349</v>
      </c>
      <c r="B265" s="1" t="s">
        <v>363</v>
      </c>
      <c r="C265" s="1" t="s">
        <v>365</v>
      </c>
      <c r="D265" s="1" t="s">
        <v>365</v>
      </c>
      <c r="E265" s="2">
        <v>70402</v>
      </c>
      <c r="F265" s="16">
        <v>1101</v>
      </c>
      <c r="G265" s="16">
        <v>1096</v>
      </c>
      <c r="H265" s="16">
        <v>1044</v>
      </c>
      <c r="I265" s="16">
        <v>65</v>
      </c>
      <c r="J265" s="16">
        <v>105</v>
      </c>
      <c r="K265" s="16">
        <v>99</v>
      </c>
      <c r="L265" s="12">
        <f t="shared" ref="L265:L296" si="104">(I265/F265)*100</f>
        <v>5.9037238873751132</v>
      </c>
      <c r="M265" s="12">
        <f t="shared" ref="M265:M296" si="105">(J265/G265)*100</f>
        <v>9.5802919708029197</v>
      </c>
      <c r="N265" s="12">
        <f t="shared" si="101"/>
        <v>9.4827586206896548</v>
      </c>
      <c r="O265" s="12">
        <f t="shared" si="102"/>
        <v>8.322258159622562</v>
      </c>
      <c r="P265" s="16">
        <v>1101</v>
      </c>
      <c r="Q265" s="16">
        <v>1102</v>
      </c>
      <c r="R265" s="16">
        <v>1136</v>
      </c>
      <c r="S265" s="16">
        <v>27</v>
      </c>
      <c r="T265" s="16">
        <v>24</v>
      </c>
      <c r="U265" s="16">
        <v>29</v>
      </c>
      <c r="V265" s="12">
        <f t="shared" si="98"/>
        <v>2.4523160762942782</v>
      </c>
      <c r="W265" s="12">
        <f t="shared" si="99"/>
        <v>2.1778584392014517</v>
      </c>
      <c r="X265" s="12">
        <f t="shared" si="100"/>
        <v>2.552816901408451</v>
      </c>
      <c r="Y265" s="12">
        <f t="shared" si="103"/>
        <v>2.3150872577478649</v>
      </c>
    </row>
    <row r="266" spans="1:25" x14ac:dyDescent="0.3">
      <c r="A266" s="1" t="s">
        <v>349</v>
      </c>
      <c r="B266" s="1" t="s">
        <v>363</v>
      </c>
      <c r="C266" s="1" t="s">
        <v>366</v>
      </c>
      <c r="D266" s="1" t="s">
        <v>366</v>
      </c>
      <c r="E266" s="2">
        <v>70403</v>
      </c>
      <c r="F266" s="16">
        <v>2560</v>
      </c>
      <c r="G266" s="16">
        <v>2705</v>
      </c>
      <c r="H266" s="16">
        <v>2723</v>
      </c>
      <c r="I266" s="16">
        <v>49</v>
      </c>
      <c r="J266" s="16">
        <v>169</v>
      </c>
      <c r="K266" s="16">
        <v>184</v>
      </c>
      <c r="L266" s="12">
        <f t="shared" si="104"/>
        <v>1.9140625000000002</v>
      </c>
      <c r="M266" s="12">
        <f t="shared" si="105"/>
        <v>6.2476894639556377</v>
      </c>
      <c r="N266" s="12">
        <f t="shared" si="101"/>
        <v>6.7572530297466029</v>
      </c>
      <c r="O266" s="12">
        <f t="shared" si="102"/>
        <v>4.9730016645674135</v>
      </c>
      <c r="P266" s="16">
        <v>3130</v>
      </c>
      <c r="Q266" s="16">
        <v>3192</v>
      </c>
      <c r="R266" s="16">
        <v>3256</v>
      </c>
      <c r="S266" s="16">
        <v>95</v>
      </c>
      <c r="T266" s="16">
        <v>79</v>
      </c>
      <c r="U266" s="16">
        <v>122</v>
      </c>
      <c r="V266" s="12">
        <f t="shared" si="98"/>
        <v>3.0351437699680508</v>
      </c>
      <c r="W266" s="12">
        <f t="shared" si="99"/>
        <v>2.4749373433583957</v>
      </c>
      <c r="X266" s="12">
        <f t="shared" si="100"/>
        <v>3.7469287469287469</v>
      </c>
      <c r="Y266" s="12">
        <f t="shared" si="103"/>
        <v>2.7550405566632232</v>
      </c>
    </row>
    <row r="267" spans="1:25" x14ac:dyDescent="0.3">
      <c r="A267" s="1" t="s">
        <v>349</v>
      </c>
      <c r="B267" s="1" t="s">
        <v>363</v>
      </c>
      <c r="C267" s="1" t="s">
        <v>367</v>
      </c>
      <c r="D267" s="1" t="s">
        <v>367</v>
      </c>
      <c r="E267" s="2">
        <v>70404</v>
      </c>
      <c r="F267" s="16">
        <v>417</v>
      </c>
      <c r="G267" s="16">
        <v>440</v>
      </c>
      <c r="H267" s="16">
        <v>447</v>
      </c>
      <c r="I267" s="16">
        <v>28</v>
      </c>
      <c r="J267" s="16">
        <v>30</v>
      </c>
      <c r="K267" s="16">
        <v>23</v>
      </c>
      <c r="L267" s="12">
        <f t="shared" si="104"/>
        <v>6.7146282973621103</v>
      </c>
      <c r="M267" s="12">
        <f t="shared" si="105"/>
        <v>6.8181818181818175</v>
      </c>
      <c r="N267" s="12">
        <f t="shared" si="101"/>
        <v>5.1454138702460845</v>
      </c>
      <c r="O267" s="12">
        <f t="shared" si="102"/>
        <v>6.2260746619300038</v>
      </c>
      <c r="P267" s="16">
        <v>467</v>
      </c>
      <c r="Q267" s="16">
        <v>458</v>
      </c>
      <c r="R267" s="16">
        <v>465</v>
      </c>
      <c r="S267" s="16">
        <v>13</v>
      </c>
      <c r="T267" s="16">
        <v>16</v>
      </c>
      <c r="U267" s="16">
        <v>12</v>
      </c>
      <c r="V267" s="12">
        <f t="shared" si="98"/>
        <v>2.7837259100642395</v>
      </c>
      <c r="W267" s="12">
        <f t="shared" si="99"/>
        <v>3.4934497816593884</v>
      </c>
      <c r="X267" s="12">
        <f t="shared" si="100"/>
        <v>2.5806451612903225</v>
      </c>
      <c r="Y267" s="12">
        <f t="shared" si="103"/>
        <v>3.1385878458618137</v>
      </c>
    </row>
    <row r="268" spans="1:25" x14ac:dyDescent="0.3">
      <c r="A268" s="1" t="s">
        <v>349</v>
      </c>
      <c r="B268" s="1" t="s">
        <v>368</v>
      </c>
      <c r="C268" s="1" t="s">
        <v>369</v>
      </c>
      <c r="D268" s="1" t="s">
        <v>369</v>
      </c>
      <c r="E268" s="2">
        <v>70501</v>
      </c>
      <c r="F268" s="16">
        <v>890</v>
      </c>
      <c r="G268" s="16">
        <v>943</v>
      </c>
      <c r="H268" s="16">
        <v>945</v>
      </c>
      <c r="I268" s="16">
        <v>57</v>
      </c>
      <c r="J268" s="16">
        <v>47</v>
      </c>
      <c r="K268" s="16">
        <v>51</v>
      </c>
      <c r="L268" s="12">
        <f t="shared" si="104"/>
        <v>6.4044943820224711</v>
      </c>
      <c r="M268" s="12">
        <f t="shared" si="105"/>
        <v>4.9840933191940611</v>
      </c>
      <c r="N268" s="12">
        <f t="shared" si="101"/>
        <v>5.3968253968253972</v>
      </c>
      <c r="O268" s="12">
        <f t="shared" si="102"/>
        <v>5.5951376993473092</v>
      </c>
      <c r="P268" s="16">
        <v>1188</v>
      </c>
      <c r="Q268" s="16">
        <v>1189</v>
      </c>
      <c r="R268" s="16">
        <v>1214</v>
      </c>
      <c r="S268" s="16">
        <v>25</v>
      </c>
      <c r="T268" s="16">
        <v>39</v>
      </c>
      <c r="U268" s="16">
        <v>58</v>
      </c>
      <c r="V268" s="12">
        <f t="shared" ref="V268:V299" si="106">(S268/P268)*100</f>
        <v>2.1043771043771047</v>
      </c>
      <c r="W268" s="12">
        <f t="shared" ref="W268:W299" si="107">(T268/Q268)*100</f>
        <v>3.280067283431455</v>
      </c>
      <c r="X268" s="12">
        <f t="shared" si="100"/>
        <v>4.7775947281713345</v>
      </c>
      <c r="Y268" s="12">
        <f t="shared" si="103"/>
        <v>2.6922221939042799</v>
      </c>
    </row>
    <row r="269" spans="1:25" x14ac:dyDescent="0.3">
      <c r="A269" s="1" t="s">
        <v>349</v>
      </c>
      <c r="B269" s="1" t="s">
        <v>368</v>
      </c>
      <c r="C269" s="1" t="s">
        <v>370</v>
      </c>
      <c r="D269" s="1" t="s">
        <v>370</v>
      </c>
      <c r="E269" s="2">
        <v>70502</v>
      </c>
      <c r="F269" s="16">
        <v>1084</v>
      </c>
      <c r="G269" s="16">
        <v>1109</v>
      </c>
      <c r="H269" s="16">
        <v>1161</v>
      </c>
      <c r="I269" s="16">
        <v>100</v>
      </c>
      <c r="J269" s="16">
        <v>90</v>
      </c>
      <c r="K269" s="16">
        <v>104</v>
      </c>
      <c r="L269" s="12">
        <f t="shared" si="104"/>
        <v>9.2250922509225095</v>
      </c>
      <c r="M269" s="12">
        <f t="shared" si="105"/>
        <v>8.11541929666366</v>
      </c>
      <c r="N269" s="12">
        <f t="shared" si="101"/>
        <v>8.9577950043066323</v>
      </c>
      <c r="O269" s="12">
        <f t="shared" si="102"/>
        <v>8.7661021839642661</v>
      </c>
      <c r="P269" s="16">
        <v>1437</v>
      </c>
      <c r="Q269" s="16">
        <v>1479</v>
      </c>
      <c r="R269" s="16">
        <v>1543</v>
      </c>
      <c r="S269" s="16">
        <v>63</v>
      </c>
      <c r="T269" s="16">
        <v>48</v>
      </c>
      <c r="U269" s="16">
        <v>48</v>
      </c>
      <c r="V269" s="12">
        <f t="shared" si="106"/>
        <v>4.3841336116910234</v>
      </c>
      <c r="W269" s="12">
        <f t="shared" si="107"/>
        <v>3.2454361054766734</v>
      </c>
      <c r="X269" s="12">
        <f t="shared" ref="X269:X300" si="108">(U269/R269)*100</f>
        <v>3.1108230719377836</v>
      </c>
      <c r="Y269" s="12">
        <f t="shared" si="103"/>
        <v>3.8147848585838484</v>
      </c>
    </row>
    <row r="270" spans="1:25" x14ac:dyDescent="0.3">
      <c r="A270" s="1" t="s">
        <v>349</v>
      </c>
      <c r="B270" s="1" t="s">
        <v>368</v>
      </c>
      <c r="C270" s="1" t="s">
        <v>371</v>
      </c>
      <c r="D270" s="1" t="s">
        <v>371</v>
      </c>
      <c r="E270" s="2">
        <v>70503</v>
      </c>
      <c r="F270" s="16">
        <v>1106</v>
      </c>
      <c r="G270" s="16">
        <v>1083</v>
      </c>
      <c r="H270" s="16">
        <v>1053</v>
      </c>
      <c r="I270" s="16">
        <v>80</v>
      </c>
      <c r="J270" s="16">
        <v>75</v>
      </c>
      <c r="K270" s="16">
        <v>49</v>
      </c>
      <c r="L270" s="12">
        <f t="shared" si="104"/>
        <v>7.2332730560578664</v>
      </c>
      <c r="M270" s="12">
        <f t="shared" si="105"/>
        <v>6.9252077562326875</v>
      </c>
      <c r="N270" s="12">
        <f t="shared" si="101"/>
        <v>4.6533713200379871</v>
      </c>
      <c r="O270" s="12">
        <f t="shared" si="102"/>
        <v>6.2706173774428464</v>
      </c>
      <c r="P270" s="16">
        <v>923</v>
      </c>
      <c r="Q270" s="16">
        <v>961</v>
      </c>
      <c r="R270" s="16">
        <v>960</v>
      </c>
      <c r="S270" s="16">
        <v>20</v>
      </c>
      <c r="T270" s="16">
        <v>12</v>
      </c>
      <c r="U270" s="16">
        <v>23</v>
      </c>
      <c r="V270" s="12">
        <f t="shared" si="106"/>
        <v>2.1668472372697725</v>
      </c>
      <c r="W270" s="12">
        <f t="shared" si="107"/>
        <v>1.2486992715920915</v>
      </c>
      <c r="X270" s="12">
        <f t="shared" si="108"/>
        <v>2.3958333333333335</v>
      </c>
      <c r="Y270" s="12">
        <f t="shared" si="103"/>
        <v>1.7077732544309319</v>
      </c>
    </row>
    <row r="271" spans="1:25" x14ac:dyDescent="0.3">
      <c r="A271" s="1" t="s">
        <v>349</v>
      </c>
      <c r="B271" s="1" t="s">
        <v>372</v>
      </c>
      <c r="C271" s="1" t="s">
        <v>373</v>
      </c>
      <c r="D271" s="1" t="s">
        <v>373</v>
      </c>
      <c r="E271" s="2">
        <v>70601</v>
      </c>
      <c r="F271" s="16">
        <v>1067</v>
      </c>
      <c r="G271" s="16">
        <v>1088</v>
      </c>
      <c r="H271" s="16">
        <v>1080</v>
      </c>
      <c r="I271" s="16">
        <v>75</v>
      </c>
      <c r="J271" s="16">
        <v>84</v>
      </c>
      <c r="K271" s="16">
        <v>84</v>
      </c>
      <c r="L271" s="12">
        <f t="shared" si="104"/>
        <v>7.0290534208059992</v>
      </c>
      <c r="M271" s="12">
        <f t="shared" si="105"/>
        <v>7.7205882352941178</v>
      </c>
      <c r="N271" s="12">
        <f t="shared" si="101"/>
        <v>7.7777777777777777</v>
      </c>
      <c r="O271" s="12">
        <f t="shared" si="102"/>
        <v>7.5091398112926315</v>
      </c>
      <c r="P271" s="16">
        <v>1120</v>
      </c>
      <c r="Q271" s="16">
        <v>1162</v>
      </c>
      <c r="R271" s="16">
        <v>1186</v>
      </c>
      <c r="S271" s="16">
        <v>33</v>
      </c>
      <c r="T271" s="16">
        <v>42</v>
      </c>
      <c r="U271" s="16">
        <v>22</v>
      </c>
      <c r="V271" s="12">
        <f t="shared" si="106"/>
        <v>2.9464285714285712</v>
      </c>
      <c r="W271" s="12">
        <f t="shared" si="107"/>
        <v>3.6144578313253009</v>
      </c>
      <c r="X271" s="12">
        <f t="shared" si="108"/>
        <v>1.854974704890388</v>
      </c>
      <c r="Y271" s="12">
        <f t="shared" si="103"/>
        <v>3.280443201376936</v>
      </c>
    </row>
    <row r="272" spans="1:25" x14ac:dyDescent="0.3">
      <c r="A272" s="1" t="s">
        <v>349</v>
      </c>
      <c r="B272" s="1" t="s">
        <v>372</v>
      </c>
      <c r="C272" s="1" t="s">
        <v>374</v>
      </c>
      <c r="D272" s="1" t="s">
        <v>374</v>
      </c>
      <c r="E272" s="2">
        <v>70602</v>
      </c>
      <c r="F272" s="16">
        <v>661</v>
      </c>
      <c r="G272" s="16">
        <v>700</v>
      </c>
      <c r="H272" s="16">
        <v>740</v>
      </c>
      <c r="I272" s="16">
        <v>54</v>
      </c>
      <c r="J272" s="16">
        <v>109</v>
      </c>
      <c r="K272" s="16">
        <v>81</v>
      </c>
      <c r="L272" s="12">
        <f t="shared" si="104"/>
        <v>8.1694402420574885</v>
      </c>
      <c r="M272" s="12">
        <f t="shared" si="105"/>
        <v>15.571428571428573</v>
      </c>
      <c r="N272" s="12">
        <f t="shared" ref="N272:N303" si="109">(K272/H272)*100</f>
        <v>10.945945945945947</v>
      </c>
      <c r="O272" s="12">
        <f t="shared" si="102"/>
        <v>11.562271586477337</v>
      </c>
      <c r="P272" s="16">
        <v>852</v>
      </c>
      <c r="Q272" s="16">
        <v>867</v>
      </c>
      <c r="R272" s="16">
        <v>853</v>
      </c>
      <c r="S272" s="16">
        <v>34</v>
      </c>
      <c r="T272" s="16">
        <v>37</v>
      </c>
      <c r="U272" s="16">
        <v>27</v>
      </c>
      <c r="V272" s="12">
        <f t="shared" si="106"/>
        <v>3.9906103286384975</v>
      </c>
      <c r="W272" s="12">
        <f t="shared" si="107"/>
        <v>4.2675893886966545</v>
      </c>
      <c r="X272" s="12">
        <f t="shared" si="108"/>
        <v>3.1652989449003512</v>
      </c>
      <c r="Y272" s="12">
        <f t="shared" si="103"/>
        <v>4.1290998586675762</v>
      </c>
    </row>
    <row r="273" spans="1:25" x14ac:dyDescent="0.3">
      <c r="A273" s="1" t="s">
        <v>349</v>
      </c>
      <c r="B273" s="1" t="s">
        <v>372</v>
      </c>
      <c r="C273" s="1" t="s">
        <v>375</v>
      </c>
      <c r="D273" s="1" t="s">
        <v>375</v>
      </c>
      <c r="E273" s="2">
        <v>70603</v>
      </c>
      <c r="F273" s="16">
        <v>289</v>
      </c>
      <c r="G273" s="16">
        <v>274</v>
      </c>
      <c r="H273" s="16">
        <v>283</v>
      </c>
      <c r="I273" s="16">
        <v>36</v>
      </c>
      <c r="J273" s="16">
        <v>45</v>
      </c>
      <c r="K273" s="16">
        <v>37</v>
      </c>
      <c r="L273" s="12">
        <f t="shared" si="104"/>
        <v>12.45674740484429</v>
      </c>
      <c r="M273" s="12">
        <f t="shared" si="105"/>
        <v>16.423357664233578</v>
      </c>
      <c r="N273" s="12">
        <f t="shared" si="109"/>
        <v>13.074204946996467</v>
      </c>
      <c r="O273" s="12">
        <f t="shared" si="102"/>
        <v>13.98477000535811</v>
      </c>
      <c r="P273" s="16">
        <v>343</v>
      </c>
      <c r="Q273" s="16">
        <v>350</v>
      </c>
      <c r="R273" s="16">
        <v>339</v>
      </c>
      <c r="S273" s="16">
        <v>11</v>
      </c>
      <c r="T273" s="16">
        <v>9</v>
      </c>
      <c r="U273" s="16">
        <v>6</v>
      </c>
      <c r="V273" s="12">
        <f t="shared" si="106"/>
        <v>3.2069970845481048</v>
      </c>
      <c r="W273" s="12">
        <f t="shared" si="107"/>
        <v>2.5714285714285712</v>
      </c>
      <c r="X273" s="12">
        <f t="shared" si="108"/>
        <v>1.7699115044247788</v>
      </c>
      <c r="Y273" s="12">
        <f t="shared" si="103"/>
        <v>2.889212827988338</v>
      </c>
    </row>
    <row r="274" spans="1:25" x14ac:dyDescent="0.3">
      <c r="A274" s="1" t="s">
        <v>349</v>
      </c>
      <c r="B274" s="1" t="s">
        <v>376</v>
      </c>
      <c r="C274" s="1" t="s">
        <v>377</v>
      </c>
      <c r="D274" s="1" t="s">
        <v>377</v>
      </c>
      <c r="E274" s="2">
        <v>70701</v>
      </c>
      <c r="F274" s="16">
        <v>260</v>
      </c>
      <c r="G274" s="16">
        <v>282</v>
      </c>
      <c r="H274" s="16">
        <v>287</v>
      </c>
      <c r="I274" s="16">
        <v>11</v>
      </c>
      <c r="J274" s="16">
        <v>35</v>
      </c>
      <c r="K274" s="16">
        <v>27</v>
      </c>
      <c r="L274" s="12">
        <f t="shared" si="104"/>
        <v>4.2307692307692308</v>
      </c>
      <c r="M274" s="12">
        <f t="shared" si="105"/>
        <v>12.411347517730496</v>
      </c>
      <c r="N274" s="12">
        <f t="shared" si="109"/>
        <v>9.4076655052264808</v>
      </c>
      <c r="O274" s="12">
        <f t="shared" si="102"/>
        <v>8.6832607512420683</v>
      </c>
      <c r="P274" s="16">
        <v>339</v>
      </c>
      <c r="Q274" s="16">
        <v>303</v>
      </c>
      <c r="R274" s="16">
        <v>310</v>
      </c>
      <c r="S274" s="16">
        <v>11</v>
      </c>
      <c r="T274" s="16">
        <v>6</v>
      </c>
      <c r="U274" s="16">
        <v>8</v>
      </c>
      <c r="V274" s="12">
        <f t="shared" si="106"/>
        <v>3.2448377581120944</v>
      </c>
      <c r="W274" s="12">
        <f t="shared" si="107"/>
        <v>1.9801980198019802</v>
      </c>
      <c r="X274" s="12">
        <f t="shared" si="108"/>
        <v>2.5806451612903225</v>
      </c>
      <c r="Y274" s="12">
        <f t="shared" si="103"/>
        <v>2.6125178889570373</v>
      </c>
    </row>
    <row r="275" spans="1:25" x14ac:dyDescent="0.3">
      <c r="A275" s="1" t="s">
        <v>349</v>
      </c>
      <c r="B275" s="1" t="s">
        <v>376</v>
      </c>
      <c r="C275" s="1" t="s">
        <v>488</v>
      </c>
      <c r="D275" s="1" t="s">
        <v>378</v>
      </c>
      <c r="E275" s="2">
        <v>70702</v>
      </c>
      <c r="F275" s="16">
        <v>1048</v>
      </c>
      <c r="G275" s="16">
        <v>1122</v>
      </c>
      <c r="H275" s="16">
        <v>1142</v>
      </c>
      <c r="I275" s="16">
        <v>102</v>
      </c>
      <c r="J275" s="16">
        <v>127</v>
      </c>
      <c r="K275" s="16">
        <v>130</v>
      </c>
      <c r="L275" s="12">
        <f t="shared" si="104"/>
        <v>9.7328244274809155</v>
      </c>
      <c r="M275" s="12">
        <f t="shared" si="105"/>
        <v>11.319073083778965</v>
      </c>
      <c r="N275" s="12">
        <f t="shared" si="109"/>
        <v>11.38353765323993</v>
      </c>
      <c r="O275" s="12">
        <f t="shared" si="102"/>
        <v>10.811811721499936</v>
      </c>
      <c r="P275" s="16">
        <v>1360</v>
      </c>
      <c r="Q275" s="16">
        <v>1372</v>
      </c>
      <c r="R275" s="16">
        <v>1418</v>
      </c>
      <c r="S275" s="16">
        <v>48</v>
      </c>
      <c r="T275" s="16">
        <v>40</v>
      </c>
      <c r="U275" s="16">
        <v>38</v>
      </c>
      <c r="V275" s="12">
        <f t="shared" si="106"/>
        <v>3.5294117647058822</v>
      </c>
      <c r="W275" s="12">
        <f t="shared" si="107"/>
        <v>2.9154518950437316</v>
      </c>
      <c r="X275" s="12">
        <f t="shared" si="108"/>
        <v>2.6798307475317347</v>
      </c>
      <c r="Y275" s="12">
        <f t="shared" si="103"/>
        <v>3.2224318298748069</v>
      </c>
    </row>
    <row r="276" spans="1:25" x14ac:dyDescent="0.3">
      <c r="A276" s="1" t="s">
        <v>349</v>
      </c>
      <c r="B276" s="1" t="s">
        <v>376</v>
      </c>
      <c r="C276" s="1" t="s">
        <v>379</v>
      </c>
      <c r="D276" s="1" t="s">
        <v>379</v>
      </c>
      <c r="E276" s="2">
        <v>70703</v>
      </c>
      <c r="F276" s="16">
        <v>864</v>
      </c>
      <c r="G276" s="16">
        <v>947</v>
      </c>
      <c r="H276" s="16">
        <v>961</v>
      </c>
      <c r="I276" s="16">
        <v>44</v>
      </c>
      <c r="J276" s="16">
        <v>67</v>
      </c>
      <c r="K276" s="16">
        <v>64</v>
      </c>
      <c r="L276" s="12">
        <f t="shared" si="104"/>
        <v>5.0925925925925926</v>
      </c>
      <c r="M276" s="12">
        <f t="shared" si="105"/>
        <v>7.0749736008447739</v>
      </c>
      <c r="N276" s="12">
        <f t="shared" si="109"/>
        <v>6.6597294484911558</v>
      </c>
      <c r="O276" s="12">
        <f t="shared" si="102"/>
        <v>6.2757652139761744</v>
      </c>
      <c r="P276" s="16">
        <v>1160</v>
      </c>
      <c r="Q276" s="16">
        <v>1222</v>
      </c>
      <c r="R276" s="16">
        <v>1287</v>
      </c>
      <c r="S276" s="16">
        <v>37</v>
      </c>
      <c r="T276" s="16">
        <v>49</v>
      </c>
      <c r="U276" s="16">
        <v>57</v>
      </c>
      <c r="V276" s="12">
        <f t="shared" si="106"/>
        <v>3.1896551724137931</v>
      </c>
      <c r="W276" s="12">
        <f t="shared" si="107"/>
        <v>4.0098199672667754</v>
      </c>
      <c r="X276" s="12">
        <f t="shared" si="108"/>
        <v>4.4289044289044286</v>
      </c>
      <c r="Y276" s="12">
        <f t="shared" si="103"/>
        <v>3.5997375698402845</v>
      </c>
    </row>
    <row r="277" spans="1:25" x14ac:dyDescent="0.3">
      <c r="A277" s="1" t="s">
        <v>349</v>
      </c>
      <c r="B277" s="1" t="s">
        <v>376</v>
      </c>
      <c r="C277" s="1" t="s">
        <v>380</v>
      </c>
      <c r="D277" s="1" t="s">
        <v>380</v>
      </c>
      <c r="E277" s="2">
        <v>70704</v>
      </c>
      <c r="F277" s="16">
        <v>208</v>
      </c>
      <c r="G277" s="16">
        <v>233</v>
      </c>
      <c r="H277" s="16">
        <v>228</v>
      </c>
      <c r="I277" s="16">
        <v>7</v>
      </c>
      <c r="J277" s="16">
        <v>14</v>
      </c>
      <c r="K277" s="16">
        <v>17</v>
      </c>
      <c r="L277" s="12">
        <f t="shared" si="104"/>
        <v>3.3653846153846154</v>
      </c>
      <c r="M277" s="12">
        <f t="shared" si="105"/>
        <v>6.0085836909871242</v>
      </c>
      <c r="N277" s="12">
        <f t="shared" si="109"/>
        <v>7.4561403508771926</v>
      </c>
      <c r="O277" s="12">
        <f t="shared" si="102"/>
        <v>5.6100362190829776</v>
      </c>
      <c r="P277" s="16">
        <v>236</v>
      </c>
      <c r="Q277" s="16">
        <v>212</v>
      </c>
      <c r="R277" s="16">
        <v>221</v>
      </c>
      <c r="S277" s="16">
        <v>8</v>
      </c>
      <c r="T277" s="16">
        <v>2</v>
      </c>
      <c r="U277" s="16">
        <v>5</v>
      </c>
      <c r="V277" s="12">
        <f t="shared" si="106"/>
        <v>3.3898305084745761</v>
      </c>
      <c r="W277" s="12">
        <f t="shared" si="107"/>
        <v>0.94339622641509435</v>
      </c>
      <c r="X277" s="12">
        <f t="shared" si="108"/>
        <v>2.2624434389140271</v>
      </c>
      <c r="Y277" s="12">
        <f t="shared" si="103"/>
        <v>2.1666133674448353</v>
      </c>
    </row>
    <row r="278" spans="1:25" x14ac:dyDescent="0.3">
      <c r="A278" s="1" t="s">
        <v>349</v>
      </c>
      <c r="B278" s="1" t="s">
        <v>376</v>
      </c>
      <c r="C278" s="1" t="s">
        <v>489</v>
      </c>
      <c r="D278" s="1" t="s">
        <v>381</v>
      </c>
      <c r="E278" s="2">
        <v>70705</v>
      </c>
      <c r="F278" s="16">
        <v>705</v>
      </c>
      <c r="G278" s="16">
        <v>724</v>
      </c>
      <c r="H278" s="16">
        <v>737</v>
      </c>
      <c r="I278" s="16">
        <v>47</v>
      </c>
      <c r="J278" s="16">
        <v>70</v>
      </c>
      <c r="K278" s="16">
        <v>51</v>
      </c>
      <c r="L278" s="12">
        <f t="shared" si="104"/>
        <v>6.666666666666667</v>
      </c>
      <c r="M278" s="12">
        <f t="shared" si="105"/>
        <v>9.6685082872928181</v>
      </c>
      <c r="N278" s="12">
        <f t="shared" si="109"/>
        <v>6.9199457259158752</v>
      </c>
      <c r="O278" s="12">
        <f t="shared" si="102"/>
        <v>7.7517068932917867</v>
      </c>
      <c r="P278" s="16">
        <v>836</v>
      </c>
      <c r="Q278" s="16">
        <v>834</v>
      </c>
      <c r="R278" s="16">
        <v>867</v>
      </c>
      <c r="S278" s="16">
        <v>23</v>
      </c>
      <c r="T278" s="16">
        <v>25</v>
      </c>
      <c r="U278" s="16">
        <v>42</v>
      </c>
      <c r="V278" s="12">
        <f t="shared" si="106"/>
        <v>2.7511961722488039</v>
      </c>
      <c r="W278" s="12">
        <f t="shared" si="107"/>
        <v>2.9976019184652278</v>
      </c>
      <c r="X278" s="12">
        <f t="shared" si="108"/>
        <v>4.844290657439446</v>
      </c>
      <c r="Y278" s="12">
        <f t="shared" si="103"/>
        <v>2.8743990453570158</v>
      </c>
    </row>
    <row r="279" spans="1:25" x14ac:dyDescent="0.3">
      <c r="A279" s="1" t="s">
        <v>349</v>
      </c>
      <c r="B279" s="1" t="s">
        <v>376</v>
      </c>
      <c r="C279" s="1" t="s">
        <v>382</v>
      </c>
      <c r="D279" s="1" t="s">
        <v>382</v>
      </c>
      <c r="E279" s="2">
        <v>70706</v>
      </c>
      <c r="F279" s="16">
        <v>2443</v>
      </c>
      <c r="G279" s="16">
        <v>2483</v>
      </c>
      <c r="H279" s="16">
        <v>2437</v>
      </c>
      <c r="I279" s="16">
        <v>104</v>
      </c>
      <c r="J279" s="16">
        <v>106</v>
      </c>
      <c r="K279" s="16">
        <v>103</v>
      </c>
      <c r="L279" s="12">
        <f t="shared" si="104"/>
        <v>4.2570609905853454</v>
      </c>
      <c r="M279" s="12">
        <f t="shared" si="105"/>
        <v>4.269029399919452</v>
      </c>
      <c r="N279" s="12">
        <f t="shared" si="109"/>
        <v>4.2265080016413625</v>
      </c>
      <c r="O279" s="12">
        <f t="shared" si="102"/>
        <v>4.2508661307153872</v>
      </c>
      <c r="P279" s="16">
        <v>1981</v>
      </c>
      <c r="Q279" s="16">
        <v>1898</v>
      </c>
      <c r="R279" s="16">
        <v>1923</v>
      </c>
      <c r="S279" s="16">
        <v>38</v>
      </c>
      <c r="T279" s="16">
        <v>33</v>
      </c>
      <c r="U279" s="16">
        <v>49</v>
      </c>
      <c r="V279" s="12">
        <f t="shared" si="106"/>
        <v>1.9182231196365473</v>
      </c>
      <c r="W279" s="12">
        <f t="shared" si="107"/>
        <v>1.738672286617492</v>
      </c>
      <c r="X279" s="12">
        <f t="shared" si="108"/>
        <v>2.5481019240769629</v>
      </c>
      <c r="Y279" s="12">
        <f t="shared" si="103"/>
        <v>1.8284477031270197</v>
      </c>
    </row>
    <row r="280" spans="1:25" x14ac:dyDescent="0.3">
      <c r="A280" s="1" t="s">
        <v>349</v>
      </c>
      <c r="B280" s="1" t="s">
        <v>376</v>
      </c>
      <c r="C280" s="1" t="s">
        <v>383</v>
      </c>
      <c r="D280" s="1" t="s">
        <v>383</v>
      </c>
      <c r="E280" s="2">
        <v>70707</v>
      </c>
      <c r="F280" s="16">
        <v>256</v>
      </c>
      <c r="G280" s="16">
        <v>251</v>
      </c>
      <c r="H280" s="16">
        <v>262</v>
      </c>
      <c r="I280" s="16">
        <v>20</v>
      </c>
      <c r="J280" s="16">
        <v>11</v>
      </c>
      <c r="K280" s="16">
        <v>27</v>
      </c>
      <c r="L280" s="12">
        <f t="shared" si="104"/>
        <v>7.8125</v>
      </c>
      <c r="M280" s="12">
        <f t="shared" si="105"/>
        <v>4.3824701195219129</v>
      </c>
      <c r="N280" s="12">
        <f t="shared" si="109"/>
        <v>10.305343511450381</v>
      </c>
      <c r="O280" s="12">
        <f t="shared" si="102"/>
        <v>7.5001045436574314</v>
      </c>
      <c r="P280" s="16">
        <v>256</v>
      </c>
      <c r="Q280" s="16">
        <v>251</v>
      </c>
      <c r="R280" s="16">
        <v>256</v>
      </c>
      <c r="S280" s="16">
        <v>3</v>
      </c>
      <c r="T280" s="16">
        <v>3</v>
      </c>
      <c r="U280" s="16">
        <v>7</v>
      </c>
      <c r="V280" s="12">
        <f t="shared" si="106"/>
        <v>1.171875</v>
      </c>
      <c r="W280" s="12">
        <f t="shared" si="107"/>
        <v>1.1952191235059761</v>
      </c>
      <c r="X280" s="12">
        <f t="shared" si="108"/>
        <v>2.734375</v>
      </c>
      <c r="Y280" s="12">
        <f t="shared" si="103"/>
        <v>1.183547061752988</v>
      </c>
    </row>
    <row r="281" spans="1:25" x14ac:dyDescent="0.3">
      <c r="A281" s="1" t="s">
        <v>349</v>
      </c>
      <c r="B281" s="1" t="s">
        <v>384</v>
      </c>
      <c r="C281" s="1" t="s">
        <v>384</v>
      </c>
      <c r="D281" s="1" t="s">
        <v>384</v>
      </c>
      <c r="E281" s="2">
        <v>70801</v>
      </c>
      <c r="F281" s="16">
        <v>942</v>
      </c>
      <c r="G281" s="16">
        <v>935</v>
      </c>
      <c r="H281" s="16">
        <v>986</v>
      </c>
      <c r="I281" s="16">
        <v>54</v>
      </c>
      <c r="J281" s="16">
        <v>57</v>
      </c>
      <c r="K281" s="16">
        <v>69</v>
      </c>
      <c r="L281" s="12">
        <f t="shared" si="104"/>
        <v>5.7324840764331215</v>
      </c>
      <c r="M281" s="12">
        <f t="shared" si="105"/>
        <v>6.0962566844919781</v>
      </c>
      <c r="N281" s="12">
        <f t="shared" si="109"/>
        <v>6.9979716024340775</v>
      </c>
      <c r="O281" s="12">
        <f t="shared" si="102"/>
        <v>6.2755707877863927</v>
      </c>
      <c r="P281" s="16">
        <v>763</v>
      </c>
      <c r="Q281" s="16">
        <v>848</v>
      </c>
      <c r="R281" s="16">
        <v>917</v>
      </c>
      <c r="S281" s="16">
        <v>11</v>
      </c>
      <c r="T281" s="16">
        <v>10</v>
      </c>
      <c r="U281" s="16">
        <v>8</v>
      </c>
      <c r="V281" s="12">
        <f t="shared" si="106"/>
        <v>1.4416775884665793</v>
      </c>
      <c r="W281" s="12">
        <f t="shared" si="107"/>
        <v>1.179245283018868</v>
      </c>
      <c r="X281" s="12">
        <f t="shared" si="108"/>
        <v>0.87241003271537632</v>
      </c>
      <c r="Y281" s="12">
        <f t="shared" si="103"/>
        <v>1.3104614357427238</v>
      </c>
    </row>
    <row r="282" spans="1:25" x14ac:dyDescent="0.3">
      <c r="A282" s="1" t="s">
        <v>349</v>
      </c>
      <c r="B282" s="1" t="s">
        <v>384</v>
      </c>
      <c r="C282" s="1" t="s">
        <v>385</v>
      </c>
      <c r="D282" s="1" t="s">
        <v>385</v>
      </c>
      <c r="E282" s="2">
        <v>70802</v>
      </c>
      <c r="F282" s="16">
        <v>86</v>
      </c>
      <c r="G282" s="16">
        <v>76</v>
      </c>
      <c r="H282" s="16">
        <v>73</v>
      </c>
      <c r="I282" s="16">
        <v>5</v>
      </c>
      <c r="J282" s="16">
        <v>11</v>
      </c>
      <c r="K282" s="16">
        <v>3</v>
      </c>
      <c r="L282" s="12">
        <f t="shared" si="104"/>
        <v>5.8139534883720927</v>
      </c>
      <c r="M282" s="12">
        <f t="shared" si="105"/>
        <v>14.473684210526317</v>
      </c>
      <c r="N282" s="12">
        <f t="shared" si="109"/>
        <v>4.10958904109589</v>
      </c>
      <c r="O282" s="12">
        <f t="shared" si="102"/>
        <v>8.1324089133314335</v>
      </c>
      <c r="P282" s="16">
        <v>74</v>
      </c>
      <c r="Q282" s="16">
        <v>82</v>
      </c>
      <c r="R282" s="16">
        <v>84</v>
      </c>
      <c r="S282" s="16">
        <v>1</v>
      </c>
      <c r="T282" s="16">
        <v>0</v>
      </c>
      <c r="U282" s="16"/>
      <c r="V282" s="12">
        <f t="shared" si="106"/>
        <v>1.3513513513513513</v>
      </c>
      <c r="W282" s="12">
        <f t="shared" si="107"/>
        <v>0</v>
      </c>
      <c r="X282" s="12">
        <f t="shared" si="108"/>
        <v>0</v>
      </c>
      <c r="Y282" s="12">
        <f t="shared" si="103"/>
        <v>0.67567567567567566</v>
      </c>
    </row>
    <row r="283" spans="1:25" x14ac:dyDescent="0.3">
      <c r="A283" s="1" t="s">
        <v>349</v>
      </c>
      <c r="B283" s="1" t="s">
        <v>384</v>
      </c>
      <c r="C283" s="1" t="s">
        <v>386</v>
      </c>
      <c r="D283" s="1" t="s">
        <v>386</v>
      </c>
      <c r="E283" s="2">
        <v>70803</v>
      </c>
      <c r="F283" s="16">
        <v>121</v>
      </c>
      <c r="G283" s="16">
        <v>127</v>
      </c>
      <c r="H283" s="16">
        <v>113</v>
      </c>
      <c r="I283" s="16">
        <v>10</v>
      </c>
      <c r="J283" s="16">
        <v>6</v>
      </c>
      <c r="K283" s="16">
        <v>14</v>
      </c>
      <c r="L283" s="12">
        <f t="shared" si="104"/>
        <v>8.2644628099173563</v>
      </c>
      <c r="M283" s="12">
        <f t="shared" si="105"/>
        <v>4.7244094488188972</v>
      </c>
      <c r="N283" s="12">
        <f t="shared" si="109"/>
        <v>12.389380530973451</v>
      </c>
      <c r="O283" s="12">
        <f t="shared" si="102"/>
        <v>8.4594175965699012</v>
      </c>
      <c r="P283" s="16">
        <v>103</v>
      </c>
      <c r="Q283" s="16">
        <v>112</v>
      </c>
      <c r="R283" s="16">
        <v>102</v>
      </c>
      <c r="S283" s="16">
        <v>7</v>
      </c>
      <c r="T283" s="16">
        <v>5</v>
      </c>
      <c r="U283" s="16">
        <v>2</v>
      </c>
      <c r="V283" s="12">
        <f t="shared" si="106"/>
        <v>6.7961165048543686</v>
      </c>
      <c r="W283" s="12">
        <f t="shared" si="107"/>
        <v>4.4642857142857144</v>
      </c>
      <c r="X283" s="12">
        <f t="shared" si="108"/>
        <v>1.9607843137254901</v>
      </c>
      <c r="Y283" s="12">
        <f t="shared" si="103"/>
        <v>5.6302011095700415</v>
      </c>
    </row>
    <row r="284" spans="1:25" x14ac:dyDescent="0.3">
      <c r="A284" s="1" t="s">
        <v>349</v>
      </c>
      <c r="B284" s="1" t="s">
        <v>384</v>
      </c>
      <c r="C284" s="1" t="s">
        <v>387</v>
      </c>
      <c r="D284" s="1" t="s">
        <v>387</v>
      </c>
      <c r="E284" s="2">
        <v>70804</v>
      </c>
      <c r="F284" s="16">
        <v>47</v>
      </c>
      <c r="G284" s="16">
        <v>55</v>
      </c>
      <c r="H284" s="16">
        <v>56</v>
      </c>
      <c r="I284" s="16">
        <v>2</v>
      </c>
      <c r="J284" s="16">
        <v>14</v>
      </c>
      <c r="K284" s="16">
        <v>9</v>
      </c>
      <c r="L284" s="12">
        <f t="shared" si="104"/>
        <v>4.2553191489361701</v>
      </c>
      <c r="M284" s="12">
        <f t="shared" si="105"/>
        <v>25.454545454545453</v>
      </c>
      <c r="N284" s="12">
        <f t="shared" si="109"/>
        <v>16.071428571428573</v>
      </c>
      <c r="O284" s="12">
        <f t="shared" si="102"/>
        <v>15.260431058303398</v>
      </c>
      <c r="P284" s="16">
        <v>67</v>
      </c>
      <c r="Q284" s="16">
        <v>67</v>
      </c>
      <c r="R284" s="16">
        <v>66</v>
      </c>
      <c r="S284" s="16">
        <v>0</v>
      </c>
      <c r="T284" s="16">
        <v>1</v>
      </c>
      <c r="U284" s="16">
        <v>1</v>
      </c>
      <c r="V284" s="12">
        <f t="shared" si="106"/>
        <v>0</v>
      </c>
      <c r="W284" s="12">
        <f t="shared" si="107"/>
        <v>1.4925373134328357</v>
      </c>
      <c r="X284" s="12">
        <f t="shared" si="108"/>
        <v>1.5151515151515151</v>
      </c>
      <c r="Y284" s="12">
        <f t="shared" si="103"/>
        <v>0.74626865671641784</v>
      </c>
    </row>
    <row r="285" spans="1:25" x14ac:dyDescent="0.3">
      <c r="A285" s="1" t="s">
        <v>349</v>
      </c>
      <c r="B285" s="1" t="s">
        <v>384</v>
      </c>
      <c r="C285" s="1" t="s">
        <v>388</v>
      </c>
      <c r="D285" s="1" t="s">
        <v>388</v>
      </c>
      <c r="E285" s="2">
        <v>70805</v>
      </c>
      <c r="F285" s="16">
        <v>46</v>
      </c>
      <c r="G285" s="16">
        <v>45</v>
      </c>
      <c r="H285" s="16">
        <v>47</v>
      </c>
      <c r="I285" s="16">
        <v>11</v>
      </c>
      <c r="J285" s="16">
        <v>1</v>
      </c>
      <c r="K285" s="16">
        <v>7</v>
      </c>
      <c r="L285" s="12">
        <f t="shared" si="104"/>
        <v>23.913043478260871</v>
      </c>
      <c r="M285" s="12">
        <f t="shared" si="105"/>
        <v>2.2222222222222223</v>
      </c>
      <c r="N285" s="12">
        <f t="shared" si="109"/>
        <v>14.893617021276595</v>
      </c>
      <c r="O285" s="12">
        <f t="shared" si="102"/>
        <v>13.676294240586563</v>
      </c>
      <c r="P285" s="16">
        <v>36</v>
      </c>
      <c r="Q285" s="16">
        <v>41</v>
      </c>
      <c r="R285" s="16">
        <v>36</v>
      </c>
      <c r="S285" s="16">
        <v>0</v>
      </c>
      <c r="T285" s="16">
        <v>0</v>
      </c>
      <c r="U285" s="16">
        <v>0</v>
      </c>
      <c r="V285" s="12">
        <f t="shared" si="106"/>
        <v>0</v>
      </c>
      <c r="W285" s="12">
        <f t="shared" si="107"/>
        <v>0</v>
      </c>
      <c r="X285" s="12">
        <f t="shared" si="108"/>
        <v>0</v>
      </c>
      <c r="Y285" s="12">
        <f t="shared" si="103"/>
        <v>0</v>
      </c>
    </row>
    <row r="286" spans="1:25" x14ac:dyDescent="0.3">
      <c r="A286" s="1" t="s">
        <v>349</v>
      </c>
      <c r="B286" s="1" t="s">
        <v>389</v>
      </c>
      <c r="C286" s="1" t="s">
        <v>390</v>
      </c>
      <c r="D286" s="1" t="s">
        <v>390</v>
      </c>
      <c r="E286" s="2">
        <v>70901</v>
      </c>
      <c r="F286" s="16">
        <v>503</v>
      </c>
      <c r="G286" s="16">
        <v>512</v>
      </c>
      <c r="H286" s="16">
        <v>490</v>
      </c>
      <c r="I286" s="16">
        <v>39</v>
      </c>
      <c r="J286" s="16">
        <v>36</v>
      </c>
      <c r="K286" s="16">
        <v>26</v>
      </c>
      <c r="L286" s="12">
        <f t="shared" si="104"/>
        <v>7.7534791252485098</v>
      </c>
      <c r="M286" s="12">
        <f t="shared" si="105"/>
        <v>7.03125</v>
      </c>
      <c r="N286" s="12">
        <f t="shared" si="109"/>
        <v>5.3061224489795915</v>
      </c>
      <c r="O286" s="12">
        <f t="shared" si="102"/>
        <v>6.696950524742701</v>
      </c>
      <c r="P286" s="16">
        <v>515</v>
      </c>
      <c r="Q286" s="16">
        <v>534</v>
      </c>
      <c r="R286" s="16">
        <v>584</v>
      </c>
      <c r="S286" s="16">
        <v>8</v>
      </c>
      <c r="T286" s="16">
        <v>12</v>
      </c>
      <c r="U286" s="16">
        <v>14</v>
      </c>
      <c r="V286" s="12">
        <f t="shared" si="106"/>
        <v>1.5533980582524272</v>
      </c>
      <c r="W286" s="12">
        <f t="shared" si="107"/>
        <v>2.2471910112359552</v>
      </c>
      <c r="X286" s="12">
        <f t="shared" si="108"/>
        <v>2.3972602739726026</v>
      </c>
      <c r="Y286" s="12">
        <f t="shared" si="103"/>
        <v>1.9002945347441913</v>
      </c>
    </row>
    <row r="287" spans="1:25" x14ac:dyDescent="0.3">
      <c r="A287" s="1" t="s">
        <v>349</v>
      </c>
      <c r="B287" s="1" t="s">
        <v>389</v>
      </c>
      <c r="C287" s="1" t="s">
        <v>490</v>
      </c>
      <c r="D287" s="1" t="s">
        <v>391</v>
      </c>
      <c r="E287" s="2">
        <v>70902</v>
      </c>
      <c r="F287" s="16">
        <v>370</v>
      </c>
      <c r="G287" s="16">
        <v>401</v>
      </c>
      <c r="H287" s="16">
        <v>440</v>
      </c>
      <c r="I287" s="16">
        <v>20</v>
      </c>
      <c r="J287" s="16">
        <v>18</v>
      </c>
      <c r="K287" s="16">
        <v>20</v>
      </c>
      <c r="L287" s="12">
        <f t="shared" si="104"/>
        <v>5.4054054054054053</v>
      </c>
      <c r="M287" s="12">
        <f t="shared" si="105"/>
        <v>4.4887780548628431</v>
      </c>
      <c r="N287" s="12">
        <f t="shared" si="109"/>
        <v>4.5454545454545459</v>
      </c>
      <c r="O287" s="12">
        <f t="shared" si="102"/>
        <v>4.8132126685742653</v>
      </c>
      <c r="P287" s="16">
        <v>495</v>
      </c>
      <c r="Q287" s="16">
        <v>545</v>
      </c>
      <c r="R287" s="16">
        <v>541</v>
      </c>
      <c r="S287" s="16">
        <v>10</v>
      </c>
      <c r="T287" s="16">
        <v>7</v>
      </c>
      <c r="U287" s="16">
        <v>9</v>
      </c>
      <c r="V287" s="12">
        <f t="shared" si="106"/>
        <v>2.0202020202020203</v>
      </c>
      <c r="W287" s="12">
        <f t="shared" si="107"/>
        <v>1.2844036697247707</v>
      </c>
      <c r="X287" s="12">
        <f t="shared" si="108"/>
        <v>1.6635859519408502</v>
      </c>
      <c r="Y287" s="12">
        <f t="shared" si="103"/>
        <v>1.6523028449633954</v>
      </c>
    </row>
    <row r="288" spans="1:25" x14ac:dyDescent="0.3">
      <c r="A288" s="1" t="s">
        <v>349</v>
      </c>
      <c r="B288" s="1" t="s">
        <v>389</v>
      </c>
      <c r="C288" s="1" t="s">
        <v>392</v>
      </c>
      <c r="D288" s="1" t="s">
        <v>392</v>
      </c>
      <c r="E288" s="2">
        <v>70903</v>
      </c>
      <c r="F288" s="16">
        <v>594</v>
      </c>
      <c r="G288" s="16">
        <v>594</v>
      </c>
      <c r="H288" s="16">
        <v>611</v>
      </c>
      <c r="I288" s="16">
        <v>41</v>
      </c>
      <c r="J288" s="16">
        <v>47</v>
      </c>
      <c r="K288" s="16">
        <v>39</v>
      </c>
      <c r="L288" s="12">
        <f t="shared" si="104"/>
        <v>6.9023569023569031</v>
      </c>
      <c r="M288" s="12">
        <f t="shared" si="105"/>
        <v>7.9124579124579126</v>
      </c>
      <c r="N288" s="12">
        <f t="shared" si="109"/>
        <v>6.3829787234042552</v>
      </c>
      <c r="O288" s="12">
        <f t="shared" si="102"/>
        <v>7.0659311794063582</v>
      </c>
      <c r="P288" s="16">
        <v>698</v>
      </c>
      <c r="Q288" s="16">
        <v>729</v>
      </c>
      <c r="R288" s="16">
        <v>738</v>
      </c>
      <c r="S288" s="16">
        <v>27</v>
      </c>
      <c r="T288" s="16">
        <v>37</v>
      </c>
      <c r="U288" s="16">
        <v>18</v>
      </c>
      <c r="V288" s="12">
        <f t="shared" si="106"/>
        <v>3.8681948424068766</v>
      </c>
      <c r="W288" s="12">
        <f t="shared" si="107"/>
        <v>5.0754458161865568</v>
      </c>
      <c r="X288" s="12">
        <f t="shared" si="108"/>
        <v>2.4390243902439024</v>
      </c>
      <c r="Y288" s="12">
        <f t="shared" si="103"/>
        <v>4.4718203292967171</v>
      </c>
    </row>
    <row r="289" spans="1:25" x14ac:dyDescent="0.3">
      <c r="A289" s="1" t="s">
        <v>349</v>
      </c>
      <c r="B289" s="1" t="s">
        <v>389</v>
      </c>
      <c r="C289" s="1" t="s">
        <v>393</v>
      </c>
      <c r="D289" s="1" t="s">
        <v>393</v>
      </c>
      <c r="E289" s="2">
        <v>70904</v>
      </c>
      <c r="F289" s="16">
        <v>64</v>
      </c>
      <c r="G289" s="16">
        <v>67</v>
      </c>
      <c r="H289" s="16">
        <v>69</v>
      </c>
      <c r="I289" s="16">
        <v>6</v>
      </c>
      <c r="J289" s="16">
        <v>2</v>
      </c>
      <c r="K289" s="16">
        <v>9</v>
      </c>
      <c r="L289" s="12">
        <f t="shared" si="104"/>
        <v>9.375</v>
      </c>
      <c r="M289" s="12">
        <f t="shared" si="105"/>
        <v>2.9850746268656714</v>
      </c>
      <c r="N289" s="12">
        <f t="shared" si="109"/>
        <v>13.043478260869565</v>
      </c>
      <c r="O289" s="12">
        <f t="shared" si="102"/>
        <v>8.467850962578412</v>
      </c>
      <c r="P289" s="16">
        <v>56</v>
      </c>
      <c r="Q289" s="16">
        <v>54</v>
      </c>
      <c r="R289" s="16">
        <v>60</v>
      </c>
      <c r="S289" s="16">
        <v>0</v>
      </c>
      <c r="T289" s="16">
        <v>1</v>
      </c>
      <c r="U289" s="16">
        <v>1</v>
      </c>
      <c r="V289" s="12">
        <f t="shared" si="106"/>
        <v>0</v>
      </c>
      <c r="W289" s="12">
        <f t="shared" si="107"/>
        <v>1.8518518518518516</v>
      </c>
      <c r="X289" s="12">
        <f t="shared" si="108"/>
        <v>1.6666666666666667</v>
      </c>
      <c r="Y289" s="12">
        <f t="shared" si="103"/>
        <v>0.92592592592592582</v>
      </c>
    </row>
    <row r="290" spans="1:25" x14ac:dyDescent="0.3">
      <c r="A290" s="1" t="s">
        <v>349</v>
      </c>
      <c r="B290" s="1" t="s">
        <v>394</v>
      </c>
      <c r="C290" s="1" t="s">
        <v>395</v>
      </c>
      <c r="D290" s="1" t="s">
        <v>395</v>
      </c>
      <c r="E290" s="2">
        <v>71001</v>
      </c>
      <c r="F290" s="16">
        <v>7177</v>
      </c>
      <c r="G290" s="16">
        <v>7453</v>
      </c>
      <c r="H290" s="16">
        <v>7571</v>
      </c>
      <c r="I290" s="16">
        <v>335</v>
      </c>
      <c r="J290" s="16">
        <v>468</v>
      </c>
      <c r="K290" s="16">
        <v>493</v>
      </c>
      <c r="L290" s="12">
        <f t="shared" si="104"/>
        <v>4.667688449212763</v>
      </c>
      <c r="M290" s="12">
        <f t="shared" si="105"/>
        <v>6.2793505970750036</v>
      </c>
      <c r="N290" s="12">
        <f t="shared" si="109"/>
        <v>6.5116893409060888</v>
      </c>
      <c r="O290" s="12">
        <f t="shared" si="102"/>
        <v>5.8195761290646182</v>
      </c>
      <c r="P290" s="16">
        <v>7754</v>
      </c>
      <c r="Q290" s="16">
        <v>7983</v>
      </c>
      <c r="R290" s="16">
        <v>8221</v>
      </c>
      <c r="S290" s="16">
        <v>243</v>
      </c>
      <c r="T290" s="16">
        <v>233</v>
      </c>
      <c r="U290" s="16">
        <v>265</v>
      </c>
      <c r="V290" s="12">
        <f t="shared" si="106"/>
        <v>3.1338663915398501</v>
      </c>
      <c r="W290" s="12">
        <f t="shared" si="107"/>
        <v>2.9187022422648128</v>
      </c>
      <c r="X290" s="12">
        <f t="shared" si="108"/>
        <v>3.2234521347767915</v>
      </c>
      <c r="Y290" s="12">
        <f t="shared" si="103"/>
        <v>3.0262843169023315</v>
      </c>
    </row>
    <row r="291" spans="1:25" x14ac:dyDescent="0.3">
      <c r="A291" s="1" t="s">
        <v>349</v>
      </c>
      <c r="B291" s="1" t="s">
        <v>394</v>
      </c>
      <c r="C291" s="1" t="s">
        <v>396</v>
      </c>
      <c r="D291" s="1" t="s">
        <v>396</v>
      </c>
      <c r="E291" s="2">
        <v>71002</v>
      </c>
      <c r="F291" s="16">
        <v>850</v>
      </c>
      <c r="G291" s="16">
        <v>868</v>
      </c>
      <c r="H291" s="16">
        <v>861</v>
      </c>
      <c r="I291" s="16">
        <v>64</v>
      </c>
      <c r="J291" s="16">
        <v>75</v>
      </c>
      <c r="K291" s="16">
        <v>65</v>
      </c>
      <c r="L291" s="12">
        <f t="shared" si="104"/>
        <v>7.5294117647058814</v>
      </c>
      <c r="M291" s="12">
        <f t="shared" si="105"/>
        <v>8.6405529953917046</v>
      </c>
      <c r="N291" s="12">
        <f t="shared" si="109"/>
        <v>7.5493612078977934</v>
      </c>
      <c r="O291" s="12">
        <f t="shared" si="102"/>
        <v>7.9064419893317925</v>
      </c>
      <c r="P291" s="16">
        <v>852</v>
      </c>
      <c r="Q291" s="16">
        <v>827</v>
      </c>
      <c r="R291" s="16">
        <v>845</v>
      </c>
      <c r="S291" s="16">
        <v>41</v>
      </c>
      <c r="T291" s="16">
        <v>23</v>
      </c>
      <c r="U291" s="16">
        <v>31</v>
      </c>
      <c r="V291" s="12">
        <f t="shared" si="106"/>
        <v>4.812206572769953</v>
      </c>
      <c r="W291" s="12">
        <f t="shared" si="107"/>
        <v>2.7811366384522369</v>
      </c>
      <c r="X291" s="12">
        <f t="shared" si="108"/>
        <v>3.6686390532544375</v>
      </c>
      <c r="Y291" s="12">
        <f t="shared" si="103"/>
        <v>3.796671605611095</v>
      </c>
    </row>
    <row r="292" spans="1:25" x14ac:dyDescent="0.3">
      <c r="A292" s="1" t="s">
        <v>349</v>
      </c>
      <c r="B292" s="1" t="s">
        <v>394</v>
      </c>
      <c r="C292" s="1" t="s">
        <v>397</v>
      </c>
      <c r="D292" s="1" t="s">
        <v>397</v>
      </c>
      <c r="E292" s="2">
        <v>71003</v>
      </c>
      <c r="F292" s="16">
        <v>1178</v>
      </c>
      <c r="G292" s="16">
        <v>1227</v>
      </c>
      <c r="H292" s="16">
        <v>1288</v>
      </c>
      <c r="I292" s="16">
        <v>83</v>
      </c>
      <c r="J292" s="16">
        <v>85</v>
      </c>
      <c r="K292" s="16">
        <v>125</v>
      </c>
      <c r="L292" s="12">
        <f t="shared" si="104"/>
        <v>7.0458404074702887</v>
      </c>
      <c r="M292" s="12">
        <f t="shared" si="105"/>
        <v>6.9274653626731864</v>
      </c>
      <c r="N292" s="12">
        <f t="shared" si="109"/>
        <v>9.7049689440993792</v>
      </c>
      <c r="O292" s="12">
        <f t="shared" si="102"/>
        <v>7.8927582380809511</v>
      </c>
      <c r="P292" s="16">
        <v>1364</v>
      </c>
      <c r="Q292" s="16">
        <v>1415</v>
      </c>
      <c r="R292" s="16">
        <v>1471</v>
      </c>
      <c r="S292" s="16">
        <v>37</v>
      </c>
      <c r="T292" s="16">
        <v>34</v>
      </c>
      <c r="U292" s="16">
        <v>74</v>
      </c>
      <c r="V292" s="12">
        <f t="shared" si="106"/>
        <v>2.7126099706744866</v>
      </c>
      <c r="W292" s="12">
        <f t="shared" si="107"/>
        <v>2.4028268551236751</v>
      </c>
      <c r="X292" s="12">
        <f t="shared" si="108"/>
        <v>5.0305914343983682</v>
      </c>
      <c r="Y292" s="12">
        <f t="shared" si="103"/>
        <v>2.5577184128990806</v>
      </c>
    </row>
    <row r="293" spans="1:25" x14ac:dyDescent="0.3">
      <c r="A293" s="1" t="s">
        <v>349</v>
      </c>
      <c r="B293" s="1" t="s">
        <v>394</v>
      </c>
      <c r="C293" s="1" t="s">
        <v>398</v>
      </c>
      <c r="D293" s="1" t="s">
        <v>398</v>
      </c>
      <c r="E293" s="2">
        <v>71004</v>
      </c>
      <c r="F293" s="16">
        <v>671</v>
      </c>
      <c r="G293" s="16">
        <v>691</v>
      </c>
      <c r="H293" s="16">
        <v>686</v>
      </c>
      <c r="I293" s="16">
        <v>41</v>
      </c>
      <c r="J293" s="16">
        <v>39</v>
      </c>
      <c r="K293" s="16">
        <v>60</v>
      </c>
      <c r="L293" s="12">
        <f t="shared" si="104"/>
        <v>6.1102831594634877</v>
      </c>
      <c r="M293" s="12">
        <f t="shared" si="105"/>
        <v>5.6439942112879882</v>
      </c>
      <c r="N293" s="12">
        <f t="shared" si="109"/>
        <v>8.7463556851311957</v>
      </c>
      <c r="O293" s="12">
        <f t="shared" si="102"/>
        <v>6.8335443519608914</v>
      </c>
      <c r="P293" s="16">
        <v>648</v>
      </c>
      <c r="Q293" s="16">
        <v>653</v>
      </c>
      <c r="R293" s="16">
        <v>677</v>
      </c>
      <c r="S293" s="16">
        <v>14</v>
      </c>
      <c r="T293" s="16">
        <v>16</v>
      </c>
      <c r="U293" s="16">
        <v>15</v>
      </c>
      <c r="V293" s="12">
        <f t="shared" si="106"/>
        <v>2.1604938271604937</v>
      </c>
      <c r="W293" s="12">
        <f t="shared" si="107"/>
        <v>2.4502297090352223</v>
      </c>
      <c r="X293" s="12">
        <f t="shared" si="108"/>
        <v>2.2156573116691285</v>
      </c>
      <c r="Y293" s="12">
        <f t="shared" si="103"/>
        <v>2.3053617680978578</v>
      </c>
    </row>
    <row r="294" spans="1:25" x14ac:dyDescent="0.3">
      <c r="A294" s="1" t="s">
        <v>349</v>
      </c>
      <c r="B294" s="1" t="s">
        <v>394</v>
      </c>
      <c r="C294" s="1" t="s">
        <v>290</v>
      </c>
      <c r="D294" s="1" t="s">
        <v>290</v>
      </c>
      <c r="E294" s="2">
        <v>71005</v>
      </c>
      <c r="F294" s="16">
        <v>763</v>
      </c>
      <c r="G294" s="16">
        <v>797</v>
      </c>
      <c r="H294" s="16">
        <v>796</v>
      </c>
      <c r="I294" s="16">
        <v>41</v>
      </c>
      <c r="J294" s="16">
        <v>53</v>
      </c>
      <c r="K294" s="16">
        <v>44</v>
      </c>
      <c r="L294" s="12">
        <f t="shared" si="104"/>
        <v>5.3735255570117957</v>
      </c>
      <c r="M294" s="12">
        <f t="shared" si="105"/>
        <v>6.6499372647427846</v>
      </c>
      <c r="N294" s="12">
        <f t="shared" si="109"/>
        <v>5.5276381909547743</v>
      </c>
      <c r="O294" s="12">
        <f t="shared" si="102"/>
        <v>5.8503670042364524</v>
      </c>
      <c r="P294" s="16">
        <v>822</v>
      </c>
      <c r="Q294" s="16">
        <v>805</v>
      </c>
      <c r="R294" s="16">
        <v>805</v>
      </c>
      <c r="S294" s="16">
        <v>25</v>
      </c>
      <c r="T294" s="16">
        <v>13</v>
      </c>
      <c r="U294" s="16">
        <v>23</v>
      </c>
      <c r="V294" s="12">
        <f t="shared" si="106"/>
        <v>3.0413625304136254</v>
      </c>
      <c r="W294" s="12">
        <f t="shared" si="107"/>
        <v>1.6149068322981366</v>
      </c>
      <c r="X294" s="12">
        <f t="shared" si="108"/>
        <v>2.8571428571428572</v>
      </c>
      <c r="Y294" s="12">
        <f t="shared" si="103"/>
        <v>2.328134681355881</v>
      </c>
    </row>
    <row r="295" spans="1:25" x14ac:dyDescent="0.3">
      <c r="A295" s="1" t="s">
        <v>349</v>
      </c>
      <c r="B295" s="1" t="s">
        <v>399</v>
      </c>
      <c r="C295" s="1" t="s">
        <v>342</v>
      </c>
      <c r="D295" s="1" t="s">
        <v>342</v>
      </c>
      <c r="E295" s="2">
        <v>71101</v>
      </c>
      <c r="F295" s="16">
        <v>956</v>
      </c>
      <c r="G295" s="16">
        <v>991</v>
      </c>
      <c r="H295" s="16">
        <v>1085</v>
      </c>
      <c r="I295" s="16">
        <v>69</v>
      </c>
      <c r="J295" s="16">
        <v>59</v>
      </c>
      <c r="K295" s="16">
        <v>69</v>
      </c>
      <c r="L295" s="12">
        <f t="shared" si="104"/>
        <v>7.2175732217573216</v>
      </c>
      <c r="M295" s="12">
        <f t="shared" si="105"/>
        <v>5.9535822401614524</v>
      </c>
      <c r="N295" s="12">
        <f t="shared" si="109"/>
        <v>6.3594470046082945</v>
      </c>
      <c r="O295" s="12">
        <f t="shared" si="102"/>
        <v>6.5102008221756895</v>
      </c>
      <c r="P295" s="16">
        <v>1475</v>
      </c>
      <c r="Q295" s="16">
        <v>1502</v>
      </c>
      <c r="R295" s="16">
        <v>1612</v>
      </c>
      <c r="S295" s="16">
        <v>25</v>
      </c>
      <c r="T295" s="16">
        <v>35</v>
      </c>
      <c r="U295" s="16">
        <v>49</v>
      </c>
      <c r="V295" s="12">
        <f t="shared" si="106"/>
        <v>1.6949152542372881</v>
      </c>
      <c r="W295" s="12">
        <f t="shared" si="107"/>
        <v>2.3302263648468711</v>
      </c>
      <c r="X295" s="12">
        <f t="shared" si="108"/>
        <v>3.0397022332506203</v>
      </c>
      <c r="Y295" s="12">
        <f t="shared" si="103"/>
        <v>2.0125708095420798</v>
      </c>
    </row>
    <row r="296" spans="1:25" x14ac:dyDescent="0.3">
      <c r="A296" s="1" t="s">
        <v>349</v>
      </c>
      <c r="B296" s="1" t="s">
        <v>399</v>
      </c>
      <c r="C296" s="1" t="s">
        <v>400</v>
      </c>
      <c r="D296" s="1" t="s">
        <v>400</v>
      </c>
      <c r="E296" s="2">
        <v>71102</v>
      </c>
      <c r="F296" s="16">
        <v>753</v>
      </c>
      <c r="G296" s="16">
        <v>795</v>
      </c>
      <c r="H296" s="16">
        <v>829</v>
      </c>
      <c r="I296" s="16">
        <v>54</v>
      </c>
      <c r="J296" s="16">
        <v>54</v>
      </c>
      <c r="K296" s="16">
        <v>61</v>
      </c>
      <c r="L296" s="12">
        <f t="shared" si="104"/>
        <v>7.1713147410358573</v>
      </c>
      <c r="M296" s="12">
        <f t="shared" si="105"/>
        <v>6.7924528301886795</v>
      </c>
      <c r="N296" s="12">
        <f t="shared" si="109"/>
        <v>7.3582629674306403</v>
      </c>
      <c r="O296" s="12">
        <f t="shared" si="102"/>
        <v>7.1073435128850591</v>
      </c>
      <c r="P296" s="16">
        <v>770</v>
      </c>
      <c r="Q296" s="16">
        <v>791</v>
      </c>
      <c r="R296" s="16">
        <v>804</v>
      </c>
      <c r="S296" s="16">
        <v>22</v>
      </c>
      <c r="T296" s="16">
        <v>11</v>
      </c>
      <c r="U296" s="16">
        <v>21</v>
      </c>
      <c r="V296" s="12">
        <f t="shared" si="106"/>
        <v>2.8571428571428572</v>
      </c>
      <c r="W296" s="12">
        <f t="shared" si="107"/>
        <v>1.390644753476612</v>
      </c>
      <c r="X296" s="12">
        <f t="shared" si="108"/>
        <v>2.6119402985074625</v>
      </c>
      <c r="Y296" s="12">
        <f t="shared" si="103"/>
        <v>2.1238938053097347</v>
      </c>
    </row>
    <row r="297" spans="1:25" x14ac:dyDescent="0.3">
      <c r="A297" s="1" t="s">
        <v>349</v>
      </c>
      <c r="B297" s="1" t="s">
        <v>399</v>
      </c>
      <c r="C297" s="1" t="s">
        <v>401</v>
      </c>
      <c r="D297" s="1" t="s">
        <v>401</v>
      </c>
      <c r="E297" s="2">
        <v>71103</v>
      </c>
      <c r="F297" s="16">
        <v>428</v>
      </c>
      <c r="G297" s="16">
        <v>464</v>
      </c>
      <c r="H297" s="16">
        <v>447</v>
      </c>
      <c r="I297" s="16">
        <v>36</v>
      </c>
      <c r="J297" s="16">
        <v>46</v>
      </c>
      <c r="K297" s="16">
        <v>43</v>
      </c>
      <c r="L297" s="12">
        <f t="shared" ref="L297:L328" si="110">(I297/F297)*100</f>
        <v>8.4112149532710276</v>
      </c>
      <c r="M297" s="12">
        <f t="shared" ref="M297:M328" si="111">(J297/G297)*100</f>
        <v>9.9137931034482758</v>
      </c>
      <c r="N297" s="12">
        <f t="shared" si="109"/>
        <v>9.6196868008948542</v>
      </c>
      <c r="O297" s="12">
        <f t="shared" si="102"/>
        <v>9.3148982858713865</v>
      </c>
      <c r="P297" s="16">
        <v>460</v>
      </c>
      <c r="Q297" s="16">
        <v>473</v>
      </c>
      <c r="R297" s="16">
        <v>486</v>
      </c>
      <c r="S297" s="16">
        <v>14</v>
      </c>
      <c r="T297" s="16">
        <v>23</v>
      </c>
      <c r="U297" s="16">
        <v>17</v>
      </c>
      <c r="V297" s="12">
        <f t="shared" si="106"/>
        <v>3.0434782608695654</v>
      </c>
      <c r="W297" s="12">
        <f t="shared" si="107"/>
        <v>4.8625792811839323</v>
      </c>
      <c r="X297" s="12">
        <f t="shared" si="108"/>
        <v>3.4979423868312756</v>
      </c>
      <c r="Y297" s="12">
        <f t="shared" si="103"/>
        <v>3.9530287710267489</v>
      </c>
    </row>
    <row r="298" spans="1:25" x14ac:dyDescent="0.3">
      <c r="A298" s="1" t="s">
        <v>349</v>
      </c>
      <c r="B298" s="1" t="s">
        <v>399</v>
      </c>
      <c r="C298" s="1" t="s">
        <v>402</v>
      </c>
      <c r="D298" s="1" t="s">
        <v>402</v>
      </c>
      <c r="E298" s="2">
        <v>71104</v>
      </c>
      <c r="F298" s="16">
        <v>2737</v>
      </c>
      <c r="G298" s="16">
        <v>2794</v>
      </c>
      <c r="H298" s="16">
        <v>2878</v>
      </c>
      <c r="I298" s="16">
        <v>214</v>
      </c>
      <c r="J298" s="16">
        <v>212</v>
      </c>
      <c r="K298" s="16">
        <v>203</v>
      </c>
      <c r="L298" s="12">
        <f t="shared" si="110"/>
        <v>7.8187796857873586</v>
      </c>
      <c r="M298" s="12">
        <f t="shared" si="111"/>
        <v>7.5876879026485327</v>
      </c>
      <c r="N298" s="12">
        <f t="shared" si="109"/>
        <v>7.0535093815149414</v>
      </c>
      <c r="O298" s="12">
        <f t="shared" si="102"/>
        <v>7.4866589899836109</v>
      </c>
      <c r="P298" s="16">
        <v>2822</v>
      </c>
      <c r="Q298" s="16">
        <v>2889</v>
      </c>
      <c r="R298" s="16">
        <v>2983</v>
      </c>
      <c r="S298" s="16">
        <v>63</v>
      </c>
      <c r="T298" s="16">
        <v>57</v>
      </c>
      <c r="U298" s="16">
        <v>74</v>
      </c>
      <c r="V298" s="12">
        <f t="shared" si="106"/>
        <v>2.2324592487597448</v>
      </c>
      <c r="W298" s="12">
        <f t="shared" si="107"/>
        <v>1.9730010384215992</v>
      </c>
      <c r="X298" s="12">
        <f t="shared" si="108"/>
        <v>2.48072410325176</v>
      </c>
      <c r="Y298" s="12">
        <f t="shared" si="103"/>
        <v>2.102730143590672</v>
      </c>
    </row>
    <row r="299" spans="1:25" x14ac:dyDescent="0.3">
      <c r="A299" s="1" t="s">
        <v>349</v>
      </c>
      <c r="B299" s="1" t="s">
        <v>399</v>
      </c>
      <c r="C299" s="1" t="s">
        <v>403</v>
      </c>
      <c r="D299" s="1" t="s">
        <v>403</v>
      </c>
      <c r="E299" s="2">
        <v>71105</v>
      </c>
      <c r="F299" s="16">
        <v>355</v>
      </c>
      <c r="G299" s="16">
        <v>371</v>
      </c>
      <c r="H299" s="16">
        <v>395</v>
      </c>
      <c r="I299" s="16">
        <v>22</v>
      </c>
      <c r="J299" s="16">
        <v>19</v>
      </c>
      <c r="K299" s="16">
        <v>11</v>
      </c>
      <c r="L299" s="12">
        <f t="shared" si="110"/>
        <v>6.197183098591549</v>
      </c>
      <c r="M299" s="12">
        <f t="shared" si="111"/>
        <v>5.1212938005390836</v>
      </c>
      <c r="N299" s="12">
        <f t="shared" si="109"/>
        <v>2.7848101265822782</v>
      </c>
      <c r="O299" s="12">
        <f t="shared" si="102"/>
        <v>4.7010956752376378</v>
      </c>
      <c r="P299" s="16">
        <v>377</v>
      </c>
      <c r="Q299" s="16">
        <v>347</v>
      </c>
      <c r="R299" s="16">
        <v>347</v>
      </c>
      <c r="S299" s="16">
        <v>7</v>
      </c>
      <c r="T299" s="16">
        <v>9</v>
      </c>
      <c r="U299" s="16">
        <v>7</v>
      </c>
      <c r="V299" s="12">
        <f t="shared" si="106"/>
        <v>1.8567639257294428</v>
      </c>
      <c r="W299" s="12">
        <f t="shared" si="107"/>
        <v>2.5936599423631126</v>
      </c>
      <c r="X299" s="12">
        <f t="shared" si="108"/>
        <v>2.0172910662824206</v>
      </c>
      <c r="Y299" s="12">
        <f t="shared" si="103"/>
        <v>2.2252119340462775</v>
      </c>
    </row>
    <row r="300" spans="1:25" x14ac:dyDescent="0.3">
      <c r="A300" s="1" t="s">
        <v>349</v>
      </c>
      <c r="B300" s="1" t="s">
        <v>399</v>
      </c>
      <c r="C300" s="1" t="s">
        <v>404</v>
      </c>
      <c r="D300" s="1" t="s">
        <v>404</v>
      </c>
      <c r="E300" s="2">
        <v>71106</v>
      </c>
      <c r="F300" s="16">
        <v>1010</v>
      </c>
      <c r="G300" s="16">
        <v>1070</v>
      </c>
      <c r="H300" s="16">
        <v>1107</v>
      </c>
      <c r="I300" s="16">
        <v>62</v>
      </c>
      <c r="J300" s="16">
        <v>66</v>
      </c>
      <c r="K300" s="16">
        <v>84</v>
      </c>
      <c r="L300" s="12">
        <f t="shared" si="110"/>
        <v>6.1386138613861387</v>
      </c>
      <c r="M300" s="12">
        <f t="shared" si="111"/>
        <v>6.1682242990654199</v>
      </c>
      <c r="N300" s="12">
        <f t="shared" si="109"/>
        <v>7.5880758807588071</v>
      </c>
      <c r="O300" s="12">
        <f t="shared" si="102"/>
        <v>6.6316380137367892</v>
      </c>
      <c r="P300" s="16">
        <v>1162</v>
      </c>
      <c r="Q300" s="16">
        <v>1183</v>
      </c>
      <c r="R300" s="16">
        <v>1138</v>
      </c>
      <c r="S300" s="16">
        <v>22</v>
      </c>
      <c r="T300" s="16">
        <v>24</v>
      </c>
      <c r="U300" s="16">
        <v>22</v>
      </c>
      <c r="V300" s="12">
        <f t="shared" ref="V300:V331" si="112">(S300/P300)*100</f>
        <v>1.8932874354561102</v>
      </c>
      <c r="W300" s="12">
        <f t="shared" ref="W300:W331" si="113">(T300/Q300)*100</f>
        <v>2.0287404902789516</v>
      </c>
      <c r="X300" s="12">
        <f t="shared" si="108"/>
        <v>1.9332161687170473</v>
      </c>
      <c r="Y300" s="12">
        <f t="shared" si="103"/>
        <v>1.9610139628675309</v>
      </c>
    </row>
    <row r="301" spans="1:25" x14ac:dyDescent="0.3">
      <c r="A301" s="1" t="s">
        <v>349</v>
      </c>
      <c r="B301" s="1" t="s">
        <v>405</v>
      </c>
      <c r="C301" s="1" t="s">
        <v>406</v>
      </c>
      <c r="D301" s="1" t="s">
        <v>406</v>
      </c>
      <c r="E301" s="2">
        <v>71201</v>
      </c>
      <c r="F301" s="16">
        <v>749</v>
      </c>
      <c r="G301" s="16">
        <v>767</v>
      </c>
      <c r="H301" s="16">
        <v>792</v>
      </c>
      <c r="I301" s="16">
        <v>83</v>
      </c>
      <c r="J301" s="16">
        <v>84</v>
      </c>
      <c r="K301" s="16">
        <v>65</v>
      </c>
      <c r="L301" s="12">
        <f t="shared" si="110"/>
        <v>11.081441922563418</v>
      </c>
      <c r="M301" s="12">
        <f t="shared" si="111"/>
        <v>10.951760104302476</v>
      </c>
      <c r="N301" s="12">
        <f t="shared" si="109"/>
        <v>8.2070707070707076</v>
      </c>
      <c r="O301" s="12">
        <f t="shared" si="102"/>
        <v>10.080090911312199</v>
      </c>
      <c r="P301" s="16">
        <v>899</v>
      </c>
      <c r="Q301" s="16">
        <v>867</v>
      </c>
      <c r="R301" s="16">
        <v>870</v>
      </c>
      <c r="S301" s="16">
        <v>28</v>
      </c>
      <c r="T301" s="16">
        <v>20</v>
      </c>
      <c r="U301" s="16">
        <v>39</v>
      </c>
      <c r="V301" s="12">
        <f t="shared" si="112"/>
        <v>3.1145717463848719</v>
      </c>
      <c r="W301" s="12">
        <f t="shared" si="113"/>
        <v>2.306805074971165</v>
      </c>
      <c r="X301" s="12">
        <f t="shared" ref="X301:X332" si="114">(U301/R301)*100</f>
        <v>4.4827586206896548</v>
      </c>
      <c r="Y301" s="12">
        <f t="shared" si="103"/>
        <v>2.7106884106780185</v>
      </c>
    </row>
    <row r="302" spans="1:25" x14ac:dyDescent="0.3">
      <c r="A302" s="1" t="s">
        <v>349</v>
      </c>
      <c r="B302" s="1" t="s">
        <v>407</v>
      </c>
      <c r="C302" s="1" t="s">
        <v>408</v>
      </c>
      <c r="D302" s="1" t="s">
        <v>408</v>
      </c>
      <c r="E302" s="2">
        <v>71301</v>
      </c>
      <c r="F302" s="16">
        <v>899</v>
      </c>
      <c r="G302" s="16">
        <v>930</v>
      </c>
      <c r="H302" s="16">
        <v>962</v>
      </c>
      <c r="I302" s="16">
        <v>44</v>
      </c>
      <c r="J302" s="16">
        <v>54</v>
      </c>
      <c r="K302" s="16">
        <v>48</v>
      </c>
      <c r="L302" s="12">
        <f t="shared" si="110"/>
        <v>4.894327030033371</v>
      </c>
      <c r="M302" s="12">
        <f t="shared" si="111"/>
        <v>5.806451612903226</v>
      </c>
      <c r="N302" s="12">
        <f t="shared" si="109"/>
        <v>4.9896049896049899</v>
      </c>
      <c r="O302" s="12">
        <f t="shared" si="102"/>
        <v>5.2301278775138629</v>
      </c>
      <c r="P302" s="16">
        <v>994</v>
      </c>
      <c r="Q302" s="16">
        <v>1014</v>
      </c>
      <c r="R302" s="16">
        <v>1017</v>
      </c>
      <c r="S302" s="16">
        <v>29</v>
      </c>
      <c r="T302" s="16">
        <v>39</v>
      </c>
      <c r="U302" s="16">
        <v>41</v>
      </c>
      <c r="V302" s="12">
        <f t="shared" si="112"/>
        <v>2.9175050301810868</v>
      </c>
      <c r="W302" s="12">
        <f t="shared" si="113"/>
        <v>3.8461538461538463</v>
      </c>
      <c r="X302" s="12">
        <f t="shared" si="114"/>
        <v>4.0314650934119962</v>
      </c>
      <c r="Y302" s="12">
        <f t="shared" si="103"/>
        <v>3.3818294381674665</v>
      </c>
    </row>
    <row r="303" spans="1:25" x14ac:dyDescent="0.3">
      <c r="A303" s="1" t="s">
        <v>349</v>
      </c>
      <c r="B303" s="1" t="s">
        <v>407</v>
      </c>
      <c r="C303" s="1" t="s">
        <v>409</v>
      </c>
      <c r="D303" s="1" t="s">
        <v>409</v>
      </c>
      <c r="E303" s="2">
        <v>71302</v>
      </c>
      <c r="F303" s="16">
        <v>269</v>
      </c>
      <c r="G303" s="16">
        <v>286</v>
      </c>
      <c r="H303" s="16">
        <v>291</v>
      </c>
      <c r="I303" s="16">
        <v>19</v>
      </c>
      <c r="J303" s="16">
        <v>21</v>
      </c>
      <c r="K303" s="16">
        <v>19</v>
      </c>
      <c r="L303" s="12">
        <f t="shared" si="110"/>
        <v>7.0631970260223049</v>
      </c>
      <c r="M303" s="12">
        <f t="shared" si="111"/>
        <v>7.3426573426573425</v>
      </c>
      <c r="N303" s="12">
        <f t="shared" si="109"/>
        <v>6.5292096219931279</v>
      </c>
      <c r="O303" s="12">
        <f t="shared" si="102"/>
        <v>6.9783546635575924</v>
      </c>
      <c r="P303" s="16">
        <v>340</v>
      </c>
      <c r="Q303" s="16">
        <v>360</v>
      </c>
      <c r="R303" s="16">
        <v>359</v>
      </c>
      <c r="S303" s="16">
        <v>6</v>
      </c>
      <c r="T303" s="16">
        <v>7</v>
      </c>
      <c r="U303" s="16">
        <v>8</v>
      </c>
      <c r="V303" s="12">
        <f t="shared" si="112"/>
        <v>1.7647058823529411</v>
      </c>
      <c r="W303" s="12">
        <f t="shared" si="113"/>
        <v>1.9444444444444444</v>
      </c>
      <c r="X303" s="12">
        <f t="shared" si="114"/>
        <v>2.2284122562674096</v>
      </c>
      <c r="Y303" s="12">
        <f t="shared" si="103"/>
        <v>1.8545751633986929</v>
      </c>
    </row>
    <row r="304" spans="1:25" x14ac:dyDescent="0.3">
      <c r="A304" s="1" t="s">
        <v>349</v>
      </c>
      <c r="B304" s="1" t="s">
        <v>410</v>
      </c>
      <c r="C304" s="1" t="s">
        <v>491</v>
      </c>
      <c r="D304" s="1" t="s">
        <v>411</v>
      </c>
      <c r="E304" s="2">
        <v>71401</v>
      </c>
      <c r="F304" s="16">
        <v>1002</v>
      </c>
      <c r="G304" s="16">
        <v>965</v>
      </c>
      <c r="H304" s="16">
        <v>944</v>
      </c>
      <c r="I304" s="16">
        <v>53</v>
      </c>
      <c r="J304" s="16">
        <v>53</v>
      </c>
      <c r="K304" s="16">
        <v>47</v>
      </c>
      <c r="L304" s="12">
        <f t="shared" si="110"/>
        <v>5.2894211576846306</v>
      </c>
      <c r="M304" s="12">
        <f t="shared" si="111"/>
        <v>5.4922279792746114</v>
      </c>
      <c r="N304" s="12">
        <f t="shared" ref="N304:N337" si="115">(K304/H304)*100</f>
        <v>4.9788135593220337</v>
      </c>
      <c r="O304" s="12">
        <f t="shared" si="102"/>
        <v>5.2534875654270925</v>
      </c>
      <c r="P304" s="16">
        <v>894</v>
      </c>
      <c r="Q304" s="16">
        <v>917</v>
      </c>
      <c r="R304" s="16">
        <v>919</v>
      </c>
      <c r="S304" s="16">
        <v>23</v>
      </c>
      <c r="T304" s="16">
        <v>30</v>
      </c>
      <c r="U304" s="16">
        <v>40</v>
      </c>
      <c r="V304" s="12">
        <f t="shared" si="112"/>
        <v>2.5727069351230423</v>
      </c>
      <c r="W304" s="12">
        <f t="shared" si="113"/>
        <v>3.2715376226826609</v>
      </c>
      <c r="X304" s="12">
        <f t="shared" si="114"/>
        <v>4.3525571273122958</v>
      </c>
      <c r="Y304" s="12">
        <f t="shared" si="103"/>
        <v>2.9221222789028518</v>
      </c>
    </row>
    <row r="305" spans="1:25" x14ac:dyDescent="0.3">
      <c r="A305" s="1" t="s">
        <v>349</v>
      </c>
      <c r="B305" s="1" t="s">
        <v>410</v>
      </c>
      <c r="C305" s="1" t="s">
        <v>412</v>
      </c>
      <c r="D305" s="1" t="s">
        <v>412</v>
      </c>
      <c r="E305" s="2">
        <v>71402</v>
      </c>
      <c r="F305" s="16">
        <v>859</v>
      </c>
      <c r="G305" s="16">
        <v>897</v>
      </c>
      <c r="H305" s="16">
        <v>952</v>
      </c>
      <c r="I305" s="16">
        <v>53</v>
      </c>
      <c r="J305" s="16">
        <v>57</v>
      </c>
      <c r="K305" s="16">
        <v>76</v>
      </c>
      <c r="L305" s="12">
        <f t="shared" si="110"/>
        <v>6.1699650756693831</v>
      </c>
      <c r="M305" s="12">
        <f t="shared" si="111"/>
        <v>6.3545150501672243</v>
      </c>
      <c r="N305" s="12">
        <f t="shared" si="115"/>
        <v>7.9831932773109235</v>
      </c>
      <c r="O305" s="12">
        <f t="shared" si="102"/>
        <v>6.8358911343825106</v>
      </c>
      <c r="P305" s="16">
        <v>954</v>
      </c>
      <c r="Q305" s="16">
        <v>930</v>
      </c>
      <c r="R305" s="16">
        <v>956</v>
      </c>
      <c r="S305" s="16">
        <v>38</v>
      </c>
      <c r="T305" s="16">
        <v>24</v>
      </c>
      <c r="U305" s="16">
        <v>29</v>
      </c>
      <c r="V305" s="12">
        <f t="shared" si="112"/>
        <v>3.9832285115303985</v>
      </c>
      <c r="W305" s="12">
        <f t="shared" si="113"/>
        <v>2.5806451612903225</v>
      </c>
      <c r="X305" s="12">
        <f t="shared" si="114"/>
        <v>3.0334728033472804</v>
      </c>
      <c r="Y305" s="12">
        <f t="shared" si="103"/>
        <v>3.2819368364103605</v>
      </c>
    </row>
    <row r="306" spans="1:25" x14ac:dyDescent="0.3">
      <c r="A306" s="1" t="s">
        <v>349</v>
      </c>
      <c r="B306" s="1" t="s">
        <v>410</v>
      </c>
      <c r="C306" s="1" t="s">
        <v>413</v>
      </c>
      <c r="D306" s="1" t="s">
        <v>413</v>
      </c>
      <c r="E306" s="2">
        <v>71403</v>
      </c>
      <c r="F306" s="16">
        <v>257</v>
      </c>
      <c r="G306" s="16">
        <v>261</v>
      </c>
      <c r="H306" s="16">
        <v>264</v>
      </c>
      <c r="I306" s="16">
        <v>30</v>
      </c>
      <c r="J306" s="16">
        <v>26</v>
      </c>
      <c r="K306" s="16">
        <v>23</v>
      </c>
      <c r="L306" s="12">
        <f t="shared" si="110"/>
        <v>11.673151750972762</v>
      </c>
      <c r="M306" s="12">
        <f t="shared" si="111"/>
        <v>9.9616858237547881</v>
      </c>
      <c r="N306" s="12">
        <f t="shared" si="115"/>
        <v>8.7121212121212128</v>
      </c>
      <c r="O306" s="12">
        <f t="shared" si="102"/>
        <v>10.115652928949586</v>
      </c>
      <c r="P306" s="16">
        <v>316</v>
      </c>
      <c r="Q306" s="16">
        <v>330</v>
      </c>
      <c r="R306" s="16">
        <v>344</v>
      </c>
      <c r="S306" s="16">
        <v>16</v>
      </c>
      <c r="T306" s="16">
        <v>14</v>
      </c>
      <c r="U306" s="16">
        <v>12</v>
      </c>
      <c r="V306" s="12">
        <f t="shared" si="112"/>
        <v>5.0632911392405067</v>
      </c>
      <c r="W306" s="12">
        <f t="shared" si="113"/>
        <v>4.2424242424242431</v>
      </c>
      <c r="X306" s="12">
        <f t="shared" si="114"/>
        <v>3.4883720930232558</v>
      </c>
      <c r="Y306" s="12">
        <f t="shared" si="103"/>
        <v>4.6528576908323753</v>
      </c>
    </row>
    <row r="307" spans="1:25" x14ac:dyDescent="0.3">
      <c r="A307" s="1" t="s">
        <v>349</v>
      </c>
      <c r="B307" s="1" t="s">
        <v>414</v>
      </c>
      <c r="C307" s="1" t="s">
        <v>415</v>
      </c>
      <c r="D307" s="1" t="s">
        <v>415</v>
      </c>
      <c r="E307" s="2">
        <v>71501</v>
      </c>
      <c r="F307" s="16">
        <v>1388</v>
      </c>
      <c r="G307" s="16">
        <v>1425</v>
      </c>
      <c r="H307" s="16">
        <v>1461</v>
      </c>
      <c r="I307" s="16">
        <v>154</v>
      </c>
      <c r="J307" s="16">
        <v>150</v>
      </c>
      <c r="K307" s="16">
        <v>127</v>
      </c>
      <c r="L307" s="12">
        <f t="shared" si="110"/>
        <v>11.095100864553315</v>
      </c>
      <c r="M307" s="12">
        <f t="shared" si="111"/>
        <v>10.526315789473683</v>
      </c>
      <c r="N307" s="12">
        <f t="shared" si="115"/>
        <v>8.6926762491444212</v>
      </c>
      <c r="O307" s="12">
        <f t="shared" si="102"/>
        <v>10.104697634390474</v>
      </c>
      <c r="P307" s="16">
        <v>1903</v>
      </c>
      <c r="Q307" s="16">
        <v>1956</v>
      </c>
      <c r="R307" s="16">
        <v>1954</v>
      </c>
      <c r="S307" s="16">
        <v>113</v>
      </c>
      <c r="T307" s="16">
        <v>99</v>
      </c>
      <c r="U307" s="16">
        <v>89</v>
      </c>
      <c r="V307" s="12">
        <f t="shared" si="112"/>
        <v>5.9379926431949555</v>
      </c>
      <c r="W307" s="12">
        <f t="shared" si="113"/>
        <v>5.0613496932515334</v>
      </c>
      <c r="X307" s="12">
        <f t="shared" si="114"/>
        <v>4.5547594677584442</v>
      </c>
      <c r="Y307" s="12">
        <f t="shared" si="103"/>
        <v>5.4996711682232444</v>
      </c>
    </row>
    <row r="308" spans="1:25" x14ac:dyDescent="0.3">
      <c r="A308" s="1" t="s">
        <v>349</v>
      </c>
      <c r="B308" s="1" t="s">
        <v>414</v>
      </c>
      <c r="C308" s="1" t="s">
        <v>416</v>
      </c>
      <c r="D308" s="1" t="s">
        <v>417</v>
      </c>
      <c r="E308" s="2">
        <v>71502</v>
      </c>
      <c r="F308" s="16">
        <v>417</v>
      </c>
      <c r="G308" s="16">
        <v>426</v>
      </c>
      <c r="H308" s="16">
        <v>426</v>
      </c>
      <c r="I308" s="16">
        <v>13</v>
      </c>
      <c r="J308" s="16">
        <v>20</v>
      </c>
      <c r="K308" s="16">
        <v>29</v>
      </c>
      <c r="L308" s="12">
        <f t="shared" si="110"/>
        <v>3.1175059952038371</v>
      </c>
      <c r="M308" s="12">
        <f t="shared" si="111"/>
        <v>4.6948356807511731</v>
      </c>
      <c r="N308" s="12">
        <f t="shared" si="115"/>
        <v>6.807511737089202</v>
      </c>
      <c r="O308" s="12">
        <f t="shared" si="102"/>
        <v>4.8732844710147374</v>
      </c>
      <c r="P308" s="16">
        <v>423</v>
      </c>
      <c r="Q308" s="16">
        <v>403</v>
      </c>
      <c r="R308" s="16">
        <v>409</v>
      </c>
      <c r="S308" s="16">
        <v>17</v>
      </c>
      <c r="T308" s="16">
        <v>18</v>
      </c>
      <c r="U308" s="16">
        <v>20</v>
      </c>
      <c r="V308" s="12">
        <f t="shared" si="112"/>
        <v>4.0189125295508275</v>
      </c>
      <c r="W308" s="12">
        <f t="shared" si="113"/>
        <v>4.4665012406947886</v>
      </c>
      <c r="X308" s="12">
        <f t="shared" si="114"/>
        <v>4.8899755501222497</v>
      </c>
      <c r="Y308" s="12">
        <f t="shared" si="103"/>
        <v>4.242706885122808</v>
      </c>
    </row>
    <row r="309" spans="1:25" x14ac:dyDescent="0.3">
      <c r="A309" s="1" t="s">
        <v>349</v>
      </c>
      <c r="B309" s="1" t="s">
        <v>414</v>
      </c>
      <c r="C309" s="1" t="s">
        <v>347</v>
      </c>
      <c r="D309" s="1" t="s">
        <v>347</v>
      </c>
      <c r="E309" s="2">
        <v>71503</v>
      </c>
      <c r="F309" s="16">
        <v>524</v>
      </c>
      <c r="G309" s="16">
        <v>517</v>
      </c>
      <c r="H309" s="16">
        <v>540</v>
      </c>
      <c r="I309" s="16">
        <v>32</v>
      </c>
      <c r="J309" s="16">
        <v>49</v>
      </c>
      <c r="K309" s="16">
        <v>29</v>
      </c>
      <c r="L309" s="12">
        <f t="shared" si="110"/>
        <v>6.1068702290076331</v>
      </c>
      <c r="M309" s="12">
        <f t="shared" si="111"/>
        <v>9.4777562862669242</v>
      </c>
      <c r="N309" s="12">
        <f t="shared" si="115"/>
        <v>5.3703703703703702</v>
      </c>
      <c r="O309" s="12">
        <f t="shared" si="102"/>
        <v>6.9849989618816428</v>
      </c>
      <c r="P309" s="16">
        <v>624</v>
      </c>
      <c r="Q309" s="16">
        <v>650</v>
      </c>
      <c r="R309" s="16">
        <v>662</v>
      </c>
      <c r="S309" s="16">
        <v>17</v>
      </c>
      <c r="T309" s="16">
        <v>21</v>
      </c>
      <c r="U309" s="16">
        <v>25</v>
      </c>
      <c r="V309" s="12">
        <f t="shared" si="112"/>
        <v>2.7243589743589745</v>
      </c>
      <c r="W309" s="12">
        <f t="shared" si="113"/>
        <v>3.2307692307692308</v>
      </c>
      <c r="X309" s="12">
        <f t="shared" si="114"/>
        <v>3.7764350453172204</v>
      </c>
      <c r="Y309" s="12">
        <f t="shared" si="103"/>
        <v>2.9775641025641026</v>
      </c>
    </row>
    <row r="310" spans="1:25" x14ac:dyDescent="0.3">
      <c r="A310" s="1" t="s">
        <v>418</v>
      </c>
      <c r="B310" s="1" t="s">
        <v>158</v>
      </c>
      <c r="C310" s="1" t="s">
        <v>419</v>
      </c>
      <c r="D310" s="1" t="s">
        <v>419</v>
      </c>
      <c r="E310" s="2">
        <v>80101</v>
      </c>
      <c r="F310" s="16">
        <v>6292</v>
      </c>
      <c r="G310" s="16">
        <v>6375</v>
      </c>
      <c r="H310" s="16">
        <v>6364</v>
      </c>
      <c r="I310" s="16">
        <v>412</v>
      </c>
      <c r="J310" s="16">
        <v>596</v>
      </c>
      <c r="K310" s="16">
        <v>545</v>
      </c>
      <c r="L310" s="12">
        <f t="shared" si="110"/>
        <v>6.5479974570883659</v>
      </c>
      <c r="M310" s="12">
        <f t="shared" si="111"/>
        <v>9.3490196078431378</v>
      </c>
      <c r="N310" s="12">
        <f t="shared" si="115"/>
        <v>8.5637963544940288</v>
      </c>
      <c r="O310" s="12">
        <f t="shared" si="102"/>
        <v>8.1536044731418453</v>
      </c>
      <c r="P310" s="16">
        <v>7709</v>
      </c>
      <c r="Q310" s="16">
        <v>8018</v>
      </c>
      <c r="R310" s="16">
        <v>8296</v>
      </c>
      <c r="S310" s="16">
        <v>165</v>
      </c>
      <c r="T310" s="16">
        <v>206</v>
      </c>
      <c r="U310" s="16">
        <v>226</v>
      </c>
      <c r="V310" s="12">
        <f t="shared" si="112"/>
        <v>2.140355428719678</v>
      </c>
      <c r="W310" s="12">
        <f t="shared" si="113"/>
        <v>2.5692192566724867</v>
      </c>
      <c r="X310" s="12">
        <f t="shared" si="114"/>
        <v>2.7242044358727098</v>
      </c>
      <c r="Y310" s="12">
        <f t="shared" si="103"/>
        <v>2.3547873426960821</v>
      </c>
    </row>
    <row r="311" spans="1:25" x14ac:dyDescent="0.3">
      <c r="A311" s="1" t="s">
        <v>418</v>
      </c>
      <c r="B311" s="1" t="s">
        <v>158</v>
      </c>
      <c r="C311" s="1" t="s">
        <v>400</v>
      </c>
      <c r="D311" s="1" t="s">
        <v>400</v>
      </c>
      <c r="E311" s="2">
        <v>80102</v>
      </c>
      <c r="F311" s="16">
        <v>128</v>
      </c>
      <c r="G311" s="16">
        <v>136</v>
      </c>
      <c r="H311" s="16">
        <v>121</v>
      </c>
      <c r="I311" s="16">
        <v>14</v>
      </c>
      <c r="J311" s="16">
        <v>34</v>
      </c>
      <c r="K311" s="16">
        <v>35</v>
      </c>
      <c r="L311" s="12">
        <f t="shared" si="110"/>
        <v>10.9375</v>
      </c>
      <c r="M311" s="12">
        <f t="shared" si="111"/>
        <v>25</v>
      </c>
      <c r="N311" s="12">
        <f t="shared" si="115"/>
        <v>28.925619834710741</v>
      </c>
      <c r="O311" s="12">
        <f t="shared" si="102"/>
        <v>21.621039944903583</v>
      </c>
      <c r="P311" s="16">
        <v>209</v>
      </c>
      <c r="Q311" s="16">
        <v>232</v>
      </c>
      <c r="R311" s="16">
        <v>225</v>
      </c>
      <c r="S311" s="16">
        <v>4</v>
      </c>
      <c r="T311" s="16">
        <v>12</v>
      </c>
      <c r="U311" s="16">
        <v>16</v>
      </c>
      <c r="V311" s="12">
        <f t="shared" si="112"/>
        <v>1.9138755980861244</v>
      </c>
      <c r="W311" s="12">
        <f t="shared" si="113"/>
        <v>5.1724137931034484</v>
      </c>
      <c r="X311" s="12">
        <f t="shared" si="114"/>
        <v>7.1111111111111107</v>
      </c>
      <c r="Y311" s="12">
        <f t="shared" si="103"/>
        <v>3.5431446955947865</v>
      </c>
    </row>
    <row r="312" spans="1:25" x14ac:dyDescent="0.3">
      <c r="A312" s="1" t="s">
        <v>418</v>
      </c>
      <c r="B312" s="1" t="s">
        <v>420</v>
      </c>
      <c r="C312" s="1" t="s">
        <v>421</v>
      </c>
      <c r="D312" s="1" t="s">
        <v>421</v>
      </c>
      <c r="E312" s="2">
        <v>80201</v>
      </c>
      <c r="F312" s="16">
        <v>5345</v>
      </c>
      <c r="G312" s="16">
        <v>5581</v>
      </c>
      <c r="H312" s="16">
        <v>5820</v>
      </c>
      <c r="I312" s="16">
        <v>633</v>
      </c>
      <c r="J312" s="16">
        <v>706</v>
      </c>
      <c r="K312" s="16">
        <v>757</v>
      </c>
      <c r="L312" s="12">
        <f t="shared" si="110"/>
        <v>11.842843779232929</v>
      </c>
      <c r="M312" s="12">
        <f t="shared" si="111"/>
        <v>12.65006271277549</v>
      </c>
      <c r="N312" s="12">
        <f t="shared" si="115"/>
        <v>13.006872852233679</v>
      </c>
      <c r="O312" s="12">
        <f t="shared" si="102"/>
        <v>12.4999264480807</v>
      </c>
      <c r="P312" s="16">
        <v>6969</v>
      </c>
      <c r="Q312" s="16">
        <v>7258</v>
      </c>
      <c r="R312" s="16">
        <v>7525</v>
      </c>
      <c r="S312" s="16">
        <v>384</v>
      </c>
      <c r="T312" s="16">
        <v>407</v>
      </c>
      <c r="U312" s="16">
        <v>463</v>
      </c>
      <c r="V312" s="12">
        <f t="shared" si="112"/>
        <v>5.5101162290142058</v>
      </c>
      <c r="W312" s="12">
        <f t="shared" si="113"/>
        <v>5.6076054009368974</v>
      </c>
      <c r="X312" s="12">
        <f t="shared" si="114"/>
        <v>6.1528239202657806</v>
      </c>
      <c r="Y312" s="12">
        <f t="shared" si="103"/>
        <v>5.5588608149755512</v>
      </c>
    </row>
    <row r="313" spans="1:25" x14ac:dyDescent="0.3">
      <c r="A313" s="1" t="s">
        <v>418</v>
      </c>
      <c r="B313" s="1" t="s">
        <v>420</v>
      </c>
      <c r="C313" s="1" t="s">
        <v>422</v>
      </c>
      <c r="D313" s="1" t="s">
        <v>422</v>
      </c>
      <c r="E313" s="2">
        <v>80202</v>
      </c>
      <c r="F313" s="16">
        <v>2683</v>
      </c>
      <c r="G313" s="16">
        <v>2651</v>
      </c>
      <c r="H313" s="16">
        <v>2658</v>
      </c>
      <c r="I313" s="16">
        <v>96</v>
      </c>
      <c r="J313" s="16">
        <v>153</v>
      </c>
      <c r="K313" s="16">
        <v>234</v>
      </c>
      <c r="L313" s="12">
        <f t="shared" si="110"/>
        <v>3.5780842340663437</v>
      </c>
      <c r="M313" s="12">
        <f t="shared" si="111"/>
        <v>5.7714070162202944</v>
      </c>
      <c r="N313" s="12">
        <f t="shared" si="115"/>
        <v>8.8036117381489838</v>
      </c>
      <c r="O313" s="12">
        <f t="shared" si="102"/>
        <v>6.05103432947854</v>
      </c>
      <c r="P313" s="16">
        <v>2579</v>
      </c>
      <c r="Q313" s="16">
        <v>2686</v>
      </c>
      <c r="R313" s="16">
        <v>2792</v>
      </c>
      <c r="S313" s="16">
        <v>100</v>
      </c>
      <c r="T313" s="16">
        <v>113</v>
      </c>
      <c r="U313" s="16">
        <v>133</v>
      </c>
      <c r="V313" s="12">
        <f t="shared" si="112"/>
        <v>3.8774718883288095</v>
      </c>
      <c r="W313" s="12">
        <f t="shared" si="113"/>
        <v>4.2069992553983617</v>
      </c>
      <c r="X313" s="12">
        <f t="shared" si="114"/>
        <v>4.7636103151862468</v>
      </c>
      <c r="Y313" s="12">
        <f t="shared" si="103"/>
        <v>4.0422355718635856</v>
      </c>
    </row>
    <row r="314" spans="1:25" x14ac:dyDescent="0.3">
      <c r="A314" s="1" t="s">
        <v>418</v>
      </c>
      <c r="B314" s="1" t="s">
        <v>423</v>
      </c>
      <c r="C314" s="1" t="s">
        <v>424</v>
      </c>
      <c r="D314" s="1" t="s">
        <v>424</v>
      </c>
      <c r="E314" s="2">
        <v>80301</v>
      </c>
      <c r="F314" s="16">
        <v>545</v>
      </c>
      <c r="G314" s="16">
        <v>562</v>
      </c>
      <c r="H314" s="16">
        <v>534</v>
      </c>
      <c r="I314" s="16">
        <v>65</v>
      </c>
      <c r="J314" s="16">
        <v>78</v>
      </c>
      <c r="K314" s="16">
        <v>61</v>
      </c>
      <c r="L314" s="12">
        <f t="shared" si="110"/>
        <v>11.926605504587156</v>
      </c>
      <c r="M314" s="12">
        <f t="shared" si="111"/>
        <v>13.87900355871886</v>
      </c>
      <c r="N314" s="12">
        <f t="shared" si="115"/>
        <v>11.423220973782772</v>
      </c>
      <c r="O314" s="12">
        <f t="shared" si="102"/>
        <v>12.409610012362927</v>
      </c>
      <c r="P314" s="16">
        <v>840</v>
      </c>
      <c r="Q314" s="16">
        <v>811</v>
      </c>
      <c r="R314" s="16">
        <v>820</v>
      </c>
      <c r="S314" s="16">
        <v>41</v>
      </c>
      <c r="T314" s="16">
        <v>31</v>
      </c>
      <c r="U314" s="16">
        <v>32</v>
      </c>
      <c r="V314" s="12">
        <f t="shared" si="112"/>
        <v>4.8809523809523814</v>
      </c>
      <c r="W314" s="12">
        <f t="shared" si="113"/>
        <v>3.8224414303329222</v>
      </c>
      <c r="X314" s="12">
        <f t="shared" si="114"/>
        <v>3.9024390243902438</v>
      </c>
      <c r="Y314" s="12">
        <f t="shared" si="103"/>
        <v>4.351696905642652</v>
      </c>
    </row>
    <row r="315" spans="1:25" x14ac:dyDescent="0.3">
      <c r="A315" s="1" t="s">
        <v>418</v>
      </c>
      <c r="B315" s="1" t="s">
        <v>423</v>
      </c>
      <c r="C315" s="1" t="s">
        <v>425</v>
      </c>
      <c r="D315" s="1" t="s">
        <v>425</v>
      </c>
      <c r="E315" s="2">
        <v>80302</v>
      </c>
      <c r="F315" s="16">
        <v>2008</v>
      </c>
      <c r="G315" s="16">
        <v>2121</v>
      </c>
      <c r="H315" s="16">
        <v>2230</v>
      </c>
      <c r="I315" s="16">
        <v>308</v>
      </c>
      <c r="J315" s="16">
        <v>300</v>
      </c>
      <c r="K315" s="16">
        <v>271</v>
      </c>
      <c r="L315" s="12">
        <f t="shared" si="110"/>
        <v>15.338645418326694</v>
      </c>
      <c r="M315" s="12">
        <f t="shared" si="111"/>
        <v>14.144271570014144</v>
      </c>
      <c r="N315" s="12">
        <f t="shared" si="115"/>
        <v>12.152466367713005</v>
      </c>
      <c r="O315" s="12">
        <f t="shared" si="102"/>
        <v>13.878461118684614</v>
      </c>
      <c r="P315" s="16">
        <v>2599</v>
      </c>
      <c r="Q315" s="16">
        <v>2628</v>
      </c>
      <c r="R315" s="16">
        <v>2656</v>
      </c>
      <c r="S315" s="16">
        <v>123</v>
      </c>
      <c r="T315" s="16">
        <v>131</v>
      </c>
      <c r="U315" s="16">
        <v>132</v>
      </c>
      <c r="V315" s="12">
        <f t="shared" si="112"/>
        <v>4.7325894574836473</v>
      </c>
      <c r="W315" s="12">
        <f t="shared" si="113"/>
        <v>4.9847792998477924</v>
      </c>
      <c r="X315" s="12">
        <f t="shared" si="114"/>
        <v>4.9698795180722888</v>
      </c>
      <c r="Y315" s="12">
        <f t="shared" si="103"/>
        <v>4.8586843786657194</v>
      </c>
    </row>
    <row r="316" spans="1:25" x14ac:dyDescent="0.3">
      <c r="A316" s="1" t="s">
        <v>418</v>
      </c>
      <c r="B316" s="1" t="s">
        <v>423</v>
      </c>
      <c r="C316" s="1" t="s">
        <v>374</v>
      </c>
      <c r="D316" s="1" t="s">
        <v>374</v>
      </c>
      <c r="E316" s="2">
        <v>80303</v>
      </c>
      <c r="F316" s="16">
        <v>411</v>
      </c>
      <c r="G316" s="16">
        <v>407</v>
      </c>
      <c r="H316" s="16">
        <v>419</v>
      </c>
      <c r="I316" s="16">
        <v>21</v>
      </c>
      <c r="J316" s="16">
        <v>46</v>
      </c>
      <c r="K316" s="16">
        <v>43</v>
      </c>
      <c r="L316" s="12">
        <f t="shared" si="110"/>
        <v>5.1094890510948909</v>
      </c>
      <c r="M316" s="12">
        <f t="shared" si="111"/>
        <v>11.302211302211303</v>
      </c>
      <c r="N316" s="12">
        <f t="shared" si="115"/>
        <v>10.262529832935559</v>
      </c>
      <c r="O316" s="12">
        <f t="shared" si="102"/>
        <v>8.8914100620805847</v>
      </c>
      <c r="P316" s="16">
        <v>625</v>
      </c>
      <c r="Q316" s="16">
        <v>667</v>
      </c>
      <c r="R316" s="16">
        <v>708</v>
      </c>
      <c r="S316" s="16">
        <v>27</v>
      </c>
      <c r="T316" s="16">
        <v>18</v>
      </c>
      <c r="U316" s="16">
        <v>26</v>
      </c>
      <c r="V316" s="12">
        <f t="shared" si="112"/>
        <v>4.32</v>
      </c>
      <c r="W316" s="12">
        <f t="shared" si="113"/>
        <v>2.6986506746626686</v>
      </c>
      <c r="X316" s="12">
        <f t="shared" si="114"/>
        <v>3.6723163841807911</v>
      </c>
      <c r="Y316" s="12">
        <f t="shared" si="103"/>
        <v>3.5093253373313344</v>
      </c>
    </row>
    <row r="317" spans="1:25" x14ac:dyDescent="0.3">
      <c r="A317" s="1" t="s">
        <v>418</v>
      </c>
      <c r="B317" s="1" t="s">
        <v>423</v>
      </c>
      <c r="C317" s="1" t="s">
        <v>426</v>
      </c>
      <c r="D317" s="1" t="s">
        <v>427</v>
      </c>
      <c r="E317" s="2">
        <v>80304</v>
      </c>
      <c r="F317" s="16">
        <v>999</v>
      </c>
      <c r="G317" s="16">
        <v>1002</v>
      </c>
      <c r="H317" s="16">
        <v>987</v>
      </c>
      <c r="I317" s="16">
        <v>99</v>
      </c>
      <c r="J317" s="16">
        <v>120</v>
      </c>
      <c r="K317" s="16">
        <v>100</v>
      </c>
      <c r="L317" s="12">
        <f t="shared" si="110"/>
        <v>9.9099099099099099</v>
      </c>
      <c r="M317" s="12">
        <f t="shared" si="111"/>
        <v>11.976047904191617</v>
      </c>
      <c r="N317" s="12">
        <f t="shared" si="115"/>
        <v>10.131712259371833</v>
      </c>
      <c r="O317" s="12">
        <f t="shared" si="102"/>
        <v>10.672556691157787</v>
      </c>
      <c r="P317" s="16">
        <v>1183</v>
      </c>
      <c r="Q317" s="16">
        <v>1289</v>
      </c>
      <c r="R317" s="16">
        <v>1334</v>
      </c>
      <c r="S317" s="16">
        <v>36</v>
      </c>
      <c r="T317" s="16">
        <v>39</v>
      </c>
      <c r="U317" s="16">
        <v>58</v>
      </c>
      <c r="V317" s="12">
        <f t="shared" si="112"/>
        <v>3.0431107354184279</v>
      </c>
      <c r="W317" s="12">
        <f t="shared" si="113"/>
        <v>3.0256012412723043</v>
      </c>
      <c r="X317" s="12">
        <f t="shared" si="114"/>
        <v>4.3478260869565215</v>
      </c>
      <c r="Y317" s="12">
        <f t="shared" si="103"/>
        <v>3.0343559883453661</v>
      </c>
    </row>
    <row r="318" spans="1:25" x14ac:dyDescent="0.3">
      <c r="A318" s="1" t="s">
        <v>418</v>
      </c>
      <c r="B318" s="1" t="s">
        <v>428</v>
      </c>
      <c r="C318" s="1" t="s">
        <v>429</v>
      </c>
      <c r="D318" s="1" t="s">
        <v>430</v>
      </c>
      <c r="E318" s="2">
        <v>80401</v>
      </c>
      <c r="F318" s="16">
        <v>947</v>
      </c>
      <c r="G318" s="16">
        <v>937</v>
      </c>
      <c r="H318" s="16">
        <v>901</v>
      </c>
      <c r="I318" s="16">
        <v>143</v>
      </c>
      <c r="J318" s="16">
        <v>147</v>
      </c>
      <c r="K318" s="16">
        <v>135</v>
      </c>
      <c r="L318" s="12">
        <f t="shared" si="110"/>
        <v>15.100316789862726</v>
      </c>
      <c r="M318" s="12">
        <f t="shared" si="111"/>
        <v>15.688367129135539</v>
      </c>
      <c r="N318" s="12">
        <f t="shared" si="115"/>
        <v>14.983351831298558</v>
      </c>
      <c r="O318" s="12">
        <f t="shared" si="102"/>
        <v>15.257345250098941</v>
      </c>
      <c r="P318" s="16">
        <v>1030</v>
      </c>
      <c r="Q318" s="16">
        <v>1027</v>
      </c>
      <c r="R318" s="16">
        <v>1055</v>
      </c>
      <c r="S318" s="16">
        <v>58</v>
      </c>
      <c r="T318" s="16">
        <v>57</v>
      </c>
      <c r="U318" s="16">
        <v>48</v>
      </c>
      <c r="V318" s="12">
        <f t="shared" si="112"/>
        <v>5.6310679611650478</v>
      </c>
      <c r="W318" s="12">
        <f t="shared" si="113"/>
        <v>5.550146056475171</v>
      </c>
      <c r="X318" s="12">
        <f t="shared" si="114"/>
        <v>4.5497630331753554</v>
      </c>
      <c r="Y318" s="12">
        <f t="shared" si="103"/>
        <v>5.5906070088201094</v>
      </c>
    </row>
    <row r="319" spans="1:25" x14ac:dyDescent="0.3">
      <c r="A319" s="1" t="s">
        <v>418</v>
      </c>
      <c r="B319" s="1" t="s">
        <v>428</v>
      </c>
      <c r="C319" s="1" t="s">
        <v>431</v>
      </c>
      <c r="D319" s="1" t="s">
        <v>431</v>
      </c>
      <c r="E319" s="2">
        <v>80402</v>
      </c>
      <c r="F319" s="16">
        <v>116</v>
      </c>
      <c r="G319" s="16">
        <v>118</v>
      </c>
      <c r="H319" s="16">
        <v>121</v>
      </c>
      <c r="I319" s="16">
        <v>45</v>
      </c>
      <c r="J319" s="16">
        <v>36</v>
      </c>
      <c r="K319" s="16">
        <v>32</v>
      </c>
      <c r="L319" s="12">
        <f t="shared" si="110"/>
        <v>38.793103448275865</v>
      </c>
      <c r="M319" s="12">
        <f t="shared" si="111"/>
        <v>30.508474576271187</v>
      </c>
      <c r="N319" s="12">
        <f t="shared" si="115"/>
        <v>26.446280991735538</v>
      </c>
      <c r="O319" s="12">
        <f t="shared" si="102"/>
        <v>31.915953005427529</v>
      </c>
      <c r="P319" s="16">
        <v>149</v>
      </c>
      <c r="Q319" s="16">
        <v>164</v>
      </c>
      <c r="R319" s="16">
        <v>163</v>
      </c>
      <c r="S319" s="16">
        <v>2</v>
      </c>
      <c r="T319" s="16">
        <v>13</v>
      </c>
      <c r="U319" s="16">
        <v>14</v>
      </c>
      <c r="V319" s="12">
        <f t="shared" si="112"/>
        <v>1.3422818791946309</v>
      </c>
      <c r="W319" s="12">
        <f t="shared" si="113"/>
        <v>7.9268292682926829</v>
      </c>
      <c r="X319" s="12">
        <f t="shared" si="114"/>
        <v>8.5889570552147241</v>
      </c>
      <c r="Y319" s="12">
        <f t="shared" si="103"/>
        <v>4.6345555737436568</v>
      </c>
    </row>
    <row r="320" spans="1:25" x14ac:dyDescent="0.3">
      <c r="A320" s="1" t="s">
        <v>418</v>
      </c>
      <c r="B320" s="1" t="s">
        <v>432</v>
      </c>
      <c r="C320" s="1" t="s">
        <v>360</v>
      </c>
      <c r="D320" s="1" t="s">
        <v>360</v>
      </c>
      <c r="E320" s="2">
        <v>80501</v>
      </c>
      <c r="F320" s="16">
        <v>1136</v>
      </c>
      <c r="G320" s="16">
        <v>1209</v>
      </c>
      <c r="H320" s="16">
        <v>1177</v>
      </c>
      <c r="I320" s="16">
        <v>145</v>
      </c>
      <c r="J320" s="16">
        <v>208</v>
      </c>
      <c r="K320" s="16">
        <v>151</v>
      </c>
      <c r="L320" s="12">
        <f t="shared" si="110"/>
        <v>12.764084507042254</v>
      </c>
      <c r="M320" s="12">
        <f t="shared" si="111"/>
        <v>17.20430107526882</v>
      </c>
      <c r="N320" s="12">
        <f t="shared" si="115"/>
        <v>12.829226847918438</v>
      </c>
      <c r="O320" s="12">
        <f t="shared" si="102"/>
        <v>14.265870810076501</v>
      </c>
      <c r="P320" s="16">
        <v>1443</v>
      </c>
      <c r="Q320" s="16">
        <v>1454</v>
      </c>
      <c r="R320" s="16">
        <v>1493</v>
      </c>
      <c r="S320" s="16">
        <v>65</v>
      </c>
      <c r="T320" s="16">
        <v>56</v>
      </c>
      <c r="U320" s="16">
        <v>70</v>
      </c>
      <c r="V320" s="12">
        <f t="shared" si="112"/>
        <v>4.5045045045045047</v>
      </c>
      <c r="W320" s="12">
        <f t="shared" si="113"/>
        <v>3.8514442916093539</v>
      </c>
      <c r="X320" s="12">
        <f t="shared" si="114"/>
        <v>4.688546550569324</v>
      </c>
      <c r="Y320" s="12">
        <f t="shared" si="103"/>
        <v>4.1779743980569295</v>
      </c>
    </row>
    <row r="321" spans="1:25" x14ac:dyDescent="0.3">
      <c r="A321" s="1" t="s">
        <v>418</v>
      </c>
      <c r="B321" s="1" t="s">
        <v>433</v>
      </c>
      <c r="C321" s="1" t="s">
        <v>434</v>
      </c>
      <c r="D321" s="1" t="s">
        <v>434</v>
      </c>
      <c r="E321" s="2">
        <v>80601</v>
      </c>
      <c r="F321" s="16">
        <v>104</v>
      </c>
      <c r="G321" s="16">
        <v>119</v>
      </c>
      <c r="H321" s="16">
        <v>109</v>
      </c>
      <c r="I321" s="16">
        <v>20</v>
      </c>
      <c r="J321" s="16">
        <v>12</v>
      </c>
      <c r="K321" s="16">
        <v>13</v>
      </c>
      <c r="L321" s="12">
        <f t="shared" si="110"/>
        <v>19.230769230769234</v>
      </c>
      <c r="M321" s="12">
        <f t="shared" si="111"/>
        <v>10.084033613445378</v>
      </c>
      <c r="N321" s="12">
        <f t="shared" si="115"/>
        <v>11.926605504587156</v>
      </c>
      <c r="O321" s="12">
        <f t="shared" si="102"/>
        <v>13.747136116267257</v>
      </c>
      <c r="P321" s="16">
        <v>207</v>
      </c>
      <c r="Q321" s="16">
        <v>217</v>
      </c>
      <c r="R321" s="16">
        <v>214</v>
      </c>
      <c r="S321" s="16">
        <v>8</v>
      </c>
      <c r="T321" s="16">
        <v>5</v>
      </c>
      <c r="U321" s="16">
        <v>10</v>
      </c>
      <c r="V321" s="12">
        <f t="shared" si="112"/>
        <v>3.8647342995169081</v>
      </c>
      <c r="W321" s="12">
        <f t="shared" si="113"/>
        <v>2.3041474654377883</v>
      </c>
      <c r="X321" s="12">
        <f t="shared" si="114"/>
        <v>4.6728971962616823</v>
      </c>
      <c r="Y321" s="12">
        <f t="shared" si="103"/>
        <v>3.0844408824773479</v>
      </c>
    </row>
    <row r="322" spans="1:25" x14ac:dyDescent="0.3">
      <c r="A322" s="1" t="s">
        <v>418</v>
      </c>
      <c r="B322" s="1" t="s">
        <v>433</v>
      </c>
      <c r="C322" s="1" t="s">
        <v>435</v>
      </c>
      <c r="D322" s="1" t="s">
        <v>435</v>
      </c>
      <c r="E322" s="2">
        <v>80602</v>
      </c>
      <c r="F322" s="16">
        <v>504</v>
      </c>
      <c r="G322" s="16">
        <v>544</v>
      </c>
      <c r="H322" s="16">
        <v>583</v>
      </c>
      <c r="I322" s="16">
        <v>65</v>
      </c>
      <c r="J322" s="16">
        <v>51</v>
      </c>
      <c r="K322" s="16">
        <v>71</v>
      </c>
      <c r="L322" s="12">
        <f t="shared" si="110"/>
        <v>12.896825396825399</v>
      </c>
      <c r="M322" s="12">
        <f t="shared" si="111"/>
        <v>9.375</v>
      </c>
      <c r="N322" s="12">
        <f t="shared" si="115"/>
        <v>12.178387650085764</v>
      </c>
      <c r="O322" s="12">
        <f t="shared" si="102"/>
        <v>11.483404348970387</v>
      </c>
      <c r="P322" s="16">
        <v>754</v>
      </c>
      <c r="Q322" s="16">
        <v>768</v>
      </c>
      <c r="R322" s="16">
        <v>792</v>
      </c>
      <c r="S322" s="16">
        <v>29</v>
      </c>
      <c r="T322" s="16">
        <v>29</v>
      </c>
      <c r="U322" s="16">
        <v>44</v>
      </c>
      <c r="V322" s="12">
        <f t="shared" si="112"/>
        <v>3.8461538461538463</v>
      </c>
      <c r="W322" s="12">
        <f t="shared" si="113"/>
        <v>3.7760416666666665</v>
      </c>
      <c r="X322" s="12">
        <f t="shared" si="114"/>
        <v>5.5555555555555554</v>
      </c>
      <c r="Y322" s="12">
        <f t="shared" si="103"/>
        <v>3.8110977564102564</v>
      </c>
    </row>
    <row r="323" spans="1:25" x14ac:dyDescent="0.3">
      <c r="A323" s="1" t="s">
        <v>418</v>
      </c>
      <c r="B323" s="1" t="s">
        <v>436</v>
      </c>
      <c r="C323" s="1" t="s">
        <v>437</v>
      </c>
      <c r="D323" s="1" t="s">
        <v>437</v>
      </c>
      <c r="E323" s="2">
        <v>80701</v>
      </c>
      <c r="F323" s="16">
        <v>264</v>
      </c>
      <c r="G323" s="16">
        <v>265</v>
      </c>
      <c r="H323" s="16">
        <v>252</v>
      </c>
      <c r="I323" s="16">
        <v>30</v>
      </c>
      <c r="J323" s="16">
        <v>40</v>
      </c>
      <c r="K323" s="16">
        <v>38</v>
      </c>
      <c r="L323" s="12">
        <f t="shared" si="110"/>
        <v>11.363636363636363</v>
      </c>
      <c r="M323" s="12">
        <f t="shared" si="111"/>
        <v>15.09433962264151</v>
      </c>
      <c r="N323" s="12">
        <f t="shared" si="115"/>
        <v>15.079365079365079</v>
      </c>
      <c r="O323" s="12">
        <f t="shared" ref="O323:O344" si="116">AVERAGE(L323:N323)</f>
        <v>13.845780355214316</v>
      </c>
      <c r="P323" s="16">
        <v>319</v>
      </c>
      <c r="Q323" s="16">
        <v>309</v>
      </c>
      <c r="R323" s="16">
        <v>326</v>
      </c>
      <c r="S323" s="16">
        <v>23</v>
      </c>
      <c r="T323" s="16">
        <v>9</v>
      </c>
      <c r="U323" s="16">
        <v>14</v>
      </c>
      <c r="V323" s="12">
        <f t="shared" si="112"/>
        <v>7.2100313479623823</v>
      </c>
      <c r="W323" s="12">
        <f t="shared" si="113"/>
        <v>2.912621359223301</v>
      </c>
      <c r="X323" s="12">
        <f t="shared" si="114"/>
        <v>4.294478527607362</v>
      </c>
      <c r="Y323" s="12">
        <f t="shared" ref="Y323:Y344" si="117">AVERAGE(V323:W323)</f>
        <v>5.0613263535928414</v>
      </c>
    </row>
    <row r="324" spans="1:25" x14ac:dyDescent="0.3">
      <c r="A324" s="1" t="s">
        <v>418</v>
      </c>
      <c r="B324" s="1" t="s">
        <v>436</v>
      </c>
      <c r="C324" s="1" t="s">
        <v>401</v>
      </c>
      <c r="D324" s="1" t="s">
        <v>401</v>
      </c>
      <c r="E324" s="2">
        <v>80702</v>
      </c>
      <c r="F324" s="16">
        <v>225</v>
      </c>
      <c r="G324" s="16">
        <v>213</v>
      </c>
      <c r="H324" s="16">
        <v>214</v>
      </c>
      <c r="I324" s="16">
        <v>16</v>
      </c>
      <c r="J324" s="16">
        <v>34</v>
      </c>
      <c r="K324" s="16">
        <v>17</v>
      </c>
      <c r="L324" s="12">
        <f t="shared" si="110"/>
        <v>7.1111111111111107</v>
      </c>
      <c r="M324" s="12">
        <f t="shared" si="111"/>
        <v>15.96244131455399</v>
      </c>
      <c r="N324" s="12">
        <f t="shared" si="115"/>
        <v>7.9439252336448591</v>
      </c>
      <c r="O324" s="12">
        <f t="shared" si="116"/>
        <v>10.339159219769986</v>
      </c>
      <c r="P324" s="16">
        <v>297</v>
      </c>
      <c r="Q324" s="16">
        <v>281</v>
      </c>
      <c r="R324" s="16">
        <v>296</v>
      </c>
      <c r="S324" s="16">
        <v>9</v>
      </c>
      <c r="T324" s="16">
        <v>10</v>
      </c>
      <c r="U324" s="16">
        <v>13</v>
      </c>
      <c r="V324" s="12">
        <f t="shared" si="112"/>
        <v>3.0303030303030303</v>
      </c>
      <c r="W324" s="12">
        <f t="shared" si="113"/>
        <v>3.5587188612099649</v>
      </c>
      <c r="X324" s="12">
        <f t="shared" si="114"/>
        <v>4.3918918918918921</v>
      </c>
      <c r="Y324" s="12">
        <f t="shared" si="117"/>
        <v>3.2945109457564978</v>
      </c>
    </row>
    <row r="325" spans="1:25" x14ac:dyDescent="0.3">
      <c r="A325" s="1" t="s">
        <v>418</v>
      </c>
      <c r="B325" s="1" t="s">
        <v>436</v>
      </c>
      <c r="C325" s="1" t="s">
        <v>438</v>
      </c>
      <c r="D325" s="1" t="s">
        <v>438</v>
      </c>
      <c r="E325" s="2">
        <v>80703</v>
      </c>
      <c r="F325" s="16">
        <v>33</v>
      </c>
      <c r="G325" s="16">
        <v>28</v>
      </c>
      <c r="H325" s="16">
        <v>44</v>
      </c>
      <c r="I325" s="16">
        <v>5</v>
      </c>
      <c r="J325" s="16">
        <v>4</v>
      </c>
      <c r="K325" s="16">
        <v>5</v>
      </c>
      <c r="L325" s="12">
        <f t="shared" si="110"/>
        <v>15.151515151515152</v>
      </c>
      <c r="M325" s="12">
        <f t="shared" si="111"/>
        <v>14.285714285714285</v>
      </c>
      <c r="N325" s="12">
        <f t="shared" si="115"/>
        <v>11.363636363636363</v>
      </c>
      <c r="O325" s="12">
        <f t="shared" si="116"/>
        <v>13.6002886002886</v>
      </c>
      <c r="P325" s="16">
        <v>73</v>
      </c>
      <c r="Q325" s="16">
        <v>78</v>
      </c>
      <c r="R325" s="16">
        <v>84</v>
      </c>
      <c r="S325" s="16">
        <v>0</v>
      </c>
      <c r="T325" s="16">
        <v>7</v>
      </c>
      <c r="U325" s="16">
        <v>5</v>
      </c>
      <c r="V325" s="12">
        <f t="shared" si="112"/>
        <v>0</v>
      </c>
      <c r="W325" s="12">
        <f t="shared" si="113"/>
        <v>8.9743589743589745</v>
      </c>
      <c r="X325" s="12">
        <f t="shared" si="114"/>
        <v>5.9523809523809517</v>
      </c>
      <c r="Y325" s="12">
        <f t="shared" si="117"/>
        <v>4.4871794871794872</v>
      </c>
    </row>
    <row r="326" spans="1:25" x14ac:dyDescent="0.3">
      <c r="A326" s="1" t="s">
        <v>418</v>
      </c>
      <c r="B326" s="1" t="s">
        <v>439</v>
      </c>
      <c r="C326" s="1" t="s">
        <v>440</v>
      </c>
      <c r="D326" s="1" t="s">
        <v>440</v>
      </c>
      <c r="E326" s="2">
        <v>80801</v>
      </c>
      <c r="F326" s="16">
        <v>710</v>
      </c>
      <c r="G326" s="16">
        <v>690</v>
      </c>
      <c r="H326" s="16">
        <v>668</v>
      </c>
      <c r="I326" s="16">
        <v>54</v>
      </c>
      <c r="J326" s="16">
        <v>71</v>
      </c>
      <c r="K326" s="16">
        <v>49</v>
      </c>
      <c r="L326" s="12">
        <f t="shared" si="110"/>
        <v>7.605633802816901</v>
      </c>
      <c r="M326" s="12">
        <f t="shared" si="111"/>
        <v>10.289855072463768</v>
      </c>
      <c r="N326" s="12">
        <f t="shared" si="115"/>
        <v>7.3353293413173652</v>
      </c>
      <c r="O326" s="12">
        <f t="shared" si="116"/>
        <v>8.410272738866011</v>
      </c>
      <c r="P326" s="16">
        <v>750</v>
      </c>
      <c r="Q326" s="16">
        <v>779</v>
      </c>
      <c r="R326" s="16">
        <v>804</v>
      </c>
      <c r="S326" s="16">
        <v>37</v>
      </c>
      <c r="T326" s="16">
        <v>39</v>
      </c>
      <c r="U326" s="16">
        <v>38</v>
      </c>
      <c r="V326" s="12">
        <f t="shared" si="112"/>
        <v>4.9333333333333336</v>
      </c>
      <c r="W326" s="12">
        <f t="shared" si="113"/>
        <v>5.006418485237484</v>
      </c>
      <c r="X326" s="12">
        <f t="shared" si="114"/>
        <v>4.7263681592039797</v>
      </c>
      <c r="Y326" s="12">
        <f t="shared" si="117"/>
        <v>4.9698759092854088</v>
      </c>
    </row>
    <row r="327" spans="1:25" x14ac:dyDescent="0.3">
      <c r="A327" s="1" t="s">
        <v>418</v>
      </c>
      <c r="B327" s="1" t="s">
        <v>439</v>
      </c>
      <c r="C327" s="1" t="s">
        <v>441</v>
      </c>
      <c r="D327" s="1" t="s">
        <v>441</v>
      </c>
      <c r="E327" s="2">
        <v>80802</v>
      </c>
      <c r="F327" s="16">
        <v>271</v>
      </c>
      <c r="G327" s="16">
        <v>253</v>
      </c>
      <c r="H327" s="16">
        <v>264</v>
      </c>
      <c r="I327" s="16">
        <v>11</v>
      </c>
      <c r="J327" s="16">
        <v>17</v>
      </c>
      <c r="K327" s="16">
        <v>14</v>
      </c>
      <c r="L327" s="12">
        <f t="shared" si="110"/>
        <v>4.0590405904059041</v>
      </c>
      <c r="M327" s="12">
        <f t="shared" si="111"/>
        <v>6.7193675889328066</v>
      </c>
      <c r="N327" s="12">
        <f t="shared" si="115"/>
        <v>5.3030303030303028</v>
      </c>
      <c r="O327" s="12">
        <f t="shared" si="116"/>
        <v>5.3604794941230054</v>
      </c>
      <c r="P327" s="16">
        <v>254</v>
      </c>
      <c r="Q327" s="16">
        <v>268</v>
      </c>
      <c r="R327" s="16">
        <v>280</v>
      </c>
      <c r="S327" s="16">
        <v>6</v>
      </c>
      <c r="T327" s="16">
        <v>15</v>
      </c>
      <c r="U327" s="16">
        <v>8</v>
      </c>
      <c r="V327" s="12">
        <f t="shared" si="112"/>
        <v>2.3622047244094486</v>
      </c>
      <c r="W327" s="12">
        <f t="shared" si="113"/>
        <v>5.5970149253731343</v>
      </c>
      <c r="X327" s="12">
        <f t="shared" si="114"/>
        <v>2.8571428571428572</v>
      </c>
      <c r="Y327" s="12">
        <f t="shared" si="117"/>
        <v>3.9796098248912912</v>
      </c>
    </row>
    <row r="328" spans="1:25" x14ac:dyDescent="0.3">
      <c r="A328" s="1" t="s">
        <v>418</v>
      </c>
      <c r="B328" s="1" t="s">
        <v>439</v>
      </c>
      <c r="C328" s="1" t="s">
        <v>442</v>
      </c>
      <c r="D328" s="1" t="s">
        <v>442</v>
      </c>
      <c r="E328" s="2">
        <v>80803</v>
      </c>
      <c r="F328" s="16">
        <v>180</v>
      </c>
      <c r="G328" s="16">
        <v>176</v>
      </c>
      <c r="H328" s="16">
        <v>163</v>
      </c>
      <c r="I328" s="16">
        <v>13</v>
      </c>
      <c r="J328" s="16">
        <v>20</v>
      </c>
      <c r="K328" s="16">
        <v>16</v>
      </c>
      <c r="L328" s="12">
        <f t="shared" si="110"/>
        <v>7.2222222222222214</v>
      </c>
      <c r="M328" s="12">
        <f t="shared" si="111"/>
        <v>11.363636363636363</v>
      </c>
      <c r="N328" s="12">
        <f t="shared" si="115"/>
        <v>9.8159509202453989</v>
      </c>
      <c r="O328" s="12">
        <f t="shared" si="116"/>
        <v>9.4672698353679952</v>
      </c>
      <c r="P328" s="16">
        <v>155</v>
      </c>
      <c r="Q328" s="16">
        <v>155</v>
      </c>
      <c r="R328" s="16">
        <v>176</v>
      </c>
      <c r="S328" s="16">
        <v>5</v>
      </c>
      <c r="T328" s="16">
        <v>5</v>
      </c>
      <c r="U328" s="16">
        <v>6</v>
      </c>
      <c r="V328" s="12">
        <f t="shared" si="112"/>
        <v>3.225806451612903</v>
      </c>
      <c r="W328" s="12">
        <f t="shared" si="113"/>
        <v>3.225806451612903</v>
      </c>
      <c r="X328" s="12">
        <f t="shared" si="114"/>
        <v>3.4090909090909087</v>
      </c>
      <c r="Y328" s="12">
        <f t="shared" si="117"/>
        <v>3.225806451612903</v>
      </c>
    </row>
    <row r="329" spans="1:25" x14ac:dyDescent="0.3">
      <c r="A329" s="1" t="s">
        <v>418</v>
      </c>
      <c r="B329" s="1" t="s">
        <v>432</v>
      </c>
      <c r="C329" s="1" t="s">
        <v>492</v>
      </c>
      <c r="D329" s="1" t="s">
        <v>443</v>
      </c>
      <c r="E329" s="2">
        <v>80901</v>
      </c>
      <c r="F329" s="16">
        <f>AVERAGE(F320,F318)</f>
        <v>1041.5</v>
      </c>
      <c r="G329" s="16">
        <f t="shared" ref="G329:K329" si="118">AVERAGE(G320,G318)</f>
        <v>1073</v>
      </c>
      <c r="H329" s="16">
        <f t="shared" si="118"/>
        <v>1039</v>
      </c>
      <c r="I329" s="16">
        <f t="shared" si="118"/>
        <v>144</v>
      </c>
      <c r="J329" s="16">
        <f t="shared" si="118"/>
        <v>177.5</v>
      </c>
      <c r="K329" s="16">
        <f t="shared" si="118"/>
        <v>143</v>
      </c>
      <c r="L329" s="12">
        <f t="shared" ref="L329:L337" si="119">(I329/F329)*100</f>
        <v>13.826212193951031</v>
      </c>
      <c r="M329" s="12">
        <f t="shared" ref="M329:M337" si="120">(J329/G329)*100</f>
        <v>16.542404473438957</v>
      </c>
      <c r="N329" s="12">
        <f t="shared" si="115"/>
        <v>13.763233878729547</v>
      </c>
      <c r="O329" s="12">
        <f t="shared" si="116"/>
        <v>14.710616848706513</v>
      </c>
      <c r="P329" s="21">
        <f>AVERAGE(P318,P320)</f>
        <v>1236.5</v>
      </c>
      <c r="Q329" s="21">
        <f t="shared" ref="Q329:U329" si="121">AVERAGE(Q318,Q320)</f>
        <v>1240.5</v>
      </c>
      <c r="R329" s="21">
        <f t="shared" si="121"/>
        <v>1274</v>
      </c>
      <c r="S329" s="21">
        <f t="shared" si="121"/>
        <v>61.5</v>
      </c>
      <c r="T329" s="21">
        <f t="shared" si="121"/>
        <v>56.5</v>
      </c>
      <c r="U329" s="21">
        <f t="shared" si="121"/>
        <v>59</v>
      </c>
      <c r="V329" s="12">
        <f t="shared" si="112"/>
        <v>4.9737161342498988</v>
      </c>
      <c r="W329" s="12">
        <f t="shared" si="113"/>
        <v>4.5546150745667067</v>
      </c>
      <c r="X329" s="12">
        <f t="shared" si="114"/>
        <v>4.6310832025117739</v>
      </c>
      <c r="Y329" s="12">
        <f t="shared" si="117"/>
        <v>4.7641656044083032</v>
      </c>
    </row>
    <row r="330" spans="1:25" x14ac:dyDescent="0.3">
      <c r="A330" s="1" t="s">
        <v>444</v>
      </c>
      <c r="B330" s="1" t="s">
        <v>445</v>
      </c>
      <c r="C330" s="1" t="s">
        <v>446</v>
      </c>
      <c r="D330" s="1" t="s">
        <v>446</v>
      </c>
      <c r="E330" s="2">
        <v>90101</v>
      </c>
      <c r="F330" s="16">
        <v>2309</v>
      </c>
      <c r="G330" s="16">
        <v>2399</v>
      </c>
      <c r="H330" s="16">
        <v>2647</v>
      </c>
      <c r="I330" s="16">
        <v>220</v>
      </c>
      <c r="J330" s="16">
        <v>209</v>
      </c>
      <c r="K330" s="16">
        <v>217</v>
      </c>
      <c r="L330" s="12">
        <f t="shared" si="119"/>
        <v>9.5279341706366392</v>
      </c>
      <c r="M330" s="12">
        <f t="shared" si="120"/>
        <v>8.7119633180491878</v>
      </c>
      <c r="N330" s="12">
        <f t="shared" si="115"/>
        <v>8.1979599546656594</v>
      </c>
      <c r="O330" s="12">
        <f t="shared" si="116"/>
        <v>8.8126191477838294</v>
      </c>
      <c r="P330" s="16">
        <v>3325</v>
      </c>
      <c r="Q330" s="16">
        <v>3502</v>
      </c>
      <c r="R330" s="16">
        <v>3623</v>
      </c>
      <c r="S330" s="16">
        <v>117</v>
      </c>
      <c r="T330" s="16">
        <v>108</v>
      </c>
      <c r="U330" s="16">
        <v>147</v>
      </c>
      <c r="V330" s="12">
        <f t="shared" si="112"/>
        <v>3.518796992481203</v>
      </c>
      <c r="W330" s="12">
        <f t="shared" si="113"/>
        <v>3.0839520274129071</v>
      </c>
      <c r="X330" s="12">
        <f t="shared" si="114"/>
        <v>4.0574109853712397</v>
      </c>
      <c r="Y330" s="12">
        <f t="shared" si="117"/>
        <v>3.3013745099470553</v>
      </c>
    </row>
    <row r="331" spans="1:25" x14ac:dyDescent="0.3">
      <c r="A331" s="1" t="s">
        <v>444</v>
      </c>
      <c r="B331" s="1" t="s">
        <v>445</v>
      </c>
      <c r="C331" s="1" t="s">
        <v>447</v>
      </c>
      <c r="D331" s="1" t="s">
        <v>447</v>
      </c>
      <c r="E331" s="2">
        <v>90102</v>
      </c>
      <c r="F331" s="16">
        <v>188</v>
      </c>
      <c r="G331" s="16">
        <v>195</v>
      </c>
      <c r="H331" s="16">
        <v>207</v>
      </c>
      <c r="I331" s="16">
        <v>18</v>
      </c>
      <c r="J331" s="16">
        <v>26</v>
      </c>
      <c r="K331" s="16">
        <v>23</v>
      </c>
      <c r="L331" s="12">
        <f t="shared" si="119"/>
        <v>9.5744680851063837</v>
      </c>
      <c r="M331" s="12">
        <f t="shared" si="120"/>
        <v>13.333333333333334</v>
      </c>
      <c r="N331" s="12">
        <f t="shared" si="115"/>
        <v>11.111111111111111</v>
      </c>
      <c r="O331" s="12">
        <f t="shared" si="116"/>
        <v>11.339637509850277</v>
      </c>
      <c r="P331" s="16">
        <v>321</v>
      </c>
      <c r="Q331" s="16">
        <v>352</v>
      </c>
      <c r="R331" s="16">
        <v>399</v>
      </c>
      <c r="S331" s="16">
        <v>10</v>
      </c>
      <c r="T331" s="16">
        <v>10</v>
      </c>
      <c r="U331" s="16">
        <v>18</v>
      </c>
      <c r="V331" s="12">
        <f t="shared" si="112"/>
        <v>3.1152647975077881</v>
      </c>
      <c r="W331" s="12">
        <f t="shared" si="113"/>
        <v>2.8409090909090908</v>
      </c>
      <c r="X331" s="12">
        <f t="shared" si="114"/>
        <v>4.5112781954887211</v>
      </c>
      <c r="Y331" s="12">
        <f t="shared" si="117"/>
        <v>2.9780869442084397</v>
      </c>
    </row>
    <row r="332" spans="1:25" x14ac:dyDescent="0.3">
      <c r="A332" s="1" t="s">
        <v>444</v>
      </c>
      <c r="B332" s="1" t="s">
        <v>445</v>
      </c>
      <c r="C332" s="1" t="s">
        <v>448</v>
      </c>
      <c r="D332" s="1" t="s">
        <v>448</v>
      </c>
      <c r="E332" s="2">
        <v>90103</v>
      </c>
      <c r="F332" s="16">
        <v>46</v>
      </c>
      <c r="G332" s="16">
        <v>43</v>
      </c>
      <c r="H332" s="16">
        <v>47</v>
      </c>
      <c r="I332" s="16">
        <v>25</v>
      </c>
      <c r="J332" s="16">
        <v>20</v>
      </c>
      <c r="K332" s="16">
        <v>13</v>
      </c>
      <c r="L332" s="12">
        <f t="shared" si="119"/>
        <v>54.347826086956516</v>
      </c>
      <c r="M332" s="12">
        <f t="shared" si="120"/>
        <v>46.511627906976742</v>
      </c>
      <c r="N332" s="12">
        <f t="shared" si="115"/>
        <v>27.659574468085108</v>
      </c>
      <c r="O332" s="12">
        <f t="shared" si="116"/>
        <v>42.839676154006121</v>
      </c>
      <c r="P332" s="16">
        <v>75</v>
      </c>
      <c r="Q332" s="16">
        <v>93</v>
      </c>
      <c r="R332" s="16">
        <v>90</v>
      </c>
      <c r="S332" s="16">
        <v>6</v>
      </c>
      <c r="T332" s="16">
        <v>4</v>
      </c>
      <c r="U332" s="16">
        <v>11</v>
      </c>
      <c r="V332" s="12">
        <f t="shared" ref="V332:V344" si="122">(S332/P332)*100</f>
        <v>8</v>
      </c>
      <c r="W332" s="12">
        <f t="shared" ref="W332:W344" si="123">(T332/Q332)*100</f>
        <v>4.3010752688172049</v>
      </c>
      <c r="X332" s="12">
        <f t="shared" si="114"/>
        <v>12.222222222222221</v>
      </c>
      <c r="Y332" s="12">
        <f t="shared" si="117"/>
        <v>6.150537634408602</v>
      </c>
    </row>
    <row r="333" spans="1:25" x14ac:dyDescent="0.3">
      <c r="A333" s="1" t="s">
        <v>444</v>
      </c>
      <c r="B333" s="1" t="s">
        <v>445</v>
      </c>
      <c r="C333" s="1" t="s">
        <v>449</v>
      </c>
      <c r="D333" s="1" t="s">
        <v>449</v>
      </c>
      <c r="E333" s="2">
        <v>90104</v>
      </c>
      <c r="F333" s="16">
        <v>64</v>
      </c>
      <c r="G333" s="16">
        <v>87</v>
      </c>
      <c r="H333" s="16">
        <v>95</v>
      </c>
      <c r="I333" s="16">
        <v>18</v>
      </c>
      <c r="J333" s="16">
        <v>32</v>
      </c>
      <c r="K333" s="16">
        <v>23</v>
      </c>
      <c r="L333" s="12">
        <f t="shared" si="119"/>
        <v>28.125</v>
      </c>
      <c r="M333" s="12">
        <f t="shared" si="120"/>
        <v>36.781609195402297</v>
      </c>
      <c r="N333" s="12">
        <f t="shared" si="115"/>
        <v>24.210526315789473</v>
      </c>
      <c r="O333" s="12">
        <f t="shared" si="116"/>
        <v>29.705711837063927</v>
      </c>
      <c r="P333" s="16">
        <v>160</v>
      </c>
      <c r="Q333" s="16">
        <v>173</v>
      </c>
      <c r="R333" s="16">
        <v>147</v>
      </c>
      <c r="S333" s="16">
        <v>9</v>
      </c>
      <c r="T333" s="16">
        <v>18</v>
      </c>
      <c r="U333" s="16">
        <v>16</v>
      </c>
      <c r="V333" s="12">
        <f t="shared" si="122"/>
        <v>5.625</v>
      </c>
      <c r="W333" s="12">
        <f t="shared" si="123"/>
        <v>10.404624277456648</v>
      </c>
      <c r="X333" s="12">
        <f t="shared" ref="X333:X344" si="124">(U333/R333)*100</f>
        <v>10.884353741496598</v>
      </c>
      <c r="Y333" s="12">
        <f t="shared" si="117"/>
        <v>8.014812138728324</v>
      </c>
    </row>
    <row r="334" spans="1:25" x14ac:dyDescent="0.3">
      <c r="A334" s="1" t="s">
        <v>444</v>
      </c>
      <c r="B334" s="1" t="s">
        <v>450</v>
      </c>
      <c r="C334" s="1" t="s">
        <v>451</v>
      </c>
      <c r="D334" s="1" t="s">
        <v>451</v>
      </c>
      <c r="E334" s="2">
        <v>90201</v>
      </c>
      <c r="F334" s="16">
        <v>282</v>
      </c>
      <c r="G334" s="16">
        <v>282</v>
      </c>
      <c r="H334" s="16">
        <v>317</v>
      </c>
      <c r="I334" s="16">
        <v>44</v>
      </c>
      <c r="J334" s="16">
        <v>73</v>
      </c>
      <c r="K334" s="16">
        <v>54</v>
      </c>
      <c r="L334" s="12">
        <f t="shared" si="119"/>
        <v>15.602836879432624</v>
      </c>
      <c r="M334" s="12">
        <f t="shared" si="120"/>
        <v>25.886524822695034</v>
      </c>
      <c r="N334" s="12">
        <f t="shared" si="115"/>
        <v>17.034700315457414</v>
      </c>
      <c r="O334" s="12">
        <f t="shared" si="116"/>
        <v>19.508020672528357</v>
      </c>
      <c r="P334" s="16">
        <v>419</v>
      </c>
      <c r="Q334" s="16">
        <v>407</v>
      </c>
      <c r="R334" s="16">
        <v>409</v>
      </c>
      <c r="S334" s="16">
        <v>20</v>
      </c>
      <c r="T334" s="16">
        <v>27</v>
      </c>
      <c r="U334" s="16">
        <v>20</v>
      </c>
      <c r="V334" s="12">
        <f t="shared" si="122"/>
        <v>4.7732696897374698</v>
      </c>
      <c r="W334" s="12">
        <f t="shared" si="123"/>
        <v>6.6339066339066335</v>
      </c>
      <c r="X334" s="12">
        <f t="shared" si="124"/>
        <v>4.8899755501222497</v>
      </c>
      <c r="Y334" s="12">
        <f t="shared" si="117"/>
        <v>5.7035881618220516</v>
      </c>
    </row>
    <row r="335" spans="1:25" x14ac:dyDescent="0.3">
      <c r="A335" s="1" t="s">
        <v>444</v>
      </c>
      <c r="B335" s="1" t="s">
        <v>450</v>
      </c>
      <c r="C335" s="1" t="s">
        <v>290</v>
      </c>
      <c r="D335" s="1" t="s">
        <v>290</v>
      </c>
      <c r="E335" s="2">
        <v>90202</v>
      </c>
      <c r="F335" s="16">
        <v>37</v>
      </c>
      <c r="G335" s="16">
        <v>37</v>
      </c>
      <c r="H335" s="16">
        <v>41</v>
      </c>
      <c r="I335" s="16">
        <v>5</v>
      </c>
      <c r="J335" s="16">
        <v>8</v>
      </c>
      <c r="K335" s="16">
        <v>2</v>
      </c>
      <c r="L335" s="12">
        <f t="shared" si="119"/>
        <v>13.513513513513514</v>
      </c>
      <c r="M335" s="12">
        <f t="shared" si="120"/>
        <v>21.621621621621621</v>
      </c>
      <c r="N335" s="12">
        <f t="shared" si="115"/>
        <v>4.8780487804878048</v>
      </c>
      <c r="O335" s="12">
        <f t="shared" si="116"/>
        <v>13.337727971874314</v>
      </c>
      <c r="P335" s="16">
        <v>67</v>
      </c>
      <c r="Q335" s="16">
        <v>64</v>
      </c>
      <c r="R335" s="16">
        <v>69</v>
      </c>
      <c r="S335" s="16">
        <v>7</v>
      </c>
      <c r="T335" s="16">
        <v>6</v>
      </c>
      <c r="U335" s="16">
        <v>7</v>
      </c>
      <c r="V335" s="12">
        <f t="shared" si="122"/>
        <v>10.44776119402985</v>
      </c>
      <c r="W335" s="12">
        <f t="shared" si="123"/>
        <v>9.375</v>
      </c>
      <c r="X335" s="12">
        <f t="shared" si="124"/>
        <v>10.144927536231885</v>
      </c>
      <c r="Y335" s="12">
        <f t="shared" si="117"/>
        <v>9.9113805970149258</v>
      </c>
    </row>
    <row r="336" spans="1:25" x14ac:dyDescent="0.3">
      <c r="A336" s="1" t="s">
        <v>444</v>
      </c>
      <c r="B336" s="1" t="s">
        <v>450</v>
      </c>
      <c r="C336" s="1" t="s">
        <v>452</v>
      </c>
      <c r="D336" s="1" t="s">
        <v>452</v>
      </c>
      <c r="E336" s="2">
        <v>90203</v>
      </c>
      <c r="F336" s="16">
        <v>142</v>
      </c>
      <c r="G336" s="16">
        <v>170</v>
      </c>
      <c r="H336" s="16">
        <v>213</v>
      </c>
      <c r="I336" s="16">
        <v>29</v>
      </c>
      <c r="J336" s="16">
        <v>20</v>
      </c>
      <c r="K336" s="16">
        <v>42</v>
      </c>
      <c r="L336" s="12">
        <f t="shared" si="119"/>
        <v>20.422535211267608</v>
      </c>
      <c r="M336" s="12">
        <f t="shared" si="120"/>
        <v>11.76470588235294</v>
      </c>
      <c r="N336" s="12">
        <f t="shared" si="115"/>
        <v>19.718309859154928</v>
      </c>
      <c r="O336" s="12">
        <f t="shared" si="116"/>
        <v>17.301850317591825</v>
      </c>
      <c r="P336" s="16">
        <v>407</v>
      </c>
      <c r="Q336" s="16">
        <v>407</v>
      </c>
      <c r="R336" s="16">
        <v>441</v>
      </c>
      <c r="S336" s="16">
        <v>17</v>
      </c>
      <c r="T336" s="16">
        <v>20</v>
      </c>
      <c r="U336" s="16">
        <v>23</v>
      </c>
      <c r="V336" s="12">
        <f t="shared" si="122"/>
        <v>4.176904176904177</v>
      </c>
      <c r="W336" s="12">
        <f t="shared" si="123"/>
        <v>4.9140049140049138</v>
      </c>
      <c r="X336" s="12">
        <f t="shared" si="124"/>
        <v>5.2154195011337867</v>
      </c>
      <c r="Y336" s="12">
        <f t="shared" si="117"/>
        <v>4.545454545454545</v>
      </c>
    </row>
    <row r="337" spans="1:25" x14ac:dyDescent="0.3">
      <c r="A337" s="1" t="s">
        <v>444</v>
      </c>
      <c r="B337" s="1" t="s">
        <v>453</v>
      </c>
      <c r="C337" s="1" t="s">
        <v>454</v>
      </c>
      <c r="D337" s="1" t="s">
        <v>454</v>
      </c>
      <c r="E337" s="2">
        <v>90301</v>
      </c>
      <c r="F337" s="16">
        <v>209</v>
      </c>
      <c r="G337" s="16">
        <v>238</v>
      </c>
      <c r="H337" s="16">
        <v>265</v>
      </c>
      <c r="I337" s="16">
        <v>37</v>
      </c>
      <c r="J337" s="16">
        <v>51</v>
      </c>
      <c r="K337" s="16">
        <v>32</v>
      </c>
      <c r="L337" s="12">
        <f t="shared" si="119"/>
        <v>17.703349282296653</v>
      </c>
      <c r="M337" s="12">
        <f t="shared" si="120"/>
        <v>21.428571428571427</v>
      </c>
      <c r="N337" s="12">
        <f t="shared" si="115"/>
        <v>12.075471698113208</v>
      </c>
      <c r="O337" s="12">
        <f t="shared" si="116"/>
        <v>17.069130802993765</v>
      </c>
      <c r="P337" s="16">
        <v>297</v>
      </c>
      <c r="Q337" s="16">
        <v>298</v>
      </c>
      <c r="R337" s="16">
        <v>304</v>
      </c>
      <c r="S337" s="16">
        <v>17</v>
      </c>
      <c r="T337" s="16">
        <v>10</v>
      </c>
      <c r="U337" s="16">
        <v>17</v>
      </c>
      <c r="V337" s="12">
        <f t="shared" si="122"/>
        <v>5.7239057239057241</v>
      </c>
      <c r="W337" s="12">
        <f t="shared" si="123"/>
        <v>3.3557046979865772</v>
      </c>
      <c r="X337" s="12">
        <f t="shared" si="124"/>
        <v>5.5921052631578947</v>
      </c>
      <c r="Y337" s="12">
        <f t="shared" si="117"/>
        <v>4.5398052109461506</v>
      </c>
    </row>
    <row r="338" spans="1:25" x14ac:dyDescent="0.3">
      <c r="A338" s="1" t="s">
        <v>444</v>
      </c>
      <c r="B338" s="1" t="s">
        <v>453</v>
      </c>
      <c r="C338" s="1" t="s">
        <v>345</v>
      </c>
      <c r="D338" s="1" t="s">
        <v>345</v>
      </c>
      <c r="E338" s="2">
        <v>90302</v>
      </c>
      <c r="F338" s="16">
        <v>180</v>
      </c>
      <c r="G338" s="16">
        <v>209</v>
      </c>
      <c r="H338" s="16">
        <v>253</v>
      </c>
      <c r="I338" s="16">
        <v>47</v>
      </c>
      <c r="J338" s="16">
        <v>48</v>
      </c>
      <c r="K338" s="16">
        <v>45</v>
      </c>
      <c r="L338" s="12">
        <f t="shared" ref="L338:N344" si="125">(I338/F338)*100</f>
        <v>26.111111111111114</v>
      </c>
      <c r="M338" s="12">
        <f t="shared" si="125"/>
        <v>22.966507177033492</v>
      </c>
      <c r="N338" s="12">
        <f t="shared" si="125"/>
        <v>17.786561264822133</v>
      </c>
      <c r="O338" s="12">
        <f t="shared" si="116"/>
        <v>22.288059850988912</v>
      </c>
      <c r="P338" s="16">
        <v>422</v>
      </c>
      <c r="Q338" s="16">
        <v>422</v>
      </c>
      <c r="R338" s="16">
        <v>432</v>
      </c>
      <c r="S338" s="16">
        <v>33</v>
      </c>
      <c r="T338" s="16">
        <v>26</v>
      </c>
      <c r="U338" s="16">
        <v>31</v>
      </c>
      <c r="V338" s="12">
        <f t="shared" si="122"/>
        <v>7.8199052132701423</v>
      </c>
      <c r="W338" s="12">
        <f t="shared" si="123"/>
        <v>6.1611374407582939</v>
      </c>
      <c r="X338" s="12">
        <f t="shared" si="124"/>
        <v>7.1759259259259256</v>
      </c>
      <c r="Y338" s="12">
        <f t="shared" si="117"/>
        <v>6.9905213270142177</v>
      </c>
    </row>
    <row r="339" spans="1:25" x14ac:dyDescent="0.3">
      <c r="A339" s="1" t="s">
        <v>444</v>
      </c>
      <c r="B339" s="1" t="s">
        <v>453</v>
      </c>
      <c r="C339" s="1" t="s">
        <v>455</v>
      </c>
      <c r="D339" s="1" t="s">
        <v>455</v>
      </c>
      <c r="E339" s="2">
        <v>90303</v>
      </c>
      <c r="F339" s="16">
        <v>85</v>
      </c>
      <c r="G339" s="16">
        <v>125</v>
      </c>
      <c r="H339" s="16">
        <v>155</v>
      </c>
      <c r="I339" s="16">
        <v>15</v>
      </c>
      <c r="J339" s="16">
        <v>22</v>
      </c>
      <c r="K339" s="16">
        <v>27</v>
      </c>
      <c r="L339" s="12">
        <f t="shared" si="125"/>
        <v>17.647058823529413</v>
      </c>
      <c r="M339" s="12">
        <f t="shared" si="125"/>
        <v>17.599999999999998</v>
      </c>
      <c r="N339" s="12">
        <f t="shared" si="125"/>
        <v>17.419354838709676</v>
      </c>
      <c r="O339" s="12">
        <f t="shared" si="116"/>
        <v>17.555471220746366</v>
      </c>
      <c r="P339" s="16">
        <v>482</v>
      </c>
      <c r="Q339" s="16">
        <v>560</v>
      </c>
      <c r="R339" s="16">
        <v>637</v>
      </c>
      <c r="S339" s="16">
        <v>34</v>
      </c>
      <c r="T339" s="16">
        <v>39</v>
      </c>
      <c r="U339" s="16">
        <v>50</v>
      </c>
      <c r="V339" s="12">
        <f t="shared" si="122"/>
        <v>7.0539419087136928</v>
      </c>
      <c r="W339" s="12">
        <f t="shared" si="123"/>
        <v>6.9642857142857144</v>
      </c>
      <c r="X339" s="12">
        <f t="shared" si="124"/>
        <v>7.8492935635792778</v>
      </c>
      <c r="Y339" s="12">
        <f t="shared" si="117"/>
        <v>7.009113811499704</v>
      </c>
    </row>
    <row r="340" spans="1:25" x14ac:dyDescent="0.3">
      <c r="A340" s="1" t="s">
        <v>444</v>
      </c>
      <c r="B340" s="1" t="s">
        <v>456</v>
      </c>
      <c r="C340" s="1" t="s">
        <v>374</v>
      </c>
      <c r="D340" s="1" t="s">
        <v>374</v>
      </c>
      <c r="E340" s="2">
        <v>90401</v>
      </c>
      <c r="F340" s="16">
        <v>51</v>
      </c>
      <c r="G340" s="16">
        <v>78</v>
      </c>
      <c r="H340" s="16">
        <v>91</v>
      </c>
      <c r="I340" s="16">
        <v>9</v>
      </c>
      <c r="J340" s="16">
        <v>15</v>
      </c>
      <c r="K340" s="16">
        <v>21</v>
      </c>
      <c r="L340" s="12">
        <f t="shared" si="125"/>
        <v>17.647058823529413</v>
      </c>
      <c r="M340" s="12">
        <f t="shared" si="125"/>
        <v>19.230769230769234</v>
      </c>
      <c r="N340" s="12">
        <f t="shared" si="125"/>
        <v>23.076923076923077</v>
      </c>
      <c r="O340" s="12">
        <f t="shared" si="116"/>
        <v>19.984917043740577</v>
      </c>
      <c r="P340" s="16">
        <v>116</v>
      </c>
      <c r="Q340" s="16">
        <v>126</v>
      </c>
      <c r="R340" s="16">
        <v>140</v>
      </c>
      <c r="S340" s="16">
        <v>6</v>
      </c>
      <c r="T340" s="16">
        <v>13</v>
      </c>
      <c r="U340" s="16">
        <v>2</v>
      </c>
      <c r="V340" s="12">
        <f t="shared" si="122"/>
        <v>5.1724137931034484</v>
      </c>
      <c r="W340" s="12">
        <f t="shared" si="123"/>
        <v>10.317460317460316</v>
      </c>
      <c r="X340" s="12">
        <f t="shared" si="124"/>
        <v>1.4285714285714286</v>
      </c>
      <c r="Y340" s="12">
        <f t="shared" si="117"/>
        <v>7.7449370552818824</v>
      </c>
    </row>
    <row r="341" spans="1:25" x14ac:dyDescent="0.3">
      <c r="A341" s="1" t="s">
        <v>444</v>
      </c>
      <c r="B341" s="1" t="s">
        <v>456</v>
      </c>
      <c r="C341" s="1" t="s">
        <v>92</v>
      </c>
      <c r="D341" s="1" t="s">
        <v>92</v>
      </c>
      <c r="E341" s="2">
        <v>90402</v>
      </c>
      <c r="F341" s="16">
        <v>18</v>
      </c>
      <c r="G341" s="16">
        <v>29</v>
      </c>
      <c r="H341" s="16">
        <v>24</v>
      </c>
      <c r="I341" s="16">
        <v>0</v>
      </c>
      <c r="J341" s="16">
        <v>11</v>
      </c>
      <c r="K341" s="16">
        <v>6</v>
      </c>
      <c r="L341" s="12">
        <f t="shared" si="125"/>
        <v>0</v>
      </c>
      <c r="M341" s="12">
        <f t="shared" si="125"/>
        <v>37.931034482758619</v>
      </c>
      <c r="N341" s="12">
        <f t="shared" si="125"/>
        <v>25</v>
      </c>
      <c r="O341" s="12">
        <f t="shared" si="116"/>
        <v>20.977011494252874</v>
      </c>
      <c r="P341" s="16">
        <v>137</v>
      </c>
      <c r="Q341" s="16">
        <v>133</v>
      </c>
      <c r="R341" s="16">
        <v>138</v>
      </c>
      <c r="S341" s="16">
        <v>23</v>
      </c>
      <c r="T341" s="16">
        <v>16</v>
      </c>
      <c r="U341" s="16">
        <v>27</v>
      </c>
      <c r="V341" s="12">
        <f t="shared" si="122"/>
        <v>16.788321167883211</v>
      </c>
      <c r="W341" s="12">
        <f t="shared" si="123"/>
        <v>12.030075187969924</v>
      </c>
      <c r="X341" s="12">
        <f t="shared" si="124"/>
        <v>19.565217391304348</v>
      </c>
      <c r="Y341" s="12">
        <f t="shared" si="117"/>
        <v>14.409198177926568</v>
      </c>
    </row>
    <row r="342" spans="1:25" x14ac:dyDescent="0.3">
      <c r="A342" s="1" t="s">
        <v>444</v>
      </c>
      <c r="B342" s="1" t="s">
        <v>457</v>
      </c>
      <c r="C342" s="1" t="s">
        <v>458</v>
      </c>
      <c r="D342" s="1" t="s">
        <v>458</v>
      </c>
      <c r="E342" s="2">
        <v>90501</v>
      </c>
      <c r="F342" s="16">
        <v>23</v>
      </c>
      <c r="G342" s="16">
        <v>24</v>
      </c>
      <c r="H342" s="16">
        <v>23</v>
      </c>
      <c r="I342" s="16">
        <v>1</v>
      </c>
      <c r="J342" s="16">
        <v>15</v>
      </c>
      <c r="K342" s="16">
        <v>9</v>
      </c>
      <c r="L342" s="12">
        <f t="shared" si="125"/>
        <v>4.3478260869565215</v>
      </c>
      <c r="M342" s="12">
        <f t="shared" si="125"/>
        <v>62.5</v>
      </c>
      <c r="N342" s="12">
        <f t="shared" si="125"/>
        <v>39.130434782608695</v>
      </c>
      <c r="O342" s="12">
        <f t="shared" si="116"/>
        <v>35.326086956521742</v>
      </c>
      <c r="P342" s="16">
        <v>117</v>
      </c>
      <c r="Q342" s="16">
        <v>112</v>
      </c>
      <c r="R342" s="16">
        <v>105</v>
      </c>
      <c r="S342" s="16">
        <v>8</v>
      </c>
      <c r="T342" s="16">
        <v>16</v>
      </c>
      <c r="U342" s="16">
        <v>17</v>
      </c>
      <c r="V342" s="12">
        <f t="shared" si="122"/>
        <v>6.8376068376068382</v>
      </c>
      <c r="W342" s="12">
        <f t="shared" si="123"/>
        <v>14.285714285714285</v>
      </c>
      <c r="X342" s="12">
        <f t="shared" si="124"/>
        <v>16.19047619047619</v>
      </c>
      <c r="Y342" s="12">
        <f t="shared" si="117"/>
        <v>10.561660561660561</v>
      </c>
    </row>
    <row r="343" spans="1:25" x14ac:dyDescent="0.3">
      <c r="A343" s="1" t="s">
        <v>444</v>
      </c>
      <c r="B343" s="1" t="s">
        <v>457</v>
      </c>
      <c r="C343" s="1" t="s">
        <v>459</v>
      </c>
      <c r="D343" s="1" t="s">
        <v>460</v>
      </c>
      <c r="E343" s="2">
        <v>90502</v>
      </c>
      <c r="F343" s="16">
        <v>58</v>
      </c>
      <c r="G343" s="16">
        <v>75</v>
      </c>
      <c r="H343" s="16">
        <v>70</v>
      </c>
      <c r="I343" s="16">
        <v>13</v>
      </c>
      <c r="J343" s="16">
        <v>34</v>
      </c>
      <c r="K343" s="16">
        <v>16</v>
      </c>
      <c r="L343" s="12">
        <f t="shared" si="125"/>
        <v>22.413793103448278</v>
      </c>
      <c r="M343" s="12">
        <f t="shared" si="125"/>
        <v>45.333333333333329</v>
      </c>
      <c r="N343" s="12">
        <f t="shared" si="125"/>
        <v>22.857142857142858</v>
      </c>
      <c r="O343" s="12">
        <f t="shared" si="116"/>
        <v>30.201423097974821</v>
      </c>
      <c r="P343" s="16">
        <v>142</v>
      </c>
      <c r="Q343" s="16">
        <v>162</v>
      </c>
      <c r="R343" s="16">
        <v>175</v>
      </c>
      <c r="S343" s="16">
        <v>8</v>
      </c>
      <c r="T343" s="16">
        <v>18</v>
      </c>
      <c r="U343" s="16">
        <v>16</v>
      </c>
      <c r="V343" s="12">
        <f t="shared" si="122"/>
        <v>5.6338028169014089</v>
      </c>
      <c r="W343" s="12">
        <f t="shared" si="123"/>
        <v>11.111111111111111</v>
      </c>
      <c r="X343" s="12">
        <f t="shared" si="124"/>
        <v>9.1428571428571423</v>
      </c>
      <c r="Y343" s="12">
        <f t="shared" si="117"/>
        <v>8.3724569640062594</v>
      </c>
    </row>
    <row r="344" spans="1:25" x14ac:dyDescent="0.3">
      <c r="A344" s="1" t="s">
        <v>444</v>
      </c>
      <c r="B344" s="1" t="s">
        <v>457</v>
      </c>
      <c r="C344" s="1" t="s">
        <v>461</v>
      </c>
      <c r="D344" s="1" t="s">
        <v>461</v>
      </c>
      <c r="E344" s="2">
        <v>90503</v>
      </c>
      <c r="F344" s="16">
        <v>20</v>
      </c>
      <c r="G344" s="16">
        <v>30</v>
      </c>
      <c r="H344" s="16">
        <v>35</v>
      </c>
      <c r="I344" s="16">
        <v>1</v>
      </c>
      <c r="J344" s="16">
        <v>6</v>
      </c>
      <c r="K344" s="16">
        <v>13</v>
      </c>
      <c r="L344" s="12">
        <f t="shared" si="125"/>
        <v>5</v>
      </c>
      <c r="M344" s="12">
        <f t="shared" si="125"/>
        <v>20</v>
      </c>
      <c r="N344" s="12">
        <f t="shared" si="125"/>
        <v>37.142857142857146</v>
      </c>
      <c r="O344" s="12">
        <f t="shared" si="116"/>
        <v>20.714285714285715</v>
      </c>
      <c r="P344" s="16">
        <v>149</v>
      </c>
      <c r="Q344" s="16">
        <v>107</v>
      </c>
      <c r="R344" s="16">
        <v>105</v>
      </c>
      <c r="S344" s="16">
        <v>15</v>
      </c>
      <c r="T344" s="16">
        <v>16</v>
      </c>
      <c r="U344" s="16">
        <v>14</v>
      </c>
      <c r="V344" s="12">
        <f t="shared" si="122"/>
        <v>10.067114093959731</v>
      </c>
      <c r="W344" s="12">
        <f t="shared" si="123"/>
        <v>14.953271028037381</v>
      </c>
      <c r="X344" s="12">
        <f t="shared" si="124"/>
        <v>13.333333333333334</v>
      </c>
      <c r="Y344" s="12">
        <f t="shared" si="117"/>
        <v>12.510192560998556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E27" sqref="E27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516</v>
      </c>
      <c r="D1" s="3" t="s">
        <v>517</v>
      </c>
    </row>
    <row r="2" spans="1:4" x14ac:dyDescent="0.3">
      <c r="A2" s="1">
        <v>10101</v>
      </c>
      <c r="B2" s="1" t="s">
        <v>6</v>
      </c>
      <c r="C2" s="5">
        <v>4.4040967382929654</v>
      </c>
      <c r="D2" s="5">
        <v>2.1343796343408212</v>
      </c>
    </row>
    <row r="3" spans="1:4" x14ac:dyDescent="0.3">
      <c r="A3" s="1">
        <v>10102</v>
      </c>
      <c r="B3" s="1" t="s">
        <v>7</v>
      </c>
      <c r="C3" s="5">
        <v>4.6423780984439995</v>
      </c>
      <c r="D3" s="5">
        <v>2.5139712885716579</v>
      </c>
    </row>
    <row r="4" spans="1:4" x14ac:dyDescent="0.3">
      <c r="A4" s="1">
        <v>10103</v>
      </c>
      <c r="B4" s="1" t="s">
        <v>8</v>
      </c>
      <c r="C4" s="5">
        <v>9.8811824940531015</v>
      </c>
      <c r="D4" s="5">
        <v>5.7066631962519523</v>
      </c>
    </row>
    <row r="5" spans="1:4" x14ac:dyDescent="0.3">
      <c r="A5" s="1">
        <v>10201</v>
      </c>
      <c r="B5" s="1" t="s">
        <v>9</v>
      </c>
      <c r="C5" s="5">
        <v>15.900526877417633</v>
      </c>
      <c r="D5" s="5">
        <v>3.7692440010320807</v>
      </c>
    </row>
    <row r="6" spans="1:4" x14ac:dyDescent="0.3">
      <c r="A6" s="1">
        <v>10202</v>
      </c>
      <c r="B6" s="1" t="s">
        <v>11</v>
      </c>
      <c r="C6" s="5">
        <v>8.5337453650911907</v>
      </c>
      <c r="D6" s="5">
        <v>7.0950764679468552</v>
      </c>
    </row>
    <row r="7" spans="1:4" x14ac:dyDescent="0.3">
      <c r="A7" s="1">
        <v>10301</v>
      </c>
      <c r="B7" s="1" t="s">
        <v>13</v>
      </c>
      <c r="C7" s="5">
        <v>7.3354724867411916</v>
      </c>
      <c r="D7" s="5">
        <v>3.1601939063277609</v>
      </c>
    </row>
    <row r="8" spans="1:4" x14ac:dyDescent="0.3">
      <c r="A8" s="1">
        <v>10302</v>
      </c>
      <c r="B8" s="1" t="s">
        <v>15</v>
      </c>
      <c r="C8" s="5">
        <v>13.072395459772077</v>
      </c>
      <c r="D8" s="5">
        <v>3.2169301580948568</v>
      </c>
    </row>
    <row r="9" spans="1:4" x14ac:dyDescent="0.3">
      <c r="A9" s="1">
        <v>10303</v>
      </c>
      <c r="B9" s="1" t="s">
        <v>476</v>
      </c>
      <c r="C9" s="5">
        <v>5.8176055132939801</v>
      </c>
      <c r="D9" s="5">
        <v>4.3814026792750198</v>
      </c>
    </row>
    <row r="10" spans="1:4" x14ac:dyDescent="0.3">
      <c r="A10" s="1">
        <v>10304</v>
      </c>
      <c r="B10" s="1" t="s">
        <v>17</v>
      </c>
      <c r="C10" s="5">
        <v>8.3246114804898426</v>
      </c>
      <c r="D10" s="5">
        <v>4.9809488692232051</v>
      </c>
    </row>
    <row r="11" spans="1:4" x14ac:dyDescent="0.3">
      <c r="A11" s="1">
        <v>10401</v>
      </c>
      <c r="B11" s="1" t="s">
        <v>19</v>
      </c>
      <c r="C11" s="5">
        <v>2.6289861683680225</v>
      </c>
      <c r="D11" s="5">
        <v>2.1476626464233322</v>
      </c>
    </row>
    <row r="12" spans="1:4" x14ac:dyDescent="0.3">
      <c r="A12" s="1">
        <v>10402</v>
      </c>
      <c r="B12" s="1" t="s">
        <v>18</v>
      </c>
      <c r="C12" s="5">
        <v>4.2970474060557988</v>
      </c>
      <c r="D12" s="5">
        <v>3.007132772246365</v>
      </c>
    </row>
    <row r="13" spans="1:4" x14ac:dyDescent="0.3">
      <c r="A13" s="1">
        <v>10403</v>
      </c>
      <c r="B13" s="1" t="s">
        <v>21</v>
      </c>
      <c r="C13" s="5">
        <v>9.5727009850464011</v>
      </c>
      <c r="D13" s="5">
        <v>2.8830885271933306</v>
      </c>
    </row>
    <row r="14" spans="1:4" x14ac:dyDescent="0.3">
      <c r="A14" s="1">
        <v>10404</v>
      </c>
      <c r="B14" s="1" t="s">
        <v>23</v>
      </c>
      <c r="C14" s="5">
        <v>6.0419752098093369</v>
      </c>
      <c r="D14" s="5">
        <v>1.9261494763003728</v>
      </c>
    </row>
    <row r="15" spans="1:4" x14ac:dyDescent="0.3">
      <c r="A15" s="1">
        <v>10405</v>
      </c>
      <c r="B15" s="1" t="s">
        <v>24</v>
      </c>
      <c r="C15" s="5">
        <v>1.9979591821443317</v>
      </c>
      <c r="D15" s="5">
        <v>1.0648874934589221</v>
      </c>
    </row>
    <row r="16" spans="1:4" x14ac:dyDescent="0.3">
      <c r="A16" s="1">
        <v>10501</v>
      </c>
      <c r="B16" s="1" t="s">
        <v>26</v>
      </c>
      <c r="C16" s="5">
        <v>4.353964665176262</v>
      </c>
      <c r="D16" s="5">
        <v>2.1330166104588519</v>
      </c>
    </row>
    <row r="17" spans="1:4" x14ac:dyDescent="0.3">
      <c r="A17" s="1">
        <v>10502</v>
      </c>
      <c r="B17" s="1" t="s">
        <v>477</v>
      </c>
      <c r="C17" s="5">
        <v>13.774806163872958</v>
      </c>
      <c r="D17" s="5">
        <v>3.3601849779965685</v>
      </c>
    </row>
    <row r="18" spans="1:4" x14ac:dyDescent="0.3">
      <c r="A18" s="1">
        <v>10601</v>
      </c>
      <c r="B18" s="1" t="s">
        <v>29</v>
      </c>
      <c r="C18" s="5">
        <v>7.705276453635217</v>
      </c>
      <c r="D18" s="5">
        <v>4.514260426161508</v>
      </c>
    </row>
    <row r="19" spans="1:4" x14ac:dyDescent="0.3">
      <c r="A19" s="1">
        <v>10602</v>
      </c>
      <c r="B19" s="1" t="s">
        <v>28</v>
      </c>
      <c r="C19" s="5">
        <v>7.0080388648675509</v>
      </c>
      <c r="D19" s="5">
        <v>3.3007021210287997</v>
      </c>
    </row>
    <row r="20" spans="1:4" x14ac:dyDescent="0.3">
      <c r="A20" s="1">
        <v>10701</v>
      </c>
      <c r="B20" s="1" t="s">
        <v>31</v>
      </c>
      <c r="C20" s="5">
        <v>5.7971139863771484</v>
      </c>
      <c r="D20" s="5">
        <v>3.4990217657128886</v>
      </c>
    </row>
    <row r="21" spans="1:4" x14ac:dyDescent="0.3">
      <c r="A21" s="1">
        <v>10702</v>
      </c>
      <c r="B21" s="1" t="s">
        <v>32</v>
      </c>
      <c r="C21" s="5">
        <v>12.376433769923205</v>
      </c>
      <c r="D21" s="5">
        <v>5.5866850956000924</v>
      </c>
    </row>
    <row r="22" spans="1:4" x14ac:dyDescent="0.3">
      <c r="A22" s="1">
        <v>10703</v>
      </c>
      <c r="B22" s="1" t="s">
        <v>33</v>
      </c>
      <c r="C22" s="5">
        <v>16.238054020707949</v>
      </c>
      <c r="D22" s="5">
        <v>6.0293571163136388</v>
      </c>
    </row>
    <row r="23" spans="1:4" x14ac:dyDescent="0.3">
      <c r="A23" s="1">
        <v>10704</v>
      </c>
      <c r="B23" s="1" t="s">
        <v>34</v>
      </c>
      <c r="C23" s="5">
        <v>14.508928571428573</v>
      </c>
      <c r="D23" s="5">
        <v>6.4666192790469577</v>
      </c>
    </row>
    <row r="24" spans="1:4" x14ac:dyDescent="0.3">
      <c r="A24" s="1">
        <v>10801</v>
      </c>
      <c r="B24" s="1" t="s">
        <v>36</v>
      </c>
      <c r="C24" s="5">
        <v>4.4381562967605968</v>
      </c>
      <c r="D24" s="5">
        <v>1.1076733051650658</v>
      </c>
    </row>
    <row r="25" spans="1:4" x14ac:dyDescent="0.3">
      <c r="A25" s="1">
        <v>10901</v>
      </c>
      <c r="B25" s="1" t="s">
        <v>38</v>
      </c>
      <c r="C25" s="5">
        <v>3.6098555753397554</v>
      </c>
      <c r="D25" s="5">
        <v>1.5151515151515151</v>
      </c>
    </row>
    <row r="26" spans="1:4" x14ac:dyDescent="0.3">
      <c r="A26" s="1">
        <v>10902</v>
      </c>
      <c r="B26" s="1" t="s">
        <v>39</v>
      </c>
      <c r="C26" s="5">
        <v>12.667223005979684</v>
      </c>
      <c r="D26" s="5">
        <v>4.7161746266955431</v>
      </c>
    </row>
    <row r="27" spans="1:4" x14ac:dyDescent="0.3">
      <c r="A27" s="1">
        <v>10903</v>
      </c>
      <c r="B27" s="1" t="s">
        <v>40</v>
      </c>
      <c r="C27" s="5">
        <v>5.4422710538506278</v>
      </c>
      <c r="D27" s="5">
        <v>1.2987012987012987</v>
      </c>
    </row>
    <row r="28" spans="1:4" x14ac:dyDescent="0.3">
      <c r="A28" s="1">
        <v>11001</v>
      </c>
      <c r="B28" s="1" t="s">
        <v>42</v>
      </c>
      <c r="C28" s="5">
        <v>3.2971305980155541</v>
      </c>
      <c r="D28" s="5">
        <v>3.9611204013377925</v>
      </c>
    </row>
    <row r="29" spans="1:4" x14ac:dyDescent="0.3">
      <c r="A29" s="1">
        <v>11002</v>
      </c>
      <c r="B29" s="1" t="s">
        <v>478</v>
      </c>
      <c r="C29" s="5">
        <v>9.1411889925243859</v>
      </c>
      <c r="D29" s="5">
        <v>1.5625</v>
      </c>
    </row>
    <row r="30" spans="1:4" x14ac:dyDescent="0.3">
      <c r="A30" s="1">
        <v>11003</v>
      </c>
      <c r="B30" s="1" t="s">
        <v>44</v>
      </c>
      <c r="C30" s="5">
        <v>8.5005664446435016</v>
      </c>
      <c r="D30" s="5">
        <v>2.2346600331674962</v>
      </c>
    </row>
    <row r="31" spans="1:4" x14ac:dyDescent="0.3">
      <c r="A31" s="1">
        <v>20101</v>
      </c>
      <c r="B31" s="1" t="s">
        <v>48</v>
      </c>
      <c r="C31" s="5">
        <v>3.0998759939732863</v>
      </c>
      <c r="D31" s="5">
        <v>1.1911483087842196</v>
      </c>
    </row>
    <row r="32" spans="1:4" x14ac:dyDescent="0.3">
      <c r="A32" s="1">
        <v>20102</v>
      </c>
      <c r="B32" s="1" t="s">
        <v>49</v>
      </c>
      <c r="C32" s="5">
        <v>6.5811871791137024</v>
      </c>
      <c r="D32" s="5">
        <v>3.2781292374210422</v>
      </c>
    </row>
    <row r="33" spans="1:4" x14ac:dyDescent="0.3">
      <c r="A33" s="1">
        <v>20103</v>
      </c>
      <c r="B33" s="1" t="s">
        <v>50</v>
      </c>
      <c r="C33" s="5">
        <v>4.4702414472504399</v>
      </c>
      <c r="D33" s="5">
        <v>2.8942358002441719</v>
      </c>
    </row>
    <row r="34" spans="1:4" x14ac:dyDescent="0.3">
      <c r="A34" s="1">
        <v>20104</v>
      </c>
      <c r="B34" s="1" t="s">
        <v>51</v>
      </c>
      <c r="C34" s="5">
        <v>5.2504411105129618</v>
      </c>
      <c r="D34" s="5">
        <v>1.7500981134191123</v>
      </c>
    </row>
    <row r="35" spans="1:4" x14ac:dyDescent="0.3">
      <c r="A35" s="1">
        <v>20105</v>
      </c>
      <c r="B35" s="1" t="s">
        <v>52</v>
      </c>
      <c r="C35" s="5">
        <v>3.2547840463891995</v>
      </c>
      <c r="D35" s="5">
        <v>1.283382943833034</v>
      </c>
    </row>
    <row r="36" spans="1:4" x14ac:dyDescent="0.3">
      <c r="A36" s="1">
        <v>20201</v>
      </c>
      <c r="B36" s="1" t="s">
        <v>54</v>
      </c>
      <c r="C36" s="5">
        <v>5.3546780829160854</v>
      </c>
      <c r="D36" s="5">
        <v>1.8284755256948872</v>
      </c>
    </row>
    <row r="37" spans="1:4" x14ac:dyDescent="0.3">
      <c r="A37" s="1">
        <v>20202</v>
      </c>
      <c r="B37" s="1" t="s">
        <v>55</v>
      </c>
      <c r="C37" s="5">
        <v>8.4075805642925179</v>
      </c>
      <c r="D37" s="5">
        <v>3.4813303539622398</v>
      </c>
    </row>
    <row r="38" spans="1:4" x14ac:dyDescent="0.3">
      <c r="A38" s="1">
        <v>20203</v>
      </c>
      <c r="B38" s="1" t="s">
        <v>56</v>
      </c>
      <c r="C38" s="5">
        <v>8.235294117647058</v>
      </c>
      <c r="D38" s="5">
        <v>1.3191557403261913</v>
      </c>
    </row>
    <row r="39" spans="1:4" x14ac:dyDescent="0.3">
      <c r="A39" s="1">
        <v>20204</v>
      </c>
      <c r="B39" s="1" t="s">
        <v>57</v>
      </c>
      <c r="C39" s="5">
        <v>8.524590163934425</v>
      </c>
      <c r="D39" s="5">
        <v>1.4507471347744088</v>
      </c>
    </row>
    <row r="40" spans="1:4" x14ac:dyDescent="0.3">
      <c r="A40" s="1">
        <v>20205</v>
      </c>
      <c r="B40" s="1" t="s">
        <v>58</v>
      </c>
      <c r="C40" s="5">
        <v>4.8484848484848486</v>
      </c>
      <c r="D40" s="5">
        <v>1.5151515151515151</v>
      </c>
    </row>
    <row r="41" spans="1:4" x14ac:dyDescent="0.3">
      <c r="A41" s="1">
        <v>20206</v>
      </c>
      <c r="B41" s="1" t="s">
        <v>59</v>
      </c>
      <c r="C41" s="5">
        <v>1.2987012987012987</v>
      </c>
      <c r="D41" s="5">
        <v>1.3888888888888888</v>
      </c>
    </row>
    <row r="42" spans="1:4" x14ac:dyDescent="0.3">
      <c r="A42" s="1">
        <v>20301</v>
      </c>
      <c r="B42" s="1" t="s">
        <v>61</v>
      </c>
      <c r="C42" s="5">
        <v>10.52705169695461</v>
      </c>
      <c r="D42" s="5">
        <v>3.9970821086056336</v>
      </c>
    </row>
    <row r="43" spans="1:4" x14ac:dyDescent="0.3">
      <c r="A43" s="1">
        <v>20302</v>
      </c>
      <c r="B43" s="1" t="s">
        <v>62</v>
      </c>
      <c r="C43" s="5">
        <v>8.0530346109327038</v>
      </c>
      <c r="D43" s="5">
        <v>3.7134087777174591</v>
      </c>
    </row>
    <row r="44" spans="1:4" x14ac:dyDescent="0.3">
      <c r="A44" s="1">
        <v>20303</v>
      </c>
      <c r="B44" s="1" t="s">
        <v>63</v>
      </c>
      <c r="C44" s="5">
        <v>9.5785440613026811</v>
      </c>
      <c r="D44" s="5">
        <v>3.4571175950486297</v>
      </c>
    </row>
    <row r="45" spans="1:4" x14ac:dyDescent="0.3">
      <c r="A45" s="1">
        <v>20304</v>
      </c>
      <c r="B45" s="1" t="s">
        <v>64</v>
      </c>
      <c r="C45" s="5">
        <v>10.399053107453632</v>
      </c>
      <c r="D45" s="5">
        <v>2.0795916438226678</v>
      </c>
    </row>
    <row r="46" spans="1:4" x14ac:dyDescent="0.3">
      <c r="A46" s="1">
        <v>20305</v>
      </c>
      <c r="B46" s="1" t="s">
        <v>65</v>
      </c>
      <c r="C46" s="5">
        <v>7.8707687894434883</v>
      </c>
      <c r="D46" s="5">
        <v>2.8186274509803919</v>
      </c>
    </row>
    <row r="47" spans="1:4" x14ac:dyDescent="0.3">
      <c r="A47" s="1">
        <v>20306</v>
      </c>
      <c r="B47" s="1" t="s">
        <v>479</v>
      </c>
      <c r="C47" s="5">
        <v>4.4587641843241181</v>
      </c>
      <c r="D47" s="5">
        <v>3.4653465346534658</v>
      </c>
    </row>
    <row r="48" spans="1:4" x14ac:dyDescent="0.3">
      <c r="A48" s="1">
        <v>20307</v>
      </c>
      <c r="B48" s="1" t="s">
        <v>67</v>
      </c>
      <c r="C48" s="5">
        <v>23.769063180827885</v>
      </c>
      <c r="D48" s="5">
        <v>6.0897435897435894</v>
      </c>
    </row>
    <row r="49" spans="1:4" x14ac:dyDescent="0.3">
      <c r="A49" s="1">
        <v>20308</v>
      </c>
      <c r="B49" s="1" t="s">
        <v>68</v>
      </c>
      <c r="C49" s="5">
        <v>13.625822957129948</v>
      </c>
      <c r="D49" s="5">
        <v>4.5571945130000575</v>
      </c>
    </row>
    <row r="50" spans="1:4" x14ac:dyDescent="0.3">
      <c r="A50" s="1">
        <v>20401</v>
      </c>
      <c r="B50" s="1" t="s">
        <v>70</v>
      </c>
      <c r="C50" s="5">
        <v>8.9357898267323161</v>
      </c>
      <c r="D50" s="5">
        <v>3.5594029754099688</v>
      </c>
    </row>
    <row r="51" spans="1:4" x14ac:dyDescent="0.3">
      <c r="A51" s="1">
        <v>20402</v>
      </c>
      <c r="B51" s="1" t="s">
        <v>71</v>
      </c>
      <c r="C51" s="5">
        <v>9.0456425516703902</v>
      </c>
      <c r="D51" s="5">
        <v>4.6929956958685093</v>
      </c>
    </row>
    <row r="52" spans="1:4" x14ac:dyDescent="0.3">
      <c r="A52" s="1">
        <v>20403</v>
      </c>
      <c r="B52" s="1" t="s">
        <v>72</v>
      </c>
      <c r="C52" s="5">
        <v>9.458441244052624</v>
      </c>
      <c r="D52" s="5">
        <v>2.8322440087145968</v>
      </c>
    </row>
    <row r="53" spans="1:4" x14ac:dyDescent="0.3">
      <c r="A53" s="1">
        <v>20404</v>
      </c>
      <c r="B53" s="1" t="s">
        <v>74</v>
      </c>
      <c r="C53" s="5">
        <v>12.5</v>
      </c>
      <c r="D53" s="5">
        <v>8.1472957422324512</v>
      </c>
    </row>
    <row r="54" spans="1:4" x14ac:dyDescent="0.3">
      <c r="A54" s="1">
        <v>20405</v>
      </c>
      <c r="B54" s="1" t="s">
        <v>75</v>
      </c>
      <c r="C54" s="5">
        <v>7.2664359861591699</v>
      </c>
      <c r="D54" s="5">
        <v>2.0356442119032048</v>
      </c>
    </row>
    <row r="55" spans="1:4" x14ac:dyDescent="0.3">
      <c r="A55" s="1">
        <v>20501</v>
      </c>
      <c r="B55" s="1" t="s">
        <v>77</v>
      </c>
      <c r="C55" s="5">
        <v>9.104260251379074</v>
      </c>
      <c r="D55" s="5">
        <v>2.7777777777777777</v>
      </c>
    </row>
    <row r="56" spans="1:4" x14ac:dyDescent="0.3">
      <c r="A56" s="1">
        <v>20502</v>
      </c>
      <c r="B56" s="1" t="s">
        <v>78</v>
      </c>
      <c r="C56" s="5">
        <v>12.042809809099012</v>
      </c>
      <c r="D56" s="5">
        <v>3.1796034946236555</v>
      </c>
    </row>
    <row r="57" spans="1:4" x14ac:dyDescent="0.3">
      <c r="A57" s="1">
        <v>20503</v>
      </c>
      <c r="B57" s="1" t="s">
        <v>79</v>
      </c>
      <c r="C57" s="5">
        <v>6.1505376344086029</v>
      </c>
      <c r="D57" s="5">
        <v>3.9133738601823707</v>
      </c>
    </row>
    <row r="58" spans="1:4" x14ac:dyDescent="0.3">
      <c r="A58" s="1">
        <v>20601</v>
      </c>
      <c r="B58" s="1" t="s">
        <v>81</v>
      </c>
      <c r="C58" s="5">
        <v>8.1159588975678343</v>
      </c>
      <c r="D58" s="5">
        <v>3.4733658441837716</v>
      </c>
    </row>
    <row r="59" spans="1:4" x14ac:dyDescent="0.3">
      <c r="A59" s="1">
        <v>20602</v>
      </c>
      <c r="B59" s="1" t="s">
        <v>82</v>
      </c>
      <c r="C59" s="5">
        <v>9.4545836752025085</v>
      </c>
      <c r="D59" s="5">
        <v>4.984817813765182</v>
      </c>
    </row>
    <row r="60" spans="1:4" x14ac:dyDescent="0.3">
      <c r="A60" s="1">
        <v>20603</v>
      </c>
      <c r="B60" s="1" t="s">
        <v>83</v>
      </c>
      <c r="C60" s="5">
        <v>9.9369048875548636</v>
      </c>
      <c r="D60" s="5">
        <v>1.9786155202821867</v>
      </c>
    </row>
    <row r="61" spans="1:4" x14ac:dyDescent="0.3">
      <c r="A61" s="1">
        <v>20604</v>
      </c>
      <c r="B61" s="1" t="s">
        <v>84</v>
      </c>
      <c r="C61" s="5">
        <v>5.5547444475045333</v>
      </c>
      <c r="D61" s="5">
        <v>4.8018867924528301</v>
      </c>
    </row>
    <row r="62" spans="1:4" x14ac:dyDescent="0.3">
      <c r="A62" s="1">
        <v>20605</v>
      </c>
      <c r="B62" s="1" t="s">
        <v>85</v>
      </c>
      <c r="C62" s="5">
        <v>4.0941584967320255</v>
      </c>
      <c r="D62" s="5">
        <v>9.9819168173598563</v>
      </c>
    </row>
    <row r="63" spans="1:4" x14ac:dyDescent="0.3">
      <c r="A63" s="1">
        <v>20606</v>
      </c>
      <c r="B63" s="1" t="s">
        <v>86</v>
      </c>
      <c r="C63" s="5">
        <v>5.2842980892516493</v>
      </c>
      <c r="D63" s="5">
        <v>1.7030423280423279</v>
      </c>
    </row>
    <row r="64" spans="1:4" x14ac:dyDescent="0.3">
      <c r="A64" s="1">
        <v>20607</v>
      </c>
      <c r="B64" s="1" t="s">
        <v>87</v>
      </c>
      <c r="C64" s="5">
        <v>8.520410207702092</v>
      </c>
      <c r="D64" s="5">
        <v>5.3608247422680417</v>
      </c>
    </row>
    <row r="65" spans="1:4" x14ac:dyDescent="0.3">
      <c r="A65" s="1">
        <v>20608</v>
      </c>
      <c r="B65" s="1" t="s">
        <v>88</v>
      </c>
      <c r="C65" s="5">
        <v>10.191899539158619</v>
      </c>
      <c r="D65" s="5">
        <v>3.7838679539084401</v>
      </c>
    </row>
    <row r="66" spans="1:4" x14ac:dyDescent="0.3">
      <c r="A66" s="1">
        <v>20701</v>
      </c>
      <c r="B66" s="1" t="s">
        <v>90</v>
      </c>
      <c r="C66" s="5">
        <v>9.8751572432153978</v>
      </c>
      <c r="D66" s="5">
        <v>4.4042041859333168</v>
      </c>
    </row>
    <row r="67" spans="1:4" x14ac:dyDescent="0.3">
      <c r="A67" s="1">
        <v>20702</v>
      </c>
      <c r="B67" s="1" t="s">
        <v>91</v>
      </c>
      <c r="C67" s="5">
        <v>8.3304756461548219</v>
      </c>
      <c r="D67" s="5">
        <v>1.1266342705079255</v>
      </c>
    </row>
    <row r="68" spans="1:4" x14ac:dyDescent="0.3">
      <c r="A68" s="1">
        <v>20801</v>
      </c>
      <c r="B68" s="1" t="s">
        <v>93</v>
      </c>
      <c r="C68" s="5">
        <v>3.7416665836173877</v>
      </c>
      <c r="D68" s="5">
        <v>1.37550528765669</v>
      </c>
    </row>
    <row r="69" spans="1:4" x14ac:dyDescent="0.3">
      <c r="A69" s="1">
        <v>20802</v>
      </c>
      <c r="B69" s="1" t="s">
        <v>94</v>
      </c>
      <c r="C69" s="5">
        <v>8.0873876230334023</v>
      </c>
      <c r="D69" s="5">
        <v>1.2179408516382377</v>
      </c>
    </row>
    <row r="70" spans="1:4" x14ac:dyDescent="0.3">
      <c r="A70" s="1">
        <v>20803</v>
      </c>
      <c r="B70" s="1" t="s">
        <v>96</v>
      </c>
      <c r="C70" s="5">
        <v>5.3824327012132729</v>
      </c>
      <c r="D70" s="5">
        <v>2.7090398100022983</v>
      </c>
    </row>
    <row r="71" spans="1:4" x14ac:dyDescent="0.3">
      <c r="A71" s="1">
        <v>20804</v>
      </c>
      <c r="B71" s="1" t="s">
        <v>97</v>
      </c>
      <c r="C71" s="5">
        <v>3.4069052409663763</v>
      </c>
      <c r="D71" s="5">
        <v>1.4566167815705398</v>
      </c>
    </row>
    <row r="72" spans="1:4" x14ac:dyDescent="0.3">
      <c r="A72" s="1">
        <v>20805</v>
      </c>
      <c r="B72" s="1" t="s">
        <v>98</v>
      </c>
      <c r="C72" s="5">
        <v>7.5513450114254281</v>
      </c>
      <c r="D72" s="5">
        <v>2.1143537820131026</v>
      </c>
    </row>
    <row r="73" spans="1:4" x14ac:dyDescent="0.3">
      <c r="A73" s="1">
        <v>20806</v>
      </c>
      <c r="B73" s="1" t="s">
        <v>99</v>
      </c>
      <c r="C73" s="5">
        <v>7.3375431932925288</v>
      </c>
      <c r="D73" s="5">
        <v>3.5551506495415928</v>
      </c>
    </row>
    <row r="74" spans="1:4" x14ac:dyDescent="0.3">
      <c r="A74" s="1">
        <v>20807</v>
      </c>
      <c r="B74" s="1" t="s">
        <v>100</v>
      </c>
      <c r="C74" s="5">
        <v>8.4888647939817048</v>
      </c>
      <c r="D74" s="5">
        <v>3.002104796720948</v>
      </c>
    </row>
    <row r="75" spans="1:4" x14ac:dyDescent="0.3">
      <c r="A75" s="1">
        <v>20901</v>
      </c>
      <c r="B75" s="1" t="s">
        <v>102</v>
      </c>
      <c r="C75" s="5">
        <v>6.7925973588258728</v>
      </c>
      <c r="D75" s="5">
        <v>3.164770130151322</v>
      </c>
    </row>
    <row r="76" spans="1:4" x14ac:dyDescent="0.3">
      <c r="A76" s="1">
        <v>20902</v>
      </c>
      <c r="B76" s="1" t="s">
        <v>103</v>
      </c>
      <c r="C76" s="5">
        <v>6.2171960523337129</v>
      </c>
      <c r="D76" s="5">
        <v>3.332362135121655</v>
      </c>
    </row>
    <row r="77" spans="1:4" x14ac:dyDescent="0.3">
      <c r="A77" s="1">
        <v>20903</v>
      </c>
      <c r="B77" s="1" t="s">
        <v>104</v>
      </c>
      <c r="C77" s="5">
        <v>9.1962428377405931</v>
      </c>
      <c r="D77" s="5">
        <v>3.7845587837472272</v>
      </c>
    </row>
    <row r="78" spans="1:4" x14ac:dyDescent="0.3">
      <c r="A78" s="1">
        <v>20904</v>
      </c>
      <c r="B78" s="1" t="s">
        <v>105</v>
      </c>
      <c r="C78" s="5">
        <v>5.6984219754529519</v>
      </c>
      <c r="D78" s="5">
        <v>0.84745762711864403</v>
      </c>
    </row>
    <row r="79" spans="1:4" x14ac:dyDescent="0.3">
      <c r="A79" s="1">
        <v>20905</v>
      </c>
      <c r="B79" s="1" t="s">
        <v>106</v>
      </c>
      <c r="C79" s="5">
        <v>8.3027972437049922</v>
      </c>
      <c r="D79" s="5">
        <v>4.6807592752372731</v>
      </c>
    </row>
    <row r="80" spans="1:4" x14ac:dyDescent="0.3">
      <c r="A80" s="1">
        <v>21001</v>
      </c>
      <c r="B80" s="1" t="s">
        <v>107</v>
      </c>
      <c r="C80" s="5">
        <v>9.5901246380749807</v>
      </c>
      <c r="D80" s="5">
        <v>5.0037412193024586</v>
      </c>
    </row>
    <row r="81" spans="1:4" x14ac:dyDescent="0.3">
      <c r="A81" s="1">
        <v>21002</v>
      </c>
      <c r="B81" s="1" t="s">
        <v>108</v>
      </c>
      <c r="C81" s="5">
        <v>4.6753289187185336</v>
      </c>
      <c r="D81" s="5">
        <v>1.3654637031560464</v>
      </c>
    </row>
    <row r="82" spans="1:4" x14ac:dyDescent="0.3">
      <c r="A82" s="1">
        <v>21003</v>
      </c>
      <c r="B82" s="1" t="s">
        <v>109</v>
      </c>
      <c r="C82" s="5">
        <v>6.6788308495186017</v>
      </c>
      <c r="D82" s="5">
        <v>4.2251461988304095</v>
      </c>
    </row>
    <row r="83" spans="1:4" x14ac:dyDescent="0.3">
      <c r="A83" s="1">
        <v>21004</v>
      </c>
      <c r="B83" s="1" t="s">
        <v>110</v>
      </c>
      <c r="C83" s="5">
        <v>9.1302310715975263</v>
      </c>
      <c r="D83" s="5">
        <v>3.2237940764343436</v>
      </c>
    </row>
    <row r="84" spans="1:4" x14ac:dyDescent="0.3">
      <c r="A84" s="1">
        <v>21005</v>
      </c>
      <c r="B84" s="1" t="s">
        <v>111</v>
      </c>
      <c r="C84" s="5">
        <v>12.096113624203511</v>
      </c>
      <c r="D84" s="5">
        <v>7.4098835589726448</v>
      </c>
    </row>
    <row r="85" spans="1:4" x14ac:dyDescent="0.3">
      <c r="A85" s="1">
        <v>21006</v>
      </c>
      <c r="B85" s="1" t="s">
        <v>112</v>
      </c>
      <c r="C85" s="5">
        <v>8.6030977656873659</v>
      </c>
      <c r="D85" s="5">
        <v>2.5297619047619042</v>
      </c>
    </row>
    <row r="86" spans="1:4" x14ac:dyDescent="0.3">
      <c r="A86" s="1">
        <v>21101</v>
      </c>
      <c r="B86" s="1" t="s">
        <v>114</v>
      </c>
      <c r="C86" s="5">
        <v>7.162559041824335</v>
      </c>
      <c r="D86" s="5">
        <v>2.3281840644195935</v>
      </c>
    </row>
    <row r="87" spans="1:4" x14ac:dyDescent="0.3">
      <c r="A87" s="1">
        <v>21102</v>
      </c>
      <c r="B87" s="1" t="s">
        <v>116</v>
      </c>
      <c r="C87" s="5">
        <v>8.7688277065212041</v>
      </c>
      <c r="D87" s="5">
        <v>3.3291103603603607</v>
      </c>
    </row>
    <row r="88" spans="1:4" x14ac:dyDescent="0.3">
      <c r="A88" s="1">
        <v>21103</v>
      </c>
      <c r="B88" s="1" t="s">
        <v>118</v>
      </c>
      <c r="C88" s="5">
        <v>4.40804159047702</v>
      </c>
      <c r="D88" s="5">
        <v>2.2140822140822141</v>
      </c>
    </row>
    <row r="89" spans="1:4" x14ac:dyDescent="0.3">
      <c r="A89" s="1">
        <v>21104</v>
      </c>
      <c r="B89" s="1" t="s">
        <v>119</v>
      </c>
      <c r="C89" s="5">
        <v>7.8687819890047912</v>
      </c>
      <c r="D89" s="5">
        <v>3.4007013658176444</v>
      </c>
    </row>
    <row r="90" spans="1:4" x14ac:dyDescent="0.3">
      <c r="A90" s="1">
        <v>21105</v>
      </c>
      <c r="B90" s="1" t="s">
        <v>120</v>
      </c>
      <c r="C90" s="5">
        <v>9.3610135176963656</v>
      </c>
      <c r="D90" s="5">
        <v>2.9241366812209995</v>
      </c>
    </row>
    <row r="91" spans="1:4" x14ac:dyDescent="0.3">
      <c r="A91" s="1">
        <v>21201</v>
      </c>
      <c r="B91" s="1" t="s">
        <v>122</v>
      </c>
      <c r="C91" s="5">
        <v>7.3032876667735609</v>
      </c>
      <c r="D91" s="5">
        <v>2.2595345160808353</v>
      </c>
    </row>
    <row r="92" spans="1:4" x14ac:dyDescent="0.3">
      <c r="A92" s="1">
        <v>21202</v>
      </c>
      <c r="B92" s="1" t="s">
        <v>123</v>
      </c>
      <c r="C92" s="5">
        <v>6.0710125764832705</v>
      </c>
      <c r="D92" s="5">
        <v>3.3128401516884081</v>
      </c>
    </row>
    <row r="93" spans="1:4" x14ac:dyDescent="0.3">
      <c r="A93" s="1">
        <v>21203</v>
      </c>
      <c r="B93" s="1" t="s">
        <v>124</v>
      </c>
      <c r="C93" s="5">
        <v>7.3790891279573394</v>
      </c>
      <c r="D93" s="5">
        <v>2.3151120054547571</v>
      </c>
    </row>
    <row r="94" spans="1:4" x14ac:dyDescent="0.3">
      <c r="A94" s="1">
        <v>21204</v>
      </c>
      <c r="B94" s="1" t="s">
        <v>125</v>
      </c>
      <c r="C94" s="5">
        <v>7.216810814704627</v>
      </c>
      <c r="D94" s="5">
        <v>1.7930427985147548</v>
      </c>
    </row>
    <row r="95" spans="1:4" x14ac:dyDescent="0.3">
      <c r="A95" s="1">
        <v>21301</v>
      </c>
      <c r="B95" s="1" t="s">
        <v>480</v>
      </c>
      <c r="C95" s="5">
        <v>6.0245758085796233</v>
      </c>
      <c r="D95" s="5">
        <v>1.9639425704102431</v>
      </c>
    </row>
    <row r="96" spans="1:4" x14ac:dyDescent="0.3">
      <c r="A96" s="1">
        <v>21302</v>
      </c>
      <c r="B96" s="1" t="s">
        <v>128</v>
      </c>
      <c r="C96" s="5">
        <v>14.761247581337537</v>
      </c>
      <c r="D96" s="5">
        <v>3.4603867431355635</v>
      </c>
    </row>
    <row r="97" spans="1:4" x14ac:dyDescent="0.3">
      <c r="A97" s="1">
        <v>21303</v>
      </c>
      <c r="B97" s="1" t="s">
        <v>129</v>
      </c>
      <c r="C97" s="5">
        <v>7.8696870400533001</v>
      </c>
      <c r="D97" s="5">
        <v>2.9686324115735037</v>
      </c>
    </row>
    <row r="98" spans="1:4" x14ac:dyDescent="0.3">
      <c r="A98" s="1">
        <v>21304</v>
      </c>
      <c r="B98" s="1" t="s">
        <v>130</v>
      </c>
      <c r="C98" s="5">
        <v>9.1785689982842182</v>
      </c>
      <c r="D98" s="5">
        <v>3.6246590289143481</v>
      </c>
    </row>
    <row r="99" spans="1:4" x14ac:dyDescent="0.3">
      <c r="A99" s="1">
        <v>21305</v>
      </c>
      <c r="B99" s="1" t="s">
        <v>131</v>
      </c>
      <c r="C99" s="5">
        <v>6.2647829546262033</v>
      </c>
      <c r="D99" s="5">
        <v>1.491512384285345</v>
      </c>
    </row>
    <row r="100" spans="1:4" x14ac:dyDescent="0.3">
      <c r="A100" s="1">
        <v>21306</v>
      </c>
      <c r="B100" s="1" t="s">
        <v>132</v>
      </c>
      <c r="C100" s="5">
        <v>6.3469296944758504</v>
      </c>
      <c r="D100" s="5">
        <v>3.1574040503444345</v>
      </c>
    </row>
    <row r="101" spans="1:4" x14ac:dyDescent="0.3">
      <c r="A101" s="1">
        <v>21307</v>
      </c>
      <c r="B101" s="1" t="s">
        <v>133</v>
      </c>
      <c r="C101" s="5">
        <v>3.2514586862412944</v>
      </c>
      <c r="D101" s="5">
        <v>1.9939450882138012</v>
      </c>
    </row>
    <row r="102" spans="1:4" x14ac:dyDescent="0.3">
      <c r="A102" s="1">
        <v>21401</v>
      </c>
      <c r="B102" s="1" t="s">
        <v>135</v>
      </c>
      <c r="C102" s="5">
        <v>7.2295903898782301</v>
      </c>
      <c r="D102" s="5">
        <v>1.9089358197541033</v>
      </c>
    </row>
    <row r="103" spans="1:4" x14ac:dyDescent="0.3">
      <c r="A103" s="1">
        <v>21402</v>
      </c>
      <c r="B103" s="1" t="s">
        <v>136</v>
      </c>
      <c r="C103" s="5">
        <v>4.4460397855459588</v>
      </c>
      <c r="D103" s="5">
        <v>2.1165257351519045</v>
      </c>
    </row>
    <row r="104" spans="1:4" x14ac:dyDescent="0.3">
      <c r="A104" s="1">
        <v>21501</v>
      </c>
      <c r="B104" s="1" t="s">
        <v>138</v>
      </c>
      <c r="C104" s="5">
        <v>11.957461406336678</v>
      </c>
      <c r="D104" s="5">
        <v>3.7236462548157903</v>
      </c>
    </row>
    <row r="105" spans="1:4" x14ac:dyDescent="0.3">
      <c r="A105" s="1">
        <v>21502</v>
      </c>
      <c r="B105" s="1" t="s">
        <v>139</v>
      </c>
      <c r="C105" s="5">
        <v>6.5953198923451586</v>
      </c>
      <c r="D105" s="5">
        <v>3.9203388598022109</v>
      </c>
    </row>
    <row r="106" spans="1:4" x14ac:dyDescent="0.3">
      <c r="A106" s="1">
        <v>21601</v>
      </c>
      <c r="B106" s="1" t="s">
        <v>481</v>
      </c>
      <c r="C106" s="5">
        <v>10.397270029327522</v>
      </c>
      <c r="D106" s="5">
        <v>3.2588389445751469</v>
      </c>
    </row>
    <row r="107" spans="1:4" x14ac:dyDescent="0.3">
      <c r="A107" s="1">
        <v>21602</v>
      </c>
      <c r="B107" s="1" t="s">
        <v>142</v>
      </c>
      <c r="C107" s="5">
        <v>5.7910052910052912</v>
      </c>
      <c r="D107" s="5">
        <v>1.899335232668566</v>
      </c>
    </row>
    <row r="108" spans="1:4" x14ac:dyDescent="0.3">
      <c r="A108" s="1">
        <v>21701</v>
      </c>
      <c r="B108" s="1" t="s">
        <v>144</v>
      </c>
      <c r="C108" s="5">
        <v>5.4622379956200389</v>
      </c>
      <c r="D108" s="5">
        <v>1.525791839908055</v>
      </c>
    </row>
    <row r="109" spans="1:4" x14ac:dyDescent="0.3">
      <c r="A109" s="1">
        <v>21702</v>
      </c>
      <c r="B109" s="1" t="s">
        <v>145</v>
      </c>
      <c r="C109" s="5">
        <v>5.2375006479507986</v>
      </c>
      <c r="D109" s="5">
        <v>0.47169811320754718</v>
      </c>
    </row>
    <row r="110" spans="1:4" x14ac:dyDescent="0.3">
      <c r="A110" s="1">
        <v>21703</v>
      </c>
      <c r="B110" s="1" t="s">
        <v>146</v>
      </c>
      <c r="C110" s="5">
        <v>2.1900161030595813</v>
      </c>
      <c r="D110" s="5">
        <v>0</v>
      </c>
    </row>
    <row r="111" spans="1:4" x14ac:dyDescent="0.3">
      <c r="A111" s="1">
        <v>21801</v>
      </c>
      <c r="B111" s="1" t="s">
        <v>148</v>
      </c>
      <c r="C111" s="5">
        <v>5.0663411121815436</v>
      </c>
      <c r="D111" s="5">
        <v>3.8034188034188032</v>
      </c>
    </row>
    <row r="112" spans="1:4" x14ac:dyDescent="0.3">
      <c r="A112" s="1">
        <v>21802</v>
      </c>
      <c r="B112" s="1" t="s">
        <v>150</v>
      </c>
      <c r="C112" s="5">
        <v>8.514782836211408</v>
      </c>
      <c r="D112" s="5">
        <v>2.1562382914949421</v>
      </c>
    </row>
    <row r="113" spans="1:4" x14ac:dyDescent="0.3">
      <c r="A113" s="1">
        <v>21803</v>
      </c>
      <c r="B113" s="1" t="s">
        <v>151</v>
      </c>
      <c r="C113" s="5">
        <v>8.0856064204815343</v>
      </c>
      <c r="D113" s="5">
        <v>2.6315789473684208</v>
      </c>
    </row>
    <row r="114" spans="1:4" x14ac:dyDescent="0.3">
      <c r="A114" s="1">
        <v>21901</v>
      </c>
      <c r="B114" s="1" t="s">
        <v>153</v>
      </c>
      <c r="C114" s="5">
        <v>8.9374163319946458</v>
      </c>
      <c r="D114" s="5">
        <v>4.6994426751592355</v>
      </c>
    </row>
    <row r="115" spans="1:4" x14ac:dyDescent="0.3">
      <c r="A115" s="1">
        <v>21902</v>
      </c>
      <c r="B115" s="1" t="s">
        <v>154</v>
      </c>
      <c r="C115" s="5">
        <v>2.4437822528433113</v>
      </c>
      <c r="D115" s="5">
        <v>1.4705882352941175</v>
      </c>
    </row>
    <row r="116" spans="1:4" x14ac:dyDescent="0.3">
      <c r="A116" s="1">
        <v>22001</v>
      </c>
      <c r="B116" s="1" t="s">
        <v>155</v>
      </c>
      <c r="C116" s="5">
        <v>7.1394063730785389</v>
      </c>
      <c r="D116" s="5">
        <v>3.558654011584562</v>
      </c>
    </row>
    <row r="117" spans="1:4" x14ac:dyDescent="0.3">
      <c r="A117" s="1">
        <v>22002</v>
      </c>
      <c r="B117" s="1" t="s">
        <v>156</v>
      </c>
      <c r="C117" s="5">
        <v>5.1671732522796354</v>
      </c>
      <c r="D117" s="5">
        <v>2.4661499844262442</v>
      </c>
    </row>
    <row r="118" spans="1:4" x14ac:dyDescent="0.3">
      <c r="A118" s="1">
        <v>30101</v>
      </c>
      <c r="B118" s="1" t="s">
        <v>157</v>
      </c>
      <c r="C118" s="5">
        <v>3.5967801817622118</v>
      </c>
      <c r="D118" s="5">
        <v>1.5219179948825905</v>
      </c>
    </row>
    <row r="119" spans="1:4" x14ac:dyDescent="0.3">
      <c r="A119" s="1">
        <v>30201</v>
      </c>
      <c r="B119" s="1" t="s">
        <v>160</v>
      </c>
      <c r="C119" s="5">
        <v>5.6138361654719153</v>
      </c>
      <c r="D119" s="5">
        <v>2.1015962545671778</v>
      </c>
    </row>
    <row r="120" spans="1:4" x14ac:dyDescent="0.3">
      <c r="A120" s="1">
        <v>30202</v>
      </c>
      <c r="B120" s="1" t="s">
        <v>161</v>
      </c>
      <c r="C120" s="5">
        <v>5.2506241616322518</v>
      </c>
      <c r="D120" s="5">
        <v>1.3636363636363635</v>
      </c>
    </row>
    <row r="121" spans="1:4" x14ac:dyDescent="0.3">
      <c r="A121" s="1">
        <v>30203</v>
      </c>
      <c r="B121" s="1" t="s">
        <v>162</v>
      </c>
      <c r="C121" s="5">
        <v>8.9012474785928841</v>
      </c>
      <c r="D121" s="5">
        <v>1.6728624535315983</v>
      </c>
    </row>
    <row r="122" spans="1:4" x14ac:dyDescent="0.3">
      <c r="A122" s="1">
        <v>30301</v>
      </c>
      <c r="B122" s="1" t="s">
        <v>163</v>
      </c>
      <c r="C122" s="5">
        <v>13.596447148514917</v>
      </c>
      <c r="D122" s="5">
        <v>3.9111046717537588</v>
      </c>
    </row>
    <row r="123" spans="1:4" x14ac:dyDescent="0.3">
      <c r="A123" s="1">
        <v>30302</v>
      </c>
      <c r="B123" s="1" t="s">
        <v>165</v>
      </c>
      <c r="C123" s="5">
        <v>14.086033535781459</v>
      </c>
      <c r="D123" s="5">
        <v>3.2026487041899756</v>
      </c>
    </row>
    <row r="124" spans="1:4" x14ac:dyDescent="0.3">
      <c r="A124" s="1">
        <v>30303</v>
      </c>
      <c r="B124" s="1" t="s">
        <v>166</v>
      </c>
      <c r="C124" s="5">
        <v>14.492753623188406</v>
      </c>
      <c r="D124" s="5">
        <v>5.3348239880747617</v>
      </c>
    </row>
    <row r="125" spans="1:4" x14ac:dyDescent="0.3">
      <c r="A125" s="1">
        <v>30401</v>
      </c>
      <c r="B125" s="1" t="s">
        <v>168</v>
      </c>
      <c r="C125" s="5">
        <v>4.9593162650194129</v>
      </c>
      <c r="D125" s="5">
        <v>2.6851249257236636</v>
      </c>
    </row>
    <row r="126" spans="1:4" x14ac:dyDescent="0.3">
      <c r="A126" s="1">
        <v>30402</v>
      </c>
      <c r="B126" s="1" t="s">
        <v>169</v>
      </c>
      <c r="C126" s="5">
        <v>10.957405641885934</v>
      </c>
      <c r="D126" s="5">
        <v>3.845577211394303</v>
      </c>
    </row>
    <row r="127" spans="1:4" x14ac:dyDescent="0.3">
      <c r="A127" s="1">
        <v>30403</v>
      </c>
      <c r="B127" s="1" t="s">
        <v>171</v>
      </c>
      <c r="C127" s="5">
        <v>6.6784238054476539</v>
      </c>
      <c r="D127" s="5">
        <v>2.3773415339680399</v>
      </c>
    </row>
    <row r="128" spans="1:4" x14ac:dyDescent="0.3">
      <c r="A128" s="1">
        <v>30404</v>
      </c>
      <c r="B128" s="1" t="s">
        <v>172</v>
      </c>
      <c r="C128" s="5">
        <v>10.747552189450568</v>
      </c>
      <c r="D128" s="5">
        <v>5.4379430886340616</v>
      </c>
    </row>
    <row r="129" spans="1:4" x14ac:dyDescent="0.3">
      <c r="A129" s="1">
        <v>30501</v>
      </c>
      <c r="B129" s="1" t="s">
        <v>173</v>
      </c>
      <c r="C129" s="5">
        <v>5.2887682220666301</v>
      </c>
      <c r="D129" s="5">
        <v>1.2566241469554789</v>
      </c>
    </row>
    <row r="130" spans="1:4" x14ac:dyDescent="0.3">
      <c r="A130" s="1">
        <v>30502</v>
      </c>
      <c r="B130" s="1" t="s">
        <v>174</v>
      </c>
      <c r="C130" s="5">
        <v>8.8402666186028842</v>
      </c>
      <c r="D130" s="5">
        <v>3.9441660128416567</v>
      </c>
    </row>
    <row r="131" spans="1:4" x14ac:dyDescent="0.3">
      <c r="A131" s="1">
        <v>30601</v>
      </c>
      <c r="B131" s="1" t="s">
        <v>175</v>
      </c>
      <c r="C131" s="5">
        <v>17.522086138671643</v>
      </c>
      <c r="D131" s="5">
        <v>7.5325719261814648</v>
      </c>
    </row>
    <row r="132" spans="1:4" x14ac:dyDescent="0.3">
      <c r="A132" s="1">
        <v>30602</v>
      </c>
      <c r="B132" s="1" t="s">
        <v>177</v>
      </c>
      <c r="C132" s="5">
        <v>16.31922828618201</v>
      </c>
      <c r="D132" s="5">
        <v>4.757987110928287</v>
      </c>
    </row>
    <row r="133" spans="1:4" x14ac:dyDescent="0.3">
      <c r="A133" s="1">
        <v>30701</v>
      </c>
      <c r="B133" s="1" t="s">
        <v>178</v>
      </c>
      <c r="C133" s="5">
        <v>6.8434272606357611</v>
      </c>
      <c r="D133" s="5">
        <v>2.4975492968367075</v>
      </c>
    </row>
    <row r="134" spans="1:4" x14ac:dyDescent="0.3">
      <c r="A134" s="1">
        <v>30702</v>
      </c>
      <c r="B134" s="1" t="s">
        <v>482</v>
      </c>
      <c r="C134" s="5">
        <v>5.1066426477010411</v>
      </c>
      <c r="D134" s="5">
        <v>1.3497267759562841</v>
      </c>
    </row>
    <row r="135" spans="1:4" x14ac:dyDescent="0.3">
      <c r="A135" s="1">
        <v>30703</v>
      </c>
      <c r="B135" s="1" t="s">
        <v>180</v>
      </c>
      <c r="C135" s="5">
        <v>12.472701685737945</v>
      </c>
      <c r="D135" s="5">
        <v>2.5021621196634958</v>
      </c>
    </row>
    <row r="136" spans="1:4" x14ac:dyDescent="0.3">
      <c r="A136" s="1">
        <v>30801</v>
      </c>
      <c r="B136" s="1" t="s">
        <v>182</v>
      </c>
      <c r="C136" s="5">
        <v>4.7779170586739808</v>
      </c>
      <c r="D136" s="5">
        <v>3.4448444974010952</v>
      </c>
    </row>
    <row r="137" spans="1:4" x14ac:dyDescent="0.3">
      <c r="A137" s="1">
        <v>30802</v>
      </c>
      <c r="B137" s="1" t="s">
        <v>183</v>
      </c>
      <c r="C137" s="5">
        <v>8.8500949706513268</v>
      </c>
      <c r="D137" s="5">
        <v>8.7374161073825505</v>
      </c>
    </row>
    <row r="138" spans="1:4" x14ac:dyDescent="0.3">
      <c r="A138" s="1">
        <v>30803</v>
      </c>
      <c r="B138" s="1" t="s">
        <v>184</v>
      </c>
      <c r="C138" s="5">
        <v>2.7114224235852711</v>
      </c>
      <c r="D138" s="5">
        <v>4.1896601800755153</v>
      </c>
    </row>
    <row r="139" spans="1:4" x14ac:dyDescent="0.3">
      <c r="A139" s="1">
        <v>30901</v>
      </c>
      <c r="B139" s="1" t="s">
        <v>185</v>
      </c>
      <c r="C139" s="5">
        <v>4.6586529203140632</v>
      </c>
      <c r="D139" s="5">
        <v>1.6435186792741647</v>
      </c>
    </row>
    <row r="140" spans="1:4" x14ac:dyDescent="0.3">
      <c r="A140" s="1">
        <v>30902</v>
      </c>
      <c r="B140" s="1" t="s">
        <v>186</v>
      </c>
      <c r="C140" s="5">
        <v>4.4607394873412858</v>
      </c>
      <c r="D140" s="5">
        <v>2.0180936266258698</v>
      </c>
    </row>
    <row r="141" spans="1:4" x14ac:dyDescent="0.3">
      <c r="A141" s="1">
        <v>30903</v>
      </c>
      <c r="B141" s="1" t="s">
        <v>187</v>
      </c>
      <c r="C141" s="5">
        <v>4.2272507783808662</v>
      </c>
      <c r="D141" s="5">
        <v>1.4780805598484361</v>
      </c>
    </row>
    <row r="142" spans="1:4" x14ac:dyDescent="0.3">
      <c r="A142" s="1">
        <v>30904</v>
      </c>
      <c r="B142" s="1" t="s">
        <v>188</v>
      </c>
      <c r="C142" s="5">
        <v>4.8543533372555672</v>
      </c>
      <c r="D142" s="5">
        <v>1.1810940837632291</v>
      </c>
    </row>
    <row r="143" spans="1:4" x14ac:dyDescent="0.3">
      <c r="A143" s="1">
        <v>30905</v>
      </c>
      <c r="B143" s="1" t="s">
        <v>189</v>
      </c>
      <c r="C143" s="5">
        <v>2.8216428117667784</v>
      </c>
      <c r="D143" s="5">
        <v>1.5437456844605104</v>
      </c>
    </row>
    <row r="144" spans="1:4" x14ac:dyDescent="0.3">
      <c r="A144" s="1">
        <v>31001</v>
      </c>
      <c r="B144" s="1" t="s">
        <v>191</v>
      </c>
      <c r="C144" s="5">
        <v>5.006105403453704</v>
      </c>
      <c r="D144" s="5">
        <v>1.656183191191007</v>
      </c>
    </row>
    <row r="145" spans="1:4" x14ac:dyDescent="0.3">
      <c r="A145" s="1">
        <v>31002</v>
      </c>
      <c r="B145" s="1" t="s">
        <v>192</v>
      </c>
      <c r="C145" s="5">
        <v>7.5324786598483291</v>
      </c>
      <c r="D145" s="5">
        <v>3.0259942304049585</v>
      </c>
    </row>
    <row r="146" spans="1:4" x14ac:dyDescent="0.3">
      <c r="A146" s="1">
        <v>31003</v>
      </c>
      <c r="B146" s="1" t="s">
        <v>193</v>
      </c>
      <c r="C146" s="5">
        <v>7.4745937755308853</v>
      </c>
      <c r="D146" s="5">
        <v>2.3653759201925806</v>
      </c>
    </row>
    <row r="147" spans="1:4" x14ac:dyDescent="0.3">
      <c r="A147" s="1">
        <v>31101</v>
      </c>
      <c r="B147" s="1" t="s">
        <v>194</v>
      </c>
      <c r="C147" s="5">
        <v>15.232333236498908</v>
      </c>
      <c r="D147" s="5">
        <v>7.3323016373397527</v>
      </c>
    </row>
    <row r="148" spans="1:4" x14ac:dyDescent="0.3">
      <c r="A148" s="1">
        <v>31201</v>
      </c>
      <c r="B148" s="1" t="s">
        <v>196</v>
      </c>
      <c r="C148" s="5">
        <v>8.6591642584234361</v>
      </c>
      <c r="D148" s="5">
        <v>5.0214314194577359</v>
      </c>
    </row>
    <row r="149" spans="1:4" x14ac:dyDescent="0.3">
      <c r="A149" s="1">
        <v>31202</v>
      </c>
      <c r="B149" s="1" t="s">
        <v>197</v>
      </c>
      <c r="C149" s="5">
        <v>8.8694729133704868</v>
      </c>
      <c r="D149" s="5">
        <v>3.0472636815920398</v>
      </c>
    </row>
    <row r="150" spans="1:4" x14ac:dyDescent="0.3">
      <c r="A150" s="1">
        <v>31203</v>
      </c>
      <c r="B150" s="1" t="s">
        <v>198</v>
      </c>
      <c r="C150" s="5">
        <v>10.620227778721858</v>
      </c>
      <c r="D150" s="5">
        <v>2.7031956807237707</v>
      </c>
    </row>
    <row r="151" spans="1:4" x14ac:dyDescent="0.3">
      <c r="A151" s="1">
        <v>31204</v>
      </c>
      <c r="B151" s="1" t="s">
        <v>199</v>
      </c>
      <c r="C151" s="5">
        <v>6.6062649215985489</v>
      </c>
      <c r="D151" s="5">
        <v>2.0052759196305638</v>
      </c>
    </row>
    <row r="152" spans="1:4" x14ac:dyDescent="0.3">
      <c r="A152" s="1">
        <v>31205</v>
      </c>
      <c r="B152" s="1" t="s">
        <v>200</v>
      </c>
      <c r="C152" s="5">
        <v>4.4394392789432535</v>
      </c>
      <c r="D152" s="5">
        <v>2.2271785432553246</v>
      </c>
    </row>
    <row r="153" spans="1:4" x14ac:dyDescent="0.3">
      <c r="A153" s="1">
        <v>31206</v>
      </c>
      <c r="B153" s="1" t="s">
        <v>201</v>
      </c>
      <c r="C153" s="5">
        <v>4.9656000691353759</v>
      </c>
      <c r="D153" s="5">
        <v>2.6904099027130925</v>
      </c>
    </row>
    <row r="154" spans="1:4" x14ac:dyDescent="0.3">
      <c r="A154" s="1">
        <v>31301</v>
      </c>
      <c r="B154" s="1" t="s">
        <v>202</v>
      </c>
      <c r="C154" s="5">
        <v>11.428010192809424</v>
      </c>
      <c r="D154" s="5">
        <v>4.3307037886438327</v>
      </c>
    </row>
    <row r="155" spans="1:4" x14ac:dyDescent="0.3">
      <c r="A155" s="1">
        <v>31302</v>
      </c>
      <c r="B155" s="1" t="s">
        <v>203</v>
      </c>
      <c r="C155" s="5">
        <v>12.768945484352651</v>
      </c>
      <c r="D155" s="5">
        <v>6.2852587687024775</v>
      </c>
    </row>
    <row r="156" spans="1:4" x14ac:dyDescent="0.3">
      <c r="A156" s="1">
        <v>31303</v>
      </c>
      <c r="B156" s="1" t="s">
        <v>204</v>
      </c>
      <c r="C156" s="5">
        <v>22.469581615559765</v>
      </c>
      <c r="D156" s="5">
        <v>7.7380952380952372</v>
      </c>
    </row>
    <row r="157" spans="1:4" x14ac:dyDescent="0.3">
      <c r="A157" s="1">
        <v>31304</v>
      </c>
      <c r="B157" s="1" t="s">
        <v>205</v>
      </c>
      <c r="C157" s="5">
        <v>11.428010192809424</v>
      </c>
      <c r="D157" s="5">
        <v>4.3307037886438327</v>
      </c>
    </row>
    <row r="158" spans="1:4" x14ac:dyDescent="0.3">
      <c r="A158" s="1">
        <v>31401</v>
      </c>
      <c r="B158" s="1" t="s">
        <v>207</v>
      </c>
      <c r="C158" s="5">
        <v>4.798560162448684</v>
      </c>
      <c r="D158" s="5">
        <v>2.2941761381515184</v>
      </c>
    </row>
    <row r="159" spans="1:4" x14ac:dyDescent="0.3">
      <c r="A159" s="1">
        <v>31402</v>
      </c>
      <c r="B159" s="1" t="s">
        <v>209</v>
      </c>
      <c r="C159" s="5">
        <v>7.7297992669724991</v>
      </c>
      <c r="D159" s="5">
        <v>4.3230769230769228</v>
      </c>
    </row>
    <row r="160" spans="1:4" x14ac:dyDescent="0.3">
      <c r="A160" s="1">
        <v>31403</v>
      </c>
      <c r="B160" s="1" t="s">
        <v>210</v>
      </c>
      <c r="C160" s="5">
        <v>5.3803556673011252</v>
      </c>
      <c r="D160" s="5">
        <v>1.5332587336529966</v>
      </c>
    </row>
    <row r="161" spans="1:4" x14ac:dyDescent="0.3">
      <c r="A161" s="1">
        <v>31404</v>
      </c>
      <c r="B161" s="1" t="s">
        <v>212</v>
      </c>
      <c r="C161" s="5"/>
      <c r="D161" s="5"/>
    </row>
    <row r="162" spans="1:4" x14ac:dyDescent="0.3">
      <c r="A162" s="1">
        <v>31405</v>
      </c>
      <c r="B162" s="1" t="s">
        <v>213</v>
      </c>
      <c r="C162" s="5">
        <v>77.685185185185176</v>
      </c>
      <c r="D162" s="5"/>
    </row>
    <row r="163" spans="1:4" x14ac:dyDescent="0.3">
      <c r="A163" s="1">
        <v>31501</v>
      </c>
      <c r="B163" s="1" t="s">
        <v>483</v>
      </c>
      <c r="C163" s="5">
        <v>19.406050524479806</v>
      </c>
      <c r="D163" s="5">
        <v>3.9282990083905416</v>
      </c>
    </row>
    <row r="164" spans="1:4" x14ac:dyDescent="0.3">
      <c r="A164" s="1">
        <v>31601</v>
      </c>
      <c r="B164" s="1" t="s">
        <v>215</v>
      </c>
      <c r="C164" s="5">
        <v>6.4406266125356488</v>
      </c>
      <c r="D164" s="5">
        <v>3.450659201293317</v>
      </c>
    </row>
    <row r="165" spans="1:4" x14ac:dyDescent="0.3">
      <c r="A165" s="1">
        <v>31602</v>
      </c>
      <c r="B165" s="1" t="s">
        <v>216</v>
      </c>
      <c r="C165" s="5">
        <v>4.7778709136630342</v>
      </c>
      <c r="D165" s="5">
        <v>2.916597344813523</v>
      </c>
    </row>
    <row r="166" spans="1:4" x14ac:dyDescent="0.3">
      <c r="A166" s="1">
        <v>40101</v>
      </c>
      <c r="B166" s="1" t="s">
        <v>217</v>
      </c>
      <c r="C166" s="5">
        <v>3.6396547587110271</v>
      </c>
      <c r="D166" s="5">
        <v>1.799177676557058</v>
      </c>
    </row>
    <row r="167" spans="1:4" x14ac:dyDescent="0.3">
      <c r="A167" s="1">
        <v>40102</v>
      </c>
      <c r="B167" s="1" t="s">
        <v>218</v>
      </c>
      <c r="C167" s="5">
        <v>6.7357151324811113</v>
      </c>
      <c r="D167" s="5">
        <v>1.6808417780366487</v>
      </c>
    </row>
    <row r="168" spans="1:4" x14ac:dyDescent="0.3">
      <c r="A168" s="1">
        <v>40103</v>
      </c>
      <c r="B168" s="1" t="s">
        <v>219</v>
      </c>
      <c r="C168" s="5">
        <v>16.669324827219565</v>
      </c>
      <c r="D168" s="5">
        <v>4.1316526610644253</v>
      </c>
    </row>
    <row r="169" spans="1:4" x14ac:dyDescent="0.3">
      <c r="A169" s="1">
        <v>40104</v>
      </c>
      <c r="B169" s="1" t="s">
        <v>220</v>
      </c>
      <c r="C169" s="5">
        <v>10.570356714283394</v>
      </c>
      <c r="D169" s="5">
        <v>3.925393755180989</v>
      </c>
    </row>
    <row r="170" spans="1:4" x14ac:dyDescent="0.3">
      <c r="A170" s="1">
        <v>40201</v>
      </c>
      <c r="B170" s="1" t="s">
        <v>223</v>
      </c>
      <c r="C170" s="5">
        <v>6.4247714772072264</v>
      </c>
      <c r="D170" s="5">
        <v>2.6194061846252619</v>
      </c>
    </row>
    <row r="171" spans="1:4" x14ac:dyDescent="0.3">
      <c r="A171" s="1">
        <v>40202</v>
      </c>
      <c r="B171" s="1" t="s">
        <v>224</v>
      </c>
      <c r="C171" s="5">
        <v>7.704545965362283</v>
      </c>
      <c r="D171" s="5">
        <v>2.513790386130812</v>
      </c>
    </row>
    <row r="172" spans="1:4" x14ac:dyDescent="0.3">
      <c r="A172" s="1">
        <v>40301</v>
      </c>
      <c r="B172" s="1" t="s">
        <v>226</v>
      </c>
      <c r="C172" s="5">
        <v>17.939214232765011</v>
      </c>
      <c r="D172" s="5">
        <v>4.2448906844106462</v>
      </c>
    </row>
    <row r="173" spans="1:4" x14ac:dyDescent="0.3">
      <c r="A173" s="1">
        <v>40302</v>
      </c>
      <c r="B173" s="1" t="s">
        <v>227</v>
      </c>
      <c r="C173" s="5">
        <v>10.819327731092436</v>
      </c>
      <c r="D173" s="5">
        <v>0</v>
      </c>
    </row>
    <row r="174" spans="1:4" x14ac:dyDescent="0.3">
      <c r="A174" s="1">
        <v>40401</v>
      </c>
      <c r="B174" s="1" t="s">
        <v>229</v>
      </c>
      <c r="C174" s="5">
        <v>5.7023029497212159</v>
      </c>
      <c r="D174" s="5">
        <v>1.476545842217484</v>
      </c>
    </row>
    <row r="175" spans="1:4" x14ac:dyDescent="0.3">
      <c r="A175" s="1">
        <v>40402</v>
      </c>
      <c r="B175" s="1" t="s">
        <v>230</v>
      </c>
      <c r="C175" s="5">
        <v>5.1284990711875853</v>
      </c>
      <c r="D175" s="5">
        <v>2.9215229215229215</v>
      </c>
    </row>
    <row r="176" spans="1:4" x14ac:dyDescent="0.3">
      <c r="A176" s="1">
        <v>40501</v>
      </c>
      <c r="B176" s="1" t="s">
        <v>232</v>
      </c>
      <c r="C176" s="5">
        <v>6.8196457326892101</v>
      </c>
      <c r="D176" s="5">
        <v>0</v>
      </c>
    </row>
    <row r="177" spans="1:4" x14ac:dyDescent="0.3">
      <c r="A177" s="1">
        <v>40502</v>
      </c>
      <c r="B177" s="1" t="s">
        <v>233</v>
      </c>
      <c r="C177" s="5">
        <v>5.882352941176471</v>
      </c>
      <c r="D177" s="5">
        <v>2.7777777777777777</v>
      </c>
    </row>
    <row r="178" spans="1:4" x14ac:dyDescent="0.3">
      <c r="A178" s="1">
        <v>40503</v>
      </c>
      <c r="B178" s="1" t="s">
        <v>234</v>
      </c>
      <c r="C178" s="5"/>
      <c r="D178" s="5"/>
    </row>
    <row r="179" spans="1:4" x14ac:dyDescent="0.3">
      <c r="A179" s="1">
        <v>40504</v>
      </c>
      <c r="B179" s="1" t="s">
        <v>235</v>
      </c>
      <c r="C179" s="5"/>
      <c r="D179" s="5"/>
    </row>
    <row r="180" spans="1:4" x14ac:dyDescent="0.3">
      <c r="A180" s="1">
        <v>40505</v>
      </c>
      <c r="B180" s="1" t="s">
        <v>236</v>
      </c>
      <c r="C180" s="5"/>
      <c r="D180" s="5"/>
    </row>
    <row r="181" spans="1:4" x14ac:dyDescent="0.3">
      <c r="A181" s="1">
        <v>40601</v>
      </c>
      <c r="B181" s="1" t="s">
        <v>237</v>
      </c>
      <c r="C181" s="5">
        <v>5.1462421325435015</v>
      </c>
      <c r="D181" s="5">
        <v>3.1519084502128258</v>
      </c>
    </row>
    <row r="182" spans="1:4" x14ac:dyDescent="0.3">
      <c r="A182" s="1">
        <v>40602</v>
      </c>
      <c r="B182" s="1" t="s">
        <v>239</v>
      </c>
      <c r="C182" s="5">
        <v>4.2975753043063554</v>
      </c>
      <c r="D182" s="5">
        <v>2.4862696333140888</v>
      </c>
    </row>
    <row r="183" spans="1:4" x14ac:dyDescent="0.3">
      <c r="A183" s="1">
        <v>40603</v>
      </c>
      <c r="B183" s="1" t="s">
        <v>240</v>
      </c>
      <c r="C183" s="5">
        <v>4.0212469522814347</v>
      </c>
      <c r="D183" s="5">
        <v>0.80645161290322576</v>
      </c>
    </row>
    <row r="184" spans="1:4" x14ac:dyDescent="0.3">
      <c r="A184" s="1">
        <v>40701</v>
      </c>
      <c r="B184" s="1" t="s">
        <v>242</v>
      </c>
      <c r="C184" s="5">
        <v>6.2149634841363381</v>
      </c>
      <c r="D184" s="5">
        <v>1.2414249009001619</v>
      </c>
    </row>
    <row r="185" spans="1:4" x14ac:dyDescent="0.3">
      <c r="A185" s="1">
        <v>40702</v>
      </c>
      <c r="B185" s="1" t="s">
        <v>244</v>
      </c>
      <c r="C185" s="5">
        <v>5.8299851005819567</v>
      </c>
      <c r="D185" s="5">
        <v>4.3649283085902804</v>
      </c>
    </row>
    <row r="186" spans="1:4" x14ac:dyDescent="0.3">
      <c r="A186" s="1">
        <v>40801</v>
      </c>
      <c r="B186" s="1" t="s">
        <v>484</v>
      </c>
      <c r="C186" s="5">
        <v>7.6723660796154931</v>
      </c>
      <c r="D186" s="5">
        <v>3.1954887218045114</v>
      </c>
    </row>
    <row r="187" spans="1:4" x14ac:dyDescent="0.3">
      <c r="A187" s="1">
        <v>40802</v>
      </c>
      <c r="B187" s="1" t="s">
        <v>247</v>
      </c>
      <c r="C187" s="5">
        <v>5.8776416745187774</v>
      </c>
      <c r="D187" s="5">
        <v>2.443160982764943</v>
      </c>
    </row>
    <row r="188" spans="1:4" x14ac:dyDescent="0.3">
      <c r="A188" s="1">
        <v>40901</v>
      </c>
      <c r="B188" s="1" t="s">
        <v>248</v>
      </c>
      <c r="C188" s="5">
        <v>9.8105561778181851</v>
      </c>
      <c r="D188" s="5">
        <v>1.9318181818181819</v>
      </c>
    </row>
    <row r="189" spans="1:4" x14ac:dyDescent="0.3">
      <c r="A189" s="1">
        <v>40902</v>
      </c>
      <c r="B189" s="1" t="s">
        <v>249</v>
      </c>
      <c r="C189" s="5">
        <v>8.496240601503759</v>
      </c>
      <c r="D189" s="5">
        <v>2.7027027027027026</v>
      </c>
    </row>
    <row r="190" spans="1:4" x14ac:dyDescent="0.3">
      <c r="A190" s="1">
        <v>40903</v>
      </c>
      <c r="B190" s="1" t="s">
        <v>485</v>
      </c>
      <c r="C190" s="5">
        <v>17.419346384673847</v>
      </c>
      <c r="D190" s="5">
        <v>7.1119253830779474</v>
      </c>
    </row>
    <row r="191" spans="1:4" x14ac:dyDescent="0.3">
      <c r="A191" s="1">
        <v>41001</v>
      </c>
      <c r="B191" s="1" t="s">
        <v>252</v>
      </c>
      <c r="C191" s="5">
        <v>21.188599947465196</v>
      </c>
      <c r="D191" s="5">
        <v>3.107628905501246</v>
      </c>
    </row>
    <row r="192" spans="1:4" x14ac:dyDescent="0.3">
      <c r="A192" s="1">
        <v>41101</v>
      </c>
      <c r="B192" s="1" t="s">
        <v>254</v>
      </c>
      <c r="C192" s="5">
        <v>3.3503134501103418</v>
      </c>
      <c r="D192" s="5">
        <v>4.8250106700810926</v>
      </c>
    </row>
    <row r="193" spans="1:4" x14ac:dyDescent="0.3">
      <c r="A193" s="1">
        <v>41201</v>
      </c>
      <c r="B193" s="1" t="s">
        <v>256</v>
      </c>
      <c r="C193" s="5">
        <v>8.9606140293734793</v>
      </c>
      <c r="D193" s="5">
        <v>2.4691776182089149</v>
      </c>
    </row>
    <row r="194" spans="1:4" x14ac:dyDescent="0.3">
      <c r="A194" s="1">
        <v>41202</v>
      </c>
      <c r="B194" s="1" t="s">
        <v>258</v>
      </c>
      <c r="C194" s="5">
        <v>5.3497796941636624</v>
      </c>
      <c r="D194" s="5">
        <v>5.4347826086956523</v>
      </c>
    </row>
    <row r="195" spans="1:4" x14ac:dyDescent="0.3">
      <c r="A195" s="1">
        <v>41301</v>
      </c>
      <c r="B195" s="1" t="s">
        <v>196</v>
      </c>
      <c r="C195" s="5">
        <v>6.7655690015695527</v>
      </c>
      <c r="D195" s="5">
        <v>4.5925264979450571</v>
      </c>
    </row>
    <row r="196" spans="1:4" x14ac:dyDescent="0.3">
      <c r="A196" s="1">
        <v>41401</v>
      </c>
      <c r="B196" s="1" t="s">
        <v>261</v>
      </c>
      <c r="C196" s="5">
        <v>12.039448473757881</v>
      </c>
      <c r="D196" s="5">
        <v>1.3048559741166745</v>
      </c>
    </row>
    <row r="197" spans="1:4" x14ac:dyDescent="0.3">
      <c r="A197" s="1">
        <v>41501</v>
      </c>
      <c r="B197" s="1" t="s">
        <v>263</v>
      </c>
      <c r="C197" s="5">
        <v>7.4074074074074074</v>
      </c>
      <c r="D197" s="5">
        <v>2.2727272727272729</v>
      </c>
    </row>
    <row r="198" spans="1:4" x14ac:dyDescent="0.3">
      <c r="A198" s="1">
        <v>41502</v>
      </c>
      <c r="B198" s="1" t="s">
        <v>264</v>
      </c>
      <c r="C198" s="5">
        <v>4.166666666666667</v>
      </c>
      <c r="D198" s="5">
        <v>0</v>
      </c>
    </row>
    <row r="199" spans="1:4" x14ac:dyDescent="0.3">
      <c r="A199" s="1">
        <v>41503</v>
      </c>
      <c r="B199" s="1" t="s">
        <v>225</v>
      </c>
      <c r="C199" s="5">
        <v>66.666666666666671</v>
      </c>
      <c r="D199" s="5">
        <v>0</v>
      </c>
    </row>
    <row r="200" spans="1:4" x14ac:dyDescent="0.3">
      <c r="A200" s="1">
        <v>41601</v>
      </c>
      <c r="B200" s="1" t="s">
        <v>266</v>
      </c>
      <c r="C200" s="5">
        <v>11.158752639306075</v>
      </c>
      <c r="D200" s="5">
        <v>2.9133967636641431</v>
      </c>
    </row>
    <row r="201" spans="1:4" x14ac:dyDescent="0.3">
      <c r="A201" s="1">
        <v>50101</v>
      </c>
      <c r="B201" s="1" t="s">
        <v>267</v>
      </c>
      <c r="C201" s="5">
        <v>5.6274074080047498</v>
      </c>
      <c r="D201" s="5">
        <v>2.438132398357947</v>
      </c>
    </row>
    <row r="202" spans="1:4" x14ac:dyDescent="0.3">
      <c r="A202" s="1">
        <v>50102</v>
      </c>
      <c r="B202" s="1" t="s">
        <v>269</v>
      </c>
      <c r="C202" s="5">
        <v>46.365419403140116</v>
      </c>
      <c r="D202" s="5">
        <v>7.7850877192982457</v>
      </c>
    </row>
    <row r="203" spans="1:4" x14ac:dyDescent="0.3">
      <c r="A203" s="1">
        <v>50103</v>
      </c>
      <c r="B203" s="1" t="s">
        <v>270</v>
      </c>
      <c r="C203" s="5">
        <v>7.5476066549500738</v>
      </c>
      <c r="D203" s="5">
        <v>3.1710011644919529</v>
      </c>
    </row>
    <row r="204" spans="1:4" x14ac:dyDescent="0.3">
      <c r="A204" s="1">
        <v>50104</v>
      </c>
      <c r="B204" s="1" t="s">
        <v>272</v>
      </c>
      <c r="C204" s="5">
        <v>13.192307692307693</v>
      </c>
      <c r="D204" s="5">
        <v>0</v>
      </c>
    </row>
    <row r="205" spans="1:4" x14ac:dyDescent="0.3">
      <c r="A205" s="1">
        <v>50201</v>
      </c>
      <c r="B205" s="1" t="s">
        <v>275</v>
      </c>
      <c r="C205" s="5">
        <v>7.9551449413942876</v>
      </c>
      <c r="D205" s="5">
        <v>2.8133015583421717</v>
      </c>
    </row>
    <row r="206" spans="1:4" x14ac:dyDescent="0.3">
      <c r="A206" s="1">
        <v>50202</v>
      </c>
      <c r="B206" s="1" t="s">
        <v>276</v>
      </c>
      <c r="C206" s="5">
        <v>9.8207076291180826</v>
      </c>
      <c r="D206" s="5">
        <v>4.9816238920287841</v>
      </c>
    </row>
    <row r="207" spans="1:4" x14ac:dyDescent="0.3">
      <c r="A207" s="1">
        <v>50203</v>
      </c>
      <c r="B207" s="1" t="s">
        <v>277</v>
      </c>
      <c r="C207" s="5">
        <v>4.6492992882451851</v>
      </c>
      <c r="D207" s="5">
        <v>1.9928377855207122</v>
      </c>
    </row>
    <row r="208" spans="1:4" x14ac:dyDescent="0.3">
      <c r="A208" s="1">
        <v>50204</v>
      </c>
      <c r="B208" s="1" t="s">
        <v>278</v>
      </c>
      <c r="C208" s="5">
        <v>12.915129151291513</v>
      </c>
      <c r="D208" s="5">
        <v>2.9210620261936597</v>
      </c>
    </row>
    <row r="209" spans="1:4" x14ac:dyDescent="0.3">
      <c r="A209" s="1">
        <v>50301</v>
      </c>
      <c r="B209" s="1" t="s">
        <v>280</v>
      </c>
      <c r="C209" s="5">
        <v>12.010324721238474</v>
      </c>
      <c r="D209" s="5">
        <v>3.760439068404307</v>
      </c>
    </row>
    <row r="210" spans="1:4" x14ac:dyDescent="0.3">
      <c r="A210" s="1">
        <v>50302</v>
      </c>
      <c r="B210" s="1" t="s">
        <v>282</v>
      </c>
      <c r="C210" s="5">
        <v>6.3234628093795315</v>
      </c>
      <c r="D210" s="5">
        <v>2.8885671586026529</v>
      </c>
    </row>
    <row r="211" spans="1:4" x14ac:dyDescent="0.3">
      <c r="A211" s="1">
        <v>50303</v>
      </c>
      <c r="B211" s="1" t="s">
        <v>283</v>
      </c>
      <c r="C211" s="5">
        <v>29.35280747972519</v>
      </c>
      <c r="D211" s="5">
        <v>5.7912436813301582</v>
      </c>
    </row>
    <row r="212" spans="1:4" x14ac:dyDescent="0.3">
      <c r="A212" s="1">
        <v>50401</v>
      </c>
      <c r="B212" s="1" t="s">
        <v>284</v>
      </c>
      <c r="C212" s="5">
        <v>39.171984526823238</v>
      </c>
      <c r="D212" s="5">
        <v>6.4953399122807021</v>
      </c>
    </row>
    <row r="213" spans="1:4" x14ac:dyDescent="0.3">
      <c r="A213" s="1">
        <v>50402</v>
      </c>
      <c r="B213" s="1" t="s">
        <v>285</v>
      </c>
      <c r="C213" s="5">
        <v>31.738884279681248</v>
      </c>
      <c r="D213" s="5">
        <v>4.8883957707871035</v>
      </c>
    </row>
    <row r="214" spans="1:4" x14ac:dyDescent="0.3">
      <c r="A214" s="1">
        <v>50403</v>
      </c>
      <c r="B214" s="1" t="s">
        <v>286</v>
      </c>
      <c r="C214" s="5">
        <v>20.386822348224452</v>
      </c>
      <c r="D214" s="5">
        <v>6.3219097848122257</v>
      </c>
    </row>
    <row r="215" spans="1:4" x14ac:dyDescent="0.3">
      <c r="A215" s="1">
        <v>50404</v>
      </c>
      <c r="B215" s="1" t="s">
        <v>287</v>
      </c>
      <c r="C215" s="5">
        <v>25.139759394573577</v>
      </c>
      <c r="D215" s="5">
        <v>5.3341013824884795</v>
      </c>
    </row>
    <row r="216" spans="1:4" x14ac:dyDescent="0.3">
      <c r="A216" s="1">
        <v>50405</v>
      </c>
      <c r="B216" s="1" t="s">
        <v>288</v>
      </c>
      <c r="C216" s="5">
        <v>39.171984526823238</v>
      </c>
      <c r="D216" s="5">
        <v>6.4953399122807021</v>
      </c>
    </row>
    <row r="217" spans="1:4" x14ac:dyDescent="0.3">
      <c r="A217" s="1">
        <v>50501</v>
      </c>
      <c r="B217" s="1" t="s">
        <v>290</v>
      </c>
      <c r="C217" s="5">
        <v>28.579045833524969</v>
      </c>
      <c r="D217" s="5">
        <v>10.331450117597281</v>
      </c>
    </row>
    <row r="218" spans="1:4" x14ac:dyDescent="0.3">
      <c r="A218" s="1">
        <v>50502</v>
      </c>
      <c r="B218" s="1" t="s">
        <v>291</v>
      </c>
      <c r="C218" s="5">
        <v>19.907678186097602</v>
      </c>
      <c r="D218" s="5">
        <v>6.2619520246638887</v>
      </c>
    </row>
    <row r="219" spans="1:4" x14ac:dyDescent="0.3">
      <c r="A219" s="1">
        <v>50601</v>
      </c>
      <c r="B219" s="1" t="s">
        <v>293</v>
      </c>
      <c r="C219" s="5">
        <v>13.093253243694901</v>
      </c>
      <c r="D219" s="5">
        <v>3.7894388672710475</v>
      </c>
    </row>
    <row r="220" spans="1:4" x14ac:dyDescent="0.3">
      <c r="A220" s="1">
        <v>50602</v>
      </c>
      <c r="B220" s="1" t="s">
        <v>486</v>
      </c>
      <c r="C220" s="5">
        <v>8.0862537634238176</v>
      </c>
      <c r="D220" s="5">
        <v>2.4706420619185607</v>
      </c>
    </row>
    <row r="221" spans="1:4" x14ac:dyDescent="0.3">
      <c r="A221" s="1">
        <v>50701</v>
      </c>
      <c r="B221" s="1" t="s">
        <v>296</v>
      </c>
      <c r="C221" s="5">
        <v>25.73657661347255</v>
      </c>
      <c r="D221" s="5">
        <v>6.5474695533354055</v>
      </c>
    </row>
    <row r="222" spans="1:4" x14ac:dyDescent="0.3">
      <c r="A222" s="1">
        <v>50702</v>
      </c>
      <c r="B222" s="1" t="s">
        <v>298</v>
      </c>
      <c r="C222" s="5">
        <v>14.395812225599459</v>
      </c>
      <c r="D222" s="5">
        <v>7.2613762486126525</v>
      </c>
    </row>
    <row r="223" spans="1:4" x14ac:dyDescent="0.3">
      <c r="A223" s="1">
        <v>50801</v>
      </c>
      <c r="B223" s="1" t="s">
        <v>300</v>
      </c>
      <c r="C223" s="5">
        <v>5.3511400230549571</v>
      </c>
      <c r="D223" s="5">
        <v>2.0216039556106224</v>
      </c>
    </row>
    <row r="224" spans="1:4" x14ac:dyDescent="0.3">
      <c r="A224" s="1">
        <v>50802</v>
      </c>
      <c r="B224" s="1" t="s">
        <v>301</v>
      </c>
      <c r="C224" s="5">
        <v>4.6029903281136058</v>
      </c>
      <c r="D224" s="5">
        <v>1.4283681985692609</v>
      </c>
    </row>
    <row r="225" spans="1:4" x14ac:dyDescent="0.3">
      <c r="A225" s="1">
        <v>50901</v>
      </c>
      <c r="B225" s="1" t="s">
        <v>303</v>
      </c>
      <c r="C225" s="5">
        <v>5.6062583178336274</v>
      </c>
      <c r="D225" s="5">
        <v>1.6481782106782106</v>
      </c>
    </row>
    <row r="226" spans="1:4" x14ac:dyDescent="0.3">
      <c r="A226" s="1">
        <v>50902</v>
      </c>
      <c r="B226" s="1" t="s">
        <v>305</v>
      </c>
      <c r="C226" s="5">
        <v>2.2222222222222223</v>
      </c>
      <c r="D226" s="5">
        <v>14.761904761904763</v>
      </c>
    </row>
    <row r="227" spans="1:4" x14ac:dyDescent="0.3">
      <c r="A227" s="1">
        <v>51001</v>
      </c>
      <c r="B227" s="1" t="s">
        <v>308</v>
      </c>
      <c r="C227" s="5">
        <v>7.5589667337240156</v>
      </c>
      <c r="D227" s="5">
        <v>0.43103448275862066</v>
      </c>
    </row>
    <row r="228" spans="1:4" x14ac:dyDescent="0.3">
      <c r="A228" s="1">
        <v>51002</v>
      </c>
      <c r="B228" s="1" t="s">
        <v>310</v>
      </c>
      <c r="C228" s="5">
        <v>7.4400871459694997</v>
      </c>
      <c r="D228" s="5">
        <v>0</v>
      </c>
    </row>
    <row r="229" spans="1:4" x14ac:dyDescent="0.3">
      <c r="A229" s="1">
        <v>51003</v>
      </c>
      <c r="B229" s="1" t="s">
        <v>311</v>
      </c>
      <c r="C229" s="5">
        <v>6.1426024955436729</v>
      </c>
      <c r="D229" s="5">
        <v>1.2345679012345678</v>
      </c>
    </row>
    <row r="230" spans="1:4" x14ac:dyDescent="0.3">
      <c r="A230" s="1">
        <v>51101</v>
      </c>
      <c r="B230" s="1" t="s">
        <v>313</v>
      </c>
      <c r="C230" s="5">
        <v>13.298762422234262</v>
      </c>
      <c r="D230" s="5">
        <v>3.5053987872146326</v>
      </c>
    </row>
    <row r="231" spans="1:4" x14ac:dyDescent="0.3">
      <c r="A231" s="1">
        <v>51102</v>
      </c>
      <c r="B231" s="1" t="s">
        <v>315</v>
      </c>
      <c r="C231" s="5">
        <v>6.4610632892885205</v>
      </c>
      <c r="D231" s="5">
        <v>4.0942036186803943</v>
      </c>
    </row>
    <row r="232" spans="1:4" x14ac:dyDescent="0.3">
      <c r="A232" s="1">
        <v>51103</v>
      </c>
      <c r="B232" s="1" t="s">
        <v>316</v>
      </c>
      <c r="C232" s="5">
        <v>20</v>
      </c>
      <c r="D232" s="5">
        <v>5.39114584840231</v>
      </c>
    </row>
    <row r="233" spans="1:4" x14ac:dyDescent="0.3">
      <c r="A233" s="1">
        <v>51201</v>
      </c>
      <c r="B233" s="1" t="s">
        <v>318</v>
      </c>
      <c r="C233" s="5">
        <v>6.0693966051573716</v>
      </c>
      <c r="D233" s="5">
        <v>2.114748851515535</v>
      </c>
    </row>
    <row r="234" spans="1:4" x14ac:dyDescent="0.3">
      <c r="A234" s="1">
        <v>51202</v>
      </c>
      <c r="B234" s="1" t="s">
        <v>319</v>
      </c>
      <c r="C234" s="5">
        <v>9.9549741797523907</v>
      </c>
      <c r="D234" s="5">
        <v>2.2019505321318649</v>
      </c>
    </row>
    <row r="235" spans="1:4" x14ac:dyDescent="0.3">
      <c r="A235" s="1">
        <v>51203</v>
      </c>
      <c r="B235" s="1" t="s">
        <v>320</v>
      </c>
      <c r="C235" s="5">
        <v>6.5224410397280224</v>
      </c>
      <c r="D235" s="5">
        <v>1.1015544428452826</v>
      </c>
    </row>
    <row r="236" spans="1:4" x14ac:dyDescent="0.3">
      <c r="A236" s="1">
        <v>51204</v>
      </c>
      <c r="B236" s="1" t="s">
        <v>487</v>
      </c>
      <c r="C236" s="5">
        <v>9.9549741797523907</v>
      </c>
      <c r="D236" s="5">
        <v>2.2019505321318649</v>
      </c>
    </row>
    <row r="237" spans="1:4" x14ac:dyDescent="0.3">
      <c r="A237" s="1">
        <v>51301</v>
      </c>
      <c r="B237" s="1" t="s">
        <v>323</v>
      </c>
      <c r="C237" s="5">
        <v>35.205833421825773</v>
      </c>
      <c r="D237" s="5">
        <v>16.176470588235293</v>
      </c>
    </row>
    <row r="238" spans="1:4" x14ac:dyDescent="0.3">
      <c r="A238" s="1">
        <v>51302</v>
      </c>
      <c r="B238" s="1" t="s">
        <v>324</v>
      </c>
      <c r="C238" s="5">
        <v>10.730848861283645</v>
      </c>
      <c r="D238" s="5">
        <v>6.2509145895322185</v>
      </c>
    </row>
    <row r="239" spans="1:4" x14ac:dyDescent="0.3">
      <c r="A239" s="1">
        <v>51401</v>
      </c>
      <c r="B239" s="1" t="s">
        <v>326</v>
      </c>
      <c r="C239" s="5">
        <v>9.1242761321501487</v>
      </c>
      <c r="D239" s="5">
        <v>3.8872744232770065</v>
      </c>
    </row>
    <row r="240" spans="1:4" x14ac:dyDescent="0.3">
      <c r="A240" s="1">
        <v>51402</v>
      </c>
      <c r="B240" s="1" t="s">
        <v>327</v>
      </c>
      <c r="C240" s="5">
        <v>10.528360528360528</v>
      </c>
      <c r="D240" s="5">
        <v>0</v>
      </c>
    </row>
    <row r="241" spans="1:4" x14ac:dyDescent="0.3">
      <c r="A241" s="1">
        <v>51501</v>
      </c>
      <c r="B241" s="1" t="s">
        <v>329</v>
      </c>
      <c r="C241" s="5">
        <v>7.1296587325395278</v>
      </c>
      <c r="D241" s="5">
        <v>3.0038776061906534</v>
      </c>
    </row>
    <row r="242" spans="1:4" x14ac:dyDescent="0.3">
      <c r="A242" s="1">
        <v>51601</v>
      </c>
      <c r="B242" s="1" t="s">
        <v>331</v>
      </c>
      <c r="C242" s="5">
        <v>5.2227965271443528</v>
      </c>
      <c r="D242" s="5">
        <v>2.300066093853272</v>
      </c>
    </row>
    <row r="243" spans="1:4" x14ac:dyDescent="0.3">
      <c r="A243" s="1">
        <v>60101</v>
      </c>
      <c r="B243" s="1" t="s">
        <v>332</v>
      </c>
      <c r="C243" s="5">
        <v>4.1129212184359227</v>
      </c>
      <c r="D243" s="5">
        <v>1.3438672283412885</v>
      </c>
    </row>
    <row r="244" spans="1:4" x14ac:dyDescent="0.3">
      <c r="A244" s="1">
        <v>60201</v>
      </c>
      <c r="B244" s="1" t="s">
        <v>334</v>
      </c>
      <c r="C244" s="5">
        <v>6.1419536347808252</v>
      </c>
      <c r="D244" s="5">
        <v>1.5321231672555347</v>
      </c>
    </row>
    <row r="245" spans="1:4" x14ac:dyDescent="0.3">
      <c r="A245" s="1">
        <v>60202</v>
      </c>
      <c r="B245" s="1" t="s">
        <v>335</v>
      </c>
      <c r="C245" s="5">
        <v>5.0508638163736714</v>
      </c>
      <c r="D245" s="5">
        <v>2.6855738449162585</v>
      </c>
    </row>
    <row r="246" spans="1:4" x14ac:dyDescent="0.3">
      <c r="A246" s="1">
        <v>60301</v>
      </c>
      <c r="B246" s="1" t="s">
        <v>337</v>
      </c>
      <c r="C246" s="5">
        <v>5.7743008881285247</v>
      </c>
      <c r="D246" s="5">
        <v>1.5899252429042683</v>
      </c>
    </row>
    <row r="247" spans="1:4" x14ac:dyDescent="0.3">
      <c r="A247" s="1">
        <v>60302</v>
      </c>
      <c r="B247" s="1" t="s">
        <v>338</v>
      </c>
      <c r="C247" s="5">
        <v>5.6049382716049392</v>
      </c>
      <c r="D247" s="5">
        <v>1.8515187721349315</v>
      </c>
    </row>
    <row r="248" spans="1:4" x14ac:dyDescent="0.3">
      <c r="A248" s="1">
        <v>60303</v>
      </c>
      <c r="B248" s="1" t="s">
        <v>339</v>
      </c>
      <c r="C248" s="5">
        <v>6.9595368230033046</v>
      </c>
      <c r="D248" s="5">
        <v>2.8606488096004261</v>
      </c>
    </row>
    <row r="249" spans="1:4" x14ac:dyDescent="0.3">
      <c r="A249" s="1">
        <v>60401</v>
      </c>
      <c r="B249" s="1" t="s">
        <v>341</v>
      </c>
      <c r="C249" s="5">
        <v>9.6439151507141592</v>
      </c>
      <c r="D249" s="5">
        <v>1.4316153537349843</v>
      </c>
    </row>
    <row r="250" spans="1:4" x14ac:dyDescent="0.3">
      <c r="A250" s="1">
        <v>60402</v>
      </c>
      <c r="B250" s="1" t="s">
        <v>343</v>
      </c>
      <c r="C250" s="5">
        <v>5.8282802468848978</v>
      </c>
      <c r="D250" s="5">
        <v>3.4226190476190474</v>
      </c>
    </row>
    <row r="251" spans="1:4" x14ac:dyDescent="0.3">
      <c r="A251" s="1">
        <v>60501</v>
      </c>
      <c r="B251" s="1" t="s">
        <v>345</v>
      </c>
      <c r="C251" s="5">
        <v>11.394070825461483</v>
      </c>
      <c r="D251" s="5">
        <v>2.7060943633296857</v>
      </c>
    </row>
    <row r="252" spans="1:4" x14ac:dyDescent="0.3">
      <c r="A252" s="1">
        <v>60502</v>
      </c>
      <c r="B252" s="1" t="s">
        <v>347</v>
      </c>
      <c r="C252" s="5">
        <v>10.775002664201034</v>
      </c>
      <c r="D252" s="5">
        <v>3.080568720379147</v>
      </c>
    </row>
    <row r="253" spans="1:4" x14ac:dyDescent="0.3">
      <c r="A253" s="1">
        <v>60601</v>
      </c>
      <c r="B253" s="1" t="s">
        <v>201</v>
      </c>
      <c r="C253" s="5">
        <v>9.8551203716758966</v>
      </c>
      <c r="D253" s="5">
        <v>2.4100557638137285</v>
      </c>
    </row>
    <row r="254" spans="1:4" x14ac:dyDescent="0.3">
      <c r="A254" s="1">
        <v>70101</v>
      </c>
      <c r="B254" s="1" t="s">
        <v>351</v>
      </c>
      <c r="C254" s="5">
        <v>5.4014759852502658</v>
      </c>
      <c r="D254" s="5">
        <v>1.4845564139846785</v>
      </c>
    </row>
    <row r="255" spans="1:4" x14ac:dyDescent="0.3">
      <c r="A255" s="1">
        <v>70102</v>
      </c>
      <c r="B255" s="1" t="s">
        <v>352</v>
      </c>
      <c r="C255" s="5">
        <v>8.9126392973432331</v>
      </c>
      <c r="D255" s="5">
        <v>2.1932115452643712</v>
      </c>
    </row>
    <row r="256" spans="1:4" x14ac:dyDescent="0.3">
      <c r="A256" s="1">
        <v>70103</v>
      </c>
      <c r="B256" s="1" t="s">
        <v>353</v>
      </c>
      <c r="C256" s="5">
        <v>17.701496314336257</v>
      </c>
      <c r="D256" s="5">
        <v>3.957390165428091</v>
      </c>
    </row>
    <row r="257" spans="1:4" x14ac:dyDescent="0.3">
      <c r="A257" s="1">
        <v>70104</v>
      </c>
      <c r="B257" s="1" t="s">
        <v>355</v>
      </c>
      <c r="C257" s="5">
        <v>5.3377212650255998</v>
      </c>
      <c r="D257" s="5">
        <v>1.6564129594744101</v>
      </c>
    </row>
    <row r="258" spans="1:4" x14ac:dyDescent="0.3">
      <c r="A258" s="1">
        <v>70105</v>
      </c>
      <c r="B258" s="1" t="s">
        <v>356</v>
      </c>
      <c r="C258" s="5">
        <v>5.8808890755627417</v>
      </c>
      <c r="D258" s="5">
        <v>2.1919422848672663</v>
      </c>
    </row>
    <row r="259" spans="1:4" x14ac:dyDescent="0.3">
      <c r="A259" s="1">
        <v>70201</v>
      </c>
      <c r="B259" s="1" t="s">
        <v>357</v>
      </c>
      <c r="C259" s="5">
        <v>7.6889961753589597</v>
      </c>
      <c r="D259" s="5">
        <v>2.0897793404547103</v>
      </c>
    </row>
    <row r="260" spans="1:4" x14ac:dyDescent="0.3">
      <c r="A260" s="1">
        <v>70202</v>
      </c>
      <c r="B260" s="1" t="s">
        <v>358</v>
      </c>
      <c r="C260" s="5">
        <v>8.3434630286545381</v>
      </c>
      <c r="D260" s="5">
        <v>1.642092276332817</v>
      </c>
    </row>
    <row r="261" spans="1:4" x14ac:dyDescent="0.3">
      <c r="A261" s="1">
        <v>70301</v>
      </c>
      <c r="B261" s="1" t="s">
        <v>360</v>
      </c>
      <c r="C261" s="5">
        <v>8.0867008011628858</v>
      </c>
      <c r="D261" s="5">
        <v>2.6709054790468407</v>
      </c>
    </row>
    <row r="262" spans="1:4" x14ac:dyDescent="0.3">
      <c r="A262" s="1">
        <v>70302</v>
      </c>
      <c r="B262" s="1" t="s">
        <v>361</v>
      </c>
      <c r="C262" s="5">
        <v>5.1675210721348623</v>
      </c>
      <c r="D262" s="5">
        <v>1.7048166591862759</v>
      </c>
    </row>
    <row r="263" spans="1:4" x14ac:dyDescent="0.3">
      <c r="A263" s="1">
        <v>70303</v>
      </c>
      <c r="B263" s="1" t="s">
        <v>362</v>
      </c>
      <c r="C263" s="5">
        <v>11.766648242349097</v>
      </c>
      <c r="D263" s="5">
        <v>1.8994189541174114</v>
      </c>
    </row>
    <row r="264" spans="1:4" x14ac:dyDescent="0.3">
      <c r="A264" s="1">
        <v>70401</v>
      </c>
      <c r="B264" s="1" t="s">
        <v>364</v>
      </c>
      <c r="C264" s="5">
        <v>7.3014637336552441</v>
      </c>
      <c r="D264" s="5">
        <v>2.9183029183029183</v>
      </c>
    </row>
    <row r="265" spans="1:4" x14ac:dyDescent="0.3">
      <c r="A265" s="1">
        <v>70402</v>
      </c>
      <c r="B265" s="1" t="s">
        <v>365</v>
      </c>
      <c r="C265" s="5">
        <v>8.322258159622562</v>
      </c>
      <c r="D265" s="5">
        <v>2.3150872577478649</v>
      </c>
    </row>
    <row r="266" spans="1:4" x14ac:dyDescent="0.3">
      <c r="A266" s="1">
        <v>70403</v>
      </c>
      <c r="B266" s="1" t="s">
        <v>366</v>
      </c>
      <c r="C266" s="5">
        <v>4.9730016645674135</v>
      </c>
      <c r="D266" s="5">
        <v>2.7550405566632232</v>
      </c>
    </row>
    <row r="267" spans="1:4" x14ac:dyDescent="0.3">
      <c r="A267" s="1">
        <v>70404</v>
      </c>
      <c r="B267" s="1" t="s">
        <v>367</v>
      </c>
      <c r="C267" s="5">
        <v>6.2260746619300038</v>
      </c>
      <c r="D267" s="5">
        <v>3.1385878458618137</v>
      </c>
    </row>
    <row r="268" spans="1:4" x14ac:dyDescent="0.3">
      <c r="A268" s="1">
        <v>70501</v>
      </c>
      <c r="B268" s="1" t="s">
        <v>369</v>
      </c>
      <c r="C268" s="5">
        <v>5.5951376993473092</v>
      </c>
      <c r="D268" s="5">
        <v>2.6922221939042799</v>
      </c>
    </row>
    <row r="269" spans="1:4" x14ac:dyDescent="0.3">
      <c r="A269" s="1">
        <v>70502</v>
      </c>
      <c r="B269" s="1" t="s">
        <v>370</v>
      </c>
      <c r="C269" s="5">
        <v>8.7661021839642661</v>
      </c>
      <c r="D269" s="5">
        <v>3.8147848585838484</v>
      </c>
    </row>
    <row r="270" spans="1:4" x14ac:dyDescent="0.3">
      <c r="A270" s="1">
        <v>70503</v>
      </c>
      <c r="B270" s="1" t="s">
        <v>371</v>
      </c>
      <c r="C270" s="5">
        <v>6.2706173774428464</v>
      </c>
      <c r="D270" s="5">
        <v>1.7077732544309319</v>
      </c>
    </row>
    <row r="271" spans="1:4" x14ac:dyDescent="0.3">
      <c r="A271" s="1">
        <v>70601</v>
      </c>
      <c r="B271" s="1" t="s">
        <v>373</v>
      </c>
      <c r="C271" s="5">
        <v>7.5091398112926315</v>
      </c>
      <c r="D271" s="5">
        <v>3.280443201376936</v>
      </c>
    </row>
    <row r="272" spans="1:4" x14ac:dyDescent="0.3">
      <c r="A272" s="1">
        <v>70602</v>
      </c>
      <c r="B272" s="1" t="s">
        <v>374</v>
      </c>
      <c r="C272" s="5">
        <v>11.562271586477337</v>
      </c>
      <c r="D272" s="5">
        <v>4.1290998586675762</v>
      </c>
    </row>
    <row r="273" spans="1:4" x14ac:dyDescent="0.3">
      <c r="A273" s="1">
        <v>70603</v>
      </c>
      <c r="B273" s="1" t="s">
        <v>375</v>
      </c>
      <c r="C273" s="5">
        <v>13.98477000535811</v>
      </c>
      <c r="D273" s="5">
        <v>2.889212827988338</v>
      </c>
    </row>
    <row r="274" spans="1:4" x14ac:dyDescent="0.3">
      <c r="A274" s="1">
        <v>70701</v>
      </c>
      <c r="B274" s="1" t="s">
        <v>377</v>
      </c>
      <c r="C274" s="5">
        <v>8.6832607512420683</v>
      </c>
      <c r="D274" s="5">
        <v>2.6125178889570373</v>
      </c>
    </row>
    <row r="275" spans="1:4" x14ac:dyDescent="0.3">
      <c r="A275" s="1">
        <v>70702</v>
      </c>
      <c r="B275" s="1" t="s">
        <v>488</v>
      </c>
      <c r="C275" s="5">
        <v>10.811811721499936</v>
      </c>
      <c r="D275" s="5">
        <v>3.2224318298748069</v>
      </c>
    </row>
    <row r="276" spans="1:4" x14ac:dyDescent="0.3">
      <c r="A276" s="1">
        <v>70703</v>
      </c>
      <c r="B276" s="1" t="s">
        <v>379</v>
      </c>
      <c r="C276" s="5">
        <v>6.2757652139761744</v>
      </c>
      <c r="D276" s="5">
        <v>3.5997375698402845</v>
      </c>
    </row>
    <row r="277" spans="1:4" x14ac:dyDescent="0.3">
      <c r="A277" s="1">
        <v>70704</v>
      </c>
      <c r="B277" s="1" t="s">
        <v>380</v>
      </c>
      <c r="C277" s="5">
        <v>5.6100362190829776</v>
      </c>
      <c r="D277" s="5">
        <v>2.1666133674448353</v>
      </c>
    </row>
    <row r="278" spans="1:4" x14ac:dyDescent="0.3">
      <c r="A278" s="1">
        <v>70705</v>
      </c>
      <c r="B278" s="1" t="s">
        <v>489</v>
      </c>
      <c r="C278" s="5">
        <v>7.7517068932917867</v>
      </c>
      <c r="D278" s="5">
        <v>2.8743990453570158</v>
      </c>
    </row>
    <row r="279" spans="1:4" x14ac:dyDescent="0.3">
      <c r="A279" s="1">
        <v>70706</v>
      </c>
      <c r="B279" s="1" t="s">
        <v>382</v>
      </c>
      <c r="C279" s="5">
        <v>4.2508661307153872</v>
      </c>
      <c r="D279" s="5">
        <v>1.8284477031270197</v>
      </c>
    </row>
    <row r="280" spans="1:4" x14ac:dyDescent="0.3">
      <c r="A280" s="1">
        <v>70707</v>
      </c>
      <c r="B280" s="1" t="s">
        <v>383</v>
      </c>
      <c r="C280" s="5">
        <v>7.5001045436574314</v>
      </c>
      <c r="D280" s="5">
        <v>1.183547061752988</v>
      </c>
    </row>
    <row r="281" spans="1:4" x14ac:dyDescent="0.3">
      <c r="A281" s="1">
        <v>70801</v>
      </c>
      <c r="B281" s="1" t="s">
        <v>384</v>
      </c>
      <c r="C281" s="5">
        <v>6.2755707877863927</v>
      </c>
      <c r="D281" s="5">
        <v>1.3104614357427238</v>
      </c>
    </row>
    <row r="282" spans="1:4" x14ac:dyDescent="0.3">
      <c r="A282" s="1">
        <v>70802</v>
      </c>
      <c r="B282" s="1" t="s">
        <v>385</v>
      </c>
      <c r="C282" s="5">
        <v>8.1324089133314335</v>
      </c>
      <c r="D282" s="5">
        <v>0.67567567567567566</v>
      </c>
    </row>
    <row r="283" spans="1:4" x14ac:dyDescent="0.3">
      <c r="A283" s="1">
        <v>70803</v>
      </c>
      <c r="B283" s="1" t="s">
        <v>386</v>
      </c>
      <c r="C283" s="5">
        <v>8.4594175965699012</v>
      </c>
      <c r="D283" s="5">
        <v>5.6302011095700415</v>
      </c>
    </row>
    <row r="284" spans="1:4" x14ac:dyDescent="0.3">
      <c r="A284" s="1">
        <v>70804</v>
      </c>
      <c r="B284" s="1" t="s">
        <v>387</v>
      </c>
      <c r="C284" s="5">
        <v>15.260431058303398</v>
      </c>
      <c r="D284" s="5">
        <v>0.74626865671641784</v>
      </c>
    </row>
    <row r="285" spans="1:4" x14ac:dyDescent="0.3">
      <c r="A285" s="1">
        <v>70805</v>
      </c>
      <c r="B285" s="1" t="s">
        <v>388</v>
      </c>
      <c r="C285" s="5">
        <v>13.676294240586563</v>
      </c>
      <c r="D285" s="5">
        <v>0</v>
      </c>
    </row>
    <row r="286" spans="1:4" x14ac:dyDescent="0.3">
      <c r="A286" s="1">
        <v>70901</v>
      </c>
      <c r="B286" s="1" t="s">
        <v>390</v>
      </c>
      <c r="C286" s="5">
        <v>6.696950524742701</v>
      </c>
      <c r="D286" s="5">
        <v>1.9002945347441913</v>
      </c>
    </row>
    <row r="287" spans="1:4" x14ac:dyDescent="0.3">
      <c r="A287" s="1">
        <v>70902</v>
      </c>
      <c r="B287" s="1" t="s">
        <v>490</v>
      </c>
      <c r="C287" s="5">
        <v>4.8132126685742653</v>
      </c>
      <c r="D287" s="5">
        <v>1.6523028449633954</v>
      </c>
    </row>
    <row r="288" spans="1:4" x14ac:dyDescent="0.3">
      <c r="A288" s="1">
        <v>70903</v>
      </c>
      <c r="B288" s="1" t="s">
        <v>392</v>
      </c>
      <c r="C288" s="5">
        <v>7.0659311794063582</v>
      </c>
      <c r="D288" s="5">
        <v>4.4718203292967171</v>
      </c>
    </row>
    <row r="289" spans="1:4" x14ac:dyDescent="0.3">
      <c r="A289" s="1">
        <v>70904</v>
      </c>
      <c r="B289" s="1" t="s">
        <v>393</v>
      </c>
      <c r="C289" s="5">
        <v>8.467850962578412</v>
      </c>
      <c r="D289" s="5">
        <v>0.92592592592592582</v>
      </c>
    </row>
    <row r="290" spans="1:4" x14ac:dyDescent="0.3">
      <c r="A290" s="1">
        <v>71001</v>
      </c>
      <c r="B290" s="1" t="s">
        <v>395</v>
      </c>
      <c r="C290" s="5">
        <v>5.8195761290646182</v>
      </c>
      <c r="D290" s="5">
        <v>3.0262843169023315</v>
      </c>
    </row>
    <row r="291" spans="1:4" x14ac:dyDescent="0.3">
      <c r="A291" s="1">
        <v>71002</v>
      </c>
      <c r="B291" s="1" t="s">
        <v>396</v>
      </c>
      <c r="C291" s="5">
        <v>7.9064419893317925</v>
      </c>
      <c r="D291" s="5">
        <v>3.796671605611095</v>
      </c>
    </row>
    <row r="292" spans="1:4" x14ac:dyDescent="0.3">
      <c r="A292" s="1">
        <v>71003</v>
      </c>
      <c r="B292" s="1" t="s">
        <v>397</v>
      </c>
      <c r="C292" s="5">
        <v>7.8927582380809511</v>
      </c>
      <c r="D292" s="5">
        <v>2.5577184128990806</v>
      </c>
    </row>
    <row r="293" spans="1:4" x14ac:dyDescent="0.3">
      <c r="A293" s="1">
        <v>71004</v>
      </c>
      <c r="B293" s="1" t="s">
        <v>398</v>
      </c>
      <c r="C293" s="5">
        <v>6.8335443519608914</v>
      </c>
      <c r="D293" s="5">
        <v>2.3053617680978578</v>
      </c>
    </row>
    <row r="294" spans="1:4" x14ac:dyDescent="0.3">
      <c r="A294" s="1">
        <v>71005</v>
      </c>
      <c r="B294" s="1" t="s">
        <v>290</v>
      </c>
      <c r="C294" s="5">
        <v>5.8503670042364524</v>
      </c>
      <c r="D294" s="5">
        <v>2.328134681355881</v>
      </c>
    </row>
    <row r="295" spans="1:4" x14ac:dyDescent="0.3">
      <c r="A295" s="1">
        <v>71101</v>
      </c>
      <c r="B295" s="1" t="s">
        <v>342</v>
      </c>
      <c r="C295" s="5">
        <v>6.5102008221756895</v>
      </c>
      <c r="D295" s="5">
        <v>2.0125708095420798</v>
      </c>
    </row>
    <row r="296" spans="1:4" x14ac:dyDescent="0.3">
      <c r="A296" s="1">
        <v>71102</v>
      </c>
      <c r="B296" s="1" t="s">
        <v>400</v>
      </c>
      <c r="C296" s="5">
        <v>7.1073435128850591</v>
      </c>
      <c r="D296" s="5">
        <v>2.1238938053097347</v>
      </c>
    </row>
    <row r="297" spans="1:4" x14ac:dyDescent="0.3">
      <c r="A297" s="1">
        <v>71103</v>
      </c>
      <c r="B297" s="1" t="s">
        <v>401</v>
      </c>
      <c r="C297" s="5">
        <v>9.3148982858713865</v>
      </c>
      <c r="D297" s="5">
        <v>3.9530287710267489</v>
      </c>
    </row>
    <row r="298" spans="1:4" x14ac:dyDescent="0.3">
      <c r="A298" s="1">
        <v>71104</v>
      </c>
      <c r="B298" s="1" t="s">
        <v>402</v>
      </c>
      <c r="C298" s="5">
        <v>7.4866589899836109</v>
      </c>
      <c r="D298" s="12">
        <v>2.102730143590672</v>
      </c>
    </row>
    <row r="299" spans="1:4" x14ac:dyDescent="0.3">
      <c r="A299" s="1">
        <v>71105</v>
      </c>
      <c r="B299" s="1" t="s">
        <v>403</v>
      </c>
      <c r="C299" s="5">
        <v>4.7010956752376378</v>
      </c>
      <c r="D299" s="12">
        <v>2.2252119340462775</v>
      </c>
    </row>
    <row r="300" spans="1:4" x14ac:dyDescent="0.3">
      <c r="A300" s="1">
        <v>71106</v>
      </c>
      <c r="B300" s="1" t="s">
        <v>404</v>
      </c>
      <c r="C300" s="5">
        <v>6.6316380137367892</v>
      </c>
      <c r="D300" s="5">
        <v>1.9610139628675309</v>
      </c>
    </row>
    <row r="301" spans="1:4" x14ac:dyDescent="0.3">
      <c r="A301" s="1">
        <v>71201</v>
      </c>
      <c r="B301" s="1" t="s">
        <v>406</v>
      </c>
      <c r="C301" s="5">
        <v>10.080090911312199</v>
      </c>
      <c r="D301" s="5">
        <v>2.7106884106780185</v>
      </c>
    </row>
    <row r="302" spans="1:4" x14ac:dyDescent="0.3">
      <c r="A302" s="1">
        <v>71301</v>
      </c>
      <c r="B302" s="1" t="s">
        <v>408</v>
      </c>
      <c r="C302" s="5">
        <v>5.2301278775138629</v>
      </c>
      <c r="D302" s="5">
        <v>3.3818294381674665</v>
      </c>
    </row>
    <row r="303" spans="1:4" x14ac:dyDescent="0.3">
      <c r="A303" s="1">
        <v>71302</v>
      </c>
      <c r="B303" s="1" t="s">
        <v>409</v>
      </c>
      <c r="C303" s="5">
        <v>6.9783546635575924</v>
      </c>
      <c r="D303" s="5">
        <v>1.8545751633986929</v>
      </c>
    </row>
    <row r="304" spans="1:4" x14ac:dyDescent="0.3">
      <c r="A304" s="1">
        <v>71401</v>
      </c>
      <c r="B304" s="1" t="s">
        <v>491</v>
      </c>
      <c r="C304" s="5">
        <v>5.2534875654270925</v>
      </c>
      <c r="D304" s="5">
        <v>2.9221222789028518</v>
      </c>
    </row>
    <row r="305" spans="1:4" x14ac:dyDescent="0.3">
      <c r="A305" s="1">
        <v>71402</v>
      </c>
      <c r="B305" s="1" t="s">
        <v>412</v>
      </c>
      <c r="C305" s="5">
        <v>6.8358911343825106</v>
      </c>
      <c r="D305" s="5">
        <v>3.2819368364103605</v>
      </c>
    </row>
    <row r="306" spans="1:4" x14ac:dyDescent="0.3">
      <c r="A306" s="1">
        <v>71403</v>
      </c>
      <c r="B306" s="1" t="s">
        <v>413</v>
      </c>
      <c r="C306" s="5">
        <v>10.115652928949586</v>
      </c>
      <c r="D306" s="5">
        <v>4.6528576908323753</v>
      </c>
    </row>
    <row r="307" spans="1:4" x14ac:dyDescent="0.3">
      <c r="A307" s="1">
        <v>71501</v>
      </c>
      <c r="B307" s="1" t="s">
        <v>415</v>
      </c>
      <c r="C307" s="5">
        <v>10.104697634390474</v>
      </c>
      <c r="D307" s="5">
        <v>5.4996711682232444</v>
      </c>
    </row>
    <row r="308" spans="1:4" x14ac:dyDescent="0.3">
      <c r="A308" s="1">
        <v>71502</v>
      </c>
      <c r="B308" s="1" t="s">
        <v>416</v>
      </c>
      <c r="C308" s="5">
        <v>4.8732844710147374</v>
      </c>
      <c r="D308" s="5">
        <v>4.242706885122808</v>
      </c>
    </row>
    <row r="309" spans="1:4" x14ac:dyDescent="0.3">
      <c r="A309" s="1">
        <v>71503</v>
      </c>
      <c r="B309" s="1" t="s">
        <v>347</v>
      </c>
      <c r="C309" s="5">
        <v>6.9849989618816428</v>
      </c>
      <c r="D309" s="5">
        <v>2.9775641025641026</v>
      </c>
    </row>
    <row r="310" spans="1:4" x14ac:dyDescent="0.3">
      <c r="A310" s="1">
        <v>80101</v>
      </c>
      <c r="B310" s="1" t="s">
        <v>419</v>
      </c>
      <c r="C310" s="5">
        <v>8.1536044731418453</v>
      </c>
      <c r="D310" s="5">
        <v>2.3547873426960821</v>
      </c>
    </row>
    <row r="311" spans="1:4" x14ac:dyDescent="0.3">
      <c r="A311" s="1">
        <v>80102</v>
      </c>
      <c r="B311" s="1" t="s">
        <v>400</v>
      </c>
      <c r="C311" s="5">
        <v>21.621039944903583</v>
      </c>
      <c r="D311" s="5">
        <v>3.5431446955947865</v>
      </c>
    </row>
    <row r="312" spans="1:4" x14ac:dyDescent="0.3">
      <c r="A312" s="1">
        <v>80201</v>
      </c>
      <c r="B312" s="1" t="s">
        <v>421</v>
      </c>
      <c r="C312" s="5">
        <v>12.4999264480807</v>
      </c>
      <c r="D312" s="5">
        <v>5.5588608149755512</v>
      </c>
    </row>
    <row r="313" spans="1:4" x14ac:dyDescent="0.3">
      <c r="A313" s="1">
        <v>80202</v>
      </c>
      <c r="B313" s="1" t="s">
        <v>422</v>
      </c>
      <c r="C313" s="5">
        <v>6.05103432947854</v>
      </c>
      <c r="D313" s="5">
        <v>4.0422355718635856</v>
      </c>
    </row>
    <row r="314" spans="1:4" x14ac:dyDescent="0.3">
      <c r="A314" s="1">
        <v>80301</v>
      </c>
      <c r="B314" s="1" t="s">
        <v>424</v>
      </c>
      <c r="C314" s="5">
        <v>12.409610012362927</v>
      </c>
      <c r="D314" s="5">
        <v>4.351696905642652</v>
      </c>
    </row>
    <row r="315" spans="1:4" x14ac:dyDescent="0.3">
      <c r="A315" s="1">
        <v>80302</v>
      </c>
      <c r="B315" s="1" t="s">
        <v>425</v>
      </c>
      <c r="C315" s="5">
        <v>13.878461118684614</v>
      </c>
      <c r="D315" s="5">
        <v>4.8586843786657194</v>
      </c>
    </row>
    <row r="316" spans="1:4" x14ac:dyDescent="0.3">
      <c r="A316" s="1">
        <v>80303</v>
      </c>
      <c r="B316" s="1" t="s">
        <v>374</v>
      </c>
      <c r="C316" s="5">
        <v>8.8914100620805847</v>
      </c>
      <c r="D316" s="5">
        <v>3.5093253373313344</v>
      </c>
    </row>
    <row r="317" spans="1:4" x14ac:dyDescent="0.3">
      <c r="A317" s="1">
        <v>80304</v>
      </c>
      <c r="B317" s="1" t="s">
        <v>426</v>
      </c>
      <c r="C317" s="5">
        <v>10.672556691157787</v>
      </c>
      <c r="D317" s="5">
        <v>3.0343559883453661</v>
      </c>
    </row>
    <row r="318" spans="1:4" x14ac:dyDescent="0.3">
      <c r="A318" s="1">
        <v>80401</v>
      </c>
      <c r="B318" s="1" t="s">
        <v>429</v>
      </c>
      <c r="C318" s="5">
        <v>15.257345250098941</v>
      </c>
      <c r="D318" s="5">
        <v>5.5906070088201094</v>
      </c>
    </row>
    <row r="319" spans="1:4" x14ac:dyDescent="0.3">
      <c r="A319" s="1">
        <v>80402</v>
      </c>
      <c r="B319" s="1" t="s">
        <v>431</v>
      </c>
      <c r="C319" s="5">
        <v>31.915953005427529</v>
      </c>
      <c r="D319" s="5">
        <v>4.6345555737436568</v>
      </c>
    </row>
    <row r="320" spans="1:4" x14ac:dyDescent="0.3">
      <c r="A320" s="1">
        <v>80501</v>
      </c>
      <c r="B320" s="1" t="s">
        <v>360</v>
      </c>
      <c r="C320" s="5">
        <v>14.265870810076501</v>
      </c>
      <c r="D320" s="5">
        <v>4.1779743980569295</v>
      </c>
    </row>
    <row r="321" spans="1:4" x14ac:dyDescent="0.3">
      <c r="A321" s="1">
        <v>80601</v>
      </c>
      <c r="B321" s="1" t="s">
        <v>434</v>
      </c>
      <c r="C321" s="5">
        <v>13.747136116267257</v>
      </c>
      <c r="D321" s="5">
        <v>3.0844408824773479</v>
      </c>
    </row>
    <row r="322" spans="1:4" x14ac:dyDescent="0.3">
      <c r="A322" s="1">
        <v>80602</v>
      </c>
      <c r="B322" s="1" t="s">
        <v>435</v>
      </c>
      <c r="C322" s="5">
        <v>11.483404348970387</v>
      </c>
      <c r="D322" s="5">
        <v>3.8110977564102564</v>
      </c>
    </row>
    <row r="323" spans="1:4" x14ac:dyDescent="0.3">
      <c r="A323" s="1">
        <v>80701</v>
      </c>
      <c r="B323" s="1" t="s">
        <v>437</v>
      </c>
      <c r="C323" s="5">
        <v>13.845780355214316</v>
      </c>
      <c r="D323" s="5">
        <v>5.0613263535928414</v>
      </c>
    </row>
    <row r="324" spans="1:4" x14ac:dyDescent="0.3">
      <c r="A324" s="1">
        <v>80702</v>
      </c>
      <c r="B324" s="1" t="s">
        <v>401</v>
      </c>
      <c r="C324" s="5">
        <v>10.339159219769986</v>
      </c>
      <c r="D324" s="5">
        <v>3.2945109457564978</v>
      </c>
    </row>
    <row r="325" spans="1:4" x14ac:dyDescent="0.3">
      <c r="A325" s="1">
        <v>80703</v>
      </c>
      <c r="B325" s="1" t="s">
        <v>438</v>
      </c>
      <c r="C325" s="5">
        <v>13.6002886002886</v>
      </c>
      <c r="D325" s="5">
        <v>4.4871794871794872</v>
      </c>
    </row>
    <row r="326" spans="1:4" x14ac:dyDescent="0.3">
      <c r="A326" s="1">
        <v>80801</v>
      </c>
      <c r="B326" s="1" t="s">
        <v>440</v>
      </c>
      <c r="C326" s="5">
        <v>8.410272738866011</v>
      </c>
      <c r="D326" s="5">
        <v>4.9698759092854088</v>
      </c>
    </row>
    <row r="327" spans="1:4" x14ac:dyDescent="0.3">
      <c r="A327" s="1">
        <v>80802</v>
      </c>
      <c r="B327" s="1" t="s">
        <v>441</v>
      </c>
      <c r="C327" s="5">
        <v>5.3604794941230054</v>
      </c>
      <c r="D327" s="5">
        <v>3.9796098248912912</v>
      </c>
    </row>
    <row r="328" spans="1:4" x14ac:dyDescent="0.3">
      <c r="A328" s="1">
        <v>80803</v>
      </c>
      <c r="B328" s="1" t="s">
        <v>442</v>
      </c>
      <c r="C328" s="5">
        <v>9.4672698353679952</v>
      </c>
      <c r="D328" s="5">
        <v>3.225806451612903</v>
      </c>
    </row>
    <row r="329" spans="1:4" x14ac:dyDescent="0.3">
      <c r="A329" s="1">
        <v>80901</v>
      </c>
      <c r="B329" s="1" t="s">
        <v>492</v>
      </c>
      <c r="C329" s="5">
        <v>14.710616848706513</v>
      </c>
      <c r="D329" s="5">
        <v>4.7641656044083032</v>
      </c>
    </row>
    <row r="330" spans="1:4" x14ac:dyDescent="0.3">
      <c r="A330" s="1">
        <v>90101</v>
      </c>
      <c r="B330" s="1" t="s">
        <v>446</v>
      </c>
      <c r="C330" s="5">
        <v>8.8126191477838294</v>
      </c>
      <c r="D330" s="5">
        <v>3.3013745099470553</v>
      </c>
    </row>
    <row r="331" spans="1:4" x14ac:dyDescent="0.3">
      <c r="A331" s="1">
        <v>90102</v>
      </c>
      <c r="B331" s="1" t="s">
        <v>447</v>
      </c>
      <c r="C331" s="5">
        <v>11.339637509850277</v>
      </c>
      <c r="D331" s="5">
        <v>2.9780869442084397</v>
      </c>
    </row>
    <row r="332" spans="1:4" x14ac:dyDescent="0.3">
      <c r="A332" s="1">
        <v>90103</v>
      </c>
      <c r="B332" s="1" t="s">
        <v>448</v>
      </c>
      <c r="C332" s="5">
        <v>42.839676154006121</v>
      </c>
      <c r="D332" s="5">
        <v>6.150537634408602</v>
      </c>
    </row>
    <row r="333" spans="1:4" x14ac:dyDescent="0.3">
      <c r="A333" s="1">
        <v>90104</v>
      </c>
      <c r="B333" s="1" t="s">
        <v>449</v>
      </c>
      <c r="C333" s="5">
        <v>29.705711837063927</v>
      </c>
      <c r="D333" s="5">
        <v>8.014812138728324</v>
      </c>
    </row>
    <row r="334" spans="1:4" x14ac:dyDescent="0.3">
      <c r="A334" s="1">
        <v>90201</v>
      </c>
      <c r="B334" s="1" t="s">
        <v>451</v>
      </c>
      <c r="C334" s="5">
        <v>19.508020672528357</v>
      </c>
      <c r="D334" s="5">
        <v>5.7035881618220516</v>
      </c>
    </row>
    <row r="335" spans="1:4" x14ac:dyDescent="0.3">
      <c r="A335" s="1">
        <v>90202</v>
      </c>
      <c r="B335" s="1" t="s">
        <v>290</v>
      </c>
      <c r="C335" s="5">
        <v>13.337727971874314</v>
      </c>
      <c r="D335" s="5">
        <v>9.9113805970149258</v>
      </c>
    </row>
    <row r="336" spans="1:4" x14ac:dyDescent="0.3">
      <c r="A336" s="1">
        <v>90203</v>
      </c>
      <c r="B336" s="1" t="s">
        <v>452</v>
      </c>
      <c r="C336" s="5">
        <v>17.301850317591825</v>
      </c>
      <c r="D336" s="5">
        <v>4.545454545454545</v>
      </c>
    </row>
    <row r="337" spans="1:4" x14ac:dyDescent="0.3">
      <c r="A337" s="1">
        <v>90301</v>
      </c>
      <c r="B337" s="1" t="s">
        <v>454</v>
      </c>
      <c r="C337" s="5">
        <v>17.069130802993765</v>
      </c>
      <c r="D337" s="5">
        <v>4.5398052109461506</v>
      </c>
    </row>
    <row r="338" spans="1:4" x14ac:dyDescent="0.3">
      <c r="A338" s="1">
        <v>90302</v>
      </c>
      <c r="B338" s="1" t="s">
        <v>345</v>
      </c>
      <c r="C338" s="5">
        <v>22.288059850988912</v>
      </c>
      <c r="D338" s="5">
        <v>6.9905213270142177</v>
      </c>
    </row>
    <row r="339" spans="1:4" x14ac:dyDescent="0.3">
      <c r="A339" s="1">
        <v>90303</v>
      </c>
      <c r="B339" s="1" t="s">
        <v>455</v>
      </c>
      <c r="C339" s="5">
        <v>17.555471220746366</v>
      </c>
      <c r="D339" s="5">
        <v>7.009113811499704</v>
      </c>
    </row>
    <row r="340" spans="1:4" x14ac:dyDescent="0.3">
      <c r="A340" s="1">
        <v>90401</v>
      </c>
      <c r="B340" s="1" t="s">
        <v>374</v>
      </c>
      <c r="C340" s="5">
        <v>19.984917043740577</v>
      </c>
      <c r="D340" s="5">
        <v>7.7449370552818824</v>
      </c>
    </row>
    <row r="341" spans="1:4" x14ac:dyDescent="0.3">
      <c r="A341" s="1">
        <v>90402</v>
      </c>
      <c r="B341" s="1" t="s">
        <v>92</v>
      </c>
      <c r="C341" s="5">
        <v>20.977011494252874</v>
      </c>
      <c r="D341" s="5">
        <v>14.409198177926568</v>
      </c>
    </row>
    <row r="342" spans="1:4" x14ac:dyDescent="0.3">
      <c r="A342" s="1">
        <v>90501</v>
      </c>
      <c r="B342" s="1" t="s">
        <v>458</v>
      </c>
      <c r="C342" s="5">
        <v>35.326086956521742</v>
      </c>
      <c r="D342" s="5">
        <v>10.561660561660561</v>
      </c>
    </row>
    <row r="343" spans="1:4" x14ac:dyDescent="0.3">
      <c r="A343" s="1">
        <v>90502</v>
      </c>
      <c r="B343" s="1" t="s">
        <v>459</v>
      </c>
      <c r="C343" s="5">
        <v>30.201423097974821</v>
      </c>
      <c r="D343" s="5">
        <v>8.3724569640062594</v>
      </c>
    </row>
    <row r="344" spans="1:4" x14ac:dyDescent="0.3">
      <c r="A344" s="1">
        <v>90503</v>
      </c>
      <c r="B344" s="1" t="s">
        <v>461</v>
      </c>
      <c r="C344" s="5">
        <v>20.714285714285715</v>
      </c>
      <c r="D344" s="5">
        <v>12.510192560998556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C1" sqref="C1:D1"/>
    </sheetView>
  </sheetViews>
  <sheetFormatPr baseColWidth="10" defaultRowHeight="14.4" x14ac:dyDescent="0.3"/>
  <cols>
    <col min="3" max="3" width="12.44140625" bestFit="1" customWidth="1"/>
    <col min="4" max="4" width="13.44140625" bestFit="1" customWidth="1"/>
  </cols>
  <sheetData>
    <row r="1" spans="1:4" x14ac:dyDescent="0.3">
      <c r="A1" s="1" t="s">
        <v>462</v>
      </c>
      <c r="B1" s="1" t="s">
        <v>2</v>
      </c>
      <c r="C1" s="3" t="s">
        <v>518</v>
      </c>
      <c r="D1" s="3" t="s">
        <v>519</v>
      </c>
    </row>
    <row r="2" spans="1:4" x14ac:dyDescent="0.3">
      <c r="A2" s="1">
        <v>10101</v>
      </c>
      <c r="B2" s="1" t="s">
        <v>6</v>
      </c>
      <c r="C2" s="4">
        <v>741.66666666666663</v>
      </c>
      <c r="D2" s="4">
        <v>371</v>
      </c>
    </row>
    <row r="3" spans="1:4" x14ac:dyDescent="0.3">
      <c r="A3" s="1">
        <v>10102</v>
      </c>
      <c r="B3" s="1" t="s">
        <v>7</v>
      </c>
      <c r="C3" s="4">
        <v>21</v>
      </c>
      <c r="D3" s="4">
        <v>10.666666666666666</v>
      </c>
    </row>
    <row r="4" spans="1:4" x14ac:dyDescent="0.3">
      <c r="A4" s="1">
        <v>10103</v>
      </c>
      <c r="B4" s="1" t="s">
        <v>8</v>
      </c>
      <c r="C4" s="4">
        <v>89.666666666666671</v>
      </c>
      <c r="D4" s="4">
        <v>30</v>
      </c>
    </row>
    <row r="5" spans="1:4" x14ac:dyDescent="0.3">
      <c r="A5" s="1">
        <v>10201</v>
      </c>
      <c r="B5" s="1" t="s">
        <v>9</v>
      </c>
      <c r="C5" s="4">
        <v>51</v>
      </c>
      <c r="D5" s="4">
        <v>13</v>
      </c>
    </row>
    <row r="6" spans="1:4" x14ac:dyDescent="0.3">
      <c r="A6" s="1">
        <v>10202</v>
      </c>
      <c r="B6" s="1" t="s">
        <v>11</v>
      </c>
      <c r="C6" s="4">
        <v>46.333333333333336</v>
      </c>
      <c r="D6" s="4">
        <v>34</v>
      </c>
    </row>
    <row r="7" spans="1:4" x14ac:dyDescent="0.3">
      <c r="A7" s="1">
        <v>10301</v>
      </c>
      <c r="B7" s="1" t="s">
        <v>13</v>
      </c>
      <c r="C7" s="4">
        <v>16.333333333333332</v>
      </c>
      <c r="D7" s="4">
        <v>6</v>
      </c>
    </row>
    <row r="8" spans="1:4" x14ac:dyDescent="0.3">
      <c r="A8" s="1">
        <v>10302</v>
      </c>
      <c r="B8" s="1" t="s">
        <v>15</v>
      </c>
      <c r="C8" s="4">
        <v>28</v>
      </c>
      <c r="D8" s="4">
        <v>11.333333333333334</v>
      </c>
    </row>
    <row r="9" spans="1:4" x14ac:dyDescent="0.3">
      <c r="A9" s="1">
        <v>10303</v>
      </c>
      <c r="B9" s="1" t="s">
        <v>476</v>
      </c>
      <c r="C9" s="4">
        <v>21.333333333333332</v>
      </c>
      <c r="D9" s="4">
        <v>9.6666666666666661</v>
      </c>
    </row>
    <row r="10" spans="1:4" x14ac:dyDescent="0.3">
      <c r="A10" s="1">
        <v>10304</v>
      </c>
      <c r="B10" s="1" t="s">
        <v>17</v>
      </c>
      <c r="C10" s="4">
        <v>28.333333333333332</v>
      </c>
      <c r="D10" s="4">
        <v>12.666666666666666</v>
      </c>
    </row>
    <row r="11" spans="1:4" x14ac:dyDescent="0.3">
      <c r="A11" s="1">
        <v>10401</v>
      </c>
      <c r="B11" s="1" t="s">
        <v>19</v>
      </c>
      <c r="C11" s="4">
        <v>10.666666666666666</v>
      </c>
      <c r="D11" s="4">
        <v>8.6666666666666661</v>
      </c>
    </row>
    <row r="12" spans="1:4" x14ac:dyDescent="0.3">
      <c r="A12" s="1">
        <v>10402</v>
      </c>
      <c r="B12" s="1" t="s">
        <v>18</v>
      </c>
      <c r="C12" s="4">
        <v>13.333333333333334</v>
      </c>
      <c r="D12" s="4">
        <v>10</v>
      </c>
    </row>
    <row r="13" spans="1:4" x14ac:dyDescent="0.3">
      <c r="A13" s="1">
        <v>10403</v>
      </c>
      <c r="B13" s="1" t="s">
        <v>21</v>
      </c>
      <c r="C13" s="4">
        <v>22.333333333333332</v>
      </c>
      <c r="D13" s="4">
        <v>8</v>
      </c>
    </row>
    <row r="14" spans="1:4" x14ac:dyDescent="0.3">
      <c r="A14" s="1">
        <v>10404</v>
      </c>
      <c r="B14" s="1" t="s">
        <v>23</v>
      </c>
      <c r="C14" s="4">
        <v>10.333333333333334</v>
      </c>
      <c r="D14" s="4">
        <v>1.6666666666666667</v>
      </c>
    </row>
    <row r="15" spans="1:4" x14ac:dyDescent="0.3">
      <c r="A15" s="1">
        <v>10405</v>
      </c>
      <c r="B15" s="1" t="s">
        <v>24</v>
      </c>
      <c r="C15" s="4">
        <v>3.6666666666666665</v>
      </c>
      <c r="D15" s="4">
        <v>1</v>
      </c>
    </row>
    <row r="16" spans="1:4" x14ac:dyDescent="0.3">
      <c r="A16" s="1">
        <v>10501</v>
      </c>
      <c r="B16" s="1" t="s">
        <v>26</v>
      </c>
      <c r="C16" s="4">
        <v>67</v>
      </c>
      <c r="D16" s="4">
        <v>22</v>
      </c>
    </row>
    <row r="17" spans="1:4" x14ac:dyDescent="0.3">
      <c r="A17" s="1">
        <v>10502</v>
      </c>
      <c r="B17" s="1" t="s">
        <v>477</v>
      </c>
      <c r="C17" s="4">
        <v>45.666666666666664</v>
      </c>
      <c r="D17" s="4">
        <v>13.333333333333334</v>
      </c>
    </row>
    <row r="18" spans="1:4" x14ac:dyDescent="0.3">
      <c r="A18" s="1">
        <v>10601</v>
      </c>
      <c r="B18" s="1" t="s">
        <v>29</v>
      </c>
      <c r="C18" s="4">
        <v>47.666666666666664</v>
      </c>
      <c r="D18" s="4">
        <v>30</v>
      </c>
    </row>
    <row r="19" spans="1:4" x14ac:dyDescent="0.3">
      <c r="A19" s="1">
        <v>10602</v>
      </c>
      <c r="B19" s="1" t="s">
        <v>28</v>
      </c>
      <c r="C19" s="4">
        <v>23</v>
      </c>
      <c r="D19" s="4">
        <v>11</v>
      </c>
    </row>
    <row r="20" spans="1:4" x14ac:dyDescent="0.3">
      <c r="A20" s="1">
        <v>10701</v>
      </c>
      <c r="B20" s="1" t="s">
        <v>31</v>
      </c>
      <c r="C20" s="4">
        <v>46</v>
      </c>
      <c r="D20" s="4">
        <v>21.333333333333332</v>
      </c>
    </row>
    <row r="21" spans="1:4" x14ac:dyDescent="0.3">
      <c r="A21" s="1">
        <v>10702</v>
      </c>
      <c r="B21" s="1" t="s">
        <v>32</v>
      </c>
      <c r="C21" s="4">
        <v>154.66666666666666</v>
      </c>
      <c r="D21" s="4">
        <v>77</v>
      </c>
    </row>
    <row r="22" spans="1:4" x14ac:dyDescent="0.3">
      <c r="A22" s="1">
        <v>10703</v>
      </c>
      <c r="B22" s="1" t="s">
        <v>33</v>
      </c>
      <c r="C22" s="4">
        <v>96</v>
      </c>
      <c r="D22" s="4">
        <v>30.333333333333332</v>
      </c>
    </row>
    <row r="23" spans="1:4" x14ac:dyDescent="0.3">
      <c r="A23" s="1">
        <v>10704</v>
      </c>
      <c r="B23" s="1" t="s">
        <v>34</v>
      </c>
      <c r="C23" s="4">
        <v>21.666666666666668</v>
      </c>
      <c r="D23" s="4">
        <v>36.333333333333336</v>
      </c>
    </row>
    <row r="24" spans="1:4" x14ac:dyDescent="0.3">
      <c r="A24" s="1">
        <v>10801</v>
      </c>
      <c r="B24" s="1" t="s">
        <v>36</v>
      </c>
      <c r="C24" s="4">
        <v>24</v>
      </c>
      <c r="D24" s="4">
        <v>5.333333333333333</v>
      </c>
    </row>
    <row r="25" spans="1:4" x14ac:dyDescent="0.3">
      <c r="A25" s="1">
        <v>10901</v>
      </c>
      <c r="B25" s="1" t="s">
        <v>38</v>
      </c>
      <c r="C25" s="4">
        <v>5.333333333333333</v>
      </c>
      <c r="D25" s="4">
        <v>2.3333333333333335</v>
      </c>
    </row>
    <row r="26" spans="1:4" x14ac:dyDescent="0.3">
      <c r="A26" s="1">
        <v>10902</v>
      </c>
      <c r="B26" s="1" t="s">
        <v>39</v>
      </c>
      <c r="C26" s="4">
        <v>65</v>
      </c>
      <c r="D26" s="4">
        <v>26.333333333333332</v>
      </c>
    </row>
    <row r="27" spans="1:4" x14ac:dyDescent="0.3">
      <c r="A27" s="1">
        <v>10903</v>
      </c>
      <c r="B27" s="1" t="s">
        <v>40</v>
      </c>
      <c r="C27" s="4">
        <v>4</v>
      </c>
      <c r="D27" s="4">
        <v>1</v>
      </c>
    </row>
    <row r="28" spans="1:4" x14ac:dyDescent="0.3">
      <c r="A28" s="1">
        <v>11001</v>
      </c>
      <c r="B28" s="1" t="s">
        <v>42</v>
      </c>
      <c r="C28" s="4">
        <v>14.666666666666666</v>
      </c>
      <c r="D28" s="4">
        <v>11.666666666666666</v>
      </c>
    </row>
    <row r="29" spans="1:4" x14ac:dyDescent="0.3">
      <c r="A29" s="1">
        <v>11002</v>
      </c>
      <c r="B29" s="1" t="s">
        <v>478</v>
      </c>
      <c r="C29" s="4">
        <v>9</v>
      </c>
      <c r="D29" s="4">
        <v>1.6666666666666667</v>
      </c>
    </row>
    <row r="30" spans="1:4" x14ac:dyDescent="0.3">
      <c r="A30" s="1">
        <v>11003</v>
      </c>
      <c r="B30" s="1" t="s">
        <v>44</v>
      </c>
      <c r="C30" s="4">
        <v>25.666666666666668</v>
      </c>
      <c r="D30" s="4">
        <v>8.3333333333333339</v>
      </c>
    </row>
    <row r="31" spans="1:4" x14ac:dyDescent="0.3">
      <c r="A31" s="1">
        <v>20101</v>
      </c>
      <c r="B31" s="1" t="s">
        <v>48</v>
      </c>
      <c r="C31" s="4">
        <v>1431.6666666666667</v>
      </c>
      <c r="D31" s="4">
        <v>495.66666666666669</v>
      </c>
    </row>
    <row r="32" spans="1:4" x14ac:dyDescent="0.3">
      <c r="A32" s="1">
        <v>20102</v>
      </c>
      <c r="B32" s="1" t="s">
        <v>49</v>
      </c>
      <c r="C32" s="4">
        <v>54.666666666666664</v>
      </c>
      <c r="D32" s="4">
        <v>34.666666666666664</v>
      </c>
    </row>
    <row r="33" spans="1:4" x14ac:dyDescent="0.3">
      <c r="A33" s="1">
        <v>20103</v>
      </c>
      <c r="B33" s="1" t="s">
        <v>50</v>
      </c>
      <c r="C33" s="4">
        <v>36.666666666666664</v>
      </c>
      <c r="D33" s="4">
        <v>18.666666666666668</v>
      </c>
    </row>
    <row r="34" spans="1:4" x14ac:dyDescent="0.3">
      <c r="A34" s="1">
        <v>20104</v>
      </c>
      <c r="B34" s="1" t="s">
        <v>51</v>
      </c>
      <c r="C34" s="4">
        <v>57</v>
      </c>
      <c r="D34" s="4">
        <v>28.333333333333332</v>
      </c>
    </row>
    <row r="35" spans="1:4" x14ac:dyDescent="0.3">
      <c r="A35" s="1">
        <v>20105</v>
      </c>
      <c r="B35" s="1" t="s">
        <v>52</v>
      </c>
      <c r="C35" s="4">
        <v>2002</v>
      </c>
      <c r="D35" s="4">
        <v>809.66666666666663</v>
      </c>
    </row>
    <row r="36" spans="1:4" x14ac:dyDescent="0.3">
      <c r="A36" s="1">
        <v>20201</v>
      </c>
      <c r="B36" s="1" t="s">
        <v>54</v>
      </c>
      <c r="C36" s="4">
        <v>169</v>
      </c>
      <c r="D36" s="4">
        <v>34</v>
      </c>
    </row>
    <row r="37" spans="1:4" x14ac:dyDescent="0.3">
      <c r="A37" s="1">
        <v>20202</v>
      </c>
      <c r="B37" s="1" t="s">
        <v>55</v>
      </c>
      <c r="C37" s="4">
        <v>48</v>
      </c>
      <c r="D37" s="4">
        <v>12.333333333333334</v>
      </c>
    </row>
    <row r="38" spans="1:4" x14ac:dyDescent="0.3">
      <c r="A38" s="1">
        <v>20203</v>
      </c>
      <c r="B38" s="1" t="s">
        <v>56</v>
      </c>
      <c r="C38" s="4">
        <v>4.666666666666667</v>
      </c>
      <c r="D38" s="4">
        <v>1.6666666666666667</v>
      </c>
    </row>
    <row r="39" spans="1:4" x14ac:dyDescent="0.3">
      <c r="A39" s="1">
        <v>20204</v>
      </c>
      <c r="B39" s="1" t="s">
        <v>57</v>
      </c>
      <c r="C39" s="4">
        <v>8.6666666666666661</v>
      </c>
      <c r="D39" s="4">
        <v>4</v>
      </c>
    </row>
    <row r="40" spans="1:4" x14ac:dyDescent="0.3">
      <c r="A40" s="1">
        <v>20205</v>
      </c>
      <c r="B40" s="1" t="s">
        <v>58</v>
      </c>
      <c r="C40" s="4">
        <v>5.333333333333333</v>
      </c>
      <c r="D40" s="4">
        <v>3</v>
      </c>
    </row>
    <row r="41" spans="1:4" x14ac:dyDescent="0.3">
      <c r="A41" s="1">
        <v>20206</v>
      </c>
      <c r="B41" s="1" t="s">
        <v>59</v>
      </c>
      <c r="C41" s="4">
        <v>0.33333333333333331</v>
      </c>
      <c r="D41" s="4">
        <v>0.66666666666666663</v>
      </c>
    </row>
    <row r="42" spans="1:4" x14ac:dyDescent="0.3">
      <c r="A42" s="1">
        <v>20301</v>
      </c>
      <c r="B42" s="1" t="s">
        <v>61</v>
      </c>
      <c r="C42" s="4">
        <v>42.333333333333336</v>
      </c>
      <c r="D42" s="4">
        <v>15.666666666666666</v>
      </c>
    </row>
    <row r="43" spans="1:4" x14ac:dyDescent="0.3">
      <c r="A43" s="1">
        <v>20302</v>
      </c>
      <c r="B43" s="1" t="s">
        <v>62</v>
      </c>
      <c r="C43" s="4">
        <v>33</v>
      </c>
      <c r="D43" s="4">
        <v>11</v>
      </c>
    </row>
    <row r="44" spans="1:4" x14ac:dyDescent="0.3">
      <c r="A44" s="1">
        <v>20303</v>
      </c>
      <c r="B44" s="1" t="s">
        <v>63</v>
      </c>
      <c r="C44" s="4">
        <v>24.666666666666668</v>
      </c>
      <c r="D44" s="4">
        <v>5.666666666666667</v>
      </c>
    </row>
    <row r="45" spans="1:4" x14ac:dyDescent="0.3">
      <c r="A45" s="1">
        <v>20304</v>
      </c>
      <c r="B45" s="1" t="s">
        <v>64</v>
      </c>
      <c r="C45" s="4">
        <v>16</v>
      </c>
      <c r="D45" s="4">
        <v>3</v>
      </c>
    </row>
    <row r="46" spans="1:4" x14ac:dyDescent="0.3">
      <c r="A46" s="1">
        <v>20305</v>
      </c>
      <c r="B46" s="1" t="s">
        <v>65</v>
      </c>
      <c r="C46" s="4">
        <v>6</v>
      </c>
      <c r="D46" s="4">
        <v>2.6666666666666665</v>
      </c>
    </row>
    <row r="47" spans="1:4" x14ac:dyDescent="0.3">
      <c r="A47" s="1">
        <v>20306</v>
      </c>
      <c r="B47" s="1" t="s">
        <v>479</v>
      </c>
      <c r="C47" s="4">
        <v>4.333333333333333</v>
      </c>
      <c r="D47" s="4">
        <v>3.6666666666666665</v>
      </c>
    </row>
    <row r="48" spans="1:4" x14ac:dyDescent="0.3">
      <c r="A48" s="1">
        <v>20307</v>
      </c>
      <c r="B48" s="1" t="s">
        <v>67</v>
      </c>
      <c r="C48" s="4">
        <v>4</v>
      </c>
      <c r="D48" s="4">
        <v>1.3333333333333333</v>
      </c>
    </row>
    <row r="49" spans="1:4" x14ac:dyDescent="0.3">
      <c r="A49" s="1">
        <v>20308</v>
      </c>
      <c r="B49" s="1" t="s">
        <v>68</v>
      </c>
      <c r="C49" s="4">
        <v>25.666666666666668</v>
      </c>
      <c r="D49" s="4">
        <v>5.666666666666667</v>
      </c>
    </row>
    <row r="50" spans="1:4" x14ac:dyDescent="0.3">
      <c r="A50" s="1">
        <v>20401</v>
      </c>
      <c r="B50" s="1" t="s">
        <v>70</v>
      </c>
      <c r="C50" s="4">
        <v>67.666666666666671</v>
      </c>
      <c r="D50" s="4">
        <v>10.333333333333334</v>
      </c>
    </row>
    <row r="51" spans="1:4" x14ac:dyDescent="0.3">
      <c r="A51" s="1">
        <v>20402</v>
      </c>
      <c r="B51" s="1" t="s">
        <v>71</v>
      </c>
      <c r="C51" s="4">
        <v>58</v>
      </c>
      <c r="D51" s="4">
        <v>24</v>
      </c>
    </row>
    <row r="52" spans="1:4" x14ac:dyDescent="0.3">
      <c r="A52" s="1">
        <v>20403</v>
      </c>
      <c r="B52" s="1" t="s">
        <v>72</v>
      </c>
      <c r="C52" s="4">
        <v>52.333333333333336</v>
      </c>
      <c r="D52" s="4">
        <v>14</v>
      </c>
    </row>
    <row r="53" spans="1:4" x14ac:dyDescent="0.3">
      <c r="A53" s="1">
        <v>20404</v>
      </c>
      <c r="B53" s="1" t="s">
        <v>74</v>
      </c>
      <c r="C53" s="4">
        <v>11.333333333333334</v>
      </c>
      <c r="D53" s="4">
        <v>12.666666666666666</v>
      </c>
    </row>
    <row r="54" spans="1:4" x14ac:dyDescent="0.3">
      <c r="A54" s="1">
        <v>20405</v>
      </c>
      <c r="B54" s="1" t="s">
        <v>75</v>
      </c>
      <c r="C54" s="4">
        <v>7</v>
      </c>
      <c r="D54" s="4">
        <v>6.333333333333333</v>
      </c>
    </row>
    <row r="55" spans="1:4" x14ac:dyDescent="0.3">
      <c r="A55" s="1">
        <v>20501</v>
      </c>
      <c r="B55" s="1" t="s">
        <v>77</v>
      </c>
      <c r="C55" s="4">
        <v>48.333333333333336</v>
      </c>
      <c r="D55" s="4">
        <v>11.333333333333334</v>
      </c>
    </row>
    <row r="56" spans="1:4" x14ac:dyDescent="0.3">
      <c r="A56" s="1">
        <v>20502</v>
      </c>
      <c r="B56" s="1" t="s">
        <v>78</v>
      </c>
      <c r="C56" s="4">
        <v>40</v>
      </c>
      <c r="D56" s="4">
        <v>10.333333333333334</v>
      </c>
    </row>
    <row r="57" spans="1:4" x14ac:dyDescent="0.3">
      <c r="A57" s="1">
        <v>20503</v>
      </c>
      <c r="B57" s="1" t="s">
        <v>79</v>
      </c>
      <c r="C57" s="4">
        <v>11.666666666666666</v>
      </c>
      <c r="D57" s="4">
        <v>9.3333333333333339</v>
      </c>
    </row>
    <row r="58" spans="1:4" x14ac:dyDescent="0.3">
      <c r="A58" s="1">
        <v>20601</v>
      </c>
      <c r="B58" s="1" t="s">
        <v>81</v>
      </c>
      <c r="C58" s="4">
        <v>64</v>
      </c>
      <c r="D58" s="4">
        <v>26.666666666666668</v>
      </c>
    </row>
    <row r="59" spans="1:4" x14ac:dyDescent="0.3">
      <c r="A59" s="1">
        <v>20602</v>
      </c>
      <c r="B59" s="1" t="s">
        <v>82</v>
      </c>
      <c r="C59" s="4">
        <v>57</v>
      </c>
      <c r="D59" s="4">
        <v>34.666666666666664</v>
      </c>
    </row>
    <row r="60" spans="1:4" x14ac:dyDescent="0.3">
      <c r="A60" s="1">
        <v>20603</v>
      </c>
      <c r="B60" s="1" t="s">
        <v>83</v>
      </c>
      <c r="C60" s="4">
        <v>28</v>
      </c>
      <c r="D60" s="4">
        <v>7.333333333333333</v>
      </c>
    </row>
    <row r="61" spans="1:4" x14ac:dyDescent="0.3">
      <c r="A61" s="1">
        <v>20604</v>
      </c>
      <c r="B61" s="1" t="s">
        <v>84</v>
      </c>
      <c r="C61" s="4">
        <v>7</v>
      </c>
      <c r="D61" s="4">
        <v>5</v>
      </c>
    </row>
    <row r="62" spans="1:4" x14ac:dyDescent="0.3">
      <c r="A62" s="1">
        <v>20605</v>
      </c>
      <c r="B62" s="1" t="s">
        <v>85</v>
      </c>
      <c r="C62" s="4">
        <v>5.333333333333333</v>
      </c>
      <c r="D62" s="4">
        <v>7.333333333333333</v>
      </c>
    </row>
    <row r="63" spans="1:4" x14ac:dyDescent="0.3">
      <c r="A63" s="1">
        <v>20606</v>
      </c>
      <c r="B63" s="1" t="s">
        <v>86</v>
      </c>
      <c r="C63" s="4">
        <v>30</v>
      </c>
      <c r="D63" s="4">
        <v>7</v>
      </c>
    </row>
    <row r="64" spans="1:4" x14ac:dyDescent="0.3">
      <c r="A64" s="1">
        <v>20607</v>
      </c>
      <c r="B64" s="1" t="s">
        <v>87</v>
      </c>
      <c r="C64" s="4">
        <v>62.333333333333336</v>
      </c>
      <c r="D64" s="4">
        <v>47</v>
      </c>
    </row>
    <row r="65" spans="1:4" x14ac:dyDescent="0.3">
      <c r="A65" s="1">
        <v>20608</v>
      </c>
      <c r="B65" s="1" t="s">
        <v>88</v>
      </c>
      <c r="C65" s="4">
        <v>41.666666666666664</v>
      </c>
      <c r="D65" s="4">
        <v>18.333333333333332</v>
      </c>
    </row>
    <row r="66" spans="1:4" x14ac:dyDescent="0.3">
      <c r="A66" s="1">
        <v>20701</v>
      </c>
      <c r="B66" s="1" t="s">
        <v>90</v>
      </c>
      <c r="C66" s="4">
        <v>79</v>
      </c>
      <c r="D66" s="4">
        <v>53.333333333333336</v>
      </c>
    </row>
    <row r="67" spans="1:4" x14ac:dyDescent="0.3">
      <c r="A67" s="1">
        <v>20702</v>
      </c>
      <c r="B67" s="1" t="s">
        <v>91</v>
      </c>
      <c r="C67" s="4">
        <v>14.333333333333334</v>
      </c>
      <c r="D67" s="4">
        <v>4.333333333333333</v>
      </c>
    </row>
    <row r="68" spans="1:4" x14ac:dyDescent="0.3">
      <c r="A68" s="1">
        <v>20801</v>
      </c>
      <c r="B68" s="1" t="s">
        <v>93</v>
      </c>
      <c r="C68" s="4">
        <v>138.66666666666666</v>
      </c>
      <c r="D68" s="4">
        <v>67.333333333333329</v>
      </c>
    </row>
    <row r="69" spans="1:4" x14ac:dyDescent="0.3">
      <c r="A69" s="1">
        <v>20802</v>
      </c>
      <c r="B69" s="1" t="s">
        <v>94</v>
      </c>
      <c r="C69" s="4">
        <v>30.333333333333332</v>
      </c>
      <c r="D69" s="4">
        <v>3.6666666666666665</v>
      </c>
    </row>
    <row r="70" spans="1:4" x14ac:dyDescent="0.3">
      <c r="A70" s="1">
        <v>20803</v>
      </c>
      <c r="B70" s="1" t="s">
        <v>96</v>
      </c>
      <c r="C70" s="4">
        <v>35.666666666666664</v>
      </c>
      <c r="D70" s="4">
        <v>11</v>
      </c>
    </row>
    <row r="71" spans="1:4" x14ac:dyDescent="0.3">
      <c r="A71" s="1">
        <v>20804</v>
      </c>
      <c r="B71" s="1" t="s">
        <v>97</v>
      </c>
      <c r="C71" s="4">
        <v>7.666666666666667</v>
      </c>
      <c r="D71" s="4">
        <v>4.333333333333333</v>
      </c>
    </row>
    <row r="72" spans="1:4" x14ac:dyDescent="0.3">
      <c r="A72" s="1">
        <v>20805</v>
      </c>
      <c r="B72" s="1" t="s">
        <v>98</v>
      </c>
      <c r="C72" s="4">
        <v>15.333333333333334</v>
      </c>
      <c r="D72" s="4">
        <v>5</v>
      </c>
    </row>
    <row r="73" spans="1:4" x14ac:dyDescent="0.3">
      <c r="A73" s="1">
        <v>20806</v>
      </c>
      <c r="B73" s="1" t="s">
        <v>99</v>
      </c>
      <c r="C73" s="4">
        <v>42.666666666666664</v>
      </c>
      <c r="D73" s="4">
        <v>14.333333333333334</v>
      </c>
    </row>
    <row r="74" spans="1:4" x14ac:dyDescent="0.3">
      <c r="A74" s="1">
        <v>20807</v>
      </c>
      <c r="B74" s="1" t="s">
        <v>100</v>
      </c>
      <c r="C74" s="4">
        <v>17.666666666666668</v>
      </c>
      <c r="D74" s="4">
        <v>3.6666666666666665</v>
      </c>
    </row>
    <row r="75" spans="1:4" x14ac:dyDescent="0.3">
      <c r="A75" s="1">
        <v>20901</v>
      </c>
      <c r="B75" s="1" t="s">
        <v>102</v>
      </c>
      <c r="C75" s="4">
        <v>32</v>
      </c>
      <c r="D75" s="4">
        <v>12.666666666666666</v>
      </c>
    </row>
    <row r="76" spans="1:4" x14ac:dyDescent="0.3">
      <c r="A76" s="1">
        <v>20902</v>
      </c>
      <c r="B76" s="1" t="s">
        <v>103</v>
      </c>
      <c r="C76" s="4">
        <v>31.333333333333332</v>
      </c>
      <c r="D76" s="4">
        <v>14.666666666666666</v>
      </c>
    </row>
    <row r="77" spans="1:4" x14ac:dyDescent="0.3">
      <c r="A77" s="1">
        <v>20903</v>
      </c>
      <c r="B77" s="1" t="s">
        <v>104</v>
      </c>
      <c r="C77" s="4">
        <v>27</v>
      </c>
      <c r="D77" s="4">
        <v>10</v>
      </c>
    </row>
    <row r="78" spans="1:4" x14ac:dyDescent="0.3">
      <c r="A78" s="1">
        <v>20904</v>
      </c>
      <c r="B78" s="1" t="s">
        <v>105</v>
      </c>
      <c r="C78" s="4">
        <v>3.3333333333333335</v>
      </c>
      <c r="D78" s="4">
        <v>0.33333333333333331</v>
      </c>
    </row>
    <row r="79" spans="1:4" x14ac:dyDescent="0.3">
      <c r="A79" s="1">
        <v>20905</v>
      </c>
      <c r="B79" s="1" t="s">
        <v>106</v>
      </c>
      <c r="C79" s="4">
        <v>42</v>
      </c>
      <c r="D79" s="4">
        <v>25</v>
      </c>
    </row>
    <row r="80" spans="1:4" x14ac:dyDescent="0.3">
      <c r="A80" s="1">
        <v>21001</v>
      </c>
      <c r="B80" s="1" t="s">
        <v>107</v>
      </c>
      <c r="C80" s="4">
        <v>59</v>
      </c>
      <c r="D80" s="4">
        <v>26.666666666666668</v>
      </c>
    </row>
    <row r="81" spans="1:4" x14ac:dyDescent="0.3">
      <c r="A81" s="1">
        <v>21002</v>
      </c>
      <c r="B81" s="1" t="s">
        <v>108</v>
      </c>
      <c r="C81" s="4">
        <v>13.666666666666666</v>
      </c>
      <c r="D81" s="4">
        <v>5.666666666666667</v>
      </c>
    </row>
    <row r="82" spans="1:4" x14ac:dyDescent="0.3">
      <c r="A82" s="1">
        <v>21003</v>
      </c>
      <c r="B82" s="1" t="s">
        <v>109</v>
      </c>
      <c r="C82" s="4">
        <v>32</v>
      </c>
      <c r="D82" s="4">
        <v>25.333333333333332</v>
      </c>
    </row>
    <row r="83" spans="1:4" x14ac:dyDescent="0.3">
      <c r="A83" s="1">
        <v>21004</v>
      </c>
      <c r="B83" s="1" t="s">
        <v>110</v>
      </c>
      <c r="C83" s="4">
        <v>75.333333333333329</v>
      </c>
      <c r="D83" s="4">
        <v>28.666666666666668</v>
      </c>
    </row>
    <row r="84" spans="1:4" x14ac:dyDescent="0.3">
      <c r="A84" s="1">
        <v>21005</v>
      </c>
      <c r="B84" s="1" t="s">
        <v>111</v>
      </c>
      <c r="C84" s="4">
        <v>21.333333333333332</v>
      </c>
      <c r="D84" s="4">
        <v>10.333333333333334</v>
      </c>
    </row>
    <row r="85" spans="1:4" x14ac:dyDescent="0.3">
      <c r="A85" s="1">
        <v>21006</v>
      </c>
      <c r="B85" s="1" t="s">
        <v>112</v>
      </c>
      <c r="C85" s="4">
        <v>9.3333333333333339</v>
      </c>
      <c r="D85" s="4">
        <v>2.6666666666666665</v>
      </c>
    </row>
    <row r="86" spans="1:4" x14ac:dyDescent="0.3">
      <c r="A86" s="1">
        <v>21101</v>
      </c>
      <c r="B86" s="1" t="s">
        <v>114</v>
      </c>
      <c r="C86" s="4">
        <v>56</v>
      </c>
      <c r="D86" s="4">
        <v>21.666666666666668</v>
      </c>
    </row>
    <row r="87" spans="1:4" x14ac:dyDescent="0.3">
      <c r="A87" s="1">
        <v>21102</v>
      </c>
      <c r="B87" s="1" t="s">
        <v>116</v>
      </c>
      <c r="C87" s="4">
        <v>49</v>
      </c>
      <c r="D87" s="4">
        <v>26</v>
      </c>
    </row>
    <row r="88" spans="1:4" x14ac:dyDescent="0.3">
      <c r="A88" s="1">
        <v>21103</v>
      </c>
      <c r="B88" s="1" t="s">
        <v>118</v>
      </c>
      <c r="C88" s="4">
        <v>10</v>
      </c>
      <c r="D88" s="4">
        <v>5</v>
      </c>
    </row>
    <row r="89" spans="1:4" x14ac:dyDescent="0.3">
      <c r="A89" s="1">
        <v>21104</v>
      </c>
      <c r="B89" s="1" t="s">
        <v>119</v>
      </c>
      <c r="C89" s="4">
        <v>107.66666666666667</v>
      </c>
      <c r="D89" s="4">
        <v>52.666666666666664</v>
      </c>
    </row>
    <row r="90" spans="1:4" x14ac:dyDescent="0.3">
      <c r="A90" s="1">
        <v>21105</v>
      </c>
      <c r="B90" s="1" t="s">
        <v>120</v>
      </c>
      <c r="C90" s="4">
        <v>142.66666666666666</v>
      </c>
      <c r="D90" s="4">
        <v>89</v>
      </c>
    </row>
    <row r="91" spans="1:4" x14ac:dyDescent="0.3">
      <c r="A91" s="1">
        <v>21201</v>
      </c>
      <c r="B91" s="1" t="s">
        <v>122</v>
      </c>
      <c r="C91" s="4">
        <v>118</v>
      </c>
      <c r="D91" s="4">
        <v>33.666666666666664</v>
      </c>
    </row>
    <row r="92" spans="1:4" x14ac:dyDescent="0.3">
      <c r="A92" s="1">
        <v>21202</v>
      </c>
      <c r="B92" s="1" t="s">
        <v>123</v>
      </c>
      <c r="C92" s="4">
        <v>45</v>
      </c>
      <c r="D92" s="4">
        <v>26.333333333333332</v>
      </c>
    </row>
    <row r="93" spans="1:4" x14ac:dyDescent="0.3">
      <c r="A93" s="1">
        <v>21203</v>
      </c>
      <c r="B93" s="1" t="s">
        <v>124</v>
      </c>
      <c r="C93" s="4">
        <v>77</v>
      </c>
      <c r="D93" s="4">
        <v>20</v>
      </c>
    </row>
    <row r="94" spans="1:4" x14ac:dyDescent="0.3">
      <c r="A94" s="1">
        <v>21204</v>
      </c>
      <c r="B94" s="1" t="s">
        <v>125</v>
      </c>
      <c r="C94" s="4">
        <v>21.333333333333332</v>
      </c>
      <c r="D94" s="4">
        <v>4.333333333333333</v>
      </c>
    </row>
    <row r="95" spans="1:4" x14ac:dyDescent="0.3">
      <c r="A95" s="1">
        <v>21301</v>
      </c>
      <c r="B95" s="1" t="s">
        <v>480</v>
      </c>
      <c r="C95" s="4">
        <v>61.666666666666664</v>
      </c>
      <c r="D95" s="4">
        <v>18.333333333333332</v>
      </c>
    </row>
    <row r="96" spans="1:4" x14ac:dyDescent="0.3">
      <c r="A96" s="1">
        <v>21302</v>
      </c>
      <c r="B96" s="1" t="s">
        <v>128</v>
      </c>
      <c r="C96" s="4">
        <v>42</v>
      </c>
      <c r="D96" s="4">
        <v>14</v>
      </c>
    </row>
    <row r="97" spans="1:4" x14ac:dyDescent="0.3">
      <c r="A97" s="1">
        <v>21303</v>
      </c>
      <c r="B97" s="1" t="s">
        <v>129</v>
      </c>
      <c r="C97" s="4">
        <v>30.666666666666668</v>
      </c>
      <c r="D97" s="4">
        <v>12.666666666666666</v>
      </c>
    </row>
    <row r="98" spans="1:4" x14ac:dyDescent="0.3">
      <c r="A98" s="1">
        <v>21304</v>
      </c>
      <c r="B98" s="1" t="s">
        <v>130</v>
      </c>
      <c r="C98" s="4">
        <v>53.333333333333336</v>
      </c>
      <c r="D98" s="4">
        <v>29.333333333333332</v>
      </c>
    </row>
    <row r="99" spans="1:4" x14ac:dyDescent="0.3">
      <c r="A99" s="1">
        <v>21305</v>
      </c>
      <c r="B99" s="1" t="s">
        <v>131</v>
      </c>
      <c r="C99" s="4">
        <v>91.666666666666671</v>
      </c>
      <c r="D99" s="4">
        <v>26.666666666666668</v>
      </c>
    </row>
    <row r="100" spans="1:4" x14ac:dyDescent="0.3">
      <c r="A100" s="1">
        <v>21306</v>
      </c>
      <c r="B100" s="1" t="s">
        <v>132</v>
      </c>
      <c r="C100" s="4">
        <v>30.333333333333332</v>
      </c>
      <c r="D100" s="4">
        <v>13.333333333333334</v>
      </c>
    </row>
    <row r="101" spans="1:4" x14ac:dyDescent="0.3">
      <c r="A101" s="1">
        <v>21307</v>
      </c>
      <c r="B101" s="1" t="s">
        <v>133</v>
      </c>
      <c r="C101" s="4">
        <v>2.6666666666666665</v>
      </c>
      <c r="D101" s="4">
        <v>1.6666666666666667</v>
      </c>
    </row>
    <row r="102" spans="1:4" x14ac:dyDescent="0.3">
      <c r="A102" s="1">
        <v>21401</v>
      </c>
      <c r="B102" s="1" t="s">
        <v>135</v>
      </c>
      <c r="C102" s="4">
        <v>58</v>
      </c>
      <c r="D102" s="4">
        <v>22.333333333333332</v>
      </c>
    </row>
    <row r="103" spans="1:4" x14ac:dyDescent="0.3">
      <c r="A103" s="1">
        <v>21402</v>
      </c>
      <c r="B103" s="1" t="s">
        <v>136</v>
      </c>
      <c r="C103" s="4">
        <v>32</v>
      </c>
      <c r="D103" s="4">
        <v>16.333333333333332</v>
      </c>
    </row>
    <row r="104" spans="1:4" x14ac:dyDescent="0.3">
      <c r="A104" s="1">
        <v>21501</v>
      </c>
      <c r="B104" s="1" t="s">
        <v>138</v>
      </c>
      <c r="C104" s="4">
        <v>48</v>
      </c>
      <c r="D104" s="4">
        <v>28.666666666666668</v>
      </c>
    </row>
    <row r="105" spans="1:4" x14ac:dyDescent="0.3">
      <c r="A105" s="1">
        <v>21502</v>
      </c>
      <c r="B105" s="1" t="s">
        <v>139</v>
      </c>
      <c r="C105" s="4">
        <v>27.333333333333332</v>
      </c>
      <c r="D105" s="4">
        <v>21</v>
      </c>
    </row>
    <row r="106" spans="1:4" x14ac:dyDescent="0.3">
      <c r="A106" s="1">
        <v>21601</v>
      </c>
      <c r="B106" s="1" t="s">
        <v>481</v>
      </c>
      <c r="C106" s="4">
        <v>43.333333333333336</v>
      </c>
      <c r="D106" s="4">
        <v>16.666666666666668</v>
      </c>
    </row>
    <row r="107" spans="1:4" x14ac:dyDescent="0.3">
      <c r="A107" s="1">
        <v>21602</v>
      </c>
      <c r="B107" s="1" t="s">
        <v>142</v>
      </c>
      <c r="C107" s="4">
        <v>3</v>
      </c>
      <c r="D107" s="4">
        <v>1.6666666666666667</v>
      </c>
    </row>
    <row r="108" spans="1:4" x14ac:dyDescent="0.3">
      <c r="A108" s="1">
        <v>21701</v>
      </c>
      <c r="B108" s="1" t="s">
        <v>144</v>
      </c>
      <c r="C108" s="4">
        <v>44</v>
      </c>
      <c r="D108" s="4">
        <v>11.666666666666666</v>
      </c>
    </row>
    <row r="109" spans="1:4" x14ac:dyDescent="0.3">
      <c r="A109" s="1">
        <v>21702</v>
      </c>
      <c r="B109" s="1" t="s">
        <v>145</v>
      </c>
      <c r="C109" s="4">
        <v>10</v>
      </c>
      <c r="D109" s="4">
        <v>2</v>
      </c>
    </row>
    <row r="110" spans="1:4" x14ac:dyDescent="0.3">
      <c r="A110" s="1">
        <v>21703</v>
      </c>
      <c r="B110" s="1" t="s">
        <v>146</v>
      </c>
      <c r="C110" s="4">
        <v>1</v>
      </c>
      <c r="D110" s="4">
        <v>0.66666666666666663</v>
      </c>
    </row>
    <row r="111" spans="1:4" x14ac:dyDescent="0.3">
      <c r="A111" s="1">
        <v>21801</v>
      </c>
      <c r="B111" s="1" t="s">
        <v>148</v>
      </c>
      <c r="C111" s="4">
        <v>14.666666666666666</v>
      </c>
      <c r="D111" s="4">
        <v>7.666666666666667</v>
      </c>
    </row>
    <row r="112" spans="1:4" x14ac:dyDescent="0.3">
      <c r="A112" s="1">
        <v>21802</v>
      </c>
      <c r="B112" s="1" t="s">
        <v>150</v>
      </c>
      <c r="C112" s="4">
        <v>17.333333333333332</v>
      </c>
      <c r="D112" s="4">
        <v>4</v>
      </c>
    </row>
    <row r="113" spans="1:4" x14ac:dyDescent="0.3">
      <c r="A113" s="1">
        <v>21803</v>
      </c>
      <c r="B113" s="1" t="s">
        <v>151</v>
      </c>
      <c r="C113" s="4">
        <v>3.6666666666666665</v>
      </c>
      <c r="D113" s="4">
        <v>1.3333333333333333</v>
      </c>
    </row>
    <row r="114" spans="1:4" x14ac:dyDescent="0.3">
      <c r="A114" s="1">
        <v>21901</v>
      </c>
      <c r="B114" s="1" t="s">
        <v>153</v>
      </c>
      <c r="C114" s="4">
        <v>14.666666666666666</v>
      </c>
      <c r="D114" s="4">
        <v>6.333333333333333</v>
      </c>
    </row>
    <row r="115" spans="1:4" x14ac:dyDescent="0.3">
      <c r="A115" s="1">
        <v>21902</v>
      </c>
      <c r="B115" s="1" t="s">
        <v>154</v>
      </c>
      <c r="C115" s="4">
        <v>1.3333333333333333</v>
      </c>
      <c r="D115" s="4">
        <v>0.33333333333333331</v>
      </c>
    </row>
    <row r="116" spans="1:4" x14ac:dyDescent="0.3">
      <c r="A116" s="1">
        <v>22001</v>
      </c>
      <c r="B116" s="1" t="s">
        <v>155</v>
      </c>
      <c r="C116" s="4">
        <v>212</v>
      </c>
      <c r="D116" s="4">
        <v>94.666666666666671</v>
      </c>
    </row>
    <row r="117" spans="1:4" x14ac:dyDescent="0.3">
      <c r="A117" s="1">
        <v>22002</v>
      </c>
      <c r="B117" s="1" t="s">
        <v>156</v>
      </c>
      <c r="C117" s="4">
        <v>5.666666666666667</v>
      </c>
      <c r="D117" s="4">
        <v>13.666666666666666</v>
      </c>
    </row>
    <row r="118" spans="1:4" x14ac:dyDescent="0.3">
      <c r="A118" s="1">
        <v>30101</v>
      </c>
      <c r="B118" s="1" t="s">
        <v>157</v>
      </c>
      <c r="C118" s="4">
        <v>1521.6666666666667</v>
      </c>
      <c r="D118" s="4">
        <v>649.66666666666663</v>
      </c>
    </row>
    <row r="119" spans="1:4" x14ac:dyDescent="0.3">
      <c r="A119" s="1">
        <v>30201</v>
      </c>
      <c r="B119" s="1" t="s">
        <v>160</v>
      </c>
      <c r="C119" s="4">
        <v>74</v>
      </c>
      <c r="D119" s="4">
        <v>30.666666666666668</v>
      </c>
    </row>
    <row r="120" spans="1:4" x14ac:dyDescent="0.3">
      <c r="A120" s="1">
        <v>30202</v>
      </c>
      <c r="B120" s="1" t="s">
        <v>161</v>
      </c>
      <c r="C120" s="4">
        <v>10</v>
      </c>
      <c r="D120" s="4">
        <v>1.6666666666666667</v>
      </c>
    </row>
    <row r="121" spans="1:4" x14ac:dyDescent="0.3">
      <c r="A121" s="1">
        <v>30203</v>
      </c>
      <c r="B121" s="1" t="s">
        <v>162</v>
      </c>
      <c r="C121" s="4">
        <v>16.666666666666668</v>
      </c>
      <c r="D121" s="4">
        <v>4.333333333333333</v>
      </c>
    </row>
    <row r="122" spans="1:4" x14ac:dyDescent="0.3">
      <c r="A122" s="1">
        <v>30301</v>
      </c>
      <c r="B122" s="1" t="s">
        <v>163</v>
      </c>
      <c r="C122" s="4">
        <v>129.66666666666666</v>
      </c>
      <c r="D122" s="4">
        <v>39.333333333333336</v>
      </c>
    </row>
    <row r="123" spans="1:4" x14ac:dyDescent="0.3">
      <c r="A123" s="1">
        <v>30302</v>
      </c>
      <c r="B123" s="1" t="s">
        <v>165</v>
      </c>
      <c r="C123" s="4">
        <v>78</v>
      </c>
      <c r="D123" s="4">
        <v>14.666666666666666</v>
      </c>
    </row>
    <row r="124" spans="1:4" x14ac:dyDescent="0.3">
      <c r="A124" s="1">
        <v>30303</v>
      </c>
      <c r="B124" s="1" t="s">
        <v>166</v>
      </c>
      <c r="C124" s="4">
        <v>16.666666666666668</v>
      </c>
      <c r="D124" s="4">
        <v>33</v>
      </c>
    </row>
    <row r="125" spans="1:4" x14ac:dyDescent="0.3">
      <c r="A125" s="1">
        <v>30401</v>
      </c>
      <c r="B125" s="1" t="s">
        <v>168</v>
      </c>
      <c r="C125" s="4">
        <v>31.666666666666668</v>
      </c>
      <c r="D125" s="4">
        <v>14.333333333333334</v>
      </c>
    </row>
    <row r="126" spans="1:4" x14ac:dyDescent="0.3">
      <c r="A126" s="1">
        <v>30402</v>
      </c>
      <c r="B126" s="1" t="s">
        <v>169</v>
      </c>
      <c r="C126" s="4">
        <v>29.666666666666668</v>
      </c>
      <c r="D126" s="4">
        <v>9.6666666666666661</v>
      </c>
    </row>
    <row r="127" spans="1:4" x14ac:dyDescent="0.3">
      <c r="A127" s="1">
        <v>30403</v>
      </c>
      <c r="B127" s="1" t="s">
        <v>171</v>
      </c>
      <c r="C127" s="4">
        <v>31</v>
      </c>
      <c r="D127" s="4">
        <v>22.333333333333332</v>
      </c>
    </row>
    <row r="128" spans="1:4" x14ac:dyDescent="0.3">
      <c r="A128" s="1">
        <v>30404</v>
      </c>
      <c r="B128" s="1" t="s">
        <v>172</v>
      </c>
      <c r="C128" s="4">
        <v>19.666666666666668</v>
      </c>
      <c r="D128" s="4">
        <v>6.666666666666667</v>
      </c>
    </row>
    <row r="129" spans="1:4" x14ac:dyDescent="0.3">
      <c r="A129" s="1">
        <v>30501</v>
      </c>
      <c r="B129" s="1" t="s">
        <v>173</v>
      </c>
      <c r="C129" s="4">
        <v>28.666666666666668</v>
      </c>
      <c r="D129" s="4">
        <v>7.666666666666667</v>
      </c>
    </row>
    <row r="130" spans="1:4" x14ac:dyDescent="0.3">
      <c r="A130" s="1">
        <v>30502</v>
      </c>
      <c r="B130" s="1" t="s">
        <v>174</v>
      </c>
      <c r="C130" s="4">
        <v>44.666666666666664</v>
      </c>
      <c r="D130" s="4">
        <v>14.666666666666666</v>
      </c>
    </row>
    <row r="131" spans="1:4" x14ac:dyDescent="0.3">
      <c r="A131" s="1">
        <v>30601</v>
      </c>
      <c r="B131" s="1" t="s">
        <v>175</v>
      </c>
      <c r="C131" s="4">
        <v>51.666666666666664</v>
      </c>
      <c r="D131" s="4">
        <v>28.333333333333332</v>
      </c>
    </row>
    <row r="132" spans="1:4" x14ac:dyDescent="0.3">
      <c r="A132" s="1">
        <v>30602</v>
      </c>
      <c r="B132" s="1" t="s">
        <v>177</v>
      </c>
      <c r="C132" s="4">
        <v>47.333333333333336</v>
      </c>
      <c r="D132" s="4">
        <v>14.333333333333334</v>
      </c>
    </row>
    <row r="133" spans="1:4" x14ac:dyDescent="0.3">
      <c r="A133" s="1">
        <v>30701</v>
      </c>
      <c r="B133" s="1" t="s">
        <v>178</v>
      </c>
      <c r="C133" s="4">
        <v>79.666666666666671</v>
      </c>
      <c r="D133" s="4">
        <v>32</v>
      </c>
    </row>
    <row r="134" spans="1:4" x14ac:dyDescent="0.3">
      <c r="A134" s="1">
        <v>30702</v>
      </c>
      <c r="B134" s="1" t="s">
        <v>482</v>
      </c>
      <c r="C134" s="4">
        <v>15.666666666666666</v>
      </c>
      <c r="D134" s="4">
        <v>5.333333333333333</v>
      </c>
    </row>
    <row r="135" spans="1:4" x14ac:dyDescent="0.3">
      <c r="A135" s="1">
        <v>30703</v>
      </c>
      <c r="B135" s="1" t="s">
        <v>180</v>
      </c>
      <c r="C135" s="4">
        <v>10.666666666666666</v>
      </c>
      <c r="D135" s="4">
        <v>6</v>
      </c>
    </row>
    <row r="136" spans="1:4" x14ac:dyDescent="0.3">
      <c r="A136" s="1">
        <v>30801</v>
      </c>
      <c r="B136" s="1" t="s">
        <v>182</v>
      </c>
      <c r="C136" s="4">
        <v>59.333333333333336</v>
      </c>
      <c r="D136" s="4">
        <v>41.666666666666664</v>
      </c>
    </row>
    <row r="137" spans="1:4" x14ac:dyDescent="0.3">
      <c r="A137" s="1">
        <v>30802</v>
      </c>
      <c r="B137" s="1" t="s">
        <v>183</v>
      </c>
      <c r="C137" s="4">
        <v>17.333333333333332</v>
      </c>
      <c r="D137" s="4">
        <v>14</v>
      </c>
    </row>
    <row r="138" spans="1:4" x14ac:dyDescent="0.3">
      <c r="A138" s="1">
        <v>30803</v>
      </c>
      <c r="B138" s="1" t="s">
        <v>184</v>
      </c>
      <c r="C138" s="4">
        <v>9.3333333333333339</v>
      </c>
      <c r="D138" s="4">
        <v>12.333333333333334</v>
      </c>
    </row>
    <row r="139" spans="1:4" x14ac:dyDescent="0.3">
      <c r="A139" s="1">
        <v>30901</v>
      </c>
      <c r="B139" s="1" t="s">
        <v>185</v>
      </c>
      <c r="C139" s="4">
        <v>439.66666666666669</v>
      </c>
      <c r="D139" s="4">
        <v>164.66666666666666</v>
      </c>
    </row>
    <row r="140" spans="1:4" x14ac:dyDescent="0.3">
      <c r="A140" s="1">
        <v>30902</v>
      </c>
      <c r="B140" s="1" t="s">
        <v>186</v>
      </c>
      <c r="C140" s="4">
        <v>101</v>
      </c>
      <c r="D140" s="4">
        <v>70</v>
      </c>
    </row>
    <row r="141" spans="1:4" x14ac:dyDescent="0.3">
      <c r="A141" s="1">
        <v>30903</v>
      </c>
      <c r="B141" s="1" t="s">
        <v>187</v>
      </c>
      <c r="C141" s="4">
        <v>137.66666666666666</v>
      </c>
      <c r="D141" s="4">
        <v>58</v>
      </c>
    </row>
    <row r="142" spans="1:4" x14ac:dyDescent="0.3">
      <c r="A142" s="1">
        <v>30904</v>
      </c>
      <c r="B142" s="1" t="s">
        <v>188</v>
      </c>
      <c r="C142" s="4">
        <v>159.66666666666666</v>
      </c>
      <c r="D142" s="4">
        <v>58.333333333333336</v>
      </c>
    </row>
    <row r="143" spans="1:4" x14ac:dyDescent="0.3">
      <c r="A143" s="1">
        <v>30905</v>
      </c>
      <c r="B143" s="1" t="s">
        <v>189</v>
      </c>
      <c r="C143" s="4">
        <v>64</v>
      </c>
      <c r="D143" s="4">
        <v>33.666666666666664</v>
      </c>
    </row>
    <row r="144" spans="1:4" x14ac:dyDescent="0.3">
      <c r="A144" s="1">
        <v>31001</v>
      </c>
      <c r="B144" s="1" t="s">
        <v>191</v>
      </c>
      <c r="C144" s="4">
        <v>374.66666666666669</v>
      </c>
      <c r="D144" s="4">
        <v>151.33333333333334</v>
      </c>
    </row>
    <row r="145" spans="1:4" x14ac:dyDescent="0.3">
      <c r="A145" s="1">
        <v>31002</v>
      </c>
      <c r="B145" s="1" t="s">
        <v>192</v>
      </c>
      <c r="C145" s="4">
        <v>94.333333333333329</v>
      </c>
      <c r="D145" s="4">
        <v>35.666666666666664</v>
      </c>
    </row>
    <row r="146" spans="1:4" x14ac:dyDescent="0.3">
      <c r="A146" s="1">
        <v>31003</v>
      </c>
      <c r="B146" s="1" t="s">
        <v>193</v>
      </c>
      <c r="C146" s="4">
        <v>254.66666666666666</v>
      </c>
      <c r="D146" s="4">
        <v>131.33333333333334</v>
      </c>
    </row>
    <row r="147" spans="1:4" x14ac:dyDescent="0.3">
      <c r="A147" s="1">
        <v>31101</v>
      </c>
      <c r="B147" s="1" t="s">
        <v>194</v>
      </c>
      <c r="C147" s="4">
        <v>90</v>
      </c>
      <c r="D147" s="4">
        <v>49</v>
      </c>
    </row>
    <row r="148" spans="1:4" x14ac:dyDescent="0.3">
      <c r="A148" s="1">
        <v>31201</v>
      </c>
      <c r="B148" s="1" t="s">
        <v>196</v>
      </c>
      <c r="C148" s="4">
        <v>36.666666666666664</v>
      </c>
      <c r="D148" s="4">
        <v>30.666666666666668</v>
      </c>
    </row>
    <row r="149" spans="1:4" x14ac:dyDescent="0.3">
      <c r="A149" s="1">
        <v>31202</v>
      </c>
      <c r="B149" s="1" t="s">
        <v>197</v>
      </c>
      <c r="C149" s="4">
        <v>35.666666666666664</v>
      </c>
      <c r="D149" s="4">
        <v>23.333333333333332</v>
      </c>
    </row>
    <row r="150" spans="1:4" x14ac:dyDescent="0.3">
      <c r="A150" s="1">
        <v>31203</v>
      </c>
      <c r="B150" s="1" t="s">
        <v>198</v>
      </c>
      <c r="C150" s="4">
        <v>47.666666666666664</v>
      </c>
      <c r="D150" s="4">
        <v>14.666666666666666</v>
      </c>
    </row>
    <row r="151" spans="1:4" x14ac:dyDescent="0.3">
      <c r="A151" s="1">
        <v>31204</v>
      </c>
      <c r="B151" s="1" t="s">
        <v>199</v>
      </c>
      <c r="C151" s="4">
        <v>69</v>
      </c>
      <c r="D151" s="4">
        <v>36</v>
      </c>
    </row>
    <row r="152" spans="1:4" x14ac:dyDescent="0.3">
      <c r="A152" s="1">
        <v>31205</v>
      </c>
      <c r="B152" s="1" t="s">
        <v>200</v>
      </c>
      <c r="C152" s="4">
        <v>130.66666666666666</v>
      </c>
      <c r="D152" s="4">
        <v>99.666666666666671</v>
      </c>
    </row>
    <row r="153" spans="1:4" x14ac:dyDescent="0.3">
      <c r="A153" s="1">
        <v>31206</v>
      </c>
      <c r="B153" s="1" t="s">
        <v>201</v>
      </c>
      <c r="C153" s="4">
        <v>93.333333333333329</v>
      </c>
      <c r="D153" s="4">
        <v>73.333333333333329</v>
      </c>
    </row>
    <row r="154" spans="1:4" x14ac:dyDescent="0.3">
      <c r="A154" s="1">
        <v>31301</v>
      </c>
      <c r="B154" s="1" t="s">
        <v>202</v>
      </c>
      <c r="C154" s="4">
        <v>119</v>
      </c>
      <c r="D154" s="4">
        <v>76.333333333333329</v>
      </c>
    </row>
    <row r="155" spans="1:4" x14ac:dyDescent="0.3">
      <c r="A155" s="1">
        <v>31302</v>
      </c>
      <c r="B155" s="1" t="s">
        <v>203</v>
      </c>
      <c r="C155" s="4">
        <v>13</v>
      </c>
      <c r="D155" s="4">
        <v>8.6666666666666661</v>
      </c>
    </row>
    <row r="156" spans="1:4" x14ac:dyDescent="0.3">
      <c r="A156" s="1">
        <v>31303</v>
      </c>
      <c r="B156" s="1" t="s">
        <v>204</v>
      </c>
      <c r="C156" s="4">
        <v>12.333333333333334</v>
      </c>
      <c r="D156" s="4">
        <v>3.3333333333333335</v>
      </c>
    </row>
    <row r="157" spans="1:4" x14ac:dyDescent="0.3">
      <c r="A157" s="1">
        <v>31304</v>
      </c>
      <c r="B157" s="1" t="s">
        <v>205</v>
      </c>
      <c r="C157" s="4">
        <v>119</v>
      </c>
      <c r="D157" s="4">
        <v>64</v>
      </c>
    </row>
    <row r="158" spans="1:4" x14ac:dyDescent="0.3">
      <c r="A158" s="1">
        <v>31401</v>
      </c>
      <c r="B158" s="1" t="s">
        <v>207</v>
      </c>
      <c r="C158" s="4">
        <v>107.33333333333333</v>
      </c>
      <c r="D158" s="4">
        <v>54.666666666666664</v>
      </c>
    </row>
    <row r="159" spans="1:4" x14ac:dyDescent="0.3">
      <c r="A159" s="1">
        <v>31402</v>
      </c>
      <c r="B159" s="1" t="s">
        <v>209</v>
      </c>
      <c r="C159" s="4">
        <v>35</v>
      </c>
      <c r="D159" s="4">
        <v>16.666666666666668</v>
      </c>
    </row>
    <row r="160" spans="1:4" x14ac:dyDescent="0.3">
      <c r="A160" s="1">
        <v>31403</v>
      </c>
      <c r="B160" s="1" t="s">
        <v>210</v>
      </c>
      <c r="C160" s="4">
        <v>34.333333333333336</v>
      </c>
      <c r="D160" s="4">
        <v>9.3333333333333339</v>
      </c>
    </row>
    <row r="161" spans="1:4" x14ac:dyDescent="0.3">
      <c r="A161" s="1">
        <v>31404</v>
      </c>
      <c r="B161" s="1" t="s">
        <v>212</v>
      </c>
      <c r="C161" s="4">
        <v>0.33333333333333331</v>
      </c>
      <c r="D161" s="4"/>
    </row>
    <row r="162" spans="1:4" x14ac:dyDescent="0.3">
      <c r="A162" s="1">
        <v>31405</v>
      </c>
      <c r="B162" s="1" t="s">
        <v>213</v>
      </c>
      <c r="C162" s="4">
        <v>5</v>
      </c>
      <c r="D162" s="4"/>
    </row>
    <row r="163" spans="1:4" x14ac:dyDescent="0.3">
      <c r="A163" s="1">
        <v>31501</v>
      </c>
      <c r="B163" s="1" t="s">
        <v>483</v>
      </c>
      <c r="C163" s="4">
        <v>29.666666666666668</v>
      </c>
      <c r="D163" s="4">
        <v>8.6666666666666661</v>
      </c>
    </row>
    <row r="164" spans="1:4" x14ac:dyDescent="0.3">
      <c r="A164" s="1">
        <v>31601</v>
      </c>
      <c r="B164" s="1" t="s">
        <v>215</v>
      </c>
      <c r="C164" s="4">
        <v>121</v>
      </c>
      <c r="D164" s="4">
        <v>36.333333333333336</v>
      </c>
    </row>
    <row r="165" spans="1:4" x14ac:dyDescent="0.3">
      <c r="A165" s="1">
        <v>31602</v>
      </c>
      <c r="B165" s="1" t="s">
        <v>216</v>
      </c>
      <c r="C165" s="4">
        <v>19</v>
      </c>
      <c r="D165" s="4">
        <v>46</v>
      </c>
    </row>
    <row r="166" spans="1:4" x14ac:dyDescent="0.3">
      <c r="A166" s="1">
        <v>40101</v>
      </c>
      <c r="B166" s="1" t="s">
        <v>217</v>
      </c>
      <c r="C166" s="4">
        <v>649</v>
      </c>
      <c r="D166" s="4">
        <v>359</v>
      </c>
    </row>
    <row r="167" spans="1:4" x14ac:dyDescent="0.3">
      <c r="A167" s="1">
        <v>40102</v>
      </c>
      <c r="B167" s="1" t="s">
        <v>218</v>
      </c>
      <c r="C167" s="4">
        <v>72.666666666666671</v>
      </c>
      <c r="D167" s="4">
        <v>20.333333333333332</v>
      </c>
    </row>
    <row r="168" spans="1:4" x14ac:dyDescent="0.3">
      <c r="A168" s="1">
        <v>40103</v>
      </c>
      <c r="B168" s="1" t="s">
        <v>219</v>
      </c>
      <c r="C168" s="4">
        <v>11.333333333333334</v>
      </c>
      <c r="D168" s="4">
        <v>5.333333333333333</v>
      </c>
    </row>
    <row r="169" spans="1:4" x14ac:dyDescent="0.3">
      <c r="A169" s="1">
        <v>40104</v>
      </c>
      <c r="B169" s="1" t="s">
        <v>220</v>
      </c>
      <c r="C169" s="4">
        <v>47.666666666666664</v>
      </c>
      <c r="D169" s="4">
        <v>26.333333333333332</v>
      </c>
    </row>
    <row r="170" spans="1:4" x14ac:dyDescent="0.3">
      <c r="A170" s="1">
        <v>40201</v>
      </c>
      <c r="B170" s="1" t="s">
        <v>223</v>
      </c>
      <c r="C170" s="4">
        <v>105.66666666666667</v>
      </c>
      <c r="D170" s="4">
        <v>48.666666666666664</v>
      </c>
    </row>
    <row r="171" spans="1:4" x14ac:dyDescent="0.3">
      <c r="A171" s="1">
        <v>40202</v>
      </c>
      <c r="B171" s="1" t="s">
        <v>224</v>
      </c>
      <c r="C171" s="4">
        <v>8.6666666666666661</v>
      </c>
      <c r="D171" s="4">
        <v>3</v>
      </c>
    </row>
    <row r="172" spans="1:4" x14ac:dyDescent="0.3">
      <c r="A172" s="1">
        <v>40301</v>
      </c>
      <c r="B172" s="1" t="s">
        <v>226</v>
      </c>
      <c r="C172" s="4">
        <v>38</v>
      </c>
      <c r="D172" s="4">
        <v>14.666666666666666</v>
      </c>
    </row>
    <row r="173" spans="1:4" x14ac:dyDescent="0.3">
      <c r="A173" s="1">
        <v>40302</v>
      </c>
      <c r="B173" s="1" t="s">
        <v>227</v>
      </c>
      <c r="C173" s="4">
        <v>5.666666666666667</v>
      </c>
      <c r="D173" s="4">
        <v>0</v>
      </c>
    </row>
    <row r="174" spans="1:4" x14ac:dyDescent="0.3">
      <c r="A174" s="1">
        <v>40401</v>
      </c>
      <c r="B174" s="1" t="s">
        <v>229</v>
      </c>
      <c r="C174" s="4">
        <v>11.666666666666666</v>
      </c>
      <c r="D174" s="4">
        <v>1.6666666666666667</v>
      </c>
    </row>
    <row r="175" spans="1:4" x14ac:dyDescent="0.3">
      <c r="A175" s="1">
        <v>40402</v>
      </c>
      <c r="B175" s="1" t="s">
        <v>230</v>
      </c>
      <c r="C175" s="4">
        <v>8.3333333333333339</v>
      </c>
      <c r="D175" s="4">
        <v>4.333333333333333</v>
      </c>
    </row>
    <row r="176" spans="1:4" x14ac:dyDescent="0.3">
      <c r="A176" s="1">
        <v>40501</v>
      </c>
      <c r="B176" s="1" t="s">
        <v>232</v>
      </c>
      <c r="C176" s="4">
        <v>3</v>
      </c>
      <c r="D176" s="4">
        <v>0.33333333333333331</v>
      </c>
    </row>
    <row r="177" spans="1:4" x14ac:dyDescent="0.3">
      <c r="A177" s="1">
        <v>40502</v>
      </c>
      <c r="B177" s="1" t="s">
        <v>233</v>
      </c>
      <c r="C177" s="4">
        <v>1</v>
      </c>
      <c r="D177" s="4">
        <v>0.5</v>
      </c>
    </row>
    <row r="178" spans="1:4" x14ac:dyDescent="0.3">
      <c r="A178" s="1">
        <v>40503</v>
      </c>
      <c r="B178" s="1" t="s">
        <v>234</v>
      </c>
      <c r="C178" s="4">
        <v>0.33333333333333331</v>
      </c>
      <c r="D178" s="4"/>
    </row>
    <row r="179" spans="1:4" x14ac:dyDescent="0.3">
      <c r="A179" s="1">
        <v>40504</v>
      </c>
      <c r="B179" s="1" t="s">
        <v>235</v>
      </c>
      <c r="C179" s="4">
        <v>0.33333333333333331</v>
      </c>
      <c r="D179" s="4"/>
    </row>
    <row r="180" spans="1:4" x14ac:dyDescent="0.3">
      <c r="A180" s="1">
        <v>40505</v>
      </c>
      <c r="B180" s="1" t="s">
        <v>236</v>
      </c>
      <c r="C180" s="4">
        <v>0.33333333333333331</v>
      </c>
      <c r="D180" s="4"/>
    </row>
    <row r="181" spans="1:4" x14ac:dyDescent="0.3">
      <c r="A181" s="1">
        <v>40601</v>
      </c>
      <c r="B181" s="1" t="s">
        <v>237</v>
      </c>
      <c r="C181" s="4">
        <v>11.333333333333334</v>
      </c>
      <c r="D181" s="4">
        <v>8.6666666666666661</v>
      </c>
    </row>
    <row r="182" spans="1:4" x14ac:dyDescent="0.3">
      <c r="A182" s="1">
        <v>40602</v>
      </c>
      <c r="B182" s="1" t="s">
        <v>239</v>
      </c>
      <c r="C182" s="4">
        <v>11.333333333333334</v>
      </c>
      <c r="D182" s="4">
        <v>5.666666666666667</v>
      </c>
    </row>
    <row r="183" spans="1:4" x14ac:dyDescent="0.3">
      <c r="A183" s="1">
        <v>40603</v>
      </c>
      <c r="B183" s="1" t="s">
        <v>240</v>
      </c>
      <c r="C183" s="4">
        <v>5.666666666666667</v>
      </c>
      <c r="D183" s="4">
        <v>1</v>
      </c>
    </row>
    <row r="184" spans="1:4" x14ac:dyDescent="0.3">
      <c r="A184" s="1">
        <v>40701</v>
      </c>
      <c r="B184" s="1" t="s">
        <v>242</v>
      </c>
      <c r="C184" s="4">
        <v>100</v>
      </c>
      <c r="D184" s="4">
        <v>18.333333333333332</v>
      </c>
    </row>
    <row r="185" spans="1:4" x14ac:dyDescent="0.3">
      <c r="A185" s="1">
        <v>40702</v>
      </c>
      <c r="B185" s="1" t="s">
        <v>244</v>
      </c>
      <c r="C185" s="4">
        <v>10.666666666666666</v>
      </c>
      <c r="D185" s="4">
        <v>11.666666666666666</v>
      </c>
    </row>
    <row r="186" spans="1:4" x14ac:dyDescent="0.3">
      <c r="A186" s="1">
        <v>40801</v>
      </c>
      <c r="B186" s="1" t="s">
        <v>484</v>
      </c>
      <c r="C186" s="4">
        <v>20.666666666666668</v>
      </c>
      <c r="D186" s="4">
        <v>7.333333333333333</v>
      </c>
    </row>
    <row r="187" spans="1:4" x14ac:dyDescent="0.3">
      <c r="A187" s="1">
        <v>40802</v>
      </c>
      <c r="B187" s="1" t="s">
        <v>247</v>
      </c>
      <c r="C187" s="4">
        <v>5.333333333333333</v>
      </c>
      <c r="D187" s="4">
        <v>2.3333333333333335</v>
      </c>
    </row>
    <row r="188" spans="1:4" x14ac:dyDescent="0.3">
      <c r="A188" s="1">
        <v>40901</v>
      </c>
      <c r="B188" s="1" t="s">
        <v>248</v>
      </c>
      <c r="C188" s="4">
        <v>7.333333333333333</v>
      </c>
      <c r="D188" s="4">
        <v>3.3333333333333335</v>
      </c>
    </row>
    <row r="189" spans="1:4" x14ac:dyDescent="0.3">
      <c r="A189" s="1">
        <v>40902</v>
      </c>
      <c r="B189" s="1" t="s">
        <v>249</v>
      </c>
      <c r="C189" s="4">
        <v>3</v>
      </c>
      <c r="D189" s="4">
        <v>1</v>
      </c>
    </row>
    <row r="190" spans="1:4" x14ac:dyDescent="0.3">
      <c r="A190" s="1">
        <v>40903</v>
      </c>
      <c r="B190" s="1" t="s">
        <v>485</v>
      </c>
      <c r="C190" s="4">
        <v>13</v>
      </c>
      <c r="D190" s="4">
        <v>5.666666666666667</v>
      </c>
    </row>
    <row r="191" spans="1:4" x14ac:dyDescent="0.3">
      <c r="A191" s="1">
        <v>41001</v>
      </c>
      <c r="B191" s="1" t="s">
        <v>252</v>
      </c>
      <c r="C191" s="4">
        <v>29.666666666666668</v>
      </c>
      <c r="D191" s="4">
        <v>5</v>
      </c>
    </row>
    <row r="192" spans="1:4" x14ac:dyDescent="0.3">
      <c r="A192" s="1">
        <v>41101</v>
      </c>
      <c r="B192" s="1" t="s">
        <v>254</v>
      </c>
      <c r="C192" s="4">
        <v>10.333333333333334</v>
      </c>
      <c r="D192" s="4">
        <v>10.666666666666666</v>
      </c>
    </row>
    <row r="193" spans="1:4" x14ac:dyDescent="0.3">
      <c r="A193" s="1">
        <v>41201</v>
      </c>
      <c r="B193" s="1" t="s">
        <v>256</v>
      </c>
      <c r="C193" s="4">
        <v>11.333333333333334</v>
      </c>
      <c r="D193" s="4">
        <v>2.6666666666666665</v>
      </c>
    </row>
    <row r="194" spans="1:4" x14ac:dyDescent="0.3">
      <c r="A194" s="1">
        <v>41202</v>
      </c>
      <c r="B194" s="1" t="s">
        <v>258</v>
      </c>
      <c r="C194" s="4">
        <v>2.3333333333333335</v>
      </c>
      <c r="D194" s="4">
        <v>3.6666666666666665</v>
      </c>
    </row>
    <row r="195" spans="1:4" x14ac:dyDescent="0.3">
      <c r="A195" s="1">
        <v>41301</v>
      </c>
      <c r="B195" s="1" t="s">
        <v>196</v>
      </c>
      <c r="C195" s="4">
        <v>14.666666666666666</v>
      </c>
      <c r="D195" s="4">
        <v>8</v>
      </c>
    </row>
    <row r="196" spans="1:4" x14ac:dyDescent="0.3">
      <c r="A196" s="1">
        <v>41401</v>
      </c>
      <c r="B196" s="1" t="s">
        <v>261</v>
      </c>
      <c r="C196" s="4">
        <v>28.666666666666668</v>
      </c>
      <c r="D196" s="4">
        <v>4.333333333333333</v>
      </c>
    </row>
    <row r="197" spans="1:4" x14ac:dyDescent="0.3">
      <c r="A197" s="1">
        <v>41501</v>
      </c>
      <c r="B197" s="1" t="s">
        <v>263</v>
      </c>
      <c r="C197" s="4">
        <v>0.66666666666666663</v>
      </c>
      <c r="D197" s="4">
        <v>1</v>
      </c>
    </row>
    <row r="198" spans="1:4" x14ac:dyDescent="0.3">
      <c r="A198" s="1">
        <v>41502</v>
      </c>
      <c r="B198" s="1" t="s">
        <v>264</v>
      </c>
      <c r="C198" s="4">
        <v>0.33333333333333331</v>
      </c>
      <c r="D198" s="4">
        <v>1</v>
      </c>
    </row>
    <row r="199" spans="1:4" x14ac:dyDescent="0.3">
      <c r="A199" s="1">
        <v>41503</v>
      </c>
      <c r="B199" s="1" t="s">
        <v>225</v>
      </c>
      <c r="C199" s="4">
        <v>0.66666666666666663</v>
      </c>
      <c r="D199" s="4">
        <v>0</v>
      </c>
    </row>
    <row r="200" spans="1:4" x14ac:dyDescent="0.3">
      <c r="A200" s="1">
        <v>41601</v>
      </c>
      <c r="B200" s="1" t="s">
        <v>266</v>
      </c>
      <c r="C200" s="4">
        <v>15.333333333333334</v>
      </c>
      <c r="D200" s="4">
        <v>3</v>
      </c>
    </row>
    <row r="201" spans="1:4" x14ac:dyDescent="0.3">
      <c r="A201" s="1">
        <v>50101</v>
      </c>
      <c r="B201" s="1" t="s">
        <v>267</v>
      </c>
      <c r="C201" s="4">
        <v>713.66666666666663</v>
      </c>
      <c r="D201" s="4">
        <v>342</v>
      </c>
    </row>
    <row r="202" spans="1:4" x14ac:dyDescent="0.3">
      <c r="A202" s="1">
        <v>50102</v>
      </c>
      <c r="B202" s="1" t="s">
        <v>269</v>
      </c>
      <c r="C202" s="4">
        <v>128.33333333333334</v>
      </c>
      <c r="D202" s="4">
        <v>29.666666666666668</v>
      </c>
    </row>
    <row r="203" spans="1:4" x14ac:dyDescent="0.3">
      <c r="A203" s="1">
        <v>50103</v>
      </c>
      <c r="B203" s="1" t="s">
        <v>270</v>
      </c>
      <c r="C203" s="4">
        <v>23.333333333333332</v>
      </c>
      <c r="D203" s="4">
        <v>11.333333333333334</v>
      </c>
    </row>
    <row r="204" spans="1:4" x14ac:dyDescent="0.3">
      <c r="A204" s="1">
        <v>50104</v>
      </c>
      <c r="B204" s="1" t="s">
        <v>272</v>
      </c>
      <c r="C204" s="4">
        <v>3.6666666666666665</v>
      </c>
      <c r="D204" s="4">
        <v>0</v>
      </c>
    </row>
    <row r="205" spans="1:4" x14ac:dyDescent="0.3">
      <c r="A205" s="1">
        <v>50201</v>
      </c>
      <c r="B205" s="1" t="s">
        <v>275</v>
      </c>
      <c r="C205" s="4">
        <v>109</v>
      </c>
      <c r="D205" s="4">
        <v>31.666666666666668</v>
      </c>
    </row>
    <row r="206" spans="1:4" x14ac:dyDescent="0.3">
      <c r="A206" s="1">
        <v>50202</v>
      </c>
      <c r="B206" s="1" t="s">
        <v>276</v>
      </c>
      <c r="C206" s="4">
        <v>73.666666666666671</v>
      </c>
      <c r="D206" s="4">
        <v>34</v>
      </c>
    </row>
    <row r="207" spans="1:4" x14ac:dyDescent="0.3">
      <c r="A207" s="1">
        <v>50203</v>
      </c>
      <c r="B207" s="1" t="s">
        <v>277</v>
      </c>
      <c r="C207" s="4">
        <v>126.33333333333333</v>
      </c>
      <c r="D207" s="4">
        <v>56</v>
      </c>
    </row>
    <row r="208" spans="1:4" x14ac:dyDescent="0.3">
      <c r="A208" s="1">
        <v>50204</v>
      </c>
      <c r="B208" s="1" t="s">
        <v>278</v>
      </c>
      <c r="C208" s="4">
        <v>11.666666666666666</v>
      </c>
      <c r="D208" s="4">
        <v>9.6666666666666661</v>
      </c>
    </row>
    <row r="209" spans="1:4" x14ac:dyDescent="0.3">
      <c r="A209" s="1">
        <v>50301</v>
      </c>
      <c r="B209" s="1" t="s">
        <v>280</v>
      </c>
      <c r="C209" s="4">
        <v>171.33333333333334</v>
      </c>
      <c r="D209" s="4">
        <v>48</v>
      </c>
    </row>
    <row r="210" spans="1:4" x14ac:dyDescent="0.3">
      <c r="A210" s="1">
        <v>50302</v>
      </c>
      <c r="B210" s="1" t="s">
        <v>282</v>
      </c>
      <c r="C210" s="4">
        <v>27.333333333333332</v>
      </c>
      <c r="D210" s="4">
        <v>12.666666666666666</v>
      </c>
    </row>
    <row r="211" spans="1:4" x14ac:dyDescent="0.3">
      <c r="A211" s="1">
        <v>50303</v>
      </c>
      <c r="B211" s="1" t="s">
        <v>283</v>
      </c>
      <c r="C211" s="4">
        <v>68.333333333333329</v>
      </c>
      <c r="D211" s="4">
        <v>17.333333333333332</v>
      </c>
    </row>
    <row r="212" spans="1:4" x14ac:dyDescent="0.3">
      <c r="A212" s="1">
        <v>50401</v>
      </c>
      <c r="B212" s="1" t="s">
        <v>284</v>
      </c>
      <c r="C212" s="4">
        <v>241.66666666666666</v>
      </c>
      <c r="D212" s="4">
        <v>72</v>
      </c>
    </row>
    <row r="213" spans="1:4" x14ac:dyDescent="0.3">
      <c r="A213" s="1">
        <v>50402</v>
      </c>
      <c r="B213" s="1" t="s">
        <v>285</v>
      </c>
      <c r="C213" s="4">
        <v>132.66666666666666</v>
      </c>
      <c r="D213" s="4">
        <v>22.666666666666668</v>
      </c>
    </row>
    <row r="214" spans="1:4" x14ac:dyDescent="0.3">
      <c r="A214" s="1">
        <v>50403</v>
      </c>
      <c r="B214" s="1" t="s">
        <v>286</v>
      </c>
      <c r="C214" s="4">
        <v>170.66666666666666</v>
      </c>
      <c r="D214" s="4">
        <v>60.666666666666664</v>
      </c>
    </row>
    <row r="215" spans="1:4" x14ac:dyDescent="0.3">
      <c r="A215" s="1">
        <v>50404</v>
      </c>
      <c r="B215" s="1" t="s">
        <v>287</v>
      </c>
      <c r="C215" s="4">
        <v>101</v>
      </c>
      <c r="D215" s="4">
        <v>17.333333333333332</v>
      </c>
    </row>
    <row r="216" spans="1:4" x14ac:dyDescent="0.3">
      <c r="A216" s="1">
        <v>50405</v>
      </c>
      <c r="B216" s="1" t="s">
        <v>288</v>
      </c>
      <c r="C216" s="4">
        <v>241.66666666666666</v>
      </c>
      <c r="D216" s="4">
        <v>72</v>
      </c>
    </row>
    <row r="217" spans="1:4" x14ac:dyDescent="0.3">
      <c r="A217" s="1">
        <v>50501</v>
      </c>
      <c r="B217" s="1" t="s">
        <v>290</v>
      </c>
      <c r="C217" s="4">
        <v>221.66666666666666</v>
      </c>
      <c r="D217" s="4">
        <v>95.333333333333329</v>
      </c>
    </row>
    <row r="218" spans="1:4" x14ac:dyDescent="0.3">
      <c r="A218" s="1">
        <v>50502</v>
      </c>
      <c r="B218" s="1" t="s">
        <v>291</v>
      </c>
      <c r="C218" s="4">
        <v>72.666666666666671</v>
      </c>
      <c r="D218" s="4">
        <v>34</v>
      </c>
    </row>
    <row r="219" spans="1:4" x14ac:dyDescent="0.3">
      <c r="A219" s="1">
        <v>50601</v>
      </c>
      <c r="B219" s="1" t="s">
        <v>293</v>
      </c>
      <c r="C219" s="4">
        <v>148.33333333333334</v>
      </c>
      <c r="D219" s="4">
        <v>38.666666666666664</v>
      </c>
    </row>
    <row r="220" spans="1:4" x14ac:dyDescent="0.3">
      <c r="A220" s="1">
        <v>50602</v>
      </c>
      <c r="B220" s="1" t="s">
        <v>486</v>
      </c>
      <c r="C220" s="4">
        <v>35.666666666666664</v>
      </c>
      <c r="D220" s="4">
        <v>12.666666666666666</v>
      </c>
    </row>
    <row r="221" spans="1:4" x14ac:dyDescent="0.3">
      <c r="A221" s="1">
        <v>50701</v>
      </c>
      <c r="B221" s="1" t="s">
        <v>296</v>
      </c>
      <c r="C221" s="4">
        <v>127.33333333333333</v>
      </c>
      <c r="D221" s="4">
        <v>38.666666666666664</v>
      </c>
    </row>
    <row r="222" spans="1:4" x14ac:dyDescent="0.3">
      <c r="A222" s="1">
        <v>50702</v>
      </c>
      <c r="B222" s="1" t="s">
        <v>298</v>
      </c>
      <c r="C222" s="4">
        <v>45.333333333333336</v>
      </c>
      <c r="D222" s="4">
        <v>20.333333333333332</v>
      </c>
    </row>
    <row r="223" spans="1:4" x14ac:dyDescent="0.3">
      <c r="A223" s="1">
        <v>50801</v>
      </c>
      <c r="B223" s="1" t="s">
        <v>300</v>
      </c>
      <c r="C223" s="4">
        <v>136</v>
      </c>
      <c r="D223" s="4">
        <v>45</v>
      </c>
    </row>
    <row r="224" spans="1:4" x14ac:dyDescent="0.3">
      <c r="A224" s="1">
        <v>50802</v>
      </c>
      <c r="B224" s="1" t="s">
        <v>301</v>
      </c>
      <c r="C224" s="4">
        <v>33.333333333333336</v>
      </c>
      <c r="D224" s="4">
        <v>7.666666666666667</v>
      </c>
    </row>
    <row r="225" spans="1:4" x14ac:dyDescent="0.3">
      <c r="A225" s="1">
        <v>50901</v>
      </c>
      <c r="B225" s="1" t="s">
        <v>303</v>
      </c>
      <c r="C225" s="4">
        <v>28.333333333333332</v>
      </c>
      <c r="D225" s="4">
        <v>11</v>
      </c>
    </row>
    <row r="226" spans="1:4" x14ac:dyDescent="0.3">
      <c r="A226" s="1">
        <v>50902</v>
      </c>
      <c r="B226" s="1" t="s">
        <v>305</v>
      </c>
      <c r="C226" s="4">
        <v>0.33333333333333331</v>
      </c>
      <c r="D226" s="4">
        <v>2.6666666666666665</v>
      </c>
    </row>
    <row r="227" spans="1:4" x14ac:dyDescent="0.3">
      <c r="A227" s="1">
        <v>51001</v>
      </c>
      <c r="B227" s="1" t="s">
        <v>308</v>
      </c>
      <c r="C227" s="4">
        <v>8</v>
      </c>
      <c r="D227" s="4">
        <v>1.6666666666666667</v>
      </c>
    </row>
    <row r="228" spans="1:4" x14ac:dyDescent="0.3">
      <c r="A228" s="1">
        <v>51002</v>
      </c>
      <c r="B228" s="1" t="s">
        <v>310</v>
      </c>
      <c r="C228" s="4">
        <v>1.3333333333333333</v>
      </c>
      <c r="D228" s="4">
        <v>0</v>
      </c>
    </row>
    <row r="229" spans="1:4" x14ac:dyDescent="0.3">
      <c r="A229" s="1">
        <v>51003</v>
      </c>
      <c r="B229" s="1" t="s">
        <v>311</v>
      </c>
      <c r="C229" s="4">
        <v>3</v>
      </c>
      <c r="D229" s="4">
        <v>2</v>
      </c>
    </row>
    <row r="230" spans="1:4" x14ac:dyDescent="0.3">
      <c r="A230" s="1">
        <v>51101</v>
      </c>
      <c r="B230" s="1" t="s">
        <v>313</v>
      </c>
      <c r="C230" s="4">
        <v>174.33333333333334</v>
      </c>
      <c r="D230" s="4">
        <v>28</v>
      </c>
    </row>
    <row r="231" spans="1:4" x14ac:dyDescent="0.3">
      <c r="A231" s="1">
        <v>51102</v>
      </c>
      <c r="B231" s="1" t="s">
        <v>315</v>
      </c>
      <c r="C231" s="4">
        <v>31.333333333333332</v>
      </c>
      <c r="D231" s="4">
        <v>22</v>
      </c>
    </row>
    <row r="232" spans="1:4" x14ac:dyDescent="0.3">
      <c r="A232" s="1">
        <v>51103</v>
      </c>
      <c r="B232" s="1" t="s">
        <v>316</v>
      </c>
      <c r="C232" s="4">
        <v>29.333333333333332</v>
      </c>
      <c r="D232" s="4">
        <v>25</v>
      </c>
    </row>
    <row r="233" spans="1:4" x14ac:dyDescent="0.3">
      <c r="A233" s="1">
        <v>51201</v>
      </c>
      <c r="B233" s="1" t="s">
        <v>318</v>
      </c>
      <c r="C233" s="4">
        <v>106</v>
      </c>
      <c r="D233" s="4">
        <v>42.333333333333336</v>
      </c>
    </row>
    <row r="234" spans="1:4" x14ac:dyDescent="0.3">
      <c r="A234" s="1">
        <v>51202</v>
      </c>
      <c r="B234" s="1" t="s">
        <v>319</v>
      </c>
      <c r="C234" s="4">
        <v>57.333333333333336</v>
      </c>
      <c r="D234" s="4">
        <v>9.6666666666666661</v>
      </c>
    </row>
    <row r="235" spans="1:4" x14ac:dyDescent="0.3">
      <c r="A235" s="1">
        <v>51203</v>
      </c>
      <c r="B235" s="1" t="s">
        <v>320</v>
      </c>
      <c r="C235" s="4">
        <v>30.333333333333332</v>
      </c>
      <c r="D235" s="4">
        <v>8</v>
      </c>
    </row>
    <row r="236" spans="1:4" x14ac:dyDescent="0.3">
      <c r="A236" s="1">
        <v>51204</v>
      </c>
      <c r="B236" s="1" t="s">
        <v>487</v>
      </c>
      <c r="C236" s="4">
        <v>57.333333333333336</v>
      </c>
      <c r="D236" s="4">
        <v>11.5</v>
      </c>
    </row>
    <row r="237" spans="1:4" x14ac:dyDescent="0.3">
      <c r="A237" s="1">
        <v>51301</v>
      </c>
      <c r="B237" s="1" t="s">
        <v>323</v>
      </c>
      <c r="C237" s="4">
        <v>30.333333333333332</v>
      </c>
      <c r="D237" s="4">
        <v>25</v>
      </c>
    </row>
    <row r="238" spans="1:4" x14ac:dyDescent="0.3">
      <c r="A238" s="1">
        <v>51302</v>
      </c>
      <c r="B238" s="1" t="s">
        <v>324</v>
      </c>
      <c r="C238" s="4">
        <v>19.333333333333332</v>
      </c>
      <c r="D238" s="4">
        <v>16</v>
      </c>
    </row>
    <row r="239" spans="1:4" x14ac:dyDescent="0.3">
      <c r="A239" s="1">
        <v>51401</v>
      </c>
      <c r="B239" s="1" t="s">
        <v>326</v>
      </c>
      <c r="C239" s="4">
        <v>11.666666666666666</v>
      </c>
      <c r="D239" s="4">
        <v>8</v>
      </c>
    </row>
    <row r="240" spans="1:4" x14ac:dyDescent="0.3">
      <c r="A240" s="1">
        <v>51402</v>
      </c>
      <c r="B240" s="1" t="s">
        <v>327</v>
      </c>
      <c r="C240" s="4">
        <v>4.666666666666667</v>
      </c>
      <c r="D240" s="4">
        <v>0.33333333333333331</v>
      </c>
    </row>
    <row r="241" spans="1:4" x14ac:dyDescent="0.3">
      <c r="A241" s="1">
        <v>51501</v>
      </c>
      <c r="B241" s="1" t="s">
        <v>329</v>
      </c>
      <c r="C241" s="4">
        <v>183</v>
      </c>
      <c r="D241" s="4">
        <v>67</v>
      </c>
    </row>
    <row r="242" spans="1:4" x14ac:dyDescent="0.3">
      <c r="A242" s="1">
        <v>51601</v>
      </c>
      <c r="B242" s="1" t="s">
        <v>331</v>
      </c>
      <c r="C242" s="4">
        <v>4</v>
      </c>
      <c r="D242" s="4">
        <v>2</v>
      </c>
    </row>
    <row r="243" spans="1:4" x14ac:dyDescent="0.3">
      <c r="A243" s="1">
        <v>60101</v>
      </c>
      <c r="B243" s="1" t="s">
        <v>332</v>
      </c>
      <c r="C243" s="4">
        <v>473</v>
      </c>
      <c r="D243" s="4">
        <v>179.66666666666666</v>
      </c>
    </row>
    <row r="244" spans="1:4" x14ac:dyDescent="0.3">
      <c r="A244" s="1">
        <v>60201</v>
      </c>
      <c r="B244" s="1" t="s">
        <v>334</v>
      </c>
      <c r="C244" s="4">
        <v>47.666666666666664</v>
      </c>
      <c r="D244" s="4">
        <v>10.333333333333334</v>
      </c>
    </row>
    <row r="245" spans="1:4" x14ac:dyDescent="0.3">
      <c r="A245" s="1">
        <v>60202</v>
      </c>
      <c r="B245" s="1" t="s">
        <v>335</v>
      </c>
      <c r="C245" s="4">
        <v>100.66666666666667</v>
      </c>
      <c r="D245" s="4">
        <v>49.666666666666664</v>
      </c>
    </row>
    <row r="246" spans="1:4" x14ac:dyDescent="0.3">
      <c r="A246" s="1">
        <v>60301</v>
      </c>
      <c r="B246" s="1" t="s">
        <v>337</v>
      </c>
      <c r="C246" s="4">
        <v>323.66666666666669</v>
      </c>
      <c r="D246" s="4">
        <v>84.666666666666671</v>
      </c>
    </row>
    <row r="247" spans="1:4" x14ac:dyDescent="0.3">
      <c r="A247" s="1">
        <v>60302</v>
      </c>
      <c r="B247" s="1" t="s">
        <v>338</v>
      </c>
      <c r="C247" s="4">
        <v>40.666666666666664</v>
      </c>
      <c r="D247" s="4">
        <v>14.333333333333334</v>
      </c>
    </row>
    <row r="248" spans="1:4" x14ac:dyDescent="0.3">
      <c r="A248" s="1">
        <v>60303</v>
      </c>
      <c r="B248" s="1" t="s">
        <v>339</v>
      </c>
      <c r="C248" s="4">
        <v>163</v>
      </c>
      <c r="D248" s="4">
        <v>66</v>
      </c>
    </row>
    <row r="249" spans="1:4" x14ac:dyDescent="0.3">
      <c r="A249" s="1">
        <v>60401</v>
      </c>
      <c r="B249" s="1" t="s">
        <v>341</v>
      </c>
      <c r="C249" s="4">
        <v>66.666666666666671</v>
      </c>
      <c r="D249" s="4">
        <v>9</v>
      </c>
    </row>
    <row r="250" spans="1:4" x14ac:dyDescent="0.3">
      <c r="A250" s="1">
        <v>60402</v>
      </c>
      <c r="B250" s="1" t="s">
        <v>343</v>
      </c>
      <c r="C250" s="4">
        <v>8.3333333333333339</v>
      </c>
      <c r="D250" s="4">
        <v>5</v>
      </c>
    </row>
    <row r="251" spans="1:4" x14ac:dyDescent="0.3">
      <c r="A251" s="1">
        <v>60501</v>
      </c>
      <c r="B251" s="1" t="s">
        <v>345</v>
      </c>
      <c r="C251" s="4">
        <v>101</v>
      </c>
      <c r="D251" s="4">
        <v>25.666666666666668</v>
      </c>
    </row>
    <row r="252" spans="1:4" x14ac:dyDescent="0.3">
      <c r="A252" s="1">
        <v>60502</v>
      </c>
      <c r="B252" s="1" t="s">
        <v>347</v>
      </c>
      <c r="C252" s="4">
        <v>51.666666666666664</v>
      </c>
      <c r="D252" s="4">
        <v>10.333333333333334</v>
      </c>
    </row>
    <row r="253" spans="1:4" x14ac:dyDescent="0.3">
      <c r="A253" s="1">
        <v>60601</v>
      </c>
      <c r="B253" s="1" t="s">
        <v>201</v>
      </c>
      <c r="C253" s="4">
        <v>93.333333333333329</v>
      </c>
      <c r="D253" s="4">
        <v>23</v>
      </c>
    </row>
    <row r="254" spans="1:4" x14ac:dyDescent="0.3">
      <c r="A254" s="1">
        <v>70101</v>
      </c>
      <c r="B254" s="1" t="s">
        <v>351</v>
      </c>
      <c r="C254" s="4">
        <v>4334</v>
      </c>
      <c r="D254" s="4">
        <v>1365.3333333333333</v>
      </c>
    </row>
    <row r="255" spans="1:4" x14ac:dyDescent="0.3">
      <c r="A255" s="1">
        <v>70102</v>
      </c>
      <c r="B255" s="1" t="s">
        <v>352</v>
      </c>
      <c r="C255" s="4">
        <v>272</v>
      </c>
      <c r="D255" s="4">
        <v>111.66666666666667</v>
      </c>
    </row>
    <row r="256" spans="1:4" x14ac:dyDescent="0.3">
      <c r="A256" s="1">
        <v>70103</v>
      </c>
      <c r="B256" s="1" t="s">
        <v>353</v>
      </c>
      <c r="C256" s="4">
        <v>66.666666666666671</v>
      </c>
      <c r="D256" s="4">
        <v>17.333333333333332</v>
      </c>
    </row>
    <row r="257" spans="1:4" x14ac:dyDescent="0.3">
      <c r="A257" s="1">
        <v>70104</v>
      </c>
      <c r="B257" s="1" t="s">
        <v>355</v>
      </c>
      <c r="C257" s="4">
        <v>228</v>
      </c>
      <c r="D257" s="4">
        <v>103.33333333333333</v>
      </c>
    </row>
    <row r="258" spans="1:4" x14ac:dyDescent="0.3">
      <c r="A258" s="1">
        <v>70105</v>
      </c>
      <c r="B258" s="1" t="s">
        <v>356</v>
      </c>
      <c r="C258" s="4">
        <v>183.66666666666666</v>
      </c>
      <c r="D258" s="4">
        <v>75.666666666666671</v>
      </c>
    </row>
    <row r="259" spans="1:4" x14ac:dyDescent="0.3">
      <c r="A259" s="1">
        <v>70201</v>
      </c>
      <c r="B259" s="1" t="s">
        <v>357</v>
      </c>
      <c r="C259" s="4">
        <v>377.33333333333331</v>
      </c>
      <c r="D259" s="4">
        <v>206.33333333333334</v>
      </c>
    </row>
    <row r="260" spans="1:4" x14ac:dyDescent="0.3">
      <c r="A260" s="1">
        <v>70202</v>
      </c>
      <c r="B260" s="1" t="s">
        <v>358</v>
      </c>
      <c r="C260" s="4">
        <v>56.666666666666664</v>
      </c>
      <c r="D260" s="4">
        <v>16.333333333333332</v>
      </c>
    </row>
    <row r="261" spans="1:4" x14ac:dyDescent="0.3">
      <c r="A261" s="1">
        <v>70301</v>
      </c>
      <c r="B261" s="1" t="s">
        <v>360</v>
      </c>
      <c r="C261" s="4">
        <v>216.66666666666666</v>
      </c>
      <c r="D261" s="4">
        <v>93.333333333333329</v>
      </c>
    </row>
    <row r="262" spans="1:4" x14ac:dyDescent="0.3">
      <c r="A262" s="1">
        <v>70302</v>
      </c>
      <c r="B262" s="1" t="s">
        <v>361</v>
      </c>
      <c r="C262" s="4">
        <v>34.333333333333336</v>
      </c>
      <c r="D262" s="4">
        <v>12.666666666666666</v>
      </c>
    </row>
    <row r="263" spans="1:4" x14ac:dyDescent="0.3">
      <c r="A263" s="1">
        <v>70303</v>
      </c>
      <c r="B263" s="1" t="s">
        <v>362</v>
      </c>
      <c r="C263" s="4">
        <v>25.333333333333332</v>
      </c>
      <c r="D263" s="4">
        <v>7</v>
      </c>
    </row>
    <row r="264" spans="1:4" x14ac:dyDescent="0.3">
      <c r="A264" s="1">
        <v>70401</v>
      </c>
      <c r="B264" s="1" t="s">
        <v>364</v>
      </c>
      <c r="C264" s="4">
        <v>52.666666666666664</v>
      </c>
      <c r="D264" s="4">
        <v>21</v>
      </c>
    </row>
    <row r="265" spans="1:4" x14ac:dyDescent="0.3">
      <c r="A265" s="1">
        <v>70402</v>
      </c>
      <c r="B265" s="1" t="s">
        <v>365</v>
      </c>
      <c r="C265" s="4">
        <v>89.666666666666671</v>
      </c>
      <c r="D265" s="4">
        <v>26.666666666666668</v>
      </c>
    </row>
    <row r="266" spans="1:4" x14ac:dyDescent="0.3">
      <c r="A266" s="1">
        <v>70403</v>
      </c>
      <c r="B266" s="1" t="s">
        <v>366</v>
      </c>
      <c r="C266" s="4">
        <v>134</v>
      </c>
      <c r="D266" s="4">
        <v>98.666666666666671</v>
      </c>
    </row>
    <row r="267" spans="1:4" x14ac:dyDescent="0.3">
      <c r="A267" s="1">
        <v>70404</v>
      </c>
      <c r="B267" s="1" t="s">
        <v>367</v>
      </c>
      <c r="C267" s="4">
        <v>27</v>
      </c>
      <c r="D267" s="4">
        <v>13.666666666666666</v>
      </c>
    </row>
    <row r="268" spans="1:4" x14ac:dyDescent="0.3">
      <c r="A268" s="1">
        <v>70501</v>
      </c>
      <c r="B268" s="1" t="s">
        <v>369</v>
      </c>
      <c r="C268" s="4">
        <v>51.666666666666664</v>
      </c>
      <c r="D268" s="4">
        <v>40.666666666666664</v>
      </c>
    </row>
    <row r="269" spans="1:4" x14ac:dyDescent="0.3">
      <c r="A269" s="1">
        <v>70502</v>
      </c>
      <c r="B269" s="1" t="s">
        <v>370</v>
      </c>
      <c r="C269" s="4">
        <v>98</v>
      </c>
      <c r="D269" s="4">
        <v>53</v>
      </c>
    </row>
    <row r="270" spans="1:4" x14ac:dyDescent="0.3">
      <c r="A270" s="1">
        <v>70503</v>
      </c>
      <c r="B270" s="1" t="s">
        <v>371</v>
      </c>
      <c r="C270" s="4">
        <v>68</v>
      </c>
      <c r="D270" s="4">
        <v>18.333333333333332</v>
      </c>
    </row>
    <row r="271" spans="1:4" x14ac:dyDescent="0.3">
      <c r="A271" s="1">
        <v>70601</v>
      </c>
      <c r="B271" s="1" t="s">
        <v>373</v>
      </c>
      <c r="C271" s="4">
        <v>81</v>
      </c>
      <c r="D271" s="4">
        <v>32.333333333333336</v>
      </c>
    </row>
    <row r="272" spans="1:4" x14ac:dyDescent="0.3">
      <c r="A272" s="1">
        <v>70602</v>
      </c>
      <c r="B272" s="1" t="s">
        <v>374</v>
      </c>
      <c r="C272" s="4">
        <v>81.333333333333329</v>
      </c>
      <c r="D272" s="4">
        <v>32.666666666666664</v>
      </c>
    </row>
    <row r="273" spans="1:4" x14ac:dyDescent="0.3">
      <c r="A273" s="1">
        <v>70603</v>
      </c>
      <c r="B273" s="1" t="s">
        <v>375</v>
      </c>
      <c r="C273" s="4">
        <v>39.333333333333336</v>
      </c>
      <c r="D273" s="4">
        <v>8.6666666666666661</v>
      </c>
    </row>
    <row r="274" spans="1:4" x14ac:dyDescent="0.3">
      <c r="A274" s="1">
        <v>70701</v>
      </c>
      <c r="B274" s="1" t="s">
        <v>377</v>
      </c>
      <c r="C274" s="4">
        <v>24.333333333333332</v>
      </c>
      <c r="D274" s="4">
        <v>8.3333333333333339</v>
      </c>
    </row>
    <row r="275" spans="1:4" x14ac:dyDescent="0.3">
      <c r="A275" s="1">
        <v>70702</v>
      </c>
      <c r="B275" s="1" t="s">
        <v>488</v>
      </c>
      <c r="C275" s="4">
        <v>119.66666666666667</v>
      </c>
      <c r="D275" s="4">
        <v>42</v>
      </c>
    </row>
    <row r="276" spans="1:4" x14ac:dyDescent="0.3">
      <c r="A276" s="1">
        <v>70703</v>
      </c>
      <c r="B276" s="1" t="s">
        <v>379</v>
      </c>
      <c r="C276" s="4">
        <v>58.333333333333336</v>
      </c>
      <c r="D276" s="4">
        <v>47.666666666666664</v>
      </c>
    </row>
    <row r="277" spans="1:4" x14ac:dyDescent="0.3">
      <c r="A277" s="1">
        <v>70704</v>
      </c>
      <c r="B277" s="1" t="s">
        <v>380</v>
      </c>
      <c r="C277" s="4">
        <v>12.666666666666666</v>
      </c>
      <c r="D277" s="4">
        <v>5</v>
      </c>
    </row>
    <row r="278" spans="1:4" x14ac:dyDescent="0.3">
      <c r="A278" s="1">
        <v>70705</v>
      </c>
      <c r="B278" s="1" t="s">
        <v>489</v>
      </c>
      <c r="C278" s="4">
        <v>56</v>
      </c>
      <c r="D278" s="4">
        <v>30</v>
      </c>
    </row>
    <row r="279" spans="1:4" x14ac:dyDescent="0.3">
      <c r="A279" s="1">
        <v>70706</v>
      </c>
      <c r="B279" s="1" t="s">
        <v>382</v>
      </c>
      <c r="C279" s="4">
        <v>104.33333333333333</v>
      </c>
      <c r="D279" s="4">
        <v>40</v>
      </c>
    </row>
    <row r="280" spans="1:4" x14ac:dyDescent="0.3">
      <c r="A280" s="1">
        <v>70707</v>
      </c>
      <c r="B280" s="1" t="s">
        <v>383</v>
      </c>
      <c r="C280" s="4">
        <v>19.333333333333332</v>
      </c>
      <c r="D280" s="4">
        <v>4.333333333333333</v>
      </c>
    </row>
    <row r="281" spans="1:4" x14ac:dyDescent="0.3">
      <c r="A281" s="1">
        <v>70801</v>
      </c>
      <c r="B281" s="1" t="s">
        <v>384</v>
      </c>
      <c r="C281" s="4">
        <v>60</v>
      </c>
      <c r="D281" s="4">
        <v>9.6666666666666661</v>
      </c>
    </row>
    <row r="282" spans="1:4" x14ac:dyDescent="0.3">
      <c r="A282" s="1">
        <v>70802</v>
      </c>
      <c r="B282" s="1" t="s">
        <v>385</v>
      </c>
      <c r="C282" s="4">
        <v>6.333333333333333</v>
      </c>
      <c r="D282" s="4">
        <v>0.5</v>
      </c>
    </row>
    <row r="283" spans="1:4" x14ac:dyDescent="0.3">
      <c r="A283" s="1">
        <v>70803</v>
      </c>
      <c r="B283" s="1" t="s">
        <v>386</v>
      </c>
      <c r="C283" s="4">
        <v>10</v>
      </c>
      <c r="D283" s="4">
        <v>4.666666666666667</v>
      </c>
    </row>
    <row r="284" spans="1:4" x14ac:dyDescent="0.3">
      <c r="A284" s="1">
        <v>70804</v>
      </c>
      <c r="B284" s="1" t="s">
        <v>387</v>
      </c>
      <c r="C284" s="4">
        <v>8.3333333333333339</v>
      </c>
      <c r="D284" s="4">
        <v>0.66666666666666663</v>
      </c>
    </row>
    <row r="285" spans="1:4" x14ac:dyDescent="0.3">
      <c r="A285" s="1">
        <v>70805</v>
      </c>
      <c r="B285" s="1" t="s">
        <v>388</v>
      </c>
      <c r="C285" s="4">
        <v>6.333333333333333</v>
      </c>
      <c r="D285" s="4">
        <v>0</v>
      </c>
    </row>
    <row r="286" spans="1:4" x14ac:dyDescent="0.3">
      <c r="A286" s="1">
        <v>70901</v>
      </c>
      <c r="B286" s="1" t="s">
        <v>390</v>
      </c>
      <c r="C286" s="4">
        <v>33.666666666666664</v>
      </c>
      <c r="D286" s="4">
        <v>11.333333333333334</v>
      </c>
    </row>
    <row r="287" spans="1:4" x14ac:dyDescent="0.3">
      <c r="A287" s="1">
        <v>70902</v>
      </c>
      <c r="B287" s="1" t="s">
        <v>490</v>
      </c>
      <c r="C287" s="4">
        <v>19.333333333333332</v>
      </c>
      <c r="D287" s="4">
        <v>8.6666666666666661</v>
      </c>
    </row>
    <row r="288" spans="1:4" x14ac:dyDescent="0.3">
      <c r="A288" s="1">
        <v>70903</v>
      </c>
      <c r="B288" s="1" t="s">
        <v>392</v>
      </c>
      <c r="C288" s="4">
        <v>42.333333333333336</v>
      </c>
      <c r="D288" s="4">
        <v>27.333333333333332</v>
      </c>
    </row>
    <row r="289" spans="1:4" x14ac:dyDescent="0.3">
      <c r="A289" s="1">
        <v>70904</v>
      </c>
      <c r="B289" s="1" t="s">
        <v>393</v>
      </c>
      <c r="C289" s="4">
        <v>5.666666666666667</v>
      </c>
      <c r="D289" s="4">
        <v>0.66666666666666663</v>
      </c>
    </row>
    <row r="290" spans="1:4" x14ac:dyDescent="0.3">
      <c r="A290" s="1">
        <v>71001</v>
      </c>
      <c r="B290" s="1" t="s">
        <v>395</v>
      </c>
      <c r="C290" s="4">
        <v>432</v>
      </c>
      <c r="D290" s="4">
        <v>247</v>
      </c>
    </row>
    <row r="291" spans="1:4" x14ac:dyDescent="0.3">
      <c r="A291" s="1">
        <v>71002</v>
      </c>
      <c r="B291" s="1" t="s">
        <v>396</v>
      </c>
      <c r="C291" s="4">
        <v>68</v>
      </c>
      <c r="D291" s="4">
        <v>31.666666666666668</v>
      </c>
    </row>
    <row r="292" spans="1:4" x14ac:dyDescent="0.3">
      <c r="A292" s="1">
        <v>71003</v>
      </c>
      <c r="B292" s="1" t="s">
        <v>397</v>
      </c>
      <c r="C292" s="4">
        <v>97.666666666666671</v>
      </c>
      <c r="D292" s="4">
        <v>48.333333333333336</v>
      </c>
    </row>
    <row r="293" spans="1:4" x14ac:dyDescent="0.3">
      <c r="A293" s="1">
        <v>71004</v>
      </c>
      <c r="B293" s="1" t="s">
        <v>398</v>
      </c>
      <c r="C293" s="4">
        <v>46.666666666666664</v>
      </c>
      <c r="D293" s="4">
        <v>15</v>
      </c>
    </row>
    <row r="294" spans="1:4" x14ac:dyDescent="0.3">
      <c r="A294" s="1">
        <v>71005</v>
      </c>
      <c r="B294" s="1" t="s">
        <v>290</v>
      </c>
      <c r="C294" s="4">
        <v>46</v>
      </c>
      <c r="D294" s="4">
        <v>20.333333333333332</v>
      </c>
    </row>
    <row r="295" spans="1:4" x14ac:dyDescent="0.3">
      <c r="A295" s="1">
        <v>71101</v>
      </c>
      <c r="B295" s="1" t="s">
        <v>342</v>
      </c>
      <c r="C295" s="4">
        <v>65.666666666666671</v>
      </c>
      <c r="D295" s="4">
        <v>36.333333333333336</v>
      </c>
    </row>
    <row r="296" spans="1:4" x14ac:dyDescent="0.3">
      <c r="A296" s="1">
        <v>71102</v>
      </c>
      <c r="B296" s="1" t="s">
        <v>400</v>
      </c>
      <c r="C296" s="4">
        <v>56.333333333333336</v>
      </c>
      <c r="D296" s="4">
        <v>18</v>
      </c>
    </row>
    <row r="297" spans="1:4" x14ac:dyDescent="0.3">
      <c r="A297" s="1">
        <v>71103</v>
      </c>
      <c r="B297" s="1" t="s">
        <v>401</v>
      </c>
      <c r="C297" s="4">
        <v>41.666666666666664</v>
      </c>
      <c r="D297" s="4">
        <v>18</v>
      </c>
    </row>
    <row r="298" spans="1:4" x14ac:dyDescent="0.3">
      <c r="A298" s="1">
        <v>71104</v>
      </c>
      <c r="B298" s="1" t="s">
        <v>402</v>
      </c>
      <c r="C298" s="2">
        <v>209.66666666666666</v>
      </c>
      <c r="D298" s="2">
        <v>64.666666666666671</v>
      </c>
    </row>
    <row r="299" spans="1:4" x14ac:dyDescent="0.3">
      <c r="A299" s="1">
        <v>71105</v>
      </c>
      <c r="B299" s="1" t="s">
        <v>403</v>
      </c>
      <c r="C299" s="2">
        <v>17.333333333333332</v>
      </c>
      <c r="D299" s="2">
        <v>7.666666666666667</v>
      </c>
    </row>
    <row r="300" spans="1:4" x14ac:dyDescent="0.3">
      <c r="A300" s="1">
        <v>71106</v>
      </c>
      <c r="B300" s="1" t="s">
        <v>404</v>
      </c>
      <c r="C300" s="4">
        <v>70.666666666666671</v>
      </c>
      <c r="D300" s="4">
        <v>22.666666666666668</v>
      </c>
    </row>
    <row r="301" spans="1:4" x14ac:dyDescent="0.3">
      <c r="A301" s="1">
        <v>71201</v>
      </c>
      <c r="B301" s="1" t="s">
        <v>406</v>
      </c>
      <c r="C301" s="4">
        <v>77.333333333333329</v>
      </c>
      <c r="D301" s="4">
        <v>29</v>
      </c>
    </row>
    <row r="302" spans="1:4" x14ac:dyDescent="0.3">
      <c r="A302" s="1">
        <v>71301</v>
      </c>
      <c r="B302" s="1" t="s">
        <v>408</v>
      </c>
      <c r="C302" s="4">
        <v>48.666666666666664</v>
      </c>
      <c r="D302" s="4">
        <v>36.333333333333336</v>
      </c>
    </row>
    <row r="303" spans="1:4" x14ac:dyDescent="0.3">
      <c r="A303" s="1">
        <v>71302</v>
      </c>
      <c r="B303" s="1" t="s">
        <v>409</v>
      </c>
      <c r="C303" s="4">
        <v>19.666666666666668</v>
      </c>
      <c r="D303" s="4">
        <v>7</v>
      </c>
    </row>
    <row r="304" spans="1:4" x14ac:dyDescent="0.3">
      <c r="A304" s="1">
        <v>71401</v>
      </c>
      <c r="B304" s="1" t="s">
        <v>491</v>
      </c>
      <c r="C304" s="4">
        <v>51</v>
      </c>
      <c r="D304" s="4">
        <v>31</v>
      </c>
    </row>
    <row r="305" spans="1:4" x14ac:dyDescent="0.3">
      <c r="A305" s="1">
        <v>71402</v>
      </c>
      <c r="B305" s="1" t="s">
        <v>412</v>
      </c>
      <c r="C305" s="4">
        <v>62</v>
      </c>
      <c r="D305" s="4">
        <v>30.333333333333332</v>
      </c>
    </row>
    <row r="306" spans="1:4" x14ac:dyDescent="0.3">
      <c r="A306" s="1">
        <v>71403</v>
      </c>
      <c r="B306" s="1" t="s">
        <v>413</v>
      </c>
      <c r="C306" s="4">
        <v>26.333333333333332</v>
      </c>
      <c r="D306" s="4">
        <v>14</v>
      </c>
    </row>
    <row r="307" spans="1:4" x14ac:dyDescent="0.3">
      <c r="A307" s="1">
        <v>71501</v>
      </c>
      <c r="B307" s="1" t="s">
        <v>415</v>
      </c>
      <c r="C307" s="4">
        <v>143.66666666666666</v>
      </c>
      <c r="D307" s="4">
        <v>100.33333333333333</v>
      </c>
    </row>
    <row r="308" spans="1:4" x14ac:dyDescent="0.3">
      <c r="A308" s="1">
        <v>71502</v>
      </c>
      <c r="B308" s="1" t="s">
        <v>416</v>
      </c>
      <c r="C308" s="4">
        <v>20.666666666666668</v>
      </c>
      <c r="D308" s="4">
        <v>18.333333333333332</v>
      </c>
    </row>
    <row r="309" spans="1:4" x14ac:dyDescent="0.3">
      <c r="A309" s="1">
        <v>71503</v>
      </c>
      <c r="B309" s="1" t="s">
        <v>347</v>
      </c>
      <c r="C309" s="4">
        <v>36.666666666666664</v>
      </c>
      <c r="D309" s="4">
        <v>21</v>
      </c>
    </row>
    <row r="310" spans="1:4" x14ac:dyDescent="0.3">
      <c r="A310" s="1">
        <v>80101</v>
      </c>
      <c r="B310" s="1" t="s">
        <v>419</v>
      </c>
      <c r="C310" s="4">
        <v>517.66666666666663</v>
      </c>
      <c r="D310" s="4">
        <v>199</v>
      </c>
    </row>
    <row r="311" spans="1:4" x14ac:dyDescent="0.3">
      <c r="A311" s="1">
        <v>80102</v>
      </c>
      <c r="B311" s="1" t="s">
        <v>400</v>
      </c>
      <c r="C311" s="4">
        <v>27.666666666666668</v>
      </c>
      <c r="D311" s="4">
        <v>10.666666666666666</v>
      </c>
    </row>
    <row r="312" spans="1:4" x14ac:dyDescent="0.3">
      <c r="A312" s="1">
        <v>80201</v>
      </c>
      <c r="B312" s="1" t="s">
        <v>421</v>
      </c>
      <c r="C312" s="4">
        <v>698.66666666666663</v>
      </c>
      <c r="D312" s="4">
        <v>418</v>
      </c>
    </row>
    <row r="313" spans="1:4" x14ac:dyDescent="0.3">
      <c r="A313" s="1">
        <v>80202</v>
      </c>
      <c r="B313" s="1" t="s">
        <v>422</v>
      </c>
      <c r="C313" s="4">
        <v>161</v>
      </c>
      <c r="D313" s="4">
        <v>115.33333333333333</v>
      </c>
    </row>
    <row r="314" spans="1:4" x14ac:dyDescent="0.3">
      <c r="A314" s="1">
        <v>80301</v>
      </c>
      <c r="B314" s="1" t="s">
        <v>424</v>
      </c>
      <c r="C314" s="4">
        <v>68</v>
      </c>
      <c r="D314" s="4">
        <v>34.666666666666664</v>
      </c>
    </row>
    <row r="315" spans="1:4" x14ac:dyDescent="0.3">
      <c r="A315" s="1">
        <v>80302</v>
      </c>
      <c r="B315" s="1" t="s">
        <v>425</v>
      </c>
      <c r="C315" s="4">
        <v>293</v>
      </c>
      <c r="D315" s="4">
        <v>128.66666666666666</v>
      </c>
    </row>
    <row r="316" spans="1:4" x14ac:dyDescent="0.3">
      <c r="A316" s="1">
        <v>80303</v>
      </c>
      <c r="B316" s="1" t="s">
        <v>374</v>
      </c>
      <c r="C316" s="4">
        <v>36.666666666666664</v>
      </c>
      <c r="D316" s="4">
        <v>23.666666666666668</v>
      </c>
    </row>
    <row r="317" spans="1:4" x14ac:dyDescent="0.3">
      <c r="A317" s="1">
        <v>80304</v>
      </c>
      <c r="B317" s="1" t="s">
        <v>426</v>
      </c>
      <c r="C317" s="4">
        <v>106.33333333333333</v>
      </c>
      <c r="D317" s="4">
        <v>44.333333333333336</v>
      </c>
    </row>
    <row r="318" spans="1:4" x14ac:dyDescent="0.3">
      <c r="A318" s="1">
        <v>80401</v>
      </c>
      <c r="B318" s="1" t="s">
        <v>429</v>
      </c>
      <c r="C318" s="4">
        <v>141.66666666666666</v>
      </c>
      <c r="D318" s="4">
        <v>54.333333333333336</v>
      </c>
    </row>
    <row r="319" spans="1:4" x14ac:dyDescent="0.3">
      <c r="A319" s="1">
        <v>80402</v>
      </c>
      <c r="B319" s="1" t="s">
        <v>431</v>
      </c>
      <c r="C319" s="4">
        <v>37.666666666666664</v>
      </c>
      <c r="D319" s="4">
        <v>9.6666666666666661</v>
      </c>
    </row>
    <row r="320" spans="1:4" x14ac:dyDescent="0.3">
      <c r="A320" s="1">
        <v>80501</v>
      </c>
      <c r="B320" s="1" t="s">
        <v>360</v>
      </c>
      <c r="C320" s="4">
        <v>168</v>
      </c>
      <c r="D320" s="4">
        <v>63.666666666666664</v>
      </c>
    </row>
    <row r="321" spans="1:4" x14ac:dyDescent="0.3">
      <c r="A321" s="1">
        <v>80601</v>
      </c>
      <c r="B321" s="1" t="s">
        <v>434</v>
      </c>
      <c r="C321" s="4">
        <v>15</v>
      </c>
      <c r="D321" s="4">
        <v>7.666666666666667</v>
      </c>
    </row>
    <row r="322" spans="1:4" x14ac:dyDescent="0.3">
      <c r="A322" s="1">
        <v>80602</v>
      </c>
      <c r="B322" s="1" t="s">
        <v>435</v>
      </c>
      <c r="C322" s="4">
        <v>62.333333333333336</v>
      </c>
      <c r="D322" s="4">
        <v>34</v>
      </c>
    </row>
    <row r="323" spans="1:4" x14ac:dyDescent="0.3">
      <c r="A323" s="1">
        <v>80701</v>
      </c>
      <c r="B323" s="1" t="s">
        <v>437</v>
      </c>
      <c r="C323" s="4">
        <v>36</v>
      </c>
      <c r="D323" s="4">
        <v>15.333333333333334</v>
      </c>
    </row>
    <row r="324" spans="1:4" x14ac:dyDescent="0.3">
      <c r="A324" s="1">
        <v>80702</v>
      </c>
      <c r="B324" s="1" t="s">
        <v>401</v>
      </c>
      <c r="C324" s="4">
        <v>22.333333333333332</v>
      </c>
      <c r="D324" s="4">
        <v>10.666666666666666</v>
      </c>
    </row>
    <row r="325" spans="1:4" x14ac:dyDescent="0.3">
      <c r="A325" s="1">
        <v>80703</v>
      </c>
      <c r="B325" s="1" t="s">
        <v>438</v>
      </c>
      <c r="C325" s="4">
        <v>4.666666666666667</v>
      </c>
      <c r="D325" s="4">
        <v>4</v>
      </c>
    </row>
    <row r="326" spans="1:4" x14ac:dyDescent="0.3">
      <c r="A326" s="1">
        <v>80801</v>
      </c>
      <c r="B326" s="1" t="s">
        <v>440</v>
      </c>
      <c r="C326" s="4">
        <v>58</v>
      </c>
      <c r="D326" s="4">
        <v>38</v>
      </c>
    </row>
    <row r="327" spans="1:4" x14ac:dyDescent="0.3">
      <c r="A327" s="1">
        <v>80802</v>
      </c>
      <c r="B327" s="1" t="s">
        <v>441</v>
      </c>
      <c r="C327" s="4">
        <v>14</v>
      </c>
      <c r="D327" s="4">
        <v>9.6666666666666661</v>
      </c>
    </row>
    <row r="328" spans="1:4" x14ac:dyDescent="0.3">
      <c r="A328" s="1">
        <v>80803</v>
      </c>
      <c r="B328" s="1" t="s">
        <v>442</v>
      </c>
      <c r="C328" s="4">
        <v>16.333333333333332</v>
      </c>
      <c r="D328" s="4">
        <v>5.333333333333333</v>
      </c>
    </row>
    <row r="329" spans="1:4" x14ac:dyDescent="0.3">
      <c r="A329" s="1">
        <v>80901</v>
      </c>
      <c r="B329" s="1" t="s">
        <v>492</v>
      </c>
      <c r="C329" s="4">
        <v>154.83333333333334</v>
      </c>
      <c r="D329" s="4">
        <v>59</v>
      </c>
    </row>
    <row r="330" spans="1:4" x14ac:dyDescent="0.3">
      <c r="A330" s="1">
        <v>90101</v>
      </c>
      <c r="B330" s="1" t="s">
        <v>446</v>
      </c>
      <c r="C330" s="4">
        <v>215.33333333333334</v>
      </c>
      <c r="D330" s="4">
        <v>124</v>
      </c>
    </row>
    <row r="331" spans="1:4" x14ac:dyDescent="0.3">
      <c r="A331" s="1">
        <v>90102</v>
      </c>
      <c r="B331" s="1" t="s">
        <v>447</v>
      </c>
      <c r="C331" s="4">
        <v>22.333333333333332</v>
      </c>
      <c r="D331" s="4">
        <v>12.666666666666666</v>
      </c>
    </row>
    <row r="332" spans="1:4" x14ac:dyDescent="0.3">
      <c r="A332" s="1">
        <v>90103</v>
      </c>
      <c r="B332" s="1" t="s">
        <v>448</v>
      </c>
      <c r="C332" s="4">
        <v>19.333333333333332</v>
      </c>
      <c r="D332" s="4">
        <v>7</v>
      </c>
    </row>
    <row r="333" spans="1:4" x14ac:dyDescent="0.3">
      <c r="A333" s="1">
        <v>90104</v>
      </c>
      <c r="B333" s="1" t="s">
        <v>449</v>
      </c>
      <c r="C333" s="4">
        <v>24.333333333333332</v>
      </c>
      <c r="D333" s="4">
        <v>14.333333333333334</v>
      </c>
    </row>
    <row r="334" spans="1:4" x14ac:dyDescent="0.3">
      <c r="A334" s="1">
        <v>90201</v>
      </c>
      <c r="B334" s="1" t="s">
        <v>451</v>
      </c>
      <c r="C334" s="4">
        <v>57</v>
      </c>
      <c r="D334" s="4">
        <v>22.333333333333332</v>
      </c>
    </row>
    <row r="335" spans="1:4" x14ac:dyDescent="0.3">
      <c r="A335" s="1">
        <v>90202</v>
      </c>
      <c r="B335" s="1" t="s">
        <v>290</v>
      </c>
      <c r="C335" s="4">
        <v>5</v>
      </c>
      <c r="D335" s="4">
        <v>6.666666666666667</v>
      </c>
    </row>
    <row r="336" spans="1:4" x14ac:dyDescent="0.3">
      <c r="A336" s="1">
        <v>90203</v>
      </c>
      <c r="B336" s="1" t="s">
        <v>452</v>
      </c>
      <c r="C336" s="4">
        <v>30.333333333333332</v>
      </c>
      <c r="D336" s="4">
        <v>20</v>
      </c>
    </row>
    <row r="337" spans="1:4" x14ac:dyDescent="0.3">
      <c r="A337" s="1">
        <v>90301</v>
      </c>
      <c r="B337" s="1" t="s">
        <v>454</v>
      </c>
      <c r="C337" s="4">
        <v>40</v>
      </c>
      <c r="D337" s="4">
        <v>14.666666666666666</v>
      </c>
    </row>
    <row r="338" spans="1:4" x14ac:dyDescent="0.3">
      <c r="A338" s="1">
        <v>90302</v>
      </c>
      <c r="B338" s="1" t="s">
        <v>345</v>
      </c>
      <c r="C338" s="4">
        <v>46.666666666666664</v>
      </c>
      <c r="D338" s="4">
        <v>30</v>
      </c>
    </row>
    <row r="339" spans="1:4" x14ac:dyDescent="0.3">
      <c r="A339" s="1">
        <v>90303</v>
      </c>
      <c r="B339" s="1" t="s">
        <v>455</v>
      </c>
      <c r="C339" s="4">
        <v>21.333333333333332</v>
      </c>
      <c r="D339" s="4">
        <v>41</v>
      </c>
    </row>
    <row r="340" spans="1:4" x14ac:dyDescent="0.3">
      <c r="A340" s="1">
        <v>90401</v>
      </c>
      <c r="B340" s="1" t="s">
        <v>374</v>
      </c>
      <c r="C340" s="4">
        <v>15</v>
      </c>
      <c r="D340" s="4">
        <v>7</v>
      </c>
    </row>
    <row r="341" spans="1:4" x14ac:dyDescent="0.3">
      <c r="A341" s="1">
        <v>90402</v>
      </c>
      <c r="B341" s="1" t="s">
        <v>92</v>
      </c>
      <c r="C341" s="4">
        <v>5.666666666666667</v>
      </c>
      <c r="D341" s="4">
        <v>22</v>
      </c>
    </row>
    <row r="342" spans="1:4" x14ac:dyDescent="0.3">
      <c r="A342" s="1">
        <v>90501</v>
      </c>
      <c r="B342" s="1" t="s">
        <v>458</v>
      </c>
      <c r="C342" s="4">
        <v>8.3333333333333339</v>
      </c>
      <c r="D342" s="4">
        <v>13.666666666666666</v>
      </c>
    </row>
    <row r="343" spans="1:4" x14ac:dyDescent="0.3">
      <c r="A343" s="1">
        <v>90502</v>
      </c>
      <c r="B343" s="1" t="s">
        <v>459</v>
      </c>
      <c r="C343" s="4">
        <v>21</v>
      </c>
      <c r="D343" s="4">
        <v>14</v>
      </c>
    </row>
    <row r="344" spans="1:4" x14ac:dyDescent="0.3">
      <c r="A344" s="1">
        <v>90503</v>
      </c>
      <c r="B344" s="1" t="s">
        <v>461</v>
      </c>
      <c r="C344" s="4">
        <v>6.666666666666667</v>
      </c>
      <c r="D344" s="4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I11" sqref="I11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516</v>
      </c>
      <c r="D1" s="3" t="s">
        <v>517</v>
      </c>
    </row>
    <row r="2" spans="1:4" x14ac:dyDescent="0.3">
      <c r="A2" s="1">
        <v>1</v>
      </c>
      <c r="B2" s="11" t="s">
        <v>4</v>
      </c>
      <c r="C2" s="12">
        <v>5.9995188354057625</v>
      </c>
      <c r="D2" s="12">
        <v>2.7639170417532877</v>
      </c>
    </row>
    <row r="3" spans="1:4" x14ac:dyDescent="0.3">
      <c r="A3" s="1">
        <v>2</v>
      </c>
      <c r="B3" s="11" t="s">
        <v>46</v>
      </c>
      <c r="C3" s="12">
        <v>4.3834052590465058</v>
      </c>
      <c r="D3" s="12">
        <v>1.7506955492496701</v>
      </c>
    </row>
    <row r="4" spans="1:4" x14ac:dyDescent="0.3">
      <c r="A4" s="1">
        <v>3</v>
      </c>
      <c r="B4" s="11" t="s">
        <v>157</v>
      </c>
      <c r="C4" s="12">
        <v>5.038366242983888</v>
      </c>
      <c r="D4" s="12">
        <v>1.9920562008459664</v>
      </c>
    </row>
    <row r="5" spans="1:4" x14ac:dyDescent="0.3">
      <c r="A5" s="1">
        <v>4</v>
      </c>
      <c r="B5" s="11" t="s">
        <v>217</v>
      </c>
      <c r="C5" s="12">
        <v>4.8617674868093053</v>
      </c>
      <c r="D5" s="12">
        <v>2.6045846071311782</v>
      </c>
    </row>
    <row r="6" spans="1:4" x14ac:dyDescent="0.3">
      <c r="A6" s="1">
        <v>5</v>
      </c>
      <c r="B6" s="11" t="s">
        <v>267</v>
      </c>
      <c r="C6" s="12">
        <v>10.116122806519318</v>
      </c>
      <c r="D6" s="12">
        <v>2.6872569682514498</v>
      </c>
    </row>
    <row r="7" spans="1:4" x14ac:dyDescent="0.3">
      <c r="A7" s="1">
        <v>6</v>
      </c>
      <c r="B7" s="11" t="s">
        <v>332</v>
      </c>
      <c r="C7" s="12">
        <v>5.6333736976115274</v>
      </c>
      <c r="D7" s="12">
        <v>1.7587591597732934</v>
      </c>
    </row>
    <row r="8" spans="1:4" x14ac:dyDescent="0.3">
      <c r="A8" s="1">
        <v>7</v>
      </c>
      <c r="B8" s="11" t="s">
        <v>349</v>
      </c>
      <c r="C8" s="12">
        <v>6.1095304070620697</v>
      </c>
      <c r="D8" s="12">
        <v>3.3494553854881115</v>
      </c>
    </row>
    <row r="9" spans="1:4" x14ac:dyDescent="0.3">
      <c r="A9" s="1">
        <v>8</v>
      </c>
      <c r="B9" s="11" t="s">
        <v>418</v>
      </c>
      <c r="C9" s="12">
        <v>10.829976171357922</v>
      </c>
      <c r="D9" s="12">
        <v>4.5012977848205642</v>
      </c>
    </row>
    <row r="10" spans="1:4" x14ac:dyDescent="0.3">
      <c r="A10" s="1">
        <v>9</v>
      </c>
      <c r="B10" s="11" t="s">
        <v>444</v>
      </c>
      <c r="C10" s="12">
        <v>13.256768477448839</v>
      </c>
      <c r="D10" s="12">
        <v>7.5087482543390687</v>
      </c>
    </row>
    <row r="11" spans="1:4" x14ac:dyDescent="0.3">
      <c r="A11" s="1">
        <v>10</v>
      </c>
      <c r="B11" s="11" t="s">
        <v>336</v>
      </c>
      <c r="C11" s="12">
        <v>6.0799888585979316</v>
      </c>
      <c r="D11" s="12">
        <v>1.8905884074494412</v>
      </c>
    </row>
    <row r="12" spans="1:4" x14ac:dyDescent="0.3">
      <c r="A12" s="1">
        <v>11</v>
      </c>
      <c r="B12" s="11" t="s">
        <v>515</v>
      </c>
      <c r="C12" s="12">
        <v>5.8855635391161201</v>
      </c>
      <c r="D12" s="12">
        <v>2.2437195257106297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J17" sqref="J17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522</v>
      </c>
      <c r="D1" s="3" t="s">
        <v>521</v>
      </c>
    </row>
    <row r="2" spans="1:4" x14ac:dyDescent="0.3">
      <c r="A2" s="1">
        <v>1</v>
      </c>
      <c r="B2" s="11" t="s">
        <v>4</v>
      </c>
      <c r="C2" s="2">
        <v>1753.3333333333333</v>
      </c>
      <c r="D2" s="2">
        <v>825.33333333333337</v>
      </c>
    </row>
    <row r="3" spans="1:4" x14ac:dyDescent="0.3">
      <c r="A3" s="1">
        <v>2</v>
      </c>
      <c r="B3" s="11" t="s">
        <v>46</v>
      </c>
      <c r="C3" s="2">
        <v>6768.333333333333</v>
      </c>
      <c r="D3" s="2">
        <v>2715.6666666666665</v>
      </c>
    </row>
    <row r="4" spans="1:4" x14ac:dyDescent="0.3">
      <c r="A4" s="1">
        <v>3</v>
      </c>
      <c r="B4" s="11" t="s">
        <v>157</v>
      </c>
      <c r="C4" s="2">
        <v>5066.666666666667</v>
      </c>
      <c r="D4" s="2">
        <v>2719.6666666666665</v>
      </c>
    </row>
    <row r="5" spans="1:4" x14ac:dyDescent="0.3">
      <c r="A5" s="1">
        <v>4</v>
      </c>
      <c r="B5" s="11" t="s">
        <v>217</v>
      </c>
      <c r="C5" s="2">
        <v>1266</v>
      </c>
      <c r="D5" s="2">
        <v>651.33333333333337</v>
      </c>
    </row>
    <row r="6" spans="1:4" x14ac:dyDescent="0.3">
      <c r="A6" s="1">
        <v>5</v>
      </c>
      <c r="B6" s="11" t="s">
        <v>267</v>
      </c>
      <c r="C6" s="2">
        <v>3944.6666666666665</v>
      </c>
      <c r="D6" s="2">
        <v>1368.6666666666667</v>
      </c>
    </row>
    <row r="7" spans="1:4" x14ac:dyDescent="0.3">
      <c r="A7" s="1">
        <v>6</v>
      </c>
      <c r="B7" s="11" t="s">
        <v>332</v>
      </c>
      <c r="C7" s="2">
        <v>1469.6666666666667</v>
      </c>
      <c r="D7" s="2">
        <v>2048.3333333333335</v>
      </c>
    </row>
    <row r="8" spans="1:4" x14ac:dyDescent="0.3">
      <c r="A8" s="1">
        <v>7</v>
      </c>
      <c r="B8" s="11" t="s">
        <v>349</v>
      </c>
      <c r="C8" s="2">
        <v>8741.6666666666661</v>
      </c>
      <c r="D8" s="2">
        <v>2397.3333333333335</v>
      </c>
    </row>
    <row r="9" spans="1:4" x14ac:dyDescent="0.3">
      <c r="A9" s="1">
        <v>8</v>
      </c>
      <c r="B9" s="11" t="s">
        <v>418</v>
      </c>
      <c r="C9" s="2">
        <v>2639.8333333333335</v>
      </c>
      <c r="D9" s="2">
        <v>563</v>
      </c>
    </row>
    <row r="10" spans="1:4" x14ac:dyDescent="0.3">
      <c r="A10" s="1">
        <v>9</v>
      </c>
      <c r="B10" s="11" t="s">
        <v>444</v>
      </c>
      <c r="C10" s="2">
        <v>538.33333333333337</v>
      </c>
      <c r="D10" s="2">
        <v>177.33333333333334</v>
      </c>
    </row>
    <row r="11" spans="1:4" x14ac:dyDescent="0.3">
      <c r="A11" s="1">
        <v>10</v>
      </c>
      <c r="B11" s="11" t="s">
        <v>336</v>
      </c>
      <c r="C11" s="2">
        <v>527.33333333333337</v>
      </c>
      <c r="D11" s="2">
        <v>165</v>
      </c>
    </row>
    <row r="12" spans="1:4" x14ac:dyDescent="0.3">
      <c r="A12" s="1">
        <v>11</v>
      </c>
      <c r="B12" s="11" t="s">
        <v>515</v>
      </c>
      <c r="C12" s="2">
        <v>32188.5</v>
      </c>
      <c r="D12" s="2">
        <v>13466.666666666666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B2" sqref="B2"/>
    </sheetView>
  </sheetViews>
  <sheetFormatPr baseColWidth="10" defaultRowHeight="14.4" x14ac:dyDescent="0.3"/>
  <sheetData>
    <row r="1" spans="1:10" ht="36" x14ac:dyDescent="0.3">
      <c r="A1" s="6" t="s">
        <v>465</v>
      </c>
      <c r="B1" s="6" t="s">
        <v>466</v>
      </c>
      <c r="C1" s="7" t="s">
        <v>467</v>
      </c>
      <c r="D1" s="7" t="s">
        <v>468</v>
      </c>
      <c r="E1" s="8" t="s">
        <v>469</v>
      </c>
      <c r="F1" s="8" t="s">
        <v>470</v>
      </c>
      <c r="G1" s="9" t="s">
        <v>471</v>
      </c>
      <c r="H1" s="9" t="s">
        <v>472</v>
      </c>
      <c r="I1" s="10" t="s">
        <v>473</v>
      </c>
      <c r="J1" s="10" t="s">
        <v>474</v>
      </c>
    </row>
    <row r="2" spans="1:10" x14ac:dyDescent="0.3">
      <c r="A2" s="1">
        <v>4</v>
      </c>
      <c r="B2" s="1" t="s">
        <v>520</v>
      </c>
      <c r="C2" s="1">
        <v>0</v>
      </c>
      <c r="D2" s="1">
        <v>3</v>
      </c>
      <c r="E2" s="1">
        <v>3</v>
      </c>
      <c r="F2" s="1">
        <v>4.5</v>
      </c>
      <c r="G2" s="1">
        <v>4.5</v>
      </c>
      <c r="H2" s="1">
        <v>6</v>
      </c>
      <c r="I2" s="1">
        <v>6</v>
      </c>
      <c r="J2" s="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6C6B-FBB4-4845-9E33-1FAEBBBCD07D}">
  <dimension ref="A1"/>
  <sheetViews>
    <sheetView tabSelected="1" workbookViewId="0">
      <selection activeCell="L17" sqref="L1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2026-05-24T16:14:33Z</dcterms:modified>
</cp:coreProperties>
</file>